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kulveauli/Desktop/Rebuilt Models - Akul Veauli/"/>
    </mc:Choice>
  </mc:AlternateContent>
  <xr:revisionPtr revIDLastSave="0" documentId="13_ncr:1_{77F013D0-1486-9345-BC37-29E88A224B66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Dashboard" sheetId="1" r:id="rId1"/>
    <sheet name="Inputs" sheetId="2" r:id="rId2"/>
    <sheet name="Amortization" sheetId="3" r:id="rId3"/>
    <sheet name="Cash Flow" sheetId="4" r:id="rId4"/>
    <sheet name="Exit &amp; Returns" sheetId="5" r:id="rId5"/>
    <sheet name="Sensitivity" sheetId="6" r:id="rId6"/>
  </sheets>
  <definedNames>
    <definedName name="Appreciation">Inputs!$C$36</definedName>
    <definedName name="AssessedGrowth">Inputs!$C$25</definedName>
    <definedName name="AssessedValueY1">Inputs!$C$24</definedName>
    <definedName name="CapexPct">Inputs!$C$30</definedName>
    <definedName name="CF_COC_Row">'Cash Flow'!$C$31:$L$31</definedName>
    <definedName name="CF_DS_Row">'Cash Flow'!$C$25:$L$25</definedName>
    <definedName name="CF_DSCR_Row">'Cash Flow'!$C$30:$L$30</definedName>
    <definedName name="CF_NOI_Row">'Cash Flow'!$C$22:$L$22</definedName>
    <definedName name="CF_PTCF_Row">'Cash Flow'!$C$26:$L$26</definedName>
    <definedName name="ClosingCostAmt">Inputs!$C$8</definedName>
    <definedName name="ClosingCostPct">Inputs!$C$7</definedName>
    <definedName name="CoCPassThresh">Inputs!$C$40</definedName>
    <definedName name="CoCWatchThresh">Inputs!$C$41</definedName>
    <definedName name="DownAmt">Inputs!$C$13</definedName>
    <definedName name="DownPct">Inputs!$C$12</definedName>
    <definedName name="DSCRPassThresh">Inputs!$C$42</definedName>
    <definedName name="DSCRWatchThresh">Inputs!$C$43</definedName>
    <definedName name="EX_EquityMultiple">'Exit &amp; Returns'!$C$22</definedName>
    <definedName name="EX_LeveredIRR">'Exit &amp; Returns'!$C$20</definedName>
    <definedName name="EX_LoanPayoff">'Exit &amp; Returns'!$C$8</definedName>
    <definedName name="EX_NetProceeds">'Exit &amp; Returns'!$C$9</definedName>
    <definedName name="EX_SalePrice">'Exit &amp; Returns'!$C$6</definedName>
    <definedName name="EX_UnleveredIRR">'Exit &amp; Returns'!$C$21</definedName>
    <definedName name="ExitYear">Inputs!$C$35</definedName>
    <definedName name="HOAmo">Inputs!$C$32</definedName>
    <definedName name="InitialRepairs">Inputs!$C$9</definedName>
    <definedName name="InsuranceGrowth">Inputs!$C$28</definedName>
    <definedName name="InsuranceY1">Inputs!$C$27</definedName>
    <definedName name="InterestRate">Inputs!$C$15</definedName>
    <definedName name="LoanAmount">Inputs!$C$14</definedName>
    <definedName name="LoanTermYrs">Inputs!$C$16</definedName>
    <definedName name="MaintPct">Inputs!$C$29</definedName>
    <definedName name="MgmtPct">Inputs!$C$31</definedName>
    <definedName name="MonthlyRentY1">Inputs!$C$21</definedName>
    <definedName name="OriginationAmt">Inputs!$C$18</definedName>
    <definedName name="OriginationPct">Inputs!$C$17</definedName>
    <definedName name="PurchasePrice">Inputs!$C$6</definedName>
    <definedName name="RentGrowth">Inputs!$C$22</definedName>
    <definedName name="SellingCostPct">Inputs!$C$37</definedName>
    <definedName name="SV_BreakevenRate">Sensitivity!$C$37</definedName>
    <definedName name="SV_BreakevenRent">Sensitivity!$C$36</definedName>
    <definedName name="SV_MaxLoanDSCR120">Sensitivity!$C$37</definedName>
    <definedName name="SV_MinDownPctDSCR120">Sensitivity!$C$38</definedName>
    <definedName name="TaxRate">Inputs!$C$26</definedName>
    <definedName name="TotalCashInvested">Inputs!$C$45</definedName>
    <definedName name="VacancyPct">Inputs!$C$23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C7" i="5" s="1"/>
  <c r="L19" i="4"/>
  <c r="K19" i="4"/>
  <c r="J19" i="4"/>
  <c r="I19" i="4"/>
  <c r="H19" i="4"/>
  <c r="G19" i="4"/>
  <c r="F19" i="4"/>
  <c r="E19" i="4"/>
  <c r="D19" i="4"/>
  <c r="C19" i="4"/>
  <c r="L15" i="4"/>
  <c r="K15" i="4"/>
  <c r="J15" i="4"/>
  <c r="I15" i="4"/>
  <c r="H15" i="4"/>
  <c r="G15" i="4"/>
  <c r="F15" i="4"/>
  <c r="E15" i="4"/>
  <c r="D15" i="4"/>
  <c r="C15" i="4"/>
  <c r="L14" i="4"/>
  <c r="K14" i="4"/>
  <c r="J14" i="4"/>
  <c r="I14" i="4"/>
  <c r="H14" i="4"/>
  <c r="G14" i="4"/>
  <c r="F14" i="4"/>
  <c r="E14" i="4"/>
  <c r="D14" i="4"/>
  <c r="C14" i="4"/>
  <c r="L8" i="4"/>
  <c r="L9" i="4" s="1"/>
  <c r="L10" i="4" s="1"/>
  <c r="K8" i="4"/>
  <c r="K9" i="4" s="1"/>
  <c r="K10" i="4" s="1"/>
  <c r="J8" i="4"/>
  <c r="J9" i="4" s="1"/>
  <c r="I8" i="4"/>
  <c r="I9" i="4" s="1"/>
  <c r="I10" i="4" s="1"/>
  <c r="H8" i="4"/>
  <c r="H9" i="4" s="1"/>
  <c r="G8" i="4"/>
  <c r="G9" i="4" s="1"/>
  <c r="F8" i="4"/>
  <c r="F9" i="4" s="1"/>
  <c r="E8" i="4"/>
  <c r="E9" i="4" s="1"/>
  <c r="D8" i="4"/>
  <c r="D9" i="4" s="1"/>
  <c r="C8" i="4"/>
  <c r="C9" i="4" s="1"/>
  <c r="C10" i="4" s="1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13" i="2"/>
  <c r="C14" i="2" s="1"/>
  <c r="D362" i="3" s="1"/>
  <c r="C8" i="2"/>
  <c r="C17" i="5" s="1"/>
  <c r="G16" i="1"/>
  <c r="D16" i="1"/>
  <c r="G9" i="1"/>
  <c r="C9" i="1"/>
  <c r="G8" i="1"/>
  <c r="F10" i="4" l="1"/>
  <c r="F11" i="4" s="1"/>
  <c r="D9" i="3"/>
  <c r="D68" i="3"/>
  <c r="D141" i="3"/>
  <c r="D208" i="3"/>
  <c r="D27" i="3"/>
  <c r="D73" i="3"/>
  <c r="D203" i="3"/>
  <c r="D24" i="3"/>
  <c r="D33" i="3"/>
  <c r="D40" i="3"/>
  <c r="D44" i="3"/>
  <c r="D48" i="3"/>
  <c r="D52" i="3"/>
  <c r="D56" i="3"/>
  <c r="D109" i="3"/>
  <c r="D159" i="3"/>
  <c r="D243" i="3"/>
  <c r="D261" i="3"/>
  <c r="D282" i="3"/>
  <c r="H13" i="6"/>
  <c r="G12" i="6"/>
  <c r="F11" i="6"/>
  <c r="E10" i="6"/>
  <c r="D9" i="6"/>
  <c r="C8" i="6"/>
  <c r="D360" i="3"/>
  <c r="D352" i="3"/>
  <c r="D344" i="3"/>
  <c r="D336" i="3"/>
  <c r="D328" i="3"/>
  <c r="D320" i="3"/>
  <c r="D312" i="3"/>
  <c r="D304" i="3"/>
  <c r="D296" i="3"/>
  <c r="D288" i="3"/>
  <c r="D280" i="3"/>
  <c r="G13" i="6"/>
  <c r="F12" i="6"/>
  <c r="E11" i="6"/>
  <c r="D10" i="6"/>
  <c r="C9" i="6"/>
  <c r="I7" i="6"/>
  <c r="D363" i="3"/>
  <c r="D355" i="3"/>
  <c r="D347" i="3"/>
  <c r="D339" i="3"/>
  <c r="D331" i="3"/>
  <c r="D323" i="3"/>
  <c r="D315" i="3"/>
  <c r="D307" i="3"/>
  <c r="D299" i="3"/>
  <c r="D291" i="3"/>
  <c r="D283" i="3"/>
  <c r="D275" i="3"/>
  <c r="C36" i="6"/>
  <c r="F13" i="1" s="1"/>
  <c r="F13" i="6"/>
  <c r="E12" i="6"/>
  <c r="D11" i="6"/>
  <c r="C10" i="6"/>
  <c r="I8" i="6"/>
  <c r="H7" i="6"/>
  <c r="E13" i="6"/>
  <c r="D12" i="6"/>
  <c r="C11" i="6"/>
  <c r="I9" i="6"/>
  <c r="H8" i="6"/>
  <c r="G7" i="6"/>
  <c r="D13" i="6"/>
  <c r="C12" i="6"/>
  <c r="I10" i="6"/>
  <c r="H9" i="6"/>
  <c r="G8" i="6"/>
  <c r="F7" i="6"/>
  <c r="D364" i="3"/>
  <c r="D356" i="3"/>
  <c r="D348" i="3"/>
  <c r="D340" i="3"/>
  <c r="D332" i="3"/>
  <c r="D324" i="3"/>
  <c r="D316" i="3"/>
  <c r="D308" i="3"/>
  <c r="D300" i="3"/>
  <c r="D292" i="3"/>
  <c r="D284" i="3"/>
  <c r="D276" i="3"/>
  <c r="C13" i="6"/>
  <c r="I11" i="6"/>
  <c r="H10" i="6"/>
  <c r="G9" i="6"/>
  <c r="F8" i="6"/>
  <c r="E7" i="6"/>
  <c r="D359" i="3"/>
  <c r="D351" i="3"/>
  <c r="D343" i="3"/>
  <c r="D335" i="3"/>
  <c r="D327" i="3"/>
  <c r="D319" i="3"/>
  <c r="D311" i="3"/>
  <c r="D303" i="3"/>
  <c r="D295" i="3"/>
  <c r="D287" i="3"/>
  <c r="D279" i="3"/>
  <c r="I12" i="6"/>
  <c r="H11" i="6"/>
  <c r="G10" i="6"/>
  <c r="F9" i="6"/>
  <c r="E8" i="6"/>
  <c r="D7" i="6"/>
  <c r="I13" i="6"/>
  <c r="H12" i="6"/>
  <c r="G11" i="6"/>
  <c r="F10" i="6"/>
  <c r="E9" i="6"/>
  <c r="D8" i="6"/>
  <c r="C7" i="6"/>
  <c r="D268" i="3"/>
  <c r="D260" i="3"/>
  <c r="D252" i="3"/>
  <c r="D244" i="3"/>
  <c r="D236" i="3"/>
  <c r="D228" i="3"/>
  <c r="D220" i="3"/>
  <c r="D271" i="3"/>
  <c r="D263" i="3"/>
  <c r="D255" i="3"/>
  <c r="D247" i="3"/>
  <c r="D239" i="3"/>
  <c r="D231" i="3"/>
  <c r="D223" i="3"/>
  <c r="D365" i="3"/>
  <c r="D357" i="3"/>
  <c r="D349" i="3"/>
  <c r="D341" i="3"/>
  <c r="D333" i="3"/>
  <c r="D325" i="3"/>
  <c r="D317" i="3"/>
  <c r="D309" i="3"/>
  <c r="D301" i="3"/>
  <c r="D293" i="3"/>
  <c r="D285" i="3"/>
  <c r="D277" i="3"/>
  <c r="D266" i="3"/>
  <c r="D258" i="3"/>
  <c r="D250" i="3"/>
  <c r="D242" i="3"/>
  <c r="D234" i="3"/>
  <c r="D226" i="3"/>
  <c r="D218" i="3"/>
  <c r="D210" i="3"/>
  <c r="D202" i="3"/>
  <c r="D194" i="3"/>
  <c r="D186" i="3"/>
  <c r="D178" i="3"/>
  <c r="D274" i="3"/>
  <c r="D272" i="3"/>
  <c r="D215" i="3"/>
  <c r="D199" i="3"/>
  <c r="D183" i="3"/>
  <c r="D166" i="3"/>
  <c r="D158" i="3"/>
  <c r="D150" i="3"/>
  <c r="D142" i="3"/>
  <c r="D134" i="3"/>
  <c r="D126" i="3"/>
  <c r="D118" i="3"/>
  <c r="D110" i="3"/>
  <c r="D102" i="3"/>
  <c r="D94" i="3"/>
  <c r="D86" i="3"/>
  <c r="D78" i="3"/>
  <c r="D358" i="3"/>
  <c r="D350" i="3"/>
  <c r="D342" i="3"/>
  <c r="D334" i="3"/>
  <c r="D326" i="3"/>
  <c r="D318" i="3"/>
  <c r="D310" i="3"/>
  <c r="D302" i="3"/>
  <c r="D294" i="3"/>
  <c r="D286" i="3"/>
  <c r="D278" i="3"/>
  <c r="D257" i="3"/>
  <c r="D241" i="3"/>
  <c r="D225" i="3"/>
  <c r="D211" i="3"/>
  <c r="D204" i="3"/>
  <c r="D195" i="3"/>
  <c r="D188" i="3"/>
  <c r="D179" i="3"/>
  <c r="D172" i="3"/>
  <c r="D164" i="3"/>
  <c r="D156" i="3"/>
  <c r="D148" i="3"/>
  <c r="D140" i="3"/>
  <c r="D132" i="3"/>
  <c r="D124" i="3"/>
  <c r="D116" i="3"/>
  <c r="D108" i="3"/>
  <c r="D361" i="3"/>
  <c r="D353" i="3"/>
  <c r="D345" i="3"/>
  <c r="D337" i="3"/>
  <c r="D329" i="3"/>
  <c r="D321" i="3"/>
  <c r="D313" i="3"/>
  <c r="D305" i="3"/>
  <c r="D297" i="3"/>
  <c r="D289" i="3"/>
  <c r="D281" i="3"/>
  <c r="D273" i="3"/>
  <c r="D207" i="3"/>
  <c r="D191" i="3"/>
  <c r="D175" i="3"/>
  <c r="D170" i="3"/>
  <c r="D162" i="3"/>
  <c r="D154" i="3"/>
  <c r="D146" i="3"/>
  <c r="D138" i="3"/>
  <c r="D130" i="3"/>
  <c r="D122" i="3"/>
  <c r="D114" i="3"/>
  <c r="D106" i="3"/>
  <c r="D98" i="3"/>
  <c r="D90" i="3"/>
  <c r="D82" i="3"/>
  <c r="D74" i="3"/>
  <c r="D66" i="3"/>
  <c r="D58" i="3"/>
  <c r="D270" i="3"/>
  <c r="D256" i="3"/>
  <c r="D330" i="3"/>
  <c r="D265" i="3"/>
  <c r="D262" i="3"/>
  <c r="D259" i="3"/>
  <c r="D237" i="3"/>
  <c r="D205" i="3"/>
  <c r="D190" i="3"/>
  <c r="D180" i="3"/>
  <c r="D177" i="3"/>
  <c r="D168" i="3"/>
  <c r="D161" i="3"/>
  <c r="D152" i="3"/>
  <c r="D145" i="3"/>
  <c r="D136" i="3"/>
  <c r="D129" i="3"/>
  <c r="D120" i="3"/>
  <c r="D113" i="3"/>
  <c r="D104" i="3"/>
  <c r="D100" i="3"/>
  <c r="D96" i="3"/>
  <c r="D92" i="3"/>
  <c r="D88" i="3"/>
  <c r="D84" i="3"/>
  <c r="D80" i="3"/>
  <c r="D69" i="3"/>
  <c r="D62" i="3"/>
  <c r="D50" i="3"/>
  <c r="D42" i="3"/>
  <c r="D34" i="3"/>
  <c r="D26" i="3"/>
  <c r="D18" i="3"/>
  <c r="D354" i="3"/>
  <c r="D290" i="3"/>
  <c r="D249" i="3"/>
  <c r="D246" i="3"/>
  <c r="D240" i="3"/>
  <c r="D217" i="3"/>
  <c r="D197" i="3"/>
  <c r="D192" i="3"/>
  <c r="D187" i="3"/>
  <c r="D182" i="3"/>
  <c r="D163" i="3"/>
  <c r="D147" i="3"/>
  <c r="D131" i="3"/>
  <c r="D115" i="3"/>
  <c r="D338" i="3"/>
  <c r="D267" i="3"/>
  <c r="D251" i="3"/>
  <c r="D248" i="3"/>
  <c r="D245" i="3"/>
  <c r="D219" i="3"/>
  <c r="D214" i="3"/>
  <c r="D189" i="3"/>
  <c r="D174" i="3"/>
  <c r="D167" i="3"/>
  <c r="D151" i="3"/>
  <c r="D135" i="3"/>
  <c r="D119" i="3"/>
  <c r="D63" i="3"/>
  <c r="D298" i="3"/>
  <c r="D253" i="3"/>
  <c r="D221" i="3"/>
  <c r="D216" i="3"/>
  <c r="D201" i="3"/>
  <c r="D181" i="3"/>
  <c r="D176" i="3"/>
  <c r="D169" i="3"/>
  <c r="D160" i="3"/>
  <c r="D153" i="3"/>
  <c r="D144" i="3"/>
  <c r="D137" i="3"/>
  <c r="D128" i="3"/>
  <c r="D121" i="3"/>
  <c r="D112" i="3"/>
  <c r="D105" i="3"/>
  <c r="D103" i="3"/>
  <c r="D101" i="3"/>
  <c r="D99" i="3"/>
  <c r="D97" i="3"/>
  <c r="D95" i="3"/>
  <c r="D93" i="3"/>
  <c r="D91" i="3"/>
  <c r="D89" i="3"/>
  <c r="D87" i="3"/>
  <c r="D85" i="3"/>
  <c r="D83" i="3"/>
  <c r="D81" i="3"/>
  <c r="D79" i="3"/>
  <c r="D77" i="3"/>
  <c r="D70" i="3"/>
  <c r="D61" i="3"/>
  <c r="D54" i="3"/>
  <c r="D46" i="3"/>
  <c r="D38" i="3"/>
  <c r="D264" i="3"/>
  <c r="D238" i="3"/>
  <c r="D206" i="3"/>
  <c r="D165" i="3"/>
  <c r="D133" i="3"/>
  <c r="D65" i="3"/>
  <c r="D32" i="3"/>
  <c r="D25" i="3"/>
  <c r="D16" i="3"/>
  <c r="D15" i="3"/>
  <c r="D14" i="3"/>
  <c r="D6" i="3"/>
  <c r="D117" i="3"/>
  <c r="D59" i="3"/>
  <c r="D346" i="3"/>
  <c r="D322" i="3"/>
  <c r="D254" i="3"/>
  <c r="D229" i="3"/>
  <c r="D171" i="3"/>
  <c r="D143" i="3"/>
  <c r="D139" i="3"/>
  <c r="D111" i="3"/>
  <c r="D107" i="3"/>
  <c r="D75" i="3"/>
  <c r="D60" i="3"/>
  <c r="D23" i="3"/>
  <c r="D13" i="3"/>
  <c r="C18" i="2"/>
  <c r="C45" i="2" s="1"/>
  <c r="D233" i="3"/>
  <c r="D213" i="3"/>
  <c r="D209" i="3"/>
  <c r="D198" i="3"/>
  <c r="D157" i="3"/>
  <c r="D125" i="3"/>
  <c r="D72" i="3"/>
  <c r="D67" i="3"/>
  <c r="D55" i="3"/>
  <c r="D53" i="3"/>
  <c r="D51" i="3"/>
  <c r="D49" i="3"/>
  <c r="D47" i="3"/>
  <c r="D45" i="3"/>
  <c r="D43" i="3"/>
  <c r="D41" i="3"/>
  <c r="D39" i="3"/>
  <c r="D37" i="3"/>
  <c r="D30" i="3"/>
  <c r="D21" i="3"/>
  <c r="D12" i="3"/>
  <c r="D224" i="3"/>
  <c r="D193" i="3"/>
  <c r="D64" i="3"/>
  <c r="D57" i="3"/>
  <c r="D35" i="3"/>
  <c r="D28" i="3"/>
  <c r="D19" i="3"/>
  <c r="D11" i="3"/>
  <c r="D314" i="3"/>
  <c r="D232" i="3"/>
  <c r="D212" i="3"/>
  <c r="D185" i="3"/>
  <c r="D149" i="3"/>
  <c r="D196" i="3"/>
  <c r="D230" i="3"/>
  <c r="E6" i="3"/>
  <c r="D36" i="3"/>
  <c r="D8" i="3"/>
  <c r="D227" i="3"/>
  <c r="D31" i="3"/>
  <c r="D127" i="3"/>
  <c r="D155" i="3"/>
  <c r="D222" i="3"/>
  <c r="D269" i="3"/>
  <c r="D306" i="3"/>
  <c r="D22" i="3"/>
  <c r="D10" i="3"/>
  <c r="D20" i="3"/>
  <c r="D71" i="3"/>
  <c r="D200" i="3"/>
  <c r="D7" i="3"/>
  <c r="D17" i="3"/>
  <c r="D29" i="3"/>
  <c r="D76" i="3"/>
  <c r="D123" i="3"/>
  <c r="D173" i="3"/>
  <c r="D184" i="3"/>
  <c r="D235" i="3"/>
  <c r="E10" i="4"/>
  <c r="E11" i="4" s="1"/>
  <c r="H10" i="4"/>
  <c r="H11" i="4" s="1"/>
  <c r="J10" i="4"/>
  <c r="J11" i="4" s="1"/>
  <c r="D10" i="4"/>
  <c r="D11" i="4" s="1"/>
  <c r="L11" i="4"/>
  <c r="I11" i="4"/>
  <c r="C11" i="4"/>
  <c r="K11" i="4"/>
  <c r="G10" i="4"/>
  <c r="G11" i="4" s="1"/>
  <c r="C27" i="5"/>
  <c r="J9" i="3" l="1"/>
  <c r="F25" i="4" s="1"/>
  <c r="F17" i="4"/>
  <c r="F18" i="4"/>
  <c r="F16" i="4"/>
  <c r="F20" i="4" s="1"/>
  <c r="F22" i="4" s="1"/>
  <c r="F30" i="4" s="1"/>
  <c r="G31" i="6"/>
  <c r="C30" i="6"/>
  <c r="C20" i="6"/>
  <c r="F18" i="6"/>
  <c r="D22" i="6"/>
  <c r="F28" i="6"/>
  <c r="D20" i="6"/>
  <c r="D32" i="6"/>
  <c r="F31" i="6"/>
  <c r="E27" i="6"/>
  <c r="H33" i="6"/>
  <c r="E17" i="6"/>
  <c r="F19" i="6"/>
  <c r="H17" i="6"/>
  <c r="E29" i="6"/>
  <c r="G33" i="6"/>
  <c r="G23" i="6"/>
  <c r="C33" i="6"/>
  <c r="F17" i="6"/>
  <c r="C21" i="6"/>
  <c r="D23" i="6"/>
  <c r="C19" i="6"/>
  <c r="D31" i="6"/>
  <c r="C32" i="6"/>
  <c r="C31" i="6"/>
  <c r="F29" i="6"/>
  <c r="G27" i="6"/>
  <c r="E28" i="6"/>
  <c r="H23" i="6"/>
  <c r="E18" i="6"/>
  <c r="F30" i="6"/>
  <c r="E19" i="6"/>
  <c r="D33" i="6"/>
  <c r="G32" i="6"/>
  <c r="G22" i="6"/>
  <c r="D21" i="6"/>
  <c r="H27" i="6"/>
  <c r="I16" i="4"/>
  <c r="I18" i="4"/>
  <c r="I17" i="4"/>
  <c r="D17" i="4"/>
  <c r="D18" i="4"/>
  <c r="D16" i="4"/>
  <c r="H17" i="4"/>
  <c r="H16" i="4"/>
  <c r="H18" i="4"/>
  <c r="E18" i="4"/>
  <c r="E16" i="4"/>
  <c r="E17" i="4"/>
  <c r="L17" i="4"/>
  <c r="L16" i="4"/>
  <c r="L18" i="4"/>
  <c r="J7" i="3"/>
  <c r="D25" i="4" s="1"/>
  <c r="J15" i="3"/>
  <c r="L25" i="4" s="1"/>
  <c r="K17" i="4"/>
  <c r="K16" i="4"/>
  <c r="K18" i="4"/>
  <c r="J16" i="4"/>
  <c r="J18" i="4"/>
  <c r="J17" i="4"/>
  <c r="C17" i="4"/>
  <c r="C18" i="4"/>
  <c r="C16" i="4"/>
  <c r="H20" i="6"/>
  <c r="G19" i="6"/>
  <c r="E33" i="6"/>
  <c r="D28" i="6"/>
  <c r="G18" i="6"/>
  <c r="E32" i="6"/>
  <c r="H29" i="6"/>
  <c r="G28" i="6"/>
  <c r="D19" i="6"/>
  <c r="H32" i="6"/>
  <c r="C29" i="6"/>
  <c r="F20" i="6"/>
  <c r="E30" i="6"/>
  <c r="J11" i="3"/>
  <c r="H25" i="4" s="1"/>
  <c r="J10" i="3"/>
  <c r="G25" i="4" s="1"/>
  <c r="J6" i="3"/>
  <c r="C25" i="4" s="1"/>
  <c r="F6" i="3"/>
  <c r="F23" i="6"/>
  <c r="E22" i="6"/>
  <c r="D17" i="6"/>
  <c r="H30" i="6"/>
  <c r="E21" i="6"/>
  <c r="H18" i="6"/>
  <c r="F32" i="6"/>
  <c r="G17" i="6"/>
  <c r="E31" i="6"/>
  <c r="H21" i="6"/>
  <c r="C18" i="6"/>
  <c r="J12" i="3"/>
  <c r="I25" i="4" s="1"/>
  <c r="G17" i="4"/>
  <c r="G18" i="4"/>
  <c r="G16" i="4"/>
  <c r="J14" i="3"/>
  <c r="K25" i="4" s="1"/>
  <c r="C13" i="5"/>
  <c r="F16" i="1"/>
  <c r="D29" i="6"/>
  <c r="C28" i="6"/>
  <c r="H19" i="6"/>
  <c r="F33" i="6"/>
  <c r="C27" i="6"/>
  <c r="F21" i="6"/>
  <c r="E20" i="6"/>
  <c r="F27" i="6"/>
  <c r="G20" i="6"/>
  <c r="H28" i="6"/>
  <c r="C22" i="6"/>
  <c r="H22" i="6"/>
  <c r="G21" i="6"/>
  <c r="J8" i="3"/>
  <c r="E25" i="4" s="1"/>
  <c r="D18" i="6"/>
  <c r="H31" i="6"/>
  <c r="C17" i="6"/>
  <c r="G30" i="6"/>
  <c r="F22" i="6"/>
  <c r="G29" i="6"/>
  <c r="D27" i="6"/>
  <c r="C23" i="6"/>
  <c r="D30" i="6"/>
  <c r="E23" i="6"/>
  <c r="J13" i="3"/>
  <c r="J25" i="4" s="1"/>
  <c r="F26" i="4" l="1"/>
  <c r="G17" i="5"/>
  <c r="G20" i="4"/>
  <c r="G22" i="4" s="1"/>
  <c r="G30" i="4" s="1"/>
  <c r="C20" i="4"/>
  <c r="C22" i="4" s="1"/>
  <c r="C16" i="1" s="1"/>
  <c r="C37" i="6"/>
  <c r="C38" i="6" s="1"/>
  <c r="D17" i="5"/>
  <c r="C26" i="4"/>
  <c r="C30" i="4"/>
  <c r="D13" i="1" s="1"/>
  <c r="K20" i="4"/>
  <c r="K22" i="4" s="1"/>
  <c r="L20" i="4"/>
  <c r="L22" i="4" s="1"/>
  <c r="H20" i="4"/>
  <c r="H22" i="4" s="1"/>
  <c r="I20" i="4"/>
  <c r="I22" i="4" s="1"/>
  <c r="D20" i="4"/>
  <c r="D22" i="4" s="1"/>
  <c r="F31" i="4"/>
  <c r="G13" i="5"/>
  <c r="G6" i="3"/>
  <c r="J20" i="4"/>
  <c r="J22" i="4" s="1"/>
  <c r="E20" i="4"/>
  <c r="E22" i="4" s="1"/>
  <c r="G26" i="4" l="1"/>
  <c r="H13" i="5" s="1"/>
  <c r="H17" i="5"/>
  <c r="B13" i="1"/>
  <c r="H30" i="4"/>
  <c r="I17" i="5"/>
  <c r="H26" i="4"/>
  <c r="M17" i="5"/>
  <c r="L26" i="4"/>
  <c r="L30" i="4"/>
  <c r="D13" i="5"/>
  <c r="C31" i="4"/>
  <c r="C27" i="4"/>
  <c r="E13" i="1"/>
  <c r="E17" i="5"/>
  <c r="D26" i="4"/>
  <c r="D30" i="4"/>
  <c r="E7" i="3"/>
  <c r="L17" i="5"/>
  <c r="K26" i="4"/>
  <c r="K30" i="4"/>
  <c r="F17" i="5"/>
  <c r="E30" i="4"/>
  <c r="E26" i="4"/>
  <c r="K17" i="5"/>
  <c r="J26" i="4"/>
  <c r="J30" i="4"/>
  <c r="J17" i="5"/>
  <c r="I26" i="4"/>
  <c r="I30" i="4"/>
  <c r="G31" i="4" l="1"/>
  <c r="C21" i="5"/>
  <c r="H13" i="1" s="1"/>
  <c r="J31" i="4"/>
  <c r="K13" i="5"/>
  <c r="C13" i="1"/>
  <c r="D19" i="1"/>
  <c r="L31" i="4"/>
  <c r="E13" i="5"/>
  <c r="D31" i="4"/>
  <c r="H31" i="4"/>
  <c r="I13" i="5"/>
  <c r="F7" i="3"/>
  <c r="I31" i="4"/>
  <c r="J13" i="5"/>
  <c r="E31" i="4"/>
  <c r="F13" i="5"/>
  <c r="L13" i="5"/>
  <c r="K31" i="4"/>
  <c r="D27" i="4"/>
  <c r="E27" i="4" s="1"/>
  <c r="F27" i="4" s="1"/>
  <c r="G27" i="4" s="1"/>
  <c r="H27" i="4" s="1"/>
  <c r="I27" i="4" s="1"/>
  <c r="J27" i="4" s="1"/>
  <c r="K27" i="4" s="1"/>
  <c r="L27" i="4" s="1"/>
  <c r="G7" i="3" l="1"/>
  <c r="E8" i="3" l="1"/>
  <c r="F8" i="3" l="1"/>
  <c r="G8" i="3" l="1"/>
  <c r="E9" i="3" l="1"/>
  <c r="F9" i="3" l="1"/>
  <c r="G9" i="3" l="1"/>
  <c r="E10" i="3" l="1"/>
  <c r="F10" i="3" s="1"/>
  <c r="G10" i="3" l="1"/>
  <c r="E11" i="3" l="1"/>
  <c r="F11" i="3" s="1"/>
  <c r="G11" i="3" s="1"/>
  <c r="E12" i="3" l="1"/>
  <c r="F12" i="3" s="1"/>
  <c r="G12" i="3"/>
  <c r="E13" i="3" l="1"/>
  <c r="F13" i="3" s="1"/>
  <c r="G13" i="3" s="1"/>
  <c r="E14" i="3" l="1"/>
  <c r="F14" i="3" s="1"/>
  <c r="G14" i="3" s="1"/>
  <c r="E15" i="3" l="1"/>
  <c r="F15" i="3" s="1"/>
  <c r="G15" i="3" s="1"/>
  <c r="E16" i="3" l="1"/>
  <c r="F16" i="3" s="1"/>
  <c r="G16" i="3" s="1"/>
  <c r="E17" i="3" l="1"/>
  <c r="F17" i="3" s="1"/>
  <c r="G17" i="3" s="1"/>
  <c r="M6" i="3" l="1"/>
  <c r="E18" i="3"/>
  <c r="F18" i="3" l="1"/>
  <c r="G18" i="3" l="1"/>
  <c r="E19" i="3" l="1"/>
  <c r="F19" i="3" l="1"/>
  <c r="G19" i="3" l="1"/>
  <c r="E20" i="3" l="1"/>
  <c r="F20" i="3" l="1"/>
  <c r="G20" i="3" l="1"/>
  <c r="E21" i="3" l="1"/>
  <c r="F21" i="3" l="1"/>
  <c r="G21" i="3" l="1"/>
  <c r="E22" i="3" l="1"/>
  <c r="F22" i="3" s="1"/>
  <c r="G22" i="3" s="1"/>
  <c r="E23" i="3" l="1"/>
  <c r="F23" i="3" s="1"/>
  <c r="G23" i="3" s="1"/>
  <c r="E24" i="3" l="1"/>
  <c r="F24" i="3" s="1"/>
  <c r="G24" i="3" s="1"/>
  <c r="E25" i="3" l="1"/>
  <c r="F25" i="3" s="1"/>
  <c r="G25" i="3" s="1"/>
  <c r="E26" i="3" l="1"/>
  <c r="F26" i="3" s="1"/>
  <c r="G26" i="3" s="1"/>
  <c r="E27" i="3" l="1"/>
  <c r="F27" i="3" s="1"/>
  <c r="G27" i="3" s="1"/>
  <c r="E28" i="3" l="1"/>
  <c r="F28" i="3" s="1"/>
  <c r="G28" i="3" s="1"/>
  <c r="E29" i="3" l="1"/>
  <c r="F29" i="3" s="1"/>
  <c r="G29" i="3" s="1"/>
  <c r="M7" i="3" l="1"/>
  <c r="E30" i="3"/>
  <c r="F30" i="3" l="1"/>
  <c r="G30" i="3" l="1"/>
  <c r="E31" i="3" l="1"/>
  <c r="F31" i="3" l="1"/>
  <c r="G31" i="3" l="1"/>
  <c r="E32" i="3" l="1"/>
  <c r="F32" i="3" l="1"/>
  <c r="G32" i="3" l="1"/>
  <c r="E33" i="3" l="1"/>
  <c r="F33" i="3" l="1"/>
  <c r="G33" i="3" l="1"/>
  <c r="E34" i="3" l="1"/>
  <c r="F34" i="3" s="1"/>
  <c r="G34" i="3" s="1"/>
  <c r="E35" i="3" l="1"/>
  <c r="F35" i="3" s="1"/>
  <c r="G35" i="3" s="1"/>
  <c r="E36" i="3" l="1"/>
  <c r="F36" i="3" s="1"/>
  <c r="G36" i="3" s="1"/>
  <c r="E37" i="3" l="1"/>
  <c r="F37" i="3" s="1"/>
  <c r="G37" i="3" s="1"/>
  <c r="E38" i="3" l="1"/>
  <c r="F38" i="3" s="1"/>
  <c r="G38" i="3" s="1"/>
  <c r="E39" i="3" l="1"/>
  <c r="F39" i="3" s="1"/>
  <c r="G39" i="3" s="1"/>
  <c r="E40" i="3" l="1"/>
  <c r="F40" i="3" s="1"/>
  <c r="G40" i="3" s="1"/>
  <c r="E41" i="3" l="1"/>
  <c r="F41" i="3" s="1"/>
  <c r="G41" i="3"/>
  <c r="E42" i="3" l="1"/>
  <c r="M8" i="3"/>
  <c r="F42" i="3" l="1"/>
  <c r="G42" i="3" l="1"/>
  <c r="E43" i="3" l="1"/>
  <c r="F43" i="3" l="1"/>
  <c r="G43" i="3" l="1"/>
  <c r="E44" i="3" l="1"/>
  <c r="F44" i="3" l="1"/>
  <c r="G44" i="3" l="1"/>
  <c r="E45" i="3" l="1"/>
  <c r="F45" i="3" l="1"/>
  <c r="G45" i="3" l="1"/>
  <c r="E46" i="3" l="1"/>
  <c r="F46" i="3" s="1"/>
  <c r="G46" i="3" s="1"/>
  <c r="E47" i="3" l="1"/>
  <c r="F47" i="3" s="1"/>
  <c r="G47" i="3" s="1"/>
  <c r="E48" i="3" l="1"/>
  <c r="F48" i="3" s="1"/>
  <c r="G48" i="3" s="1"/>
  <c r="E49" i="3" l="1"/>
  <c r="F49" i="3" s="1"/>
  <c r="G49" i="3"/>
  <c r="E50" i="3" l="1"/>
  <c r="F50" i="3" s="1"/>
  <c r="G50" i="3" s="1"/>
  <c r="E51" i="3" l="1"/>
  <c r="F51" i="3" s="1"/>
  <c r="G51" i="3" s="1"/>
  <c r="E52" i="3" l="1"/>
  <c r="F52" i="3" s="1"/>
  <c r="G52" i="3" s="1"/>
  <c r="E53" i="3" l="1"/>
  <c r="F53" i="3" s="1"/>
  <c r="G53" i="3"/>
  <c r="E54" i="3" l="1"/>
  <c r="M9" i="3"/>
  <c r="F54" i="3" l="1"/>
  <c r="G54" i="3" l="1"/>
  <c r="E55" i="3" l="1"/>
  <c r="F55" i="3" l="1"/>
  <c r="G55" i="3" l="1"/>
  <c r="E56" i="3" l="1"/>
  <c r="F56" i="3" l="1"/>
  <c r="G56" i="3" l="1"/>
  <c r="E57" i="3" l="1"/>
  <c r="F57" i="3" l="1"/>
  <c r="G57" i="3" l="1"/>
  <c r="E58" i="3" l="1"/>
  <c r="F58" i="3" s="1"/>
  <c r="G58" i="3"/>
  <c r="E59" i="3" l="1"/>
  <c r="F59" i="3" s="1"/>
  <c r="G59" i="3" s="1"/>
  <c r="E60" i="3" l="1"/>
  <c r="F60" i="3" s="1"/>
  <c r="G60" i="3"/>
  <c r="E61" i="3" l="1"/>
  <c r="F61" i="3" s="1"/>
  <c r="G61" i="3"/>
  <c r="E62" i="3" l="1"/>
  <c r="F62" i="3" s="1"/>
  <c r="G62" i="3" s="1"/>
  <c r="E63" i="3" l="1"/>
  <c r="F63" i="3" s="1"/>
  <c r="G63" i="3" s="1"/>
  <c r="E64" i="3" l="1"/>
  <c r="F64" i="3" s="1"/>
  <c r="G64" i="3" s="1"/>
  <c r="E65" i="3" l="1"/>
  <c r="F65" i="3" s="1"/>
  <c r="G65" i="3" s="1"/>
  <c r="E66" i="3" l="1"/>
  <c r="M10" i="3"/>
  <c r="F66" i="3" l="1"/>
  <c r="G66" i="3" l="1"/>
  <c r="E67" i="3" l="1"/>
  <c r="F67" i="3" l="1"/>
  <c r="G67" i="3" l="1"/>
  <c r="E68" i="3" l="1"/>
  <c r="F68" i="3" l="1"/>
  <c r="G68" i="3" l="1"/>
  <c r="E69" i="3" l="1"/>
  <c r="F69" i="3" s="1"/>
  <c r="G69" i="3" s="1"/>
  <c r="E70" i="3" l="1"/>
  <c r="F70" i="3" s="1"/>
  <c r="G70" i="3" s="1"/>
  <c r="E71" i="3" l="1"/>
  <c r="F71" i="3" s="1"/>
  <c r="G71" i="3" s="1"/>
  <c r="E72" i="3" l="1"/>
  <c r="F72" i="3" s="1"/>
  <c r="G72" i="3" s="1"/>
  <c r="E73" i="3" l="1"/>
  <c r="F73" i="3" s="1"/>
  <c r="G73" i="3" s="1"/>
  <c r="E74" i="3" l="1"/>
  <c r="F74" i="3" s="1"/>
  <c r="G74" i="3" s="1"/>
  <c r="E75" i="3" l="1"/>
  <c r="F75" i="3" s="1"/>
  <c r="G75" i="3" s="1"/>
  <c r="E76" i="3" l="1"/>
  <c r="F76" i="3" s="1"/>
  <c r="G76" i="3"/>
  <c r="E77" i="3" l="1"/>
  <c r="F77" i="3" s="1"/>
  <c r="G77" i="3"/>
  <c r="E78" i="3" l="1"/>
  <c r="M11" i="3"/>
  <c r="F78" i="3" l="1"/>
  <c r="G78" i="3" l="1"/>
  <c r="E79" i="3" l="1"/>
  <c r="F79" i="3" l="1"/>
  <c r="G79" i="3" l="1"/>
  <c r="E80" i="3" l="1"/>
  <c r="F80" i="3" l="1"/>
  <c r="G80" i="3" l="1"/>
  <c r="E81" i="3" l="1"/>
  <c r="F81" i="3" l="1"/>
  <c r="G81" i="3" l="1"/>
  <c r="E82" i="3" l="1"/>
  <c r="F82" i="3" s="1"/>
  <c r="G82" i="3" s="1"/>
  <c r="E83" i="3" l="1"/>
  <c r="F83" i="3" s="1"/>
  <c r="G83" i="3" s="1"/>
  <c r="E84" i="3" l="1"/>
  <c r="F84" i="3" s="1"/>
  <c r="G84" i="3" s="1"/>
  <c r="E85" i="3" l="1"/>
  <c r="F85" i="3" s="1"/>
  <c r="G85" i="3"/>
  <c r="E86" i="3" l="1"/>
  <c r="F86" i="3" s="1"/>
  <c r="G86" i="3"/>
  <c r="E87" i="3" l="1"/>
  <c r="F87" i="3" s="1"/>
  <c r="G87" i="3" s="1"/>
  <c r="E88" i="3" l="1"/>
  <c r="F88" i="3" s="1"/>
  <c r="G88" i="3" s="1"/>
  <c r="E89" i="3" l="1"/>
  <c r="F89" i="3" s="1"/>
  <c r="G89" i="3"/>
  <c r="E90" i="3" l="1"/>
  <c r="M12" i="3"/>
  <c r="F90" i="3" l="1"/>
  <c r="G90" i="3" l="1"/>
  <c r="E91" i="3" l="1"/>
  <c r="F91" i="3" l="1"/>
  <c r="G91" i="3" l="1"/>
  <c r="E92" i="3" l="1"/>
  <c r="F92" i="3" l="1"/>
  <c r="G92" i="3" l="1"/>
  <c r="E93" i="3" l="1"/>
  <c r="F93" i="3" l="1"/>
  <c r="G93" i="3" l="1"/>
  <c r="E94" i="3" l="1"/>
  <c r="F94" i="3" s="1"/>
  <c r="G94" i="3" s="1"/>
  <c r="E95" i="3" l="1"/>
  <c r="F95" i="3" s="1"/>
  <c r="G95" i="3" s="1"/>
  <c r="E96" i="3" l="1"/>
  <c r="F96" i="3" s="1"/>
  <c r="G96" i="3" s="1"/>
  <c r="E97" i="3" l="1"/>
  <c r="F97" i="3" s="1"/>
  <c r="G97" i="3"/>
  <c r="E98" i="3" l="1"/>
  <c r="F98" i="3" s="1"/>
  <c r="G98" i="3"/>
  <c r="E99" i="3" l="1"/>
  <c r="F99" i="3" s="1"/>
  <c r="G99" i="3" s="1"/>
  <c r="E100" i="3" l="1"/>
  <c r="F100" i="3" s="1"/>
  <c r="G100" i="3" s="1"/>
  <c r="E101" i="3" l="1"/>
  <c r="F101" i="3" s="1"/>
  <c r="G101" i="3" s="1"/>
  <c r="E102" i="3" l="1"/>
  <c r="M13" i="3"/>
  <c r="F102" i="3" l="1"/>
  <c r="G102" i="3" l="1"/>
  <c r="E103" i="3" l="1"/>
  <c r="F103" i="3" l="1"/>
  <c r="G103" i="3" l="1"/>
  <c r="E104" i="3" l="1"/>
  <c r="F104" i="3" l="1"/>
  <c r="G104" i="3" l="1"/>
  <c r="E105" i="3" l="1"/>
  <c r="F105" i="3" l="1"/>
  <c r="G105" i="3" l="1"/>
  <c r="E106" i="3" l="1"/>
  <c r="F106" i="3" s="1"/>
  <c r="G106" i="3"/>
  <c r="E107" i="3" l="1"/>
  <c r="F107" i="3" s="1"/>
  <c r="G107" i="3" s="1"/>
  <c r="E108" i="3" l="1"/>
  <c r="F108" i="3" s="1"/>
  <c r="G108" i="3" s="1"/>
  <c r="E109" i="3" l="1"/>
  <c r="F109" i="3" s="1"/>
  <c r="G109" i="3" s="1"/>
  <c r="E110" i="3" l="1"/>
  <c r="F110" i="3" s="1"/>
  <c r="G110" i="3" s="1"/>
  <c r="E111" i="3" l="1"/>
  <c r="F111" i="3" s="1"/>
  <c r="G111" i="3" s="1"/>
  <c r="E112" i="3" l="1"/>
  <c r="F112" i="3" s="1"/>
  <c r="G112" i="3"/>
  <c r="E113" i="3" l="1"/>
  <c r="F113" i="3" s="1"/>
  <c r="G113" i="3"/>
  <c r="E114" i="3" l="1"/>
  <c r="M14" i="3"/>
  <c r="F114" i="3" l="1"/>
  <c r="G114" i="3" l="1"/>
  <c r="E115" i="3" l="1"/>
  <c r="F115" i="3" l="1"/>
  <c r="G115" i="3" l="1"/>
  <c r="E116" i="3" l="1"/>
  <c r="F116" i="3" l="1"/>
  <c r="G116" i="3" l="1"/>
  <c r="E117" i="3" l="1"/>
  <c r="F117" i="3" l="1"/>
  <c r="G117" i="3" l="1"/>
  <c r="E118" i="3" l="1"/>
  <c r="F118" i="3" s="1"/>
  <c r="G118" i="3" s="1"/>
  <c r="E119" i="3" l="1"/>
  <c r="F119" i="3" s="1"/>
  <c r="G119" i="3" s="1"/>
  <c r="E120" i="3" l="1"/>
  <c r="F120" i="3" s="1"/>
  <c r="G120" i="3"/>
  <c r="E121" i="3" l="1"/>
  <c r="F121" i="3" s="1"/>
  <c r="G121" i="3" s="1"/>
  <c r="E122" i="3" l="1"/>
  <c r="F122" i="3" s="1"/>
  <c r="G122" i="3"/>
  <c r="E123" i="3" l="1"/>
  <c r="F123" i="3" s="1"/>
  <c r="G123" i="3" s="1"/>
  <c r="E124" i="3" l="1"/>
  <c r="F124" i="3" s="1"/>
  <c r="G124" i="3" s="1"/>
  <c r="E125" i="3" l="1"/>
  <c r="F125" i="3" s="1"/>
  <c r="G125" i="3" s="1"/>
  <c r="E126" i="3" l="1"/>
  <c r="F126" i="3" s="1"/>
  <c r="G126" i="3" s="1"/>
  <c r="M15" i="3"/>
  <c r="C8" i="5" s="1"/>
  <c r="E127" i="3" l="1"/>
  <c r="F127" i="3" s="1"/>
  <c r="G127" i="3" s="1"/>
  <c r="C26" i="5"/>
  <c r="C9" i="5"/>
  <c r="E128" i="3" l="1"/>
  <c r="F128" i="3" s="1"/>
  <c r="G128" i="3"/>
  <c r="E16" i="1"/>
  <c r="M13" i="5"/>
  <c r="C20" i="5" l="1"/>
  <c r="G13" i="1" s="1"/>
  <c r="C22" i="5"/>
  <c r="B16" i="1" s="1"/>
  <c r="C29" i="5"/>
  <c r="E129" i="3"/>
  <c r="F129" i="3" s="1"/>
  <c r="G129" i="3" s="1"/>
  <c r="C25" i="5"/>
  <c r="C28" i="5" s="1"/>
  <c r="E130" i="3" l="1"/>
  <c r="F130" i="3" s="1"/>
  <c r="G130" i="3" s="1"/>
  <c r="E131" i="3" l="1"/>
  <c r="F131" i="3" s="1"/>
  <c r="G131" i="3" s="1"/>
  <c r="E132" i="3" l="1"/>
  <c r="F132" i="3" s="1"/>
  <c r="G132" i="3" s="1"/>
  <c r="E133" i="3" l="1"/>
  <c r="F133" i="3" s="1"/>
  <c r="G133" i="3" s="1"/>
  <c r="E134" i="3" l="1"/>
  <c r="F134" i="3" s="1"/>
  <c r="G134" i="3" s="1"/>
  <c r="E135" i="3" l="1"/>
  <c r="F135" i="3" s="1"/>
  <c r="G135" i="3" s="1"/>
  <c r="E136" i="3" l="1"/>
  <c r="F136" i="3" s="1"/>
  <c r="G136" i="3"/>
  <c r="E137" i="3" l="1"/>
  <c r="F137" i="3" s="1"/>
  <c r="G137" i="3"/>
  <c r="E138" i="3" l="1"/>
  <c r="F138" i="3" s="1"/>
  <c r="G138" i="3"/>
  <c r="E139" i="3" l="1"/>
  <c r="F139" i="3" s="1"/>
  <c r="G139" i="3" s="1"/>
  <c r="E140" i="3" l="1"/>
  <c r="F140" i="3" s="1"/>
  <c r="G140" i="3" s="1"/>
  <c r="E141" i="3" l="1"/>
  <c r="F141" i="3" s="1"/>
  <c r="G141" i="3" s="1"/>
  <c r="E142" i="3" l="1"/>
  <c r="F142" i="3" s="1"/>
  <c r="G142" i="3" s="1"/>
  <c r="E143" i="3" l="1"/>
  <c r="F143" i="3" s="1"/>
  <c r="G143" i="3" s="1"/>
  <c r="E144" i="3" l="1"/>
  <c r="F144" i="3" s="1"/>
  <c r="G144" i="3"/>
  <c r="E145" i="3" l="1"/>
  <c r="F145" i="3" s="1"/>
  <c r="G145" i="3"/>
  <c r="E146" i="3" l="1"/>
  <c r="F146" i="3" s="1"/>
  <c r="G146" i="3" s="1"/>
  <c r="E147" i="3" l="1"/>
  <c r="F147" i="3" s="1"/>
  <c r="G147" i="3" s="1"/>
  <c r="E148" i="3" l="1"/>
  <c r="F148" i="3" s="1"/>
  <c r="G148" i="3" s="1"/>
  <c r="E149" i="3" l="1"/>
  <c r="F149" i="3" s="1"/>
  <c r="G149" i="3" s="1"/>
  <c r="E150" i="3" l="1"/>
  <c r="F150" i="3" s="1"/>
  <c r="G150" i="3" s="1"/>
  <c r="E151" i="3" l="1"/>
  <c r="F151" i="3" s="1"/>
  <c r="G151" i="3" s="1"/>
  <c r="E152" i="3" l="1"/>
  <c r="F152" i="3" s="1"/>
  <c r="G152" i="3" s="1"/>
  <c r="E153" i="3" l="1"/>
  <c r="F153" i="3" s="1"/>
  <c r="G153" i="3"/>
  <c r="E154" i="3" l="1"/>
  <c r="F154" i="3" s="1"/>
  <c r="G154" i="3"/>
  <c r="E155" i="3" l="1"/>
  <c r="F155" i="3" s="1"/>
  <c r="G155" i="3" s="1"/>
  <c r="E156" i="3" l="1"/>
  <c r="F156" i="3" s="1"/>
  <c r="G156" i="3" s="1"/>
  <c r="E157" i="3" l="1"/>
  <c r="F157" i="3" s="1"/>
  <c r="G157" i="3" s="1"/>
  <c r="E158" i="3" l="1"/>
  <c r="F158" i="3" s="1"/>
  <c r="G158" i="3" s="1"/>
  <c r="E159" i="3" l="1"/>
  <c r="F159" i="3" s="1"/>
  <c r="G159" i="3" s="1"/>
  <c r="E160" i="3" l="1"/>
  <c r="F160" i="3" s="1"/>
  <c r="G160" i="3" s="1"/>
  <c r="E161" i="3" l="1"/>
  <c r="F161" i="3" s="1"/>
  <c r="G161" i="3"/>
  <c r="E162" i="3" l="1"/>
  <c r="F162" i="3" s="1"/>
  <c r="G162" i="3" s="1"/>
  <c r="E163" i="3" l="1"/>
  <c r="F163" i="3" s="1"/>
  <c r="G163" i="3" s="1"/>
  <c r="E164" i="3" l="1"/>
  <c r="F164" i="3" s="1"/>
  <c r="G164" i="3" s="1"/>
  <c r="E165" i="3" l="1"/>
  <c r="F165" i="3" s="1"/>
  <c r="G165" i="3" s="1"/>
  <c r="E166" i="3" l="1"/>
  <c r="F166" i="3" s="1"/>
  <c r="G166" i="3" s="1"/>
  <c r="E167" i="3" l="1"/>
  <c r="F167" i="3" s="1"/>
  <c r="G167" i="3" s="1"/>
  <c r="E168" i="3" l="1"/>
  <c r="F168" i="3" s="1"/>
  <c r="G168" i="3" s="1"/>
  <c r="E169" i="3" l="1"/>
  <c r="F169" i="3" s="1"/>
  <c r="G169" i="3" s="1"/>
  <c r="E170" i="3" l="1"/>
  <c r="F170" i="3" s="1"/>
  <c r="G170" i="3"/>
  <c r="E171" i="3" l="1"/>
  <c r="F171" i="3" s="1"/>
  <c r="G171" i="3" s="1"/>
  <c r="E172" i="3" l="1"/>
  <c r="F172" i="3" s="1"/>
  <c r="G172" i="3" s="1"/>
  <c r="E173" i="3" l="1"/>
  <c r="F173" i="3" s="1"/>
  <c r="G173" i="3" s="1"/>
  <c r="E174" i="3" l="1"/>
  <c r="F174" i="3" s="1"/>
  <c r="G174" i="3"/>
  <c r="E175" i="3" l="1"/>
  <c r="F175" i="3" s="1"/>
  <c r="G175" i="3" s="1"/>
  <c r="E176" i="3" l="1"/>
  <c r="F176" i="3" s="1"/>
  <c r="G176" i="3"/>
  <c r="E177" i="3" l="1"/>
  <c r="F177" i="3" s="1"/>
  <c r="G177" i="3" s="1"/>
  <c r="E178" i="3" l="1"/>
  <c r="F178" i="3" s="1"/>
  <c r="G178" i="3" s="1"/>
  <c r="E179" i="3" l="1"/>
  <c r="F179" i="3" s="1"/>
  <c r="G179" i="3" s="1"/>
  <c r="E180" i="3" l="1"/>
  <c r="F180" i="3" s="1"/>
  <c r="G180" i="3" s="1"/>
  <c r="E181" i="3" l="1"/>
  <c r="F181" i="3" s="1"/>
  <c r="G181" i="3" s="1"/>
  <c r="E182" i="3" l="1"/>
  <c r="F182" i="3" s="1"/>
  <c r="G182" i="3" s="1"/>
  <c r="E183" i="3" l="1"/>
  <c r="F183" i="3" s="1"/>
  <c r="G183" i="3" s="1"/>
  <c r="E184" i="3" l="1"/>
  <c r="F184" i="3" s="1"/>
  <c r="G184" i="3"/>
  <c r="E185" i="3" l="1"/>
  <c r="F185" i="3" s="1"/>
  <c r="G185" i="3" s="1"/>
  <c r="E186" i="3" l="1"/>
  <c r="F186" i="3" s="1"/>
  <c r="G186" i="3" s="1"/>
  <c r="E187" i="3" l="1"/>
  <c r="F187" i="3" s="1"/>
  <c r="G187" i="3" s="1"/>
  <c r="E188" i="3" l="1"/>
  <c r="F188" i="3" s="1"/>
  <c r="G188" i="3" s="1"/>
  <c r="E189" i="3" l="1"/>
  <c r="F189" i="3" s="1"/>
  <c r="G189" i="3"/>
  <c r="E190" i="3" l="1"/>
  <c r="F190" i="3" s="1"/>
  <c r="G190" i="3" s="1"/>
  <c r="E191" i="3" l="1"/>
  <c r="F191" i="3" s="1"/>
  <c r="G191" i="3" s="1"/>
  <c r="E192" i="3" l="1"/>
  <c r="F192" i="3" s="1"/>
  <c r="G192" i="3" s="1"/>
  <c r="E193" i="3" l="1"/>
  <c r="F193" i="3" s="1"/>
  <c r="G193" i="3" s="1"/>
  <c r="E194" i="3" l="1"/>
  <c r="F194" i="3" s="1"/>
  <c r="G194" i="3" s="1"/>
  <c r="E195" i="3" l="1"/>
  <c r="F195" i="3" s="1"/>
  <c r="G195" i="3" s="1"/>
  <c r="E196" i="3" l="1"/>
  <c r="F196" i="3" s="1"/>
  <c r="G196" i="3" s="1"/>
  <c r="E197" i="3" l="1"/>
  <c r="F197" i="3" s="1"/>
  <c r="G197" i="3"/>
  <c r="E198" i="3" l="1"/>
  <c r="F198" i="3" s="1"/>
  <c r="G198" i="3" s="1"/>
  <c r="E199" i="3" l="1"/>
  <c r="F199" i="3" s="1"/>
  <c r="G199" i="3" s="1"/>
  <c r="E200" i="3" l="1"/>
  <c r="F200" i="3" s="1"/>
  <c r="G200" i="3" s="1"/>
  <c r="E201" i="3" l="1"/>
  <c r="F201" i="3" s="1"/>
  <c r="G201" i="3" s="1"/>
  <c r="E202" i="3" l="1"/>
  <c r="F202" i="3" s="1"/>
  <c r="G202" i="3" s="1"/>
  <c r="E203" i="3" l="1"/>
  <c r="F203" i="3" s="1"/>
  <c r="G203" i="3" s="1"/>
  <c r="E204" i="3" l="1"/>
  <c r="F204" i="3" s="1"/>
  <c r="G204" i="3" s="1"/>
  <c r="E205" i="3" l="1"/>
  <c r="F205" i="3" s="1"/>
  <c r="G205" i="3"/>
  <c r="E206" i="3" l="1"/>
  <c r="F206" i="3" s="1"/>
  <c r="G206" i="3" s="1"/>
  <c r="E207" i="3" l="1"/>
  <c r="F207" i="3" s="1"/>
  <c r="G207" i="3" s="1"/>
  <c r="E208" i="3" l="1"/>
  <c r="F208" i="3" s="1"/>
  <c r="G208" i="3" s="1"/>
  <c r="E209" i="3" l="1"/>
  <c r="F209" i="3" s="1"/>
  <c r="G209" i="3" s="1"/>
  <c r="E210" i="3" l="1"/>
  <c r="F210" i="3" s="1"/>
  <c r="G210" i="3" s="1"/>
  <c r="E211" i="3" l="1"/>
  <c r="F211" i="3" s="1"/>
  <c r="G211" i="3" s="1"/>
  <c r="E212" i="3" l="1"/>
  <c r="F212" i="3" s="1"/>
  <c r="G212" i="3" s="1"/>
  <c r="E213" i="3" l="1"/>
  <c r="F213" i="3" s="1"/>
  <c r="G213" i="3"/>
  <c r="E214" i="3" l="1"/>
  <c r="F214" i="3" s="1"/>
  <c r="G214" i="3" s="1"/>
  <c r="E215" i="3" l="1"/>
  <c r="F215" i="3" s="1"/>
  <c r="G215" i="3"/>
  <c r="E216" i="3" l="1"/>
  <c r="F216" i="3" s="1"/>
  <c r="G216" i="3"/>
  <c r="E217" i="3" l="1"/>
  <c r="F217" i="3" s="1"/>
  <c r="G217" i="3" s="1"/>
  <c r="E218" i="3" l="1"/>
  <c r="F218" i="3" s="1"/>
  <c r="G218" i="3" s="1"/>
  <c r="E219" i="3" l="1"/>
  <c r="F219" i="3" s="1"/>
  <c r="G219" i="3" s="1"/>
  <c r="E220" i="3" l="1"/>
  <c r="F220" i="3" s="1"/>
  <c r="G220" i="3" s="1"/>
  <c r="E221" i="3" l="1"/>
  <c r="F221" i="3" s="1"/>
  <c r="G221" i="3" s="1"/>
  <c r="E222" i="3" l="1"/>
  <c r="F222" i="3" s="1"/>
  <c r="G222" i="3" s="1"/>
  <c r="E223" i="3" l="1"/>
  <c r="F223" i="3" s="1"/>
  <c r="G223" i="3"/>
  <c r="E224" i="3" l="1"/>
  <c r="F224" i="3" s="1"/>
  <c r="G224" i="3" s="1"/>
  <c r="E225" i="3" l="1"/>
  <c r="F225" i="3" s="1"/>
  <c r="G225" i="3" s="1"/>
  <c r="E226" i="3" l="1"/>
  <c r="F226" i="3" s="1"/>
  <c r="G226" i="3"/>
  <c r="E227" i="3" l="1"/>
  <c r="F227" i="3" s="1"/>
  <c r="G227" i="3" s="1"/>
  <c r="E228" i="3" l="1"/>
  <c r="F228" i="3" s="1"/>
  <c r="G228" i="3" s="1"/>
  <c r="E229" i="3" l="1"/>
  <c r="F229" i="3" s="1"/>
  <c r="G229" i="3" s="1"/>
  <c r="E230" i="3" l="1"/>
  <c r="F230" i="3" s="1"/>
  <c r="G230" i="3" s="1"/>
  <c r="E231" i="3" l="1"/>
  <c r="F231" i="3" s="1"/>
  <c r="G231" i="3"/>
  <c r="E232" i="3" l="1"/>
  <c r="F232" i="3" s="1"/>
  <c r="G232" i="3" s="1"/>
  <c r="E233" i="3" l="1"/>
  <c r="F233" i="3" s="1"/>
  <c r="G233" i="3" s="1"/>
  <c r="E234" i="3" l="1"/>
  <c r="F234" i="3" s="1"/>
  <c r="G234" i="3" s="1"/>
  <c r="E235" i="3" l="1"/>
  <c r="F235" i="3" s="1"/>
  <c r="G235" i="3" s="1"/>
  <c r="E236" i="3" l="1"/>
  <c r="F236" i="3" s="1"/>
  <c r="G236" i="3"/>
  <c r="E237" i="3" l="1"/>
  <c r="F237" i="3" s="1"/>
  <c r="G237" i="3" s="1"/>
  <c r="E238" i="3" l="1"/>
  <c r="F238" i="3" s="1"/>
  <c r="G238" i="3" s="1"/>
  <c r="E239" i="3" l="1"/>
  <c r="F239" i="3" s="1"/>
  <c r="G239" i="3"/>
  <c r="E240" i="3" l="1"/>
  <c r="F240" i="3" s="1"/>
  <c r="G240" i="3" s="1"/>
  <c r="E241" i="3" l="1"/>
  <c r="F241" i="3" s="1"/>
  <c r="G241" i="3" s="1"/>
  <c r="E242" i="3" l="1"/>
  <c r="F242" i="3" s="1"/>
  <c r="G242" i="3"/>
  <c r="E243" i="3" l="1"/>
  <c r="F243" i="3" s="1"/>
  <c r="G243" i="3" s="1"/>
  <c r="E244" i="3" l="1"/>
  <c r="F244" i="3" s="1"/>
  <c r="G244" i="3" s="1"/>
  <c r="E245" i="3" l="1"/>
  <c r="F245" i="3" s="1"/>
  <c r="G245" i="3" s="1"/>
  <c r="E246" i="3" l="1"/>
  <c r="F246" i="3" s="1"/>
  <c r="G246" i="3"/>
  <c r="E247" i="3" l="1"/>
  <c r="F247" i="3" s="1"/>
  <c r="G247" i="3"/>
  <c r="E248" i="3" l="1"/>
  <c r="F248" i="3" s="1"/>
  <c r="G248" i="3" s="1"/>
  <c r="E249" i="3" l="1"/>
  <c r="F249" i="3" s="1"/>
  <c r="G249" i="3" s="1"/>
  <c r="E250" i="3" l="1"/>
  <c r="F250" i="3" s="1"/>
  <c r="G250" i="3"/>
  <c r="E251" i="3" l="1"/>
  <c r="F251" i="3" s="1"/>
  <c r="G251" i="3" s="1"/>
  <c r="E252" i="3" l="1"/>
  <c r="F252" i="3" s="1"/>
  <c r="G252" i="3" s="1"/>
  <c r="E253" i="3" l="1"/>
  <c r="F253" i="3" s="1"/>
  <c r="G253" i="3" s="1"/>
  <c r="E254" i="3" l="1"/>
  <c r="F254" i="3" s="1"/>
  <c r="G254" i="3" s="1"/>
  <c r="E255" i="3" l="1"/>
  <c r="F255" i="3" s="1"/>
  <c r="G255" i="3"/>
  <c r="E256" i="3" l="1"/>
  <c r="F256" i="3" s="1"/>
  <c r="G256" i="3" s="1"/>
  <c r="E257" i="3" l="1"/>
  <c r="F257" i="3" s="1"/>
  <c r="G257" i="3" s="1"/>
  <c r="E258" i="3" l="1"/>
  <c r="F258" i="3" s="1"/>
  <c r="G258" i="3" s="1"/>
  <c r="E259" i="3" l="1"/>
  <c r="F259" i="3" s="1"/>
  <c r="G259" i="3" s="1"/>
  <c r="E260" i="3" l="1"/>
  <c r="F260" i="3" s="1"/>
  <c r="G260" i="3" s="1"/>
  <c r="E261" i="3" l="1"/>
  <c r="F261" i="3" s="1"/>
  <c r="G261" i="3" s="1"/>
  <c r="E262" i="3" l="1"/>
  <c r="F262" i="3" s="1"/>
  <c r="G262" i="3"/>
  <c r="E263" i="3" l="1"/>
  <c r="F263" i="3" s="1"/>
  <c r="G263" i="3"/>
  <c r="E264" i="3" l="1"/>
  <c r="F264" i="3" s="1"/>
  <c r="G264" i="3" s="1"/>
  <c r="E265" i="3" l="1"/>
  <c r="F265" i="3" s="1"/>
  <c r="G265" i="3" s="1"/>
  <c r="E266" i="3" l="1"/>
  <c r="F266" i="3" s="1"/>
  <c r="G266" i="3"/>
  <c r="E267" i="3" l="1"/>
  <c r="F267" i="3" s="1"/>
  <c r="G267" i="3" s="1"/>
  <c r="E268" i="3" l="1"/>
  <c r="F268" i="3" s="1"/>
  <c r="G268" i="3"/>
  <c r="E269" i="3" l="1"/>
  <c r="F269" i="3" s="1"/>
  <c r="G269" i="3" s="1"/>
  <c r="E270" i="3" l="1"/>
  <c r="F270" i="3" s="1"/>
  <c r="G270" i="3" s="1"/>
  <c r="E271" i="3" l="1"/>
  <c r="F271" i="3" s="1"/>
  <c r="G271" i="3"/>
  <c r="E272" i="3" l="1"/>
  <c r="F272" i="3" s="1"/>
  <c r="G272" i="3" s="1"/>
  <c r="E273" i="3" l="1"/>
  <c r="F273" i="3" s="1"/>
  <c r="G273" i="3" s="1"/>
  <c r="E274" i="3" l="1"/>
  <c r="F274" i="3" s="1"/>
  <c r="G274" i="3" s="1"/>
  <c r="E275" i="3" l="1"/>
  <c r="F275" i="3" s="1"/>
  <c r="G275" i="3" s="1"/>
  <c r="E276" i="3" l="1"/>
  <c r="F276" i="3" s="1"/>
  <c r="G276" i="3" s="1"/>
  <c r="E277" i="3" l="1"/>
  <c r="F277" i="3" s="1"/>
  <c r="G277" i="3" s="1"/>
  <c r="E278" i="3" l="1"/>
  <c r="F278" i="3" s="1"/>
  <c r="G278" i="3"/>
  <c r="E279" i="3" l="1"/>
  <c r="F279" i="3" s="1"/>
  <c r="G279" i="3" s="1"/>
  <c r="E280" i="3" l="1"/>
  <c r="F280" i="3" s="1"/>
  <c r="G280" i="3" s="1"/>
  <c r="E281" i="3" l="1"/>
  <c r="F281" i="3" s="1"/>
  <c r="G281" i="3" s="1"/>
  <c r="E282" i="3" l="1"/>
  <c r="F282" i="3" s="1"/>
  <c r="G282" i="3"/>
  <c r="E283" i="3" l="1"/>
  <c r="F283" i="3" s="1"/>
  <c r="G283" i="3"/>
  <c r="E284" i="3" l="1"/>
  <c r="F284" i="3" s="1"/>
  <c r="G284" i="3" s="1"/>
  <c r="E285" i="3" l="1"/>
  <c r="F285" i="3" s="1"/>
  <c r="G285" i="3" s="1"/>
  <c r="E286" i="3" l="1"/>
  <c r="F286" i="3" s="1"/>
  <c r="G286" i="3"/>
  <c r="E287" i="3" l="1"/>
  <c r="F287" i="3" s="1"/>
  <c r="G287" i="3"/>
  <c r="E288" i="3" l="1"/>
  <c r="F288" i="3" s="1"/>
  <c r="G288" i="3" s="1"/>
  <c r="E289" i="3" l="1"/>
  <c r="F289" i="3" s="1"/>
  <c r="G289" i="3" s="1"/>
  <c r="E290" i="3" l="1"/>
  <c r="F290" i="3" s="1"/>
  <c r="G290" i="3"/>
  <c r="E291" i="3" l="1"/>
  <c r="F291" i="3" s="1"/>
  <c r="G291" i="3"/>
  <c r="E292" i="3" l="1"/>
  <c r="F292" i="3" s="1"/>
  <c r="G292" i="3" s="1"/>
  <c r="E293" i="3" l="1"/>
  <c r="F293" i="3" s="1"/>
  <c r="G293" i="3" s="1"/>
  <c r="E294" i="3" l="1"/>
  <c r="F294" i="3" s="1"/>
  <c r="G294" i="3"/>
  <c r="E295" i="3" l="1"/>
  <c r="F295" i="3" s="1"/>
  <c r="G295" i="3"/>
  <c r="E296" i="3" l="1"/>
  <c r="F296" i="3" s="1"/>
  <c r="G296" i="3" s="1"/>
  <c r="E297" i="3" l="1"/>
  <c r="F297" i="3" s="1"/>
  <c r="G297" i="3" s="1"/>
  <c r="E298" i="3" l="1"/>
  <c r="F298" i="3" s="1"/>
  <c r="G298" i="3" s="1"/>
  <c r="E299" i="3" l="1"/>
  <c r="F299" i="3" s="1"/>
  <c r="G299" i="3"/>
  <c r="E300" i="3" l="1"/>
  <c r="F300" i="3" s="1"/>
  <c r="G300" i="3" s="1"/>
  <c r="E301" i="3" l="1"/>
  <c r="F301" i="3" s="1"/>
  <c r="G301" i="3" s="1"/>
  <c r="E302" i="3" l="1"/>
  <c r="F302" i="3" s="1"/>
  <c r="G302" i="3" s="1"/>
  <c r="E303" i="3" l="1"/>
  <c r="F303" i="3" s="1"/>
  <c r="G303" i="3"/>
  <c r="E304" i="3" l="1"/>
  <c r="F304" i="3" s="1"/>
  <c r="G304" i="3" s="1"/>
  <c r="E305" i="3" l="1"/>
  <c r="F305" i="3" s="1"/>
  <c r="G305" i="3" s="1"/>
  <c r="E306" i="3" l="1"/>
  <c r="F306" i="3" s="1"/>
  <c r="G306" i="3"/>
  <c r="E307" i="3" l="1"/>
  <c r="F307" i="3" s="1"/>
  <c r="G307" i="3"/>
  <c r="E308" i="3" l="1"/>
  <c r="F308" i="3" s="1"/>
  <c r="G308" i="3" s="1"/>
  <c r="E309" i="3" l="1"/>
  <c r="F309" i="3" s="1"/>
  <c r="G309" i="3" s="1"/>
  <c r="E310" i="3" l="1"/>
  <c r="F310" i="3" s="1"/>
  <c r="G310" i="3"/>
  <c r="E311" i="3" l="1"/>
  <c r="F311" i="3" s="1"/>
  <c r="G311" i="3" s="1"/>
  <c r="E312" i="3" l="1"/>
  <c r="F312" i="3" s="1"/>
  <c r="G312" i="3" s="1"/>
  <c r="E313" i="3" l="1"/>
  <c r="F313" i="3" s="1"/>
  <c r="G313" i="3" s="1"/>
  <c r="E314" i="3" l="1"/>
  <c r="F314" i="3" s="1"/>
  <c r="G314" i="3"/>
  <c r="E315" i="3" l="1"/>
  <c r="F315" i="3" s="1"/>
  <c r="G315" i="3"/>
  <c r="E316" i="3" l="1"/>
  <c r="F316" i="3" s="1"/>
  <c r="G316" i="3" s="1"/>
  <c r="E317" i="3" l="1"/>
  <c r="F317" i="3" s="1"/>
  <c r="G317" i="3" s="1"/>
  <c r="E318" i="3" l="1"/>
  <c r="F318" i="3" s="1"/>
  <c r="G318" i="3"/>
  <c r="E319" i="3" l="1"/>
  <c r="F319" i="3" s="1"/>
  <c r="G319" i="3"/>
  <c r="E320" i="3" l="1"/>
  <c r="F320" i="3" s="1"/>
  <c r="G320" i="3" s="1"/>
  <c r="E321" i="3" l="1"/>
  <c r="F321" i="3" s="1"/>
  <c r="G321" i="3" s="1"/>
  <c r="E322" i="3" l="1"/>
  <c r="F322" i="3" s="1"/>
  <c r="G322" i="3"/>
  <c r="E323" i="3" l="1"/>
  <c r="F323" i="3" s="1"/>
  <c r="G323" i="3"/>
  <c r="E324" i="3" l="1"/>
  <c r="F324" i="3" s="1"/>
  <c r="G324" i="3" s="1"/>
  <c r="E325" i="3" l="1"/>
  <c r="F325" i="3" s="1"/>
  <c r="G325" i="3" s="1"/>
  <c r="E326" i="3" l="1"/>
  <c r="F326" i="3" s="1"/>
  <c r="G326" i="3" s="1"/>
  <c r="E327" i="3" l="1"/>
  <c r="F327" i="3" s="1"/>
  <c r="G327" i="3"/>
  <c r="E328" i="3" l="1"/>
  <c r="F328" i="3" s="1"/>
  <c r="G328" i="3" s="1"/>
  <c r="E329" i="3" l="1"/>
  <c r="F329" i="3" s="1"/>
  <c r="G329" i="3" s="1"/>
  <c r="E330" i="3" l="1"/>
  <c r="F330" i="3" s="1"/>
  <c r="G330" i="3" s="1"/>
  <c r="E331" i="3" l="1"/>
  <c r="F331" i="3" s="1"/>
  <c r="G331" i="3"/>
  <c r="E332" i="3" l="1"/>
  <c r="F332" i="3" s="1"/>
  <c r="G332" i="3" s="1"/>
  <c r="E333" i="3" l="1"/>
  <c r="F333" i="3" s="1"/>
  <c r="G333" i="3" s="1"/>
  <c r="E334" i="3" l="1"/>
  <c r="F334" i="3" s="1"/>
  <c r="G334" i="3"/>
  <c r="E335" i="3" l="1"/>
  <c r="F335" i="3" s="1"/>
  <c r="G335" i="3"/>
  <c r="E336" i="3" l="1"/>
  <c r="F336" i="3" s="1"/>
  <c r="G336" i="3" s="1"/>
  <c r="E337" i="3" l="1"/>
  <c r="F337" i="3" s="1"/>
  <c r="G337" i="3" s="1"/>
  <c r="E338" i="3" l="1"/>
  <c r="F338" i="3" s="1"/>
  <c r="G338" i="3" s="1"/>
  <c r="E339" i="3" l="1"/>
  <c r="F339" i="3" s="1"/>
  <c r="G339" i="3"/>
  <c r="E340" i="3" l="1"/>
  <c r="F340" i="3" s="1"/>
  <c r="G340" i="3" s="1"/>
  <c r="E341" i="3" l="1"/>
  <c r="F341" i="3" s="1"/>
  <c r="G341" i="3" s="1"/>
  <c r="E342" i="3" l="1"/>
  <c r="F342" i="3" s="1"/>
  <c r="G342" i="3"/>
  <c r="E343" i="3" l="1"/>
  <c r="F343" i="3" s="1"/>
  <c r="G343" i="3"/>
  <c r="E344" i="3" l="1"/>
  <c r="F344" i="3" s="1"/>
  <c r="G344" i="3" s="1"/>
  <c r="E345" i="3" l="1"/>
  <c r="F345" i="3" s="1"/>
  <c r="G345" i="3" s="1"/>
  <c r="E346" i="3" l="1"/>
  <c r="F346" i="3" s="1"/>
  <c r="G346" i="3" s="1"/>
  <c r="E347" i="3" l="1"/>
  <c r="F347" i="3" s="1"/>
  <c r="G347" i="3"/>
  <c r="E348" i="3" l="1"/>
  <c r="F348" i="3" s="1"/>
  <c r="G348" i="3" s="1"/>
  <c r="E349" i="3" l="1"/>
  <c r="F349" i="3" s="1"/>
  <c r="G349" i="3" s="1"/>
  <c r="E350" i="3" l="1"/>
  <c r="F350" i="3" s="1"/>
  <c r="G350" i="3"/>
  <c r="E351" i="3" l="1"/>
  <c r="F351" i="3" s="1"/>
  <c r="G351" i="3"/>
  <c r="E352" i="3" l="1"/>
  <c r="F352" i="3" s="1"/>
  <c r="G352" i="3" s="1"/>
  <c r="E353" i="3" l="1"/>
  <c r="F353" i="3" s="1"/>
  <c r="G353" i="3" s="1"/>
  <c r="E354" i="3" l="1"/>
  <c r="F354" i="3" s="1"/>
  <c r="G354" i="3"/>
  <c r="E355" i="3" l="1"/>
  <c r="F355" i="3" s="1"/>
  <c r="G355" i="3" s="1"/>
  <c r="E356" i="3" l="1"/>
  <c r="F356" i="3" s="1"/>
  <c r="G356" i="3" s="1"/>
  <c r="E357" i="3" l="1"/>
  <c r="F357" i="3" s="1"/>
  <c r="G357" i="3" s="1"/>
  <c r="E358" i="3" l="1"/>
  <c r="F358" i="3" s="1"/>
  <c r="G358" i="3"/>
  <c r="E359" i="3" l="1"/>
  <c r="F359" i="3" s="1"/>
  <c r="G359" i="3"/>
  <c r="E360" i="3" l="1"/>
  <c r="F360" i="3" s="1"/>
  <c r="G360" i="3" s="1"/>
  <c r="E361" i="3" l="1"/>
  <c r="F361" i="3" s="1"/>
  <c r="G361" i="3" s="1"/>
  <c r="E362" i="3" l="1"/>
  <c r="F362" i="3" s="1"/>
  <c r="G362" i="3"/>
  <c r="E363" i="3" l="1"/>
  <c r="F363" i="3" s="1"/>
  <c r="G363" i="3" s="1"/>
  <c r="E364" i="3" l="1"/>
  <c r="F364" i="3" s="1"/>
  <c r="G364" i="3" s="1"/>
  <c r="E365" i="3" l="1"/>
  <c r="F365" i="3" l="1"/>
  <c r="K6" i="3"/>
  <c r="K7" i="3"/>
  <c r="K8" i="3"/>
  <c r="K9" i="3"/>
  <c r="K10" i="3"/>
  <c r="K11" i="3"/>
  <c r="K12" i="3"/>
  <c r="K13" i="3"/>
  <c r="K14" i="3"/>
  <c r="K15" i="3"/>
  <c r="L6" i="3" l="1"/>
  <c r="L7" i="3"/>
  <c r="L8" i="3"/>
  <c r="L9" i="3"/>
  <c r="L10" i="3"/>
  <c r="L11" i="3"/>
  <c r="L12" i="3"/>
  <c r="L13" i="3"/>
  <c r="L14" i="3"/>
  <c r="L15" i="3"/>
  <c r="G365" i="3"/>
</calcChain>
</file>

<file path=xl/sharedStrings.xml><?xml version="1.0" encoding="utf-8"?>
<sst xmlns="http://schemas.openxmlformats.org/spreadsheetml/2006/main" count="193" uniqueCount="177">
  <si>
    <t>TEXAS SFR INVESTMENT MODEL</t>
  </si>
  <si>
    <t>122 S Gulls Cut, Baytown, TX 77523  |  Single-Family Rental Acquisition Analysis</t>
  </si>
  <si>
    <t>PROPERTY SNAPSHOT</t>
  </si>
  <si>
    <t>Address</t>
  </si>
  <si>
    <t>122 S Gulls Cut, Baytown, TX 77523 (Bay Oaks Harbor)</t>
  </si>
  <si>
    <t>Beds / Baths</t>
  </si>
  <si>
    <t>3 / 2</t>
  </si>
  <si>
    <t>Square Footage</t>
  </si>
  <si>
    <t>Year Built</t>
  </si>
  <si>
    <t>Subdivision</t>
  </si>
  <si>
    <t>Bay Oaks Harbor Amd</t>
  </si>
  <si>
    <t>List Price</t>
  </si>
  <si>
    <t>$ / Square Foot</t>
  </si>
  <si>
    <t>Market Rent (mo.)</t>
  </si>
  <si>
    <t>KEY PERFORMANCE INDICATORS - YEAR 1 / 10-YEAR HOLD</t>
  </si>
  <si>
    <t>Year-1 Cap Rate</t>
  </si>
  <si>
    <t>Cash-on-Cash Yr 1</t>
  </si>
  <si>
    <t>DSCR Year 1</t>
  </si>
  <si>
    <t>Monthly Cash Flow Yr 1</t>
  </si>
  <si>
    <t>Breakeven Rent</t>
  </si>
  <si>
    <t>10-Yr Levered IRR</t>
  </si>
  <si>
    <t>10-Yr Unlevered IRR</t>
  </si>
  <si>
    <t>Equity Multiple</t>
  </si>
  <si>
    <t>Year-1 NOI</t>
  </si>
  <si>
    <t>Projected Sale Price (Exit Yr)</t>
  </si>
  <si>
    <t>Net Sale Proceeds</t>
  </si>
  <si>
    <t>Total Cash Invested</t>
  </si>
  <si>
    <t>Exit Year (toggle)</t>
  </si>
  <si>
    <t>BUY-BOX VERDICT</t>
  </si>
  <si>
    <t>Verdict (vs. CoC &amp; DSCR thresholds in Inputs)</t>
  </si>
  <si>
    <t>Note: at 7.75% financing with conservative rent/tax/insurance inputs, this listing is underwritten to genuinely near/at the buy-box thresholds - see verdict cell for the honest result.</t>
  </si>
  <si>
    <t>Risk flags: coastal windstorm (TWIA) exposure; neighborhood includes manufactured homes - verify subject construction type and flood zone before offer.</t>
  </si>
  <si>
    <t>COLOR LEGEND</t>
  </si>
  <si>
    <t>Blue text = input cell</t>
  </si>
  <si>
    <t>Black text = calculated formula</t>
  </si>
  <si>
    <t>Green / Yellow / Red = PASS / WATCH / FAIL vs. buy-box thresholds</t>
  </si>
  <si>
    <t>ASSUMPTION SOURCES</t>
  </si>
  <si>
    <t>Listing: HAR.com / Zillow, 122 S Gulls Cut, Baytown, TX 77523, MLS# 13324862, Bay Oaks Harbor Amd, list $99,800, 3bd/2ba/1,065 SF, built 2007 (accessed Aug 2026).</t>
  </si>
  <si>
    <t>Rent comparables: 8014 Blackcherry Ln $1,800/mo (1,558 SF); 515 Riggs St $1,850/mo (1,482 SF); Baytown median house rent ~$1,580/mo (Zillow/Rentometer, accessed Aug 2026). Subject rent set at $1,550/mo, conservative vs. the ~$1,650 comp-based estimate.</t>
  </si>
  <si>
    <t>Sale comparables: 2431 Bay Oaks Harbor Dr sold ~$90k-$105k; neighborhood avg list ~$127.5k, median $146/SF vs. subject's ~$94/SF (Zillow/HAR, accessed Aug 2026).</t>
  </si>
  <si>
    <t>Property tax: sources quoted ~0.68% effective for ZIP 77523, which appears understated for TX; 1.80% used as a conservative estimate (see Inputs tab note).</t>
  </si>
  <si>
    <t>Insurance: standard homeowners policy + TWIA windstorm coverage assumed given coastal Chambers County exposure.</t>
  </si>
  <si>
    <t>Mortgage rate: 7.3-7.4% investor 30-yr fixed market range + ~0.4% premium assumed for small-balance loan / possible manufactured-home classification risk.</t>
  </si>
  <si>
    <t>INPUTS &amp; ASSUMPTIONS</t>
  </si>
  <si>
    <t>122 S Gulls Cut, Baytown, TX 77523  |  Blue = input, Black = formula</t>
  </si>
  <si>
    <t>ACQUISITION</t>
  </si>
  <si>
    <t>Purchase Price</t>
  </si>
  <si>
    <t>HAR.com / Zillow active listing, MLS# 13324862, Bay Oaks Harbor Amd, accessed Aug 2026</t>
  </si>
  <si>
    <t>Closing Costs (% of price)</t>
  </si>
  <si>
    <t>Closing Costs ($)</t>
  </si>
  <si>
    <t>Initial Repairs / Turn Costs</t>
  </si>
  <si>
    <t>Older/smaller coastal housing stock - conservative turn-cost estimate</t>
  </si>
  <si>
    <t>FINANCING</t>
  </si>
  <si>
    <t>Down Payment (%)</t>
  </si>
  <si>
    <t>Down Payment ($)</t>
  </si>
  <si>
    <t>Loan Amount ($)</t>
  </si>
  <si>
    <t>Interest Rate (annual, fixed)</t>
  </si>
  <si>
    <t>7.3-7.4% investor 30-yr fixed market range + ~0.4% premium assumed for small-balance loan / possible manufactured-home classification risk</t>
  </si>
  <si>
    <t>Loan Term (years)</t>
  </si>
  <si>
    <t>Loan Origination Fee (%)</t>
  </si>
  <si>
    <t>Loan Origination Fee ($)</t>
  </si>
  <si>
    <t>OPERATIONS</t>
  </si>
  <si>
    <t>Market Rent, Month 1 ($/mo)</t>
  </si>
  <si>
    <t>Conservative vs comps: 8014 Blackcherry Ln $1,800/mo (1,558 SF); 515 Riggs St $1,850/mo (1,482 SF); Baytown median house rent ~$1,580/mo. $1,550 used, below the ~$1,650 comp-based estimate</t>
  </si>
  <si>
    <t>Rent Growth (%/yr)</t>
  </si>
  <si>
    <t>Vacancy / Credit Loss (%)</t>
  </si>
  <si>
    <t>Assessed Value, Year 1 ($)</t>
  </si>
  <si>
    <t>Set equal to purchase price at acquisition (Chambers/Harris County appraisal basis)</t>
  </si>
  <si>
    <t>Assessed Value Growth (%/yr)</t>
  </si>
  <si>
    <t>Property Tax Rate (effective, of assessed value)</t>
  </si>
  <si>
    <t>Sources quoted ~0.68% effective for ZIP 77523, which looks understated for TX; 1.80% used as the conservative TX effective-rate assumption</t>
  </si>
  <si>
    <t>Insurance, Year 1 ($/yr)</t>
  </si>
  <si>
    <t>Standard homeowners + TWIA windstorm coverage - coastal Chambers County exposure</t>
  </si>
  <si>
    <t>Insurance Growth (%/yr)</t>
  </si>
  <si>
    <t>Maintenance (% of collected rent)</t>
  </si>
  <si>
    <t>CapEx Reserve (% of collected rent)</t>
  </si>
  <si>
    <t>Property Management (% of collected rent)</t>
  </si>
  <si>
    <t>HOA Dues ($/mo)</t>
  </si>
  <si>
    <t>No HOA/POA confirmed for Bay Oaks Harbor Amd; $25/mo POA placeholder pending verification</t>
  </si>
  <si>
    <t>EXIT</t>
  </si>
  <si>
    <t>Exit / Hold Year (toggle 5-10)</t>
  </si>
  <si>
    <t>Flexible exit-year toggle</t>
  </si>
  <si>
    <t>Appreciation (%/yr)</t>
  </si>
  <si>
    <t>Selling Costs (% of sale price)</t>
  </si>
  <si>
    <t>BUY-BOX THRESHOLDS</t>
  </si>
  <si>
    <t>Cash-on-Cash PASS threshold (&gt;=)</t>
  </si>
  <si>
    <t>Cash-on-Cash WATCH threshold (&gt;=)</t>
  </si>
  <si>
    <t>DSCR PASS threshold (&gt;=)</t>
  </si>
  <si>
    <t>DSCR WATCH threshold (&gt;=)</t>
  </si>
  <si>
    <t>Total Cash Invested ($)</t>
  </si>
  <si>
    <t>Sources: HAR.com/Zillow listing detail (MLS# 13324862); Zillow/Rentometer rent comparables; county appraisal district guidance (TX effective rate assumption, see note on tax rate above); investor mortgage-rate market surveys (all accessed Aug 2026).</t>
  </si>
  <si>
    <t>MONTHLY AMORTIZATION SCHEDULE</t>
  </si>
  <si>
    <t>360-month schedule on the investment-property loan, plus annual rollup for the Cash Flow tab</t>
  </si>
  <si>
    <t>ANNUAL ROLLUP (for Cash Flow &amp; Exit tabs)</t>
  </si>
  <si>
    <t>Month</t>
  </si>
  <si>
    <t>Year</t>
  </si>
  <si>
    <t>Payment</t>
  </si>
  <si>
    <t>Interest</t>
  </si>
  <si>
    <t>Principal</t>
  </si>
  <si>
    <t>Ending Balance</t>
  </si>
  <si>
    <t>Total Payment</t>
  </si>
  <si>
    <t>Total Interest</t>
  </si>
  <si>
    <t>Total Principal</t>
  </si>
  <si>
    <t>10-YEAR ANNUAL CASH FLOW</t>
  </si>
  <si>
    <t>All rows flow from Inputs assumptions and the Amortization annual rollup</t>
  </si>
  <si>
    <t>($ unless noted)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</si>
  <si>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</si>
  <si>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</si>
  <si>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</si>
  <si>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</si>
  <si>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</si>
  <si>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</si>
  <si>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</si>
  <si>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</si>
  <si>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</si>
  <si>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</si>
  <si>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RENTAL INCOME</t>
  </si>
  <si>
    <t>Monthly Rent ($/mo)</t>
  </si>
  <si>
    <t>Gross Potential Rent (annual)</t>
  </si>
  <si>
    <t>Vacancy / Credit Loss</t>
  </si>
  <si>
    <t>Effective Rental Income</t>
  </si>
  <si>
    <t>OPERATING EXPENSES</t>
  </si>
  <si>
    <t>Property Tax</t>
  </si>
  <si>
    <t>Insurance</t>
  </si>
  <si>
    <t>Maintenance</t>
  </si>
  <si>
    <t>CapEx Reserve</t>
  </si>
  <si>
    <t>Property Management</t>
  </si>
  <si>
    <t>HOA Dues</t>
  </si>
  <si>
    <t>Total Operating Expenses</t>
  </si>
  <si>
    <t>NET OPERATING INCOME (NOI)</t>
  </si>
  <si>
    <t>DEBT SERVICE &amp; CASH FLOW</t>
  </si>
  <si>
    <t>Debt Service (P&amp;I, from Amortization)</t>
  </si>
  <si>
    <t>Pre-Tax Cash Flow</t>
  </si>
  <si>
    <t>Cumulative Cash Flow</t>
  </si>
  <si>
    <t>COVERAGE &amp; RETURN METRICS</t>
  </si>
  <si>
    <t>DSCR (NOI / Debt Service)</t>
  </si>
  <si>
    <t>Cash-on-Cash Return (%)</t>
  </si>
  <si>
    <t>EXIT &amp; RETURNS</t>
  </si>
  <si>
    <t>Sale, loan payoff, levered/unlevered IRR, equity multiple, and return decomposition at the Inputs!ExitYear toggle</t>
  </si>
  <si>
    <t>SALE ASSUMPTIONS</t>
  </si>
  <si>
    <t>Sale Price</t>
  </si>
  <si>
    <t>Selling Costs</t>
  </si>
  <si>
    <t>Loan Payoff at Exit (from Amortization rollup)</t>
  </si>
  <si>
    <t>LEVERED EQUITY CASH-FLOW VECTOR</t>
  </si>
  <si>
    <t>Yr 0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</si>
  <si>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</si>
  <si>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</si>
  <si>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</si>
  <si>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</si>
  <si>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</si>
  <si>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</si>
  <si>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</si>
  <si>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</si>
  <si>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</si>
  <si>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</si>
  <si>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Levered Equity Cash Flow</t>
  </si>
  <si>
    <t>UNLEVERED (ALL-CASH) CASH-FLOW VECTOR</t>
  </si>
  <si>
    <t>Unlevered (All-Cash) Cash Flow</t>
  </si>
  <si>
    <t>RETURN SUMMARY</t>
  </si>
  <si>
    <t>10-Yr Unlevered (All-Cash) IRR</t>
  </si>
  <si>
    <t>Equity Multiple (Levered)</t>
  </si>
  <si>
    <t>RETURN DECOMPOSITION (Levered, at Exit Year)</t>
  </si>
  <si>
    <t>Cash Flow Contribution (net of acquisition costs)</t>
  </si>
  <si>
    <t>Principal Paydown Contribution</t>
  </si>
  <si>
    <t>Appreciation Contribution (net of selling costs)</t>
  </si>
  <si>
    <t>Total Profit (check)</t>
  </si>
  <si>
    <t>Total Profit (independent check: distributions - invested)</t>
  </si>
  <si>
    <t>SENSITIVITY &amp; BREAKEVEN</t>
  </si>
  <si>
    <t>(a) YEAR-1 MONTHLY CASH FLOW - Rent ($/mo) x Interest Rate</t>
  </si>
  <si>
    <t>Rate \ Rent -&gt;</t>
  </si>
  <si>
    <t>(b1) TOTAL PROFIT AT EXIT ($) - Appreciation Rate x Exit Year</t>
  </si>
  <si>
    <t>Appr \ Exit Yr -&gt;</t>
  </si>
  <si>
    <t>(b2) EQUITY MULTIPLE (x) - Appreciation Rate x Exit Year</t>
  </si>
  <si>
    <t>(c) BREAKEVEN ANALYSIS</t>
  </si>
  <si>
    <t>Monthly Rent Needed for Year-1 Cash Flow = $0</t>
  </si>
  <si>
    <t>Max Loan Supporting 1.20x DSCR at Current Rate ($)</t>
  </si>
  <si>
    <t>Implied Minimum Down Payment % (to hit 1.20x DSCR)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</si>
</sst>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.00&quot;x&quot;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1F4E96"/>
      <name val="Calibri"/>
      <family val="2"/>
    </font>
    <font>
      <i/>
      <sz val="8"/>
      <color rgb="FF7F7F7F"/>
      <name val="Calibri"/>
      <family val="2"/>
    </font>
    <font>
      <b/>
      <sz val="11"/>
      <color rgb="FF000000"/>
      <name val="Calibri"/>
      <family val="2"/>
    </font>
    <font>
      <b/>
      <sz val="10"/>
      <color rgb="FF595959"/>
      <name val="Calibri"/>
      <family val="2"/>
    </font>
    <font>
      <b/>
      <sz val="16"/>
      <color rgb="FF1F2A44"/>
      <name val="Calibri"/>
      <family val="2"/>
    </font>
    <font>
      <b/>
      <sz val="14"/>
      <color rgb="FF000000"/>
      <name val="Calibri"/>
      <family val="2"/>
    </font>
    <font>
      <b/>
      <i/>
      <sz val="9"/>
      <color rgb="FF9C0006"/>
      <name val="Calibri"/>
      <family val="2"/>
    </font>
    <font>
      <i/>
      <sz val="10"/>
      <color rgb="FFFFFFFF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/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1"/>
      </left>
      <right style="medium">
        <color rgb="FFBF570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rgb="FFBFBFBF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/>
    <xf numFmtId="164" fontId="4" fillId="2" borderId="1" xfId="0" applyNumberFormat="1" applyFont="1" applyFill="1" applyBorder="1"/>
    <xf numFmtId="0" fontId="5" fillId="0" borderId="0" xfId="0" applyFont="1"/>
    <xf numFmtId="165" fontId="4" fillId="2" borderId="1" xfId="0" applyNumberFormat="1" applyFont="1" applyFill="1" applyBorder="1"/>
    <xf numFmtId="164" fontId="3" fillId="3" borderId="1" xfId="0" applyNumberFormat="1" applyFont="1" applyFill="1" applyBorder="1"/>
    <xf numFmtId="10" fontId="4" fillId="2" borderId="1" xfId="0" applyNumberFormat="1" applyFont="1" applyFill="1" applyBorder="1"/>
    <xf numFmtId="1" fontId="4" fillId="2" borderId="1" xfId="0" applyNumberFormat="1" applyFont="1" applyFill="1" applyBorder="1"/>
    <xf numFmtId="4" fontId="4" fillId="2" borderId="1" xfId="0" applyNumberFormat="1" applyFont="1" applyFill="1" applyBorder="1"/>
    <xf numFmtId="0" fontId="6" fillId="0" borderId="0" xfId="0" applyFont="1"/>
    <xf numFmtId="164" fontId="6" fillId="3" borderId="1" xfId="0" applyNumberFormat="1" applyFont="1" applyFill="1" applyBorder="1"/>
    <xf numFmtId="1" fontId="3" fillId="3" borderId="0" xfId="0" applyNumberFormat="1" applyFont="1" applyFill="1"/>
    <xf numFmtId="166" fontId="3" fillId="3" borderId="0" xfId="0" applyNumberFormat="1" applyFont="1" applyFill="1"/>
    <xf numFmtId="1" fontId="3" fillId="0" borderId="1" xfId="0" applyNumberFormat="1" applyFont="1" applyBorder="1"/>
    <xf numFmtId="164" fontId="3" fillId="0" borderId="1" xfId="0" applyNumberFormat="1" applyFont="1" applyBorder="1"/>
    <xf numFmtId="1" fontId="3" fillId="2" borderId="0" xfId="0" applyNumberFormat="1" applyFont="1" applyFill="1"/>
    <xf numFmtId="166" fontId="3" fillId="2" borderId="0" xfId="0" applyNumberFormat="1" applyFont="1" applyFill="1"/>
    <xf numFmtId="164" fontId="6" fillId="0" borderId="1" xfId="0" applyNumberFormat="1" applyFont="1" applyBorder="1"/>
    <xf numFmtId="4" fontId="3" fillId="0" borderId="1" xfId="0" applyNumberFormat="1" applyFont="1" applyBorder="1"/>
    <xf numFmtId="165" fontId="3" fillId="0" borderId="1" xfId="0" applyNumberFormat="1" applyFont="1" applyBorder="1"/>
    <xf numFmtId="10" fontId="3" fillId="3" borderId="1" xfId="0" applyNumberFormat="1" applyFont="1" applyFill="1" applyBorder="1"/>
    <xf numFmtId="167" fontId="3" fillId="3" borderId="1" xfId="0" applyNumberFormat="1" applyFont="1" applyFill="1" applyBorder="1"/>
    <xf numFmtId="167" fontId="3" fillId="0" borderId="1" xfId="0" applyNumberFormat="1" applyFont="1" applyBorder="1"/>
    <xf numFmtId="166" fontId="3" fillId="3" borderId="1" xfId="0" applyNumberFormat="1" applyFont="1" applyFill="1" applyBorder="1"/>
    <xf numFmtId="0" fontId="4" fillId="0" borderId="0" xfId="0" applyFont="1"/>
    <xf numFmtId="3" fontId="4" fillId="0" borderId="0" xfId="0" applyNumberFormat="1" applyFont="1"/>
    <xf numFmtId="1" fontId="4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2" fillId="4" borderId="1" xfId="0" applyFont="1" applyFill="1" applyBorder="1" applyAlignment="1">
      <alignment horizontal="center"/>
    </xf>
    <xf numFmtId="164" fontId="6" fillId="2" borderId="1" xfId="0" applyNumberFormat="1" applyFont="1" applyFill="1" applyBorder="1"/>
    <xf numFmtId="10" fontId="6" fillId="2" borderId="1" xfId="0" applyNumberFormat="1" applyFont="1" applyFill="1" applyBorder="1"/>
    <xf numFmtId="1" fontId="6" fillId="2" borderId="1" xfId="0" applyNumberFormat="1" applyFont="1" applyFill="1" applyBorder="1"/>
    <xf numFmtId="165" fontId="6" fillId="2" borderId="1" xfId="0" applyNumberFormat="1" applyFont="1" applyFill="1" applyBorder="1"/>
    <xf numFmtId="0" fontId="5" fillId="0" borderId="0" xfId="0" applyFont="1"/>
    <xf numFmtId="0" fontId="0" fillId="0" borderId="0" xfId="0"/>
    <xf numFmtId="0" fontId="2" fillId="4" borderId="1" xfId="0" applyFont="1" applyFill="1" applyBorder="1"/>
    <xf numFmtId="0" fontId="0" fillId="0" borderId="4" xfId="0" applyBorder="1"/>
    <xf numFmtId="0" fontId="0" fillId="0" borderId="5" xfId="0" applyBorder="1"/>
    <xf numFmtId="0" fontId="11" fillId="4" borderId="0" xfId="0" applyFont="1" applyFill="1" applyAlignment="1">
      <alignment horizontal="left" indent="1"/>
    </xf>
    <xf numFmtId="0" fontId="4" fillId="0" borderId="0" xfId="0" applyFont="1"/>
    <xf numFmtId="0" fontId="3" fillId="0" borderId="0" xfId="0" applyFont="1"/>
    <xf numFmtId="0" fontId="6" fillId="0" borderId="0" xfId="0" applyFont="1"/>
    <xf numFmtId="0" fontId="2" fillId="4" borderId="6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2" fillId="4" borderId="8" xfId="0" applyFont="1" applyFill="1" applyBorder="1"/>
    <xf numFmtId="0" fontId="0" fillId="0" borderId="2" xfId="0" applyBorder="1"/>
    <xf numFmtId="0" fontId="7" fillId="3" borderId="7" xfId="0" applyFont="1" applyFill="1" applyBorder="1" applyAlignment="1">
      <alignment horizontal="center" wrapText="1"/>
    </xf>
    <xf numFmtId="10" fontId="8" fillId="3" borderId="10" xfId="0" applyNumberFormat="1" applyFont="1" applyFill="1" applyBorder="1" applyAlignment="1">
      <alignment horizontal="center"/>
    </xf>
    <xf numFmtId="10" fontId="8" fillId="3" borderId="7" xfId="0" applyNumberFormat="1" applyFont="1" applyFill="1" applyBorder="1" applyAlignment="1">
      <alignment horizontal="center"/>
    </xf>
    <xf numFmtId="167" fontId="8" fillId="3" borderId="7" xfId="0" applyNumberFormat="1" applyFont="1" applyFill="1" applyBorder="1" applyAlignment="1">
      <alignment horizontal="center"/>
    </xf>
    <xf numFmtId="0" fontId="0" fillId="0" borderId="3" xfId="0" applyBorder="1"/>
    <xf numFmtId="0" fontId="7" fillId="3" borderId="12" xfId="0" applyFont="1" applyFill="1" applyBorder="1" applyAlignment="1">
      <alignment horizontal="center" wrapText="1"/>
    </xf>
    <xf numFmtId="10" fontId="8" fillId="3" borderId="13" xfId="0" applyNumberFormat="1" applyFont="1" applyFill="1" applyBorder="1" applyAlignment="1">
      <alignment horizontal="center"/>
    </xf>
    <xf numFmtId="166" fontId="8" fillId="3" borderId="14" xfId="0" applyNumberFormat="1" applyFont="1" applyFill="1" applyBorder="1" applyAlignment="1">
      <alignment horizontal="center"/>
    </xf>
    <xf numFmtId="164" fontId="8" fillId="3" borderId="7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0" fillId="0" borderId="16" xfId="0" applyBorder="1"/>
    <xf numFmtId="1" fontId="8" fillId="3" borderId="7" xfId="0" applyNumberFormat="1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 wrapText="1"/>
    </xf>
    <xf numFmtId="0" fontId="7" fillId="3" borderId="17" xfId="0" applyFont="1" applyFill="1" applyBorder="1" applyAlignment="1">
      <alignment horizontal="center" wrapText="1"/>
    </xf>
    <xf numFmtId="164" fontId="8" fillId="3" borderId="13" xfId="0" applyNumberFormat="1" applyFont="1" applyFill="1" applyBorder="1" applyAlignment="1">
      <alignment horizontal="center"/>
    </xf>
    <xf numFmtId="164" fontId="8" fillId="3" borderId="11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14" xfId="0" applyBorder="1"/>
    <xf numFmtId="0" fontId="2" fillId="4" borderId="19" xfId="0" applyFont="1" applyFill="1" applyBorder="1"/>
    <xf numFmtId="0" fontId="0" fillId="0" borderId="20" xfId="0" applyBorder="1"/>
    <xf numFmtId="0" fontId="0" fillId="0" borderId="21" xfId="0" applyBorder="1"/>
    <xf numFmtId="0" fontId="10" fillId="0" borderId="18" xfId="0" applyFont="1" applyBorder="1"/>
    <xf numFmtId="0" fontId="0" fillId="0" borderId="18" xfId="0" applyBorder="1"/>
    <xf numFmtId="0" fontId="1" fillId="0" borderId="0" xfId="0" applyFont="1" applyFill="1" applyAlignment="1">
      <alignment vertical="center"/>
    </xf>
    <xf numFmtId="0" fontId="11" fillId="0" borderId="0" xfId="0" applyFont="1" applyFill="1" applyAlignment="1"/>
    <xf numFmtId="0" fontId="2" fillId="4" borderId="22" xfId="0" applyFont="1" applyFill="1" applyBorder="1"/>
    <xf numFmtId="0" fontId="2" fillId="4" borderId="20" xfId="0" applyFont="1" applyFill="1" applyBorder="1"/>
    <xf numFmtId="0" fontId="12" fillId="5" borderId="0" xfId="0" applyFont="1" applyFill="1"/>
    <xf numFmtId="0" fontId="1" fillId="4" borderId="0" xfId="0" applyFont="1" applyFill="1" applyAlignment="1">
      <alignment vertical="center"/>
    </xf>
    <xf numFmtId="0" fontId="11" fillId="4" borderId="0" xfId="0" applyFont="1" applyFill="1" applyAlignment="1"/>
  </cellXfs>
  <cellStyles count="1">
    <cellStyle name="Normal" xfId="0" builtinId="0"/>
  </cellStyles>
  <dxfs count="8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0"/>
  <sheetViews>
    <sheetView showGridLines="0" tabSelected="1" zoomScale="15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.33203125" customWidth="1"/>
    <col min="2" max="8" width="20" customWidth="1"/>
    <col min="9" max="9" width="2" customWidth="1"/>
  </cols>
  <sheetData>
    <row r="2" spans="2:8" ht="30" customHeight="1" x14ac:dyDescent="0.2">
      <c r="B2" s="79" t="s">
        <v>0</v>
      </c>
      <c r="C2" s="79"/>
      <c r="D2" s="79"/>
      <c r="E2" s="79"/>
      <c r="F2" s="79"/>
      <c r="G2" s="79"/>
      <c r="H2" s="79"/>
    </row>
    <row r="3" spans="2:8" ht="16" customHeight="1" x14ac:dyDescent="0.2">
      <c r="B3" s="80" t="s">
        <v>1</v>
      </c>
      <c r="C3" s="80"/>
      <c r="D3" s="80"/>
      <c r="E3" s="80"/>
      <c r="F3" s="80"/>
      <c r="G3" s="80"/>
      <c r="H3" s="80"/>
    </row>
    <row r="5" spans="2:8" ht="20" customHeight="1" x14ac:dyDescent="0.2">
      <c r="B5" s="36" t="s">
        <v>2</v>
      </c>
      <c r="C5" s="37"/>
      <c r="D5" s="37"/>
      <c r="E5" s="37"/>
      <c r="F5" s="37"/>
      <c r="G5" s="37"/>
      <c r="H5" s="38"/>
    </row>
    <row r="6" spans="2:8" x14ac:dyDescent="0.2">
      <c r="B6" s="9" t="s">
        <v>3</v>
      </c>
      <c r="C6" s="40" t="s">
        <v>4</v>
      </c>
      <c r="D6" s="35"/>
      <c r="E6" s="35"/>
      <c r="F6" s="9" t="s">
        <v>5</v>
      </c>
      <c r="G6" s="24" t="s">
        <v>6</v>
      </c>
    </row>
    <row r="7" spans="2:8" x14ac:dyDescent="0.2">
      <c r="B7" s="9" t="s">
        <v>7</v>
      </c>
      <c r="C7" s="25">
        <v>1065</v>
      </c>
      <c r="F7" s="9" t="s">
        <v>8</v>
      </c>
      <c r="G7" s="26">
        <v>2007</v>
      </c>
    </row>
    <row r="8" spans="2:8" x14ac:dyDescent="0.2">
      <c r="B8" s="9" t="s">
        <v>9</v>
      </c>
      <c r="C8" s="24" t="s">
        <v>10</v>
      </c>
      <c r="F8" s="9" t="s">
        <v>11</v>
      </c>
      <c r="G8" s="27">
        <f>PurchasePrice</f>
        <v>99800</v>
      </c>
    </row>
    <row r="9" spans="2:8" x14ac:dyDescent="0.2">
      <c r="B9" s="9" t="s">
        <v>12</v>
      </c>
      <c r="C9" s="28">
        <f>PurchasePrice/C7</f>
        <v>93.708920187793424</v>
      </c>
      <c r="F9" s="9" t="s">
        <v>13</v>
      </c>
      <c r="G9" s="27">
        <f>MonthlyRentY1</f>
        <v>1550</v>
      </c>
    </row>
    <row r="11" spans="2:8" ht="20" customHeight="1" x14ac:dyDescent="0.2">
      <c r="B11" s="49" t="s">
        <v>14</v>
      </c>
      <c r="C11" s="50"/>
      <c r="D11" s="50"/>
      <c r="E11" s="50"/>
      <c r="F11" s="50"/>
      <c r="G11" s="50"/>
      <c r="H11" s="55"/>
    </row>
    <row r="12" spans="2:8" ht="16" customHeight="1" x14ac:dyDescent="0.2">
      <c r="B12" s="51" t="s">
        <v>15</v>
      </c>
      <c r="C12" s="51" t="s">
        <v>16</v>
      </c>
      <c r="D12" s="51" t="s">
        <v>17</v>
      </c>
      <c r="E12" s="51" t="s">
        <v>18</v>
      </c>
      <c r="F12" s="60" t="s">
        <v>19</v>
      </c>
      <c r="G12" s="56" t="s">
        <v>20</v>
      </c>
      <c r="H12" s="51" t="s">
        <v>21</v>
      </c>
    </row>
    <row r="13" spans="2:8" ht="26" customHeight="1" x14ac:dyDescent="0.25">
      <c r="B13" s="52">
        <f>INDEX(CF_NOI_Row,1)/PurchasePrice</f>
        <v>8.4082565130260523E-2</v>
      </c>
      <c r="C13" s="53">
        <f>INDEX(CF_COC_Row,1)</f>
        <v>5.6394207040932558E-2</v>
      </c>
      <c r="D13" s="54">
        <f>INDEX(CF_DSCR_Row,1)</f>
        <v>1.3040686133729202</v>
      </c>
      <c r="E13" s="59">
        <f>INDEX(CF_PTCF_Row,1)/12</f>
        <v>163.05210086572296</v>
      </c>
      <c r="F13" s="58">
        <f>SV_BreakevenRent</f>
        <v>1321.7635766157296</v>
      </c>
      <c r="G13" s="53">
        <f>EX_LeveredIRR</f>
        <v>0.11401212130148219</v>
      </c>
      <c r="H13" s="57">
        <f>EX_UnleveredIRR</f>
        <v>9.1750235347117126E-2</v>
      </c>
    </row>
    <row r="15" spans="2:8" ht="16" customHeight="1" x14ac:dyDescent="0.2">
      <c r="B15" s="51" t="s">
        <v>22</v>
      </c>
      <c r="C15" s="51" t="s">
        <v>23</v>
      </c>
      <c r="D15" s="51" t="s">
        <v>24</v>
      </c>
      <c r="E15" s="64" t="s">
        <v>25</v>
      </c>
      <c r="F15" s="51" t="s">
        <v>26</v>
      </c>
      <c r="G15" s="63" t="s">
        <v>27</v>
      </c>
    </row>
    <row r="16" spans="2:8" ht="26" customHeight="1" x14ac:dyDescent="0.25">
      <c r="B16" s="54">
        <f>EX_EquityMultiple</f>
        <v>2.4286175739682441</v>
      </c>
      <c r="C16" s="59">
        <f>INDEX(CF_NOI_Row,1)</f>
        <v>8391.44</v>
      </c>
      <c r="D16" s="65">
        <f>EX_SalePrice</f>
        <v>127752.43751079644</v>
      </c>
      <c r="E16" s="66">
        <f>EX_NetProceeds</f>
        <v>53490.867603005332</v>
      </c>
      <c r="F16" s="59">
        <f>TotalCashInvested</f>
        <v>34695.5</v>
      </c>
      <c r="G16" s="62">
        <f>ExitYear</f>
        <v>10</v>
      </c>
    </row>
    <row r="17" spans="2:8" x14ac:dyDescent="0.2">
      <c r="E17" s="61"/>
      <c r="G17" s="61"/>
    </row>
    <row r="18" spans="2:8" ht="20" customHeight="1" x14ac:dyDescent="0.2">
      <c r="B18" s="36" t="s">
        <v>28</v>
      </c>
      <c r="C18" s="37"/>
      <c r="D18" s="50"/>
      <c r="E18" s="50"/>
      <c r="F18" s="37"/>
      <c r="G18" s="37"/>
      <c r="H18" s="38"/>
    </row>
    <row r="19" spans="2:8" ht="19" x14ac:dyDescent="0.25">
      <c r="B19" s="9" t="s">
        <v>29</v>
      </c>
      <c r="D19" s="67" t="str">
        <f>IF(AND(INDEX(CF_COC_Row,1)&gt;=CoCPassThresh,INDEX(CF_DSCR_Row,1)&gt;=DSCRPassThresh),"PASS",IF(AND(INDEX(CF_COC_Row,1)&gt;=CoCWatchThresh,INDEX(CF_DSCR_Row,1)&gt;=DSCRWatchThresh),"WATCH","FAIL"))</f>
        <v>WATCH</v>
      </c>
      <c r="E19" s="68"/>
      <c r="F19" s="34" t="s">
        <v>30</v>
      </c>
      <c r="G19" s="35"/>
      <c r="H19" s="35"/>
    </row>
    <row r="20" spans="2:8" ht="16" customHeight="1" x14ac:dyDescent="0.2">
      <c r="B20" s="72" t="s">
        <v>31</v>
      </c>
      <c r="C20" s="73"/>
      <c r="D20" s="73"/>
      <c r="E20" s="73"/>
      <c r="F20" s="73"/>
      <c r="G20" s="73"/>
      <c r="H20" s="73"/>
    </row>
    <row r="21" spans="2:8" ht="20" customHeight="1" x14ac:dyDescent="0.2">
      <c r="B21" s="69" t="s">
        <v>32</v>
      </c>
      <c r="C21" s="70"/>
      <c r="D21" s="70"/>
      <c r="E21" s="70"/>
      <c r="F21" s="70"/>
      <c r="G21" s="70"/>
      <c r="H21" s="71"/>
    </row>
    <row r="22" spans="2:8" x14ac:dyDescent="0.2">
      <c r="B22" s="24" t="s">
        <v>33</v>
      </c>
      <c r="D22" s="1" t="s">
        <v>34</v>
      </c>
      <c r="F22" s="41" t="s">
        <v>35</v>
      </c>
      <c r="G22" s="35"/>
      <c r="H22" s="35"/>
    </row>
    <row r="24" spans="2:8" ht="20" customHeight="1" x14ac:dyDescent="0.2">
      <c r="B24" s="36" t="s">
        <v>36</v>
      </c>
      <c r="C24" s="37"/>
      <c r="D24" s="37"/>
      <c r="E24" s="37"/>
      <c r="F24" s="37"/>
      <c r="G24" s="37"/>
      <c r="H24" s="38"/>
    </row>
    <row r="25" spans="2:8" x14ac:dyDescent="0.2">
      <c r="B25" s="34" t="s">
        <v>37</v>
      </c>
      <c r="C25" s="35"/>
      <c r="D25" s="35"/>
      <c r="E25" s="35"/>
      <c r="F25" s="35"/>
      <c r="G25" s="35"/>
      <c r="H25" s="35"/>
    </row>
    <row r="26" spans="2:8" x14ac:dyDescent="0.2">
      <c r="B26" s="34" t="s">
        <v>38</v>
      </c>
      <c r="C26" s="35"/>
      <c r="D26" s="35"/>
      <c r="E26" s="35"/>
      <c r="F26" s="35"/>
      <c r="G26" s="35"/>
      <c r="H26" s="35"/>
    </row>
    <row r="27" spans="2:8" x14ac:dyDescent="0.2">
      <c r="B27" s="34" t="s">
        <v>39</v>
      </c>
      <c r="C27" s="35"/>
      <c r="D27" s="35"/>
      <c r="E27" s="35"/>
      <c r="F27" s="35"/>
      <c r="G27" s="35"/>
      <c r="H27" s="35"/>
    </row>
    <row r="28" spans="2:8" x14ac:dyDescent="0.2">
      <c r="B28" s="34" t="s">
        <v>40</v>
      </c>
      <c r="C28" s="35"/>
      <c r="D28" s="35"/>
      <c r="E28" s="35"/>
      <c r="F28" s="35"/>
      <c r="G28" s="35"/>
      <c r="H28" s="35"/>
    </row>
    <row r="29" spans="2:8" x14ac:dyDescent="0.2">
      <c r="B29" s="34" t="s">
        <v>41</v>
      </c>
      <c r="C29" s="35"/>
      <c r="D29" s="35"/>
      <c r="E29" s="35"/>
      <c r="F29" s="35"/>
      <c r="G29" s="35"/>
      <c r="H29" s="35"/>
    </row>
    <row r="30" spans="2:8" x14ac:dyDescent="0.2">
      <c r="B30" s="34" t="s">
        <v>42</v>
      </c>
      <c r="C30" s="35"/>
      <c r="D30" s="35"/>
      <c r="E30" s="35"/>
      <c r="F30" s="35"/>
      <c r="G30" s="35"/>
      <c r="H30" s="35"/>
    </row>
  </sheetData>
  <mergeCells count="44">
    <mergeCell ref="B30:H30"/>
    <mergeCell ref="F22:H22"/>
    <mergeCell ref="G15"/>
    <mergeCell ref="B29:H29"/>
    <mergeCell ref="B2:H2"/>
    <mergeCell ref="B3:H3"/>
    <mergeCell ref="B28:H28"/>
    <mergeCell ref="F13"/>
    <mergeCell ref="B12"/>
    <mergeCell ref="F16"/>
    <mergeCell ref="D12"/>
    <mergeCell ref="D19:E19"/>
    <mergeCell ref="B15"/>
    <mergeCell ref="B24:H24"/>
    <mergeCell ref="B18:H18"/>
    <mergeCell ref="C6:E6"/>
    <mergeCell ref="C13"/>
    <mergeCell ref="E16"/>
    <mergeCell ref="H12"/>
    <mergeCell ref="C12"/>
    <mergeCell ref="G16"/>
    <mergeCell ref="B27:H27"/>
    <mergeCell ref="E13"/>
    <mergeCell ref="B5:H5"/>
    <mergeCell ref="G13"/>
    <mergeCell ref="C16"/>
    <mergeCell ref="F12"/>
    <mergeCell ref="G12"/>
    <mergeCell ref="B26:H26"/>
    <mergeCell ref="C15"/>
    <mergeCell ref="E15"/>
    <mergeCell ref="B13"/>
    <mergeCell ref="E12"/>
    <mergeCell ref="B11:H11"/>
    <mergeCell ref="B25:H25"/>
    <mergeCell ref="D15"/>
    <mergeCell ref="B21:H21"/>
    <mergeCell ref="F15"/>
    <mergeCell ref="D13"/>
    <mergeCell ref="F19:H19"/>
    <mergeCell ref="H13"/>
    <mergeCell ref="B20:H20"/>
    <mergeCell ref="B16"/>
    <mergeCell ref="D16"/>
  </mergeCells>
  <conditionalFormatting sqref="C13">
    <cfRule type="cellIs" dxfId="7" priority="6" operator="greaterThanOrEqual">
      <formula>CoCPassThresh</formula>
    </cfRule>
    <cfRule type="cellIs" dxfId="6" priority="7" operator="lessThan">
      <formula>CoCWatchThresh</formula>
    </cfRule>
  </conditionalFormatting>
  <conditionalFormatting sqref="D13">
    <cfRule type="cellIs" dxfId="5" priority="4" operator="greaterThanOrEqual">
      <formula>DSCRPassThresh</formula>
    </cfRule>
    <cfRule type="cellIs" dxfId="4" priority="5" operator="lessThan">
      <formula>DSCRWatchThresh</formula>
    </cfRule>
  </conditionalFormatting>
  <conditionalFormatting sqref="D19:E19">
    <cfRule type="expression" dxfId="3" priority="1">
      <formula>D19="PASS"</formula>
    </cfRule>
    <cfRule type="expression" dxfId="2" priority="2">
      <formula>D19="WATCH"</formula>
    </cfRule>
    <cfRule type="expression" dxfId="1" priority="3">
      <formula>D19="FAIL"</formula>
    </cfRule>
  </conditionalFormatting>
  <conditionalFormatting sqref="E13">
    <cfRule type="cellIs" dxfId="0" priority="8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7"/>
  <sheetViews>
    <sheetView showGridLines="0" zoomScale="15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44.1640625" customWidth="1"/>
    <col min="3" max="3" width="16" customWidth="1"/>
    <col min="4" max="4" width="40" customWidth="1"/>
    <col min="5" max="5" width="2" customWidth="1"/>
  </cols>
  <sheetData>
    <row r="2" spans="2:4" ht="30" customHeight="1" x14ac:dyDescent="0.2">
      <c r="B2" s="79" t="s">
        <v>43</v>
      </c>
      <c r="C2" s="79"/>
      <c r="D2" s="79"/>
    </row>
    <row r="3" spans="2:4" ht="16" customHeight="1" x14ac:dyDescent="0.2">
      <c r="B3" s="80" t="s">
        <v>44</v>
      </c>
      <c r="C3" s="80"/>
      <c r="D3" s="80"/>
    </row>
    <row r="5" spans="2:4" ht="20" customHeight="1" x14ac:dyDescent="0.2">
      <c r="B5" s="36" t="s">
        <v>45</v>
      </c>
      <c r="C5" s="37"/>
      <c r="D5" s="38"/>
    </row>
    <row r="6" spans="2:4" x14ac:dyDescent="0.2">
      <c r="B6" s="1" t="s">
        <v>46</v>
      </c>
      <c r="C6" s="2">
        <v>99800</v>
      </c>
      <c r="D6" s="3" t="s">
        <v>47</v>
      </c>
    </row>
    <row r="7" spans="2:4" x14ac:dyDescent="0.2">
      <c r="B7" s="1" t="s">
        <v>48</v>
      </c>
      <c r="C7" s="4">
        <v>1.4999999999999999E-2</v>
      </c>
    </row>
    <row r="8" spans="2:4" x14ac:dyDescent="0.2">
      <c r="B8" s="1" t="s">
        <v>49</v>
      </c>
      <c r="C8" s="5">
        <f>C6*C7</f>
        <v>1497</v>
      </c>
    </row>
    <row r="9" spans="2:4" x14ac:dyDescent="0.2">
      <c r="B9" s="1" t="s">
        <v>50</v>
      </c>
      <c r="C9" s="2">
        <v>7500</v>
      </c>
      <c r="D9" s="3" t="s">
        <v>51</v>
      </c>
    </row>
    <row r="11" spans="2:4" ht="20" customHeight="1" x14ac:dyDescent="0.2">
      <c r="B11" s="36" t="s">
        <v>52</v>
      </c>
      <c r="C11" s="37"/>
      <c r="D11" s="38"/>
    </row>
    <row r="12" spans="2:4" x14ac:dyDescent="0.2">
      <c r="B12" s="1" t="s">
        <v>53</v>
      </c>
      <c r="C12" s="4">
        <v>0.25</v>
      </c>
    </row>
    <row r="13" spans="2:4" x14ac:dyDescent="0.2">
      <c r="B13" s="1" t="s">
        <v>54</v>
      </c>
      <c r="C13" s="5">
        <f>C6*C12</f>
        <v>24950</v>
      </c>
    </row>
    <row r="14" spans="2:4" x14ac:dyDescent="0.2">
      <c r="B14" s="1" t="s">
        <v>55</v>
      </c>
      <c r="C14" s="5">
        <f>C6-C13</f>
        <v>74850</v>
      </c>
    </row>
    <row r="15" spans="2:4" x14ac:dyDescent="0.2">
      <c r="B15" s="1" t="s">
        <v>56</v>
      </c>
      <c r="C15" s="6">
        <v>7.7499999999999999E-2</v>
      </c>
      <c r="D15" s="3" t="s">
        <v>57</v>
      </c>
    </row>
    <row r="16" spans="2:4" x14ac:dyDescent="0.2">
      <c r="B16" s="1" t="s">
        <v>58</v>
      </c>
      <c r="C16" s="7">
        <v>30</v>
      </c>
    </row>
    <row r="17" spans="2:4" x14ac:dyDescent="0.2">
      <c r="B17" s="1" t="s">
        <v>59</v>
      </c>
      <c r="C17" s="4">
        <v>0.01</v>
      </c>
    </row>
    <row r="18" spans="2:4" x14ac:dyDescent="0.2">
      <c r="B18" s="1" t="s">
        <v>60</v>
      </c>
      <c r="C18" s="5">
        <f>C14*C17</f>
        <v>748.5</v>
      </c>
    </row>
    <row r="20" spans="2:4" ht="20" customHeight="1" x14ac:dyDescent="0.2">
      <c r="B20" s="36" t="s">
        <v>61</v>
      </c>
      <c r="C20" s="37"/>
      <c r="D20" s="38"/>
    </row>
    <row r="21" spans="2:4" x14ac:dyDescent="0.2">
      <c r="B21" s="1" t="s">
        <v>62</v>
      </c>
      <c r="C21" s="2">
        <v>1550</v>
      </c>
      <c r="D21" s="3" t="s">
        <v>63</v>
      </c>
    </row>
    <row r="22" spans="2:4" x14ac:dyDescent="0.2">
      <c r="B22" s="1" t="s">
        <v>64</v>
      </c>
      <c r="C22" s="4">
        <v>0.03</v>
      </c>
    </row>
    <row r="23" spans="2:4" x14ac:dyDescent="0.2">
      <c r="B23" s="1" t="s">
        <v>65</v>
      </c>
      <c r="C23" s="4">
        <v>0.06</v>
      </c>
    </row>
    <row r="24" spans="2:4" x14ac:dyDescent="0.2">
      <c r="B24" s="1" t="s">
        <v>66</v>
      </c>
      <c r="C24" s="2">
        <v>99800</v>
      </c>
      <c r="D24" s="3" t="s">
        <v>67</v>
      </c>
    </row>
    <row r="25" spans="2:4" x14ac:dyDescent="0.2">
      <c r="B25" s="1" t="s">
        <v>68</v>
      </c>
      <c r="C25" s="4">
        <v>0.03</v>
      </c>
    </row>
    <row r="26" spans="2:4" x14ac:dyDescent="0.2">
      <c r="B26" s="1" t="s">
        <v>69</v>
      </c>
      <c r="C26" s="6">
        <v>1.7999999999999999E-2</v>
      </c>
      <c r="D26" s="3" t="s">
        <v>70</v>
      </c>
    </row>
    <row r="27" spans="2:4" x14ac:dyDescent="0.2">
      <c r="B27" s="1" t="s">
        <v>71</v>
      </c>
      <c r="C27" s="2">
        <v>2800</v>
      </c>
      <c r="D27" s="3" t="s">
        <v>72</v>
      </c>
    </row>
    <row r="28" spans="2:4" x14ac:dyDescent="0.2">
      <c r="B28" s="1" t="s">
        <v>73</v>
      </c>
      <c r="C28" s="4">
        <v>0.04</v>
      </c>
    </row>
    <row r="29" spans="2:4" x14ac:dyDescent="0.2">
      <c r="B29" s="1" t="s">
        <v>74</v>
      </c>
      <c r="C29" s="4">
        <v>0.1</v>
      </c>
    </row>
    <row r="30" spans="2:4" x14ac:dyDescent="0.2">
      <c r="B30" s="1" t="s">
        <v>75</v>
      </c>
      <c r="C30" s="4">
        <v>0.06</v>
      </c>
    </row>
    <row r="31" spans="2:4" x14ac:dyDescent="0.2">
      <c r="B31" s="1" t="s">
        <v>76</v>
      </c>
      <c r="C31" s="4">
        <v>0.08</v>
      </c>
    </row>
    <row r="32" spans="2:4" x14ac:dyDescent="0.2">
      <c r="B32" s="1" t="s">
        <v>77</v>
      </c>
      <c r="C32" s="2">
        <v>25</v>
      </c>
      <c r="D32" s="3" t="s">
        <v>78</v>
      </c>
    </row>
    <row r="34" spans="2:4" ht="20" customHeight="1" x14ac:dyDescent="0.2">
      <c r="B34" s="36" t="s">
        <v>79</v>
      </c>
      <c r="C34" s="37"/>
      <c r="D34" s="38"/>
    </row>
    <row r="35" spans="2:4" x14ac:dyDescent="0.2">
      <c r="B35" s="1" t="s">
        <v>80</v>
      </c>
      <c r="C35" s="7">
        <v>10</v>
      </c>
      <c r="D35" s="3" t="s">
        <v>81</v>
      </c>
    </row>
    <row r="36" spans="2:4" x14ac:dyDescent="0.2">
      <c r="B36" s="1" t="s">
        <v>82</v>
      </c>
      <c r="C36" s="4">
        <v>2.5000000000000001E-2</v>
      </c>
    </row>
    <row r="37" spans="2:4" x14ac:dyDescent="0.2">
      <c r="B37" s="1" t="s">
        <v>83</v>
      </c>
      <c r="C37" s="4">
        <v>7.0000000000000007E-2</v>
      </c>
    </row>
    <row r="39" spans="2:4" ht="20" customHeight="1" x14ac:dyDescent="0.2">
      <c r="B39" s="36" t="s">
        <v>84</v>
      </c>
      <c r="C39" s="37"/>
      <c r="D39" s="38"/>
    </row>
    <row r="40" spans="2:4" x14ac:dyDescent="0.2">
      <c r="B40" s="1" t="s">
        <v>85</v>
      </c>
      <c r="C40" s="4">
        <v>0.06</v>
      </c>
    </row>
    <row r="41" spans="2:4" x14ac:dyDescent="0.2">
      <c r="B41" s="1" t="s">
        <v>86</v>
      </c>
      <c r="C41" s="4">
        <v>0.03</v>
      </c>
    </row>
    <row r="42" spans="2:4" x14ac:dyDescent="0.2">
      <c r="B42" s="1" t="s">
        <v>87</v>
      </c>
      <c r="C42" s="8">
        <v>1.2</v>
      </c>
    </row>
    <row r="43" spans="2:4" x14ac:dyDescent="0.2">
      <c r="B43" s="1" t="s">
        <v>88</v>
      </c>
      <c r="C43" s="8">
        <v>1</v>
      </c>
    </row>
    <row r="45" spans="2:4" x14ac:dyDescent="0.2">
      <c r="B45" s="9" t="s">
        <v>89</v>
      </c>
      <c r="C45" s="10">
        <f>C13+C8+C18+C9</f>
        <v>34695.5</v>
      </c>
    </row>
    <row r="47" spans="2:4" x14ac:dyDescent="0.2">
      <c r="B47" s="3" t="s">
        <v>90</v>
      </c>
    </row>
  </sheetData>
  <mergeCells count="7">
    <mergeCell ref="B39:D39"/>
    <mergeCell ref="B2:D2"/>
    <mergeCell ref="B3:D3"/>
    <mergeCell ref="B11:D11"/>
    <mergeCell ref="B34:D34"/>
    <mergeCell ref="B20:D20"/>
    <mergeCell ref="B5:D5"/>
  </mergeCells>
  <dataValidations count="1">
    <dataValidation type="list" sqref="C35" xr:uid="{00000000-0002-0000-0100-000000000000}">
      <formula1>"5,6,7,8,9,10"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365"/>
  <sheetViews>
    <sheetView showGridLines="0" zoomScale="15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3" width="8" customWidth="1"/>
    <col min="4" max="6" width="14" customWidth="1"/>
    <col min="7" max="7" width="16" customWidth="1"/>
    <col min="8" max="8" width="3" customWidth="1"/>
    <col min="9" max="9" width="8" customWidth="1"/>
    <col min="10" max="13" width="14" customWidth="1"/>
  </cols>
  <sheetData>
    <row r="2" spans="1:13" ht="30" customHeight="1" x14ac:dyDescent="0.2">
      <c r="A2" s="74"/>
      <c r="B2" s="47" t="s">
        <v>91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16" customHeight="1" x14ac:dyDescent="0.2">
      <c r="A3" s="75"/>
      <c r="B3" s="48" t="s">
        <v>92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x14ac:dyDescent="0.2">
      <c r="I4" s="42" t="s">
        <v>93</v>
      </c>
      <c r="J4" s="35"/>
      <c r="K4" s="35"/>
      <c r="L4" s="35"/>
      <c r="M4" s="35"/>
    </row>
    <row r="5" spans="1:13" ht="18" customHeight="1" x14ac:dyDescent="0.2">
      <c r="B5" s="29" t="s">
        <v>94</v>
      </c>
      <c r="C5" s="29" t="s">
        <v>95</v>
      </c>
      <c r="D5" s="29" t="s">
        <v>96</v>
      </c>
      <c r="E5" s="29" t="s">
        <v>97</v>
      </c>
      <c r="F5" s="29" t="s">
        <v>98</v>
      </c>
      <c r="G5" s="29" t="s">
        <v>99</v>
      </c>
      <c r="I5" s="29" t="s">
        <v>95</v>
      </c>
      <c r="J5" s="29" t="s">
        <v>100</v>
      </c>
      <c r="K5" s="29" t="s">
        <v>101</v>
      </c>
      <c r="L5" s="29" t="s">
        <v>102</v>
      </c>
      <c r="M5" s="29" t="s">
        <v>99</v>
      </c>
    </row>
    <row r="6" spans="1:13" x14ac:dyDescent="0.2">
      <c r="B6" s="11">
        <v>1</v>
      </c>
      <c r="C6" s="11">
        <f t="shared" ref="C6:C69" si="0">ROUNDUP(B6/12,0)</f>
        <v>1</v>
      </c>
      <c r="D6" s="12">
        <f t="shared" ref="D6:D69" si="1">-PMT(InterestRate/12,LoanTermYrs*12,LoanAmount)</f>
        <v>536.23456580094387</v>
      </c>
      <c r="E6" s="12">
        <f>(LoanAmount)*InterestRate/12</f>
        <v>483.40625</v>
      </c>
      <c r="F6" s="12">
        <f t="shared" ref="F6:F69" si="2">D6-E6</f>
        <v>52.828315800943869</v>
      </c>
      <c r="G6" s="12">
        <f>(LoanAmount)-F6</f>
        <v>74797.171684199056</v>
      </c>
      <c r="I6" s="13">
        <v>1</v>
      </c>
      <c r="J6" s="14">
        <f t="shared" ref="J6:J15" si="3">SUMIF($C$6:$C$365,I6,$D$6:$D$365)</f>
        <v>6434.8147896113251</v>
      </c>
      <c r="K6" s="14">
        <f t="shared" ref="K6:K15" si="4">SUMIF($C$6:$C$365,I6,$E$6:$E$365)</f>
        <v>5777.865048822594</v>
      </c>
      <c r="L6" s="14">
        <f t="shared" ref="L6:L15" si="5">SUMIF($C$6:$C$365,I6,$F$6:$F$365)</f>
        <v>656.94974078873349</v>
      </c>
      <c r="M6" s="14">
        <f t="shared" ref="M6:M15" si="6">INDEX($G$6:$G$365,MATCH(I6*12,$B$6:$B$365,0))</f>
        <v>74193.050259211232</v>
      </c>
    </row>
    <row r="7" spans="1:13" x14ac:dyDescent="0.2">
      <c r="B7" s="11">
        <v>2</v>
      </c>
      <c r="C7" s="11">
        <f t="shared" si="0"/>
        <v>1</v>
      </c>
      <c r="D7" s="12">
        <f t="shared" si="1"/>
        <v>536.23456580094387</v>
      </c>
      <c r="E7" s="12">
        <f t="shared" ref="E7:E70" si="7">(G6)*InterestRate/12</f>
        <v>483.06506712711894</v>
      </c>
      <c r="F7" s="12">
        <f t="shared" si="2"/>
        <v>53.169498673824933</v>
      </c>
      <c r="G7" s="12">
        <f t="shared" ref="G7:G70" si="8">(G6)-F7</f>
        <v>74744.002185525227</v>
      </c>
      <c r="I7" s="13">
        <v>2</v>
      </c>
      <c r="J7" s="14">
        <f t="shared" si="3"/>
        <v>6434.8147896113251</v>
      </c>
      <c r="K7" s="14">
        <f t="shared" si="4"/>
        <v>5725.1034457538017</v>
      </c>
      <c r="L7" s="14">
        <f t="shared" si="5"/>
        <v>709.71134385752475</v>
      </c>
      <c r="M7" s="14">
        <f t="shared" si="6"/>
        <v>73483.338915353699</v>
      </c>
    </row>
    <row r="8" spans="1:13" x14ac:dyDescent="0.2">
      <c r="B8" s="11">
        <v>3</v>
      </c>
      <c r="C8" s="11">
        <f t="shared" si="0"/>
        <v>1</v>
      </c>
      <c r="D8" s="12">
        <f t="shared" si="1"/>
        <v>536.23456580094387</v>
      </c>
      <c r="E8" s="12">
        <f t="shared" si="7"/>
        <v>482.72168078151708</v>
      </c>
      <c r="F8" s="12">
        <f t="shared" si="2"/>
        <v>53.51288501942679</v>
      </c>
      <c r="G8" s="12">
        <f t="shared" si="8"/>
        <v>74690.489300505797</v>
      </c>
      <c r="I8" s="13">
        <v>3</v>
      </c>
      <c r="J8" s="14">
        <f t="shared" si="3"/>
        <v>6434.8147896113251</v>
      </c>
      <c r="K8" s="14">
        <f t="shared" si="4"/>
        <v>5668.1044001752598</v>
      </c>
      <c r="L8" s="14">
        <f t="shared" si="5"/>
        <v>766.71038943606607</v>
      </c>
      <c r="M8" s="14">
        <f t="shared" si="6"/>
        <v>72716.628525917637</v>
      </c>
    </row>
    <row r="9" spans="1:13" x14ac:dyDescent="0.2">
      <c r="B9" s="11">
        <v>4</v>
      </c>
      <c r="C9" s="11">
        <f t="shared" si="0"/>
        <v>1</v>
      </c>
      <c r="D9" s="12">
        <f t="shared" si="1"/>
        <v>536.23456580094387</v>
      </c>
      <c r="E9" s="12">
        <f t="shared" si="7"/>
        <v>482.37607673243332</v>
      </c>
      <c r="F9" s="12">
        <f t="shared" si="2"/>
        <v>53.858489068510551</v>
      </c>
      <c r="G9" s="12">
        <f t="shared" si="8"/>
        <v>74636.63081143728</v>
      </c>
      <c r="I9" s="13">
        <v>4</v>
      </c>
      <c r="J9" s="14">
        <f t="shared" si="3"/>
        <v>6434.8147896113251</v>
      </c>
      <c r="K9" s="14">
        <f t="shared" si="4"/>
        <v>5606.5275903761203</v>
      </c>
      <c r="L9" s="14">
        <f t="shared" si="5"/>
        <v>828.28719923520612</v>
      </c>
      <c r="M9" s="14">
        <f t="shared" si="6"/>
        <v>71888.341326682435</v>
      </c>
    </row>
    <row r="10" spans="1:13" x14ac:dyDescent="0.2">
      <c r="B10" s="11">
        <v>5</v>
      </c>
      <c r="C10" s="11">
        <f t="shared" si="0"/>
        <v>1</v>
      </c>
      <c r="D10" s="12">
        <f t="shared" si="1"/>
        <v>536.23456580094387</v>
      </c>
      <c r="E10" s="12">
        <f t="shared" si="7"/>
        <v>482.02824065719909</v>
      </c>
      <c r="F10" s="12">
        <f t="shared" si="2"/>
        <v>54.206325143744778</v>
      </c>
      <c r="G10" s="12">
        <f t="shared" si="8"/>
        <v>74582.42448629353</v>
      </c>
      <c r="I10" s="13">
        <v>5</v>
      </c>
      <c r="J10" s="14">
        <f t="shared" si="3"/>
        <v>6434.8147896113251</v>
      </c>
      <c r="K10" s="14">
        <f t="shared" si="4"/>
        <v>5540.0053623887279</v>
      </c>
      <c r="L10" s="14">
        <f t="shared" si="5"/>
        <v>894.80942722259897</v>
      </c>
      <c r="M10" s="14">
        <f t="shared" si="6"/>
        <v>70993.531899459849</v>
      </c>
    </row>
    <row r="11" spans="1:13" x14ac:dyDescent="0.2">
      <c r="B11" s="11">
        <v>6</v>
      </c>
      <c r="C11" s="11">
        <f t="shared" si="0"/>
        <v>1</v>
      </c>
      <c r="D11" s="12">
        <f t="shared" si="1"/>
        <v>536.23456580094387</v>
      </c>
      <c r="E11" s="12">
        <f t="shared" si="7"/>
        <v>481.67815814064573</v>
      </c>
      <c r="F11" s="12">
        <f t="shared" si="2"/>
        <v>54.556407660298134</v>
      </c>
      <c r="G11" s="12">
        <f t="shared" si="8"/>
        <v>74527.868078633226</v>
      </c>
      <c r="I11" s="13">
        <v>6</v>
      </c>
      <c r="J11" s="14">
        <f t="shared" si="3"/>
        <v>6434.8147896113251</v>
      </c>
      <c r="K11" s="14">
        <f t="shared" si="4"/>
        <v>5468.1405348531425</v>
      </c>
      <c r="L11" s="14">
        <f t="shared" si="5"/>
        <v>966.67425475818345</v>
      </c>
      <c r="M11" s="14">
        <f t="shared" si="6"/>
        <v>70026.857644701668</v>
      </c>
    </row>
    <row r="12" spans="1:13" x14ac:dyDescent="0.2">
      <c r="B12" s="11">
        <v>7</v>
      </c>
      <c r="C12" s="11">
        <f t="shared" si="0"/>
        <v>1</v>
      </c>
      <c r="D12" s="12">
        <f t="shared" si="1"/>
        <v>536.23456580094387</v>
      </c>
      <c r="E12" s="12">
        <f t="shared" si="7"/>
        <v>481.32581467450626</v>
      </c>
      <c r="F12" s="12">
        <f t="shared" si="2"/>
        <v>54.908751126437608</v>
      </c>
      <c r="G12" s="12">
        <f t="shared" si="8"/>
        <v>74472.959327506789</v>
      </c>
      <c r="I12" s="13">
        <v>7</v>
      </c>
      <c r="J12" s="14">
        <f t="shared" si="3"/>
        <v>6434.8147896113251</v>
      </c>
      <c r="K12" s="14">
        <f t="shared" si="4"/>
        <v>5390.5040275837518</v>
      </c>
      <c r="L12" s="14">
        <f t="shared" si="5"/>
        <v>1044.310762027575</v>
      </c>
      <c r="M12" s="14">
        <f t="shared" si="6"/>
        <v>68982.546882674098</v>
      </c>
    </row>
    <row r="13" spans="1:13" x14ac:dyDescent="0.2">
      <c r="B13" s="15">
        <v>8</v>
      </c>
      <c r="C13" s="15">
        <f t="shared" si="0"/>
        <v>1</v>
      </c>
      <c r="D13" s="16">
        <f t="shared" si="1"/>
        <v>536.23456580094387</v>
      </c>
      <c r="E13" s="16">
        <f t="shared" si="7"/>
        <v>480.97119565681464</v>
      </c>
      <c r="F13" s="16">
        <f t="shared" si="2"/>
        <v>55.263370144129226</v>
      </c>
      <c r="G13" s="16">
        <f t="shared" si="8"/>
        <v>74417.695957362666</v>
      </c>
      <c r="I13" s="13">
        <v>8</v>
      </c>
      <c r="J13" s="14">
        <f t="shared" si="3"/>
        <v>6434.8147896113251</v>
      </c>
      <c r="K13" s="14">
        <f t="shared" si="4"/>
        <v>5306.6322996789486</v>
      </c>
      <c r="L13" s="14">
        <f t="shared" si="5"/>
        <v>1128.1824899323783</v>
      </c>
      <c r="M13" s="14">
        <f t="shared" si="6"/>
        <v>67854.364392741714</v>
      </c>
    </row>
    <row r="14" spans="1:13" x14ac:dyDescent="0.2">
      <c r="B14" s="15">
        <v>9</v>
      </c>
      <c r="C14" s="15">
        <f t="shared" si="0"/>
        <v>1</v>
      </c>
      <c r="D14" s="16">
        <f t="shared" si="1"/>
        <v>536.23456580094387</v>
      </c>
      <c r="E14" s="16">
        <f t="shared" si="7"/>
        <v>480.61428639130054</v>
      </c>
      <c r="F14" s="16">
        <f t="shared" si="2"/>
        <v>55.620279409643331</v>
      </c>
      <c r="G14" s="16">
        <f t="shared" si="8"/>
        <v>74362.07567795302</v>
      </c>
      <c r="I14" s="13">
        <v>9</v>
      </c>
      <c r="J14" s="14">
        <f t="shared" si="3"/>
        <v>6434.8147896113251</v>
      </c>
      <c r="K14" s="14">
        <f t="shared" si="4"/>
        <v>5216.0245818777266</v>
      </c>
      <c r="L14" s="14">
        <f t="shared" si="5"/>
        <v>1218.7902077335991</v>
      </c>
      <c r="M14" s="14">
        <f t="shared" si="6"/>
        <v>66635.574185008125</v>
      </c>
    </row>
    <row r="15" spans="1:13" x14ac:dyDescent="0.2">
      <c r="B15" s="15">
        <v>10</v>
      </c>
      <c r="C15" s="15">
        <f t="shared" si="0"/>
        <v>1</v>
      </c>
      <c r="D15" s="16">
        <f t="shared" si="1"/>
        <v>536.23456580094387</v>
      </c>
      <c r="E15" s="16">
        <f t="shared" si="7"/>
        <v>480.25507208677988</v>
      </c>
      <c r="F15" s="16">
        <f t="shared" si="2"/>
        <v>55.979493714163993</v>
      </c>
      <c r="G15" s="16">
        <f t="shared" si="8"/>
        <v>74306.09618423885</v>
      </c>
      <c r="I15" s="13">
        <v>10</v>
      </c>
      <c r="J15" s="14">
        <f t="shared" si="3"/>
        <v>6434.8147896113251</v>
      </c>
      <c r="K15" s="14">
        <f t="shared" si="4"/>
        <v>5118.1398866385416</v>
      </c>
      <c r="L15" s="14">
        <f t="shared" si="5"/>
        <v>1316.6749029727844</v>
      </c>
      <c r="M15" s="14">
        <f t="shared" si="6"/>
        <v>65318.89928203536</v>
      </c>
    </row>
    <row r="16" spans="1:13" x14ac:dyDescent="0.2">
      <c r="B16" s="15">
        <v>11</v>
      </c>
      <c r="C16" s="15">
        <f t="shared" si="0"/>
        <v>1</v>
      </c>
      <c r="D16" s="16">
        <f t="shared" si="1"/>
        <v>536.23456580094387</v>
      </c>
      <c r="E16" s="16">
        <f t="shared" si="7"/>
        <v>479.89353785654254</v>
      </c>
      <c r="F16" s="16">
        <f t="shared" si="2"/>
        <v>56.341027944401333</v>
      </c>
      <c r="G16" s="16">
        <f t="shared" si="8"/>
        <v>74249.755156294443</v>
      </c>
    </row>
    <row r="17" spans="2:7" x14ac:dyDescent="0.2">
      <c r="B17" s="15">
        <v>12</v>
      </c>
      <c r="C17" s="15">
        <f t="shared" si="0"/>
        <v>1</v>
      </c>
      <c r="D17" s="16">
        <f t="shared" si="1"/>
        <v>536.23456580094387</v>
      </c>
      <c r="E17" s="16">
        <f t="shared" si="7"/>
        <v>479.52966871773492</v>
      </c>
      <c r="F17" s="16">
        <f t="shared" si="2"/>
        <v>56.704897083208948</v>
      </c>
      <c r="G17" s="16">
        <f t="shared" si="8"/>
        <v>74193.050259211232</v>
      </c>
    </row>
    <row r="18" spans="2:7" x14ac:dyDescent="0.2">
      <c r="B18" s="15">
        <v>13</v>
      </c>
      <c r="C18" s="15">
        <f t="shared" si="0"/>
        <v>2</v>
      </c>
      <c r="D18" s="16">
        <f t="shared" si="1"/>
        <v>536.23456580094387</v>
      </c>
      <c r="E18" s="16">
        <f t="shared" si="7"/>
        <v>479.16344959073922</v>
      </c>
      <c r="F18" s="16">
        <f t="shared" si="2"/>
        <v>57.07111621020465</v>
      </c>
      <c r="G18" s="16">
        <f t="shared" si="8"/>
        <v>74135.979143001023</v>
      </c>
    </row>
    <row r="19" spans="2:7" x14ac:dyDescent="0.2">
      <c r="B19" s="15">
        <v>14</v>
      </c>
      <c r="C19" s="15">
        <f t="shared" si="0"/>
        <v>2</v>
      </c>
      <c r="D19" s="16">
        <f t="shared" si="1"/>
        <v>536.23456580094387</v>
      </c>
      <c r="E19" s="16">
        <f t="shared" si="7"/>
        <v>478.7948652985483</v>
      </c>
      <c r="F19" s="16">
        <f t="shared" si="2"/>
        <v>57.439700502395567</v>
      </c>
      <c r="G19" s="16">
        <f t="shared" si="8"/>
        <v>74078.53944249863</v>
      </c>
    </row>
    <row r="20" spans="2:7" x14ac:dyDescent="0.2">
      <c r="B20" s="15">
        <v>15</v>
      </c>
      <c r="C20" s="15">
        <f t="shared" si="0"/>
        <v>2</v>
      </c>
      <c r="D20" s="16">
        <f t="shared" si="1"/>
        <v>536.23456580094387</v>
      </c>
      <c r="E20" s="16">
        <f t="shared" si="7"/>
        <v>478.42390056613698</v>
      </c>
      <c r="F20" s="16">
        <f t="shared" si="2"/>
        <v>57.810665234806891</v>
      </c>
      <c r="G20" s="16">
        <f t="shared" si="8"/>
        <v>74020.728777263823</v>
      </c>
    </row>
    <row r="21" spans="2:7" x14ac:dyDescent="0.2">
      <c r="B21" s="15">
        <v>16</v>
      </c>
      <c r="C21" s="15">
        <f t="shared" si="0"/>
        <v>2</v>
      </c>
      <c r="D21" s="16">
        <f t="shared" si="1"/>
        <v>536.23456580094387</v>
      </c>
      <c r="E21" s="16">
        <f t="shared" si="7"/>
        <v>478.05054001982882</v>
      </c>
      <c r="F21" s="16">
        <f t="shared" si="2"/>
        <v>58.184025781115054</v>
      </c>
      <c r="G21" s="16">
        <f t="shared" si="8"/>
        <v>73962.54475148271</v>
      </c>
    </row>
    <row r="22" spans="2:7" x14ac:dyDescent="0.2">
      <c r="B22" s="15">
        <v>17</v>
      </c>
      <c r="C22" s="15">
        <f t="shared" si="0"/>
        <v>2</v>
      </c>
      <c r="D22" s="16">
        <f t="shared" si="1"/>
        <v>536.23456580094387</v>
      </c>
      <c r="E22" s="16">
        <f t="shared" si="7"/>
        <v>477.67476818665915</v>
      </c>
      <c r="F22" s="16">
        <f t="shared" si="2"/>
        <v>58.559797614284719</v>
      </c>
      <c r="G22" s="16">
        <f t="shared" si="8"/>
        <v>73903.984953868421</v>
      </c>
    </row>
    <row r="23" spans="2:7" x14ac:dyDescent="0.2">
      <c r="B23" s="15">
        <v>18</v>
      </c>
      <c r="C23" s="15">
        <f t="shared" si="0"/>
        <v>2</v>
      </c>
      <c r="D23" s="16">
        <f t="shared" si="1"/>
        <v>536.23456580094387</v>
      </c>
      <c r="E23" s="16">
        <f t="shared" si="7"/>
        <v>477.29656949373356</v>
      </c>
      <c r="F23" s="16">
        <f t="shared" si="2"/>
        <v>58.937996307210312</v>
      </c>
      <c r="G23" s="16">
        <f t="shared" si="8"/>
        <v>73845.046957561208</v>
      </c>
    </row>
    <row r="24" spans="2:7" x14ac:dyDescent="0.2">
      <c r="B24" s="15">
        <v>19</v>
      </c>
      <c r="C24" s="15">
        <f t="shared" si="0"/>
        <v>2</v>
      </c>
      <c r="D24" s="16">
        <f t="shared" si="1"/>
        <v>536.23456580094387</v>
      </c>
      <c r="E24" s="16">
        <f t="shared" si="7"/>
        <v>476.91592826758279</v>
      </c>
      <c r="F24" s="16">
        <f t="shared" si="2"/>
        <v>59.318637533361084</v>
      </c>
      <c r="G24" s="16">
        <f t="shared" si="8"/>
        <v>73785.728320027847</v>
      </c>
    </row>
    <row r="25" spans="2:7" x14ac:dyDescent="0.2">
      <c r="B25" s="11">
        <v>20</v>
      </c>
      <c r="C25" s="11">
        <f t="shared" si="0"/>
        <v>2</v>
      </c>
      <c r="D25" s="12">
        <f t="shared" si="1"/>
        <v>536.23456580094387</v>
      </c>
      <c r="E25" s="12">
        <f t="shared" si="7"/>
        <v>476.53282873351321</v>
      </c>
      <c r="F25" s="12">
        <f t="shared" si="2"/>
        <v>59.701737067430656</v>
      </c>
      <c r="G25" s="12">
        <f t="shared" si="8"/>
        <v>73726.026582960418</v>
      </c>
    </row>
    <row r="26" spans="2:7" x14ac:dyDescent="0.2">
      <c r="B26" s="11">
        <v>21</v>
      </c>
      <c r="C26" s="11">
        <f t="shared" si="0"/>
        <v>2</v>
      </c>
      <c r="D26" s="12">
        <f t="shared" si="1"/>
        <v>536.23456580094387</v>
      </c>
      <c r="E26" s="12">
        <f t="shared" si="7"/>
        <v>476.14725501495269</v>
      </c>
      <c r="F26" s="12">
        <f t="shared" si="2"/>
        <v>60.087310785991178</v>
      </c>
      <c r="G26" s="12">
        <f t="shared" si="8"/>
        <v>73665.939272174423</v>
      </c>
    </row>
    <row r="27" spans="2:7" x14ac:dyDescent="0.2">
      <c r="B27" s="11">
        <v>22</v>
      </c>
      <c r="C27" s="11">
        <f t="shared" si="0"/>
        <v>2</v>
      </c>
      <c r="D27" s="12">
        <f t="shared" si="1"/>
        <v>536.23456580094387</v>
      </c>
      <c r="E27" s="12">
        <f t="shared" si="7"/>
        <v>475.75919113279315</v>
      </c>
      <c r="F27" s="12">
        <f t="shared" si="2"/>
        <v>60.475374668150721</v>
      </c>
      <c r="G27" s="12">
        <f t="shared" si="8"/>
        <v>73605.46389750627</v>
      </c>
    </row>
    <row r="28" spans="2:7" x14ac:dyDescent="0.2">
      <c r="B28" s="11">
        <v>23</v>
      </c>
      <c r="C28" s="11">
        <f t="shared" si="0"/>
        <v>2</v>
      </c>
      <c r="D28" s="12">
        <f t="shared" si="1"/>
        <v>536.23456580094387</v>
      </c>
      <c r="E28" s="12">
        <f t="shared" si="7"/>
        <v>475.36862100472803</v>
      </c>
      <c r="F28" s="12">
        <f t="shared" si="2"/>
        <v>60.865944796215842</v>
      </c>
      <c r="G28" s="12">
        <f t="shared" si="8"/>
        <v>73544.597952710057</v>
      </c>
    </row>
    <row r="29" spans="2:7" x14ac:dyDescent="0.2">
      <c r="B29" s="11">
        <v>24</v>
      </c>
      <c r="C29" s="11">
        <f t="shared" si="0"/>
        <v>2</v>
      </c>
      <c r="D29" s="12">
        <f t="shared" si="1"/>
        <v>536.23456580094387</v>
      </c>
      <c r="E29" s="12">
        <f t="shared" si="7"/>
        <v>474.97552844458579</v>
      </c>
      <c r="F29" s="12">
        <f t="shared" si="2"/>
        <v>61.259037356358078</v>
      </c>
      <c r="G29" s="12">
        <f t="shared" si="8"/>
        <v>73483.338915353699</v>
      </c>
    </row>
    <row r="30" spans="2:7" x14ac:dyDescent="0.2">
      <c r="B30" s="11">
        <v>25</v>
      </c>
      <c r="C30" s="11">
        <f t="shared" si="0"/>
        <v>3</v>
      </c>
      <c r="D30" s="12">
        <f t="shared" si="1"/>
        <v>536.23456580094387</v>
      </c>
      <c r="E30" s="12">
        <f t="shared" si="7"/>
        <v>474.57989716165929</v>
      </c>
      <c r="F30" s="12">
        <f t="shared" si="2"/>
        <v>61.65466863928458</v>
      </c>
      <c r="G30" s="12">
        <f t="shared" si="8"/>
        <v>73421.684246714416</v>
      </c>
    </row>
    <row r="31" spans="2:7" x14ac:dyDescent="0.2">
      <c r="B31" s="11">
        <v>26</v>
      </c>
      <c r="C31" s="11">
        <f t="shared" si="0"/>
        <v>3</v>
      </c>
      <c r="D31" s="12">
        <f t="shared" si="1"/>
        <v>536.23456580094387</v>
      </c>
      <c r="E31" s="12">
        <f t="shared" si="7"/>
        <v>474.18171076003063</v>
      </c>
      <c r="F31" s="12">
        <f t="shared" si="2"/>
        <v>62.052855040913244</v>
      </c>
      <c r="G31" s="12">
        <f t="shared" si="8"/>
        <v>73359.631391673509</v>
      </c>
    </row>
    <row r="32" spans="2:7" x14ac:dyDescent="0.2">
      <c r="B32" s="11">
        <v>27</v>
      </c>
      <c r="C32" s="11">
        <f t="shared" si="0"/>
        <v>3</v>
      </c>
      <c r="D32" s="12">
        <f t="shared" si="1"/>
        <v>536.23456580094387</v>
      </c>
      <c r="E32" s="12">
        <f t="shared" si="7"/>
        <v>473.78095273789137</v>
      </c>
      <c r="F32" s="12">
        <f t="shared" si="2"/>
        <v>62.453613063052501</v>
      </c>
      <c r="G32" s="12">
        <f t="shared" si="8"/>
        <v>73297.17777861045</v>
      </c>
    </row>
    <row r="33" spans="2:7" x14ac:dyDescent="0.2">
      <c r="B33" s="11">
        <v>28</v>
      </c>
      <c r="C33" s="11">
        <f t="shared" si="0"/>
        <v>3</v>
      </c>
      <c r="D33" s="12">
        <f t="shared" si="1"/>
        <v>536.23456580094387</v>
      </c>
      <c r="E33" s="12">
        <f t="shared" si="7"/>
        <v>473.37760648685912</v>
      </c>
      <c r="F33" s="12">
        <f t="shared" si="2"/>
        <v>62.856959314084747</v>
      </c>
      <c r="G33" s="12">
        <f t="shared" si="8"/>
        <v>73234.320819296365</v>
      </c>
    </row>
    <row r="34" spans="2:7" x14ac:dyDescent="0.2">
      <c r="B34" s="11">
        <v>29</v>
      </c>
      <c r="C34" s="11">
        <f t="shared" si="0"/>
        <v>3</v>
      </c>
      <c r="D34" s="12">
        <f t="shared" si="1"/>
        <v>536.23456580094387</v>
      </c>
      <c r="E34" s="12">
        <f t="shared" si="7"/>
        <v>472.97165529128898</v>
      </c>
      <c r="F34" s="12">
        <f t="shared" si="2"/>
        <v>63.262910509654887</v>
      </c>
      <c r="G34" s="12">
        <f t="shared" si="8"/>
        <v>73171.057908786708</v>
      </c>
    </row>
    <row r="35" spans="2:7" x14ac:dyDescent="0.2">
      <c r="B35" s="11">
        <v>30</v>
      </c>
      <c r="C35" s="11">
        <f t="shared" si="0"/>
        <v>3</v>
      </c>
      <c r="D35" s="12">
        <f t="shared" si="1"/>
        <v>536.23456580094387</v>
      </c>
      <c r="E35" s="12">
        <f t="shared" si="7"/>
        <v>472.56308232758079</v>
      </c>
      <c r="F35" s="12">
        <f t="shared" si="2"/>
        <v>63.671483473363082</v>
      </c>
      <c r="G35" s="12">
        <f t="shared" si="8"/>
        <v>73107.386425313351</v>
      </c>
    </row>
    <row r="36" spans="2:7" x14ac:dyDescent="0.2">
      <c r="B36" s="11">
        <v>31</v>
      </c>
      <c r="C36" s="11">
        <f t="shared" si="0"/>
        <v>3</v>
      </c>
      <c r="D36" s="12">
        <f t="shared" si="1"/>
        <v>536.23456580094387</v>
      </c>
      <c r="E36" s="12">
        <f t="shared" si="7"/>
        <v>472.15187066348204</v>
      </c>
      <c r="F36" s="12">
        <f t="shared" si="2"/>
        <v>64.082695137461826</v>
      </c>
      <c r="G36" s="12">
        <f t="shared" si="8"/>
        <v>73043.303730175889</v>
      </c>
    </row>
    <row r="37" spans="2:7" x14ac:dyDescent="0.2">
      <c r="B37" s="15">
        <v>32</v>
      </c>
      <c r="C37" s="15">
        <f t="shared" si="0"/>
        <v>3</v>
      </c>
      <c r="D37" s="16">
        <f t="shared" si="1"/>
        <v>536.23456580094387</v>
      </c>
      <c r="E37" s="16">
        <f t="shared" si="7"/>
        <v>471.73800325738597</v>
      </c>
      <c r="F37" s="16">
        <f t="shared" si="2"/>
        <v>64.4965625435579</v>
      </c>
      <c r="G37" s="16">
        <f t="shared" si="8"/>
        <v>72978.807167632331</v>
      </c>
    </row>
    <row r="38" spans="2:7" x14ac:dyDescent="0.2">
      <c r="B38" s="15">
        <v>33</v>
      </c>
      <c r="C38" s="15">
        <f t="shared" si="0"/>
        <v>3</v>
      </c>
      <c r="D38" s="16">
        <f t="shared" si="1"/>
        <v>536.23456580094387</v>
      </c>
      <c r="E38" s="16">
        <f t="shared" si="7"/>
        <v>471.3214629576255</v>
      </c>
      <c r="F38" s="16">
        <f t="shared" si="2"/>
        <v>64.91310284331837</v>
      </c>
      <c r="G38" s="16">
        <f t="shared" si="8"/>
        <v>72913.894064789012</v>
      </c>
    </row>
    <row r="39" spans="2:7" x14ac:dyDescent="0.2">
      <c r="B39" s="15">
        <v>34</v>
      </c>
      <c r="C39" s="15">
        <f t="shared" si="0"/>
        <v>3</v>
      </c>
      <c r="D39" s="16">
        <f t="shared" si="1"/>
        <v>536.23456580094387</v>
      </c>
      <c r="E39" s="16">
        <f t="shared" si="7"/>
        <v>470.9022325017624</v>
      </c>
      <c r="F39" s="16">
        <f t="shared" si="2"/>
        <v>65.332333299181471</v>
      </c>
      <c r="G39" s="16">
        <f t="shared" si="8"/>
        <v>72848.561731489826</v>
      </c>
    </row>
    <row r="40" spans="2:7" x14ac:dyDescent="0.2">
      <c r="B40" s="15">
        <v>35</v>
      </c>
      <c r="C40" s="15">
        <f t="shared" si="0"/>
        <v>3</v>
      </c>
      <c r="D40" s="16">
        <f t="shared" si="1"/>
        <v>536.23456580094387</v>
      </c>
      <c r="E40" s="16">
        <f t="shared" si="7"/>
        <v>470.48029451587178</v>
      </c>
      <c r="F40" s="16">
        <f t="shared" si="2"/>
        <v>65.754271285072093</v>
      </c>
      <c r="G40" s="16">
        <f t="shared" si="8"/>
        <v>72782.807460204756</v>
      </c>
    </row>
    <row r="41" spans="2:7" x14ac:dyDescent="0.2">
      <c r="B41" s="15">
        <v>36</v>
      </c>
      <c r="C41" s="15">
        <f t="shared" si="0"/>
        <v>3</v>
      </c>
      <c r="D41" s="16">
        <f t="shared" si="1"/>
        <v>536.23456580094387</v>
      </c>
      <c r="E41" s="16">
        <f t="shared" si="7"/>
        <v>470.05563151382239</v>
      </c>
      <c r="F41" s="16">
        <f t="shared" si="2"/>
        <v>66.178934287121479</v>
      </c>
      <c r="G41" s="16">
        <f t="shared" si="8"/>
        <v>72716.628525917637</v>
      </c>
    </row>
    <row r="42" spans="2:7" x14ac:dyDescent="0.2">
      <c r="B42" s="15">
        <v>37</v>
      </c>
      <c r="C42" s="15">
        <f t="shared" si="0"/>
        <v>4</v>
      </c>
      <c r="D42" s="16">
        <f t="shared" si="1"/>
        <v>536.23456580094387</v>
      </c>
      <c r="E42" s="16">
        <f t="shared" si="7"/>
        <v>469.62822589655138</v>
      </c>
      <c r="F42" s="16">
        <f t="shared" si="2"/>
        <v>66.606339904392485</v>
      </c>
      <c r="G42" s="16">
        <f t="shared" si="8"/>
        <v>72650.022186013244</v>
      </c>
    </row>
    <row r="43" spans="2:7" x14ac:dyDescent="0.2">
      <c r="B43" s="15">
        <v>38</v>
      </c>
      <c r="C43" s="15">
        <f t="shared" si="0"/>
        <v>4</v>
      </c>
      <c r="D43" s="16">
        <f t="shared" si="1"/>
        <v>536.23456580094387</v>
      </c>
      <c r="E43" s="16">
        <f t="shared" si="7"/>
        <v>469.19805995133555</v>
      </c>
      <c r="F43" s="16">
        <f t="shared" si="2"/>
        <v>67.036505849608318</v>
      </c>
      <c r="G43" s="16">
        <f t="shared" si="8"/>
        <v>72582.985680163634</v>
      </c>
    </row>
    <row r="44" spans="2:7" x14ac:dyDescent="0.2">
      <c r="B44" s="15">
        <v>39</v>
      </c>
      <c r="C44" s="15">
        <f t="shared" si="0"/>
        <v>4</v>
      </c>
      <c r="D44" s="16">
        <f t="shared" si="1"/>
        <v>536.23456580094387</v>
      </c>
      <c r="E44" s="16">
        <f t="shared" si="7"/>
        <v>468.76511585105681</v>
      </c>
      <c r="F44" s="16">
        <f t="shared" si="2"/>
        <v>67.469449949887064</v>
      </c>
      <c r="G44" s="16">
        <f t="shared" si="8"/>
        <v>72515.516230213747</v>
      </c>
    </row>
    <row r="45" spans="2:7" x14ac:dyDescent="0.2">
      <c r="B45" s="15">
        <v>40</v>
      </c>
      <c r="C45" s="15">
        <f t="shared" si="0"/>
        <v>4</v>
      </c>
      <c r="D45" s="16">
        <f t="shared" si="1"/>
        <v>536.23456580094387</v>
      </c>
      <c r="E45" s="16">
        <f t="shared" si="7"/>
        <v>468.32937565346379</v>
      </c>
      <c r="F45" s="16">
        <f t="shared" si="2"/>
        <v>67.905190147480084</v>
      </c>
      <c r="G45" s="16">
        <f t="shared" si="8"/>
        <v>72447.611040066273</v>
      </c>
    </row>
    <row r="46" spans="2:7" x14ac:dyDescent="0.2">
      <c r="B46" s="15">
        <v>41</v>
      </c>
      <c r="C46" s="15">
        <f t="shared" si="0"/>
        <v>4</v>
      </c>
      <c r="D46" s="16">
        <f t="shared" si="1"/>
        <v>536.23456580094387</v>
      </c>
      <c r="E46" s="16">
        <f t="shared" si="7"/>
        <v>467.89082130042806</v>
      </c>
      <c r="F46" s="16">
        <f t="shared" si="2"/>
        <v>68.343744500515811</v>
      </c>
      <c r="G46" s="16">
        <f t="shared" si="8"/>
        <v>72379.267295565762</v>
      </c>
    </row>
    <row r="47" spans="2:7" x14ac:dyDescent="0.2">
      <c r="B47" s="15">
        <v>42</v>
      </c>
      <c r="C47" s="15">
        <f t="shared" si="0"/>
        <v>4</v>
      </c>
      <c r="D47" s="16">
        <f t="shared" si="1"/>
        <v>536.23456580094387</v>
      </c>
      <c r="E47" s="16">
        <f t="shared" si="7"/>
        <v>467.44943461719555</v>
      </c>
      <c r="F47" s="16">
        <f t="shared" si="2"/>
        <v>68.785131183748319</v>
      </c>
      <c r="G47" s="16">
        <f t="shared" si="8"/>
        <v>72310.482164382018</v>
      </c>
    </row>
    <row r="48" spans="2:7" x14ac:dyDescent="0.2">
      <c r="B48" s="15">
        <v>43</v>
      </c>
      <c r="C48" s="15">
        <f t="shared" si="0"/>
        <v>4</v>
      </c>
      <c r="D48" s="16">
        <f t="shared" si="1"/>
        <v>536.23456580094387</v>
      </c>
      <c r="E48" s="16">
        <f t="shared" si="7"/>
        <v>467.00519731163382</v>
      </c>
      <c r="F48" s="16">
        <f t="shared" si="2"/>
        <v>69.229368489310048</v>
      </c>
      <c r="G48" s="16">
        <f t="shared" si="8"/>
        <v>72241.252795892709</v>
      </c>
    </row>
    <row r="49" spans="2:7" x14ac:dyDescent="0.2">
      <c r="B49" s="11">
        <v>44</v>
      </c>
      <c r="C49" s="11">
        <f t="shared" si="0"/>
        <v>4</v>
      </c>
      <c r="D49" s="12">
        <f t="shared" si="1"/>
        <v>536.23456580094387</v>
      </c>
      <c r="E49" s="12">
        <f t="shared" si="7"/>
        <v>466.55809097347378</v>
      </c>
      <c r="F49" s="12">
        <f t="shared" si="2"/>
        <v>69.676474827470088</v>
      </c>
      <c r="G49" s="12">
        <f t="shared" si="8"/>
        <v>72171.576321065237</v>
      </c>
    </row>
    <row r="50" spans="2:7" x14ac:dyDescent="0.2">
      <c r="B50" s="11">
        <v>45</v>
      </c>
      <c r="C50" s="11">
        <f t="shared" si="0"/>
        <v>4</v>
      </c>
      <c r="D50" s="12">
        <f t="shared" si="1"/>
        <v>536.23456580094387</v>
      </c>
      <c r="E50" s="12">
        <f t="shared" si="7"/>
        <v>466.10809707354633</v>
      </c>
      <c r="F50" s="12">
        <f t="shared" si="2"/>
        <v>70.126468727397537</v>
      </c>
      <c r="G50" s="12">
        <f t="shared" si="8"/>
        <v>72101.449852337842</v>
      </c>
    </row>
    <row r="51" spans="2:7" x14ac:dyDescent="0.2">
      <c r="B51" s="11">
        <v>46</v>
      </c>
      <c r="C51" s="11">
        <f t="shared" si="0"/>
        <v>4</v>
      </c>
      <c r="D51" s="12">
        <f t="shared" si="1"/>
        <v>536.23456580094387</v>
      </c>
      <c r="E51" s="12">
        <f t="shared" si="7"/>
        <v>465.65519696301521</v>
      </c>
      <c r="F51" s="12">
        <f t="shared" si="2"/>
        <v>70.579368837928655</v>
      </c>
      <c r="G51" s="12">
        <f t="shared" si="8"/>
        <v>72030.870483499908</v>
      </c>
    </row>
    <row r="52" spans="2:7" x14ac:dyDescent="0.2">
      <c r="B52" s="11">
        <v>47</v>
      </c>
      <c r="C52" s="11">
        <f t="shared" si="0"/>
        <v>4</v>
      </c>
      <c r="D52" s="12">
        <f t="shared" si="1"/>
        <v>536.23456580094387</v>
      </c>
      <c r="E52" s="12">
        <f t="shared" si="7"/>
        <v>465.19937187260354</v>
      </c>
      <c r="F52" s="12">
        <f t="shared" si="2"/>
        <v>71.035193928340334</v>
      </c>
      <c r="G52" s="12">
        <f t="shared" si="8"/>
        <v>71959.835289571565</v>
      </c>
    </row>
    <row r="53" spans="2:7" x14ac:dyDescent="0.2">
      <c r="B53" s="11">
        <v>48</v>
      </c>
      <c r="C53" s="11">
        <f t="shared" si="0"/>
        <v>4</v>
      </c>
      <c r="D53" s="12">
        <f t="shared" si="1"/>
        <v>536.23456580094387</v>
      </c>
      <c r="E53" s="12">
        <f t="shared" si="7"/>
        <v>464.74060291181632</v>
      </c>
      <c r="F53" s="12">
        <f t="shared" si="2"/>
        <v>71.493962889127545</v>
      </c>
      <c r="G53" s="12">
        <f t="shared" si="8"/>
        <v>71888.341326682435</v>
      </c>
    </row>
    <row r="54" spans="2:7" x14ac:dyDescent="0.2">
      <c r="B54" s="11">
        <v>49</v>
      </c>
      <c r="C54" s="11">
        <f t="shared" si="0"/>
        <v>5</v>
      </c>
      <c r="D54" s="12">
        <f t="shared" si="1"/>
        <v>536.23456580094387</v>
      </c>
      <c r="E54" s="12">
        <f t="shared" si="7"/>
        <v>464.27887106815734</v>
      </c>
      <c r="F54" s="12">
        <f t="shared" si="2"/>
        <v>71.955694732786526</v>
      </c>
      <c r="G54" s="12">
        <f t="shared" si="8"/>
        <v>71816.385631949655</v>
      </c>
    </row>
    <row r="55" spans="2:7" x14ac:dyDescent="0.2">
      <c r="B55" s="11">
        <v>50</v>
      </c>
      <c r="C55" s="11">
        <f t="shared" si="0"/>
        <v>5</v>
      </c>
      <c r="D55" s="12">
        <f t="shared" si="1"/>
        <v>536.23456580094387</v>
      </c>
      <c r="E55" s="12">
        <f t="shared" si="7"/>
        <v>463.81415720634158</v>
      </c>
      <c r="F55" s="12">
        <f t="shared" si="2"/>
        <v>72.420408594602293</v>
      </c>
      <c r="G55" s="12">
        <f t="shared" si="8"/>
        <v>71743.965223355059</v>
      </c>
    </row>
    <row r="56" spans="2:7" x14ac:dyDescent="0.2">
      <c r="B56" s="11">
        <v>51</v>
      </c>
      <c r="C56" s="11">
        <f t="shared" si="0"/>
        <v>5</v>
      </c>
      <c r="D56" s="12">
        <f t="shared" si="1"/>
        <v>536.23456580094387</v>
      </c>
      <c r="E56" s="12">
        <f t="shared" si="7"/>
        <v>463.34644206750141</v>
      </c>
      <c r="F56" s="12">
        <f t="shared" si="2"/>
        <v>72.888123733442455</v>
      </c>
      <c r="G56" s="12">
        <f t="shared" si="8"/>
        <v>71671.077099621616</v>
      </c>
    </row>
    <row r="57" spans="2:7" x14ac:dyDescent="0.2">
      <c r="B57" s="11">
        <v>52</v>
      </c>
      <c r="C57" s="11">
        <f t="shared" si="0"/>
        <v>5</v>
      </c>
      <c r="D57" s="12">
        <f t="shared" si="1"/>
        <v>536.23456580094387</v>
      </c>
      <c r="E57" s="12">
        <f t="shared" si="7"/>
        <v>462.87570626838959</v>
      </c>
      <c r="F57" s="12">
        <f t="shared" si="2"/>
        <v>73.358859532554277</v>
      </c>
      <c r="G57" s="12">
        <f t="shared" si="8"/>
        <v>71597.71824008906</v>
      </c>
    </row>
    <row r="58" spans="2:7" x14ac:dyDescent="0.2">
      <c r="B58" s="11">
        <v>53</v>
      </c>
      <c r="C58" s="11">
        <f t="shared" si="0"/>
        <v>5</v>
      </c>
      <c r="D58" s="12">
        <f t="shared" si="1"/>
        <v>536.23456580094387</v>
      </c>
      <c r="E58" s="12">
        <f t="shared" si="7"/>
        <v>462.4019303005752</v>
      </c>
      <c r="F58" s="12">
        <f t="shared" si="2"/>
        <v>73.832635500368667</v>
      </c>
      <c r="G58" s="12">
        <f t="shared" si="8"/>
        <v>71523.885604588693</v>
      </c>
    </row>
    <row r="59" spans="2:7" x14ac:dyDescent="0.2">
      <c r="B59" s="11">
        <v>54</v>
      </c>
      <c r="C59" s="11">
        <f t="shared" si="0"/>
        <v>5</v>
      </c>
      <c r="D59" s="12">
        <f t="shared" si="1"/>
        <v>536.23456580094387</v>
      </c>
      <c r="E59" s="12">
        <f t="shared" si="7"/>
        <v>461.92509452963532</v>
      </c>
      <c r="F59" s="12">
        <f t="shared" si="2"/>
        <v>74.309471271308553</v>
      </c>
      <c r="G59" s="12">
        <f t="shared" si="8"/>
        <v>71449.576133317387</v>
      </c>
    </row>
    <row r="60" spans="2:7" x14ac:dyDescent="0.2">
      <c r="B60" s="11">
        <v>55</v>
      </c>
      <c r="C60" s="11">
        <f t="shared" si="0"/>
        <v>5</v>
      </c>
      <c r="D60" s="12">
        <f t="shared" si="1"/>
        <v>536.23456580094387</v>
      </c>
      <c r="E60" s="12">
        <f t="shared" si="7"/>
        <v>461.44517919434151</v>
      </c>
      <c r="F60" s="12">
        <f t="shared" si="2"/>
        <v>74.789386606602363</v>
      </c>
      <c r="G60" s="12">
        <f t="shared" si="8"/>
        <v>71374.786746710786</v>
      </c>
    </row>
    <row r="61" spans="2:7" x14ac:dyDescent="0.2">
      <c r="B61" s="15">
        <v>56</v>
      </c>
      <c r="C61" s="15">
        <f t="shared" si="0"/>
        <v>5</v>
      </c>
      <c r="D61" s="16">
        <f t="shared" si="1"/>
        <v>536.23456580094387</v>
      </c>
      <c r="E61" s="16">
        <f t="shared" si="7"/>
        <v>460.9621644058405</v>
      </c>
      <c r="F61" s="16">
        <f t="shared" si="2"/>
        <v>75.272401395103373</v>
      </c>
      <c r="G61" s="16">
        <f t="shared" si="8"/>
        <v>71299.514345315678</v>
      </c>
    </row>
    <row r="62" spans="2:7" x14ac:dyDescent="0.2">
      <c r="B62" s="15">
        <v>57</v>
      </c>
      <c r="C62" s="15">
        <f t="shared" si="0"/>
        <v>5</v>
      </c>
      <c r="D62" s="16">
        <f t="shared" si="1"/>
        <v>536.23456580094387</v>
      </c>
      <c r="E62" s="16">
        <f t="shared" si="7"/>
        <v>460.47603014683045</v>
      </c>
      <c r="F62" s="16">
        <f t="shared" si="2"/>
        <v>75.758535654113416</v>
      </c>
      <c r="G62" s="16">
        <f t="shared" si="8"/>
        <v>71223.755809661568</v>
      </c>
    </row>
    <row r="63" spans="2:7" x14ac:dyDescent="0.2">
      <c r="B63" s="15">
        <v>58</v>
      </c>
      <c r="C63" s="15">
        <f t="shared" si="0"/>
        <v>5</v>
      </c>
      <c r="D63" s="16">
        <f t="shared" si="1"/>
        <v>536.23456580094387</v>
      </c>
      <c r="E63" s="16">
        <f t="shared" si="7"/>
        <v>459.98675627073095</v>
      </c>
      <c r="F63" s="16">
        <f t="shared" si="2"/>
        <v>76.247809530212919</v>
      </c>
      <c r="G63" s="16">
        <f t="shared" si="8"/>
        <v>71147.508000131362</v>
      </c>
    </row>
    <row r="64" spans="2:7" x14ac:dyDescent="0.2">
      <c r="B64" s="15">
        <v>59</v>
      </c>
      <c r="C64" s="15">
        <f t="shared" si="0"/>
        <v>5</v>
      </c>
      <c r="D64" s="16">
        <f t="shared" si="1"/>
        <v>536.23456580094387</v>
      </c>
      <c r="E64" s="16">
        <f t="shared" si="7"/>
        <v>459.49432250084834</v>
      </c>
      <c r="F64" s="16">
        <f t="shared" si="2"/>
        <v>76.740243300095528</v>
      </c>
      <c r="G64" s="16">
        <f t="shared" si="8"/>
        <v>71070.767756831265</v>
      </c>
    </row>
    <row r="65" spans="2:7" x14ac:dyDescent="0.2">
      <c r="B65" s="15">
        <v>60</v>
      </c>
      <c r="C65" s="15">
        <f t="shared" si="0"/>
        <v>5</v>
      </c>
      <c r="D65" s="16">
        <f t="shared" si="1"/>
        <v>536.23456580094387</v>
      </c>
      <c r="E65" s="16">
        <f t="shared" si="7"/>
        <v>458.99870842953527</v>
      </c>
      <c r="F65" s="16">
        <f t="shared" si="2"/>
        <v>77.235857371408599</v>
      </c>
      <c r="G65" s="16">
        <f t="shared" si="8"/>
        <v>70993.531899459849</v>
      </c>
    </row>
    <row r="66" spans="2:7" x14ac:dyDescent="0.2">
      <c r="B66" s="15">
        <v>61</v>
      </c>
      <c r="C66" s="15">
        <f t="shared" si="0"/>
        <v>6</v>
      </c>
      <c r="D66" s="16">
        <f t="shared" si="1"/>
        <v>536.23456580094387</v>
      </c>
      <c r="E66" s="16">
        <f t="shared" si="7"/>
        <v>458.49989351734484</v>
      </c>
      <c r="F66" s="16">
        <f t="shared" si="2"/>
        <v>77.734672283599025</v>
      </c>
      <c r="G66" s="16">
        <f t="shared" si="8"/>
        <v>70915.797227176256</v>
      </c>
    </row>
    <row r="67" spans="2:7" x14ac:dyDescent="0.2">
      <c r="B67" s="15">
        <v>62</v>
      </c>
      <c r="C67" s="15">
        <f t="shared" si="0"/>
        <v>6</v>
      </c>
      <c r="D67" s="16">
        <f t="shared" si="1"/>
        <v>536.23456580094387</v>
      </c>
      <c r="E67" s="16">
        <f t="shared" si="7"/>
        <v>457.99785709218003</v>
      </c>
      <c r="F67" s="16">
        <f t="shared" si="2"/>
        <v>78.236708708763842</v>
      </c>
      <c r="G67" s="16">
        <f t="shared" si="8"/>
        <v>70837.560518467493</v>
      </c>
    </row>
    <row r="68" spans="2:7" x14ac:dyDescent="0.2">
      <c r="B68" s="15">
        <v>63</v>
      </c>
      <c r="C68" s="15">
        <f t="shared" si="0"/>
        <v>6</v>
      </c>
      <c r="D68" s="16">
        <f t="shared" si="1"/>
        <v>536.23456580094387</v>
      </c>
      <c r="E68" s="16">
        <f t="shared" si="7"/>
        <v>457.49257834843593</v>
      </c>
      <c r="F68" s="16">
        <f t="shared" si="2"/>
        <v>78.741987452507942</v>
      </c>
      <c r="G68" s="16">
        <f t="shared" si="8"/>
        <v>70758.818531014986</v>
      </c>
    </row>
    <row r="69" spans="2:7" x14ac:dyDescent="0.2">
      <c r="B69" s="15">
        <v>64</v>
      </c>
      <c r="C69" s="15">
        <f t="shared" si="0"/>
        <v>6</v>
      </c>
      <c r="D69" s="16">
        <f t="shared" si="1"/>
        <v>536.23456580094387</v>
      </c>
      <c r="E69" s="16">
        <f t="shared" si="7"/>
        <v>456.98403634613845</v>
      </c>
      <c r="F69" s="16">
        <f t="shared" si="2"/>
        <v>79.250529454805417</v>
      </c>
      <c r="G69" s="16">
        <f t="shared" si="8"/>
        <v>70679.568001560183</v>
      </c>
    </row>
    <row r="70" spans="2:7" x14ac:dyDescent="0.2">
      <c r="B70" s="15">
        <v>65</v>
      </c>
      <c r="C70" s="15">
        <f t="shared" ref="C70:C133" si="9">ROUNDUP(B70/12,0)</f>
        <v>6</v>
      </c>
      <c r="D70" s="16">
        <f t="shared" ref="D70:D133" si="10">-PMT(InterestRate/12,LoanTermYrs*12,LoanAmount)</f>
        <v>536.23456580094387</v>
      </c>
      <c r="E70" s="16">
        <f t="shared" si="7"/>
        <v>456.4722100100762</v>
      </c>
      <c r="F70" s="16">
        <f t="shared" ref="F70:F133" si="11">D70-E70</f>
        <v>79.762355790867673</v>
      </c>
      <c r="G70" s="16">
        <f t="shared" si="8"/>
        <v>70599.805645769316</v>
      </c>
    </row>
    <row r="71" spans="2:7" x14ac:dyDescent="0.2">
      <c r="B71" s="15">
        <v>66</v>
      </c>
      <c r="C71" s="15">
        <f t="shared" si="9"/>
        <v>6</v>
      </c>
      <c r="D71" s="16">
        <f t="shared" si="10"/>
        <v>536.23456580094387</v>
      </c>
      <c r="E71" s="16">
        <f t="shared" ref="E71:E134" si="12">(G70)*InterestRate/12</f>
        <v>455.95707812892687</v>
      </c>
      <c r="F71" s="16">
        <f t="shared" si="11"/>
        <v>80.277487672017003</v>
      </c>
      <c r="G71" s="16">
        <f t="shared" ref="G71:G134" si="13">(G70)-F71</f>
        <v>70519.528158097295</v>
      </c>
    </row>
    <row r="72" spans="2:7" x14ac:dyDescent="0.2">
      <c r="B72" s="15">
        <v>67</v>
      </c>
      <c r="C72" s="15">
        <f t="shared" si="9"/>
        <v>6</v>
      </c>
      <c r="D72" s="16">
        <f t="shared" si="10"/>
        <v>536.23456580094387</v>
      </c>
      <c r="E72" s="16">
        <f t="shared" si="12"/>
        <v>455.43861935437832</v>
      </c>
      <c r="F72" s="16">
        <f t="shared" si="11"/>
        <v>80.795946446565551</v>
      </c>
      <c r="G72" s="16">
        <f t="shared" si="13"/>
        <v>70438.732211650728</v>
      </c>
    </row>
    <row r="73" spans="2:7" x14ac:dyDescent="0.2">
      <c r="B73" s="11">
        <v>68</v>
      </c>
      <c r="C73" s="11">
        <f t="shared" si="9"/>
        <v>6</v>
      </c>
      <c r="D73" s="12">
        <f t="shared" si="10"/>
        <v>536.23456580094387</v>
      </c>
      <c r="E73" s="12">
        <f t="shared" si="12"/>
        <v>454.91681220024429</v>
      </c>
      <c r="F73" s="12">
        <f t="shared" si="11"/>
        <v>81.317753600699575</v>
      </c>
      <c r="G73" s="12">
        <f t="shared" si="13"/>
        <v>70357.414458050029</v>
      </c>
    </row>
    <row r="74" spans="2:7" x14ac:dyDescent="0.2">
      <c r="B74" s="11">
        <v>69</v>
      </c>
      <c r="C74" s="11">
        <f t="shared" si="9"/>
        <v>6</v>
      </c>
      <c r="D74" s="12">
        <f t="shared" si="10"/>
        <v>536.23456580094387</v>
      </c>
      <c r="E74" s="12">
        <f t="shared" si="12"/>
        <v>454.39163504157312</v>
      </c>
      <c r="F74" s="12">
        <f t="shared" si="11"/>
        <v>81.842930759370745</v>
      </c>
      <c r="G74" s="12">
        <f t="shared" si="13"/>
        <v>70275.571527290653</v>
      </c>
    </row>
    <row r="75" spans="2:7" x14ac:dyDescent="0.2">
      <c r="B75" s="11">
        <v>70</v>
      </c>
      <c r="C75" s="11">
        <f t="shared" si="9"/>
        <v>6</v>
      </c>
      <c r="D75" s="12">
        <f t="shared" si="10"/>
        <v>536.23456580094387</v>
      </c>
      <c r="E75" s="12">
        <f t="shared" si="12"/>
        <v>453.86306611375215</v>
      </c>
      <c r="F75" s="12">
        <f t="shared" si="11"/>
        <v>82.371499687191715</v>
      </c>
      <c r="G75" s="12">
        <f t="shared" si="13"/>
        <v>70193.200027603467</v>
      </c>
    </row>
    <row r="76" spans="2:7" x14ac:dyDescent="0.2">
      <c r="B76" s="11">
        <v>71</v>
      </c>
      <c r="C76" s="11">
        <f t="shared" si="9"/>
        <v>6</v>
      </c>
      <c r="D76" s="12">
        <f t="shared" si="10"/>
        <v>536.23456580094387</v>
      </c>
      <c r="E76" s="12">
        <f t="shared" si="12"/>
        <v>453.33108351160575</v>
      </c>
      <c r="F76" s="12">
        <f t="shared" si="11"/>
        <v>82.903482289338115</v>
      </c>
      <c r="G76" s="12">
        <f t="shared" si="13"/>
        <v>70110.296545314122</v>
      </c>
    </row>
    <row r="77" spans="2:7" x14ac:dyDescent="0.2">
      <c r="B77" s="11">
        <v>72</v>
      </c>
      <c r="C77" s="11">
        <f t="shared" si="9"/>
        <v>6</v>
      </c>
      <c r="D77" s="12">
        <f t="shared" si="10"/>
        <v>536.23456580094387</v>
      </c>
      <c r="E77" s="12">
        <f t="shared" si="12"/>
        <v>452.79566518848702</v>
      </c>
      <c r="F77" s="12">
        <f t="shared" si="11"/>
        <v>83.438900612456848</v>
      </c>
      <c r="G77" s="12">
        <f t="shared" si="13"/>
        <v>70026.857644701668</v>
      </c>
    </row>
    <row r="78" spans="2:7" x14ac:dyDescent="0.2">
      <c r="B78" s="11">
        <v>73</v>
      </c>
      <c r="C78" s="11">
        <f t="shared" si="9"/>
        <v>7</v>
      </c>
      <c r="D78" s="12">
        <f t="shared" si="10"/>
        <v>536.23456580094387</v>
      </c>
      <c r="E78" s="12">
        <f t="shared" si="12"/>
        <v>452.25678895536493</v>
      </c>
      <c r="F78" s="12">
        <f t="shared" si="11"/>
        <v>83.977776845578944</v>
      </c>
      <c r="G78" s="12">
        <f t="shared" si="13"/>
        <v>69942.879867856085</v>
      </c>
    </row>
    <row r="79" spans="2:7" x14ac:dyDescent="0.2">
      <c r="B79" s="11">
        <v>74</v>
      </c>
      <c r="C79" s="11">
        <f t="shared" si="9"/>
        <v>7</v>
      </c>
      <c r="D79" s="12">
        <f t="shared" si="10"/>
        <v>536.23456580094387</v>
      </c>
      <c r="E79" s="12">
        <f t="shared" si="12"/>
        <v>451.71443247990391</v>
      </c>
      <c r="F79" s="12">
        <f t="shared" si="11"/>
        <v>84.520133321039964</v>
      </c>
      <c r="G79" s="12">
        <f t="shared" si="13"/>
        <v>69858.359734535043</v>
      </c>
    </row>
    <row r="80" spans="2:7" x14ac:dyDescent="0.2">
      <c r="B80" s="11">
        <v>75</v>
      </c>
      <c r="C80" s="11">
        <f t="shared" si="9"/>
        <v>7</v>
      </c>
      <c r="D80" s="12">
        <f t="shared" si="10"/>
        <v>536.23456580094387</v>
      </c>
      <c r="E80" s="12">
        <f t="shared" si="12"/>
        <v>451.1685732855388</v>
      </c>
      <c r="F80" s="12">
        <f t="shared" si="11"/>
        <v>85.065992515405071</v>
      </c>
      <c r="G80" s="12">
        <f t="shared" si="13"/>
        <v>69773.293742019639</v>
      </c>
    </row>
    <row r="81" spans="2:7" x14ac:dyDescent="0.2">
      <c r="B81" s="11">
        <v>76</v>
      </c>
      <c r="C81" s="11">
        <f t="shared" si="9"/>
        <v>7</v>
      </c>
      <c r="D81" s="12">
        <f t="shared" si="10"/>
        <v>536.23456580094387</v>
      </c>
      <c r="E81" s="12">
        <f t="shared" si="12"/>
        <v>450.61918875054351</v>
      </c>
      <c r="F81" s="12">
        <f t="shared" si="11"/>
        <v>85.615377050400355</v>
      </c>
      <c r="G81" s="12">
        <f t="shared" si="13"/>
        <v>69687.678364969237</v>
      </c>
    </row>
    <row r="82" spans="2:7" x14ac:dyDescent="0.2">
      <c r="B82" s="11">
        <v>77</v>
      </c>
      <c r="C82" s="11">
        <f t="shared" si="9"/>
        <v>7</v>
      </c>
      <c r="D82" s="12">
        <f t="shared" si="10"/>
        <v>536.23456580094387</v>
      </c>
      <c r="E82" s="12">
        <f t="shared" si="12"/>
        <v>450.06625610709301</v>
      </c>
      <c r="F82" s="12">
        <f t="shared" si="11"/>
        <v>86.168309693850858</v>
      </c>
      <c r="G82" s="12">
        <f t="shared" si="13"/>
        <v>69601.510055275387</v>
      </c>
    </row>
    <row r="83" spans="2:7" x14ac:dyDescent="0.2">
      <c r="B83" s="11">
        <v>78</v>
      </c>
      <c r="C83" s="11">
        <f t="shared" si="9"/>
        <v>7</v>
      </c>
      <c r="D83" s="12">
        <f t="shared" si="10"/>
        <v>536.23456580094387</v>
      </c>
      <c r="E83" s="12">
        <f t="shared" si="12"/>
        <v>449.5097524403202</v>
      </c>
      <c r="F83" s="12">
        <f t="shared" si="11"/>
        <v>86.724813360623671</v>
      </c>
      <c r="G83" s="12">
        <f t="shared" si="13"/>
        <v>69514.785241914768</v>
      </c>
    </row>
    <row r="84" spans="2:7" x14ac:dyDescent="0.2">
      <c r="B84" s="11">
        <v>79</v>
      </c>
      <c r="C84" s="11">
        <f t="shared" si="9"/>
        <v>7</v>
      </c>
      <c r="D84" s="12">
        <f t="shared" si="10"/>
        <v>536.23456580094387</v>
      </c>
      <c r="E84" s="12">
        <f t="shared" si="12"/>
        <v>448.94965468736615</v>
      </c>
      <c r="F84" s="12">
        <f t="shared" si="11"/>
        <v>87.284911113577721</v>
      </c>
      <c r="G84" s="12">
        <f t="shared" si="13"/>
        <v>69427.500330801195</v>
      </c>
    </row>
    <row r="85" spans="2:7" x14ac:dyDescent="0.2">
      <c r="B85" s="15">
        <v>80</v>
      </c>
      <c r="C85" s="15">
        <f t="shared" si="9"/>
        <v>7</v>
      </c>
      <c r="D85" s="16">
        <f t="shared" si="10"/>
        <v>536.23456580094387</v>
      </c>
      <c r="E85" s="16">
        <f t="shared" si="12"/>
        <v>448.38593963642438</v>
      </c>
      <c r="F85" s="16">
        <f t="shared" si="11"/>
        <v>87.848626164519487</v>
      </c>
      <c r="G85" s="16">
        <f t="shared" si="13"/>
        <v>69339.651704636679</v>
      </c>
    </row>
    <row r="86" spans="2:7" x14ac:dyDescent="0.2">
      <c r="B86" s="15">
        <v>81</v>
      </c>
      <c r="C86" s="15">
        <f t="shared" si="9"/>
        <v>7</v>
      </c>
      <c r="D86" s="16">
        <f t="shared" si="10"/>
        <v>536.23456580094387</v>
      </c>
      <c r="E86" s="16">
        <f t="shared" si="12"/>
        <v>447.81858392577851</v>
      </c>
      <c r="F86" s="16">
        <f t="shared" si="11"/>
        <v>88.415981875165357</v>
      </c>
      <c r="G86" s="16">
        <f t="shared" si="13"/>
        <v>69251.235722761514</v>
      </c>
    </row>
    <row r="87" spans="2:7" x14ac:dyDescent="0.2">
      <c r="B87" s="15">
        <v>82</v>
      </c>
      <c r="C87" s="15">
        <f t="shared" si="9"/>
        <v>7</v>
      </c>
      <c r="D87" s="16">
        <f t="shared" si="10"/>
        <v>536.23456580094387</v>
      </c>
      <c r="E87" s="16">
        <f t="shared" si="12"/>
        <v>447.24756404283477</v>
      </c>
      <c r="F87" s="16">
        <f t="shared" si="11"/>
        <v>88.987001758109102</v>
      </c>
      <c r="G87" s="16">
        <f t="shared" si="13"/>
        <v>69162.248721003401</v>
      </c>
    </row>
    <row r="88" spans="2:7" x14ac:dyDescent="0.2">
      <c r="B88" s="15">
        <v>83</v>
      </c>
      <c r="C88" s="15">
        <f t="shared" si="9"/>
        <v>7</v>
      </c>
      <c r="D88" s="16">
        <f t="shared" si="10"/>
        <v>536.23456580094387</v>
      </c>
      <c r="E88" s="16">
        <f t="shared" si="12"/>
        <v>446.67285632314696</v>
      </c>
      <c r="F88" s="16">
        <f t="shared" si="11"/>
        <v>89.56170947779691</v>
      </c>
      <c r="G88" s="16">
        <f t="shared" si="13"/>
        <v>69072.687011525602</v>
      </c>
    </row>
    <row r="89" spans="2:7" x14ac:dyDescent="0.2">
      <c r="B89" s="15">
        <v>84</v>
      </c>
      <c r="C89" s="15">
        <f t="shared" si="9"/>
        <v>7</v>
      </c>
      <c r="D89" s="16">
        <f t="shared" si="10"/>
        <v>536.23456580094387</v>
      </c>
      <c r="E89" s="16">
        <f t="shared" si="12"/>
        <v>446.09443694943616</v>
      </c>
      <c r="F89" s="16">
        <f t="shared" si="11"/>
        <v>90.140128851507711</v>
      </c>
      <c r="G89" s="16">
        <f t="shared" si="13"/>
        <v>68982.546882674098</v>
      </c>
    </row>
    <row r="90" spans="2:7" x14ac:dyDescent="0.2">
      <c r="B90" s="15">
        <v>85</v>
      </c>
      <c r="C90" s="15">
        <f t="shared" si="9"/>
        <v>8</v>
      </c>
      <c r="D90" s="16">
        <f t="shared" si="10"/>
        <v>536.23456580094387</v>
      </c>
      <c r="E90" s="16">
        <f t="shared" si="12"/>
        <v>445.51228195060349</v>
      </c>
      <c r="F90" s="16">
        <f t="shared" si="11"/>
        <v>90.722283850340375</v>
      </c>
      <c r="G90" s="16">
        <f t="shared" si="13"/>
        <v>68891.824598823761</v>
      </c>
    </row>
    <row r="91" spans="2:7" x14ac:dyDescent="0.2">
      <c r="B91" s="15">
        <v>86</v>
      </c>
      <c r="C91" s="15">
        <f t="shared" si="9"/>
        <v>8</v>
      </c>
      <c r="D91" s="16">
        <f t="shared" si="10"/>
        <v>536.23456580094387</v>
      </c>
      <c r="E91" s="16">
        <f t="shared" si="12"/>
        <v>444.92636720073682</v>
      </c>
      <c r="F91" s="16">
        <f t="shared" si="11"/>
        <v>91.308198600207049</v>
      </c>
      <c r="G91" s="16">
        <f t="shared" si="13"/>
        <v>68800.516400223554</v>
      </c>
    </row>
    <row r="92" spans="2:7" x14ac:dyDescent="0.2">
      <c r="B92" s="15">
        <v>87</v>
      </c>
      <c r="C92" s="15">
        <f t="shared" si="9"/>
        <v>8</v>
      </c>
      <c r="D92" s="16">
        <f t="shared" si="10"/>
        <v>536.23456580094387</v>
      </c>
      <c r="E92" s="16">
        <f t="shared" si="12"/>
        <v>444.33666841811049</v>
      </c>
      <c r="F92" s="16">
        <f t="shared" si="11"/>
        <v>91.897897382833378</v>
      </c>
      <c r="G92" s="16">
        <f t="shared" si="13"/>
        <v>68708.61850284072</v>
      </c>
    </row>
    <row r="93" spans="2:7" x14ac:dyDescent="0.2">
      <c r="B93" s="15">
        <v>88</v>
      </c>
      <c r="C93" s="15">
        <f t="shared" si="9"/>
        <v>8</v>
      </c>
      <c r="D93" s="16">
        <f t="shared" si="10"/>
        <v>536.23456580094387</v>
      </c>
      <c r="E93" s="16">
        <f t="shared" si="12"/>
        <v>443.74316116417964</v>
      </c>
      <c r="F93" s="16">
        <f t="shared" si="11"/>
        <v>92.49140463676423</v>
      </c>
      <c r="G93" s="16">
        <f t="shared" si="13"/>
        <v>68616.127098203957</v>
      </c>
    </row>
    <row r="94" spans="2:7" x14ac:dyDescent="0.2">
      <c r="B94" s="15">
        <v>89</v>
      </c>
      <c r="C94" s="15">
        <f t="shared" si="9"/>
        <v>8</v>
      </c>
      <c r="D94" s="16">
        <f t="shared" si="10"/>
        <v>536.23456580094387</v>
      </c>
      <c r="E94" s="16">
        <f t="shared" si="12"/>
        <v>443.14582084256722</v>
      </c>
      <c r="F94" s="16">
        <f t="shared" si="11"/>
        <v>93.088744958376651</v>
      </c>
      <c r="G94" s="16">
        <f t="shared" si="13"/>
        <v>68523.038353245574</v>
      </c>
    </row>
    <row r="95" spans="2:7" x14ac:dyDescent="0.2">
      <c r="B95" s="15">
        <v>90</v>
      </c>
      <c r="C95" s="15">
        <f t="shared" si="9"/>
        <v>8</v>
      </c>
      <c r="D95" s="16">
        <f t="shared" si="10"/>
        <v>536.23456580094387</v>
      </c>
      <c r="E95" s="16">
        <f t="shared" si="12"/>
        <v>442.54462269804435</v>
      </c>
      <c r="F95" s="16">
        <f t="shared" si="11"/>
        <v>93.68994310289952</v>
      </c>
      <c r="G95" s="16">
        <f t="shared" si="13"/>
        <v>68429.348410142673</v>
      </c>
    </row>
    <row r="96" spans="2:7" x14ac:dyDescent="0.2">
      <c r="B96" s="15">
        <v>91</v>
      </c>
      <c r="C96" s="15">
        <f t="shared" si="9"/>
        <v>8</v>
      </c>
      <c r="D96" s="16">
        <f t="shared" si="10"/>
        <v>536.23456580094387</v>
      </c>
      <c r="E96" s="16">
        <f t="shared" si="12"/>
        <v>441.93954181550475</v>
      </c>
      <c r="F96" s="16">
        <f t="shared" si="11"/>
        <v>94.295023985439116</v>
      </c>
      <c r="G96" s="16">
        <f t="shared" si="13"/>
        <v>68335.053386157233</v>
      </c>
    </row>
    <row r="97" spans="2:7" x14ac:dyDescent="0.2">
      <c r="B97" s="11">
        <v>92</v>
      </c>
      <c r="C97" s="11">
        <f t="shared" si="9"/>
        <v>8</v>
      </c>
      <c r="D97" s="12">
        <f t="shared" si="10"/>
        <v>536.23456580094387</v>
      </c>
      <c r="E97" s="12">
        <f t="shared" si="12"/>
        <v>441.33055311893213</v>
      </c>
      <c r="F97" s="12">
        <f t="shared" si="11"/>
        <v>94.904012682011739</v>
      </c>
      <c r="G97" s="12">
        <f t="shared" si="13"/>
        <v>68240.149373475215</v>
      </c>
    </row>
    <row r="98" spans="2:7" x14ac:dyDescent="0.2">
      <c r="B98" s="11">
        <v>93</v>
      </c>
      <c r="C98" s="11">
        <f t="shared" si="9"/>
        <v>8</v>
      </c>
      <c r="D98" s="12">
        <f t="shared" si="10"/>
        <v>536.23456580094387</v>
      </c>
      <c r="E98" s="12">
        <f t="shared" si="12"/>
        <v>440.71763137036078</v>
      </c>
      <c r="F98" s="12">
        <f t="shared" si="11"/>
        <v>95.516934430583092</v>
      </c>
      <c r="G98" s="12">
        <f t="shared" si="13"/>
        <v>68144.632439044639</v>
      </c>
    </row>
    <row r="99" spans="2:7" x14ac:dyDescent="0.2">
      <c r="B99" s="11">
        <v>94</v>
      </c>
      <c r="C99" s="11">
        <f t="shared" si="9"/>
        <v>8</v>
      </c>
      <c r="D99" s="12">
        <f t="shared" si="10"/>
        <v>536.23456580094387</v>
      </c>
      <c r="E99" s="12">
        <f t="shared" si="12"/>
        <v>440.10075116882996</v>
      </c>
      <c r="F99" s="12">
        <f t="shared" si="11"/>
        <v>96.133814632113911</v>
      </c>
      <c r="G99" s="12">
        <f t="shared" si="13"/>
        <v>68048.498624412532</v>
      </c>
    </row>
    <row r="100" spans="2:7" x14ac:dyDescent="0.2">
      <c r="B100" s="11">
        <v>95</v>
      </c>
      <c r="C100" s="11">
        <f t="shared" si="9"/>
        <v>8</v>
      </c>
      <c r="D100" s="12">
        <f t="shared" si="10"/>
        <v>536.23456580094387</v>
      </c>
      <c r="E100" s="12">
        <f t="shared" si="12"/>
        <v>439.47988694933093</v>
      </c>
      <c r="F100" s="12">
        <f t="shared" si="11"/>
        <v>96.754678851612937</v>
      </c>
      <c r="G100" s="12">
        <f t="shared" si="13"/>
        <v>67951.743945560913</v>
      </c>
    </row>
    <row r="101" spans="2:7" x14ac:dyDescent="0.2">
      <c r="B101" s="11">
        <v>96</v>
      </c>
      <c r="C101" s="11">
        <f t="shared" si="9"/>
        <v>8</v>
      </c>
      <c r="D101" s="12">
        <f t="shared" si="10"/>
        <v>536.23456580094387</v>
      </c>
      <c r="E101" s="12">
        <f t="shared" si="12"/>
        <v>438.85501298174751</v>
      </c>
      <c r="F101" s="12">
        <f t="shared" si="11"/>
        <v>97.379552819196363</v>
      </c>
      <c r="G101" s="12">
        <f t="shared" si="13"/>
        <v>67854.364392741714</v>
      </c>
    </row>
    <row r="102" spans="2:7" x14ac:dyDescent="0.2">
      <c r="B102" s="11">
        <v>97</v>
      </c>
      <c r="C102" s="11">
        <f t="shared" si="9"/>
        <v>9</v>
      </c>
      <c r="D102" s="12">
        <f t="shared" si="10"/>
        <v>536.23456580094387</v>
      </c>
      <c r="E102" s="12">
        <f t="shared" si="12"/>
        <v>438.22610336979022</v>
      </c>
      <c r="F102" s="12">
        <f t="shared" si="11"/>
        <v>98.008462431153646</v>
      </c>
      <c r="G102" s="12">
        <f t="shared" si="13"/>
        <v>67756.355930310558</v>
      </c>
    </row>
    <row r="103" spans="2:7" x14ac:dyDescent="0.2">
      <c r="B103" s="11">
        <v>98</v>
      </c>
      <c r="C103" s="11">
        <f t="shared" si="9"/>
        <v>9</v>
      </c>
      <c r="D103" s="12">
        <f t="shared" si="10"/>
        <v>536.23456580094387</v>
      </c>
      <c r="E103" s="12">
        <f t="shared" si="12"/>
        <v>437.59313204992236</v>
      </c>
      <c r="F103" s="12">
        <f t="shared" si="11"/>
        <v>98.641433751021509</v>
      </c>
      <c r="G103" s="12">
        <f t="shared" si="13"/>
        <v>67657.714496559536</v>
      </c>
    </row>
    <row r="104" spans="2:7" x14ac:dyDescent="0.2">
      <c r="B104" s="11">
        <v>99</v>
      </c>
      <c r="C104" s="11">
        <f t="shared" si="9"/>
        <v>9</v>
      </c>
      <c r="D104" s="12">
        <f t="shared" si="10"/>
        <v>536.23456580094387</v>
      </c>
      <c r="E104" s="12">
        <f t="shared" si="12"/>
        <v>436.95607279028036</v>
      </c>
      <c r="F104" s="12">
        <f t="shared" si="11"/>
        <v>99.27849301066351</v>
      </c>
      <c r="G104" s="12">
        <f t="shared" si="13"/>
        <v>67558.436003548879</v>
      </c>
    </row>
    <row r="105" spans="2:7" x14ac:dyDescent="0.2">
      <c r="B105" s="11">
        <v>100</v>
      </c>
      <c r="C105" s="11">
        <f t="shared" si="9"/>
        <v>9</v>
      </c>
      <c r="D105" s="12">
        <f t="shared" si="10"/>
        <v>536.23456580094387</v>
      </c>
      <c r="E105" s="12">
        <f t="shared" si="12"/>
        <v>436.31489918958647</v>
      </c>
      <c r="F105" s="12">
        <f t="shared" si="11"/>
        <v>99.9196666113574</v>
      </c>
      <c r="G105" s="12">
        <f t="shared" si="13"/>
        <v>67458.516336937522</v>
      </c>
    </row>
    <row r="106" spans="2:7" x14ac:dyDescent="0.2">
      <c r="B106" s="11">
        <v>101</v>
      </c>
      <c r="C106" s="11">
        <f t="shared" si="9"/>
        <v>9</v>
      </c>
      <c r="D106" s="12">
        <f t="shared" si="10"/>
        <v>536.23456580094387</v>
      </c>
      <c r="E106" s="12">
        <f t="shared" si="12"/>
        <v>435.66958467605485</v>
      </c>
      <c r="F106" s="12">
        <f t="shared" si="11"/>
        <v>100.56498112488902</v>
      </c>
      <c r="G106" s="12">
        <f t="shared" si="13"/>
        <v>67357.951355812635</v>
      </c>
    </row>
    <row r="107" spans="2:7" x14ac:dyDescent="0.2">
      <c r="B107" s="11">
        <v>102</v>
      </c>
      <c r="C107" s="11">
        <f t="shared" si="9"/>
        <v>9</v>
      </c>
      <c r="D107" s="12">
        <f t="shared" si="10"/>
        <v>536.23456580094387</v>
      </c>
      <c r="E107" s="12">
        <f t="shared" si="12"/>
        <v>435.02010250628996</v>
      </c>
      <c r="F107" s="12">
        <f t="shared" si="11"/>
        <v>101.21446329465391</v>
      </c>
      <c r="G107" s="12">
        <f t="shared" si="13"/>
        <v>67256.736892517976</v>
      </c>
    </row>
    <row r="108" spans="2:7" x14ac:dyDescent="0.2">
      <c r="B108" s="11">
        <v>103</v>
      </c>
      <c r="C108" s="11">
        <f t="shared" si="9"/>
        <v>9</v>
      </c>
      <c r="D108" s="12">
        <f t="shared" si="10"/>
        <v>536.23456580094387</v>
      </c>
      <c r="E108" s="12">
        <f t="shared" si="12"/>
        <v>434.36642576417859</v>
      </c>
      <c r="F108" s="12">
        <f t="shared" si="11"/>
        <v>101.86814003676528</v>
      </c>
      <c r="G108" s="12">
        <f t="shared" si="13"/>
        <v>67154.868752481212</v>
      </c>
    </row>
    <row r="109" spans="2:7" x14ac:dyDescent="0.2">
      <c r="B109" s="15">
        <v>104</v>
      </c>
      <c r="C109" s="15">
        <f t="shared" si="9"/>
        <v>9</v>
      </c>
      <c r="D109" s="16">
        <f t="shared" si="10"/>
        <v>536.23456580094387</v>
      </c>
      <c r="E109" s="16">
        <f t="shared" si="12"/>
        <v>433.70852735977451</v>
      </c>
      <c r="F109" s="16">
        <f t="shared" si="11"/>
        <v>102.52603844116936</v>
      </c>
      <c r="G109" s="16">
        <f t="shared" si="13"/>
        <v>67052.342714040045</v>
      </c>
    </row>
    <row r="110" spans="2:7" x14ac:dyDescent="0.2">
      <c r="B110" s="15">
        <v>105</v>
      </c>
      <c r="C110" s="15">
        <f t="shared" si="9"/>
        <v>9</v>
      </c>
      <c r="D110" s="16">
        <f t="shared" si="10"/>
        <v>536.23456580094387</v>
      </c>
      <c r="E110" s="16">
        <f t="shared" si="12"/>
        <v>433.04638002817529</v>
      </c>
      <c r="F110" s="16">
        <f t="shared" si="11"/>
        <v>103.18818577276858</v>
      </c>
      <c r="G110" s="16">
        <f t="shared" si="13"/>
        <v>66949.154528267274</v>
      </c>
    </row>
    <row r="111" spans="2:7" x14ac:dyDescent="0.2">
      <c r="B111" s="15">
        <v>106</v>
      </c>
      <c r="C111" s="15">
        <f t="shared" si="9"/>
        <v>9</v>
      </c>
      <c r="D111" s="16">
        <f t="shared" si="10"/>
        <v>536.23456580094387</v>
      </c>
      <c r="E111" s="16">
        <f t="shared" si="12"/>
        <v>432.37995632839284</v>
      </c>
      <c r="F111" s="16">
        <f t="shared" si="11"/>
        <v>103.85460947255103</v>
      </c>
      <c r="G111" s="16">
        <f t="shared" si="13"/>
        <v>66845.299918794728</v>
      </c>
    </row>
    <row r="112" spans="2:7" x14ac:dyDescent="0.2">
      <c r="B112" s="15">
        <v>107</v>
      </c>
      <c r="C112" s="15">
        <f t="shared" si="9"/>
        <v>9</v>
      </c>
      <c r="D112" s="16">
        <f t="shared" si="10"/>
        <v>536.23456580094387</v>
      </c>
      <c r="E112" s="16">
        <f t="shared" si="12"/>
        <v>431.70922864221598</v>
      </c>
      <c r="F112" s="16">
        <f t="shared" si="11"/>
        <v>104.52533715872789</v>
      </c>
      <c r="G112" s="16">
        <f t="shared" si="13"/>
        <v>66740.774581635997</v>
      </c>
    </row>
    <row r="113" spans="2:7" x14ac:dyDescent="0.2">
      <c r="B113" s="15">
        <v>108</v>
      </c>
      <c r="C113" s="15">
        <f t="shared" si="9"/>
        <v>9</v>
      </c>
      <c r="D113" s="16">
        <f t="shared" si="10"/>
        <v>536.23456580094387</v>
      </c>
      <c r="E113" s="16">
        <f t="shared" si="12"/>
        <v>431.03416917306578</v>
      </c>
      <c r="F113" s="16">
        <f t="shared" si="11"/>
        <v>105.20039662787809</v>
      </c>
      <c r="G113" s="16">
        <f t="shared" si="13"/>
        <v>66635.574185008125</v>
      </c>
    </row>
    <row r="114" spans="2:7" x14ac:dyDescent="0.2">
      <c r="B114" s="15">
        <v>109</v>
      </c>
      <c r="C114" s="15">
        <f t="shared" si="9"/>
        <v>10</v>
      </c>
      <c r="D114" s="16">
        <f t="shared" si="10"/>
        <v>536.23456580094387</v>
      </c>
      <c r="E114" s="16">
        <f t="shared" si="12"/>
        <v>430.35474994484412</v>
      </c>
      <c r="F114" s="16">
        <f t="shared" si="11"/>
        <v>105.87981585609975</v>
      </c>
      <c r="G114" s="16">
        <f t="shared" si="13"/>
        <v>66529.694369152028</v>
      </c>
    </row>
    <row r="115" spans="2:7" x14ac:dyDescent="0.2">
      <c r="B115" s="15">
        <v>110</v>
      </c>
      <c r="C115" s="15">
        <f t="shared" si="9"/>
        <v>10</v>
      </c>
      <c r="D115" s="16">
        <f t="shared" si="10"/>
        <v>536.23456580094387</v>
      </c>
      <c r="E115" s="16">
        <f t="shared" si="12"/>
        <v>429.6709428007735</v>
      </c>
      <c r="F115" s="16">
        <f t="shared" si="11"/>
        <v>106.56362300017037</v>
      </c>
      <c r="G115" s="16">
        <f t="shared" si="13"/>
        <v>66423.130746151859</v>
      </c>
    </row>
    <row r="116" spans="2:7" x14ac:dyDescent="0.2">
      <c r="B116" s="15">
        <v>111</v>
      </c>
      <c r="C116" s="15">
        <f t="shared" si="9"/>
        <v>10</v>
      </c>
      <c r="D116" s="16">
        <f t="shared" si="10"/>
        <v>536.23456580094387</v>
      </c>
      <c r="E116" s="16">
        <f t="shared" si="12"/>
        <v>428.98271940223077</v>
      </c>
      <c r="F116" s="16">
        <f t="shared" si="11"/>
        <v>107.2518463987131</v>
      </c>
      <c r="G116" s="16">
        <f t="shared" si="13"/>
        <v>66315.878899753152</v>
      </c>
    </row>
    <row r="117" spans="2:7" x14ac:dyDescent="0.2">
      <c r="B117" s="15">
        <v>112</v>
      </c>
      <c r="C117" s="15">
        <f t="shared" si="9"/>
        <v>10</v>
      </c>
      <c r="D117" s="16">
        <f t="shared" si="10"/>
        <v>536.23456580094387</v>
      </c>
      <c r="E117" s="16">
        <f t="shared" si="12"/>
        <v>428.29005122757241</v>
      </c>
      <c r="F117" s="16">
        <f t="shared" si="11"/>
        <v>107.94451457337146</v>
      </c>
      <c r="G117" s="16">
        <f t="shared" si="13"/>
        <v>66207.934385179775</v>
      </c>
    </row>
    <row r="118" spans="2:7" x14ac:dyDescent="0.2">
      <c r="B118" s="15">
        <v>113</v>
      </c>
      <c r="C118" s="15">
        <f t="shared" si="9"/>
        <v>10</v>
      </c>
      <c r="D118" s="16">
        <f t="shared" si="10"/>
        <v>536.23456580094387</v>
      </c>
      <c r="E118" s="16">
        <f t="shared" si="12"/>
        <v>427.59290957095271</v>
      </c>
      <c r="F118" s="16">
        <f t="shared" si="11"/>
        <v>108.64165622999116</v>
      </c>
      <c r="G118" s="16">
        <f t="shared" si="13"/>
        <v>66099.292728949789</v>
      </c>
    </row>
    <row r="119" spans="2:7" x14ac:dyDescent="0.2">
      <c r="B119" s="15">
        <v>114</v>
      </c>
      <c r="C119" s="15">
        <f t="shared" si="9"/>
        <v>10</v>
      </c>
      <c r="D119" s="16">
        <f t="shared" si="10"/>
        <v>536.23456580094387</v>
      </c>
      <c r="E119" s="16">
        <f t="shared" si="12"/>
        <v>426.89126554113409</v>
      </c>
      <c r="F119" s="16">
        <f t="shared" si="11"/>
        <v>109.34330025980978</v>
      </c>
      <c r="G119" s="16">
        <f t="shared" si="13"/>
        <v>65989.949428689986</v>
      </c>
    </row>
    <row r="120" spans="2:7" x14ac:dyDescent="0.2">
      <c r="B120" s="15">
        <v>115</v>
      </c>
      <c r="C120" s="15">
        <f t="shared" si="9"/>
        <v>10</v>
      </c>
      <c r="D120" s="16">
        <f t="shared" si="10"/>
        <v>536.23456580094387</v>
      </c>
      <c r="E120" s="16">
        <f t="shared" si="12"/>
        <v>426.1850900602895</v>
      </c>
      <c r="F120" s="16">
        <f t="shared" si="11"/>
        <v>110.04947574065437</v>
      </c>
      <c r="G120" s="16">
        <f t="shared" si="13"/>
        <v>65879.89995294933</v>
      </c>
    </row>
    <row r="121" spans="2:7" x14ac:dyDescent="0.2">
      <c r="B121" s="11">
        <v>116</v>
      </c>
      <c r="C121" s="11">
        <f t="shared" si="9"/>
        <v>10</v>
      </c>
      <c r="D121" s="12">
        <f t="shared" si="10"/>
        <v>536.23456580094387</v>
      </c>
      <c r="E121" s="12">
        <f t="shared" si="12"/>
        <v>425.47435386279773</v>
      </c>
      <c r="F121" s="12">
        <f t="shared" si="11"/>
        <v>110.76021193814614</v>
      </c>
      <c r="G121" s="12">
        <f t="shared" si="13"/>
        <v>65769.139741011182</v>
      </c>
    </row>
    <row r="122" spans="2:7" x14ac:dyDescent="0.2">
      <c r="B122" s="11">
        <v>117</v>
      </c>
      <c r="C122" s="11">
        <f t="shared" si="9"/>
        <v>10</v>
      </c>
      <c r="D122" s="12">
        <f t="shared" si="10"/>
        <v>536.23456580094387</v>
      </c>
      <c r="E122" s="12">
        <f t="shared" si="12"/>
        <v>424.75902749403053</v>
      </c>
      <c r="F122" s="12">
        <f t="shared" si="11"/>
        <v>111.47553830691334</v>
      </c>
      <c r="G122" s="12">
        <f t="shared" si="13"/>
        <v>65657.664202704269</v>
      </c>
    </row>
    <row r="123" spans="2:7" x14ac:dyDescent="0.2">
      <c r="B123" s="11">
        <v>118</v>
      </c>
      <c r="C123" s="11">
        <f t="shared" si="9"/>
        <v>10</v>
      </c>
      <c r="D123" s="12">
        <f t="shared" si="10"/>
        <v>536.23456580094387</v>
      </c>
      <c r="E123" s="12">
        <f t="shared" si="12"/>
        <v>424.03908130913175</v>
      </c>
      <c r="F123" s="12">
        <f t="shared" si="11"/>
        <v>112.19548449181212</v>
      </c>
      <c r="G123" s="12">
        <f t="shared" si="13"/>
        <v>65545.468718212462</v>
      </c>
    </row>
    <row r="124" spans="2:7" x14ac:dyDescent="0.2">
      <c r="B124" s="11">
        <v>119</v>
      </c>
      <c r="C124" s="11">
        <f t="shared" si="9"/>
        <v>10</v>
      </c>
      <c r="D124" s="12">
        <f t="shared" si="10"/>
        <v>536.23456580094387</v>
      </c>
      <c r="E124" s="12">
        <f t="shared" si="12"/>
        <v>423.31448547178883</v>
      </c>
      <c r="F124" s="12">
        <f t="shared" si="11"/>
        <v>112.92008032915504</v>
      </c>
      <c r="G124" s="12">
        <f t="shared" si="13"/>
        <v>65432.548637883308</v>
      </c>
    </row>
    <row r="125" spans="2:7" x14ac:dyDescent="0.2">
      <c r="B125" s="11">
        <v>120</v>
      </c>
      <c r="C125" s="11">
        <f t="shared" si="9"/>
        <v>10</v>
      </c>
      <c r="D125" s="12">
        <f t="shared" si="10"/>
        <v>536.23456580094387</v>
      </c>
      <c r="E125" s="12">
        <f t="shared" si="12"/>
        <v>422.58520995299637</v>
      </c>
      <c r="F125" s="12">
        <f t="shared" si="11"/>
        <v>113.6493558479475</v>
      </c>
      <c r="G125" s="12">
        <f t="shared" si="13"/>
        <v>65318.89928203536</v>
      </c>
    </row>
    <row r="126" spans="2:7" x14ac:dyDescent="0.2">
      <c r="B126" s="11">
        <v>121</v>
      </c>
      <c r="C126" s="11">
        <f t="shared" si="9"/>
        <v>11</v>
      </c>
      <c r="D126" s="12">
        <f t="shared" si="10"/>
        <v>536.23456580094387</v>
      </c>
      <c r="E126" s="12">
        <f t="shared" si="12"/>
        <v>421.85122452981165</v>
      </c>
      <c r="F126" s="12">
        <f t="shared" si="11"/>
        <v>114.38334127113222</v>
      </c>
      <c r="G126" s="12">
        <f t="shared" si="13"/>
        <v>65204.515940764228</v>
      </c>
    </row>
    <row r="127" spans="2:7" x14ac:dyDescent="0.2">
      <c r="B127" s="11">
        <v>122</v>
      </c>
      <c r="C127" s="11">
        <f t="shared" si="9"/>
        <v>11</v>
      </c>
      <c r="D127" s="12">
        <f t="shared" si="10"/>
        <v>536.23456580094387</v>
      </c>
      <c r="E127" s="12">
        <f t="shared" si="12"/>
        <v>421.11249878410234</v>
      </c>
      <c r="F127" s="12">
        <f t="shared" si="11"/>
        <v>115.12206701684153</v>
      </c>
      <c r="G127" s="12">
        <f t="shared" si="13"/>
        <v>65089.393873747387</v>
      </c>
    </row>
    <row r="128" spans="2:7" x14ac:dyDescent="0.2">
      <c r="B128" s="11">
        <v>123</v>
      </c>
      <c r="C128" s="11">
        <f t="shared" si="9"/>
        <v>11</v>
      </c>
      <c r="D128" s="12">
        <f t="shared" si="10"/>
        <v>536.23456580094387</v>
      </c>
      <c r="E128" s="12">
        <f t="shared" si="12"/>
        <v>420.36900210128516</v>
      </c>
      <c r="F128" s="12">
        <f t="shared" si="11"/>
        <v>115.86556369965871</v>
      </c>
      <c r="G128" s="12">
        <f t="shared" si="13"/>
        <v>64973.528310047732</v>
      </c>
    </row>
    <row r="129" spans="2:7" x14ac:dyDescent="0.2">
      <c r="B129" s="11">
        <v>124</v>
      </c>
      <c r="C129" s="11">
        <f t="shared" si="9"/>
        <v>11</v>
      </c>
      <c r="D129" s="12">
        <f t="shared" si="10"/>
        <v>536.23456580094387</v>
      </c>
      <c r="E129" s="12">
        <f t="shared" si="12"/>
        <v>419.62070366905823</v>
      </c>
      <c r="F129" s="12">
        <f t="shared" si="11"/>
        <v>116.61386213188564</v>
      </c>
      <c r="G129" s="12">
        <f t="shared" si="13"/>
        <v>64856.914447915849</v>
      </c>
    </row>
    <row r="130" spans="2:7" x14ac:dyDescent="0.2">
      <c r="B130" s="11">
        <v>125</v>
      </c>
      <c r="C130" s="11">
        <f t="shared" si="9"/>
        <v>11</v>
      </c>
      <c r="D130" s="12">
        <f t="shared" si="10"/>
        <v>536.23456580094387</v>
      </c>
      <c r="E130" s="12">
        <f t="shared" si="12"/>
        <v>418.86757247612314</v>
      </c>
      <c r="F130" s="12">
        <f t="shared" si="11"/>
        <v>117.36699332482073</v>
      </c>
      <c r="G130" s="12">
        <f t="shared" si="13"/>
        <v>64739.547454591026</v>
      </c>
    </row>
    <row r="131" spans="2:7" x14ac:dyDescent="0.2">
      <c r="B131" s="11">
        <v>126</v>
      </c>
      <c r="C131" s="11">
        <f t="shared" si="9"/>
        <v>11</v>
      </c>
      <c r="D131" s="12">
        <f t="shared" si="10"/>
        <v>536.23456580094387</v>
      </c>
      <c r="E131" s="12">
        <f t="shared" si="12"/>
        <v>418.10957731090042</v>
      </c>
      <c r="F131" s="12">
        <f t="shared" si="11"/>
        <v>118.12498849004345</v>
      </c>
      <c r="G131" s="12">
        <f t="shared" si="13"/>
        <v>64621.422466100979</v>
      </c>
    </row>
    <row r="132" spans="2:7" x14ac:dyDescent="0.2">
      <c r="B132" s="11">
        <v>127</v>
      </c>
      <c r="C132" s="11">
        <f t="shared" si="9"/>
        <v>11</v>
      </c>
      <c r="D132" s="12">
        <f t="shared" si="10"/>
        <v>536.23456580094387</v>
      </c>
      <c r="E132" s="12">
        <f t="shared" si="12"/>
        <v>417.34668676023551</v>
      </c>
      <c r="F132" s="12">
        <f t="shared" si="11"/>
        <v>118.88787904070836</v>
      </c>
      <c r="G132" s="12">
        <f t="shared" si="13"/>
        <v>64502.534587060269</v>
      </c>
    </row>
    <row r="133" spans="2:7" x14ac:dyDescent="0.2">
      <c r="B133" s="15">
        <v>128</v>
      </c>
      <c r="C133" s="15">
        <f t="shared" si="9"/>
        <v>11</v>
      </c>
      <c r="D133" s="16">
        <f t="shared" si="10"/>
        <v>536.23456580094387</v>
      </c>
      <c r="E133" s="16">
        <f t="shared" si="12"/>
        <v>416.57886920809756</v>
      </c>
      <c r="F133" s="16">
        <f t="shared" si="11"/>
        <v>119.65569659284631</v>
      </c>
      <c r="G133" s="16">
        <f t="shared" si="13"/>
        <v>64382.878890467422</v>
      </c>
    </row>
    <row r="134" spans="2:7" x14ac:dyDescent="0.2">
      <c r="B134" s="15">
        <v>129</v>
      </c>
      <c r="C134" s="15">
        <f t="shared" ref="C134:C197" si="14">ROUNDUP(B134/12,0)</f>
        <v>11</v>
      </c>
      <c r="D134" s="16">
        <f t="shared" ref="D134:D197" si="15">-PMT(InterestRate/12,LoanTermYrs*12,LoanAmount)</f>
        <v>536.23456580094387</v>
      </c>
      <c r="E134" s="16">
        <f t="shared" si="12"/>
        <v>415.80609283426878</v>
      </c>
      <c r="F134" s="16">
        <f t="shared" ref="F134:F197" si="16">D134-E134</f>
        <v>120.42847296667509</v>
      </c>
      <c r="G134" s="16">
        <f t="shared" si="13"/>
        <v>64262.450417500746</v>
      </c>
    </row>
    <row r="135" spans="2:7" x14ac:dyDescent="0.2">
      <c r="B135" s="15">
        <v>130</v>
      </c>
      <c r="C135" s="15">
        <f t="shared" si="14"/>
        <v>11</v>
      </c>
      <c r="D135" s="16">
        <f t="shared" si="15"/>
        <v>536.23456580094387</v>
      </c>
      <c r="E135" s="16">
        <f t="shared" ref="E135:E198" si="17">(G134)*InterestRate/12</f>
        <v>415.02832561302563</v>
      </c>
      <c r="F135" s="16">
        <f t="shared" si="16"/>
        <v>121.20624018791824</v>
      </c>
      <c r="G135" s="16">
        <f t="shared" ref="G135:G198" si="18">(G134)-F135</f>
        <v>64141.24417731283</v>
      </c>
    </row>
    <row r="136" spans="2:7" x14ac:dyDescent="0.2">
      <c r="B136" s="15">
        <v>131</v>
      </c>
      <c r="C136" s="15">
        <f t="shared" si="14"/>
        <v>11</v>
      </c>
      <c r="D136" s="16">
        <f t="shared" si="15"/>
        <v>536.23456580094387</v>
      </c>
      <c r="E136" s="16">
        <f t="shared" si="17"/>
        <v>414.24553531181203</v>
      </c>
      <c r="F136" s="16">
        <f t="shared" si="16"/>
        <v>121.98903048913184</v>
      </c>
      <c r="G136" s="16">
        <f t="shared" si="18"/>
        <v>64019.2551468237</v>
      </c>
    </row>
    <row r="137" spans="2:7" x14ac:dyDescent="0.2">
      <c r="B137" s="15">
        <v>132</v>
      </c>
      <c r="C137" s="15">
        <f t="shared" si="14"/>
        <v>11</v>
      </c>
      <c r="D137" s="16">
        <f t="shared" si="15"/>
        <v>536.23456580094387</v>
      </c>
      <c r="E137" s="16">
        <f t="shared" si="17"/>
        <v>413.45768948990303</v>
      </c>
      <c r="F137" s="16">
        <f t="shared" si="16"/>
        <v>122.77687631104084</v>
      </c>
      <c r="G137" s="16">
        <f t="shared" si="18"/>
        <v>63896.478270512656</v>
      </c>
    </row>
    <row r="138" spans="2:7" x14ac:dyDescent="0.2">
      <c r="B138" s="15">
        <v>133</v>
      </c>
      <c r="C138" s="15">
        <f t="shared" si="14"/>
        <v>12</v>
      </c>
      <c r="D138" s="16">
        <f t="shared" si="15"/>
        <v>536.23456580094387</v>
      </c>
      <c r="E138" s="16">
        <f t="shared" si="17"/>
        <v>412.66475549706092</v>
      </c>
      <c r="F138" s="16">
        <f t="shared" si="16"/>
        <v>123.56981030388295</v>
      </c>
      <c r="G138" s="16">
        <f t="shared" si="18"/>
        <v>63772.908460208775</v>
      </c>
    </row>
    <row r="139" spans="2:7" x14ac:dyDescent="0.2">
      <c r="B139" s="15">
        <v>134</v>
      </c>
      <c r="C139" s="15">
        <f t="shared" si="14"/>
        <v>12</v>
      </c>
      <c r="D139" s="16">
        <f t="shared" si="15"/>
        <v>536.23456580094387</v>
      </c>
      <c r="E139" s="16">
        <f t="shared" si="17"/>
        <v>411.86670047218166</v>
      </c>
      <c r="F139" s="16">
        <f t="shared" si="16"/>
        <v>124.36786532876221</v>
      </c>
      <c r="G139" s="16">
        <f t="shared" si="18"/>
        <v>63648.540594880011</v>
      </c>
    </row>
    <row r="140" spans="2:7" x14ac:dyDescent="0.2">
      <c r="B140" s="15">
        <v>135</v>
      </c>
      <c r="C140" s="15">
        <f t="shared" si="14"/>
        <v>12</v>
      </c>
      <c r="D140" s="16">
        <f t="shared" si="15"/>
        <v>536.23456580094387</v>
      </c>
      <c r="E140" s="16">
        <f t="shared" si="17"/>
        <v>411.06349134193346</v>
      </c>
      <c r="F140" s="16">
        <f t="shared" si="16"/>
        <v>125.17107445901041</v>
      </c>
      <c r="G140" s="16">
        <f t="shared" si="18"/>
        <v>63523.369520421002</v>
      </c>
    </row>
    <row r="141" spans="2:7" x14ac:dyDescent="0.2">
      <c r="B141" s="15">
        <v>136</v>
      </c>
      <c r="C141" s="15">
        <f t="shared" si="14"/>
        <v>12</v>
      </c>
      <c r="D141" s="16">
        <f t="shared" si="15"/>
        <v>536.23456580094387</v>
      </c>
      <c r="E141" s="16">
        <f t="shared" si="17"/>
        <v>410.25509481938565</v>
      </c>
      <c r="F141" s="16">
        <f t="shared" si="16"/>
        <v>125.97947098155822</v>
      </c>
      <c r="G141" s="16">
        <f t="shared" si="18"/>
        <v>63397.39004943944</v>
      </c>
    </row>
    <row r="142" spans="2:7" x14ac:dyDescent="0.2">
      <c r="B142" s="15">
        <v>137</v>
      </c>
      <c r="C142" s="15">
        <f t="shared" si="14"/>
        <v>12</v>
      </c>
      <c r="D142" s="16">
        <f t="shared" si="15"/>
        <v>536.23456580094387</v>
      </c>
      <c r="E142" s="16">
        <f t="shared" si="17"/>
        <v>409.44147740262974</v>
      </c>
      <c r="F142" s="16">
        <f t="shared" si="16"/>
        <v>126.79308839831413</v>
      </c>
      <c r="G142" s="16">
        <f t="shared" si="18"/>
        <v>63270.596961041127</v>
      </c>
    </row>
    <row r="143" spans="2:7" x14ac:dyDescent="0.2">
      <c r="B143" s="15">
        <v>138</v>
      </c>
      <c r="C143" s="15">
        <f t="shared" si="14"/>
        <v>12</v>
      </c>
      <c r="D143" s="16">
        <f t="shared" si="15"/>
        <v>536.23456580094387</v>
      </c>
      <c r="E143" s="16">
        <f t="shared" si="17"/>
        <v>408.62260537339057</v>
      </c>
      <c r="F143" s="16">
        <f t="shared" si="16"/>
        <v>127.6119604275533</v>
      </c>
      <c r="G143" s="16">
        <f t="shared" si="18"/>
        <v>63142.985000613575</v>
      </c>
    </row>
    <row r="144" spans="2:7" x14ac:dyDescent="0.2">
      <c r="B144" s="15">
        <v>139</v>
      </c>
      <c r="C144" s="15">
        <f t="shared" si="14"/>
        <v>12</v>
      </c>
      <c r="D144" s="16">
        <f t="shared" si="15"/>
        <v>536.23456580094387</v>
      </c>
      <c r="E144" s="16">
        <f t="shared" si="17"/>
        <v>407.79844479562934</v>
      </c>
      <c r="F144" s="16">
        <f t="shared" si="16"/>
        <v>128.43612100531453</v>
      </c>
      <c r="G144" s="16">
        <f t="shared" si="18"/>
        <v>63014.548879608257</v>
      </c>
    </row>
    <row r="145" spans="2:7" x14ac:dyDescent="0.2">
      <c r="B145" s="11">
        <v>140</v>
      </c>
      <c r="C145" s="11">
        <f t="shared" si="14"/>
        <v>12</v>
      </c>
      <c r="D145" s="12">
        <f t="shared" si="15"/>
        <v>536.23456580094387</v>
      </c>
      <c r="E145" s="12">
        <f t="shared" si="17"/>
        <v>406.96896151413665</v>
      </c>
      <c r="F145" s="12">
        <f t="shared" si="16"/>
        <v>129.26560428680722</v>
      </c>
      <c r="G145" s="12">
        <f t="shared" si="18"/>
        <v>62885.283275321453</v>
      </c>
    </row>
    <row r="146" spans="2:7" x14ac:dyDescent="0.2">
      <c r="B146" s="11">
        <v>141</v>
      </c>
      <c r="C146" s="11">
        <f t="shared" si="14"/>
        <v>12</v>
      </c>
      <c r="D146" s="12">
        <f t="shared" si="15"/>
        <v>536.23456580094387</v>
      </c>
      <c r="E146" s="12">
        <f t="shared" si="17"/>
        <v>406.13412115311775</v>
      </c>
      <c r="F146" s="12">
        <f t="shared" si="16"/>
        <v>130.10044464782612</v>
      </c>
      <c r="G146" s="12">
        <f t="shared" si="18"/>
        <v>62755.182830673628</v>
      </c>
    </row>
    <row r="147" spans="2:7" x14ac:dyDescent="0.2">
      <c r="B147" s="11">
        <v>142</v>
      </c>
      <c r="C147" s="11">
        <f t="shared" si="14"/>
        <v>12</v>
      </c>
      <c r="D147" s="12">
        <f t="shared" si="15"/>
        <v>536.23456580094387</v>
      </c>
      <c r="E147" s="12">
        <f t="shared" si="17"/>
        <v>405.29388911476718</v>
      </c>
      <c r="F147" s="12">
        <f t="shared" si="16"/>
        <v>130.94067668617669</v>
      </c>
      <c r="G147" s="12">
        <f t="shared" si="18"/>
        <v>62624.242153987449</v>
      </c>
    </row>
    <row r="148" spans="2:7" x14ac:dyDescent="0.2">
      <c r="B148" s="11">
        <v>143</v>
      </c>
      <c r="C148" s="11">
        <f t="shared" si="14"/>
        <v>12</v>
      </c>
      <c r="D148" s="12">
        <f t="shared" si="15"/>
        <v>536.23456580094387</v>
      </c>
      <c r="E148" s="12">
        <f t="shared" si="17"/>
        <v>404.4482305778356</v>
      </c>
      <c r="F148" s="12">
        <f t="shared" si="16"/>
        <v>131.78633522310827</v>
      </c>
      <c r="G148" s="12">
        <f t="shared" si="18"/>
        <v>62492.455818764342</v>
      </c>
    </row>
    <row r="149" spans="2:7" x14ac:dyDescent="0.2">
      <c r="B149" s="11">
        <v>144</v>
      </c>
      <c r="C149" s="11">
        <f t="shared" si="14"/>
        <v>12</v>
      </c>
      <c r="D149" s="12">
        <f t="shared" si="15"/>
        <v>536.23456580094387</v>
      </c>
      <c r="E149" s="12">
        <f t="shared" si="17"/>
        <v>403.59711049618636</v>
      </c>
      <c r="F149" s="12">
        <f t="shared" si="16"/>
        <v>132.63745530475751</v>
      </c>
      <c r="G149" s="12">
        <f t="shared" si="18"/>
        <v>62359.818363459584</v>
      </c>
    </row>
    <row r="150" spans="2:7" x14ac:dyDescent="0.2">
      <c r="B150" s="11">
        <v>145</v>
      </c>
      <c r="C150" s="11">
        <f t="shared" si="14"/>
        <v>13</v>
      </c>
      <c r="D150" s="12">
        <f t="shared" si="15"/>
        <v>536.23456580094387</v>
      </c>
      <c r="E150" s="12">
        <f t="shared" si="17"/>
        <v>402.74049359734317</v>
      </c>
      <c r="F150" s="12">
        <f t="shared" si="16"/>
        <v>133.49407220360069</v>
      </c>
      <c r="G150" s="12">
        <f t="shared" si="18"/>
        <v>62226.324291255987</v>
      </c>
    </row>
    <row r="151" spans="2:7" x14ac:dyDescent="0.2">
      <c r="B151" s="11">
        <v>146</v>
      </c>
      <c r="C151" s="11">
        <f t="shared" si="14"/>
        <v>13</v>
      </c>
      <c r="D151" s="12">
        <f t="shared" si="15"/>
        <v>536.23456580094387</v>
      </c>
      <c r="E151" s="12">
        <f t="shared" si="17"/>
        <v>401.87834438102823</v>
      </c>
      <c r="F151" s="12">
        <f t="shared" si="16"/>
        <v>134.35622141991564</v>
      </c>
      <c r="G151" s="12">
        <f t="shared" si="18"/>
        <v>62091.968069836068</v>
      </c>
    </row>
    <row r="152" spans="2:7" x14ac:dyDescent="0.2">
      <c r="B152" s="11">
        <v>147</v>
      </c>
      <c r="C152" s="11">
        <f t="shared" si="14"/>
        <v>13</v>
      </c>
      <c r="D152" s="12">
        <f t="shared" si="15"/>
        <v>536.23456580094387</v>
      </c>
      <c r="E152" s="12">
        <f t="shared" si="17"/>
        <v>401.01062711769129</v>
      </c>
      <c r="F152" s="12">
        <f t="shared" si="16"/>
        <v>135.22393868325258</v>
      </c>
      <c r="G152" s="12">
        <f t="shared" si="18"/>
        <v>61956.744131152816</v>
      </c>
    </row>
    <row r="153" spans="2:7" x14ac:dyDescent="0.2">
      <c r="B153" s="11">
        <v>148</v>
      </c>
      <c r="C153" s="11">
        <f t="shared" si="14"/>
        <v>13</v>
      </c>
      <c r="D153" s="12">
        <f t="shared" si="15"/>
        <v>536.23456580094387</v>
      </c>
      <c r="E153" s="12">
        <f t="shared" si="17"/>
        <v>400.13730584702859</v>
      </c>
      <c r="F153" s="12">
        <f t="shared" si="16"/>
        <v>136.09725995391528</v>
      </c>
      <c r="G153" s="12">
        <f t="shared" si="18"/>
        <v>61820.6468711989</v>
      </c>
    </row>
    <row r="154" spans="2:7" x14ac:dyDescent="0.2">
      <c r="B154" s="11">
        <v>149</v>
      </c>
      <c r="C154" s="11">
        <f t="shared" si="14"/>
        <v>13</v>
      </c>
      <c r="D154" s="12">
        <f t="shared" si="15"/>
        <v>536.23456580094387</v>
      </c>
      <c r="E154" s="12">
        <f t="shared" si="17"/>
        <v>399.25834437649291</v>
      </c>
      <c r="F154" s="12">
        <f t="shared" si="16"/>
        <v>136.97622142445096</v>
      </c>
      <c r="G154" s="12">
        <f t="shared" si="18"/>
        <v>61683.670649774453</v>
      </c>
    </row>
    <row r="155" spans="2:7" x14ac:dyDescent="0.2">
      <c r="B155" s="11">
        <v>150</v>
      </c>
      <c r="C155" s="11">
        <f t="shared" si="14"/>
        <v>13</v>
      </c>
      <c r="D155" s="12">
        <f t="shared" si="15"/>
        <v>536.23456580094387</v>
      </c>
      <c r="E155" s="12">
        <f t="shared" si="17"/>
        <v>398.37370627979334</v>
      </c>
      <c r="F155" s="12">
        <f t="shared" si="16"/>
        <v>137.86085952115053</v>
      </c>
      <c r="G155" s="12">
        <f t="shared" si="18"/>
        <v>61545.809790253305</v>
      </c>
    </row>
    <row r="156" spans="2:7" x14ac:dyDescent="0.2">
      <c r="B156" s="11">
        <v>151</v>
      </c>
      <c r="C156" s="11">
        <f t="shared" si="14"/>
        <v>13</v>
      </c>
      <c r="D156" s="12">
        <f t="shared" si="15"/>
        <v>536.23456580094387</v>
      </c>
      <c r="E156" s="12">
        <f t="shared" si="17"/>
        <v>397.4833548953859</v>
      </c>
      <c r="F156" s="12">
        <f t="shared" si="16"/>
        <v>138.75121090555797</v>
      </c>
      <c r="G156" s="12">
        <f t="shared" si="18"/>
        <v>61407.058579347744</v>
      </c>
    </row>
    <row r="157" spans="2:7" x14ac:dyDescent="0.2">
      <c r="B157" s="15">
        <v>152</v>
      </c>
      <c r="C157" s="15">
        <f t="shared" si="14"/>
        <v>13</v>
      </c>
      <c r="D157" s="16">
        <f t="shared" si="15"/>
        <v>536.23456580094387</v>
      </c>
      <c r="E157" s="16">
        <f t="shared" si="17"/>
        <v>396.58725332495419</v>
      </c>
      <c r="F157" s="16">
        <f t="shared" si="16"/>
        <v>139.64731247598968</v>
      </c>
      <c r="G157" s="16">
        <f t="shared" si="18"/>
        <v>61267.411266871757</v>
      </c>
    </row>
    <row r="158" spans="2:7" x14ac:dyDescent="0.2">
      <c r="B158" s="15">
        <v>153</v>
      </c>
      <c r="C158" s="15">
        <f t="shared" si="14"/>
        <v>13</v>
      </c>
      <c r="D158" s="16">
        <f t="shared" si="15"/>
        <v>536.23456580094387</v>
      </c>
      <c r="E158" s="16">
        <f t="shared" si="17"/>
        <v>395.68536443188009</v>
      </c>
      <c r="F158" s="16">
        <f t="shared" si="16"/>
        <v>140.54920136906378</v>
      </c>
      <c r="G158" s="16">
        <f t="shared" si="18"/>
        <v>61126.86206550269</v>
      </c>
    </row>
    <row r="159" spans="2:7" x14ac:dyDescent="0.2">
      <c r="B159" s="15">
        <v>154</v>
      </c>
      <c r="C159" s="15">
        <f t="shared" si="14"/>
        <v>13</v>
      </c>
      <c r="D159" s="16">
        <f t="shared" si="15"/>
        <v>536.23456580094387</v>
      </c>
      <c r="E159" s="16">
        <f t="shared" si="17"/>
        <v>394.77765083970485</v>
      </c>
      <c r="F159" s="16">
        <f t="shared" si="16"/>
        <v>141.45691496123902</v>
      </c>
      <c r="G159" s="16">
        <f t="shared" si="18"/>
        <v>60985.405150541454</v>
      </c>
    </row>
    <row r="160" spans="2:7" x14ac:dyDescent="0.2">
      <c r="B160" s="15">
        <v>155</v>
      </c>
      <c r="C160" s="15">
        <f t="shared" si="14"/>
        <v>13</v>
      </c>
      <c r="D160" s="16">
        <f t="shared" si="15"/>
        <v>536.23456580094387</v>
      </c>
      <c r="E160" s="16">
        <f t="shared" si="17"/>
        <v>393.86407493058022</v>
      </c>
      <c r="F160" s="16">
        <f t="shared" si="16"/>
        <v>142.37049087036365</v>
      </c>
      <c r="G160" s="16">
        <f t="shared" si="18"/>
        <v>60843.034659671088</v>
      </c>
    </row>
    <row r="161" spans="2:7" x14ac:dyDescent="0.2">
      <c r="B161" s="15">
        <v>156</v>
      </c>
      <c r="C161" s="15">
        <f t="shared" si="14"/>
        <v>13</v>
      </c>
      <c r="D161" s="16">
        <f t="shared" si="15"/>
        <v>536.23456580094387</v>
      </c>
      <c r="E161" s="16">
        <f t="shared" si="17"/>
        <v>392.94459884370912</v>
      </c>
      <c r="F161" s="16">
        <f t="shared" si="16"/>
        <v>143.28996695723475</v>
      </c>
      <c r="G161" s="16">
        <f t="shared" si="18"/>
        <v>60699.744692713852</v>
      </c>
    </row>
    <row r="162" spans="2:7" x14ac:dyDescent="0.2">
      <c r="B162" s="15">
        <v>157</v>
      </c>
      <c r="C162" s="15">
        <f t="shared" si="14"/>
        <v>14</v>
      </c>
      <c r="D162" s="16">
        <f t="shared" si="15"/>
        <v>536.23456580094387</v>
      </c>
      <c r="E162" s="16">
        <f t="shared" si="17"/>
        <v>392.01918447377693</v>
      </c>
      <c r="F162" s="16">
        <f t="shared" si="16"/>
        <v>144.21538132716694</v>
      </c>
      <c r="G162" s="16">
        <f t="shared" si="18"/>
        <v>60555.529311386686</v>
      </c>
    </row>
    <row r="163" spans="2:7" x14ac:dyDescent="0.2">
      <c r="B163" s="15">
        <v>158</v>
      </c>
      <c r="C163" s="15">
        <f t="shared" si="14"/>
        <v>14</v>
      </c>
      <c r="D163" s="16">
        <f t="shared" si="15"/>
        <v>536.23456580094387</v>
      </c>
      <c r="E163" s="16">
        <f t="shared" si="17"/>
        <v>391.08779346937234</v>
      </c>
      <c r="F163" s="16">
        <f t="shared" si="16"/>
        <v>145.14677233157153</v>
      </c>
      <c r="G163" s="16">
        <f t="shared" si="18"/>
        <v>60410.382539055114</v>
      </c>
    </row>
    <row r="164" spans="2:7" x14ac:dyDescent="0.2">
      <c r="B164" s="15">
        <v>159</v>
      </c>
      <c r="C164" s="15">
        <f t="shared" si="14"/>
        <v>14</v>
      </c>
      <c r="D164" s="16">
        <f t="shared" si="15"/>
        <v>536.23456580094387</v>
      </c>
      <c r="E164" s="16">
        <f t="shared" si="17"/>
        <v>390.15038723139764</v>
      </c>
      <c r="F164" s="16">
        <f t="shared" si="16"/>
        <v>146.08417856954622</v>
      </c>
      <c r="G164" s="16">
        <f t="shared" si="18"/>
        <v>60264.298360485569</v>
      </c>
    </row>
    <row r="165" spans="2:7" x14ac:dyDescent="0.2">
      <c r="B165" s="15">
        <v>160</v>
      </c>
      <c r="C165" s="15">
        <f t="shared" si="14"/>
        <v>14</v>
      </c>
      <c r="D165" s="16">
        <f t="shared" si="15"/>
        <v>536.23456580094387</v>
      </c>
      <c r="E165" s="16">
        <f t="shared" si="17"/>
        <v>389.20692691146928</v>
      </c>
      <c r="F165" s="16">
        <f t="shared" si="16"/>
        <v>147.02763888947459</v>
      </c>
      <c r="G165" s="16">
        <f t="shared" si="18"/>
        <v>60117.270721596091</v>
      </c>
    </row>
    <row r="166" spans="2:7" x14ac:dyDescent="0.2">
      <c r="B166" s="15">
        <v>161</v>
      </c>
      <c r="C166" s="15">
        <f t="shared" si="14"/>
        <v>14</v>
      </c>
      <c r="D166" s="16">
        <f t="shared" si="15"/>
        <v>536.23456580094387</v>
      </c>
      <c r="E166" s="16">
        <f t="shared" si="17"/>
        <v>388.25737341030805</v>
      </c>
      <c r="F166" s="16">
        <f t="shared" si="16"/>
        <v>147.97719239063582</v>
      </c>
      <c r="G166" s="16">
        <f t="shared" si="18"/>
        <v>59969.293529205454</v>
      </c>
    </row>
    <row r="167" spans="2:7" x14ac:dyDescent="0.2">
      <c r="B167" s="15">
        <v>162</v>
      </c>
      <c r="C167" s="15">
        <f t="shared" si="14"/>
        <v>14</v>
      </c>
      <c r="D167" s="16">
        <f t="shared" si="15"/>
        <v>536.23456580094387</v>
      </c>
      <c r="E167" s="16">
        <f t="shared" si="17"/>
        <v>387.30168737611854</v>
      </c>
      <c r="F167" s="16">
        <f t="shared" si="16"/>
        <v>148.93287842482533</v>
      </c>
      <c r="G167" s="16">
        <f t="shared" si="18"/>
        <v>59820.360650780625</v>
      </c>
    </row>
    <row r="168" spans="2:7" x14ac:dyDescent="0.2">
      <c r="B168" s="15">
        <v>163</v>
      </c>
      <c r="C168" s="15">
        <f t="shared" si="14"/>
        <v>14</v>
      </c>
      <c r="D168" s="16">
        <f t="shared" si="15"/>
        <v>536.23456580094387</v>
      </c>
      <c r="E168" s="16">
        <f t="shared" si="17"/>
        <v>386.33982920295824</v>
      </c>
      <c r="F168" s="16">
        <f t="shared" si="16"/>
        <v>149.89473659798563</v>
      </c>
      <c r="G168" s="16">
        <f t="shared" si="18"/>
        <v>59670.465914182641</v>
      </c>
    </row>
    <row r="169" spans="2:7" x14ac:dyDescent="0.2">
      <c r="B169" s="11">
        <v>164</v>
      </c>
      <c r="C169" s="11">
        <f t="shared" si="14"/>
        <v>14</v>
      </c>
      <c r="D169" s="12">
        <f t="shared" si="15"/>
        <v>536.23456580094387</v>
      </c>
      <c r="E169" s="12">
        <f t="shared" si="17"/>
        <v>385.37175902909621</v>
      </c>
      <c r="F169" s="12">
        <f t="shared" si="16"/>
        <v>150.86280677184766</v>
      </c>
      <c r="G169" s="12">
        <f t="shared" si="18"/>
        <v>59519.603107410796</v>
      </c>
    </row>
    <row r="170" spans="2:7" x14ac:dyDescent="0.2">
      <c r="B170" s="11">
        <v>165</v>
      </c>
      <c r="C170" s="11">
        <f t="shared" si="14"/>
        <v>14</v>
      </c>
      <c r="D170" s="12">
        <f t="shared" si="15"/>
        <v>536.23456580094387</v>
      </c>
      <c r="E170" s="12">
        <f t="shared" si="17"/>
        <v>384.3974367353614</v>
      </c>
      <c r="F170" s="12">
        <f t="shared" si="16"/>
        <v>151.83712906558247</v>
      </c>
      <c r="G170" s="12">
        <f t="shared" si="18"/>
        <v>59367.765978345211</v>
      </c>
    </row>
    <row r="171" spans="2:7" x14ac:dyDescent="0.2">
      <c r="B171" s="11">
        <v>166</v>
      </c>
      <c r="C171" s="11">
        <f t="shared" si="14"/>
        <v>14</v>
      </c>
      <c r="D171" s="12">
        <f t="shared" si="15"/>
        <v>536.23456580094387</v>
      </c>
      <c r="E171" s="12">
        <f t="shared" si="17"/>
        <v>383.41682194347953</v>
      </c>
      <c r="F171" s="12">
        <f t="shared" si="16"/>
        <v>152.81774385746434</v>
      </c>
      <c r="G171" s="12">
        <f t="shared" si="18"/>
        <v>59214.948234487747</v>
      </c>
    </row>
    <row r="172" spans="2:7" x14ac:dyDescent="0.2">
      <c r="B172" s="11">
        <v>167</v>
      </c>
      <c r="C172" s="11">
        <f t="shared" si="14"/>
        <v>14</v>
      </c>
      <c r="D172" s="12">
        <f t="shared" si="15"/>
        <v>536.23456580094387</v>
      </c>
      <c r="E172" s="12">
        <f t="shared" si="17"/>
        <v>382.42987401440001</v>
      </c>
      <c r="F172" s="12">
        <f t="shared" si="16"/>
        <v>153.80469178654386</v>
      </c>
      <c r="G172" s="12">
        <f t="shared" si="18"/>
        <v>59061.143542701204</v>
      </c>
    </row>
    <row r="173" spans="2:7" x14ac:dyDescent="0.2">
      <c r="B173" s="11">
        <v>168</v>
      </c>
      <c r="C173" s="11">
        <f t="shared" si="14"/>
        <v>14</v>
      </c>
      <c r="D173" s="12">
        <f t="shared" si="15"/>
        <v>536.23456580094387</v>
      </c>
      <c r="E173" s="12">
        <f t="shared" si="17"/>
        <v>381.43655204661195</v>
      </c>
      <c r="F173" s="12">
        <f t="shared" si="16"/>
        <v>154.79801375433192</v>
      </c>
      <c r="G173" s="12">
        <f t="shared" si="18"/>
        <v>58906.345528946869</v>
      </c>
    </row>
    <row r="174" spans="2:7" x14ac:dyDescent="0.2">
      <c r="B174" s="11">
        <v>169</v>
      </c>
      <c r="C174" s="11">
        <f t="shared" si="14"/>
        <v>15</v>
      </c>
      <c r="D174" s="12">
        <f t="shared" si="15"/>
        <v>536.23456580094387</v>
      </c>
      <c r="E174" s="12">
        <f t="shared" si="17"/>
        <v>380.43681487444854</v>
      </c>
      <c r="F174" s="12">
        <f t="shared" si="16"/>
        <v>155.79775092649533</v>
      </c>
      <c r="G174" s="12">
        <f t="shared" si="18"/>
        <v>58750.547778020373</v>
      </c>
    </row>
    <row r="175" spans="2:7" x14ac:dyDescent="0.2">
      <c r="B175" s="11">
        <v>170</v>
      </c>
      <c r="C175" s="11">
        <f t="shared" si="14"/>
        <v>15</v>
      </c>
      <c r="D175" s="12">
        <f t="shared" si="15"/>
        <v>536.23456580094387</v>
      </c>
      <c r="E175" s="12">
        <f t="shared" si="17"/>
        <v>379.43062106638155</v>
      </c>
      <c r="F175" s="12">
        <f t="shared" si="16"/>
        <v>156.80394473456232</v>
      </c>
      <c r="G175" s="12">
        <f t="shared" si="18"/>
        <v>58593.743833285807</v>
      </c>
    </row>
    <row r="176" spans="2:7" x14ac:dyDescent="0.2">
      <c r="B176" s="11">
        <v>171</v>
      </c>
      <c r="C176" s="11">
        <f t="shared" si="14"/>
        <v>15</v>
      </c>
      <c r="D176" s="12">
        <f t="shared" si="15"/>
        <v>536.23456580094387</v>
      </c>
      <c r="E176" s="12">
        <f t="shared" si="17"/>
        <v>378.41792892330415</v>
      </c>
      <c r="F176" s="12">
        <f t="shared" si="16"/>
        <v>157.81663687763972</v>
      </c>
      <c r="G176" s="12">
        <f t="shared" si="18"/>
        <v>58435.927196408171</v>
      </c>
    </row>
    <row r="177" spans="2:7" x14ac:dyDescent="0.2">
      <c r="B177" s="11">
        <v>172</v>
      </c>
      <c r="C177" s="11">
        <f t="shared" si="14"/>
        <v>15</v>
      </c>
      <c r="D177" s="12">
        <f t="shared" si="15"/>
        <v>536.23456580094387</v>
      </c>
      <c r="E177" s="12">
        <f t="shared" si="17"/>
        <v>377.3986964768028</v>
      </c>
      <c r="F177" s="12">
        <f t="shared" si="16"/>
        <v>158.83586932414107</v>
      </c>
      <c r="G177" s="12">
        <f t="shared" si="18"/>
        <v>58277.091327084032</v>
      </c>
    </row>
    <row r="178" spans="2:7" x14ac:dyDescent="0.2">
      <c r="B178" s="11">
        <v>173</v>
      </c>
      <c r="C178" s="11">
        <f t="shared" si="14"/>
        <v>15</v>
      </c>
      <c r="D178" s="12">
        <f t="shared" si="15"/>
        <v>536.23456580094387</v>
      </c>
      <c r="E178" s="12">
        <f t="shared" si="17"/>
        <v>376.37288148741771</v>
      </c>
      <c r="F178" s="12">
        <f t="shared" si="16"/>
        <v>159.86168431352615</v>
      </c>
      <c r="G178" s="12">
        <f t="shared" si="18"/>
        <v>58117.229642770508</v>
      </c>
    </row>
    <row r="179" spans="2:7" x14ac:dyDescent="0.2">
      <c r="B179" s="11">
        <v>174</v>
      </c>
      <c r="C179" s="11">
        <f t="shared" si="14"/>
        <v>15</v>
      </c>
      <c r="D179" s="12">
        <f t="shared" si="15"/>
        <v>536.23456580094387</v>
      </c>
      <c r="E179" s="12">
        <f t="shared" si="17"/>
        <v>375.34044144289282</v>
      </c>
      <c r="F179" s="12">
        <f t="shared" si="16"/>
        <v>160.89412435805104</v>
      </c>
      <c r="G179" s="12">
        <f t="shared" si="18"/>
        <v>57956.335518412459</v>
      </c>
    </row>
    <row r="180" spans="2:7" x14ac:dyDescent="0.2">
      <c r="B180" s="11">
        <v>175</v>
      </c>
      <c r="C180" s="11">
        <f t="shared" si="14"/>
        <v>15</v>
      </c>
      <c r="D180" s="12">
        <f t="shared" si="15"/>
        <v>536.23456580094387</v>
      </c>
      <c r="E180" s="12">
        <f t="shared" si="17"/>
        <v>374.30133355641379</v>
      </c>
      <c r="F180" s="12">
        <f t="shared" si="16"/>
        <v>161.93323224453007</v>
      </c>
      <c r="G180" s="12">
        <f t="shared" si="18"/>
        <v>57794.402286167926</v>
      </c>
    </row>
    <row r="181" spans="2:7" x14ac:dyDescent="0.2">
      <c r="B181" s="15">
        <v>176</v>
      </c>
      <c r="C181" s="15">
        <f t="shared" si="14"/>
        <v>15</v>
      </c>
      <c r="D181" s="16">
        <f t="shared" si="15"/>
        <v>536.23456580094387</v>
      </c>
      <c r="E181" s="16">
        <f t="shared" si="17"/>
        <v>373.25551476483452</v>
      </c>
      <c r="F181" s="16">
        <f t="shared" si="16"/>
        <v>162.97905103610935</v>
      </c>
      <c r="G181" s="16">
        <f t="shared" si="18"/>
        <v>57631.423235131813</v>
      </c>
    </row>
    <row r="182" spans="2:7" x14ac:dyDescent="0.2">
      <c r="B182" s="15">
        <v>177</v>
      </c>
      <c r="C182" s="15">
        <f t="shared" si="14"/>
        <v>15</v>
      </c>
      <c r="D182" s="16">
        <f t="shared" si="15"/>
        <v>536.23456580094387</v>
      </c>
      <c r="E182" s="16">
        <f t="shared" si="17"/>
        <v>372.20294172689296</v>
      </c>
      <c r="F182" s="16">
        <f t="shared" si="16"/>
        <v>164.03162407405091</v>
      </c>
      <c r="G182" s="16">
        <f t="shared" si="18"/>
        <v>57467.391611057763</v>
      </c>
    </row>
    <row r="183" spans="2:7" x14ac:dyDescent="0.2">
      <c r="B183" s="15">
        <v>178</v>
      </c>
      <c r="C183" s="15">
        <f t="shared" si="14"/>
        <v>15</v>
      </c>
      <c r="D183" s="16">
        <f t="shared" si="15"/>
        <v>536.23456580094387</v>
      </c>
      <c r="E183" s="16">
        <f t="shared" si="17"/>
        <v>371.1435708214147</v>
      </c>
      <c r="F183" s="16">
        <f t="shared" si="16"/>
        <v>165.09099497952917</v>
      </c>
      <c r="G183" s="16">
        <f t="shared" si="18"/>
        <v>57302.300616078232</v>
      </c>
    </row>
    <row r="184" spans="2:7" x14ac:dyDescent="0.2">
      <c r="B184" s="15">
        <v>179</v>
      </c>
      <c r="C184" s="15">
        <f t="shared" si="14"/>
        <v>15</v>
      </c>
      <c r="D184" s="16">
        <f t="shared" si="15"/>
        <v>536.23456580094387</v>
      </c>
      <c r="E184" s="16">
        <f t="shared" si="17"/>
        <v>370.07735814550523</v>
      </c>
      <c r="F184" s="16">
        <f t="shared" si="16"/>
        <v>166.15720765543864</v>
      </c>
      <c r="G184" s="16">
        <f t="shared" si="18"/>
        <v>57136.143408422795</v>
      </c>
    </row>
    <row r="185" spans="2:7" x14ac:dyDescent="0.2">
      <c r="B185" s="15">
        <v>180</v>
      </c>
      <c r="C185" s="15">
        <f t="shared" si="14"/>
        <v>15</v>
      </c>
      <c r="D185" s="16">
        <f t="shared" si="15"/>
        <v>536.23456580094387</v>
      </c>
      <c r="E185" s="16">
        <f t="shared" si="17"/>
        <v>369.00425951273058</v>
      </c>
      <c r="F185" s="16">
        <f t="shared" si="16"/>
        <v>167.23030628821328</v>
      </c>
      <c r="G185" s="16">
        <f t="shared" si="18"/>
        <v>56968.913102134582</v>
      </c>
    </row>
    <row r="186" spans="2:7" x14ac:dyDescent="0.2">
      <c r="B186" s="15">
        <v>181</v>
      </c>
      <c r="C186" s="15">
        <f t="shared" si="14"/>
        <v>16</v>
      </c>
      <c r="D186" s="16">
        <f t="shared" si="15"/>
        <v>536.23456580094387</v>
      </c>
      <c r="E186" s="16">
        <f t="shared" si="17"/>
        <v>367.92423045128584</v>
      </c>
      <c r="F186" s="16">
        <f t="shared" si="16"/>
        <v>168.31033534965803</v>
      </c>
      <c r="G186" s="16">
        <f t="shared" si="18"/>
        <v>56800.602766784927</v>
      </c>
    </row>
    <row r="187" spans="2:7" x14ac:dyDescent="0.2">
      <c r="B187" s="15">
        <v>182</v>
      </c>
      <c r="C187" s="15">
        <f t="shared" si="14"/>
        <v>16</v>
      </c>
      <c r="D187" s="16">
        <f t="shared" si="15"/>
        <v>536.23456580094387</v>
      </c>
      <c r="E187" s="16">
        <f t="shared" si="17"/>
        <v>366.83722620215264</v>
      </c>
      <c r="F187" s="16">
        <f t="shared" si="16"/>
        <v>169.39733959879123</v>
      </c>
      <c r="G187" s="16">
        <f t="shared" si="18"/>
        <v>56631.205427186134</v>
      </c>
    </row>
    <row r="188" spans="2:7" x14ac:dyDescent="0.2">
      <c r="B188" s="15">
        <v>183</v>
      </c>
      <c r="C188" s="15">
        <f t="shared" si="14"/>
        <v>16</v>
      </c>
      <c r="D188" s="16">
        <f t="shared" si="15"/>
        <v>536.23456580094387</v>
      </c>
      <c r="E188" s="16">
        <f t="shared" si="17"/>
        <v>365.74320171724383</v>
      </c>
      <c r="F188" s="16">
        <f t="shared" si="16"/>
        <v>170.49136408370003</v>
      </c>
      <c r="G188" s="16">
        <f t="shared" si="18"/>
        <v>56460.714063102438</v>
      </c>
    </row>
    <row r="189" spans="2:7" x14ac:dyDescent="0.2">
      <c r="B189" s="15">
        <v>184</v>
      </c>
      <c r="C189" s="15">
        <f t="shared" si="14"/>
        <v>16</v>
      </c>
      <c r="D189" s="16">
        <f t="shared" si="15"/>
        <v>536.23456580094387</v>
      </c>
      <c r="E189" s="16">
        <f t="shared" si="17"/>
        <v>364.64211165753659</v>
      </c>
      <c r="F189" s="16">
        <f t="shared" si="16"/>
        <v>171.59245414340728</v>
      </c>
      <c r="G189" s="16">
        <f t="shared" si="18"/>
        <v>56289.121608959031</v>
      </c>
    </row>
    <row r="190" spans="2:7" x14ac:dyDescent="0.2">
      <c r="B190" s="15">
        <v>185</v>
      </c>
      <c r="C190" s="15">
        <f t="shared" si="14"/>
        <v>16</v>
      </c>
      <c r="D190" s="16">
        <f t="shared" si="15"/>
        <v>536.23456580094387</v>
      </c>
      <c r="E190" s="16">
        <f t="shared" si="17"/>
        <v>363.53391039119373</v>
      </c>
      <c r="F190" s="16">
        <f t="shared" si="16"/>
        <v>172.70065540975014</v>
      </c>
      <c r="G190" s="16">
        <f t="shared" si="18"/>
        <v>56116.420953549277</v>
      </c>
    </row>
    <row r="191" spans="2:7" x14ac:dyDescent="0.2">
      <c r="B191" s="15">
        <v>186</v>
      </c>
      <c r="C191" s="15">
        <f t="shared" si="14"/>
        <v>16</v>
      </c>
      <c r="D191" s="16">
        <f t="shared" si="15"/>
        <v>536.23456580094387</v>
      </c>
      <c r="E191" s="16">
        <f t="shared" si="17"/>
        <v>362.41855199167236</v>
      </c>
      <c r="F191" s="16">
        <f t="shared" si="16"/>
        <v>173.81601380927151</v>
      </c>
      <c r="G191" s="16">
        <f t="shared" si="18"/>
        <v>55942.604939740006</v>
      </c>
    </row>
    <row r="192" spans="2:7" x14ac:dyDescent="0.2">
      <c r="B192" s="15">
        <v>187</v>
      </c>
      <c r="C192" s="15">
        <f t="shared" si="14"/>
        <v>16</v>
      </c>
      <c r="D192" s="16">
        <f t="shared" si="15"/>
        <v>536.23456580094387</v>
      </c>
      <c r="E192" s="16">
        <f t="shared" si="17"/>
        <v>361.29599023582085</v>
      </c>
      <c r="F192" s="16">
        <f t="shared" si="16"/>
        <v>174.93857556512302</v>
      </c>
      <c r="G192" s="16">
        <f t="shared" si="18"/>
        <v>55767.666364174882</v>
      </c>
    </row>
    <row r="193" spans="2:7" x14ac:dyDescent="0.2">
      <c r="B193" s="11">
        <v>188</v>
      </c>
      <c r="C193" s="11">
        <f t="shared" si="14"/>
        <v>16</v>
      </c>
      <c r="D193" s="12">
        <f t="shared" si="15"/>
        <v>536.23456580094387</v>
      </c>
      <c r="E193" s="12">
        <f t="shared" si="17"/>
        <v>360.16617860196283</v>
      </c>
      <c r="F193" s="12">
        <f t="shared" si="16"/>
        <v>176.06838719898104</v>
      </c>
      <c r="G193" s="12">
        <f t="shared" si="18"/>
        <v>55591.5979769759</v>
      </c>
    </row>
    <row r="194" spans="2:7" x14ac:dyDescent="0.2">
      <c r="B194" s="11">
        <v>189</v>
      </c>
      <c r="C194" s="11">
        <f t="shared" si="14"/>
        <v>16</v>
      </c>
      <c r="D194" s="12">
        <f t="shared" si="15"/>
        <v>536.23456580094387</v>
      </c>
      <c r="E194" s="12">
        <f t="shared" si="17"/>
        <v>359.0290702679693</v>
      </c>
      <c r="F194" s="12">
        <f t="shared" si="16"/>
        <v>177.20549553297457</v>
      </c>
      <c r="G194" s="12">
        <f t="shared" si="18"/>
        <v>55414.392481442927</v>
      </c>
    </row>
    <row r="195" spans="2:7" x14ac:dyDescent="0.2">
      <c r="B195" s="11">
        <v>190</v>
      </c>
      <c r="C195" s="11">
        <f t="shared" si="14"/>
        <v>16</v>
      </c>
      <c r="D195" s="12">
        <f t="shared" si="15"/>
        <v>536.23456580094387</v>
      </c>
      <c r="E195" s="12">
        <f t="shared" si="17"/>
        <v>357.88461810931886</v>
      </c>
      <c r="F195" s="12">
        <f t="shared" si="16"/>
        <v>178.349947691625</v>
      </c>
      <c r="G195" s="12">
        <f t="shared" si="18"/>
        <v>55236.042533751301</v>
      </c>
    </row>
    <row r="196" spans="2:7" x14ac:dyDescent="0.2">
      <c r="B196" s="11">
        <v>191</v>
      </c>
      <c r="C196" s="11">
        <f t="shared" si="14"/>
        <v>16</v>
      </c>
      <c r="D196" s="12">
        <f t="shared" si="15"/>
        <v>536.23456580094387</v>
      </c>
      <c r="E196" s="12">
        <f t="shared" si="17"/>
        <v>356.73277469714384</v>
      </c>
      <c r="F196" s="12">
        <f t="shared" si="16"/>
        <v>179.50179110380003</v>
      </c>
      <c r="G196" s="12">
        <f t="shared" si="18"/>
        <v>55056.540742647499</v>
      </c>
    </row>
    <row r="197" spans="2:7" x14ac:dyDescent="0.2">
      <c r="B197" s="11">
        <v>192</v>
      </c>
      <c r="C197" s="11">
        <f t="shared" si="14"/>
        <v>16</v>
      </c>
      <c r="D197" s="12">
        <f t="shared" si="15"/>
        <v>536.23456580094387</v>
      </c>
      <c r="E197" s="12">
        <f t="shared" si="17"/>
        <v>355.5734922962651</v>
      </c>
      <c r="F197" s="12">
        <f t="shared" si="16"/>
        <v>180.66107350467877</v>
      </c>
      <c r="G197" s="12">
        <f t="shared" si="18"/>
        <v>54875.879669142822</v>
      </c>
    </row>
    <row r="198" spans="2:7" x14ac:dyDescent="0.2">
      <c r="B198" s="11">
        <v>193</v>
      </c>
      <c r="C198" s="11">
        <f t="shared" ref="C198:C261" si="19">ROUNDUP(B198/12,0)</f>
        <v>17</v>
      </c>
      <c r="D198" s="12">
        <f t="shared" ref="D198:D261" si="20">-PMT(InterestRate/12,LoanTermYrs*12,LoanAmount)</f>
        <v>536.23456580094387</v>
      </c>
      <c r="E198" s="12">
        <f t="shared" si="17"/>
        <v>354.40672286321404</v>
      </c>
      <c r="F198" s="12">
        <f t="shared" ref="F198:F261" si="21">D198-E198</f>
        <v>181.82784293772983</v>
      </c>
      <c r="G198" s="12">
        <f t="shared" si="18"/>
        <v>54694.05182620509</v>
      </c>
    </row>
    <row r="199" spans="2:7" x14ac:dyDescent="0.2">
      <c r="B199" s="11">
        <v>194</v>
      </c>
      <c r="C199" s="11">
        <f t="shared" si="19"/>
        <v>17</v>
      </c>
      <c r="D199" s="12">
        <f t="shared" si="20"/>
        <v>536.23456580094387</v>
      </c>
      <c r="E199" s="12">
        <f t="shared" ref="E199:E262" si="22">(G198)*InterestRate/12</f>
        <v>353.23241804424123</v>
      </c>
      <c r="F199" s="12">
        <f t="shared" si="21"/>
        <v>183.00214775670264</v>
      </c>
      <c r="G199" s="12">
        <f t="shared" ref="G199:G262" si="23">(G198)-F199</f>
        <v>54511.049678448384</v>
      </c>
    </row>
    <row r="200" spans="2:7" x14ac:dyDescent="0.2">
      <c r="B200" s="11">
        <v>195</v>
      </c>
      <c r="C200" s="11">
        <f t="shared" si="19"/>
        <v>17</v>
      </c>
      <c r="D200" s="12">
        <f t="shared" si="20"/>
        <v>536.23456580094387</v>
      </c>
      <c r="E200" s="12">
        <f t="shared" si="22"/>
        <v>352.0505291733125</v>
      </c>
      <c r="F200" s="12">
        <f t="shared" si="21"/>
        <v>184.18403662763137</v>
      </c>
      <c r="G200" s="12">
        <f t="shared" si="23"/>
        <v>54326.865641820754</v>
      </c>
    </row>
    <row r="201" spans="2:7" x14ac:dyDescent="0.2">
      <c r="B201" s="11">
        <v>196</v>
      </c>
      <c r="C201" s="11">
        <f t="shared" si="19"/>
        <v>17</v>
      </c>
      <c r="D201" s="12">
        <f t="shared" si="20"/>
        <v>536.23456580094387</v>
      </c>
      <c r="E201" s="12">
        <f t="shared" si="22"/>
        <v>350.86100727009239</v>
      </c>
      <c r="F201" s="12">
        <f t="shared" si="21"/>
        <v>185.37355853085148</v>
      </c>
      <c r="G201" s="12">
        <f t="shared" si="23"/>
        <v>54141.492083289901</v>
      </c>
    </row>
    <row r="202" spans="2:7" x14ac:dyDescent="0.2">
      <c r="B202" s="11">
        <v>197</v>
      </c>
      <c r="C202" s="11">
        <f t="shared" si="19"/>
        <v>17</v>
      </c>
      <c r="D202" s="12">
        <f t="shared" si="20"/>
        <v>536.23456580094387</v>
      </c>
      <c r="E202" s="12">
        <f t="shared" si="22"/>
        <v>349.66380303791396</v>
      </c>
      <c r="F202" s="12">
        <f t="shared" si="21"/>
        <v>186.5707627630299</v>
      </c>
      <c r="G202" s="12">
        <f t="shared" si="23"/>
        <v>53954.921320526868</v>
      </c>
    </row>
    <row r="203" spans="2:7" x14ac:dyDescent="0.2">
      <c r="B203" s="11">
        <v>198</v>
      </c>
      <c r="C203" s="11">
        <f t="shared" si="19"/>
        <v>17</v>
      </c>
      <c r="D203" s="12">
        <f t="shared" si="20"/>
        <v>536.23456580094387</v>
      </c>
      <c r="E203" s="12">
        <f t="shared" si="22"/>
        <v>348.458866861736</v>
      </c>
      <c r="F203" s="12">
        <f t="shared" si="21"/>
        <v>187.77569893920787</v>
      </c>
      <c r="G203" s="12">
        <f t="shared" si="23"/>
        <v>53767.145621587661</v>
      </c>
    </row>
    <row r="204" spans="2:7" x14ac:dyDescent="0.2">
      <c r="B204" s="11">
        <v>199</v>
      </c>
      <c r="C204" s="11">
        <f t="shared" si="19"/>
        <v>17</v>
      </c>
      <c r="D204" s="12">
        <f t="shared" si="20"/>
        <v>536.23456580094387</v>
      </c>
      <c r="E204" s="12">
        <f t="shared" si="22"/>
        <v>347.24614880608698</v>
      </c>
      <c r="F204" s="12">
        <f t="shared" si="21"/>
        <v>188.98841699485689</v>
      </c>
      <c r="G204" s="12">
        <f t="shared" si="23"/>
        <v>53578.157204592804</v>
      </c>
    </row>
    <row r="205" spans="2:7" x14ac:dyDescent="0.2">
      <c r="B205" s="15">
        <v>200</v>
      </c>
      <c r="C205" s="15">
        <f t="shared" si="19"/>
        <v>17</v>
      </c>
      <c r="D205" s="16">
        <f t="shared" si="20"/>
        <v>536.23456580094387</v>
      </c>
      <c r="E205" s="16">
        <f t="shared" si="22"/>
        <v>346.02559861299522</v>
      </c>
      <c r="F205" s="16">
        <f t="shared" si="21"/>
        <v>190.20896718794864</v>
      </c>
      <c r="G205" s="16">
        <f t="shared" si="23"/>
        <v>53387.948237404853</v>
      </c>
    </row>
    <row r="206" spans="2:7" x14ac:dyDescent="0.2">
      <c r="B206" s="15">
        <v>201</v>
      </c>
      <c r="C206" s="15">
        <f t="shared" si="19"/>
        <v>17</v>
      </c>
      <c r="D206" s="16">
        <f t="shared" si="20"/>
        <v>536.23456580094387</v>
      </c>
      <c r="E206" s="16">
        <f t="shared" si="22"/>
        <v>344.79716569990637</v>
      </c>
      <c r="F206" s="16">
        <f t="shared" si="21"/>
        <v>191.4374001010375</v>
      </c>
      <c r="G206" s="16">
        <f t="shared" si="23"/>
        <v>53196.510837303817</v>
      </c>
    </row>
    <row r="207" spans="2:7" x14ac:dyDescent="0.2">
      <c r="B207" s="15">
        <v>202</v>
      </c>
      <c r="C207" s="15">
        <f t="shared" si="19"/>
        <v>17</v>
      </c>
      <c r="D207" s="16">
        <f t="shared" si="20"/>
        <v>536.23456580094387</v>
      </c>
      <c r="E207" s="16">
        <f t="shared" si="22"/>
        <v>343.56079915758716</v>
      </c>
      <c r="F207" s="16">
        <f t="shared" si="21"/>
        <v>192.67376664335671</v>
      </c>
      <c r="G207" s="16">
        <f t="shared" si="23"/>
        <v>53003.837070660462</v>
      </c>
    </row>
    <row r="208" spans="2:7" x14ac:dyDescent="0.2">
      <c r="B208" s="15">
        <v>203</v>
      </c>
      <c r="C208" s="15">
        <f t="shared" si="19"/>
        <v>17</v>
      </c>
      <c r="D208" s="16">
        <f t="shared" si="20"/>
        <v>536.23456580094387</v>
      </c>
      <c r="E208" s="16">
        <f t="shared" si="22"/>
        <v>342.31644774801549</v>
      </c>
      <c r="F208" s="16">
        <f t="shared" si="21"/>
        <v>193.91811805292838</v>
      </c>
      <c r="G208" s="16">
        <f t="shared" si="23"/>
        <v>52809.918952607535</v>
      </c>
    </row>
    <row r="209" spans="2:7" x14ac:dyDescent="0.2">
      <c r="B209" s="15">
        <v>204</v>
      </c>
      <c r="C209" s="15">
        <f t="shared" si="19"/>
        <v>17</v>
      </c>
      <c r="D209" s="16">
        <f t="shared" si="20"/>
        <v>536.23456580094387</v>
      </c>
      <c r="E209" s="16">
        <f t="shared" si="22"/>
        <v>341.06405990225699</v>
      </c>
      <c r="F209" s="16">
        <f t="shared" si="21"/>
        <v>195.17050589868688</v>
      </c>
      <c r="G209" s="16">
        <f t="shared" si="23"/>
        <v>52614.748446708851</v>
      </c>
    </row>
    <row r="210" spans="2:7" x14ac:dyDescent="0.2">
      <c r="B210" s="15">
        <v>205</v>
      </c>
      <c r="C210" s="15">
        <f t="shared" si="19"/>
        <v>18</v>
      </c>
      <c r="D210" s="16">
        <f t="shared" si="20"/>
        <v>536.23456580094387</v>
      </c>
      <c r="E210" s="16">
        <f t="shared" si="22"/>
        <v>339.80358371832796</v>
      </c>
      <c r="F210" s="16">
        <f t="shared" si="21"/>
        <v>196.43098208261591</v>
      </c>
      <c r="G210" s="16">
        <f t="shared" si="23"/>
        <v>52418.317464626234</v>
      </c>
    </row>
    <row r="211" spans="2:7" x14ac:dyDescent="0.2">
      <c r="B211" s="15">
        <v>206</v>
      </c>
      <c r="C211" s="15">
        <f t="shared" si="19"/>
        <v>18</v>
      </c>
      <c r="D211" s="16">
        <f t="shared" si="20"/>
        <v>536.23456580094387</v>
      </c>
      <c r="E211" s="16">
        <f t="shared" si="22"/>
        <v>338.53496695904443</v>
      </c>
      <c r="F211" s="16">
        <f t="shared" si="21"/>
        <v>197.69959884189944</v>
      </c>
      <c r="G211" s="16">
        <f t="shared" si="23"/>
        <v>52220.617865784334</v>
      </c>
    </row>
    <row r="212" spans="2:7" x14ac:dyDescent="0.2">
      <c r="B212" s="15">
        <v>207</v>
      </c>
      <c r="C212" s="15">
        <f t="shared" si="19"/>
        <v>18</v>
      </c>
      <c r="D212" s="16">
        <f t="shared" si="20"/>
        <v>536.23456580094387</v>
      </c>
      <c r="E212" s="16">
        <f t="shared" si="22"/>
        <v>337.25815704985718</v>
      </c>
      <c r="F212" s="16">
        <f t="shared" si="21"/>
        <v>198.97640875108669</v>
      </c>
      <c r="G212" s="16">
        <f t="shared" si="23"/>
        <v>52021.641457033249</v>
      </c>
    </row>
    <row r="213" spans="2:7" x14ac:dyDescent="0.2">
      <c r="B213" s="15">
        <v>208</v>
      </c>
      <c r="C213" s="15">
        <f t="shared" si="19"/>
        <v>18</v>
      </c>
      <c r="D213" s="16">
        <f t="shared" si="20"/>
        <v>536.23456580094387</v>
      </c>
      <c r="E213" s="16">
        <f t="shared" si="22"/>
        <v>335.97310107667306</v>
      </c>
      <c r="F213" s="16">
        <f t="shared" si="21"/>
        <v>200.26146472427081</v>
      </c>
      <c r="G213" s="16">
        <f t="shared" si="23"/>
        <v>51821.379992308975</v>
      </c>
    </row>
    <row r="214" spans="2:7" x14ac:dyDescent="0.2">
      <c r="B214" s="15">
        <v>209</v>
      </c>
      <c r="C214" s="15">
        <f t="shared" si="19"/>
        <v>18</v>
      </c>
      <c r="D214" s="16">
        <f t="shared" si="20"/>
        <v>536.23456580094387</v>
      </c>
      <c r="E214" s="16">
        <f t="shared" si="22"/>
        <v>334.6797457836621</v>
      </c>
      <c r="F214" s="16">
        <f t="shared" si="21"/>
        <v>201.55482001728177</v>
      </c>
      <c r="G214" s="16">
        <f t="shared" si="23"/>
        <v>51619.82517229169</v>
      </c>
    </row>
    <row r="215" spans="2:7" x14ac:dyDescent="0.2">
      <c r="B215" s="15">
        <v>210</v>
      </c>
      <c r="C215" s="15">
        <f t="shared" si="19"/>
        <v>18</v>
      </c>
      <c r="D215" s="16">
        <f t="shared" si="20"/>
        <v>536.23456580094387</v>
      </c>
      <c r="E215" s="16">
        <f t="shared" si="22"/>
        <v>333.37803757105047</v>
      </c>
      <c r="F215" s="16">
        <f t="shared" si="21"/>
        <v>202.8565282298934</v>
      </c>
      <c r="G215" s="16">
        <f t="shared" si="23"/>
        <v>51416.968644061795</v>
      </c>
    </row>
    <row r="216" spans="2:7" x14ac:dyDescent="0.2">
      <c r="B216" s="15">
        <v>211</v>
      </c>
      <c r="C216" s="15">
        <f t="shared" si="19"/>
        <v>18</v>
      </c>
      <c r="D216" s="16">
        <f t="shared" si="20"/>
        <v>536.23456580094387</v>
      </c>
      <c r="E216" s="16">
        <f t="shared" si="22"/>
        <v>332.06792249289907</v>
      </c>
      <c r="F216" s="16">
        <f t="shared" si="21"/>
        <v>204.1666433080448</v>
      </c>
      <c r="G216" s="16">
        <f t="shared" si="23"/>
        <v>51212.802000753749</v>
      </c>
    </row>
    <row r="217" spans="2:7" x14ac:dyDescent="0.2">
      <c r="B217" s="11">
        <v>212</v>
      </c>
      <c r="C217" s="11">
        <f t="shared" si="19"/>
        <v>18</v>
      </c>
      <c r="D217" s="12">
        <f t="shared" si="20"/>
        <v>536.23456580094387</v>
      </c>
      <c r="E217" s="12">
        <f t="shared" si="22"/>
        <v>330.74934625486793</v>
      </c>
      <c r="F217" s="12">
        <f t="shared" si="21"/>
        <v>205.48521954607594</v>
      </c>
      <c r="G217" s="12">
        <f t="shared" si="23"/>
        <v>51007.316781207672</v>
      </c>
    </row>
    <row r="218" spans="2:7" x14ac:dyDescent="0.2">
      <c r="B218" s="11">
        <v>213</v>
      </c>
      <c r="C218" s="11">
        <f t="shared" si="19"/>
        <v>18</v>
      </c>
      <c r="D218" s="12">
        <f t="shared" si="20"/>
        <v>536.23456580094387</v>
      </c>
      <c r="E218" s="12">
        <f t="shared" si="22"/>
        <v>329.42225421196622</v>
      </c>
      <c r="F218" s="12">
        <f t="shared" si="21"/>
        <v>206.81231158897765</v>
      </c>
      <c r="G218" s="12">
        <f t="shared" si="23"/>
        <v>50800.504469618696</v>
      </c>
    </row>
    <row r="219" spans="2:7" x14ac:dyDescent="0.2">
      <c r="B219" s="11">
        <v>214</v>
      </c>
      <c r="C219" s="11">
        <f t="shared" si="19"/>
        <v>18</v>
      </c>
      <c r="D219" s="12">
        <f t="shared" si="20"/>
        <v>536.23456580094387</v>
      </c>
      <c r="E219" s="12">
        <f t="shared" si="22"/>
        <v>328.08659136628739</v>
      </c>
      <c r="F219" s="12">
        <f t="shared" si="21"/>
        <v>208.14797443465648</v>
      </c>
      <c r="G219" s="12">
        <f t="shared" si="23"/>
        <v>50592.356495184038</v>
      </c>
    </row>
    <row r="220" spans="2:7" x14ac:dyDescent="0.2">
      <c r="B220" s="11">
        <v>215</v>
      </c>
      <c r="C220" s="11">
        <f t="shared" si="19"/>
        <v>18</v>
      </c>
      <c r="D220" s="12">
        <f t="shared" si="20"/>
        <v>536.23456580094387</v>
      </c>
      <c r="E220" s="12">
        <f t="shared" si="22"/>
        <v>326.74230236473028</v>
      </c>
      <c r="F220" s="12">
        <f t="shared" si="21"/>
        <v>209.49226343621359</v>
      </c>
      <c r="G220" s="12">
        <f t="shared" si="23"/>
        <v>50382.864231747822</v>
      </c>
    </row>
    <row r="221" spans="2:7" x14ac:dyDescent="0.2">
      <c r="B221" s="11">
        <v>216</v>
      </c>
      <c r="C221" s="11">
        <f t="shared" si="19"/>
        <v>18</v>
      </c>
      <c r="D221" s="12">
        <f t="shared" si="20"/>
        <v>536.23456580094387</v>
      </c>
      <c r="E221" s="12">
        <f t="shared" si="22"/>
        <v>325.3893314967047</v>
      </c>
      <c r="F221" s="12">
        <f t="shared" si="21"/>
        <v>210.84523430423917</v>
      </c>
      <c r="G221" s="12">
        <f t="shared" si="23"/>
        <v>50172.018997443585</v>
      </c>
    </row>
    <row r="222" spans="2:7" x14ac:dyDescent="0.2">
      <c r="B222" s="11">
        <v>217</v>
      </c>
      <c r="C222" s="11">
        <f t="shared" si="19"/>
        <v>19</v>
      </c>
      <c r="D222" s="12">
        <f t="shared" si="20"/>
        <v>536.23456580094387</v>
      </c>
      <c r="E222" s="12">
        <f t="shared" si="22"/>
        <v>324.02762269182318</v>
      </c>
      <c r="F222" s="12">
        <f t="shared" si="21"/>
        <v>212.20694310912069</v>
      </c>
      <c r="G222" s="12">
        <f t="shared" si="23"/>
        <v>49959.812054334463</v>
      </c>
    </row>
    <row r="223" spans="2:7" x14ac:dyDescent="0.2">
      <c r="B223" s="11">
        <v>218</v>
      </c>
      <c r="C223" s="11">
        <f t="shared" si="19"/>
        <v>19</v>
      </c>
      <c r="D223" s="12">
        <f t="shared" si="20"/>
        <v>536.23456580094387</v>
      </c>
      <c r="E223" s="12">
        <f t="shared" si="22"/>
        <v>322.65711951757675</v>
      </c>
      <c r="F223" s="12">
        <f t="shared" si="21"/>
        <v>213.57744628336712</v>
      </c>
      <c r="G223" s="12">
        <f t="shared" si="23"/>
        <v>49746.234608051098</v>
      </c>
    </row>
    <row r="224" spans="2:7" x14ac:dyDescent="0.2">
      <c r="B224" s="11">
        <v>219</v>
      </c>
      <c r="C224" s="11">
        <f t="shared" si="19"/>
        <v>19</v>
      </c>
      <c r="D224" s="12">
        <f t="shared" si="20"/>
        <v>536.23456580094387</v>
      </c>
      <c r="E224" s="12">
        <f t="shared" si="22"/>
        <v>321.27776517699664</v>
      </c>
      <c r="F224" s="12">
        <f t="shared" si="21"/>
        <v>214.95680062394723</v>
      </c>
      <c r="G224" s="12">
        <f t="shared" si="23"/>
        <v>49531.277807427148</v>
      </c>
    </row>
    <row r="225" spans="2:7" x14ac:dyDescent="0.2">
      <c r="B225" s="11">
        <v>220</v>
      </c>
      <c r="C225" s="11">
        <f t="shared" si="19"/>
        <v>19</v>
      </c>
      <c r="D225" s="12">
        <f t="shared" si="20"/>
        <v>536.23456580094387</v>
      </c>
      <c r="E225" s="12">
        <f t="shared" si="22"/>
        <v>319.88950250630035</v>
      </c>
      <c r="F225" s="12">
        <f t="shared" si="21"/>
        <v>216.34506329464352</v>
      </c>
      <c r="G225" s="12">
        <f t="shared" si="23"/>
        <v>49314.932744132508</v>
      </c>
    </row>
    <row r="226" spans="2:7" x14ac:dyDescent="0.2">
      <c r="B226" s="11">
        <v>221</v>
      </c>
      <c r="C226" s="11">
        <f t="shared" si="19"/>
        <v>19</v>
      </c>
      <c r="D226" s="12">
        <f t="shared" si="20"/>
        <v>536.23456580094387</v>
      </c>
      <c r="E226" s="12">
        <f t="shared" si="22"/>
        <v>318.49227397252247</v>
      </c>
      <c r="F226" s="12">
        <f t="shared" si="21"/>
        <v>217.7422918284214</v>
      </c>
      <c r="G226" s="12">
        <f t="shared" si="23"/>
        <v>49097.190452304087</v>
      </c>
    </row>
    <row r="227" spans="2:7" x14ac:dyDescent="0.2">
      <c r="B227" s="11">
        <v>222</v>
      </c>
      <c r="C227" s="11">
        <f t="shared" si="19"/>
        <v>19</v>
      </c>
      <c r="D227" s="12">
        <f t="shared" si="20"/>
        <v>536.23456580094387</v>
      </c>
      <c r="E227" s="12">
        <f t="shared" si="22"/>
        <v>317.0860216711306</v>
      </c>
      <c r="F227" s="12">
        <f t="shared" si="21"/>
        <v>219.14854412981327</v>
      </c>
      <c r="G227" s="12">
        <f t="shared" si="23"/>
        <v>48878.041908174273</v>
      </c>
    </row>
    <row r="228" spans="2:7" x14ac:dyDescent="0.2">
      <c r="B228" s="11">
        <v>223</v>
      </c>
      <c r="C228" s="11">
        <f t="shared" si="19"/>
        <v>19</v>
      </c>
      <c r="D228" s="12">
        <f t="shared" si="20"/>
        <v>536.23456580094387</v>
      </c>
      <c r="E228" s="12">
        <f t="shared" si="22"/>
        <v>315.67068732362549</v>
      </c>
      <c r="F228" s="12">
        <f t="shared" si="21"/>
        <v>220.56387847731838</v>
      </c>
      <c r="G228" s="12">
        <f t="shared" si="23"/>
        <v>48657.478029696955</v>
      </c>
    </row>
    <row r="229" spans="2:7" x14ac:dyDescent="0.2">
      <c r="B229" s="15">
        <v>224</v>
      </c>
      <c r="C229" s="15">
        <f t="shared" si="19"/>
        <v>19</v>
      </c>
      <c r="D229" s="16">
        <f t="shared" si="20"/>
        <v>536.23456580094387</v>
      </c>
      <c r="E229" s="16">
        <f t="shared" si="22"/>
        <v>314.2462122751262</v>
      </c>
      <c r="F229" s="16">
        <f t="shared" si="21"/>
        <v>221.98835352581767</v>
      </c>
      <c r="G229" s="16">
        <f t="shared" si="23"/>
        <v>48435.489676171135</v>
      </c>
    </row>
    <row r="230" spans="2:7" x14ac:dyDescent="0.2">
      <c r="B230" s="15">
        <v>225</v>
      </c>
      <c r="C230" s="15">
        <f t="shared" si="19"/>
        <v>19</v>
      </c>
      <c r="D230" s="16">
        <f t="shared" si="20"/>
        <v>536.23456580094387</v>
      </c>
      <c r="E230" s="16">
        <f t="shared" si="22"/>
        <v>312.8125374919386</v>
      </c>
      <c r="F230" s="16">
        <f t="shared" si="21"/>
        <v>223.42202830900527</v>
      </c>
      <c r="G230" s="16">
        <f t="shared" si="23"/>
        <v>48212.067647862132</v>
      </c>
    </row>
    <row r="231" spans="2:7" x14ac:dyDescent="0.2">
      <c r="B231" s="15">
        <v>226</v>
      </c>
      <c r="C231" s="15">
        <f t="shared" si="19"/>
        <v>19</v>
      </c>
      <c r="D231" s="16">
        <f t="shared" si="20"/>
        <v>536.23456580094387</v>
      </c>
      <c r="E231" s="16">
        <f t="shared" si="22"/>
        <v>311.36960355910963</v>
      </c>
      <c r="F231" s="16">
        <f t="shared" si="21"/>
        <v>224.86496224183423</v>
      </c>
      <c r="G231" s="16">
        <f t="shared" si="23"/>
        <v>47987.202685620301</v>
      </c>
    </row>
    <row r="232" spans="2:7" x14ac:dyDescent="0.2">
      <c r="B232" s="15">
        <v>227</v>
      </c>
      <c r="C232" s="15">
        <f t="shared" si="19"/>
        <v>19</v>
      </c>
      <c r="D232" s="16">
        <f t="shared" si="20"/>
        <v>536.23456580094387</v>
      </c>
      <c r="E232" s="16">
        <f t="shared" si="22"/>
        <v>309.91735067796441</v>
      </c>
      <c r="F232" s="16">
        <f t="shared" si="21"/>
        <v>226.31721512297946</v>
      </c>
      <c r="G232" s="16">
        <f t="shared" si="23"/>
        <v>47760.88547049732</v>
      </c>
    </row>
    <row r="233" spans="2:7" x14ac:dyDescent="0.2">
      <c r="B233" s="15">
        <v>228</v>
      </c>
      <c r="C233" s="15">
        <f t="shared" si="19"/>
        <v>19</v>
      </c>
      <c r="D233" s="16">
        <f t="shared" si="20"/>
        <v>536.23456580094387</v>
      </c>
      <c r="E233" s="16">
        <f t="shared" si="22"/>
        <v>308.45571866362849</v>
      </c>
      <c r="F233" s="16">
        <f t="shared" si="21"/>
        <v>227.77884713731538</v>
      </c>
      <c r="G233" s="16">
        <f t="shared" si="23"/>
        <v>47533.106623360007</v>
      </c>
    </row>
    <row r="234" spans="2:7" x14ac:dyDescent="0.2">
      <c r="B234" s="15">
        <v>229</v>
      </c>
      <c r="C234" s="15">
        <f t="shared" si="19"/>
        <v>20</v>
      </c>
      <c r="D234" s="16">
        <f t="shared" si="20"/>
        <v>536.23456580094387</v>
      </c>
      <c r="E234" s="16">
        <f t="shared" si="22"/>
        <v>306.9846469425334</v>
      </c>
      <c r="F234" s="16">
        <f t="shared" si="21"/>
        <v>229.24991885841047</v>
      </c>
      <c r="G234" s="16">
        <f t="shared" si="23"/>
        <v>47303.856704501595</v>
      </c>
    </row>
    <row r="235" spans="2:7" x14ac:dyDescent="0.2">
      <c r="B235" s="15">
        <v>230</v>
      </c>
      <c r="C235" s="15">
        <f t="shared" si="19"/>
        <v>20</v>
      </c>
      <c r="D235" s="16">
        <f t="shared" si="20"/>
        <v>536.23456580094387</v>
      </c>
      <c r="E235" s="16">
        <f t="shared" si="22"/>
        <v>305.50407454990614</v>
      </c>
      <c r="F235" s="16">
        <f t="shared" si="21"/>
        <v>230.73049125103773</v>
      </c>
      <c r="G235" s="16">
        <f t="shared" si="23"/>
        <v>47073.126213250558</v>
      </c>
    </row>
    <row r="236" spans="2:7" x14ac:dyDescent="0.2">
      <c r="B236" s="15">
        <v>231</v>
      </c>
      <c r="C236" s="15">
        <f t="shared" si="19"/>
        <v>20</v>
      </c>
      <c r="D236" s="16">
        <f t="shared" si="20"/>
        <v>536.23456580094387</v>
      </c>
      <c r="E236" s="16">
        <f t="shared" si="22"/>
        <v>304.01394012724319</v>
      </c>
      <c r="F236" s="16">
        <f t="shared" si="21"/>
        <v>232.22062567370068</v>
      </c>
      <c r="G236" s="16">
        <f t="shared" si="23"/>
        <v>46840.905587576861</v>
      </c>
    </row>
    <row r="237" spans="2:7" x14ac:dyDescent="0.2">
      <c r="B237" s="15">
        <v>232</v>
      </c>
      <c r="C237" s="15">
        <f t="shared" si="19"/>
        <v>20</v>
      </c>
      <c r="D237" s="16">
        <f t="shared" si="20"/>
        <v>536.23456580094387</v>
      </c>
      <c r="E237" s="16">
        <f t="shared" si="22"/>
        <v>302.51418191976722</v>
      </c>
      <c r="F237" s="16">
        <f t="shared" si="21"/>
        <v>233.72038388117664</v>
      </c>
      <c r="G237" s="16">
        <f t="shared" si="23"/>
        <v>46607.185203695684</v>
      </c>
    </row>
    <row r="238" spans="2:7" x14ac:dyDescent="0.2">
      <c r="B238" s="15">
        <v>233</v>
      </c>
      <c r="C238" s="15">
        <f t="shared" si="19"/>
        <v>20</v>
      </c>
      <c r="D238" s="16">
        <f t="shared" si="20"/>
        <v>536.23456580094387</v>
      </c>
      <c r="E238" s="16">
        <f t="shared" si="22"/>
        <v>301.00473777386793</v>
      </c>
      <c r="F238" s="16">
        <f t="shared" si="21"/>
        <v>235.22982802707594</v>
      </c>
      <c r="G238" s="16">
        <f t="shared" si="23"/>
        <v>46371.955375668607</v>
      </c>
    </row>
    <row r="239" spans="2:7" x14ac:dyDescent="0.2">
      <c r="B239" s="15">
        <v>234</v>
      </c>
      <c r="C239" s="15">
        <f t="shared" si="19"/>
        <v>20</v>
      </c>
      <c r="D239" s="16">
        <f t="shared" si="20"/>
        <v>536.23456580094387</v>
      </c>
      <c r="E239" s="16">
        <f t="shared" si="22"/>
        <v>299.48554513452643</v>
      </c>
      <c r="F239" s="16">
        <f t="shared" si="21"/>
        <v>236.74902066641744</v>
      </c>
      <c r="G239" s="16">
        <f t="shared" si="23"/>
        <v>46135.206355002192</v>
      </c>
    </row>
    <row r="240" spans="2:7" x14ac:dyDescent="0.2">
      <c r="B240" s="15">
        <v>235</v>
      </c>
      <c r="C240" s="15">
        <f t="shared" si="19"/>
        <v>20</v>
      </c>
      <c r="D240" s="16">
        <f t="shared" si="20"/>
        <v>536.23456580094387</v>
      </c>
      <c r="E240" s="16">
        <f t="shared" si="22"/>
        <v>297.95654104272251</v>
      </c>
      <c r="F240" s="16">
        <f t="shared" si="21"/>
        <v>238.27802475822136</v>
      </c>
      <c r="G240" s="16">
        <f t="shared" si="23"/>
        <v>45896.928330243973</v>
      </c>
    </row>
    <row r="241" spans="2:7" x14ac:dyDescent="0.2">
      <c r="B241" s="11">
        <v>236</v>
      </c>
      <c r="C241" s="11">
        <f t="shared" si="19"/>
        <v>20</v>
      </c>
      <c r="D241" s="12">
        <f t="shared" si="20"/>
        <v>536.23456580094387</v>
      </c>
      <c r="E241" s="12">
        <f t="shared" si="22"/>
        <v>296.41766213282568</v>
      </c>
      <c r="F241" s="12">
        <f t="shared" si="21"/>
        <v>239.81690366811819</v>
      </c>
      <c r="G241" s="12">
        <f t="shared" si="23"/>
        <v>45657.111426575852</v>
      </c>
    </row>
    <row r="242" spans="2:7" x14ac:dyDescent="0.2">
      <c r="B242" s="11">
        <v>237</v>
      </c>
      <c r="C242" s="11">
        <f t="shared" si="19"/>
        <v>20</v>
      </c>
      <c r="D242" s="12">
        <f t="shared" si="20"/>
        <v>536.23456580094387</v>
      </c>
      <c r="E242" s="12">
        <f t="shared" si="22"/>
        <v>294.86884462996903</v>
      </c>
      <c r="F242" s="12">
        <f t="shared" si="21"/>
        <v>241.36572117097484</v>
      </c>
      <c r="G242" s="12">
        <f t="shared" si="23"/>
        <v>45415.745705404879</v>
      </c>
    </row>
    <row r="243" spans="2:7" x14ac:dyDescent="0.2">
      <c r="B243" s="11">
        <v>238</v>
      </c>
      <c r="C243" s="11">
        <f t="shared" si="19"/>
        <v>20</v>
      </c>
      <c r="D243" s="12">
        <f t="shared" si="20"/>
        <v>536.23456580094387</v>
      </c>
      <c r="E243" s="12">
        <f t="shared" si="22"/>
        <v>293.31002434740651</v>
      </c>
      <c r="F243" s="12">
        <f t="shared" si="21"/>
        <v>242.92454145353736</v>
      </c>
      <c r="G243" s="12">
        <f t="shared" si="23"/>
        <v>45172.821163951339</v>
      </c>
    </row>
    <row r="244" spans="2:7" x14ac:dyDescent="0.2">
      <c r="B244" s="11">
        <v>239</v>
      </c>
      <c r="C244" s="11">
        <f t="shared" si="19"/>
        <v>20</v>
      </c>
      <c r="D244" s="12">
        <f t="shared" si="20"/>
        <v>536.23456580094387</v>
      </c>
      <c r="E244" s="12">
        <f t="shared" si="22"/>
        <v>291.7411366838524</v>
      </c>
      <c r="F244" s="12">
        <f t="shared" si="21"/>
        <v>244.49342911709147</v>
      </c>
      <c r="G244" s="12">
        <f t="shared" si="23"/>
        <v>44928.327734834245</v>
      </c>
    </row>
    <row r="245" spans="2:7" x14ac:dyDescent="0.2">
      <c r="B245" s="11">
        <v>240</v>
      </c>
      <c r="C245" s="11">
        <f t="shared" si="19"/>
        <v>20</v>
      </c>
      <c r="D245" s="12">
        <f t="shared" si="20"/>
        <v>536.23456580094387</v>
      </c>
      <c r="E245" s="12">
        <f t="shared" si="22"/>
        <v>290.16211662080451</v>
      </c>
      <c r="F245" s="12">
        <f t="shared" si="21"/>
        <v>246.07244918013936</v>
      </c>
      <c r="G245" s="12">
        <f t="shared" si="23"/>
        <v>44682.255285654108</v>
      </c>
    </row>
    <row r="246" spans="2:7" x14ac:dyDescent="0.2">
      <c r="B246" s="11">
        <v>241</v>
      </c>
      <c r="C246" s="11">
        <f t="shared" si="19"/>
        <v>21</v>
      </c>
      <c r="D246" s="12">
        <f t="shared" si="20"/>
        <v>536.23456580094387</v>
      </c>
      <c r="E246" s="12">
        <f t="shared" si="22"/>
        <v>288.57289871984943</v>
      </c>
      <c r="F246" s="12">
        <f t="shared" si="21"/>
        <v>247.66166708109444</v>
      </c>
      <c r="G246" s="12">
        <f t="shared" si="23"/>
        <v>44434.593618573017</v>
      </c>
    </row>
    <row r="247" spans="2:7" x14ac:dyDescent="0.2">
      <c r="B247" s="11">
        <v>242</v>
      </c>
      <c r="C247" s="11">
        <f t="shared" si="19"/>
        <v>21</v>
      </c>
      <c r="D247" s="12">
        <f t="shared" si="20"/>
        <v>536.23456580094387</v>
      </c>
      <c r="E247" s="12">
        <f t="shared" si="22"/>
        <v>286.97341711995074</v>
      </c>
      <c r="F247" s="12">
        <f t="shared" si="21"/>
        <v>249.26114868099313</v>
      </c>
      <c r="G247" s="12">
        <f t="shared" si="23"/>
        <v>44185.332469892026</v>
      </c>
    </row>
    <row r="248" spans="2:7" x14ac:dyDescent="0.2">
      <c r="B248" s="11">
        <v>243</v>
      </c>
      <c r="C248" s="11">
        <f t="shared" si="19"/>
        <v>21</v>
      </c>
      <c r="D248" s="12">
        <f t="shared" si="20"/>
        <v>536.23456580094387</v>
      </c>
      <c r="E248" s="12">
        <f t="shared" si="22"/>
        <v>285.36360553471934</v>
      </c>
      <c r="F248" s="12">
        <f t="shared" si="21"/>
        <v>250.87096026622453</v>
      </c>
      <c r="G248" s="12">
        <f t="shared" si="23"/>
        <v>43934.461509625798</v>
      </c>
    </row>
    <row r="249" spans="2:7" x14ac:dyDescent="0.2">
      <c r="B249" s="11">
        <v>244</v>
      </c>
      <c r="C249" s="11">
        <f t="shared" si="19"/>
        <v>21</v>
      </c>
      <c r="D249" s="12">
        <f t="shared" si="20"/>
        <v>536.23456580094387</v>
      </c>
      <c r="E249" s="12">
        <f t="shared" si="22"/>
        <v>283.7433972496666</v>
      </c>
      <c r="F249" s="12">
        <f t="shared" si="21"/>
        <v>252.49116855127727</v>
      </c>
      <c r="G249" s="12">
        <f t="shared" si="23"/>
        <v>43681.970341074521</v>
      </c>
    </row>
    <row r="250" spans="2:7" x14ac:dyDescent="0.2">
      <c r="B250" s="11">
        <v>245</v>
      </c>
      <c r="C250" s="11">
        <f t="shared" si="19"/>
        <v>21</v>
      </c>
      <c r="D250" s="12">
        <f t="shared" si="20"/>
        <v>536.23456580094387</v>
      </c>
      <c r="E250" s="12">
        <f t="shared" si="22"/>
        <v>282.11272511943963</v>
      </c>
      <c r="F250" s="12">
        <f t="shared" si="21"/>
        <v>254.12184068150424</v>
      </c>
      <c r="G250" s="12">
        <f t="shared" si="23"/>
        <v>43427.848500393018</v>
      </c>
    </row>
    <row r="251" spans="2:7" x14ac:dyDescent="0.2">
      <c r="B251" s="11">
        <v>246</v>
      </c>
      <c r="C251" s="11">
        <f t="shared" si="19"/>
        <v>21</v>
      </c>
      <c r="D251" s="12">
        <f t="shared" si="20"/>
        <v>536.23456580094387</v>
      </c>
      <c r="E251" s="12">
        <f t="shared" si="22"/>
        <v>280.47152156503824</v>
      </c>
      <c r="F251" s="12">
        <f t="shared" si="21"/>
        <v>255.76304423590562</v>
      </c>
      <c r="G251" s="12">
        <f t="shared" si="23"/>
        <v>43172.08545615711</v>
      </c>
    </row>
    <row r="252" spans="2:7" x14ac:dyDescent="0.2">
      <c r="B252" s="11">
        <v>247</v>
      </c>
      <c r="C252" s="11">
        <f t="shared" si="19"/>
        <v>21</v>
      </c>
      <c r="D252" s="12">
        <f t="shared" si="20"/>
        <v>536.23456580094387</v>
      </c>
      <c r="E252" s="12">
        <f t="shared" si="22"/>
        <v>278.81971857101468</v>
      </c>
      <c r="F252" s="12">
        <f t="shared" si="21"/>
        <v>257.41484722992919</v>
      </c>
      <c r="G252" s="12">
        <f t="shared" si="23"/>
        <v>42914.670608927183</v>
      </c>
    </row>
    <row r="253" spans="2:7" x14ac:dyDescent="0.2">
      <c r="B253" s="15">
        <v>248</v>
      </c>
      <c r="C253" s="15">
        <f t="shared" si="19"/>
        <v>21</v>
      </c>
      <c r="D253" s="16">
        <f t="shared" si="20"/>
        <v>536.23456580094387</v>
      </c>
      <c r="E253" s="16">
        <f t="shared" si="22"/>
        <v>277.15724768265471</v>
      </c>
      <c r="F253" s="16">
        <f t="shared" si="21"/>
        <v>259.07731811828916</v>
      </c>
      <c r="G253" s="16">
        <f t="shared" si="23"/>
        <v>42655.593290808894</v>
      </c>
    </row>
    <row r="254" spans="2:7" x14ac:dyDescent="0.2">
      <c r="B254" s="15">
        <v>249</v>
      </c>
      <c r="C254" s="15">
        <f t="shared" si="19"/>
        <v>21</v>
      </c>
      <c r="D254" s="16">
        <f t="shared" si="20"/>
        <v>536.23456580094387</v>
      </c>
      <c r="E254" s="16">
        <f t="shared" si="22"/>
        <v>275.48404000314076</v>
      </c>
      <c r="F254" s="16">
        <f t="shared" si="21"/>
        <v>260.75052579780311</v>
      </c>
      <c r="G254" s="16">
        <f t="shared" si="23"/>
        <v>42394.84276501109</v>
      </c>
    </row>
    <row r="255" spans="2:7" x14ac:dyDescent="0.2">
      <c r="B255" s="15">
        <v>250</v>
      </c>
      <c r="C255" s="15">
        <f t="shared" si="19"/>
        <v>21</v>
      </c>
      <c r="D255" s="16">
        <f t="shared" si="20"/>
        <v>536.23456580094387</v>
      </c>
      <c r="E255" s="16">
        <f t="shared" si="22"/>
        <v>273.80002619069666</v>
      </c>
      <c r="F255" s="16">
        <f t="shared" si="21"/>
        <v>262.43453961024721</v>
      </c>
      <c r="G255" s="16">
        <f t="shared" si="23"/>
        <v>42132.408225400839</v>
      </c>
    </row>
    <row r="256" spans="2:7" x14ac:dyDescent="0.2">
      <c r="B256" s="15">
        <v>251</v>
      </c>
      <c r="C256" s="15">
        <f t="shared" si="19"/>
        <v>21</v>
      </c>
      <c r="D256" s="16">
        <f t="shared" si="20"/>
        <v>536.23456580094387</v>
      </c>
      <c r="E256" s="16">
        <f t="shared" si="22"/>
        <v>272.10513645571376</v>
      </c>
      <c r="F256" s="16">
        <f t="shared" si="21"/>
        <v>264.12942934523011</v>
      </c>
      <c r="G256" s="16">
        <f t="shared" si="23"/>
        <v>41868.278796055609</v>
      </c>
    </row>
    <row r="257" spans="2:7" x14ac:dyDescent="0.2">
      <c r="B257" s="15">
        <v>252</v>
      </c>
      <c r="C257" s="15">
        <f t="shared" si="19"/>
        <v>21</v>
      </c>
      <c r="D257" s="16">
        <f t="shared" si="20"/>
        <v>536.23456580094387</v>
      </c>
      <c r="E257" s="16">
        <f t="shared" si="22"/>
        <v>270.39930055785914</v>
      </c>
      <c r="F257" s="16">
        <f t="shared" si="21"/>
        <v>265.83526524308473</v>
      </c>
      <c r="G257" s="16">
        <f t="shared" si="23"/>
        <v>41602.443530812525</v>
      </c>
    </row>
    <row r="258" spans="2:7" x14ac:dyDescent="0.2">
      <c r="B258" s="15">
        <v>253</v>
      </c>
      <c r="C258" s="15">
        <f t="shared" si="19"/>
        <v>22</v>
      </c>
      <c r="D258" s="16">
        <f t="shared" si="20"/>
        <v>536.23456580094387</v>
      </c>
      <c r="E258" s="16">
        <f t="shared" si="22"/>
        <v>268.68244780316422</v>
      </c>
      <c r="F258" s="16">
        <f t="shared" si="21"/>
        <v>267.55211799777965</v>
      </c>
      <c r="G258" s="16">
        <f t="shared" si="23"/>
        <v>41334.891412814744</v>
      </c>
    </row>
    <row r="259" spans="2:7" x14ac:dyDescent="0.2">
      <c r="B259" s="15">
        <v>254</v>
      </c>
      <c r="C259" s="15">
        <f t="shared" si="19"/>
        <v>22</v>
      </c>
      <c r="D259" s="16">
        <f t="shared" si="20"/>
        <v>536.23456580094387</v>
      </c>
      <c r="E259" s="16">
        <f t="shared" si="22"/>
        <v>266.95450704109521</v>
      </c>
      <c r="F259" s="16">
        <f t="shared" si="21"/>
        <v>269.28005875984866</v>
      </c>
      <c r="G259" s="16">
        <f t="shared" si="23"/>
        <v>41065.611354054898</v>
      </c>
    </row>
    <row r="260" spans="2:7" x14ac:dyDescent="0.2">
      <c r="B260" s="15">
        <v>255</v>
      </c>
      <c r="C260" s="15">
        <f t="shared" si="19"/>
        <v>22</v>
      </c>
      <c r="D260" s="16">
        <f t="shared" si="20"/>
        <v>536.23456580094387</v>
      </c>
      <c r="E260" s="16">
        <f t="shared" si="22"/>
        <v>265.21540666160456</v>
      </c>
      <c r="F260" s="16">
        <f t="shared" si="21"/>
        <v>271.01915913933931</v>
      </c>
      <c r="G260" s="16">
        <f t="shared" si="23"/>
        <v>40794.59219491556</v>
      </c>
    </row>
    <row r="261" spans="2:7" x14ac:dyDescent="0.2">
      <c r="B261" s="15">
        <v>256</v>
      </c>
      <c r="C261" s="15">
        <f t="shared" si="19"/>
        <v>22</v>
      </c>
      <c r="D261" s="16">
        <f t="shared" si="20"/>
        <v>536.23456580094387</v>
      </c>
      <c r="E261" s="16">
        <f t="shared" si="22"/>
        <v>263.46507459216298</v>
      </c>
      <c r="F261" s="16">
        <f t="shared" si="21"/>
        <v>272.76949120878089</v>
      </c>
      <c r="G261" s="16">
        <f t="shared" si="23"/>
        <v>40521.822703706777</v>
      </c>
    </row>
    <row r="262" spans="2:7" x14ac:dyDescent="0.2">
      <c r="B262" s="15">
        <v>257</v>
      </c>
      <c r="C262" s="15">
        <f t="shared" ref="C262:C325" si="24">ROUNDUP(B262/12,0)</f>
        <v>22</v>
      </c>
      <c r="D262" s="16">
        <f t="shared" ref="D262:D325" si="25">-PMT(InterestRate/12,LoanTermYrs*12,LoanAmount)</f>
        <v>536.23456580094387</v>
      </c>
      <c r="E262" s="16">
        <f t="shared" si="22"/>
        <v>261.70343829477292</v>
      </c>
      <c r="F262" s="16">
        <f t="shared" ref="F262:F325" si="26">D262-E262</f>
        <v>274.53112750617095</v>
      </c>
      <c r="G262" s="16">
        <f t="shared" si="23"/>
        <v>40247.291576200609</v>
      </c>
    </row>
    <row r="263" spans="2:7" x14ac:dyDescent="0.2">
      <c r="B263" s="15">
        <v>258</v>
      </c>
      <c r="C263" s="15">
        <f t="shared" si="24"/>
        <v>22</v>
      </c>
      <c r="D263" s="16">
        <f t="shared" si="25"/>
        <v>536.23456580094387</v>
      </c>
      <c r="E263" s="16">
        <f t="shared" ref="E263:E326" si="27">(G262)*InterestRate/12</f>
        <v>259.93042476296228</v>
      </c>
      <c r="F263" s="16">
        <f t="shared" si="26"/>
        <v>276.30414103798159</v>
      </c>
      <c r="G263" s="16">
        <f t="shared" ref="G263:G326" si="28">(G262)-F263</f>
        <v>39970.987435162628</v>
      </c>
    </row>
    <row r="264" spans="2:7" x14ac:dyDescent="0.2">
      <c r="B264" s="15">
        <v>259</v>
      </c>
      <c r="C264" s="15">
        <f t="shared" si="24"/>
        <v>22</v>
      </c>
      <c r="D264" s="16">
        <f t="shared" si="25"/>
        <v>536.23456580094387</v>
      </c>
      <c r="E264" s="16">
        <f t="shared" si="27"/>
        <v>258.14596051875861</v>
      </c>
      <c r="F264" s="16">
        <f t="shared" si="26"/>
        <v>278.08860528218526</v>
      </c>
      <c r="G264" s="16">
        <f t="shared" si="28"/>
        <v>39692.89882988044</v>
      </c>
    </row>
    <row r="265" spans="2:7" x14ac:dyDescent="0.2">
      <c r="B265" s="11">
        <v>260</v>
      </c>
      <c r="C265" s="11">
        <f t="shared" si="24"/>
        <v>22</v>
      </c>
      <c r="D265" s="12">
        <f t="shared" si="25"/>
        <v>536.23456580094387</v>
      </c>
      <c r="E265" s="12">
        <f t="shared" si="27"/>
        <v>256.34997160964451</v>
      </c>
      <c r="F265" s="12">
        <f t="shared" si="26"/>
        <v>279.88459419129936</v>
      </c>
      <c r="G265" s="12">
        <f t="shared" si="28"/>
        <v>39413.014235689137</v>
      </c>
    </row>
    <row r="266" spans="2:7" x14ac:dyDescent="0.2">
      <c r="B266" s="11">
        <v>261</v>
      </c>
      <c r="C266" s="11">
        <f t="shared" si="24"/>
        <v>22</v>
      </c>
      <c r="D266" s="12">
        <f t="shared" si="25"/>
        <v>536.23456580094387</v>
      </c>
      <c r="E266" s="12">
        <f t="shared" si="27"/>
        <v>254.54238360549235</v>
      </c>
      <c r="F266" s="12">
        <f t="shared" si="26"/>
        <v>281.69218219545155</v>
      </c>
      <c r="G266" s="12">
        <f t="shared" si="28"/>
        <v>39131.322053493685</v>
      </c>
    </row>
    <row r="267" spans="2:7" x14ac:dyDescent="0.2">
      <c r="B267" s="11">
        <v>262</v>
      </c>
      <c r="C267" s="11">
        <f t="shared" si="24"/>
        <v>22</v>
      </c>
      <c r="D267" s="12">
        <f t="shared" si="25"/>
        <v>536.23456580094387</v>
      </c>
      <c r="E267" s="12">
        <f t="shared" si="27"/>
        <v>252.72312159548005</v>
      </c>
      <c r="F267" s="12">
        <f t="shared" si="26"/>
        <v>283.51144420546382</v>
      </c>
      <c r="G267" s="12">
        <f t="shared" si="28"/>
        <v>38847.810609288223</v>
      </c>
    </row>
    <row r="268" spans="2:7" x14ac:dyDescent="0.2">
      <c r="B268" s="11">
        <v>263</v>
      </c>
      <c r="C268" s="11">
        <f t="shared" si="24"/>
        <v>22</v>
      </c>
      <c r="D268" s="12">
        <f t="shared" si="25"/>
        <v>536.23456580094387</v>
      </c>
      <c r="E268" s="12">
        <f t="shared" si="27"/>
        <v>250.89211018498645</v>
      </c>
      <c r="F268" s="12">
        <f t="shared" si="26"/>
        <v>285.34245561595742</v>
      </c>
      <c r="G268" s="12">
        <f t="shared" si="28"/>
        <v>38562.468153672264</v>
      </c>
    </row>
    <row r="269" spans="2:7" x14ac:dyDescent="0.2">
      <c r="B269" s="11">
        <v>264</v>
      </c>
      <c r="C269" s="11">
        <f t="shared" si="24"/>
        <v>22</v>
      </c>
      <c r="D269" s="12">
        <f t="shared" si="25"/>
        <v>536.23456580094387</v>
      </c>
      <c r="E269" s="12">
        <f t="shared" si="27"/>
        <v>249.04927349246671</v>
      </c>
      <c r="F269" s="12">
        <f t="shared" si="26"/>
        <v>287.18529230847719</v>
      </c>
      <c r="G269" s="12">
        <f t="shared" si="28"/>
        <v>38275.282861363783</v>
      </c>
    </row>
    <row r="270" spans="2:7" x14ac:dyDescent="0.2">
      <c r="B270" s="11">
        <v>265</v>
      </c>
      <c r="C270" s="11">
        <f t="shared" si="24"/>
        <v>23</v>
      </c>
      <c r="D270" s="12">
        <f t="shared" si="25"/>
        <v>536.23456580094387</v>
      </c>
      <c r="E270" s="12">
        <f t="shared" si="27"/>
        <v>247.19453514630777</v>
      </c>
      <c r="F270" s="12">
        <f t="shared" si="26"/>
        <v>289.0400306546361</v>
      </c>
      <c r="G270" s="12">
        <f t="shared" si="28"/>
        <v>37986.242830709147</v>
      </c>
    </row>
    <row r="271" spans="2:7" x14ac:dyDescent="0.2">
      <c r="B271" s="11">
        <v>266</v>
      </c>
      <c r="C271" s="11">
        <f t="shared" si="24"/>
        <v>23</v>
      </c>
      <c r="D271" s="12">
        <f t="shared" si="25"/>
        <v>536.23456580094387</v>
      </c>
      <c r="E271" s="12">
        <f t="shared" si="27"/>
        <v>245.32781828166324</v>
      </c>
      <c r="F271" s="12">
        <f t="shared" si="26"/>
        <v>290.90674751928066</v>
      </c>
      <c r="G271" s="12">
        <f t="shared" si="28"/>
        <v>37695.336083189868</v>
      </c>
    </row>
    <row r="272" spans="2:7" x14ac:dyDescent="0.2">
      <c r="B272" s="11">
        <v>267</v>
      </c>
      <c r="C272" s="11">
        <f t="shared" si="24"/>
        <v>23</v>
      </c>
      <c r="D272" s="12">
        <f t="shared" si="25"/>
        <v>536.23456580094387</v>
      </c>
      <c r="E272" s="12">
        <f t="shared" si="27"/>
        <v>243.44904553726789</v>
      </c>
      <c r="F272" s="12">
        <f t="shared" si="26"/>
        <v>292.78552026367595</v>
      </c>
      <c r="G272" s="12">
        <f t="shared" si="28"/>
        <v>37402.55056292619</v>
      </c>
    </row>
    <row r="273" spans="2:7" x14ac:dyDescent="0.2">
      <c r="B273" s="11">
        <v>268</v>
      </c>
      <c r="C273" s="11">
        <f t="shared" si="24"/>
        <v>23</v>
      </c>
      <c r="D273" s="12">
        <f t="shared" si="25"/>
        <v>536.23456580094387</v>
      </c>
      <c r="E273" s="12">
        <f t="shared" si="27"/>
        <v>241.55813905223167</v>
      </c>
      <c r="F273" s="12">
        <f t="shared" si="26"/>
        <v>294.67642674871217</v>
      </c>
      <c r="G273" s="12">
        <f t="shared" si="28"/>
        <v>37107.874136177481</v>
      </c>
    </row>
    <row r="274" spans="2:7" x14ac:dyDescent="0.2">
      <c r="B274" s="11">
        <v>269</v>
      </c>
      <c r="C274" s="11">
        <f t="shared" si="24"/>
        <v>23</v>
      </c>
      <c r="D274" s="12">
        <f t="shared" si="25"/>
        <v>536.23456580094387</v>
      </c>
      <c r="E274" s="12">
        <f t="shared" si="27"/>
        <v>239.6550204628129</v>
      </c>
      <c r="F274" s="12">
        <f t="shared" si="26"/>
        <v>296.57954533813097</v>
      </c>
      <c r="G274" s="12">
        <f t="shared" si="28"/>
        <v>36811.294590839352</v>
      </c>
    </row>
    <row r="275" spans="2:7" x14ac:dyDescent="0.2">
      <c r="B275" s="11">
        <v>270</v>
      </c>
      <c r="C275" s="11">
        <f t="shared" si="24"/>
        <v>23</v>
      </c>
      <c r="D275" s="12">
        <f t="shared" si="25"/>
        <v>536.23456580094387</v>
      </c>
      <c r="E275" s="12">
        <f t="shared" si="27"/>
        <v>237.7396108991708</v>
      </c>
      <c r="F275" s="12">
        <f t="shared" si="26"/>
        <v>298.4949549017731</v>
      </c>
      <c r="G275" s="12">
        <f t="shared" si="28"/>
        <v>36512.799635937576</v>
      </c>
    </row>
    <row r="276" spans="2:7" x14ac:dyDescent="0.2">
      <c r="B276" s="11">
        <v>271</v>
      </c>
      <c r="C276" s="11">
        <f t="shared" si="24"/>
        <v>23</v>
      </c>
      <c r="D276" s="12">
        <f t="shared" si="25"/>
        <v>536.23456580094387</v>
      </c>
      <c r="E276" s="12">
        <f t="shared" si="27"/>
        <v>235.81183098209684</v>
      </c>
      <c r="F276" s="12">
        <f t="shared" si="26"/>
        <v>300.42273481884706</v>
      </c>
      <c r="G276" s="12">
        <f t="shared" si="28"/>
        <v>36212.376901118725</v>
      </c>
    </row>
    <row r="277" spans="2:7" x14ac:dyDescent="0.2">
      <c r="B277" s="15">
        <v>272</v>
      </c>
      <c r="C277" s="15">
        <f t="shared" si="24"/>
        <v>23</v>
      </c>
      <c r="D277" s="16">
        <f t="shared" si="25"/>
        <v>536.23456580094387</v>
      </c>
      <c r="E277" s="16">
        <f t="shared" si="27"/>
        <v>233.8716008197251</v>
      </c>
      <c r="F277" s="16">
        <f t="shared" si="26"/>
        <v>302.36296498121874</v>
      </c>
      <c r="G277" s="16">
        <f t="shared" si="28"/>
        <v>35910.013936137504</v>
      </c>
    </row>
    <row r="278" spans="2:7" x14ac:dyDescent="0.2">
      <c r="B278" s="15">
        <v>273</v>
      </c>
      <c r="C278" s="15">
        <f t="shared" si="24"/>
        <v>23</v>
      </c>
      <c r="D278" s="16">
        <f t="shared" si="25"/>
        <v>536.23456580094387</v>
      </c>
      <c r="E278" s="16">
        <f t="shared" si="27"/>
        <v>231.91884000422138</v>
      </c>
      <c r="F278" s="16">
        <f t="shared" si="26"/>
        <v>304.31572579672252</v>
      </c>
      <c r="G278" s="16">
        <f t="shared" si="28"/>
        <v>35605.698210340779</v>
      </c>
    </row>
    <row r="279" spans="2:7" x14ac:dyDescent="0.2">
      <c r="B279" s="15">
        <v>274</v>
      </c>
      <c r="C279" s="15">
        <f t="shared" si="24"/>
        <v>23</v>
      </c>
      <c r="D279" s="16">
        <f t="shared" si="25"/>
        <v>536.23456580094387</v>
      </c>
      <c r="E279" s="16">
        <f t="shared" si="27"/>
        <v>229.95346760845086</v>
      </c>
      <c r="F279" s="16">
        <f t="shared" si="26"/>
        <v>306.281098192493</v>
      </c>
      <c r="G279" s="16">
        <f t="shared" si="28"/>
        <v>35299.417112148287</v>
      </c>
    </row>
    <row r="280" spans="2:7" x14ac:dyDescent="0.2">
      <c r="B280" s="15">
        <v>275</v>
      </c>
      <c r="C280" s="15">
        <f t="shared" si="24"/>
        <v>23</v>
      </c>
      <c r="D280" s="16">
        <f t="shared" si="25"/>
        <v>536.23456580094387</v>
      </c>
      <c r="E280" s="16">
        <f t="shared" si="27"/>
        <v>227.97540218262438</v>
      </c>
      <c r="F280" s="16">
        <f t="shared" si="26"/>
        <v>308.25916361831946</v>
      </c>
      <c r="G280" s="16">
        <f t="shared" si="28"/>
        <v>34991.157948529966</v>
      </c>
    </row>
    <row r="281" spans="2:7" x14ac:dyDescent="0.2">
      <c r="B281" s="15">
        <v>276</v>
      </c>
      <c r="C281" s="15">
        <f t="shared" si="24"/>
        <v>23</v>
      </c>
      <c r="D281" s="16">
        <f t="shared" si="25"/>
        <v>536.23456580094387</v>
      </c>
      <c r="E281" s="16">
        <f t="shared" si="27"/>
        <v>225.98456175092269</v>
      </c>
      <c r="F281" s="16">
        <f t="shared" si="26"/>
        <v>310.25000405002118</v>
      </c>
      <c r="G281" s="16">
        <f t="shared" si="28"/>
        <v>34680.907944479943</v>
      </c>
    </row>
    <row r="282" spans="2:7" x14ac:dyDescent="0.2">
      <c r="B282" s="15">
        <v>277</v>
      </c>
      <c r="C282" s="15">
        <f t="shared" si="24"/>
        <v>24</v>
      </c>
      <c r="D282" s="16">
        <f t="shared" si="25"/>
        <v>536.23456580094387</v>
      </c>
      <c r="E282" s="16">
        <f t="shared" si="27"/>
        <v>223.98086380809966</v>
      </c>
      <c r="F282" s="16">
        <f t="shared" si="26"/>
        <v>312.25370199284419</v>
      </c>
      <c r="G282" s="16">
        <f t="shared" si="28"/>
        <v>34368.6542424871</v>
      </c>
    </row>
    <row r="283" spans="2:7" x14ac:dyDescent="0.2">
      <c r="B283" s="15">
        <v>278</v>
      </c>
      <c r="C283" s="15">
        <f t="shared" si="24"/>
        <v>24</v>
      </c>
      <c r="D283" s="16">
        <f t="shared" si="25"/>
        <v>536.23456580094387</v>
      </c>
      <c r="E283" s="16">
        <f t="shared" si="27"/>
        <v>221.96422531606254</v>
      </c>
      <c r="F283" s="16">
        <f t="shared" si="26"/>
        <v>314.27034048488133</v>
      </c>
      <c r="G283" s="16">
        <f t="shared" si="28"/>
        <v>34054.383902002221</v>
      </c>
    </row>
    <row r="284" spans="2:7" x14ac:dyDescent="0.2">
      <c r="B284" s="15">
        <v>279</v>
      </c>
      <c r="C284" s="15">
        <f t="shared" si="24"/>
        <v>24</v>
      </c>
      <c r="D284" s="16">
        <f t="shared" si="25"/>
        <v>536.23456580094387</v>
      </c>
      <c r="E284" s="16">
        <f t="shared" si="27"/>
        <v>219.934562700431</v>
      </c>
      <c r="F284" s="16">
        <f t="shared" si="26"/>
        <v>316.30000310051287</v>
      </c>
      <c r="G284" s="16">
        <f t="shared" si="28"/>
        <v>33738.083898901707</v>
      </c>
    </row>
    <row r="285" spans="2:7" x14ac:dyDescent="0.2">
      <c r="B285" s="15">
        <v>280</v>
      </c>
      <c r="C285" s="15">
        <f t="shared" si="24"/>
        <v>24</v>
      </c>
      <c r="D285" s="16">
        <f t="shared" si="25"/>
        <v>536.23456580094387</v>
      </c>
      <c r="E285" s="16">
        <f t="shared" si="27"/>
        <v>217.89179184707351</v>
      </c>
      <c r="F285" s="16">
        <f t="shared" si="26"/>
        <v>318.34277395387039</v>
      </c>
      <c r="G285" s="16">
        <f t="shared" si="28"/>
        <v>33419.741124947839</v>
      </c>
    </row>
    <row r="286" spans="2:7" x14ac:dyDescent="0.2">
      <c r="B286" s="15">
        <v>281</v>
      </c>
      <c r="C286" s="15">
        <f t="shared" si="24"/>
        <v>24</v>
      </c>
      <c r="D286" s="16">
        <f t="shared" si="25"/>
        <v>536.23456580094387</v>
      </c>
      <c r="E286" s="16">
        <f t="shared" si="27"/>
        <v>215.83582809862148</v>
      </c>
      <c r="F286" s="16">
        <f t="shared" si="26"/>
        <v>320.39873770232236</v>
      </c>
      <c r="G286" s="16">
        <f t="shared" si="28"/>
        <v>33099.342387245517</v>
      </c>
    </row>
    <row r="287" spans="2:7" x14ac:dyDescent="0.2">
      <c r="B287" s="15">
        <v>282</v>
      </c>
      <c r="C287" s="15">
        <f t="shared" si="24"/>
        <v>24</v>
      </c>
      <c r="D287" s="16">
        <f t="shared" si="25"/>
        <v>536.23456580094387</v>
      </c>
      <c r="E287" s="16">
        <f t="shared" si="27"/>
        <v>213.76658625096061</v>
      </c>
      <c r="F287" s="16">
        <f t="shared" si="26"/>
        <v>322.46797954998328</v>
      </c>
      <c r="G287" s="16">
        <f t="shared" si="28"/>
        <v>32776.874407695534</v>
      </c>
    </row>
    <row r="288" spans="2:7" x14ac:dyDescent="0.2">
      <c r="B288" s="15">
        <v>283</v>
      </c>
      <c r="C288" s="15">
        <f t="shared" si="24"/>
        <v>24</v>
      </c>
      <c r="D288" s="16">
        <f t="shared" si="25"/>
        <v>536.23456580094387</v>
      </c>
      <c r="E288" s="16">
        <f t="shared" si="27"/>
        <v>211.68398054970032</v>
      </c>
      <c r="F288" s="16">
        <f t="shared" si="26"/>
        <v>324.55058525124355</v>
      </c>
      <c r="G288" s="16">
        <f t="shared" si="28"/>
        <v>32452.32382244429</v>
      </c>
    </row>
    <row r="289" spans="2:7" x14ac:dyDescent="0.2">
      <c r="B289" s="11">
        <v>284</v>
      </c>
      <c r="C289" s="11">
        <f t="shared" si="24"/>
        <v>24</v>
      </c>
      <c r="D289" s="12">
        <f t="shared" si="25"/>
        <v>536.23456580094387</v>
      </c>
      <c r="E289" s="12">
        <f t="shared" si="27"/>
        <v>209.58792468661935</v>
      </c>
      <c r="F289" s="12">
        <f t="shared" si="26"/>
        <v>326.64664111432455</v>
      </c>
      <c r="G289" s="12">
        <f t="shared" si="28"/>
        <v>32125.677181329967</v>
      </c>
    </row>
    <row r="290" spans="2:7" x14ac:dyDescent="0.2">
      <c r="B290" s="11">
        <v>285</v>
      </c>
      <c r="C290" s="11">
        <f t="shared" si="24"/>
        <v>24</v>
      </c>
      <c r="D290" s="12">
        <f t="shared" si="25"/>
        <v>536.23456580094387</v>
      </c>
      <c r="E290" s="12">
        <f t="shared" si="27"/>
        <v>207.47833179608938</v>
      </c>
      <c r="F290" s="12">
        <f t="shared" si="26"/>
        <v>328.75623400485449</v>
      </c>
      <c r="G290" s="12">
        <f t="shared" si="28"/>
        <v>31796.920947325114</v>
      </c>
    </row>
    <row r="291" spans="2:7" x14ac:dyDescent="0.2">
      <c r="B291" s="11">
        <v>286</v>
      </c>
      <c r="C291" s="11">
        <f t="shared" si="24"/>
        <v>24</v>
      </c>
      <c r="D291" s="12">
        <f t="shared" si="25"/>
        <v>536.23456580094387</v>
      </c>
      <c r="E291" s="12">
        <f t="shared" si="27"/>
        <v>205.35511445147469</v>
      </c>
      <c r="F291" s="12">
        <f t="shared" si="26"/>
        <v>330.87945134946915</v>
      </c>
      <c r="G291" s="12">
        <f t="shared" si="28"/>
        <v>31466.041495975645</v>
      </c>
    </row>
    <row r="292" spans="2:7" x14ac:dyDescent="0.2">
      <c r="B292" s="11">
        <v>287</v>
      </c>
      <c r="C292" s="11">
        <f t="shared" si="24"/>
        <v>24</v>
      </c>
      <c r="D292" s="12">
        <f t="shared" si="25"/>
        <v>536.23456580094387</v>
      </c>
      <c r="E292" s="12">
        <f t="shared" si="27"/>
        <v>203.21818466150935</v>
      </c>
      <c r="F292" s="12">
        <f t="shared" si="26"/>
        <v>333.01638113943454</v>
      </c>
      <c r="G292" s="12">
        <f t="shared" si="28"/>
        <v>31133.025114836211</v>
      </c>
    </row>
    <row r="293" spans="2:7" x14ac:dyDescent="0.2">
      <c r="B293" s="11">
        <v>288</v>
      </c>
      <c r="C293" s="11">
        <f t="shared" si="24"/>
        <v>24</v>
      </c>
      <c r="D293" s="12">
        <f t="shared" si="25"/>
        <v>536.23456580094387</v>
      </c>
      <c r="E293" s="12">
        <f t="shared" si="27"/>
        <v>201.06745386665054</v>
      </c>
      <c r="F293" s="12">
        <f t="shared" si="26"/>
        <v>335.1671119342933</v>
      </c>
      <c r="G293" s="12">
        <f t="shared" si="28"/>
        <v>30797.858002901918</v>
      </c>
    </row>
    <row r="294" spans="2:7" x14ac:dyDescent="0.2">
      <c r="B294" s="11">
        <v>289</v>
      </c>
      <c r="C294" s="11">
        <f t="shared" si="24"/>
        <v>25</v>
      </c>
      <c r="D294" s="12">
        <f t="shared" si="25"/>
        <v>536.23456580094387</v>
      </c>
      <c r="E294" s="12">
        <f t="shared" si="27"/>
        <v>198.90283293540821</v>
      </c>
      <c r="F294" s="12">
        <f t="shared" si="26"/>
        <v>337.33173286553563</v>
      </c>
      <c r="G294" s="12">
        <f t="shared" si="28"/>
        <v>30460.526270036382</v>
      </c>
    </row>
    <row r="295" spans="2:7" x14ac:dyDescent="0.2">
      <c r="B295" s="11">
        <v>290</v>
      </c>
      <c r="C295" s="11">
        <f t="shared" si="24"/>
        <v>25</v>
      </c>
      <c r="D295" s="12">
        <f t="shared" si="25"/>
        <v>536.23456580094387</v>
      </c>
      <c r="E295" s="12">
        <f t="shared" si="27"/>
        <v>196.72423216065161</v>
      </c>
      <c r="F295" s="12">
        <f t="shared" si="26"/>
        <v>339.51033364029229</v>
      </c>
      <c r="G295" s="12">
        <f t="shared" si="28"/>
        <v>30121.015936396088</v>
      </c>
    </row>
    <row r="296" spans="2:7" x14ac:dyDescent="0.2">
      <c r="B296" s="11">
        <v>291</v>
      </c>
      <c r="C296" s="11">
        <f t="shared" si="24"/>
        <v>25</v>
      </c>
      <c r="D296" s="12">
        <f t="shared" si="25"/>
        <v>536.23456580094387</v>
      </c>
      <c r="E296" s="12">
        <f t="shared" si="27"/>
        <v>194.53156125589138</v>
      </c>
      <c r="F296" s="12">
        <f t="shared" si="26"/>
        <v>341.70300454505252</v>
      </c>
      <c r="G296" s="12">
        <f t="shared" si="28"/>
        <v>29779.312931851036</v>
      </c>
    </row>
    <row r="297" spans="2:7" x14ac:dyDescent="0.2">
      <c r="B297" s="11">
        <v>292</v>
      </c>
      <c r="C297" s="11">
        <f t="shared" si="24"/>
        <v>25</v>
      </c>
      <c r="D297" s="12">
        <f t="shared" si="25"/>
        <v>536.23456580094387</v>
      </c>
      <c r="E297" s="12">
        <f t="shared" si="27"/>
        <v>192.32472935153794</v>
      </c>
      <c r="F297" s="12">
        <f t="shared" si="26"/>
        <v>343.90983644940593</v>
      </c>
      <c r="G297" s="12">
        <f t="shared" si="28"/>
        <v>29435.403095401631</v>
      </c>
    </row>
    <row r="298" spans="2:7" x14ac:dyDescent="0.2">
      <c r="B298" s="11">
        <v>293</v>
      </c>
      <c r="C298" s="11">
        <f t="shared" si="24"/>
        <v>25</v>
      </c>
      <c r="D298" s="12">
        <f t="shared" si="25"/>
        <v>536.23456580094387</v>
      </c>
      <c r="E298" s="12">
        <f t="shared" si="27"/>
        <v>190.10364499113552</v>
      </c>
      <c r="F298" s="12">
        <f t="shared" si="26"/>
        <v>346.13092080980834</v>
      </c>
      <c r="G298" s="12">
        <f t="shared" si="28"/>
        <v>29089.272174591821</v>
      </c>
    </row>
    <row r="299" spans="2:7" x14ac:dyDescent="0.2">
      <c r="B299" s="11">
        <v>294</v>
      </c>
      <c r="C299" s="11">
        <f t="shared" si="24"/>
        <v>25</v>
      </c>
      <c r="D299" s="12">
        <f t="shared" si="25"/>
        <v>536.23456580094387</v>
      </c>
      <c r="E299" s="12">
        <f t="shared" si="27"/>
        <v>187.86821612757217</v>
      </c>
      <c r="F299" s="12">
        <f t="shared" si="26"/>
        <v>348.3663496733717</v>
      </c>
      <c r="G299" s="12">
        <f t="shared" si="28"/>
        <v>28740.905824918449</v>
      </c>
    </row>
    <row r="300" spans="2:7" x14ac:dyDescent="0.2">
      <c r="B300" s="11">
        <v>295</v>
      </c>
      <c r="C300" s="11">
        <f t="shared" si="24"/>
        <v>25</v>
      </c>
      <c r="D300" s="12">
        <f t="shared" si="25"/>
        <v>536.23456580094387</v>
      </c>
      <c r="E300" s="12">
        <f t="shared" si="27"/>
        <v>185.61835011926499</v>
      </c>
      <c r="F300" s="12">
        <f t="shared" si="26"/>
        <v>350.61621568167891</v>
      </c>
      <c r="G300" s="12">
        <f t="shared" si="28"/>
        <v>28390.28960923677</v>
      </c>
    </row>
    <row r="301" spans="2:7" x14ac:dyDescent="0.2">
      <c r="B301" s="15">
        <v>296</v>
      </c>
      <c r="C301" s="15">
        <f t="shared" si="24"/>
        <v>25</v>
      </c>
      <c r="D301" s="16">
        <f t="shared" si="25"/>
        <v>536.23456580094387</v>
      </c>
      <c r="E301" s="16">
        <f t="shared" si="27"/>
        <v>183.35395372632081</v>
      </c>
      <c r="F301" s="16">
        <f t="shared" si="26"/>
        <v>352.88061207462306</v>
      </c>
      <c r="G301" s="16">
        <f t="shared" si="28"/>
        <v>28037.408997162147</v>
      </c>
    </row>
    <row r="302" spans="2:7" x14ac:dyDescent="0.2">
      <c r="B302" s="15">
        <v>297</v>
      </c>
      <c r="C302" s="15">
        <f t="shared" si="24"/>
        <v>25</v>
      </c>
      <c r="D302" s="16">
        <f t="shared" si="25"/>
        <v>536.23456580094387</v>
      </c>
      <c r="E302" s="16">
        <f t="shared" si="27"/>
        <v>181.0749331066722</v>
      </c>
      <c r="F302" s="16">
        <f t="shared" si="26"/>
        <v>355.15963269427164</v>
      </c>
      <c r="G302" s="16">
        <f t="shared" si="28"/>
        <v>27682.249364467876</v>
      </c>
    </row>
    <row r="303" spans="2:7" x14ac:dyDescent="0.2">
      <c r="B303" s="15">
        <v>298</v>
      </c>
      <c r="C303" s="15">
        <f t="shared" si="24"/>
        <v>25</v>
      </c>
      <c r="D303" s="16">
        <f t="shared" si="25"/>
        <v>536.23456580094387</v>
      </c>
      <c r="E303" s="16">
        <f t="shared" si="27"/>
        <v>178.78119381218835</v>
      </c>
      <c r="F303" s="16">
        <f t="shared" si="26"/>
        <v>357.45337198875552</v>
      </c>
      <c r="G303" s="16">
        <f t="shared" si="28"/>
        <v>27324.795992479121</v>
      </c>
    </row>
    <row r="304" spans="2:7" x14ac:dyDescent="0.2">
      <c r="B304" s="15">
        <v>299</v>
      </c>
      <c r="C304" s="15">
        <f t="shared" si="24"/>
        <v>25</v>
      </c>
      <c r="D304" s="16">
        <f t="shared" si="25"/>
        <v>536.23456580094387</v>
      </c>
      <c r="E304" s="16">
        <f t="shared" si="27"/>
        <v>176.47264078476098</v>
      </c>
      <c r="F304" s="16">
        <f t="shared" si="26"/>
        <v>359.76192501618289</v>
      </c>
      <c r="G304" s="16">
        <f t="shared" si="28"/>
        <v>26965.034067462937</v>
      </c>
    </row>
    <row r="305" spans="2:7" x14ac:dyDescent="0.2">
      <c r="B305" s="15">
        <v>300</v>
      </c>
      <c r="C305" s="15">
        <f t="shared" si="24"/>
        <v>25</v>
      </c>
      <c r="D305" s="16">
        <f t="shared" si="25"/>
        <v>536.23456580094387</v>
      </c>
      <c r="E305" s="16">
        <f t="shared" si="27"/>
        <v>174.14917835236483</v>
      </c>
      <c r="F305" s="16">
        <f t="shared" si="26"/>
        <v>362.08538744857901</v>
      </c>
      <c r="G305" s="16">
        <f t="shared" si="28"/>
        <v>26602.948680014357</v>
      </c>
    </row>
    <row r="306" spans="2:7" x14ac:dyDescent="0.2">
      <c r="B306" s="15">
        <v>301</v>
      </c>
      <c r="C306" s="15">
        <f t="shared" si="24"/>
        <v>26</v>
      </c>
      <c r="D306" s="16">
        <f t="shared" si="25"/>
        <v>536.23456580094387</v>
      </c>
      <c r="E306" s="16">
        <f t="shared" si="27"/>
        <v>171.81071022509272</v>
      </c>
      <c r="F306" s="16">
        <f t="shared" si="26"/>
        <v>364.42385557585112</v>
      </c>
      <c r="G306" s="16">
        <f t="shared" si="28"/>
        <v>26238.524824438507</v>
      </c>
    </row>
    <row r="307" spans="2:7" x14ac:dyDescent="0.2">
      <c r="B307" s="15">
        <v>302</v>
      </c>
      <c r="C307" s="15">
        <f t="shared" si="24"/>
        <v>26</v>
      </c>
      <c r="D307" s="16">
        <f t="shared" si="25"/>
        <v>536.23456580094387</v>
      </c>
      <c r="E307" s="16">
        <f t="shared" si="27"/>
        <v>169.45713949116535</v>
      </c>
      <c r="F307" s="16">
        <f t="shared" si="26"/>
        <v>366.77742630977855</v>
      </c>
      <c r="G307" s="16">
        <f t="shared" si="28"/>
        <v>25871.747398128729</v>
      </c>
    </row>
    <row r="308" spans="2:7" x14ac:dyDescent="0.2">
      <c r="B308" s="15">
        <v>303</v>
      </c>
      <c r="C308" s="15">
        <f t="shared" si="24"/>
        <v>26</v>
      </c>
      <c r="D308" s="16">
        <f t="shared" si="25"/>
        <v>536.23456580094387</v>
      </c>
      <c r="E308" s="16">
        <f t="shared" si="27"/>
        <v>167.08836861291471</v>
      </c>
      <c r="F308" s="16">
        <f t="shared" si="26"/>
        <v>369.14619718802919</v>
      </c>
      <c r="G308" s="16">
        <f t="shared" si="28"/>
        <v>25502.601200940699</v>
      </c>
    </row>
    <row r="309" spans="2:7" x14ac:dyDescent="0.2">
      <c r="B309" s="15">
        <v>304</v>
      </c>
      <c r="C309" s="15">
        <f t="shared" si="24"/>
        <v>26</v>
      </c>
      <c r="D309" s="16">
        <f t="shared" si="25"/>
        <v>536.23456580094387</v>
      </c>
      <c r="E309" s="16">
        <f t="shared" si="27"/>
        <v>164.70429942274203</v>
      </c>
      <c r="F309" s="16">
        <f t="shared" si="26"/>
        <v>371.53026637820187</v>
      </c>
      <c r="G309" s="16">
        <f t="shared" si="28"/>
        <v>25131.070934562496</v>
      </c>
    </row>
    <row r="310" spans="2:7" x14ac:dyDescent="0.2">
      <c r="B310" s="15">
        <v>305</v>
      </c>
      <c r="C310" s="15">
        <f t="shared" si="24"/>
        <v>26</v>
      </c>
      <c r="D310" s="16">
        <f t="shared" si="25"/>
        <v>536.23456580094387</v>
      </c>
      <c r="E310" s="16">
        <f t="shared" si="27"/>
        <v>162.30483311904945</v>
      </c>
      <c r="F310" s="16">
        <f t="shared" si="26"/>
        <v>373.92973268189439</v>
      </c>
      <c r="G310" s="16">
        <f t="shared" si="28"/>
        <v>24757.1412018806</v>
      </c>
    </row>
    <row r="311" spans="2:7" x14ac:dyDescent="0.2">
      <c r="B311" s="15">
        <v>306</v>
      </c>
      <c r="C311" s="15">
        <f t="shared" si="24"/>
        <v>26</v>
      </c>
      <c r="D311" s="16">
        <f t="shared" si="25"/>
        <v>536.23456580094387</v>
      </c>
      <c r="E311" s="16">
        <f t="shared" si="27"/>
        <v>159.88987026214554</v>
      </c>
      <c r="F311" s="16">
        <f t="shared" si="26"/>
        <v>376.34469553879831</v>
      </c>
      <c r="G311" s="16">
        <f t="shared" si="28"/>
        <v>24380.796506341801</v>
      </c>
    </row>
    <row r="312" spans="2:7" x14ac:dyDescent="0.2">
      <c r="B312" s="15">
        <v>307</v>
      </c>
      <c r="C312" s="15">
        <f t="shared" si="24"/>
        <v>26</v>
      </c>
      <c r="D312" s="16">
        <f t="shared" si="25"/>
        <v>536.23456580094387</v>
      </c>
      <c r="E312" s="16">
        <f t="shared" si="27"/>
        <v>157.45931077012412</v>
      </c>
      <c r="F312" s="16">
        <f t="shared" si="26"/>
        <v>378.77525503081972</v>
      </c>
      <c r="G312" s="16">
        <f t="shared" si="28"/>
        <v>24002.02125131098</v>
      </c>
    </row>
    <row r="313" spans="2:7" x14ac:dyDescent="0.2">
      <c r="B313" s="11">
        <v>308</v>
      </c>
      <c r="C313" s="11">
        <f t="shared" si="24"/>
        <v>26</v>
      </c>
      <c r="D313" s="12">
        <f t="shared" si="25"/>
        <v>536.23456580094387</v>
      </c>
      <c r="E313" s="12">
        <f t="shared" si="27"/>
        <v>155.01305391471675</v>
      </c>
      <c r="F313" s="12">
        <f t="shared" si="26"/>
        <v>381.22151188622712</v>
      </c>
      <c r="G313" s="12">
        <f t="shared" si="28"/>
        <v>23620.799739424754</v>
      </c>
    </row>
    <row r="314" spans="2:7" x14ac:dyDescent="0.2">
      <c r="B314" s="11">
        <v>309</v>
      </c>
      <c r="C314" s="11">
        <f t="shared" si="24"/>
        <v>26</v>
      </c>
      <c r="D314" s="12">
        <f t="shared" si="25"/>
        <v>536.23456580094387</v>
      </c>
      <c r="E314" s="12">
        <f t="shared" si="27"/>
        <v>152.5509983171182</v>
      </c>
      <c r="F314" s="12">
        <f t="shared" si="26"/>
        <v>383.68356748382564</v>
      </c>
      <c r="G314" s="12">
        <f t="shared" si="28"/>
        <v>23237.116171940928</v>
      </c>
    </row>
    <row r="315" spans="2:7" x14ac:dyDescent="0.2">
      <c r="B315" s="11">
        <v>310</v>
      </c>
      <c r="C315" s="11">
        <f t="shared" si="24"/>
        <v>26</v>
      </c>
      <c r="D315" s="12">
        <f t="shared" si="25"/>
        <v>536.23456580094387</v>
      </c>
      <c r="E315" s="12">
        <f t="shared" si="27"/>
        <v>150.07304194378517</v>
      </c>
      <c r="F315" s="12">
        <f t="shared" si="26"/>
        <v>386.16152385715873</v>
      </c>
      <c r="G315" s="12">
        <f t="shared" si="28"/>
        <v>22850.954648083771</v>
      </c>
    </row>
    <row r="316" spans="2:7" x14ac:dyDescent="0.2">
      <c r="B316" s="11">
        <v>311</v>
      </c>
      <c r="C316" s="11">
        <f t="shared" si="24"/>
        <v>26</v>
      </c>
      <c r="D316" s="12">
        <f t="shared" si="25"/>
        <v>536.23456580094387</v>
      </c>
      <c r="E316" s="12">
        <f t="shared" si="27"/>
        <v>147.57908210220768</v>
      </c>
      <c r="F316" s="12">
        <f t="shared" si="26"/>
        <v>388.65548369873619</v>
      </c>
      <c r="G316" s="12">
        <f t="shared" si="28"/>
        <v>22462.299164385033</v>
      </c>
    </row>
    <row r="317" spans="2:7" x14ac:dyDescent="0.2">
      <c r="B317" s="11">
        <v>312</v>
      </c>
      <c r="C317" s="11">
        <f t="shared" si="24"/>
        <v>26</v>
      </c>
      <c r="D317" s="12">
        <f t="shared" si="25"/>
        <v>536.23456580094387</v>
      </c>
      <c r="E317" s="12">
        <f t="shared" si="27"/>
        <v>145.06901543665333</v>
      </c>
      <c r="F317" s="12">
        <f t="shared" si="26"/>
        <v>391.16555036429054</v>
      </c>
      <c r="G317" s="12">
        <f t="shared" si="28"/>
        <v>22071.133614020742</v>
      </c>
    </row>
    <row r="318" spans="2:7" x14ac:dyDescent="0.2">
      <c r="B318" s="11">
        <v>313</v>
      </c>
      <c r="C318" s="11">
        <f t="shared" si="24"/>
        <v>27</v>
      </c>
      <c r="D318" s="12">
        <f t="shared" si="25"/>
        <v>536.23456580094387</v>
      </c>
      <c r="E318" s="12">
        <f t="shared" si="27"/>
        <v>142.54273792388395</v>
      </c>
      <c r="F318" s="12">
        <f t="shared" si="26"/>
        <v>393.69182787705995</v>
      </c>
      <c r="G318" s="12">
        <f t="shared" si="28"/>
        <v>21677.441786143681</v>
      </c>
    </row>
    <row r="319" spans="2:7" x14ac:dyDescent="0.2">
      <c r="B319" s="11">
        <v>314</v>
      </c>
      <c r="C319" s="11">
        <f t="shared" si="24"/>
        <v>27</v>
      </c>
      <c r="D319" s="12">
        <f t="shared" si="25"/>
        <v>536.23456580094387</v>
      </c>
      <c r="E319" s="12">
        <f t="shared" si="27"/>
        <v>140.00014486884461</v>
      </c>
      <c r="F319" s="12">
        <f t="shared" si="26"/>
        <v>396.23442093209928</v>
      </c>
      <c r="G319" s="12">
        <f t="shared" si="28"/>
        <v>21281.207365211583</v>
      </c>
    </row>
    <row r="320" spans="2:7" x14ac:dyDescent="0.2">
      <c r="B320" s="11">
        <v>315</v>
      </c>
      <c r="C320" s="11">
        <f t="shared" si="24"/>
        <v>27</v>
      </c>
      <c r="D320" s="12">
        <f t="shared" si="25"/>
        <v>536.23456580094387</v>
      </c>
      <c r="E320" s="12">
        <f t="shared" si="27"/>
        <v>137.44113090032479</v>
      </c>
      <c r="F320" s="12">
        <f t="shared" si="26"/>
        <v>398.7934349006191</v>
      </c>
      <c r="G320" s="12">
        <f t="shared" si="28"/>
        <v>20882.413930310962</v>
      </c>
    </row>
    <row r="321" spans="2:7" x14ac:dyDescent="0.2">
      <c r="B321" s="11">
        <v>316</v>
      </c>
      <c r="C321" s="11">
        <f t="shared" si="24"/>
        <v>27</v>
      </c>
      <c r="D321" s="12">
        <f t="shared" si="25"/>
        <v>536.23456580094387</v>
      </c>
      <c r="E321" s="12">
        <f t="shared" si="27"/>
        <v>134.86558996659161</v>
      </c>
      <c r="F321" s="12">
        <f t="shared" si="26"/>
        <v>401.36897583435223</v>
      </c>
      <c r="G321" s="12">
        <f t="shared" si="28"/>
        <v>20481.044954476609</v>
      </c>
    </row>
    <row r="322" spans="2:7" x14ac:dyDescent="0.2">
      <c r="B322" s="11">
        <v>317</v>
      </c>
      <c r="C322" s="11">
        <f t="shared" si="24"/>
        <v>27</v>
      </c>
      <c r="D322" s="12">
        <f t="shared" si="25"/>
        <v>536.23456580094387</v>
      </c>
      <c r="E322" s="12">
        <f t="shared" si="27"/>
        <v>132.27341533099477</v>
      </c>
      <c r="F322" s="12">
        <f t="shared" si="26"/>
        <v>403.96115046994908</v>
      </c>
      <c r="G322" s="12">
        <f t="shared" si="28"/>
        <v>20077.083804006659</v>
      </c>
    </row>
    <row r="323" spans="2:7" x14ac:dyDescent="0.2">
      <c r="B323" s="11">
        <v>318</v>
      </c>
      <c r="C323" s="11">
        <f t="shared" si="24"/>
        <v>27</v>
      </c>
      <c r="D323" s="12">
        <f t="shared" si="25"/>
        <v>536.23456580094387</v>
      </c>
      <c r="E323" s="12">
        <f t="shared" si="27"/>
        <v>129.664499567543</v>
      </c>
      <c r="F323" s="12">
        <f t="shared" si="26"/>
        <v>406.57006623340089</v>
      </c>
      <c r="G323" s="12">
        <f t="shared" si="28"/>
        <v>19670.513737773257</v>
      </c>
    </row>
    <row r="324" spans="2:7" x14ac:dyDescent="0.2">
      <c r="B324" s="11">
        <v>319</v>
      </c>
      <c r="C324" s="11">
        <f t="shared" si="24"/>
        <v>27</v>
      </c>
      <c r="D324" s="12">
        <f t="shared" si="25"/>
        <v>536.23456580094387</v>
      </c>
      <c r="E324" s="12">
        <f t="shared" si="27"/>
        <v>127.0387345564523</v>
      </c>
      <c r="F324" s="12">
        <f t="shared" si="26"/>
        <v>409.19583124449156</v>
      </c>
      <c r="G324" s="12">
        <f t="shared" si="28"/>
        <v>19261.317906528766</v>
      </c>
    </row>
    <row r="325" spans="2:7" x14ac:dyDescent="0.2">
      <c r="B325" s="15">
        <v>320</v>
      </c>
      <c r="C325" s="15">
        <f t="shared" si="24"/>
        <v>27</v>
      </c>
      <c r="D325" s="16">
        <f t="shared" si="25"/>
        <v>536.23456580094387</v>
      </c>
      <c r="E325" s="16">
        <f t="shared" si="27"/>
        <v>124.39601147966495</v>
      </c>
      <c r="F325" s="16">
        <f t="shared" si="26"/>
        <v>411.83855432127893</v>
      </c>
      <c r="G325" s="16">
        <f t="shared" si="28"/>
        <v>18849.479352207487</v>
      </c>
    </row>
    <row r="326" spans="2:7" x14ac:dyDescent="0.2">
      <c r="B326" s="15">
        <v>321</v>
      </c>
      <c r="C326" s="15">
        <f t="shared" ref="C326:C389" si="29">ROUNDUP(B326/12,0)</f>
        <v>27</v>
      </c>
      <c r="D326" s="16">
        <f t="shared" ref="D326:D365" si="30">-PMT(InterestRate/12,LoanTermYrs*12,LoanAmount)</f>
        <v>536.23456580094387</v>
      </c>
      <c r="E326" s="16">
        <f t="shared" si="27"/>
        <v>121.73622081634001</v>
      </c>
      <c r="F326" s="16">
        <f t="shared" ref="F326:F389" si="31">D326-E326</f>
        <v>414.49834498460388</v>
      </c>
      <c r="G326" s="16">
        <f t="shared" si="28"/>
        <v>18434.981007222883</v>
      </c>
    </row>
    <row r="327" spans="2:7" x14ac:dyDescent="0.2">
      <c r="B327" s="15">
        <v>322</v>
      </c>
      <c r="C327" s="15">
        <f t="shared" si="29"/>
        <v>27</v>
      </c>
      <c r="D327" s="16">
        <f t="shared" si="30"/>
        <v>536.23456580094387</v>
      </c>
      <c r="E327" s="16">
        <f t="shared" ref="E327:E365" si="32">(G326)*InterestRate/12</f>
        <v>119.05925233831447</v>
      </c>
      <c r="F327" s="16">
        <f t="shared" si="31"/>
        <v>417.17531346262939</v>
      </c>
      <c r="G327" s="16">
        <f t="shared" ref="G327:G390" si="33">(G326)-F327</f>
        <v>18017.805693760252</v>
      </c>
    </row>
    <row r="328" spans="2:7" x14ac:dyDescent="0.2">
      <c r="B328" s="15">
        <v>323</v>
      </c>
      <c r="C328" s="15">
        <f t="shared" si="29"/>
        <v>27</v>
      </c>
      <c r="D328" s="16">
        <f t="shared" si="30"/>
        <v>536.23456580094387</v>
      </c>
      <c r="E328" s="16">
        <f t="shared" si="32"/>
        <v>116.36499510553496</v>
      </c>
      <c r="F328" s="16">
        <f t="shared" si="31"/>
        <v>419.86957069540892</v>
      </c>
      <c r="G328" s="16">
        <f t="shared" si="33"/>
        <v>17597.936123064843</v>
      </c>
    </row>
    <row r="329" spans="2:7" x14ac:dyDescent="0.2">
      <c r="B329" s="15">
        <v>324</v>
      </c>
      <c r="C329" s="15">
        <f t="shared" si="29"/>
        <v>27</v>
      </c>
      <c r="D329" s="16">
        <f t="shared" si="30"/>
        <v>536.23456580094387</v>
      </c>
      <c r="E329" s="16">
        <f t="shared" si="32"/>
        <v>113.65333746146045</v>
      </c>
      <c r="F329" s="16">
        <f t="shared" si="31"/>
        <v>422.5812283394834</v>
      </c>
      <c r="G329" s="16">
        <f t="shared" si="33"/>
        <v>17175.354894725358</v>
      </c>
    </row>
    <row r="330" spans="2:7" x14ac:dyDescent="0.2">
      <c r="B330" s="15">
        <v>325</v>
      </c>
      <c r="C330" s="15">
        <f t="shared" si="29"/>
        <v>28</v>
      </c>
      <c r="D330" s="16">
        <f t="shared" si="30"/>
        <v>536.23456580094387</v>
      </c>
      <c r="E330" s="16">
        <f t="shared" si="32"/>
        <v>110.92416702843461</v>
      </c>
      <c r="F330" s="16">
        <f t="shared" si="31"/>
        <v>425.31039877250925</v>
      </c>
      <c r="G330" s="16">
        <f t="shared" si="33"/>
        <v>16750.04449595285</v>
      </c>
    </row>
    <row r="331" spans="2:7" x14ac:dyDescent="0.2">
      <c r="B331" s="15">
        <v>326</v>
      </c>
      <c r="C331" s="15">
        <f t="shared" si="29"/>
        <v>28</v>
      </c>
      <c r="D331" s="16">
        <f t="shared" si="30"/>
        <v>536.23456580094387</v>
      </c>
      <c r="E331" s="16">
        <f t="shared" si="32"/>
        <v>108.17737070302883</v>
      </c>
      <c r="F331" s="16">
        <f t="shared" si="31"/>
        <v>428.05719509791504</v>
      </c>
      <c r="G331" s="16">
        <f t="shared" si="33"/>
        <v>16321.987300854935</v>
      </c>
    </row>
    <row r="332" spans="2:7" x14ac:dyDescent="0.2">
      <c r="B332" s="15">
        <v>327</v>
      </c>
      <c r="C332" s="15">
        <f t="shared" si="29"/>
        <v>28</v>
      </c>
      <c r="D332" s="16">
        <f t="shared" si="30"/>
        <v>536.23456580094387</v>
      </c>
      <c r="E332" s="16">
        <f t="shared" si="32"/>
        <v>105.41283465135479</v>
      </c>
      <c r="F332" s="16">
        <f t="shared" si="31"/>
        <v>430.82173114958908</v>
      </c>
      <c r="G332" s="16">
        <f t="shared" si="33"/>
        <v>15891.165569705347</v>
      </c>
    </row>
    <row r="333" spans="2:7" x14ac:dyDescent="0.2">
      <c r="B333" s="15">
        <v>328</v>
      </c>
      <c r="C333" s="15">
        <f t="shared" si="29"/>
        <v>28</v>
      </c>
      <c r="D333" s="16">
        <f t="shared" si="30"/>
        <v>536.23456580094387</v>
      </c>
      <c r="E333" s="16">
        <f t="shared" si="32"/>
        <v>102.63044430434702</v>
      </c>
      <c r="F333" s="16">
        <f t="shared" si="31"/>
        <v>433.60412149659686</v>
      </c>
      <c r="G333" s="16">
        <f t="shared" si="33"/>
        <v>15457.561448208749</v>
      </c>
    </row>
    <row r="334" spans="2:7" x14ac:dyDescent="0.2">
      <c r="B334" s="15">
        <v>329</v>
      </c>
      <c r="C334" s="15">
        <f t="shared" si="29"/>
        <v>28</v>
      </c>
      <c r="D334" s="16">
        <f t="shared" si="30"/>
        <v>536.23456580094387</v>
      </c>
      <c r="E334" s="16">
        <f t="shared" si="32"/>
        <v>99.83008435301484</v>
      </c>
      <c r="F334" s="16">
        <f t="shared" si="31"/>
        <v>436.40448144792902</v>
      </c>
      <c r="G334" s="16">
        <f t="shared" si="33"/>
        <v>15021.15696676082</v>
      </c>
    </row>
    <row r="335" spans="2:7" x14ac:dyDescent="0.2">
      <c r="B335" s="15">
        <v>330</v>
      </c>
      <c r="C335" s="15">
        <f t="shared" si="29"/>
        <v>28</v>
      </c>
      <c r="D335" s="16">
        <f t="shared" si="30"/>
        <v>536.23456580094387</v>
      </c>
      <c r="E335" s="16">
        <f t="shared" si="32"/>
        <v>97.011638743663624</v>
      </c>
      <c r="F335" s="16">
        <f t="shared" si="31"/>
        <v>439.22292705728023</v>
      </c>
      <c r="G335" s="16">
        <f t="shared" si="33"/>
        <v>14581.934039703539</v>
      </c>
    </row>
    <row r="336" spans="2:7" x14ac:dyDescent="0.2">
      <c r="B336" s="15">
        <v>331</v>
      </c>
      <c r="C336" s="15">
        <f t="shared" si="29"/>
        <v>28</v>
      </c>
      <c r="D336" s="16">
        <f t="shared" si="30"/>
        <v>536.23456580094387</v>
      </c>
      <c r="E336" s="16">
        <f t="shared" si="32"/>
        <v>94.174990673085361</v>
      </c>
      <c r="F336" s="16">
        <f t="shared" si="31"/>
        <v>442.05957512785852</v>
      </c>
      <c r="G336" s="16">
        <f t="shared" si="33"/>
        <v>14139.874464575681</v>
      </c>
    </row>
    <row r="337" spans="2:7" x14ac:dyDescent="0.2">
      <c r="B337" s="11">
        <v>332</v>
      </c>
      <c r="C337" s="11">
        <f t="shared" si="29"/>
        <v>28</v>
      </c>
      <c r="D337" s="12">
        <f t="shared" si="30"/>
        <v>536.23456580094387</v>
      </c>
      <c r="E337" s="12">
        <f t="shared" si="32"/>
        <v>91.320022583717943</v>
      </c>
      <c r="F337" s="12">
        <f t="shared" si="31"/>
        <v>444.91454321722591</v>
      </c>
      <c r="G337" s="12">
        <f t="shared" si="33"/>
        <v>13694.959921358455</v>
      </c>
    </row>
    <row r="338" spans="2:7" x14ac:dyDescent="0.2">
      <c r="B338" s="11">
        <v>333</v>
      </c>
      <c r="C338" s="11">
        <f t="shared" si="29"/>
        <v>28</v>
      </c>
      <c r="D338" s="12">
        <f t="shared" si="30"/>
        <v>536.23456580094387</v>
      </c>
      <c r="E338" s="12">
        <f t="shared" si="32"/>
        <v>88.446616158773352</v>
      </c>
      <c r="F338" s="12">
        <f t="shared" si="31"/>
        <v>447.78794964217053</v>
      </c>
      <c r="G338" s="12">
        <f t="shared" si="33"/>
        <v>13247.171971716285</v>
      </c>
    </row>
    <row r="339" spans="2:7" x14ac:dyDescent="0.2">
      <c r="B339" s="11">
        <v>334</v>
      </c>
      <c r="C339" s="11">
        <f t="shared" si="29"/>
        <v>28</v>
      </c>
      <c r="D339" s="12">
        <f t="shared" si="30"/>
        <v>536.23456580094387</v>
      </c>
      <c r="E339" s="12">
        <f t="shared" si="32"/>
        <v>85.554652317334345</v>
      </c>
      <c r="F339" s="12">
        <f t="shared" si="31"/>
        <v>450.67991348360954</v>
      </c>
      <c r="G339" s="12">
        <f t="shared" si="33"/>
        <v>12796.492058232676</v>
      </c>
    </row>
    <row r="340" spans="2:7" x14ac:dyDescent="0.2">
      <c r="B340" s="11">
        <v>335</v>
      </c>
      <c r="C340" s="11">
        <f t="shared" si="29"/>
        <v>28</v>
      </c>
      <c r="D340" s="12">
        <f t="shared" si="30"/>
        <v>536.23456580094387</v>
      </c>
      <c r="E340" s="12">
        <f t="shared" si="32"/>
        <v>82.644011209419361</v>
      </c>
      <c r="F340" s="12">
        <f t="shared" si="31"/>
        <v>453.59055459152449</v>
      </c>
      <c r="G340" s="12">
        <f t="shared" si="33"/>
        <v>12342.901503641151</v>
      </c>
    </row>
    <row r="341" spans="2:7" x14ac:dyDescent="0.2">
      <c r="B341" s="11">
        <v>336</v>
      </c>
      <c r="C341" s="11">
        <f t="shared" si="29"/>
        <v>28</v>
      </c>
      <c r="D341" s="12">
        <f t="shared" si="30"/>
        <v>536.23456580094387</v>
      </c>
      <c r="E341" s="12">
        <f t="shared" si="32"/>
        <v>79.714572211015764</v>
      </c>
      <c r="F341" s="12">
        <f t="shared" si="31"/>
        <v>456.51999358992811</v>
      </c>
      <c r="G341" s="12">
        <f t="shared" si="33"/>
        <v>11886.381510051224</v>
      </c>
    </row>
    <row r="342" spans="2:7" x14ac:dyDescent="0.2">
      <c r="B342" s="11">
        <v>337</v>
      </c>
      <c r="C342" s="11">
        <f t="shared" si="29"/>
        <v>29</v>
      </c>
      <c r="D342" s="12">
        <f t="shared" si="30"/>
        <v>536.23456580094387</v>
      </c>
      <c r="E342" s="12">
        <f t="shared" si="32"/>
        <v>76.766213919080812</v>
      </c>
      <c r="F342" s="12">
        <f t="shared" si="31"/>
        <v>459.46835188186304</v>
      </c>
      <c r="G342" s="12">
        <f t="shared" si="33"/>
        <v>11426.91315816936</v>
      </c>
    </row>
    <row r="343" spans="2:7" x14ac:dyDescent="0.2">
      <c r="B343" s="11">
        <v>338</v>
      </c>
      <c r="C343" s="11">
        <f t="shared" si="29"/>
        <v>29</v>
      </c>
      <c r="D343" s="12">
        <f t="shared" si="30"/>
        <v>536.23456580094387</v>
      </c>
      <c r="E343" s="12">
        <f t="shared" si="32"/>
        <v>73.798814146510452</v>
      </c>
      <c r="F343" s="12">
        <f t="shared" si="31"/>
        <v>462.43575165443343</v>
      </c>
      <c r="G343" s="12">
        <f t="shared" si="33"/>
        <v>10964.477406514927</v>
      </c>
    </row>
    <row r="344" spans="2:7" x14ac:dyDescent="0.2">
      <c r="B344" s="11">
        <v>339</v>
      </c>
      <c r="C344" s="11">
        <f t="shared" si="29"/>
        <v>29</v>
      </c>
      <c r="D344" s="12">
        <f t="shared" si="30"/>
        <v>536.23456580094387</v>
      </c>
      <c r="E344" s="12">
        <f t="shared" si="32"/>
        <v>70.812249917075562</v>
      </c>
      <c r="F344" s="12">
        <f t="shared" si="31"/>
        <v>465.42231588386829</v>
      </c>
      <c r="G344" s="12">
        <f t="shared" si="33"/>
        <v>10499.055090631058</v>
      </c>
    </row>
    <row r="345" spans="2:7" x14ac:dyDescent="0.2">
      <c r="B345" s="11">
        <v>340</v>
      </c>
      <c r="C345" s="11">
        <f t="shared" si="29"/>
        <v>29</v>
      </c>
      <c r="D345" s="12">
        <f t="shared" si="30"/>
        <v>536.23456580094387</v>
      </c>
      <c r="E345" s="12">
        <f t="shared" si="32"/>
        <v>67.806397460325584</v>
      </c>
      <c r="F345" s="12">
        <f t="shared" si="31"/>
        <v>468.4281683406183</v>
      </c>
      <c r="G345" s="12">
        <f t="shared" si="33"/>
        <v>10030.626922290439</v>
      </c>
    </row>
    <row r="346" spans="2:7" x14ac:dyDescent="0.2">
      <c r="B346" s="11">
        <v>341</v>
      </c>
      <c r="C346" s="11">
        <f t="shared" si="29"/>
        <v>29</v>
      </c>
      <c r="D346" s="12">
        <f t="shared" si="30"/>
        <v>536.23456580094387</v>
      </c>
      <c r="E346" s="12">
        <f t="shared" si="32"/>
        <v>64.781132206459091</v>
      </c>
      <c r="F346" s="12">
        <f t="shared" si="31"/>
        <v>471.45343359448475</v>
      </c>
      <c r="G346" s="12">
        <f t="shared" si="33"/>
        <v>9559.1734886959548</v>
      </c>
    </row>
    <row r="347" spans="2:7" x14ac:dyDescent="0.2">
      <c r="B347" s="11">
        <v>342</v>
      </c>
      <c r="C347" s="11">
        <f t="shared" si="29"/>
        <v>29</v>
      </c>
      <c r="D347" s="12">
        <f t="shared" si="30"/>
        <v>536.23456580094387</v>
      </c>
      <c r="E347" s="12">
        <f t="shared" si="32"/>
        <v>61.736328781161376</v>
      </c>
      <c r="F347" s="12">
        <f t="shared" si="31"/>
        <v>474.49823701978249</v>
      </c>
      <c r="G347" s="12">
        <f t="shared" si="33"/>
        <v>9084.6752516761717</v>
      </c>
    </row>
    <row r="348" spans="2:7" x14ac:dyDescent="0.2">
      <c r="B348" s="11">
        <v>343</v>
      </c>
      <c r="C348" s="11">
        <f t="shared" si="29"/>
        <v>29</v>
      </c>
      <c r="D348" s="12">
        <f t="shared" si="30"/>
        <v>536.23456580094387</v>
      </c>
      <c r="E348" s="12">
        <f t="shared" si="32"/>
        <v>58.671861000408605</v>
      </c>
      <c r="F348" s="12">
        <f t="shared" si="31"/>
        <v>477.56270480053524</v>
      </c>
      <c r="G348" s="12">
        <f t="shared" si="33"/>
        <v>8607.1125468756363</v>
      </c>
    </row>
    <row r="349" spans="2:7" x14ac:dyDescent="0.2">
      <c r="B349" s="15">
        <v>344</v>
      </c>
      <c r="C349" s="15">
        <f t="shared" si="29"/>
        <v>29</v>
      </c>
      <c r="D349" s="16">
        <f t="shared" si="30"/>
        <v>536.23456580094387</v>
      </c>
      <c r="E349" s="16">
        <f t="shared" si="32"/>
        <v>55.58760186523849</v>
      </c>
      <c r="F349" s="16">
        <f t="shared" si="31"/>
        <v>480.6469639357054</v>
      </c>
      <c r="G349" s="16">
        <f t="shared" si="33"/>
        <v>8126.4655829399308</v>
      </c>
    </row>
    <row r="350" spans="2:7" x14ac:dyDescent="0.2">
      <c r="B350" s="15">
        <v>345</v>
      </c>
      <c r="C350" s="15">
        <f t="shared" si="29"/>
        <v>29</v>
      </c>
      <c r="D350" s="16">
        <f t="shared" si="30"/>
        <v>536.23456580094387</v>
      </c>
      <c r="E350" s="16">
        <f t="shared" si="32"/>
        <v>52.483423556487054</v>
      </c>
      <c r="F350" s="16">
        <f t="shared" si="31"/>
        <v>483.75114224445679</v>
      </c>
      <c r="G350" s="16">
        <f t="shared" si="33"/>
        <v>7642.714440695474</v>
      </c>
    </row>
    <row r="351" spans="2:7" x14ac:dyDescent="0.2">
      <c r="B351" s="15">
        <v>346</v>
      </c>
      <c r="C351" s="15">
        <f t="shared" si="29"/>
        <v>29</v>
      </c>
      <c r="D351" s="16">
        <f t="shared" si="30"/>
        <v>536.23456580094387</v>
      </c>
      <c r="E351" s="16">
        <f t="shared" si="32"/>
        <v>49.359197429491608</v>
      </c>
      <c r="F351" s="16">
        <f t="shared" si="31"/>
        <v>486.87536837145228</v>
      </c>
      <c r="G351" s="16">
        <f t="shared" si="33"/>
        <v>7155.8390723240218</v>
      </c>
    </row>
    <row r="352" spans="2:7" x14ac:dyDescent="0.2">
      <c r="B352" s="15">
        <v>347</v>
      </c>
      <c r="C352" s="15">
        <f t="shared" si="29"/>
        <v>29</v>
      </c>
      <c r="D352" s="16">
        <f t="shared" si="30"/>
        <v>536.23456580094387</v>
      </c>
      <c r="E352" s="16">
        <f t="shared" si="32"/>
        <v>46.214794008759306</v>
      </c>
      <c r="F352" s="16">
        <f t="shared" si="31"/>
        <v>490.01977179218454</v>
      </c>
      <c r="G352" s="16">
        <f t="shared" si="33"/>
        <v>6665.8193005318371</v>
      </c>
    </row>
    <row r="353" spans="2:7" x14ac:dyDescent="0.2">
      <c r="B353" s="15">
        <v>348</v>
      </c>
      <c r="C353" s="15">
        <f t="shared" si="29"/>
        <v>29</v>
      </c>
      <c r="D353" s="16">
        <f t="shared" si="30"/>
        <v>536.23456580094387</v>
      </c>
      <c r="E353" s="16">
        <f t="shared" si="32"/>
        <v>43.050082982601452</v>
      </c>
      <c r="F353" s="16">
        <f t="shared" si="31"/>
        <v>493.18448281834242</v>
      </c>
      <c r="G353" s="16">
        <f t="shared" si="33"/>
        <v>6172.6348177134951</v>
      </c>
    </row>
    <row r="354" spans="2:7" x14ac:dyDescent="0.2">
      <c r="B354" s="15">
        <v>349</v>
      </c>
      <c r="C354" s="15">
        <f t="shared" si="29"/>
        <v>30</v>
      </c>
      <c r="D354" s="16">
        <f t="shared" si="30"/>
        <v>536.23456580094387</v>
      </c>
      <c r="E354" s="16">
        <f t="shared" si="32"/>
        <v>39.864933197732988</v>
      </c>
      <c r="F354" s="16">
        <f t="shared" si="31"/>
        <v>496.3696326032109</v>
      </c>
      <c r="G354" s="16">
        <f t="shared" si="33"/>
        <v>5676.2651851102837</v>
      </c>
    </row>
    <row r="355" spans="2:7" x14ac:dyDescent="0.2">
      <c r="B355" s="15">
        <v>350</v>
      </c>
      <c r="C355" s="15">
        <f t="shared" si="29"/>
        <v>30</v>
      </c>
      <c r="D355" s="16">
        <f t="shared" si="30"/>
        <v>536.23456580094387</v>
      </c>
      <c r="E355" s="16">
        <f t="shared" si="32"/>
        <v>36.659212653837251</v>
      </c>
      <c r="F355" s="16">
        <f t="shared" si="31"/>
        <v>499.57535314710663</v>
      </c>
      <c r="G355" s="16">
        <f t="shared" si="33"/>
        <v>5176.6898319631773</v>
      </c>
    </row>
    <row r="356" spans="2:7" x14ac:dyDescent="0.2">
      <c r="B356" s="15">
        <v>351</v>
      </c>
      <c r="C356" s="15">
        <f t="shared" si="29"/>
        <v>30</v>
      </c>
      <c r="D356" s="16">
        <f t="shared" si="30"/>
        <v>536.23456580094387</v>
      </c>
      <c r="E356" s="16">
        <f t="shared" si="32"/>
        <v>33.432788498095519</v>
      </c>
      <c r="F356" s="16">
        <f t="shared" si="31"/>
        <v>502.80177730284834</v>
      </c>
      <c r="G356" s="16">
        <f t="shared" si="33"/>
        <v>4673.8880546603286</v>
      </c>
    </row>
    <row r="357" spans="2:7" x14ac:dyDescent="0.2">
      <c r="B357" s="15">
        <v>352</v>
      </c>
      <c r="C357" s="15">
        <f t="shared" si="29"/>
        <v>30</v>
      </c>
      <c r="D357" s="16">
        <f t="shared" si="30"/>
        <v>536.23456580094387</v>
      </c>
      <c r="E357" s="16">
        <f t="shared" si="32"/>
        <v>30.185527019681288</v>
      </c>
      <c r="F357" s="16">
        <f t="shared" si="31"/>
        <v>506.0490387812626</v>
      </c>
      <c r="G357" s="16">
        <f t="shared" si="33"/>
        <v>4167.8390158790662</v>
      </c>
    </row>
    <row r="358" spans="2:7" x14ac:dyDescent="0.2">
      <c r="B358" s="15">
        <v>353</v>
      </c>
      <c r="C358" s="15">
        <f t="shared" si="29"/>
        <v>30</v>
      </c>
      <c r="D358" s="16">
        <f t="shared" si="30"/>
        <v>536.23456580094387</v>
      </c>
      <c r="E358" s="16">
        <f t="shared" si="32"/>
        <v>26.917293644218969</v>
      </c>
      <c r="F358" s="16">
        <f t="shared" si="31"/>
        <v>509.31727215672493</v>
      </c>
      <c r="G358" s="16">
        <f t="shared" si="33"/>
        <v>3658.5217437223414</v>
      </c>
    </row>
    <row r="359" spans="2:7" x14ac:dyDescent="0.2">
      <c r="B359" s="15">
        <v>354</v>
      </c>
      <c r="C359" s="15">
        <f t="shared" si="29"/>
        <v>30</v>
      </c>
      <c r="D359" s="16">
        <f t="shared" si="30"/>
        <v>536.23456580094387</v>
      </c>
      <c r="E359" s="16">
        <f t="shared" si="32"/>
        <v>23.627952928206785</v>
      </c>
      <c r="F359" s="16">
        <f t="shared" si="31"/>
        <v>512.60661287273706</v>
      </c>
      <c r="G359" s="16">
        <f t="shared" si="33"/>
        <v>3145.9151308496043</v>
      </c>
    </row>
    <row r="360" spans="2:7" x14ac:dyDescent="0.2">
      <c r="B360" s="15">
        <v>355</v>
      </c>
      <c r="C360" s="15">
        <f t="shared" si="29"/>
        <v>30</v>
      </c>
      <c r="D360" s="16">
        <f t="shared" si="30"/>
        <v>536.23456580094387</v>
      </c>
      <c r="E360" s="16">
        <f t="shared" si="32"/>
        <v>20.317368553403693</v>
      </c>
      <c r="F360" s="16">
        <f t="shared" si="31"/>
        <v>515.91719724754023</v>
      </c>
      <c r="G360" s="16">
        <f t="shared" si="33"/>
        <v>2629.9979336020642</v>
      </c>
    </row>
    <row r="361" spans="2:7" x14ac:dyDescent="0.2">
      <c r="B361" s="11">
        <v>356</v>
      </c>
      <c r="C361" s="11">
        <f t="shared" si="29"/>
        <v>30</v>
      </c>
      <c r="D361" s="12">
        <f t="shared" si="30"/>
        <v>536.23456580094387</v>
      </c>
      <c r="E361" s="12">
        <f t="shared" si="32"/>
        <v>16.985403321179998</v>
      </c>
      <c r="F361" s="12">
        <f t="shared" si="31"/>
        <v>519.24916247976387</v>
      </c>
      <c r="G361" s="12">
        <f t="shared" si="33"/>
        <v>2110.7487711223002</v>
      </c>
    </row>
    <row r="362" spans="2:7" x14ac:dyDescent="0.2">
      <c r="B362" s="11">
        <v>357</v>
      </c>
      <c r="C362" s="11">
        <f t="shared" si="29"/>
        <v>30</v>
      </c>
      <c r="D362" s="12">
        <f t="shared" si="30"/>
        <v>536.23456580094387</v>
      </c>
      <c r="E362" s="12">
        <f t="shared" si="32"/>
        <v>13.631919146831523</v>
      </c>
      <c r="F362" s="12">
        <f t="shared" si="31"/>
        <v>522.60264665411239</v>
      </c>
      <c r="G362" s="12">
        <f t="shared" si="33"/>
        <v>1588.1461244681877</v>
      </c>
    </row>
    <row r="363" spans="2:7" x14ac:dyDescent="0.2">
      <c r="B363" s="11">
        <v>358</v>
      </c>
      <c r="C363" s="11">
        <f t="shared" si="29"/>
        <v>30</v>
      </c>
      <c r="D363" s="12">
        <f t="shared" si="30"/>
        <v>536.23456580094387</v>
      </c>
      <c r="E363" s="12">
        <f t="shared" si="32"/>
        <v>10.256777053857045</v>
      </c>
      <c r="F363" s="12">
        <f t="shared" si="31"/>
        <v>525.97778874708683</v>
      </c>
      <c r="G363" s="12">
        <f t="shared" si="33"/>
        <v>1062.1683357211009</v>
      </c>
    </row>
    <row r="364" spans="2:7" x14ac:dyDescent="0.2">
      <c r="B364" s="11">
        <v>359</v>
      </c>
      <c r="C364" s="11">
        <f t="shared" si="29"/>
        <v>30</v>
      </c>
      <c r="D364" s="12">
        <f t="shared" si="30"/>
        <v>536.23456580094387</v>
      </c>
      <c r="E364" s="12">
        <f t="shared" si="32"/>
        <v>6.8598371681987764</v>
      </c>
      <c r="F364" s="12">
        <f t="shared" si="31"/>
        <v>529.37472863274513</v>
      </c>
      <c r="G364" s="12">
        <f t="shared" si="33"/>
        <v>532.79360708835577</v>
      </c>
    </row>
    <row r="365" spans="2:7" x14ac:dyDescent="0.2">
      <c r="B365" s="11">
        <v>360</v>
      </c>
      <c r="C365" s="11">
        <f t="shared" si="29"/>
        <v>30</v>
      </c>
      <c r="D365" s="12">
        <f t="shared" si="30"/>
        <v>536.23456580094387</v>
      </c>
      <c r="E365" s="12">
        <f t="shared" si="32"/>
        <v>3.4409587124456311</v>
      </c>
      <c r="F365" s="12">
        <f t="shared" si="31"/>
        <v>532.79360708849822</v>
      </c>
      <c r="G365" s="12">
        <f t="shared" si="33"/>
        <v>-1.4244960766518489E-10</v>
      </c>
    </row>
  </sheetData>
  <mergeCells count="3">
    <mergeCell ref="I4:M4"/>
    <mergeCell ref="B2:M2"/>
    <mergeCell ref="B3:M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31"/>
  <sheetViews>
    <sheetView showGridLines="0" zoomScale="131"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.6640625" customWidth="1"/>
    <col min="2" max="2" width="28" customWidth="1"/>
    <col min="3" max="12" width="15" customWidth="1"/>
  </cols>
  <sheetData>
    <row r="2" spans="2:12" ht="30" customHeight="1" x14ac:dyDescent="0.2">
      <c r="B2" s="46" t="s">
        <v>103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12" ht="16" customHeight="1" x14ac:dyDescent="0.2">
      <c r="B3" s="39" t="s">
        <v>104</v>
      </c>
      <c r="C3" s="39"/>
      <c r="D3" s="39"/>
      <c r="E3" s="39"/>
      <c r="F3" s="39"/>
      <c r="G3" s="39"/>
      <c r="H3" s="39"/>
      <c r="I3" s="39"/>
      <c r="J3" s="39"/>
      <c r="K3" s="39"/>
      <c r="L3" s="39"/>
    </row>
    <row r="5" spans="2:12" ht="18" customHeight="1" x14ac:dyDescent="0.2">
      <c r="B5" s="78" t="s">
        <v>105</v>
      </c>
      <c r="C5" s="29" t="s">
        <v>106</v>
      </c>
      <c r="D5" s="29" t="s">
        <v>107</v>
      </c>
      <c r="E5" s="29" t="s">
        <v>108</v>
      </c>
      <c r="F5" s="29" t="s">
        <v>109</v>
      </c>
      <c r="G5" s="29" t="s">
        <v>110</v>
      </c>
      <c r="H5" s="29" t="s">
        <v>111</v>
      </c>
      <c r="I5" s="29" t="s">
        <v>112</v>
      </c>
      <c r="J5" s="29" t="s">
        <v>113</v>
      </c>
      <c r="K5" s="29" t="s">
        <v>114</v>
      </c>
      <c r="L5" s="29" t="s">
        <v>115</v>
      </c>
    </row>
    <row r="7" spans="2:12" ht="20" customHeight="1" x14ac:dyDescent="0.2">
      <c r="B7" s="76" t="s">
        <v>116</v>
      </c>
      <c r="C7" s="77"/>
      <c r="D7" s="77"/>
      <c r="E7" s="77"/>
      <c r="F7" s="77"/>
      <c r="G7" s="77"/>
      <c r="H7" s="77"/>
      <c r="I7" s="77"/>
      <c r="J7" s="77"/>
      <c r="K7" s="77"/>
      <c r="L7" s="77"/>
    </row>
    <row r="8" spans="2:12" x14ac:dyDescent="0.2">
      <c r="B8" s="1" t="s">
        <v>117</v>
      </c>
      <c r="C8" s="14">
        <f>MonthlyRentY1*(1+RentGrowth)^(1-1)</f>
        <v>1550</v>
      </c>
      <c r="D8" s="14">
        <f>MonthlyRentY1*(1+RentGrowth)^(2-1)</f>
        <v>1596.5</v>
      </c>
      <c r="E8" s="14">
        <f>MonthlyRentY1*(1+RentGrowth)^(3-1)</f>
        <v>1644.395</v>
      </c>
      <c r="F8" s="14">
        <f>MonthlyRentY1*(1+RentGrowth)^(4-1)</f>
        <v>1693.72685</v>
      </c>
      <c r="G8" s="14">
        <f>MonthlyRentY1*(1+RentGrowth)^(5-1)</f>
        <v>1744.5386554999998</v>
      </c>
      <c r="H8" s="14">
        <f>MonthlyRentY1*(1+RentGrowth)^(6-1)</f>
        <v>1796.8748151649997</v>
      </c>
      <c r="I8" s="14">
        <f>MonthlyRentY1*(1+RentGrowth)^(7-1)</f>
        <v>1850.7810596199499</v>
      </c>
      <c r="J8" s="14">
        <f>MonthlyRentY1*(1+RentGrowth)^(8-1)</f>
        <v>1906.3044914085485</v>
      </c>
      <c r="K8" s="14">
        <f>MonthlyRentY1*(1+RentGrowth)^(9-1)</f>
        <v>1963.4936261508046</v>
      </c>
      <c r="L8" s="14">
        <f>MonthlyRentY1*(1+RentGrowth)^(10-1)</f>
        <v>2022.3984349353289</v>
      </c>
    </row>
    <row r="9" spans="2:12" x14ac:dyDescent="0.2">
      <c r="B9" s="1" t="s">
        <v>118</v>
      </c>
      <c r="C9" s="14">
        <f t="shared" ref="C9:L9" si="0">C8*12</f>
        <v>18600</v>
      </c>
      <c r="D9" s="14">
        <f t="shared" si="0"/>
        <v>19158</v>
      </c>
      <c r="E9" s="14">
        <f t="shared" si="0"/>
        <v>19732.739999999998</v>
      </c>
      <c r="F9" s="14">
        <f t="shared" si="0"/>
        <v>20324.7222</v>
      </c>
      <c r="G9" s="14">
        <f t="shared" si="0"/>
        <v>20934.463865999998</v>
      </c>
      <c r="H9" s="14">
        <f t="shared" si="0"/>
        <v>21562.497781979997</v>
      </c>
      <c r="I9" s="14">
        <f t="shared" si="0"/>
        <v>22209.3727154394</v>
      </c>
      <c r="J9" s="14">
        <f t="shared" si="0"/>
        <v>22875.653896902582</v>
      </c>
      <c r="K9" s="14">
        <f t="shared" si="0"/>
        <v>23561.923513809656</v>
      </c>
      <c r="L9" s="14">
        <f t="shared" si="0"/>
        <v>24268.781219223947</v>
      </c>
    </row>
    <row r="10" spans="2:12" x14ac:dyDescent="0.2">
      <c r="B10" s="1" t="s">
        <v>119</v>
      </c>
      <c r="C10" s="14">
        <f t="shared" ref="C10:L10" si="1">-C9*VacancyPct</f>
        <v>-1116</v>
      </c>
      <c r="D10" s="14">
        <f t="shared" si="1"/>
        <v>-1149.48</v>
      </c>
      <c r="E10" s="14">
        <f t="shared" si="1"/>
        <v>-1183.9643999999998</v>
      </c>
      <c r="F10" s="14">
        <f t="shared" si="1"/>
        <v>-1219.483332</v>
      </c>
      <c r="G10" s="14">
        <f t="shared" si="1"/>
        <v>-1256.0678319599999</v>
      </c>
      <c r="H10" s="14">
        <f t="shared" si="1"/>
        <v>-1293.7498669187999</v>
      </c>
      <c r="I10" s="14">
        <f t="shared" si="1"/>
        <v>-1332.5623629263639</v>
      </c>
      <c r="J10" s="14">
        <f t="shared" si="1"/>
        <v>-1372.5392338141548</v>
      </c>
      <c r="K10" s="14">
        <f t="shared" si="1"/>
        <v>-1413.7154108285793</v>
      </c>
      <c r="L10" s="14">
        <f t="shared" si="1"/>
        <v>-1456.1268731534367</v>
      </c>
    </row>
    <row r="11" spans="2:12" x14ac:dyDescent="0.2">
      <c r="B11" s="9" t="s">
        <v>120</v>
      </c>
      <c r="C11" s="17">
        <f t="shared" ref="C11:L11" si="2">C9+C10</f>
        <v>17484</v>
      </c>
      <c r="D11" s="17">
        <f t="shared" si="2"/>
        <v>18008.52</v>
      </c>
      <c r="E11" s="17">
        <f t="shared" si="2"/>
        <v>18548.775599999997</v>
      </c>
      <c r="F11" s="17">
        <f t="shared" si="2"/>
        <v>19105.238868</v>
      </c>
      <c r="G11" s="17">
        <f t="shared" si="2"/>
        <v>19678.396034039997</v>
      </c>
      <c r="H11" s="17">
        <f t="shared" si="2"/>
        <v>20268.747915061198</v>
      </c>
      <c r="I11" s="17">
        <f t="shared" si="2"/>
        <v>20876.810352513035</v>
      </c>
      <c r="J11" s="17">
        <f t="shared" si="2"/>
        <v>21503.114663088429</v>
      </c>
      <c r="K11" s="17">
        <f t="shared" si="2"/>
        <v>22148.208102981076</v>
      </c>
      <c r="L11" s="17">
        <f t="shared" si="2"/>
        <v>22812.654346070511</v>
      </c>
    </row>
    <row r="13" spans="2:12" ht="20" customHeight="1" x14ac:dyDescent="0.2">
      <c r="B13" s="76" t="s">
        <v>121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</row>
    <row r="14" spans="2:12" x14ac:dyDescent="0.2">
      <c r="B14" s="1" t="s">
        <v>122</v>
      </c>
      <c r="C14" s="14">
        <f>-AssessedValueY1*(1+AssessedGrowth)^(1-1)*TaxRate</f>
        <v>-1796.3999999999999</v>
      </c>
      <c r="D14" s="14">
        <f>-AssessedValueY1*(1+AssessedGrowth)^(2-1)*TaxRate</f>
        <v>-1850.2919999999999</v>
      </c>
      <c r="E14" s="14">
        <f>-AssessedValueY1*(1+AssessedGrowth)^(3-1)*TaxRate</f>
        <v>-1905.8007599999996</v>
      </c>
      <c r="F14" s="14">
        <f>-AssessedValueY1*(1+AssessedGrowth)^(4-1)*TaxRate</f>
        <v>-1962.9747827999997</v>
      </c>
      <c r="G14" s="14">
        <f>-AssessedValueY1*(1+AssessedGrowth)^(5-1)*TaxRate</f>
        <v>-2021.8640262839997</v>
      </c>
      <c r="H14" s="14">
        <f>-AssessedValueY1*(1+AssessedGrowth)^(6-1)*TaxRate</f>
        <v>-2082.5199470725197</v>
      </c>
      <c r="I14" s="14">
        <f>-AssessedValueY1*(1+AssessedGrowth)^(7-1)*TaxRate</f>
        <v>-2144.9955454846954</v>
      </c>
      <c r="J14" s="14">
        <f>-AssessedValueY1*(1+AssessedGrowth)^(8-1)*TaxRate</f>
        <v>-2209.3454118492364</v>
      </c>
      <c r="K14" s="14">
        <f>-AssessedValueY1*(1+AssessedGrowth)^(9-1)*TaxRate</f>
        <v>-2275.6257742047133</v>
      </c>
      <c r="L14" s="14">
        <f>-AssessedValueY1*(1+AssessedGrowth)^(10-1)*TaxRate</f>
        <v>-2343.8945474308543</v>
      </c>
    </row>
    <row r="15" spans="2:12" x14ac:dyDescent="0.2">
      <c r="B15" s="1" t="s">
        <v>123</v>
      </c>
      <c r="C15" s="14">
        <f>-InsuranceY1*(1+InsuranceGrowth)^(1-1)</f>
        <v>-2800</v>
      </c>
      <c r="D15" s="14">
        <f>-InsuranceY1*(1+InsuranceGrowth)^(2-1)</f>
        <v>-2912</v>
      </c>
      <c r="E15" s="14">
        <f>-InsuranceY1*(1+InsuranceGrowth)^(3-1)</f>
        <v>-3028.4800000000005</v>
      </c>
      <c r="F15" s="14">
        <f>-InsuranceY1*(1+InsuranceGrowth)^(4-1)</f>
        <v>-3149.6192000000001</v>
      </c>
      <c r="G15" s="14">
        <f>-InsuranceY1*(1+InsuranceGrowth)^(5-1)</f>
        <v>-3275.6039680000008</v>
      </c>
      <c r="H15" s="14">
        <f>-InsuranceY1*(1+InsuranceGrowth)^(6-1)</f>
        <v>-3406.6281267200011</v>
      </c>
      <c r="I15" s="14">
        <f>-InsuranceY1*(1+InsuranceGrowth)^(7-1)</f>
        <v>-3542.8932517888011</v>
      </c>
      <c r="J15" s="14">
        <f>-InsuranceY1*(1+InsuranceGrowth)^(8-1)</f>
        <v>-3684.6089818603527</v>
      </c>
      <c r="K15" s="14">
        <f>-InsuranceY1*(1+InsuranceGrowth)^(9-1)</f>
        <v>-3831.9933411347674</v>
      </c>
      <c r="L15" s="14">
        <f>-InsuranceY1*(1+InsuranceGrowth)^(10-1)</f>
        <v>-3985.2730747801584</v>
      </c>
    </row>
    <row r="16" spans="2:12" x14ac:dyDescent="0.2">
      <c r="B16" s="1" t="s">
        <v>124</v>
      </c>
      <c r="C16" s="14">
        <f t="shared" ref="C16:L16" si="3">-C11*MaintPct</f>
        <v>-1748.4</v>
      </c>
      <c r="D16" s="14">
        <f t="shared" si="3"/>
        <v>-1800.8520000000001</v>
      </c>
      <c r="E16" s="14">
        <f t="shared" si="3"/>
        <v>-1854.8775599999999</v>
      </c>
      <c r="F16" s="14">
        <f t="shared" si="3"/>
        <v>-1910.5238868000001</v>
      </c>
      <c r="G16" s="14">
        <f t="shared" si="3"/>
        <v>-1967.8396034039997</v>
      </c>
      <c r="H16" s="14">
        <f t="shared" si="3"/>
        <v>-2026.8747915061199</v>
      </c>
      <c r="I16" s="14">
        <f t="shared" si="3"/>
        <v>-2087.6810352513035</v>
      </c>
      <c r="J16" s="14">
        <f t="shared" si="3"/>
        <v>-2150.3114663088431</v>
      </c>
      <c r="K16" s="14">
        <f t="shared" si="3"/>
        <v>-2214.8208102981075</v>
      </c>
      <c r="L16" s="14">
        <f t="shared" si="3"/>
        <v>-2281.2654346070512</v>
      </c>
    </row>
    <row r="17" spans="2:12" x14ac:dyDescent="0.2">
      <c r="B17" s="1" t="s">
        <v>125</v>
      </c>
      <c r="C17" s="14">
        <f t="shared" ref="C17:L17" si="4">-C11*CapexPct</f>
        <v>-1049.04</v>
      </c>
      <c r="D17" s="14">
        <f t="shared" si="4"/>
        <v>-1080.5111999999999</v>
      </c>
      <c r="E17" s="14">
        <f t="shared" si="4"/>
        <v>-1112.9265359999997</v>
      </c>
      <c r="F17" s="14">
        <f t="shared" si="4"/>
        <v>-1146.31433208</v>
      </c>
      <c r="G17" s="14">
        <f t="shared" si="4"/>
        <v>-1180.7037620423998</v>
      </c>
      <c r="H17" s="14">
        <f t="shared" si="4"/>
        <v>-1216.1248749036718</v>
      </c>
      <c r="I17" s="14">
        <f t="shared" si="4"/>
        <v>-1252.608621150782</v>
      </c>
      <c r="J17" s="14">
        <f t="shared" si="4"/>
        <v>-1290.1868797853056</v>
      </c>
      <c r="K17" s="14">
        <f t="shared" si="4"/>
        <v>-1328.8924861788646</v>
      </c>
      <c r="L17" s="14">
        <f t="shared" si="4"/>
        <v>-1368.7592607642305</v>
      </c>
    </row>
    <row r="18" spans="2:12" x14ac:dyDescent="0.2">
      <c r="B18" s="1" t="s">
        <v>126</v>
      </c>
      <c r="C18" s="14">
        <f t="shared" ref="C18:L18" si="5">-C11*MgmtPct</f>
        <v>-1398.72</v>
      </c>
      <c r="D18" s="14">
        <f t="shared" si="5"/>
        <v>-1440.6816000000001</v>
      </c>
      <c r="E18" s="14">
        <f t="shared" si="5"/>
        <v>-1483.9020479999997</v>
      </c>
      <c r="F18" s="14">
        <f t="shared" si="5"/>
        <v>-1528.4191094400001</v>
      </c>
      <c r="G18" s="14">
        <f t="shared" si="5"/>
        <v>-1574.2716827231998</v>
      </c>
      <c r="H18" s="14">
        <f t="shared" si="5"/>
        <v>-1621.4998332048958</v>
      </c>
      <c r="I18" s="14">
        <f t="shared" si="5"/>
        <v>-1670.1448282010429</v>
      </c>
      <c r="J18" s="14">
        <f t="shared" si="5"/>
        <v>-1720.2491730470742</v>
      </c>
      <c r="K18" s="14">
        <f t="shared" si="5"/>
        <v>-1771.8566482384861</v>
      </c>
      <c r="L18" s="14">
        <f t="shared" si="5"/>
        <v>-1825.0123476856409</v>
      </c>
    </row>
    <row r="19" spans="2:12" x14ac:dyDescent="0.2">
      <c r="B19" s="1" t="s">
        <v>127</v>
      </c>
      <c r="C19" s="14">
        <f t="shared" ref="C19:L19" si="6">-HOAmo*12</f>
        <v>-300</v>
      </c>
      <c r="D19" s="14">
        <f t="shared" si="6"/>
        <v>-300</v>
      </c>
      <c r="E19" s="14">
        <f t="shared" si="6"/>
        <v>-300</v>
      </c>
      <c r="F19" s="14">
        <f t="shared" si="6"/>
        <v>-300</v>
      </c>
      <c r="G19" s="14">
        <f t="shared" si="6"/>
        <v>-300</v>
      </c>
      <c r="H19" s="14">
        <f t="shared" si="6"/>
        <v>-300</v>
      </c>
      <c r="I19" s="14">
        <f t="shared" si="6"/>
        <v>-300</v>
      </c>
      <c r="J19" s="14">
        <f t="shared" si="6"/>
        <v>-300</v>
      </c>
      <c r="K19" s="14">
        <f t="shared" si="6"/>
        <v>-300</v>
      </c>
      <c r="L19" s="14">
        <f t="shared" si="6"/>
        <v>-300</v>
      </c>
    </row>
    <row r="20" spans="2:12" x14ac:dyDescent="0.2">
      <c r="B20" s="9" t="s">
        <v>128</v>
      </c>
      <c r="C20" s="17">
        <f t="shared" ref="C20:L20" si="7">SUM(C14:C19)</f>
        <v>-9092.56</v>
      </c>
      <c r="D20" s="17">
        <f t="shared" si="7"/>
        <v>-9384.3367999999991</v>
      </c>
      <c r="E20" s="17">
        <f t="shared" si="7"/>
        <v>-9685.9869039999994</v>
      </c>
      <c r="F20" s="17">
        <f t="shared" si="7"/>
        <v>-9997.8513111200009</v>
      </c>
      <c r="G20" s="17">
        <f t="shared" si="7"/>
        <v>-10320.283042453601</v>
      </c>
      <c r="H20" s="17">
        <f t="shared" si="7"/>
        <v>-10653.647573407208</v>
      </c>
      <c r="I20" s="17">
        <f t="shared" si="7"/>
        <v>-10998.323281876625</v>
      </c>
      <c r="J20" s="17">
        <f t="shared" si="7"/>
        <v>-11354.701912850813</v>
      </c>
      <c r="K20" s="17">
        <f t="shared" si="7"/>
        <v>-11723.18906005494</v>
      </c>
      <c r="L20" s="17">
        <f t="shared" si="7"/>
        <v>-12104.204665267935</v>
      </c>
    </row>
    <row r="22" spans="2:12" x14ac:dyDescent="0.2">
      <c r="B22" s="9" t="s">
        <v>129</v>
      </c>
      <c r="C22" s="30">
        <f t="shared" ref="C22:L22" si="8">C11+C20</f>
        <v>8391.44</v>
      </c>
      <c r="D22" s="30">
        <f t="shared" si="8"/>
        <v>8624.1832000000013</v>
      </c>
      <c r="E22" s="30">
        <f t="shared" si="8"/>
        <v>8862.7886959999978</v>
      </c>
      <c r="F22" s="30">
        <f t="shared" si="8"/>
        <v>9107.3875568799995</v>
      </c>
      <c r="G22" s="30">
        <f t="shared" si="8"/>
        <v>9358.1129915863967</v>
      </c>
      <c r="H22" s="30">
        <f t="shared" si="8"/>
        <v>9615.1003416539897</v>
      </c>
      <c r="I22" s="30">
        <f t="shared" si="8"/>
        <v>9878.4870706364109</v>
      </c>
      <c r="J22" s="30">
        <f t="shared" si="8"/>
        <v>10148.412750237616</v>
      </c>
      <c r="K22" s="30">
        <f t="shared" si="8"/>
        <v>10425.019042926137</v>
      </c>
      <c r="L22" s="30">
        <f t="shared" si="8"/>
        <v>10708.449680802576</v>
      </c>
    </row>
    <row r="24" spans="2:12" ht="20" customHeight="1" x14ac:dyDescent="0.2">
      <c r="B24" s="76" t="s">
        <v>130</v>
      </c>
      <c r="C24" s="77"/>
      <c r="D24" s="77"/>
      <c r="E24" s="77"/>
      <c r="F24" s="77"/>
      <c r="G24" s="77"/>
      <c r="H24" s="77"/>
      <c r="I24" s="77"/>
      <c r="J24" s="77"/>
      <c r="K24" s="77"/>
      <c r="L24" s="77"/>
    </row>
    <row r="25" spans="2:12" x14ac:dyDescent="0.2">
      <c r="B25" s="1" t="s">
        <v>131</v>
      </c>
      <c r="C25" s="14">
        <f>-INDEX(Amortization!$J$6:$J$15,1)</f>
        <v>-6434.8147896113251</v>
      </c>
      <c r="D25" s="14">
        <f>-INDEX(Amortization!$J$6:$J$15,2)</f>
        <v>-6434.8147896113251</v>
      </c>
      <c r="E25" s="14">
        <f>-INDEX(Amortization!$J$6:$J$15,3)</f>
        <v>-6434.8147896113251</v>
      </c>
      <c r="F25" s="14">
        <f>-INDEX(Amortization!$J$6:$J$15,4)</f>
        <v>-6434.8147896113251</v>
      </c>
      <c r="G25" s="14">
        <f>-INDEX(Amortization!$J$6:$J$15,5)</f>
        <v>-6434.8147896113251</v>
      </c>
      <c r="H25" s="14">
        <f>-INDEX(Amortization!$J$6:$J$15,6)</f>
        <v>-6434.8147896113251</v>
      </c>
      <c r="I25" s="14">
        <f>-INDEX(Amortization!$J$6:$J$15,7)</f>
        <v>-6434.8147896113251</v>
      </c>
      <c r="J25" s="14">
        <f>-INDEX(Amortization!$J$6:$J$15,8)</f>
        <v>-6434.8147896113251</v>
      </c>
      <c r="K25" s="14">
        <f>-INDEX(Amortization!$J$6:$J$15,9)</f>
        <v>-6434.8147896113251</v>
      </c>
      <c r="L25" s="14">
        <f>-INDEX(Amortization!$J$6:$J$15,10)</f>
        <v>-6434.8147896113251</v>
      </c>
    </row>
    <row r="26" spans="2:12" x14ac:dyDescent="0.2">
      <c r="B26" s="9" t="s">
        <v>132</v>
      </c>
      <c r="C26" s="30">
        <f t="shared" ref="C26:L26" si="9">C22+C25</f>
        <v>1956.6252103886754</v>
      </c>
      <c r="D26" s="30">
        <f t="shared" si="9"/>
        <v>2189.3684103886762</v>
      </c>
      <c r="E26" s="30">
        <f t="shared" si="9"/>
        <v>2427.9739063886727</v>
      </c>
      <c r="F26" s="30">
        <f t="shared" si="9"/>
        <v>2672.5727672686744</v>
      </c>
      <c r="G26" s="30">
        <f t="shared" si="9"/>
        <v>2923.2982019750716</v>
      </c>
      <c r="H26" s="30">
        <f t="shared" si="9"/>
        <v>3180.2855520426647</v>
      </c>
      <c r="I26" s="30">
        <f t="shared" si="9"/>
        <v>3443.6722810250858</v>
      </c>
      <c r="J26" s="30">
        <f t="shared" si="9"/>
        <v>3713.5979606262908</v>
      </c>
      <c r="K26" s="30">
        <f t="shared" si="9"/>
        <v>3990.2042533148115</v>
      </c>
      <c r="L26" s="30">
        <f t="shared" si="9"/>
        <v>4273.634891191251</v>
      </c>
    </row>
    <row r="27" spans="2:12" x14ac:dyDescent="0.2">
      <c r="B27" s="1" t="s">
        <v>133</v>
      </c>
      <c r="C27" s="14">
        <f>C26</f>
        <v>1956.6252103886754</v>
      </c>
      <c r="D27" s="14">
        <f t="shared" ref="D27:L27" si="10">C27+D26</f>
        <v>4145.9936207773517</v>
      </c>
      <c r="E27" s="14">
        <f t="shared" si="10"/>
        <v>6573.9675271660244</v>
      </c>
      <c r="F27" s="14">
        <f t="shared" si="10"/>
        <v>9246.5402944346988</v>
      </c>
      <c r="G27" s="14">
        <f t="shared" si="10"/>
        <v>12169.838496409771</v>
      </c>
      <c r="H27" s="14">
        <f t="shared" si="10"/>
        <v>15350.124048452435</v>
      </c>
      <c r="I27" s="14">
        <f t="shared" si="10"/>
        <v>18793.796329477522</v>
      </c>
      <c r="J27" s="14">
        <f t="shared" si="10"/>
        <v>22507.394290103814</v>
      </c>
      <c r="K27" s="14">
        <f t="shared" si="10"/>
        <v>26497.598543418626</v>
      </c>
      <c r="L27" s="14">
        <f t="shared" si="10"/>
        <v>30771.233434609876</v>
      </c>
    </row>
    <row r="29" spans="2:12" ht="20" customHeight="1" x14ac:dyDescent="0.2">
      <c r="B29" s="76" t="s">
        <v>134</v>
      </c>
      <c r="C29" s="77"/>
      <c r="D29" s="77"/>
      <c r="E29" s="77"/>
      <c r="F29" s="77"/>
      <c r="G29" s="77"/>
      <c r="H29" s="77"/>
      <c r="I29" s="77"/>
      <c r="J29" s="77"/>
      <c r="K29" s="77"/>
      <c r="L29" s="77"/>
    </row>
    <row r="30" spans="2:12" x14ac:dyDescent="0.2">
      <c r="B30" s="1" t="s">
        <v>135</v>
      </c>
      <c r="C30" s="18">
        <f t="shared" ref="C30:L30" si="11">C22/-C25</f>
        <v>1.3040686133729202</v>
      </c>
      <c r="D30" s="18">
        <f t="shared" si="11"/>
        <v>1.3402379838380583</v>
      </c>
      <c r="E30" s="18">
        <f t="shared" si="11"/>
        <v>1.3773183822335509</v>
      </c>
      <c r="F30" s="18">
        <f t="shared" si="11"/>
        <v>1.4153301772699667</v>
      </c>
      <c r="G30" s="18">
        <f t="shared" si="11"/>
        <v>1.4542940702340936</v>
      </c>
      <c r="H30" s="18">
        <f t="shared" si="11"/>
        <v>1.4942310938268295</v>
      </c>
      <c r="I30" s="18">
        <f t="shared" si="11"/>
        <v>1.5351626105206193</v>
      </c>
      <c r="J30" s="18">
        <f t="shared" si="11"/>
        <v>1.5771103104042252</v>
      </c>
      <c r="K30" s="18">
        <f t="shared" si="11"/>
        <v>1.6200962084809014</v>
      </c>
      <c r="L30" s="18">
        <f t="shared" si="11"/>
        <v>1.6641426413843041</v>
      </c>
    </row>
    <row r="31" spans="2:12" x14ac:dyDescent="0.2">
      <c r="B31" s="1" t="s">
        <v>136</v>
      </c>
      <c r="C31" s="19">
        <f t="shared" ref="C31:L31" si="12">C26/TotalCashInvested</f>
        <v>5.6394207040932558E-2</v>
      </c>
      <c r="D31" s="19">
        <f t="shared" si="12"/>
        <v>6.3102373806075029E-2</v>
      </c>
      <c r="E31" s="19">
        <f t="shared" si="12"/>
        <v>6.9979504730834627E-2</v>
      </c>
      <c r="F31" s="19">
        <f t="shared" si="12"/>
        <v>7.702937750626665E-2</v>
      </c>
      <c r="G31" s="19">
        <f t="shared" si="12"/>
        <v>8.4255831504808157E-2</v>
      </c>
      <c r="H31" s="19">
        <f t="shared" si="12"/>
        <v>9.1662767564746575E-2</v>
      </c>
      <c r="I31" s="19">
        <f t="shared" si="12"/>
        <v>9.9254147685581301E-2</v>
      </c>
      <c r="J31" s="19">
        <f t="shared" si="12"/>
        <v>0.10703399462830313</v>
      </c>
      <c r="K31" s="19">
        <f t="shared" si="12"/>
        <v>0.11500639141429901</v>
      </c>
      <c r="L31" s="19">
        <f t="shared" si="12"/>
        <v>0.12317548071626727</v>
      </c>
    </row>
  </sheetData>
  <mergeCells count="5">
    <mergeCell ref="B3:L3"/>
    <mergeCell ref="B7:L7"/>
    <mergeCell ref="B13:L13"/>
    <mergeCell ref="B24:L24"/>
    <mergeCell ref="B29:L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29"/>
  <sheetViews>
    <sheetView showGridLines="0" zoomScale="125" workbookViewId="0"/>
  </sheetViews>
  <sheetFormatPr baseColWidth="10" defaultColWidth="8.83203125" defaultRowHeight="15" x14ac:dyDescent="0.2"/>
  <cols>
    <col min="1" max="1" width="2" customWidth="1"/>
    <col min="2" max="2" width="45.1640625" customWidth="1"/>
    <col min="3" max="13" width="13" customWidth="1"/>
  </cols>
  <sheetData>
    <row r="2" spans="2:13" ht="30" customHeight="1" x14ac:dyDescent="0.2">
      <c r="B2" s="79" t="s">
        <v>137</v>
      </c>
      <c r="C2" s="79"/>
      <c r="D2" s="79"/>
    </row>
    <row r="3" spans="2:13" ht="16" customHeight="1" x14ac:dyDescent="0.2">
      <c r="B3" s="80" t="s">
        <v>138</v>
      </c>
      <c r="C3" s="80"/>
      <c r="D3" s="80"/>
    </row>
    <row r="5" spans="2:13" ht="20" customHeight="1" x14ac:dyDescent="0.2">
      <c r="B5" s="43" t="s">
        <v>139</v>
      </c>
      <c r="C5" s="44"/>
      <c r="D5" s="45"/>
    </row>
    <row r="6" spans="2:13" x14ac:dyDescent="0.2">
      <c r="B6" s="1" t="s">
        <v>140</v>
      </c>
      <c r="C6" s="5">
        <f>PurchasePrice*(1+Appreciation)^ExitYear</f>
        <v>127752.43751079644</v>
      </c>
    </row>
    <row r="7" spans="2:13" x14ac:dyDescent="0.2">
      <c r="B7" s="1" t="s">
        <v>141</v>
      </c>
      <c r="C7" s="5">
        <f>-C6*SellingCostPct</f>
        <v>-8942.6706257557526</v>
      </c>
    </row>
    <row r="8" spans="2:13" x14ac:dyDescent="0.2">
      <c r="B8" s="1" t="s">
        <v>142</v>
      </c>
      <c r="C8" s="5">
        <f>-INDEX(Amortization!$M$6:$M$15,MATCH(ExitYear,Amortization!$I$6:$I$15,0))</f>
        <v>-65318.89928203536</v>
      </c>
    </row>
    <row r="9" spans="2:13" x14ac:dyDescent="0.2">
      <c r="B9" s="9" t="s">
        <v>25</v>
      </c>
      <c r="C9" s="5">
        <f>C6+C7+C8</f>
        <v>53490.867603005332</v>
      </c>
    </row>
    <row r="11" spans="2:13" ht="20" customHeight="1" x14ac:dyDescent="0.2">
      <c r="B11" s="43" t="s">
        <v>143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5"/>
    </row>
    <row r="12" spans="2:13" x14ac:dyDescent="0.2">
      <c r="C12" s="29" t="s">
        <v>144</v>
      </c>
      <c r="D12" s="29" t="s">
        <v>145</v>
      </c>
      <c r="E12" s="29" t="s">
        <v>146</v>
      </c>
      <c r="F12" s="29" t="s">
        <v>147</v>
      </c>
      <c r="G12" s="29" t="s">
        <v>148</v>
      </c>
      <c r="H12" s="29" t="s">
        <v>149</v>
      </c>
      <c r="I12" s="29" t="s">
        <v>150</v>
      </c>
      <c r="J12" s="29" t="s">
        <v>151</v>
      </c>
      <c r="K12" s="29" t="s">
        <v>152</v>
      </c>
      <c r="L12" s="29" t="s">
        <v>153</v>
      </c>
      <c r="M12" s="29" t="s">
        <v>154</v>
      </c>
    </row>
    <row r="13" spans="2:13" x14ac:dyDescent="0.2">
      <c r="B13" s="9" t="s">
        <v>155</v>
      </c>
      <c r="C13" s="14">
        <f>-TotalCashInvested</f>
        <v>-34695.5</v>
      </c>
      <c r="D13" s="14">
        <f>IF(1&gt;ExitYear,0,IF(1=ExitYear,INDEX(CF_PTCF_Row,1)+C9,INDEX(CF_PTCF_Row,1)))</f>
        <v>1956.6252103886754</v>
      </c>
      <c r="E13" s="14">
        <f>IF(2&gt;ExitYear,0,IF(2=ExitYear,INDEX(CF_PTCF_Row,2)+C9,INDEX(CF_PTCF_Row,2)))</f>
        <v>2189.3684103886762</v>
      </c>
      <c r="F13" s="14">
        <f>IF(3&gt;ExitYear,0,IF(3=ExitYear,INDEX(CF_PTCF_Row,3)+C9,INDEX(CF_PTCF_Row,3)))</f>
        <v>2427.9739063886727</v>
      </c>
      <c r="G13" s="14">
        <f>IF(4&gt;ExitYear,0,IF(4=ExitYear,INDEX(CF_PTCF_Row,4)+C9,INDEX(CF_PTCF_Row,4)))</f>
        <v>2672.5727672686744</v>
      </c>
      <c r="H13" s="14">
        <f>IF(5&gt;ExitYear,0,IF(5=ExitYear,INDEX(CF_PTCF_Row,5)+C9,INDEX(CF_PTCF_Row,5)))</f>
        <v>2923.2982019750716</v>
      </c>
      <c r="I13" s="14">
        <f>IF(6&gt;ExitYear,0,IF(6=ExitYear,INDEX(CF_PTCF_Row,6)+C9,INDEX(CF_PTCF_Row,6)))</f>
        <v>3180.2855520426647</v>
      </c>
      <c r="J13" s="14">
        <f>IF(7&gt;ExitYear,0,IF(7=ExitYear,INDEX(CF_PTCF_Row,7)+C9,INDEX(CF_PTCF_Row,7)))</f>
        <v>3443.6722810250858</v>
      </c>
      <c r="K13" s="14">
        <f>IF(8&gt;ExitYear,0,IF(8=ExitYear,INDEX(CF_PTCF_Row,8)+C9,INDEX(CF_PTCF_Row,8)))</f>
        <v>3713.5979606262908</v>
      </c>
      <c r="L13" s="14">
        <f>IF(9&gt;ExitYear,0,IF(9=ExitYear,INDEX(CF_PTCF_Row,9)+C9,INDEX(CF_PTCF_Row,9)))</f>
        <v>3990.2042533148115</v>
      </c>
      <c r="M13" s="14">
        <f>IF(10&gt;ExitYear,0,IF(10=ExitYear,INDEX(CF_PTCF_Row,10)+C9,INDEX(CF_PTCF_Row,10)))</f>
        <v>57764.502494196582</v>
      </c>
    </row>
    <row r="15" spans="2:13" ht="20" customHeight="1" x14ac:dyDescent="0.2">
      <c r="B15" s="43" t="s">
        <v>156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5"/>
    </row>
    <row r="16" spans="2:13" x14ac:dyDescent="0.2">
      <c r="C16" s="29" t="s">
        <v>144</v>
      </c>
      <c r="D16" s="29" t="s">
        <v>145</v>
      </c>
      <c r="E16" s="29" t="s">
        <v>146</v>
      </c>
      <c r="F16" s="29" t="s">
        <v>147</v>
      </c>
      <c r="G16" s="29" t="s">
        <v>148</v>
      </c>
      <c r="H16" s="29" t="s">
        <v>149</v>
      </c>
      <c r="I16" s="29" t="s">
        <v>150</v>
      </c>
      <c r="J16" s="29" t="s">
        <v>151</v>
      </c>
      <c r="K16" s="29" t="s">
        <v>152</v>
      </c>
      <c r="L16" s="29" t="s">
        <v>153</v>
      </c>
      <c r="M16" s="29" t="s">
        <v>154</v>
      </c>
    </row>
    <row r="17" spans="2:13" x14ac:dyDescent="0.2">
      <c r="B17" s="9" t="s">
        <v>157</v>
      </c>
      <c r="C17" s="14">
        <f>-(PurchasePrice+ClosingCostAmt+InitialRepairs)</f>
        <v>-108797</v>
      </c>
      <c r="D17" s="14">
        <f>IF(1&gt;ExitYear,0,IF(1=ExitYear,INDEX(CF_NOI_Row,1)+C6+C7,INDEX(CF_NOI_Row,1)))</f>
        <v>8391.44</v>
      </c>
      <c r="E17" s="14">
        <f>IF(2&gt;ExitYear,0,IF(2=ExitYear,INDEX(CF_NOI_Row,2)+C6+C7,INDEX(CF_NOI_Row,2)))</f>
        <v>8624.1832000000013</v>
      </c>
      <c r="F17" s="14">
        <f>IF(3&gt;ExitYear,0,IF(3=ExitYear,INDEX(CF_NOI_Row,3)+C6+C7,INDEX(CF_NOI_Row,3)))</f>
        <v>8862.7886959999978</v>
      </c>
      <c r="G17" s="14">
        <f>IF(4&gt;ExitYear,0,IF(4=ExitYear,INDEX(CF_NOI_Row,4)+C6+C7,INDEX(CF_NOI_Row,4)))</f>
        <v>9107.3875568799995</v>
      </c>
      <c r="H17" s="14">
        <f>IF(5&gt;ExitYear,0,IF(5=ExitYear,INDEX(CF_NOI_Row,5)+C6+C7,INDEX(CF_NOI_Row,5)))</f>
        <v>9358.1129915863967</v>
      </c>
      <c r="I17" s="14">
        <f>IF(6&gt;ExitYear,0,IF(6=ExitYear,INDEX(CF_NOI_Row,6)+C6+C7,INDEX(CF_NOI_Row,6)))</f>
        <v>9615.1003416539897</v>
      </c>
      <c r="J17" s="14">
        <f>IF(7&gt;ExitYear,0,IF(7=ExitYear,INDEX(CF_NOI_Row,7)+C6+C7,INDEX(CF_NOI_Row,7)))</f>
        <v>9878.4870706364109</v>
      </c>
      <c r="K17" s="14">
        <f>IF(8&gt;ExitYear,0,IF(8=ExitYear,INDEX(CF_NOI_Row,8)+C6+C7,INDEX(CF_NOI_Row,8)))</f>
        <v>10148.412750237616</v>
      </c>
      <c r="L17" s="14">
        <f>IF(9&gt;ExitYear,0,IF(9=ExitYear,INDEX(CF_NOI_Row,9)+C6+C7,INDEX(CF_NOI_Row,9)))</f>
        <v>10425.019042926137</v>
      </c>
      <c r="M17" s="14">
        <f>IF(10&gt;ExitYear,0,IF(10=ExitYear,INDEX(CF_NOI_Row,10)+C6+C7,INDEX(CF_NOI_Row,10)))</f>
        <v>129518.21656584328</v>
      </c>
    </row>
    <row r="19" spans="2:13" ht="20" customHeight="1" x14ac:dyDescent="0.2">
      <c r="B19" s="43" t="s">
        <v>158</v>
      </c>
      <c r="C19" s="44"/>
      <c r="D19" s="45"/>
    </row>
    <row r="20" spans="2:13" x14ac:dyDescent="0.2">
      <c r="B20" s="9" t="s">
        <v>20</v>
      </c>
      <c r="C20" s="20">
        <f>IRR(C13:M13)</f>
        <v>0.11401212130148219</v>
      </c>
    </row>
    <row r="21" spans="2:13" x14ac:dyDescent="0.2">
      <c r="B21" s="9" t="s">
        <v>159</v>
      </c>
      <c r="C21" s="20">
        <f>IRR(C17:M17)</f>
        <v>9.1750235347117126E-2</v>
      </c>
    </row>
    <row r="22" spans="2:13" x14ac:dyDescent="0.2">
      <c r="B22" s="9" t="s">
        <v>160</v>
      </c>
      <c r="C22" s="21">
        <f>SUM(D13:M13)/-C13</f>
        <v>2.4286175739682441</v>
      </c>
    </row>
    <row r="24" spans="2:13" ht="20" customHeight="1" x14ac:dyDescent="0.2">
      <c r="B24" s="43" t="s">
        <v>161</v>
      </c>
      <c r="C24" s="44"/>
      <c r="D24" s="45"/>
    </row>
    <row r="25" spans="2:13" x14ac:dyDescent="0.2">
      <c r="B25" s="1" t="s">
        <v>162</v>
      </c>
      <c r="C25" s="5">
        <f>SUM(D13:M13)-C9-(ClosingCostAmt+OriginationAmt+InitialRepairs)</f>
        <v>21025.73343460988</v>
      </c>
    </row>
    <row r="26" spans="2:13" x14ac:dyDescent="0.2">
      <c r="B26" s="1" t="s">
        <v>163</v>
      </c>
      <c r="C26" s="5">
        <f>LoanAmount+C8</f>
        <v>9531.1007179646404</v>
      </c>
    </row>
    <row r="27" spans="2:13" x14ac:dyDescent="0.2">
      <c r="B27" s="1" t="s">
        <v>164</v>
      </c>
      <c r="C27" s="5">
        <f>C6-PurchasePrice+C7</f>
        <v>19009.766885040692</v>
      </c>
    </row>
    <row r="28" spans="2:13" x14ac:dyDescent="0.2">
      <c r="B28" s="9" t="s">
        <v>165</v>
      </c>
      <c r="C28" s="5">
        <f>C25+C26+C27</f>
        <v>49566.601037615212</v>
      </c>
    </row>
    <row r="29" spans="2:13" x14ac:dyDescent="0.2">
      <c r="B29" s="1" t="s">
        <v>166</v>
      </c>
      <c r="C29" s="5">
        <f>SUM(D13:M13)+C13</f>
        <v>49566.601037615212</v>
      </c>
    </row>
  </sheetData>
  <mergeCells count="7">
    <mergeCell ref="B15:M15"/>
    <mergeCell ref="B11:M11"/>
    <mergeCell ref="B24:D24"/>
    <mergeCell ref="B5:D5"/>
    <mergeCell ref="B19:D19"/>
    <mergeCell ref="B2:D2"/>
    <mergeCell ref="B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38"/>
  <sheetViews>
    <sheetView showGridLines="0" zoomScale="107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6" customWidth="1"/>
    <col min="3" max="10" width="12" customWidth="1"/>
  </cols>
  <sheetData>
    <row r="2" spans="2:9" ht="30" customHeight="1" x14ac:dyDescent="0.2">
      <c r="B2" s="79" t="s">
        <v>167</v>
      </c>
      <c r="C2" s="79"/>
      <c r="D2" s="79"/>
      <c r="E2" s="79"/>
      <c r="F2" s="79"/>
      <c r="G2" s="79"/>
      <c r="H2" s="79"/>
      <c r="I2" s="79"/>
    </row>
    <row r="3" spans="2:9" ht="16" customHeight="1" x14ac:dyDescent="0.2">
      <c r="B3" s="80"/>
      <c r="C3" s="80"/>
      <c r="D3" s="80"/>
      <c r="E3" s="80"/>
      <c r="F3" s="80"/>
      <c r="G3" s="80"/>
      <c r="H3" s="80"/>
      <c r="I3" s="80"/>
    </row>
    <row r="5" spans="2:9" ht="20" customHeight="1" x14ac:dyDescent="0.2">
      <c r="B5" s="36" t="s">
        <v>168</v>
      </c>
      <c r="C5" s="37"/>
      <c r="D5" s="37"/>
      <c r="E5" s="37"/>
      <c r="F5" s="37"/>
      <c r="G5" s="37"/>
      <c r="H5" s="37"/>
      <c r="I5" s="38"/>
    </row>
    <row r="6" spans="2:9" x14ac:dyDescent="0.2">
      <c r="B6" s="9" t="s">
        <v>169</v>
      </c>
      <c r="C6" s="30">
        <v>2100</v>
      </c>
      <c r="D6" s="30">
        <v>2200</v>
      </c>
      <c r="E6" s="30">
        <v>2300</v>
      </c>
      <c r="F6" s="30">
        <v>2400</v>
      </c>
      <c r="G6" s="30">
        <v>2500</v>
      </c>
      <c r="H6" s="30">
        <v>2600</v>
      </c>
      <c r="I6" s="30">
        <v>2700</v>
      </c>
    </row>
    <row r="7" spans="2:9" x14ac:dyDescent="0.2">
      <c r="B7" s="31">
        <v>6.5000000000000002E-2</v>
      </c>
      <c r="C7" s="14">
        <f t="shared" ref="C7:I13" si="0">(C$6*(1-VacancyPct))*(1-MaintPct-CapexPct-MgmtPct)-(AssessedValueY1*TaxRate)/12-InsuranceY1/12-HOAmo+PMT($B7/12,LoanTermYrs*12,LoanAmount)</f>
        <v>619.10375108218352</v>
      </c>
      <c r="D7" s="14">
        <f t="shared" si="0"/>
        <v>690.54375108218358</v>
      </c>
      <c r="E7" s="14">
        <f t="shared" si="0"/>
        <v>761.98375108218363</v>
      </c>
      <c r="F7" s="14">
        <f t="shared" si="0"/>
        <v>833.42375108218346</v>
      </c>
      <c r="G7" s="14">
        <f t="shared" si="0"/>
        <v>904.86375108218351</v>
      </c>
      <c r="H7" s="14">
        <f t="shared" si="0"/>
        <v>976.30375108218357</v>
      </c>
      <c r="I7" s="14">
        <f t="shared" si="0"/>
        <v>1047.7437510821837</v>
      </c>
    </row>
    <row r="8" spans="2:9" x14ac:dyDescent="0.2">
      <c r="B8" s="31">
        <v>6.7500000000000004E-2</v>
      </c>
      <c r="C8" s="14">
        <f t="shared" si="0"/>
        <v>606.73099138535781</v>
      </c>
      <c r="D8" s="14">
        <f t="shared" si="0"/>
        <v>678.17099138535787</v>
      </c>
      <c r="E8" s="14">
        <f t="shared" si="0"/>
        <v>749.61099138535792</v>
      </c>
      <c r="F8" s="14">
        <f t="shared" si="0"/>
        <v>821.05099138535775</v>
      </c>
      <c r="G8" s="14">
        <f t="shared" si="0"/>
        <v>892.4909913853578</v>
      </c>
      <c r="H8" s="14">
        <f t="shared" si="0"/>
        <v>963.93099138535786</v>
      </c>
      <c r="I8" s="14">
        <f t="shared" si="0"/>
        <v>1035.3709913853579</v>
      </c>
    </row>
    <row r="9" spans="2:9" x14ac:dyDescent="0.2">
      <c r="B9" s="31">
        <v>7.0000000000000007E-2</v>
      </c>
      <c r="C9" s="14">
        <f t="shared" si="0"/>
        <v>594.2277490250483</v>
      </c>
      <c r="D9" s="14">
        <f t="shared" si="0"/>
        <v>665.66774902504835</v>
      </c>
      <c r="E9" s="14">
        <f t="shared" si="0"/>
        <v>737.10774902504841</v>
      </c>
      <c r="F9" s="14">
        <f t="shared" si="0"/>
        <v>808.54774902504823</v>
      </c>
      <c r="G9" s="14">
        <f t="shared" si="0"/>
        <v>879.98774902504829</v>
      </c>
      <c r="H9" s="14">
        <f t="shared" si="0"/>
        <v>951.42774902504834</v>
      </c>
      <c r="I9" s="14">
        <f t="shared" si="0"/>
        <v>1022.8677490250484</v>
      </c>
    </row>
    <row r="10" spans="2:9" x14ac:dyDescent="0.2">
      <c r="B10" s="31">
        <v>7.2499999999999995E-2</v>
      </c>
      <c r="C10" s="14">
        <f t="shared" si="0"/>
        <v>581.59772104460728</v>
      </c>
      <c r="D10" s="14">
        <f t="shared" si="0"/>
        <v>653.03772104460734</v>
      </c>
      <c r="E10" s="14">
        <f t="shared" si="0"/>
        <v>724.47772104460739</v>
      </c>
      <c r="F10" s="14">
        <f t="shared" si="0"/>
        <v>795.91772104460722</v>
      </c>
      <c r="G10" s="14">
        <f t="shared" si="0"/>
        <v>867.35772104460727</v>
      </c>
      <c r="H10" s="14">
        <f t="shared" si="0"/>
        <v>938.79772104460733</v>
      </c>
      <c r="I10" s="14">
        <f t="shared" si="0"/>
        <v>1010.2377210446074</v>
      </c>
    </row>
    <row r="11" spans="2:9" x14ac:dyDescent="0.2">
      <c r="B11" s="31">
        <v>7.4999999999999997E-2</v>
      </c>
      <c r="C11" s="14">
        <f t="shared" si="0"/>
        <v>568.84460701491173</v>
      </c>
      <c r="D11" s="14">
        <f t="shared" si="0"/>
        <v>640.28460701491178</v>
      </c>
      <c r="E11" s="14">
        <f t="shared" si="0"/>
        <v>711.72460701491184</v>
      </c>
      <c r="F11" s="14">
        <f t="shared" si="0"/>
        <v>783.16460701491167</v>
      </c>
      <c r="G11" s="14">
        <f t="shared" si="0"/>
        <v>854.60460701491172</v>
      </c>
      <c r="H11" s="14">
        <f t="shared" si="0"/>
        <v>926.04460701491178</v>
      </c>
      <c r="I11" s="14">
        <f t="shared" si="0"/>
        <v>997.48460701491183</v>
      </c>
    </row>
    <row r="12" spans="2:9" x14ac:dyDescent="0.2">
      <c r="B12" s="31">
        <v>7.7499999999999999E-2</v>
      </c>
      <c r="C12" s="14">
        <f t="shared" si="0"/>
        <v>555.97210086572306</v>
      </c>
      <c r="D12" s="14">
        <f t="shared" si="0"/>
        <v>627.41210086572312</v>
      </c>
      <c r="E12" s="14">
        <f t="shared" si="0"/>
        <v>698.85210086572317</v>
      </c>
      <c r="F12" s="14">
        <f t="shared" si="0"/>
        <v>770.292100865723</v>
      </c>
      <c r="G12" s="14">
        <f t="shared" si="0"/>
        <v>841.73210086572305</v>
      </c>
      <c r="H12" s="14">
        <f t="shared" si="0"/>
        <v>913.17210086572311</v>
      </c>
      <c r="I12" s="14">
        <f t="shared" si="0"/>
        <v>984.61210086572316</v>
      </c>
    </row>
    <row r="13" spans="2:9" x14ac:dyDescent="0.2">
      <c r="B13" s="31">
        <v>0.08</v>
      </c>
      <c r="C13" s="14">
        <f t="shared" si="0"/>
        <v>542.98388311795395</v>
      </c>
      <c r="D13" s="14">
        <f t="shared" si="0"/>
        <v>614.42388311795401</v>
      </c>
      <c r="E13" s="14">
        <f t="shared" si="0"/>
        <v>685.86388311795406</v>
      </c>
      <c r="F13" s="14">
        <f t="shared" si="0"/>
        <v>757.30388311795389</v>
      </c>
      <c r="G13" s="14">
        <f t="shared" si="0"/>
        <v>828.74388311795394</v>
      </c>
      <c r="H13" s="14">
        <f t="shared" si="0"/>
        <v>900.183883117954</v>
      </c>
      <c r="I13" s="14">
        <f t="shared" si="0"/>
        <v>971.62388311795405</v>
      </c>
    </row>
    <row r="15" spans="2:9" ht="20" customHeight="1" x14ac:dyDescent="0.2">
      <c r="B15" s="36" t="s">
        <v>170</v>
      </c>
      <c r="C15" s="37"/>
      <c r="D15" s="37"/>
      <c r="E15" s="37"/>
      <c r="F15" s="37"/>
      <c r="G15" s="37"/>
      <c r="H15" s="37"/>
      <c r="I15" s="38"/>
    </row>
    <row r="16" spans="2:9" x14ac:dyDescent="0.2">
      <c r="B16" s="9" t="s">
        <v>171</v>
      </c>
      <c r="C16" s="32">
        <v>5</v>
      </c>
      <c r="D16" s="32">
        <v>6</v>
      </c>
      <c r="E16" s="32">
        <v>7</v>
      </c>
      <c r="F16" s="32">
        <v>8</v>
      </c>
      <c r="G16" s="32">
        <v>9</v>
      </c>
      <c r="H16" s="32">
        <v>10</v>
      </c>
    </row>
    <row r="17" spans="2:9" x14ac:dyDescent="0.2">
      <c r="B17" s="33">
        <v>0.02</v>
      </c>
      <c r="C17" s="14">
        <f t="shared" ref="C17:H23" si="1">(((MonthlyRentY1*12*(1-VacancyPct))*(((1+RentGrowth)^$B17-1)/RentGrowth))*(1-MaintPct-CapexPct-MgmtPct)-((AssessedValueY1*TaxRate)*(((1+AssessedGrowth)^$B17-1)/AssessedGrowth))-(InsuranceY1*(((1+InsuranceGrowth)^$B17-1)/InsuranceGrowth))-(HOAmo*12*$B17)-((-PMT(InterestRate/12,LoanTermYrs*12,LoanAmount)*12)*$B17))+((PurchasePrice*(1+C$16)^$B17)-((PurchasePrice*(1+C$16)^$B17)*SellingCostPct)-(LoanAmount*(((1+InterestRate/12)^(LoanTermYrs*12)-(1+InterestRate/12)^($B17*12))/((1+InterestRate/12)^(LoanTermYrs*12)-1))))-TotalCashInvested</f>
        <v>-13295.643692151287</v>
      </c>
      <c r="D17" s="14">
        <f t="shared" si="1"/>
        <v>-12998.599137929246</v>
      </c>
      <c r="E17" s="14">
        <f t="shared" si="1"/>
        <v>-12740.546161179802</v>
      </c>
      <c r="F17" s="14">
        <f t="shared" si="1"/>
        <v>-12512.354560800311</v>
      </c>
      <c r="G17" s="14">
        <f t="shared" si="1"/>
        <v>-12307.774229091454</v>
      </c>
      <c r="H17" s="14">
        <f t="shared" si="1"/>
        <v>-12122.337069270558</v>
      </c>
    </row>
    <row r="18" spans="2:9" x14ac:dyDescent="0.2">
      <c r="B18" s="33">
        <v>2.5000000000000001E-2</v>
      </c>
      <c r="C18" s="14">
        <f t="shared" si="1"/>
        <v>-12417.531023357751</v>
      </c>
      <c r="D18" s="14">
        <f t="shared" si="1"/>
        <v>-12042.739441445232</v>
      </c>
      <c r="E18" s="14">
        <f t="shared" si="1"/>
        <v>-11716.910671508424</v>
      </c>
      <c r="F18" s="14">
        <f t="shared" si="1"/>
        <v>-11428.605086903732</v>
      </c>
      <c r="G18" s="14">
        <f t="shared" si="1"/>
        <v>-11169.986614015656</v>
      </c>
      <c r="H18" s="14">
        <f t="shared" si="1"/>
        <v>-10935.450190268315</v>
      </c>
    </row>
    <row r="19" spans="2:9" x14ac:dyDescent="0.2">
      <c r="B19" s="33">
        <v>0.03</v>
      </c>
      <c r="C19" s="14">
        <f t="shared" si="1"/>
        <v>-11531.620876723049</v>
      </c>
      <c r="D19" s="14">
        <f t="shared" si="1"/>
        <v>-11077.648617556355</v>
      </c>
      <c r="E19" s="14">
        <f t="shared" si="1"/>
        <v>-10682.699421869627</v>
      </c>
      <c r="F19" s="14">
        <f t="shared" si="1"/>
        <v>-10333.013859898048</v>
      </c>
      <c r="G19" s="14">
        <f t="shared" si="1"/>
        <v>-10019.160739772553</v>
      </c>
      <c r="H19" s="14">
        <f t="shared" si="1"/>
        <v>-9734.3901913452792</v>
      </c>
    </row>
    <row r="20" spans="2:9" x14ac:dyDescent="0.2">
      <c r="B20" s="33">
        <v>3.5000000000000003E-2</v>
      </c>
      <c r="C20" s="14">
        <f t="shared" si="1"/>
        <v>-10637.84314329713</v>
      </c>
      <c r="D20" s="14">
        <f t="shared" si="1"/>
        <v>-10103.236479483519</v>
      </c>
      <c r="E20" s="14">
        <f t="shared" si="1"/>
        <v>-9637.8019512207429</v>
      </c>
      <c r="F20" s="14">
        <f t="shared" si="1"/>
        <v>-9225.4501426392853</v>
      </c>
      <c r="G20" s="14">
        <f t="shared" si="1"/>
        <v>-8855.1457091678494</v>
      </c>
      <c r="H20" s="14">
        <f t="shared" si="1"/>
        <v>-8518.9862035151637</v>
      </c>
    </row>
    <row r="21" spans="2:9" x14ac:dyDescent="0.2">
      <c r="B21" s="33">
        <v>0.04</v>
      </c>
      <c r="C21" s="14">
        <f t="shared" si="1"/>
        <v>-9736.1270832264454</v>
      </c>
      <c r="D21" s="14">
        <f t="shared" si="1"/>
        <v>-9119.4119586993365</v>
      </c>
      <c r="E21" s="14">
        <f t="shared" si="1"/>
        <v>-8582.1066440533505</v>
      </c>
      <c r="F21" s="14">
        <f t="shared" si="1"/>
        <v>-8105.7817537830888</v>
      </c>
      <c r="G21" s="14">
        <f t="shared" si="1"/>
        <v>-7677.788877713323</v>
      </c>
      <c r="H21" s="14">
        <f t="shared" si="1"/>
        <v>-7289.0652968457471</v>
      </c>
    </row>
    <row r="22" spans="2:9" x14ac:dyDescent="0.2">
      <c r="B22" s="33">
        <v>4.4999999999999998E-2</v>
      </c>
      <c r="C22" s="14">
        <f t="shared" si="1"/>
        <v>-8826.4013200767658</v>
      </c>
      <c r="D22" s="14">
        <f t="shared" si="1"/>
        <v>-8126.0830963076733</v>
      </c>
      <c r="E22" s="14">
        <f t="shared" si="1"/>
        <v>-7515.5007183278794</v>
      </c>
      <c r="F22" s="14">
        <f t="shared" si="1"/>
        <v>-6973.875051831681</v>
      </c>
      <c r="G22" s="14">
        <f t="shared" si="1"/>
        <v>-6486.9358333946293</v>
      </c>
      <c r="H22" s="14">
        <f t="shared" si="1"/>
        <v>-6044.4524556007091</v>
      </c>
    </row>
    <row r="23" spans="2:9" x14ac:dyDescent="0.2">
      <c r="B23" s="33">
        <v>0.05</v>
      </c>
      <c r="C23" s="14">
        <f t="shared" si="1"/>
        <v>-7908.5938351041077</v>
      </c>
      <c r="D23" s="14">
        <f t="shared" si="1"/>
        <v>-7123.1570343379972</v>
      </c>
      <c r="E23" s="14">
        <f t="shared" si="1"/>
        <v>-6437.8702132811559</v>
      </c>
      <c r="F23" s="14">
        <f t="shared" si="1"/>
        <v>-5829.5949190033389</v>
      </c>
      <c r="G23" s="14">
        <f t="shared" si="1"/>
        <v>-5282.430376203698</v>
      </c>
      <c r="H23" s="14">
        <f t="shared" si="1"/>
        <v>-4784.9705530810279</v>
      </c>
    </row>
    <row r="25" spans="2:9" ht="20" customHeight="1" x14ac:dyDescent="0.2">
      <c r="B25" s="36" t="s">
        <v>172</v>
      </c>
      <c r="C25" s="37"/>
      <c r="D25" s="37"/>
      <c r="E25" s="37"/>
      <c r="F25" s="37"/>
      <c r="G25" s="37"/>
      <c r="H25" s="37"/>
      <c r="I25" s="38"/>
    </row>
    <row r="26" spans="2:9" x14ac:dyDescent="0.2">
      <c r="B26" s="9" t="s">
        <v>171</v>
      </c>
      <c r="C26" s="32">
        <v>5</v>
      </c>
      <c r="D26" s="32">
        <v>6</v>
      </c>
      <c r="E26" s="32">
        <v>7</v>
      </c>
      <c r="F26" s="32">
        <v>8</v>
      </c>
      <c r="G26" s="32">
        <v>9</v>
      </c>
      <c r="H26" s="32">
        <v>10</v>
      </c>
    </row>
    <row r="27" spans="2:9" x14ac:dyDescent="0.2">
      <c r="B27" s="33">
        <v>0.02</v>
      </c>
      <c r="C27" s="22">
        <f t="shared" ref="C27:H33" si="2">((((MonthlyRentY1*12*(1-VacancyPct))*(((1+RentGrowth)^$B27-1)/RentGrowth))*(1-MaintPct-CapexPct-MgmtPct)-((AssessedValueY1*TaxRate)*(((1+AssessedGrowth)^$B27-1)/AssessedGrowth))-(InsuranceY1*(((1+InsuranceGrowth)^$B27-1)/InsuranceGrowth))-(HOAmo*12*$B27)-((-PMT(InterestRate/12,LoanTermYrs*12,LoanAmount)*12)*$B27))+((PurchasePrice*(1+C$26)^$B27)-((PurchasePrice*(1+C$26)^$B27)*SellingCostPct)-(LoanAmount*(((1+InterestRate/12)^(LoanTermYrs*12)-(1+InterestRate/12)^($B27*12))/((1+InterestRate/12)^(LoanTermYrs*12)-1))))+TotalCashInvested)/TotalCashInvested</f>
        <v>1.6167905436684502</v>
      </c>
      <c r="D27" s="22">
        <f t="shared" si="2"/>
        <v>1.6253520157389505</v>
      </c>
      <c r="E27" s="22">
        <f t="shared" si="2"/>
        <v>1.6327896654845786</v>
      </c>
      <c r="F27" s="22">
        <f t="shared" si="2"/>
        <v>1.6393666452191116</v>
      </c>
      <c r="G27" s="22">
        <f t="shared" si="2"/>
        <v>1.6452630966813722</v>
      </c>
      <c r="H27" s="22">
        <f t="shared" si="2"/>
        <v>1.6506078001680173</v>
      </c>
    </row>
    <row r="28" spans="2:9" x14ac:dyDescent="0.2">
      <c r="B28" s="33">
        <v>2.5000000000000001E-2</v>
      </c>
      <c r="C28" s="22">
        <f t="shared" si="2"/>
        <v>1.6420996664305818</v>
      </c>
      <c r="D28" s="22">
        <f t="shared" si="2"/>
        <v>1.6529019774482216</v>
      </c>
      <c r="E28" s="22">
        <f t="shared" si="2"/>
        <v>1.6622930734098538</v>
      </c>
      <c r="F28" s="22">
        <f t="shared" si="2"/>
        <v>1.6706026693114748</v>
      </c>
      <c r="G28" s="22">
        <f t="shared" si="2"/>
        <v>1.6780566178894769</v>
      </c>
      <c r="H28" s="22">
        <f t="shared" si="2"/>
        <v>1.6848164692750267</v>
      </c>
    </row>
    <row r="29" spans="2:9" x14ac:dyDescent="0.2">
      <c r="B29" s="33">
        <v>0.03</v>
      </c>
      <c r="C29" s="22">
        <f t="shared" si="2"/>
        <v>1.6676335295146907</v>
      </c>
      <c r="D29" s="22">
        <f t="shared" si="2"/>
        <v>1.6807180003874751</v>
      </c>
      <c r="E29" s="22">
        <f t="shared" si="2"/>
        <v>1.6921012978089485</v>
      </c>
      <c r="F29" s="22">
        <f t="shared" si="2"/>
        <v>1.7021799985618293</v>
      </c>
      <c r="G29" s="22">
        <f t="shared" si="2"/>
        <v>1.7112259301704096</v>
      </c>
      <c r="H29" s="22">
        <f t="shared" si="2"/>
        <v>1.719433638617536</v>
      </c>
    </row>
    <row r="30" spans="2:9" x14ac:dyDescent="0.2">
      <c r="B30" s="33">
        <v>3.5000000000000003E-2</v>
      </c>
      <c r="C30" s="22">
        <f t="shared" si="2"/>
        <v>1.6933941536136639</v>
      </c>
      <c r="D30" s="22">
        <f t="shared" si="2"/>
        <v>1.7088026839364323</v>
      </c>
      <c r="E30" s="22">
        <f t="shared" si="2"/>
        <v>1.7222175224100895</v>
      </c>
      <c r="F30" s="22">
        <f t="shared" si="2"/>
        <v>1.7341024010998751</v>
      </c>
      <c r="G30" s="22">
        <f t="shared" si="2"/>
        <v>1.7447753827105001</v>
      </c>
      <c r="H30" s="22">
        <f t="shared" si="2"/>
        <v>1.7544642330124898</v>
      </c>
    </row>
    <row r="31" spans="2:9" x14ac:dyDescent="0.2">
      <c r="B31" s="33">
        <v>0.04</v>
      </c>
      <c r="C31" s="22">
        <f t="shared" si="2"/>
        <v>1.7193835776044029</v>
      </c>
      <c r="D31" s="22">
        <f t="shared" si="2"/>
        <v>1.7371586528887224</v>
      </c>
      <c r="E31" s="22">
        <f t="shared" si="2"/>
        <v>1.752644964215724</v>
      </c>
      <c r="F31" s="22">
        <f t="shared" si="2"/>
        <v>1.7663736866803164</v>
      </c>
      <c r="G31" s="22">
        <f t="shared" si="2"/>
        <v>1.7787093750569003</v>
      </c>
      <c r="H31" s="22">
        <f t="shared" si="2"/>
        <v>1.7899132366777899</v>
      </c>
    </row>
    <row r="32" spans="2:9" x14ac:dyDescent="0.2">
      <c r="B32" s="33">
        <v>4.4999999999999998E-2</v>
      </c>
      <c r="C32" s="22">
        <f t="shared" si="2"/>
        <v>1.7456038587114535</v>
      </c>
      <c r="D32" s="22">
        <f t="shared" si="2"/>
        <v>1.7657885577003452</v>
      </c>
      <c r="E32" s="22">
        <f t="shared" si="2"/>
        <v>1.7833868738502723</v>
      </c>
      <c r="F32" s="22">
        <f t="shared" si="2"/>
        <v>1.7989977071426646</v>
      </c>
      <c r="G32" s="22">
        <f t="shared" si="2"/>
        <v>1.8130323577007212</v>
      </c>
      <c r="H32" s="22">
        <f t="shared" si="2"/>
        <v>1.8257856939487624</v>
      </c>
    </row>
    <row r="33" spans="2:9" x14ac:dyDescent="0.2">
      <c r="B33" s="33">
        <v>0.05</v>
      </c>
      <c r="C33" s="22">
        <f t="shared" si="2"/>
        <v>1.7720570726721301</v>
      </c>
      <c r="D33" s="22">
        <f t="shared" si="2"/>
        <v>1.7946950747405859</v>
      </c>
      <c r="E33" s="22">
        <f t="shared" si="2"/>
        <v>1.81444653591154</v>
      </c>
      <c r="F33" s="22">
        <f t="shared" si="2"/>
        <v>1.8319783568761556</v>
      </c>
      <c r="G33" s="22">
        <f t="shared" si="2"/>
        <v>1.8477488326669538</v>
      </c>
      <c r="H33" s="22">
        <f t="shared" si="2"/>
        <v>1.8620867100032847</v>
      </c>
    </row>
    <row r="35" spans="2:9" ht="20" customHeight="1" x14ac:dyDescent="0.2">
      <c r="B35" s="36" t="s">
        <v>173</v>
      </c>
      <c r="C35" s="37"/>
      <c r="D35" s="37"/>
      <c r="E35" s="37"/>
      <c r="F35" s="37"/>
      <c r="G35" s="37"/>
      <c r="H35" s="37"/>
      <c r="I35" s="38"/>
    </row>
    <row r="36" spans="2:9" x14ac:dyDescent="0.2">
      <c r="B36" s="1" t="s">
        <v>174</v>
      </c>
      <c r="C36" s="23">
        <f>((AssessedValueY1*TaxRate)/12+InsuranceY1/12+HOAmo+(-PMT(InterestRate/12,LoanTermYrs*12,LoanAmount)))/((1-VacancyPct)*(1-MaintPct-CapexPct-MgmtPct))</f>
        <v>1321.7635766157296</v>
      </c>
    </row>
    <row r="37" spans="2:9" x14ac:dyDescent="0.2">
      <c r="B37" s="1" t="s">
        <v>175</v>
      </c>
      <c r="C37" s="5">
        <f>(INDEX(CF_NOI_Row,1)/DSCRPassThresh)/(-PMT(InterestRate/12,LoanTermYrs*12,1)*12)</f>
        <v>81341.279759135898</v>
      </c>
    </row>
    <row r="38" spans="2:9" x14ac:dyDescent="0.2">
      <c r="B38" s="1" t="s">
        <v>176</v>
      </c>
      <c r="C38" s="19">
        <f>1-C37/PurchasePrice</f>
        <v>0.18495711664192482</v>
      </c>
    </row>
  </sheetData>
  <mergeCells count="6">
    <mergeCell ref="B25:I25"/>
    <mergeCell ref="B35:I35"/>
    <mergeCell ref="B15:I15"/>
    <mergeCell ref="B5:I5"/>
    <mergeCell ref="B2:I2"/>
    <mergeCell ref="B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46</vt:i4>
      </vt:variant>
    </vt:vector>
  </HeadingPairs>
  <TitlesOfParts>
    <vt:vector size="52" baseType="lpstr">
      <vt:lpstr>Dashboard</vt:lpstr>
      <vt:lpstr>Inputs</vt:lpstr>
      <vt:lpstr>Amortization</vt:lpstr>
      <vt:lpstr>Cash Flow</vt:lpstr>
      <vt:lpstr>Exit &amp; Returns</vt:lpstr>
      <vt:lpstr>Sensitivity</vt:lpstr>
      <vt:lpstr>Appreciation</vt:lpstr>
      <vt:lpstr>AssessedGrowth</vt:lpstr>
      <vt:lpstr>AssessedValueY1</vt:lpstr>
      <vt:lpstr>CapexPct</vt:lpstr>
      <vt:lpstr>CF_COC_Row</vt:lpstr>
      <vt:lpstr>CF_DS_Row</vt:lpstr>
      <vt:lpstr>CF_DSCR_Row</vt:lpstr>
      <vt:lpstr>CF_NOI_Row</vt:lpstr>
      <vt:lpstr>CF_PTCF_Row</vt:lpstr>
      <vt:lpstr>ClosingCostAmt</vt:lpstr>
      <vt:lpstr>ClosingCostPct</vt:lpstr>
      <vt:lpstr>CoCPassThresh</vt:lpstr>
      <vt:lpstr>CoCWatchThresh</vt:lpstr>
      <vt:lpstr>DownAmt</vt:lpstr>
      <vt:lpstr>DownPct</vt:lpstr>
      <vt:lpstr>DSCRPassThresh</vt:lpstr>
      <vt:lpstr>DSCRWatchThresh</vt:lpstr>
      <vt:lpstr>EX_EquityMultiple</vt:lpstr>
      <vt:lpstr>EX_LeveredIRR</vt:lpstr>
      <vt:lpstr>EX_LoanPayoff</vt:lpstr>
      <vt:lpstr>EX_NetProceeds</vt:lpstr>
      <vt:lpstr>EX_SalePrice</vt:lpstr>
      <vt:lpstr>EX_UnleveredIRR</vt:lpstr>
      <vt:lpstr>ExitYear</vt:lpstr>
      <vt:lpstr>HOAmo</vt:lpstr>
      <vt:lpstr>InitialRepairs</vt:lpstr>
      <vt:lpstr>InsuranceGrowth</vt:lpstr>
      <vt:lpstr>InsuranceY1</vt:lpstr>
      <vt:lpstr>InterestRate</vt:lpstr>
      <vt:lpstr>LoanAmount</vt:lpstr>
      <vt:lpstr>LoanTermYrs</vt:lpstr>
      <vt:lpstr>MaintPct</vt:lpstr>
      <vt:lpstr>MgmtPct</vt:lpstr>
      <vt:lpstr>MonthlyRentY1</vt:lpstr>
      <vt:lpstr>OriginationAmt</vt:lpstr>
      <vt:lpstr>OriginationPct</vt:lpstr>
      <vt:lpstr>PurchasePrice</vt:lpstr>
      <vt:lpstr>RentGrowth</vt:lpstr>
      <vt:lpstr>SellingCostPct</vt:lpstr>
      <vt:lpstr>SV_BreakevenRate</vt:lpstr>
      <vt:lpstr>SV_BreakevenRent</vt:lpstr>
      <vt:lpstr>SV_MaxLoanDSCR120</vt:lpstr>
      <vt:lpstr>SV_MinDownPctDSCR120</vt:lpstr>
      <vt:lpstr>TaxRate</vt:lpstr>
      <vt:lpstr>TotalCashInvested</vt:lpstr>
      <vt:lpstr>VacancyPct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Texas SFR Investment Model</dc:title>
  <dc:subject>122 S Gulls Cut, Baytown, TX 77523</dc:subject>
  <dc:creator>Akul Veauli</dc:creator>
  <cp:lastModifiedBy>Akul Veauli</cp:lastModifiedBy>
  <dcterms:created xsi:type="dcterms:W3CDTF">2026-08-23T03:29:36Z</dcterms:created>
  <dcterms:modified xsi:type="dcterms:W3CDTF">2026-08-27T17:30:14Z</dcterms:modified>
</cp:coreProperties>
</file>