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;(#,##0.0)"/>
    <numFmt numFmtId="166" formatCode="0.0%"/>
    <numFmt numFmtId="167" formatCode="#,##0.0"/>
    <numFmt numFmtId="168" formatCode="0.0x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7F7F7F"/>
      <sz val="9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color rgb="FF008000"/>
      <sz val="10"/>
    </font>
    <font>
      <name val="Arial"/>
      <color rgb="FF9C5700"/>
      <sz val="10"/>
    </font>
    <font>
      <name val="Arial"/>
      <b val="1"/>
      <color rgb="FF000000"/>
      <sz val="10"/>
    </font>
    <font/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top style="thin">
        <color rgb="FF7F7F7F"/>
      </top>
      <bottom style="double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/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0" fontId="8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3" borderId="0" pivotButton="0" quotePrefix="0" xfId="0"/>
    <xf numFmtId="167" fontId="6" fillId="3" borderId="0" pivotButton="0" quotePrefix="0" xfId="0"/>
    <xf numFmtId="165" fontId="6" fillId="3" borderId="0" pivotButton="0" quotePrefix="0" xfId="0"/>
    <xf numFmtId="0" fontId="10" fillId="0" borderId="0" pivotButton="0" quotePrefix="0" xfId="0"/>
    <xf numFmtId="165" fontId="7" fillId="5" borderId="1" pivotButton="0" quotePrefix="0" xfId="0"/>
    <xf numFmtId="166" fontId="6" fillId="3" borderId="0" pivotButton="0" quotePrefix="0" xfId="0"/>
    <xf numFmtId="0" fontId="5" fillId="2" borderId="0" applyAlignment="1" pivotButton="0" quotePrefix="0" xfId="0">
      <alignment horizontal="center"/>
    </xf>
    <xf numFmtId="166" fontId="9" fillId="4" borderId="0" pivotButton="0" quotePrefix="0" xfId="0"/>
    <xf numFmtId="10" fontId="6" fillId="3" borderId="0" pivotButton="0" quotePrefix="0" xfId="0"/>
    <xf numFmtId="168" fontId="6" fillId="3" borderId="0" pivotButton="0" quotePrefix="0" xfId="0"/>
    <xf numFmtId="1" fontId="7" fillId="0" borderId="0" pivotButton="0" quotePrefix="0" xfId="0"/>
    <xf numFmtId="166" fontId="7" fillId="0" borderId="0" pivotButton="0" quotePrefix="0" xfId="0"/>
    <xf numFmtId="165" fontId="9" fillId="4" borderId="0" pivotButton="0" quotePrefix="0" xfId="0"/>
    <xf numFmtId="165" fontId="7" fillId="0" borderId="0" pivotButton="0" quotePrefix="0" xfId="0"/>
    <xf numFmtId="169" fontId="8" fillId="0" borderId="0" pivotButton="0" quotePrefix="0" xfId="0"/>
    <xf numFmtId="165" fontId="8" fillId="5" borderId="1" pivotButton="0" quotePrefix="0" xfId="0"/>
    <xf numFmtId="168" fontId="7" fillId="0" borderId="0" pivotButton="0" quotePrefix="0" xfId="0"/>
    <xf numFmtId="168" fontId="8" fillId="0" borderId="0" pivotButton="0" quotePrefix="0" xfId="0"/>
    <xf numFmtId="167" fontId="8" fillId="0" borderId="0" pivotButton="0" quotePrefix="0" xfId="0"/>
    <xf numFmtId="164" fontId="7" fillId="5" borderId="1" pivotButton="0" quotePrefix="0" xfId="0"/>
    <xf numFmtId="2" fontId="9" fillId="4" borderId="0" pivotButton="0" quotePrefix="0" xfId="0"/>
    <xf numFmtId="10" fontId="7" fillId="5" borderId="1" pivotButton="0" quotePrefix="0" xfId="0"/>
    <xf numFmtId="10" fontId="7" fillId="0" borderId="0" pivotButton="0" quotePrefix="0" xfId="0"/>
    <xf numFmtId="10" fontId="9" fillId="4" borderId="0" pivotButton="0" quotePrefix="0" xfId="0"/>
    <xf numFmtId="164" fontId="8" fillId="5" borderId="0" pivotButton="0" quotePrefix="0" xfId="0"/>
    <xf numFmtId="164" fontId="7" fillId="0" borderId="0" pivotButton="0" quotePrefix="0" xfId="0"/>
    <xf numFmtId="164" fontId="7" fillId="5" borderId="2" pivotButton="0" quotePrefix="0" xfId="0"/>
    <xf numFmtId="0" fontId="11" fillId="0" borderId="3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/>
    <row r="2">
      <c r="B2" s="1" t="inlineStr">
        <is>
          <t>Alphabet Inc. (GOOGL) - Discounted Cash Flow Model</t>
        </is>
      </c>
    </row>
    <row r="3">
      <c r="B3" s="2" t="inlineStr">
        <is>
          <t>($ in millions, except per-share data, unless noted)</t>
        </is>
      </c>
    </row>
    <row r="4">
      <c r="B4" s="2" t="inlineStr">
        <is>
          <t>Subject: Alphabet Inc. - Class A (GOOGL), Class B (GOOGL.B/unlisted), Class C (GOOG) common stock</t>
        </is>
      </c>
    </row>
    <row r="5">
      <c r="B5" s="3" t="inlineStr">
        <is>
          <t>Prepared by: Akul Veauli</t>
        </is>
      </c>
    </row>
    <row r="6">
      <c r="B6" s="4" t="inlineStr">
        <is>
          <t>Date: August 23, 2026</t>
        </is>
      </c>
    </row>
    <row r="7"/>
    <row r="8" ht="105" customHeight="1">
      <c r="B8" s="5" t="inlineStr">
        <is>
          <t>Model description: Five-year (FY2026E-FY2030E) unlevered discounted cash flow valuation of Alphabet Inc., built on FY2023A-FY2025A historicals. Reflects the AI infrastructure capex supercycle: capex/revenue starts sharply elevated on the back of the FY2026 $180-190B capex guidance and fades as the buildout matures; D&amp;A/revenue rises with a lag behind capex per standard PP&amp;E depreciation timing. Terminal value is cross-checked via both the Gordon Growth and Exit Multiple methods. Combined Class A+B+C diluted share count is used throughout; GOOGL (Class A) is the quoted share price basis. Two live sensitivity grids (WACC x terminal growth; WACC x exit multiple) rebuild the valuation algebraically from the UFCF row for every cell - no Excel Data Tables, no circularity, no iterative calc.</t>
        </is>
      </c>
    </row>
    <row r="9"/>
    <row r="10"/>
    <row r="11"/>
    <row r="12">
      <c r="B12" s="6" t="inlineStr">
        <is>
          <t>Color-code legend</t>
        </is>
      </c>
      <c r="C12" s="6" t="n"/>
      <c r="D12" s="6" t="n"/>
    </row>
    <row r="13">
      <c r="B13" s="7" t="inlineStr">
        <is>
          <t>123.4  (hardcoded input)</t>
        </is>
      </c>
      <c r="C13" t="inlineStr">
        <is>
          <t>Blue font / yellow fill = hardcoded assumption</t>
        </is>
      </c>
    </row>
    <row r="14">
      <c r="B14" s="8" t="inlineStr">
        <is>
          <t>B13*2  (same-sheet formula)</t>
        </is>
      </c>
      <c r="C14" t="inlineStr">
        <is>
          <t>Black font = formula referencing same tab</t>
        </is>
      </c>
    </row>
    <row r="15">
      <c r="B15" s="9" t="inlineStr">
        <is>
          <t>'Assumptions'!D9  (cross-tab link)</t>
        </is>
      </c>
      <c r="C15" t="inlineStr">
        <is>
          <t>Green font = formula linking from another tab</t>
        </is>
      </c>
    </row>
    <row r="16">
      <c r="B16" s="10" t="inlineStr">
        <is>
          <t>59,000  (estimated/derived input)</t>
        </is>
      </c>
      <c r="C16" t="inlineStr">
        <is>
          <t>Orange font/fill = data-pack gap; value annualized, derived, or judgment-based (see adjacent note)</t>
        </is>
      </c>
    </row>
    <row r="17"/>
    <row r="18"/>
    <row r="19">
      <c r="B19" s="6" t="inlineStr">
        <is>
          <t>Table of contents</t>
        </is>
      </c>
      <c r="C19" s="6" t="n"/>
    </row>
    <row r="20">
      <c r="B20" s="4" t="inlineStr">
        <is>
          <t>Cover</t>
        </is>
      </c>
    </row>
    <row r="21">
      <c r="B21" s="4" t="inlineStr">
        <is>
          <t>Assumptions</t>
        </is>
      </c>
    </row>
    <row r="22">
      <c r="B22" s="4" t="inlineStr">
        <is>
          <t>DCF</t>
        </is>
      </c>
    </row>
    <row r="23">
      <c r="B23" s="4" t="inlineStr">
        <is>
          <t>WACC</t>
        </is>
      </c>
    </row>
    <row r="24">
      <c r="B24" s="4" t="inlineStr">
        <is>
          <t>Sensitivity</t>
        </is>
      </c>
    </row>
    <row r="25"/>
    <row r="26">
      <c r="B26" s="6" t="inlineStr">
        <is>
          <t>Key outputs</t>
        </is>
      </c>
      <c r="C26" s="6" t="n"/>
      <c r="D26" s="6" t="n"/>
      <c r="E26" s="6" t="n"/>
    </row>
    <row r="27">
      <c r="B27" s="4" t="inlineStr">
        <is>
          <t>Implied share price - Gordon Growth method</t>
        </is>
      </c>
      <c r="D27" s="11">
        <f>DCF!D53</f>
      </c>
    </row>
    <row r="28">
      <c r="B28" s="4" t="inlineStr">
        <is>
          <t>Implied share price - Exit Multiple method</t>
        </is>
      </c>
      <c r="D28" s="11">
        <f>DCF!F53</f>
      </c>
    </row>
    <row r="29">
      <c r="B29" s="4" t="inlineStr">
        <is>
          <t>Implied enterprise value - Gordon Growth ($mm)</t>
        </is>
      </c>
      <c r="D29" s="12">
        <f>DCF!D48</f>
      </c>
    </row>
    <row r="30">
      <c r="B30" s="4" t="inlineStr">
        <is>
          <t>Implied enterprise value - Exit Multiple ($mm)</t>
        </is>
      </c>
      <c r="D30" s="12">
        <f>DCF!F48</f>
      </c>
    </row>
    <row r="31">
      <c r="B31" s="4" t="inlineStr">
        <is>
          <t>Actual share price (GOOGL, as of Aug 21, 2026)</t>
        </is>
      </c>
      <c r="D31" s="11">
        <f>DCF!D54</f>
      </c>
    </row>
    <row r="32">
      <c r="B32" s="4" t="inlineStr">
        <is>
          <t>Implied upside/(downside) - Gordon Growth</t>
        </is>
      </c>
      <c r="D32" s="13">
        <f>DCF!D55</f>
      </c>
    </row>
    <row r="33">
      <c r="B33" s="4" t="inlineStr">
        <is>
          <t>Implied upside/(downside) - Exit Multiple</t>
        </is>
      </c>
      <c r="D33" s="13">
        <f>DCF!F55</f>
      </c>
    </row>
    <row r="34">
      <c r="B34" s="4" t="inlineStr">
        <is>
          <t>WACC</t>
        </is>
      </c>
      <c r="D34" s="14">
        <f>WACC!D28</f>
      </c>
    </row>
    <row r="35"/>
    <row r="36" ht="48" customHeight="1">
      <c r="B36" s="15" t="inlineStr">
        <is>
          <t>Sources: Alphabet FY2025 10-K (filed ~Feb 2026); FY2023 10-K; Q1 2026 and Q2 2026 earnings releases and 10-Q (period ended 6/30/2026); Damodaran equity risk premium data update (July 2026); U.S. Treasury 10Y yield (Advisor Perspectives, as of 8/21/2026); CNBC quotes for GOOGL share price (8/21/2026). See Assumptions and WACC tab notes for line-by-line citations and flagged estimates/gaps.</t>
        </is>
      </c>
    </row>
  </sheetData>
  <mergeCells count="2">
    <mergeCell ref="B8:G8"/>
    <mergeCell ref="B36:G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14" customWidth="1" min="10" max="10"/>
    <col width="42" customWidth="1" min="11" max="11"/>
  </cols>
  <sheetData>
    <row r="1"/>
    <row r="2">
      <c r="B2" s="1" t="inlineStr">
        <is>
          <t>Alphabet Inc. (GOOGL) - DCF Assumptions</t>
        </is>
      </c>
    </row>
    <row r="3">
      <c r="B3" s="2" t="inlineStr">
        <is>
          <t>($ in millions, except per-share and % data)</t>
        </is>
      </c>
    </row>
    <row r="4"/>
    <row r="5">
      <c r="B5" s="6" t="inlineStr">
        <is>
          <t>1. Valuation Setup</t>
        </is>
      </c>
      <c r="C5" s="6" t="n"/>
      <c r="D5" s="6" t="n"/>
    </row>
    <row r="6">
      <c r="B6" s="4" t="inlineStr">
        <is>
          <t>Valuation date</t>
        </is>
      </c>
      <c r="D6" s="7" t="inlineStr">
        <is>
          <t>Aug 23, 2026</t>
        </is>
      </c>
    </row>
    <row r="7">
      <c r="B7" s="4" t="inlineStr">
        <is>
          <t>Actual share price - GOOGL (Class A)</t>
        </is>
      </c>
      <c r="D7" s="16" t="n">
        <v>344.82</v>
      </c>
      <c r="F7" s="2" t="inlineStr">
        <is>
          <t>Source: CNBC quote, close 8/21/2026 (most recent available; Aug 23 close not yet captured)</t>
        </is>
      </c>
    </row>
    <row r="8">
      <c r="B8" s="4" t="inlineStr">
        <is>
          <t>Diluted shares outstanding - combined Class A+B+C (mm)</t>
        </is>
      </c>
      <c r="D8" s="17" t="n">
        <v>12230</v>
      </c>
      <c r="F8" s="2" t="inlineStr">
        <is>
          <t>FY2025 10-K combined diluted weighted-average share count (Class A + B + C). Basic shares outstanding by class were A 6,671mm / B 849mm / C 5,559mm = 13,079mm; the diluted weighted-average figure of 12,230mm used here is lower, reflecting the weighted-average convention and buyback timing during the year.</t>
        </is>
      </c>
    </row>
    <row r="9">
      <c r="B9" s="4" t="inlineStr">
        <is>
          <t>Fiscal year end</t>
        </is>
      </c>
      <c r="D9" s="7" t="inlineStr">
        <is>
          <t>December 31 (calendar year)</t>
        </is>
      </c>
    </row>
    <row r="10">
      <c r="B10" s="4" t="inlineStr">
        <is>
          <t>Share class basis note</t>
        </is>
      </c>
      <c r="D10" s="2" t="inlineStr">
        <is>
          <t>Combined A+B+C diluted count drives per-share value; GOOGL (Class A) is the quoted price basis used for upside/(downside).</t>
        </is>
      </c>
    </row>
    <row r="11"/>
    <row r="12">
      <c r="B12" s="6" t="inlineStr">
        <is>
          <t>2. Balance Sheet Items (as of 12/31/2025 10-K, latest available)</t>
        </is>
      </c>
      <c r="C12" s="6" t="n"/>
      <c r="D12" s="6" t="n"/>
    </row>
    <row r="13">
      <c r="B13" s="4" t="inlineStr">
        <is>
          <t>Cash &amp; cash equivalents</t>
        </is>
      </c>
      <c r="D13" s="18" t="n">
        <v>30700</v>
      </c>
    </row>
    <row r="14">
      <c r="B14" s="4" t="inlineStr">
        <is>
          <t>Marketable securities</t>
        </is>
      </c>
      <c r="D14" s="18" t="n">
        <v>96100</v>
      </c>
    </row>
    <row r="15">
      <c r="B15" s="19" t="inlineStr">
        <is>
          <t>Total cash &amp; investments</t>
        </is>
      </c>
      <c r="D15" s="20">
        <f>SUM(D13:D14)</f>
      </c>
    </row>
    <row r="16">
      <c r="B16" s="4" t="inlineStr">
        <is>
          <t>Total debt (long-term debt)</t>
        </is>
      </c>
      <c r="D16" s="18" t="n">
        <v>46500</v>
      </c>
      <c r="F16" s="2" t="inlineStr">
        <is>
          <t>FY2025 10-K; LT debt rose from $10.9B (FY24) to $46.5B (FY25) on 2025-26 bond issuance</t>
        </is>
      </c>
    </row>
    <row r="17">
      <c r="B17" s="4" t="inlineStr">
        <is>
          <t>Non-marketable equity securities (Other Bets investments)</t>
        </is>
      </c>
      <c r="D17" s="18" t="n">
        <v>68687</v>
      </c>
      <c r="F17" s="2" t="inlineStr">
        <is>
          <t>FY2025 10-K; includes marks on Waymo, Anthropic and other Other Bets stakes</t>
        </is>
      </c>
    </row>
    <row r="18">
      <c r="B18" s="4" t="inlineStr">
        <is>
          <t>% of non-marketable securities included in equity bridge (haircut toggle)</t>
        </is>
      </c>
      <c r="D18" s="21" t="n">
        <v>1</v>
      </c>
      <c r="F18" s="2" t="inlineStr">
        <is>
          <t>Default 100% (no haircut) - securities carried at fair value under ASU 2016-01 mark-to-market</t>
        </is>
      </c>
    </row>
    <row r="19">
      <c r="B19" s="4" t="inlineStr">
        <is>
          <t>Minority interest</t>
        </is>
      </c>
      <c r="D19" s="18" t="n">
        <v>0</v>
      </c>
    </row>
    <row r="20">
      <c r="B20" s="19" t="inlineStr">
        <is>
          <t>Net debt</t>
        </is>
      </c>
      <c r="D20" s="20">
        <f>D16-D15+D19</f>
      </c>
      <c r="F20" s="2" t="inlineStr">
        <is>
          <t>Negative = net cash position</t>
        </is>
      </c>
    </row>
    <row r="21"/>
    <row r="22">
      <c r="B22" s="6" t="inlineStr">
        <is>
          <t>3. Operating Drivers - FY2026E-FY2030E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B23" s="4" t="inlineStr"/>
      <c r="D23" s="22" t="inlineStr">
        <is>
          <t>FY2026E</t>
        </is>
      </c>
      <c r="E23" s="22" t="inlineStr">
        <is>
          <t>FY2027E</t>
        </is>
      </c>
      <c r="F23" s="22" t="inlineStr">
        <is>
          <t>FY2028E</t>
        </is>
      </c>
      <c r="G23" s="22" t="inlineStr">
        <is>
          <t>FY2029E</t>
        </is>
      </c>
      <c r="H23" s="22" t="inlineStr">
        <is>
          <t>FY2030E</t>
        </is>
      </c>
      <c r="J23" s="43" t="n"/>
      <c r="K23" s="43" t="n"/>
    </row>
    <row r="24">
      <c r="B24" s="4" t="inlineStr">
        <is>
          <t>Revenue growth %</t>
        </is>
      </c>
      <c r="D24" s="21" t="n">
        <v>0.16</v>
      </c>
      <c r="E24" s="21" t="n">
        <v>0.14</v>
      </c>
      <c r="F24" s="21" t="n">
        <v>0.12</v>
      </c>
      <c r="G24" s="21" t="n">
        <v>0.11</v>
      </c>
      <c r="H24" s="21" t="n">
        <v>0.1</v>
      </c>
      <c r="I24" s="2" t="inlineStr">
        <is>
          <t>AI/Cloud-led growth fading toward mid-teens then low-double-digits as base scales</t>
        </is>
      </c>
      <c r="J24" s="43" t="n"/>
      <c r="K24" s="43" t="n"/>
    </row>
    <row r="25">
      <c r="B25" s="4" t="inlineStr">
        <is>
          <t>EBIT margin %</t>
        </is>
      </c>
      <c r="D25" s="21" t="n">
        <v>0.29</v>
      </c>
      <c r="E25" s="21" t="n">
        <v>0.28</v>
      </c>
      <c r="F25" s="21" t="n">
        <v>0.285</v>
      </c>
      <c r="G25" s="21" t="n">
        <v>0.295</v>
      </c>
      <c r="H25" s="21" t="n">
        <v>0.305</v>
      </c>
      <c r="I25" s="2" t="inlineStr">
        <is>
          <t>Near-term dip on opex/D&amp;A step-up from capex ramp, recovering as AI infra monetizes</t>
        </is>
      </c>
      <c r="J25" s="43" t="n"/>
      <c r="K25" s="43" t="n"/>
    </row>
    <row r="26">
      <c r="B26" s="4" t="inlineStr">
        <is>
          <t>D&amp;A % of revenue</t>
        </is>
      </c>
      <c r="D26" s="23" t="n">
        <v>0.155</v>
      </c>
      <c r="E26" s="23" t="n">
        <v>0.165</v>
      </c>
      <c r="F26" s="23" t="n">
        <v>0.17</v>
      </c>
      <c r="G26" s="23" t="n">
        <v>0.17</v>
      </c>
      <c r="H26" s="23" t="n">
        <v>0.165</v>
      </c>
      <c r="I26" s="2" t="inlineStr">
        <is>
          <t>D&amp;A lags capex ramp (2-4Q typical depreciation-start lag); rises off FY25E ~14.6% then plateaus/fades as capex growth decelerates</t>
        </is>
      </c>
      <c r="J26" s="43" t="n"/>
      <c r="K26" s="43" t="n"/>
    </row>
    <row r="27">
      <c r="B27" s="4" t="inlineStr">
        <is>
          <t>Capex % of revenue</t>
        </is>
      </c>
      <c r="D27" s="23" t="n">
        <v>0.395</v>
      </c>
      <c r="E27" s="23" t="n">
        <v>0.34</v>
      </c>
      <c r="F27" s="23" t="n">
        <v>0.26</v>
      </c>
      <c r="G27" s="23" t="n">
        <v>0.2</v>
      </c>
      <c r="H27" s="23" t="n">
        <v>0.17</v>
      </c>
      <c r="I27" s="2" t="inlineStr">
        <is>
          <t>FY26E calibrated to FY2026 guidance of $180-190B (~39-41% of FY26E revenue); fades toward a steady-state level approaching D&amp;A% by FY2030E as the buildout matures. Faster fade vs. raw guidance run-rate is a judgment call to keep the terminal-year FCF/EBITDA cross-check from diverging further (see TV cross-check notes below).</t>
        </is>
      </c>
      <c r="J27" s="43" t="n"/>
      <c r="K27" s="43" t="n"/>
    </row>
    <row r="28">
      <c r="B28" s="4" t="inlineStr">
        <is>
          <t>Net working capital % of revenue</t>
        </is>
      </c>
      <c r="D28" s="23" t="n">
        <v>-0.03</v>
      </c>
      <c r="E28" s="23" t="n">
        <v>-0.03</v>
      </c>
      <c r="F28" s="23" t="n">
        <v>-0.03</v>
      </c>
      <c r="G28" s="23" t="n">
        <v>-0.03</v>
      </c>
      <c r="H28" s="23" t="n">
        <v>-0.03</v>
      </c>
      <c r="I28" s="2" t="inlineStr">
        <is>
          <t>NWC component detail (AR/AP/accrued comp) not available in data pack; held flat at historical-estimate -3.0% of revenue (net current liability position typical of Alphabet's deferred-revenue/payables profile)</t>
        </is>
      </c>
      <c r="J28" s="43" t="n"/>
      <c r="K28" s="43" t="n"/>
    </row>
    <row r="29">
      <c r="B29" s="4" t="inlineStr">
        <is>
          <t>Effective tax rate (applied flat across projection)</t>
        </is>
      </c>
      <c r="D29" s="21" t="n">
        <v>0.168</v>
      </c>
      <c r="F29" s="2" t="inlineStr">
        <is>
          <t>FY2025 effective tax rate per 10-K/earnings release</t>
        </is>
      </c>
    </row>
    <row r="30"/>
    <row r="31">
      <c r="B31" s="6" t="inlineStr">
        <is>
          <t>4. Terminal Assumptions</t>
        </is>
      </c>
      <c r="C31" s="6" t="n"/>
      <c r="D31" s="6" t="n"/>
    </row>
    <row r="32">
      <c r="B32" s="4" t="inlineStr">
        <is>
          <t>Terminal growth rate (g)</t>
        </is>
      </c>
      <c r="D32" s="24" t="n">
        <v>0.03</v>
      </c>
      <c r="F32" s="2" t="inlineStr">
        <is>
          <t>Long-run nominal GDP+ growth judgment for a scaled AI/cloud/advertising franchise</t>
        </is>
      </c>
    </row>
    <row r="33">
      <c r="B33" s="4" t="inlineStr">
        <is>
          <t>Exit EV/EBITDA multiple</t>
        </is>
      </c>
      <c r="D33" s="25" t="n">
        <v>14</v>
      </c>
      <c r="F33" s="2" t="inlineStr">
        <is>
          <t>Approximate current large-cap tech trading multiple; judgment-based, no deal comp in data pack</t>
        </is>
      </c>
    </row>
    <row r="34">
      <c r="B34" s="4" t="inlineStr">
        <is>
          <t>Discounting convention</t>
        </is>
      </c>
      <c r="D34" s="2" t="inlineStr">
        <is>
          <t>End-of-period discounting throughout (no mid-year convention) - required for sensitivity grid algebra to tie to base case.</t>
        </is>
      </c>
    </row>
  </sheetData>
  <mergeCells count="2">
    <mergeCell ref="D34:K34"/>
    <mergeCell ref="D10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</cols>
  <sheetData>
    <row r="1"/>
    <row r="2">
      <c r="B2" s="1" t="inlineStr">
        <is>
          <t>Alphabet Inc. (GOOGL) - DCF Build</t>
        </is>
      </c>
    </row>
    <row r="3">
      <c r="B3" s="2" t="inlineStr">
        <is>
          <t>($ in millions unless noted; historicals blue, projections/links formula-driven)</t>
        </is>
      </c>
    </row>
    <row r="4"/>
    <row r="5">
      <c r="C5" s="22" t="inlineStr">
        <is>
          <t>FY2023A</t>
        </is>
      </c>
      <c r="D5" s="22" t="inlineStr">
        <is>
          <t>FY2024A</t>
        </is>
      </c>
      <c r="E5" s="22" t="inlineStr">
        <is>
          <t>FY2025A</t>
        </is>
      </c>
      <c r="F5" s="22" t="inlineStr">
        <is>
          <t>FY2026E</t>
        </is>
      </c>
      <c r="G5" s="22" t="inlineStr">
        <is>
          <t>FY2027E</t>
        </is>
      </c>
      <c r="H5" s="22" t="inlineStr">
        <is>
          <t>FY2028E</t>
        </is>
      </c>
      <c r="I5" s="22" t="inlineStr">
        <is>
          <t>FY2029E</t>
        </is>
      </c>
      <c r="J5" s="22" t="inlineStr">
        <is>
          <t>FY2030E</t>
        </is>
      </c>
    </row>
    <row r="6">
      <c r="B6" s="4" t="inlineStr">
        <is>
          <t>Discount period (n)</t>
        </is>
      </c>
      <c r="F6" s="26">
        <f>1</f>
      </c>
      <c r="G6" s="26">
        <f>F6+1</f>
      </c>
      <c r="H6" s="26">
        <f>G6+1</f>
      </c>
      <c r="I6" s="26">
        <f>H6+1</f>
      </c>
      <c r="J6" s="26">
        <f>I6+1</f>
      </c>
    </row>
    <row r="7"/>
    <row r="8">
      <c r="B8" s="6" t="inlineStr">
        <is>
          <t>Historical &amp; Projected Operating Build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B9" s="4" t="inlineStr">
        <is>
          <t>Revenue</t>
        </is>
      </c>
      <c r="C9" s="18" t="n">
        <v>307394</v>
      </c>
      <c r="D9" s="18" t="n">
        <v>350018</v>
      </c>
      <c r="E9" s="18" t="n">
        <v>402800</v>
      </c>
      <c r="F9" s="12">
        <f>E9*(1+Assumptions!D24)</f>
      </c>
      <c r="G9" s="12">
        <f>F9*(1+Assumptions!E24)</f>
      </c>
      <c r="H9" s="12">
        <f>G9*(1+Assumptions!F24)</f>
      </c>
      <c r="I9" s="12">
        <f>H9*(1+Assumptions!G24)</f>
      </c>
      <c r="J9" s="12">
        <f>I9*(1+Assumptions!H24)</f>
      </c>
    </row>
    <row r="10">
      <c r="B10" s="4" t="inlineStr">
        <is>
          <t>% growth YoY</t>
        </is>
      </c>
      <c r="D10" s="27">
        <f>IFERROR(D9/C9-1,"n.m.")</f>
      </c>
      <c r="E10" s="27">
        <f>IFERROR(E9/D9-1,"n.m.")</f>
      </c>
      <c r="F10" s="27">
        <f>IFERROR(F9/E9-1,"n.m.")</f>
      </c>
      <c r="G10" s="27">
        <f>IFERROR(G9/F9-1,"n.m.")</f>
      </c>
      <c r="H10" s="27">
        <f>IFERROR(H9/G9-1,"n.m.")</f>
      </c>
      <c r="I10" s="27">
        <f>IFERROR(I9/H9-1,"n.m.")</f>
      </c>
      <c r="J10" s="27">
        <f>IFERROR(J9/I9-1,"n.m.")</f>
      </c>
    </row>
    <row r="11">
      <c r="B11" s="4" t="inlineStr">
        <is>
          <t>EBIT</t>
        </is>
      </c>
      <c r="C11" s="18" t="n">
        <v>84293</v>
      </c>
      <c r="D11" s="18" t="n">
        <v>112390</v>
      </c>
      <c r="E11" s="28" t="n">
        <v>114000</v>
      </c>
      <c r="F11" s="12">
        <f>F9*Assumptions!D25</f>
      </c>
      <c r="G11" s="12">
        <f>G9*Assumptions!E25</f>
      </c>
      <c r="H11" s="12">
        <f>H9*Assumptions!F25</f>
      </c>
      <c r="I11" s="12">
        <f>I9*Assumptions!G25</f>
      </c>
      <c r="J11" s="12">
        <f>J9*Assumptions!H25</f>
      </c>
      <c r="K11" s="2" t="inlineStr">
        <is>
          <t>FY2025E: annualized full-year op. income; 9M actual $93.1B + Q4E per data-pack guidance (midpoint of $113-115B range) - flagged estimate pending final 10-K line</t>
        </is>
      </c>
    </row>
    <row r="12">
      <c r="B12" s="4" t="inlineStr">
        <is>
          <t>EBIT margin %</t>
        </is>
      </c>
      <c r="C12" s="27">
        <f>C11/C9</f>
      </c>
      <c r="D12" s="27">
        <f>D11/D9</f>
      </c>
      <c r="E12" s="27">
        <f>E11/E9</f>
      </c>
      <c r="F12" s="13">
        <f>Assumptions!D25</f>
      </c>
      <c r="G12" s="13">
        <f>Assumptions!E25</f>
      </c>
      <c r="H12" s="13">
        <f>Assumptions!F25</f>
      </c>
      <c r="I12" s="13">
        <f>Assumptions!G25</f>
      </c>
      <c r="J12" s="13">
        <f>Assumptions!H25</f>
      </c>
    </row>
    <row r="13">
      <c r="B13" s="4" t="inlineStr">
        <is>
          <t>D&amp;A</t>
        </is>
      </c>
      <c r="C13" s="18" t="n">
        <v>11946</v>
      </c>
      <c r="D13" s="18" t="n">
        <v>15287</v>
      </c>
      <c r="E13" s="28" t="n">
        <v>59000</v>
      </c>
      <c r="F13" s="12">
        <f>F9*Assumptions!D26</f>
      </c>
      <c r="G13" s="12">
        <f>G9*Assumptions!E26</f>
      </c>
      <c r="H13" s="12">
        <f>H9*Assumptions!F26</f>
      </c>
      <c r="I13" s="12">
        <f>I9*Assumptions!G26</f>
      </c>
      <c r="J13" s="12">
        <f>J9*Assumptions!H26</f>
      </c>
      <c r="K13" s="2" t="inlineStr">
        <is>
          <t>FY2025E: annualized from 9-month actual $44.4B (data pack); reflects post-capex-ramp D&amp;A step-up ('D&amp;A lags capex ramp')</t>
        </is>
      </c>
    </row>
    <row r="14">
      <c r="B14" s="19" t="inlineStr">
        <is>
          <t>EBITDA</t>
        </is>
      </c>
      <c r="C14" s="20">
        <f>C11+C13</f>
      </c>
      <c r="D14" s="20">
        <f>D11+D13</f>
      </c>
      <c r="E14" s="20">
        <f>E11+E13</f>
      </c>
      <c r="F14" s="20">
        <f>F11+F13</f>
      </c>
      <c r="G14" s="20">
        <f>G11+G13</f>
      </c>
      <c r="H14" s="20">
        <f>H11+H13</f>
      </c>
      <c r="I14" s="20">
        <f>I11+I13</f>
      </c>
      <c r="J14" s="20">
        <f>J11+J13</f>
      </c>
    </row>
    <row r="15">
      <c r="B15" s="4" t="inlineStr">
        <is>
          <t>Less: Capex</t>
        </is>
      </c>
      <c r="C15" s="18" t="n">
        <v>32251</v>
      </c>
      <c r="D15" s="18" t="n">
        <v>52535</v>
      </c>
      <c r="E15" s="28" t="n">
        <v>75000</v>
      </c>
      <c r="F15" s="12">
        <f>F9*Assumptions!D27</f>
      </c>
      <c r="G15" s="12">
        <f>G9*Assumptions!E27</f>
      </c>
      <c r="H15" s="12">
        <f>H9*Assumptions!F27</f>
      </c>
      <c r="I15" s="12">
        <f>I9*Assumptions!G27</f>
      </c>
      <c r="J15" s="12">
        <f>J9*Assumptions!H27</f>
      </c>
      <c r="K15" s="2" t="inlineStr">
        <is>
          <t>FY2025 marked as estimate in data pack pending final 10-K CF statement line</t>
        </is>
      </c>
    </row>
    <row r="16">
      <c r="B16" s="4" t="inlineStr">
        <is>
          <t>Net working capital balance</t>
        </is>
      </c>
      <c r="C16" s="28" t="n">
        <v>-9221.799999999999</v>
      </c>
      <c r="D16" s="28" t="n">
        <v>-10500.5</v>
      </c>
      <c r="E16" s="28" t="n">
        <v>-12084</v>
      </c>
      <c r="F16" s="12">
        <f>F9*Assumptions!D28</f>
      </c>
      <c r="G16" s="12">
        <f>G9*Assumptions!E28</f>
      </c>
      <c r="H16" s="12">
        <f>H9*Assumptions!F28</f>
      </c>
      <c r="I16" s="12">
        <f>I9*Assumptions!G28</f>
      </c>
      <c r="J16" s="12">
        <f>J9*Assumptions!H28</f>
      </c>
      <c r="K16" s="2" t="inlineStr">
        <is>
          <t>NWC component detail (AR/AP/accrued comp) unavailable in data pack; estimated at -3.0% of revenue (Alphabet's typically net-current-liability profile from deferred revenue &amp; payables)</t>
        </is>
      </c>
    </row>
    <row r="17">
      <c r="B17" s="4" t="inlineStr">
        <is>
          <t>Change in NWC (increase)/decrease</t>
        </is>
      </c>
      <c r="D17" s="29">
        <f>D16-C16</f>
      </c>
      <c r="E17" s="29">
        <f>E16-D16</f>
      </c>
      <c r="F17" s="29">
        <f>F16-E16</f>
      </c>
      <c r="G17" s="29">
        <f>G16-F16</f>
      </c>
      <c r="H17" s="29">
        <f>H16-G16</f>
      </c>
      <c r="I17" s="29">
        <f>I16-H16</f>
      </c>
      <c r="J17" s="29">
        <f>J16-I16</f>
      </c>
    </row>
    <row r="18"/>
    <row r="19">
      <c r="B19" s="6" t="inlineStr">
        <is>
          <t>Unlevered Free Cash Flow Build (FY2026E-FY2030E)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B20" s="4" t="inlineStr">
        <is>
          <t>EBIT</t>
        </is>
      </c>
      <c r="F20" s="29">
        <f>F11</f>
      </c>
      <c r="G20" s="29">
        <f>G11</f>
      </c>
      <c r="H20" s="29">
        <f>H11</f>
      </c>
      <c r="I20" s="29">
        <f>I11</f>
      </c>
      <c r="J20" s="29">
        <f>J11</f>
      </c>
    </row>
    <row r="21">
      <c r="B21" s="4" t="inlineStr">
        <is>
          <t>Less: Cash taxes @ effective rate</t>
        </is>
      </c>
      <c r="F21" s="12">
        <f>F20*Assumptions!$D$29</f>
      </c>
      <c r="G21" s="12">
        <f>G20*Assumptions!$D$29</f>
      </c>
      <c r="H21" s="12">
        <f>H20*Assumptions!$D$29</f>
      </c>
      <c r="I21" s="12">
        <f>I20*Assumptions!$D$29</f>
      </c>
      <c r="J21" s="12">
        <f>J20*Assumptions!$D$29</f>
      </c>
    </row>
    <row r="22">
      <c r="B22" s="4" t="inlineStr">
        <is>
          <t>NOPAT</t>
        </is>
      </c>
      <c r="F22" s="29">
        <f>F20-F21</f>
      </c>
      <c r="G22" s="29">
        <f>G20-G21</f>
      </c>
      <c r="H22" s="29">
        <f>H20-H21</f>
      </c>
      <c r="I22" s="29">
        <f>I20-I21</f>
      </c>
      <c r="J22" s="29">
        <f>J20-J21</f>
      </c>
    </row>
    <row r="23">
      <c r="B23" s="4" t="inlineStr">
        <is>
          <t>Plus: D&amp;A</t>
        </is>
      </c>
      <c r="F23" s="29">
        <f>F13</f>
      </c>
      <c r="G23" s="29">
        <f>G13</f>
      </c>
      <c r="H23" s="29">
        <f>H13</f>
      </c>
      <c r="I23" s="29">
        <f>I13</f>
      </c>
      <c r="J23" s="29">
        <f>J13</f>
      </c>
    </row>
    <row r="24">
      <c r="B24" s="4" t="inlineStr">
        <is>
          <t>Less: Capex</t>
        </is>
      </c>
      <c r="F24" s="29">
        <f>F15</f>
      </c>
      <c r="G24" s="29">
        <f>G15</f>
      </c>
      <c r="H24" s="29">
        <f>H15</f>
      </c>
      <c r="I24" s="29">
        <f>I15</f>
      </c>
      <c r="J24" s="29">
        <f>J15</f>
      </c>
    </row>
    <row r="25">
      <c r="B25" s="4" t="inlineStr">
        <is>
          <t>Less: Change in NWC</t>
        </is>
      </c>
      <c r="F25" s="29">
        <f>F17</f>
      </c>
      <c r="G25" s="29">
        <f>G17</f>
      </c>
      <c r="H25" s="29">
        <f>H17</f>
      </c>
      <c r="I25" s="29">
        <f>I17</f>
      </c>
      <c r="J25" s="29">
        <f>J17</f>
      </c>
    </row>
    <row r="26">
      <c r="B26" s="19" t="inlineStr">
        <is>
          <t>Unlevered Free Cash Flow</t>
        </is>
      </c>
      <c r="F26" s="20">
        <f>F22+F23-F24-F25</f>
      </c>
      <c r="G26" s="20">
        <f>G22+G23-G24-G25</f>
      </c>
      <c r="H26" s="20">
        <f>H22+H23-H24-H25</f>
      </c>
      <c r="I26" s="20">
        <f>I22+I23-I24-I25</f>
      </c>
      <c r="J26" s="20">
        <f>J22+J23-J24-J25</f>
      </c>
    </row>
    <row r="27">
      <c r="B27" s="4" t="inlineStr">
        <is>
          <t>PV factor @ WACC</t>
        </is>
      </c>
      <c r="F27" s="30">
        <f>1/(1+WACC!$D$28)^F6</f>
      </c>
      <c r="G27" s="30">
        <f>1/(1+WACC!$D$28)^G6</f>
      </c>
      <c r="H27" s="30">
        <f>1/(1+WACC!$D$28)^H6</f>
      </c>
      <c r="I27" s="30">
        <f>1/(1+WACC!$D$28)^I6</f>
      </c>
      <c r="J27" s="30">
        <f>1/(1+WACC!$D$28)^J6</f>
      </c>
    </row>
    <row r="28">
      <c r="B28" s="4" t="inlineStr">
        <is>
          <t>PV of Unlevered FCF</t>
        </is>
      </c>
      <c r="F28" s="29">
        <f>F26*F27</f>
      </c>
      <c r="G28" s="29">
        <f>G26*G27</f>
      </c>
      <c r="H28" s="29">
        <f>H26*H27</f>
      </c>
      <c r="I28" s="29">
        <f>I26*I27</f>
      </c>
      <c r="J28" s="29">
        <f>J26*J27</f>
      </c>
    </row>
    <row r="29"/>
    <row r="30">
      <c r="B30" s="19" t="inlineStr">
        <is>
          <t>Sum of PV of explicit UFCF (FY2026E-FY2030E)</t>
        </is>
      </c>
      <c r="D30" s="20">
        <f>SUM(F28:J28)</f>
      </c>
    </row>
    <row r="31"/>
    <row r="32">
      <c r="B32" s="6" t="inlineStr">
        <is>
          <t>Terminal Value - Gordon Growth Method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B33" s="4" t="inlineStr">
        <is>
          <t>Terminal growth rate (g)</t>
        </is>
      </c>
      <c r="D33" s="14">
        <f>Assumptions!$D$32</f>
      </c>
    </row>
    <row r="34">
      <c r="B34" s="4" t="inlineStr">
        <is>
          <t>Terminal-year (FY2030E) Unlevered FCF</t>
        </is>
      </c>
      <c r="D34" s="29">
        <f>J26</f>
      </c>
    </row>
    <row r="35">
      <c r="B35" s="19" t="inlineStr">
        <is>
          <t>Terminal value (Gordon)</t>
        </is>
      </c>
      <c r="D35" s="31">
        <f>D34*(1+D33)/(WACC!$D$28-D33)</f>
      </c>
    </row>
    <row r="36">
      <c r="B36" s="4" t="inlineStr">
        <is>
          <t>PV of terminal value (Gordon)</t>
        </is>
      </c>
      <c r="D36" s="29">
        <f>D35*J27</f>
      </c>
    </row>
    <row r="37">
      <c r="B37" s="4" t="inlineStr">
        <is>
          <t>Cross-check: implied exit EV/EBITDA (Gordon)</t>
        </is>
      </c>
      <c r="D37" s="32">
        <f>D35/D41</f>
      </c>
      <c r="F37" s="2" t="inlineStr">
        <is>
          <t>Directionally cross-checks the input exit multiple; note the AI-capex supercycle depresses terminal FCF/EBITDA conversion vs. a normalized mature company, so this implied multiple runs meaningfully below the 14.0x market-multiple input by construction - a known limitation of a 5yr-explicit Gordon TV during a capex supercycle, not a modeling error.</t>
        </is>
      </c>
    </row>
    <row r="38"/>
    <row r="39">
      <c r="B39" s="6" t="inlineStr">
        <is>
          <t>Terminal Value - Exit Multiple Method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B40" s="4" t="inlineStr">
        <is>
          <t>Exit EV/EBITDA multiple</t>
        </is>
      </c>
      <c r="D40" s="33">
        <f>Assumptions!$D$33</f>
      </c>
    </row>
    <row r="41">
      <c r="B41" s="4" t="inlineStr">
        <is>
          <t>Terminal-year (FY2030E) EBITDA</t>
        </is>
      </c>
      <c r="D41" s="29">
        <f>J14</f>
      </c>
    </row>
    <row r="42">
      <c r="B42" s="19" t="inlineStr">
        <is>
          <t>Terminal value (Exit Multiple)</t>
        </is>
      </c>
      <c r="D42" s="20">
        <f>D41*D40</f>
      </c>
    </row>
    <row r="43">
      <c r="B43" s="4" t="inlineStr">
        <is>
          <t>PV of terminal value (Exit Multiple)</t>
        </is>
      </c>
      <c r="D43" s="29">
        <f>D42*J27</f>
      </c>
    </row>
    <row r="44">
      <c r="B44" s="4" t="inlineStr">
        <is>
          <t>Cross-check: implied terminal growth (Exit Multiple)</t>
        </is>
      </c>
      <c r="D44" s="14">
        <f>(WACC!$D$28*D42-D34)/(D42+D34)</f>
      </c>
      <c r="F44" s="2" t="inlineStr">
        <is>
          <t>Directionally cross-checks the terminal growth input; runs above it for the same FCF-conversion reason noted at the Gordon cross-check above.</t>
        </is>
      </c>
    </row>
    <row r="45"/>
    <row r="46">
      <c r="B46" s="6" t="inlineStr">
        <is>
          <t>Enterprise Value to Equity Value Bridge &amp; Implied Share Price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B47" s="4" t="inlineStr"/>
      <c r="D47" s="22" t="inlineStr">
        <is>
          <t>Gordon Growth</t>
        </is>
      </c>
      <c r="F47" s="22" t="inlineStr">
        <is>
          <t>Exit Multiple</t>
        </is>
      </c>
    </row>
    <row r="48">
      <c r="B48" s="4" t="inlineStr">
        <is>
          <t>Enterprise value</t>
        </is>
      </c>
      <c r="D48" s="29">
        <f>D30+D36</f>
      </c>
      <c r="F48" s="29">
        <f>D30+D43</f>
      </c>
    </row>
    <row r="49">
      <c r="B49" s="4" t="inlineStr">
        <is>
          <t>Less: Net debt</t>
        </is>
      </c>
      <c r="D49" s="12">
        <f>Assumptions!$D$20</f>
      </c>
      <c r="F49" s="12">
        <f>Assumptions!$D$20</f>
      </c>
    </row>
    <row r="50">
      <c r="B50" s="4" t="inlineStr">
        <is>
          <t>Plus: Non-operating assets (haircut-adj. non-marketable securities)</t>
        </is>
      </c>
      <c r="D50" s="12">
        <f>Assumptions!$D$17*Assumptions!$D$18</f>
      </c>
      <c r="F50" s="12">
        <f>Assumptions!$D$17*Assumptions!$D$18</f>
      </c>
    </row>
    <row r="51">
      <c r="B51" s="19" t="inlineStr">
        <is>
          <t>Equity value</t>
        </is>
      </c>
      <c r="D51" s="20">
        <f>D48-D49+D50</f>
      </c>
      <c r="F51" s="20">
        <f>F48-F49+F50</f>
      </c>
    </row>
    <row r="52">
      <c r="B52" s="4" t="inlineStr">
        <is>
          <t>Diluted shares outstanding (mm)</t>
        </is>
      </c>
      <c r="D52" s="34">
        <f>Assumptions!$D$8</f>
      </c>
      <c r="F52" s="34">
        <f>Assumptions!$D$8</f>
      </c>
    </row>
    <row r="53">
      <c r="B53" s="19" t="inlineStr">
        <is>
          <t>Implied share price</t>
        </is>
      </c>
      <c r="D53" s="35">
        <f>D51/D52</f>
      </c>
      <c r="F53" s="35">
        <f>F51/F52</f>
      </c>
    </row>
    <row r="54">
      <c r="B54" s="4" t="inlineStr">
        <is>
          <t>Actual share price (GOOGL)</t>
        </is>
      </c>
      <c r="D54" s="11">
        <f>Assumptions!$D$7</f>
      </c>
      <c r="F54" s="11">
        <f>Assumptions!$D$7</f>
      </c>
    </row>
    <row r="55">
      <c r="B55" s="4" t="inlineStr">
        <is>
          <t>Implied upside/(downside)</t>
        </is>
      </c>
      <c r="D55" s="27">
        <f>D53/D54-1</f>
      </c>
      <c r="F55" s="27">
        <f>F53/F54-1</f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4" customWidth="1" min="3" max="3"/>
    <col width="16" customWidth="1" min="4" max="4"/>
    <col width="4" customWidth="1" min="5" max="5"/>
    <col width="42" customWidth="1" min="6" max="6"/>
  </cols>
  <sheetData>
    <row r="1"/>
    <row r="2">
      <c r="B2" s="1" t="inlineStr">
        <is>
          <t>Alphabet Inc. (GOOGL) - WACC Build</t>
        </is>
      </c>
    </row>
    <row r="3">
      <c r="B3" s="2" t="inlineStr">
        <is>
          <t>(CAPM cost of equity; market-value capital structure weights)</t>
        </is>
      </c>
    </row>
    <row r="4"/>
    <row r="5">
      <c r="B5" s="6" t="inlineStr">
        <is>
          <t>Cost of Equity (CAPM)</t>
        </is>
      </c>
      <c r="C5" s="6" t="n"/>
      <c r="D5" s="6" t="n"/>
    </row>
    <row r="6">
      <c r="B6" s="4" t="inlineStr">
        <is>
          <t>Risk-free rate (10Y U.S. Treasury)</t>
        </is>
      </c>
      <c r="D6" s="24" t="n">
        <v>0.0474</v>
      </c>
      <c r="F6" s="2" t="inlineStr">
        <is>
          <t>10Y UST yield, as of 8/21/2026 (Advisor Perspectives)</t>
        </is>
      </c>
    </row>
    <row r="7">
      <c r="B7" s="4" t="inlineStr">
        <is>
          <t>Levered beta</t>
        </is>
      </c>
      <c r="D7" s="36" t="n">
        <v>1.05</v>
      </c>
      <c r="F7" s="2" t="inlineStr">
        <is>
          <t>Fallback per spec/data pack - live 5yr monthly beta not accessible in source search; widely-cited Damodaran-consistent estimate</t>
        </is>
      </c>
    </row>
    <row r="8">
      <c r="B8" s="4" t="inlineStr">
        <is>
          <t>Equity risk premium (ERP)</t>
        </is>
      </c>
      <c r="D8" s="24" t="n">
        <v>0.05</v>
      </c>
      <c r="F8" s="2" t="inlineStr">
        <is>
          <t>5.00% per master spec (Damodaran / Duff &amp; Phelps convention, spec-permitted range 4.5%-5.5%); harmonized across all four DCF workbooks in this suite, which share the same Aug-2026 valuation date. Damodaran's July-2026 implied ERP of 4.45% is an alternative read but sits below the spec range; at 4.45% Ke falls ~6bp x beta and the implied Gordon price rises modestly.</t>
        </is>
      </c>
    </row>
    <row r="9">
      <c r="B9" s="19" t="inlineStr">
        <is>
          <t>Cost of equity (Ke) = Rf + Beta x ERP</t>
        </is>
      </c>
      <c r="D9" s="37">
        <f>D6+D7*D8</f>
      </c>
    </row>
    <row r="10"/>
    <row r="11">
      <c r="B11" s="6" t="inlineStr">
        <is>
          <t>Cost of Debt</t>
        </is>
      </c>
      <c r="C11" s="6" t="n"/>
      <c r="D11" s="6" t="n"/>
    </row>
    <row r="12">
      <c r="B12" s="4" t="inlineStr">
        <is>
          <t>Risk-free rate (link)</t>
        </is>
      </c>
      <c r="D12" s="38">
        <f>D6</f>
      </c>
    </row>
    <row r="13">
      <c r="B13" s="4" t="inlineStr">
        <is>
          <t>Credit spread assumption (AA+ rated)</t>
        </is>
      </c>
      <c r="D13" s="39" t="n">
        <v>0.006</v>
      </c>
      <c r="F13" s="2" t="inlineStr">
        <is>
          <t>No live Alphabet bond yield or interest-expense/avg-debt figure in data pack; spread judgment for a high-grade (AA+) mega-cap issuer</t>
        </is>
      </c>
    </row>
    <row r="14">
      <c r="B14" s="4" t="inlineStr">
        <is>
          <t>Pre-tax cost of debt (Kd)</t>
        </is>
      </c>
      <c r="D14" s="38">
        <f>D12+D13</f>
      </c>
    </row>
    <row r="15">
      <c r="B15" s="4" t="inlineStr">
        <is>
          <t>Effective tax rate</t>
        </is>
      </c>
      <c r="D15" s="13">
        <f>Assumptions!$D$29</f>
      </c>
    </row>
    <row r="16">
      <c r="B16" s="19" t="inlineStr">
        <is>
          <t>After-tax cost of debt</t>
        </is>
      </c>
      <c r="D16" s="37">
        <f>D14*(1-D15)</f>
      </c>
    </row>
    <row r="17"/>
    <row r="18">
      <c r="B18" s="6" t="inlineStr">
        <is>
          <t>Capital Structure Weights (Market Value)</t>
        </is>
      </c>
      <c r="C18" s="6" t="n"/>
      <c r="D18" s="6" t="n"/>
    </row>
    <row r="19">
      <c r="B19" s="4" t="inlineStr">
        <is>
          <t>Share price</t>
        </is>
      </c>
      <c r="D19" s="11">
        <f>Assumptions!$D$7</f>
      </c>
    </row>
    <row r="20">
      <c r="B20" s="4" t="inlineStr">
        <is>
          <t>Diluted shares outstanding (mm)</t>
        </is>
      </c>
      <c r="D20" s="34">
        <f>Assumptions!$D$8</f>
      </c>
    </row>
    <row r="21">
      <c r="B21" s="4" t="inlineStr">
        <is>
          <t>Market capitalization</t>
        </is>
      </c>
      <c r="D21" s="29">
        <f>D19*D20</f>
      </c>
    </row>
    <row r="22">
      <c r="B22" s="4" t="inlineStr">
        <is>
          <t>Total debt</t>
        </is>
      </c>
      <c r="D22" s="12">
        <f>Assumptions!$D$16</f>
      </c>
    </row>
    <row r="23">
      <c r="B23" s="4" t="inlineStr">
        <is>
          <t>Total capitalization (D+E)</t>
        </is>
      </c>
      <c r="D23" s="29">
        <f>D21+D22</f>
      </c>
    </row>
    <row r="24">
      <c r="B24" s="4" t="inlineStr">
        <is>
          <t>E / (D+E)</t>
        </is>
      </c>
      <c r="D24" s="27">
        <f>D21/D23</f>
      </c>
    </row>
    <row r="25">
      <c r="B25" s="4" t="inlineStr">
        <is>
          <t>D / (D+E)</t>
        </is>
      </c>
      <c r="D25" s="27">
        <f>D22/D23</f>
      </c>
    </row>
    <row r="26"/>
    <row r="27">
      <c r="B27" s="6" t="inlineStr">
        <is>
          <t>WACC</t>
        </is>
      </c>
      <c r="C27" s="6" t="n"/>
      <c r="D27" s="6" t="n"/>
    </row>
    <row r="28">
      <c r="B28" s="19" t="inlineStr">
        <is>
          <t>WACC = Ke x E/(D+E) + Kd(at) x D/(D+E)</t>
        </is>
      </c>
      <c r="D28" s="37">
        <f>D9*D24+D16*D25</f>
      </c>
    </row>
    <row r="29">
      <c r="B29" s="2" t="inlineStr">
        <is>
          <t>WACC sanity: Alphabet's minimal leverage (D/(D+E) &lt; 2%) means WACC sits close to the CAPM cost of equity - expected for a net-cash mega-cap.</t>
        </is>
      </c>
    </row>
  </sheetData>
  <mergeCells count="1">
    <mergeCell ref="B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>
      <c r="B2" s="1" t="inlineStr">
        <is>
          <t>Alphabet Inc. (GOOGL) - Sensitivity Grids</t>
        </is>
      </c>
    </row>
    <row r="3">
      <c r="B3" s="2" t="inlineStr">
        <is>
          <t>(implied share price; live algebraic re-derivation, no Data Tables)</t>
        </is>
      </c>
    </row>
    <row r="4"/>
    <row r="5">
      <c r="B5" s="6" t="inlineStr">
        <is>
          <t>Grid A: WACC (rows) x Terminal Growth g (cols) -&gt; Implied Share Price (Gordon Growth)</t>
        </is>
      </c>
      <c r="C5" s="6" t="n"/>
      <c r="D5" s="6" t="n"/>
      <c r="E5" s="6" t="n"/>
      <c r="F5" s="6" t="n"/>
      <c r="G5" s="6" t="n"/>
      <c r="H5" s="6" t="n"/>
    </row>
    <row r="6">
      <c r="B6" s="40">
        <f>DCF!D53</f>
      </c>
      <c r="C6" s="2" t="inlineStr">
        <is>
          <t>&lt;- base case (Gordon)</t>
        </is>
      </c>
      <c r="D6" s="24">
        <f>Assumptions!$D$32+(-0.01)</f>
      </c>
      <c r="E6" s="24">
        <f>Assumptions!$D$32+(-0.005)</f>
      </c>
      <c r="F6" s="24">
        <f>Assumptions!$D$32+(0.0)</f>
      </c>
      <c r="G6" s="24">
        <f>Assumptions!$D$32+(0.005)</f>
      </c>
      <c r="H6" s="24">
        <f>Assumptions!$D$32+(0.01)</f>
      </c>
    </row>
    <row r="7">
      <c r="B7" s="24">
        <f>WACC!$D$28+(-0.015)</f>
      </c>
      <c r="D7" s="41">
        <f>(SUMPRODUCT(DCF!$F$26:$J$26,1/(1+$B7)^DCF!$F$6:$J$6)+(DCF!$D$34*(1+D$6))/($B7-D$6)/(1+$B7)^DCF!$J$6-DCF!$D$49+DCF!$D$50)/DCF!$D$52</f>
      </c>
      <c r="E7" s="41">
        <f>(SUMPRODUCT(DCF!$F$26:$J$26,1/(1+$B7)^DCF!$F$6:$J$6)+(DCF!$D$34*(1+E$6))/($B7-E$6)/(1+$B7)^DCF!$J$6-DCF!$D$49+DCF!$D$50)/DCF!$D$52</f>
      </c>
      <c r="F7" s="41">
        <f>(SUMPRODUCT(DCF!$F$26:$J$26,1/(1+$B7)^DCF!$F$6:$J$6)+(DCF!$D$34*(1+F$6))/($B7-F$6)/(1+$B7)^DCF!$J$6-DCF!$D$49+DCF!$D$50)/DCF!$D$52</f>
      </c>
      <c r="G7" s="41">
        <f>(SUMPRODUCT(DCF!$F$26:$J$26,1/(1+$B7)^DCF!$F$6:$J$6)+(DCF!$D$34*(1+G$6))/($B7-G$6)/(1+$B7)^DCF!$J$6-DCF!$D$49+DCF!$D$50)/DCF!$D$52</f>
      </c>
      <c r="H7" s="41">
        <f>(SUMPRODUCT(DCF!$F$26:$J$26,1/(1+$B7)^DCF!$F$6:$J$6)+(DCF!$D$34*(1+H$6))/($B7-H$6)/(1+$B7)^DCF!$J$6-DCF!$D$49+DCF!$D$50)/DCF!$D$52</f>
      </c>
    </row>
    <row r="8">
      <c r="B8" s="24">
        <f>WACC!$D$28+(-0.01)</f>
      </c>
      <c r="D8" s="41">
        <f>(SUMPRODUCT(DCF!$F$26:$J$26,1/(1+$B8)^DCF!$F$6:$J$6)+(DCF!$D$34*(1+D$6))/($B8-D$6)/(1+$B8)^DCF!$J$6-DCF!$D$49+DCF!$D$50)/DCF!$D$52</f>
      </c>
      <c r="E8" s="41">
        <f>(SUMPRODUCT(DCF!$F$26:$J$26,1/(1+$B8)^DCF!$F$6:$J$6)+(DCF!$D$34*(1+E$6))/($B8-E$6)/(1+$B8)^DCF!$J$6-DCF!$D$49+DCF!$D$50)/DCF!$D$52</f>
      </c>
      <c r="F8" s="41">
        <f>(SUMPRODUCT(DCF!$F$26:$J$26,1/(1+$B8)^DCF!$F$6:$J$6)+(DCF!$D$34*(1+F$6))/($B8-F$6)/(1+$B8)^DCF!$J$6-DCF!$D$49+DCF!$D$50)/DCF!$D$52</f>
      </c>
      <c r="G8" s="41">
        <f>(SUMPRODUCT(DCF!$F$26:$J$26,1/(1+$B8)^DCF!$F$6:$J$6)+(DCF!$D$34*(1+G$6))/($B8-G$6)/(1+$B8)^DCF!$J$6-DCF!$D$49+DCF!$D$50)/DCF!$D$52</f>
      </c>
      <c r="H8" s="41">
        <f>(SUMPRODUCT(DCF!$F$26:$J$26,1/(1+$B8)^DCF!$F$6:$J$6)+(DCF!$D$34*(1+H$6))/($B8-H$6)/(1+$B8)^DCF!$J$6-DCF!$D$49+DCF!$D$50)/DCF!$D$52</f>
      </c>
    </row>
    <row r="9">
      <c r="B9" s="24">
        <f>WACC!$D$28+(-0.005)</f>
      </c>
      <c r="D9" s="41">
        <f>(SUMPRODUCT(DCF!$F$26:$J$26,1/(1+$B9)^DCF!$F$6:$J$6)+(DCF!$D$34*(1+D$6))/($B9-D$6)/(1+$B9)^DCF!$J$6-DCF!$D$49+DCF!$D$50)/DCF!$D$52</f>
      </c>
      <c r="E9" s="41">
        <f>(SUMPRODUCT(DCF!$F$26:$J$26,1/(1+$B9)^DCF!$F$6:$J$6)+(DCF!$D$34*(1+E$6))/($B9-E$6)/(1+$B9)^DCF!$J$6-DCF!$D$49+DCF!$D$50)/DCF!$D$52</f>
      </c>
      <c r="F9" s="41">
        <f>(SUMPRODUCT(DCF!$F$26:$J$26,1/(1+$B9)^DCF!$F$6:$J$6)+(DCF!$D$34*(1+F$6))/($B9-F$6)/(1+$B9)^DCF!$J$6-DCF!$D$49+DCF!$D$50)/DCF!$D$52</f>
      </c>
      <c r="G9" s="41">
        <f>(SUMPRODUCT(DCF!$F$26:$J$26,1/(1+$B9)^DCF!$F$6:$J$6)+(DCF!$D$34*(1+G$6))/($B9-G$6)/(1+$B9)^DCF!$J$6-DCF!$D$49+DCF!$D$50)/DCF!$D$52</f>
      </c>
      <c r="H9" s="41">
        <f>(SUMPRODUCT(DCF!$F$26:$J$26,1/(1+$B9)^DCF!$F$6:$J$6)+(DCF!$D$34*(1+H$6))/($B9-H$6)/(1+$B9)^DCF!$J$6-DCF!$D$49+DCF!$D$50)/DCF!$D$52</f>
      </c>
    </row>
    <row r="10">
      <c r="B10" s="24">
        <f>WACC!$D$28+(0.0)</f>
      </c>
      <c r="D10" s="41">
        <f>(SUMPRODUCT(DCF!$F$26:$J$26,1/(1+$B10)^DCF!$F$6:$J$6)+(DCF!$D$34*(1+D$6))/($B10-D$6)/(1+$B10)^DCF!$J$6-DCF!$D$49+DCF!$D$50)/DCF!$D$52</f>
      </c>
      <c r="E10" s="41">
        <f>(SUMPRODUCT(DCF!$F$26:$J$26,1/(1+$B10)^DCF!$F$6:$J$6)+(DCF!$D$34*(1+E$6))/($B10-E$6)/(1+$B10)^DCF!$J$6-DCF!$D$49+DCF!$D$50)/DCF!$D$52</f>
      </c>
      <c r="F10" s="42">
        <f>(SUMPRODUCT(DCF!$F$26:$J$26,1/(1+$B10)^DCF!$F$6:$J$6)+(DCF!$D$34*(1+F$6))/($B10-F$6)/(1+$B10)^DCF!$J$6-DCF!$D$49+DCF!$D$50)/DCF!$D$52</f>
      </c>
      <c r="G10" s="41">
        <f>(SUMPRODUCT(DCF!$F$26:$J$26,1/(1+$B10)^DCF!$F$6:$J$6)+(DCF!$D$34*(1+G$6))/($B10-G$6)/(1+$B10)^DCF!$J$6-DCF!$D$49+DCF!$D$50)/DCF!$D$52</f>
      </c>
      <c r="H10" s="41">
        <f>(SUMPRODUCT(DCF!$F$26:$J$26,1/(1+$B10)^DCF!$F$6:$J$6)+(DCF!$D$34*(1+H$6))/($B10-H$6)/(1+$B10)^DCF!$J$6-DCF!$D$49+DCF!$D$50)/DCF!$D$52</f>
      </c>
    </row>
    <row r="11">
      <c r="B11" s="24">
        <f>WACC!$D$28+(0.005)</f>
      </c>
      <c r="D11" s="41">
        <f>(SUMPRODUCT(DCF!$F$26:$J$26,1/(1+$B11)^DCF!$F$6:$J$6)+(DCF!$D$34*(1+D$6))/($B11-D$6)/(1+$B11)^DCF!$J$6-DCF!$D$49+DCF!$D$50)/DCF!$D$52</f>
      </c>
      <c r="E11" s="41">
        <f>(SUMPRODUCT(DCF!$F$26:$J$26,1/(1+$B11)^DCF!$F$6:$J$6)+(DCF!$D$34*(1+E$6))/($B11-E$6)/(1+$B11)^DCF!$J$6-DCF!$D$49+DCF!$D$50)/DCF!$D$52</f>
      </c>
      <c r="F11" s="41">
        <f>(SUMPRODUCT(DCF!$F$26:$J$26,1/(1+$B11)^DCF!$F$6:$J$6)+(DCF!$D$34*(1+F$6))/($B11-F$6)/(1+$B11)^DCF!$J$6-DCF!$D$49+DCF!$D$50)/DCF!$D$52</f>
      </c>
      <c r="G11" s="41">
        <f>(SUMPRODUCT(DCF!$F$26:$J$26,1/(1+$B11)^DCF!$F$6:$J$6)+(DCF!$D$34*(1+G$6))/($B11-G$6)/(1+$B11)^DCF!$J$6-DCF!$D$49+DCF!$D$50)/DCF!$D$52</f>
      </c>
      <c r="H11" s="41">
        <f>(SUMPRODUCT(DCF!$F$26:$J$26,1/(1+$B11)^DCF!$F$6:$J$6)+(DCF!$D$34*(1+H$6))/($B11-H$6)/(1+$B11)^DCF!$J$6-DCF!$D$49+DCF!$D$50)/DCF!$D$52</f>
      </c>
    </row>
    <row r="12">
      <c r="B12" s="24">
        <f>WACC!$D$28+(0.01)</f>
      </c>
      <c r="D12" s="41">
        <f>(SUMPRODUCT(DCF!$F$26:$J$26,1/(1+$B12)^DCF!$F$6:$J$6)+(DCF!$D$34*(1+D$6))/($B12-D$6)/(1+$B12)^DCF!$J$6-DCF!$D$49+DCF!$D$50)/DCF!$D$52</f>
      </c>
      <c r="E12" s="41">
        <f>(SUMPRODUCT(DCF!$F$26:$J$26,1/(1+$B12)^DCF!$F$6:$J$6)+(DCF!$D$34*(1+E$6))/($B12-E$6)/(1+$B12)^DCF!$J$6-DCF!$D$49+DCF!$D$50)/DCF!$D$52</f>
      </c>
      <c r="F12" s="41">
        <f>(SUMPRODUCT(DCF!$F$26:$J$26,1/(1+$B12)^DCF!$F$6:$J$6)+(DCF!$D$34*(1+F$6))/($B12-F$6)/(1+$B12)^DCF!$J$6-DCF!$D$49+DCF!$D$50)/DCF!$D$52</f>
      </c>
      <c r="G12" s="41">
        <f>(SUMPRODUCT(DCF!$F$26:$J$26,1/(1+$B12)^DCF!$F$6:$J$6)+(DCF!$D$34*(1+G$6))/($B12-G$6)/(1+$B12)^DCF!$J$6-DCF!$D$49+DCF!$D$50)/DCF!$D$52</f>
      </c>
      <c r="H12" s="41">
        <f>(SUMPRODUCT(DCF!$F$26:$J$26,1/(1+$B12)^DCF!$F$6:$J$6)+(DCF!$D$34*(1+H$6))/($B12-H$6)/(1+$B12)^DCF!$J$6-DCF!$D$49+DCF!$D$50)/DCF!$D$52</f>
      </c>
    </row>
    <row r="13">
      <c r="B13" s="24">
        <f>WACC!$D$28+(0.015)</f>
      </c>
      <c r="D13" s="41">
        <f>(SUMPRODUCT(DCF!$F$26:$J$26,1/(1+$B13)^DCF!$F$6:$J$6)+(DCF!$D$34*(1+D$6))/($B13-D$6)/(1+$B13)^DCF!$J$6-DCF!$D$49+DCF!$D$50)/DCF!$D$52</f>
      </c>
      <c r="E13" s="41">
        <f>(SUMPRODUCT(DCF!$F$26:$J$26,1/(1+$B13)^DCF!$F$6:$J$6)+(DCF!$D$34*(1+E$6))/($B13-E$6)/(1+$B13)^DCF!$J$6-DCF!$D$49+DCF!$D$50)/DCF!$D$52</f>
      </c>
      <c r="F13" s="41">
        <f>(SUMPRODUCT(DCF!$F$26:$J$26,1/(1+$B13)^DCF!$F$6:$J$6)+(DCF!$D$34*(1+F$6))/($B13-F$6)/(1+$B13)^DCF!$J$6-DCF!$D$49+DCF!$D$50)/DCF!$D$52</f>
      </c>
      <c r="G13" s="41">
        <f>(SUMPRODUCT(DCF!$F$26:$J$26,1/(1+$B13)^DCF!$F$6:$J$6)+(DCF!$D$34*(1+G$6))/($B13-G$6)/(1+$B13)^DCF!$J$6-DCF!$D$49+DCF!$D$50)/DCF!$D$52</f>
      </c>
      <c r="H13" s="41">
        <f>(SUMPRODUCT(DCF!$F$26:$J$26,1/(1+$B13)^DCF!$F$6:$J$6)+(DCF!$D$34*(1+H$6))/($B13-H$6)/(1+$B13)^DCF!$J$6-DCF!$D$49+DCF!$D$50)/DCF!$D$52</f>
      </c>
    </row>
    <row r="14"/>
    <row r="15">
      <c r="B15" s="4" t="inlineStr">
        <is>
          <t>Check: center cell - base case implied price (Gordon) (must = 0.00)</t>
        </is>
      </c>
      <c r="D15" s="41">
        <f>ROUND(F10-DCF!D53,2)</f>
      </c>
    </row>
    <row r="16"/>
    <row r="17"/>
    <row r="18">
      <c r="B18" s="6" t="inlineStr">
        <is>
          <t>Grid B: WACC (rows) x Exit EV/EBITDA Multiple (cols) -&gt; Implied Share Price (Exit Multiple)</t>
        </is>
      </c>
      <c r="C18" s="6" t="n"/>
      <c r="D18" s="6" t="n"/>
      <c r="E18" s="6" t="n"/>
      <c r="F18" s="6" t="n"/>
      <c r="G18" s="6" t="n"/>
      <c r="H18" s="6" t="n"/>
    </row>
    <row r="19">
      <c r="B19" s="40">
        <f>DCF!F53</f>
      </c>
      <c r="C19" s="2" t="inlineStr">
        <is>
          <t>&lt;- base case (Exit Multiple)</t>
        </is>
      </c>
      <c r="D19" s="25">
        <f>Assumptions!$D$33+(-2.0)</f>
      </c>
      <c r="E19" s="25">
        <f>Assumptions!$D$33+(-1.0)</f>
      </c>
      <c r="F19" s="25">
        <f>Assumptions!$D$33+(0.0)</f>
      </c>
      <c r="G19" s="25">
        <f>Assumptions!$D$33+(1.0)</f>
      </c>
      <c r="H19" s="25">
        <f>Assumptions!$D$33+(2.0)</f>
      </c>
    </row>
    <row r="20">
      <c r="B20" s="24">
        <f>WACC!$D$28+(-0.015)</f>
      </c>
      <c r="D20" s="41">
        <f>(SUMPRODUCT(DCF!$F$26:$J$26,1/(1+$B20)^DCF!$F$6:$J$6)+DCF!$D$41*D$19/(1+$B20)^DCF!$J$6-DCF!$D$49+DCF!$D$50)/DCF!$D$52</f>
      </c>
      <c r="E20" s="41">
        <f>(SUMPRODUCT(DCF!$F$26:$J$26,1/(1+$B20)^DCF!$F$6:$J$6)+DCF!$D$41*E$19/(1+$B20)^DCF!$J$6-DCF!$D$49+DCF!$D$50)/DCF!$D$52</f>
      </c>
      <c r="F20" s="41">
        <f>(SUMPRODUCT(DCF!$F$26:$J$26,1/(1+$B20)^DCF!$F$6:$J$6)+DCF!$D$41*F$19/(1+$B20)^DCF!$J$6-DCF!$D$49+DCF!$D$50)/DCF!$D$52</f>
      </c>
      <c r="G20" s="41">
        <f>(SUMPRODUCT(DCF!$F$26:$J$26,1/(1+$B20)^DCF!$F$6:$J$6)+DCF!$D$41*G$19/(1+$B20)^DCF!$J$6-DCF!$D$49+DCF!$D$50)/DCF!$D$52</f>
      </c>
      <c r="H20" s="41">
        <f>(SUMPRODUCT(DCF!$F$26:$J$26,1/(1+$B20)^DCF!$F$6:$J$6)+DCF!$D$41*H$19/(1+$B20)^DCF!$J$6-DCF!$D$49+DCF!$D$50)/DCF!$D$52</f>
      </c>
    </row>
    <row r="21">
      <c r="B21" s="24">
        <f>WACC!$D$28+(-0.01)</f>
      </c>
      <c r="D21" s="41">
        <f>(SUMPRODUCT(DCF!$F$26:$J$26,1/(1+$B21)^DCF!$F$6:$J$6)+DCF!$D$41*D$19/(1+$B21)^DCF!$J$6-DCF!$D$49+DCF!$D$50)/DCF!$D$52</f>
      </c>
      <c r="E21" s="41">
        <f>(SUMPRODUCT(DCF!$F$26:$J$26,1/(1+$B21)^DCF!$F$6:$J$6)+DCF!$D$41*E$19/(1+$B21)^DCF!$J$6-DCF!$D$49+DCF!$D$50)/DCF!$D$52</f>
      </c>
      <c r="F21" s="41">
        <f>(SUMPRODUCT(DCF!$F$26:$J$26,1/(1+$B21)^DCF!$F$6:$J$6)+DCF!$D$41*F$19/(1+$B21)^DCF!$J$6-DCF!$D$49+DCF!$D$50)/DCF!$D$52</f>
      </c>
      <c r="G21" s="41">
        <f>(SUMPRODUCT(DCF!$F$26:$J$26,1/(1+$B21)^DCF!$F$6:$J$6)+DCF!$D$41*G$19/(1+$B21)^DCF!$J$6-DCF!$D$49+DCF!$D$50)/DCF!$D$52</f>
      </c>
      <c r="H21" s="41">
        <f>(SUMPRODUCT(DCF!$F$26:$J$26,1/(1+$B21)^DCF!$F$6:$J$6)+DCF!$D$41*H$19/(1+$B21)^DCF!$J$6-DCF!$D$49+DCF!$D$50)/DCF!$D$52</f>
      </c>
    </row>
    <row r="22">
      <c r="B22" s="24">
        <f>WACC!$D$28+(-0.005)</f>
      </c>
      <c r="D22" s="41">
        <f>(SUMPRODUCT(DCF!$F$26:$J$26,1/(1+$B22)^DCF!$F$6:$J$6)+DCF!$D$41*D$19/(1+$B22)^DCF!$J$6-DCF!$D$49+DCF!$D$50)/DCF!$D$52</f>
      </c>
      <c r="E22" s="41">
        <f>(SUMPRODUCT(DCF!$F$26:$J$26,1/(1+$B22)^DCF!$F$6:$J$6)+DCF!$D$41*E$19/(1+$B22)^DCF!$J$6-DCF!$D$49+DCF!$D$50)/DCF!$D$52</f>
      </c>
      <c r="F22" s="41">
        <f>(SUMPRODUCT(DCF!$F$26:$J$26,1/(1+$B22)^DCF!$F$6:$J$6)+DCF!$D$41*F$19/(1+$B22)^DCF!$J$6-DCF!$D$49+DCF!$D$50)/DCF!$D$52</f>
      </c>
      <c r="G22" s="41">
        <f>(SUMPRODUCT(DCF!$F$26:$J$26,1/(1+$B22)^DCF!$F$6:$J$6)+DCF!$D$41*G$19/(1+$B22)^DCF!$J$6-DCF!$D$49+DCF!$D$50)/DCF!$D$52</f>
      </c>
      <c r="H22" s="41">
        <f>(SUMPRODUCT(DCF!$F$26:$J$26,1/(1+$B22)^DCF!$F$6:$J$6)+DCF!$D$41*H$19/(1+$B22)^DCF!$J$6-DCF!$D$49+DCF!$D$50)/DCF!$D$52</f>
      </c>
    </row>
    <row r="23">
      <c r="B23" s="24">
        <f>WACC!$D$28+(0.0)</f>
      </c>
      <c r="D23" s="41">
        <f>(SUMPRODUCT(DCF!$F$26:$J$26,1/(1+$B23)^DCF!$F$6:$J$6)+DCF!$D$41*D$19/(1+$B23)^DCF!$J$6-DCF!$D$49+DCF!$D$50)/DCF!$D$52</f>
      </c>
      <c r="E23" s="41">
        <f>(SUMPRODUCT(DCF!$F$26:$J$26,1/(1+$B23)^DCF!$F$6:$J$6)+DCF!$D$41*E$19/(1+$B23)^DCF!$J$6-DCF!$D$49+DCF!$D$50)/DCF!$D$52</f>
      </c>
      <c r="F23" s="42">
        <f>(SUMPRODUCT(DCF!$F$26:$J$26,1/(1+$B23)^DCF!$F$6:$J$6)+DCF!$D$41*F$19/(1+$B23)^DCF!$J$6-DCF!$D$49+DCF!$D$50)/DCF!$D$52</f>
      </c>
      <c r="G23" s="41">
        <f>(SUMPRODUCT(DCF!$F$26:$J$26,1/(1+$B23)^DCF!$F$6:$J$6)+DCF!$D$41*G$19/(1+$B23)^DCF!$J$6-DCF!$D$49+DCF!$D$50)/DCF!$D$52</f>
      </c>
      <c r="H23" s="41">
        <f>(SUMPRODUCT(DCF!$F$26:$J$26,1/(1+$B23)^DCF!$F$6:$J$6)+DCF!$D$41*H$19/(1+$B23)^DCF!$J$6-DCF!$D$49+DCF!$D$50)/DCF!$D$52</f>
      </c>
    </row>
    <row r="24">
      <c r="B24" s="24">
        <f>WACC!$D$28+(0.005)</f>
      </c>
      <c r="D24" s="41">
        <f>(SUMPRODUCT(DCF!$F$26:$J$26,1/(1+$B24)^DCF!$F$6:$J$6)+DCF!$D$41*D$19/(1+$B24)^DCF!$J$6-DCF!$D$49+DCF!$D$50)/DCF!$D$52</f>
      </c>
      <c r="E24" s="41">
        <f>(SUMPRODUCT(DCF!$F$26:$J$26,1/(1+$B24)^DCF!$F$6:$J$6)+DCF!$D$41*E$19/(1+$B24)^DCF!$J$6-DCF!$D$49+DCF!$D$50)/DCF!$D$52</f>
      </c>
      <c r="F24" s="41">
        <f>(SUMPRODUCT(DCF!$F$26:$J$26,1/(1+$B24)^DCF!$F$6:$J$6)+DCF!$D$41*F$19/(1+$B24)^DCF!$J$6-DCF!$D$49+DCF!$D$50)/DCF!$D$52</f>
      </c>
      <c r="G24" s="41">
        <f>(SUMPRODUCT(DCF!$F$26:$J$26,1/(1+$B24)^DCF!$F$6:$J$6)+DCF!$D$41*G$19/(1+$B24)^DCF!$J$6-DCF!$D$49+DCF!$D$50)/DCF!$D$52</f>
      </c>
      <c r="H24" s="41">
        <f>(SUMPRODUCT(DCF!$F$26:$J$26,1/(1+$B24)^DCF!$F$6:$J$6)+DCF!$D$41*H$19/(1+$B24)^DCF!$J$6-DCF!$D$49+DCF!$D$50)/DCF!$D$52</f>
      </c>
    </row>
    <row r="25">
      <c r="B25" s="24">
        <f>WACC!$D$28+(0.01)</f>
      </c>
      <c r="D25" s="41">
        <f>(SUMPRODUCT(DCF!$F$26:$J$26,1/(1+$B25)^DCF!$F$6:$J$6)+DCF!$D$41*D$19/(1+$B25)^DCF!$J$6-DCF!$D$49+DCF!$D$50)/DCF!$D$52</f>
      </c>
      <c r="E25" s="41">
        <f>(SUMPRODUCT(DCF!$F$26:$J$26,1/(1+$B25)^DCF!$F$6:$J$6)+DCF!$D$41*E$19/(1+$B25)^DCF!$J$6-DCF!$D$49+DCF!$D$50)/DCF!$D$52</f>
      </c>
      <c r="F25" s="41">
        <f>(SUMPRODUCT(DCF!$F$26:$J$26,1/(1+$B25)^DCF!$F$6:$J$6)+DCF!$D$41*F$19/(1+$B25)^DCF!$J$6-DCF!$D$49+DCF!$D$50)/DCF!$D$52</f>
      </c>
      <c r="G25" s="41">
        <f>(SUMPRODUCT(DCF!$F$26:$J$26,1/(1+$B25)^DCF!$F$6:$J$6)+DCF!$D$41*G$19/(1+$B25)^DCF!$J$6-DCF!$D$49+DCF!$D$50)/DCF!$D$52</f>
      </c>
      <c r="H25" s="41">
        <f>(SUMPRODUCT(DCF!$F$26:$J$26,1/(1+$B25)^DCF!$F$6:$J$6)+DCF!$D$41*H$19/(1+$B25)^DCF!$J$6-DCF!$D$49+DCF!$D$50)/DCF!$D$52</f>
      </c>
    </row>
    <row r="26">
      <c r="B26" s="24">
        <f>WACC!$D$28+(0.015)</f>
      </c>
      <c r="D26" s="41">
        <f>(SUMPRODUCT(DCF!$F$26:$J$26,1/(1+$B26)^DCF!$F$6:$J$6)+DCF!$D$41*D$19/(1+$B26)^DCF!$J$6-DCF!$D$49+DCF!$D$50)/DCF!$D$52</f>
      </c>
      <c r="E26" s="41">
        <f>(SUMPRODUCT(DCF!$F$26:$J$26,1/(1+$B26)^DCF!$F$6:$J$6)+DCF!$D$41*E$19/(1+$B26)^DCF!$J$6-DCF!$D$49+DCF!$D$50)/DCF!$D$52</f>
      </c>
      <c r="F26" s="41">
        <f>(SUMPRODUCT(DCF!$F$26:$J$26,1/(1+$B26)^DCF!$F$6:$J$6)+DCF!$D$41*F$19/(1+$B26)^DCF!$J$6-DCF!$D$49+DCF!$D$50)/DCF!$D$52</f>
      </c>
      <c r="G26" s="41">
        <f>(SUMPRODUCT(DCF!$F$26:$J$26,1/(1+$B26)^DCF!$F$6:$J$6)+DCF!$D$41*G$19/(1+$B26)^DCF!$J$6-DCF!$D$49+DCF!$D$50)/DCF!$D$52</f>
      </c>
      <c r="H26" s="41">
        <f>(SUMPRODUCT(DCF!$F$26:$J$26,1/(1+$B26)^DCF!$F$6:$J$6)+DCF!$D$41*H$19/(1+$B26)^DCF!$J$6-DCF!$D$49+DCF!$D$50)/DCF!$D$52</f>
      </c>
    </row>
    <row r="27"/>
    <row r="28">
      <c r="B28" s="4" t="inlineStr">
        <is>
          <t>Check: center cell - base case implied price (Exit Multiple) (must = 0.00)</t>
        </is>
      </c>
      <c r="D28" s="41">
        <f>ROUND(F23-DCF!F53,2)</f>
      </c>
    </row>
    <row r="29"/>
    <row r="30">
      <c r="B30" s="2" t="inlineStr">
        <is>
          <t>WACC steps: +/-150bp in 50bp increments. Terminal growth steps: +/-1.0% in 0.5% increments. Exit multiple steps: +/-2.0x in 1.0x increments. Grids rebuild the valuation algebraically from the DCF UFCF row for every cell (no Excel Data Tables, no circularity).</t>
        </is>
      </c>
    </row>
  </sheetData>
  <mergeCells count="1">
    <mergeCell ref="B30:H30"/>
  </mergeCells>
  <conditionalFormatting sqref="D15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D28">
    <cfRule type="cellIs" priority="3" operator="equal" dxfId="0">
      <formula>0</formula>
    </cfRule>
    <cfRule type="cellIs" priority="4" operator="not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2026-08-23T05:50:08Z</dcterms:created>
  <dcterms:modified xmlns:dcterms="http://purl.org/dc/terms/" xmlns:xsi="http://www.w3.org/2001/XMLSchema-instance" xsi:type="dcterms:W3CDTF">2026-08-27T05:39:41Z</dcterms:modified>
</cp:coreProperties>
</file>