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29400" windowHeight="16860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Acquirer" sheetId="3" state="visible" r:id="rId3"/>
    <sheet xmlns:r="http://schemas.openxmlformats.org/officeDocument/2006/relationships" name="Target" sheetId="4" state="visible" r:id="rId4"/>
    <sheet xmlns:r="http://schemas.openxmlformats.org/officeDocument/2006/relationships" name="Synergies" sheetId="5" state="visible" r:id="rId5"/>
    <sheet xmlns:r="http://schemas.openxmlformats.org/officeDocument/2006/relationships" name="PPA-Financing" sheetId="6" state="visible" r:id="rId6"/>
    <sheet xmlns:r="http://schemas.openxmlformats.org/officeDocument/2006/relationships" name="ProForma" sheetId="7" state="visible" r:id="rId7"/>
    <sheet xmlns:r="http://schemas.openxmlformats.org/officeDocument/2006/relationships" name="Contribution" sheetId="8" state="visible" r:id="rId8"/>
    <sheet xmlns:r="http://schemas.openxmlformats.org/officeDocument/2006/relationships" name="Sensitivity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0.0\x"/>
    <numFmt numFmtId="165" formatCode="\$#,##0.00"/>
    <numFmt numFmtId="166" formatCode="0.0%"/>
    <numFmt numFmtId="167" formatCode="#,##0;\(#,##0\)"/>
    <numFmt numFmtId="168" formatCode="#,##0.0"/>
    <numFmt numFmtId="169" formatCode="#,##0.0;\(#,##0.0\)"/>
    <numFmt numFmtId="170" formatCode="\$#,##0.0&quot;B&quot;"/>
    <numFmt numFmtId="171" formatCode="0.000"/>
  </numFmts>
  <fonts count="10">
    <font>
      <name val="Calibri"/>
      <family val="2"/>
      <color theme="1"/>
      <sz val="11"/>
      <scheme val="minor"/>
    </font>
    <font>
      <name val="Arial"/>
      <family val="2"/>
      <b val="1"/>
      <color rgb="FF1F3864"/>
      <sz val="14"/>
    </font>
    <font>
      <name val="Arial"/>
      <family val="2"/>
      <i val="1"/>
      <color rgb="FF7F7F7F"/>
      <sz val="9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b val="1"/>
      <color rgb="FFFFFFFF"/>
      <sz val="10"/>
    </font>
    <font>
      <name val="Arial"/>
      <family val="2"/>
      <color rgb="FF0000FF"/>
      <sz val="10"/>
    </font>
    <font>
      <name val="Arial"/>
      <family val="2"/>
      <color rgb="FF000000"/>
      <sz val="10"/>
    </font>
    <font>
      <name val="Arial"/>
      <family val="2"/>
      <color rgb="FF008000"/>
      <sz val="10"/>
    </font>
    <font>
      <name val="Arial"/>
      <family val="2"/>
      <b val="1"/>
      <color rgb="FF000000"/>
      <sz val="10"/>
    </font>
  </fonts>
  <fills count="5">
    <fill>
      <patternFill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FF2CC"/>
        <bgColor rgb="FFFFF2CC"/>
      </patternFill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/>
      <right/>
      <top style="thin">
        <color rgb="FF7F7F7F"/>
      </top>
      <bottom style="double">
        <color rgb="FF000000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8" fillId="0" borderId="0" pivotButton="0" quotePrefix="0" xfId="0"/>
    <xf numFmtId="164" fontId="8" fillId="0" borderId="0" pivotButton="0" quotePrefix="0" xfId="0"/>
    <xf numFmtId="165" fontId="8" fillId="0" borderId="0" pivotButton="0" quotePrefix="0" xfId="0"/>
    <xf numFmtId="166" fontId="8" fillId="0" borderId="0" pivotButton="0" quotePrefix="0" xfId="0"/>
    <xf numFmtId="167" fontId="8" fillId="0" borderId="0" pivotButton="0" quotePrefix="0" xfId="0"/>
    <xf numFmtId="168" fontId="8" fillId="0" borderId="0" pivotButton="0" quotePrefix="0" xfId="0"/>
    <xf numFmtId="165" fontId="6" fillId="3" borderId="0" pivotButton="0" quotePrefix="0" xfId="0"/>
    <xf numFmtId="0" fontId="9" fillId="0" borderId="0" pivotButton="0" quotePrefix="0" xfId="0"/>
    <xf numFmtId="164" fontId="6" fillId="3" borderId="0" pivotButton="0" quotePrefix="0" xfId="0"/>
    <xf numFmtId="165" fontId="7" fillId="0" borderId="0" pivotButton="0" quotePrefix="0" xfId="0"/>
    <xf numFmtId="166" fontId="7" fillId="0" borderId="0" pivotButton="0" quotePrefix="0" xfId="0"/>
    <xf numFmtId="168" fontId="6" fillId="3" borderId="0" pivotButton="0" quotePrefix="0" xfId="0"/>
    <xf numFmtId="168" fontId="7" fillId="0" borderId="0" pivotButton="0" quotePrefix="0" xfId="0"/>
    <xf numFmtId="167" fontId="7" fillId="0" borderId="0" pivotButton="0" quotePrefix="0" xfId="0"/>
    <xf numFmtId="166" fontId="6" fillId="3" borderId="0" pivotButton="0" quotePrefix="0" xfId="0"/>
    <xf numFmtId="167" fontId="6" fillId="3" borderId="0" pivotButton="0" quotePrefix="0" xfId="0"/>
    <xf numFmtId="10" fontId="6" fillId="3" borderId="0" pivotButton="0" quotePrefix="0" xfId="0"/>
    <xf numFmtId="169" fontId="6" fillId="3" borderId="0" pivotButton="0" quotePrefix="0" xfId="0"/>
    <xf numFmtId="1" fontId="6" fillId="3" borderId="0" pivotButton="0" quotePrefix="0" xfId="0"/>
    <xf numFmtId="167" fontId="7" fillId="4" borderId="1" pivotButton="0" quotePrefix="0" xfId="0"/>
    <xf numFmtId="169" fontId="7" fillId="0" borderId="0" pivotButton="0" quotePrefix="0" xfId="0"/>
    <xf numFmtId="0" fontId="5" fillId="2" borderId="0" applyAlignment="1" pivotButton="0" quotePrefix="0" xfId="0">
      <alignment horizontal="center"/>
    </xf>
    <xf numFmtId="0" fontId="4" fillId="0" borderId="0" applyAlignment="1" pivotButton="0" quotePrefix="0" xfId="0">
      <alignment indent="1"/>
    </xf>
    <xf numFmtId="165" fontId="7" fillId="4" borderId="1" pivotButton="0" quotePrefix="0" xfId="0"/>
    <xf numFmtId="167" fontId="8" fillId="4" borderId="1" pivotButton="0" quotePrefix="0" xfId="0"/>
    <xf numFmtId="169" fontId="8" fillId="0" borderId="0" pivotButton="0" quotePrefix="0" xfId="0"/>
    <xf numFmtId="166" fontId="7" fillId="4" borderId="1" pivotButton="0" quotePrefix="0" xfId="0"/>
    <xf numFmtId="169" fontId="8" fillId="4" borderId="1" pivotButton="0" quotePrefix="0" xfId="0"/>
    <xf numFmtId="164" fontId="7" fillId="0" borderId="0" pivotButton="0" quotePrefix="0" xfId="0"/>
    <xf numFmtId="170" fontId="6" fillId="3" borderId="0" pivotButton="0" quotePrefix="0" xfId="0"/>
    <xf numFmtId="171" fontId="7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/>
  </cellStyles>
  <dxfs count="12"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showGridLines="0" tabSelected="1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2" customWidth="1" style="40" min="1" max="1"/>
    <col width="46" customWidth="1" style="40" min="2" max="2"/>
    <col width="20" customWidth="1" style="40" min="3" max="7"/>
  </cols>
  <sheetData>
    <row r="1"/>
    <row r="2" ht="18" customHeight="1" s="40">
      <c r="B2" s="1" t="inlineStr">
        <is>
          <t>ExxonMobil / Pioneer Natural Resources - All-Stock Merger Model</t>
        </is>
      </c>
    </row>
    <row r="3">
      <c r="B3" s="42" t="inlineStr">
        <is>
          <t>($ in millions, except per-share data and exchange ratio, unless noted)</t>
        </is>
      </c>
    </row>
    <row r="4">
      <c r="B4" s="42" t="inlineStr">
        <is>
          <t>Deal: ExxonMobil (XOM) acquisition of Pioneer Natural Resources (PXD) - announced October 11, 2023; closed May 3, 2024</t>
        </is>
      </c>
    </row>
    <row r="5">
      <c r="B5" s="3" t="inlineStr">
        <is>
          <t>Prepared by: Akul Veauli</t>
        </is>
      </c>
    </row>
    <row r="6">
      <c r="B6" s="43" t="inlineStr">
        <is>
          <t>Date: August 23, 2026</t>
        </is>
      </c>
    </row>
    <row r="7"/>
    <row r="8" ht="110" customHeight="1" s="40">
      <c r="B8" s="41" t="inlineStr">
        <is>
          <t>Model description: 100% stock-for-stock acquisition of Pioneer Natural Resources by ExxonMobil at a fixed exchange ratio of 2.3234 XOM shares per PXD share (no collar, no cash component at signing). The model builds standalone 3-year historical + 5-year projected P&amp;Ls for both companies, the exchange-ratio share-issuance mechanics, a purchase price allocation that step s up PXD's oil &amp; gas properties (not intangibles, per E&amp;P deal convention) with an associated deferred tax liability, run-rate cost synergies phased in over the projection period, and pro-forma EPS accretion/(dilution) analysis. Because consideration is 100% stock, the Financing tab carries zero new debt and zero cash used by design; a %-cash toggle is retained purely as a live what-if lever exercised in Sensitivity Grid 2. See DealNotes below for a data-quality correction made to the source research memo's XOM share count.</t>
        </is>
      </c>
    </row>
    <row r="9"/>
    <row r="10"/>
    <row r="11"/>
    <row r="12">
      <c r="B12" s="5" t="inlineStr">
        <is>
          <t>Color-code legend</t>
        </is>
      </c>
      <c r="C12" s="5" t="n"/>
      <c r="D12" s="5" t="n"/>
    </row>
    <row r="13">
      <c r="B13" s="6" t="inlineStr">
        <is>
          <t>123.4  (hardcoded input)</t>
        </is>
      </c>
      <c r="C13" t="inlineStr">
        <is>
          <t>Blue font / yellow fill = hardcoded assumption</t>
        </is>
      </c>
    </row>
    <row r="14">
      <c r="B14" s="7" t="inlineStr">
        <is>
          <t>D8*D6  (same-sheet formula, shown as text)</t>
        </is>
      </c>
      <c r="C14" t="inlineStr">
        <is>
          <t>Black font = formula referencing same tab</t>
        </is>
      </c>
    </row>
    <row r="15">
      <c r="B15" s="8" t="inlineStr">
        <is>
          <t>Assumptions!D8  (cross-tab link, shown as text)</t>
        </is>
      </c>
      <c r="C15" t="inlineStr">
        <is>
          <t>Green font = formula linking from another tab</t>
        </is>
      </c>
    </row>
    <row r="16"/>
    <row r="17"/>
    <row r="18">
      <c r="B18" s="5" t="inlineStr">
        <is>
          <t>Table of contents</t>
        </is>
      </c>
      <c r="C18" s="5" t="n"/>
    </row>
    <row r="19">
      <c r="B19" s="43" t="inlineStr">
        <is>
          <t>Cover</t>
        </is>
      </c>
    </row>
    <row r="20">
      <c r="B20" s="43" t="inlineStr">
        <is>
          <t>Assumptions</t>
        </is>
      </c>
    </row>
    <row r="21">
      <c r="B21" s="43" t="inlineStr">
        <is>
          <t>Acquirer</t>
        </is>
      </c>
    </row>
    <row r="22">
      <c r="B22" s="43" t="inlineStr">
        <is>
          <t>Target</t>
        </is>
      </c>
    </row>
    <row r="23">
      <c r="B23" s="43" t="inlineStr">
        <is>
          <t>Synergies</t>
        </is>
      </c>
    </row>
    <row r="24">
      <c r="B24" s="43" t="inlineStr">
        <is>
          <t>PPA-Financing</t>
        </is>
      </c>
    </row>
    <row r="25">
      <c r="B25" s="43" t="inlineStr">
        <is>
          <t>ProForma</t>
        </is>
      </c>
    </row>
    <row r="26">
      <c r="B26" s="43" t="inlineStr">
        <is>
          <t>Contribution</t>
        </is>
      </c>
    </row>
    <row r="27">
      <c r="B27" s="43" t="inlineStr">
        <is>
          <t>Sensitivity</t>
        </is>
      </c>
    </row>
    <row r="28"/>
    <row r="29">
      <c r="B29" s="5" t="inlineStr">
        <is>
          <t>Key outputs</t>
        </is>
      </c>
      <c r="C29" s="5" t="n"/>
      <c r="D29" s="5" t="n"/>
      <c r="E29" s="5" t="n"/>
    </row>
    <row r="30">
      <c r="B30" s="43" t="inlineStr">
        <is>
          <t>Exchange ratio (XOM per PXD share)</t>
        </is>
      </c>
      <c r="D30" s="9">
        <f>Assumptions!D8</f>
      </c>
    </row>
    <row r="31">
      <c r="B31" s="43" t="inlineStr">
        <is>
          <t>Implied offer price / PXD share</t>
        </is>
      </c>
      <c r="D31" s="10">
        <f>Assumptions!D9</f>
      </c>
    </row>
    <row r="32">
      <c r="B32" s="43" t="inlineStr">
        <is>
          <t>Premium to PXD unaffected price</t>
        </is>
      </c>
      <c r="D32" s="11">
        <f>Assumptions!D10</f>
      </c>
    </row>
    <row r="33">
      <c r="B33" s="43" t="inlineStr">
        <is>
          <t>Implied equity purchase price ($mm)</t>
        </is>
      </c>
      <c r="D33" s="12">
        <f>Assumptions!D13</f>
      </c>
    </row>
    <row r="34">
      <c r="B34" s="43" t="inlineStr">
        <is>
          <t>New XOM shares issued (mm)</t>
        </is>
      </c>
      <c r="D34" s="13">
        <f>Assumptions!D12</f>
      </c>
    </row>
    <row r="35">
      <c r="B35" s="43" t="inlineStr">
        <is>
          <t>FY2024E accretion/(dilution) %</t>
        </is>
      </c>
      <c r="D35" s="11">
        <f>ProForma!D18</f>
      </c>
    </row>
    <row r="36">
      <c r="B36" s="43" t="inlineStr">
        <is>
          <t>FY2028E accretion/(dilution) %</t>
        </is>
      </c>
      <c r="D36" s="11">
        <f>ProForma!H18</f>
      </c>
    </row>
    <row r="37">
      <c r="B37" s="43" t="inlineStr">
        <is>
          <t>PXD contribution vs. ownership delta (pts)</t>
        </is>
      </c>
      <c r="D37" s="11">
        <f>Contribution!E18</f>
      </c>
    </row>
    <row r="38"/>
    <row r="39" ht="48" customHeight="1" s="40">
      <c r="B39" s="39" t="inlineStr">
        <is>
          <t>Sources: XOM FY2021-2023 10-Ks (SEC EDGAR); PXD FY2021-2023 10-Ks; XOM/PXD joint press release (Oct 11, 2023); Form S-4/424B3 registration statement (Nov 2023); ExxonMobil FY2024 post-close investor materials (2024 synergy raise to &gt;$3.0B/yr). D&amp;A detail, precise effective tax rates, and the commodity price deck were not fully available in source filings extracted for this build; flagged estimates are noted in blue-input cells throughout.</t>
        </is>
      </c>
    </row>
    <row r="40"/>
    <row r="41"/>
    <row r="42">
      <c r="B42" s="5" t="inlineStr">
        <is>
          <t>DealNotes - Data Corrections &amp; Flagged Estimates</t>
        </is>
      </c>
      <c r="C42" s="5" t="n"/>
      <c r="D42" s="5" t="n"/>
      <c r="E42" s="5" t="n"/>
      <c r="F42" s="5" t="n"/>
      <c r="G42" s="5" t="n"/>
    </row>
    <row r="43" ht="58" customHeight="1" s="40">
      <c r="B43" s="39" t="inlineStr">
        <is>
          <t>SHARE-COUNT CORRECTION: source research memo (E8) estimated XOM FY2023 diluted shares at 1,600-1,650mm (implying EPS ~$22.50). XOM's actual reported GAAP diluted EPS was $8.89 on FY2023 net income of $36,010mm, which backs into ~4,049mm diluted shares -- consistent with XOM's real ~4.2-4.3bn share count. This build uses the EPS-consistent, corrected share counts (~4,049/4,203/4,275mm for FY23/22/21) since they are load-bearing for exchange-ratio share issuance and accretion math.</t>
        </is>
      </c>
    </row>
    <row r="44" ht="58" customHeight="1" s="40">
      <c r="B44" s="39" t="inlineStr">
        <is>
          <t>OFFER PRICE: Assumptions tab uses the sourced XOM reference price of $110.41 (per press release) x the 2.3234 ratio, which computes to a $256.56 implied offer price and ~19.7% premium to PXD's $214.41 unaffected price. This is slightly above the commonly-cited headline framing of a ~$253 offer / ~18% premium, which likely used a trailing VWAP convention rather than the announcement-date spot close; both are within a normal band for this type of premium framing and the discrepancy is disclosed rather than forced to match the round-number headline.</t>
        </is>
      </c>
    </row>
    <row r="45" ht="58" customHeight="1" s="40">
      <c r="B45" s="39" t="inlineStr">
        <is>
          <t>D&amp;A / TAX RATE DETAIL: FY2021-2023 D&amp;A and effective tax rate for both companies were not fully broken out in the source research memo. Acquirer/Target tabs use blue, flagged-estimate D&amp;A and effective tax rate inputs reverse-solved to approximately reproduce each company's reported net income off of an assumed EBITDA margin; small residual variances vs. exact reported NI are expected and are a modeling simplification, not an error.</t>
        </is>
      </c>
    </row>
    <row r="46" ht="58" customHeight="1" s="40">
      <c r="B46" s="39" t="inlineStr">
        <is>
          <t>SYNERGIES: modeled at the original $2.0B/yr run-rate announced Oct 2023 (phased in over the projection window) per the master synergies row; the 2024 upgrade to &gt;$3.0B/yr is carried as a memo note only and is not the base case run-rate, to keep the model tied to deal-announcement-vintage assumptions used elsewhere in this build.</t>
        </is>
      </c>
    </row>
    <row r="47" ht="58" customHeight="1" s="40">
      <c r="B47" s="39" t="inlineStr">
        <is>
          <t>COMMODITY DECK: per spec guidance, the operating projection is kept driver-based (blue revenue growth % and EBITDA margin %) rather than volume x price build-up; a flat WTI ~$75-80/bbl memo assumption is noted on the Acquirer/Target tabs as the qualitative backdrop for the growth/margin assumptions chosen.</t>
        </is>
      </c>
    </row>
  </sheetData>
  <mergeCells count="7">
    <mergeCell ref="B47:G47"/>
    <mergeCell ref="B46:G46"/>
    <mergeCell ref="B45:G45"/>
    <mergeCell ref="B8:G8"/>
    <mergeCell ref="B43:G43"/>
    <mergeCell ref="B44:G44"/>
    <mergeCell ref="B39:G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2" customWidth="1" style="40" min="1" max="1"/>
    <col width="46" customWidth="1" style="40" min="2" max="2"/>
    <col width="3" customWidth="1" style="40" min="3" max="3"/>
    <col width="16" customWidth="1" style="40" min="4" max="4"/>
    <col width="46" customWidth="1" style="40" min="5" max="5"/>
  </cols>
  <sheetData>
    <row r="1"/>
    <row r="2" ht="18" customHeight="1" s="40">
      <c r="B2" s="1" t="inlineStr">
        <is>
          <t>Assumptions</t>
        </is>
      </c>
    </row>
    <row r="3">
      <c r="B3" s="42" t="inlineStr">
        <is>
          <t>($ in millions, except per-share data and ratios)</t>
        </is>
      </c>
    </row>
    <row r="4"/>
    <row r="5">
      <c r="B5" s="5" t="inlineStr">
        <is>
          <t>Deal Terms</t>
        </is>
      </c>
      <c r="C5" s="5" t="n"/>
      <c r="D5" s="5" t="n"/>
      <c r="E5" s="5" t="n"/>
    </row>
    <row r="6">
      <c r="B6" s="43" t="inlineStr">
        <is>
          <t>XOM reference share price at announcement (per press release)</t>
        </is>
      </c>
      <c r="D6" s="14" t="n">
        <v>110.41</v>
      </c>
      <c r="E6" s="42" t="inlineStr">
        <is>
          <t>Source: XOM/PXD joint press release, Oct 11, 2023</t>
        </is>
      </c>
    </row>
    <row r="7">
      <c r="B7" s="43" t="inlineStr">
        <is>
          <t>PXD unaffected share price (Oct 5, 2023 close, pre-rumor)</t>
        </is>
      </c>
      <c r="D7" s="14" t="n">
        <v>214.41</v>
      </c>
      <c r="E7" s="42" t="inlineStr">
        <is>
          <t>Source: S-4/424B3 background of the merger section</t>
        </is>
      </c>
    </row>
    <row r="8">
      <c r="B8" s="15" t="inlineStr">
        <is>
          <t>Exchange ratio (XOM shares per PXD share)</t>
        </is>
      </c>
      <c r="D8" s="16" t="n">
        <v>2.3234</v>
      </c>
      <c r="E8" s="42" t="inlineStr">
        <is>
          <t>THE key deal input -- fixed, no collar</t>
        </is>
      </c>
    </row>
    <row r="9">
      <c r="B9" s="43" t="inlineStr">
        <is>
          <t>Implied offer price per PXD share</t>
        </is>
      </c>
      <c r="D9" s="17">
        <f>D8*D6</f>
      </c>
    </row>
    <row r="10">
      <c r="B10" s="43" t="inlineStr">
        <is>
          <t>Premium to PXD unaffected price</t>
        </is>
      </c>
      <c r="D10" s="18">
        <f>D9/D7-1</f>
      </c>
      <c r="E10" s="42" t="inlineStr">
        <is>
          <t>~18-20% region; see Cover DealNotes on VWAP vs spot convention</t>
        </is>
      </c>
    </row>
    <row r="11">
      <c r="B11" s="43" t="inlineStr">
        <is>
          <t>PXD fully diluted shares outstanding (mm)</t>
        </is>
      </c>
      <c r="D11" s="19" t="n">
        <v>233.6</v>
      </c>
      <c r="E11" s="42" t="inlineStr">
        <is>
          <t>Source: PXD FY2023 10-K cover / EPS note</t>
        </is>
      </c>
    </row>
    <row r="12">
      <c r="B12" s="15" t="inlineStr">
        <is>
          <t>New XOM shares issued to PXD holders (mm)</t>
        </is>
      </c>
      <c r="D12" s="20">
        <f>D11*D8</f>
      </c>
    </row>
    <row r="13">
      <c r="B13" s="15" t="inlineStr">
        <is>
          <t>Implied equity purchase price ($mm)</t>
        </is>
      </c>
      <c r="D13" s="21">
        <f>D11*D9</f>
      </c>
      <c r="E13" s="42" t="inlineStr">
        <is>
          <t>~$59.5B per deal announcement (~$59.1-59.5B depending on price convention)</t>
        </is>
      </c>
    </row>
    <row r="14">
      <c r="B14" s="43" t="inlineStr">
        <is>
          <t>% cash consideration (base case; flex only in Sensitivity Grid 2)</t>
        </is>
      </c>
      <c r="D14" s="22" t="n">
        <v>0</v>
      </c>
      <c r="E14" s="42" t="inlineStr">
        <is>
          <t>Deal-actual: 100% stock, 0% cash</t>
        </is>
      </c>
    </row>
    <row r="15">
      <c r="B15" s="43" t="inlineStr">
        <is>
          <t>% stock consideration</t>
        </is>
      </c>
      <c r="D15" s="18">
        <f>1-D14</f>
      </c>
    </row>
    <row r="16">
      <c r="B16" s="43" t="inlineStr">
        <is>
          <t>Cash consideration ($mm)</t>
        </is>
      </c>
      <c r="D16" s="21">
        <f>D13*D14</f>
      </c>
    </row>
    <row r="17">
      <c r="B17" s="43" t="inlineStr">
        <is>
          <t>Stock consideration ($mm)</t>
        </is>
      </c>
      <c r="D17" s="21">
        <f>D13*D15</f>
      </c>
    </row>
    <row r="18"/>
    <row r="19">
      <c r="B19" s="5" t="inlineStr">
        <is>
          <t>Financing (all-stock deal -- no new debt / cash used at base case)</t>
        </is>
      </c>
      <c r="C19" s="5" t="n"/>
      <c r="D19" s="5" t="n"/>
      <c r="E19" s="5" t="n"/>
    </row>
    <row r="20">
      <c r="B20" s="43" t="inlineStr">
        <is>
          <t>Cash from balance sheet used ($mm)</t>
        </is>
      </c>
      <c r="D20" s="23" t="n">
        <v>0</v>
      </c>
    </row>
    <row r="21">
      <c r="B21" s="43" t="inlineStr">
        <is>
          <t>New debt raised ($mm)</t>
        </is>
      </c>
      <c r="D21" s="21">
        <f>D16-D20</f>
      </c>
    </row>
    <row r="22">
      <c r="B22" s="43" t="inlineStr">
        <is>
          <t>Blended new-debt rate (illustrative, for %-cash what-if only)</t>
        </is>
      </c>
      <c r="D22" s="24" t="n">
        <v>0.0525</v>
      </c>
      <c r="E22" s="42" t="inlineStr">
        <is>
          <t>2023 IG energy-sector proxy rate; not drawn at base case</t>
        </is>
      </c>
    </row>
    <row r="23">
      <c r="B23" s="43" t="inlineStr">
        <is>
          <t>Foregone interest rate on cash used</t>
        </is>
      </c>
      <c r="D23" s="24" t="n">
        <v>0.05</v>
      </c>
      <c r="E23" s="42" t="inlineStr">
        <is>
          <t>2023 money-market proxy rate</t>
        </is>
      </c>
    </row>
    <row r="24">
      <c r="B24" s="43" t="inlineStr">
        <is>
          <t>Financing + advisory fees ($mm)</t>
        </is>
      </c>
      <c r="D24" s="25" t="n">
        <v>400</v>
      </c>
      <c r="E24" s="42" t="inlineStr">
        <is>
          <t>Flagged estimate -- advisory/legal fees for a deal of this size</t>
        </is>
      </c>
    </row>
    <row r="25"/>
    <row r="26">
      <c r="B26" s="5" t="inlineStr">
        <is>
          <t>Purchase Price Allocation Inputs</t>
        </is>
      </c>
      <c r="C26" s="5" t="n"/>
      <c r="D26" s="5" t="n"/>
      <c r="E26" s="5" t="n"/>
    </row>
    <row r="27">
      <c r="B27" s="43" t="inlineStr">
        <is>
          <t>PXD book equity acquired ($mm)</t>
        </is>
      </c>
      <c r="D27" s="23" t="n">
        <v>14990</v>
      </c>
      <c r="E27" s="42" t="inlineStr">
        <is>
          <t>Flagged estimate, PXD FY2023 10-K stockholders' equity</t>
        </is>
      </c>
    </row>
    <row r="28">
      <c r="B28" s="43" t="inlineStr">
        <is>
          <t>Existing PXD goodwill written off ($mm)</t>
        </is>
      </c>
      <c r="D28" s="25" t="n">
        <v>449</v>
      </c>
      <c r="E28" s="42" t="inlineStr">
        <is>
          <t>Flagged estimate, legacy Parsley/DoublePoint goodwill</t>
        </is>
      </c>
    </row>
    <row r="29">
      <c r="B29" s="43" t="inlineStr">
        <is>
          <t>Excess purchase price over book (before step-ups) ($mm)</t>
        </is>
      </c>
      <c r="D29" s="21">
        <f>D13-D27+D28</f>
      </c>
    </row>
    <row r="30">
      <c r="B30" s="43" t="inlineStr">
        <is>
          <t>% of excess allocated to PP&amp;E (oil &amp; gas properties) step-up</t>
        </is>
      </c>
      <c r="D30" s="22" t="n">
        <v>0.6</v>
      </c>
      <c r="E30" s="42" t="inlineStr">
        <is>
          <t>E&amp;P convention: step-up to proved/unproved properties, not intangibles</t>
        </is>
      </c>
    </row>
    <row r="31">
      <c r="B31" s="15" t="inlineStr">
        <is>
          <t>PP&amp;E (O&amp;G properties) step-up ($mm)</t>
        </is>
      </c>
      <c r="D31" s="21">
        <f>D29*D30</f>
      </c>
    </row>
    <row r="32">
      <c r="B32" s="43" t="inlineStr">
        <is>
          <t>DTL toggle on step-up (1 = on, stock deal = carryover tax basis)</t>
        </is>
      </c>
      <c r="D32" s="26" t="n">
        <v>1</v>
      </c>
    </row>
    <row r="33">
      <c r="B33" s="43" t="inlineStr">
        <is>
          <t>Blended pro forma tax rate</t>
        </is>
      </c>
      <c r="D33" s="24" t="n">
        <v>0.245</v>
      </c>
      <c r="E33" s="42" t="inlineStr">
        <is>
          <t>Flagged estimate; used for DTL calc and ProForma tax line</t>
        </is>
      </c>
    </row>
    <row r="34">
      <c r="B34" s="43" t="inlineStr">
        <is>
          <t>Deferred tax liability created on step-up ($mm)</t>
        </is>
      </c>
      <c r="D34" s="21">
        <f>D31*D33*D32</f>
      </c>
    </row>
    <row r="35">
      <c r="B35" s="15" t="inlineStr">
        <is>
          <t>Goodwill (residual) ($mm)</t>
        </is>
      </c>
      <c r="D35" s="27">
        <f>D29-D31+D34</f>
      </c>
    </row>
    <row r="36">
      <c r="B36" s="43" t="inlineStr">
        <is>
          <t>PP&amp;E step-up amortization life (yrs, units-of-production proxy)</t>
        </is>
      </c>
      <c r="D36" s="26" t="n">
        <v>15</v>
      </c>
    </row>
    <row r="37">
      <c r="B37" s="15" t="inlineStr">
        <is>
          <t>Incremental DD&amp;A from step-up ($mm/yr)</t>
        </is>
      </c>
      <c r="D37" s="28">
        <f>D31/D36</f>
      </c>
    </row>
    <row r="38"/>
    <row r="39">
      <c r="B39" s="5" t="inlineStr">
        <is>
          <t>Other</t>
        </is>
      </c>
      <c r="C39" s="5" t="n"/>
      <c r="D39" s="5" t="n"/>
      <c r="E39" s="5" t="n"/>
    </row>
    <row r="40">
      <c r="B40" s="43" t="inlineStr">
        <is>
          <t>Assume PXD existing debt continues post-close (1 = yes)</t>
        </is>
      </c>
      <c r="D40" s="26" t="n">
        <v>1</v>
      </c>
    </row>
    <row r="41">
      <c r="B41" s="43" t="inlineStr">
        <is>
          <t>Debt paydown sweep, % of pro forma NI (memo leverage only)</t>
        </is>
      </c>
      <c r="D41" s="22" t="n">
        <v>0.5</v>
      </c>
    </row>
    <row r="42" ht="28" customHeight="1" s="40">
      <c r="B42" s="42" t="inlineStr">
        <is>
          <t>EPS/accretion modeled FY2024E-FY2028E (5 yrs pro forma); historicals FY2021A-FY2023A on Acquirer/Target tabs. Interest computed on beginning-of-period balances to avoid circularity (no iterative calc), per master spec section 5.</t>
        </is>
      </c>
    </row>
  </sheetData>
  <mergeCells count="1">
    <mergeCell ref="B42:E4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2" customWidth="1" style="40" min="1" max="1"/>
    <col width="40" customWidth="1" style="40" min="2" max="2"/>
    <col width="3" customWidth="1" style="40" min="3" max="3"/>
    <col width="13" customWidth="1" style="40" min="4" max="11"/>
  </cols>
  <sheetData>
    <row r="1"/>
    <row r="2" ht="18" customHeight="1" s="40">
      <c r="B2" s="1" t="inlineStr">
        <is>
          <t>ExxonMobil (XOM) -- Standalone Projection</t>
        </is>
      </c>
    </row>
    <row r="3">
      <c r="B3" s="42" t="inlineStr">
        <is>
          <t>($ in millions, except per-share data)</t>
        </is>
      </c>
    </row>
    <row r="4"/>
    <row r="5">
      <c r="D5" s="29" t="inlineStr">
        <is>
          <t>FY2021A</t>
        </is>
      </c>
      <c r="E5" s="29" t="inlineStr">
        <is>
          <t>FY2022A</t>
        </is>
      </c>
      <c r="F5" s="29" t="inlineStr">
        <is>
          <t>FY2023A</t>
        </is>
      </c>
      <c r="G5" s="29" t="inlineStr">
        <is>
          <t>FY2024E</t>
        </is>
      </c>
      <c r="H5" s="29" t="inlineStr">
        <is>
          <t>FY2025E</t>
        </is>
      </c>
      <c r="I5" s="29" t="inlineStr">
        <is>
          <t>FY2026E</t>
        </is>
      </c>
      <c r="J5" s="29" t="inlineStr">
        <is>
          <t>FY2027E</t>
        </is>
      </c>
      <c r="K5" s="29" t="inlineStr">
        <is>
          <t>FY2028E</t>
        </is>
      </c>
    </row>
    <row r="6">
      <c r="B6" s="43" t="inlineStr">
        <is>
          <t>WTI crude oil price memo ($/bbl, flat-deck backdrop; not a direct revenue driver)</t>
        </is>
      </c>
      <c r="D6" s="14" t="n">
        <v>68</v>
      </c>
      <c r="E6" s="14" t="n">
        <v>94.90000000000001</v>
      </c>
      <c r="F6" s="14" t="n">
        <v>77.59999999999999</v>
      </c>
      <c r="G6" s="14" t="n">
        <v>78</v>
      </c>
      <c r="H6" s="14" t="n">
        <v>78</v>
      </c>
      <c r="I6" s="14" t="n">
        <v>78</v>
      </c>
      <c r="J6" s="14" t="n">
        <v>78</v>
      </c>
      <c r="K6" s="14" t="n">
        <v>78</v>
      </c>
    </row>
    <row r="7">
      <c r="B7" s="15" t="inlineStr">
        <is>
          <t>Revenue</t>
        </is>
      </c>
      <c r="D7" s="23" t="n">
        <v>285640</v>
      </c>
      <c r="E7" s="23" t="n">
        <v>413680</v>
      </c>
      <c r="F7" s="23" t="n">
        <v>344582</v>
      </c>
      <c r="G7" s="21">
        <f>F7*(1+G8)</f>
      </c>
      <c r="H7" s="21">
        <f>G7*(1+H8)</f>
      </c>
      <c r="I7" s="21">
        <f>H7*(1+I8)</f>
      </c>
      <c r="J7" s="21">
        <f>I7*(1+J8)</f>
      </c>
      <c r="K7" s="21">
        <f>J7*(1+K8)</f>
      </c>
    </row>
    <row r="8">
      <c r="B8" s="30" t="inlineStr">
        <is>
          <t>Revenue growth %</t>
        </is>
      </c>
      <c r="D8" s="42" t="inlineStr">
        <is>
          <t>n/a</t>
        </is>
      </c>
      <c r="E8" s="18">
        <f>E7/D7-1</f>
      </c>
      <c r="F8" s="18">
        <f>F7/E7-1</f>
      </c>
      <c r="G8" s="22" t="n">
        <v>-0.03</v>
      </c>
      <c r="H8" s="22" t="n">
        <v>0.02</v>
      </c>
      <c r="I8" s="22" t="n">
        <v>0.02</v>
      </c>
      <c r="J8" s="22" t="n">
        <v>0.02</v>
      </c>
      <c r="K8" s="22" t="n">
        <v>0.02</v>
      </c>
    </row>
    <row r="9">
      <c r="B9" s="30" t="inlineStr">
        <is>
          <t>EBITDA margin %</t>
        </is>
      </c>
      <c r="D9" s="22" t="n">
        <v>0.17</v>
      </c>
      <c r="E9" s="22" t="n">
        <v>0.225</v>
      </c>
      <c r="F9" s="22" t="n">
        <v>0.2156</v>
      </c>
      <c r="G9" s="22" t="n">
        <v>0.21</v>
      </c>
      <c r="H9" s="22" t="n">
        <v>0.21</v>
      </c>
      <c r="I9" s="22" t="n">
        <v>0.21</v>
      </c>
      <c r="J9" s="22" t="n">
        <v>0.21</v>
      </c>
      <c r="K9" s="22" t="n">
        <v>0.21</v>
      </c>
    </row>
    <row r="10">
      <c r="B10" s="15" t="inlineStr">
        <is>
          <t>EBITDA</t>
        </is>
      </c>
      <c r="D10" s="21">
        <f>D7*D9</f>
      </c>
      <c r="E10" s="21">
        <f>E7*E9</f>
      </c>
      <c r="F10" s="21">
        <f>F7*F9</f>
      </c>
      <c r="G10" s="21">
        <f>G7*G9</f>
      </c>
      <c r="H10" s="21">
        <f>H7*H9</f>
      </c>
      <c r="I10" s="21">
        <f>I7*I9</f>
      </c>
      <c r="J10" s="21">
        <f>J7*J9</f>
      </c>
      <c r="K10" s="21">
        <f>K7*K9</f>
      </c>
    </row>
    <row r="11">
      <c r="B11" s="43" t="inlineStr">
        <is>
          <t>D&amp;A</t>
        </is>
      </c>
      <c r="D11" s="25" t="n">
        <v>18500</v>
      </c>
      <c r="E11" s="25" t="n">
        <v>19000</v>
      </c>
      <c r="F11" s="25" t="n">
        <v>19600</v>
      </c>
      <c r="G11" s="28">
        <f>G7*G12</f>
      </c>
      <c r="H11" s="28">
        <f>H7*H12</f>
      </c>
      <c r="I11" s="28">
        <f>I7*I12</f>
      </c>
      <c r="J11" s="28">
        <f>J7*J12</f>
      </c>
      <c r="K11" s="28">
        <f>K7*K12</f>
      </c>
    </row>
    <row r="12">
      <c r="B12" s="30" t="inlineStr">
        <is>
          <t>D&amp;A % of revenue (memo, hist; driver, proj)</t>
        </is>
      </c>
      <c r="D12" s="18">
        <f>D11/D7</f>
      </c>
      <c r="E12" s="18">
        <f>E11/E7</f>
      </c>
      <c r="F12" s="18">
        <f>F11/F7</f>
      </c>
      <c r="G12" s="22" t="n">
        <v>0.057</v>
      </c>
      <c r="H12" s="22" t="n">
        <v>0.057</v>
      </c>
      <c r="I12" s="22" t="n">
        <v>0.057</v>
      </c>
      <c r="J12" s="22" t="n">
        <v>0.057</v>
      </c>
      <c r="K12" s="22" t="n">
        <v>0.057</v>
      </c>
    </row>
    <row r="13">
      <c r="B13" s="15" t="inlineStr">
        <is>
          <t>EBIT</t>
        </is>
      </c>
      <c r="D13" s="21">
        <f>D10-D11</f>
      </c>
      <c r="E13" s="21">
        <f>E10-E11</f>
      </c>
      <c r="F13" s="21">
        <f>F10-F11</f>
      </c>
      <c r="G13" s="21">
        <f>G10-G11</f>
      </c>
      <c r="H13" s="21">
        <f>H10-H11</f>
      </c>
      <c r="I13" s="21">
        <f>I10-I11</f>
      </c>
      <c r="J13" s="21">
        <f>J10-J11</f>
      </c>
      <c r="K13" s="21">
        <f>K10-K11</f>
      </c>
    </row>
    <row r="14">
      <c r="B14" s="43" t="inlineStr">
        <is>
          <t>Interest expense</t>
        </is>
      </c>
      <c r="D14" s="25" t="n">
        <v>900</v>
      </c>
      <c r="E14" s="25" t="n">
        <v>700</v>
      </c>
      <c r="F14" s="25" t="n">
        <v>800</v>
      </c>
      <c r="G14" s="25" t="n">
        <v>800</v>
      </c>
      <c r="H14" s="25" t="n">
        <v>800</v>
      </c>
      <c r="I14" s="25" t="n">
        <v>800</v>
      </c>
      <c r="J14" s="25" t="n">
        <v>800</v>
      </c>
      <c r="K14" s="25" t="n">
        <v>800</v>
      </c>
    </row>
    <row r="15">
      <c r="B15" s="43" t="inlineStr">
        <is>
          <t>EBT</t>
        </is>
      </c>
      <c r="D15" s="21">
        <f>D13-D14</f>
      </c>
      <c r="E15" s="21">
        <f>E13-E14</f>
      </c>
      <c r="F15" s="21">
        <f>F13-F14</f>
      </c>
      <c r="G15" s="21">
        <f>G13-G14</f>
      </c>
      <c r="H15" s="21">
        <f>H13-H14</f>
      </c>
      <c r="I15" s="21">
        <f>I13-I14</f>
      </c>
      <c r="J15" s="21">
        <f>J13-J14</f>
      </c>
      <c r="K15" s="21">
        <f>K13-K14</f>
      </c>
    </row>
    <row r="16">
      <c r="B16" s="30" t="inlineStr">
        <is>
          <t>Tax rate % (effective; flagged estimate)</t>
        </is>
      </c>
      <c r="D16" s="22" t="n">
        <v>0.21</v>
      </c>
      <c r="E16" s="22" t="n">
        <v>0.24</v>
      </c>
      <c r="F16" s="22" t="n">
        <v>0.3316</v>
      </c>
      <c r="G16" s="22" t="n">
        <v>0.26</v>
      </c>
      <c r="H16" s="22" t="n">
        <v>0.26</v>
      </c>
      <c r="I16" s="22" t="n">
        <v>0.26</v>
      </c>
      <c r="J16" s="22" t="n">
        <v>0.26</v>
      </c>
      <c r="K16" s="22" t="n">
        <v>0.26</v>
      </c>
    </row>
    <row r="17">
      <c r="B17" s="43" t="inlineStr">
        <is>
          <t>Taxes</t>
        </is>
      </c>
      <c r="D17" s="21">
        <f>D15*D16</f>
      </c>
      <c r="E17" s="21">
        <f>E15*E16</f>
      </c>
      <c r="F17" s="21">
        <f>F15*F16</f>
      </c>
      <c r="G17" s="21">
        <f>G15*G16</f>
      </c>
      <c r="H17" s="21">
        <f>H15*H16</f>
      </c>
      <c r="I17" s="21">
        <f>I15*I16</f>
      </c>
      <c r="J17" s="21">
        <f>J15*J16</f>
      </c>
      <c r="K17" s="21">
        <f>K15*K16</f>
      </c>
    </row>
    <row r="18">
      <c r="B18" s="15" t="inlineStr">
        <is>
          <t>Net income</t>
        </is>
      </c>
      <c r="D18" s="27">
        <f>D15-D17</f>
      </c>
      <c r="E18" s="27">
        <f>E15-E17</f>
      </c>
      <c r="F18" s="27">
        <f>F15-F17</f>
      </c>
      <c r="G18" s="27">
        <f>G15-G17</f>
      </c>
      <c r="H18" s="27">
        <f>H15-H17</f>
      </c>
      <c r="I18" s="27">
        <f>I15-I17</f>
      </c>
      <c r="J18" s="27">
        <f>J15-J17</f>
      </c>
      <c r="K18" s="27">
        <f>K15-K17</f>
      </c>
    </row>
    <row r="19">
      <c r="B19" s="43" t="inlineStr">
        <is>
          <t>Diluted shares outstanding (mm)</t>
        </is>
      </c>
      <c r="D19" s="19" t="n">
        <v>4275</v>
      </c>
      <c r="E19" s="19" t="n">
        <v>4203</v>
      </c>
      <c r="F19" s="19" t="n">
        <v>4049</v>
      </c>
      <c r="G19" s="20">
        <f>F19*(1+G20)</f>
      </c>
      <c r="H19" s="20">
        <f>G19*(1+H20)</f>
      </c>
      <c r="I19" s="20">
        <f>H19*(1+I20)</f>
      </c>
      <c r="J19" s="20">
        <f>I19*(1+J20)</f>
      </c>
      <c r="K19" s="20">
        <f>J19*(1+K20)</f>
      </c>
    </row>
    <row r="20">
      <c r="B20" s="30" t="inlineStr">
        <is>
          <t>Share count growth % (buyback effect)</t>
        </is>
      </c>
      <c r="G20" s="24" t="n">
        <v>-0.01</v>
      </c>
      <c r="H20" s="24" t="n">
        <v>-0.01</v>
      </c>
      <c r="I20" s="24" t="n">
        <v>-0.01</v>
      </c>
      <c r="J20" s="24" t="n">
        <v>-0.01</v>
      </c>
      <c r="K20" s="24" t="n">
        <v>-0.01</v>
      </c>
    </row>
    <row r="21">
      <c r="B21" s="15" t="inlineStr">
        <is>
          <t>Standalone diluted EPS ($)</t>
        </is>
      </c>
      <c r="D21" s="31">
        <f>D18/D19</f>
      </c>
      <c r="E21" s="31">
        <f>E18/E19</f>
      </c>
      <c r="F21" s="31">
        <f>F18/F19</f>
      </c>
      <c r="G21" s="31">
        <f>G18/G19</f>
      </c>
      <c r="H21" s="31">
        <f>H18/H19</f>
      </c>
      <c r="I21" s="31">
        <f>I18/I19</f>
      </c>
      <c r="J21" s="31">
        <f>J18/J19</f>
      </c>
      <c r="K21" s="31">
        <f>K18/K19</f>
      </c>
    </row>
    <row r="22"/>
    <row r="23">
      <c r="B23" s="43" t="inlineStr">
        <is>
          <t>Memo: net debt at FY2023A ($mm)</t>
        </is>
      </c>
      <c r="D23" s="23" t="n">
        <v>10100</v>
      </c>
    </row>
    <row r="24" ht="26" customHeight="1" s="40">
      <c r="B24" s="42" t="inlineStr">
        <is>
          <t>ExxonMobil historicals: revenue/EBITDA margin/D&amp;A/interest are sourced or flagged estimates per Cover DealNotes; tax rate reverse-solved to approximate reported net income.</t>
        </is>
      </c>
    </row>
  </sheetData>
  <mergeCells count="1">
    <mergeCell ref="B24:K2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2" customWidth="1" style="40" min="1" max="1"/>
    <col width="40" customWidth="1" style="40" min="2" max="2"/>
    <col width="3" customWidth="1" style="40" min="3" max="3"/>
    <col width="13" customWidth="1" style="40" min="4" max="11"/>
  </cols>
  <sheetData>
    <row r="1"/>
    <row r="2" ht="18" customHeight="1" s="40">
      <c r="B2" s="1" t="inlineStr">
        <is>
          <t>Pioneer Natural Resources (PXD) -- Standalone Projection</t>
        </is>
      </c>
    </row>
    <row r="3">
      <c r="B3" s="42" t="inlineStr">
        <is>
          <t>($ in millions, except per-share data)</t>
        </is>
      </c>
    </row>
    <row r="4"/>
    <row r="5">
      <c r="D5" s="29" t="inlineStr">
        <is>
          <t>FY2021A</t>
        </is>
      </c>
      <c r="E5" s="29" t="inlineStr">
        <is>
          <t>FY2022A</t>
        </is>
      </c>
      <c r="F5" s="29" t="inlineStr">
        <is>
          <t>FY2023A</t>
        </is>
      </c>
      <c r="G5" s="29" t="inlineStr">
        <is>
          <t>FY2024E</t>
        </is>
      </c>
      <c r="H5" s="29" t="inlineStr">
        <is>
          <t>FY2025E</t>
        </is>
      </c>
      <c r="I5" s="29" t="inlineStr">
        <is>
          <t>FY2026E</t>
        </is>
      </c>
      <c r="J5" s="29" t="inlineStr">
        <is>
          <t>FY2027E</t>
        </is>
      </c>
      <c r="K5" s="29" t="inlineStr">
        <is>
          <t>FY2028E</t>
        </is>
      </c>
    </row>
    <row r="6">
      <c r="B6" s="43" t="inlineStr">
        <is>
          <t>WTI crude oil price memo ($/bbl, flat-deck backdrop; not a direct revenue driver)</t>
        </is>
      </c>
      <c r="D6" s="14" t="n">
        <v>68</v>
      </c>
      <c r="E6" s="14" t="n">
        <v>94.90000000000001</v>
      </c>
      <c r="F6" s="14" t="n">
        <v>77.59999999999999</v>
      </c>
      <c r="G6" s="14" t="n">
        <v>78</v>
      </c>
      <c r="H6" s="14" t="n">
        <v>78</v>
      </c>
      <c r="I6" s="14" t="n">
        <v>78</v>
      </c>
      <c r="J6" s="14" t="n">
        <v>78</v>
      </c>
      <c r="K6" s="14" t="n">
        <v>78</v>
      </c>
    </row>
    <row r="7">
      <c r="B7" s="15" t="inlineStr">
        <is>
          <t>Revenue</t>
        </is>
      </c>
      <c r="D7" s="23" t="n">
        <v>14643</v>
      </c>
      <c r="E7" s="23" t="n">
        <v>24294</v>
      </c>
      <c r="F7" s="23" t="n">
        <v>19370</v>
      </c>
      <c r="G7" s="21">
        <f>F7*(1+G8)</f>
      </c>
      <c r="H7" s="21">
        <f>G7*(1+H8)</f>
      </c>
      <c r="I7" s="21">
        <f>H7*(1+I8)</f>
      </c>
      <c r="J7" s="21">
        <f>I7*(1+J8)</f>
      </c>
      <c r="K7" s="21">
        <f>J7*(1+K8)</f>
      </c>
    </row>
    <row r="8">
      <c r="B8" s="30" t="inlineStr">
        <is>
          <t>Revenue growth %</t>
        </is>
      </c>
      <c r="D8" s="42" t="inlineStr">
        <is>
          <t>n/a</t>
        </is>
      </c>
      <c r="E8" s="18">
        <f>E7/D7-1</f>
      </c>
      <c r="F8" s="18">
        <f>F7/E7-1</f>
      </c>
      <c r="G8" s="22" t="n">
        <v>-0.05</v>
      </c>
      <c r="H8" s="22" t="n">
        <v>0.03</v>
      </c>
      <c r="I8" s="22" t="n">
        <v>0.03</v>
      </c>
      <c r="J8" s="22" t="n">
        <v>0.03</v>
      </c>
      <c r="K8" s="22" t="n">
        <v>0.03</v>
      </c>
    </row>
    <row r="9">
      <c r="B9" s="30" t="inlineStr">
        <is>
          <t>EBITDA margin %</t>
        </is>
      </c>
      <c r="D9" s="22" t="n">
        <v>0.4</v>
      </c>
      <c r="E9" s="22" t="n">
        <v>0.58</v>
      </c>
      <c r="F9" s="22" t="n">
        <v>0.52</v>
      </c>
      <c r="G9" s="22" t="n">
        <v>0.54</v>
      </c>
      <c r="H9" s="22" t="n">
        <v>0.54</v>
      </c>
      <c r="I9" s="22" t="n">
        <v>0.54</v>
      </c>
      <c r="J9" s="22" t="n">
        <v>0.54</v>
      </c>
      <c r="K9" s="22" t="n">
        <v>0.54</v>
      </c>
    </row>
    <row r="10">
      <c r="B10" s="15" t="inlineStr">
        <is>
          <t>EBITDA</t>
        </is>
      </c>
      <c r="D10" s="21">
        <f>D7*D9</f>
      </c>
      <c r="E10" s="21">
        <f>E7*E9</f>
      </c>
      <c r="F10" s="21">
        <f>F7*F9</f>
      </c>
      <c r="G10" s="21">
        <f>G7*G9</f>
      </c>
      <c r="H10" s="21">
        <f>H7*H9</f>
      </c>
      <c r="I10" s="21">
        <f>I7*I9</f>
      </c>
      <c r="J10" s="21">
        <f>J7*J9</f>
      </c>
      <c r="K10" s="21">
        <f>K7*K9</f>
      </c>
    </row>
    <row r="11">
      <c r="B11" s="43" t="inlineStr">
        <is>
          <t>D&amp;A</t>
        </is>
      </c>
      <c r="D11" s="25" t="n">
        <v>2200</v>
      </c>
      <c r="E11" s="25" t="n">
        <v>2900</v>
      </c>
      <c r="F11" s="25" t="n">
        <v>3300</v>
      </c>
      <c r="G11" s="28">
        <f>G7*G12</f>
      </c>
      <c r="H11" s="28">
        <f>H7*H12</f>
      </c>
      <c r="I11" s="28">
        <f>I7*I12</f>
      </c>
      <c r="J11" s="28">
        <f>J7*J12</f>
      </c>
      <c r="K11" s="28">
        <f>K7*K12</f>
      </c>
    </row>
    <row r="12">
      <c r="B12" s="30" t="inlineStr">
        <is>
          <t>D&amp;A % of revenue (memo, hist; driver, proj)</t>
        </is>
      </c>
      <c r="D12" s="18">
        <f>D11/D7</f>
      </c>
      <c r="E12" s="18">
        <f>E11/E7</f>
      </c>
      <c r="F12" s="18">
        <f>F11/F7</f>
      </c>
      <c r="G12" s="22" t="n">
        <v>0.15</v>
      </c>
      <c r="H12" s="22" t="n">
        <v>0.15</v>
      </c>
      <c r="I12" s="22" t="n">
        <v>0.15</v>
      </c>
      <c r="J12" s="22" t="n">
        <v>0.15</v>
      </c>
      <c r="K12" s="22" t="n">
        <v>0.15</v>
      </c>
    </row>
    <row r="13">
      <c r="B13" s="15" t="inlineStr">
        <is>
          <t>EBIT</t>
        </is>
      </c>
      <c r="D13" s="21">
        <f>D10-D11</f>
      </c>
      <c r="E13" s="21">
        <f>E10-E11</f>
      </c>
      <c r="F13" s="21">
        <f>F10-F11</f>
      </c>
      <c r="G13" s="21">
        <f>G10-G11</f>
      </c>
      <c r="H13" s="21">
        <f>H10-H11</f>
      </c>
      <c r="I13" s="21">
        <f>I10-I11</f>
      </c>
      <c r="J13" s="21">
        <f>J10-J11</f>
      </c>
      <c r="K13" s="21">
        <f>K10-K11</f>
      </c>
    </row>
    <row r="14">
      <c r="B14" s="43" t="inlineStr">
        <is>
          <t>Interest expense</t>
        </is>
      </c>
      <c r="D14" s="25" t="n">
        <v>230</v>
      </c>
      <c r="E14" s="25" t="n">
        <v>220</v>
      </c>
      <c r="F14" s="25" t="n">
        <v>230</v>
      </c>
      <c r="G14" s="25" t="n">
        <v>230</v>
      </c>
      <c r="H14" s="25" t="n">
        <v>230</v>
      </c>
      <c r="I14" s="25" t="n">
        <v>230</v>
      </c>
      <c r="J14" s="25" t="n">
        <v>230</v>
      </c>
      <c r="K14" s="25" t="n">
        <v>230</v>
      </c>
    </row>
    <row r="15">
      <c r="B15" s="43" t="inlineStr">
        <is>
          <t>EBT</t>
        </is>
      </c>
      <c r="D15" s="21">
        <f>D13-D14</f>
      </c>
      <c r="E15" s="21">
        <f>E13-E14</f>
      </c>
      <c r="F15" s="21">
        <f>F13-F14</f>
      </c>
      <c r="G15" s="21">
        <f>G13-G14</f>
      </c>
      <c r="H15" s="21">
        <f>H13-H14</f>
      </c>
      <c r="I15" s="21">
        <f>I13-I14</f>
      </c>
      <c r="J15" s="21">
        <f>J13-J14</f>
      </c>
      <c r="K15" s="21">
        <f>K13-K14</f>
      </c>
    </row>
    <row r="16">
      <c r="B16" s="30" t="inlineStr">
        <is>
          <t>Tax rate % (effective; flagged estimate)</t>
        </is>
      </c>
      <c r="D16" s="22" t="n">
        <v>0.382</v>
      </c>
      <c r="E16" s="22" t="n">
        <v>0.285</v>
      </c>
      <c r="F16" s="22" t="n">
        <v>0.251</v>
      </c>
      <c r="G16" s="22" t="n">
        <v>0.22</v>
      </c>
      <c r="H16" s="22" t="n">
        <v>0.22</v>
      </c>
      <c r="I16" s="22" t="n">
        <v>0.22</v>
      </c>
      <c r="J16" s="22" t="n">
        <v>0.22</v>
      </c>
      <c r="K16" s="22" t="n">
        <v>0.22</v>
      </c>
    </row>
    <row r="17">
      <c r="B17" s="43" t="inlineStr">
        <is>
          <t>Taxes</t>
        </is>
      </c>
      <c r="D17" s="21">
        <f>D15*D16</f>
      </c>
      <c r="E17" s="21">
        <f>E15*E16</f>
      </c>
      <c r="F17" s="21">
        <f>F15*F16</f>
      </c>
      <c r="G17" s="21">
        <f>G15*G16</f>
      </c>
      <c r="H17" s="21">
        <f>H15*H16</f>
      </c>
      <c r="I17" s="21">
        <f>I15*I16</f>
      </c>
      <c r="J17" s="21">
        <f>J15*J16</f>
      </c>
      <c r="K17" s="21">
        <f>K15*K16</f>
      </c>
    </row>
    <row r="18">
      <c r="B18" s="15" t="inlineStr">
        <is>
          <t>Net income</t>
        </is>
      </c>
      <c r="D18" s="27">
        <f>D15-D17</f>
      </c>
      <c r="E18" s="27">
        <f>E15-E17</f>
      </c>
      <c r="F18" s="27">
        <f>F15-F17</f>
      </c>
      <c r="G18" s="27">
        <f>G15-G17</f>
      </c>
      <c r="H18" s="27">
        <f>H15-H17</f>
      </c>
      <c r="I18" s="27">
        <f>I15-I17</f>
      </c>
      <c r="J18" s="27">
        <f>J15-J17</f>
      </c>
      <c r="K18" s="27">
        <f>K15-K17</f>
      </c>
    </row>
    <row r="19">
      <c r="B19" s="43" t="inlineStr">
        <is>
          <t>Diluted shares outstanding (mm)</t>
        </is>
      </c>
      <c r="D19" s="19" t="n">
        <v>247</v>
      </c>
      <c r="E19" s="19" t="n">
        <v>237</v>
      </c>
      <c r="F19" s="19" t="n">
        <v>233.6</v>
      </c>
      <c r="G19" s="20">
        <f>F19*(1+G20)</f>
      </c>
      <c r="H19" s="20">
        <f>G19*(1+H20)</f>
      </c>
      <c r="I19" s="20">
        <f>H19*(1+I20)</f>
      </c>
      <c r="J19" s="20">
        <f>I19*(1+J20)</f>
      </c>
      <c r="K19" s="20">
        <f>J19*(1+K20)</f>
      </c>
    </row>
    <row r="20">
      <c r="B20" s="30" t="inlineStr">
        <is>
          <t>Share count growth % (buyback effect)</t>
        </is>
      </c>
      <c r="G20" s="24" t="n">
        <v>0</v>
      </c>
      <c r="H20" s="24" t="n">
        <v>0</v>
      </c>
      <c r="I20" s="24" t="n">
        <v>0</v>
      </c>
      <c r="J20" s="24" t="n">
        <v>0</v>
      </c>
      <c r="K20" s="24" t="n">
        <v>0</v>
      </c>
    </row>
    <row r="21">
      <c r="B21" s="15" t="inlineStr">
        <is>
          <t>Standalone diluted EPS ($)</t>
        </is>
      </c>
      <c r="D21" s="31">
        <f>D18/D19</f>
      </c>
      <c r="E21" s="31">
        <f>E18/E19</f>
      </c>
      <c r="F21" s="31">
        <f>F18/F19</f>
      </c>
      <c r="G21" s="31">
        <f>G18/G19</f>
      </c>
      <c r="H21" s="31">
        <f>H18/H19</f>
      </c>
      <c r="I21" s="31">
        <f>I18/I19</f>
      </c>
      <c r="J21" s="31">
        <f>J18/J19</f>
      </c>
      <c r="K21" s="31">
        <f>K18/K19</f>
      </c>
    </row>
    <row r="22"/>
    <row r="23">
      <c r="B23" s="43" t="inlineStr">
        <is>
          <t>Memo: net debt at FY2023A ($mm)</t>
        </is>
      </c>
      <c r="D23" s="23" t="n">
        <v>4600</v>
      </c>
    </row>
    <row r="24" ht="26" customHeight="1" s="40">
      <c r="B24" s="42" t="inlineStr">
        <is>
          <t>Pioneer Natural Resources historicals: revenue/EBITDA margin/D&amp;A/interest are sourced or flagged estimates per Cover DealNotes; tax rate reverse-solved to approximate reported net income.</t>
        </is>
      </c>
    </row>
  </sheetData>
  <mergeCells count="1">
    <mergeCell ref="B24:K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2" customWidth="1" style="40" min="1" max="1"/>
    <col width="42" customWidth="1" style="40" min="2" max="2"/>
    <col width="3" customWidth="1" style="40" min="3" max="3"/>
    <col width="13" customWidth="1" style="40" min="4" max="8"/>
  </cols>
  <sheetData>
    <row r="1"/>
    <row r="2" ht="18" customHeight="1" s="40">
      <c r="B2" s="1" t="inlineStr">
        <is>
          <t>Synergies</t>
        </is>
      </c>
    </row>
    <row r="3">
      <c r="B3" s="42" t="inlineStr">
        <is>
          <t>($ in millions)</t>
        </is>
      </c>
    </row>
    <row r="4"/>
    <row r="5">
      <c r="D5" s="29" t="inlineStr">
        <is>
          <t>FY2024E</t>
        </is>
      </c>
      <c r="E5" s="29" t="inlineStr">
        <is>
          <t>FY2025E</t>
        </is>
      </c>
      <c r="F5" s="29" t="inlineStr">
        <is>
          <t>FY2026E</t>
        </is>
      </c>
      <c r="G5" s="29" t="inlineStr">
        <is>
          <t>FY2027E</t>
        </is>
      </c>
      <c r="H5" s="29" t="inlineStr">
        <is>
          <t>FY2028E</t>
        </is>
      </c>
    </row>
    <row r="6">
      <c r="B6" s="15" t="inlineStr">
        <is>
          <t>Run-rate cost synergies ($mm)</t>
        </is>
      </c>
      <c r="D6" s="23" t="n">
        <v>2000</v>
      </c>
      <c r="E6" s="23" t="n">
        <v>2000</v>
      </c>
      <c r="F6" s="23" t="n">
        <v>2000</v>
      </c>
      <c r="G6" s="23" t="n">
        <v>2000</v>
      </c>
      <c r="H6" s="23" t="n">
        <v>2000</v>
      </c>
    </row>
    <row r="7">
      <c r="B7" s="42" t="inlineStr">
        <is>
          <t>Announced Oct 2023 run-rate; 2024 guidance raised to &gt;$3.0B/yr (memo only, base case holds $2.0B run-rate for deal-vintage consistency -- see Cover DealNotes)</t>
        </is>
      </c>
    </row>
    <row r="8">
      <c r="B8" s="43" t="inlineStr">
        <is>
          <t>Phase-in % of run-rate</t>
        </is>
      </c>
      <c r="D8" s="22" t="n">
        <v>0.4</v>
      </c>
      <c r="E8" s="22" t="n">
        <v>0.7</v>
      </c>
      <c r="F8" s="22" t="n">
        <v>0.9</v>
      </c>
      <c r="G8" s="22" t="n">
        <v>1</v>
      </c>
      <c r="H8" s="22" t="n">
        <v>1</v>
      </c>
    </row>
    <row r="9">
      <c r="B9" s="15" t="inlineStr">
        <is>
          <t>Cost synergies realized ($mm)</t>
        </is>
      </c>
      <c r="D9" s="21">
        <f>D6*D8</f>
      </c>
      <c r="E9" s="21">
        <f>E6*E8</f>
      </c>
      <c r="F9" s="21">
        <f>F6*F8</f>
      </c>
      <c r="G9" s="21">
        <f>G6*G8</f>
      </c>
      <c r="H9" s="21">
        <f>H6*H8</f>
      </c>
    </row>
    <row r="10">
      <c r="B10" s="43" t="inlineStr">
        <is>
          <t>Revenue synergies ($mm)</t>
        </is>
      </c>
      <c r="D10" s="23" t="n">
        <v>0</v>
      </c>
      <c r="E10" s="23" t="n">
        <v>0</v>
      </c>
      <c r="F10" s="23" t="n">
        <v>0</v>
      </c>
      <c r="G10" s="23" t="n">
        <v>0</v>
      </c>
      <c r="H10" s="23" t="n">
        <v>0</v>
      </c>
    </row>
    <row r="11">
      <c r="B11" s="43" t="inlineStr">
        <is>
          <t>Integration costs (one-time, expensed) ($mm)</t>
        </is>
      </c>
      <c r="D11" s="25" t="n">
        <v>300</v>
      </c>
      <c r="E11" s="25" t="n">
        <v>150</v>
      </c>
      <c r="F11" s="25" t="n">
        <v>0</v>
      </c>
      <c r="G11" s="25" t="n">
        <v>0</v>
      </c>
      <c r="H11" s="25" t="n">
        <v>0</v>
      </c>
    </row>
    <row r="12">
      <c r="B12" s="15" t="inlineStr">
        <is>
          <t>Pre-tax net synergy impact ($mm)</t>
        </is>
      </c>
      <c r="D12" s="27">
        <f>D9+D10-D11</f>
      </c>
      <c r="E12" s="27">
        <f>E9+E10-E11</f>
      </c>
      <c r="F12" s="27">
        <f>F9+F10-F11</f>
      </c>
      <c r="G12" s="27">
        <f>G9+G10-G11</f>
      </c>
      <c r="H12" s="27">
        <f>H9+H10-H11</f>
      </c>
    </row>
    <row r="13">
      <c r="B13" s="15" t="inlineStr">
        <is>
          <t>After-tax net synergy impact ($mm)</t>
        </is>
      </c>
      <c r="D13" s="32">
        <f>D12*(1-Assumptions!$D$33)</f>
      </c>
      <c r="E13" s="32">
        <f>E12*(1-Assumptions!$D$33)</f>
      </c>
      <c r="F13" s="32">
        <f>F12*(1-Assumptions!$D$33)</f>
      </c>
      <c r="G13" s="32">
        <f>G12*(1-Assumptions!$D$33)</f>
      </c>
      <c r="H13" s="32">
        <f>H12*(1-Assumptions!$D$33)</f>
      </c>
    </row>
  </sheetData>
  <mergeCells count="1">
    <mergeCell ref="B7:H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5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2" customWidth="1" style="40" min="1" max="1"/>
    <col width="44" customWidth="1" style="40" min="2" max="2"/>
    <col width="3" customWidth="1" style="40" min="3" max="3"/>
    <col width="16" customWidth="1" style="40" min="4" max="4"/>
    <col width="40" customWidth="1" style="40" min="5" max="5"/>
  </cols>
  <sheetData>
    <row r="1"/>
    <row r="2" ht="18" customHeight="1" s="40">
      <c r="B2" s="1" t="inlineStr">
        <is>
          <t>PPA-Financing</t>
        </is>
      </c>
    </row>
    <row r="3">
      <c r="B3" s="42" t="inlineStr">
        <is>
          <t>($ in millions)</t>
        </is>
      </c>
    </row>
    <row r="4"/>
    <row r="5">
      <c r="B5" s="5" t="inlineStr">
        <is>
          <t>Sources &amp; Uses (at close, all-stock)</t>
        </is>
      </c>
      <c r="C5" s="5" t="n"/>
      <c r="D5" s="5" t="n"/>
      <c r="E5" s="5" t="n"/>
    </row>
    <row r="6">
      <c r="B6" s="15" t="inlineStr">
        <is>
          <t>Sources:</t>
        </is>
      </c>
    </row>
    <row r="7">
      <c r="B7" s="43" t="inlineStr">
        <is>
          <t>New debt raised</t>
        </is>
      </c>
      <c r="D7" s="12">
        <f>Assumptions!D21</f>
      </c>
    </row>
    <row r="8">
      <c r="B8" s="43" t="inlineStr">
        <is>
          <t>Cash from balance sheet used</t>
        </is>
      </c>
      <c r="D8" s="12">
        <f>Assumptions!D20</f>
      </c>
    </row>
    <row r="9">
      <c r="B9" s="43" t="inlineStr">
        <is>
          <t>XOM stock issued to PXD holders</t>
        </is>
      </c>
      <c r="D9" s="12">
        <f>Assumptions!D17</f>
      </c>
    </row>
    <row r="10">
      <c r="B10" s="43" t="inlineStr">
        <is>
          <t>Cash used to pay fees (funded by XOM balance sheet)</t>
        </is>
      </c>
      <c r="D10" s="12">
        <f>Assumptions!D24</f>
      </c>
    </row>
    <row r="11">
      <c r="B11" s="15" t="inlineStr">
        <is>
          <t>Total sources</t>
        </is>
      </c>
      <c r="D11" s="27">
        <f>SUM(D7:D10)</f>
      </c>
    </row>
    <row r="12"/>
    <row r="13">
      <c r="B13" s="15" t="inlineStr">
        <is>
          <t>Uses:</t>
        </is>
      </c>
    </row>
    <row r="14">
      <c r="B14" s="43" t="inlineStr">
        <is>
          <t>Equity purchase price</t>
        </is>
      </c>
      <c r="D14" s="12">
        <f>Assumptions!D13</f>
      </c>
    </row>
    <row r="15">
      <c r="B15" s="43" t="inlineStr">
        <is>
          <t>Financing + advisory fees</t>
        </is>
      </c>
      <c r="D15" s="12">
        <f>Assumptions!D24</f>
      </c>
    </row>
    <row r="16">
      <c r="B16" s="15" t="inlineStr">
        <is>
          <t>Total uses</t>
        </is>
      </c>
      <c r="D16" s="27">
        <f>SUM(D14:D15)</f>
      </c>
    </row>
    <row r="17">
      <c r="B17" s="43" t="inlineStr">
        <is>
          <t>Check (Sources - Uses, must = 0.000)</t>
        </is>
      </c>
      <c r="D17" s="28">
        <f>ROUND(D11-D16,3)</f>
      </c>
    </row>
    <row r="18"/>
    <row r="19"/>
    <row r="20">
      <c r="B20" s="5" t="inlineStr">
        <is>
          <t>Goodwill Build (waterfall)</t>
        </is>
      </c>
      <c r="C20" s="5" t="n"/>
      <c r="D20" s="5" t="n"/>
      <c r="E20" s="5" t="n"/>
    </row>
    <row r="21">
      <c r="B21" s="43" t="inlineStr">
        <is>
          <t>Equity purchase price</t>
        </is>
      </c>
      <c r="D21" s="12">
        <f>Assumptions!D13</f>
      </c>
    </row>
    <row r="22">
      <c r="B22" s="43" t="inlineStr">
        <is>
          <t>Less: PXD book equity acquired</t>
        </is>
      </c>
      <c r="D22" s="12">
        <f>-Assumptions!D27</f>
      </c>
    </row>
    <row r="23">
      <c r="B23" s="43" t="inlineStr">
        <is>
          <t>Plus: existing PXD goodwill written off</t>
        </is>
      </c>
      <c r="D23" s="12">
        <f>Assumptions!D28</f>
      </c>
    </row>
    <row r="24">
      <c r="B24" s="43" t="inlineStr">
        <is>
          <t>Less: PP&amp;E (O&amp;G properties) step-up</t>
        </is>
      </c>
      <c r="D24" s="12">
        <f>-Assumptions!D31</f>
      </c>
    </row>
    <row r="25">
      <c r="B25" s="43" t="inlineStr">
        <is>
          <t>Plus: deferred tax liability created</t>
        </is>
      </c>
      <c r="D25" s="12">
        <f>Assumptions!D34</f>
      </c>
    </row>
    <row r="26">
      <c r="B26" s="15" t="inlineStr">
        <is>
          <t>New goodwill</t>
        </is>
      </c>
      <c r="D26" s="27">
        <f>SUM(D21:D25)</f>
      </c>
    </row>
    <row r="27">
      <c r="B27" s="43" t="inlineStr">
        <is>
          <t>Check vs. Assumptions goodwill row (must = 0.000)</t>
        </is>
      </c>
      <c r="D27" s="28">
        <f>ROUND(D26-Assumptions!D35,3)</f>
      </c>
    </row>
    <row r="28"/>
    <row r="29"/>
    <row r="30">
      <c r="B30" s="5" t="inlineStr">
        <is>
          <t>Financing Effects / Year</t>
        </is>
      </c>
      <c r="C30" s="5" t="n"/>
      <c r="D30" s="5" t="n"/>
      <c r="E30" s="5" t="n"/>
      <c r="F30" s="5" t="n"/>
      <c r="G30" s="5" t="n"/>
      <c r="H30" s="5" t="n"/>
    </row>
    <row r="31">
      <c r="D31" s="29" t="inlineStr">
        <is>
          <t>FY2024E</t>
        </is>
      </c>
      <c r="E31" s="29" t="inlineStr">
        <is>
          <t>FY2025E</t>
        </is>
      </c>
      <c r="F31" s="29" t="inlineStr">
        <is>
          <t>FY2026E</t>
        </is>
      </c>
      <c r="G31" s="29" t="inlineStr">
        <is>
          <t>FY2027E</t>
        </is>
      </c>
      <c r="H31" s="29" t="inlineStr">
        <is>
          <t>FY2028E</t>
        </is>
      </c>
    </row>
    <row r="32">
      <c r="B32" s="43" t="inlineStr">
        <is>
          <t>New debt interest expense</t>
        </is>
      </c>
      <c r="D32" s="33">
        <f>Assumptions!$D$21*Assumptions!$D$22</f>
      </c>
      <c r="E32" s="33">
        <f>Assumptions!$D$21*Assumptions!$D$22</f>
      </c>
      <c r="F32" s="33">
        <f>Assumptions!$D$21*Assumptions!$D$22</f>
      </c>
      <c r="G32" s="33">
        <f>Assumptions!$D$21*Assumptions!$D$22</f>
      </c>
      <c r="H32" s="33">
        <f>Assumptions!$D$21*Assumptions!$D$22</f>
      </c>
    </row>
    <row r="33">
      <c r="B33" s="43" t="inlineStr">
        <is>
          <t>Foregone interest on cash used</t>
        </is>
      </c>
      <c r="D33" s="33">
        <f>Assumptions!$D$20*Assumptions!$D$23</f>
      </c>
      <c r="E33" s="33">
        <f>Assumptions!$D$20*Assumptions!$D$23</f>
      </c>
      <c r="F33" s="33">
        <f>Assumptions!$D$20*Assumptions!$D$23</f>
      </c>
      <c r="G33" s="33">
        <f>Assumptions!$D$20*Assumptions!$D$23</f>
      </c>
      <c r="H33" s="33">
        <f>Assumptions!$D$20*Assumptions!$D$23</f>
      </c>
    </row>
    <row r="34">
      <c r="B34" s="43" t="inlineStr">
        <is>
          <t>Incremental PP&amp;E (O&amp;G) DD&amp;A from step-up</t>
        </is>
      </c>
      <c r="D34" s="33">
        <f>Assumptions!$D$37</f>
      </c>
      <c r="E34" s="33">
        <f>Assumptions!$D$37</f>
      </c>
      <c r="F34" s="33">
        <f>Assumptions!$D$37</f>
      </c>
      <c r="G34" s="33">
        <f>Assumptions!$D$37</f>
      </c>
      <c r="H34" s="33">
        <f>Assumptions!$D$37</f>
      </c>
    </row>
    <row r="35" ht="30" customHeight="1" s="40">
      <c r="B35" s="42" t="inlineStr">
        <is>
          <t>Financing/advisory fees are expensed at close (no debt tenor to amortize over in the all-stock base case); n/a in the %-cash what-if since new debt there is also modeled as a Grid-2-only construct.</t>
        </is>
      </c>
    </row>
  </sheetData>
  <mergeCells count="1">
    <mergeCell ref="B35:H35"/>
  </mergeCells>
  <conditionalFormatting sqref="D17">
    <cfRule type="cellIs" priority="1" operator="equal" dxfId="1">
      <formula>0</formula>
    </cfRule>
    <cfRule type="cellIs" priority="2" operator="notEqual" dxfId="0">
      <formula>0</formula>
    </cfRule>
  </conditionalFormatting>
  <conditionalFormatting sqref="D27">
    <cfRule type="cellIs" priority="3" operator="equal" dxfId="1">
      <formula>0</formula>
    </cfRule>
    <cfRule type="cellIs" priority="4" operator="notEqual" dxfId="0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2" customWidth="1" style="40" min="1" max="1"/>
    <col width="44" customWidth="1" style="40" min="2" max="2"/>
    <col width="3" customWidth="1" style="40" min="3" max="3"/>
    <col width="13" customWidth="1" style="40" min="4" max="8"/>
  </cols>
  <sheetData>
    <row r="1"/>
    <row r="2" ht="18" customHeight="1" s="40">
      <c r="B2" s="1" t="inlineStr">
        <is>
          <t>ProForma</t>
        </is>
      </c>
    </row>
    <row r="3">
      <c r="B3" s="42" t="inlineStr">
        <is>
          <t>($ in millions, except per-share data)</t>
        </is>
      </c>
    </row>
    <row r="4"/>
    <row r="5">
      <c r="D5" s="29" t="inlineStr">
        <is>
          <t>FY2024E</t>
        </is>
      </c>
      <c r="E5" s="29" t="inlineStr">
        <is>
          <t>FY2025E</t>
        </is>
      </c>
      <c r="F5" s="29" t="inlineStr">
        <is>
          <t>FY2026E</t>
        </is>
      </c>
      <c r="G5" s="29" t="inlineStr">
        <is>
          <t>FY2027E</t>
        </is>
      </c>
      <c r="H5" s="29" t="inlineStr">
        <is>
          <t>FY2028E</t>
        </is>
      </c>
    </row>
    <row r="6">
      <c r="B6" s="15" t="inlineStr">
        <is>
          <t>Pro forma revenue</t>
        </is>
      </c>
      <c r="D6" s="12">
        <f>Acquirer!G7+Target!G7+Synergies!D10</f>
      </c>
      <c r="E6" s="12">
        <f>Acquirer!H7+Target!H7+Synergies!E10</f>
      </c>
      <c r="F6" s="12">
        <f>Acquirer!I7+Target!I7+Synergies!F10</f>
      </c>
      <c r="G6" s="12">
        <f>Acquirer!J7+Target!J7+Synergies!G10</f>
      </c>
      <c r="H6" s="12">
        <f>Acquirer!K7+Target!K7+Synergies!H10</f>
      </c>
    </row>
    <row r="7">
      <c r="B7" s="15" t="inlineStr">
        <is>
          <t>Pro forma EBITDA</t>
        </is>
      </c>
      <c r="D7" s="12">
        <f>Acquirer!G10+Target!G10+Synergies!D9-Synergies!D11</f>
      </c>
      <c r="E7" s="12">
        <f>Acquirer!H10+Target!H10+Synergies!E9-Synergies!E11</f>
      </c>
      <c r="F7" s="12">
        <f>Acquirer!I10+Target!I10+Synergies!F9-Synergies!F11</f>
      </c>
      <c r="G7" s="12">
        <f>Acquirer!J10+Target!J10+Synergies!G9-Synergies!G11</f>
      </c>
      <c r="H7" s="12">
        <f>Acquirer!K10+Target!K10+Synergies!H9-Synergies!H11</f>
      </c>
    </row>
    <row r="8">
      <c r="B8" s="43" t="inlineStr">
        <is>
          <t>Combined D&amp;A + incremental PP&amp;E step-up DD&amp;A</t>
        </is>
      </c>
      <c r="D8" s="12">
        <f>Acquirer!G11+Target!G11+'PPA-Financing'!$D$34</f>
      </c>
      <c r="E8" s="12">
        <f>Acquirer!H11+Target!H11+'PPA-Financing'!$D$34</f>
      </c>
      <c r="F8" s="12">
        <f>Acquirer!I11+Target!I11+'PPA-Financing'!$D$34</f>
      </c>
      <c r="G8" s="12">
        <f>Acquirer!J11+Target!J11+'PPA-Financing'!$D$34</f>
      </c>
      <c r="H8" s="12">
        <f>Acquirer!K11+Target!K11+'PPA-Financing'!$D$34</f>
      </c>
    </row>
    <row r="9">
      <c r="B9" s="15" t="inlineStr">
        <is>
          <t>Pro forma EBIT</t>
        </is>
      </c>
      <c r="D9" s="21">
        <f>D7-D8</f>
      </c>
      <c r="E9" s="21">
        <f>E7-E8</f>
      </c>
      <c r="F9" s="21">
        <f>F7-F8</f>
      </c>
      <c r="G9" s="21">
        <f>G7-G8</f>
      </c>
      <c r="H9" s="21">
        <f>H7-H8</f>
      </c>
    </row>
    <row r="10">
      <c r="B10" s="43" t="inlineStr">
        <is>
          <t>Interest expense (acquirer + target [toggle] + new debt + foregone cash yield)</t>
        </is>
      </c>
      <c r="D10" s="33">
        <f>Acquirer!G14+Target!G14*Assumptions!$D$40+'PPA-Financing'!$D$32+'PPA-Financing'!$D$33</f>
      </c>
      <c r="E10" s="33">
        <f>Acquirer!H14+Target!H14*Assumptions!$D$40+'PPA-Financing'!$D$32+'PPA-Financing'!$D$33</f>
      </c>
      <c r="F10" s="33">
        <f>Acquirer!I14+Target!I14*Assumptions!$D$40+'PPA-Financing'!$D$32+'PPA-Financing'!$D$33</f>
      </c>
      <c r="G10" s="33">
        <f>Acquirer!J14+Target!J14*Assumptions!$D$40+'PPA-Financing'!$D$32+'PPA-Financing'!$D$33</f>
      </c>
      <c r="H10" s="33">
        <f>Acquirer!K14+Target!K14*Assumptions!$D$40+'PPA-Financing'!$D$32+'PPA-Financing'!$D$33</f>
      </c>
    </row>
    <row r="11">
      <c r="B11" s="43" t="inlineStr">
        <is>
          <t>Pro forma EBT</t>
        </is>
      </c>
      <c r="D11" s="21">
        <f>D9-D10</f>
      </c>
      <c r="E11" s="21">
        <f>E9-E10</f>
      </c>
      <c r="F11" s="21">
        <f>F9-F10</f>
      </c>
      <c r="G11" s="21">
        <f>G9-G10</f>
      </c>
      <c r="H11" s="21">
        <f>H9-H10</f>
      </c>
    </row>
    <row r="12">
      <c r="B12" s="43" t="inlineStr">
        <is>
          <t>Taxes @ blended rate</t>
        </is>
      </c>
      <c r="D12" s="12">
        <f>D11*Assumptions!$D$33</f>
      </c>
      <c r="E12" s="12">
        <f>E11*Assumptions!$D$33</f>
      </c>
      <c r="F12" s="12">
        <f>F11*Assumptions!$D$33</f>
      </c>
      <c r="G12" s="12">
        <f>G11*Assumptions!$D$33</f>
      </c>
      <c r="H12" s="12">
        <f>H11*Assumptions!$D$33</f>
      </c>
    </row>
    <row r="13">
      <c r="B13" s="15" t="inlineStr">
        <is>
          <t>Pro forma net income</t>
        </is>
      </c>
      <c r="D13" s="27">
        <f>D11-D12</f>
      </c>
      <c r="E13" s="27">
        <f>E11-E12</f>
      </c>
      <c r="F13" s="27">
        <f>F11-F12</f>
      </c>
      <c r="G13" s="27">
        <f>G11-G12</f>
      </c>
      <c r="H13" s="27">
        <f>H11-H12</f>
      </c>
    </row>
    <row r="14">
      <c r="B14" s="15" t="inlineStr">
        <is>
          <t>Pro forma diluted shares (acquirer standalone + new shares issued)</t>
        </is>
      </c>
      <c r="D14" s="13">
        <f>Acquirer!G19+Assumptions!$D$12</f>
      </c>
      <c r="E14" s="13">
        <f>Acquirer!H19+Assumptions!$D$12</f>
      </c>
      <c r="F14" s="13">
        <f>Acquirer!I19+Assumptions!$D$12</f>
      </c>
      <c r="G14" s="13">
        <f>Acquirer!J19+Assumptions!$D$12</f>
      </c>
      <c r="H14" s="13">
        <f>Acquirer!K19+Assumptions!$D$12</f>
      </c>
    </row>
    <row r="15">
      <c r="B15" s="15" t="inlineStr">
        <is>
          <t>Pro forma EPS ($)</t>
        </is>
      </c>
      <c r="D15" s="31">
        <f>D13/D14</f>
      </c>
      <c r="E15" s="31">
        <f>E13/E14</f>
      </c>
      <c r="F15" s="31">
        <f>F13/F14</f>
      </c>
      <c r="G15" s="31">
        <f>G13/G14</f>
      </c>
      <c r="H15" s="31">
        <f>H13/H14</f>
      </c>
    </row>
    <row r="16">
      <c r="B16" s="43" t="inlineStr">
        <is>
          <t>Acquirer (XOM) standalone EPS ($)</t>
        </is>
      </c>
      <c r="D16" s="10">
        <f>Acquirer!G21</f>
      </c>
      <c r="E16" s="10">
        <f>Acquirer!H21</f>
      </c>
      <c r="F16" s="10">
        <f>Acquirer!I21</f>
      </c>
      <c r="G16" s="10">
        <f>Acquirer!J21</f>
      </c>
      <c r="H16" s="10">
        <f>Acquirer!K21</f>
      </c>
    </row>
    <row r="17">
      <c r="B17" s="43" t="inlineStr">
        <is>
          <t>Accretion / (dilution), $ per share</t>
        </is>
      </c>
      <c r="D17" s="17">
        <f>D15-D16</f>
      </c>
      <c r="E17" s="17">
        <f>E15-E16</f>
      </c>
      <c r="F17" s="17">
        <f>F15-F16</f>
      </c>
      <c r="G17" s="17">
        <f>G15-G16</f>
      </c>
      <c r="H17" s="17">
        <f>H15-H16</f>
      </c>
    </row>
    <row r="18">
      <c r="B18" s="15" t="inlineStr">
        <is>
          <t>Accretion / (dilution), %</t>
        </is>
      </c>
      <c r="D18" s="34">
        <f>D15/D16-1</f>
      </c>
      <c r="E18" s="34">
        <f>E15/E16-1</f>
      </c>
      <c r="F18" s="34">
        <f>F15/F16-1</f>
      </c>
      <c r="G18" s="34">
        <f>G15/G16-1</f>
      </c>
      <c r="H18" s="34">
        <f>H15/H16-1</f>
      </c>
    </row>
    <row r="19"/>
    <row r="20">
      <c r="B20" s="5" t="inlineStr">
        <is>
          <t>Breakeven Synergies (Yr-1, FY2024E)</t>
        </is>
      </c>
      <c r="C20" s="5" t="n"/>
    </row>
    <row r="21">
      <c r="B21" s="43" t="inlineStr">
        <is>
          <t>Breakeven run-rate cost synergies, pre-tax ($mm)</t>
        </is>
      </c>
      <c r="D21" s="35">
        <f>(D16*D14 - (D13-Synergies!D9*(1-Assumptions!$D$33))) / ((1-Assumptions!$D$33)*Synergies!D8)</f>
      </c>
    </row>
    <row r="22">
      <c r="B22" s="43" t="inlineStr">
        <is>
          <t>Cross-check: plug breakeven into accretion formula (must = 0.000)</t>
        </is>
      </c>
      <c r="D22" s="28">
        <f>ROUND((( D13-Synergies!D9*(1-Assumptions!$D$33)+D21*(1-Assumptions!$D$33)*Synergies!D8 )/D14) / D16 - 1,3)</f>
      </c>
    </row>
    <row r="23"/>
    <row r="24">
      <c r="B24" s="5" t="inlineStr">
        <is>
          <t>Memo: Pro Forma Leverage (simple FCF debt paydown sweep)</t>
        </is>
      </c>
      <c r="C24" s="5" t="n"/>
      <c r="D24" s="5" t="n"/>
      <c r="E24" s="5" t="n"/>
      <c r="F24" s="5" t="n"/>
      <c r="G24" s="5" t="n"/>
      <c r="H24" s="5" t="n"/>
    </row>
    <row r="25">
      <c r="D25" s="29" t="inlineStr">
        <is>
          <t>FY2024E</t>
        </is>
      </c>
      <c r="E25" s="29" t="inlineStr">
        <is>
          <t>FY2025E</t>
        </is>
      </c>
      <c r="F25" s="29" t="inlineStr">
        <is>
          <t>FY2026E</t>
        </is>
      </c>
      <c r="G25" s="29" t="inlineStr">
        <is>
          <t>FY2027E</t>
        </is>
      </c>
      <c r="H25" s="29" t="inlineStr">
        <is>
          <t>FY2028E</t>
        </is>
      </c>
    </row>
    <row r="26">
      <c r="B26" s="43" t="inlineStr">
        <is>
          <t>Opening net debt (XOM + PXD standalone, no new debt)</t>
        </is>
      </c>
      <c r="D26" s="12">
        <f>Acquirer!$D$23+Target!$D$23+Assumptions!$D$21</f>
      </c>
      <c r="E26" s="21">
        <f>D28</f>
      </c>
      <c r="F26" s="21">
        <f>E28</f>
      </c>
      <c r="G26" s="21">
        <f>F28</f>
      </c>
      <c r="H26" s="21">
        <f>G28</f>
      </c>
    </row>
    <row r="27">
      <c r="B27" s="43" t="inlineStr">
        <is>
          <t>Debt paydown (sweep % of pro forma NI, floored at opening balance)</t>
        </is>
      </c>
      <c r="D27" s="12">
        <f>MAX(0,MIN(D13*Assumptions!$D$41,D26))</f>
      </c>
      <c r="E27" s="12">
        <f>MAX(0,MIN(E13*Assumptions!$D$41,E26))</f>
      </c>
      <c r="F27" s="12">
        <f>MAX(0,MIN(F13*Assumptions!$D$41,F26))</f>
      </c>
      <c r="G27" s="12">
        <f>MAX(0,MIN(G13*Assumptions!$D$41,G26))</f>
      </c>
      <c r="H27" s="12">
        <f>MAX(0,MIN(H13*Assumptions!$D$41,H26))</f>
      </c>
    </row>
    <row r="28">
      <c r="B28" s="15" t="inlineStr">
        <is>
          <t>Closing net debt</t>
        </is>
      </c>
      <c r="D28" s="27">
        <f>D26-D27</f>
      </c>
      <c r="E28" s="27">
        <f>E26-E27</f>
      </c>
      <c r="F28" s="27">
        <f>F26-F27</f>
      </c>
      <c r="G28" s="27">
        <f>G26-G27</f>
      </c>
      <c r="H28" s="27">
        <f>H26-H27</f>
      </c>
    </row>
    <row r="29">
      <c r="B29" s="15" t="inlineStr">
        <is>
          <t>Net debt / EBITDA</t>
        </is>
      </c>
      <c r="D29" s="36">
        <f>IFERROR(D28/D7,"n.m.")</f>
      </c>
      <c r="E29" s="36">
        <f>IFERROR(E28/E7,"n.m.")</f>
      </c>
      <c r="F29" s="36">
        <f>IFERROR(F28/F7,"n.m.")</f>
      </c>
      <c r="G29" s="36">
        <f>IFERROR(G28/G7,"n.m.")</f>
      </c>
      <c r="H29" s="36">
        <f>IFERROR(H28/H7,"n.m.")</f>
      </c>
    </row>
  </sheetData>
  <conditionalFormatting sqref="D22">
    <cfRule type="cellIs" priority="3" operator="equal" dxfId="1">
      <formula>0</formula>
    </cfRule>
    <cfRule type="cellIs" priority="4" operator="notEqual" dxfId="0">
      <formula>0</formula>
    </cfRule>
  </conditionalFormatting>
  <conditionalFormatting sqref="D18:H18">
    <cfRule type="cellIs" priority="1" operator="greaterThanOrEqual" dxfId="1">
      <formula>0</formula>
    </cfRule>
    <cfRule type="cellIs" priority="2" operator="lessThan" dxfId="0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2" customWidth="1" style="40" min="1" max="1"/>
    <col width="34" customWidth="1" style="40" min="2" max="2"/>
    <col width="3" customWidth="1" style="40" min="3" max="3"/>
    <col width="16" customWidth="1" style="40" min="4" max="6"/>
    <col width="40" customWidth="1" style="40" min="7" max="7"/>
  </cols>
  <sheetData>
    <row r="1"/>
    <row r="2" ht="18" customHeight="1" s="40">
      <c r="B2" s="1" t="inlineStr">
        <is>
          <t>Contribution Analysis</t>
        </is>
      </c>
    </row>
    <row r="3">
      <c r="B3" s="42" t="inlineStr">
        <is>
          <t>($ in millions; FY2023A basis, last full year pre-close)</t>
        </is>
      </c>
    </row>
    <row r="4"/>
    <row r="5">
      <c r="D5" s="29" t="inlineStr">
        <is>
          <t>Acquirer (XOM)</t>
        </is>
      </c>
      <c r="E5" s="29" t="inlineStr">
        <is>
          <t>Target (PXD)</t>
        </is>
      </c>
      <c r="F5" s="29" t="inlineStr">
        <is>
          <t>Combined</t>
        </is>
      </c>
    </row>
    <row r="6">
      <c r="B6" s="15" t="inlineStr">
        <is>
          <t>Revenue</t>
        </is>
      </c>
      <c r="D6" s="12">
        <f>Acquirer!F7</f>
      </c>
      <c r="E6" s="12">
        <f>Target!F7</f>
      </c>
      <c r="F6" s="27">
        <f>D6+E6</f>
      </c>
    </row>
    <row r="7">
      <c r="B7" s="30" t="inlineStr">
        <is>
          <t xml:space="preserve">  % of combined (Revenue)</t>
        </is>
      </c>
      <c r="D7" s="18">
        <f>D6/F6</f>
      </c>
      <c r="E7" s="18">
        <f>E6/F6</f>
      </c>
    </row>
    <row r="8">
      <c r="B8" s="15" t="inlineStr">
        <is>
          <t>EBITDA</t>
        </is>
      </c>
      <c r="D8" s="12">
        <f>Acquirer!F10</f>
      </c>
      <c r="E8" s="12">
        <f>Target!F10</f>
      </c>
      <c r="F8" s="27">
        <f>D8+E8</f>
      </c>
    </row>
    <row r="9">
      <c r="B9" s="30" t="inlineStr">
        <is>
          <t xml:space="preserve">  % of combined (EBITDA)</t>
        </is>
      </c>
      <c r="D9" s="18">
        <f>D8/F8</f>
      </c>
      <c r="E9" s="18">
        <f>E8/F8</f>
      </c>
    </row>
    <row r="10">
      <c r="B10" s="15" t="inlineStr">
        <is>
          <t>EBIT</t>
        </is>
      </c>
      <c r="D10" s="12">
        <f>Acquirer!F13</f>
      </c>
      <c r="E10" s="12">
        <f>Target!F13</f>
      </c>
      <c r="F10" s="27">
        <f>D10+E10</f>
      </c>
    </row>
    <row r="11">
      <c r="B11" s="30" t="inlineStr">
        <is>
          <t xml:space="preserve">  % of combined (EBIT)</t>
        </is>
      </c>
      <c r="D11" s="18">
        <f>D10/F10</f>
      </c>
      <c r="E11" s="18">
        <f>E10/F10</f>
      </c>
    </row>
    <row r="12">
      <c r="B12" s="15" t="inlineStr">
        <is>
          <t>Net income</t>
        </is>
      </c>
      <c r="D12" s="12">
        <f>Acquirer!F18</f>
      </c>
      <c r="E12" s="12">
        <f>Target!F18</f>
      </c>
      <c r="F12" s="27">
        <f>D12+E12</f>
      </c>
    </row>
    <row r="13">
      <c r="B13" s="30" t="inlineStr">
        <is>
          <t xml:space="preserve">  % of combined (Net income)</t>
        </is>
      </c>
      <c r="D13" s="18">
        <f>D12/F12</f>
      </c>
      <c r="E13" s="18">
        <f>E12/F12</f>
      </c>
    </row>
    <row r="14"/>
    <row r="15">
      <c r="B15" s="5" t="inlineStr">
        <is>
          <t>Ownership vs. Earnings Contribution</t>
        </is>
      </c>
      <c r="C15" s="5" t="n"/>
      <c r="D15" s="5" t="n"/>
      <c r="E15" s="5" t="n"/>
      <c r="F15" s="5" t="n"/>
    </row>
    <row r="16">
      <c r="B16" s="43" t="inlineStr">
        <is>
          <t>Pro forma ownership %</t>
        </is>
      </c>
      <c r="D16" s="11">
        <f>Acquirer!F19/(Acquirer!F19+Assumptions!$D$12)</f>
      </c>
      <c r="E16" s="11">
        <f>Assumptions!$D$12/(Acquirer!F19+Assumptions!$D$12)</f>
      </c>
    </row>
    <row r="17">
      <c r="B17" s="43" t="inlineStr">
        <is>
          <t>FY2023A net income contribution %</t>
        </is>
      </c>
      <c r="D17" s="18">
        <f>D12/F12</f>
      </c>
      <c r="E17" s="18">
        <f>E12/F12</f>
      </c>
    </row>
    <row r="18">
      <c r="B18" s="15" t="inlineStr">
        <is>
          <t>Contribution vs. ownership delta (pts)</t>
        </is>
      </c>
      <c r="D18" s="34">
        <f>D17-D16</f>
      </c>
      <c r="E18" s="34">
        <f>E17-E16</f>
      </c>
      <c r="G18" s="42" t="inlineStr">
        <is>
          <t>PXD earnings contribution vs. its ~12-13% pro forma ownership stake -- the star output of this tab</t>
        </is>
      </c>
    </row>
    <row r="19"/>
    <row r="20" ht="30" customHeight="1" s="40">
      <c r="B20" s="42" t="inlineStr">
        <is>
          <t>PXD contributes disproportionately more FY2023A net income than its pro forma share-ownership stake would imply, since PXD's E&amp;P earnings yield exceeded XOM's at signing -- consistent with the modest EPS accretion shown on the ProForma tab.</t>
        </is>
      </c>
    </row>
  </sheetData>
  <mergeCells count="1">
    <mergeCell ref="B20:G2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5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2" customWidth="1" style="40" min="1" max="1"/>
    <col width="22" customWidth="1" style="40" min="2" max="2"/>
    <col width="3" customWidth="1" style="40" min="3" max="3"/>
    <col width="14" customWidth="1" style="40" min="4" max="8"/>
    <col width="4" customWidth="1" style="40" min="9" max="9"/>
    <col width="22" customWidth="1" style="40" min="10" max="10"/>
    <col width="14" customWidth="1" style="40" min="11" max="15"/>
  </cols>
  <sheetData>
    <row r="1"/>
    <row r="2" ht="18" customHeight="1" s="40">
      <c r="B2" s="1" t="inlineStr">
        <is>
          <t>Sensitivity</t>
        </is>
      </c>
    </row>
    <row r="3">
      <c r="B3" s="42" t="inlineStr">
        <is>
          <t>Algebraic re-derivation per cell (no Excel Data Tables) -- master spec section 4</t>
        </is>
      </c>
    </row>
    <row r="4"/>
    <row r="5">
      <c r="B5" s="5" t="inlineStr">
        <is>
          <t>Grid 1: Exchange Ratio x Run-Rate Synergies -&gt; FY2024E Accretion/(Dilution) %</t>
        </is>
      </c>
      <c r="C5" s="5" t="n"/>
      <c r="D5" s="5" t="n"/>
      <c r="E5" s="5" t="n"/>
      <c r="F5" s="5" t="n"/>
      <c r="G5" s="5" t="n"/>
      <c r="H5" s="5" t="n"/>
    </row>
    <row r="6">
      <c r="B6" s="43" t="inlineStr">
        <is>
          <t>Helper columns compute, per exchange-ratio row: new shares, equity purchase price, PF NI, PF EPS.</t>
        </is>
      </c>
    </row>
    <row r="7">
      <c r="C7" s="15" t="inlineStr">
        <is>
          <t>Ratio</t>
        </is>
      </c>
      <c r="D7" s="15" t="inlineStr">
        <is>
          <t>New shares</t>
        </is>
      </c>
      <c r="E7" s="15" t="inlineStr">
        <is>
          <t>Equity PP ($mm)</t>
        </is>
      </c>
    </row>
    <row r="8">
      <c r="C8" s="16" t="n">
        <v>2.0234</v>
      </c>
      <c r="D8" s="20">
        <f>Assumptions!$D$11*C8</f>
      </c>
      <c r="E8" s="12">
        <f>Assumptions!$D$11*C8*Assumptions!$D$6</f>
      </c>
    </row>
    <row r="9">
      <c r="C9" s="16" t="n">
        <v>2.1734</v>
      </c>
      <c r="D9" s="20">
        <f>Assumptions!$D$11*C9</f>
      </c>
      <c r="E9" s="12">
        <f>Assumptions!$D$11*C9*Assumptions!$D$6</f>
      </c>
    </row>
    <row r="10">
      <c r="C10" s="16" t="n">
        <v>2.3234</v>
      </c>
      <c r="D10" s="20">
        <f>Assumptions!$D$11*C10</f>
      </c>
      <c r="E10" s="12">
        <f>Assumptions!$D$11*C10*Assumptions!$D$6</f>
      </c>
    </row>
    <row r="11">
      <c r="C11" s="16" t="n">
        <v>2.4734</v>
      </c>
      <c r="D11" s="20">
        <f>Assumptions!$D$11*C11</f>
      </c>
      <c r="E11" s="12">
        <f>Assumptions!$D$11*C11*Assumptions!$D$6</f>
      </c>
    </row>
    <row r="12">
      <c r="C12" s="16" t="n">
        <v>2.6234</v>
      </c>
      <c r="D12" s="20">
        <f>Assumptions!$D$11*C12</f>
      </c>
      <c r="E12" s="12">
        <f>Assumptions!$D$11*C12*Assumptions!$D$6</f>
      </c>
    </row>
    <row r="13"/>
    <row r="14">
      <c r="B14" s="15" t="inlineStr">
        <is>
          <t>Yr1 accretion % grid  (rows = ratio; cols = synergy run-rate $bn)</t>
        </is>
      </c>
    </row>
    <row r="15">
      <c r="C15" s="11">
        <f>D18</f>
      </c>
      <c r="D15" s="37" t="n">
        <v>0</v>
      </c>
      <c r="E15" s="37" t="n">
        <v>1</v>
      </c>
      <c r="F15" s="37" t="n">
        <v>2</v>
      </c>
      <c r="G15" s="37" t="n">
        <v>3</v>
      </c>
      <c r="H15" s="37" t="n">
        <v>4</v>
      </c>
    </row>
    <row r="16">
      <c r="C16" s="36">
        <f>C8</f>
      </c>
      <c r="D16" s="18">
        <f>((Acquirer!$G$15+Target!$G$15+D$15*1000*Synergies!$D$8-Synergies!$D$11-Assumptions!$D$37-'PPA-Financing'!$D$32-'PPA-Financing'!$D$33)*(1-Assumptions!$D$33)/(Acquirer!$G$19+$D$8))/Acquirer!$G$21-1</f>
      </c>
      <c r="E16" s="18">
        <f>((Acquirer!$G$15+Target!$G$15+E$15*1000*Synergies!$D$8-Synergies!$D$11-Assumptions!$D$37-'PPA-Financing'!$D$32-'PPA-Financing'!$D$33)*(1-Assumptions!$D$33)/(Acquirer!$G$19+$D$8))/Acquirer!$G$21-1</f>
      </c>
      <c r="F16" s="18">
        <f>((Acquirer!$G$15+Target!$G$15+F$15*1000*Synergies!$D$8-Synergies!$D$11-Assumptions!$D$37-'PPA-Financing'!$D$32-'PPA-Financing'!$D$33)*(1-Assumptions!$D$33)/(Acquirer!$G$19+$D$8))/Acquirer!$G$21-1</f>
      </c>
      <c r="G16" s="18">
        <f>((Acquirer!$G$15+Target!$G$15+G$15*1000*Synergies!$D$8-Synergies!$D$11-Assumptions!$D$37-'PPA-Financing'!$D$32-'PPA-Financing'!$D$33)*(1-Assumptions!$D$33)/(Acquirer!$G$19+$D$8))/Acquirer!$G$21-1</f>
      </c>
      <c r="H16" s="18">
        <f>((Acquirer!$G$15+Target!$G$15+H$15*1000*Synergies!$D$8-Synergies!$D$11-Assumptions!$D$37-'PPA-Financing'!$D$32-'PPA-Financing'!$D$33)*(1-Assumptions!$D$33)/(Acquirer!$G$19+$D$8))/Acquirer!$G$21-1</f>
      </c>
    </row>
    <row r="17">
      <c r="C17" s="36">
        <f>C9</f>
      </c>
      <c r="D17" s="18">
        <f>((Acquirer!$G$15+Target!$G$15+D$15*1000*Synergies!$D$8-Synergies!$D$11-Assumptions!$D$37-'PPA-Financing'!$D$32-'PPA-Financing'!$D$33)*(1-Assumptions!$D$33)/(Acquirer!$G$19+$D$9))/Acquirer!$G$21-1</f>
      </c>
      <c r="E17" s="18">
        <f>((Acquirer!$G$15+Target!$G$15+E$15*1000*Synergies!$D$8-Synergies!$D$11-Assumptions!$D$37-'PPA-Financing'!$D$32-'PPA-Financing'!$D$33)*(1-Assumptions!$D$33)/(Acquirer!$G$19+$D$9))/Acquirer!$G$21-1</f>
      </c>
      <c r="F17" s="18">
        <f>((Acquirer!$G$15+Target!$G$15+F$15*1000*Synergies!$D$8-Synergies!$D$11-Assumptions!$D$37-'PPA-Financing'!$D$32-'PPA-Financing'!$D$33)*(1-Assumptions!$D$33)/(Acquirer!$G$19+$D$9))/Acquirer!$G$21-1</f>
      </c>
      <c r="G17" s="18">
        <f>((Acquirer!$G$15+Target!$G$15+G$15*1000*Synergies!$D$8-Synergies!$D$11-Assumptions!$D$37-'PPA-Financing'!$D$32-'PPA-Financing'!$D$33)*(1-Assumptions!$D$33)/(Acquirer!$G$19+$D$9))/Acquirer!$G$21-1</f>
      </c>
      <c r="H17" s="18">
        <f>((Acquirer!$G$15+Target!$G$15+H$15*1000*Synergies!$D$8-Synergies!$D$11-Assumptions!$D$37-'PPA-Financing'!$D$32-'PPA-Financing'!$D$33)*(1-Assumptions!$D$33)/(Acquirer!$G$19+$D$9))/Acquirer!$G$21-1</f>
      </c>
    </row>
    <row r="18">
      <c r="C18" s="36">
        <f>C10</f>
      </c>
      <c r="D18" s="18">
        <f>((Acquirer!$G$15+Target!$G$15+D$15*1000*Synergies!$D$8-Synergies!$D$11-Assumptions!$D$37-'PPA-Financing'!$D$32-'PPA-Financing'!$D$33)*(1-Assumptions!$D$33)/(Acquirer!$G$19+$D$10))/Acquirer!$G$21-1</f>
      </c>
      <c r="E18" s="18">
        <f>((Acquirer!$G$15+Target!$G$15+E$15*1000*Synergies!$D$8-Synergies!$D$11-Assumptions!$D$37-'PPA-Financing'!$D$32-'PPA-Financing'!$D$33)*(1-Assumptions!$D$33)/(Acquirer!$G$19+$D$10))/Acquirer!$G$21-1</f>
      </c>
      <c r="F18" s="18">
        <f>((Acquirer!$G$15+Target!$G$15+F$15*1000*Synergies!$D$8-Synergies!$D$11-Assumptions!$D$37-'PPA-Financing'!$D$32-'PPA-Financing'!$D$33)*(1-Assumptions!$D$33)/(Acquirer!$G$19+$D$10))/Acquirer!$G$21-1</f>
      </c>
      <c r="G18" s="18">
        <f>((Acquirer!$G$15+Target!$G$15+G$15*1000*Synergies!$D$8-Synergies!$D$11-Assumptions!$D$37-'PPA-Financing'!$D$32-'PPA-Financing'!$D$33)*(1-Assumptions!$D$33)/(Acquirer!$G$19+$D$10))/Acquirer!$G$21-1</f>
      </c>
      <c r="H18" s="18">
        <f>((Acquirer!$G$15+Target!$G$15+H$15*1000*Synergies!$D$8-Synergies!$D$11-Assumptions!$D$37-'PPA-Financing'!$D$32-'PPA-Financing'!$D$33)*(1-Assumptions!$D$33)/(Acquirer!$G$19+$D$10))/Acquirer!$G$21-1</f>
      </c>
    </row>
    <row r="19">
      <c r="C19" s="36">
        <f>C11</f>
      </c>
      <c r="D19" s="18">
        <f>((Acquirer!$G$15+Target!$G$15+D$15*1000*Synergies!$D$8-Synergies!$D$11-Assumptions!$D$37-'PPA-Financing'!$D$32-'PPA-Financing'!$D$33)*(1-Assumptions!$D$33)/(Acquirer!$G$19+$D$11))/Acquirer!$G$21-1</f>
      </c>
      <c r="E19" s="18">
        <f>((Acquirer!$G$15+Target!$G$15+E$15*1000*Synergies!$D$8-Synergies!$D$11-Assumptions!$D$37-'PPA-Financing'!$D$32-'PPA-Financing'!$D$33)*(1-Assumptions!$D$33)/(Acquirer!$G$19+$D$11))/Acquirer!$G$21-1</f>
      </c>
      <c r="F19" s="18">
        <f>((Acquirer!$G$15+Target!$G$15+F$15*1000*Synergies!$D$8-Synergies!$D$11-Assumptions!$D$37-'PPA-Financing'!$D$32-'PPA-Financing'!$D$33)*(1-Assumptions!$D$33)/(Acquirer!$G$19+$D$11))/Acquirer!$G$21-1</f>
      </c>
      <c r="G19" s="18">
        <f>((Acquirer!$G$15+Target!$G$15+G$15*1000*Synergies!$D$8-Synergies!$D$11-Assumptions!$D$37-'PPA-Financing'!$D$32-'PPA-Financing'!$D$33)*(1-Assumptions!$D$33)/(Acquirer!$G$19+$D$11))/Acquirer!$G$21-1</f>
      </c>
      <c r="H19" s="18">
        <f>((Acquirer!$G$15+Target!$G$15+H$15*1000*Synergies!$D$8-Synergies!$D$11-Assumptions!$D$37-'PPA-Financing'!$D$32-'PPA-Financing'!$D$33)*(1-Assumptions!$D$33)/(Acquirer!$G$19+$D$11))/Acquirer!$G$21-1</f>
      </c>
    </row>
    <row r="20">
      <c r="C20" s="36">
        <f>C12</f>
      </c>
      <c r="D20" s="18">
        <f>((Acquirer!$G$15+Target!$G$15+D$15*1000*Synergies!$D$8-Synergies!$D$11-Assumptions!$D$37-'PPA-Financing'!$D$32-'PPA-Financing'!$D$33)*(1-Assumptions!$D$33)/(Acquirer!$G$19+$D$12))/Acquirer!$G$21-1</f>
      </c>
      <c r="E20" s="18">
        <f>((Acquirer!$G$15+Target!$G$15+E$15*1000*Synergies!$D$8-Synergies!$D$11-Assumptions!$D$37-'PPA-Financing'!$D$32-'PPA-Financing'!$D$33)*(1-Assumptions!$D$33)/(Acquirer!$G$19+$D$12))/Acquirer!$G$21-1</f>
      </c>
      <c r="F20" s="18">
        <f>((Acquirer!$G$15+Target!$G$15+F$15*1000*Synergies!$D$8-Synergies!$D$11-Assumptions!$D$37-'PPA-Financing'!$D$32-'PPA-Financing'!$D$33)*(1-Assumptions!$D$33)/(Acquirer!$G$19+$D$12))/Acquirer!$G$21-1</f>
      </c>
      <c r="G20" s="18">
        <f>((Acquirer!$G$15+Target!$G$15+G$15*1000*Synergies!$D$8-Synergies!$D$11-Assumptions!$D$37-'PPA-Financing'!$D$32-'PPA-Financing'!$D$33)*(1-Assumptions!$D$33)/(Acquirer!$G$19+$D$12))/Acquirer!$G$21-1</f>
      </c>
      <c r="H20" s="18">
        <f>((Acquirer!$G$15+Target!$G$15+H$15*1000*Synergies!$D$8-Synergies!$D$11-Assumptions!$D$37-'PPA-Financing'!$D$32-'PPA-Financing'!$D$33)*(1-Assumptions!$D$33)/(Acquirer!$G$19+$D$12))/Acquirer!$G$21-1</f>
      </c>
    </row>
    <row r="21"/>
    <row r="22">
      <c r="B22" s="43" t="inlineStr">
        <is>
          <t>Check: center cell (ratio=2.3234, syn=$2.0B) vs. ProForma FY2024E accretion (must = 0.000)</t>
        </is>
      </c>
      <c r="D22" s="38">
        <f>ROUND(F18-ProForma!D18,3)</f>
      </c>
    </row>
    <row r="23"/>
    <row r="24"/>
    <row r="25">
      <c r="B25" s="5" t="inlineStr">
        <is>
          <t>Grid 2: % Cash Consideration x Run-Rate Synergies -&gt; FY2024E Accretion/(Dilution) %</t>
        </is>
      </c>
      <c r="C25" s="5" t="n"/>
      <c r="D25" s="5" t="n"/>
      <c r="E25" s="5" t="n"/>
      <c r="F25" s="5" t="n"/>
      <c r="G25" s="5" t="n"/>
      <c r="H25" s="5" t="n"/>
    </row>
    <row r="26">
      <c r="B26" s="43" t="inlineStr">
        <is>
          <t>What-if only: base deal is 100% stock. Cash portion assumed 100% debt-funded at the blended rate.</t>
        </is>
      </c>
    </row>
    <row r="27">
      <c r="C27" s="11">
        <f>D18</f>
      </c>
      <c r="D27" s="37" t="n">
        <v>0</v>
      </c>
      <c r="E27" s="37" t="n">
        <v>1</v>
      </c>
      <c r="F27" s="37" t="n">
        <v>2</v>
      </c>
      <c r="G27" s="37" t="n">
        <v>3</v>
      </c>
      <c r="H27" s="37" t="n">
        <v>4</v>
      </c>
    </row>
    <row r="28">
      <c r="C28" s="22" t="n">
        <v>0</v>
      </c>
      <c r="D28" s="18">
        <f>((Acquirer!$G$15+Target!$G$15+D$27*1000*Synergies!$D$8-Synergies!$D$11-Assumptions!$D$37-(Assumptions!$D$13*$C28)*Assumptions!$D$22)*(1-Assumptions!$D$33)/(Acquirer!$G$19+(Assumptions!$D$13*(1-$C28)/Assumptions!$D$6)))/Acquirer!$G$21-1</f>
      </c>
      <c r="E28" s="18">
        <f>((Acquirer!$G$15+Target!$G$15+E$27*1000*Synergies!$D$8-Synergies!$D$11-Assumptions!$D$37-(Assumptions!$D$13*$C28)*Assumptions!$D$22)*(1-Assumptions!$D$33)/(Acquirer!$G$19+(Assumptions!$D$13*(1-$C28)/Assumptions!$D$6)))/Acquirer!$G$21-1</f>
      </c>
      <c r="F28" s="18">
        <f>((Acquirer!$G$15+Target!$G$15+F$27*1000*Synergies!$D$8-Synergies!$D$11-Assumptions!$D$37-(Assumptions!$D$13*$C28)*Assumptions!$D$22)*(1-Assumptions!$D$33)/(Acquirer!$G$19+(Assumptions!$D$13*(1-$C28)/Assumptions!$D$6)))/Acquirer!$G$21-1</f>
      </c>
      <c r="G28" s="18">
        <f>((Acquirer!$G$15+Target!$G$15+G$27*1000*Synergies!$D$8-Synergies!$D$11-Assumptions!$D$37-(Assumptions!$D$13*$C28)*Assumptions!$D$22)*(1-Assumptions!$D$33)/(Acquirer!$G$19+(Assumptions!$D$13*(1-$C28)/Assumptions!$D$6)))/Acquirer!$G$21-1</f>
      </c>
      <c r="H28" s="18">
        <f>((Acquirer!$G$15+Target!$G$15+H$27*1000*Synergies!$D$8-Synergies!$D$11-Assumptions!$D$37-(Assumptions!$D$13*$C28)*Assumptions!$D$22)*(1-Assumptions!$D$33)/(Acquirer!$G$19+(Assumptions!$D$13*(1-$C28)/Assumptions!$D$6)))/Acquirer!$G$21-1</f>
      </c>
    </row>
    <row r="29">
      <c r="C29" s="22" t="n">
        <v>0.25</v>
      </c>
      <c r="D29" s="18">
        <f>((Acquirer!$G$15+Target!$G$15+D$27*1000*Synergies!$D$8-Synergies!$D$11-Assumptions!$D$37-(Assumptions!$D$13*$C29)*Assumptions!$D$22)*(1-Assumptions!$D$33)/(Acquirer!$G$19+(Assumptions!$D$13*(1-$C29)/Assumptions!$D$6)))/Acquirer!$G$21-1</f>
      </c>
      <c r="E29" s="18">
        <f>((Acquirer!$G$15+Target!$G$15+E$27*1000*Synergies!$D$8-Synergies!$D$11-Assumptions!$D$37-(Assumptions!$D$13*$C29)*Assumptions!$D$22)*(1-Assumptions!$D$33)/(Acquirer!$G$19+(Assumptions!$D$13*(1-$C29)/Assumptions!$D$6)))/Acquirer!$G$21-1</f>
      </c>
      <c r="F29" s="18">
        <f>((Acquirer!$G$15+Target!$G$15+F$27*1000*Synergies!$D$8-Synergies!$D$11-Assumptions!$D$37-(Assumptions!$D$13*$C29)*Assumptions!$D$22)*(1-Assumptions!$D$33)/(Acquirer!$G$19+(Assumptions!$D$13*(1-$C29)/Assumptions!$D$6)))/Acquirer!$G$21-1</f>
      </c>
      <c r="G29" s="18">
        <f>((Acquirer!$G$15+Target!$G$15+G$27*1000*Synergies!$D$8-Synergies!$D$11-Assumptions!$D$37-(Assumptions!$D$13*$C29)*Assumptions!$D$22)*(1-Assumptions!$D$33)/(Acquirer!$G$19+(Assumptions!$D$13*(1-$C29)/Assumptions!$D$6)))/Acquirer!$G$21-1</f>
      </c>
      <c r="H29" s="18">
        <f>((Acquirer!$G$15+Target!$G$15+H$27*1000*Synergies!$D$8-Synergies!$D$11-Assumptions!$D$37-(Assumptions!$D$13*$C29)*Assumptions!$D$22)*(1-Assumptions!$D$33)/(Acquirer!$G$19+(Assumptions!$D$13*(1-$C29)/Assumptions!$D$6)))/Acquirer!$G$21-1</f>
      </c>
    </row>
    <row r="30">
      <c r="C30" s="22" t="n">
        <v>0.5</v>
      </c>
      <c r="D30" s="18">
        <f>((Acquirer!$G$15+Target!$G$15+D$27*1000*Synergies!$D$8-Synergies!$D$11-Assumptions!$D$37-(Assumptions!$D$13*$C30)*Assumptions!$D$22)*(1-Assumptions!$D$33)/(Acquirer!$G$19+(Assumptions!$D$13*(1-$C30)/Assumptions!$D$6)))/Acquirer!$G$21-1</f>
      </c>
      <c r="E30" s="18">
        <f>((Acquirer!$G$15+Target!$G$15+E$27*1000*Synergies!$D$8-Synergies!$D$11-Assumptions!$D$37-(Assumptions!$D$13*$C30)*Assumptions!$D$22)*(1-Assumptions!$D$33)/(Acquirer!$G$19+(Assumptions!$D$13*(1-$C30)/Assumptions!$D$6)))/Acquirer!$G$21-1</f>
      </c>
      <c r="F30" s="18">
        <f>((Acquirer!$G$15+Target!$G$15+F$27*1000*Synergies!$D$8-Synergies!$D$11-Assumptions!$D$37-(Assumptions!$D$13*$C30)*Assumptions!$D$22)*(1-Assumptions!$D$33)/(Acquirer!$G$19+(Assumptions!$D$13*(1-$C30)/Assumptions!$D$6)))/Acquirer!$G$21-1</f>
      </c>
      <c r="G30" s="18">
        <f>((Acquirer!$G$15+Target!$G$15+G$27*1000*Synergies!$D$8-Synergies!$D$11-Assumptions!$D$37-(Assumptions!$D$13*$C30)*Assumptions!$D$22)*(1-Assumptions!$D$33)/(Acquirer!$G$19+(Assumptions!$D$13*(1-$C30)/Assumptions!$D$6)))/Acquirer!$G$21-1</f>
      </c>
      <c r="H30" s="18">
        <f>((Acquirer!$G$15+Target!$G$15+H$27*1000*Synergies!$D$8-Synergies!$D$11-Assumptions!$D$37-(Assumptions!$D$13*$C30)*Assumptions!$D$22)*(1-Assumptions!$D$33)/(Acquirer!$G$19+(Assumptions!$D$13*(1-$C30)/Assumptions!$D$6)))/Acquirer!$G$21-1</f>
      </c>
    </row>
    <row r="31">
      <c r="C31" s="22" t="n">
        <v>0.75</v>
      </c>
      <c r="D31" s="18">
        <f>((Acquirer!$G$15+Target!$G$15+D$27*1000*Synergies!$D$8-Synergies!$D$11-Assumptions!$D$37-(Assumptions!$D$13*$C31)*Assumptions!$D$22)*(1-Assumptions!$D$33)/(Acquirer!$G$19+(Assumptions!$D$13*(1-$C31)/Assumptions!$D$6)))/Acquirer!$G$21-1</f>
      </c>
      <c r="E31" s="18">
        <f>((Acquirer!$G$15+Target!$G$15+E$27*1000*Synergies!$D$8-Synergies!$D$11-Assumptions!$D$37-(Assumptions!$D$13*$C31)*Assumptions!$D$22)*(1-Assumptions!$D$33)/(Acquirer!$G$19+(Assumptions!$D$13*(1-$C31)/Assumptions!$D$6)))/Acquirer!$G$21-1</f>
      </c>
      <c r="F31" s="18">
        <f>((Acquirer!$G$15+Target!$G$15+F$27*1000*Synergies!$D$8-Synergies!$D$11-Assumptions!$D$37-(Assumptions!$D$13*$C31)*Assumptions!$D$22)*(1-Assumptions!$D$33)/(Acquirer!$G$19+(Assumptions!$D$13*(1-$C31)/Assumptions!$D$6)))/Acquirer!$G$21-1</f>
      </c>
      <c r="G31" s="18">
        <f>((Acquirer!$G$15+Target!$G$15+G$27*1000*Synergies!$D$8-Synergies!$D$11-Assumptions!$D$37-(Assumptions!$D$13*$C31)*Assumptions!$D$22)*(1-Assumptions!$D$33)/(Acquirer!$G$19+(Assumptions!$D$13*(1-$C31)/Assumptions!$D$6)))/Acquirer!$G$21-1</f>
      </c>
      <c r="H31" s="18">
        <f>((Acquirer!$G$15+Target!$G$15+H$27*1000*Synergies!$D$8-Synergies!$D$11-Assumptions!$D$37-(Assumptions!$D$13*$C31)*Assumptions!$D$22)*(1-Assumptions!$D$33)/(Acquirer!$G$19+(Assumptions!$D$13*(1-$C31)/Assumptions!$D$6)))/Acquirer!$G$21-1</f>
      </c>
    </row>
    <row r="32">
      <c r="C32" s="22" t="n">
        <v>1</v>
      </c>
      <c r="D32" s="18">
        <f>((Acquirer!$G$15+Target!$G$15+D$27*1000*Synergies!$D$8-Synergies!$D$11-Assumptions!$D$37-(Assumptions!$D$13*$C32)*Assumptions!$D$22)*(1-Assumptions!$D$33)/(Acquirer!$G$19+(Assumptions!$D$13*(1-$C32)/Assumptions!$D$6)))/Acquirer!$G$21-1</f>
      </c>
      <c r="E32" s="18">
        <f>((Acquirer!$G$15+Target!$G$15+E$27*1000*Synergies!$D$8-Synergies!$D$11-Assumptions!$D$37-(Assumptions!$D$13*$C32)*Assumptions!$D$22)*(1-Assumptions!$D$33)/(Acquirer!$G$19+(Assumptions!$D$13*(1-$C32)/Assumptions!$D$6)))/Acquirer!$G$21-1</f>
      </c>
      <c r="F32" s="18">
        <f>((Acquirer!$G$15+Target!$G$15+F$27*1000*Synergies!$D$8-Synergies!$D$11-Assumptions!$D$37-(Assumptions!$D$13*$C32)*Assumptions!$D$22)*(1-Assumptions!$D$33)/(Acquirer!$G$19+(Assumptions!$D$13*(1-$C32)/Assumptions!$D$6)))/Acquirer!$G$21-1</f>
      </c>
      <c r="G32" s="18">
        <f>((Acquirer!$G$15+Target!$G$15+G$27*1000*Synergies!$D$8-Synergies!$D$11-Assumptions!$D$37-(Assumptions!$D$13*$C32)*Assumptions!$D$22)*(1-Assumptions!$D$33)/(Acquirer!$G$19+(Assumptions!$D$13*(1-$C32)/Assumptions!$D$6)))/Acquirer!$G$21-1</f>
      </c>
      <c r="H32" s="18">
        <f>((Acquirer!$G$15+Target!$G$15+H$27*1000*Synergies!$D$8-Synergies!$D$11-Assumptions!$D$37-(Assumptions!$D$13*$C32)*Assumptions!$D$22)*(1-Assumptions!$D$33)/(Acquirer!$G$19+(Assumptions!$D$13*(1-$C32)/Assumptions!$D$6)))/Acquirer!$G$21-1</f>
      </c>
    </row>
    <row r="33"/>
    <row r="34">
      <c r="B34" s="43" t="inlineStr">
        <is>
          <t>Check: center cell (cash%=0%, syn=$2.0B) vs. ProForma FY2024E accretion (must = 0.000)</t>
        </is>
      </c>
      <c r="D34" s="38">
        <f>ROUND(F28-ProForma!D18,3)</f>
      </c>
    </row>
    <row r="35" ht="30" customHeight="1" s="40">
      <c r="B35" s="42" t="inlineStr">
        <is>
          <t>Note: incremental PP&amp;E step-up DD&amp;A is held fixed across both grids (a linear-approximation simplification per master spec section 4.3, since the full goodwill/PPA waterfall does not re-derive per grid cell); Grid 1's equity purchase price and new-share count are fully live and ratio-dependent.</t>
        </is>
      </c>
    </row>
  </sheetData>
  <mergeCells count="3">
    <mergeCell ref="B6:H6"/>
    <mergeCell ref="B35:H35"/>
    <mergeCell ref="B26:H26"/>
  </mergeCells>
  <conditionalFormatting sqref="D22">
    <cfRule type="cellIs" priority="1" operator="equal" dxfId="1">
      <formula>0</formula>
    </cfRule>
    <cfRule type="cellIs" priority="2" operator="notEqual" dxfId="0">
      <formula>0</formula>
    </cfRule>
  </conditionalFormatting>
  <conditionalFormatting sqref="D34">
    <cfRule type="cellIs" priority="3" operator="equal" dxfId="1">
      <formula>0</formula>
    </cfRule>
    <cfRule type="cellIs" priority="4" operator="notEqual" dxfId="0">
      <formula>0</formula>
    </cfRule>
  </conditionalFormatting>
  <conditionalFormatting sqref="D16:H20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8:H32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2026-08-23T05:47:24Z</dcterms:created>
  <dcterms:modified xmlns:dcterms="http://purl.org/dc/terms/" xmlns:xsi="http://www.w3.org/2001/XMLSchema-instance" xsi:type="dcterms:W3CDTF">2026-08-27T05:39:42Z</dcterms:modified>
  <cp:lastModifiedBy>Akul Veauli</cp:lastModifiedBy>
</cp:coreProperties>
</file>