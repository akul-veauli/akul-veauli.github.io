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imbercreek-my.sharepoint.com/personal/aveauli_timbercreek_com/Documents/Desktop/"/>
    </mc:Choice>
  </mc:AlternateContent>
  <xr:revisionPtr revIDLastSave="0" documentId="8_{86196134-9FB7-48DE-9B44-8AC85EBC8463}" xr6:coauthVersionLast="47" xr6:coauthVersionMax="47" xr10:uidLastSave="{00000000-0000-0000-0000-000000000000}"/>
  <bookViews>
    <workbookView xWindow="1140" yWindow="1140" windowWidth="14400" windowHeight="8170" firstSheet="5" activeTab="1" xr2:uid="{A213A7F1-6D74-43FA-9BE1-A1FF17242AAB}"/>
  </bookViews>
  <sheets>
    <sheet name="Cover Page" sheetId="11" r:id="rId1"/>
    <sheet name="Inputs &amp; Assumptions" sheetId="1" r:id="rId2"/>
    <sheet name="ProForma" sheetId="9" r:id="rId3"/>
    <sheet name="Sensitivity" sheetId="10" r:id="rId4"/>
    <sheet name="Monthly Cashflows" sheetId="5" r:id="rId5"/>
    <sheet name="S&amp;U" sheetId="7" r:id="rId6"/>
    <sheet name="Comps" sheetId="8" r:id="rId7"/>
    <sheet name="ProForma Rent expense Summary" sheetId="3" r:id="rId8"/>
    <sheet name="Data Validation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G12" i="10"/>
  <c r="F15" i="10"/>
  <c r="G15" i="10"/>
  <c r="J72" i="1"/>
  <c r="E77" i="1" s="1"/>
  <c r="F77" i="1"/>
  <c r="F85" i="1"/>
  <c r="F87" i="1"/>
  <c r="F78" i="1"/>
  <c r="G78" i="1" s="1"/>
  <c r="F79" i="1"/>
  <c r="F88" i="1"/>
  <c r="I20" i="1"/>
  <c r="F16" i="9" s="1"/>
  <c r="G16" i="9" s="1"/>
  <c r="H16" i="9" s="1"/>
  <c r="I16" i="9" s="1"/>
  <c r="J16" i="9" s="1"/>
  <c r="H20" i="1"/>
  <c r="I6" i="1"/>
  <c r="E9" i="5"/>
  <c r="F9" i="5" s="1"/>
  <c r="F10" i="5" s="1"/>
  <c r="F22" i="9"/>
  <c r="G22" i="9"/>
  <c r="H22" i="9"/>
  <c r="I22" i="9"/>
  <c r="J22" i="9"/>
  <c r="C15" i="10"/>
  <c r="D15" i="10"/>
  <c r="E15" i="10"/>
  <c r="F15" i="9"/>
  <c r="F14" i="9"/>
  <c r="J105" i="1"/>
  <c r="D112" i="1"/>
  <c r="F112" i="1"/>
  <c r="E112" i="1"/>
  <c r="F89" i="1"/>
  <c r="G79" i="1"/>
  <c r="H79" i="1" s="1"/>
  <c r="I79" i="1" s="1"/>
  <c r="I89" i="1" s="1"/>
  <c r="G30" i="1"/>
  <c r="I85" i="1"/>
  <c r="H85" i="1"/>
  <c r="G85" i="1"/>
  <c r="J30" i="1"/>
  <c r="I30" i="1"/>
  <c r="H30" i="1"/>
  <c r="F30" i="1"/>
  <c r="G15" i="9"/>
  <c r="H15" i="9"/>
  <c r="I15" i="9"/>
  <c r="J15" i="9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E7" i="1"/>
  <c r="F5" i="1"/>
  <c r="B20" i="1"/>
  <c r="B23" i="1" s="1"/>
  <c r="H46" i="1"/>
  <c r="H16" i="7"/>
  <c r="E6" i="7"/>
  <c r="D109" i="1"/>
  <c r="E109" i="1" s="1"/>
  <c r="E42" i="9"/>
  <c r="E41" i="9"/>
  <c r="G9" i="10"/>
  <c r="F9" i="10"/>
  <c r="E9" i="10"/>
  <c r="D9" i="10"/>
  <c r="I57" i="1"/>
  <c r="J57" i="1" s="1"/>
  <c r="J26" i="9"/>
  <c r="I26" i="9"/>
  <c r="H26" i="9"/>
  <c r="H57" i="1"/>
  <c r="I62" i="1"/>
  <c r="J62" i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E46" i="1"/>
  <c r="E24" i="5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C12" i="10"/>
  <c r="D12" i="10" s="1"/>
  <c r="E12" i="10" s="1"/>
  <c r="F12" i="10" s="1"/>
  <c r="F19" i="9"/>
  <c r="G19" i="9" s="1"/>
  <c r="H19" i="9" s="1"/>
  <c r="I19" i="9" s="1"/>
  <c r="J19" i="9" s="1"/>
  <c r="I21" i="1"/>
  <c r="I22" i="1"/>
  <c r="I23" i="1"/>
  <c r="I24" i="1"/>
  <c r="I25" i="1"/>
  <c r="E79" i="1" l="1"/>
  <c r="E89" i="1" s="1"/>
  <c r="E87" i="1"/>
  <c r="E78" i="1"/>
  <c r="E88" i="1" s="1"/>
  <c r="G88" i="1"/>
  <c r="H78" i="1"/>
  <c r="G89" i="1"/>
  <c r="H89" i="1"/>
  <c r="G20" i="9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D13" i="10"/>
  <c r="G9" i="5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J99" i="1"/>
  <c r="J102" i="1"/>
  <c r="G77" i="1"/>
  <c r="G87" i="1" s="1"/>
  <c r="AE17" i="5"/>
  <c r="AL16" i="5"/>
  <c r="BB16" i="5"/>
  <c r="N16" i="5"/>
  <c r="G17" i="5"/>
  <c r="F17" i="5"/>
  <c r="BJ16" i="5"/>
  <c r="BC17" i="5"/>
  <c r="S17" i="5"/>
  <c r="AW16" i="5"/>
  <c r="AK16" i="5"/>
  <c r="BB17" i="5"/>
  <c r="AD17" i="5"/>
  <c r="R17" i="5"/>
  <c r="E16" i="5"/>
  <c r="BH16" i="5"/>
  <c r="AV16" i="5"/>
  <c r="AJ16" i="5"/>
  <c r="X16" i="5"/>
  <c r="E17" i="5"/>
  <c r="BA17" i="5"/>
  <c r="AO17" i="5"/>
  <c r="AC17" i="5"/>
  <c r="Q17" i="5"/>
  <c r="G16" i="5"/>
  <c r="AX16" i="5"/>
  <c r="AQ17" i="5"/>
  <c r="AP17" i="5"/>
  <c r="L16" i="5"/>
  <c r="BG16" i="5"/>
  <c r="AU16" i="5"/>
  <c r="AI16" i="5"/>
  <c r="W16" i="5"/>
  <c r="BL17" i="5"/>
  <c r="AZ17" i="5"/>
  <c r="AN17" i="5"/>
  <c r="AB17" i="5"/>
  <c r="P17" i="5"/>
  <c r="K16" i="5"/>
  <c r="BF16" i="5"/>
  <c r="AT16" i="5"/>
  <c r="AH16" i="5"/>
  <c r="V16" i="5"/>
  <c r="BK17" i="5"/>
  <c r="AY17" i="5"/>
  <c r="AM17" i="5"/>
  <c r="AA17" i="5"/>
  <c r="O17" i="5"/>
  <c r="BI16" i="5"/>
  <c r="Y16" i="5"/>
  <c r="J16" i="5"/>
  <c r="BE16" i="5"/>
  <c r="AS16" i="5"/>
  <c r="AG16" i="5"/>
  <c r="U16" i="5"/>
  <c r="BJ17" i="5"/>
  <c r="AX17" i="5"/>
  <c r="AL17" i="5"/>
  <c r="Z17" i="5"/>
  <c r="N17" i="5"/>
  <c r="I16" i="5"/>
  <c r="BD16" i="5"/>
  <c r="AR16" i="5"/>
  <c r="AF16" i="5"/>
  <c r="T16" i="5"/>
  <c r="BI17" i="5"/>
  <c r="AW17" i="5"/>
  <c r="AK17" i="5"/>
  <c r="Y17" i="5"/>
  <c r="M17" i="5"/>
  <c r="M16" i="5"/>
  <c r="H16" i="5"/>
  <c r="BC16" i="5"/>
  <c r="AQ16" i="5"/>
  <c r="AE16" i="5"/>
  <c r="S16" i="5"/>
  <c r="BH17" i="5"/>
  <c r="AV17" i="5"/>
  <c r="AJ17" i="5"/>
  <c r="X17" i="5"/>
  <c r="L17" i="5"/>
  <c r="AP16" i="5"/>
  <c r="AD16" i="5"/>
  <c r="R16" i="5"/>
  <c r="BG17" i="5"/>
  <c r="AU17" i="5"/>
  <c r="AI17" i="5"/>
  <c r="W17" i="5"/>
  <c r="K17" i="5"/>
  <c r="F16" i="5"/>
  <c r="BA16" i="5"/>
  <c r="AO16" i="5"/>
  <c r="AC16" i="5"/>
  <c r="Q16" i="5"/>
  <c r="BF17" i="5"/>
  <c r="AT17" i="5"/>
  <c r="AH17" i="5"/>
  <c r="V17" i="5"/>
  <c r="J17" i="5"/>
  <c r="BL16" i="5"/>
  <c r="AZ16" i="5"/>
  <c r="AN16" i="5"/>
  <c r="AB16" i="5"/>
  <c r="P16" i="5"/>
  <c r="BE17" i="5"/>
  <c r="AS17" i="5"/>
  <c r="AG17" i="5"/>
  <c r="U17" i="5"/>
  <c r="I17" i="5"/>
  <c r="BK16" i="5"/>
  <c r="AY16" i="5"/>
  <c r="AM16" i="5"/>
  <c r="AA16" i="5"/>
  <c r="O16" i="5"/>
  <c r="BD17" i="5"/>
  <c r="AR17" i="5"/>
  <c r="AF17" i="5"/>
  <c r="T17" i="5"/>
  <c r="H17" i="5"/>
  <c r="Z16" i="5"/>
  <c r="E19" i="5" a="1"/>
  <c r="E19" i="5" s="1"/>
  <c r="C9" i="10" s="1"/>
  <c r="E9" i="7" s="1"/>
  <c r="C9" i="7" s="1"/>
  <c r="C12" i="7" s="1"/>
  <c r="G26" i="9"/>
  <c r="E22" i="5" l="1" a="1"/>
  <c r="E22" i="5" s="1"/>
  <c r="H88" i="1"/>
  <c r="I78" i="1"/>
  <c r="I88" i="1" s="1"/>
  <c r="H20" i="9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E13" i="10"/>
  <c r="F20" i="9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C13" i="10"/>
  <c r="E26" i="5"/>
  <c r="J108" i="1"/>
  <c r="F6" i="5" s="1"/>
  <c r="AJ22" i="5" a="1"/>
  <c r="AJ22" i="5" s="1"/>
  <c r="T22" i="5" a="1"/>
  <c r="T22" i="5" s="1"/>
  <c r="P22" i="5" a="1"/>
  <c r="P22" i="5" s="1"/>
  <c r="O22" i="5" a="1"/>
  <c r="O22" i="5" s="1"/>
  <c r="AT22" i="5" a="1"/>
  <c r="AT22" i="5" s="1"/>
  <c r="F22" i="5" a="1"/>
  <c r="F22" i="5" s="1"/>
  <c r="I22" i="5" a="1"/>
  <c r="I22" i="5" s="1"/>
  <c r="K22" i="5" a="1"/>
  <c r="K22" i="5" s="1"/>
  <c r="BA22" i="5" a="1"/>
  <c r="BA22" i="5" s="1"/>
  <c r="U22" i="5" a="1"/>
  <c r="U22" i="5" s="1"/>
  <c r="AQ22" i="5" a="1"/>
  <c r="AQ22" i="5" s="1"/>
  <c r="BJ22" i="5" a="1"/>
  <c r="BJ22" i="5" s="1"/>
  <c r="AG22" i="5" a="1"/>
  <c r="AG22" i="5" s="1"/>
  <c r="AH22" i="5" a="1"/>
  <c r="AH22" i="5" s="1"/>
  <c r="AD22" i="5" a="1"/>
  <c r="AD22" i="5" s="1"/>
  <c r="AN22" i="5" a="1"/>
  <c r="AN22" i="5" s="1"/>
  <c r="V22" i="5" a="1"/>
  <c r="V22" i="5" s="1"/>
  <c r="AP22" i="5" a="1"/>
  <c r="AP22" i="5" s="1"/>
  <c r="AV22" i="5" a="1"/>
  <c r="AV22" i="5" s="1"/>
  <c r="AF22" i="5" a="1"/>
  <c r="AF22" i="5" s="1"/>
  <c r="AM22" i="5" a="1"/>
  <c r="AM22" i="5" s="1"/>
  <c r="Q22" i="5" a="1"/>
  <c r="Q22" i="5" s="1"/>
  <c r="BC22" i="5" a="1"/>
  <c r="BC22" i="5" s="1"/>
  <c r="AY22" i="5" a="1"/>
  <c r="AY22" i="5" s="1"/>
  <c r="BL22" i="5" a="1"/>
  <c r="BL22" i="5" s="1"/>
  <c r="J22" i="5" a="1"/>
  <c r="J22" i="5" s="1"/>
  <c r="AZ22" i="5" a="1"/>
  <c r="AZ22" i="5" s="1"/>
  <c r="W22" i="5" a="1"/>
  <c r="W22" i="5" s="1"/>
  <c r="BD22" i="5" a="1"/>
  <c r="BD22" i="5" s="1"/>
  <c r="BE22" i="5" a="1"/>
  <c r="BE22" i="5" s="1"/>
  <c r="AI22" i="5" a="1"/>
  <c r="AI22" i="5" s="1"/>
  <c r="BB22" i="5" a="1"/>
  <c r="BB22" i="5" s="1"/>
  <c r="BG22" i="5" a="1"/>
  <c r="BG22" i="5" s="1"/>
  <c r="Z22" i="5" a="1"/>
  <c r="Z22" i="5" s="1"/>
  <c r="BK22" i="5" a="1"/>
  <c r="BK22" i="5" s="1"/>
  <c r="AU22" i="5" a="1"/>
  <c r="AU22" i="5" s="1"/>
  <c r="M22" i="5" a="1"/>
  <c r="M22" i="5" s="1"/>
  <c r="Y22" i="5" a="1"/>
  <c r="Y22" i="5" s="1"/>
  <c r="AL22" i="5" a="1"/>
  <c r="AL22" i="5" s="1"/>
  <c r="N22" i="5" a="1"/>
  <c r="N22" i="5" s="1"/>
  <c r="R22" i="5" a="1"/>
  <c r="R22" i="5" s="1"/>
  <c r="AR22" i="5" a="1"/>
  <c r="AR22" i="5" s="1"/>
  <c r="BF22" i="5" a="1"/>
  <c r="BF22" i="5" s="1"/>
  <c r="H22" i="5" a="1"/>
  <c r="H22" i="5" s="1"/>
  <c r="X22" i="5" a="1"/>
  <c r="X22" i="5" s="1"/>
  <c r="AX22" i="5" a="1"/>
  <c r="AX22" i="5" s="1"/>
  <c r="AC22" i="5" a="1"/>
  <c r="AC22" i="5" s="1"/>
  <c r="AK22" i="5" a="1"/>
  <c r="AK22" i="5" s="1"/>
  <c r="AE22" i="5" a="1"/>
  <c r="AE22" i="5" s="1"/>
  <c r="L22" i="5" a="1"/>
  <c r="L22" i="5" s="1"/>
  <c r="AO22" i="5" a="1"/>
  <c r="AO22" i="5" s="1"/>
  <c r="AW22" i="5" a="1"/>
  <c r="AW22" i="5" s="1"/>
  <c r="AA22" i="5" a="1"/>
  <c r="AA22" i="5" s="1"/>
  <c r="BH22" i="5" a="1"/>
  <c r="BH22" i="5" s="1"/>
  <c r="G22" i="5" a="1"/>
  <c r="G22" i="5" s="1"/>
  <c r="BI22" i="5" a="1"/>
  <c r="BI22" i="5" s="1"/>
  <c r="S22" i="5" a="1"/>
  <c r="S22" i="5" s="1"/>
  <c r="AS22" i="5" a="1"/>
  <c r="AS22" i="5" s="1"/>
  <c r="AB22" i="5" a="1"/>
  <c r="AB22" i="5" s="1"/>
  <c r="F80" i="1"/>
  <c r="G80" i="1"/>
  <c r="H77" i="1"/>
  <c r="H87" i="1" s="1"/>
  <c r="H32" i="9"/>
  <c r="I32" i="9"/>
  <c r="I33" i="9"/>
  <c r="G33" i="9"/>
  <c r="H33" i="9"/>
  <c r="F32" i="9"/>
  <c r="J32" i="9"/>
  <c r="J33" i="9"/>
  <c r="F33" i="9"/>
  <c r="G32" i="9"/>
  <c r="F26" i="9"/>
  <c r="F28" i="9" s="1"/>
  <c r="H6" i="5" l="1"/>
  <c r="H20" i="5" s="1"/>
  <c r="T6" i="5"/>
  <c r="Q6" i="5"/>
  <c r="AC6" i="5"/>
  <c r="AC21" i="5" s="1"/>
  <c r="AQ6" i="5"/>
  <c r="AQ26" i="5" s="1"/>
  <c r="AZ6" i="5"/>
  <c r="AZ21" i="5" s="1"/>
  <c r="BK6" i="5"/>
  <c r="BK26" i="5" s="1"/>
  <c r="S6" i="5"/>
  <c r="S26" i="5" s="1"/>
  <c r="AK6" i="5"/>
  <c r="AK21" i="5" s="1"/>
  <c r="Y6" i="5"/>
  <c r="Y26" i="5" s="1"/>
  <c r="AO6" i="5"/>
  <c r="AO20" i="5" s="1"/>
  <c r="AH6" i="5"/>
  <c r="AH20" i="5" s="1"/>
  <c r="P6" i="5"/>
  <c r="J6" i="5"/>
  <c r="BH6" i="5"/>
  <c r="BH26" i="5" s="1"/>
  <c r="BB6" i="5"/>
  <c r="BB26" i="5" s="1"/>
  <c r="K6" i="5"/>
  <c r="K21" i="5" s="1"/>
  <c r="AJ6" i="5"/>
  <c r="AJ26" i="5" s="1"/>
  <c r="R6" i="5"/>
  <c r="R21" i="5" s="1"/>
  <c r="BF6" i="5"/>
  <c r="BF21" i="5" s="1"/>
  <c r="F21" i="5"/>
  <c r="F20" i="5"/>
  <c r="AY6" i="5"/>
  <c r="BJ6" i="5"/>
  <c r="X6" i="5"/>
  <c r="BI6" i="5"/>
  <c r="G6" i="5"/>
  <c r="AM6" i="5"/>
  <c r="AX6" i="5"/>
  <c r="L6" i="5"/>
  <c r="AG6" i="5"/>
  <c r="E6" i="5"/>
  <c r="AA6" i="5"/>
  <c r="AL6" i="5"/>
  <c r="BG6" i="5"/>
  <c r="I6" i="5"/>
  <c r="BE6" i="5"/>
  <c r="O6" i="5"/>
  <c r="Z6" i="5"/>
  <c r="AU6" i="5"/>
  <c r="BD6" i="5"/>
  <c r="AS6" i="5"/>
  <c r="AP6" i="5"/>
  <c r="N6" i="5"/>
  <c r="AI6" i="5"/>
  <c r="AR6" i="5"/>
  <c r="U6" i="5"/>
  <c r="AD6" i="5"/>
  <c r="AW6" i="5"/>
  <c r="W6" i="5"/>
  <c r="AF6" i="5"/>
  <c r="BA6" i="5"/>
  <c r="BL6" i="5"/>
  <c r="M6" i="5"/>
  <c r="AT6" i="5"/>
  <c r="BC6" i="5"/>
  <c r="AN6" i="5"/>
  <c r="AB6" i="5"/>
  <c r="AV6" i="5"/>
  <c r="V6" i="5"/>
  <c r="AE6" i="5"/>
  <c r="I20" i="9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F13" i="10"/>
  <c r="T26" i="5"/>
  <c r="T20" i="5"/>
  <c r="T21" i="5"/>
  <c r="Q26" i="5"/>
  <c r="Q21" i="5"/>
  <c r="Q20" i="5"/>
  <c r="F26" i="5"/>
  <c r="I77" i="1"/>
  <c r="I87" i="1" s="1"/>
  <c r="H80" i="1"/>
  <c r="H21" i="5" l="1"/>
  <c r="H26" i="5"/>
  <c r="T7" i="5"/>
  <c r="AZ20" i="5"/>
  <c r="AC20" i="5"/>
  <c r="S20" i="5"/>
  <c r="K20" i="5"/>
  <c r="AC26" i="5"/>
  <c r="AZ26" i="5"/>
  <c r="Q7" i="5"/>
  <c r="S21" i="5"/>
  <c r="AJ21" i="5"/>
  <c r="AQ20" i="5"/>
  <c r="AK26" i="5"/>
  <c r="AQ21" i="5"/>
  <c r="BF26" i="5"/>
  <c r="AK20" i="5"/>
  <c r="BF20" i="5"/>
  <c r="Y21" i="5"/>
  <c r="K7" i="5"/>
  <c r="AH21" i="5"/>
  <c r="J26" i="5"/>
  <c r="AO21" i="5"/>
  <c r="AO26" i="5"/>
  <c r="AH26" i="5"/>
  <c r="P20" i="5"/>
  <c r="BK21" i="5"/>
  <c r="P21" i="5"/>
  <c r="BK20" i="5"/>
  <c r="J20" i="5"/>
  <c r="J21" i="5"/>
  <c r="Y20" i="5"/>
  <c r="P26" i="5"/>
  <c r="R26" i="5"/>
  <c r="K26" i="5"/>
  <c r="BB20" i="5"/>
  <c r="R7" i="5"/>
  <c r="S7" i="5"/>
  <c r="R20" i="5"/>
  <c r="BH21" i="5"/>
  <c r="AK7" i="5"/>
  <c r="BB21" i="5"/>
  <c r="AJ20" i="5"/>
  <c r="BH20" i="5"/>
  <c r="AT26" i="5"/>
  <c r="AM20" i="5"/>
  <c r="AA7" i="5"/>
  <c r="G26" i="5"/>
  <c r="BA26" i="5"/>
  <c r="O26" i="5"/>
  <c r="AE20" i="5"/>
  <c r="AW21" i="5"/>
  <c r="BE26" i="5"/>
  <c r="X20" i="5"/>
  <c r="AU20" i="5"/>
  <c r="AF26" i="5"/>
  <c r="W26" i="5"/>
  <c r="BI20" i="5"/>
  <c r="AD26" i="5"/>
  <c r="I21" i="5"/>
  <c r="BJ21" i="5"/>
  <c r="BG26" i="5"/>
  <c r="AB26" i="5"/>
  <c r="AR26" i="5"/>
  <c r="AL20" i="5"/>
  <c r="AP20" i="5"/>
  <c r="AV20" i="5"/>
  <c r="U21" i="5"/>
  <c r="AY26" i="5"/>
  <c r="AN26" i="5"/>
  <c r="AI20" i="5"/>
  <c r="AA26" i="5"/>
  <c r="BC26" i="5"/>
  <c r="N26" i="5"/>
  <c r="E20" i="5"/>
  <c r="AH7" i="5"/>
  <c r="M21" i="5"/>
  <c r="AS21" i="5"/>
  <c r="L7" i="5"/>
  <c r="BL21" i="5"/>
  <c r="BD26" i="5"/>
  <c r="AX26" i="5"/>
  <c r="AI7" i="5"/>
  <c r="O20" i="5"/>
  <c r="AU21" i="5"/>
  <c r="AU26" i="5"/>
  <c r="AA21" i="5"/>
  <c r="AA20" i="5"/>
  <c r="O21" i="5"/>
  <c r="AO7" i="5"/>
  <c r="L20" i="5"/>
  <c r="AR7" i="5"/>
  <c r="AI21" i="5"/>
  <c r="AN20" i="5"/>
  <c r="AD7" i="5"/>
  <c r="AR20" i="5"/>
  <c r="AJ7" i="5"/>
  <c r="AN21" i="5"/>
  <c r="AI26" i="5"/>
  <c r="L21" i="5"/>
  <c r="L26" i="5"/>
  <c r="BD20" i="5"/>
  <c r="AX21" i="5"/>
  <c r="BD21" i="5"/>
  <c r="AX20" i="5"/>
  <c r="BL26" i="5"/>
  <c r="BL20" i="5"/>
  <c r="M26" i="5"/>
  <c r="M7" i="5"/>
  <c r="AM21" i="5"/>
  <c r="AS20" i="5"/>
  <c r="AS26" i="5"/>
  <c r="AT7" i="5"/>
  <c r="BF7" i="5"/>
  <c r="M20" i="5"/>
  <c r="AM7" i="5"/>
  <c r="AT21" i="5"/>
  <c r="W7" i="5"/>
  <c r="BI26" i="5"/>
  <c r="H7" i="5"/>
  <c r="Z21" i="5"/>
  <c r="AP21" i="5"/>
  <c r="X26" i="5"/>
  <c r="W20" i="5"/>
  <c r="Z20" i="5"/>
  <c r="AP26" i="5"/>
  <c r="AY21" i="5"/>
  <c r="P7" i="5"/>
  <c r="Z26" i="5"/>
  <c r="G7" i="5"/>
  <c r="BI7" i="5"/>
  <c r="BI21" i="5"/>
  <c r="BL7" i="5"/>
  <c r="AN7" i="5"/>
  <c r="AM26" i="5"/>
  <c r="I26" i="5"/>
  <c r="I7" i="5"/>
  <c r="AY7" i="5"/>
  <c r="V20" i="5"/>
  <c r="BK7" i="5"/>
  <c r="V26" i="5"/>
  <c r="J7" i="5"/>
  <c r="AZ7" i="5"/>
  <c r="BJ26" i="5"/>
  <c r="W21" i="5"/>
  <c r="I20" i="5"/>
  <c r="V21" i="5"/>
  <c r="BJ7" i="5"/>
  <c r="F7" i="5"/>
  <c r="X7" i="5"/>
  <c r="AL26" i="5"/>
  <c r="AG26" i="5"/>
  <c r="AY20" i="5"/>
  <c r="BJ20" i="5"/>
  <c r="U20" i="5"/>
  <c r="AU7" i="5"/>
  <c r="BA7" i="5"/>
  <c r="AW20" i="5"/>
  <c r="Y7" i="5"/>
  <c r="O7" i="5"/>
  <c r="AP7" i="5"/>
  <c r="BE7" i="5"/>
  <c r="AE21" i="5"/>
  <c r="AT20" i="5"/>
  <c r="BB7" i="5"/>
  <c r="AG20" i="5"/>
  <c r="X21" i="5"/>
  <c r="AV21" i="5"/>
  <c r="AW7" i="5"/>
  <c r="AG21" i="5"/>
  <c r="BG7" i="5"/>
  <c r="BH7" i="5"/>
  <c r="BA21" i="5"/>
  <c r="AQ7" i="5"/>
  <c r="E21" i="5"/>
  <c r="U26" i="5"/>
  <c r="N7" i="5"/>
  <c r="N20" i="5"/>
  <c r="N21" i="5"/>
  <c r="BD7" i="5"/>
  <c r="AE26" i="5"/>
  <c r="BC7" i="5"/>
  <c r="BA20" i="5"/>
  <c r="AF21" i="5"/>
  <c r="BC20" i="5"/>
  <c r="BC21" i="5"/>
  <c r="V7" i="5"/>
  <c r="AL7" i="5"/>
  <c r="BE20" i="5"/>
  <c r="BG21" i="5"/>
  <c r="G20" i="5"/>
  <c r="AW26" i="5"/>
  <c r="AV26" i="5"/>
  <c r="AE7" i="5"/>
  <c r="U7" i="5"/>
  <c r="AV7" i="5"/>
  <c r="BE21" i="5"/>
  <c r="BG20" i="5"/>
  <c r="G21" i="5"/>
  <c r="AB21" i="5"/>
  <c r="AD20" i="5"/>
  <c r="AB7" i="5"/>
  <c r="AC7" i="5"/>
  <c r="AB20" i="5"/>
  <c r="AD21" i="5"/>
  <c r="AX7" i="5"/>
  <c r="AS7" i="5"/>
  <c r="AL21" i="5"/>
  <c r="AF7" i="5"/>
  <c r="Z7" i="5"/>
  <c r="AG7" i="5"/>
  <c r="AF20" i="5"/>
  <c r="AR21" i="5"/>
  <c r="I80" i="1"/>
  <c r="J20" i="1"/>
  <c r="E23" i="5" s="1"/>
  <c r="H21" i="1"/>
  <c r="H22" i="1"/>
  <c r="H23" i="1"/>
  <c r="H24" i="1"/>
  <c r="H25" i="1"/>
  <c r="H40" i="1"/>
  <c r="H41" i="1"/>
  <c r="G40" i="1"/>
  <c r="G41" i="1"/>
  <c r="H39" i="1"/>
  <c r="G39" i="1"/>
  <c r="G14" i="10" l="1"/>
  <c r="E29" i="5"/>
  <c r="E30" i="5" s="1"/>
  <c r="G13" i="10"/>
  <c r="J20" i="9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J21" i="9"/>
  <c r="G21" i="9"/>
  <c r="F21" i="9"/>
  <c r="I21" i="9"/>
  <c r="H21" i="9"/>
  <c r="C14" i="10"/>
  <c r="F14" i="10"/>
  <c r="E14" i="10"/>
  <c r="D14" i="10"/>
  <c r="C10" i="10"/>
  <c r="C11" i="10"/>
  <c r="D11" i="10" s="1"/>
  <c r="E11" i="10" s="1"/>
  <c r="F11" i="10" s="1"/>
  <c r="G11" i="10" s="1"/>
  <c r="F23" i="5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F12" i="5" l="1"/>
  <c r="F13" i="5" s="1"/>
  <c r="D10" i="10"/>
  <c r="F29" i="5" l="1"/>
  <c r="G12" i="5" s="1"/>
  <c r="E10" i="10"/>
  <c r="G10" i="5"/>
  <c r="F30" i="5" l="1"/>
  <c r="G29" i="5"/>
  <c r="H12" i="5" s="1"/>
  <c r="G13" i="5"/>
  <c r="G10" i="10"/>
  <c r="F10" i="10"/>
  <c r="H10" i="5"/>
  <c r="G30" i="5" l="1"/>
  <c r="H29" i="5"/>
  <c r="H30" i="5" s="1"/>
  <c r="H13" i="5"/>
  <c r="I10" i="5"/>
  <c r="I12" i="5" l="1"/>
  <c r="J10" i="5"/>
  <c r="I29" i="5" l="1"/>
  <c r="I13" i="5"/>
  <c r="K10" i="5"/>
  <c r="I30" i="5" l="1"/>
  <c r="J12" i="5"/>
  <c r="L10" i="5"/>
  <c r="J29" i="5" l="1"/>
  <c r="J13" i="5"/>
  <c r="M10" i="5"/>
  <c r="K12" i="5" l="1"/>
  <c r="J30" i="5"/>
  <c r="N10" i="5"/>
  <c r="K29" i="5" l="1"/>
  <c r="K13" i="5"/>
  <c r="O10" i="5"/>
  <c r="K30" i="5" l="1"/>
  <c r="L12" i="5"/>
  <c r="F18" i="9"/>
  <c r="F9" i="9"/>
  <c r="C4" i="10"/>
  <c r="P10" i="5"/>
  <c r="L29" i="5" l="1"/>
  <c r="L13" i="5"/>
  <c r="F17" i="9"/>
  <c r="C8" i="10" s="1"/>
  <c r="Q10" i="5"/>
  <c r="L30" i="5" l="1"/>
  <c r="M12" i="5"/>
  <c r="R10" i="5"/>
  <c r="M29" i="5" l="1"/>
  <c r="M13" i="5"/>
  <c r="S10" i="5"/>
  <c r="M30" i="5" l="1"/>
  <c r="N12" i="5"/>
  <c r="T10" i="5"/>
  <c r="N29" i="5" l="1"/>
  <c r="N13" i="5"/>
  <c r="U10" i="5"/>
  <c r="O12" i="5" l="1"/>
  <c r="N30" i="5"/>
  <c r="V10" i="5"/>
  <c r="O29" i="5" l="1"/>
  <c r="O13" i="5"/>
  <c r="W10" i="5"/>
  <c r="O30" i="5" l="1"/>
  <c r="P12" i="5"/>
  <c r="X10" i="5"/>
  <c r="P29" i="5" l="1"/>
  <c r="P13" i="5"/>
  <c r="Y10" i="5"/>
  <c r="P30" i="5" l="1"/>
  <c r="Q12" i="5"/>
  <c r="Z10" i="5"/>
  <c r="Q29" i="5" l="1"/>
  <c r="Q13" i="5"/>
  <c r="AA10" i="5"/>
  <c r="Q30" i="5" l="1"/>
  <c r="R12" i="5"/>
  <c r="AB10" i="5"/>
  <c r="R29" i="5" l="1"/>
  <c r="R13" i="5"/>
  <c r="AC10" i="5"/>
  <c r="R30" i="5" l="1"/>
  <c r="S12" i="5"/>
  <c r="AD10" i="5"/>
  <c r="S29" i="5" l="1"/>
  <c r="S13" i="5"/>
  <c r="AE10" i="5"/>
  <c r="S30" i="5" l="1"/>
  <c r="T12" i="5"/>
  <c r="AF10" i="5"/>
  <c r="T29" i="5" l="1"/>
  <c r="T13" i="5"/>
  <c r="AG10" i="5"/>
  <c r="T30" i="5" l="1"/>
  <c r="U12" i="5"/>
  <c r="AH10" i="5"/>
  <c r="U29" i="5" l="1"/>
  <c r="U13" i="5"/>
  <c r="AI10" i="5"/>
  <c r="U30" i="5" l="1"/>
  <c r="V12" i="5"/>
  <c r="AJ10" i="5"/>
  <c r="V29" i="5" l="1"/>
  <c r="V13" i="5"/>
  <c r="AK10" i="5"/>
  <c r="W12" i="5" l="1"/>
  <c r="V30" i="5"/>
  <c r="AL10" i="5"/>
  <c r="W29" i="5" l="1"/>
  <c r="W13" i="5"/>
  <c r="AM10" i="5"/>
  <c r="W30" i="5" l="1"/>
  <c r="X12" i="5"/>
  <c r="AN10" i="5"/>
  <c r="X29" i="5" l="1"/>
  <c r="X13" i="5"/>
  <c r="AO10" i="5"/>
  <c r="X30" i="5" l="1"/>
  <c r="Y12" i="5"/>
  <c r="AP10" i="5"/>
  <c r="Y29" i="5" l="1"/>
  <c r="Y13" i="5"/>
  <c r="AQ10" i="5"/>
  <c r="Y30" i="5" l="1"/>
  <c r="Z12" i="5"/>
  <c r="AR10" i="5"/>
  <c r="Z29" i="5" l="1"/>
  <c r="Z13" i="5"/>
  <c r="AS10" i="5"/>
  <c r="Z30" i="5" l="1"/>
  <c r="AA12" i="5"/>
  <c r="AT10" i="5"/>
  <c r="AA29" i="5" l="1"/>
  <c r="AA13" i="5"/>
  <c r="AU10" i="5"/>
  <c r="AA30" i="5" l="1"/>
  <c r="AB12" i="5"/>
  <c r="AV10" i="5"/>
  <c r="AB29" i="5" l="1"/>
  <c r="AB13" i="5"/>
  <c r="AW10" i="5"/>
  <c r="AB30" i="5" l="1"/>
  <c r="AC12" i="5"/>
  <c r="AX10" i="5"/>
  <c r="AC29" i="5" l="1"/>
  <c r="AC13" i="5"/>
  <c r="AY10" i="5"/>
  <c r="AD12" i="5" l="1"/>
  <c r="AC30" i="5"/>
  <c r="AZ10" i="5"/>
  <c r="H45" i="1"/>
  <c r="H44" i="1"/>
  <c r="J28" i="9"/>
  <c r="I28" i="9"/>
  <c r="H28" i="9"/>
  <c r="G28" i="9"/>
  <c r="B5" i="8"/>
  <c r="B6" i="8" s="1"/>
  <c r="B7" i="8" s="1"/>
  <c r="B8" i="8" s="1"/>
  <c r="B9" i="8" s="1"/>
  <c r="B10" i="8" s="1"/>
  <c r="B11" i="8" s="1"/>
  <c r="B12" i="8" s="1"/>
  <c r="H17" i="7"/>
  <c r="AD29" i="5" l="1"/>
  <c r="AD13" i="5"/>
  <c r="BA10" i="5"/>
  <c r="H18" i="7"/>
  <c r="H20" i="7" s="1"/>
  <c r="E7" i="7"/>
  <c r="E12" i="7" s="1"/>
  <c r="AD30" i="5" l="1"/>
  <c r="AE12" i="5"/>
  <c r="BB10" i="5"/>
  <c r="E10" i="7"/>
  <c r="C7" i="7" s="1"/>
  <c r="C10" i="7" s="1"/>
  <c r="E13" i="7"/>
  <c r="AE29" i="5" l="1"/>
  <c r="AE13" i="5"/>
  <c r="BC10" i="5"/>
  <c r="F20" i="1"/>
  <c r="AE30" i="5" l="1"/>
  <c r="AF12" i="5"/>
  <c r="BD10" i="5"/>
  <c r="C7" i="10"/>
  <c r="E15" i="5"/>
  <c r="J24" i="1"/>
  <c r="J23" i="1"/>
  <c r="J22" i="1"/>
  <c r="J25" i="1"/>
  <c r="J21" i="1"/>
  <c r="F22" i="1"/>
  <c r="F25" i="1"/>
  <c r="F24" i="1"/>
  <c r="F23" i="1"/>
  <c r="F21" i="1"/>
  <c r="AF29" i="5" l="1"/>
  <c r="AF13" i="5"/>
  <c r="F23" i="9"/>
  <c r="F31" i="9"/>
  <c r="F15" i="5"/>
  <c r="G15" i="5" s="1"/>
  <c r="BE10" i="5"/>
  <c r="D7" i="10"/>
  <c r="G14" i="9"/>
  <c r="G31" i="9" s="1"/>
  <c r="AG12" i="5" l="1"/>
  <c r="AF30" i="5"/>
  <c r="BF10" i="5"/>
  <c r="E7" i="10"/>
  <c r="H14" i="9"/>
  <c r="H31" i="9" s="1"/>
  <c r="H15" i="5"/>
  <c r="AG29" i="5" l="1"/>
  <c r="AG13" i="5"/>
  <c r="BG10" i="5"/>
  <c r="F7" i="10"/>
  <c r="G7" i="10" s="1"/>
  <c r="I14" i="9"/>
  <c r="I31" i="9" s="1"/>
  <c r="I15" i="5"/>
  <c r="AH12" i="5" l="1"/>
  <c r="AG30" i="5"/>
  <c r="BH10" i="5"/>
  <c r="J14" i="9"/>
  <c r="J15" i="5"/>
  <c r="AH29" i="5" l="1"/>
  <c r="AH13" i="5"/>
  <c r="J31" i="9"/>
  <c r="BI10" i="5"/>
  <c r="K15" i="5"/>
  <c r="AH30" i="5" l="1"/>
  <c r="AI12" i="5"/>
  <c r="BJ10" i="5"/>
  <c r="L15" i="5"/>
  <c r="AI29" i="5" l="1"/>
  <c r="AI13" i="5"/>
  <c r="BL10" i="5"/>
  <c r="BK10" i="5"/>
  <c r="M15" i="5"/>
  <c r="AJ12" i="5" l="1"/>
  <c r="AI30" i="5"/>
  <c r="N15" i="5"/>
  <c r="AJ29" i="5" l="1"/>
  <c r="AJ13" i="5"/>
  <c r="G18" i="9"/>
  <c r="G9" i="9"/>
  <c r="D4" i="10"/>
  <c r="O15" i="5"/>
  <c r="AJ30" i="5" l="1"/>
  <c r="AK12" i="5"/>
  <c r="G17" i="9"/>
  <c r="G23" i="9" s="1"/>
  <c r="P15" i="5"/>
  <c r="AK29" i="5" l="1"/>
  <c r="AK13" i="5"/>
  <c r="D8" i="10"/>
  <c r="Q15" i="5"/>
  <c r="AK30" i="5" l="1"/>
  <c r="AL12" i="5"/>
  <c r="R15" i="5"/>
  <c r="AL29" i="5" l="1"/>
  <c r="AL13" i="5"/>
  <c r="S15" i="5"/>
  <c r="AM12" i="5" l="1"/>
  <c r="AL30" i="5"/>
  <c r="T15" i="5"/>
  <c r="AM29" i="5" l="1"/>
  <c r="AM13" i="5"/>
  <c r="U15" i="5"/>
  <c r="AM30" i="5" l="1"/>
  <c r="AN12" i="5"/>
  <c r="V15" i="5"/>
  <c r="AN29" i="5" l="1"/>
  <c r="AN13" i="5"/>
  <c r="W15" i="5"/>
  <c r="AN30" i="5" l="1"/>
  <c r="AO12" i="5"/>
  <c r="X15" i="5"/>
  <c r="AO29" i="5" l="1"/>
  <c r="AO13" i="5"/>
  <c r="Y15" i="5"/>
  <c r="AP12" i="5" l="1"/>
  <c r="AO30" i="5"/>
  <c r="Z15" i="5"/>
  <c r="AP29" i="5" l="1"/>
  <c r="AP13" i="5"/>
  <c r="H18" i="9"/>
  <c r="E4" i="10"/>
  <c r="H9" i="9"/>
  <c r="AA15" i="5"/>
  <c r="AQ12" i="5" l="1"/>
  <c r="AP30" i="5"/>
  <c r="H17" i="9"/>
  <c r="E8" i="10" s="1"/>
  <c r="AB15" i="5"/>
  <c r="AQ29" i="5" l="1"/>
  <c r="AQ13" i="5"/>
  <c r="H23" i="9"/>
  <c r="AC15" i="5"/>
  <c r="AQ30" i="5" l="1"/>
  <c r="AR12" i="5"/>
  <c r="AD15" i="5"/>
  <c r="AR29" i="5" l="1"/>
  <c r="AR13" i="5"/>
  <c r="AE15" i="5"/>
  <c r="AS12" i="5" l="1"/>
  <c r="AR30" i="5"/>
  <c r="AF15" i="5"/>
  <c r="AS29" i="5" l="1"/>
  <c r="AS13" i="5"/>
  <c r="AG15" i="5"/>
  <c r="AS30" i="5" l="1"/>
  <c r="AT12" i="5"/>
  <c r="AH15" i="5"/>
  <c r="AT29" i="5" l="1"/>
  <c r="AT13" i="5"/>
  <c r="AI15" i="5"/>
  <c r="AU12" i="5" l="1"/>
  <c r="AT30" i="5"/>
  <c r="AJ15" i="5"/>
  <c r="AU29" i="5" l="1"/>
  <c r="AU13" i="5"/>
  <c r="AK15" i="5"/>
  <c r="AU30" i="5" l="1"/>
  <c r="AV12" i="5"/>
  <c r="AL15" i="5"/>
  <c r="AV29" i="5" l="1"/>
  <c r="AV13" i="5"/>
  <c r="I18" i="9"/>
  <c r="F4" i="10"/>
  <c r="I9" i="9"/>
  <c r="AM15" i="5"/>
  <c r="AV30" i="5" l="1"/>
  <c r="AW12" i="5"/>
  <c r="I17" i="9"/>
  <c r="F8" i="10" s="1"/>
  <c r="AN15" i="5"/>
  <c r="AW29" i="5" l="1"/>
  <c r="AW13" i="5"/>
  <c r="I23" i="9"/>
  <c r="AO15" i="5"/>
  <c r="AW30" i="5" l="1"/>
  <c r="AX12" i="5"/>
  <c r="AP15" i="5"/>
  <c r="AX29" i="5" l="1"/>
  <c r="AX13" i="5"/>
  <c r="AQ15" i="5"/>
  <c r="AY12" i="5" l="1"/>
  <c r="AX30" i="5"/>
  <c r="AR15" i="5"/>
  <c r="AY29" i="5" l="1"/>
  <c r="AY13" i="5"/>
  <c r="AS15" i="5"/>
  <c r="AZ12" i="5" l="1"/>
  <c r="AY30" i="5"/>
  <c r="AT15" i="5"/>
  <c r="AZ29" i="5" l="1"/>
  <c r="AZ13" i="5"/>
  <c r="AU15" i="5"/>
  <c r="AZ30" i="5" l="1"/>
  <c r="BA12" i="5"/>
  <c r="AV15" i="5"/>
  <c r="BA29" i="5" l="1"/>
  <c r="BA13" i="5"/>
  <c r="AW15" i="5"/>
  <c r="BA30" i="5" l="1"/>
  <c r="BB12" i="5"/>
  <c r="AX15" i="5"/>
  <c r="BB29" i="5" l="1"/>
  <c r="BB13" i="5"/>
  <c r="J18" i="9"/>
  <c r="G4" i="10"/>
  <c r="J9" i="9"/>
  <c r="AY15" i="5"/>
  <c r="BB30" i="5" l="1"/>
  <c r="BC12" i="5"/>
  <c r="J17" i="9"/>
  <c r="J23" i="9" s="1"/>
  <c r="AZ15" i="5"/>
  <c r="BC29" i="5" l="1"/>
  <c r="BC13" i="5"/>
  <c r="G8" i="10"/>
  <c r="BA15" i="5"/>
  <c r="BC30" i="5" l="1"/>
  <c r="BD12" i="5"/>
  <c r="BB15" i="5"/>
  <c r="BD29" i="5" l="1"/>
  <c r="BD13" i="5"/>
  <c r="BC15" i="5"/>
  <c r="BD30" i="5" l="1"/>
  <c r="BE12" i="5"/>
  <c r="BD15" i="5"/>
  <c r="BE29" i="5" l="1"/>
  <c r="BE13" i="5"/>
  <c r="BE15" i="5"/>
  <c r="BE30" i="5" l="1"/>
  <c r="BF12" i="5"/>
  <c r="BF15" i="5"/>
  <c r="BF29" i="5" l="1"/>
  <c r="BF13" i="5"/>
  <c r="BG15" i="5"/>
  <c r="BF30" i="5" l="1"/>
  <c r="BG12" i="5"/>
  <c r="BH15" i="5"/>
  <c r="BG29" i="5" l="1"/>
  <c r="BG13" i="5"/>
  <c r="BI15" i="5"/>
  <c r="BH12" i="5" l="1"/>
  <c r="BG30" i="5"/>
  <c r="BJ15" i="5"/>
  <c r="BH29" i="5" l="1"/>
  <c r="BH13" i="5"/>
  <c r="BK15" i="5"/>
  <c r="BI12" i="5" l="1"/>
  <c r="BH30" i="5"/>
  <c r="BL15" i="5"/>
  <c r="BI29" i="5" l="1"/>
  <c r="BI13" i="5"/>
  <c r="BI30" i="5" l="1"/>
  <c r="BJ12" i="5"/>
  <c r="BJ29" i="5" l="1"/>
  <c r="BJ13" i="5"/>
  <c r="BJ30" i="5" l="1"/>
  <c r="BK12" i="5"/>
  <c r="C5" i="10"/>
  <c r="C17" i="10" s="1"/>
  <c r="F10" i="9"/>
  <c r="F11" i="9" s="1"/>
  <c r="F29" i="9" s="1"/>
  <c r="F35" i="9" l="1"/>
  <c r="F36" i="9"/>
  <c r="BK29" i="5"/>
  <c r="BK13" i="5"/>
  <c r="F37" i="9"/>
  <c r="BK30" i="5" l="1"/>
  <c r="BL12" i="5"/>
  <c r="D5" i="10"/>
  <c r="D17" i="10" s="1"/>
  <c r="G10" i="9"/>
  <c r="G11" i="9" s="1"/>
  <c r="G29" i="9" s="1"/>
  <c r="BL29" i="5" l="1"/>
  <c r="BL30" i="5" s="1"/>
  <c r="BL13" i="5"/>
  <c r="G36" i="9"/>
  <c r="G35" i="9"/>
  <c r="G37" i="9"/>
  <c r="E31" i="5" l="1"/>
  <c r="E5" i="10"/>
  <c r="E17" i="10" s="1"/>
  <c r="H10" i="9"/>
  <c r="H11" i="9" s="1"/>
  <c r="H29" i="9" s="1"/>
  <c r="H37" i="9" l="1"/>
  <c r="H35" i="9"/>
  <c r="H36" i="9"/>
  <c r="F5" i="10" l="1"/>
  <c r="F17" i="10" s="1"/>
  <c r="I10" i="9"/>
  <c r="I11" i="9" s="1"/>
  <c r="I29" i="9" s="1"/>
  <c r="I37" i="9" l="1"/>
  <c r="I35" i="9"/>
  <c r="I36" i="9"/>
  <c r="J10" i="9" l="1"/>
  <c r="J11" i="9" s="1"/>
  <c r="J29" i="9" s="1"/>
  <c r="G5" i="10"/>
  <c r="G17" i="10" s="1"/>
  <c r="J37" i="9" l="1"/>
  <c r="J35" i="9"/>
  <c r="J36" i="9"/>
  <c r="C1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tc={61253FC8-1180-4C45-8B88-38EE2176F5FE}</author>
    <author>tc={B20BB208-8A23-4F06-873C-EDB8CFA8267E}</author>
    <author>tc={2B02C478-5700-4264-A9EA-17AF840C510F}</author>
    <author>tc={A495FFCD-5757-410B-9371-B8E6BCB03698}</author>
    <author>tc={3199E152-010F-458D-9AFE-1CC15A69EB1E}</author>
    <author>tc={DF97AEAC-87C3-44D6-A401-22AC4062F4A5}</author>
    <author>tc={1A3F8321-ECE4-4703-BBF4-61B4A7628B33}</author>
    <author>tc={93E7F6F8-324D-4388-BFDD-2CC9C5694AE6}</author>
    <author>tc={6A6C7719-6AF8-4517-9949-62C0CF5D9884}</author>
    <author>tc={EF77CD5B-9BD8-442E-86B5-3E14AA94959C}</author>
    <author>tc={6B3FC1A5-1424-4506-895F-EB3FF6423B09}</author>
    <author>tc={9374B60C-17D1-4F1F-B769-A14879E3A569}</author>
    <author>tc={45ABA5BF-F91C-47D5-8A4A-E1EEE90BBC13}</author>
    <author>tc={DAE98633-839E-4FF6-9F9E-516340D07162}</author>
    <author>tc={2170D4C4-4C9A-4BA3-B9F2-FD73FD0C5DEA}</author>
  </authors>
  <commentList>
    <comment ref="B4" authorId="0" shapeId="0" xr:uid="{61253FC8-1180-4C45-8B88-38EE2176F5FE}">
      <text>
        <t>[Threaded comment]
Your version of Excel allows you to read this threaded comment; however, any edits to it will get removed if the file is opened in a newer version of Excel. Learn more: https://go.microsoft.com/fwlink/?linkid=870924
Comment:
    AKA PURCHASE PRICE</t>
      </text>
    </comment>
    <comment ref="F7" authorId="1" shapeId="0" xr:uid="{B20BB208-8A23-4F06-873C-EDB8CFA8267E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</t>
      </text>
    </comment>
    <comment ref="D9" authorId="2" shapeId="0" xr:uid="{2B02C478-5700-4264-A9EA-17AF840C51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100k total insurance coverage </t>
      </text>
    </comment>
    <comment ref="H13" authorId="3" shapeId="0" xr:uid="{A495FFCD-5757-410B-9371-B8E6BCB036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Affects everything </t>
      </text>
    </comment>
    <comment ref="H19" authorId="4" shapeId="0" xr:uid="{3199E152-010F-458D-9AFE-1CC15A69EB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this system its bad</t>
      </text>
    </comment>
    <comment ref="B28" authorId="5" shapeId="0" xr:uid="{DF97AEAC-87C3-44D6-A401-22AC4062F4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</t>
      </text>
    </comment>
    <comment ref="E29" authorId="6" shapeId="0" xr:uid="{1A3F8321-ECE4-4703-BBF4-61B4A7628B33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 online</t>
      </text>
    </comment>
    <comment ref="F29" authorId="7" shapeId="0" xr:uid="{93E7F6F8-324D-4388-BFDD-2CC9C5694A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Ontario: Find MPAC assesed value then use growth % to find future years
Ohio: Use Jan 1st value each time for conservative estimates, for more bullish use the every 3 years as the property value increase for tax purposes
Texas: Jan 1st annual property value do every year </t>
      </text>
    </comment>
    <comment ref="D32" authorId="8" shapeId="0" xr:uid="{6A6C7719-6AF8-4517-9949-62C0CF5D988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all in manually, I have yearly average over here tho if u wanna just paste that over</t>
      </text>
    </comment>
    <comment ref="D35" authorId="9" shapeId="0" xr:uid="{EF77CD5B-9BD8-442E-86B5-3E14AA94959C}">
      <text>
        <t>[Threaded comment]
Your version of Excel allows you to read this threaded comment; however, any edits to it will get removed if the file is opened in a newer version of Excel. Learn more: https://go.microsoft.com/fwlink/?linkid=870924
Comment:
    5% is decent base assumption</t>
      </text>
    </comment>
    <comment ref="D40" authorId="10" shapeId="0" xr:uid="{6B3FC1A5-1424-4506-895F-EB3FF6423B09}">
      <text>
        <t>[Threaded comment]
Your version of Excel allows you to read this threaded comment; however, any edits to it will get removed if the file is opened in a newer version of Excel. Learn more: https://go.microsoft.com/fwlink/?linkid=870924
Comment:
    Cleveland as high as 8%</t>
      </text>
    </comment>
    <comment ref="D56" authorId="11" shapeId="0" xr:uid="{9374B60C-17D1-4F1F-B769-A14879E3A569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quant or est, its always given, idk?</t>
      </text>
    </comment>
    <comment ref="E56" authorId="12" shapeId="0" xr:uid="{45ABA5BF-F91C-47D5-8A4A-E1EEE90BBC13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Materials, labour, general contracto</t>
      </text>
    </comment>
    <comment ref="F56" authorId="13" shapeId="0" xr:uid="{DAE98633-839E-4FF6-9F9E-516340D0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Legal, permits, architect/engineer, design, construction mgmt, etc</t>
      </text>
    </comment>
    <comment ref="F61" authorId="14" shapeId="0" xr:uid="{2170D4C4-4C9A-4BA3-B9F2-FD73FD0C5D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Input SF here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tc={3658BC6E-F9A4-4677-B714-14901354E42D}</author>
    <author>tc={9DB1B503-BCCF-4890-97E7-E60F9DDA1E78}</author>
    <author>tc={9DEB867A-E654-44D3-B9A4-8140DFDF8D7E}</author>
  </authors>
  <commentList>
    <comment ref="E12" authorId="0" shapeId="0" xr:uid="{3658BC6E-F9A4-4677-B714-14901354E42D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if there is any we have leftover</t>
      </text>
    </comment>
    <comment ref="D18" authorId="1" shapeId="0" xr:uid="{9DB1B503-BCCF-4890-97E7-E60F9DDA1E78}">
      <text>
        <t>[Threaded comment]
Your version of Excel allows you to read this threaded comment; however, any edits to it will get removed if the file is opened in a newer version of Excel. Learn more: https://go.microsoft.com/fwlink/?linkid=870924
Comment:
    Buy</t>
      </text>
    </comment>
    <comment ref="BL18" authorId="2" shapeId="0" xr:uid="{9DEB867A-E654-44D3-B9A4-8140DFDF8D7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Sell/Loan Repay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<sst xmlns="http://schemas.openxmlformats.org/spreadsheetml/2006/main" count="447" uniqueCount="262">
  <si>
    <t>SFR and 0 Equity Model</t>
  </si>
  <si>
    <t>Created By Akul Veauli</t>
  </si>
  <si>
    <t>On</t>
  </si>
  <si>
    <t xml:space="preserve">For use for potential 0 equity purchases as well as SFR properties with Value add potential or General hold. Multiple adjustable cases are available in the inputs page if you adjust as needed. </t>
  </si>
  <si>
    <t>= calcuated</t>
  </si>
  <si>
    <t>= assumptions or inputs</t>
  </si>
  <si>
    <t>Case Switches</t>
  </si>
  <si>
    <t xml:space="preserve"> Value, Mortgage, Tax, Growth and Turnover</t>
  </si>
  <si>
    <t>Market Value</t>
  </si>
  <si>
    <t>General Assumptions</t>
  </si>
  <si>
    <t>Annual</t>
  </si>
  <si>
    <t>Monthly</t>
  </si>
  <si>
    <t>Pre Value add</t>
  </si>
  <si>
    <t>Value add</t>
  </si>
  <si>
    <t>US Mortgage Interest Rate</t>
  </si>
  <si>
    <t>Rent</t>
  </si>
  <si>
    <t>CAD Mortgage Interst Rate Annualized</t>
  </si>
  <si>
    <t>Investment Strategy</t>
  </si>
  <si>
    <t>Mortgage Term</t>
  </si>
  <si>
    <t>Renovate</t>
  </si>
  <si>
    <t>Discount Factor</t>
  </si>
  <si>
    <t>Property Tax Assumptions</t>
  </si>
  <si>
    <t>Insurance liability protection</t>
  </si>
  <si>
    <t>N/A</t>
  </si>
  <si>
    <t>Texas</t>
  </si>
  <si>
    <t>Case Number</t>
  </si>
  <si>
    <t>Other Insurance Risks</t>
  </si>
  <si>
    <t>Ohio</t>
  </si>
  <si>
    <t>Age of Property</t>
  </si>
  <si>
    <t>Ontario</t>
  </si>
  <si>
    <t>Month of Purchase</t>
  </si>
  <si>
    <t>Region</t>
  </si>
  <si>
    <t>RM</t>
  </si>
  <si>
    <t>RM Growth %</t>
  </si>
  <si>
    <t>Utilities</t>
  </si>
  <si>
    <t>Tenant Pays</t>
  </si>
  <si>
    <t>Tenant pays</t>
  </si>
  <si>
    <t>Prop Mgmt Case</t>
  </si>
  <si>
    <t>Utilities Growth %</t>
  </si>
  <si>
    <t>Full Time</t>
  </si>
  <si>
    <t>add utilities section too if possible, not relavent for now but makes it future proof of a model</t>
  </si>
  <si>
    <t>Per Period</t>
  </si>
  <si>
    <t>Purchase Date</t>
  </si>
  <si>
    <t>Mortgage Balance</t>
  </si>
  <si>
    <t>Mortgage Payments</t>
  </si>
  <si>
    <t>Closing Costs</t>
  </si>
  <si>
    <t xml:space="preserve">Property Tax </t>
  </si>
  <si>
    <t>Insurance Cost</t>
  </si>
  <si>
    <t>Tax Pay Date</t>
  </si>
  <si>
    <t>Lease Start Date</t>
  </si>
  <si>
    <t>Property Taxes</t>
  </si>
  <si>
    <t>Rent Increase Frequency</t>
  </si>
  <si>
    <t>Year 0</t>
  </si>
  <si>
    <t>Year 1</t>
  </si>
  <si>
    <t>Year 2</t>
  </si>
  <si>
    <t>Year 3</t>
  </si>
  <si>
    <t>Year 4</t>
  </si>
  <si>
    <t>Year 5</t>
  </si>
  <si>
    <t>Tax</t>
  </si>
  <si>
    <t>Tax Growth (%)</t>
  </si>
  <si>
    <t>-</t>
  </si>
  <si>
    <t>Renovation Factor</t>
  </si>
  <si>
    <t>Turnover and Vacancy Assumptions</t>
  </si>
  <si>
    <t>Yearly</t>
  </si>
  <si>
    <t>Turnover</t>
  </si>
  <si>
    <t>Residential Vacancy</t>
  </si>
  <si>
    <t>P.A.</t>
  </si>
  <si>
    <t xml:space="preserve">P.M. </t>
  </si>
  <si>
    <t>Growth Rate Assumptions</t>
  </si>
  <si>
    <t>Property Value</t>
  </si>
  <si>
    <t>Rent Increase</t>
  </si>
  <si>
    <t>Rent Change Rules</t>
  </si>
  <si>
    <t>No</t>
  </si>
  <si>
    <t>Every 12m</t>
  </si>
  <si>
    <t>Land Transfer Tax</t>
  </si>
  <si>
    <t>State</t>
  </si>
  <si>
    <t>County</t>
  </si>
  <si>
    <t>Fed</t>
  </si>
  <si>
    <t>Total</t>
  </si>
  <si>
    <t>Construction/Renovation</t>
  </si>
  <si>
    <t>Currently under the assumption of standard Texas Kitchen + living room remodelling</t>
  </si>
  <si>
    <t>Construction Costs</t>
  </si>
  <si>
    <t>Materials Per SF</t>
  </si>
  <si>
    <t>Labour Per Hour</t>
  </si>
  <si>
    <t>General Contractor %</t>
  </si>
  <si>
    <t>Construction Mgmt %</t>
  </si>
  <si>
    <t>Architect/Engineer/hour</t>
  </si>
  <si>
    <t>Permits Costs</t>
  </si>
  <si>
    <t>what do we do for this now tho?</t>
  </si>
  <si>
    <t>Contingencies</t>
  </si>
  <si>
    <t>Hard Costs</t>
  </si>
  <si>
    <t>Soft Costs</t>
  </si>
  <si>
    <t>Total Construction Costs</t>
  </si>
  <si>
    <t>Monthly Costs</t>
  </si>
  <si>
    <t>Construction Start (m)</t>
  </si>
  <si>
    <t>Construction Duration (m)</t>
  </si>
  <si>
    <t>Area To be Renovated SF</t>
  </si>
  <si>
    <t>Est Labour Hours</t>
  </si>
  <si>
    <t>Est Arch/Eng Hours</t>
  </si>
  <si>
    <t>Labour Cost</t>
  </si>
  <si>
    <t>Material Cost</t>
  </si>
  <si>
    <t>G&amp;A, Leasing, and Marketing</t>
  </si>
  <si>
    <t>Accounting costs</t>
  </si>
  <si>
    <t>Entity Set up Costs</t>
  </si>
  <si>
    <t>DD Costs</t>
  </si>
  <si>
    <t>Legal Costs</t>
  </si>
  <si>
    <t>Make Ready Costs</t>
  </si>
  <si>
    <t>Yr 1 Total GA</t>
  </si>
  <si>
    <t>GA Costs</t>
  </si>
  <si>
    <t>% Growth</t>
  </si>
  <si>
    <t>Marketing Costs</t>
  </si>
  <si>
    <t>marketing majors plz help idk</t>
  </si>
  <si>
    <t>Insurance, HOA, and Misc</t>
  </si>
  <si>
    <t>HOA Assumptions</t>
  </si>
  <si>
    <t>Prop mgmt Step 1</t>
  </si>
  <si>
    <t>Full time</t>
  </si>
  <si>
    <t>Lease Up</t>
  </si>
  <si>
    <t>Consulting</t>
  </si>
  <si>
    <t>Not Worth It</t>
  </si>
  <si>
    <t>Replacement Value Assumption</t>
  </si>
  <si>
    <t>Insurance Premium Growth Rate</t>
  </si>
  <si>
    <t>Months Left To Pay Tax</t>
  </si>
  <si>
    <t>Time till rented (HOLD)</t>
  </si>
  <si>
    <t>Insurance replacement premium</t>
  </si>
  <si>
    <t>Ontario LTT</t>
  </si>
  <si>
    <t>0-55k</t>
  </si>
  <si>
    <t>Prop Mgmt Fees Final</t>
  </si>
  <si>
    <t>55-250k</t>
  </si>
  <si>
    <t>250-400k</t>
  </si>
  <si>
    <t>400k-2000k</t>
  </si>
  <si>
    <t>Time till rented (RENO)</t>
  </si>
  <si>
    <t>Interest Rate of Relevance</t>
  </si>
  <si>
    <t>Monthly Rate</t>
  </si>
  <si>
    <t>2000k+</t>
  </si>
  <si>
    <t>Prop Mgmt Step 2</t>
  </si>
  <si>
    <t>Akul Veauli Operating ProForma</t>
  </si>
  <si>
    <t>Ur moms house</t>
  </si>
  <si>
    <t>INCOME SUMMARY</t>
  </si>
  <si>
    <t xml:space="preserve">Vanacy </t>
  </si>
  <si>
    <t>REVENUE</t>
  </si>
  <si>
    <t>Annual Income</t>
  </si>
  <si>
    <t>z</t>
  </si>
  <si>
    <t>Rental Income</t>
  </si>
  <si>
    <t>Interst Income</t>
  </si>
  <si>
    <t>EFFECTIVE GROSS INCOME</t>
  </si>
  <si>
    <t>OPERATING EXPENSES</t>
  </si>
  <si>
    <t>Mortgage</t>
  </si>
  <si>
    <t xml:space="preserve">Taxes </t>
  </si>
  <si>
    <t>Insurance</t>
  </si>
  <si>
    <t>Vacancy</t>
  </si>
  <si>
    <t>R&amp;M</t>
  </si>
  <si>
    <t xml:space="preserve">G &amp; A / Leasing &amp; Marketing </t>
  </si>
  <si>
    <t>Property Management</t>
  </si>
  <si>
    <t>Other</t>
  </si>
  <si>
    <t>TOTAL OPERATING EXPENSES</t>
  </si>
  <si>
    <t>Capital Expneses</t>
  </si>
  <si>
    <t>Construction</t>
  </si>
  <si>
    <t>idk other capex lmao</t>
  </si>
  <si>
    <t>Total Capex</t>
  </si>
  <si>
    <t>Net Income</t>
  </si>
  <si>
    <t>Total Debt Service</t>
  </si>
  <si>
    <t>Total Interest Payment</t>
  </si>
  <si>
    <t>Total Principal Payment</t>
  </si>
  <si>
    <t>INTEREST COVERAGE RATIO</t>
  </si>
  <si>
    <t>DEBT SERVICE COVERAGE RATIO</t>
  </si>
  <si>
    <t>DEBT CAP RATE</t>
  </si>
  <si>
    <t>FEASIBILITY ANALYSIS</t>
  </si>
  <si>
    <t>Total Loan Amount</t>
  </si>
  <si>
    <t>Purchase Price</t>
  </si>
  <si>
    <t>Debt to Appraised Value:</t>
  </si>
  <si>
    <t>Effective Gross Income</t>
  </si>
  <si>
    <t>Notes:</t>
  </si>
  <si>
    <t>ALL AMOUNTS ANNUAL</t>
  </si>
  <si>
    <t>Category</t>
  </si>
  <si>
    <t>Int income on excess cash</t>
  </si>
  <si>
    <t>Vacancy &amp; Turnover Costs</t>
  </si>
  <si>
    <t>Net Annual Cashflows</t>
  </si>
  <si>
    <t>NPV</t>
  </si>
  <si>
    <t xml:space="preserve"> </t>
  </si>
  <si>
    <t>Monthly Rent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</si>
  <si>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</si>
  <si>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</si>
  <si>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</si>
  <si>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</si>
  <si>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</si>
  <si>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</si>
  <si>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</si>
  <si>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</si>
  <si>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</si>
  <si>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</si>
  <si>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</si>
  <si>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</si>
  <si>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Market Rent</t>
  </si>
  <si>
    <t>Growth %</t>
  </si>
  <si>
    <t>Property Market Value</t>
  </si>
  <si>
    <t>Excess cash</t>
  </si>
  <si>
    <t>Principal</t>
  </si>
  <si>
    <t>Interest</t>
  </si>
  <si>
    <t>Balloon Buy/Sell</t>
  </si>
  <si>
    <t>Monthly Net Cash Flow</t>
  </si>
  <si>
    <t>DCF</t>
  </si>
  <si>
    <t>IRR</t>
  </si>
  <si>
    <t>XIRR</t>
  </si>
  <si>
    <t>MIRR</t>
  </si>
  <si>
    <t>Sources and Uses</t>
  </si>
  <si>
    <t>Sources</t>
  </si>
  <si>
    <t>Uses</t>
  </si>
  <si>
    <t>Acquisition Loan</t>
  </si>
  <si>
    <t>fill in the closing costs or whatever</t>
  </si>
  <si>
    <t xml:space="preserve">Equity </t>
  </si>
  <si>
    <t>add when needed but in texas we have none so no need</t>
  </si>
  <si>
    <t>Total Sources</t>
  </si>
  <si>
    <t>Total Uses</t>
  </si>
  <si>
    <t>Fully Funded Loan</t>
  </si>
  <si>
    <t>Capital Line</t>
  </si>
  <si>
    <t>Capital Expenditures</t>
  </si>
  <si>
    <t>Asset Value</t>
  </si>
  <si>
    <t>LTV--&gt;</t>
  </si>
  <si>
    <t>Investment Overview</t>
  </si>
  <si>
    <t>All-in</t>
  </si>
  <si>
    <t>LTT &amp; Closing Costs</t>
  </si>
  <si>
    <t>Total Purchase Price</t>
  </si>
  <si>
    <t>Add: Capital Expenditures</t>
  </si>
  <si>
    <t>Total Cost</t>
  </si>
  <si>
    <t>Exit Price (_____% Cap Rate)</t>
  </si>
  <si>
    <t>5 Year Net IRR</t>
  </si>
  <si>
    <t>Market Survey</t>
  </si>
  <si>
    <t>Address</t>
  </si>
  <si>
    <t>Finishes</t>
  </si>
  <si>
    <t>Totals</t>
  </si>
  <si>
    <t>Sales Comps</t>
  </si>
  <si>
    <t>City</t>
  </si>
  <si>
    <t>Date</t>
  </si>
  <si>
    <t>Value</t>
  </si>
  <si>
    <t>Units</t>
  </si>
  <si>
    <t>$/Unit</t>
  </si>
  <si>
    <t>Cap Rate</t>
  </si>
  <si>
    <t>R/P</t>
  </si>
  <si>
    <t>Expense</t>
  </si>
  <si>
    <t>% or $ Value</t>
  </si>
  <si>
    <t>HOA fees</t>
  </si>
  <si>
    <t>$100–$800/mo (if applicable)</t>
  </si>
  <si>
    <t>Property management</t>
  </si>
  <si>
    <t>8% of gross monthly rent + leasing fees</t>
  </si>
  <si>
    <t>Maintenance/repairs</t>
  </si>
  <si>
    <t>1% of property value/year OR $100/mo</t>
  </si>
  <si>
    <t>Insurance (landlord)</t>
  </si>
  <si>
    <t>$100–$250/mo</t>
  </si>
  <si>
    <t>Property taxes</t>
  </si>
  <si>
    <t>1%–2% (US), 0.6–1% (CA), of value</t>
  </si>
  <si>
    <t>Vacancy allowance</t>
  </si>
  <si>
    <t>5%–8% of rent</t>
  </si>
  <si>
    <t>Tenant Pays ideally</t>
  </si>
  <si>
    <t>Legal/accounting</t>
  </si>
  <si>
    <t>$100–$500/year</t>
  </si>
  <si>
    <t>Investment Area</t>
  </si>
  <si>
    <t>Switcher</t>
  </si>
  <si>
    <t>Turnover/Vacancy</t>
  </si>
  <si>
    <t>Renovation Start Time</t>
  </si>
  <si>
    <t>Construction Duration</t>
  </si>
  <si>
    <t>Property Mangement Cases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</si>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</sst>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0.0%"/>
    <numFmt numFmtId="169" formatCode="0.000%"/>
    <numFmt numFmtId="170" formatCode="&quot;$&quot;#,##0"/>
    <numFmt numFmtId="171" formatCode="_(&quot;$&quot;* #,##0_);_(&quot;$&quot;* \(#,##0\);_(&quot;$&quot;* &quot;-&quot;??_);_(@_)"/>
    <numFmt numFmtId="172" formatCode="_-&quot;$&quot;* #,##0_-;\-&quot;$&quot;* #,##0_-;_-&quot;$&quot;* &quot;-&quot;??_-;_-@_-"/>
    <numFmt numFmtId="173" formatCode="0.00_);\(0.00\)"/>
    <numFmt numFmtId="174" formatCode="#,##0.00\x"/>
    <numFmt numFmtId="175" formatCode="_(* #,##0_);_(* \(#,##0\);_(* &quot;-&quot;??_);_(@_)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name val="Calibri"/>
      <family val="2"/>
    </font>
    <font>
      <i/>
      <u/>
      <sz val="11"/>
      <name val="Calibri"/>
      <family val="2"/>
    </font>
    <font>
      <i/>
      <u val="singleAccounting"/>
      <sz val="11"/>
      <color theme="0"/>
      <name val="Calibri"/>
      <family val="2"/>
    </font>
    <font>
      <u val="singleAccounting"/>
      <sz val="11"/>
      <name val="Calibri"/>
      <family val="2"/>
    </font>
    <font>
      <i/>
      <sz val="11"/>
      <name val="Calibri"/>
      <family val="2"/>
    </font>
    <font>
      <u/>
      <sz val="11"/>
      <name val="Calibri"/>
      <family val="2"/>
    </font>
    <font>
      <b/>
      <u/>
      <sz val="11"/>
      <name val="Calibri"/>
      <family val="2"/>
    </font>
    <font>
      <i/>
      <sz val="10"/>
      <name val="Calibri"/>
      <family val="2"/>
    </font>
    <font>
      <sz val="11"/>
      <color rgb="FF00B0F0"/>
      <name val="Calibri"/>
      <family val="2"/>
    </font>
    <font>
      <b/>
      <sz val="11"/>
      <color theme="1"/>
      <name val="Calibri"/>
      <family val="2"/>
    </font>
    <font>
      <b/>
      <sz val="9.6"/>
      <color theme="0"/>
      <name val="Calibri"/>
      <family val="2"/>
    </font>
    <font>
      <sz val="9.6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20"/>
      <color theme="0"/>
      <name val="Calibri"/>
      <family val="2"/>
    </font>
    <font>
      <sz val="11"/>
      <color theme="7" tint="-0.249977111117893"/>
      <name val="Calibri"/>
      <family val="2"/>
    </font>
    <font>
      <b/>
      <sz val="50"/>
      <color theme="0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00FF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40" fontId="9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2" xfId="0" applyFont="1" applyBorder="1"/>
    <xf numFmtId="6" fontId="3" fillId="0" borderId="13" xfId="0" applyNumberFormat="1" applyFont="1" applyBorder="1" applyAlignment="1">
      <alignment horizontal="center"/>
    </xf>
    <xf numFmtId="0" fontId="3" fillId="0" borderId="13" xfId="0" applyFont="1" applyBorder="1"/>
    <xf numFmtId="6" fontId="3" fillId="0" borderId="14" xfId="0" applyNumberFormat="1" applyFont="1" applyBorder="1" applyAlignment="1">
      <alignment horizontal="center"/>
    </xf>
    <xf numFmtId="0" fontId="3" fillId="0" borderId="15" xfId="0" applyFont="1" applyBorder="1"/>
    <xf numFmtId="6" fontId="3" fillId="0" borderId="0" xfId="0" applyNumberFormat="1" applyFont="1" applyAlignment="1">
      <alignment horizontal="center"/>
    </xf>
    <xf numFmtId="6" fontId="3" fillId="0" borderId="16" xfId="0" applyNumberFormat="1" applyFont="1" applyBorder="1" applyAlignment="1">
      <alignment horizontal="center"/>
    </xf>
    <xf numFmtId="0" fontId="5" fillId="2" borderId="9" xfId="0" applyFont="1" applyFill="1" applyBorder="1"/>
    <xf numFmtId="6" fontId="5" fillId="2" borderId="10" xfId="0" applyNumberFormat="1" applyFont="1" applyFill="1" applyBorder="1" applyAlignment="1">
      <alignment horizontal="center"/>
    </xf>
    <xf numFmtId="0" fontId="5" fillId="2" borderId="10" xfId="0" applyFont="1" applyFill="1" applyBorder="1"/>
    <xf numFmtId="6" fontId="5" fillId="2" borderId="11" xfId="0" applyNumberFormat="1" applyFont="1" applyFill="1" applyBorder="1" applyAlignment="1">
      <alignment horizontal="center"/>
    </xf>
    <xf numFmtId="0" fontId="3" fillId="0" borderId="9" xfId="0" applyFont="1" applyBorder="1"/>
    <xf numFmtId="6" fontId="3" fillId="0" borderId="10" xfId="0" applyNumberFormat="1" applyFont="1" applyBorder="1" applyAlignment="1">
      <alignment horizontal="center"/>
    </xf>
    <xf numFmtId="0" fontId="3" fillId="0" borderId="10" xfId="0" applyFont="1" applyBorder="1"/>
    <xf numFmtId="6" fontId="3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5" fillId="0" borderId="9" xfId="0" applyFont="1" applyBorder="1"/>
    <xf numFmtId="6" fontId="5" fillId="0" borderId="10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0" xfId="0" applyFont="1"/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applyFont="1"/>
    <xf numFmtId="8" fontId="3" fillId="0" borderId="14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8" fontId="3" fillId="0" borderId="16" xfId="0" applyNumberFormat="1" applyFont="1" applyBorder="1" applyAlignment="1">
      <alignment horizontal="center"/>
    </xf>
    <xf numFmtId="6" fontId="3" fillId="0" borderId="16" xfId="0" applyNumberFormat="1" applyFont="1" applyBorder="1" applyAlignment="1">
      <alignment horizontal="center" vertical="center"/>
    </xf>
    <xf numFmtId="8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5" fillId="0" borderId="11" xfId="0" applyFont="1" applyBorder="1"/>
    <xf numFmtId="0" fontId="7" fillId="0" borderId="0" xfId="0" applyFont="1"/>
    <xf numFmtId="6" fontId="3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6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10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 vertical="center"/>
    </xf>
    <xf numFmtId="0" fontId="10" fillId="3" borderId="13" xfId="3" applyFont="1" applyFill="1" applyBorder="1" applyAlignment="1">
      <alignment vertical="top"/>
    </xf>
    <xf numFmtId="7" fontId="11" fillId="3" borderId="13" xfId="3" applyNumberFormat="1" applyFont="1" applyFill="1" applyBorder="1" applyAlignment="1">
      <alignment horizontal="right"/>
    </xf>
    <xf numFmtId="7" fontId="12" fillId="3" borderId="14" xfId="3" applyNumberFormat="1" applyFont="1" applyFill="1" applyBorder="1" applyAlignment="1">
      <alignment horizontal="right"/>
    </xf>
    <xf numFmtId="0" fontId="10" fillId="3" borderId="27" xfId="3" applyFont="1" applyFill="1" applyBorder="1" applyAlignment="1">
      <alignment vertical="top"/>
    </xf>
    <xf numFmtId="0" fontId="11" fillId="3" borderId="27" xfId="3" applyFont="1" applyFill="1" applyBorder="1" applyAlignment="1">
      <alignment horizontal="right"/>
    </xf>
    <xf numFmtId="0" fontId="12" fillId="3" borderId="28" xfId="3" applyFont="1" applyFill="1" applyBorder="1" applyAlignment="1">
      <alignment horizontal="right"/>
    </xf>
    <xf numFmtId="0" fontId="11" fillId="3" borderId="15" xfId="3" applyFont="1" applyFill="1" applyBorder="1" applyAlignment="1">
      <alignment horizontal="left"/>
    </xf>
    <xf numFmtId="0" fontId="11" fillId="3" borderId="0" xfId="3" applyFont="1" applyFill="1" applyAlignment="1">
      <alignment horizontal="left"/>
    </xf>
    <xf numFmtId="0" fontId="13" fillId="3" borderId="0" xfId="3" applyFont="1" applyFill="1" applyAlignment="1">
      <alignment horizontal="left"/>
    </xf>
    <xf numFmtId="0" fontId="13" fillId="3" borderId="16" xfId="3" applyFont="1" applyFill="1" applyBorder="1" applyAlignment="1">
      <alignment horizontal="left"/>
    </xf>
    <xf numFmtId="0" fontId="11" fillId="3" borderId="15" xfId="3" applyFont="1" applyFill="1" applyBorder="1" applyAlignment="1">
      <alignment horizontal="left" vertical="center"/>
    </xf>
    <xf numFmtId="0" fontId="13" fillId="3" borderId="0" xfId="3" applyFont="1" applyFill="1" applyAlignment="1">
      <alignment horizontal="center"/>
    </xf>
    <xf numFmtId="0" fontId="15" fillId="0" borderId="0" xfId="3" applyFont="1" applyAlignment="1">
      <alignment horizontal="left"/>
    </xf>
    <xf numFmtId="9" fontId="13" fillId="3" borderId="0" xfId="3" applyNumberFormat="1" applyFont="1" applyFill="1" applyAlignment="1">
      <alignment horizontal="center" vertical="center"/>
    </xf>
    <xf numFmtId="44" fontId="16" fillId="3" borderId="16" xfId="4" applyFont="1" applyFill="1" applyBorder="1" applyAlignment="1">
      <alignment horizontal="center"/>
    </xf>
    <xf numFmtId="0" fontId="13" fillId="3" borderId="18" xfId="3" applyFont="1" applyFill="1" applyBorder="1" applyAlignment="1">
      <alignment horizontal="center"/>
    </xf>
    <xf numFmtId="0" fontId="13" fillId="3" borderId="15" xfId="3" applyFont="1" applyFill="1" applyBorder="1" applyAlignment="1">
      <alignment horizontal="left"/>
    </xf>
    <xf numFmtId="6" fontId="13" fillId="3" borderId="0" xfId="3" applyNumberFormat="1" applyFont="1" applyFill="1" applyAlignment="1">
      <alignment horizontal="center"/>
    </xf>
    <xf numFmtId="171" fontId="13" fillId="4" borderId="29" xfId="4" applyNumberFormat="1" applyFont="1" applyFill="1" applyBorder="1" applyAlignment="1">
      <alignment horizontal="center"/>
    </xf>
    <xf numFmtId="44" fontId="11" fillId="3" borderId="16" xfId="4" applyFont="1" applyFill="1" applyBorder="1" applyAlignment="1">
      <alignment horizontal="center"/>
    </xf>
    <xf numFmtId="0" fontId="11" fillId="3" borderId="0" xfId="3" applyFont="1" applyFill="1" applyAlignment="1">
      <alignment horizontal="center"/>
    </xf>
    <xf numFmtId="0" fontId="6" fillId="3" borderId="0" xfId="3" applyFont="1" applyFill="1" applyAlignment="1">
      <alignment horizontal="left"/>
    </xf>
    <xf numFmtId="171" fontId="11" fillId="4" borderId="29" xfId="4" applyNumberFormat="1" applyFont="1" applyFill="1" applyBorder="1" applyAlignment="1">
      <alignment horizontal="center"/>
    </xf>
    <xf numFmtId="0" fontId="11" fillId="3" borderId="16" xfId="3" applyFont="1" applyFill="1" applyBorder="1" applyAlignment="1">
      <alignment horizontal="left"/>
    </xf>
    <xf numFmtId="171" fontId="11" fillId="4" borderId="30" xfId="4" applyNumberFormat="1" applyFont="1" applyFill="1" applyBorder="1" applyAlignment="1">
      <alignment horizontal="center"/>
    </xf>
    <xf numFmtId="172" fontId="11" fillId="4" borderId="30" xfId="4" applyNumberFormat="1" applyFont="1" applyFill="1" applyBorder="1" applyAlignment="1">
      <alignment horizontal="center"/>
    </xf>
    <xf numFmtId="42" fontId="11" fillId="4" borderId="30" xfId="4" applyNumberFormat="1" applyFont="1" applyFill="1" applyBorder="1" applyAlignment="1">
      <alignment horizontal="center"/>
    </xf>
    <xf numFmtId="44" fontId="18" fillId="3" borderId="0" xfId="4" applyFont="1" applyFill="1" applyBorder="1" applyAlignment="1">
      <alignment horizontal="center"/>
    </xf>
    <xf numFmtId="171" fontId="11" fillId="4" borderId="30" xfId="4" applyNumberFormat="1" applyFont="1" applyFill="1" applyBorder="1" applyAlignment="1">
      <alignment horizontal="right"/>
    </xf>
    <xf numFmtId="172" fontId="11" fillId="4" borderId="30" xfId="4" applyNumberFormat="1" applyFont="1" applyFill="1" applyBorder="1" applyAlignment="1">
      <alignment horizontal="right"/>
    </xf>
    <xf numFmtId="0" fontId="6" fillId="3" borderId="16" xfId="3" applyFont="1" applyFill="1" applyBorder="1" applyAlignment="1">
      <alignment horizontal="center"/>
    </xf>
    <xf numFmtId="0" fontId="19" fillId="3" borderId="0" xfId="3" applyFont="1" applyFill="1" applyAlignment="1">
      <alignment horizontal="center"/>
    </xf>
    <xf numFmtId="6" fontId="13" fillId="3" borderId="0" xfId="6" applyNumberFormat="1" applyFont="1" applyFill="1" applyBorder="1" applyAlignment="1">
      <alignment horizontal="center"/>
    </xf>
    <xf numFmtId="171" fontId="13" fillId="4" borderId="30" xfId="4" applyNumberFormat="1" applyFont="1" applyFill="1" applyBorder="1" applyAlignment="1">
      <alignment horizontal="center"/>
    </xf>
    <xf numFmtId="0" fontId="6" fillId="3" borderId="16" xfId="3" applyFont="1" applyFill="1" applyBorder="1" applyAlignment="1">
      <alignment horizontal="left"/>
    </xf>
    <xf numFmtId="0" fontId="15" fillId="3" borderId="16" xfId="3" applyFont="1" applyFill="1" applyBorder="1" applyAlignment="1">
      <alignment horizontal="left"/>
    </xf>
    <xf numFmtId="0" fontId="13" fillId="3" borderId="0" xfId="3" applyFont="1" applyFill="1" applyAlignment="1">
      <alignment vertical="center"/>
    </xf>
    <xf numFmtId="168" fontId="13" fillId="3" borderId="0" xfId="6" applyNumberFormat="1" applyFont="1" applyFill="1" applyBorder="1" applyAlignment="1">
      <alignment horizontal="center"/>
    </xf>
    <xf numFmtId="0" fontId="11" fillId="3" borderId="15" xfId="3" applyFont="1" applyFill="1" applyBorder="1" applyAlignment="1">
      <alignment horizontal="left" vertical="top"/>
    </xf>
    <xf numFmtId="171" fontId="11" fillId="4" borderId="31" xfId="4" applyNumberFormat="1" applyFont="1" applyFill="1" applyBorder="1" applyAlignment="1">
      <alignment horizontal="right"/>
    </xf>
    <xf numFmtId="171" fontId="13" fillId="3" borderId="16" xfId="4" applyNumberFormat="1" applyFont="1" applyFill="1" applyBorder="1" applyAlignment="1">
      <alignment horizontal="left"/>
    </xf>
    <xf numFmtId="0" fontId="15" fillId="3" borderId="15" xfId="3" applyFont="1" applyFill="1" applyBorder="1" applyAlignment="1">
      <alignment horizontal="left"/>
    </xf>
    <xf numFmtId="0" fontId="15" fillId="3" borderId="0" xfId="3" applyFont="1" applyFill="1" applyAlignment="1">
      <alignment horizontal="left"/>
    </xf>
    <xf numFmtId="171" fontId="11" fillId="3" borderId="0" xfId="4" applyNumberFormat="1" applyFont="1" applyFill="1" applyBorder="1" applyAlignment="1">
      <alignment horizontal="center"/>
    </xf>
    <xf numFmtId="0" fontId="19" fillId="3" borderId="15" xfId="3" applyFont="1" applyFill="1" applyBorder="1" applyAlignment="1">
      <alignment horizontal="left"/>
    </xf>
    <xf numFmtId="171" fontId="19" fillId="3" borderId="0" xfId="4" applyNumberFormat="1" applyFont="1" applyFill="1" applyBorder="1" applyAlignment="1">
      <alignment horizontal="center"/>
    </xf>
    <xf numFmtId="173" fontId="11" fillId="3" borderId="16" xfId="3" applyNumberFormat="1" applyFont="1" applyFill="1" applyBorder="1" applyAlignment="1">
      <alignment horizontal="right"/>
    </xf>
    <xf numFmtId="174" fontId="11" fillId="3" borderId="0" xfId="3" applyNumberFormat="1" applyFont="1" applyFill="1" applyAlignment="1">
      <alignment horizontal="center"/>
    </xf>
    <xf numFmtId="10" fontId="11" fillId="3" borderId="0" xfId="3" applyNumberFormat="1" applyFont="1" applyFill="1" applyAlignment="1">
      <alignment horizontal="center"/>
    </xf>
    <xf numFmtId="44" fontId="11" fillId="3" borderId="0" xfId="4" applyFont="1" applyFill="1" applyBorder="1" applyAlignment="1">
      <alignment horizontal="center"/>
    </xf>
    <xf numFmtId="0" fontId="19" fillId="3" borderId="0" xfId="3" applyFont="1" applyFill="1" applyAlignment="1">
      <alignment horizontal="left"/>
    </xf>
    <xf numFmtId="44" fontId="12" fillId="3" borderId="0" xfId="4" applyFont="1" applyFill="1" applyBorder="1" applyAlignment="1">
      <alignment horizontal="center"/>
    </xf>
    <xf numFmtId="44" fontId="12" fillId="3" borderId="16" xfId="4" applyFont="1" applyFill="1" applyBorder="1" applyAlignment="1">
      <alignment horizontal="center"/>
    </xf>
    <xf numFmtId="0" fontId="20" fillId="3" borderId="0" xfId="3" applyFont="1" applyFill="1" applyAlignment="1">
      <alignment horizontal="left"/>
    </xf>
    <xf numFmtId="0" fontId="20" fillId="3" borderId="0" xfId="3" applyFont="1" applyFill="1" applyAlignment="1">
      <alignment horizontal="center"/>
    </xf>
    <xf numFmtId="171" fontId="20" fillId="3" borderId="0" xfId="4" applyNumberFormat="1" applyFont="1" applyFill="1" applyBorder="1" applyAlignment="1">
      <alignment horizontal="center"/>
    </xf>
    <xf numFmtId="171" fontId="13" fillId="3" borderId="0" xfId="4" applyNumberFormat="1" applyFont="1" applyFill="1" applyBorder="1" applyAlignment="1">
      <alignment horizontal="center"/>
    </xf>
    <xf numFmtId="42" fontId="13" fillId="3" borderId="0" xfId="3" applyNumberFormat="1" applyFont="1" applyFill="1" applyAlignment="1">
      <alignment horizontal="center"/>
    </xf>
    <xf numFmtId="42" fontId="13" fillId="3" borderId="16" xfId="3" applyNumberFormat="1" applyFont="1" applyFill="1" applyBorder="1" applyAlignment="1">
      <alignment horizontal="center"/>
    </xf>
    <xf numFmtId="0" fontId="11" fillId="3" borderId="0" xfId="3" applyFont="1" applyFill="1" applyAlignment="1">
      <alignment horizontal="right"/>
    </xf>
    <xf numFmtId="6" fontId="13" fillId="3" borderId="0" xfId="4" applyNumberFormat="1" applyFont="1" applyFill="1" applyBorder="1" applyAlignment="1">
      <alignment horizontal="right"/>
    </xf>
    <xf numFmtId="171" fontId="13" fillId="3" borderId="16" xfId="4" applyNumberFormat="1" applyFont="1" applyFill="1" applyBorder="1" applyAlignment="1">
      <alignment horizontal="center"/>
    </xf>
    <xf numFmtId="6" fontId="13" fillId="3" borderId="0" xfId="3" applyNumberFormat="1" applyFont="1" applyFill="1" applyAlignment="1">
      <alignment horizontal="right"/>
    </xf>
    <xf numFmtId="42" fontId="13" fillId="3" borderId="16" xfId="3" applyNumberFormat="1" applyFont="1" applyFill="1" applyBorder="1" applyAlignment="1">
      <alignment horizontal="left"/>
    </xf>
    <xf numFmtId="168" fontId="13" fillId="3" borderId="0" xfId="6" applyNumberFormat="1" applyFont="1" applyFill="1" applyBorder="1" applyAlignment="1">
      <alignment horizontal="right"/>
    </xf>
    <xf numFmtId="10" fontId="13" fillId="3" borderId="16" xfId="6" applyNumberFormat="1" applyFont="1" applyFill="1" applyBorder="1" applyAlignment="1">
      <alignment horizontal="right"/>
    </xf>
    <xf numFmtId="0" fontId="21" fillId="3" borderId="15" xfId="3" applyFont="1" applyFill="1" applyBorder="1" applyAlignment="1">
      <alignment horizontal="left"/>
    </xf>
    <xf numFmtId="41" fontId="11" fillId="3" borderId="15" xfId="3" quotePrefix="1" applyNumberFormat="1" applyFont="1" applyFill="1" applyBorder="1" applyAlignment="1">
      <alignment horizontal="center" vertical="top"/>
    </xf>
    <xf numFmtId="41" fontId="11" fillId="3" borderId="15" xfId="3" quotePrefix="1" applyNumberFormat="1" applyFont="1" applyFill="1" applyBorder="1" applyAlignment="1">
      <alignment horizontal="center" vertical="center"/>
    </xf>
    <xf numFmtId="0" fontId="13" fillId="3" borderId="16" xfId="3" applyFont="1" applyFill="1" applyBorder="1" applyAlignment="1">
      <alignment wrapText="1"/>
    </xf>
    <xf numFmtId="41" fontId="11" fillId="3" borderId="17" xfId="3" quotePrefix="1" applyNumberFormat="1" applyFont="1" applyFill="1" applyBorder="1" applyAlignment="1">
      <alignment horizontal="center" vertical="center"/>
    </xf>
    <xf numFmtId="0" fontId="13" fillId="3" borderId="18" xfId="3" applyFont="1" applyFill="1" applyBorder="1"/>
    <xf numFmtId="0" fontId="13" fillId="3" borderId="19" xfId="3" applyFont="1" applyFill="1" applyBorder="1" applyAlignment="1">
      <alignment wrapText="1"/>
    </xf>
    <xf numFmtId="44" fontId="6" fillId="0" borderId="0" xfId="4" applyFont="1" applyFill="1" applyAlignment="1">
      <alignment horizontal="center"/>
    </xf>
    <xf numFmtId="171" fontId="6" fillId="0" borderId="0" xfId="4" applyNumberFormat="1" applyFont="1" applyFill="1" applyBorder="1" applyAlignment="1">
      <alignment horizontal="left"/>
    </xf>
    <xf numFmtId="171" fontId="6" fillId="0" borderId="0" xfId="4" applyNumberFormat="1" applyFont="1" applyFill="1" applyBorder="1" applyAlignment="1">
      <alignment horizontal="center" vertical="center"/>
    </xf>
    <xf numFmtId="171" fontId="6" fillId="0" borderId="0" xfId="4" applyNumberFormat="1" applyFont="1" applyFill="1" applyBorder="1" applyAlignment="1">
      <alignment horizontal="center" vertical="center" wrapText="1"/>
    </xf>
    <xf numFmtId="0" fontId="15" fillId="0" borderId="0" xfId="3" applyFont="1" applyAlignment="1">
      <alignment vertical="center"/>
    </xf>
    <xf numFmtId="0" fontId="15" fillId="0" borderId="0" xfId="3" applyFont="1" applyAlignment="1">
      <alignment horizontal="center" vertical="center"/>
    </xf>
    <xf numFmtId="6" fontId="15" fillId="0" borderId="0" xfId="3" applyNumberFormat="1" applyFont="1" applyAlignment="1">
      <alignment horizontal="center" vertical="center"/>
    </xf>
    <xf numFmtId="175" fontId="15" fillId="0" borderId="0" xfId="3" applyNumberFormat="1" applyFont="1" applyAlignment="1">
      <alignment horizontal="center" vertical="center"/>
    </xf>
    <xf numFmtId="9" fontId="15" fillId="0" borderId="0" xfId="3" applyNumberFormat="1" applyFont="1" applyAlignment="1">
      <alignment horizontal="center" vertical="center"/>
    </xf>
    <xf numFmtId="37" fontId="11" fillId="0" borderId="0" xfId="3" quotePrefix="1" applyNumberFormat="1" applyFont="1" applyAlignment="1">
      <alignment horizontal="center" vertical="top"/>
    </xf>
    <xf numFmtId="0" fontId="13" fillId="0" borderId="0" xfId="3" applyFont="1" applyAlignment="1">
      <alignment vertical="top" wrapText="1"/>
    </xf>
    <xf numFmtId="0" fontId="22" fillId="0" borderId="0" xfId="3" applyFont="1" applyAlignment="1">
      <alignment wrapText="1"/>
    </xf>
    <xf numFmtId="0" fontId="15" fillId="0" borderId="0" xfId="3" applyFont="1" applyAlignment="1">
      <alignment horizontal="center"/>
    </xf>
    <xf numFmtId="42" fontId="15" fillId="0" borderId="0" xfId="3" applyNumberFormat="1" applyFont="1" applyAlignment="1">
      <alignment horizontal="center"/>
    </xf>
    <xf numFmtId="44" fontId="6" fillId="0" borderId="0" xfId="4" applyFont="1" applyFill="1" applyBorder="1" applyAlignment="1">
      <alignment horizontal="center"/>
    </xf>
    <xf numFmtId="0" fontId="2" fillId="0" borderId="0" xfId="3" applyFont="1" applyAlignment="1">
      <alignment vertical="center"/>
    </xf>
    <xf numFmtId="0" fontId="13" fillId="3" borderId="0" xfId="3" applyFont="1" applyFill="1" applyAlignment="1">
      <alignment horizontal="left" vertical="top"/>
    </xf>
    <xf numFmtId="167" fontId="4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10" fontId="4" fillId="0" borderId="0" xfId="2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0" borderId="5" xfId="0" applyNumberFormat="1" applyFont="1" applyBorder="1" applyAlignment="1">
      <alignment horizontal="center"/>
    </xf>
    <xf numFmtId="167" fontId="4" fillId="0" borderId="21" xfId="0" applyNumberFormat="1" applyFont="1" applyBorder="1" applyAlignment="1">
      <alignment horizontal="center"/>
    </xf>
    <xf numFmtId="167" fontId="4" fillId="0" borderId="22" xfId="0" applyNumberFormat="1" applyFont="1" applyBorder="1" applyAlignment="1">
      <alignment horizontal="center"/>
    </xf>
    <xf numFmtId="169" fontId="4" fillId="0" borderId="4" xfId="2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left"/>
    </xf>
    <xf numFmtId="167" fontId="4" fillId="0" borderId="8" xfId="0" applyNumberFormat="1" applyFont="1" applyBorder="1" applyAlignment="1">
      <alignment horizontal="center"/>
    </xf>
    <xf numFmtId="0" fontId="13" fillId="3" borderId="0" xfId="3" applyFont="1" applyFill="1" applyAlignment="1">
      <alignment horizontal="right"/>
    </xf>
    <xf numFmtId="0" fontId="13" fillId="3" borderId="0" xfId="3" applyFont="1" applyFill="1" applyAlignment="1">
      <alignment horizontal="right" vertical="center"/>
    </xf>
    <xf numFmtId="0" fontId="4" fillId="0" borderId="20" xfId="0" applyFont="1" applyBorder="1"/>
    <xf numFmtId="0" fontId="4" fillId="0" borderId="21" xfId="0" applyFont="1" applyBorder="1"/>
    <xf numFmtId="0" fontId="13" fillId="3" borderId="21" xfId="3" applyFont="1" applyFill="1" applyBorder="1"/>
    <xf numFmtId="0" fontId="13" fillId="3" borderId="21" xfId="3" applyFont="1" applyFill="1" applyBorder="1" applyAlignment="1">
      <alignment vertical="center"/>
    </xf>
    <xf numFmtId="0" fontId="0" fillId="0" borderId="21" xfId="0" applyBorder="1"/>
    <xf numFmtId="0" fontId="13" fillId="3" borderId="22" xfId="3" applyFont="1" applyFill="1" applyBorder="1" applyAlignment="1">
      <alignment vertical="center"/>
    </xf>
    <xf numFmtId="167" fontId="0" fillId="6" borderId="7" xfId="0" applyNumberFormat="1" applyFill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6" borderId="2" xfId="0" applyNumberFormat="1" applyFill="1" applyBorder="1" applyAlignment="1">
      <alignment horizontal="center" vertical="center"/>
    </xf>
    <xf numFmtId="167" fontId="0" fillId="6" borderId="4" xfId="0" applyNumberForma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7" fontId="4" fillId="0" borderId="4" xfId="2" applyNumberFormat="1" applyFont="1" applyBorder="1" applyAlignment="1">
      <alignment horizontal="center"/>
    </xf>
    <xf numFmtId="167" fontId="4" fillId="0" borderId="6" xfId="2" applyNumberFormat="1" applyFont="1" applyBorder="1" applyAlignment="1">
      <alignment horizontal="center"/>
    </xf>
    <xf numFmtId="44" fontId="17" fillId="3" borderId="0" xfId="4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7" fontId="4" fillId="0" borderId="5" xfId="0" applyNumberFormat="1" applyFont="1" applyBorder="1" applyAlignment="1">
      <alignment horizontal="left"/>
    </xf>
    <xf numFmtId="167" fontId="0" fillId="6" borderId="1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6" borderId="0" xfId="0" applyNumberFormat="1" applyFill="1" applyAlignment="1">
      <alignment horizontal="center" vertical="center"/>
    </xf>
    <xf numFmtId="167" fontId="0" fillId="0" borderId="0" xfId="0" applyNumberFormat="1"/>
    <xf numFmtId="167" fontId="4" fillId="0" borderId="0" xfId="0" applyNumberFormat="1" applyFont="1"/>
    <xf numFmtId="14" fontId="4" fillId="0" borderId="0" xfId="0" applyNumberFormat="1" applyFont="1"/>
    <xf numFmtId="167" fontId="28" fillId="7" borderId="0" xfId="0" applyNumberFormat="1" applyFont="1" applyFill="1" applyAlignment="1">
      <alignment horizontal="center"/>
    </xf>
    <xf numFmtId="0" fontId="24" fillId="5" borderId="23" xfId="0" applyFont="1" applyFill="1" applyBorder="1" applyAlignment="1">
      <alignment horizontal="center"/>
    </xf>
    <xf numFmtId="167" fontId="28" fillId="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17" fontId="14" fillId="7" borderId="9" xfId="3" applyNumberFormat="1" applyFont="1" applyFill="1" applyBorder="1" applyAlignment="1">
      <alignment vertical="center"/>
    </xf>
    <xf numFmtId="17" fontId="14" fillId="7" borderId="10" xfId="3" applyNumberFormat="1" applyFont="1" applyFill="1" applyBorder="1" applyAlignment="1">
      <alignment vertical="center"/>
    </xf>
    <xf numFmtId="0" fontId="14" fillId="7" borderId="10" xfId="3" applyFont="1" applyFill="1" applyBorder="1" applyAlignment="1">
      <alignment horizontal="center" vertical="center" wrapText="1"/>
    </xf>
    <xf numFmtId="0" fontId="14" fillId="7" borderId="11" xfId="3" applyFont="1" applyFill="1" applyBorder="1" applyAlignment="1">
      <alignment horizontal="center" vertical="center" wrapText="1"/>
    </xf>
    <xf numFmtId="0" fontId="27" fillId="7" borderId="20" xfId="0" applyFont="1" applyFill="1" applyBorder="1"/>
    <xf numFmtId="0" fontId="27" fillId="7" borderId="21" xfId="0" applyFont="1" applyFill="1" applyBorder="1"/>
    <xf numFmtId="0" fontId="27" fillId="7" borderId="3" xfId="0" applyFont="1" applyFill="1" applyBorder="1"/>
    <xf numFmtId="0" fontId="27" fillId="7" borderId="0" xfId="0" applyFont="1" applyFill="1"/>
    <xf numFmtId="0" fontId="27" fillId="7" borderId="4" xfId="0" applyFont="1" applyFill="1" applyBorder="1"/>
    <xf numFmtId="0" fontId="14" fillId="7" borderId="3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25" fillId="8" borderId="0" xfId="0" applyFont="1" applyFill="1" applyAlignment="1">
      <alignment horizontal="left" vertical="top"/>
    </xf>
    <xf numFmtId="0" fontId="4" fillId="7" borderId="0" xfId="0" applyFont="1" applyFill="1"/>
    <xf numFmtId="167" fontId="14" fillId="7" borderId="1" xfId="0" applyNumberFormat="1" applyFont="1" applyFill="1" applyBorder="1" applyAlignment="1">
      <alignment horizontal="center"/>
    </xf>
    <xf numFmtId="167" fontId="14" fillId="7" borderId="7" xfId="0" applyNumberFormat="1" applyFont="1" applyFill="1" applyBorder="1" applyAlignment="1">
      <alignment horizontal="center"/>
    </xf>
    <xf numFmtId="167" fontId="14" fillId="7" borderId="2" xfId="0" applyNumberFormat="1" applyFont="1" applyFill="1" applyBorder="1" applyAlignment="1">
      <alignment horizontal="center"/>
    </xf>
    <xf numFmtId="0" fontId="4" fillId="9" borderId="0" xfId="0" applyFont="1" applyFill="1"/>
    <xf numFmtId="9" fontId="29" fillId="0" borderId="0" xfId="2" applyFont="1" applyAlignment="1">
      <alignment horizontal="center"/>
    </xf>
    <xf numFmtId="10" fontId="13" fillId="0" borderId="8" xfId="2" applyNumberFormat="1" applyFont="1" applyBorder="1" applyAlignment="1">
      <alignment horizontal="center"/>
    </xf>
    <xf numFmtId="167" fontId="13" fillId="0" borderId="8" xfId="2" applyNumberFormat="1" applyFont="1" applyBorder="1" applyAlignment="1">
      <alignment horizontal="center"/>
    </xf>
    <xf numFmtId="49" fontId="4" fillId="0" borderId="0" xfId="0" applyNumberFormat="1" applyFont="1"/>
    <xf numFmtId="167" fontId="29" fillId="0" borderId="0" xfId="0" applyNumberFormat="1" applyFont="1" applyAlignment="1">
      <alignment horizontal="center"/>
    </xf>
    <xf numFmtId="170" fontId="4" fillId="0" borderId="0" xfId="1" applyNumberFormat="1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67" fontId="24" fillId="0" borderId="20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left"/>
    </xf>
    <xf numFmtId="0" fontId="29" fillId="0" borderId="0" xfId="2" applyNumberFormat="1" applyFont="1" applyAlignment="1">
      <alignment horizontal="center"/>
    </xf>
    <xf numFmtId="167" fontId="13" fillId="3" borderId="0" xfId="0" applyNumberFormat="1" applyFont="1" applyFill="1" applyAlignment="1">
      <alignment horizontal="center"/>
    </xf>
    <xf numFmtId="167" fontId="11" fillId="3" borderId="20" xfId="0" applyNumberFormat="1" applyFont="1" applyFill="1" applyBorder="1" applyAlignment="1">
      <alignment horizontal="center"/>
    </xf>
    <xf numFmtId="167" fontId="4" fillId="0" borderId="0" xfId="0" applyNumberFormat="1" applyFont="1" applyAlignment="1">
      <alignment wrapText="1"/>
    </xf>
    <xf numFmtId="171" fontId="11" fillId="4" borderId="15" xfId="4" applyNumberFormat="1" applyFont="1" applyFill="1" applyBorder="1" applyAlignment="1">
      <alignment horizontal="right"/>
    </xf>
    <xf numFmtId="167" fontId="4" fillId="0" borderId="0" xfId="0" quotePrefix="1" applyNumberFormat="1" applyFont="1" applyAlignment="1">
      <alignment horizontal="center"/>
    </xf>
    <xf numFmtId="9" fontId="4" fillId="0" borderId="22" xfId="2" applyFont="1" applyBorder="1" applyAlignment="1">
      <alignment horizontal="center"/>
    </xf>
    <xf numFmtId="167" fontId="14" fillId="7" borderId="20" xfId="0" applyNumberFormat="1" applyFont="1" applyFill="1" applyBorder="1" applyAlignment="1">
      <alignment horizontal="center"/>
    </xf>
    <xf numFmtId="167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2" fillId="7" borderId="1" xfId="0" applyFont="1" applyFill="1" applyBorder="1"/>
    <xf numFmtId="0" fontId="2" fillId="7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3" fillId="0" borderId="3" xfId="0" applyFont="1" applyBorder="1"/>
    <xf numFmtId="6" fontId="3" fillId="0" borderId="4" xfId="0" applyNumberFormat="1" applyFont="1" applyBorder="1" applyAlignment="1">
      <alignment horizontal="center"/>
    </xf>
    <xf numFmtId="0" fontId="5" fillId="0" borderId="3" xfId="0" applyFont="1" applyBorder="1"/>
    <xf numFmtId="6" fontId="5" fillId="0" borderId="4" xfId="0" applyNumberFormat="1" applyFont="1" applyBorder="1" applyAlignment="1">
      <alignment horizontal="center"/>
    </xf>
    <xf numFmtId="0" fontId="5" fillId="0" borderId="5" xfId="0" applyFont="1" applyBorder="1"/>
    <xf numFmtId="6" fontId="5" fillId="0" borderId="6" xfId="0" applyNumberFormat="1" applyFont="1" applyBorder="1" applyAlignment="1">
      <alignment horizontal="center"/>
    </xf>
    <xf numFmtId="0" fontId="3" fillId="0" borderId="1" xfId="0" applyFont="1" applyBorder="1"/>
    <xf numFmtId="6" fontId="3" fillId="0" borderId="2" xfId="0" applyNumberFormat="1" applyFont="1" applyBorder="1" applyAlignment="1">
      <alignment horizontal="center"/>
    </xf>
    <xf numFmtId="10" fontId="5" fillId="0" borderId="6" xfId="0" applyNumberFormat="1" applyFont="1" applyBorder="1"/>
    <xf numFmtId="9" fontId="13" fillId="0" borderId="0" xfId="2" applyFont="1" applyBorder="1" applyAlignment="1">
      <alignment horizontal="center"/>
    </xf>
    <xf numFmtId="10" fontId="31" fillId="0" borderId="0" xfId="0" applyNumberFormat="1" applyFont="1" applyAlignment="1">
      <alignment horizontal="center"/>
    </xf>
    <xf numFmtId="10" fontId="31" fillId="0" borderId="4" xfId="0" applyNumberFormat="1" applyFont="1" applyBorder="1" applyAlignment="1">
      <alignment horizontal="center"/>
    </xf>
    <xf numFmtId="167" fontId="31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4" xfId="0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167" fontId="31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9" fontId="31" fillId="0" borderId="0" xfId="2" applyFont="1" applyBorder="1" applyAlignment="1">
      <alignment horizontal="center"/>
    </xf>
    <xf numFmtId="9" fontId="31" fillId="0" borderId="4" xfId="2" applyFont="1" applyBorder="1" applyAlignment="1">
      <alignment horizontal="center"/>
    </xf>
    <xf numFmtId="9" fontId="31" fillId="0" borderId="8" xfId="2" applyFont="1" applyBorder="1" applyAlignment="1">
      <alignment horizontal="center"/>
    </xf>
    <xf numFmtId="9" fontId="31" fillId="0" borderId="6" xfId="2" applyFont="1" applyBorder="1" applyAlignment="1">
      <alignment horizontal="center"/>
    </xf>
    <xf numFmtId="167" fontId="31" fillId="0" borderId="5" xfId="0" applyNumberFormat="1" applyFont="1" applyBorder="1" applyAlignment="1">
      <alignment horizontal="center"/>
    </xf>
    <xf numFmtId="167" fontId="31" fillId="0" borderId="6" xfId="0" applyNumberFormat="1" applyFont="1" applyBorder="1" applyAlignment="1">
      <alignment horizontal="center"/>
    </xf>
    <xf numFmtId="169" fontId="31" fillId="0" borderId="4" xfId="2" applyNumberFormat="1" applyFont="1" applyBorder="1" applyAlignment="1">
      <alignment horizontal="center"/>
    </xf>
    <xf numFmtId="169" fontId="31" fillId="0" borderId="6" xfId="2" applyNumberFormat="1" applyFont="1" applyBorder="1" applyAlignment="1">
      <alignment horizontal="center"/>
    </xf>
    <xf numFmtId="167" fontId="31" fillId="0" borderId="8" xfId="0" applyNumberFormat="1" applyFont="1" applyBorder="1" applyAlignment="1">
      <alignment horizontal="center"/>
    </xf>
    <xf numFmtId="10" fontId="31" fillId="0" borderId="0" xfId="2" applyNumberFormat="1" applyFont="1" applyBorder="1" applyAlignment="1">
      <alignment horizontal="center"/>
    </xf>
    <xf numFmtId="10" fontId="31" fillId="0" borderId="4" xfId="2" applyNumberFormat="1" applyFont="1" applyBorder="1" applyAlignment="1">
      <alignment horizontal="center"/>
    </xf>
    <xf numFmtId="167" fontId="31" fillId="0" borderId="21" xfId="0" applyNumberFormat="1" applyFont="1" applyBorder="1" applyAlignment="1">
      <alignment horizontal="center"/>
    </xf>
    <xf numFmtId="10" fontId="31" fillId="0" borderId="8" xfId="2" applyNumberFormat="1" applyFont="1" applyBorder="1" applyAlignment="1">
      <alignment horizontal="center"/>
    </xf>
    <xf numFmtId="10" fontId="31" fillId="0" borderId="6" xfId="2" applyNumberFormat="1" applyFont="1" applyBorder="1" applyAlignment="1">
      <alignment horizontal="center"/>
    </xf>
    <xf numFmtId="10" fontId="31" fillId="0" borderId="6" xfId="0" applyNumberFormat="1" applyFont="1" applyBorder="1" applyAlignment="1">
      <alignment horizontal="center"/>
    </xf>
    <xf numFmtId="167" fontId="31" fillId="0" borderId="22" xfId="0" applyNumberFormat="1" applyFont="1" applyBorder="1" applyAlignment="1">
      <alignment horizontal="center"/>
    </xf>
    <xf numFmtId="10" fontId="31" fillId="0" borderId="0" xfId="2" applyNumberFormat="1" applyFont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3" borderId="22" xfId="0" applyFont="1" applyFill="1" applyBorder="1" applyAlignment="1">
      <alignment horizontal="center"/>
    </xf>
    <xf numFmtId="167" fontId="31" fillId="0" borderId="4" xfId="2" applyNumberFormat="1" applyFont="1" applyBorder="1" applyAlignment="1">
      <alignment horizontal="center"/>
    </xf>
    <xf numFmtId="167" fontId="31" fillId="0" borderId="6" xfId="2" applyNumberFormat="1" applyFont="1" applyBorder="1" applyAlignment="1">
      <alignment horizontal="center"/>
    </xf>
    <xf numFmtId="9" fontId="31" fillId="0" borderId="8" xfId="0" applyNumberFormat="1" applyFont="1" applyBorder="1" applyAlignment="1">
      <alignment horizontal="center"/>
    </xf>
    <xf numFmtId="10" fontId="31" fillId="0" borderId="8" xfId="0" applyNumberFormat="1" applyFont="1" applyBorder="1" applyAlignment="1">
      <alignment horizontal="center"/>
    </xf>
    <xf numFmtId="0" fontId="4" fillId="10" borderId="0" xfId="0" applyFont="1" applyFill="1"/>
    <xf numFmtId="0" fontId="31" fillId="0" borderId="8" xfId="0" applyFont="1" applyBorder="1" applyAlignment="1">
      <alignment horizontal="center"/>
    </xf>
    <xf numFmtId="9" fontId="31" fillId="0" borderId="0" xfId="2" applyFont="1" applyAlignment="1">
      <alignment horizontal="center"/>
    </xf>
    <xf numFmtId="0" fontId="31" fillId="0" borderId="0" xfId="2" applyNumberFormat="1" applyFont="1" applyAlignment="1">
      <alignment horizontal="center"/>
    </xf>
    <xf numFmtId="9" fontId="11" fillId="0" borderId="20" xfId="2" applyFont="1" applyBorder="1" applyAlignment="1">
      <alignment horizontal="center"/>
    </xf>
    <xf numFmtId="9" fontId="13" fillId="0" borderId="22" xfId="2" applyFont="1" applyBorder="1" applyAlignment="1">
      <alignment horizontal="center"/>
    </xf>
    <xf numFmtId="14" fontId="31" fillId="0" borderId="22" xfId="2" applyNumberFormat="1" applyFont="1" applyBorder="1" applyAlignment="1">
      <alignment horizontal="center"/>
    </xf>
    <xf numFmtId="1" fontId="4" fillId="0" borderId="22" xfId="0" applyNumberFormat="1" applyFont="1" applyBorder="1" applyAlignment="1">
      <alignment horizontal="center"/>
    </xf>
    <xf numFmtId="170" fontId="31" fillId="0" borderId="0" xfId="1" applyNumberFormat="1" applyFont="1" applyBorder="1" applyAlignment="1">
      <alignment horizontal="center"/>
    </xf>
    <xf numFmtId="170" fontId="31" fillId="0" borderId="4" xfId="1" applyNumberFormat="1" applyFont="1" applyBorder="1" applyAlignment="1">
      <alignment horizontal="center"/>
    </xf>
    <xf numFmtId="10" fontId="13" fillId="0" borderId="6" xfId="2" applyNumberFormat="1" applyFont="1" applyBorder="1" applyAlignment="1">
      <alignment horizontal="center"/>
    </xf>
    <xf numFmtId="9" fontId="31" fillId="0" borderId="32" xfId="0" applyNumberFormat="1" applyFont="1" applyBorder="1" applyAlignment="1">
      <alignment horizontal="center"/>
    </xf>
    <xf numFmtId="167" fontId="4" fillId="0" borderId="33" xfId="0" applyNumberFormat="1" applyFont="1" applyBorder="1" applyAlignment="1">
      <alignment horizontal="center"/>
    </xf>
    <xf numFmtId="167" fontId="14" fillId="7" borderId="34" xfId="0" applyNumberFormat="1" applyFont="1" applyFill="1" applyBorder="1" applyAlignment="1">
      <alignment horizontal="center"/>
    </xf>
    <xf numFmtId="167" fontId="14" fillId="7" borderId="35" xfId="0" applyNumberFormat="1" applyFont="1" applyFill="1" applyBorder="1" applyAlignment="1">
      <alignment horizontal="center"/>
    </xf>
    <xf numFmtId="167" fontId="14" fillId="7" borderId="36" xfId="0" applyNumberFormat="1" applyFont="1" applyFill="1" applyBorder="1" applyAlignment="1">
      <alignment horizontal="center"/>
    </xf>
    <xf numFmtId="167" fontId="4" fillId="0" borderId="37" xfId="0" applyNumberFormat="1" applyFont="1" applyBorder="1" applyAlignment="1">
      <alignment horizontal="center"/>
    </xf>
    <xf numFmtId="167" fontId="4" fillId="0" borderId="38" xfId="0" applyNumberFormat="1" applyFont="1" applyBorder="1" applyAlignment="1">
      <alignment horizontal="center"/>
    </xf>
    <xf numFmtId="167" fontId="4" fillId="0" borderId="39" xfId="0" applyNumberFormat="1" applyFont="1" applyBorder="1" applyAlignment="1">
      <alignment horizontal="center"/>
    </xf>
    <xf numFmtId="167" fontId="4" fillId="0" borderId="40" xfId="0" applyNumberFormat="1" applyFont="1" applyBorder="1" applyAlignment="1">
      <alignment horizontal="center"/>
    </xf>
    <xf numFmtId="167" fontId="4" fillId="0" borderId="41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14" fillId="7" borderId="0" xfId="0" applyFont="1" applyFill="1"/>
    <xf numFmtId="10" fontId="13" fillId="0" borderId="22" xfId="2" applyNumberFormat="1" applyFont="1" applyBorder="1" applyAlignment="1">
      <alignment horizontal="center"/>
    </xf>
    <xf numFmtId="9" fontId="13" fillId="0" borderId="0" xfId="2" applyFont="1" applyAlignment="1">
      <alignment horizontal="center"/>
    </xf>
    <xf numFmtId="9" fontId="13" fillId="5" borderId="3" xfId="2" applyFont="1" applyFill="1" applyBorder="1" applyAlignment="1">
      <alignment horizontal="center"/>
    </xf>
    <xf numFmtId="0" fontId="31" fillId="0" borderId="22" xfId="2" applyNumberFormat="1" applyFont="1" applyBorder="1" applyAlignment="1">
      <alignment horizontal="center"/>
    </xf>
    <xf numFmtId="9" fontId="13" fillId="5" borderId="0" xfId="2" applyFont="1" applyFill="1" applyAlignment="1">
      <alignment horizontal="center"/>
    </xf>
    <xf numFmtId="9" fontId="13" fillId="0" borderId="4" xfId="2" applyFont="1" applyBorder="1" applyAlignment="1">
      <alignment horizontal="center"/>
    </xf>
    <xf numFmtId="9" fontId="4" fillId="0" borderId="42" xfId="0" applyNumberFormat="1" applyFont="1" applyBorder="1" applyAlignment="1">
      <alignment horizontal="center"/>
    </xf>
    <xf numFmtId="9" fontId="31" fillId="0" borderId="19" xfId="2" applyFont="1" applyBorder="1" applyAlignment="1">
      <alignment horizontal="center"/>
    </xf>
    <xf numFmtId="9" fontId="31" fillId="0" borderId="18" xfId="0" applyNumberFormat="1" applyFont="1" applyBorder="1" applyAlignment="1">
      <alignment horizontal="center"/>
    </xf>
    <xf numFmtId="9" fontId="31" fillId="0" borderId="43" xfId="0" applyNumberFormat="1" applyFont="1" applyBorder="1" applyAlignment="1">
      <alignment horizontal="center"/>
    </xf>
    <xf numFmtId="0" fontId="24" fillId="5" borderId="8" xfId="0" applyFont="1" applyFill="1" applyBorder="1" applyAlignment="1">
      <alignment horizontal="center"/>
    </xf>
    <xf numFmtId="0" fontId="24" fillId="5" borderId="6" xfId="0" applyFont="1" applyFill="1" applyBorder="1" applyAlignment="1">
      <alignment horizontal="center"/>
    </xf>
    <xf numFmtId="165" fontId="13" fillId="5" borderId="3" xfId="0" applyNumberFormat="1" applyFont="1" applyFill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65" fontId="13" fillId="5" borderId="0" xfId="0" applyNumberFormat="1" applyFont="1" applyFill="1" applyAlignment="1">
      <alignment horizontal="center"/>
    </xf>
    <xf numFmtId="165" fontId="13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13" fillId="5" borderId="3" xfId="0" applyNumberFormat="1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13" fillId="5" borderId="0" xfId="0" applyNumberFormat="1" applyFont="1" applyFill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9" fontId="31" fillId="0" borderId="22" xfId="2" applyFont="1" applyBorder="1" applyAlignment="1">
      <alignment horizontal="center"/>
    </xf>
    <xf numFmtId="10" fontId="13" fillId="0" borderId="3" xfId="0" applyNumberFormat="1" applyFont="1" applyBorder="1" applyAlignment="1">
      <alignment horizontal="center"/>
    </xf>
    <xf numFmtId="10" fontId="13" fillId="0" borderId="4" xfId="0" applyNumberFormat="1" applyFont="1" applyBorder="1" applyAlignment="1">
      <alignment horizontal="center"/>
    </xf>
    <xf numFmtId="10" fontId="13" fillId="0" borderId="5" xfId="0" applyNumberFormat="1" applyFont="1" applyBorder="1" applyAlignment="1">
      <alignment horizontal="center"/>
    </xf>
    <xf numFmtId="10" fontId="13" fillId="0" borderId="6" xfId="0" applyNumberFormat="1" applyFont="1" applyBorder="1" applyAlignment="1">
      <alignment horizontal="center"/>
    </xf>
    <xf numFmtId="167" fontId="31" fillId="0" borderId="33" xfId="0" applyNumberFormat="1" applyFont="1" applyBorder="1" applyAlignment="1">
      <alignment horizontal="center"/>
    </xf>
    <xf numFmtId="167" fontId="31" fillId="0" borderId="38" xfId="0" applyNumberFormat="1" applyFont="1" applyBorder="1" applyAlignment="1">
      <alignment horizontal="center"/>
    </xf>
    <xf numFmtId="10" fontId="4" fillId="0" borderId="40" xfId="2" applyNumberFormat="1" applyFont="1" applyBorder="1" applyAlignment="1">
      <alignment horizontal="center"/>
    </xf>
    <xf numFmtId="10" fontId="4" fillId="0" borderId="41" xfId="2" applyNumberFormat="1" applyFont="1" applyBorder="1" applyAlignment="1">
      <alignment horizontal="center"/>
    </xf>
    <xf numFmtId="14" fontId="31" fillId="0" borderId="22" xfId="0" applyNumberFormat="1" applyFont="1" applyBorder="1" applyAlignment="1">
      <alignment horizontal="center"/>
    </xf>
    <xf numFmtId="0" fontId="24" fillId="5" borderId="24" xfId="0" applyFont="1" applyFill="1" applyBorder="1" applyAlignment="1">
      <alignment horizontal="center"/>
    </xf>
    <xf numFmtId="0" fontId="24" fillId="5" borderId="25" xfId="0" applyFont="1" applyFill="1" applyBorder="1" applyAlignment="1">
      <alignment horizontal="center"/>
    </xf>
    <xf numFmtId="165" fontId="32" fillId="5" borderId="3" xfId="0" applyNumberFormat="1" applyFont="1" applyFill="1" applyBorder="1" applyAlignment="1">
      <alignment horizontal="left"/>
    </xf>
    <xf numFmtId="167" fontId="13" fillId="0" borderId="6" xfId="0" applyNumberFormat="1" applyFont="1" applyBorder="1" applyAlignment="1">
      <alignment horizontal="center"/>
    </xf>
    <xf numFmtId="167" fontId="31" fillId="0" borderId="3" xfId="0" applyNumberFormat="1" applyFont="1" applyBorder="1" applyAlignment="1">
      <alignment horizontal="center"/>
    </xf>
    <xf numFmtId="165" fontId="13" fillId="0" borderId="0" xfId="2" applyNumberFormat="1" applyFont="1" applyAlignment="1">
      <alignment horizontal="center"/>
    </xf>
    <xf numFmtId="0" fontId="30" fillId="9" borderId="0" xfId="0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167" fontId="28" fillId="7" borderId="0" xfId="0" applyNumberFormat="1" applyFont="1" applyFill="1" applyAlignment="1">
      <alignment horizontal="center"/>
    </xf>
    <xf numFmtId="167" fontId="14" fillId="7" borderId="1" xfId="0" applyNumberFormat="1" applyFont="1" applyFill="1" applyBorder="1" applyAlignment="1">
      <alignment horizontal="center"/>
    </xf>
    <xf numFmtId="167" fontId="14" fillId="7" borderId="7" xfId="0" applyNumberFormat="1" applyFont="1" applyFill="1" applyBorder="1" applyAlignment="1">
      <alignment horizontal="center"/>
    </xf>
    <xf numFmtId="167" fontId="14" fillId="7" borderId="2" xfId="0" applyNumberFormat="1" applyFont="1" applyFill="1" applyBorder="1" applyAlignment="1">
      <alignment horizontal="center"/>
    </xf>
    <xf numFmtId="167" fontId="14" fillId="7" borderId="23" xfId="0" applyNumberFormat="1" applyFont="1" applyFill="1" applyBorder="1" applyAlignment="1">
      <alignment horizontal="center"/>
    </xf>
    <xf numFmtId="167" fontId="14" fillId="7" borderId="24" xfId="0" applyNumberFormat="1" applyFont="1" applyFill="1" applyBorder="1" applyAlignment="1">
      <alignment horizontal="center"/>
    </xf>
    <xf numFmtId="167" fontId="14" fillId="7" borderId="25" xfId="0" applyNumberFormat="1" applyFont="1" applyFill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41" fontId="11" fillId="3" borderId="15" xfId="3" quotePrefix="1" applyNumberFormat="1" applyFont="1" applyFill="1" applyBorder="1" applyAlignment="1">
      <alignment horizontal="center" vertical="top"/>
    </xf>
    <xf numFmtId="0" fontId="13" fillId="3" borderId="0" xfId="3" applyFont="1" applyFill="1" applyAlignment="1">
      <alignment horizontal="left" wrapText="1"/>
    </xf>
    <xf numFmtId="0" fontId="10" fillId="3" borderId="12" xfId="3" applyFont="1" applyFill="1" applyBorder="1" applyAlignment="1">
      <alignment horizontal="left" vertical="top"/>
    </xf>
    <xf numFmtId="0" fontId="10" fillId="3" borderId="13" xfId="3" applyFont="1" applyFill="1" applyBorder="1" applyAlignment="1">
      <alignment horizontal="left" vertical="top"/>
    </xf>
    <xf numFmtId="0" fontId="10" fillId="3" borderId="26" xfId="3" applyFont="1" applyFill="1" applyBorder="1" applyAlignment="1">
      <alignment horizontal="left" vertical="top"/>
    </xf>
    <xf numFmtId="0" fontId="10" fillId="3" borderId="27" xfId="3" applyFont="1" applyFill="1" applyBorder="1" applyAlignment="1">
      <alignment horizontal="left" vertical="top"/>
    </xf>
    <xf numFmtId="17" fontId="14" fillId="7" borderId="9" xfId="3" applyNumberFormat="1" applyFont="1" applyFill="1" applyBorder="1" applyAlignment="1">
      <alignment horizontal="center"/>
    </xf>
    <xf numFmtId="17" fontId="14" fillId="7" borderId="10" xfId="3" applyNumberFormat="1" applyFont="1" applyFill="1" applyBorder="1" applyAlignment="1">
      <alignment horizontal="center"/>
    </xf>
    <xf numFmtId="17" fontId="14" fillId="7" borderId="11" xfId="3" applyNumberFormat="1" applyFont="1" applyFill="1" applyBorder="1" applyAlignment="1">
      <alignment horizontal="center"/>
    </xf>
    <xf numFmtId="171" fontId="13" fillId="3" borderId="0" xfId="4" applyNumberFormat="1" applyFont="1" applyFill="1" applyBorder="1" applyAlignment="1">
      <alignment horizontal="center"/>
    </xf>
    <xf numFmtId="171" fontId="13" fillId="3" borderId="16" xfId="4" applyNumberFormat="1" applyFont="1" applyFill="1" applyBorder="1" applyAlignment="1">
      <alignment horizontal="center"/>
    </xf>
    <xf numFmtId="9" fontId="13" fillId="3" borderId="0" xfId="6" applyFont="1" applyFill="1" applyBorder="1" applyAlignment="1">
      <alignment horizontal="left"/>
    </xf>
    <xf numFmtId="10" fontId="13" fillId="3" borderId="0" xfId="6" applyNumberFormat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7" borderId="7" xfId="0" applyFont="1" applyFill="1" applyBorder="1" applyAlignment="1">
      <alignment horizontal="center"/>
    </xf>
    <xf numFmtId="0" fontId="27" fillId="7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</cellXfs>
  <cellStyles count="9">
    <cellStyle name="Comma 11 4" xfId="8" xr:uid="{347C5BCB-ECBB-4C31-B2C4-A3A37A34E82F}"/>
    <cellStyle name="Comma 3" xfId="7" xr:uid="{9D04D128-417B-4AA8-8828-DA5838CD735C}"/>
    <cellStyle name="Currency" xfId="1" builtinId="4"/>
    <cellStyle name="Currency 10 2 3" xfId="5" xr:uid="{192F39EF-BAD3-4E59-9FC6-975A6052C278}"/>
    <cellStyle name="Currency 3" xfId="4" xr:uid="{F2EB703E-B2BA-45C4-92C7-994FDDF548D8}"/>
    <cellStyle name="Normal" xfId="0" builtinId="0"/>
    <cellStyle name="Normal 2" xfId="3" xr:uid="{F3FED984-DBE8-4232-A736-CD67B752A4B5}"/>
    <cellStyle name="Percent" xfId="2" builtinId="5"/>
    <cellStyle name="Percent 2 2" xfId="6" xr:uid="{EE559B72-9BB0-4882-9688-6F8DB6D3CB75}"/>
  </cellStyles>
  <dxfs count="0"/>
  <tableStyles count="1" defaultTableStyle="TableStyleMedium2" defaultPivotStyle="PivotStyleLight16">
    <tableStyle name="Table Style 1" pivot="0" count="0" xr9:uid="{50F8FF1F-EA6B-4EAE-803F-19A25E92323D}"/>
  </tableStyles>
  <colors>
    <mruColors>
      <color rgb="FF0000FF"/>
      <color rgb="FF00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ul Veauli" id="{DA4192CF-46D0-43A9-8903-6778CEF058C5}" userId="S::aveauli@timbercreek.com::903f9b78-6245-403e-94e8-a1953c83a2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12-01T16:43:50.47" personId="{DA4192CF-46D0-43A9-8903-6778CEF058C5}" id="{61253FC8-1180-4C45-8B88-38EE2176F5FE}">
    <text>AKA PURCHASE PRICE</text>
  </threadedComment>
  <threadedComment ref="F7" dT="2025-12-01T14:13:08.71" personId="{DA4192CF-46D0-43A9-8903-6778CEF058C5}" id="{B20BB208-8A23-4F06-873C-EDB8CFA8267E}">
    <text>Years</text>
  </threadedComment>
  <threadedComment ref="D9" dT="2025-12-01T16:24:18.65" personId="{DA4192CF-46D0-43A9-8903-6778CEF058C5}" id="{2B02C478-5700-4264-A9EA-17AF840C510F}">
    <text xml:space="preserve">100k total insurance coverage </text>
  </threadedComment>
  <threadedComment ref="H13" dT="2025-12-01T20:55:52.32" personId="{DA4192CF-46D0-43A9-8903-6778CEF058C5}" id="{A495FFCD-5757-410B-9371-B8E6BCB03698}">
    <text xml:space="preserve">Affects everything </text>
  </threadedComment>
  <threadedComment ref="H19" dT="2025-12-02T22:17:59.84" personId="{DA4192CF-46D0-43A9-8903-6778CEF058C5}" id="{3199E152-010F-458D-9AFE-1CC15A69EB1E}">
    <text>Replace this system its bad</text>
  </threadedComment>
  <threadedComment ref="B28" dT="2025-12-06T23:03:46.19" personId="{DA4192CF-46D0-43A9-8903-6778CEF058C5}" id="{DF97AEAC-87C3-44D6-A401-22AC4062F4A5}">
    <text>Monthly</text>
  </threadedComment>
  <threadedComment ref="E29" dT="2025-12-04T15:24:32.97" personId="{DA4192CF-46D0-43A9-8903-6778CEF058C5}" id="{1A3F8321-ECE4-4703-BBF4-61B4A7628B33}">
    <text>Find online</text>
  </threadedComment>
  <threadedComment ref="F29" dT="2025-12-04T15:27:23.88" personId="{DA4192CF-46D0-43A9-8903-6778CEF058C5}" id="{93E7F6F8-324D-4388-BFDD-2CC9C5694AE6}">
    <text xml:space="preserve">Ontario: Find MPAC assesed value then use growth % to find future years
Ohio: Use Jan 1st value each time for conservative estimates, for more bullish use the every 3 years as the property value increase for tax purposes
Texas: Jan 1st annual property value do every year </text>
  </threadedComment>
  <threadedComment ref="D32" dT="2025-12-02T22:08:59.79" personId="{DA4192CF-46D0-43A9-8903-6778CEF058C5}" id="{6A6C7719-6AF8-4517-9949-62C0CF5D9884}">
    <text>Enter all in manually, I have yearly average over here tho if u wanna just paste that over</text>
  </threadedComment>
  <threadedComment ref="D35" dT="2025-12-02T21:59:25.66" personId="{DA4192CF-46D0-43A9-8903-6778CEF058C5}" id="{EF77CD5B-9BD8-442E-86B5-3E14AA94959C}">
    <text>5% is decent base assumption</text>
  </threadedComment>
  <threadedComment ref="D40" dT="2025-12-01T16:24:59.77" personId="{DA4192CF-46D0-43A9-8903-6778CEF058C5}" id="{6B3FC1A5-1424-4506-895F-EB3FF6423B09}">
    <text>Cleveland as high as 8%</text>
  </threadedComment>
  <threadedComment ref="D56" dT="2025-12-01T21:25:58.20" personId="{DA4192CF-46D0-43A9-8903-6778CEF058C5}" id="{9374B60C-17D1-4F1F-B769-A14879E3A569}">
    <text>Is this quant or est, its always given, idk?</text>
  </threadedComment>
  <threadedComment ref="E56" dT="2025-12-01T21:10:08.37" personId="{DA4192CF-46D0-43A9-8903-6778CEF058C5}" id="{45ABA5BF-F91C-47D5-8A4A-E1EEE90BBC13}">
    <text>Materials, labour, general contracto</text>
  </threadedComment>
  <threadedComment ref="F56" dT="2025-12-01T21:09:42.73" personId="{DA4192CF-46D0-43A9-8903-6778CEF058C5}" id="{DAE98633-839E-4FF6-9F9E-516340D07162}">
    <text>Legal, permits, architect/engineer, design, construction mgmt, etc</text>
  </threadedComment>
  <threadedComment ref="F61" dT="2025-12-01T21:42:12.71" personId="{DA4192CF-46D0-43A9-8903-6778CEF058C5}" id="{2170D4C4-4C9A-4BA3-B9F2-FD73FD0C5DEA}">
    <text xml:space="preserve">Input SF here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2" dT="2025-12-04T15:45:39.02" personId="{DA4192CF-46D0-43A9-8903-6778CEF058C5}" id="{3658BC6E-F9A4-4677-B714-14901354E42D}">
    <text>Fill if there is any we have leftover</text>
  </threadedComment>
  <threadedComment ref="D18" dT="2025-12-01T17:23:03.28" personId="{DA4192CF-46D0-43A9-8903-6778CEF058C5}" id="{9DB1B503-BCCF-4890-97E7-E60F9DDA1E78}">
    <text>Buy</text>
  </threadedComment>
  <threadedComment ref="BL18" dT="2025-12-01T17:23:24.88" personId="{DA4192CF-46D0-43A9-8903-6778CEF058C5}" id="{9DEB867A-E654-44D3-B9A4-8140DFDF8D7E}">
    <text>Sell/Loan Repay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A5A1-51C3-4D8B-B034-92430C53743F}">
  <sheetPr>
    <tabColor theme="0"/>
  </sheetPr>
  <dimension ref="B2:K19"/>
  <sheetViews>
    <sheetView showGridLines="0" workbookViewId="0">
      <selection activeCell="E19" sqref="E19"/>
    </sheetView>
  </sheetViews>
  <sheetFormatPr defaultColWidth="8.7109375" defaultRowHeight="14.45"/>
  <cols>
    <col min="1" max="1" width="8.7109375" style="3"/>
    <col min="2" max="2" width="10.140625" style="3" bestFit="1" customWidth="1"/>
    <col min="3" max="16384" width="8.7109375" style="3"/>
  </cols>
  <sheetData>
    <row r="2" spans="2:11" s="203" customFormat="1" ht="63.95">
      <c r="B2" s="330" t="s">
        <v>0</v>
      </c>
      <c r="C2" s="330"/>
      <c r="D2" s="330"/>
      <c r="E2" s="330"/>
      <c r="F2" s="330"/>
      <c r="G2" s="330"/>
      <c r="H2" s="330"/>
      <c r="I2" s="330"/>
      <c r="J2" s="330"/>
      <c r="K2" s="330"/>
    </row>
    <row r="3" spans="2:11">
      <c r="B3" s="3" t="s">
        <v>1</v>
      </c>
    </row>
    <row r="4" spans="2:11">
      <c r="B4" s="3" t="s">
        <v>2</v>
      </c>
    </row>
    <row r="5" spans="2:11">
      <c r="B5" s="181">
        <v>45992</v>
      </c>
    </row>
    <row r="8" spans="2:11" ht="14.45" customHeight="1">
      <c r="B8" s="331" t="s">
        <v>3</v>
      </c>
      <c r="C8" s="331"/>
      <c r="D8" s="331"/>
      <c r="E8" s="331"/>
      <c r="F8" s="331"/>
      <c r="G8" s="331"/>
      <c r="H8" s="331"/>
      <c r="I8" s="331"/>
      <c r="J8" s="331"/>
      <c r="K8" s="331"/>
    </row>
    <row r="9" spans="2:11">
      <c r="B9" s="331"/>
      <c r="C9" s="331"/>
      <c r="D9" s="331"/>
      <c r="E9" s="331"/>
      <c r="F9" s="331"/>
      <c r="G9" s="331"/>
      <c r="H9" s="331"/>
      <c r="I9" s="331"/>
      <c r="J9" s="331"/>
      <c r="K9" s="331"/>
    </row>
    <row r="10" spans="2:11">
      <c r="B10" s="331"/>
      <c r="C10" s="331"/>
      <c r="D10" s="331"/>
      <c r="E10" s="331"/>
      <c r="F10" s="331"/>
      <c r="G10" s="331"/>
      <c r="H10" s="331"/>
      <c r="I10" s="331"/>
      <c r="J10" s="331"/>
      <c r="K10" s="331"/>
    </row>
    <row r="11" spans="2:11">
      <c r="B11" s="331"/>
      <c r="C11" s="331"/>
      <c r="D11" s="331"/>
      <c r="E11" s="331"/>
      <c r="F11" s="331"/>
      <c r="G11" s="331"/>
      <c r="H11" s="331"/>
      <c r="I11" s="331"/>
      <c r="J11" s="331"/>
      <c r="K11" s="331"/>
    </row>
    <row r="12" spans="2:11">
      <c r="B12" s="331"/>
      <c r="C12" s="331"/>
      <c r="D12" s="331"/>
      <c r="E12" s="331"/>
      <c r="F12" s="331"/>
      <c r="G12" s="331"/>
      <c r="H12" s="331"/>
      <c r="I12" s="331"/>
      <c r="J12" s="331"/>
      <c r="K12" s="331"/>
    </row>
    <row r="13" spans="2:11">
      <c r="B13" s="331"/>
      <c r="C13" s="331"/>
      <c r="D13" s="331"/>
      <c r="E13" s="331"/>
      <c r="F13" s="331"/>
      <c r="G13" s="331"/>
      <c r="H13" s="331"/>
      <c r="I13" s="331"/>
      <c r="J13" s="331"/>
      <c r="K13" s="331"/>
    </row>
    <row r="14" spans="2:11">
      <c r="B14" s="331"/>
      <c r="C14" s="331"/>
      <c r="D14" s="331"/>
      <c r="E14" s="331"/>
      <c r="F14" s="331"/>
      <c r="G14" s="331"/>
      <c r="H14" s="331"/>
      <c r="I14" s="331"/>
      <c r="J14" s="331"/>
      <c r="K14" s="331"/>
    </row>
    <row r="15" spans="2:11">
      <c r="B15" s="331"/>
      <c r="C15" s="331"/>
      <c r="D15" s="331"/>
      <c r="E15" s="331"/>
      <c r="F15" s="331"/>
      <c r="G15" s="331"/>
      <c r="H15" s="331"/>
      <c r="I15" s="331"/>
      <c r="J15" s="331"/>
      <c r="K15" s="331"/>
    </row>
    <row r="16" spans="2:11">
      <c r="B16" s="331"/>
      <c r="C16" s="331"/>
      <c r="D16" s="331"/>
      <c r="E16" s="331"/>
      <c r="F16" s="331"/>
      <c r="G16" s="331"/>
      <c r="H16" s="331"/>
      <c r="I16" s="331"/>
      <c r="J16" s="331"/>
      <c r="K16" s="331"/>
    </row>
    <row r="18" spans="2:3">
      <c r="B18" s="199"/>
      <c r="C18" s="207" t="s">
        <v>4</v>
      </c>
    </row>
    <row r="19" spans="2:3">
      <c r="B19" s="269"/>
      <c r="C19" s="207" t="s">
        <v>5</v>
      </c>
    </row>
  </sheetData>
  <mergeCells count="2">
    <mergeCell ref="B2:K2"/>
    <mergeCell ref="B8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D31E-5CA7-431B-8C8F-FB9C220B06D5}">
  <sheetPr>
    <tabColor rgb="FF0000FF"/>
  </sheetPr>
  <dimension ref="B1:T112"/>
  <sheetViews>
    <sheetView showGridLines="0" tabSelected="1" zoomScale="83" zoomScaleNormal="85" workbookViewId="0">
      <selection activeCell="C14" sqref="C14"/>
    </sheetView>
  </sheetViews>
  <sheetFormatPr defaultColWidth="8.7109375" defaultRowHeight="14.45"/>
  <cols>
    <col min="1" max="1" width="8.7109375" style="137"/>
    <col min="2" max="2" width="23.85546875" style="137" bestFit="1" customWidth="1"/>
    <col min="3" max="3" width="8.7109375" style="137"/>
    <col min="4" max="4" width="24.7109375" style="137" customWidth="1"/>
    <col min="5" max="6" width="23.28515625" style="137" bestFit="1" customWidth="1"/>
    <col min="7" max="7" width="21.42578125" style="137" customWidth="1"/>
    <col min="8" max="8" width="23.28515625" style="137" bestFit="1" customWidth="1"/>
    <col min="9" max="9" width="22.7109375" style="137" bestFit="1" customWidth="1"/>
    <col min="10" max="10" width="20.7109375" style="137" bestFit="1" customWidth="1"/>
    <col min="11" max="11" width="13.140625" style="137" bestFit="1" customWidth="1"/>
    <col min="12" max="12" width="16.85546875" style="137" bestFit="1" customWidth="1"/>
    <col min="13" max="13" width="30" style="137" bestFit="1" customWidth="1"/>
    <col min="14" max="14" width="7.85546875" style="137" bestFit="1" customWidth="1"/>
    <col min="15" max="15" width="11" style="137" bestFit="1" customWidth="1"/>
    <col min="16" max="16" width="10.42578125" style="137" bestFit="1" customWidth="1"/>
    <col min="17" max="17" width="10.28515625" style="137" customWidth="1"/>
    <col min="18" max="18" width="20.42578125" style="137" bestFit="1" customWidth="1"/>
    <col min="19" max="19" width="33.140625" style="137" bestFit="1" customWidth="1"/>
    <col min="20" max="20" width="13.42578125" style="137" bestFit="1" customWidth="1"/>
    <col min="21" max="21" width="8.140625" style="137" bestFit="1" customWidth="1"/>
    <col min="22" max="22" width="21.5703125" style="137" bestFit="1" customWidth="1"/>
    <col min="23" max="23" width="12.5703125" style="137" bestFit="1" customWidth="1"/>
    <col min="24" max="16384" width="8.7109375" style="137"/>
  </cols>
  <sheetData>
    <row r="1" spans="2:20" s="185" customFormat="1" ht="15" customHeight="1">
      <c r="D1" s="184"/>
      <c r="E1" s="184"/>
      <c r="F1" s="184"/>
      <c r="G1" s="184"/>
      <c r="H1" s="184"/>
      <c r="I1" s="184"/>
      <c r="J1" s="184"/>
    </row>
    <row r="2" spans="2:20" ht="26.1">
      <c r="B2" s="182" t="s">
        <v>6</v>
      </c>
      <c r="D2" s="332" t="s">
        <v>7</v>
      </c>
      <c r="E2" s="332"/>
      <c r="F2" s="332"/>
      <c r="G2" s="332"/>
      <c r="H2" s="332"/>
      <c r="I2" s="332"/>
      <c r="J2" s="332"/>
    </row>
    <row r="3" spans="2:20" ht="15" customHeight="1" thickBot="1">
      <c r="B3" s="184"/>
    </row>
    <row r="4" spans="2:20" ht="15" thickBot="1">
      <c r="B4" s="211" t="s">
        <v>8</v>
      </c>
      <c r="D4" s="200" t="s">
        <v>9</v>
      </c>
      <c r="E4" s="201" t="s">
        <v>10</v>
      </c>
      <c r="F4" s="202" t="s">
        <v>11</v>
      </c>
      <c r="H4" s="200" t="s">
        <v>12</v>
      </c>
      <c r="I4" s="200" t="s">
        <v>13</v>
      </c>
    </row>
    <row r="5" spans="2:20" ht="15" thickBot="1">
      <c r="B5" s="261">
        <v>500000</v>
      </c>
      <c r="D5" s="212" t="s">
        <v>14</v>
      </c>
      <c r="E5" s="238">
        <v>0.06</v>
      </c>
      <c r="F5" s="239">
        <f>(1+E5)^(1/12)-1</f>
        <v>4.8675505653430484E-3</v>
      </c>
      <c r="H5" s="200" t="s">
        <v>15</v>
      </c>
      <c r="I5" s="200" t="s">
        <v>15</v>
      </c>
    </row>
    <row r="6" spans="2:20" ht="15" thickBot="1">
      <c r="D6" s="212" t="s">
        <v>16</v>
      </c>
      <c r="E6" s="238"/>
      <c r="F6" s="240"/>
      <c r="H6" s="250">
        <v>2300</v>
      </c>
      <c r="I6" s="327">
        <f>H6*(1+B32)</f>
        <v>2645</v>
      </c>
      <c r="T6" s="138"/>
    </row>
    <row r="7" spans="2:20" ht="15" thickBot="1">
      <c r="B7" s="211" t="s">
        <v>17</v>
      </c>
      <c r="D7" s="212" t="s">
        <v>18</v>
      </c>
      <c r="E7" s="241">
        <f>F7*12</f>
        <v>360</v>
      </c>
      <c r="F7" s="242">
        <v>30</v>
      </c>
    </row>
    <row r="8" spans="2:20" ht="15" thickBot="1">
      <c r="B8" s="261" t="s">
        <v>19</v>
      </c>
      <c r="D8" s="212" t="s">
        <v>20</v>
      </c>
      <c r="E8" s="243">
        <v>0.05</v>
      </c>
      <c r="F8" s="242"/>
      <c r="H8" s="333" t="s">
        <v>21</v>
      </c>
      <c r="I8" s="334"/>
    </row>
    <row r="9" spans="2:20" ht="15" thickBot="1">
      <c r="D9" s="212" t="s">
        <v>22</v>
      </c>
      <c r="E9" s="244" t="s">
        <v>23</v>
      </c>
      <c r="F9" s="240"/>
      <c r="H9" s="142" t="s">
        <v>24</v>
      </c>
      <c r="I9" s="252">
        <v>0.02</v>
      </c>
    </row>
    <row r="10" spans="2:20">
      <c r="B10" s="211" t="s">
        <v>25</v>
      </c>
      <c r="D10" s="212" t="s">
        <v>26</v>
      </c>
      <c r="E10" s="245"/>
      <c r="F10" s="240"/>
      <c r="H10" s="142" t="s">
        <v>27</v>
      </c>
      <c r="I10" s="252">
        <v>1.7999999999999999E-2</v>
      </c>
    </row>
    <row r="11" spans="2:20" ht="15" thickBot="1">
      <c r="B11" s="167">
        <v>1</v>
      </c>
      <c r="D11" s="212" t="s">
        <v>28</v>
      </c>
      <c r="E11" s="244"/>
      <c r="F11" s="240"/>
      <c r="H11" s="143" t="s">
        <v>29</v>
      </c>
      <c r="I11" s="253">
        <v>8.9999999999999993E-3</v>
      </c>
    </row>
    <row r="12" spans="2:20" ht="15" thickBot="1">
      <c r="B12" s="139"/>
      <c r="D12" s="212" t="s">
        <v>30</v>
      </c>
      <c r="E12" s="244"/>
      <c r="F12" s="240"/>
    </row>
    <row r="13" spans="2:20">
      <c r="B13" s="211" t="s">
        <v>31</v>
      </c>
      <c r="D13" s="212" t="s">
        <v>32</v>
      </c>
      <c r="E13" s="244">
        <v>1200</v>
      </c>
      <c r="F13" s="240">
        <v>100</v>
      </c>
      <c r="H13" s="200" t="s">
        <v>31</v>
      </c>
      <c r="I13" s="200" t="s">
        <v>25</v>
      </c>
    </row>
    <row r="14" spans="2:20" ht="15" thickBot="1">
      <c r="B14" s="167">
        <v>1</v>
      </c>
      <c r="D14" s="212" t="s">
        <v>33</v>
      </c>
      <c r="E14" s="246">
        <v>0</v>
      </c>
      <c r="F14" s="247">
        <v>0</v>
      </c>
      <c r="H14" s="328" t="s">
        <v>24</v>
      </c>
      <c r="I14" s="165">
        <v>1</v>
      </c>
    </row>
    <row r="15" spans="2:20" ht="15" thickBot="1">
      <c r="D15" s="212" t="s">
        <v>34</v>
      </c>
      <c r="E15" s="244" t="s">
        <v>35</v>
      </c>
      <c r="F15" s="247" t="s">
        <v>36</v>
      </c>
      <c r="H15" s="328" t="s">
        <v>27</v>
      </c>
      <c r="I15" s="165">
        <v>2</v>
      </c>
    </row>
    <row r="16" spans="2:20" ht="15" thickBot="1">
      <c r="B16" s="211" t="s">
        <v>37</v>
      </c>
      <c r="D16" s="174" t="s">
        <v>38</v>
      </c>
      <c r="E16" s="248">
        <v>0</v>
      </c>
      <c r="F16" s="249">
        <v>0</v>
      </c>
      <c r="H16" s="250" t="s">
        <v>29</v>
      </c>
      <c r="I16" s="166">
        <v>3</v>
      </c>
    </row>
    <row r="17" spans="2:11" ht="15" thickBot="1">
      <c r="B17" s="167" t="s">
        <v>39</v>
      </c>
      <c r="D17" s="149" t="s">
        <v>40</v>
      </c>
    </row>
    <row r="18" spans="2:11" ht="15" thickBot="1">
      <c r="F18" s="137" t="s">
        <v>41</v>
      </c>
      <c r="H18" s="137" t="s">
        <v>10</v>
      </c>
      <c r="I18" s="137" t="s">
        <v>10</v>
      </c>
      <c r="J18" s="137" t="s">
        <v>11</v>
      </c>
    </row>
    <row r="19" spans="2:11">
      <c r="B19" s="273" t="s">
        <v>42</v>
      </c>
      <c r="D19" s="200" t="s">
        <v>25</v>
      </c>
      <c r="E19" s="200" t="s">
        <v>43</v>
      </c>
      <c r="F19" s="200" t="s">
        <v>44</v>
      </c>
      <c r="G19" s="200" t="s">
        <v>45</v>
      </c>
      <c r="H19" s="200" t="s">
        <v>46</v>
      </c>
      <c r="I19" s="200" t="s">
        <v>47</v>
      </c>
      <c r="J19" s="200" t="s">
        <v>47</v>
      </c>
    </row>
    <row r="20" spans="2:11" ht="15" thickBot="1">
      <c r="B20" s="275">
        <f ca="1">TODAY()</f>
        <v>45997</v>
      </c>
      <c r="D20" s="168">
        <v>1</v>
      </c>
      <c r="E20" s="244">
        <v>485000</v>
      </c>
      <c r="F20" s="137">
        <f t="shared" ref="F20:F25" si="0" xml:space="preserve"> E20 * ($F$5 * (1 + $F$5) ^ $E$7) / ((1 + $F$5) ^ $E$7 - 1)</f>
        <v>2858.4465224090577</v>
      </c>
      <c r="G20" s="244">
        <v>5000</v>
      </c>
      <c r="H20" s="137">
        <f>CHOOSE($B$14,$I$9,$I$10,$I$11)*$B$5</f>
        <v>10000</v>
      </c>
      <c r="I20" s="137">
        <f>$B$5*$E$99*CHOOSE($B$14,$E$104,$E$105,$E$106)</f>
        <v>3000</v>
      </c>
      <c r="J20" s="163">
        <f t="shared" ref="J20:J25" si="1">I20/12</f>
        <v>250</v>
      </c>
    </row>
    <row r="21" spans="2:11" ht="15" thickBot="1">
      <c r="B21" s="237"/>
      <c r="D21" s="168">
        <v>2</v>
      </c>
      <c r="E21" s="244">
        <v>490000</v>
      </c>
      <c r="F21" s="137">
        <f t="shared" si="0"/>
        <v>2887.9150432586353</v>
      </c>
      <c r="G21" s="244">
        <v>5000</v>
      </c>
      <c r="H21" s="137">
        <f t="shared" ref="H21:H25" si="2">CHOOSE($B$14,$I$9,$I$10,$I$11)*$B$5</f>
        <v>10000</v>
      </c>
      <c r="I21" s="137">
        <f t="shared" ref="I21:I25" si="3">$B$5*$E$99*CHOOSE($B$14,$E$104,$E$105,$E$106)</f>
        <v>3000</v>
      </c>
      <c r="J21" s="163">
        <f t="shared" si="1"/>
        <v>250</v>
      </c>
    </row>
    <row r="22" spans="2:11">
      <c r="B22" s="273" t="s">
        <v>48</v>
      </c>
      <c r="D22" s="168">
        <v>3</v>
      </c>
      <c r="E22" s="244">
        <v>495000</v>
      </c>
      <c r="F22" s="137">
        <f t="shared" si="0"/>
        <v>2917.3835641082137</v>
      </c>
      <c r="G22" s="244">
        <v>5000</v>
      </c>
      <c r="H22" s="137">
        <f t="shared" si="2"/>
        <v>10000</v>
      </c>
      <c r="I22" s="137">
        <f t="shared" si="3"/>
        <v>3000</v>
      </c>
      <c r="J22" s="163">
        <f t="shared" si="1"/>
        <v>250</v>
      </c>
    </row>
    <row r="23" spans="2:11" ht="15" thickBot="1">
      <c r="B23" s="275">
        <f ca="1">IF(B20&gt;DATE(YEAR(B20),5,1),
DATE(YEAR(B20)+1,5,1),
DATE(YEAR(B20),5,1)
)</f>
        <v>46143</v>
      </c>
      <c r="D23" s="168">
        <v>4</v>
      </c>
      <c r="E23" s="244">
        <v>500000</v>
      </c>
      <c r="F23" s="137">
        <f t="shared" si="0"/>
        <v>2946.8520849577912</v>
      </c>
      <c r="G23" s="244">
        <v>5000</v>
      </c>
      <c r="H23" s="137">
        <f t="shared" si="2"/>
        <v>10000</v>
      </c>
      <c r="I23" s="137">
        <f t="shared" si="3"/>
        <v>3000</v>
      </c>
      <c r="J23" s="163">
        <f t="shared" si="1"/>
        <v>250</v>
      </c>
    </row>
    <row r="24" spans="2:11" ht="15" thickBot="1">
      <c r="D24" s="168">
        <v>5</v>
      </c>
      <c r="E24" s="244">
        <v>505000</v>
      </c>
      <c r="F24" s="137">
        <f t="shared" si="0"/>
        <v>2976.3206058073692</v>
      </c>
      <c r="G24" s="244">
        <v>5000</v>
      </c>
      <c r="H24" s="137">
        <f t="shared" si="2"/>
        <v>10000</v>
      </c>
      <c r="I24" s="137">
        <f t="shared" si="3"/>
        <v>3000</v>
      </c>
      <c r="J24" s="163">
        <f t="shared" si="1"/>
        <v>250</v>
      </c>
    </row>
    <row r="25" spans="2:11" ht="15" thickBot="1">
      <c r="B25" s="211" t="s">
        <v>49</v>
      </c>
      <c r="D25" s="169">
        <v>6</v>
      </c>
      <c r="E25" s="254">
        <v>510000</v>
      </c>
      <c r="F25" s="150">
        <f t="shared" si="0"/>
        <v>3005.7891266569472</v>
      </c>
      <c r="G25" s="254">
        <v>5000</v>
      </c>
      <c r="H25" s="150">
        <f t="shared" si="2"/>
        <v>10000</v>
      </c>
      <c r="I25" s="150">
        <f t="shared" si="3"/>
        <v>3000</v>
      </c>
      <c r="J25" s="164">
        <f t="shared" si="1"/>
        <v>250</v>
      </c>
    </row>
    <row r="26" spans="2:11" ht="15" customHeight="1" thickBot="1">
      <c r="B26" s="323">
        <v>46054</v>
      </c>
    </row>
    <row r="27" spans="2:11" ht="15" thickBot="1">
      <c r="D27" s="333" t="s">
        <v>50</v>
      </c>
      <c r="E27" s="334"/>
      <c r="F27" s="334"/>
      <c r="G27" s="334"/>
      <c r="H27" s="334"/>
      <c r="I27" s="334"/>
      <c r="J27" s="335"/>
    </row>
    <row r="28" spans="2:11" ht="15" thickBot="1">
      <c r="B28" s="273" t="s">
        <v>51</v>
      </c>
      <c r="D28" s="183"/>
      <c r="E28" s="324" t="s">
        <v>52</v>
      </c>
      <c r="F28" s="324" t="s">
        <v>53</v>
      </c>
      <c r="G28" s="324" t="s">
        <v>54</v>
      </c>
      <c r="H28" s="324" t="s">
        <v>55</v>
      </c>
      <c r="I28" s="324" t="s">
        <v>56</v>
      </c>
      <c r="J28" s="325" t="s">
        <v>57</v>
      </c>
    </row>
    <row r="29" spans="2:11" ht="15" thickBot="1">
      <c r="B29" s="296">
        <v>12</v>
      </c>
      <c r="D29" s="168" t="s">
        <v>58</v>
      </c>
      <c r="E29" s="137">
        <v>5</v>
      </c>
      <c r="F29" s="277">
        <v>5</v>
      </c>
      <c r="G29" s="277">
        <v>5</v>
      </c>
      <c r="H29" s="277">
        <v>5</v>
      </c>
      <c r="I29" s="277">
        <v>5</v>
      </c>
      <c r="J29" s="278">
        <v>5</v>
      </c>
      <c r="K29" s="209"/>
    </row>
    <row r="30" spans="2:11" ht="15" thickBot="1">
      <c r="D30" s="169" t="s">
        <v>59</v>
      </c>
      <c r="E30" s="270" t="s">
        <v>60</v>
      </c>
      <c r="F30" s="205">
        <f>IFERROR(F29/E29-1,"-")</f>
        <v>0</v>
      </c>
      <c r="G30" s="205">
        <f t="shared" ref="G30:J30" si="4">IFERROR(G29/F29-1,"-")</f>
        <v>0</v>
      </c>
      <c r="H30" s="205">
        <f t="shared" si="4"/>
        <v>0</v>
      </c>
      <c r="I30" s="205">
        <f t="shared" si="4"/>
        <v>0</v>
      </c>
      <c r="J30" s="279">
        <f t="shared" si="4"/>
        <v>0</v>
      </c>
    </row>
    <row r="31" spans="2:11" ht="15" thickBot="1">
      <c r="B31" s="211" t="s">
        <v>61</v>
      </c>
    </row>
    <row r="32" spans="2:11" ht="15" thickBot="1">
      <c r="B32" s="314">
        <v>0.15</v>
      </c>
      <c r="D32" s="336" t="s">
        <v>62</v>
      </c>
      <c r="E32" s="337"/>
      <c r="F32" s="337"/>
      <c r="G32" s="337"/>
      <c r="H32" s="337"/>
      <c r="I32" s="337"/>
      <c r="J32" s="338"/>
    </row>
    <row r="33" spans="2:10" ht="15" thickBot="1">
      <c r="D33" s="183"/>
      <c r="E33" s="303" t="s">
        <v>63</v>
      </c>
      <c r="F33" s="303" t="s">
        <v>53</v>
      </c>
      <c r="G33" s="303" t="s">
        <v>54</v>
      </c>
      <c r="H33" s="303" t="s">
        <v>55</v>
      </c>
      <c r="I33" s="303" t="s">
        <v>56</v>
      </c>
      <c r="J33" s="304" t="s">
        <v>57</v>
      </c>
    </row>
    <row r="34" spans="2:10">
      <c r="B34" s="218"/>
      <c r="D34" s="299" t="s">
        <v>64</v>
      </c>
      <c r="E34" s="300"/>
      <c r="F34" s="301"/>
      <c r="G34" s="301"/>
      <c r="H34" s="301"/>
      <c r="I34" s="301"/>
      <c r="J34" s="302"/>
    </row>
    <row r="35" spans="2:10" ht="15" thickBot="1">
      <c r="D35" s="169" t="s">
        <v>65</v>
      </c>
      <c r="E35" s="280"/>
      <c r="F35" s="268"/>
      <c r="G35" s="268"/>
      <c r="H35" s="268"/>
      <c r="I35" s="268"/>
      <c r="J35" s="260"/>
    </row>
    <row r="36" spans="2:10" ht="15" customHeight="1"/>
    <row r="37" spans="2:10" ht="15" thickBot="1">
      <c r="E37" s="339" t="s">
        <v>66</v>
      </c>
      <c r="F37" s="339"/>
      <c r="G37" s="339" t="s">
        <v>67</v>
      </c>
      <c r="H37" s="339"/>
    </row>
    <row r="38" spans="2:10">
      <c r="D38" s="200" t="s">
        <v>68</v>
      </c>
      <c r="E38" s="200" t="s">
        <v>69</v>
      </c>
      <c r="F38" s="200" t="s">
        <v>70</v>
      </c>
      <c r="G38" s="200" t="s">
        <v>69</v>
      </c>
      <c r="H38" s="200" t="s">
        <v>70</v>
      </c>
      <c r="I38" s="200" t="s">
        <v>71</v>
      </c>
    </row>
    <row r="39" spans="2:10">
      <c r="D39" s="144" t="s">
        <v>24</v>
      </c>
      <c r="E39" s="255">
        <v>0.03</v>
      </c>
      <c r="F39" s="256">
        <v>0.03</v>
      </c>
      <c r="G39" s="315">
        <f>(1+E39)^(1/12)-1</f>
        <v>2.4662697723036864E-3</v>
      </c>
      <c r="H39" s="316">
        <f>(1+F39)^(1/12)-1</f>
        <v>2.4662697723036864E-3</v>
      </c>
      <c r="I39" s="257" t="s">
        <v>72</v>
      </c>
    </row>
    <row r="40" spans="2:10">
      <c r="D40" s="144" t="s">
        <v>27</v>
      </c>
      <c r="E40" s="255">
        <v>0.04</v>
      </c>
      <c r="F40" s="256">
        <v>0.03</v>
      </c>
      <c r="G40" s="315">
        <f t="shared" ref="G40:G41" si="5">(1+E40)^(1/12)-1</f>
        <v>3.2737397821989145E-3</v>
      </c>
      <c r="H40" s="316">
        <f t="shared" ref="H40:H41" si="6">(1+F40)^(1/12)-1</f>
        <v>2.4662697723036864E-3</v>
      </c>
      <c r="I40" s="257" t="s">
        <v>72</v>
      </c>
    </row>
    <row r="41" spans="2:10" ht="15" thickBot="1">
      <c r="D41" s="145" t="s">
        <v>29</v>
      </c>
      <c r="E41" s="258">
        <v>0.01</v>
      </c>
      <c r="F41" s="259">
        <v>2.1000000000000001E-2</v>
      </c>
      <c r="G41" s="317">
        <f t="shared" si="5"/>
        <v>8.295381143461622E-4</v>
      </c>
      <c r="H41" s="318">
        <f t="shared" si="6"/>
        <v>1.73337883251512E-3</v>
      </c>
      <c r="I41" s="261" t="s">
        <v>73</v>
      </c>
    </row>
    <row r="42" spans="2:10" ht="15" customHeight="1" thickBot="1">
      <c r="B42" s="149"/>
    </row>
    <row r="43" spans="2:10">
      <c r="D43" s="200" t="s">
        <v>74</v>
      </c>
      <c r="E43" s="200" t="s">
        <v>75</v>
      </c>
      <c r="F43" s="200" t="s">
        <v>76</v>
      </c>
      <c r="G43" s="200" t="s">
        <v>77</v>
      </c>
      <c r="H43" s="200" t="s">
        <v>78</v>
      </c>
    </row>
    <row r="44" spans="2:10">
      <c r="D44" s="142" t="s">
        <v>24</v>
      </c>
      <c r="E44" s="262">
        <v>0</v>
      </c>
      <c r="F44" s="262">
        <v>0</v>
      </c>
      <c r="G44" s="255">
        <v>0</v>
      </c>
      <c r="H44" s="170">
        <f>SUM(E44:G44)</f>
        <v>0</v>
      </c>
    </row>
    <row r="45" spans="2:10">
      <c r="D45" s="142" t="s">
        <v>27</v>
      </c>
      <c r="E45" s="255">
        <v>0</v>
      </c>
      <c r="F45" s="255">
        <v>4.0000000000000001E-3</v>
      </c>
      <c r="G45" s="255">
        <v>0</v>
      </c>
      <c r="H45" s="146">
        <f>SUM(E45:G45)</f>
        <v>4.0000000000000001E-3</v>
      </c>
    </row>
    <row r="46" spans="2:10" ht="15" thickBot="1">
      <c r="D46" s="143" t="s">
        <v>29</v>
      </c>
      <c r="E46" s="206" t="str">
        <f>G103</f>
        <v>Ontario LTT</v>
      </c>
      <c r="F46" s="258">
        <v>0</v>
      </c>
      <c r="G46" s="258">
        <v>0</v>
      </c>
      <c r="H46" s="171">
        <f>MIN(B5,55000)*0.005
+MAX(MIN(B5,250000)-55000,0)*0.01
+MAX(MIN(B5,400000)-250000,0)*0.015
+MAX(MIN(B5,2000000)-400000,0)*0.02
+MAX(B5-2000000,0)*0.025</f>
        <v>6475</v>
      </c>
    </row>
    <row r="47" spans="2:10" ht="15" customHeight="1"/>
    <row r="48" spans="2:10">
      <c r="B48" s="149"/>
    </row>
    <row r="49" spans="2:14" ht="26.1">
      <c r="D49" s="332" t="s">
        <v>79</v>
      </c>
      <c r="E49" s="332"/>
      <c r="F49" s="332"/>
      <c r="G49" s="332"/>
      <c r="H49" s="332"/>
      <c r="I49" s="332"/>
      <c r="J49" s="332"/>
    </row>
    <row r="50" spans="2:14" ht="15" customHeight="1" thickBot="1">
      <c r="D50" s="149" t="s">
        <v>80</v>
      </c>
    </row>
    <row r="51" spans="2:14">
      <c r="D51" s="200" t="s">
        <v>81</v>
      </c>
      <c r="E51" s="201" t="s">
        <v>82</v>
      </c>
      <c r="F51" s="201" t="s">
        <v>83</v>
      </c>
      <c r="G51" s="201" t="s">
        <v>84</v>
      </c>
      <c r="H51" s="201" t="s">
        <v>85</v>
      </c>
      <c r="I51" s="201" t="s">
        <v>86</v>
      </c>
      <c r="J51" s="202" t="s">
        <v>87</v>
      </c>
    </row>
    <row r="52" spans="2:14">
      <c r="D52" s="142" t="s">
        <v>24</v>
      </c>
      <c r="E52" s="244">
        <v>90</v>
      </c>
      <c r="F52" s="244">
        <v>45</v>
      </c>
      <c r="G52" s="246">
        <v>0.15</v>
      </c>
      <c r="H52" s="246">
        <v>7.0000000000000007E-2</v>
      </c>
      <c r="I52" s="244">
        <v>180</v>
      </c>
      <c r="J52" s="240">
        <v>2000</v>
      </c>
    </row>
    <row r="53" spans="2:14">
      <c r="D53" s="142" t="s">
        <v>27</v>
      </c>
      <c r="E53" s="244">
        <v>85</v>
      </c>
      <c r="F53" s="244">
        <v>50</v>
      </c>
      <c r="G53" s="246">
        <v>0.15</v>
      </c>
      <c r="H53" s="246">
        <v>7.0000000000000007E-2</v>
      </c>
      <c r="I53" s="244">
        <v>150</v>
      </c>
      <c r="J53" s="240">
        <v>1500</v>
      </c>
    </row>
    <row r="54" spans="2:14" ht="15" thickBot="1">
      <c r="D54" s="143" t="s">
        <v>29</v>
      </c>
      <c r="E54" s="254">
        <v>105</v>
      </c>
      <c r="F54" s="254">
        <v>65</v>
      </c>
      <c r="G54" s="248">
        <v>0.15</v>
      </c>
      <c r="H54" s="248">
        <v>0.1</v>
      </c>
      <c r="I54" s="254">
        <v>220</v>
      </c>
      <c r="J54" s="251">
        <v>3500</v>
      </c>
    </row>
    <row r="55" spans="2:14" ht="15" customHeight="1" thickBot="1"/>
    <row r="56" spans="2:14">
      <c r="B56" s="137" t="s">
        <v>88</v>
      </c>
      <c r="D56" s="200" t="s">
        <v>89</v>
      </c>
      <c r="E56" s="201" t="s">
        <v>90</v>
      </c>
      <c r="F56" s="202" t="s">
        <v>91</v>
      </c>
      <c r="H56" s="200" t="s">
        <v>31</v>
      </c>
      <c r="I56" s="201" t="s">
        <v>92</v>
      </c>
      <c r="J56" s="202" t="s">
        <v>93</v>
      </c>
    </row>
    <row r="57" spans="2:14" ht="15" thickBot="1">
      <c r="D57" s="142" t="s">
        <v>24</v>
      </c>
      <c r="E57" s="246">
        <v>0.1</v>
      </c>
      <c r="F57" s="247">
        <v>0.1</v>
      </c>
      <c r="H57" s="143" t="str">
        <f>CHOOSE(B14,D52,D53,D54)</f>
        <v>Texas</v>
      </c>
      <c r="I57" s="150">
        <f>IF(B8="Renovate",CHOOSE(B14,J52,J53,J54)+J62+I62+(CHOOSE(B14,I52,I53,I54)*H62)+(CHOOSE(B14,H52,H53,H54)*(I62+J62)),"-")</f>
        <v>20051.75</v>
      </c>
      <c r="J57" s="164">
        <f>IFERROR(I57/E62,"-")</f>
        <v>3341.9583333333335</v>
      </c>
      <c r="N57" s="141"/>
    </row>
    <row r="58" spans="2:14">
      <c r="D58" s="142" t="s">
        <v>27</v>
      </c>
      <c r="E58" s="246">
        <v>0.1</v>
      </c>
      <c r="F58" s="247">
        <v>0.1</v>
      </c>
    </row>
    <row r="59" spans="2:14" ht="15" thickBot="1">
      <c r="D59" s="143" t="s">
        <v>29</v>
      </c>
      <c r="E59" s="248">
        <v>0.1</v>
      </c>
      <c r="F59" s="249">
        <v>0.1</v>
      </c>
    </row>
    <row r="60" spans="2:14" ht="15" customHeight="1" thickBot="1"/>
    <row r="61" spans="2:14">
      <c r="D61" s="211" t="s">
        <v>94</v>
      </c>
      <c r="E61" s="211" t="s">
        <v>95</v>
      </c>
      <c r="F61" s="215" t="s">
        <v>96</v>
      </c>
      <c r="G61" s="211" t="s">
        <v>97</v>
      </c>
      <c r="H61" s="211" t="s">
        <v>98</v>
      </c>
      <c r="I61" s="211" t="s">
        <v>99</v>
      </c>
      <c r="J61" s="211" t="s">
        <v>100</v>
      </c>
      <c r="K61" s="214"/>
    </row>
    <row r="62" spans="2:14" ht="15" thickBot="1">
      <c r="D62" s="263">
        <v>0</v>
      </c>
      <c r="E62" s="263">
        <v>6</v>
      </c>
      <c r="F62" s="264">
        <v>100</v>
      </c>
      <c r="G62" s="264">
        <v>100</v>
      </c>
      <c r="H62" s="264">
        <v>8</v>
      </c>
      <c r="I62" s="145">
        <f>(CHOOSE(B14,F52,F53,F54)*G62)*(1+CHOOSE(B14,G52,G53,G54))</f>
        <v>5175</v>
      </c>
      <c r="J62" s="145">
        <f>(CHOOSE(B14,E52,E53,E54)*F62)*(1+CHOOSE(B14,G52,G53,G54))</f>
        <v>10350</v>
      </c>
    </row>
    <row r="63" spans="2:14" ht="15" customHeight="1"/>
    <row r="64" spans="2:14" ht="26.1">
      <c r="D64" s="332" t="s">
        <v>101</v>
      </c>
      <c r="E64" s="332"/>
      <c r="F64" s="332"/>
      <c r="G64" s="332"/>
      <c r="H64" s="332"/>
      <c r="I64" s="332"/>
      <c r="J64" s="332"/>
    </row>
    <row r="65" spans="4:10" ht="15" customHeight="1" thickBot="1"/>
    <row r="66" spans="4:10" ht="15" customHeight="1">
      <c r="D66" s="200" t="s">
        <v>102</v>
      </c>
      <c r="E66" s="201"/>
      <c r="G66" s="200" t="s">
        <v>103</v>
      </c>
      <c r="H66" s="201"/>
      <c r="J66" s="220" t="s">
        <v>104</v>
      </c>
    </row>
    <row r="67" spans="4:10" ht="15" customHeight="1" thickBot="1">
      <c r="D67" s="142" t="s">
        <v>24</v>
      </c>
      <c r="E67" s="240">
        <v>300</v>
      </c>
      <c r="G67" s="142" t="s">
        <v>24</v>
      </c>
      <c r="H67" s="240">
        <v>2000</v>
      </c>
      <c r="J67" s="261">
        <v>0</v>
      </c>
    </row>
    <row r="68" spans="4:10" ht="15" customHeight="1">
      <c r="D68" s="142" t="s">
        <v>27</v>
      </c>
      <c r="E68" s="240">
        <v>300</v>
      </c>
      <c r="G68" s="142" t="s">
        <v>27</v>
      </c>
      <c r="H68" s="240">
        <v>2000</v>
      </c>
    </row>
    <row r="69" spans="4:10" ht="15" customHeight="1" thickBot="1">
      <c r="D69" s="143" t="s">
        <v>29</v>
      </c>
      <c r="E69" s="251">
        <v>300</v>
      </c>
      <c r="G69" s="143" t="s">
        <v>29</v>
      </c>
      <c r="H69" s="251">
        <v>2000</v>
      </c>
    </row>
    <row r="70" spans="4:10" ht="15" customHeight="1" thickBot="1"/>
    <row r="71" spans="4:10" ht="15" customHeight="1">
      <c r="D71" s="200" t="s">
        <v>105</v>
      </c>
      <c r="E71" s="202"/>
      <c r="G71" s="200" t="s">
        <v>106</v>
      </c>
      <c r="H71" s="201"/>
      <c r="J71" s="220" t="s">
        <v>107</v>
      </c>
    </row>
    <row r="72" spans="4:10" ht="15" customHeight="1" thickBot="1">
      <c r="D72" s="142" t="s">
        <v>24</v>
      </c>
      <c r="E72" s="240">
        <v>500</v>
      </c>
      <c r="G72" s="142" t="s">
        <v>24</v>
      </c>
      <c r="H72" s="240">
        <v>2000</v>
      </c>
      <c r="J72" s="145">
        <f>CHOOSE(B14,H67,H68,H69)+CHOOSE(B14,H72,H73,H74)+CHOOSE(B14,E72,E73,E74)+CHOOSE(B14,E67,E68,E69)+J67</f>
        <v>4800</v>
      </c>
    </row>
    <row r="73" spans="4:10" ht="15" customHeight="1">
      <c r="D73" s="142" t="s">
        <v>27</v>
      </c>
      <c r="E73" s="240">
        <v>500</v>
      </c>
      <c r="G73" s="142" t="s">
        <v>27</v>
      </c>
      <c r="H73" s="240">
        <v>2000</v>
      </c>
    </row>
    <row r="74" spans="4:10" ht="15" customHeight="1" thickBot="1">
      <c r="D74" s="143" t="s">
        <v>29</v>
      </c>
      <c r="E74" s="251">
        <v>500</v>
      </c>
      <c r="G74" s="143" t="s">
        <v>29</v>
      </c>
      <c r="H74" s="251">
        <v>2000</v>
      </c>
    </row>
    <row r="75" spans="4:10" ht="15" customHeight="1" thickBot="1"/>
    <row r="76" spans="4:10" ht="15" customHeight="1">
      <c r="D76" s="282" t="s">
        <v>108</v>
      </c>
      <c r="E76" s="283" t="s">
        <v>53</v>
      </c>
      <c r="F76" s="283" t="s">
        <v>54</v>
      </c>
      <c r="G76" s="283" t="s">
        <v>55</v>
      </c>
      <c r="H76" s="283" t="s">
        <v>56</v>
      </c>
      <c r="I76" s="284" t="s">
        <v>57</v>
      </c>
    </row>
    <row r="77" spans="4:10" ht="15" customHeight="1">
      <c r="D77" s="285" t="s">
        <v>24</v>
      </c>
      <c r="E77" s="281">
        <f>J72</f>
        <v>4800</v>
      </c>
      <c r="F77" s="281">
        <f>E67</f>
        <v>300</v>
      </c>
      <c r="G77" s="281">
        <f>F77</f>
        <v>300</v>
      </c>
      <c r="H77" s="281">
        <f t="shared" ref="H77:I77" si="7">G77</f>
        <v>300</v>
      </c>
      <c r="I77" s="286">
        <f t="shared" si="7"/>
        <v>300</v>
      </c>
    </row>
    <row r="78" spans="4:10" ht="15" customHeight="1">
      <c r="D78" s="285" t="s">
        <v>27</v>
      </c>
      <c r="E78" s="281">
        <f>J72</f>
        <v>4800</v>
      </c>
      <c r="F78" s="281">
        <f>E68</f>
        <v>300</v>
      </c>
      <c r="G78" s="281">
        <f>F78</f>
        <v>300</v>
      </c>
      <c r="H78" s="281">
        <f>G78</f>
        <v>300</v>
      </c>
      <c r="I78" s="286">
        <f>H78</f>
        <v>300</v>
      </c>
    </row>
    <row r="79" spans="4:10" ht="15" customHeight="1">
      <c r="D79" s="285" t="s">
        <v>29</v>
      </c>
      <c r="E79" s="281">
        <f>J72</f>
        <v>4800</v>
      </c>
      <c r="F79" s="281">
        <f>E73</f>
        <v>500</v>
      </c>
      <c r="G79" s="281">
        <f>F79</f>
        <v>500</v>
      </c>
      <c r="H79" s="281">
        <f t="shared" ref="H79:I79" si="8">G79</f>
        <v>500</v>
      </c>
      <c r="I79" s="286">
        <f t="shared" si="8"/>
        <v>500</v>
      </c>
    </row>
    <row r="80" spans="4:10" ht="15" customHeight="1" thickBot="1">
      <c r="D80" s="285" t="s">
        <v>109</v>
      </c>
      <c r="E80" s="281" t="s">
        <v>60</v>
      </c>
      <c r="F80" s="281">
        <f>IFERROR(
    CHOOSE($B$14,F77,F78,F79) / CHOOSE($B$14,E77,E78,E79) - 1,
    "-"
)</f>
        <v>-0.9375</v>
      </c>
      <c r="G80" s="281">
        <f t="shared" ref="G80:I80" si="9">IFERROR(
    CHOOSE($B$14,G77,G78,G79) / CHOOSE($B$14,F77,F78,F79) - 1,
    "-"
)</f>
        <v>0</v>
      </c>
      <c r="H80" s="281">
        <f t="shared" si="9"/>
        <v>0</v>
      </c>
      <c r="I80" s="286">
        <f t="shared" si="9"/>
        <v>0</v>
      </c>
    </row>
    <row r="81" spans="2:10" ht="15" customHeight="1">
      <c r="D81" s="282" t="s">
        <v>110</v>
      </c>
      <c r="E81" s="283"/>
      <c r="F81" s="283"/>
      <c r="G81" s="283"/>
      <c r="H81" s="283"/>
      <c r="I81" s="284"/>
    </row>
    <row r="82" spans="2:10" ht="15" customHeight="1">
      <c r="B82" s="137" t="s">
        <v>111</v>
      </c>
      <c r="D82" s="285" t="s">
        <v>24</v>
      </c>
      <c r="E82" s="319">
        <v>100</v>
      </c>
      <c r="F82" s="319">
        <v>100</v>
      </c>
      <c r="G82" s="319">
        <v>100</v>
      </c>
      <c r="H82" s="319">
        <v>100</v>
      </c>
      <c r="I82" s="320">
        <v>100</v>
      </c>
    </row>
    <row r="83" spans="2:10" ht="15" customHeight="1">
      <c r="D83" s="285" t="s">
        <v>27</v>
      </c>
      <c r="E83" s="319">
        <v>100</v>
      </c>
      <c r="F83" s="319">
        <v>100</v>
      </c>
      <c r="G83" s="319">
        <v>100</v>
      </c>
      <c r="H83" s="319">
        <v>100</v>
      </c>
      <c r="I83" s="320">
        <v>100</v>
      </c>
    </row>
    <row r="84" spans="2:10" ht="15" customHeight="1">
      <c r="D84" s="285" t="s">
        <v>29</v>
      </c>
      <c r="E84" s="319">
        <v>100</v>
      </c>
      <c r="F84" s="319">
        <v>100</v>
      </c>
      <c r="G84" s="319">
        <v>100</v>
      </c>
      <c r="H84" s="319">
        <v>100</v>
      </c>
      <c r="I84" s="320">
        <v>100</v>
      </c>
    </row>
    <row r="85" spans="2:10" ht="15" customHeight="1" thickBot="1">
      <c r="D85" s="287" t="s">
        <v>109</v>
      </c>
      <c r="E85" s="321" t="s">
        <v>60</v>
      </c>
      <c r="F85" s="321">
        <f>IFERROR(
    CHOOSE($B$14,F82,F83,F84) / CHOOSE($B$14,E82,E83,E84) - 1,
    "-"
)</f>
        <v>0</v>
      </c>
      <c r="G85" s="321">
        <f t="shared" ref="G85:I85" si="10">IFERROR(
    CHOOSE($B$14,G82,G83,G84) / CHOOSE($B$14,F82,F83,F84) - 1,
    "-"
)</f>
        <v>0</v>
      </c>
      <c r="H85" s="321">
        <f t="shared" si="10"/>
        <v>0</v>
      </c>
      <c r="I85" s="322">
        <f t="shared" si="10"/>
        <v>0</v>
      </c>
    </row>
    <row r="86" spans="2:10" ht="15" customHeight="1">
      <c r="D86" s="282" t="s">
        <v>78</v>
      </c>
      <c r="E86" s="283"/>
      <c r="F86" s="283"/>
      <c r="G86" s="283"/>
      <c r="H86" s="283"/>
      <c r="I86" s="284"/>
    </row>
    <row r="87" spans="2:10" ht="15" customHeight="1">
      <c r="D87" s="285" t="s">
        <v>24</v>
      </c>
      <c r="E87" s="281">
        <f>E77+E82</f>
        <v>4900</v>
      </c>
      <c r="F87" s="281">
        <f t="shared" ref="F87:H87" si="11">F77+F82</f>
        <v>400</v>
      </c>
      <c r="G87" s="281">
        <f t="shared" si="11"/>
        <v>400</v>
      </c>
      <c r="H87" s="281">
        <f t="shared" si="11"/>
        <v>400</v>
      </c>
      <c r="I87" s="286">
        <f>I77+I82</f>
        <v>400</v>
      </c>
    </row>
    <row r="88" spans="2:10" ht="15" customHeight="1">
      <c r="D88" s="285" t="s">
        <v>27</v>
      </c>
      <c r="E88" s="281">
        <f>E78+E83</f>
        <v>4900</v>
      </c>
      <c r="F88" s="281">
        <f>F78+F83</f>
        <v>400</v>
      </c>
      <c r="G88" s="281">
        <f>G78+G83</f>
        <v>400</v>
      </c>
      <c r="H88" s="281">
        <f>H78+H83</f>
        <v>400</v>
      </c>
      <c r="I88" s="286">
        <f>I78+I83</f>
        <v>400</v>
      </c>
    </row>
    <row r="89" spans="2:10" ht="15" customHeight="1" thickBot="1">
      <c r="D89" s="287" t="s">
        <v>29</v>
      </c>
      <c r="E89" s="288">
        <f t="shared" ref="E89:H89" si="12">E79+E84</f>
        <v>4900</v>
      </c>
      <c r="F89" s="288">
        <f t="shared" si="12"/>
        <v>600</v>
      </c>
      <c r="G89" s="288">
        <f t="shared" si="12"/>
        <v>600</v>
      </c>
      <c r="H89" s="288">
        <f t="shared" si="12"/>
        <v>600</v>
      </c>
      <c r="I89" s="289">
        <f>I79+I84</f>
        <v>600</v>
      </c>
    </row>
    <row r="90" spans="2:10" ht="15" customHeight="1"/>
    <row r="91" spans="2:10" ht="26.1">
      <c r="D91" s="332" t="s">
        <v>112</v>
      </c>
      <c r="E91" s="332"/>
      <c r="F91" s="332"/>
      <c r="G91" s="332"/>
      <c r="H91" s="332"/>
      <c r="I91" s="332"/>
      <c r="J91" s="332"/>
    </row>
    <row r="92" spans="2:10" ht="15" customHeight="1" thickBot="1"/>
    <row r="93" spans="2:10">
      <c r="D93" s="333" t="s">
        <v>113</v>
      </c>
      <c r="E93" s="334"/>
      <c r="G93" s="200" t="s">
        <v>114</v>
      </c>
      <c r="H93" s="201" t="s">
        <v>115</v>
      </c>
      <c r="I93" s="200" t="s">
        <v>116</v>
      </c>
      <c r="J93" s="220" t="s">
        <v>117</v>
      </c>
    </row>
    <row r="94" spans="2:10">
      <c r="D94" s="142" t="s">
        <v>24</v>
      </c>
      <c r="E94" s="265">
        <v>400</v>
      </c>
      <c r="G94" s="290" t="s">
        <v>24</v>
      </c>
      <c r="H94" s="243">
        <v>0.08</v>
      </c>
      <c r="I94" s="238">
        <v>0.75</v>
      </c>
      <c r="J94" s="239" t="s">
        <v>118</v>
      </c>
    </row>
    <row r="95" spans="2:10">
      <c r="D95" s="142" t="s">
        <v>27</v>
      </c>
      <c r="E95" s="265">
        <v>250</v>
      </c>
      <c r="G95" s="290" t="s">
        <v>27</v>
      </c>
      <c r="H95" s="243">
        <v>7.0000000000000007E-2</v>
      </c>
      <c r="I95" s="238">
        <v>0.5</v>
      </c>
      <c r="J95" s="239" t="s">
        <v>118</v>
      </c>
    </row>
    <row r="96" spans="2:10" ht="15" thickBot="1">
      <c r="D96" s="143" t="s">
        <v>29</v>
      </c>
      <c r="E96" s="266">
        <v>0</v>
      </c>
      <c r="G96" s="291" t="s">
        <v>29</v>
      </c>
      <c r="H96" s="267">
        <v>0.06</v>
      </c>
      <c r="I96" s="268">
        <v>0.75</v>
      </c>
      <c r="J96" s="260" t="s">
        <v>118</v>
      </c>
    </row>
    <row r="97" spans="4:13" ht="15" customHeight="1" thickBot="1"/>
    <row r="98" spans="4:13">
      <c r="D98" s="333" t="s">
        <v>119</v>
      </c>
      <c r="E98" s="334"/>
      <c r="F98" s="139"/>
      <c r="G98" s="333" t="s">
        <v>120</v>
      </c>
      <c r="H98" s="334"/>
      <c r="J98" s="220" t="s">
        <v>121</v>
      </c>
      <c r="K98" s="180"/>
      <c r="L98" s="180"/>
    </row>
    <row r="99" spans="4:13" ht="15" thickBot="1">
      <c r="D99" s="142" t="s">
        <v>24</v>
      </c>
      <c r="E99" s="252">
        <v>0.8</v>
      </c>
      <c r="G99" s="142" t="s">
        <v>24</v>
      </c>
      <c r="H99" s="252">
        <v>0.01</v>
      </c>
      <c r="J99" s="276">
        <f ca="1">DATEDIF(B20,B23,"M")</f>
        <v>4</v>
      </c>
      <c r="L99" s="216"/>
      <c r="M99" s="216"/>
    </row>
    <row r="100" spans="4:13" ht="15" thickBot="1">
      <c r="D100" s="142" t="s">
        <v>27</v>
      </c>
      <c r="E100" s="252">
        <v>0.9</v>
      </c>
      <c r="G100" s="142" t="s">
        <v>27</v>
      </c>
      <c r="H100" s="252">
        <v>0.01</v>
      </c>
      <c r="J100" s="149"/>
      <c r="L100" s="149"/>
      <c r="M100" s="216"/>
    </row>
    <row r="101" spans="4:13" ht="15" thickBot="1">
      <c r="D101" s="143" t="s">
        <v>29</v>
      </c>
      <c r="E101" s="253">
        <v>0.7</v>
      </c>
      <c r="G101" s="143" t="s">
        <v>29</v>
      </c>
      <c r="H101" s="253">
        <v>0.01</v>
      </c>
      <c r="J101" s="220" t="s">
        <v>122</v>
      </c>
    </row>
    <row r="102" spans="4:13" ht="15" customHeight="1" thickBot="1">
      <c r="J102" s="276">
        <f ca="1">DATEDIF(B20,B26,"M")</f>
        <v>1</v>
      </c>
    </row>
    <row r="103" spans="4:13" ht="15" thickBot="1">
      <c r="D103" s="333" t="s">
        <v>123</v>
      </c>
      <c r="E103" s="335"/>
      <c r="F103" s="210"/>
      <c r="G103" s="333" t="s">
        <v>124</v>
      </c>
      <c r="H103" s="334"/>
    </row>
    <row r="104" spans="4:13">
      <c r="D104" s="142" t="s">
        <v>24</v>
      </c>
      <c r="E104" s="252">
        <v>7.4999999999999997E-3</v>
      </c>
      <c r="F104" s="208"/>
      <c r="G104" s="142" t="s">
        <v>125</v>
      </c>
      <c r="H104" s="252">
        <v>5.0000000000000001E-3</v>
      </c>
      <c r="J104" s="220" t="s">
        <v>126</v>
      </c>
    </row>
    <row r="105" spans="4:13" ht="15" thickBot="1">
      <c r="D105" s="142" t="s">
        <v>27</v>
      </c>
      <c r="E105" s="252">
        <v>4.0000000000000001E-3</v>
      </c>
      <c r="F105" s="208"/>
      <c r="G105" s="142" t="s">
        <v>127</v>
      </c>
      <c r="H105" s="252">
        <v>0.01</v>
      </c>
      <c r="J105" s="219">
        <f>IF(B17="Lease Up",F112,E112)</f>
        <v>0.08</v>
      </c>
    </row>
    <row r="106" spans="4:13" ht="15" thickBot="1">
      <c r="D106" s="143" t="s">
        <v>29</v>
      </c>
      <c r="E106" s="253">
        <v>3.5000000000000001E-3</v>
      </c>
      <c r="F106" s="208"/>
      <c r="G106" s="142" t="s">
        <v>128</v>
      </c>
      <c r="H106" s="252">
        <v>1.4999999999999999E-2</v>
      </c>
    </row>
    <row r="107" spans="4:13" ht="15" customHeight="1" thickBot="1">
      <c r="G107" s="142" t="s">
        <v>129</v>
      </c>
      <c r="H107" s="252">
        <v>0.02</v>
      </c>
      <c r="J107" s="220" t="s">
        <v>130</v>
      </c>
    </row>
    <row r="108" spans="4:13" ht="15" thickBot="1">
      <c r="D108" s="220" t="s">
        <v>131</v>
      </c>
      <c r="E108" s="220" t="s">
        <v>132</v>
      </c>
      <c r="G108" s="143" t="s">
        <v>133</v>
      </c>
      <c r="H108" s="253">
        <v>2.5000000000000001E-2</v>
      </c>
      <c r="J108" s="276">
        <f ca="1">J102+E62</f>
        <v>7</v>
      </c>
    </row>
    <row r="109" spans="4:13" ht="15" thickBot="1">
      <c r="D109" s="274">
        <f>CHOOSE(B14,E5,E5,E6)</f>
        <v>0.06</v>
      </c>
      <c r="E109" s="293">
        <f>(1+D109)^(1/12)-1</f>
        <v>4.8675505653430484E-3</v>
      </c>
    </row>
    <row r="110" spans="4:13" ht="15" thickBot="1"/>
    <row r="111" spans="4:13">
      <c r="D111" s="200" t="s">
        <v>134</v>
      </c>
      <c r="E111" s="201" t="s">
        <v>39</v>
      </c>
      <c r="F111" s="220" t="s">
        <v>116</v>
      </c>
    </row>
    <row r="112" spans="4:13" ht="15" thickBot="1">
      <c r="D112" s="291" t="str">
        <f>CHOOSE(B11,H9,H10,H11)</f>
        <v>Texas</v>
      </c>
      <c r="E112" s="267">
        <f>CHOOSE($B$14,H94,H95,H96)</f>
        <v>0.08</v>
      </c>
      <c r="F112" s="260">
        <f>CHOOSE($B$14,I94,I95,I96)</f>
        <v>0.75</v>
      </c>
    </row>
  </sheetData>
  <mergeCells count="14">
    <mergeCell ref="D64:J64"/>
    <mergeCell ref="D2:J2"/>
    <mergeCell ref="G98:H98"/>
    <mergeCell ref="D98:E98"/>
    <mergeCell ref="D103:E103"/>
    <mergeCell ref="D93:E93"/>
    <mergeCell ref="G103:H103"/>
    <mergeCell ref="H8:I8"/>
    <mergeCell ref="D91:J91"/>
    <mergeCell ref="D49:J49"/>
    <mergeCell ref="D32:J32"/>
    <mergeCell ref="E37:F37"/>
    <mergeCell ref="G37:H37"/>
    <mergeCell ref="D27:J2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544228-F974-4A47-B93C-CB8BC952D945}">
          <x14:formula1>
            <xm:f>'Data Validation'!$E$3:$E$4</xm:f>
          </x14:formula1>
          <xm:sqref>B8</xm:sqref>
        </x14:dataValidation>
        <x14:dataValidation type="list" allowBlank="1" showInputMessage="1" showErrorMessage="1" xr:uid="{B3E0F104-112E-4ECD-873D-B750B859FE0A}">
          <x14:formula1>
            <xm:f>'Data Validation'!$G$3:$G$8</xm:f>
          </x14:formula1>
          <xm:sqref>B11</xm:sqref>
        </x14:dataValidation>
        <x14:dataValidation type="list" allowBlank="1" showInputMessage="1" showErrorMessage="1" xr:uid="{A1749161-20C0-4CE6-A3D4-7177491F3E84}">
          <x14:formula1>
            <xm:f>'Data Validation'!$C$3:$C$5</xm:f>
          </x14:formula1>
          <xm:sqref>B14</xm:sqref>
        </x14:dataValidation>
        <x14:dataValidation type="list" allowBlank="1" showInputMessage="1" showErrorMessage="1" xr:uid="{3EF2153B-93AE-4E33-BE83-E5999153BDC0}">
          <x14:formula1>
            <xm:f>'Data Validation'!$O$3:$O$4</xm:f>
          </x14:formula1>
          <xm:sqref>B17</xm:sqref>
        </x14:dataValidation>
        <x14:dataValidation type="list" allowBlank="1" showInputMessage="1" showErrorMessage="1" xr:uid="{53F3A5DB-32FB-4ADA-9E3A-F45E040D9BA2}">
          <x14:formula1>
            <xm:f>'Data Validation'!$K$3:$K$15</xm:f>
          </x14:formula1>
          <xm:sqref>D62</xm:sqref>
        </x14:dataValidation>
        <x14:dataValidation type="list" allowBlank="1" showInputMessage="1" showErrorMessage="1" xr:uid="{5EE53AA6-FD8E-4FBC-9660-CAB10B68D824}">
          <x14:formula1>
            <xm:f>'Data Validation'!$I$3:$I$23</xm:f>
          </x14:formula1>
          <xm:sqref>E34:E35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7399-F7FF-455B-9178-4FE40C5D3AA6}">
  <sheetPr>
    <tabColor theme="1"/>
  </sheetPr>
  <dimension ref="A2:K59"/>
  <sheetViews>
    <sheetView showGridLines="0" topLeftCell="A14" zoomScale="89" zoomScaleNormal="100" workbookViewId="0">
      <selection activeCell="D34" sqref="D34"/>
    </sheetView>
  </sheetViews>
  <sheetFormatPr defaultRowHeight="14.45"/>
  <cols>
    <col min="1" max="2" width="8.7109375" style="3"/>
    <col min="3" max="3" width="28.140625" style="3" bestFit="1" customWidth="1"/>
    <col min="4" max="4" width="29.42578125" style="3" bestFit="1" customWidth="1"/>
    <col min="5" max="5" width="16.140625" style="3" bestFit="1" customWidth="1"/>
    <col min="6" max="6" width="19.85546875" style="3" bestFit="1" customWidth="1"/>
    <col min="7" max="7" width="16.140625" style="3" bestFit="1" customWidth="1"/>
    <col min="8" max="8" width="19.85546875" style="3" bestFit="1" customWidth="1"/>
    <col min="9" max="10" width="16.140625" style="3" bestFit="1" customWidth="1"/>
    <col min="11" max="11" width="8.7109375" style="3"/>
  </cols>
  <sheetData>
    <row r="2" spans="1:11" ht="21">
      <c r="B2" s="342" t="s">
        <v>135</v>
      </c>
      <c r="C2" s="343"/>
      <c r="D2" s="343"/>
      <c r="E2" s="343"/>
      <c r="F2" s="47"/>
      <c r="G2" s="47"/>
      <c r="H2" s="47"/>
      <c r="I2" s="47"/>
      <c r="J2" s="48"/>
      <c r="K2" s="49"/>
    </row>
    <row r="3" spans="1:11" ht="21.6" thickBot="1">
      <c r="B3" s="344"/>
      <c r="C3" s="345"/>
      <c r="D3" s="345"/>
      <c r="E3" s="345"/>
      <c r="F3" s="50"/>
      <c r="G3" s="50"/>
      <c r="H3" s="50"/>
      <c r="I3" s="50"/>
      <c r="J3" s="51"/>
      <c r="K3" s="52" t="s">
        <v>136</v>
      </c>
    </row>
    <row r="4" spans="1:11" ht="15" thickTop="1">
      <c r="B4" s="53"/>
      <c r="C4" s="54"/>
      <c r="D4" s="54"/>
      <c r="E4" s="54"/>
      <c r="F4" s="55"/>
      <c r="G4" s="55"/>
      <c r="H4" s="55"/>
      <c r="I4" s="55"/>
      <c r="J4" s="55"/>
      <c r="K4" s="56"/>
    </row>
    <row r="5" spans="1:11">
      <c r="B5" s="186" t="s">
        <v>137</v>
      </c>
      <c r="C5" s="187"/>
      <c r="D5" s="187"/>
      <c r="E5" s="187"/>
      <c r="F5" s="188" t="s">
        <v>53</v>
      </c>
      <c r="G5" s="188" t="s">
        <v>54</v>
      </c>
      <c r="H5" s="188" t="s">
        <v>55</v>
      </c>
      <c r="I5" s="188" t="s">
        <v>56</v>
      </c>
      <c r="J5" s="188" t="s">
        <v>57</v>
      </c>
      <c r="K5" s="189"/>
    </row>
    <row r="6" spans="1:11">
      <c r="B6" s="57" t="s">
        <v>64</v>
      </c>
      <c r="C6" s="55"/>
      <c r="D6" s="58"/>
      <c r="E6" s="89"/>
      <c r="F6" s="60"/>
      <c r="G6" s="60"/>
      <c r="H6" s="60"/>
      <c r="I6" s="60"/>
      <c r="J6" s="60"/>
      <c r="K6" s="61"/>
    </row>
    <row r="7" spans="1:11">
      <c r="B7" s="57" t="s">
        <v>138</v>
      </c>
      <c r="C7" s="55"/>
      <c r="D7" s="58"/>
      <c r="E7" s="89"/>
      <c r="F7" s="60"/>
      <c r="G7" s="60"/>
      <c r="H7" s="60"/>
      <c r="I7" s="60"/>
      <c r="J7" s="60"/>
      <c r="K7" s="61"/>
    </row>
    <row r="8" spans="1:11" ht="15.95">
      <c r="B8" s="57" t="s">
        <v>139</v>
      </c>
      <c r="C8" s="55"/>
      <c r="D8" s="58"/>
      <c r="E8" s="62" t="s">
        <v>140</v>
      </c>
      <c r="F8" s="172" t="s">
        <v>141</v>
      </c>
      <c r="G8" s="172">
        <v>2</v>
      </c>
      <c r="H8" s="172">
        <v>3</v>
      </c>
      <c r="I8" s="172">
        <v>4</v>
      </c>
      <c r="J8" s="172">
        <v>5</v>
      </c>
      <c r="K8" s="61"/>
    </row>
    <row r="9" spans="1:11">
      <c r="A9"/>
      <c r="B9" s="63"/>
      <c r="C9" s="55" t="s">
        <v>142</v>
      </c>
      <c r="D9" s="58"/>
      <c r="E9" s="64"/>
      <c r="F9" s="65">
        <f ca="1">SUM('Monthly Cashflows'!E6:'Monthly Cashflows'!P6)</f>
        <v>13225</v>
      </c>
      <c r="G9" s="65">
        <f ca="1">SUM('Monthly Cashflows'!Q6:AB6)</f>
        <v>32136.749999999993</v>
      </c>
      <c r="H9" s="65">
        <f ca="1">SUM('Monthly Cashflows'!AC6:AN6)</f>
        <v>33100.852500000001</v>
      </c>
      <c r="I9" s="65">
        <f ca="1">SUM('Monthly Cashflows'!AO6:AZ6)</f>
        <v>34093.878075000001</v>
      </c>
      <c r="J9" s="65">
        <f ca="1">SUM('Monthly Cashflows'!BA6:BL6)</f>
        <v>35116.694417249993</v>
      </c>
      <c r="K9" s="66"/>
    </row>
    <row r="10" spans="1:11">
      <c r="A10"/>
      <c r="B10" s="63"/>
      <c r="C10" s="55" t="s">
        <v>143</v>
      </c>
      <c r="D10" s="58"/>
      <c r="E10" s="64"/>
      <c r="F10" s="65">
        <f ca="1">SUM('Monthly Cashflows'!E12:P12)</f>
        <v>0</v>
      </c>
      <c r="G10" s="65">
        <f ca="1">SUM('Monthly Cashflows'!Q12:AB12)</f>
        <v>0</v>
      </c>
      <c r="H10" s="65">
        <f ca="1">SUM('Monthly Cashflows'!AC12:AN12)</f>
        <v>0</v>
      </c>
      <c r="I10" s="65">
        <f ca="1">SUM('Monthly Cashflows'!AO12:AZ12)</f>
        <v>0</v>
      </c>
      <c r="J10" s="65">
        <f ca="1">SUM('Monthly Cashflows'!BA12:BL12)</f>
        <v>0</v>
      </c>
      <c r="K10" s="66"/>
    </row>
    <row r="11" spans="1:11">
      <c r="A11"/>
      <c r="B11" s="53" t="s">
        <v>144</v>
      </c>
      <c r="C11" s="54"/>
      <c r="D11" s="67"/>
      <c r="E11" s="68"/>
      <c r="F11" s="69">
        <f ca="1">F9+F10</f>
        <v>13225</v>
      </c>
      <c r="G11" s="69">
        <f t="shared" ref="G11:J11" ca="1" si="0">G9+G10</f>
        <v>32136.749999999993</v>
      </c>
      <c r="H11" s="69">
        <f t="shared" ca="1" si="0"/>
        <v>33100.852500000001</v>
      </c>
      <c r="I11" s="69">
        <f t="shared" ca="1" si="0"/>
        <v>34093.878075000001</v>
      </c>
      <c r="J11" s="69">
        <f t="shared" ca="1" si="0"/>
        <v>35116.694417249993</v>
      </c>
      <c r="K11" s="70"/>
    </row>
    <row r="12" spans="1:11">
      <c r="A12"/>
      <c r="B12" s="53"/>
      <c r="C12" s="54"/>
      <c r="D12" s="67"/>
      <c r="E12" s="68"/>
      <c r="F12" s="71"/>
      <c r="G12" s="72"/>
      <c r="H12" s="73"/>
      <c r="I12" s="73"/>
      <c r="J12" s="72"/>
      <c r="K12" s="70"/>
    </row>
    <row r="13" spans="1:11" ht="15.95">
      <c r="A13"/>
      <c r="B13" s="53" t="s">
        <v>145</v>
      </c>
      <c r="C13" s="68"/>
      <c r="D13" s="54"/>
      <c r="E13" s="74"/>
      <c r="F13" s="75"/>
      <c r="G13" s="76"/>
      <c r="H13" s="75"/>
      <c r="I13" s="75"/>
      <c r="J13" s="76"/>
      <c r="K13" s="77"/>
    </row>
    <row r="14" spans="1:11" ht="15.95">
      <c r="A14"/>
      <c r="B14" s="53"/>
      <c r="C14" s="89" t="s">
        <v>146</v>
      </c>
      <c r="D14" s="54"/>
      <c r="E14" s="74"/>
      <c r="F14" s="75">
        <f>CHOOSE('Inputs &amp; Assumptions'!B11,'Inputs &amp; Assumptions'!F20,'Inputs &amp; Assumptions'!F21,'Inputs &amp; Assumptions'!F22,'Inputs &amp; Assumptions'!F23,'Inputs &amp; Assumptions'!F24,'Inputs &amp; Assumptions'!F25)*12</f>
        <v>34301.358268908691</v>
      </c>
      <c r="G14" s="76">
        <f>F14</f>
        <v>34301.358268908691</v>
      </c>
      <c r="H14" s="76">
        <f t="shared" ref="H14:J14" si="1">G14</f>
        <v>34301.358268908691</v>
      </c>
      <c r="I14" s="76">
        <f t="shared" si="1"/>
        <v>34301.358268908691</v>
      </c>
      <c r="J14" s="76">
        <f t="shared" si="1"/>
        <v>34301.358268908691</v>
      </c>
      <c r="K14" s="77"/>
    </row>
    <row r="15" spans="1:11">
      <c r="A15"/>
      <c r="B15" s="53"/>
      <c r="C15" s="55" t="s">
        <v>147</v>
      </c>
      <c r="D15" s="78"/>
      <c r="E15" s="79"/>
      <c r="F15" s="80">
        <f>'Inputs &amp; Assumptions'!F29</f>
        <v>5</v>
      </c>
      <c r="G15" s="80">
        <f>'Inputs &amp; Assumptions'!G29</f>
        <v>5</v>
      </c>
      <c r="H15" s="80">
        <f>'Inputs &amp; Assumptions'!H29</f>
        <v>5</v>
      </c>
      <c r="I15" s="80">
        <f>'Inputs &amp; Assumptions'!I29</f>
        <v>5</v>
      </c>
      <c r="J15" s="80">
        <f>'Inputs &amp; Assumptions'!J29</f>
        <v>5</v>
      </c>
      <c r="K15" s="81"/>
    </row>
    <row r="16" spans="1:11">
      <c r="A16"/>
      <c r="B16" s="63"/>
      <c r="C16" s="55" t="s">
        <v>148</v>
      </c>
      <c r="D16" s="78"/>
      <c r="E16" s="79"/>
      <c r="F16" s="80">
        <f>CHOOSE('Inputs &amp; Assumptions'!B11,'Inputs &amp; Assumptions'!I20,'Inputs &amp; Assumptions'!I21,'Inputs &amp; Assumptions'!I22,'Inputs &amp; Assumptions'!I23,'Inputs &amp; Assumptions'!I24,'Inputs &amp; Assumptions'!I25)</f>
        <v>3000</v>
      </c>
      <c r="G16" s="80">
        <f>F16</f>
        <v>3000</v>
      </c>
      <c r="H16" s="80">
        <f t="shared" ref="H16:J16" si="2">G16</f>
        <v>3000</v>
      </c>
      <c r="I16" s="80">
        <f t="shared" si="2"/>
        <v>3000</v>
      </c>
      <c r="J16" s="80">
        <f t="shared" si="2"/>
        <v>3000</v>
      </c>
      <c r="K16" s="82"/>
    </row>
    <row r="17" spans="1:11">
      <c r="A17"/>
      <c r="B17" s="63"/>
      <c r="C17" s="55" t="s">
        <v>149</v>
      </c>
      <c r="D17" s="78"/>
      <c r="E17" s="79"/>
      <c r="F17" s="80">
        <f ca="1">SUM('Monthly Cashflows'!E20:P20)</f>
        <v>0</v>
      </c>
      <c r="G17" s="80">
        <f ca="1">SUM('Monthly Cashflows'!Q20:AB20)</f>
        <v>0</v>
      </c>
      <c r="H17" s="80">
        <f ca="1">SUM('Monthly Cashflows'!AC20:AN20)</f>
        <v>0</v>
      </c>
      <c r="I17" s="80">
        <f ca="1">SUM('Monthly Cashflows'!AO20:AZ20)</f>
        <v>0</v>
      </c>
      <c r="J17" s="80">
        <f ca="1">SUM('Monthly Cashflows'!BA20:BL20)</f>
        <v>0</v>
      </c>
      <c r="K17" s="82"/>
    </row>
    <row r="18" spans="1:11">
      <c r="A18"/>
      <c r="B18" s="63"/>
      <c r="C18" s="55" t="s">
        <v>64</v>
      </c>
      <c r="D18" s="78"/>
      <c r="E18" s="79"/>
      <c r="F18" s="80">
        <f ca="1">SUM('Monthly Cashflows'!E21:P21)</f>
        <v>0</v>
      </c>
      <c r="G18" s="80">
        <f ca="1">SUM('Monthly Cashflows'!Q21:AB21)</f>
        <v>0</v>
      </c>
      <c r="H18" s="80">
        <f ca="1">SUM('Monthly Cashflows'!AC21:AN21)</f>
        <v>0</v>
      </c>
      <c r="I18" s="80">
        <f ca="1">SUM('Monthly Cashflows'!AO21:AZ21)</f>
        <v>0</v>
      </c>
      <c r="J18" s="80">
        <f ca="1">SUM('Monthly Cashflows'!BA21:BL21)</f>
        <v>0</v>
      </c>
      <c r="K18" s="82"/>
    </row>
    <row r="19" spans="1:11">
      <c r="A19"/>
      <c r="B19" s="63"/>
      <c r="C19" s="83" t="s">
        <v>150</v>
      </c>
      <c r="D19" s="78"/>
      <c r="E19" s="79"/>
      <c r="F19" s="80">
        <f>'Inputs &amp; Assumptions'!E13</f>
        <v>1200</v>
      </c>
      <c r="G19" s="80">
        <f>F19*(1+'Inputs &amp; Assumptions'!$E$14)</f>
        <v>1200</v>
      </c>
      <c r="H19" s="80">
        <f>G19*(1+'Inputs &amp; Assumptions'!$E$14)</f>
        <v>1200</v>
      </c>
      <c r="I19" s="80">
        <f>H19*(1+'Inputs &amp; Assumptions'!$E$14)</f>
        <v>1200</v>
      </c>
      <c r="J19" s="80">
        <f>I19*(1+'Inputs &amp; Assumptions'!$E$14)</f>
        <v>1200</v>
      </c>
      <c r="K19" s="82"/>
    </row>
    <row r="20" spans="1:11">
      <c r="A20"/>
      <c r="B20" s="63"/>
      <c r="C20" s="83" t="s">
        <v>151</v>
      </c>
      <c r="D20" s="78"/>
      <c r="E20" s="79"/>
      <c r="F20" s="80">
        <f>CHOOSE('Inputs &amp; Assumptions'!$B$14,'Inputs &amp; Assumptions'!E87,'Inputs &amp; Assumptions'!E88,'Inputs &amp; Assumptions'!E89)</f>
        <v>4900</v>
      </c>
      <c r="G20" s="80">
        <f>CHOOSE('Inputs &amp; Assumptions'!$B$14,'Inputs &amp; Assumptions'!F87,'Inputs &amp; Assumptions'!F88,'Inputs &amp; Assumptions'!F89)</f>
        <v>400</v>
      </c>
      <c r="H20" s="80">
        <f>CHOOSE('Inputs &amp; Assumptions'!$B$14,'Inputs &amp; Assumptions'!G87,'Inputs &amp; Assumptions'!G88,'Inputs &amp; Assumptions'!G89)</f>
        <v>400</v>
      </c>
      <c r="I20" s="80">
        <f>CHOOSE('Inputs &amp; Assumptions'!$B$14,'Inputs &amp; Assumptions'!H87,'Inputs &amp; Assumptions'!H88,'Inputs &amp; Assumptions'!H89)</f>
        <v>400</v>
      </c>
      <c r="J20" s="80">
        <f>CHOOSE('Inputs &amp; Assumptions'!$B$14,'Inputs &amp; Assumptions'!I87,'Inputs &amp; Assumptions'!I88,'Inputs &amp; Assumptions'!I89)</f>
        <v>400</v>
      </c>
      <c r="K20" s="82"/>
    </row>
    <row r="21" spans="1:11">
      <c r="A21"/>
      <c r="B21" s="63"/>
      <c r="C21" s="83" t="s">
        <v>152</v>
      </c>
      <c r="D21" s="78"/>
      <c r="E21" s="84"/>
      <c r="F21" s="80">
        <f ca="1">SUM('Monthly Cashflows'!E26:P26)</f>
        <v>1058</v>
      </c>
      <c r="G21" s="80">
        <f ca="1">SUM('Monthly Cashflows'!F26:Q26)</f>
        <v>1269.5999999999999</v>
      </c>
      <c r="H21" s="80">
        <f ca="1">SUM('Monthly Cashflows'!G26:R26)</f>
        <v>1481.1999999999998</v>
      </c>
      <c r="I21" s="80">
        <f ca="1">SUM('Monthly Cashflows'!H26:S26)</f>
        <v>1692.7999999999997</v>
      </c>
      <c r="J21" s="80">
        <f ca="1">SUM('Monthly Cashflows'!I26:T26)</f>
        <v>1904.3999999999996</v>
      </c>
      <c r="K21" s="82"/>
    </row>
    <row r="22" spans="1:11">
      <c r="A22"/>
      <c r="B22" s="63"/>
      <c r="C22" s="83" t="s">
        <v>153</v>
      </c>
      <c r="D22" s="78"/>
      <c r="E22" s="84"/>
      <c r="F22" s="80">
        <f>SUM('Monthly Cashflows'!E27:P27)</f>
        <v>0</v>
      </c>
      <c r="G22" s="80">
        <f>SUM('Monthly Cashflows'!F27:Q27)</f>
        <v>0</v>
      </c>
      <c r="H22" s="80">
        <f>SUM('Monthly Cashflows'!G27:R27)</f>
        <v>0</v>
      </c>
      <c r="I22" s="80">
        <f>SUM('Monthly Cashflows'!H27:S27)</f>
        <v>0</v>
      </c>
      <c r="J22" s="80">
        <f>SUM('Monthly Cashflows'!I27:T27)</f>
        <v>0</v>
      </c>
      <c r="K22" s="82"/>
    </row>
    <row r="23" spans="1:11">
      <c r="A23"/>
      <c r="B23" s="85" t="s">
        <v>154</v>
      </c>
      <c r="C23" s="54"/>
      <c r="D23" s="58"/>
      <c r="E23" s="84"/>
      <c r="F23" s="86">
        <f ca="1">SUM(F14:F21)</f>
        <v>44464.358268908691</v>
      </c>
      <c r="G23" s="86">
        <f ca="1">+SUM(G14:G21)</f>
        <v>40175.958268908689</v>
      </c>
      <c r="H23" s="86">
        <f ca="1">+SUM(H14:H21)</f>
        <v>40387.558268908688</v>
      </c>
      <c r="I23" s="86">
        <f t="shared" ref="I23" ca="1" si="3">+SUM(I14:I21)</f>
        <v>40599.158268908694</v>
      </c>
      <c r="J23" s="86">
        <f ca="1">+SUM(J14:J21)</f>
        <v>40810.758268908692</v>
      </c>
      <c r="K23" s="81"/>
    </row>
    <row r="24" spans="1:11">
      <c r="A24"/>
      <c r="B24" s="85"/>
      <c r="C24" s="54"/>
      <c r="D24" s="58"/>
      <c r="E24" s="84"/>
      <c r="F24" s="75"/>
      <c r="G24" s="75"/>
      <c r="H24" s="75"/>
      <c r="I24" s="75"/>
      <c r="J24" s="75"/>
      <c r="K24" s="81"/>
    </row>
    <row r="25" spans="1:11">
      <c r="A25"/>
      <c r="B25" s="85" t="s">
        <v>155</v>
      </c>
      <c r="C25" s="136"/>
      <c r="D25" s="58"/>
      <c r="E25" s="84"/>
      <c r="F25" s="75"/>
      <c r="G25" s="75"/>
      <c r="H25" s="75"/>
      <c r="I25" s="75"/>
      <c r="J25" s="75"/>
      <c r="K25" s="81"/>
    </row>
    <row r="26" spans="1:11">
      <c r="A26"/>
      <c r="B26" s="85"/>
      <c r="C26" s="136" t="s">
        <v>156</v>
      </c>
      <c r="D26" s="58"/>
      <c r="E26" s="84"/>
      <c r="F26" s="75">
        <f>SUM('Monthly Cashflows'!E19:P19)</f>
        <v>20051.75</v>
      </c>
      <c r="G26" s="217">
        <f>SUM('Monthly Cashflows'!Q19:AB19)</f>
        <v>0</v>
      </c>
      <c r="H26" s="75">
        <f>SUM('Monthly Cashflows'!AC19:AN19)</f>
        <v>0</v>
      </c>
      <c r="I26" s="75">
        <f>SUM('Monthly Cashflows'!AO19:AZ19)</f>
        <v>0</v>
      </c>
      <c r="J26" s="75">
        <f>SUM('Monthly Cashflows'!BA19:BL19)</f>
        <v>0</v>
      </c>
      <c r="K26" s="81"/>
    </row>
    <row r="27" spans="1:11">
      <c r="A27"/>
      <c r="B27" s="85"/>
      <c r="C27" s="136" t="s">
        <v>157</v>
      </c>
      <c r="D27" s="58"/>
      <c r="E27" s="84"/>
      <c r="F27" s="75"/>
      <c r="G27" s="75"/>
      <c r="H27" s="75"/>
      <c r="I27" s="75"/>
      <c r="J27" s="75"/>
      <c r="K27" s="81"/>
    </row>
    <row r="28" spans="1:11">
      <c r="A28"/>
      <c r="B28" s="85" t="s">
        <v>158</v>
      </c>
      <c r="C28" s="54"/>
      <c r="D28" s="58"/>
      <c r="E28" s="84"/>
      <c r="F28" s="75">
        <f>SUM(F24:F27)</f>
        <v>20051.75</v>
      </c>
      <c r="G28" s="75">
        <f>SUM(G24:G27)</f>
        <v>0</v>
      </c>
      <c r="H28" s="75">
        <f>SUM(H24:H27)</f>
        <v>0</v>
      </c>
      <c r="I28" s="75">
        <f>SUM(I24:I27)</f>
        <v>0</v>
      </c>
      <c r="J28" s="75">
        <f>SUM(J24:J27)</f>
        <v>0</v>
      </c>
      <c r="K28" s="81"/>
    </row>
    <row r="29" spans="1:11">
      <c r="A29"/>
      <c r="B29" s="53" t="s">
        <v>159</v>
      </c>
      <c r="C29" s="54"/>
      <c r="D29" s="58"/>
      <c r="E29" s="68"/>
      <c r="F29" s="86">
        <f ca="1">+F11-F23-F28</f>
        <v>-51291.108268908691</v>
      </c>
      <c r="G29" s="86">
        <f ca="1">+G11-G23-G28</f>
        <v>-8039.2082689086965</v>
      </c>
      <c r="H29" s="86">
        <f ca="1">+H11-H23-H28</f>
        <v>-7286.7057689086869</v>
      </c>
      <c r="I29" s="86">
        <f ca="1">+I11-I23-I28</f>
        <v>-6505.280193908693</v>
      </c>
      <c r="J29" s="86">
        <f ca="1">+J11-J23-J28</f>
        <v>-5694.0638516586987</v>
      </c>
      <c r="K29" s="81"/>
    </row>
    <row r="30" spans="1:11">
      <c r="A30"/>
      <c r="B30" s="88"/>
      <c r="C30" s="89"/>
      <c r="D30" s="58"/>
      <c r="E30" s="89"/>
      <c r="F30" s="89"/>
      <c r="G30" s="89"/>
      <c r="H30" s="89"/>
      <c r="I30" s="89"/>
      <c r="J30" s="89"/>
      <c r="K30" s="87"/>
    </row>
    <row r="31" spans="1:11">
      <c r="A31"/>
      <c r="B31" s="53" t="s">
        <v>160</v>
      </c>
      <c r="C31" s="55"/>
      <c r="D31" s="58"/>
      <c r="E31" s="58"/>
      <c r="F31" s="90">
        <f>F14</f>
        <v>34301.358268908691</v>
      </c>
      <c r="G31" s="90">
        <f t="shared" ref="G31:J31" si="4">G14</f>
        <v>34301.358268908691</v>
      </c>
      <c r="H31" s="90">
        <f t="shared" si="4"/>
        <v>34301.358268908691</v>
      </c>
      <c r="I31" s="90">
        <f t="shared" si="4"/>
        <v>34301.358268908691</v>
      </c>
      <c r="J31" s="90">
        <f t="shared" si="4"/>
        <v>34301.358268908691</v>
      </c>
      <c r="K31" s="87"/>
    </row>
    <row r="32" spans="1:11">
      <c r="A32"/>
      <c r="B32" s="91" t="s">
        <v>161</v>
      </c>
      <c r="C32" s="55"/>
      <c r="D32" s="58"/>
      <c r="E32" s="58"/>
      <c r="F32" s="92">
        <f>SUM('Monthly Cashflows'!E17:P17)</f>
        <v>28166.636196235922</v>
      </c>
      <c r="G32" s="92">
        <f>SUM('Monthly Cashflows'!Q17:AB17)</f>
        <v>27798.552871875549</v>
      </c>
      <c r="H32" s="92">
        <f>SUM('Monthly Cashflows'!AC17:AN17)</f>
        <v>27408.384548053546</v>
      </c>
      <c r="I32" s="92">
        <f>SUM('Monthly Cashflows'!AO17:AZ17)</f>
        <v>26994.806124802231</v>
      </c>
      <c r="J32" s="92">
        <f>SUM('Monthly Cashflows'!BA17:BL17)</f>
        <v>26556.412996155836</v>
      </c>
      <c r="K32" s="87"/>
    </row>
    <row r="33" spans="1:11">
      <c r="A33"/>
      <c r="B33" s="91" t="s">
        <v>162</v>
      </c>
      <c r="C33" s="55"/>
      <c r="D33" s="58"/>
      <c r="E33" s="58"/>
      <c r="F33" s="92">
        <f>SUM('Monthly Cashflows'!E16:P16)</f>
        <v>6134.722072672892</v>
      </c>
      <c r="G33" s="92">
        <f>SUM('Monthly Cashflows'!Q16:AB16)</f>
        <v>6502.8053970332649</v>
      </c>
      <c r="H33" s="92">
        <f>SUM('Monthly Cashflows'!AC16:AN16)</f>
        <v>6892.9737208552606</v>
      </c>
      <c r="I33" s="92">
        <f>SUM('Monthly Cashflows'!AO16:AZ16)</f>
        <v>7306.5521441065785</v>
      </c>
      <c r="J33" s="92">
        <f>SUM('Monthly Cashflows'!BA16:BL16)</f>
        <v>7744.9452727529742</v>
      </c>
      <c r="K33" s="87"/>
    </row>
    <row r="34" spans="1:11">
      <c r="A34"/>
      <c r="B34" s="88"/>
      <c r="C34" s="89"/>
      <c r="D34" s="89"/>
      <c r="E34" s="89"/>
      <c r="F34" s="89"/>
      <c r="G34" s="89"/>
      <c r="H34" s="89"/>
      <c r="I34" s="89"/>
      <c r="J34" s="89"/>
      <c r="K34" s="93"/>
    </row>
    <row r="35" spans="1:11">
      <c r="A35"/>
      <c r="B35" s="53" t="s">
        <v>163</v>
      </c>
      <c r="C35" s="55"/>
      <c r="D35" s="58"/>
      <c r="E35" s="58"/>
      <c r="F35" s="94">
        <f ca="1">+F29/F32*-1</f>
        <v>1.8209880623147692</v>
      </c>
      <c r="G35" s="94">
        <f ca="1">+G29/G32*-1</f>
        <v>0.28919520760529061</v>
      </c>
      <c r="H35" s="94">
        <f ca="1">+H29/H32*-1</f>
        <v>0.26585681312714088</v>
      </c>
      <c r="I35" s="94">
        <f ca="1">+I29/I32*-1</f>
        <v>0.24098266028781681</v>
      </c>
      <c r="J35" s="94">
        <f ca="1">+J29/J32*-1</f>
        <v>0.21441389138220365</v>
      </c>
      <c r="K35" s="93"/>
    </row>
    <row r="36" spans="1:11">
      <c r="A36"/>
      <c r="B36" s="53" t="s">
        <v>164</v>
      </c>
      <c r="C36" s="55"/>
      <c r="D36" s="58"/>
      <c r="E36" s="58"/>
      <c r="F36" s="94">
        <f ca="1">+F29/F31*-1</f>
        <v>1.4953083742867346</v>
      </c>
      <c r="G36" s="94">
        <f ca="1">+G29/G31*-1</f>
        <v>0.23436996884743092</v>
      </c>
      <c r="H36" s="94">
        <f ca="1">+H29/H31*-1</f>
        <v>0.2124319891878298</v>
      </c>
      <c r="I36" s="94">
        <f ca="1">+I29/I31*-1</f>
        <v>0.18965080458067998</v>
      </c>
      <c r="J36" s="94">
        <f ca="1">+J29/J31*-1</f>
        <v>0.1660011188775545</v>
      </c>
      <c r="K36" s="93"/>
    </row>
    <row r="37" spans="1:11">
      <c r="A37"/>
      <c r="B37" s="53" t="s">
        <v>165</v>
      </c>
      <c r="C37" s="55"/>
      <c r="D37" s="58"/>
      <c r="E37" s="58"/>
      <c r="F37" s="95">
        <f ca="1">+F29/$E$41</f>
        <v>-0.10575486241012101</v>
      </c>
      <c r="G37" s="95">
        <f ca="1">+G29/$E$41</f>
        <v>-1.6575687152389065E-2</v>
      </c>
      <c r="H37" s="95">
        <f ca="1">+H29/$E$41</f>
        <v>-1.5024135605997293E-2</v>
      </c>
      <c r="I37" s="95">
        <f ca="1">+I29/$E$41</f>
        <v>-1.3412948853419985E-2</v>
      </c>
      <c r="J37" s="95">
        <f ca="1">+J29/$E$41</f>
        <v>-1.1740337838471544E-2</v>
      </c>
      <c r="K37" s="93"/>
    </row>
    <row r="38" spans="1:11">
      <c r="A38"/>
      <c r="B38" s="53"/>
      <c r="C38" s="55"/>
      <c r="D38" s="58"/>
      <c r="E38" s="58"/>
      <c r="F38" s="96"/>
      <c r="G38" s="96"/>
      <c r="H38" s="96"/>
      <c r="I38" s="96"/>
      <c r="J38" s="96"/>
      <c r="K38" s="66"/>
    </row>
    <row r="39" spans="1:11">
      <c r="A39"/>
      <c r="B39" s="346" t="s">
        <v>166</v>
      </c>
      <c r="C39" s="347"/>
      <c r="D39" s="347"/>
      <c r="E39" s="347"/>
      <c r="F39" s="347"/>
      <c r="G39" s="347"/>
      <c r="H39" s="347"/>
      <c r="I39" s="347"/>
      <c r="J39" s="347"/>
      <c r="K39" s="348"/>
    </row>
    <row r="40" spans="1:11">
      <c r="A40"/>
      <c r="B40" s="63"/>
      <c r="C40" s="100"/>
      <c r="D40" s="101"/>
      <c r="E40" s="102"/>
      <c r="F40" s="103"/>
      <c r="G40" s="103"/>
      <c r="H40" s="103"/>
      <c r="I40" s="103"/>
      <c r="J40" s="104"/>
      <c r="K40" s="105"/>
    </row>
    <row r="41" spans="1:11">
      <c r="A41"/>
      <c r="B41" s="63"/>
      <c r="C41" s="54" t="s">
        <v>167</v>
      </c>
      <c r="D41" s="106"/>
      <c r="E41" s="107">
        <f>CHOOSE('Inputs &amp; Assumptions'!B11,'Inputs &amp; Assumptions'!E20,'Inputs &amp; Assumptions'!E21,'Inputs &amp; Assumptions'!E22,'Inputs &amp; Assumptions'!E23,'Inputs &amp; Assumptions'!E24,'Inputs &amp; Assumptions'!E25)</f>
        <v>485000</v>
      </c>
      <c r="F41" s="349"/>
      <c r="G41" s="349"/>
      <c r="H41" s="349"/>
      <c r="I41" s="349"/>
      <c r="J41" s="349"/>
      <c r="K41" s="350"/>
    </row>
    <row r="42" spans="1:11">
      <c r="A42"/>
      <c r="B42" s="63"/>
      <c r="C42" s="55" t="s">
        <v>168</v>
      </c>
      <c r="D42" s="58"/>
      <c r="E42" s="109">
        <f>'Inputs &amp; Assumptions'!B5</f>
        <v>500000</v>
      </c>
      <c r="F42" s="351"/>
      <c r="G42" s="351"/>
      <c r="H42" s="351"/>
      <c r="I42" s="351"/>
      <c r="J42" s="351"/>
      <c r="K42" s="110"/>
    </row>
    <row r="43" spans="1:11">
      <c r="A43"/>
      <c r="B43" s="63"/>
      <c r="C43" s="55" t="s">
        <v>169</v>
      </c>
      <c r="D43" s="58"/>
      <c r="E43" s="111"/>
      <c r="F43" s="352"/>
      <c r="G43" s="352"/>
      <c r="H43" s="352"/>
      <c r="I43" s="352"/>
      <c r="J43" s="352"/>
      <c r="K43" s="112"/>
    </row>
    <row r="44" spans="1:11">
      <c r="A44"/>
      <c r="B44" s="63"/>
      <c r="C44" s="55" t="s">
        <v>170</v>
      </c>
      <c r="D44" s="58"/>
      <c r="E44" s="109"/>
      <c r="F44" s="104"/>
      <c r="G44" s="104"/>
      <c r="H44" s="104"/>
      <c r="I44" s="104"/>
      <c r="J44" s="103"/>
      <c r="K44" s="108"/>
    </row>
    <row r="45" spans="1:11">
      <c r="A45"/>
      <c r="B45" s="113" t="s">
        <v>171</v>
      </c>
      <c r="C45" s="97"/>
      <c r="D45" s="78"/>
      <c r="E45" s="78"/>
      <c r="F45" s="98"/>
      <c r="G45" s="98"/>
      <c r="H45" s="98"/>
      <c r="I45" s="98"/>
      <c r="J45" s="98"/>
      <c r="K45" s="99"/>
    </row>
    <row r="46" spans="1:11">
      <c r="A46"/>
      <c r="B46" s="340"/>
      <c r="C46" s="341"/>
      <c r="D46" s="341"/>
      <c r="E46" s="341"/>
      <c r="F46" s="341"/>
      <c r="G46" s="341"/>
      <c r="H46" s="341"/>
      <c r="I46" s="341"/>
      <c r="J46" s="341"/>
      <c r="K46" s="99"/>
    </row>
    <row r="47" spans="1:11">
      <c r="A47"/>
      <c r="B47" s="340"/>
      <c r="C47" s="341"/>
      <c r="D47" s="341"/>
      <c r="E47" s="341"/>
      <c r="F47" s="341"/>
      <c r="G47" s="341"/>
      <c r="H47" s="341"/>
      <c r="I47" s="341"/>
      <c r="J47" s="341"/>
      <c r="K47" s="99"/>
    </row>
    <row r="48" spans="1:11">
      <c r="A48"/>
      <c r="B48" s="115"/>
      <c r="C48" s="55"/>
      <c r="D48" s="58"/>
      <c r="E48" s="58"/>
      <c r="F48" s="96"/>
      <c r="G48" s="96"/>
      <c r="H48" s="96"/>
      <c r="I48" s="96"/>
      <c r="J48" s="96"/>
      <c r="K48" s="66"/>
    </row>
    <row r="49" spans="1:11">
      <c r="A49"/>
      <c r="B49" s="114"/>
      <c r="C49" s="55"/>
      <c r="D49" s="55"/>
      <c r="E49" s="55"/>
      <c r="F49" s="55"/>
      <c r="G49" s="55"/>
      <c r="H49" s="55"/>
      <c r="I49" s="55"/>
      <c r="J49" s="55"/>
      <c r="K49" s="116"/>
    </row>
    <row r="50" spans="1:11">
      <c r="A50"/>
      <c r="B50" s="114"/>
      <c r="C50" s="55"/>
      <c r="D50" s="55"/>
      <c r="E50" s="55"/>
      <c r="F50" s="55"/>
      <c r="G50" s="55"/>
      <c r="H50" s="55"/>
      <c r="I50" s="55"/>
      <c r="J50" s="55"/>
      <c r="K50" s="116"/>
    </row>
    <row r="51" spans="1:11">
      <c r="A51"/>
      <c r="B51" s="117"/>
      <c r="C51" s="118"/>
      <c r="D51" s="118"/>
      <c r="E51" s="118"/>
      <c r="F51" s="118"/>
      <c r="G51" s="118"/>
      <c r="H51" s="118"/>
      <c r="I51" s="118"/>
      <c r="J51" s="118"/>
      <c r="K51" s="119"/>
    </row>
    <row r="52" spans="1:11">
      <c r="A52"/>
      <c r="B52" s="129"/>
      <c r="C52" s="130"/>
      <c r="D52" s="130"/>
      <c r="E52" s="130"/>
      <c r="F52" s="130"/>
      <c r="G52" s="130"/>
      <c r="H52" s="130"/>
      <c r="I52" s="130"/>
      <c r="J52" s="130"/>
      <c r="K52" s="130"/>
    </row>
    <row r="53" spans="1:11">
      <c r="A53"/>
      <c r="B53" s="59"/>
      <c r="C53" s="131"/>
      <c r="D53" s="131"/>
      <c r="E53" s="131"/>
      <c r="F53" s="131"/>
      <c r="G53" s="131"/>
      <c r="H53" s="131"/>
      <c r="I53" s="131"/>
      <c r="J53" s="131"/>
      <c r="K53" s="131"/>
    </row>
    <row r="54" spans="1:11">
      <c r="A54"/>
      <c r="B54" s="59"/>
      <c r="C54" s="59"/>
      <c r="D54" s="132"/>
      <c r="E54" s="133"/>
      <c r="F54" s="120"/>
      <c r="G54" s="120"/>
      <c r="H54" s="120"/>
      <c r="I54" s="120"/>
      <c r="J54" s="120"/>
      <c r="K54" s="134"/>
    </row>
    <row r="55" spans="1:11">
      <c r="A55"/>
      <c r="B55" s="135"/>
      <c r="C55" s="135"/>
      <c r="D55" s="135"/>
      <c r="E55" s="135"/>
      <c r="F55" s="135"/>
      <c r="G55" s="135"/>
      <c r="H55" s="135"/>
      <c r="I55" s="120"/>
      <c r="J55" s="120"/>
      <c r="K55" s="134"/>
    </row>
    <row r="56" spans="1:11">
      <c r="A56"/>
      <c r="B56" s="121"/>
      <c r="C56" s="122"/>
      <c r="D56" s="122"/>
      <c r="E56" s="122"/>
      <c r="F56" s="123"/>
      <c r="G56" s="122"/>
      <c r="H56" s="122"/>
      <c r="I56" s="120"/>
      <c r="J56" s="120"/>
      <c r="K56" s="134"/>
    </row>
    <row r="57" spans="1:11">
      <c r="A57"/>
      <c r="B57" s="124"/>
      <c r="C57" s="125"/>
      <c r="D57" s="126"/>
      <c r="E57" s="127"/>
      <c r="F57" s="126"/>
      <c r="G57" s="128"/>
      <c r="H57" s="126"/>
      <c r="I57" s="120"/>
      <c r="J57" s="120"/>
      <c r="K57" s="134"/>
    </row>
    <row r="58" spans="1:11">
      <c r="A58"/>
    </row>
    <row r="59" spans="1:11">
      <c r="A59"/>
    </row>
  </sheetData>
  <mergeCells count="7">
    <mergeCell ref="B46:B47"/>
    <mergeCell ref="C46:J47"/>
    <mergeCell ref="B2:E3"/>
    <mergeCell ref="B39:K39"/>
    <mergeCell ref="F41:K41"/>
    <mergeCell ref="F42:J42"/>
    <mergeCell ref="F43:J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7EC2-24D3-4A06-A59A-86ABC767A652}">
  <sheetPr>
    <tabColor rgb="FF0000FF"/>
  </sheetPr>
  <dimension ref="B1:G24"/>
  <sheetViews>
    <sheetView showGridLines="0" workbookViewId="0">
      <selection activeCell="E22" sqref="E22"/>
    </sheetView>
  </sheetViews>
  <sheetFormatPr defaultRowHeight="14.45"/>
  <cols>
    <col min="2" max="2" width="25.140625" bestFit="1" customWidth="1"/>
    <col min="3" max="7" width="10.5703125" bestFit="1" customWidth="1"/>
  </cols>
  <sheetData>
    <row r="1" spans="2:7" ht="15" thickBot="1"/>
    <row r="2" spans="2:7" ht="15.95">
      <c r="B2" s="190"/>
      <c r="C2" s="353" t="s">
        <v>172</v>
      </c>
      <c r="D2" s="354"/>
      <c r="E2" s="354"/>
      <c r="F2" s="354"/>
      <c r="G2" s="355"/>
    </row>
    <row r="3" spans="2:7" ht="16.5" thickBot="1">
      <c r="B3" s="191" t="s">
        <v>173</v>
      </c>
      <c r="C3" s="192">
        <v>1</v>
      </c>
      <c r="D3" s="193">
        <v>2</v>
      </c>
      <c r="E3" s="193">
        <v>3</v>
      </c>
      <c r="F3" s="193">
        <v>4</v>
      </c>
      <c r="G3" s="194">
        <v>5</v>
      </c>
    </row>
    <row r="4" spans="2:7">
      <c r="B4" s="153" t="s">
        <v>15</v>
      </c>
      <c r="C4" s="175">
        <f ca="1">SUM('Monthly Cashflows'!E6:'Monthly Cashflows'!P6)</f>
        <v>13225</v>
      </c>
      <c r="D4" s="160">
        <f ca="1">SUM('Monthly Cashflows'!Q6:AB6)</f>
        <v>32136.749999999993</v>
      </c>
      <c r="E4" s="159">
        <f ca="1">SUM('Monthly Cashflows'!AC6:AN6)</f>
        <v>33100.852500000001</v>
      </c>
      <c r="F4" s="160">
        <f ca="1">SUM('Monthly Cashflows'!AO6:AZ6)</f>
        <v>34093.878075000001</v>
      </c>
      <c r="G4" s="161">
        <f ca="1">SUM('Monthly Cashflows'!BA6:BL6)</f>
        <v>35116.694417249993</v>
      </c>
    </row>
    <row r="5" spans="2:7">
      <c r="B5" s="154" t="s">
        <v>174</v>
      </c>
      <c r="C5" s="176">
        <f ca="1">SUM('Monthly Cashflows'!E12:P12)</f>
        <v>0</v>
      </c>
      <c r="D5" s="177">
        <f ca="1">SUM('Monthly Cashflows'!Q12:AB12)</f>
        <v>0</v>
      </c>
      <c r="E5" s="178">
        <f ca="1">SUM('Monthly Cashflows'!AC12:AN12)</f>
        <v>0</v>
      </c>
      <c r="F5" s="177">
        <f ca="1">SUM('Monthly Cashflows'!AO12:AZ12)</f>
        <v>0</v>
      </c>
      <c r="G5" s="162">
        <f ca="1">SUM('Monthly Cashflows'!BA12:BL12)</f>
        <v>0</v>
      </c>
    </row>
    <row r="6" spans="2:7">
      <c r="B6" s="154"/>
      <c r="C6" s="176"/>
      <c r="D6" s="177"/>
      <c r="E6" s="178"/>
      <c r="F6" s="177"/>
      <c r="G6" s="162"/>
    </row>
    <row r="7" spans="2:7">
      <c r="B7" s="154" t="s">
        <v>146</v>
      </c>
      <c r="C7" s="176">
        <f>CHOOSE('Inputs &amp; Assumptions'!B11,'Inputs &amp; Assumptions'!F20,'Inputs &amp; Assumptions'!F21,'Inputs &amp; Assumptions'!F22,'Inputs &amp; Assumptions'!F23,'Inputs &amp; Assumptions'!F24,'Inputs &amp; Assumptions'!F25)*12</f>
        <v>34301.358268908691</v>
      </c>
      <c r="D7" s="177">
        <f>C7</f>
        <v>34301.358268908691</v>
      </c>
      <c r="E7" s="178">
        <f>D7</f>
        <v>34301.358268908691</v>
      </c>
      <c r="F7" s="177">
        <f>E7</f>
        <v>34301.358268908691</v>
      </c>
      <c r="G7" s="162">
        <f>F7</f>
        <v>34301.358268908691</v>
      </c>
    </row>
    <row r="8" spans="2:7">
      <c r="B8" s="154" t="s">
        <v>175</v>
      </c>
      <c r="C8" s="176">
        <f ca="1">SUM(ProForma!F17:F18)</f>
        <v>0</v>
      </c>
      <c r="D8" s="177">
        <f ca="1">SUM(ProForma!G17:G18)</f>
        <v>0</v>
      </c>
      <c r="E8" s="178">
        <f ca="1">SUM(ProForma!H17:H18)</f>
        <v>0</v>
      </c>
      <c r="F8" s="177">
        <f ca="1">SUM(ProForma!I17:I18)</f>
        <v>0</v>
      </c>
      <c r="G8" s="162">
        <f ca="1">SUM(ProForma!J17:J18)</f>
        <v>0</v>
      </c>
    </row>
    <row r="9" spans="2:7">
      <c r="B9" s="154" t="s">
        <v>81</v>
      </c>
      <c r="C9" s="176">
        <f>SUM('Monthly Cashflows'!E19:P19)</f>
        <v>20051.75</v>
      </c>
      <c r="D9" s="177">
        <f>SUM('Monthly Cashflows'!Q19:AB19)</f>
        <v>0</v>
      </c>
      <c r="E9" s="178">
        <f>SUM('Monthly Cashflows'!AC19:AN19)</f>
        <v>0</v>
      </c>
      <c r="F9" s="177">
        <f>SUM('Monthly Cashflows'!AO19:AZ19)</f>
        <v>0</v>
      </c>
      <c r="G9" s="162">
        <f>SUM('Monthly Cashflows'!BA19:BL19)</f>
        <v>0</v>
      </c>
    </row>
    <row r="10" spans="2:7">
      <c r="B10" s="155" t="s">
        <v>147</v>
      </c>
      <c r="C10" s="176">
        <f>ProForma!F15</f>
        <v>5</v>
      </c>
      <c r="D10" s="177">
        <f>ProForma!G15</f>
        <v>5</v>
      </c>
      <c r="E10" s="178">
        <f>ProForma!H15</f>
        <v>5</v>
      </c>
      <c r="F10" s="177">
        <f>ProForma!I15</f>
        <v>5</v>
      </c>
      <c r="G10" s="162">
        <f>ProForma!J15</f>
        <v>5</v>
      </c>
    </row>
    <row r="11" spans="2:7">
      <c r="B11" s="155" t="s">
        <v>148</v>
      </c>
      <c r="C11" s="176">
        <f>CHOOSE('Inputs &amp; Assumptions'!B11,'Inputs &amp; Assumptions'!I20,'Inputs &amp; Assumptions'!I21,'Inputs &amp; Assumptions'!I22,'Inputs &amp; Assumptions'!I23,'Inputs &amp; Assumptions'!I24,'Inputs &amp; Assumptions'!I25)</f>
        <v>3000</v>
      </c>
      <c r="D11" s="177">
        <f>C11</f>
        <v>3000</v>
      </c>
      <c r="E11" s="178">
        <f t="shared" ref="E11:G11" si="0">D11</f>
        <v>3000</v>
      </c>
      <c r="F11" s="177">
        <f t="shared" si="0"/>
        <v>3000</v>
      </c>
      <c r="G11" s="162">
        <f t="shared" si="0"/>
        <v>3000</v>
      </c>
    </row>
    <row r="12" spans="2:7">
      <c r="B12" s="156" t="s">
        <v>150</v>
      </c>
      <c r="C12" s="176">
        <f>'Inputs &amp; Assumptions'!E13</f>
        <v>1200</v>
      </c>
      <c r="D12" s="177">
        <f>C12*('Inputs &amp; Assumptions'!$E$14+1)</f>
        <v>1200</v>
      </c>
      <c r="E12" s="178">
        <f>D12*('Inputs &amp; Assumptions'!$E$14+1)</f>
        <v>1200</v>
      </c>
      <c r="F12" s="177">
        <f>E12*('Inputs &amp; Assumptions'!$E$14+1)</f>
        <v>1200</v>
      </c>
      <c r="G12" s="162">
        <f>F12*('Inputs &amp; Assumptions'!$E$14+1)</f>
        <v>1200</v>
      </c>
    </row>
    <row r="13" spans="2:7">
      <c r="B13" s="156" t="s">
        <v>151</v>
      </c>
      <c r="C13" s="176">
        <f>CHOOSE('Inputs &amp; Assumptions'!$B$14,'Inputs &amp; Assumptions'!E87,'Inputs &amp; Assumptions'!E88,'Inputs &amp; Assumptions'!E89)</f>
        <v>4900</v>
      </c>
      <c r="D13" s="177">
        <f>CHOOSE('Inputs &amp; Assumptions'!$B$14,'Inputs &amp; Assumptions'!F87,'Inputs &amp; Assumptions'!F88,'Inputs &amp; Assumptions'!F89)</f>
        <v>400</v>
      </c>
      <c r="E13" s="178">
        <f>CHOOSE('Inputs &amp; Assumptions'!$B$14,'Inputs &amp; Assumptions'!G87,'Inputs &amp; Assumptions'!G88,'Inputs &amp; Assumptions'!G89)</f>
        <v>400</v>
      </c>
      <c r="F13" s="177">
        <f>CHOOSE('Inputs &amp; Assumptions'!$B$14,'Inputs &amp; Assumptions'!H87,'Inputs &amp; Assumptions'!H88,'Inputs &amp; Assumptions'!H89)</f>
        <v>400</v>
      </c>
      <c r="G13" s="162">
        <f>CHOOSE('Inputs &amp; Assumptions'!$B$14,'Inputs &amp; Assumptions'!I87,'Inputs &amp; Assumptions'!I88,'Inputs &amp; Assumptions'!I89)</f>
        <v>400</v>
      </c>
    </row>
    <row r="14" spans="2:7">
      <c r="B14" s="156" t="s">
        <v>152</v>
      </c>
      <c r="C14" s="176">
        <f ca="1">SUM('Monthly Cashflows'!E26:P26)</f>
        <v>1058</v>
      </c>
      <c r="D14" s="177">
        <f ca="1">SUM('Monthly Cashflows'!Q26:AB26)</f>
        <v>2570.9399999999996</v>
      </c>
      <c r="E14" s="178">
        <f ca="1">SUM('Monthly Cashflows'!R26:AC26)</f>
        <v>2577.288</v>
      </c>
      <c r="F14" s="177">
        <f ca="1">SUM('Monthly Cashflows'!S26:AD26)</f>
        <v>2583.636</v>
      </c>
      <c r="G14" s="162">
        <f ca="1">SUM('Monthly Cashflows'!T26:AE26)</f>
        <v>2589.9839999999999</v>
      </c>
    </row>
    <row r="15" spans="2:7">
      <c r="B15" s="154" t="s">
        <v>153</v>
      </c>
      <c r="C15" s="176">
        <f>SUM('Monthly Cashflows'!E27:P27)</f>
        <v>0</v>
      </c>
      <c r="D15" s="177">
        <f>SUM('Monthly Cashflows'!Q27:AB27)</f>
        <v>0</v>
      </c>
      <c r="E15" s="178">
        <f>SUM('Monthly Cashflows'!R27:AC27)</f>
        <v>0</v>
      </c>
      <c r="F15" s="177">
        <f>SUM('Monthly Cashflows'!S27:AD27)</f>
        <v>0</v>
      </c>
      <c r="G15" s="162">
        <f>SUM('Monthly Cashflows'!T27:AE27)</f>
        <v>0</v>
      </c>
    </row>
    <row r="16" spans="2:7">
      <c r="B16" s="157"/>
      <c r="C16" s="176"/>
      <c r="D16" s="177"/>
      <c r="E16" s="178"/>
      <c r="F16" s="177"/>
      <c r="G16" s="162"/>
    </row>
    <row r="17" spans="2:7" ht="15" thickBot="1">
      <c r="B17" s="158" t="s">
        <v>176</v>
      </c>
      <c r="C17" s="176">
        <f ca="1">C4+C5-SUM(C7:C15)</f>
        <v>-51291.108268908691</v>
      </c>
      <c r="D17" s="177">
        <f ca="1">D4+D5-SUM(D7:D15)</f>
        <v>-9340.5482689087003</v>
      </c>
      <c r="E17" s="178">
        <f ca="1">E4+E5-SUM(E7:E15)</f>
        <v>-8382.7937689086903</v>
      </c>
      <c r="F17" s="177">
        <f ca="1">F4+F5-SUM(F7:F15)</f>
        <v>-7396.1161939086887</v>
      </c>
      <c r="G17" s="162">
        <f ca="1">G4+G5-SUM(G7:G15)</f>
        <v>-6379.647851658694</v>
      </c>
    </row>
    <row r="18" spans="2:7" ht="15" thickBot="1">
      <c r="B18" s="158" t="s">
        <v>177</v>
      </c>
      <c r="C18" s="221">
        <f ca="1">'Monthly Cashflows'!E31</f>
        <v>-17528.879511376184</v>
      </c>
      <c r="D18" s="222"/>
      <c r="E18" s="222"/>
      <c r="F18" s="222"/>
      <c r="G18" s="223"/>
    </row>
    <row r="19" spans="2:7">
      <c r="G19" t="s">
        <v>178</v>
      </c>
    </row>
    <row r="24" spans="2:7">
      <c r="D24" s="179"/>
    </row>
  </sheetData>
  <mergeCells count="1">
    <mergeCell ref="C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9AEA-6D88-45B9-88A6-69D968EFFCA6}">
  <sheetPr>
    <tabColor theme="1"/>
  </sheetPr>
  <dimension ref="B1:BX35"/>
  <sheetViews>
    <sheetView showGridLines="0" zoomScaleNormal="100" workbookViewId="0">
      <pane xSplit="4" ySplit="4" topLeftCell="E21" activePane="bottomRight" state="frozen"/>
      <selection pane="bottomRight" activeCell="F1" sqref="F1"/>
      <selection pane="bottomLeft" activeCell="A5" sqref="A5"/>
      <selection pane="topRight" activeCell="E1" sqref="E1"/>
    </sheetView>
  </sheetViews>
  <sheetFormatPr defaultColWidth="8.7109375" defaultRowHeight="14.45" outlineLevelCol="1"/>
  <cols>
    <col min="1" max="2" width="8.7109375" style="3"/>
    <col min="3" max="3" width="25.42578125" style="3" bestFit="1" customWidth="1"/>
    <col min="4" max="4" width="25.42578125" style="3" hidden="1" customWidth="1" outlineLevel="1"/>
    <col min="5" max="5" width="12.85546875" style="3" bestFit="1" customWidth="1" collapsed="1"/>
    <col min="6" max="64" width="12.85546875" style="3" bestFit="1" customWidth="1"/>
    <col min="65" max="16384" width="8.7109375" style="3"/>
  </cols>
  <sheetData>
    <row r="1" spans="2:76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</row>
    <row r="2" spans="2:76">
      <c r="E2" s="139" t="s">
        <v>179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</row>
    <row r="3" spans="2:76" ht="15" thickBot="1">
      <c r="D3" s="3">
        <v>0</v>
      </c>
      <c r="E3" s="139">
        <v>1</v>
      </c>
      <c r="F3" s="139">
        <v>2</v>
      </c>
      <c r="G3" s="139">
        <v>3</v>
      </c>
      <c r="H3" s="139">
        <v>4</v>
      </c>
      <c r="I3" s="139">
        <v>5</v>
      </c>
      <c r="J3" s="139">
        <v>6</v>
      </c>
      <c r="K3" s="139">
        <v>7</v>
      </c>
      <c r="L3" s="139">
        <v>8</v>
      </c>
      <c r="M3" s="139">
        <v>9</v>
      </c>
      <c r="N3" s="139">
        <v>10</v>
      </c>
      <c r="O3" s="139">
        <v>11</v>
      </c>
      <c r="P3" s="139">
        <v>12</v>
      </c>
      <c r="Q3" s="139">
        <v>13</v>
      </c>
      <c r="R3" s="139">
        <v>14</v>
      </c>
      <c r="S3" s="139">
        <v>15</v>
      </c>
      <c r="T3" s="139">
        <v>16</v>
      </c>
      <c r="U3" s="139">
        <v>17</v>
      </c>
      <c r="V3" s="139">
        <v>18</v>
      </c>
      <c r="W3" s="139">
        <v>19</v>
      </c>
      <c r="X3" s="139">
        <v>20</v>
      </c>
      <c r="Y3" s="139">
        <v>21</v>
      </c>
      <c r="Z3" s="139">
        <v>22</v>
      </c>
      <c r="AA3" s="139">
        <v>23</v>
      </c>
      <c r="AB3" s="139">
        <v>24</v>
      </c>
      <c r="AC3" s="139">
        <v>25</v>
      </c>
      <c r="AD3" s="139">
        <v>26</v>
      </c>
      <c r="AE3" s="139">
        <v>27</v>
      </c>
      <c r="AF3" s="139">
        <v>28</v>
      </c>
      <c r="AG3" s="139">
        <v>29</v>
      </c>
      <c r="AH3" s="139">
        <v>30</v>
      </c>
      <c r="AI3" s="139">
        <v>31</v>
      </c>
      <c r="AJ3" s="139">
        <v>32</v>
      </c>
      <c r="AK3" s="139">
        <v>33</v>
      </c>
      <c r="AL3" s="139">
        <v>34</v>
      </c>
      <c r="AM3" s="139">
        <v>35</v>
      </c>
      <c r="AN3" s="139">
        <v>36</v>
      </c>
      <c r="AO3" s="139">
        <v>37</v>
      </c>
      <c r="AP3" s="139">
        <v>38</v>
      </c>
      <c r="AQ3" s="139">
        <v>39</v>
      </c>
      <c r="AR3" s="139">
        <v>40</v>
      </c>
      <c r="AS3" s="139">
        <v>41</v>
      </c>
      <c r="AT3" s="139">
        <v>42</v>
      </c>
      <c r="AU3" s="139">
        <v>43</v>
      </c>
      <c r="AV3" s="139">
        <v>44</v>
      </c>
      <c r="AW3" s="139">
        <v>45</v>
      </c>
      <c r="AX3" s="139">
        <v>46</v>
      </c>
      <c r="AY3" s="139">
        <v>47</v>
      </c>
      <c r="AZ3" s="139">
        <v>48</v>
      </c>
      <c r="BA3" s="139">
        <v>49</v>
      </c>
      <c r="BB3" s="139">
        <v>50</v>
      </c>
      <c r="BC3" s="139">
        <v>51</v>
      </c>
      <c r="BD3" s="139">
        <v>52</v>
      </c>
      <c r="BE3" s="139">
        <v>53</v>
      </c>
      <c r="BF3" s="139">
        <v>54</v>
      </c>
      <c r="BG3" s="139">
        <v>55</v>
      </c>
      <c r="BH3" s="139">
        <v>56</v>
      </c>
      <c r="BI3" s="139">
        <v>57</v>
      </c>
      <c r="BJ3" s="139">
        <v>58</v>
      </c>
      <c r="BK3" s="139">
        <v>59</v>
      </c>
      <c r="BL3" s="139">
        <v>60</v>
      </c>
    </row>
    <row r="4" spans="2:76">
      <c r="D4" s="3" t="s">
        <v>52</v>
      </c>
      <c r="E4" s="357" t="s">
        <v>53</v>
      </c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9"/>
      <c r="Q4" s="357" t="s">
        <v>54</v>
      </c>
      <c r="R4" s="358"/>
      <c r="S4" s="358"/>
      <c r="T4" s="358"/>
      <c r="U4" s="358"/>
      <c r="V4" s="358"/>
      <c r="W4" s="358"/>
      <c r="X4" s="358"/>
      <c r="Y4" s="358"/>
      <c r="Z4" s="358"/>
      <c r="AA4" s="358"/>
      <c r="AB4" s="359"/>
      <c r="AC4" s="357" t="s">
        <v>55</v>
      </c>
      <c r="AD4" s="358"/>
      <c r="AE4" s="358"/>
      <c r="AF4" s="358"/>
      <c r="AG4" s="358"/>
      <c r="AH4" s="358"/>
      <c r="AI4" s="358"/>
      <c r="AJ4" s="358"/>
      <c r="AK4" s="358"/>
      <c r="AL4" s="358"/>
      <c r="AM4" s="358"/>
      <c r="AN4" s="359"/>
      <c r="AO4" s="357" t="s">
        <v>56</v>
      </c>
      <c r="AP4" s="358"/>
      <c r="AQ4" s="358"/>
      <c r="AR4" s="358"/>
      <c r="AS4" s="358"/>
      <c r="AT4" s="358"/>
      <c r="AU4" s="358"/>
      <c r="AV4" s="358"/>
      <c r="AW4" s="358"/>
      <c r="AX4" s="358"/>
      <c r="AY4" s="358"/>
      <c r="AZ4" s="359"/>
      <c r="BA4" s="357" t="s">
        <v>57</v>
      </c>
      <c r="BB4" s="358"/>
      <c r="BC4" s="358"/>
      <c r="BD4" s="358"/>
      <c r="BE4" s="358"/>
      <c r="BF4" s="358"/>
      <c r="BG4" s="358"/>
      <c r="BH4" s="358"/>
      <c r="BI4" s="358"/>
      <c r="BJ4" s="358"/>
      <c r="BK4" s="358"/>
      <c r="BL4" s="359"/>
      <c r="BM4" s="356"/>
      <c r="BN4" s="356"/>
      <c r="BO4" s="356"/>
      <c r="BP4" s="356"/>
      <c r="BQ4" s="356"/>
      <c r="BR4" s="356"/>
      <c r="BS4" s="356"/>
      <c r="BT4" s="356"/>
      <c r="BU4" s="356"/>
      <c r="BV4" s="356"/>
      <c r="BW4" s="356"/>
      <c r="BX4" s="356"/>
    </row>
    <row r="5" spans="2:76">
      <c r="E5" s="195" t="s">
        <v>180</v>
      </c>
      <c r="F5" s="196" t="s">
        <v>181</v>
      </c>
      <c r="G5" s="196" t="s">
        <v>182</v>
      </c>
      <c r="H5" s="196" t="s">
        <v>183</v>
      </c>
      <c r="I5" s="196" t="s">
        <v>184</v>
      </c>
      <c r="J5" s="196" t="s">
        <v>185</v>
      </c>
      <c r="K5" s="196" t="s">
        <v>186</v>
      </c>
      <c r="L5" s="196" t="s">
        <v>187</v>
      </c>
      <c r="M5" s="196" t="s">
        <v>188</v>
      </c>
      <c r="N5" s="196" t="s">
        <v>189</v>
      </c>
      <c r="O5" s="196" t="s">
        <v>190</v>
      </c>
      <c r="P5" s="197" t="s">
        <v>191</v>
      </c>
      <c r="Q5" s="195" t="s">
        <v>180</v>
      </c>
      <c r="R5" s="196" t="s">
        <v>181</v>
      </c>
      <c r="S5" s="196" t="s">
        <v>182</v>
      </c>
      <c r="T5" s="196" t="s">
        <v>183</v>
      </c>
      <c r="U5" s="196" t="s">
        <v>184</v>
      </c>
      <c r="V5" s="196" t="s">
        <v>185</v>
      </c>
      <c r="W5" s="196" t="s">
        <v>186</v>
      </c>
      <c r="X5" s="196" t="s">
        <v>187</v>
      </c>
      <c r="Y5" s="196" t="s">
        <v>188</v>
      </c>
      <c r="Z5" s="196" t="s">
        <v>189</v>
      </c>
      <c r="AA5" s="196" t="s">
        <v>190</v>
      </c>
      <c r="AB5" s="197" t="s">
        <v>191</v>
      </c>
      <c r="AC5" s="195" t="s">
        <v>180</v>
      </c>
      <c r="AD5" s="196" t="s">
        <v>181</v>
      </c>
      <c r="AE5" s="196" t="s">
        <v>182</v>
      </c>
      <c r="AF5" s="196" t="s">
        <v>183</v>
      </c>
      <c r="AG5" s="196" t="s">
        <v>184</v>
      </c>
      <c r="AH5" s="196" t="s">
        <v>185</v>
      </c>
      <c r="AI5" s="196" t="s">
        <v>186</v>
      </c>
      <c r="AJ5" s="196" t="s">
        <v>187</v>
      </c>
      <c r="AK5" s="196" t="s">
        <v>188</v>
      </c>
      <c r="AL5" s="196" t="s">
        <v>189</v>
      </c>
      <c r="AM5" s="196" t="s">
        <v>190</v>
      </c>
      <c r="AN5" s="197" t="s">
        <v>191</v>
      </c>
      <c r="AO5" s="195" t="s">
        <v>180</v>
      </c>
      <c r="AP5" s="196" t="s">
        <v>181</v>
      </c>
      <c r="AQ5" s="196" t="s">
        <v>182</v>
      </c>
      <c r="AR5" s="196" t="s">
        <v>183</v>
      </c>
      <c r="AS5" s="196" t="s">
        <v>184</v>
      </c>
      <c r="AT5" s="196" t="s">
        <v>185</v>
      </c>
      <c r="AU5" s="196" t="s">
        <v>186</v>
      </c>
      <c r="AV5" s="196" t="s">
        <v>187</v>
      </c>
      <c r="AW5" s="196" t="s">
        <v>188</v>
      </c>
      <c r="AX5" s="196" t="s">
        <v>189</v>
      </c>
      <c r="AY5" s="196" t="s">
        <v>190</v>
      </c>
      <c r="AZ5" s="197" t="s">
        <v>191</v>
      </c>
      <c r="BA5" s="195" t="s">
        <v>180</v>
      </c>
      <c r="BB5" s="196" t="s">
        <v>181</v>
      </c>
      <c r="BC5" s="196" t="s">
        <v>182</v>
      </c>
      <c r="BD5" s="196" t="s">
        <v>183</v>
      </c>
      <c r="BE5" s="196" t="s">
        <v>184</v>
      </c>
      <c r="BF5" s="196" t="s">
        <v>185</v>
      </c>
      <c r="BG5" s="196" t="s">
        <v>186</v>
      </c>
      <c r="BH5" s="196" t="s">
        <v>187</v>
      </c>
      <c r="BI5" s="196" t="s">
        <v>188</v>
      </c>
      <c r="BJ5" s="196" t="s">
        <v>189</v>
      </c>
      <c r="BK5" s="196" t="s">
        <v>190</v>
      </c>
      <c r="BL5" s="197" t="s">
        <v>191</v>
      </c>
    </row>
    <row r="6" spans="2:76">
      <c r="B6" s="173"/>
      <c r="C6" s="147" t="s">
        <v>192</v>
      </c>
      <c r="D6" s="147"/>
      <c r="E6" s="305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F6" s="306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G6" s="307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H6" s="306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I6" s="307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J6" s="306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K6" s="307" t="str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/>
      </c>
      <c r="L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M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N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O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P6" s="308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Q6" s="305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R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S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T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U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V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W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2645</v>
      </c>
      <c r="X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Y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Z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A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B6" s="308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C6" s="305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D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E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F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G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H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I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2724.35</v>
      </c>
      <c r="AJ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K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L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M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N6" s="308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O6" s="305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P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Q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R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S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T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U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2806.0805</v>
      </c>
      <c r="AV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AW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AX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AY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AZ6" s="308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A6" s="305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B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C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D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E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F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G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2890.2629149999998</v>
      </c>
      <c r="BH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2976.9708024499996</v>
      </c>
      <c r="BI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2976.9708024499996</v>
      </c>
      <c r="BJ6" s="306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2976.9708024499996</v>
      </c>
      <c r="BK6" s="307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2976.9708024499996</v>
      </c>
      <c r="BL6" s="308">
        <f ca="1">IF( 'Inputs &amp; Assumptions'!$B$8="Renovate", IF( COLUMN()-COLUMN($E$28) &lt; 'Inputs &amp; Assumptions'!$J$108, "", 'Inputs &amp; Assumptions'!$I$6 * POWER( 1 + CHOOSE('Inputs &amp; Assumptions'!$B$14, 'Inputs &amp; Assumptions'!$F$39, 'Inputs &amp; Assumptions'!$F$40, 'Inputs &amp; Assumptions'!$F$41), INT((COLUMN()-COLUMN($E$28) - 'Inputs &amp; Assumptions'!$J$108) / 'Inputs &amp; Assumptions'!$B$29) ) ), IF( COLUMN()-COLUMN($E$28) &lt; 'Inputs &amp; Assumptions'!$J$102, "", 'Inputs &amp; Assumptions'!$H$6 * POWER( 1 + CHOOSE('Inputs &amp; Assumptions'!$B$14, 'Inputs &amp; Assumptions'!$F$39, 'Inputs &amp; Assumptions'!$F$40, 'Inputs &amp; Assumptions'!$F$41), INT((COLUMN()-COLUMN($E$28) - 'Inputs &amp; Assumptions'!$J$102) / 'Inputs &amp; Assumptions'!$B$29) ) ) )</f>
        <v>2976.9708024499996</v>
      </c>
    </row>
    <row r="7" spans="2:76">
      <c r="C7" s="147" t="s">
        <v>193</v>
      </c>
      <c r="D7" s="147"/>
      <c r="E7" s="295" t="s">
        <v>60</v>
      </c>
      <c r="F7" s="329" t="str">
        <f ca="1">IFERROR(F6/E6-1,"0")</f>
        <v>0</v>
      </c>
      <c r="G7" s="297" t="str">
        <f t="shared" ref="G7:BL7" ca="1" si="0">IFERROR(G6/F6-1,"-")</f>
        <v>-</v>
      </c>
      <c r="H7" s="294" t="str">
        <f t="shared" ca="1" si="0"/>
        <v>-</v>
      </c>
      <c r="I7" s="297" t="str">
        <f t="shared" ca="1" si="0"/>
        <v>-</v>
      </c>
      <c r="J7" s="294" t="str">
        <f t="shared" ca="1" si="0"/>
        <v>-</v>
      </c>
      <c r="K7" s="297" t="str">
        <f t="shared" ca="1" si="0"/>
        <v>-</v>
      </c>
      <c r="L7" s="294" t="str">
        <f t="shared" ca="1" si="0"/>
        <v>-</v>
      </c>
      <c r="M7" s="297">
        <f t="shared" ca="1" si="0"/>
        <v>0</v>
      </c>
      <c r="N7" s="294">
        <f t="shared" ca="1" si="0"/>
        <v>0</v>
      </c>
      <c r="O7" s="297">
        <f t="shared" ca="1" si="0"/>
        <v>0</v>
      </c>
      <c r="P7" s="298">
        <f t="shared" ca="1" si="0"/>
        <v>0</v>
      </c>
      <c r="Q7" s="295">
        <f t="shared" ca="1" si="0"/>
        <v>0</v>
      </c>
      <c r="R7" s="294">
        <f t="shared" ca="1" si="0"/>
        <v>0</v>
      </c>
      <c r="S7" s="297">
        <f t="shared" ca="1" si="0"/>
        <v>0</v>
      </c>
      <c r="T7" s="294">
        <f t="shared" ca="1" si="0"/>
        <v>0</v>
      </c>
      <c r="U7" s="297">
        <f t="shared" ca="1" si="0"/>
        <v>0</v>
      </c>
      <c r="V7" s="294">
        <f t="shared" ca="1" si="0"/>
        <v>0</v>
      </c>
      <c r="W7" s="297">
        <f t="shared" ca="1" si="0"/>
        <v>0</v>
      </c>
      <c r="X7" s="294">
        <f t="shared" ca="1" si="0"/>
        <v>3.0000000000000027E-2</v>
      </c>
      <c r="Y7" s="297">
        <f t="shared" ca="1" si="0"/>
        <v>0</v>
      </c>
      <c r="Z7" s="294">
        <f t="shared" ca="1" si="0"/>
        <v>0</v>
      </c>
      <c r="AA7" s="297">
        <f t="shared" ca="1" si="0"/>
        <v>0</v>
      </c>
      <c r="AB7" s="298">
        <f t="shared" ca="1" si="0"/>
        <v>0</v>
      </c>
      <c r="AC7" s="295">
        <f t="shared" ca="1" si="0"/>
        <v>0</v>
      </c>
      <c r="AD7" s="294">
        <f t="shared" ca="1" si="0"/>
        <v>0</v>
      </c>
      <c r="AE7" s="297">
        <f t="shared" ca="1" si="0"/>
        <v>0</v>
      </c>
      <c r="AF7" s="294">
        <f t="shared" ca="1" si="0"/>
        <v>0</v>
      </c>
      <c r="AG7" s="297">
        <f t="shared" ca="1" si="0"/>
        <v>0</v>
      </c>
      <c r="AH7" s="294">
        <f t="shared" ca="1" si="0"/>
        <v>0</v>
      </c>
      <c r="AI7" s="297">
        <f t="shared" ca="1" si="0"/>
        <v>0</v>
      </c>
      <c r="AJ7" s="294">
        <f t="shared" ca="1" si="0"/>
        <v>3.0000000000000027E-2</v>
      </c>
      <c r="AK7" s="297">
        <f t="shared" ca="1" si="0"/>
        <v>0</v>
      </c>
      <c r="AL7" s="294">
        <f t="shared" ca="1" si="0"/>
        <v>0</v>
      </c>
      <c r="AM7" s="297">
        <f t="shared" ca="1" si="0"/>
        <v>0</v>
      </c>
      <c r="AN7" s="298">
        <f t="shared" ca="1" si="0"/>
        <v>0</v>
      </c>
      <c r="AO7" s="295">
        <f t="shared" ca="1" si="0"/>
        <v>0</v>
      </c>
      <c r="AP7" s="294">
        <f t="shared" ca="1" si="0"/>
        <v>0</v>
      </c>
      <c r="AQ7" s="297">
        <f t="shared" ca="1" si="0"/>
        <v>0</v>
      </c>
      <c r="AR7" s="294">
        <f t="shared" ca="1" si="0"/>
        <v>0</v>
      </c>
      <c r="AS7" s="297">
        <f t="shared" ca="1" si="0"/>
        <v>0</v>
      </c>
      <c r="AT7" s="294">
        <f t="shared" ca="1" si="0"/>
        <v>0</v>
      </c>
      <c r="AU7" s="297">
        <f t="shared" ca="1" si="0"/>
        <v>0</v>
      </c>
      <c r="AV7" s="294">
        <f t="shared" ca="1" si="0"/>
        <v>3.0000000000000027E-2</v>
      </c>
      <c r="AW7" s="297">
        <f t="shared" ca="1" si="0"/>
        <v>0</v>
      </c>
      <c r="AX7" s="294">
        <f t="shared" ca="1" si="0"/>
        <v>0</v>
      </c>
      <c r="AY7" s="297">
        <f t="shared" ca="1" si="0"/>
        <v>0</v>
      </c>
      <c r="AZ7" s="298">
        <f t="shared" ca="1" si="0"/>
        <v>0</v>
      </c>
      <c r="BA7" s="295">
        <f t="shared" ca="1" si="0"/>
        <v>0</v>
      </c>
      <c r="BB7" s="294">
        <f t="shared" ca="1" si="0"/>
        <v>0</v>
      </c>
      <c r="BC7" s="297">
        <f t="shared" ca="1" si="0"/>
        <v>0</v>
      </c>
      <c r="BD7" s="294">
        <f t="shared" ca="1" si="0"/>
        <v>0</v>
      </c>
      <c r="BE7" s="297">
        <f t="shared" ca="1" si="0"/>
        <v>0</v>
      </c>
      <c r="BF7" s="294">
        <f t="shared" ca="1" si="0"/>
        <v>0</v>
      </c>
      <c r="BG7" s="297">
        <f t="shared" ca="1" si="0"/>
        <v>0</v>
      </c>
      <c r="BH7" s="294">
        <f t="shared" ca="1" si="0"/>
        <v>3.0000000000000027E-2</v>
      </c>
      <c r="BI7" s="297">
        <f t="shared" ca="1" si="0"/>
        <v>0</v>
      </c>
      <c r="BJ7" s="294">
        <f t="shared" ca="1" si="0"/>
        <v>0</v>
      </c>
      <c r="BK7" s="297">
        <f t="shared" ca="1" si="0"/>
        <v>0</v>
      </c>
      <c r="BL7" s="298">
        <f t="shared" ca="1" si="0"/>
        <v>0</v>
      </c>
    </row>
    <row r="8" spans="2:76">
      <c r="C8" s="147"/>
      <c r="D8" s="147"/>
      <c r="E8" s="305"/>
      <c r="F8" s="306"/>
      <c r="G8" s="307"/>
      <c r="H8" s="306"/>
      <c r="I8" s="307"/>
      <c r="J8" s="306"/>
      <c r="K8" s="307"/>
      <c r="L8" s="306"/>
      <c r="M8" s="307"/>
      <c r="N8" s="306"/>
      <c r="O8" s="307"/>
      <c r="P8" s="308"/>
      <c r="Q8" s="305"/>
      <c r="R8" s="306"/>
      <c r="S8" s="307"/>
      <c r="T8" s="306"/>
      <c r="U8" s="307"/>
      <c r="V8" s="306"/>
      <c r="W8" s="307"/>
      <c r="X8" s="306"/>
      <c r="Y8" s="307"/>
      <c r="Z8" s="306"/>
      <c r="AA8" s="307"/>
      <c r="AB8" s="308"/>
      <c r="AC8" s="305"/>
      <c r="AD8" s="306"/>
      <c r="AE8" s="307"/>
      <c r="AF8" s="306"/>
      <c r="AG8" s="307"/>
      <c r="AH8" s="306"/>
      <c r="AI8" s="307"/>
      <c r="AJ8" s="306"/>
      <c r="AK8" s="307"/>
      <c r="AL8" s="306"/>
      <c r="AM8" s="307"/>
      <c r="AN8" s="308"/>
      <c r="AO8" s="305"/>
      <c r="AP8" s="306"/>
      <c r="AQ8" s="307"/>
      <c r="AR8" s="306"/>
      <c r="AS8" s="307"/>
      <c r="AT8" s="306"/>
      <c r="AU8" s="307"/>
      <c r="AV8" s="306"/>
      <c r="AW8" s="307"/>
      <c r="AX8" s="306"/>
      <c r="AY8" s="307"/>
      <c r="AZ8" s="308"/>
      <c r="BA8" s="305"/>
      <c r="BB8" s="306"/>
      <c r="BC8" s="307"/>
      <c r="BD8" s="306"/>
      <c r="BE8" s="307"/>
      <c r="BF8" s="306"/>
      <c r="BG8" s="307"/>
      <c r="BH8" s="306"/>
      <c r="BI8" s="307"/>
      <c r="BJ8" s="306"/>
      <c r="BK8" s="307"/>
      <c r="BL8" s="308"/>
    </row>
    <row r="9" spans="2:76">
      <c r="C9" s="147" t="s">
        <v>194</v>
      </c>
      <c r="D9" s="148"/>
      <c r="E9" s="305">
        <f>'Inputs &amp; Assumptions'!B5</f>
        <v>500000</v>
      </c>
      <c r="F9" s="306">
        <f>(1+CHOOSE('Inputs &amp; Assumptions'!$B$14,'Inputs &amp; Assumptions'!$G$39,'Inputs &amp; Assumptions'!$G$40,'Inputs &amp; Assumptions'!$G$41))*'Monthly Cashflows'!E9</f>
        <v>501233.13488615182</v>
      </c>
      <c r="G9" s="307">
        <f>(1+CHOOSE('Inputs &amp; Assumptions'!$B$14,'Inputs &amp; Assumptions'!$G$39,'Inputs &amp; Assumptions'!$G$40,'Inputs &amp; Assumptions'!$G$41))*'Monthly Cashflows'!F9</f>
        <v>502469.31101559853</v>
      </c>
      <c r="H9" s="306">
        <f>(1+CHOOSE('Inputs &amp; Assumptions'!$B$14,'Inputs &amp; Assumptions'!$G$39,'Inputs &amp; Assumptions'!$G$40,'Inputs &amp; Assumptions'!$G$41))*'Monthly Cashflows'!G9</f>
        <v>503708.53588886658</v>
      </c>
      <c r="I9" s="307">
        <f>(1+CHOOSE('Inputs &amp; Assumptions'!$B$14,'Inputs &amp; Assumptions'!$G$39,'Inputs &amp; Assumptions'!$G$40,'Inputs &amp; Assumptions'!$G$41))*'Monthly Cashflows'!H9</f>
        <v>504950.81702498061</v>
      </c>
      <c r="J9" s="306">
        <f>(1+CHOOSE('Inputs &amp; Assumptions'!$B$14,'Inputs &amp; Assumptions'!$G$39,'Inputs &amp; Assumptions'!$G$40,'Inputs &amp; Assumptions'!$G$41))*'Monthly Cashflows'!I9</f>
        <v>506196.16196150938</v>
      </c>
      <c r="K9" s="307">
        <f>(1+CHOOSE('Inputs &amp; Assumptions'!$B$14,'Inputs &amp; Assumptions'!$G$39,'Inputs &amp; Assumptions'!$G$40,'Inputs &amp; Assumptions'!$G$41))*'Monthly Cashflows'!J9</f>
        <v>507444.57825461117</v>
      </c>
      <c r="L9" s="306">
        <f>(1+CHOOSE('Inputs &amp; Assumptions'!$B$14,'Inputs &amp; Assumptions'!$G$39,'Inputs &amp; Assumptions'!$G$40,'Inputs &amp; Assumptions'!$G$41))*'Monthly Cashflows'!K9</f>
        <v>508696.07347907993</v>
      </c>
      <c r="M9" s="307">
        <f>(1+CHOOSE('Inputs &amp; Assumptions'!$B$14,'Inputs &amp; Assumptions'!$G$39,'Inputs &amp; Assumptions'!$G$40,'Inputs &amp; Assumptions'!$G$41))*'Monthly Cashflows'!L9</f>
        <v>509950.65522839094</v>
      </c>
      <c r="N9" s="306">
        <f>(1+CHOOSE('Inputs &amp; Assumptions'!$B$14,'Inputs &amp; Assumptions'!$G$39,'Inputs &amp; Assumptions'!$G$40,'Inputs &amp; Assumptions'!$G$41))*'Monthly Cashflows'!M9</f>
        <v>511208.33111474715</v>
      </c>
      <c r="O9" s="307">
        <f>(1+CHOOSE('Inputs &amp; Assumptions'!$B$14,'Inputs &amp; Assumptions'!$G$39,'Inputs &amp; Assumptions'!$G$40,'Inputs &amp; Assumptions'!$G$41))*'Monthly Cashflows'!N9</f>
        <v>512469.10876912525</v>
      </c>
      <c r="P9" s="308">
        <f>(1+CHOOSE('Inputs &amp; Assumptions'!$B$14,'Inputs &amp; Assumptions'!$G$39,'Inputs &amp; Assumptions'!$G$40,'Inputs &amp; Assumptions'!$G$41))*'Monthly Cashflows'!O9</f>
        <v>513732.99584132194</v>
      </c>
      <c r="Q9" s="305">
        <f>(1+CHOOSE('Inputs &amp; Assumptions'!$B$14,'Inputs &amp; Assumptions'!$G$39,'Inputs &amp; Assumptions'!$G$40,'Inputs &amp; Assumptions'!$G$41))*'Monthly Cashflows'!P9</f>
        <v>515000.00000000041</v>
      </c>
      <c r="R9" s="306">
        <f>(1+CHOOSE('Inputs &amp; Assumptions'!$B$14,'Inputs &amp; Assumptions'!$G$39,'Inputs &amp; Assumptions'!$G$40,'Inputs &amp; Assumptions'!$G$41))*'Monthly Cashflows'!Q9</f>
        <v>516270.12893273681</v>
      </c>
      <c r="S9" s="307">
        <f>(1+CHOOSE('Inputs &amp; Assumptions'!$B$14,'Inputs &amp; Assumptions'!$G$39,'Inputs &amp; Assumptions'!$G$40,'Inputs &amp; Assumptions'!$G$41))*'Monthly Cashflows'!R9</f>
        <v>517543.39034606697</v>
      </c>
      <c r="T9" s="306">
        <f>(1+CHOOSE('Inputs &amp; Assumptions'!$B$14,'Inputs &amp; Assumptions'!$G$39,'Inputs &amp; Assumptions'!$G$40,'Inputs &amp; Assumptions'!$G$41))*'Monthly Cashflows'!S9</f>
        <v>518819.79196553305</v>
      </c>
      <c r="U9" s="307">
        <f>(1+CHOOSE('Inputs &amp; Assumptions'!$B$14,'Inputs &amp; Assumptions'!$G$39,'Inputs &amp; Assumptions'!$G$40,'Inputs &amp; Assumptions'!$G$41))*'Monthly Cashflows'!T9</f>
        <v>520099.34153573052</v>
      </c>
      <c r="V9" s="306">
        <f>(1+CHOOSE('Inputs &amp; Assumptions'!$B$14,'Inputs &amp; Assumptions'!$G$39,'Inputs &amp; Assumptions'!$G$40,'Inputs &amp; Assumptions'!$G$41))*'Monthly Cashflows'!U9</f>
        <v>521382.04682035517</v>
      </c>
      <c r="W9" s="307">
        <f>(1+CHOOSE('Inputs &amp; Assumptions'!$B$14,'Inputs &amp; Assumptions'!$G$39,'Inputs &amp; Assumptions'!$G$40,'Inputs &amp; Assumptions'!$G$41))*'Monthly Cashflows'!V9</f>
        <v>522667.91560225002</v>
      </c>
      <c r="X9" s="306">
        <f>(1+CHOOSE('Inputs &amp; Assumptions'!$B$14,'Inputs &amp; Assumptions'!$G$39,'Inputs &amp; Assumptions'!$G$40,'Inputs &amp; Assumptions'!$G$41))*'Monthly Cashflows'!W9</f>
        <v>523956.95568345283</v>
      </c>
      <c r="Y9" s="307">
        <f>(1+CHOOSE('Inputs &amp; Assumptions'!$B$14,'Inputs &amp; Assumptions'!$G$39,'Inputs &amp; Assumptions'!$G$40,'Inputs &amp; Assumptions'!$G$41))*'Monthly Cashflows'!X9</f>
        <v>525249.17488524318</v>
      </c>
      <c r="Z9" s="306">
        <f>(1+CHOOSE('Inputs &amp; Assumptions'!$B$14,'Inputs &amp; Assumptions'!$G$39,'Inputs &amp; Assumptions'!$G$40,'Inputs &amp; Assumptions'!$G$41))*'Monthly Cashflows'!Y9</f>
        <v>526544.58104819013</v>
      </c>
      <c r="AA9" s="307">
        <f>(1+CHOOSE('Inputs &amp; Assumptions'!$B$14,'Inputs &amp; Assumptions'!$G$39,'Inputs &amp; Assumptions'!$G$40,'Inputs &amp; Assumptions'!$G$41))*'Monthly Cashflows'!Z9</f>
        <v>527843.18203219958</v>
      </c>
      <c r="AB9" s="308">
        <f>(1+CHOOSE('Inputs &amp; Assumptions'!$B$14,'Inputs &amp; Assumptions'!$G$39,'Inputs &amp; Assumptions'!$G$40,'Inputs &amp; Assumptions'!$G$41))*'Monthly Cashflows'!AA9</f>
        <v>529144.98571656214</v>
      </c>
      <c r="AC9" s="305">
        <f>(1+CHOOSE('Inputs &amp; Assumptions'!$B$14,'Inputs &amp; Assumptions'!$G$39,'Inputs &amp; Assumptions'!$G$40,'Inputs &amp; Assumptions'!$G$41))*'Monthly Cashflows'!AB9</f>
        <v>530450.00000000093</v>
      </c>
      <c r="AD9" s="306">
        <f>(1+CHOOSE('Inputs &amp; Assumptions'!$B$14,'Inputs &amp; Assumptions'!$G$39,'Inputs &amp; Assumptions'!$G$40,'Inputs &amp; Assumptions'!$G$41))*'Monthly Cashflows'!AC9</f>
        <v>531758.23280071944</v>
      </c>
      <c r="AE9" s="307">
        <f>(1+CHOOSE('Inputs &amp; Assumptions'!$B$14,'Inputs &amp; Assumptions'!$G$39,'Inputs &amp; Assumptions'!$G$40,'Inputs &amp; Assumptions'!$G$41))*'Monthly Cashflows'!AD9</f>
        <v>533069.69205644948</v>
      </c>
      <c r="AF9" s="306">
        <f>(1+CHOOSE('Inputs &amp; Assumptions'!$B$14,'Inputs &amp; Assumptions'!$G$39,'Inputs &amp; Assumptions'!$G$40,'Inputs &amp; Assumptions'!$G$41))*'Monthly Cashflows'!AE9</f>
        <v>534384.38572449959</v>
      </c>
      <c r="AG9" s="307">
        <f>(1+CHOOSE('Inputs &amp; Assumptions'!$B$14,'Inputs &amp; Assumptions'!$G$39,'Inputs &amp; Assumptions'!$G$40,'Inputs &amp; Assumptions'!$G$41))*'Monthly Cashflows'!AF9</f>
        <v>535702.32178180304</v>
      </c>
      <c r="AH9" s="306">
        <f>(1+CHOOSE('Inputs &amp; Assumptions'!$B$14,'Inputs &amp; Assumptions'!$G$39,'Inputs &amp; Assumptions'!$G$40,'Inputs &amp; Assumptions'!$G$41))*'Monthly Cashflows'!AG9</f>
        <v>537023.50822496635</v>
      </c>
      <c r="AI9" s="307">
        <f>(1+CHOOSE('Inputs &amp; Assumptions'!$B$14,'Inputs &amp; Assumptions'!$G$39,'Inputs &amp; Assumptions'!$G$40,'Inputs &amp; Assumptions'!$G$41))*'Monthly Cashflows'!AH9</f>
        <v>538347.95307031809</v>
      </c>
      <c r="AJ9" s="306">
        <f>(1+CHOOSE('Inputs &amp; Assumptions'!$B$14,'Inputs &amp; Assumptions'!$G$39,'Inputs &amp; Assumptions'!$G$40,'Inputs &amp; Assumptions'!$G$41))*'Monthly Cashflows'!AI9</f>
        <v>539675.66435395693</v>
      </c>
      <c r="AK9" s="307">
        <f>(1+CHOOSE('Inputs &amp; Assumptions'!$B$14,'Inputs &amp; Assumptions'!$G$39,'Inputs &amp; Assumptions'!$G$40,'Inputs &amp; Assumptions'!$G$41))*'Monthly Cashflows'!AJ9</f>
        <v>541006.65013180103</v>
      </c>
      <c r="AL9" s="306">
        <f>(1+CHOOSE('Inputs &amp; Assumptions'!$B$14,'Inputs &amp; Assumptions'!$G$39,'Inputs &amp; Assumptions'!$G$40,'Inputs &amp; Assumptions'!$G$41))*'Monthly Cashflows'!AK9</f>
        <v>542340.91847963631</v>
      </c>
      <c r="AM9" s="307">
        <f>(1+CHOOSE('Inputs &amp; Assumptions'!$B$14,'Inputs &amp; Assumptions'!$G$39,'Inputs &amp; Assumptions'!$G$40,'Inputs &amp; Assumptions'!$G$41))*'Monthly Cashflows'!AL9</f>
        <v>543678.47749316611</v>
      </c>
      <c r="AN9" s="308">
        <f>(1+CHOOSE('Inputs &amp; Assumptions'!$B$14,'Inputs &amp; Assumptions'!$G$39,'Inputs &amp; Assumptions'!$G$40,'Inputs &amp; Assumptions'!$G$41))*'Monthly Cashflows'!AM9</f>
        <v>545019.33528805955</v>
      </c>
      <c r="AO9" s="305">
        <f>(1+CHOOSE('Inputs &amp; Assumptions'!$B$14,'Inputs &amp; Assumptions'!$G$39,'Inputs &amp; Assumptions'!$G$40,'Inputs &amp; Assumptions'!$G$41))*'Monthly Cashflows'!AN9</f>
        <v>546363.50000000151</v>
      </c>
      <c r="AP9" s="306">
        <f>(1+CHOOSE('Inputs &amp; Assumptions'!$B$14,'Inputs &amp; Assumptions'!$G$39,'Inputs &amp; Assumptions'!$G$40,'Inputs &amp; Assumptions'!$G$41))*'Monthly Cashflows'!AO9</f>
        <v>547710.97978474153</v>
      </c>
      <c r="AQ9" s="307">
        <f>(1+CHOOSE('Inputs &amp; Assumptions'!$B$14,'Inputs &amp; Assumptions'!$G$39,'Inputs &amp; Assumptions'!$G$40,'Inputs &amp; Assumptions'!$G$41))*'Monthly Cashflows'!AP9</f>
        <v>549061.78281814349</v>
      </c>
      <c r="AR9" s="306">
        <f>(1+CHOOSE('Inputs &amp; Assumptions'!$B$14,'Inputs &amp; Assumptions'!$G$39,'Inputs &amp; Assumptions'!$G$40,'Inputs &amp; Assumptions'!$G$41))*'Monthly Cashflows'!AQ9</f>
        <v>550415.9172962351</v>
      </c>
      <c r="AS9" s="307">
        <f>(1+CHOOSE('Inputs &amp; Assumptions'!$B$14,'Inputs &amp; Assumptions'!$G$39,'Inputs &amp; Assumptions'!$G$40,'Inputs &amp; Assumptions'!$G$41))*'Monthly Cashflows'!AR9</f>
        <v>551773.39143525762</v>
      </c>
      <c r="AT9" s="306">
        <f>(1+CHOOSE('Inputs &amp; Assumptions'!$B$14,'Inputs &amp; Assumptions'!$G$39,'Inputs &amp; Assumptions'!$G$40,'Inputs &amp; Assumptions'!$G$41))*'Monthly Cashflows'!AS9</f>
        <v>553134.21347171592</v>
      </c>
      <c r="AU9" s="307">
        <f>(1+CHOOSE('Inputs &amp; Assumptions'!$B$14,'Inputs &amp; Assumptions'!$G$39,'Inputs &amp; Assumptions'!$G$40,'Inputs &amp; Assumptions'!$G$41))*'Monthly Cashflows'!AT9</f>
        <v>554498.39166242816</v>
      </c>
      <c r="AV9" s="306">
        <f>(1+CHOOSE('Inputs &amp; Assumptions'!$B$14,'Inputs &amp; Assumptions'!$G$39,'Inputs &amp; Assumptions'!$G$40,'Inputs &amp; Assumptions'!$G$41))*'Monthly Cashflows'!AU9</f>
        <v>555865.93428457621</v>
      </c>
      <c r="AW9" s="307">
        <f>(1+CHOOSE('Inputs &amp; Assumptions'!$B$14,'Inputs &amp; Assumptions'!$G$39,'Inputs &amp; Assumptions'!$G$40,'Inputs &amp; Assumptions'!$G$41))*'Monthly Cashflows'!AV9</f>
        <v>557236.84963575564</v>
      </c>
      <c r="AX9" s="306">
        <f>(1+CHOOSE('Inputs &amp; Assumptions'!$B$14,'Inputs &amp; Assumptions'!$G$39,'Inputs &amp; Assumptions'!$G$40,'Inputs &amp; Assumptions'!$G$41))*'Monthly Cashflows'!AW9</f>
        <v>558611.14603402605</v>
      </c>
      <c r="AY9" s="307">
        <f>(1+CHOOSE('Inputs &amp; Assumptions'!$B$14,'Inputs &amp; Assumptions'!$G$39,'Inputs &amp; Assumptions'!$G$40,'Inputs &amp; Assumptions'!$G$41))*'Monthly Cashflows'!AX9</f>
        <v>559988.83181796165</v>
      </c>
      <c r="AZ9" s="308">
        <f>(1+CHOOSE('Inputs &amp; Assumptions'!$B$14,'Inputs &amp; Assumptions'!$G$39,'Inputs &amp; Assumptions'!$G$40,'Inputs &amp; Assumptions'!$G$41))*'Monthly Cashflows'!AY9</f>
        <v>561369.91534670198</v>
      </c>
      <c r="BA9" s="305">
        <f>(1+CHOOSE('Inputs &amp; Assumptions'!$B$14,'Inputs &amp; Assumptions'!$G$39,'Inputs &amp; Assumptions'!$G$40,'Inputs &amp; Assumptions'!$G$41))*'Monthly Cashflows'!AZ9</f>
        <v>562754.40500000224</v>
      </c>
      <c r="BB9" s="306">
        <f>(1+CHOOSE('Inputs &amp; Assumptions'!$B$14,'Inputs &amp; Assumptions'!$G$39,'Inputs &amp; Assumptions'!$G$40,'Inputs &amp; Assumptions'!$G$41))*'Monthly Cashflows'!BA9</f>
        <v>564142.30917828449</v>
      </c>
      <c r="BC9" s="307">
        <f>(1+CHOOSE('Inputs &amp; Assumptions'!$B$14,'Inputs &amp; Assumptions'!$G$39,'Inputs &amp; Assumptions'!$G$40,'Inputs &amp; Assumptions'!$G$41))*'Monthly Cashflows'!BB9</f>
        <v>565533.63630268851</v>
      </c>
      <c r="BD9" s="306">
        <f>(1+CHOOSE('Inputs &amp; Assumptions'!$B$14,'Inputs &amp; Assumptions'!$G$39,'Inputs &amp; Assumptions'!$G$40,'Inputs &amp; Assumptions'!$G$41))*'Monthly Cashflows'!BC9</f>
        <v>566928.39481512283</v>
      </c>
      <c r="BE9" s="307">
        <f>(1+CHOOSE('Inputs &amp; Assumptions'!$B$14,'Inputs &amp; Assumptions'!$G$39,'Inputs &amp; Assumptions'!$G$40,'Inputs &amp; Assumptions'!$G$41))*'Monthly Cashflows'!BD9</f>
        <v>568326.59317831602</v>
      </c>
      <c r="BF9" s="306">
        <f>(1+CHOOSE('Inputs &amp; Assumptions'!$B$14,'Inputs &amp; Assumptions'!$G$39,'Inputs &amp; Assumptions'!$G$40,'Inputs &amp; Assumptions'!$G$41))*'Monthly Cashflows'!BE9</f>
        <v>569728.23987586808</v>
      </c>
      <c r="BG9" s="307">
        <f>(1+CHOOSE('Inputs &amp; Assumptions'!$B$14,'Inputs &amp; Assumptions'!$G$39,'Inputs &amp; Assumptions'!$G$40,'Inputs &amp; Assumptions'!$G$41))*'Monthly Cashflows'!BF9</f>
        <v>571133.34341230174</v>
      </c>
      <c r="BH9" s="306">
        <f>(1+CHOOSE('Inputs &amp; Assumptions'!$B$14,'Inputs &amp; Assumptions'!$G$39,'Inputs &amp; Assumptions'!$G$40,'Inputs &amp; Assumptions'!$G$41))*'Monthly Cashflows'!BG9</f>
        <v>572541.91231311427</v>
      </c>
      <c r="BI9" s="307">
        <f>(1+CHOOSE('Inputs &amp; Assumptions'!$B$14,'Inputs &amp; Assumptions'!$G$39,'Inputs &amp; Assumptions'!$G$40,'Inputs &amp; Assumptions'!$G$41))*'Monthly Cashflows'!BH9</f>
        <v>573953.95512482908</v>
      </c>
      <c r="BJ9" s="306">
        <f>(1+CHOOSE('Inputs &amp; Assumptions'!$B$14,'Inputs &amp; Assumptions'!$G$39,'Inputs &amp; Assumptions'!$G$40,'Inputs &amp; Assumptions'!$G$41))*'Monthly Cashflows'!BI9</f>
        <v>575369.48041504761</v>
      </c>
      <c r="BK9" s="307">
        <f>(1+CHOOSE('Inputs &amp; Assumptions'!$B$14,'Inputs &amp; Assumptions'!$G$39,'Inputs &amp; Assumptions'!$G$40,'Inputs &amp; Assumptions'!$G$41))*'Monthly Cashflows'!BJ9</f>
        <v>576788.49677250127</v>
      </c>
      <c r="BL9" s="308">
        <f>(1+CHOOSE('Inputs &amp; Assumptions'!$B$14,'Inputs &amp; Assumptions'!$G$39,'Inputs &amp; Assumptions'!$G$40,'Inputs &amp; Assumptions'!$G$41))*'Monthly Cashflows'!BK9</f>
        <v>578211.01280710381</v>
      </c>
    </row>
    <row r="10" spans="2:76">
      <c r="C10" s="147" t="s">
        <v>193</v>
      </c>
      <c r="D10" s="147"/>
      <c r="E10" s="295">
        <v>0</v>
      </c>
      <c r="F10" s="294">
        <f>IFERROR(F9/E9-1,"0")</f>
        <v>2.4662697723036864E-3</v>
      </c>
      <c r="G10" s="297">
        <f t="shared" ref="G10:BL10" si="1">IFERROR(G9/F9-1,"-")</f>
        <v>2.4662697723036864E-3</v>
      </c>
      <c r="H10" s="294">
        <f t="shared" si="1"/>
        <v>2.4662697723036864E-3</v>
      </c>
      <c r="I10" s="297">
        <f t="shared" si="1"/>
        <v>2.4662697723036864E-3</v>
      </c>
      <c r="J10" s="294">
        <f t="shared" si="1"/>
        <v>2.4662697723036864E-3</v>
      </c>
      <c r="K10" s="297">
        <f t="shared" si="1"/>
        <v>2.4662697723036864E-3</v>
      </c>
      <c r="L10" s="294">
        <f t="shared" si="1"/>
        <v>2.4662697723036864E-3</v>
      </c>
      <c r="M10" s="297">
        <f t="shared" si="1"/>
        <v>2.4662697723036864E-3</v>
      </c>
      <c r="N10" s="294">
        <f t="shared" si="1"/>
        <v>2.4662697723036864E-3</v>
      </c>
      <c r="O10" s="297">
        <f t="shared" si="1"/>
        <v>2.4662697723036864E-3</v>
      </c>
      <c r="P10" s="298">
        <f t="shared" si="1"/>
        <v>2.4662697723036864E-3</v>
      </c>
      <c r="Q10" s="295">
        <f t="shared" si="1"/>
        <v>2.4662697723036864E-3</v>
      </c>
      <c r="R10" s="294">
        <f t="shared" si="1"/>
        <v>2.4662697723036864E-3</v>
      </c>
      <c r="S10" s="297">
        <f t="shared" si="1"/>
        <v>2.4662697723036864E-3</v>
      </c>
      <c r="T10" s="294">
        <f t="shared" si="1"/>
        <v>2.4662697723036864E-3</v>
      </c>
      <c r="U10" s="297">
        <f t="shared" si="1"/>
        <v>2.4662697723036864E-3</v>
      </c>
      <c r="V10" s="294">
        <f t="shared" si="1"/>
        <v>2.4662697723036864E-3</v>
      </c>
      <c r="W10" s="297">
        <f t="shared" si="1"/>
        <v>2.4662697723036864E-3</v>
      </c>
      <c r="X10" s="294">
        <f t="shared" si="1"/>
        <v>2.4662697723036864E-3</v>
      </c>
      <c r="Y10" s="297">
        <f t="shared" si="1"/>
        <v>2.4662697723036864E-3</v>
      </c>
      <c r="Z10" s="294">
        <f t="shared" si="1"/>
        <v>2.4662697723036864E-3</v>
      </c>
      <c r="AA10" s="297">
        <f t="shared" si="1"/>
        <v>2.4662697723036864E-3</v>
      </c>
      <c r="AB10" s="298">
        <f t="shared" si="1"/>
        <v>2.4662697723036864E-3</v>
      </c>
      <c r="AC10" s="295">
        <f t="shared" si="1"/>
        <v>2.4662697723036864E-3</v>
      </c>
      <c r="AD10" s="294">
        <f t="shared" si="1"/>
        <v>2.4662697723036864E-3</v>
      </c>
      <c r="AE10" s="297">
        <f t="shared" si="1"/>
        <v>2.4662697723036864E-3</v>
      </c>
      <c r="AF10" s="294">
        <f t="shared" si="1"/>
        <v>2.4662697723036864E-3</v>
      </c>
      <c r="AG10" s="297">
        <f t="shared" si="1"/>
        <v>2.4662697723036864E-3</v>
      </c>
      <c r="AH10" s="294">
        <f t="shared" si="1"/>
        <v>2.4662697723036864E-3</v>
      </c>
      <c r="AI10" s="297">
        <f t="shared" si="1"/>
        <v>2.4662697723036864E-3</v>
      </c>
      <c r="AJ10" s="294">
        <f t="shared" si="1"/>
        <v>2.4662697723036864E-3</v>
      </c>
      <c r="AK10" s="297">
        <f t="shared" si="1"/>
        <v>2.4662697723036864E-3</v>
      </c>
      <c r="AL10" s="294">
        <f t="shared" si="1"/>
        <v>2.4662697723036864E-3</v>
      </c>
      <c r="AM10" s="297">
        <f t="shared" si="1"/>
        <v>2.4662697723036864E-3</v>
      </c>
      <c r="AN10" s="298">
        <f t="shared" si="1"/>
        <v>2.4662697723036864E-3</v>
      </c>
      <c r="AO10" s="295">
        <f t="shared" si="1"/>
        <v>2.4662697723036864E-3</v>
      </c>
      <c r="AP10" s="294">
        <f t="shared" si="1"/>
        <v>2.4662697723036864E-3</v>
      </c>
      <c r="AQ10" s="297">
        <f t="shared" si="1"/>
        <v>2.4662697723036864E-3</v>
      </c>
      <c r="AR10" s="294">
        <f t="shared" si="1"/>
        <v>2.4662697723036864E-3</v>
      </c>
      <c r="AS10" s="297">
        <f t="shared" si="1"/>
        <v>2.4662697723036864E-3</v>
      </c>
      <c r="AT10" s="294">
        <f t="shared" si="1"/>
        <v>2.4662697723036864E-3</v>
      </c>
      <c r="AU10" s="297">
        <f t="shared" si="1"/>
        <v>2.4662697723036864E-3</v>
      </c>
      <c r="AV10" s="294">
        <f t="shared" si="1"/>
        <v>2.4662697723036864E-3</v>
      </c>
      <c r="AW10" s="297">
        <f t="shared" si="1"/>
        <v>2.4662697723036864E-3</v>
      </c>
      <c r="AX10" s="294">
        <f t="shared" si="1"/>
        <v>2.4662697723036864E-3</v>
      </c>
      <c r="AY10" s="297">
        <f t="shared" si="1"/>
        <v>2.4662697723036864E-3</v>
      </c>
      <c r="AZ10" s="298">
        <f t="shared" si="1"/>
        <v>2.4662697723036864E-3</v>
      </c>
      <c r="BA10" s="295">
        <f t="shared" si="1"/>
        <v>2.4662697723036864E-3</v>
      </c>
      <c r="BB10" s="294">
        <f t="shared" si="1"/>
        <v>2.4662697723036864E-3</v>
      </c>
      <c r="BC10" s="297">
        <f t="shared" si="1"/>
        <v>2.4662697723036864E-3</v>
      </c>
      <c r="BD10" s="294">
        <f t="shared" si="1"/>
        <v>2.4662697723036864E-3</v>
      </c>
      <c r="BE10" s="297">
        <f t="shared" si="1"/>
        <v>2.4662697723036864E-3</v>
      </c>
      <c r="BF10" s="294">
        <f t="shared" si="1"/>
        <v>2.4662697723036864E-3</v>
      </c>
      <c r="BG10" s="297">
        <f t="shared" si="1"/>
        <v>2.4662697723036864E-3</v>
      </c>
      <c r="BH10" s="294">
        <f t="shared" si="1"/>
        <v>2.4662697723036864E-3</v>
      </c>
      <c r="BI10" s="297">
        <f t="shared" si="1"/>
        <v>2.4662697723036864E-3</v>
      </c>
      <c r="BJ10" s="294">
        <f t="shared" si="1"/>
        <v>2.4662697723036864E-3</v>
      </c>
      <c r="BK10" s="297">
        <f t="shared" si="1"/>
        <v>2.4662697723036864E-3</v>
      </c>
      <c r="BL10" s="298">
        <f t="shared" si="1"/>
        <v>2.4662697723036864E-3</v>
      </c>
    </row>
    <row r="11" spans="2:76">
      <c r="C11" s="147"/>
      <c r="D11" s="147"/>
      <c r="E11" s="305"/>
      <c r="F11" s="306"/>
      <c r="G11" s="307"/>
      <c r="H11" s="306"/>
      <c r="I11" s="307"/>
      <c r="J11" s="306"/>
      <c r="K11" s="307"/>
      <c r="L11" s="306"/>
      <c r="M11" s="307"/>
      <c r="N11" s="306"/>
      <c r="O11" s="307"/>
      <c r="P11" s="308"/>
      <c r="Q11" s="305"/>
      <c r="R11" s="306"/>
      <c r="S11" s="307"/>
      <c r="T11" s="306"/>
      <c r="U11" s="307"/>
      <c r="V11" s="306"/>
      <c r="W11" s="307"/>
      <c r="X11" s="306"/>
      <c r="Y11" s="307"/>
      <c r="Z11" s="306"/>
      <c r="AA11" s="307"/>
      <c r="AB11" s="308"/>
      <c r="AC11" s="305"/>
      <c r="AD11" s="306"/>
      <c r="AE11" s="307"/>
      <c r="AF11" s="306"/>
      <c r="AG11" s="307"/>
      <c r="AH11" s="306"/>
      <c r="AI11" s="307"/>
      <c r="AJ11" s="306"/>
      <c r="AK11" s="307"/>
      <c r="AL11" s="306"/>
      <c r="AM11" s="307"/>
      <c r="AN11" s="308"/>
      <c r="AO11" s="305"/>
      <c r="AP11" s="306"/>
      <c r="AQ11" s="307"/>
      <c r="AR11" s="306"/>
      <c r="AS11" s="307"/>
      <c r="AT11" s="306"/>
      <c r="AU11" s="307"/>
      <c r="AV11" s="306"/>
      <c r="AW11" s="307"/>
      <c r="AX11" s="306"/>
      <c r="AY11" s="307"/>
      <c r="AZ11" s="308"/>
      <c r="BA11" s="305"/>
      <c r="BB11" s="306"/>
      <c r="BC11" s="307"/>
      <c r="BD11" s="306"/>
      <c r="BE11" s="307"/>
      <c r="BF11" s="306"/>
      <c r="BG11" s="307"/>
      <c r="BH11" s="306"/>
      <c r="BI11" s="307"/>
      <c r="BJ11" s="306"/>
      <c r="BK11" s="307"/>
      <c r="BL11" s="308"/>
    </row>
    <row r="12" spans="2:76">
      <c r="C12" s="147" t="s">
        <v>195</v>
      </c>
      <c r="D12" s="147"/>
      <c r="E12" s="326">
        <v>0</v>
      </c>
      <c r="F12" s="306" t="str">
        <f ca="1">IF(E29&gt;0,E29,"0")</f>
        <v>0</v>
      </c>
      <c r="G12" s="307" t="str">
        <f t="shared" ref="G12:BL12" ca="1" si="2">IF(F29&gt;0,F29,"0")</f>
        <v>0</v>
      </c>
      <c r="H12" s="306" t="str">
        <f t="shared" ca="1" si="2"/>
        <v>0</v>
      </c>
      <c r="I12" s="307" t="str">
        <f t="shared" ca="1" si="2"/>
        <v>0</v>
      </c>
      <c r="J12" s="306" t="str">
        <f t="shared" ca="1" si="2"/>
        <v>0</v>
      </c>
      <c r="K12" s="307" t="str">
        <f t="shared" ca="1" si="2"/>
        <v>0</v>
      </c>
      <c r="L12" s="306" t="str">
        <f t="shared" ca="1" si="2"/>
        <v>0</v>
      </c>
      <c r="M12" s="307" t="str">
        <f t="shared" ca="1" si="2"/>
        <v>0</v>
      </c>
      <c r="N12" s="306" t="str">
        <f t="shared" ca="1" si="2"/>
        <v>0</v>
      </c>
      <c r="O12" s="307" t="str">
        <f t="shared" ca="1" si="2"/>
        <v>0</v>
      </c>
      <c r="P12" s="308" t="str">
        <f t="shared" ca="1" si="2"/>
        <v>0</v>
      </c>
      <c r="Q12" s="305" t="str">
        <f t="shared" ca="1" si="2"/>
        <v>0</v>
      </c>
      <c r="R12" s="306" t="str">
        <f t="shared" ca="1" si="2"/>
        <v>0</v>
      </c>
      <c r="S12" s="307" t="str">
        <f t="shared" ca="1" si="2"/>
        <v>0</v>
      </c>
      <c r="T12" s="306" t="str">
        <f t="shared" ca="1" si="2"/>
        <v>0</v>
      </c>
      <c r="U12" s="307" t="str">
        <f t="shared" ca="1" si="2"/>
        <v>0</v>
      </c>
      <c r="V12" s="306" t="str">
        <f t="shared" ca="1" si="2"/>
        <v>0</v>
      </c>
      <c r="W12" s="307" t="str">
        <f t="shared" ca="1" si="2"/>
        <v>0</v>
      </c>
      <c r="X12" s="306" t="str">
        <f t="shared" ca="1" si="2"/>
        <v>0</v>
      </c>
      <c r="Y12" s="307" t="str">
        <f t="shared" ca="1" si="2"/>
        <v>0</v>
      </c>
      <c r="Z12" s="306" t="str">
        <f t="shared" ca="1" si="2"/>
        <v>0</v>
      </c>
      <c r="AA12" s="307" t="str">
        <f t="shared" ca="1" si="2"/>
        <v>0</v>
      </c>
      <c r="AB12" s="308" t="str">
        <f t="shared" ca="1" si="2"/>
        <v>0</v>
      </c>
      <c r="AC12" s="305" t="str">
        <f t="shared" ca="1" si="2"/>
        <v>0</v>
      </c>
      <c r="AD12" s="306" t="str">
        <f t="shared" ca="1" si="2"/>
        <v>0</v>
      </c>
      <c r="AE12" s="307" t="str">
        <f t="shared" ca="1" si="2"/>
        <v>0</v>
      </c>
      <c r="AF12" s="306" t="str">
        <f t="shared" ca="1" si="2"/>
        <v>0</v>
      </c>
      <c r="AG12" s="307" t="str">
        <f t="shared" ca="1" si="2"/>
        <v>0</v>
      </c>
      <c r="AH12" s="306" t="str">
        <f t="shared" ca="1" si="2"/>
        <v>0</v>
      </c>
      <c r="AI12" s="307" t="str">
        <f t="shared" ca="1" si="2"/>
        <v>0</v>
      </c>
      <c r="AJ12" s="306" t="str">
        <f t="shared" ca="1" si="2"/>
        <v>0</v>
      </c>
      <c r="AK12" s="307" t="str">
        <f t="shared" ca="1" si="2"/>
        <v>0</v>
      </c>
      <c r="AL12" s="306" t="str">
        <f t="shared" ca="1" si="2"/>
        <v>0</v>
      </c>
      <c r="AM12" s="307" t="str">
        <f t="shared" ca="1" si="2"/>
        <v>0</v>
      </c>
      <c r="AN12" s="308" t="str">
        <f t="shared" ca="1" si="2"/>
        <v>0</v>
      </c>
      <c r="AO12" s="305" t="str">
        <f t="shared" ca="1" si="2"/>
        <v>0</v>
      </c>
      <c r="AP12" s="306" t="str">
        <f t="shared" ca="1" si="2"/>
        <v>0</v>
      </c>
      <c r="AQ12" s="307" t="str">
        <f t="shared" ca="1" si="2"/>
        <v>0</v>
      </c>
      <c r="AR12" s="306" t="str">
        <f t="shared" ca="1" si="2"/>
        <v>0</v>
      </c>
      <c r="AS12" s="307" t="str">
        <f t="shared" ca="1" si="2"/>
        <v>0</v>
      </c>
      <c r="AT12" s="306" t="str">
        <f t="shared" ca="1" si="2"/>
        <v>0</v>
      </c>
      <c r="AU12" s="307" t="str">
        <f t="shared" ca="1" si="2"/>
        <v>0</v>
      </c>
      <c r="AV12" s="306" t="str">
        <f t="shared" ca="1" si="2"/>
        <v>0</v>
      </c>
      <c r="AW12" s="307" t="str">
        <f t="shared" ca="1" si="2"/>
        <v>0</v>
      </c>
      <c r="AX12" s="306" t="str">
        <f t="shared" ca="1" si="2"/>
        <v>0</v>
      </c>
      <c r="AY12" s="307" t="str">
        <f t="shared" ca="1" si="2"/>
        <v>0</v>
      </c>
      <c r="AZ12" s="308" t="str">
        <f t="shared" ca="1" si="2"/>
        <v>0</v>
      </c>
      <c r="BA12" s="305" t="str">
        <f t="shared" ca="1" si="2"/>
        <v>0</v>
      </c>
      <c r="BB12" s="306" t="str">
        <f t="shared" ca="1" si="2"/>
        <v>0</v>
      </c>
      <c r="BC12" s="307" t="str">
        <f t="shared" ca="1" si="2"/>
        <v>0</v>
      </c>
      <c r="BD12" s="306" t="str">
        <f t="shared" ca="1" si="2"/>
        <v>0</v>
      </c>
      <c r="BE12" s="307" t="str">
        <f t="shared" ca="1" si="2"/>
        <v>0</v>
      </c>
      <c r="BF12" s="306" t="str">
        <f t="shared" ca="1" si="2"/>
        <v>0</v>
      </c>
      <c r="BG12" s="307" t="str">
        <f t="shared" ca="1" si="2"/>
        <v>0</v>
      </c>
      <c r="BH12" s="306" t="str">
        <f t="shared" ca="1" si="2"/>
        <v>0</v>
      </c>
      <c r="BI12" s="307" t="str">
        <f t="shared" ca="1" si="2"/>
        <v>0</v>
      </c>
      <c r="BJ12" s="306" t="str">
        <f t="shared" ca="1" si="2"/>
        <v>0</v>
      </c>
      <c r="BK12" s="307" t="str">
        <f t="shared" ca="1" si="2"/>
        <v>0</v>
      </c>
      <c r="BL12" s="308" t="str">
        <f t="shared" ca="1" si="2"/>
        <v>0</v>
      </c>
    </row>
    <row r="13" spans="2:76">
      <c r="C13" s="147" t="s">
        <v>193</v>
      </c>
      <c r="D13" s="147"/>
      <c r="E13" s="305">
        <v>0</v>
      </c>
      <c r="F13" s="294" t="str">
        <f ca="1">IFERROR(F12/E12-1,"0")</f>
        <v>0</v>
      </c>
      <c r="G13" s="297" t="str">
        <f t="shared" ref="G13:BL13" ca="1" si="3">IFERROR(G12/F12-1,"0")</f>
        <v>0</v>
      </c>
      <c r="H13" s="294" t="str">
        <f t="shared" ca="1" si="3"/>
        <v>0</v>
      </c>
      <c r="I13" s="297" t="str">
        <f t="shared" ca="1" si="3"/>
        <v>0</v>
      </c>
      <c r="J13" s="294" t="str">
        <f t="shared" ca="1" si="3"/>
        <v>0</v>
      </c>
      <c r="K13" s="297" t="str">
        <f t="shared" ca="1" si="3"/>
        <v>0</v>
      </c>
      <c r="L13" s="294" t="str">
        <f t="shared" ca="1" si="3"/>
        <v>0</v>
      </c>
      <c r="M13" s="297" t="str">
        <f t="shared" ca="1" si="3"/>
        <v>0</v>
      </c>
      <c r="N13" s="294" t="str">
        <f t="shared" ca="1" si="3"/>
        <v>0</v>
      </c>
      <c r="O13" s="297" t="str">
        <f t="shared" ca="1" si="3"/>
        <v>0</v>
      </c>
      <c r="P13" s="298" t="str">
        <f t="shared" ca="1" si="3"/>
        <v>0</v>
      </c>
      <c r="Q13" s="295" t="str">
        <f t="shared" ca="1" si="3"/>
        <v>0</v>
      </c>
      <c r="R13" s="294" t="str">
        <f t="shared" ca="1" si="3"/>
        <v>0</v>
      </c>
      <c r="S13" s="297" t="str">
        <f t="shared" ca="1" si="3"/>
        <v>0</v>
      </c>
      <c r="T13" s="294" t="str">
        <f t="shared" ca="1" si="3"/>
        <v>0</v>
      </c>
      <c r="U13" s="297" t="str">
        <f t="shared" ca="1" si="3"/>
        <v>0</v>
      </c>
      <c r="V13" s="294" t="str">
        <f t="shared" ca="1" si="3"/>
        <v>0</v>
      </c>
      <c r="W13" s="297" t="str">
        <f t="shared" ca="1" si="3"/>
        <v>0</v>
      </c>
      <c r="X13" s="294" t="str">
        <f t="shared" ca="1" si="3"/>
        <v>0</v>
      </c>
      <c r="Y13" s="297" t="str">
        <f t="shared" ca="1" si="3"/>
        <v>0</v>
      </c>
      <c r="Z13" s="294" t="str">
        <f t="shared" ca="1" si="3"/>
        <v>0</v>
      </c>
      <c r="AA13" s="297" t="str">
        <f t="shared" ca="1" si="3"/>
        <v>0</v>
      </c>
      <c r="AB13" s="298" t="str">
        <f t="shared" ca="1" si="3"/>
        <v>0</v>
      </c>
      <c r="AC13" s="295" t="str">
        <f t="shared" ca="1" si="3"/>
        <v>0</v>
      </c>
      <c r="AD13" s="294" t="str">
        <f t="shared" ca="1" si="3"/>
        <v>0</v>
      </c>
      <c r="AE13" s="297" t="str">
        <f t="shared" ca="1" si="3"/>
        <v>0</v>
      </c>
      <c r="AF13" s="294" t="str">
        <f t="shared" ca="1" si="3"/>
        <v>0</v>
      </c>
      <c r="AG13" s="297" t="str">
        <f t="shared" ca="1" si="3"/>
        <v>0</v>
      </c>
      <c r="AH13" s="294" t="str">
        <f t="shared" ca="1" si="3"/>
        <v>0</v>
      </c>
      <c r="AI13" s="297" t="str">
        <f t="shared" ca="1" si="3"/>
        <v>0</v>
      </c>
      <c r="AJ13" s="294" t="str">
        <f t="shared" ca="1" si="3"/>
        <v>0</v>
      </c>
      <c r="AK13" s="297" t="str">
        <f t="shared" ca="1" si="3"/>
        <v>0</v>
      </c>
      <c r="AL13" s="294" t="str">
        <f t="shared" ca="1" si="3"/>
        <v>0</v>
      </c>
      <c r="AM13" s="297" t="str">
        <f t="shared" ca="1" si="3"/>
        <v>0</v>
      </c>
      <c r="AN13" s="298" t="str">
        <f t="shared" ca="1" si="3"/>
        <v>0</v>
      </c>
      <c r="AO13" s="295" t="str">
        <f t="shared" ca="1" si="3"/>
        <v>0</v>
      </c>
      <c r="AP13" s="294" t="str">
        <f t="shared" ca="1" si="3"/>
        <v>0</v>
      </c>
      <c r="AQ13" s="297" t="str">
        <f t="shared" ca="1" si="3"/>
        <v>0</v>
      </c>
      <c r="AR13" s="294" t="str">
        <f t="shared" ca="1" si="3"/>
        <v>0</v>
      </c>
      <c r="AS13" s="297" t="str">
        <f t="shared" ca="1" si="3"/>
        <v>0</v>
      </c>
      <c r="AT13" s="294" t="str">
        <f t="shared" ca="1" si="3"/>
        <v>0</v>
      </c>
      <c r="AU13" s="297" t="str">
        <f t="shared" ca="1" si="3"/>
        <v>0</v>
      </c>
      <c r="AV13" s="294" t="str">
        <f t="shared" ca="1" si="3"/>
        <v>0</v>
      </c>
      <c r="AW13" s="297" t="str">
        <f t="shared" ca="1" si="3"/>
        <v>0</v>
      </c>
      <c r="AX13" s="294" t="str">
        <f t="shared" ca="1" si="3"/>
        <v>0</v>
      </c>
      <c r="AY13" s="297" t="str">
        <f t="shared" ca="1" si="3"/>
        <v>0</v>
      </c>
      <c r="AZ13" s="298" t="str">
        <f t="shared" ca="1" si="3"/>
        <v>0</v>
      </c>
      <c r="BA13" s="295" t="str">
        <f t="shared" ca="1" si="3"/>
        <v>0</v>
      </c>
      <c r="BB13" s="294" t="str">
        <f t="shared" ca="1" si="3"/>
        <v>0</v>
      </c>
      <c r="BC13" s="297" t="str">
        <f t="shared" ca="1" si="3"/>
        <v>0</v>
      </c>
      <c r="BD13" s="294" t="str">
        <f t="shared" ca="1" si="3"/>
        <v>0</v>
      </c>
      <c r="BE13" s="297" t="str">
        <f t="shared" ca="1" si="3"/>
        <v>0</v>
      </c>
      <c r="BF13" s="294" t="str">
        <f t="shared" ca="1" si="3"/>
        <v>0</v>
      </c>
      <c r="BG13" s="297" t="str">
        <f t="shared" ca="1" si="3"/>
        <v>0</v>
      </c>
      <c r="BH13" s="294" t="str">
        <f t="shared" ca="1" si="3"/>
        <v>0</v>
      </c>
      <c r="BI13" s="297" t="str">
        <f t="shared" ca="1" si="3"/>
        <v>0</v>
      </c>
      <c r="BJ13" s="294" t="str">
        <f t="shared" ca="1" si="3"/>
        <v>0</v>
      </c>
      <c r="BK13" s="297" t="str">
        <f t="shared" ca="1" si="3"/>
        <v>0</v>
      </c>
      <c r="BL13" s="298" t="str">
        <f t="shared" ca="1" si="3"/>
        <v>0</v>
      </c>
    </row>
    <row r="14" spans="2:76">
      <c r="C14" s="147"/>
      <c r="D14" s="147"/>
      <c r="E14" s="305"/>
      <c r="F14" s="306"/>
      <c r="G14" s="307"/>
      <c r="H14" s="306"/>
      <c r="I14" s="307"/>
      <c r="J14" s="306"/>
      <c r="K14" s="307"/>
      <c r="L14" s="306"/>
      <c r="M14" s="307"/>
      <c r="N14" s="306"/>
      <c r="O14" s="307"/>
      <c r="P14" s="308"/>
      <c r="Q14" s="305"/>
      <c r="R14" s="306"/>
      <c r="S14" s="307"/>
      <c r="T14" s="306"/>
      <c r="U14" s="307"/>
      <c r="V14" s="306"/>
      <c r="W14" s="307"/>
      <c r="X14" s="306"/>
      <c r="Y14" s="307"/>
      <c r="Z14" s="306"/>
      <c r="AA14" s="307"/>
      <c r="AB14" s="308"/>
      <c r="AC14" s="305"/>
      <c r="AD14" s="306"/>
      <c r="AE14" s="307"/>
      <c r="AF14" s="306"/>
      <c r="AG14" s="307"/>
      <c r="AH14" s="306"/>
      <c r="AI14" s="307"/>
      <c r="AJ14" s="306"/>
      <c r="AK14" s="307"/>
      <c r="AL14" s="306"/>
      <c r="AM14" s="307"/>
      <c r="AN14" s="308"/>
      <c r="AO14" s="305"/>
      <c r="AP14" s="306"/>
      <c r="AQ14" s="307"/>
      <c r="AR14" s="306"/>
      <c r="AS14" s="307"/>
      <c r="AT14" s="306"/>
      <c r="AU14" s="307"/>
      <c r="AV14" s="306"/>
      <c r="AW14" s="307"/>
      <c r="AX14" s="306"/>
      <c r="AY14" s="307"/>
      <c r="AZ14" s="308"/>
      <c r="BA14" s="305"/>
      <c r="BB14" s="306"/>
      <c r="BC14" s="307"/>
      <c r="BD14" s="306"/>
      <c r="BE14" s="307"/>
      <c r="BF14" s="306"/>
      <c r="BG14" s="307"/>
      <c r="BH14" s="306"/>
      <c r="BI14" s="307"/>
      <c r="BJ14" s="306"/>
      <c r="BK14" s="307"/>
      <c r="BL14" s="308"/>
    </row>
    <row r="15" spans="2:76">
      <c r="C15" s="147" t="s">
        <v>146</v>
      </c>
      <c r="D15" s="147"/>
      <c r="E15" s="305">
        <f>CHOOSE('Inputs &amp; Assumptions'!B11,'Inputs &amp; Assumptions'!F20,'Inputs &amp; Assumptions'!F21,'Inputs &amp; Assumptions'!F22,'Inputs &amp; Assumptions'!F23,'Inputs &amp; Assumptions'!F24,'Inputs &amp; Assumptions'!F25)</f>
        <v>2858.4465224090577</v>
      </c>
      <c r="F15" s="306">
        <f>E15</f>
        <v>2858.4465224090577</v>
      </c>
      <c r="G15" s="307">
        <f t="shared" ref="G15:BL15" si="4">F15</f>
        <v>2858.4465224090577</v>
      </c>
      <c r="H15" s="306">
        <f t="shared" si="4"/>
        <v>2858.4465224090577</v>
      </c>
      <c r="I15" s="307">
        <f t="shared" si="4"/>
        <v>2858.4465224090577</v>
      </c>
      <c r="J15" s="306">
        <f t="shared" si="4"/>
        <v>2858.4465224090577</v>
      </c>
      <c r="K15" s="307">
        <f t="shared" si="4"/>
        <v>2858.4465224090577</v>
      </c>
      <c r="L15" s="306">
        <f t="shared" si="4"/>
        <v>2858.4465224090577</v>
      </c>
      <c r="M15" s="307">
        <f t="shared" si="4"/>
        <v>2858.4465224090577</v>
      </c>
      <c r="N15" s="306">
        <f t="shared" si="4"/>
        <v>2858.4465224090577</v>
      </c>
      <c r="O15" s="307">
        <f t="shared" si="4"/>
        <v>2858.4465224090577</v>
      </c>
      <c r="P15" s="308">
        <f t="shared" si="4"/>
        <v>2858.4465224090577</v>
      </c>
      <c r="Q15" s="305">
        <f t="shared" si="4"/>
        <v>2858.4465224090577</v>
      </c>
      <c r="R15" s="306">
        <f t="shared" si="4"/>
        <v>2858.4465224090577</v>
      </c>
      <c r="S15" s="307">
        <f t="shared" si="4"/>
        <v>2858.4465224090577</v>
      </c>
      <c r="T15" s="306">
        <f t="shared" si="4"/>
        <v>2858.4465224090577</v>
      </c>
      <c r="U15" s="307">
        <f t="shared" si="4"/>
        <v>2858.4465224090577</v>
      </c>
      <c r="V15" s="306">
        <f t="shared" si="4"/>
        <v>2858.4465224090577</v>
      </c>
      <c r="W15" s="307">
        <f t="shared" si="4"/>
        <v>2858.4465224090577</v>
      </c>
      <c r="X15" s="306">
        <f t="shared" si="4"/>
        <v>2858.4465224090577</v>
      </c>
      <c r="Y15" s="307">
        <f t="shared" si="4"/>
        <v>2858.4465224090577</v>
      </c>
      <c r="Z15" s="306">
        <f t="shared" si="4"/>
        <v>2858.4465224090577</v>
      </c>
      <c r="AA15" s="307">
        <f t="shared" si="4"/>
        <v>2858.4465224090577</v>
      </c>
      <c r="AB15" s="308">
        <f t="shared" si="4"/>
        <v>2858.4465224090577</v>
      </c>
      <c r="AC15" s="305">
        <f t="shared" si="4"/>
        <v>2858.4465224090577</v>
      </c>
      <c r="AD15" s="306">
        <f t="shared" si="4"/>
        <v>2858.4465224090577</v>
      </c>
      <c r="AE15" s="307">
        <f t="shared" si="4"/>
        <v>2858.4465224090577</v>
      </c>
      <c r="AF15" s="306">
        <f t="shared" si="4"/>
        <v>2858.4465224090577</v>
      </c>
      <c r="AG15" s="307">
        <f t="shared" si="4"/>
        <v>2858.4465224090577</v>
      </c>
      <c r="AH15" s="306">
        <f t="shared" si="4"/>
        <v>2858.4465224090577</v>
      </c>
      <c r="AI15" s="307">
        <f t="shared" si="4"/>
        <v>2858.4465224090577</v>
      </c>
      <c r="AJ15" s="306">
        <f t="shared" si="4"/>
        <v>2858.4465224090577</v>
      </c>
      <c r="AK15" s="307">
        <f t="shared" si="4"/>
        <v>2858.4465224090577</v>
      </c>
      <c r="AL15" s="306">
        <f t="shared" si="4"/>
        <v>2858.4465224090577</v>
      </c>
      <c r="AM15" s="307">
        <f t="shared" si="4"/>
        <v>2858.4465224090577</v>
      </c>
      <c r="AN15" s="308">
        <f t="shared" si="4"/>
        <v>2858.4465224090577</v>
      </c>
      <c r="AO15" s="305">
        <f t="shared" si="4"/>
        <v>2858.4465224090577</v>
      </c>
      <c r="AP15" s="306">
        <f t="shared" si="4"/>
        <v>2858.4465224090577</v>
      </c>
      <c r="AQ15" s="307">
        <f t="shared" si="4"/>
        <v>2858.4465224090577</v>
      </c>
      <c r="AR15" s="306">
        <f t="shared" si="4"/>
        <v>2858.4465224090577</v>
      </c>
      <c r="AS15" s="307">
        <f t="shared" si="4"/>
        <v>2858.4465224090577</v>
      </c>
      <c r="AT15" s="306">
        <f t="shared" si="4"/>
        <v>2858.4465224090577</v>
      </c>
      <c r="AU15" s="307">
        <f t="shared" si="4"/>
        <v>2858.4465224090577</v>
      </c>
      <c r="AV15" s="306">
        <f t="shared" si="4"/>
        <v>2858.4465224090577</v>
      </c>
      <c r="AW15" s="307">
        <f t="shared" si="4"/>
        <v>2858.4465224090577</v>
      </c>
      <c r="AX15" s="306">
        <f t="shared" si="4"/>
        <v>2858.4465224090577</v>
      </c>
      <c r="AY15" s="307">
        <f t="shared" si="4"/>
        <v>2858.4465224090577</v>
      </c>
      <c r="AZ15" s="308">
        <f t="shared" si="4"/>
        <v>2858.4465224090577</v>
      </c>
      <c r="BA15" s="305">
        <f t="shared" si="4"/>
        <v>2858.4465224090577</v>
      </c>
      <c r="BB15" s="306">
        <f t="shared" si="4"/>
        <v>2858.4465224090577</v>
      </c>
      <c r="BC15" s="307">
        <f t="shared" si="4"/>
        <v>2858.4465224090577</v>
      </c>
      <c r="BD15" s="306">
        <f t="shared" si="4"/>
        <v>2858.4465224090577</v>
      </c>
      <c r="BE15" s="307">
        <f t="shared" si="4"/>
        <v>2858.4465224090577</v>
      </c>
      <c r="BF15" s="306">
        <f t="shared" si="4"/>
        <v>2858.4465224090577</v>
      </c>
      <c r="BG15" s="307">
        <f t="shared" si="4"/>
        <v>2858.4465224090577</v>
      </c>
      <c r="BH15" s="306">
        <f t="shared" si="4"/>
        <v>2858.4465224090577</v>
      </c>
      <c r="BI15" s="307">
        <f t="shared" si="4"/>
        <v>2858.4465224090577</v>
      </c>
      <c r="BJ15" s="306">
        <f t="shared" si="4"/>
        <v>2858.4465224090577</v>
      </c>
      <c r="BK15" s="307">
        <f t="shared" si="4"/>
        <v>2858.4465224090577</v>
      </c>
      <c r="BL15" s="308">
        <f t="shared" si="4"/>
        <v>2858.4465224090577</v>
      </c>
    </row>
    <row r="16" spans="2:76">
      <c r="C16" s="147" t="s">
        <v>196</v>
      </c>
      <c r="D16" s="147"/>
      <c r="E16" s="305">
        <f>PPMT('Inputs &amp; Assumptions'!$E$109,'Monthly Cashflows'!E3,'Inputs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497.68449821768905</v>
      </c>
      <c r="F16" s="306">
        <f>PPMT('Inputs &amp; Assumptions'!$E$109,'Monthly Cashflows'!F3,'Inputs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500.10700267835102</v>
      </c>
      <c r="G16" s="307">
        <f>PPMT('Inputs &amp; Assumptions'!$E$109,'Monthly Cashflows'!G3,'Inputs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502.54129880197007</v>
      </c>
      <c r="H16" s="306">
        <f>PPMT('Inputs &amp; Assumptions'!$E$109,'Monthly Cashflows'!H3,'Inputs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504.9874439850617</v>
      </c>
      <c r="I16" s="307">
        <f>PPMT('Inputs &amp; Assumptions'!$E$109,'Monthly Cashflows'!I3,'Inputs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507.44549590352244</v>
      </c>
      <c r="J16" s="306">
        <f>PPMT('Inputs &amp; Assumptions'!$E$109,'Monthly Cashflows'!J3,'Inputs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509.9155125139884</v>
      </c>
      <c r="K16" s="307">
        <f>PPMT('Inputs &amp; Assumptions'!$E$109,'Monthly Cashflows'!K3,'Inputs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512.39755205520305</v>
      </c>
      <c r="L16" s="306">
        <f>PPMT('Inputs &amp; Assumptions'!$E$109,'Monthly Cashflows'!L3,'Inputs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514.89167304938985</v>
      </c>
      <c r="M16" s="307">
        <f>PPMT('Inputs &amp; Assumptions'!$E$109,'Monthly Cashflows'!M3,'Inputs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517.3979343036317</v>
      </c>
      <c r="N16" s="306">
        <f>PPMT('Inputs &amp; Assumptions'!$E$109,'Monthly Cashflows'!N3,'Inputs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519.91639491125875</v>
      </c>
      <c r="O16" s="307">
        <f>PPMT('Inputs &amp; Assumptions'!$E$109,'Monthly Cashflows'!O3,'Inputs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522.4471142532401</v>
      </c>
      <c r="P16" s="308">
        <f>PPMT('Inputs &amp; Assumptions'!$E$109,'Monthly Cashflows'!P3,'Inputs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524.99015199958535</v>
      </c>
      <c r="Q16" s="305">
        <f>PPMT('Inputs &amp; Assumptions'!$E$109,'Monthly Cashflows'!Q3,'Inputs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527.54556811075042</v>
      </c>
      <c r="R16" s="306">
        <f>PPMT('Inputs &amp; Assumptions'!$E$109,'Monthly Cashflows'!R3,'Inputs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530.11342283905208</v>
      </c>
      <c r="S16" s="307">
        <f>PPMT('Inputs &amp; Assumptions'!$E$109,'Monthly Cashflows'!S3,'Inputs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532.6937767300883</v>
      </c>
      <c r="T16" s="306">
        <f>PPMT('Inputs &amp; Assumptions'!$E$109,'Monthly Cashflows'!T3,'Inputs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535.28669062416554</v>
      </c>
      <c r="U16" s="307">
        <f>PPMT('Inputs &amp; Assumptions'!$E$109,'Monthly Cashflows'!U3,'Inputs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537.89222565773377</v>
      </c>
      <c r="V16" s="306">
        <f>PPMT('Inputs &amp; Assumptions'!$E$109,'Monthly Cashflows'!V3,'Inputs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540.51044326482781</v>
      </c>
      <c r="W16" s="307">
        <f>PPMT('Inputs &amp; Assumptions'!$E$109,'Monthly Cashflows'!W3,'Inputs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543.14140517851536</v>
      </c>
      <c r="X16" s="306">
        <f>PPMT('Inputs &amp; Assumptions'!$E$109,'Monthly Cashflows'!X3,'Inputs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545.78517343235319</v>
      </c>
      <c r="Y16" s="307">
        <f>PPMT('Inputs &amp; Assumptions'!$E$109,'Monthly Cashflows'!Y3,'Inputs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548.44181036184955</v>
      </c>
      <c r="Z16" s="306">
        <f>PPMT('Inputs &amp; Assumptions'!$E$109,'Monthly Cashflows'!Z3,'Inputs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551.11137860593431</v>
      </c>
      <c r="AA16" s="307">
        <f>PPMT('Inputs &amp; Assumptions'!$E$109,'Monthly Cashflows'!AA3,'Inputs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553.79394110843464</v>
      </c>
      <c r="AB16" s="308">
        <f>PPMT('Inputs &amp; Assumptions'!$E$109,'Monthly Cashflows'!AB3,'Inputs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556.48956111956045</v>
      </c>
      <c r="AC16" s="305">
        <f>PPMT('Inputs &amp; Assumptions'!$E$109,'Monthly Cashflows'!AC3,'Inputs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559.19830219739549</v>
      </c>
      <c r="AD16" s="306">
        <f>PPMT('Inputs &amp; Assumptions'!$E$109,'Monthly Cashflows'!AD3,'Inputs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561.9202282093953</v>
      </c>
      <c r="AE16" s="307">
        <f>PPMT('Inputs &amp; Assumptions'!$E$109,'Monthly Cashflows'!AE3,'Inputs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564.65540333389356</v>
      </c>
      <c r="AF16" s="306">
        <f>PPMT('Inputs &amp; Assumptions'!$E$109,'Monthly Cashflows'!AF3,'Inputs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567.40389206161558</v>
      </c>
      <c r="AG16" s="307">
        <f>PPMT('Inputs &amp; Assumptions'!$E$109,'Monthly Cashflows'!AG3,'Inputs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570.16575919719799</v>
      </c>
      <c r="AH16" s="306">
        <f>PPMT('Inputs &amp; Assumptions'!$E$109,'Monthly Cashflows'!AH3,'Inputs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572.94106986071756</v>
      </c>
      <c r="AI16" s="307">
        <f>PPMT('Inputs &amp; Assumptions'!$E$109,'Monthly Cashflows'!AI3,'Inputs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575.72988948922625</v>
      </c>
      <c r="AJ16" s="306">
        <f>PPMT('Inputs &amp; Assumptions'!$E$109,'Monthly Cashflows'!AJ3,'Inputs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578.53228383829446</v>
      </c>
      <c r="AK16" s="307">
        <f>PPMT('Inputs &amp; Assumptions'!$E$109,'Monthly Cashflows'!AK3,'Inputs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581.34831898356083</v>
      </c>
      <c r="AL16" s="306">
        <f>PPMT('Inputs &amp; Assumptions'!$E$109,'Monthly Cashflows'!AL3,'Inputs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584.17806132229032</v>
      </c>
      <c r="AM16" s="307">
        <f>PPMT('Inputs &amp; Assumptions'!$E$109,'Monthly Cashflows'!AM3,'Inputs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587.02157757494069</v>
      </c>
      <c r="AN16" s="308">
        <f>PPMT('Inputs &amp; Assumptions'!$E$109,'Monthly Cashflows'!AN3,'Inputs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589.87893478673425</v>
      </c>
      <c r="AO16" s="305">
        <f>PPMT('Inputs &amp; Assumptions'!$E$109,'Monthly Cashflows'!AO3,'Inputs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592.75020032923931</v>
      </c>
      <c r="AP16" s="306">
        <f>PPMT('Inputs &amp; Assumptions'!$E$109,'Monthly Cashflows'!AP3,'Inputs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595.6354419019591</v>
      </c>
      <c r="AQ16" s="307">
        <f>PPMT('Inputs &amp; Assumptions'!$E$109,'Monthly Cashflows'!AQ3,'Inputs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598.53472753392737</v>
      </c>
      <c r="AR16" s="306">
        <f>PPMT('Inputs &amp; Assumptions'!$E$109,'Monthly Cashflows'!AR3,'Inputs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601.4481255853126</v>
      </c>
      <c r="AS16" s="307">
        <f>PPMT('Inputs &amp; Assumptions'!$E$109,'Monthly Cashflows'!AS3,'Inputs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604.37570474902986</v>
      </c>
      <c r="AT16" s="306">
        <f>PPMT('Inputs &amp; Assumptions'!$E$109,'Monthly Cashflows'!AT3,'Inputs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607.31753405236066</v>
      </c>
      <c r="AU16" s="307">
        <f>PPMT('Inputs &amp; Assumptions'!$E$109,'Monthly Cashflows'!AU3,'Inputs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610.27368285857995</v>
      </c>
      <c r="AV16" s="306">
        <f>PPMT('Inputs &amp; Assumptions'!$E$109,'Monthly Cashflows'!AV3,'Inputs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613.24422086859215</v>
      </c>
      <c r="AW16" s="307">
        <f>PPMT('Inputs &amp; Assumptions'!$E$109,'Monthly Cashflows'!AW3,'Inputs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616.22921812257448</v>
      </c>
      <c r="AX16" s="306">
        <f>PPMT('Inputs &amp; Assumptions'!$E$109,'Monthly Cashflows'!AX3,'Inputs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619.22874500162789</v>
      </c>
      <c r="AY16" s="307">
        <f>PPMT('Inputs &amp; Assumptions'!$E$109,'Monthly Cashflows'!AY3,'Inputs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622.24287222943735</v>
      </c>
      <c r="AZ16" s="308">
        <f>PPMT('Inputs &amp; Assumptions'!$E$109,'Monthly Cashflows'!AZ3,'Inputs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625.27167087393832</v>
      </c>
      <c r="BA16" s="305">
        <f>PPMT('Inputs &amp; Assumptions'!$E$109,'Monthly Cashflows'!BA3,'Inputs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628.31521234899378</v>
      </c>
      <c r="BB16" s="306">
        <f>PPMT('Inputs &amp; Assumptions'!$E$109,'Monthly Cashflows'!BB3,'Inputs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631.37356841607675</v>
      </c>
      <c r="BC16" s="307">
        <f>PPMT('Inputs &amp; Assumptions'!$E$109,'Monthly Cashflows'!BC3,'Inputs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634.44681118596304</v>
      </c>
      <c r="BD16" s="306">
        <f>PPMT('Inputs &amp; Assumptions'!$E$109,'Monthly Cashflows'!BD3,'Inputs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637.53501312043136</v>
      </c>
      <c r="BE16" s="307">
        <f>PPMT('Inputs &amp; Assumptions'!$E$109,'Monthly Cashflows'!BE3,'Inputs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640.63824703397165</v>
      </c>
      <c r="BF16" s="306">
        <f>PPMT('Inputs &amp; Assumptions'!$E$109,'Monthly Cashflows'!BF3,'Inputs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643.75658609550237</v>
      </c>
      <c r="BG16" s="307">
        <f>PPMT('Inputs &amp; Assumptions'!$E$109,'Monthly Cashflows'!BG3,'Inputs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646.89010383009474</v>
      </c>
      <c r="BH16" s="306">
        <f>PPMT('Inputs &amp; Assumptions'!$E$109,'Monthly Cashflows'!BH3,'Inputs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650.03887412070787</v>
      </c>
      <c r="BI16" s="307">
        <f>PPMT('Inputs &amp; Assumptions'!$E$109,'Monthly Cashflows'!BI3,'Inputs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653.20297120992893</v>
      </c>
      <c r="BJ16" s="306">
        <f>PPMT('Inputs &amp; Assumptions'!$E$109,'Monthly Cashflows'!BJ3,'Inputs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656.38246970172565</v>
      </c>
      <c r="BK16" s="307">
        <f>PPMT('Inputs &amp; Assumptions'!$E$109,'Monthly Cashflows'!BK3,'Inputs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659.57744456320358</v>
      </c>
      <c r="BL16" s="308">
        <f>PPMT('Inputs &amp; Assumptions'!$E$109,'Monthly Cashflows'!BL3,'Inputs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662.78797112637483</v>
      </c>
    </row>
    <row r="17" spans="3:64">
      <c r="C17" s="147" t="s">
        <v>197</v>
      </c>
      <c r="D17" s="147"/>
      <c r="E17" s="305">
        <f>IPMT('Inputs &amp; Assumptions'!$E$109,'Monthly Cashflows'!E3,'Inputs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2360.7620241913783</v>
      </c>
      <c r="F17" s="306">
        <f>IPMT('Inputs &amp; Assumptions'!$E$109,'Monthly Cashflows'!F3,'Inputs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2358.3395197307168</v>
      </c>
      <c r="G17" s="307">
        <f>IPMT('Inputs &amp; Assumptions'!$E$109,'Monthly Cashflows'!G3,'Inputs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2355.9052236070975</v>
      </c>
      <c r="H17" s="306">
        <f>IPMT('Inputs &amp; Assumptions'!$E$109,'Monthly Cashflows'!H3,'Inputs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2353.4590784240058</v>
      </c>
      <c r="I17" s="307">
        <f>IPMT('Inputs &amp; Assumptions'!$E$109,'Monthly Cashflows'!I3,'Inputs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2351.0010265055448</v>
      </c>
      <c r="J17" s="306">
        <f>IPMT('Inputs &amp; Assumptions'!$E$109,'Monthly Cashflows'!J3,'Inputs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2348.531009895079</v>
      </c>
      <c r="K17" s="307">
        <f>IPMT('Inputs &amp; Assumptions'!$E$109,'Monthly Cashflows'!K3,'Inputs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2346.0489703538647</v>
      </c>
      <c r="L17" s="306">
        <f>IPMT('Inputs &amp; Assumptions'!$E$109,'Monthly Cashflows'!L3,'Inputs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2343.5548493596775</v>
      </c>
      <c r="M17" s="307">
        <f>IPMT('Inputs &amp; Assumptions'!$E$109,'Monthly Cashflows'!M3,'Inputs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2341.0485881054356</v>
      </c>
      <c r="N17" s="306">
        <f>IPMT('Inputs &amp; Assumptions'!$E$109,'Monthly Cashflows'!N3,'Inputs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2338.5301274978087</v>
      </c>
      <c r="O17" s="307">
        <f>IPMT('Inputs &amp; Assumptions'!$E$109,'Monthly Cashflows'!O3,'Inputs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2335.9994081558275</v>
      </c>
      <c r="P17" s="308">
        <f>IPMT('Inputs &amp; Assumptions'!$E$109,'Monthly Cashflows'!P3,'Inputs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2333.4563704094821</v>
      </c>
      <c r="Q17" s="305">
        <f>IPMT('Inputs &amp; Assumptions'!$E$109,'Monthly Cashflows'!Q3,'Inputs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2330.9009542983172</v>
      </c>
      <c r="R17" s="306">
        <f>IPMT('Inputs &amp; Assumptions'!$E$109,'Monthly Cashflows'!R3,'Inputs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2328.3330995700153</v>
      </c>
      <c r="S17" s="307">
        <f>IPMT('Inputs &amp; Assumptions'!$E$109,'Monthly Cashflows'!S3,'Inputs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2325.752745678979</v>
      </c>
      <c r="T17" s="306">
        <f>IPMT('Inputs &amp; Assumptions'!$E$109,'Monthly Cashflows'!T3,'Inputs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2323.1598317849016</v>
      </c>
      <c r="U17" s="307">
        <f>IPMT('Inputs &amp; Assumptions'!$E$109,'Monthly Cashflows'!U3,'Inputs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2320.5542967513338</v>
      </c>
      <c r="V17" s="306">
        <f>IPMT('Inputs &amp; Assumptions'!$E$109,'Monthly Cashflows'!V3,'Inputs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2317.93607914424</v>
      </c>
      <c r="W17" s="307">
        <f>IPMT('Inputs &amp; Assumptions'!$E$109,'Monthly Cashflows'!W3,'Inputs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2315.3051172305522</v>
      </c>
      <c r="X17" s="306">
        <f>IPMT('Inputs &amp; Assumptions'!$E$109,'Monthly Cashflows'!X3,'Inputs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2312.6613489767142</v>
      </c>
      <c r="Y17" s="307">
        <f>IPMT('Inputs &amp; Assumptions'!$E$109,'Monthly Cashflows'!Y3,'Inputs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2310.0047120472177</v>
      </c>
      <c r="Z17" s="306">
        <f>IPMT('Inputs &amp; Assumptions'!$E$109,'Monthly Cashflows'!Z3,'Inputs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2307.3351438031332</v>
      </c>
      <c r="AA17" s="307">
        <f>IPMT('Inputs &amp; Assumptions'!$E$109,'Monthly Cashflows'!AA3,'Inputs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2304.6525813006328</v>
      </c>
      <c r="AB17" s="308">
        <f>IPMT('Inputs &amp; Assumptions'!$E$109,'Monthly Cashflows'!AB3,'Inputs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2301.956961289507</v>
      </c>
      <c r="AC17" s="305">
        <f>IPMT('Inputs &amp; Assumptions'!$E$109,'Monthly Cashflows'!AC3,'Inputs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2299.2482202116721</v>
      </c>
      <c r="AD17" s="306">
        <f>IPMT('Inputs &amp; Assumptions'!$E$109,'Monthly Cashflows'!AD3,'Inputs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2296.5262941996721</v>
      </c>
      <c r="AE17" s="307">
        <f>IPMT('Inputs &amp; Assumptions'!$E$109,'Monthly Cashflows'!AE3,'Inputs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2293.7911190751738</v>
      </c>
      <c r="AF17" s="306">
        <f>IPMT('Inputs &amp; Assumptions'!$E$109,'Monthly Cashflows'!AF3,'Inputs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2291.0426303474519</v>
      </c>
      <c r="AG17" s="307">
        <f>IPMT('Inputs &amp; Assumptions'!$E$109,'Monthly Cashflows'!AG3,'Inputs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2288.2807632118697</v>
      </c>
      <c r="AH17" s="306">
        <f>IPMT('Inputs &amp; Assumptions'!$E$109,'Monthly Cashflows'!AH3,'Inputs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2285.5054525483501</v>
      </c>
      <c r="AI17" s="307">
        <f>IPMT('Inputs &amp; Assumptions'!$E$109,'Monthly Cashflows'!AI3,'Inputs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2282.7166329198412</v>
      </c>
      <c r="AJ17" s="306">
        <f>IPMT('Inputs &amp; Assumptions'!$E$109,'Monthly Cashflows'!AJ3,'Inputs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2279.9142385707733</v>
      </c>
      <c r="AK17" s="307">
        <f>IPMT('Inputs &amp; Assumptions'!$E$109,'Monthly Cashflows'!AK3,'Inputs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2277.0982034255067</v>
      </c>
      <c r="AL17" s="306">
        <f>IPMT('Inputs &amp; Assumptions'!$E$109,'Monthly Cashflows'!AL3,'Inputs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2274.2684610867768</v>
      </c>
      <c r="AM17" s="307">
        <f>IPMT('Inputs &amp; Assumptions'!$E$109,'Monthly Cashflows'!AM3,'Inputs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2271.424944834127</v>
      </c>
      <c r="AN17" s="308">
        <f>IPMT('Inputs &amp; Assumptions'!$E$109,'Monthly Cashflows'!AN3,'Inputs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2268.5675876223331</v>
      </c>
      <c r="AO17" s="305">
        <f>IPMT('Inputs &amp; Assumptions'!$E$109,'Monthly Cashflows'!AO3,'Inputs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2265.696322079828</v>
      </c>
      <c r="AP17" s="306">
        <f>IPMT('Inputs &amp; Assumptions'!$E$109,'Monthly Cashflows'!AP3,'Inputs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2262.8110805071087</v>
      </c>
      <c r="AQ17" s="307">
        <f>IPMT('Inputs &amp; Assumptions'!$E$109,'Monthly Cashflows'!AQ3,'Inputs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2259.91179487514</v>
      </c>
      <c r="AR17" s="306">
        <f>IPMT('Inputs &amp; Assumptions'!$E$109,'Monthly Cashflows'!AR3,'Inputs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2256.9983968237548</v>
      </c>
      <c r="AS17" s="307">
        <f>IPMT('Inputs &amp; Assumptions'!$E$109,'Monthly Cashflows'!AS3,'Inputs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2254.0708176600374</v>
      </c>
      <c r="AT17" s="306">
        <f>IPMT('Inputs &amp; Assumptions'!$E$109,'Monthly Cashflows'!AT3,'Inputs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2251.1289883567065</v>
      </c>
      <c r="AU17" s="307">
        <f>IPMT('Inputs &amp; Assumptions'!$E$109,'Monthly Cashflows'!AU3,'Inputs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2248.1728395504874</v>
      </c>
      <c r="AV17" s="306">
        <f>IPMT('Inputs &amp; Assumptions'!$E$109,'Monthly Cashflows'!AV3,'Inputs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2245.2023015404752</v>
      </c>
      <c r="AW17" s="307">
        <f>IPMT('Inputs &amp; Assumptions'!$E$109,'Monthly Cashflows'!AW3,'Inputs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2242.2173042864929</v>
      </c>
      <c r="AX17" s="306">
        <f>IPMT('Inputs &amp; Assumptions'!$E$109,'Monthly Cashflows'!AX3,'Inputs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2239.2177774074394</v>
      </c>
      <c r="AY17" s="307">
        <f>IPMT('Inputs &amp; Assumptions'!$E$109,'Monthly Cashflows'!AY3,'Inputs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2236.2036501796306</v>
      </c>
      <c r="AZ17" s="308">
        <f>IPMT('Inputs &amp; Assumptions'!$E$109,'Monthly Cashflows'!AZ3,'Inputs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2233.1748515351292</v>
      </c>
      <c r="BA17" s="305">
        <f>IPMT('Inputs &amp; Assumptions'!$E$109,'Monthly Cashflows'!BA3,'Inputs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2230.1313100600737</v>
      </c>
      <c r="BB17" s="306">
        <f>IPMT('Inputs &amp; Assumptions'!$E$109,'Monthly Cashflows'!BB3,'Inputs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2227.0729539929907</v>
      </c>
      <c r="BC17" s="307">
        <f>IPMT('Inputs &amp; Assumptions'!$E$109,'Monthly Cashflows'!BC3,'Inputs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2223.9997112231044</v>
      </c>
      <c r="BD17" s="306">
        <f>IPMT('Inputs &amp; Assumptions'!$E$109,'Monthly Cashflows'!BD3,'Inputs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2220.9115092886364</v>
      </c>
      <c r="BE17" s="307">
        <f>IPMT('Inputs &amp; Assumptions'!$E$109,'Monthly Cashflows'!BE3,'Inputs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2217.8082753750959</v>
      </c>
      <c r="BF17" s="306">
        <f>IPMT('Inputs &amp; Assumptions'!$E$109,'Monthly Cashflows'!BF3,'Inputs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2214.6899363135649</v>
      </c>
      <c r="BG17" s="307">
        <f>IPMT('Inputs &amp; Assumptions'!$E$109,'Monthly Cashflows'!BG3,'Inputs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2211.5564185789726</v>
      </c>
      <c r="BH17" s="306">
        <f>IPMT('Inputs &amp; Assumptions'!$E$109,'Monthly Cashflows'!BH3,'Inputs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2208.4076482883593</v>
      </c>
      <c r="BI17" s="307">
        <f>IPMT('Inputs &amp; Assumptions'!$E$109,'Monthly Cashflows'!BI3,'Inputs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2205.2435511991384</v>
      </c>
      <c r="BJ17" s="306">
        <f>IPMT('Inputs &amp; Assumptions'!$E$109,'Monthly Cashflows'!BJ3,'Inputs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2202.0640527073419</v>
      </c>
      <c r="BK17" s="307">
        <f>IPMT('Inputs &amp; Assumptions'!$E$109,'Monthly Cashflows'!BK3,'Inputs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2198.869077845864</v>
      </c>
      <c r="BL17" s="308">
        <f>IPMT('Inputs &amp; Assumptions'!$E$109,'Monthly Cashflows'!BL3,'Inputs &amp; Assumptions'!$E$7,(-CHOOSE('Inputs &amp; Assumptions'!$B$11,'Inputs &amp; Assumptions'!$E$20,'Inputs &amp; Assumptions'!$E$21,'Inputs &amp; Assumptions'!$E$22,'Inputs &amp; Assumptions'!$E$23,'Inputs &amp; Assumptions'!$E$24,'Inputs &amp; Assumptions'!$E$25)))</f>
        <v>2195.6585512826928</v>
      </c>
    </row>
    <row r="18" spans="3:64">
      <c r="C18" s="147" t="s">
        <v>198</v>
      </c>
      <c r="D18" s="147"/>
      <c r="E18" s="305"/>
      <c r="F18" s="306"/>
      <c r="G18" s="307"/>
      <c r="H18" s="306"/>
      <c r="I18" s="307"/>
      <c r="J18" s="306"/>
      <c r="K18" s="307"/>
      <c r="L18" s="306"/>
      <c r="M18" s="307"/>
      <c r="N18" s="306"/>
      <c r="O18" s="307"/>
      <c r="P18" s="308"/>
      <c r="Q18" s="305"/>
      <c r="R18" s="306"/>
      <c r="S18" s="307"/>
      <c r="T18" s="306"/>
      <c r="U18" s="307"/>
      <c r="V18" s="306"/>
      <c r="W18" s="307"/>
      <c r="X18" s="306"/>
      <c r="Y18" s="307"/>
      <c r="Z18" s="306"/>
      <c r="AA18" s="307"/>
      <c r="AB18" s="308"/>
      <c r="AC18" s="305"/>
      <c r="AD18" s="306"/>
      <c r="AE18" s="307"/>
      <c r="AF18" s="306"/>
      <c r="AG18" s="307"/>
      <c r="AH18" s="306"/>
      <c r="AI18" s="307"/>
      <c r="AJ18" s="306"/>
      <c r="AK18" s="307"/>
      <c r="AL18" s="306"/>
      <c r="AM18" s="307"/>
      <c r="AN18" s="308"/>
      <c r="AO18" s="305"/>
      <c r="AP18" s="306"/>
      <c r="AQ18" s="307"/>
      <c r="AR18" s="306"/>
      <c r="AS18" s="307"/>
      <c r="AT18" s="306"/>
      <c r="AU18" s="307"/>
      <c r="AV18" s="306"/>
      <c r="AW18" s="307"/>
      <c r="AX18" s="306"/>
      <c r="AY18" s="307"/>
      <c r="AZ18" s="308"/>
      <c r="BA18" s="305"/>
      <c r="BB18" s="306"/>
      <c r="BC18" s="307"/>
      <c r="BD18" s="306"/>
      <c r="BE18" s="307"/>
      <c r="BF18" s="306"/>
      <c r="BG18" s="307"/>
      <c r="BH18" s="306"/>
      <c r="BI18" s="307"/>
      <c r="BJ18" s="306"/>
      <c r="BK18" s="307"/>
      <c r="BL18" s="308"/>
    </row>
    <row r="19" spans="3:64">
      <c r="C19" s="147" t="s">
        <v>81</v>
      </c>
      <c r="D19" s="147"/>
      <c r="E19" s="305" cm="1">
        <f t="array" ref="E19:J19">_xlfn.MAKEARRAY(1,'Inputs &amp; Assumptions'!$E$62,_xlfn.LAMBDA(_xlpm.r,_xlpm.c,'Inputs &amp; Assumptions'!$J$57))</f>
        <v>3341.9583333333335</v>
      </c>
      <c r="F19" s="306">
        <v>3341.9583333333335</v>
      </c>
      <c r="G19" s="307">
        <v>3341.9583333333335</v>
      </c>
      <c r="H19" s="306">
        <v>3341.9583333333335</v>
      </c>
      <c r="I19" s="307">
        <v>3341.9583333333335</v>
      </c>
      <c r="J19" s="306">
        <v>3341.9583333333335</v>
      </c>
      <c r="K19" s="307"/>
      <c r="L19" s="306"/>
      <c r="M19" s="307"/>
      <c r="N19" s="306"/>
      <c r="O19" s="307"/>
      <c r="P19" s="308"/>
      <c r="Q19" s="305"/>
      <c r="R19" s="306"/>
      <c r="S19" s="307"/>
      <c r="T19" s="306"/>
      <c r="U19" s="307"/>
      <c r="V19" s="306"/>
      <c r="W19" s="307"/>
      <c r="X19" s="306"/>
      <c r="Y19" s="307"/>
      <c r="Z19" s="306"/>
      <c r="AA19" s="307"/>
      <c r="AB19" s="308"/>
      <c r="AC19" s="305"/>
      <c r="AD19" s="306"/>
      <c r="AE19" s="307"/>
      <c r="AF19" s="306"/>
      <c r="AG19" s="307"/>
      <c r="AH19" s="306"/>
      <c r="AI19" s="307"/>
      <c r="AJ19" s="306"/>
      <c r="AK19" s="307"/>
      <c r="AL19" s="306"/>
      <c r="AM19" s="307"/>
      <c r="AN19" s="308"/>
      <c r="AO19" s="305"/>
      <c r="AP19" s="306"/>
      <c r="AQ19" s="307"/>
      <c r="AR19" s="306"/>
      <c r="AS19" s="307"/>
      <c r="AT19" s="306"/>
      <c r="AU19" s="307"/>
      <c r="AV19" s="306"/>
      <c r="AW19" s="307"/>
      <c r="AX19" s="306"/>
      <c r="AY19" s="307"/>
      <c r="AZ19" s="308"/>
      <c r="BA19" s="305"/>
      <c r="BB19" s="306"/>
      <c r="BC19" s="307"/>
      <c r="BD19" s="306"/>
      <c r="BE19" s="307"/>
      <c r="BF19" s="306"/>
      <c r="BG19" s="307"/>
      <c r="BH19" s="306"/>
      <c r="BI19" s="307"/>
      <c r="BJ19" s="306"/>
      <c r="BK19" s="307"/>
      <c r="BL19" s="308"/>
    </row>
    <row r="20" spans="3:64">
      <c r="C20" s="147" t="s">
        <v>149</v>
      </c>
      <c r="D20" s="147"/>
      <c r="E20" s="305" t="str">
        <f>IFERROR((IF('Inputs &amp; Assumptions'!B8="Renovate",'Monthly Cashflows'!#REF!,'Monthly Cashflows'!E6)*'Inputs &amp; Assumptions'!$F$35),"0")</f>
        <v>0</v>
      </c>
      <c r="F20" s="306" t="str">
        <f ca="1">IFERROR((IF('Inputs &amp; Assumptions'!C8="Renovate",'Monthly Cashflows'!#REF!,'Monthly Cashflows'!F6)*'Inputs &amp; Assumptions'!$F$35),"0")</f>
        <v>0</v>
      </c>
      <c r="G20" s="307" t="str">
        <f ca="1">IFERROR((IF('Inputs &amp; Assumptions'!D8="Renovate",'Monthly Cashflows'!#REF!,'Monthly Cashflows'!G6)*'Inputs &amp; Assumptions'!$F$35),"0")</f>
        <v>0</v>
      </c>
      <c r="H20" s="306" t="str">
        <f ca="1">IFERROR((IF('Inputs &amp; Assumptions'!E8="Renovate",'Monthly Cashflows'!#REF!,'Monthly Cashflows'!H6)*'Inputs &amp; Assumptions'!$F$35),"0")</f>
        <v>0</v>
      </c>
      <c r="I20" s="307" t="str">
        <f ca="1">IFERROR((IF('Inputs &amp; Assumptions'!F8="Renovate",'Monthly Cashflows'!#REF!,'Monthly Cashflows'!I6)*'Inputs &amp; Assumptions'!$F$35),"0")</f>
        <v>0</v>
      </c>
      <c r="J20" s="306" t="str">
        <f ca="1">IFERROR((IF('Inputs &amp; Assumptions'!G8="Renovate",'Monthly Cashflows'!#REF!,'Monthly Cashflows'!J6)*'Inputs &amp; Assumptions'!$F$35),"0")</f>
        <v>0</v>
      </c>
      <c r="K20" s="307" t="str">
        <f ca="1">IFERROR((IF('Inputs &amp; Assumptions'!H8="Renovate",'Monthly Cashflows'!#REF!,'Monthly Cashflows'!K6)*'Inputs &amp; Assumptions'!$F$35),"0")</f>
        <v>0</v>
      </c>
      <c r="L20" s="306">
        <f ca="1">IFERROR((IF('Inputs &amp; Assumptions'!I8="Renovate",'Monthly Cashflows'!#REF!,'Monthly Cashflows'!L6)*'Inputs &amp; Assumptions'!$F$35),"0")</f>
        <v>0</v>
      </c>
      <c r="M20" s="307">
        <f ca="1">IFERROR((IF('Inputs &amp; Assumptions'!J8="Renovate",'Monthly Cashflows'!#REF!,'Monthly Cashflows'!M6)*'Inputs &amp; Assumptions'!$F$35),"0")</f>
        <v>0</v>
      </c>
      <c r="N20" s="306">
        <f ca="1">IFERROR((IF('Inputs &amp; Assumptions'!K8="Renovate",'Monthly Cashflows'!#REF!,'Monthly Cashflows'!N6)*'Inputs &amp; Assumptions'!$F$35),"0")</f>
        <v>0</v>
      </c>
      <c r="O20" s="307">
        <f ca="1">IFERROR((IF('Inputs &amp; Assumptions'!L8="Renovate",'Monthly Cashflows'!#REF!,'Monthly Cashflows'!O6)*'Inputs &amp; Assumptions'!$F$35),"0")</f>
        <v>0</v>
      </c>
      <c r="P20" s="308">
        <f ca="1">IFERROR((IF('Inputs &amp; Assumptions'!M8="Renovate",'Monthly Cashflows'!#REF!,'Monthly Cashflows'!P6)*'Inputs &amp; Assumptions'!$F$35),"0")</f>
        <v>0</v>
      </c>
      <c r="Q20" s="305">
        <f ca="1">IFERROR((IF('Inputs &amp; Assumptions'!N8="Renovate",'Monthly Cashflows'!#REF!,'Monthly Cashflows'!Q6)*'Inputs &amp; Assumptions'!$F$35),"0")</f>
        <v>0</v>
      </c>
      <c r="R20" s="306">
        <f ca="1">IFERROR((IF('Inputs &amp; Assumptions'!O8="Renovate",'Monthly Cashflows'!#REF!,'Monthly Cashflows'!R6)*'Inputs &amp; Assumptions'!$F$35),"0")</f>
        <v>0</v>
      </c>
      <c r="S20" s="307">
        <f ca="1">IFERROR((IF('Inputs &amp; Assumptions'!P8="Renovate",'Monthly Cashflows'!#REF!,'Monthly Cashflows'!S6)*'Inputs &amp; Assumptions'!$F$35),"0")</f>
        <v>0</v>
      </c>
      <c r="T20" s="306">
        <f ca="1">IFERROR((IF('Inputs &amp; Assumptions'!Q8="Renovate",'Monthly Cashflows'!#REF!,'Monthly Cashflows'!T6)*'Inputs &amp; Assumptions'!$F$35),"0")</f>
        <v>0</v>
      </c>
      <c r="U20" s="307">
        <f ca="1">IFERROR((IF('Inputs &amp; Assumptions'!R8="Renovate",'Monthly Cashflows'!#REF!,'Monthly Cashflows'!U6)*'Inputs &amp; Assumptions'!$F$35),"0")</f>
        <v>0</v>
      </c>
      <c r="V20" s="306">
        <f ca="1">IFERROR((IF('Inputs &amp; Assumptions'!S8="Renovate",'Monthly Cashflows'!#REF!,'Monthly Cashflows'!V6)*'Inputs &amp; Assumptions'!$F$35),"0")</f>
        <v>0</v>
      </c>
      <c r="W20" s="307">
        <f ca="1">IFERROR((IF('Inputs &amp; Assumptions'!T8="Renovate",'Monthly Cashflows'!#REF!,'Monthly Cashflows'!W6)*'Inputs &amp; Assumptions'!$F$35),"0")</f>
        <v>0</v>
      </c>
      <c r="X20" s="306">
        <f ca="1">IFERROR((IF('Inputs &amp; Assumptions'!U8="Renovate",'Monthly Cashflows'!#REF!,'Monthly Cashflows'!X6)*'Inputs &amp; Assumptions'!$F$35),"0")</f>
        <v>0</v>
      </c>
      <c r="Y20" s="307">
        <f ca="1">IFERROR((IF('Inputs &amp; Assumptions'!V8="Renovate",'Monthly Cashflows'!#REF!,'Monthly Cashflows'!Y6)*'Inputs &amp; Assumptions'!$F$35),"0")</f>
        <v>0</v>
      </c>
      <c r="Z20" s="306">
        <f ca="1">IFERROR((IF('Inputs &amp; Assumptions'!W8="Renovate",'Monthly Cashflows'!#REF!,'Monthly Cashflows'!Z6)*'Inputs &amp; Assumptions'!$F$35),"0")</f>
        <v>0</v>
      </c>
      <c r="AA20" s="307">
        <f ca="1">IFERROR((IF('Inputs &amp; Assumptions'!X8="Renovate",'Monthly Cashflows'!#REF!,'Monthly Cashflows'!AA6)*'Inputs &amp; Assumptions'!$F$35),"0")</f>
        <v>0</v>
      </c>
      <c r="AB20" s="308">
        <f ca="1">IFERROR((IF('Inputs &amp; Assumptions'!Y8="Renovate",'Monthly Cashflows'!#REF!,'Monthly Cashflows'!AB6)*'Inputs &amp; Assumptions'!$F$35),"0")</f>
        <v>0</v>
      </c>
      <c r="AC20" s="305">
        <f ca="1">IFERROR((IF('Inputs &amp; Assumptions'!Z8="Renovate",'Monthly Cashflows'!#REF!,'Monthly Cashflows'!AC6)*'Inputs &amp; Assumptions'!$F$35),"0")</f>
        <v>0</v>
      </c>
      <c r="AD20" s="306">
        <f ca="1">IFERROR((IF('Inputs &amp; Assumptions'!AA8="Renovate",'Monthly Cashflows'!#REF!,'Monthly Cashflows'!AD6)*'Inputs &amp; Assumptions'!$F$35),"0")</f>
        <v>0</v>
      </c>
      <c r="AE20" s="307">
        <f ca="1">IFERROR((IF('Inputs &amp; Assumptions'!AB8="Renovate",'Monthly Cashflows'!#REF!,'Monthly Cashflows'!AE6)*'Inputs &amp; Assumptions'!$F$35),"0")</f>
        <v>0</v>
      </c>
      <c r="AF20" s="306">
        <f ca="1">IFERROR((IF('Inputs &amp; Assumptions'!AC8="Renovate",'Monthly Cashflows'!#REF!,'Monthly Cashflows'!AF6)*'Inputs &amp; Assumptions'!$F$35),"0")</f>
        <v>0</v>
      </c>
      <c r="AG20" s="307">
        <f ca="1">IFERROR((IF('Inputs &amp; Assumptions'!AD8="Renovate",'Monthly Cashflows'!#REF!,'Monthly Cashflows'!AG6)*'Inputs &amp; Assumptions'!$F$35),"0")</f>
        <v>0</v>
      </c>
      <c r="AH20" s="306">
        <f ca="1">IFERROR((IF('Inputs &amp; Assumptions'!AE8="Renovate",'Monthly Cashflows'!#REF!,'Monthly Cashflows'!AH6)*'Inputs &amp; Assumptions'!$F$35),"0")</f>
        <v>0</v>
      </c>
      <c r="AI20" s="307">
        <f ca="1">IFERROR((IF('Inputs &amp; Assumptions'!AF8="Renovate",'Monthly Cashflows'!#REF!,'Monthly Cashflows'!AI6)*'Inputs &amp; Assumptions'!$F$35),"0")</f>
        <v>0</v>
      </c>
      <c r="AJ20" s="306">
        <f ca="1">IFERROR((IF('Inputs &amp; Assumptions'!AG8="Renovate",'Monthly Cashflows'!#REF!,'Monthly Cashflows'!AJ6)*'Inputs &amp; Assumptions'!$F$35),"0")</f>
        <v>0</v>
      </c>
      <c r="AK20" s="307">
        <f ca="1">IFERROR((IF('Inputs &amp; Assumptions'!AH8="Renovate",'Monthly Cashflows'!#REF!,'Monthly Cashflows'!AK6)*'Inputs &amp; Assumptions'!$F$35),"0")</f>
        <v>0</v>
      </c>
      <c r="AL20" s="306">
        <f ca="1">IFERROR((IF('Inputs &amp; Assumptions'!AI8="Renovate",'Monthly Cashflows'!#REF!,'Monthly Cashflows'!AL6)*'Inputs &amp; Assumptions'!$F$35),"0")</f>
        <v>0</v>
      </c>
      <c r="AM20" s="307">
        <f ca="1">IFERROR((IF('Inputs &amp; Assumptions'!AJ8="Renovate",'Monthly Cashflows'!#REF!,'Monthly Cashflows'!AM6)*'Inputs &amp; Assumptions'!$F$35),"0")</f>
        <v>0</v>
      </c>
      <c r="AN20" s="308">
        <f ca="1">IFERROR((IF('Inputs &amp; Assumptions'!AK8="Renovate",'Monthly Cashflows'!#REF!,'Monthly Cashflows'!AN6)*'Inputs &amp; Assumptions'!$F$35),"0")</f>
        <v>0</v>
      </c>
      <c r="AO20" s="305">
        <f ca="1">IFERROR((IF('Inputs &amp; Assumptions'!AL8="Renovate",'Monthly Cashflows'!#REF!,'Monthly Cashflows'!AO6)*'Inputs &amp; Assumptions'!$F$35),"0")</f>
        <v>0</v>
      </c>
      <c r="AP20" s="306">
        <f ca="1">IFERROR((IF('Inputs &amp; Assumptions'!AM8="Renovate",'Monthly Cashflows'!#REF!,'Monthly Cashflows'!AP6)*'Inputs &amp; Assumptions'!$F$35),"0")</f>
        <v>0</v>
      </c>
      <c r="AQ20" s="307">
        <f ca="1">IFERROR((IF('Inputs &amp; Assumptions'!AN8="Renovate",'Monthly Cashflows'!#REF!,'Monthly Cashflows'!AQ6)*'Inputs &amp; Assumptions'!$F$35),"0")</f>
        <v>0</v>
      </c>
      <c r="AR20" s="306">
        <f ca="1">IFERROR((IF('Inputs &amp; Assumptions'!AO8="Renovate",'Monthly Cashflows'!#REF!,'Monthly Cashflows'!AR6)*'Inputs &amp; Assumptions'!$F$35),"0")</f>
        <v>0</v>
      </c>
      <c r="AS20" s="307">
        <f ca="1">IFERROR((IF('Inputs &amp; Assumptions'!AP8="Renovate",'Monthly Cashflows'!#REF!,'Monthly Cashflows'!AS6)*'Inputs &amp; Assumptions'!$F$35),"0")</f>
        <v>0</v>
      </c>
      <c r="AT20" s="306">
        <f ca="1">IFERROR((IF('Inputs &amp; Assumptions'!AQ8="Renovate",'Monthly Cashflows'!#REF!,'Monthly Cashflows'!AT6)*'Inputs &amp; Assumptions'!$F$35),"0")</f>
        <v>0</v>
      </c>
      <c r="AU20" s="307">
        <f ca="1">IFERROR((IF('Inputs &amp; Assumptions'!AR8="Renovate",'Monthly Cashflows'!#REF!,'Monthly Cashflows'!AU6)*'Inputs &amp; Assumptions'!$F$35),"0")</f>
        <v>0</v>
      </c>
      <c r="AV20" s="306">
        <f ca="1">IFERROR((IF('Inputs &amp; Assumptions'!AS8="Renovate",'Monthly Cashflows'!#REF!,'Monthly Cashflows'!AV6)*'Inputs &amp; Assumptions'!$F$35),"0")</f>
        <v>0</v>
      </c>
      <c r="AW20" s="307">
        <f ca="1">IFERROR((IF('Inputs &amp; Assumptions'!AT8="Renovate",'Monthly Cashflows'!#REF!,'Monthly Cashflows'!AW6)*'Inputs &amp; Assumptions'!$F$35),"0")</f>
        <v>0</v>
      </c>
      <c r="AX20" s="306">
        <f ca="1">IFERROR((IF('Inputs &amp; Assumptions'!AU8="Renovate",'Monthly Cashflows'!#REF!,'Monthly Cashflows'!AX6)*'Inputs &amp; Assumptions'!$F$35),"0")</f>
        <v>0</v>
      </c>
      <c r="AY20" s="307">
        <f ca="1">IFERROR((IF('Inputs &amp; Assumptions'!AV8="Renovate",'Monthly Cashflows'!#REF!,'Monthly Cashflows'!AY6)*'Inputs &amp; Assumptions'!$F$35),"0")</f>
        <v>0</v>
      </c>
      <c r="AZ20" s="308">
        <f ca="1">IFERROR((IF('Inputs &amp; Assumptions'!AW8="Renovate",'Monthly Cashflows'!#REF!,'Monthly Cashflows'!AZ6)*'Inputs &amp; Assumptions'!$F$35),"0")</f>
        <v>0</v>
      </c>
      <c r="BA20" s="305">
        <f ca="1">IFERROR((IF('Inputs &amp; Assumptions'!AX8="Renovate",'Monthly Cashflows'!#REF!,'Monthly Cashflows'!BA6)*'Inputs &amp; Assumptions'!$F$35),"0")</f>
        <v>0</v>
      </c>
      <c r="BB20" s="306">
        <f ca="1">IFERROR((IF('Inputs &amp; Assumptions'!AY8="Renovate",'Monthly Cashflows'!#REF!,'Monthly Cashflows'!BB6)*'Inputs &amp; Assumptions'!$F$35),"0")</f>
        <v>0</v>
      </c>
      <c r="BC20" s="307">
        <f ca="1">IFERROR((IF('Inputs &amp; Assumptions'!AZ8="Renovate",'Monthly Cashflows'!#REF!,'Monthly Cashflows'!BC6)*'Inputs &amp; Assumptions'!$F$35),"0")</f>
        <v>0</v>
      </c>
      <c r="BD20" s="306">
        <f ca="1">IFERROR((IF('Inputs &amp; Assumptions'!BA8="Renovate",'Monthly Cashflows'!#REF!,'Monthly Cashflows'!BD6)*'Inputs &amp; Assumptions'!$F$35),"0")</f>
        <v>0</v>
      </c>
      <c r="BE20" s="307">
        <f ca="1">IFERROR((IF('Inputs &amp; Assumptions'!BB8="Renovate",'Monthly Cashflows'!#REF!,'Monthly Cashflows'!BE6)*'Inputs &amp; Assumptions'!$F$35),"0")</f>
        <v>0</v>
      </c>
      <c r="BF20" s="306">
        <f ca="1">IFERROR((IF('Inputs &amp; Assumptions'!BC8="Renovate",'Monthly Cashflows'!#REF!,'Monthly Cashflows'!BF6)*'Inputs &amp; Assumptions'!$F$35),"0")</f>
        <v>0</v>
      </c>
      <c r="BG20" s="307">
        <f ca="1">IFERROR((IF('Inputs &amp; Assumptions'!BD8="Renovate",'Monthly Cashflows'!#REF!,'Monthly Cashflows'!BG6)*'Inputs &amp; Assumptions'!$F$35),"0")</f>
        <v>0</v>
      </c>
      <c r="BH20" s="306">
        <f ca="1">IFERROR((IF('Inputs &amp; Assumptions'!BE8="Renovate",'Monthly Cashflows'!#REF!,'Monthly Cashflows'!BH6)*'Inputs &amp; Assumptions'!$F$35),"0")</f>
        <v>0</v>
      </c>
      <c r="BI20" s="307">
        <f ca="1">IFERROR((IF('Inputs &amp; Assumptions'!BF8="Renovate",'Monthly Cashflows'!#REF!,'Monthly Cashflows'!BI6)*'Inputs &amp; Assumptions'!$F$35),"0")</f>
        <v>0</v>
      </c>
      <c r="BJ20" s="306">
        <f ca="1">IFERROR((IF('Inputs &amp; Assumptions'!BG8="Renovate",'Monthly Cashflows'!#REF!,'Monthly Cashflows'!BJ6)*'Inputs &amp; Assumptions'!$F$35),"0")</f>
        <v>0</v>
      </c>
      <c r="BK20" s="307">
        <f ca="1">IFERROR((IF('Inputs &amp; Assumptions'!BH8="Renovate",'Monthly Cashflows'!#REF!,'Monthly Cashflows'!BK6)*'Inputs &amp; Assumptions'!$F$35),"0")</f>
        <v>0</v>
      </c>
      <c r="BL20" s="308">
        <f ca="1">IFERROR((IF('Inputs &amp; Assumptions'!BI8="Renovate",'Monthly Cashflows'!#REF!,'Monthly Cashflows'!BL6)*'Inputs &amp; Assumptions'!$F$35),"0")</f>
        <v>0</v>
      </c>
    </row>
    <row r="21" spans="3:64">
      <c r="C21" s="147" t="s">
        <v>64</v>
      </c>
      <c r="D21" s="147"/>
      <c r="E21" s="305" t="str">
        <f>IFERROR((IF('Inputs &amp; Assumptions'!B8="Renovate",'Monthly Cashflows'!#REF!,'Monthly Cashflows'!E6)*'Inputs &amp; Assumptions'!$F$34),"0")</f>
        <v>0</v>
      </c>
      <c r="F21" s="306" t="str">
        <f ca="1">IFERROR((IF('Inputs &amp; Assumptions'!C8="Renovate",'Monthly Cashflows'!#REF!,'Monthly Cashflows'!F6)*'Inputs &amp; Assumptions'!$F$34),"0")</f>
        <v>0</v>
      </c>
      <c r="G21" s="307" t="str">
        <f ca="1">IFERROR((IF('Inputs &amp; Assumptions'!D8="Renovate",'Monthly Cashflows'!#REF!,'Monthly Cashflows'!G6)*'Inputs &amp; Assumptions'!$F$34),"0")</f>
        <v>0</v>
      </c>
      <c r="H21" s="306" t="str">
        <f ca="1">IFERROR((IF('Inputs &amp; Assumptions'!E8="Renovate",'Monthly Cashflows'!#REF!,'Monthly Cashflows'!H6)*'Inputs &amp; Assumptions'!$F$34),"0")</f>
        <v>0</v>
      </c>
      <c r="I21" s="307" t="str">
        <f ca="1">IFERROR((IF('Inputs &amp; Assumptions'!F8="Renovate",'Monthly Cashflows'!#REF!,'Monthly Cashflows'!I6)*'Inputs &amp; Assumptions'!$F$34),"0")</f>
        <v>0</v>
      </c>
      <c r="J21" s="306" t="str">
        <f ca="1">IFERROR((IF('Inputs &amp; Assumptions'!G8="Renovate",'Monthly Cashflows'!#REF!,'Monthly Cashflows'!J6)*'Inputs &amp; Assumptions'!$F$34),"0")</f>
        <v>0</v>
      </c>
      <c r="K21" s="307" t="str">
        <f ca="1">IFERROR((IF('Inputs &amp; Assumptions'!H8="Renovate",'Monthly Cashflows'!#REF!,'Monthly Cashflows'!K6)*'Inputs &amp; Assumptions'!$F$34),"0")</f>
        <v>0</v>
      </c>
      <c r="L21" s="306">
        <f ca="1">IFERROR((IF('Inputs &amp; Assumptions'!I8="Renovate",'Monthly Cashflows'!#REF!,'Monthly Cashflows'!L6)*'Inputs &amp; Assumptions'!$F$34),"0")</f>
        <v>0</v>
      </c>
      <c r="M21" s="307">
        <f ca="1">IFERROR((IF('Inputs &amp; Assumptions'!J8="Renovate",'Monthly Cashflows'!#REF!,'Monthly Cashflows'!M6)*'Inputs &amp; Assumptions'!$F$34),"0")</f>
        <v>0</v>
      </c>
      <c r="N21" s="306">
        <f ca="1">IFERROR((IF('Inputs &amp; Assumptions'!K8="Renovate",'Monthly Cashflows'!#REF!,'Monthly Cashflows'!N6)*'Inputs &amp; Assumptions'!$F$34),"0")</f>
        <v>0</v>
      </c>
      <c r="O21" s="307">
        <f ca="1">IFERROR((IF('Inputs &amp; Assumptions'!L8="Renovate",'Monthly Cashflows'!#REF!,'Monthly Cashflows'!O6)*'Inputs &amp; Assumptions'!$F$34),"0")</f>
        <v>0</v>
      </c>
      <c r="P21" s="308">
        <f ca="1">IFERROR((IF('Inputs &amp; Assumptions'!M8="Renovate",'Monthly Cashflows'!#REF!,'Monthly Cashflows'!P6)*'Inputs &amp; Assumptions'!$F$34),"0")</f>
        <v>0</v>
      </c>
      <c r="Q21" s="305">
        <f ca="1">IFERROR((IF('Inputs &amp; Assumptions'!N8="Renovate",'Monthly Cashflows'!#REF!,'Monthly Cashflows'!Q6)*'Inputs &amp; Assumptions'!$F$34),"0")</f>
        <v>0</v>
      </c>
      <c r="R21" s="306">
        <f ca="1">IFERROR((IF('Inputs &amp; Assumptions'!O8="Renovate",'Monthly Cashflows'!#REF!,'Monthly Cashflows'!R6)*'Inputs &amp; Assumptions'!$F$34),"0")</f>
        <v>0</v>
      </c>
      <c r="S21" s="307">
        <f ca="1">IFERROR((IF('Inputs &amp; Assumptions'!P8="Renovate",'Monthly Cashflows'!#REF!,'Monthly Cashflows'!S6)*'Inputs &amp; Assumptions'!$F$34),"0")</f>
        <v>0</v>
      </c>
      <c r="T21" s="306">
        <f ca="1">IFERROR((IF('Inputs &amp; Assumptions'!Q8="Renovate",'Monthly Cashflows'!#REF!,'Monthly Cashflows'!T6)*'Inputs &amp; Assumptions'!$F$34),"0")</f>
        <v>0</v>
      </c>
      <c r="U21" s="307">
        <f ca="1">IFERROR((IF('Inputs &amp; Assumptions'!R8="Renovate",'Monthly Cashflows'!#REF!,'Monthly Cashflows'!U6)*'Inputs &amp; Assumptions'!$F$34),"0")</f>
        <v>0</v>
      </c>
      <c r="V21" s="306">
        <f ca="1">IFERROR((IF('Inputs &amp; Assumptions'!S8="Renovate",'Monthly Cashflows'!#REF!,'Monthly Cashflows'!V6)*'Inputs &amp; Assumptions'!$F$34),"0")</f>
        <v>0</v>
      </c>
      <c r="W21" s="307">
        <f ca="1">IFERROR((IF('Inputs &amp; Assumptions'!T8="Renovate",'Monthly Cashflows'!#REF!,'Monthly Cashflows'!W6)*'Inputs &amp; Assumptions'!$F$34),"0")</f>
        <v>0</v>
      </c>
      <c r="X21" s="306">
        <f ca="1">IFERROR((IF('Inputs &amp; Assumptions'!U8="Renovate",'Monthly Cashflows'!#REF!,'Monthly Cashflows'!X6)*'Inputs &amp; Assumptions'!$F$34),"0")</f>
        <v>0</v>
      </c>
      <c r="Y21" s="307">
        <f ca="1">IFERROR((IF('Inputs &amp; Assumptions'!V8="Renovate",'Monthly Cashflows'!#REF!,'Monthly Cashflows'!Y6)*'Inputs &amp; Assumptions'!$F$34),"0")</f>
        <v>0</v>
      </c>
      <c r="Z21" s="306">
        <f ca="1">IFERROR((IF('Inputs &amp; Assumptions'!W8="Renovate",'Monthly Cashflows'!#REF!,'Monthly Cashflows'!Z6)*'Inputs &amp; Assumptions'!$F$34),"0")</f>
        <v>0</v>
      </c>
      <c r="AA21" s="307">
        <f ca="1">IFERROR((IF('Inputs &amp; Assumptions'!X8="Renovate",'Monthly Cashflows'!#REF!,'Monthly Cashflows'!AA6)*'Inputs &amp; Assumptions'!$F$34),"0")</f>
        <v>0</v>
      </c>
      <c r="AB21" s="308">
        <f ca="1">IFERROR((IF('Inputs &amp; Assumptions'!Y8="Renovate",'Monthly Cashflows'!#REF!,'Monthly Cashflows'!AB6)*'Inputs &amp; Assumptions'!$F$34),"0")</f>
        <v>0</v>
      </c>
      <c r="AC21" s="305">
        <f ca="1">IFERROR((IF('Inputs &amp; Assumptions'!Z8="Renovate",'Monthly Cashflows'!#REF!,'Monthly Cashflows'!AC6)*'Inputs &amp; Assumptions'!$F$34),"0")</f>
        <v>0</v>
      </c>
      <c r="AD21" s="306">
        <f ca="1">IFERROR((IF('Inputs &amp; Assumptions'!AA8="Renovate",'Monthly Cashflows'!#REF!,'Monthly Cashflows'!AD6)*'Inputs &amp; Assumptions'!$F$34),"0")</f>
        <v>0</v>
      </c>
      <c r="AE21" s="307">
        <f ca="1">IFERROR((IF('Inputs &amp; Assumptions'!AB8="Renovate",'Monthly Cashflows'!#REF!,'Monthly Cashflows'!AE6)*'Inputs &amp; Assumptions'!$F$34),"0")</f>
        <v>0</v>
      </c>
      <c r="AF21" s="306">
        <f ca="1">IFERROR((IF('Inputs &amp; Assumptions'!AC8="Renovate",'Monthly Cashflows'!#REF!,'Monthly Cashflows'!AF6)*'Inputs &amp; Assumptions'!$F$34),"0")</f>
        <v>0</v>
      </c>
      <c r="AG21" s="307">
        <f ca="1">IFERROR((IF('Inputs &amp; Assumptions'!AD8="Renovate",'Monthly Cashflows'!#REF!,'Monthly Cashflows'!AG6)*'Inputs &amp; Assumptions'!$F$34),"0")</f>
        <v>0</v>
      </c>
      <c r="AH21" s="306">
        <f ca="1">IFERROR((IF('Inputs &amp; Assumptions'!AE8="Renovate",'Monthly Cashflows'!#REF!,'Monthly Cashflows'!AH6)*'Inputs &amp; Assumptions'!$F$34),"0")</f>
        <v>0</v>
      </c>
      <c r="AI21" s="307">
        <f ca="1">IFERROR((IF('Inputs &amp; Assumptions'!AF8="Renovate",'Monthly Cashflows'!#REF!,'Monthly Cashflows'!AI6)*'Inputs &amp; Assumptions'!$F$34),"0")</f>
        <v>0</v>
      </c>
      <c r="AJ21" s="306">
        <f ca="1">IFERROR((IF('Inputs &amp; Assumptions'!AG8="Renovate",'Monthly Cashflows'!#REF!,'Monthly Cashflows'!AJ6)*'Inputs &amp; Assumptions'!$F$34),"0")</f>
        <v>0</v>
      </c>
      <c r="AK21" s="307">
        <f ca="1">IFERROR((IF('Inputs &amp; Assumptions'!AH8="Renovate",'Monthly Cashflows'!#REF!,'Monthly Cashflows'!AK6)*'Inputs &amp; Assumptions'!$F$34),"0")</f>
        <v>0</v>
      </c>
      <c r="AL21" s="306">
        <f ca="1">IFERROR((IF('Inputs &amp; Assumptions'!AI8="Renovate",'Monthly Cashflows'!#REF!,'Monthly Cashflows'!AL6)*'Inputs &amp; Assumptions'!$F$34),"0")</f>
        <v>0</v>
      </c>
      <c r="AM21" s="307">
        <f ca="1">IFERROR((IF('Inputs &amp; Assumptions'!AJ8="Renovate",'Monthly Cashflows'!#REF!,'Monthly Cashflows'!AM6)*'Inputs &amp; Assumptions'!$F$34),"0")</f>
        <v>0</v>
      </c>
      <c r="AN21" s="308">
        <f ca="1">IFERROR((IF('Inputs &amp; Assumptions'!AK8="Renovate",'Monthly Cashflows'!#REF!,'Monthly Cashflows'!AN6)*'Inputs &amp; Assumptions'!$F$34),"0")</f>
        <v>0</v>
      </c>
      <c r="AO21" s="305">
        <f ca="1">IFERROR((IF('Inputs &amp; Assumptions'!AL8="Renovate",'Monthly Cashflows'!#REF!,'Monthly Cashflows'!AO6)*'Inputs &amp; Assumptions'!$F$34),"0")</f>
        <v>0</v>
      </c>
      <c r="AP21" s="306">
        <f ca="1">IFERROR((IF('Inputs &amp; Assumptions'!AM8="Renovate",'Monthly Cashflows'!#REF!,'Monthly Cashflows'!AP6)*'Inputs &amp; Assumptions'!$F$34),"0")</f>
        <v>0</v>
      </c>
      <c r="AQ21" s="307">
        <f ca="1">IFERROR((IF('Inputs &amp; Assumptions'!AN8="Renovate",'Monthly Cashflows'!#REF!,'Monthly Cashflows'!AQ6)*'Inputs &amp; Assumptions'!$F$34),"0")</f>
        <v>0</v>
      </c>
      <c r="AR21" s="306">
        <f ca="1">IFERROR((IF('Inputs &amp; Assumptions'!AO8="Renovate",'Monthly Cashflows'!#REF!,'Monthly Cashflows'!AR6)*'Inputs &amp; Assumptions'!$F$34),"0")</f>
        <v>0</v>
      </c>
      <c r="AS21" s="307">
        <f ca="1">IFERROR((IF('Inputs &amp; Assumptions'!AP8="Renovate",'Monthly Cashflows'!#REF!,'Monthly Cashflows'!AS6)*'Inputs &amp; Assumptions'!$F$34),"0")</f>
        <v>0</v>
      </c>
      <c r="AT21" s="306">
        <f ca="1">IFERROR((IF('Inputs &amp; Assumptions'!AQ8="Renovate",'Monthly Cashflows'!#REF!,'Monthly Cashflows'!AT6)*'Inputs &amp; Assumptions'!$F$34),"0")</f>
        <v>0</v>
      </c>
      <c r="AU21" s="307">
        <f ca="1">IFERROR((IF('Inputs &amp; Assumptions'!AR8="Renovate",'Monthly Cashflows'!#REF!,'Monthly Cashflows'!AU6)*'Inputs &amp; Assumptions'!$F$34),"0")</f>
        <v>0</v>
      </c>
      <c r="AV21" s="306">
        <f ca="1">IFERROR((IF('Inputs &amp; Assumptions'!AS8="Renovate",'Monthly Cashflows'!#REF!,'Monthly Cashflows'!AV6)*'Inputs &amp; Assumptions'!$F$34),"0")</f>
        <v>0</v>
      </c>
      <c r="AW21" s="307">
        <f ca="1">IFERROR((IF('Inputs &amp; Assumptions'!AT8="Renovate",'Monthly Cashflows'!#REF!,'Monthly Cashflows'!AW6)*'Inputs &amp; Assumptions'!$F$34),"0")</f>
        <v>0</v>
      </c>
      <c r="AX21" s="306">
        <f ca="1">IFERROR((IF('Inputs &amp; Assumptions'!AU8="Renovate",'Monthly Cashflows'!#REF!,'Monthly Cashflows'!AX6)*'Inputs &amp; Assumptions'!$F$34),"0")</f>
        <v>0</v>
      </c>
      <c r="AY21" s="307">
        <f ca="1">IFERROR((IF('Inputs &amp; Assumptions'!AV8="Renovate",'Monthly Cashflows'!#REF!,'Monthly Cashflows'!AY6)*'Inputs &amp; Assumptions'!$F$34),"0")</f>
        <v>0</v>
      </c>
      <c r="AZ21" s="308">
        <f ca="1">IFERROR((IF('Inputs &amp; Assumptions'!AW8="Renovate",'Monthly Cashflows'!#REF!,'Monthly Cashflows'!AZ6)*'Inputs &amp; Assumptions'!$F$34),"0")</f>
        <v>0</v>
      </c>
      <c r="BA21" s="305">
        <f ca="1">IFERROR((IF('Inputs &amp; Assumptions'!AX8="Renovate",'Monthly Cashflows'!#REF!,'Monthly Cashflows'!BA6)*'Inputs &amp; Assumptions'!$F$34),"0")</f>
        <v>0</v>
      </c>
      <c r="BB21" s="306">
        <f ca="1">IFERROR((IF('Inputs &amp; Assumptions'!AY8="Renovate",'Monthly Cashflows'!#REF!,'Monthly Cashflows'!BB6)*'Inputs &amp; Assumptions'!$F$34),"0")</f>
        <v>0</v>
      </c>
      <c r="BC21" s="307">
        <f ca="1">IFERROR((IF('Inputs &amp; Assumptions'!AZ8="Renovate",'Monthly Cashflows'!#REF!,'Monthly Cashflows'!BC6)*'Inputs &amp; Assumptions'!$F$34),"0")</f>
        <v>0</v>
      </c>
      <c r="BD21" s="306">
        <f ca="1">IFERROR((IF('Inputs &amp; Assumptions'!BA8="Renovate",'Monthly Cashflows'!#REF!,'Monthly Cashflows'!BD6)*'Inputs &amp; Assumptions'!$F$34),"0")</f>
        <v>0</v>
      </c>
      <c r="BE21" s="307">
        <f ca="1">IFERROR((IF('Inputs &amp; Assumptions'!BB8="Renovate",'Monthly Cashflows'!#REF!,'Monthly Cashflows'!BE6)*'Inputs &amp; Assumptions'!$F$34),"0")</f>
        <v>0</v>
      </c>
      <c r="BF21" s="306">
        <f ca="1">IFERROR((IF('Inputs &amp; Assumptions'!BC8="Renovate",'Monthly Cashflows'!#REF!,'Monthly Cashflows'!BF6)*'Inputs &amp; Assumptions'!$F$34),"0")</f>
        <v>0</v>
      </c>
      <c r="BG21" s="307">
        <f ca="1">IFERROR((IF('Inputs &amp; Assumptions'!BD8="Renovate",'Monthly Cashflows'!#REF!,'Monthly Cashflows'!BG6)*'Inputs &amp; Assumptions'!$F$34),"0")</f>
        <v>0</v>
      </c>
      <c r="BH21" s="306">
        <f ca="1">IFERROR((IF('Inputs &amp; Assumptions'!BE8="Renovate",'Monthly Cashflows'!#REF!,'Monthly Cashflows'!BH6)*'Inputs &amp; Assumptions'!$F$34),"0")</f>
        <v>0</v>
      </c>
      <c r="BI21" s="307">
        <f ca="1">IFERROR((IF('Inputs &amp; Assumptions'!BF8="Renovate",'Monthly Cashflows'!#REF!,'Monthly Cashflows'!BI6)*'Inputs &amp; Assumptions'!$F$34),"0")</f>
        <v>0</v>
      </c>
      <c r="BJ21" s="306">
        <f ca="1">IFERROR((IF('Inputs &amp; Assumptions'!BG8="Renovate",'Monthly Cashflows'!#REF!,'Monthly Cashflows'!BJ6)*'Inputs &amp; Assumptions'!$F$34),"0")</f>
        <v>0</v>
      </c>
      <c r="BK21" s="307">
        <f ca="1">IFERROR((IF('Inputs &amp; Assumptions'!BH8="Renovate",'Monthly Cashflows'!#REF!,'Monthly Cashflows'!BK6)*'Inputs &amp; Assumptions'!$F$34),"0")</f>
        <v>0</v>
      </c>
      <c r="BL21" s="308">
        <f ca="1">IFERROR((IF('Inputs &amp; Assumptions'!BI8="Renovate",'Monthly Cashflows'!#REF!,'Monthly Cashflows'!BL6)*'Inputs &amp; Assumptions'!$F$34),"0")</f>
        <v>0</v>
      </c>
    </row>
    <row r="22" spans="3:64">
      <c r="C22" s="151" t="s">
        <v>147</v>
      </c>
      <c r="D22" s="151"/>
      <c r="E22" s="305" t="str" cm="1">
        <f t="array" aca="1" ref="E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F22" s="306" t="str" cm="1">
        <f t="array" aca="1" ref="F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G22" s="307" t="str" cm="1">
        <f t="array" aca="1" ref="G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H22" s="306" t="str" cm="1">
        <f t="array" aca="1" ref="H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I22" s="307" cm="1">
        <f t="array" aca="1" ref="I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>5</v>
      </c>
      <c r="J22" s="306" t="str" cm="1">
        <f t="array" aca="1" ref="J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K22" s="307" t="str" cm="1">
        <f t="array" aca="1" ref="K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L22" s="306" t="str" cm="1">
        <f t="array" aca="1" ref="L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M22" s="307" t="str" cm="1">
        <f t="array" aca="1" ref="M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N22" s="306" t="str" cm="1">
        <f t="array" aca="1" ref="N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O22" s="307" t="str" cm="1">
        <f t="array" aca="1" ref="O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P22" s="308" t="str" cm="1">
        <f t="array" aca="1" ref="P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Q22" s="305" t="str" cm="1">
        <f t="array" aca="1" ref="Q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R22" s="306" t="str" cm="1">
        <f t="array" aca="1" ref="R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S22" s="307" t="str" cm="1">
        <f t="array" aca="1" ref="S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T22" s="306" t="str" cm="1">
        <f t="array" aca="1" ref="T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U22" s="307" cm="1">
        <f t="array" aca="1" ref="U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>5</v>
      </c>
      <c r="V22" s="306" t="str" cm="1">
        <f t="array" aca="1" ref="V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W22" s="307" t="str" cm="1">
        <f t="array" aca="1" ref="W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X22" s="306" t="str" cm="1">
        <f t="array" aca="1" ref="X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Y22" s="307" t="str" cm="1">
        <f t="array" aca="1" ref="Y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Z22" s="306" t="str" cm="1">
        <f t="array" aca="1" ref="Z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A22" s="307" t="str" cm="1">
        <f t="array" aca="1" ref="AA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B22" s="308" t="str" cm="1">
        <f t="array" aca="1" ref="AB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C22" s="305" t="str" cm="1">
        <f t="array" aca="1" ref="AC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D22" s="306" t="str" cm="1">
        <f t="array" aca="1" ref="AD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E22" s="307" t="str" cm="1">
        <f t="array" aca="1" ref="AE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F22" s="306" t="str" cm="1">
        <f t="array" aca="1" ref="AF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G22" s="307" cm="1">
        <f t="array" aca="1" ref="AG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>5</v>
      </c>
      <c r="AH22" s="306" t="str" cm="1">
        <f t="array" aca="1" ref="AH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I22" s="307" t="str" cm="1">
        <f t="array" aca="1" ref="AI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J22" s="306" t="str" cm="1">
        <f t="array" aca="1" ref="AJ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K22" s="307" t="str" cm="1">
        <f t="array" aca="1" ref="AK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L22" s="306" t="str" cm="1">
        <f t="array" aca="1" ref="AL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M22" s="307" t="str" cm="1">
        <f t="array" aca="1" ref="AM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N22" s="308" t="str" cm="1">
        <f t="array" aca="1" ref="AN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O22" s="305" t="str" cm="1">
        <f t="array" aca="1" ref="AO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P22" s="306" t="str" cm="1">
        <f t="array" aca="1" ref="AP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Q22" s="307" t="str" cm="1">
        <f t="array" aca="1" ref="AQ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R22" s="306" t="str" cm="1">
        <f t="array" aca="1" ref="AR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S22" s="307" cm="1">
        <f t="array" aca="1" ref="AS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>5</v>
      </c>
      <c r="AT22" s="306" t="str" cm="1">
        <f t="array" aca="1" ref="AT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U22" s="307" t="str" cm="1">
        <f t="array" aca="1" ref="AU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V22" s="306" t="str" cm="1">
        <f t="array" aca="1" ref="AV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W22" s="307" t="str" cm="1">
        <f t="array" aca="1" ref="AW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X22" s="306" t="str" cm="1">
        <f t="array" aca="1" ref="AX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Y22" s="307" t="str" cm="1">
        <f t="array" aca="1" ref="AY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AZ22" s="308" t="str" cm="1">
        <f t="array" aca="1" ref="AZ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A22" s="305" t="str" cm="1">
        <f t="array" aca="1" ref="BA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B22" s="306" t="str" cm="1">
        <f t="array" aca="1" ref="BB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C22" s="307" t="str" cm="1">
        <f t="array" aca="1" ref="BC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D22" s="306" t="str" cm="1">
        <f t="array" aca="1" ref="BD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E22" s="307" cm="1">
        <f t="array" aca="1" ref="BE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>5</v>
      </c>
      <c r="BF22" s="306" t="str" cm="1">
        <f t="array" aca="1" ref="BF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G22" s="307" t="str" cm="1">
        <f t="array" aca="1" ref="BG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H22" s="306" t="str" cm="1">
        <f t="array" aca="1" ref="BH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I22" s="307" t="str" cm="1">
        <f t="array" aca="1" ref="BI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J22" s="306" t="str" cm="1">
        <f t="array" aca="1" ref="BJ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K22" s="307" t="str" cm="1">
        <f t="array" aca="1" ref="BK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  <c r="BL22" s="308" t="str" cm="1">
        <f t="array" aca="1" ref="BL22" ca="1">IF(OR(COLUMN()-COLUMN($E$22) = 'Inputs &amp; Assumptions'!$J$99 + 12 * 0,
       COLUMN()-COLUMN($E$22) = 'Inputs &amp; Assumptions'!$J$99 + 12 * 1,
       COLUMN()-COLUMN($E$22) = 'Inputs &amp; Assumptions'!$J$99 + 12 * 2,
       COLUMN()-COLUMN($E$22) = 'Inputs &amp; Assumptions'!$J$99 + 12 * 3,
       COLUMN()-COLUMN($E$22) = 'Inputs &amp; Assumptions'!$J$99 + 12 * 4),
   INDEX('Inputs &amp; Assumptions'!$F$29:$K$29, 1, 1 + INT((COLUMN()-COLUMN($E$22) - 'Inputs &amp; Assumptions'!$J$99)/12)),
   ""
)</f>
        <v/>
      </c>
    </row>
    <row r="23" spans="3:64">
      <c r="C23" s="151" t="s">
        <v>148</v>
      </c>
      <c r="D23" s="151"/>
      <c r="E23" s="305">
        <f>'Inputs &amp; Assumptions'!J20</f>
        <v>250</v>
      </c>
      <c r="F23" s="306">
        <f>E23</f>
        <v>250</v>
      </c>
      <c r="G23" s="307">
        <f t="shared" ref="G23:BL25" si="5">F23</f>
        <v>250</v>
      </c>
      <c r="H23" s="306">
        <f t="shared" si="5"/>
        <v>250</v>
      </c>
      <c r="I23" s="307">
        <f t="shared" si="5"/>
        <v>250</v>
      </c>
      <c r="J23" s="306">
        <f t="shared" si="5"/>
        <v>250</v>
      </c>
      <c r="K23" s="307">
        <f t="shared" si="5"/>
        <v>250</v>
      </c>
      <c r="L23" s="306">
        <f t="shared" si="5"/>
        <v>250</v>
      </c>
      <c r="M23" s="307">
        <f t="shared" si="5"/>
        <v>250</v>
      </c>
      <c r="N23" s="306">
        <f t="shared" si="5"/>
        <v>250</v>
      </c>
      <c r="O23" s="307">
        <f t="shared" si="5"/>
        <v>250</v>
      </c>
      <c r="P23" s="308">
        <f t="shared" si="5"/>
        <v>250</v>
      </c>
      <c r="Q23" s="305">
        <f t="shared" si="5"/>
        <v>250</v>
      </c>
      <c r="R23" s="306">
        <f t="shared" si="5"/>
        <v>250</v>
      </c>
      <c r="S23" s="307">
        <f t="shared" si="5"/>
        <v>250</v>
      </c>
      <c r="T23" s="306">
        <f t="shared" si="5"/>
        <v>250</v>
      </c>
      <c r="U23" s="307">
        <f t="shared" si="5"/>
        <v>250</v>
      </c>
      <c r="V23" s="306">
        <f t="shared" si="5"/>
        <v>250</v>
      </c>
      <c r="W23" s="307">
        <f t="shared" si="5"/>
        <v>250</v>
      </c>
      <c r="X23" s="306">
        <f t="shared" si="5"/>
        <v>250</v>
      </c>
      <c r="Y23" s="307">
        <f t="shared" si="5"/>
        <v>250</v>
      </c>
      <c r="Z23" s="306">
        <f t="shared" si="5"/>
        <v>250</v>
      </c>
      <c r="AA23" s="307">
        <f t="shared" si="5"/>
        <v>250</v>
      </c>
      <c r="AB23" s="308">
        <f t="shared" si="5"/>
        <v>250</v>
      </c>
      <c r="AC23" s="305">
        <f t="shared" si="5"/>
        <v>250</v>
      </c>
      <c r="AD23" s="306">
        <f t="shared" si="5"/>
        <v>250</v>
      </c>
      <c r="AE23" s="307">
        <f t="shared" si="5"/>
        <v>250</v>
      </c>
      <c r="AF23" s="306">
        <f t="shared" si="5"/>
        <v>250</v>
      </c>
      <c r="AG23" s="307">
        <f t="shared" si="5"/>
        <v>250</v>
      </c>
      <c r="AH23" s="306">
        <f t="shared" si="5"/>
        <v>250</v>
      </c>
      <c r="AI23" s="307">
        <f t="shared" si="5"/>
        <v>250</v>
      </c>
      <c r="AJ23" s="306">
        <f t="shared" si="5"/>
        <v>250</v>
      </c>
      <c r="AK23" s="307">
        <f t="shared" si="5"/>
        <v>250</v>
      </c>
      <c r="AL23" s="306">
        <f t="shared" si="5"/>
        <v>250</v>
      </c>
      <c r="AM23" s="307">
        <f t="shared" si="5"/>
        <v>250</v>
      </c>
      <c r="AN23" s="308">
        <f t="shared" si="5"/>
        <v>250</v>
      </c>
      <c r="AO23" s="305">
        <f t="shared" si="5"/>
        <v>250</v>
      </c>
      <c r="AP23" s="306">
        <f t="shared" si="5"/>
        <v>250</v>
      </c>
      <c r="AQ23" s="307">
        <f t="shared" si="5"/>
        <v>250</v>
      </c>
      <c r="AR23" s="306">
        <f t="shared" si="5"/>
        <v>250</v>
      </c>
      <c r="AS23" s="307">
        <f t="shared" si="5"/>
        <v>250</v>
      </c>
      <c r="AT23" s="306">
        <f t="shared" si="5"/>
        <v>250</v>
      </c>
      <c r="AU23" s="307">
        <f t="shared" si="5"/>
        <v>250</v>
      </c>
      <c r="AV23" s="306">
        <f t="shared" si="5"/>
        <v>250</v>
      </c>
      <c r="AW23" s="307">
        <f t="shared" si="5"/>
        <v>250</v>
      </c>
      <c r="AX23" s="306">
        <f t="shared" si="5"/>
        <v>250</v>
      </c>
      <c r="AY23" s="307">
        <f t="shared" si="5"/>
        <v>250</v>
      </c>
      <c r="AZ23" s="308">
        <f t="shared" si="5"/>
        <v>250</v>
      </c>
      <c r="BA23" s="305">
        <f t="shared" si="5"/>
        <v>250</v>
      </c>
      <c r="BB23" s="306">
        <f t="shared" si="5"/>
        <v>250</v>
      </c>
      <c r="BC23" s="307">
        <f t="shared" si="5"/>
        <v>250</v>
      </c>
      <c r="BD23" s="306">
        <f t="shared" si="5"/>
        <v>250</v>
      </c>
      <c r="BE23" s="307">
        <f t="shared" si="5"/>
        <v>250</v>
      </c>
      <c r="BF23" s="306">
        <f t="shared" si="5"/>
        <v>250</v>
      </c>
      <c r="BG23" s="307">
        <f t="shared" si="5"/>
        <v>250</v>
      </c>
      <c r="BH23" s="306">
        <f t="shared" si="5"/>
        <v>250</v>
      </c>
      <c r="BI23" s="307">
        <f t="shared" si="5"/>
        <v>250</v>
      </c>
      <c r="BJ23" s="306">
        <f t="shared" si="5"/>
        <v>250</v>
      </c>
      <c r="BK23" s="307">
        <f t="shared" si="5"/>
        <v>250</v>
      </c>
      <c r="BL23" s="308">
        <f t="shared" si="5"/>
        <v>250</v>
      </c>
    </row>
    <row r="24" spans="3:64">
      <c r="C24" s="152" t="s">
        <v>150</v>
      </c>
      <c r="D24" s="152"/>
      <c r="E24" s="305">
        <f>'Inputs &amp; Assumptions'!F13</f>
        <v>100</v>
      </c>
      <c r="F24" s="306">
        <f>E24</f>
        <v>100</v>
      </c>
      <c r="G24" s="307">
        <f t="shared" si="5"/>
        <v>100</v>
      </c>
      <c r="H24" s="306">
        <f t="shared" si="5"/>
        <v>100</v>
      </c>
      <c r="I24" s="307">
        <f t="shared" si="5"/>
        <v>100</v>
      </c>
      <c r="J24" s="306">
        <f t="shared" si="5"/>
        <v>100</v>
      </c>
      <c r="K24" s="307">
        <f t="shared" si="5"/>
        <v>100</v>
      </c>
      <c r="L24" s="306">
        <f t="shared" si="5"/>
        <v>100</v>
      </c>
      <c r="M24" s="307">
        <f t="shared" si="5"/>
        <v>100</v>
      </c>
      <c r="N24" s="306">
        <f t="shared" si="5"/>
        <v>100</v>
      </c>
      <c r="O24" s="307">
        <f t="shared" si="5"/>
        <v>100</v>
      </c>
      <c r="P24" s="308">
        <f t="shared" si="5"/>
        <v>100</v>
      </c>
      <c r="Q24" s="305">
        <f>P24*(1+'Inputs &amp; Assumptions'!F14)</f>
        <v>100</v>
      </c>
      <c r="R24" s="306">
        <f>Q24</f>
        <v>100</v>
      </c>
      <c r="S24" s="307">
        <f t="shared" si="5"/>
        <v>100</v>
      </c>
      <c r="T24" s="306">
        <f t="shared" si="5"/>
        <v>100</v>
      </c>
      <c r="U24" s="307">
        <f t="shared" si="5"/>
        <v>100</v>
      </c>
      <c r="V24" s="306">
        <f t="shared" si="5"/>
        <v>100</v>
      </c>
      <c r="W24" s="307">
        <f t="shared" si="5"/>
        <v>100</v>
      </c>
      <c r="X24" s="306">
        <f t="shared" si="5"/>
        <v>100</v>
      </c>
      <c r="Y24" s="307">
        <f t="shared" si="5"/>
        <v>100</v>
      </c>
      <c r="Z24" s="306">
        <f t="shared" si="5"/>
        <v>100</v>
      </c>
      <c r="AA24" s="307">
        <f t="shared" si="5"/>
        <v>100</v>
      </c>
      <c r="AB24" s="308">
        <f t="shared" si="5"/>
        <v>100</v>
      </c>
      <c r="AC24" s="305">
        <f>AB24*(1+'Inputs &amp; Assumptions'!F14)</f>
        <v>100</v>
      </c>
      <c r="AD24" s="306">
        <f>AC24</f>
        <v>100</v>
      </c>
      <c r="AE24" s="307">
        <f t="shared" si="5"/>
        <v>100</v>
      </c>
      <c r="AF24" s="306">
        <f t="shared" si="5"/>
        <v>100</v>
      </c>
      <c r="AG24" s="307">
        <f t="shared" si="5"/>
        <v>100</v>
      </c>
      <c r="AH24" s="306">
        <f t="shared" si="5"/>
        <v>100</v>
      </c>
      <c r="AI24" s="307">
        <f t="shared" si="5"/>
        <v>100</v>
      </c>
      <c r="AJ24" s="306">
        <f t="shared" si="5"/>
        <v>100</v>
      </c>
      <c r="AK24" s="307">
        <f t="shared" si="5"/>
        <v>100</v>
      </c>
      <c r="AL24" s="306">
        <f t="shared" si="5"/>
        <v>100</v>
      </c>
      <c r="AM24" s="307">
        <f t="shared" si="5"/>
        <v>100</v>
      </c>
      <c r="AN24" s="308">
        <f t="shared" si="5"/>
        <v>100</v>
      </c>
      <c r="AO24" s="305">
        <f>AN24*(1+'Inputs &amp; Assumptions'!F14)</f>
        <v>100</v>
      </c>
      <c r="AP24" s="306">
        <f>AO24</f>
        <v>100</v>
      </c>
      <c r="AQ24" s="307">
        <f t="shared" si="5"/>
        <v>100</v>
      </c>
      <c r="AR24" s="306">
        <f t="shared" si="5"/>
        <v>100</v>
      </c>
      <c r="AS24" s="307">
        <f t="shared" si="5"/>
        <v>100</v>
      </c>
      <c r="AT24" s="306">
        <f t="shared" si="5"/>
        <v>100</v>
      </c>
      <c r="AU24" s="307">
        <f t="shared" si="5"/>
        <v>100</v>
      </c>
      <c r="AV24" s="306">
        <f t="shared" si="5"/>
        <v>100</v>
      </c>
      <c r="AW24" s="307">
        <f t="shared" si="5"/>
        <v>100</v>
      </c>
      <c r="AX24" s="306">
        <f t="shared" si="5"/>
        <v>100</v>
      </c>
      <c r="AY24" s="307">
        <f t="shared" si="5"/>
        <v>100</v>
      </c>
      <c r="AZ24" s="308">
        <f t="shared" si="5"/>
        <v>100</v>
      </c>
      <c r="BA24" s="305">
        <f>AZ24*(1+'Inputs &amp; Assumptions'!F14)</f>
        <v>100</v>
      </c>
      <c r="BB24" s="306">
        <f>BA24</f>
        <v>100</v>
      </c>
      <c r="BC24" s="307">
        <f t="shared" si="5"/>
        <v>100</v>
      </c>
      <c r="BD24" s="306">
        <f t="shared" si="5"/>
        <v>100</v>
      </c>
      <c r="BE24" s="307">
        <f t="shared" si="5"/>
        <v>100</v>
      </c>
      <c r="BF24" s="306">
        <f t="shared" si="5"/>
        <v>100</v>
      </c>
      <c r="BG24" s="307">
        <f t="shared" si="5"/>
        <v>100</v>
      </c>
      <c r="BH24" s="306">
        <f t="shared" si="5"/>
        <v>100</v>
      </c>
      <c r="BI24" s="307">
        <f t="shared" si="5"/>
        <v>100</v>
      </c>
      <c r="BJ24" s="306">
        <f t="shared" si="5"/>
        <v>100</v>
      </c>
      <c r="BK24" s="307">
        <f t="shared" si="5"/>
        <v>100</v>
      </c>
      <c r="BL24" s="308">
        <f t="shared" si="5"/>
        <v>100</v>
      </c>
    </row>
    <row r="25" spans="3:64">
      <c r="C25" s="152" t="s">
        <v>151</v>
      </c>
      <c r="D25" s="152"/>
      <c r="E25" s="305">
        <f>ProForma!F20/12</f>
        <v>408.33333333333331</v>
      </c>
      <c r="F25" s="306">
        <f>E25</f>
        <v>408.33333333333331</v>
      </c>
      <c r="G25" s="307">
        <f t="shared" si="5"/>
        <v>408.33333333333331</v>
      </c>
      <c r="H25" s="306">
        <f t="shared" si="5"/>
        <v>408.33333333333331</v>
      </c>
      <c r="I25" s="307">
        <f t="shared" si="5"/>
        <v>408.33333333333331</v>
      </c>
      <c r="J25" s="306">
        <f t="shared" si="5"/>
        <v>408.33333333333331</v>
      </c>
      <c r="K25" s="307">
        <f t="shared" si="5"/>
        <v>408.33333333333331</v>
      </c>
      <c r="L25" s="306">
        <f t="shared" si="5"/>
        <v>408.33333333333331</v>
      </c>
      <c r="M25" s="307">
        <f t="shared" si="5"/>
        <v>408.33333333333331</v>
      </c>
      <c r="N25" s="306">
        <f t="shared" si="5"/>
        <v>408.33333333333331</v>
      </c>
      <c r="O25" s="307">
        <f t="shared" si="5"/>
        <v>408.33333333333331</v>
      </c>
      <c r="P25" s="308">
        <f t="shared" si="5"/>
        <v>408.33333333333331</v>
      </c>
      <c r="Q25" s="305">
        <f>ProForma!G20/12</f>
        <v>33.333333333333336</v>
      </c>
      <c r="R25" s="306">
        <f>Q25</f>
        <v>33.333333333333336</v>
      </c>
      <c r="S25" s="307">
        <f t="shared" si="5"/>
        <v>33.333333333333336</v>
      </c>
      <c r="T25" s="306">
        <f t="shared" si="5"/>
        <v>33.333333333333336</v>
      </c>
      <c r="U25" s="307">
        <f t="shared" si="5"/>
        <v>33.333333333333336</v>
      </c>
      <c r="V25" s="306">
        <f t="shared" si="5"/>
        <v>33.333333333333336</v>
      </c>
      <c r="W25" s="307">
        <f t="shared" si="5"/>
        <v>33.333333333333336</v>
      </c>
      <c r="X25" s="306">
        <f t="shared" si="5"/>
        <v>33.333333333333336</v>
      </c>
      <c r="Y25" s="307">
        <f t="shared" si="5"/>
        <v>33.333333333333336</v>
      </c>
      <c r="Z25" s="306">
        <f t="shared" si="5"/>
        <v>33.333333333333336</v>
      </c>
      <c r="AA25" s="307">
        <f t="shared" si="5"/>
        <v>33.333333333333336</v>
      </c>
      <c r="AB25" s="308">
        <f t="shared" si="5"/>
        <v>33.333333333333336</v>
      </c>
      <c r="AC25" s="305">
        <f>ProForma!H20/12</f>
        <v>33.333333333333336</v>
      </c>
      <c r="AD25" s="306">
        <f>AC25</f>
        <v>33.333333333333336</v>
      </c>
      <c r="AE25" s="307">
        <f t="shared" si="5"/>
        <v>33.333333333333336</v>
      </c>
      <c r="AF25" s="306">
        <f t="shared" si="5"/>
        <v>33.333333333333336</v>
      </c>
      <c r="AG25" s="307">
        <f t="shared" si="5"/>
        <v>33.333333333333336</v>
      </c>
      <c r="AH25" s="306">
        <f t="shared" si="5"/>
        <v>33.333333333333336</v>
      </c>
      <c r="AI25" s="307">
        <f t="shared" si="5"/>
        <v>33.333333333333336</v>
      </c>
      <c r="AJ25" s="306">
        <f t="shared" si="5"/>
        <v>33.333333333333336</v>
      </c>
      <c r="AK25" s="307">
        <f t="shared" si="5"/>
        <v>33.333333333333336</v>
      </c>
      <c r="AL25" s="306">
        <f t="shared" si="5"/>
        <v>33.333333333333336</v>
      </c>
      <c r="AM25" s="307">
        <f t="shared" si="5"/>
        <v>33.333333333333336</v>
      </c>
      <c r="AN25" s="308">
        <f t="shared" si="5"/>
        <v>33.333333333333336</v>
      </c>
      <c r="AO25" s="305">
        <f>ProForma!I20/12</f>
        <v>33.333333333333336</v>
      </c>
      <c r="AP25" s="306">
        <f>AO25</f>
        <v>33.333333333333336</v>
      </c>
      <c r="AQ25" s="307">
        <f t="shared" si="5"/>
        <v>33.333333333333336</v>
      </c>
      <c r="AR25" s="306">
        <f t="shared" si="5"/>
        <v>33.333333333333336</v>
      </c>
      <c r="AS25" s="307">
        <f t="shared" si="5"/>
        <v>33.333333333333336</v>
      </c>
      <c r="AT25" s="306">
        <f t="shared" si="5"/>
        <v>33.333333333333336</v>
      </c>
      <c r="AU25" s="307">
        <f t="shared" si="5"/>
        <v>33.333333333333336</v>
      </c>
      <c r="AV25" s="306">
        <f t="shared" si="5"/>
        <v>33.333333333333336</v>
      </c>
      <c r="AW25" s="307">
        <f t="shared" si="5"/>
        <v>33.333333333333336</v>
      </c>
      <c r="AX25" s="306">
        <f t="shared" si="5"/>
        <v>33.333333333333336</v>
      </c>
      <c r="AY25" s="307">
        <f t="shared" ref="AY25" si="6">AX25</f>
        <v>33.333333333333336</v>
      </c>
      <c r="AZ25" s="308">
        <f t="shared" ref="AZ25" si="7">AY25</f>
        <v>33.333333333333336</v>
      </c>
      <c r="BA25" s="305">
        <f>ProForma!J20/12</f>
        <v>33.333333333333336</v>
      </c>
      <c r="BB25" s="306">
        <f>BA25</f>
        <v>33.333333333333336</v>
      </c>
      <c r="BC25" s="307">
        <f t="shared" si="5"/>
        <v>33.333333333333336</v>
      </c>
      <c r="BD25" s="306">
        <f t="shared" si="5"/>
        <v>33.333333333333336</v>
      </c>
      <c r="BE25" s="307">
        <f t="shared" si="5"/>
        <v>33.333333333333336</v>
      </c>
      <c r="BF25" s="306">
        <f t="shared" si="5"/>
        <v>33.333333333333336</v>
      </c>
      <c r="BG25" s="307">
        <f t="shared" si="5"/>
        <v>33.333333333333336</v>
      </c>
      <c r="BH25" s="306">
        <f t="shared" si="5"/>
        <v>33.333333333333336</v>
      </c>
      <c r="BI25" s="307">
        <f t="shared" si="5"/>
        <v>33.333333333333336</v>
      </c>
      <c r="BJ25" s="306">
        <f t="shared" si="5"/>
        <v>33.333333333333336</v>
      </c>
      <c r="BK25" s="307">
        <f t="shared" si="5"/>
        <v>33.333333333333336</v>
      </c>
      <c r="BL25" s="308">
        <f t="shared" si="5"/>
        <v>33.333333333333336</v>
      </c>
    </row>
    <row r="26" spans="3:64">
      <c r="C26" s="152" t="s">
        <v>152</v>
      </c>
      <c r="D26" s="152"/>
      <c r="E26" s="305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E6,
""
),
'Inputs &amp; Assumptions'!$J$105 * E6
)
)
)),"0")</f>
        <v/>
      </c>
      <c r="F26" s="306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F6,
""
),
'Inputs &amp; Assumptions'!$J$105 * F6
)
)
)),"0")</f>
        <v>0</v>
      </c>
      <c r="G26" s="307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G6,
""
),
'Inputs &amp; Assumptions'!$J$105 * G6
)
)
)),"0")</f>
        <v>0</v>
      </c>
      <c r="H26" s="306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H6,
""
),
'Inputs &amp; Assumptions'!$J$105 * H6
)
)
)),"0")</f>
        <v>0</v>
      </c>
      <c r="I26" s="307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I6,
""
),
'Inputs &amp; Assumptions'!$J$105 * I6
)
)
)),"0")</f>
        <v>0</v>
      </c>
      <c r="J26" s="306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J6,
""
),
'Inputs &amp; Assumptions'!$J$105 * J6
)
)
)),"0")</f>
        <v>0</v>
      </c>
      <c r="K26" s="307" t="str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K6,
""
),
'Inputs &amp; Assumptions'!$J$105 * K6
)
)
)),"0")</f>
        <v>0</v>
      </c>
      <c r="L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L6,
""
),
'Inputs &amp; Assumptions'!$J$105 * L6
)
)
)),"0")</f>
        <v>211.6</v>
      </c>
      <c r="M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M6,
""
),
'Inputs &amp; Assumptions'!$J$105 * M6
)
)
)),"0")</f>
        <v>211.6</v>
      </c>
      <c r="N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N6,
""
),
'Inputs &amp; Assumptions'!$J$105 * N6
)
)
)),"0")</f>
        <v>211.6</v>
      </c>
      <c r="O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O6,
""
),
'Inputs &amp; Assumptions'!$J$105 * O6
)
)
)),"0")</f>
        <v>211.6</v>
      </c>
      <c r="P26" s="308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P6,
""
),
'Inputs &amp; Assumptions'!$J$105 * P6
)
)
)),"0")</f>
        <v>211.6</v>
      </c>
      <c r="Q26" s="305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Q6,
""
),
'Inputs &amp; Assumptions'!$J$105 * Q6
)
)
)),"0")</f>
        <v>211.6</v>
      </c>
      <c r="R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R6,
""
),
'Inputs &amp; Assumptions'!$J$105 * R6
)
)
)),"0")</f>
        <v>211.6</v>
      </c>
      <c r="S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S6,
""
),
'Inputs &amp; Assumptions'!$J$105 * S6
)
)
)),"0")</f>
        <v>211.6</v>
      </c>
      <c r="T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T6,
""
),
'Inputs &amp; Assumptions'!$J$105 * T6
)
)
)),"0")</f>
        <v>211.6</v>
      </c>
      <c r="U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U6,
""
),
'Inputs &amp; Assumptions'!$J$105 * U6
)
)
)),"0")</f>
        <v>211.6</v>
      </c>
      <c r="V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V6,
""
),
'Inputs &amp; Assumptions'!$J$105 * V6
)
)
)),"0")</f>
        <v>211.6</v>
      </c>
      <c r="W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W6,
""
),
'Inputs &amp; Assumptions'!$J$105 * W6
)
)
)),"0")</f>
        <v>211.6</v>
      </c>
      <c r="X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X6,
""
),
'Inputs &amp; Assumptions'!$J$105 * X6
)
)
)),"0")</f>
        <v>217.94800000000001</v>
      </c>
      <c r="Y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Y6,
""
),
'Inputs &amp; Assumptions'!$J$105 * Y6
)
)
)),"0")</f>
        <v>217.94800000000001</v>
      </c>
      <c r="Z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Z6,
""
),
'Inputs &amp; Assumptions'!$J$105 * Z6
)
)
)),"0")</f>
        <v>217.94800000000001</v>
      </c>
      <c r="AA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AA6,
""
),
'Inputs &amp; Assumptions'!$J$105 * AA6
)
)
)),"0")</f>
        <v>217.94800000000001</v>
      </c>
      <c r="AB26" s="308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AB6,
""
),
'Inputs &amp; Assumptions'!$J$105 * AB6
)
)
)),"0")</f>
        <v>217.94800000000001</v>
      </c>
      <c r="AC26" s="305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AC6,
""
),
'Inputs &amp; Assumptions'!$J$105 * AC6
)
)
)),"0")</f>
        <v>217.94800000000001</v>
      </c>
      <c r="AD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AD6,
""
),
'Inputs &amp; Assumptions'!$J$105 * AD6
)
)
)),"0")</f>
        <v>217.94800000000001</v>
      </c>
      <c r="AE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AE6,
""
),
'Inputs &amp; Assumptions'!$J$105 * AE6
)
)
)),"0")</f>
        <v>217.94800000000001</v>
      </c>
      <c r="AF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AF6,
""
),
'Inputs &amp; Assumptions'!$J$105 * AF6
)
)
)),"0")</f>
        <v>217.94800000000001</v>
      </c>
      <c r="AG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AG6,
""
),
'Inputs &amp; Assumptions'!$J$105 * AG6
)
)
)),"0")</f>
        <v>217.94800000000001</v>
      </c>
      <c r="AH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AH6,
""
),
'Inputs &amp; Assumptions'!$J$105 * AH6
)
)
)),"0")</f>
        <v>217.94800000000001</v>
      </c>
      <c r="AI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AI6,
""
),
'Inputs &amp; Assumptions'!$J$105 * AI6
)
)
)),"0")</f>
        <v>217.94800000000001</v>
      </c>
      <c r="AJ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AJ6,
""
),
'Inputs &amp; Assumptions'!$J$105 * AJ6
)
)
)),"0")</f>
        <v>224.48644000000002</v>
      </c>
      <c r="AK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AK6,
""
),
'Inputs &amp; Assumptions'!$J$105 * AK6
)
)
)),"0")</f>
        <v>224.48644000000002</v>
      </c>
      <c r="AL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AL6,
""
),
'Inputs &amp; Assumptions'!$J$105 * AL6
)
)
)),"0")</f>
        <v>224.48644000000002</v>
      </c>
      <c r="AM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AM6,
""
),
'Inputs &amp; Assumptions'!$J$105 * AM6
)
)
)),"0")</f>
        <v>224.48644000000002</v>
      </c>
      <c r="AN26" s="308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AN6,
""
),
'Inputs &amp; Assumptions'!$J$105 * AN6
)
)
)),"0")</f>
        <v>224.48644000000002</v>
      </c>
      <c r="AO26" s="305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AO6,
""
),
'Inputs &amp; Assumptions'!$J$105 * AO6
)
)
)),"0")</f>
        <v>224.48644000000002</v>
      </c>
      <c r="AP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AP6,
""
),
'Inputs &amp; Assumptions'!$J$105 * AP6
)
)
)),"0")</f>
        <v>224.48644000000002</v>
      </c>
      <c r="AQ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AQ6,
""
),
'Inputs &amp; Assumptions'!$J$105 * AQ6
)
)
)),"0")</f>
        <v>224.48644000000002</v>
      </c>
      <c r="AR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AR6,
""
),
'Inputs &amp; Assumptions'!$J$105 * AR6
)
)
)),"0")</f>
        <v>224.48644000000002</v>
      </c>
      <c r="AS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AS6,
""
),
'Inputs &amp; Assumptions'!$J$105 * AS6
)
)
)),"0")</f>
        <v>224.48644000000002</v>
      </c>
      <c r="AT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AT6,
""
),
'Inputs &amp; Assumptions'!$J$105 * AT6
)
)
)),"0")</f>
        <v>224.48644000000002</v>
      </c>
      <c r="AU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AU6,
""
),
'Inputs &amp; Assumptions'!$J$105 * AU6
)
)
)),"0")</f>
        <v>224.48644000000002</v>
      </c>
      <c r="AV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AV6,
""
),
'Inputs &amp; Assumptions'!$J$105 * AV6
)
)
)),"0")</f>
        <v>231.22103319999999</v>
      </c>
      <c r="AW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AW6,
""
),
'Inputs &amp; Assumptions'!$J$105 * AW6
)
)
)),"0")</f>
        <v>231.22103319999999</v>
      </c>
      <c r="AX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AX6,
""
),
'Inputs &amp; Assumptions'!$J$105 * AX6
)
)
)),"0")</f>
        <v>231.22103319999999</v>
      </c>
      <c r="AY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AY6,
""
),
'Inputs &amp; Assumptions'!$J$105 * AY6
)
)
)),"0")</f>
        <v>231.22103319999999</v>
      </c>
      <c r="AZ26" s="308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AZ6,
""
),
'Inputs &amp; Assumptions'!$J$105 * AZ6
)
)
)),"0")</f>
        <v>231.22103319999999</v>
      </c>
      <c r="BA26" s="305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BA6,
""
),
'Inputs &amp; Assumptions'!$J$105 * BA6
)
)
)),"0")</f>
        <v>231.22103319999999</v>
      </c>
      <c r="BB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BB6,
""
),
'Inputs &amp; Assumptions'!$J$105 * BB6
)
)
)),"0")</f>
        <v>231.22103319999999</v>
      </c>
      <c r="BC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BC6,
""
),
'Inputs &amp; Assumptions'!$J$105 * BC6
)
)
)),"0")</f>
        <v>231.22103319999999</v>
      </c>
      <c r="BD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BD6,
""
),
'Inputs &amp; Assumptions'!$J$105 * BD6
)
)
)),"0")</f>
        <v>231.22103319999999</v>
      </c>
      <c r="BE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BE6,
""
),
'Inputs &amp; Assumptions'!$J$105 * BE6
)
)
)),"0")</f>
        <v>231.22103319999999</v>
      </c>
      <c r="BF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BF6,
""
),
'Inputs &amp; Assumptions'!$J$105 * BF6
)
)
)),"0")</f>
        <v>231.22103319999999</v>
      </c>
      <c r="BG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BG6,
""
),
'Inputs &amp; Assumptions'!$J$105 * BG6
)
)
)),"0")</f>
        <v>231.22103319999999</v>
      </c>
      <c r="BH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BH6,
""
),
'Inputs &amp; Assumptions'!$J$105 * BH6
)
)
)),"0")</f>
        <v>238.15766419599998</v>
      </c>
      <c r="BI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BI6,
""
),
'Inputs &amp; Assumptions'!$J$105 * BI6
)
)
)),"0")</f>
        <v>238.15766419599998</v>
      </c>
      <c r="BJ26" s="306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BJ6,
""
),
'Inputs &amp; Assumptions'!$J$105 * BJ6
)
)
)),"0")</f>
        <v>238.15766419599998</v>
      </c>
      <c r="BK26" s="307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BK6,
""
),
'Inputs &amp; Assumptions'!$J$105 * BK6
)
)
)),"0")</f>
        <v>238.15766419599998</v>
      </c>
      <c r="BL26" s="308">
        <f ca="1">IFERROR((IF(
'Inputs &amp; Assumptions'!$B$17="",
"-",
IF(
COLUMN()-COLUMN($E$28) &lt; 'Inputs &amp; Assumptions'!$J$102,
"",
IF(
'Inputs &amp; Assumptions'!$B$17="Lease up",
IF(
COLUMN()-COLUMN($E$28) = 'Inputs &amp; Assumptions'!$J$102,
'Inputs &amp; Assumptions'!$J$105 * BL6,
""
),
'Inputs &amp; Assumptions'!$J$105 * BL6
)
)
)),"0")</f>
        <v>238.15766419599998</v>
      </c>
    </row>
    <row r="27" spans="3:64">
      <c r="C27" s="147" t="s">
        <v>153</v>
      </c>
      <c r="D27" s="147"/>
      <c r="E27" s="305"/>
      <c r="F27" s="306"/>
      <c r="G27" s="307"/>
      <c r="H27" s="306"/>
      <c r="I27" s="307"/>
      <c r="J27" s="306"/>
      <c r="K27" s="307"/>
      <c r="L27" s="306"/>
      <c r="M27" s="307"/>
      <c r="N27" s="306"/>
      <c r="O27" s="307"/>
      <c r="P27" s="308"/>
      <c r="Q27" s="305"/>
      <c r="R27" s="306"/>
      <c r="S27" s="307"/>
      <c r="T27" s="306"/>
      <c r="U27" s="307"/>
      <c r="V27" s="306"/>
      <c r="W27" s="307"/>
      <c r="X27" s="306"/>
      <c r="Y27" s="307"/>
      <c r="Z27" s="306"/>
      <c r="AA27" s="307"/>
      <c r="AB27" s="308"/>
      <c r="AC27" s="305"/>
      <c r="AD27" s="306"/>
      <c r="AE27" s="307"/>
      <c r="AF27" s="306"/>
      <c r="AG27" s="307"/>
      <c r="AH27" s="306"/>
      <c r="AI27" s="307"/>
      <c r="AJ27" s="306"/>
      <c r="AK27" s="307"/>
      <c r="AL27" s="306"/>
      <c r="AM27" s="307"/>
      <c r="AN27" s="308"/>
      <c r="AO27" s="305"/>
      <c r="AP27" s="306"/>
      <c r="AQ27" s="307"/>
      <c r="AR27" s="306"/>
      <c r="AS27" s="307"/>
      <c r="AT27" s="306"/>
      <c r="AU27" s="307"/>
      <c r="AV27" s="306"/>
      <c r="AW27" s="307"/>
      <c r="AX27" s="306"/>
      <c r="AY27" s="307"/>
      <c r="AZ27" s="308"/>
      <c r="BA27" s="305"/>
      <c r="BB27" s="306"/>
      <c r="BC27" s="307"/>
      <c r="BD27" s="306"/>
      <c r="BE27" s="307"/>
      <c r="BF27" s="306"/>
      <c r="BG27" s="307"/>
      <c r="BH27" s="306"/>
      <c r="BI27" s="307"/>
      <c r="BJ27" s="306"/>
      <c r="BK27" s="307"/>
      <c r="BL27" s="308"/>
    </row>
    <row r="28" spans="3:64">
      <c r="E28" s="305"/>
      <c r="F28" s="306"/>
      <c r="G28" s="307"/>
      <c r="H28" s="306"/>
      <c r="I28" s="307"/>
      <c r="J28" s="306"/>
      <c r="K28" s="307"/>
      <c r="L28" s="306"/>
      <c r="M28" s="307"/>
      <c r="N28" s="306"/>
      <c r="O28" s="307"/>
      <c r="P28" s="308"/>
      <c r="Q28" s="305"/>
      <c r="R28" s="306"/>
      <c r="S28" s="307"/>
      <c r="T28" s="306"/>
      <c r="U28" s="307"/>
      <c r="V28" s="306"/>
      <c r="W28" s="307"/>
      <c r="X28" s="306"/>
      <c r="Y28" s="307"/>
      <c r="Z28" s="306"/>
      <c r="AA28" s="307"/>
      <c r="AB28" s="308"/>
      <c r="AC28" s="305"/>
      <c r="AD28" s="306"/>
      <c r="AE28" s="307"/>
      <c r="AF28" s="306"/>
      <c r="AG28" s="307"/>
      <c r="AH28" s="306"/>
      <c r="AI28" s="307"/>
      <c r="AJ28" s="306"/>
      <c r="AK28" s="307"/>
      <c r="AL28" s="306"/>
      <c r="AM28" s="307"/>
      <c r="AN28" s="308"/>
      <c r="AO28" s="305"/>
      <c r="AP28" s="306"/>
      <c r="AQ28" s="307"/>
      <c r="AR28" s="306"/>
      <c r="AS28" s="307"/>
      <c r="AT28" s="306"/>
      <c r="AU28" s="307"/>
      <c r="AV28" s="306"/>
      <c r="AW28" s="307"/>
      <c r="AX28" s="306"/>
      <c r="AY28" s="307"/>
      <c r="AZ28" s="308"/>
      <c r="BA28" s="305"/>
      <c r="BB28" s="306"/>
      <c r="BC28" s="307"/>
      <c r="BD28" s="306"/>
      <c r="BE28" s="307"/>
      <c r="BF28" s="306"/>
      <c r="BG28" s="307"/>
      <c r="BH28" s="306"/>
      <c r="BI28" s="307"/>
      <c r="BJ28" s="306"/>
      <c r="BK28" s="307"/>
      <c r="BL28" s="308"/>
    </row>
    <row r="29" spans="3:64">
      <c r="C29" s="147" t="s">
        <v>199</v>
      </c>
      <c r="D29" s="147"/>
      <c r="E29" s="310">
        <f ca="1">-SUM(E16:E27)</f>
        <v>-6958.7381890757342</v>
      </c>
      <c r="F29" s="311" t="str">
        <f t="shared" ref="F29:BL29" ca="1" si="8">IFERROR((F6+F12)-(SUM(F16:F27)),"0")</f>
        <v>0</v>
      </c>
      <c r="G29" s="312" t="str">
        <f t="shared" ca="1" si="8"/>
        <v>0</v>
      </c>
      <c r="H29" s="311" t="str">
        <f t="shared" ca="1" si="8"/>
        <v>0</v>
      </c>
      <c r="I29" s="312" t="str">
        <f t="shared" ca="1" si="8"/>
        <v>0</v>
      </c>
      <c r="J29" s="311" t="str">
        <f t="shared" ca="1" si="8"/>
        <v>0</v>
      </c>
      <c r="K29" s="312" t="str">
        <f t="shared" ca="1" si="8"/>
        <v>0</v>
      </c>
      <c r="L29" s="311">
        <f t="shared" ca="1" si="8"/>
        <v>-1183.3798557424007</v>
      </c>
      <c r="M29" s="312">
        <f t="shared" ca="1" si="8"/>
        <v>-1183.3798557424007</v>
      </c>
      <c r="N29" s="311">
        <f t="shared" ca="1" si="8"/>
        <v>-1183.3798557424007</v>
      </c>
      <c r="O29" s="312">
        <f t="shared" ca="1" si="8"/>
        <v>-1183.3798557424011</v>
      </c>
      <c r="P29" s="313">
        <f t="shared" ca="1" si="8"/>
        <v>-1183.3798557424007</v>
      </c>
      <c r="Q29" s="310">
        <f t="shared" ca="1" si="8"/>
        <v>-808.37985574240111</v>
      </c>
      <c r="R29" s="311">
        <f t="shared" ca="1" si="8"/>
        <v>-808.37985574240065</v>
      </c>
      <c r="S29" s="312">
        <f t="shared" ca="1" si="8"/>
        <v>-808.37985574240065</v>
      </c>
      <c r="T29" s="311">
        <f t="shared" ca="1" si="8"/>
        <v>-808.37985574240065</v>
      </c>
      <c r="U29" s="312">
        <f t="shared" ca="1" si="8"/>
        <v>-813.37985574240111</v>
      </c>
      <c r="V29" s="311">
        <f t="shared" ca="1" si="8"/>
        <v>-808.37985574240111</v>
      </c>
      <c r="W29" s="312">
        <f t="shared" ca="1" si="8"/>
        <v>-808.37985574240111</v>
      </c>
      <c r="X29" s="311">
        <f t="shared" ca="1" si="8"/>
        <v>-735.3778557424007</v>
      </c>
      <c r="Y29" s="312">
        <f t="shared" ca="1" si="8"/>
        <v>-735.3778557424007</v>
      </c>
      <c r="Z29" s="311">
        <f t="shared" ca="1" si="8"/>
        <v>-735.3778557424007</v>
      </c>
      <c r="AA29" s="312">
        <f t="shared" ca="1" si="8"/>
        <v>-735.3778557424007</v>
      </c>
      <c r="AB29" s="313">
        <f t="shared" ca="1" si="8"/>
        <v>-735.3778557424007</v>
      </c>
      <c r="AC29" s="310">
        <f t="shared" ca="1" si="8"/>
        <v>-735.37785574240115</v>
      </c>
      <c r="AD29" s="311">
        <f t="shared" ca="1" si="8"/>
        <v>-735.3778557424007</v>
      </c>
      <c r="AE29" s="312">
        <f t="shared" ca="1" si="8"/>
        <v>-735.3778557424007</v>
      </c>
      <c r="AF29" s="311">
        <f t="shared" ca="1" si="8"/>
        <v>-735.3778557424007</v>
      </c>
      <c r="AG29" s="312">
        <f t="shared" ca="1" si="8"/>
        <v>-740.37785574240115</v>
      </c>
      <c r="AH29" s="311">
        <f t="shared" ca="1" si="8"/>
        <v>-735.37785574240115</v>
      </c>
      <c r="AI29" s="312">
        <f t="shared" ca="1" si="8"/>
        <v>-735.3778557424007</v>
      </c>
      <c r="AJ29" s="311">
        <f t="shared" ca="1" si="8"/>
        <v>-660.1857957424013</v>
      </c>
      <c r="AK29" s="312">
        <f t="shared" ca="1" si="8"/>
        <v>-660.18579574240084</v>
      </c>
      <c r="AL29" s="311">
        <f t="shared" ca="1" si="8"/>
        <v>-660.18579574240084</v>
      </c>
      <c r="AM29" s="312">
        <f t="shared" ca="1" si="8"/>
        <v>-660.1857957424013</v>
      </c>
      <c r="AN29" s="313">
        <f t="shared" ca="1" si="8"/>
        <v>-660.18579574240084</v>
      </c>
      <c r="AO29" s="310">
        <f t="shared" ca="1" si="8"/>
        <v>-660.18579574240084</v>
      </c>
      <c r="AP29" s="311">
        <f t="shared" ca="1" si="8"/>
        <v>-660.1857957424013</v>
      </c>
      <c r="AQ29" s="312">
        <f t="shared" ca="1" si="8"/>
        <v>-660.18579574240084</v>
      </c>
      <c r="AR29" s="311">
        <f t="shared" ca="1" si="8"/>
        <v>-660.18579574240084</v>
      </c>
      <c r="AS29" s="312">
        <f t="shared" ca="1" si="8"/>
        <v>-665.18579574240084</v>
      </c>
      <c r="AT29" s="311">
        <f t="shared" ca="1" si="8"/>
        <v>-660.18579574240084</v>
      </c>
      <c r="AU29" s="312">
        <f t="shared" ca="1" si="8"/>
        <v>-660.18579574240084</v>
      </c>
      <c r="AV29" s="311">
        <f t="shared" ca="1" si="8"/>
        <v>-582.73797394240091</v>
      </c>
      <c r="AW29" s="312">
        <f t="shared" ca="1" si="8"/>
        <v>-582.73797394240091</v>
      </c>
      <c r="AX29" s="311">
        <f t="shared" ca="1" si="8"/>
        <v>-582.73797394240091</v>
      </c>
      <c r="AY29" s="312">
        <f t="shared" ca="1" si="8"/>
        <v>-582.73797394240182</v>
      </c>
      <c r="AZ29" s="313">
        <f t="shared" ca="1" si="8"/>
        <v>-582.73797394240091</v>
      </c>
      <c r="BA29" s="310">
        <f t="shared" ca="1" si="8"/>
        <v>-582.73797394240091</v>
      </c>
      <c r="BB29" s="311">
        <f t="shared" ca="1" si="8"/>
        <v>-582.73797394240091</v>
      </c>
      <c r="BC29" s="312">
        <f t="shared" ca="1" si="8"/>
        <v>-582.73797394240091</v>
      </c>
      <c r="BD29" s="311">
        <f t="shared" ca="1" si="8"/>
        <v>-582.73797394240137</v>
      </c>
      <c r="BE29" s="312">
        <f t="shared" ca="1" si="8"/>
        <v>-587.73797394240137</v>
      </c>
      <c r="BF29" s="311">
        <f t="shared" ca="1" si="8"/>
        <v>-582.73797394240091</v>
      </c>
      <c r="BG29" s="312">
        <f t="shared" ca="1" si="8"/>
        <v>-582.73797394240091</v>
      </c>
      <c r="BH29" s="311">
        <f t="shared" ca="1" si="8"/>
        <v>-502.96671748840117</v>
      </c>
      <c r="BI29" s="312">
        <f t="shared" ca="1" si="8"/>
        <v>-502.96671748840117</v>
      </c>
      <c r="BJ29" s="311">
        <f t="shared" ca="1" si="8"/>
        <v>-502.96671748840163</v>
      </c>
      <c r="BK29" s="312">
        <f t="shared" ca="1" si="8"/>
        <v>-502.96671748840163</v>
      </c>
      <c r="BL29" s="313">
        <f t="shared" ca="1" si="8"/>
        <v>-502.96671748840163</v>
      </c>
    </row>
    <row r="30" spans="3:64">
      <c r="C30" s="147" t="s">
        <v>200</v>
      </c>
      <c r="D30" s="147"/>
      <c r="E30" s="310">
        <f ca="1">IFERROR((E29/(1+'Inputs &amp; Assumptions'!$E$8)^'Monthly Cashflows'!E3),"0")</f>
        <v>-6627.3697038816517</v>
      </c>
      <c r="F30" s="311">
        <f ca="1">IFERROR((F29/(1+'Inputs &amp; Assumptions'!$E$8)^'Monthly Cashflows'!F3),"0")</f>
        <v>0</v>
      </c>
      <c r="G30" s="312">
        <f ca="1">IFERROR((G29/(1+'Inputs &amp; Assumptions'!$E$8)^'Monthly Cashflows'!G3),"0")</f>
        <v>0</v>
      </c>
      <c r="H30" s="311">
        <f ca="1">IFERROR((H29/(1+'Inputs &amp; Assumptions'!$E$8)^'Monthly Cashflows'!H3),"0")</f>
        <v>0</v>
      </c>
      <c r="I30" s="312">
        <f ca="1">IFERROR((I29/(1+'Inputs &amp; Assumptions'!$E$8)^'Monthly Cashflows'!I3),"0")</f>
        <v>0</v>
      </c>
      <c r="J30" s="311">
        <f ca="1">IFERROR((J29/(1+'Inputs &amp; Assumptions'!$E$8)^'Monthly Cashflows'!J3),"0")</f>
        <v>0</v>
      </c>
      <c r="K30" s="312">
        <f ca="1">IFERROR((K29/(1+'Inputs &amp; Assumptions'!$E$8)^'Monthly Cashflows'!K3),"0")</f>
        <v>0</v>
      </c>
      <c r="L30" s="311">
        <f ca="1">IFERROR((L29/(1+'Inputs &amp; Assumptions'!$E$8)^'Monthly Cashflows'!L3),"0")</f>
        <v>-800.95806659828634</v>
      </c>
      <c r="M30" s="312">
        <f ca="1">IFERROR((M29/(1+'Inputs &amp; Assumptions'!$E$8)^'Monthly Cashflows'!M3),"0")</f>
        <v>-762.8172062840822</v>
      </c>
      <c r="N30" s="311">
        <f ca="1">IFERROR((N29/(1+'Inputs &amp; Assumptions'!$E$8)^'Monthly Cashflows'!N3),"0")</f>
        <v>-726.4925774134116</v>
      </c>
      <c r="O30" s="312">
        <f ca="1">IFERROR((O29/(1+'Inputs &amp; Assumptions'!$E$8)^'Monthly Cashflows'!O3),"0")</f>
        <v>-691.89769277467792</v>
      </c>
      <c r="P30" s="313">
        <f ca="1">IFERROR((P29/(1+'Inputs &amp; Assumptions'!$E$8)^'Monthly Cashflows'!P3),"0")</f>
        <v>-658.95018359493122</v>
      </c>
      <c r="Q30" s="310">
        <f ca="1">IFERROR((Q29/(1+'Inputs &amp; Assumptions'!$E$8)^'Monthly Cashflows'!Q3),"0")</f>
        <v>-428.70109693175863</v>
      </c>
      <c r="R30" s="311">
        <f ca="1">IFERROR((R29/(1+'Inputs &amp; Assumptions'!$E$8)^'Monthly Cashflows'!R3),"0")</f>
        <v>-408.28675898262713</v>
      </c>
      <c r="S30" s="312">
        <f ca="1">IFERROR((S29/(1+'Inputs &amp; Assumptions'!$E$8)^'Monthly Cashflows'!S3),"0")</f>
        <v>-388.84453236440663</v>
      </c>
      <c r="T30" s="311">
        <f ca="1">IFERROR((T29/(1+'Inputs &amp; Assumptions'!$E$8)^'Monthly Cashflows'!T3),"0")</f>
        <v>-370.32812606133973</v>
      </c>
      <c r="U30" s="312">
        <f ca="1">IFERROR((U29/(1+'Inputs &amp; Assumptions'!$E$8)^'Monthly Cashflows'!U3),"0")</f>
        <v>-354.87493682980653</v>
      </c>
      <c r="V30" s="311">
        <f ca="1">IFERROR((V29/(1+'Inputs &amp; Assumptions'!$E$8)^'Monthly Cashflows'!V3),"0")</f>
        <v>-335.89852703976408</v>
      </c>
      <c r="W30" s="312">
        <f ca="1">IFERROR((W29/(1+'Inputs &amp; Assumptions'!$E$8)^'Monthly Cashflows'!W3),"0")</f>
        <v>-319.90335908548957</v>
      </c>
      <c r="X30" s="311">
        <f ca="1">IFERROR((X29/(1+'Inputs &amp; Assumptions'!$E$8)^'Monthly Cashflows'!X3),"0")</f>
        <v>-277.15617976700941</v>
      </c>
      <c r="Y30" s="312">
        <f ca="1">IFERROR((Y29/(1+'Inputs &amp; Assumptions'!$E$8)^'Monthly Cashflows'!Y3),"0")</f>
        <v>-263.95826644477091</v>
      </c>
      <c r="Z30" s="311">
        <f ca="1">IFERROR((Z29/(1+'Inputs &amp; Assumptions'!$E$8)^'Monthly Cashflows'!Z3),"0")</f>
        <v>-251.3888251854961</v>
      </c>
      <c r="AA30" s="312">
        <f ca="1">IFERROR((AA29/(1+'Inputs &amp; Assumptions'!$E$8)^'Monthly Cashflows'!AA3),"0")</f>
        <v>-239.41792874809147</v>
      </c>
      <c r="AB30" s="313">
        <f ca="1">IFERROR((AB29/(1+'Inputs &amp; Assumptions'!$E$8)^'Monthly Cashflows'!AB3),"0")</f>
        <v>-228.01707499818238</v>
      </c>
      <c r="AC30" s="310">
        <f ca="1">IFERROR((AC29/(1+'Inputs &amp; Assumptions'!$E$8)^'Monthly Cashflows'!AC3),"0")</f>
        <v>-217.15911904588813</v>
      </c>
      <c r="AD30" s="311">
        <f ca="1">IFERROR((AD29/(1+'Inputs &amp; Assumptions'!$E$8)^'Monthly Cashflows'!AD3),"0")</f>
        <v>-206.8182086151314</v>
      </c>
      <c r="AE30" s="312">
        <f ca="1">IFERROR((AE29/(1+'Inputs &amp; Assumptions'!$E$8)^'Monthly Cashflows'!AE3),"0")</f>
        <v>-196.96972249060133</v>
      </c>
      <c r="AF30" s="311">
        <f ca="1">IFERROR((AF29/(1+'Inputs &amp; Assumptions'!$E$8)^'Monthly Cashflows'!AF3),"0")</f>
        <v>-187.59021189581082</v>
      </c>
      <c r="AG30" s="312">
        <f ca="1">IFERROR((AG29/(1+'Inputs &amp; Assumptions'!$E$8)^'Monthly Cashflows'!AG3),"0")</f>
        <v>-179.87207626812028</v>
      </c>
      <c r="AH30" s="311">
        <f ca="1">IFERROR((AH29/(1+'Inputs &amp; Assumptions'!$E$8)^'Monthly Cashflows'!AH3),"0")</f>
        <v>-170.14985205969248</v>
      </c>
      <c r="AI30" s="312">
        <f ca="1">IFERROR((AI29/(1+'Inputs &amp; Assumptions'!$E$8)^'Monthly Cashflows'!AI3),"0")</f>
        <v>-162.0474781520879</v>
      </c>
      <c r="AJ30" s="311">
        <f ca="1">IFERROR((AJ29/(1+'Inputs &amp; Assumptions'!$E$8)^'Monthly Cashflows'!AJ3),"0")</f>
        <v>-138.55066218386781</v>
      </c>
      <c r="AK30" s="312">
        <f ca="1">IFERROR((AK29/(1+'Inputs &amp; Assumptions'!$E$8)^'Monthly Cashflows'!AK3),"0")</f>
        <v>-131.95301160368354</v>
      </c>
      <c r="AL30" s="311">
        <f ca="1">IFERROR((AL29/(1+'Inputs &amp; Assumptions'!$E$8)^'Monthly Cashflows'!AL3),"0")</f>
        <v>-125.66953486065098</v>
      </c>
      <c r="AM30" s="312">
        <f ca="1">IFERROR((AM29/(1+'Inputs &amp; Assumptions'!$E$8)^'Monthly Cashflows'!AM3),"0")</f>
        <v>-119.68527129585814</v>
      </c>
      <c r="AN30" s="313">
        <f ca="1">IFERROR((AN29/(1+'Inputs &amp; Assumptions'!$E$8)^'Monthly Cashflows'!AN3),"0")</f>
        <v>-113.98597266272198</v>
      </c>
      <c r="AO30" s="310">
        <f ca="1">IFERROR((AO29/(1+'Inputs &amp; Assumptions'!$E$8)^'Monthly Cashflows'!AO3),"0")</f>
        <v>-108.55806920259235</v>
      </c>
      <c r="AP30" s="311">
        <f ca="1">IFERROR((AP29/(1+'Inputs &amp; Assumptions'!$E$8)^'Monthly Cashflows'!AP3),"0")</f>
        <v>-103.38863733580233</v>
      </c>
      <c r="AQ30" s="312">
        <f ca="1">IFERROR((AQ29/(1+'Inputs &amp; Assumptions'!$E$8)^'Monthly Cashflows'!AQ3),"0")</f>
        <v>-98.465368891240232</v>
      </c>
      <c r="AR30" s="311">
        <f ca="1">IFERROR((AR29/(1+'Inputs &amp; Assumptions'!$E$8)^'Monthly Cashflows'!AR3),"0")</f>
        <v>-93.776541801181182</v>
      </c>
      <c r="AS30" s="312">
        <f ca="1">IFERROR((AS29/(1+'Inputs &amp; Assumptions'!$E$8)^'Monthly Cashflows'!AS3),"0")</f>
        <v>-89.987400202554824</v>
      </c>
      <c r="AT30" s="311">
        <f ca="1">IFERROR((AT29/(1+'Inputs &amp; Assumptions'!$E$8)^'Monthly Cashflows'!AT3),"0")</f>
        <v>-85.058087801524877</v>
      </c>
      <c r="AU30" s="312">
        <f ca="1">IFERROR((AU29/(1+'Inputs &amp; Assumptions'!$E$8)^'Monthly Cashflows'!AU3),"0")</f>
        <v>-81.007702668118924</v>
      </c>
      <c r="AV30" s="311">
        <f ca="1">IFERROR((AV29/(1+'Inputs &amp; Assumptions'!$E$8)^'Monthly Cashflows'!AV3),"0")</f>
        <v>-68.099537218282393</v>
      </c>
      <c r="AW30" s="312">
        <f ca="1">IFERROR((AW29/(1+'Inputs &amp; Assumptions'!$E$8)^'Monthly Cashflows'!AW3),"0")</f>
        <v>-64.856702112649884</v>
      </c>
      <c r="AX30" s="311">
        <f ca="1">IFERROR((AX29/(1+'Inputs &amp; Assumptions'!$E$8)^'Monthly Cashflows'!AX3),"0")</f>
        <v>-61.768287726333234</v>
      </c>
      <c r="AY30" s="312">
        <f ca="1">IFERROR((AY29/(1+'Inputs &amp; Assumptions'!$E$8)^'Monthly Cashflows'!AY3),"0")</f>
        <v>-58.82694069174601</v>
      </c>
      <c r="AZ30" s="313">
        <f ca="1">IFERROR((AZ29/(1+'Inputs &amp; Assumptions'!$E$8)^'Monthly Cashflows'!AZ3),"0")</f>
        <v>-56.025657801662781</v>
      </c>
      <c r="BA30" s="310">
        <f ca="1">IFERROR((BA29/(1+'Inputs &amp; Assumptions'!$E$8)^'Monthly Cashflows'!BA3),"0")</f>
        <v>-53.357769334916931</v>
      </c>
      <c r="BB30" s="311">
        <f ca="1">IFERROR((BB29/(1+'Inputs &amp; Assumptions'!$E$8)^'Monthly Cashflows'!BB3),"0")</f>
        <v>-50.816923176111366</v>
      </c>
      <c r="BC30" s="312">
        <f ca="1">IFERROR((BC29/(1+'Inputs &amp; Assumptions'!$E$8)^'Monthly Cashflows'!BC3),"0")</f>
        <v>-48.397069691534632</v>
      </c>
      <c r="BD30" s="311">
        <f ca="1">IFERROR((BD29/(1+'Inputs &amp; Assumptions'!$E$8)^'Monthly Cashflows'!BD3),"0")</f>
        <v>-46.092447325271117</v>
      </c>
      <c r="BE30" s="312">
        <f ca="1">IFERROR((BE29/(1+'Inputs &amp; Assumptions'!$E$8)^'Monthly Cashflows'!BE3),"0")</f>
        <v>-44.274218171664671</v>
      </c>
      <c r="BF30" s="311">
        <f ca="1">IFERROR((BF29/(1+'Inputs &amp; Assumptions'!$E$8)^'Monthly Cashflows'!BF3),"0")</f>
        <v>-41.807208458295769</v>
      </c>
      <c r="BG30" s="312">
        <f ca="1">IFERROR((BG29/(1+'Inputs &amp; Assumptions'!$E$8)^'Monthly Cashflows'!BG3),"0")</f>
        <v>-39.816389007900725</v>
      </c>
      <c r="BH30" s="311">
        <f ca="1">IFERROR((BH29/(1+'Inputs &amp; Assumptions'!$E$8)^'Monthly Cashflows'!BH3),"0")</f>
        <v>-32.729434361563271</v>
      </c>
      <c r="BI30" s="312">
        <f ca="1">IFERROR((BI29/(1+'Inputs &amp; Assumptions'!$E$8)^'Monthly Cashflows'!BI3),"0")</f>
        <v>-31.170889868155495</v>
      </c>
      <c r="BJ30" s="311">
        <f ca="1">IFERROR((BJ29/(1+'Inputs &amp; Assumptions'!$E$8)^'Monthly Cashflows'!BJ3),"0")</f>
        <v>-29.686561779195735</v>
      </c>
      <c r="BK30" s="312">
        <f ca="1">IFERROR((BK29/(1+'Inputs &amp; Assumptions'!$E$8)^'Monthly Cashflows'!BK3),"0")</f>
        <v>-28.272915980186411</v>
      </c>
      <c r="BL30" s="313">
        <f ca="1">IFERROR((BL29/(1+'Inputs &amp; Assumptions'!$E$8)^'Monthly Cashflows'!BL3),"0")</f>
        <v>-26.926586647796587</v>
      </c>
    </row>
    <row r="31" spans="3:64">
      <c r="C31" s="147" t="s">
        <v>177</v>
      </c>
      <c r="D31" s="147"/>
      <c r="E31" s="309">
        <f ca="1">SUM(E30:BL30)-D18</f>
        <v>-17528.879511376184</v>
      </c>
      <c r="F31" s="139"/>
      <c r="G31" s="137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</row>
    <row r="32" spans="3:64">
      <c r="C32" s="147" t="s">
        <v>201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</row>
    <row r="33" spans="3:64">
      <c r="C33" s="147" t="s">
        <v>202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</row>
    <row r="34" spans="3:64">
      <c r="C34" s="147" t="s">
        <v>203</v>
      </c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</row>
    <row r="35" spans="3:64"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</row>
  </sheetData>
  <mergeCells count="6">
    <mergeCell ref="BM4:BX4"/>
    <mergeCell ref="E4:P4"/>
    <mergeCell ref="Q4:AB4"/>
    <mergeCell ref="AC4:AN4"/>
    <mergeCell ref="AO4:AZ4"/>
    <mergeCell ref="BA4:BL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6835-D494-4977-B05B-A33E08FC8FC6}">
  <sheetPr>
    <tabColor rgb="FF0000FF"/>
  </sheetPr>
  <dimension ref="B2:H26"/>
  <sheetViews>
    <sheetView showGridLines="0" zoomScale="145" zoomScaleNormal="145" workbookViewId="0">
      <selection activeCell="C14" sqref="C14"/>
    </sheetView>
  </sheetViews>
  <sheetFormatPr defaultColWidth="8.7109375" defaultRowHeight="14.45"/>
  <cols>
    <col min="1" max="1" width="8.7109375" style="3"/>
    <col min="2" max="2" width="19.7109375" style="3" bestFit="1" customWidth="1"/>
    <col min="3" max="3" width="14.140625" style="3" bestFit="1" customWidth="1"/>
    <col min="4" max="4" width="23.140625" style="3" bestFit="1" customWidth="1"/>
    <col min="5" max="5" width="14.140625" style="3" bestFit="1" customWidth="1"/>
    <col min="6" max="6" width="8.7109375" style="3"/>
    <col min="7" max="7" width="31.140625" style="3" bestFit="1" customWidth="1"/>
    <col min="8" max="8" width="14.140625" style="3" bestFit="1" customWidth="1"/>
    <col min="9" max="16384" width="8.7109375" style="3"/>
  </cols>
  <sheetData>
    <row r="2" spans="2:8">
      <c r="B2" s="360" t="s">
        <v>204</v>
      </c>
      <c r="C2" s="361"/>
      <c r="D2" s="361"/>
      <c r="E2" s="362"/>
      <c r="F2" s="1"/>
      <c r="G2" s="1"/>
      <c r="H2" s="2"/>
    </row>
    <row r="3" spans="2:8">
      <c r="B3" s="363" t="s">
        <v>205</v>
      </c>
      <c r="C3" s="364"/>
      <c r="D3" s="364" t="s">
        <v>206</v>
      </c>
      <c r="E3" s="365"/>
      <c r="F3" s="1"/>
      <c r="G3" s="1"/>
      <c r="H3" s="2"/>
    </row>
    <row r="4" spans="2:8">
      <c r="B4" s="4" t="s">
        <v>207</v>
      </c>
      <c r="C4" s="5">
        <v>0</v>
      </c>
      <c r="D4" s="6" t="s">
        <v>168</v>
      </c>
      <c r="E4" s="7">
        <v>0</v>
      </c>
      <c r="F4" s="1" t="s">
        <v>208</v>
      </c>
      <c r="G4" s="1"/>
      <c r="H4" s="2"/>
    </row>
    <row r="5" spans="2:8">
      <c r="B5" s="8" t="s">
        <v>209</v>
      </c>
      <c r="C5" s="9">
        <f>E10-C4</f>
        <v>25051.75</v>
      </c>
      <c r="D5" s="1" t="s">
        <v>74</v>
      </c>
      <c r="E5" s="10">
        <v>0</v>
      </c>
      <c r="F5" s="1" t="s">
        <v>210</v>
      </c>
      <c r="G5" s="1"/>
      <c r="H5" s="2"/>
    </row>
    <row r="6" spans="2:8">
      <c r="B6" s="8"/>
      <c r="C6" s="2"/>
      <c r="D6" s="1" t="s">
        <v>45</v>
      </c>
      <c r="E6" s="10">
        <f>CHOOSE('Inputs &amp; Assumptions'!B11,'Inputs &amp; Assumptions'!G20,'Inputs &amp; Assumptions'!G21,'Inputs &amp; Assumptions'!G22,'Inputs &amp; Assumptions'!G23,'Inputs &amp; Assumptions'!G24,'Inputs &amp; Assumptions'!G25)</f>
        <v>5000</v>
      </c>
      <c r="F6" s="1"/>
      <c r="G6" s="1"/>
      <c r="H6" s="2"/>
    </row>
    <row r="7" spans="2:8">
      <c r="B7" s="11" t="s">
        <v>211</v>
      </c>
      <c r="C7" s="12">
        <f>+SUM(C4:C6)</f>
        <v>25051.75</v>
      </c>
      <c r="D7" s="13" t="s">
        <v>212</v>
      </c>
      <c r="E7" s="14">
        <f>+SUM(E4:E6)</f>
        <v>5000</v>
      </c>
      <c r="F7" s="1"/>
      <c r="G7" s="1"/>
      <c r="H7" s="2"/>
    </row>
    <row r="8" spans="2:8">
      <c r="B8" s="360" t="s">
        <v>213</v>
      </c>
      <c r="C8" s="361"/>
      <c r="D8" s="361"/>
      <c r="E8" s="362"/>
      <c r="F8" s="1"/>
      <c r="G8" s="1"/>
      <c r="H8" s="2"/>
    </row>
    <row r="9" spans="2:8">
      <c r="B9" s="15" t="s">
        <v>214</v>
      </c>
      <c r="C9" s="16">
        <f>+E9</f>
        <v>20051.75</v>
      </c>
      <c r="D9" s="17" t="s">
        <v>215</v>
      </c>
      <c r="E9" s="18">
        <f>SUM(Sensitivity!C9:G9)</f>
        <v>20051.75</v>
      </c>
      <c r="F9" s="1"/>
      <c r="G9" s="1"/>
      <c r="H9" s="2"/>
    </row>
    <row r="10" spans="2:8">
      <c r="B10" s="11" t="s">
        <v>211</v>
      </c>
      <c r="C10" s="12">
        <f>+C7+C9</f>
        <v>45103.5</v>
      </c>
      <c r="D10" s="13" t="s">
        <v>212</v>
      </c>
      <c r="E10" s="14">
        <f>+E7+E9</f>
        <v>25051.75</v>
      </c>
      <c r="F10" s="1"/>
      <c r="G10" s="1"/>
      <c r="H10" s="2"/>
    </row>
    <row r="11" spans="2:8">
      <c r="B11" s="1"/>
      <c r="C11" s="1"/>
      <c r="D11" s="1"/>
      <c r="E11" s="1"/>
      <c r="F11" s="1"/>
      <c r="G11" s="1"/>
      <c r="H11" s="2"/>
    </row>
    <row r="12" spans="2:8">
      <c r="B12" s="15" t="s">
        <v>213</v>
      </c>
      <c r="C12" s="16">
        <f>+C4+C9</f>
        <v>20051.75</v>
      </c>
      <c r="D12" s="17" t="s">
        <v>216</v>
      </c>
      <c r="E12" s="18">
        <f>+E7+E9</f>
        <v>25051.75</v>
      </c>
      <c r="F12" s="1"/>
      <c r="G12" s="1"/>
      <c r="H12" s="2"/>
    </row>
    <row r="13" spans="2:8" ht="15" thickBot="1">
      <c r="B13" s="1"/>
      <c r="C13" s="1"/>
      <c r="D13" s="19" t="s">
        <v>217</v>
      </c>
      <c r="E13" s="2">
        <f>+C12/E12</f>
        <v>0.80041314479028414</v>
      </c>
      <c r="F13" s="1"/>
      <c r="G13" s="1"/>
      <c r="H13" s="2"/>
    </row>
    <row r="14" spans="2:8">
      <c r="B14" s="1"/>
      <c r="C14" s="1"/>
      <c r="D14" s="1"/>
      <c r="E14" s="1"/>
      <c r="F14" s="1"/>
      <c r="G14" s="224" t="s">
        <v>218</v>
      </c>
      <c r="H14" s="225"/>
    </row>
    <row r="15" spans="2:8">
      <c r="B15" s="1"/>
      <c r="C15" s="1"/>
      <c r="D15" s="1"/>
      <c r="E15" s="1"/>
      <c r="F15" s="1"/>
      <c r="G15" s="226"/>
      <c r="H15" s="227" t="s">
        <v>219</v>
      </c>
    </row>
    <row r="16" spans="2:8">
      <c r="B16" s="1"/>
      <c r="C16" s="1"/>
      <c r="D16" s="1"/>
      <c r="E16" s="1"/>
      <c r="F16" s="1"/>
      <c r="G16" s="228" t="s">
        <v>168</v>
      </c>
      <c r="H16" s="229">
        <f>+E4</f>
        <v>0</v>
      </c>
    </row>
    <row r="17" spans="2:8">
      <c r="B17" s="1"/>
      <c r="C17" s="1"/>
      <c r="D17" s="1"/>
      <c r="E17" s="1"/>
      <c r="F17" s="1"/>
      <c r="G17" s="228" t="s">
        <v>220</v>
      </c>
      <c r="H17" s="229">
        <f>+E5+E6</f>
        <v>5000</v>
      </c>
    </row>
    <row r="18" spans="2:8">
      <c r="B18" s="1"/>
      <c r="C18" s="1"/>
      <c r="D18" s="1"/>
      <c r="E18" s="1"/>
      <c r="F18" s="1"/>
      <c r="G18" s="230" t="s">
        <v>221</v>
      </c>
      <c r="H18" s="231">
        <f>+H16+H17</f>
        <v>5000</v>
      </c>
    </row>
    <row r="19" spans="2:8">
      <c r="B19" s="1"/>
      <c r="C19" s="1"/>
      <c r="D19" s="1"/>
      <c r="E19" s="1"/>
      <c r="F19" s="1"/>
      <c r="G19" s="228" t="s">
        <v>222</v>
      </c>
      <c r="H19" s="229">
        <v>0</v>
      </c>
    </row>
    <row r="20" spans="2:8" ht="15" thickBot="1">
      <c r="B20" s="1"/>
      <c r="C20" s="1"/>
      <c r="D20" s="1"/>
      <c r="E20" s="1"/>
      <c r="F20" s="1"/>
      <c r="G20" s="232" t="s">
        <v>223</v>
      </c>
      <c r="H20" s="233">
        <f>+H18+H19</f>
        <v>5000</v>
      </c>
    </row>
    <row r="21" spans="2:8" ht="15" thickBot="1">
      <c r="B21" s="1"/>
      <c r="C21" s="1"/>
      <c r="D21" s="1"/>
      <c r="E21" s="1"/>
      <c r="F21" s="1"/>
      <c r="G21" s="1"/>
      <c r="H21" s="2"/>
    </row>
    <row r="22" spans="2:8">
      <c r="B22" s="1"/>
      <c r="C22" s="1"/>
      <c r="D22" s="1"/>
      <c r="E22" s="1"/>
      <c r="F22" s="1"/>
      <c r="G22" s="234" t="s">
        <v>224</v>
      </c>
      <c r="H22" s="235"/>
    </row>
    <row r="23" spans="2:8" ht="15" thickBot="1">
      <c r="B23" s="1"/>
      <c r="C23" s="1"/>
      <c r="D23" s="1"/>
      <c r="E23" s="1"/>
      <c r="F23" s="1"/>
      <c r="G23" s="232" t="s">
        <v>225</v>
      </c>
      <c r="H23" s="236"/>
    </row>
    <row r="24" spans="2:8" ht="15" thickBot="1">
      <c r="B24" s="1"/>
      <c r="C24" s="1"/>
      <c r="D24" s="1"/>
      <c r="E24" s="1"/>
      <c r="F24" s="1"/>
      <c r="G24" s="1"/>
      <c r="H24" s="2"/>
    </row>
    <row r="25" spans="2:8">
      <c r="B25" s="1"/>
      <c r="C25" s="1"/>
      <c r="D25" s="1"/>
      <c r="E25" s="1"/>
      <c r="F25" s="1"/>
      <c r="G25" s="234" t="s">
        <v>224</v>
      </c>
      <c r="H25" s="235"/>
    </row>
    <row r="26" spans="2:8" ht="15" thickBot="1">
      <c r="B26" s="1"/>
      <c r="C26" s="1"/>
      <c r="D26" s="1"/>
      <c r="E26" s="1"/>
      <c r="F26" s="1"/>
      <c r="G26" s="232" t="s">
        <v>225</v>
      </c>
      <c r="H26" s="236"/>
    </row>
  </sheetData>
  <mergeCells count="4">
    <mergeCell ref="B2:E2"/>
    <mergeCell ref="B3:C3"/>
    <mergeCell ref="D3:E3"/>
    <mergeCell ref="B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98ED-98E1-4D0F-8B6A-A46B5EB789EA}">
  <sheetPr>
    <tabColor rgb="FF0000FF"/>
  </sheetPr>
  <dimension ref="B2:J29"/>
  <sheetViews>
    <sheetView showGridLines="0" zoomScale="115" zoomScaleNormal="115" workbookViewId="0">
      <selection activeCell="G7" sqref="G7"/>
    </sheetView>
  </sheetViews>
  <sheetFormatPr defaultColWidth="8.7109375" defaultRowHeight="14.45"/>
  <cols>
    <col min="1" max="1" width="8.7109375" style="3"/>
    <col min="2" max="2" width="2" style="3" bestFit="1" customWidth="1"/>
    <col min="3" max="3" width="70.7109375" style="3" bestFit="1" customWidth="1"/>
    <col min="4" max="4" width="21" style="3" bestFit="1" customWidth="1"/>
    <col min="5" max="5" width="10.7109375" style="3" bestFit="1" customWidth="1"/>
    <col min="6" max="6" width="15.28515625" style="3" bestFit="1" customWidth="1"/>
    <col min="7" max="7" width="9.5703125" style="3" bestFit="1" customWidth="1"/>
    <col min="8" max="8" width="10.7109375" style="3" bestFit="1" customWidth="1"/>
    <col min="9" max="9" width="9.5703125" style="3" bestFit="1" customWidth="1"/>
    <col min="10" max="16384" width="8.7109375" style="3"/>
  </cols>
  <sheetData>
    <row r="2" spans="2:9">
      <c r="B2" s="1"/>
      <c r="C2" s="360" t="s">
        <v>226</v>
      </c>
      <c r="D2" s="361"/>
      <c r="E2" s="361"/>
      <c r="F2" s="361"/>
      <c r="G2" s="22"/>
      <c r="H2" s="23"/>
      <c r="I2" s="23"/>
    </row>
    <row r="3" spans="2:9">
      <c r="B3" s="1"/>
      <c r="C3" s="24" t="s">
        <v>227</v>
      </c>
      <c r="D3" s="25" t="s">
        <v>69</v>
      </c>
      <c r="E3" s="25" t="s">
        <v>15</v>
      </c>
      <c r="F3" s="26" t="s">
        <v>228</v>
      </c>
      <c r="G3" s="27"/>
      <c r="H3" s="28"/>
    </row>
    <row r="4" spans="2:9">
      <c r="B4" s="1">
        <v>1</v>
      </c>
      <c r="C4" s="4"/>
      <c r="D4" s="6"/>
      <c r="E4" s="5"/>
      <c r="F4" s="29"/>
      <c r="G4" s="30"/>
      <c r="H4" s="30"/>
    </row>
    <row r="5" spans="2:9">
      <c r="B5" s="1">
        <f>+B4+1</f>
        <v>2</v>
      </c>
      <c r="C5" s="8"/>
      <c r="D5" s="1"/>
      <c r="E5" s="9"/>
      <c r="F5" s="31"/>
      <c r="G5" s="30"/>
      <c r="H5" s="30"/>
    </row>
    <row r="6" spans="2:9">
      <c r="B6" s="1">
        <f t="shared" ref="B6:B12" si="0">+B5+1</f>
        <v>3</v>
      </c>
      <c r="C6" s="8"/>
      <c r="D6" s="1"/>
      <c r="E6" s="9"/>
      <c r="F6" s="31"/>
      <c r="G6" s="30"/>
      <c r="H6" s="2"/>
    </row>
    <row r="7" spans="2:9">
      <c r="B7" s="1">
        <f t="shared" si="0"/>
        <v>4</v>
      </c>
      <c r="C7" s="8"/>
      <c r="D7" s="1"/>
      <c r="E7" s="9"/>
      <c r="F7" s="31"/>
      <c r="G7" s="30"/>
      <c r="H7" s="2"/>
    </row>
    <row r="8" spans="2:9">
      <c r="B8" s="1">
        <f t="shared" si="0"/>
        <v>5</v>
      </c>
      <c r="C8" s="8"/>
      <c r="D8" s="1"/>
      <c r="E8" s="9"/>
      <c r="F8" s="31"/>
      <c r="G8" s="30"/>
      <c r="H8" s="2"/>
    </row>
    <row r="9" spans="2:9">
      <c r="B9" s="1">
        <f t="shared" si="0"/>
        <v>6</v>
      </c>
      <c r="C9" s="8"/>
      <c r="D9" s="1"/>
      <c r="E9" s="9"/>
      <c r="F9" s="32"/>
      <c r="G9" s="30"/>
      <c r="H9" s="2"/>
    </row>
    <row r="10" spans="2:9">
      <c r="B10" s="1">
        <f t="shared" si="0"/>
        <v>7</v>
      </c>
      <c r="C10" s="8"/>
      <c r="D10" s="9"/>
      <c r="E10" s="9"/>
      <c r="F10" s="32"/>
      <c r="G10" s="30"/>
      <c r="H10" s="33"/>
    </row>
    <row r="11" spans="2:9">
      <c r="B11" s="1">
        <f t="shared" si="0"/>
        <v>8</v>
      </c>
      <c r="C11" s="8"/>
      <c r="D11" s="9"/>
      <c r="E11" s="9"/>
      <c r="F11" s="32"/>
      <c r="G11" s="30"/>
      <c r="H11" s="34"/>
    </row>
    <row r="12" spans="2:9">
      <c r="B12" s="1">
        <f t="shared" si="0"/>
        <v>9</v>
      </c>
      <c r="C12" s="8"/>
      <c r="D12" s="1"/>
      <c r="E12" s="9"/>
      <c r="F12" s="32"/>
      <c r="G12" s="30"/>
      <c r="H12" s="30"/>
    </row>
    <row r="13" spans="2:9">
      <c r="B13" s="1"/>
      <c r="C13" s="20" t="s">
        <v>229</v>
      </c>
      <c r="D13" s="21"/>
      <c r="E13" s="21"/>
      <c r="F13" s="35"/>
      <c r="G13" s="30"/>
      <c r="H13" s="1"/>
    </row>
    <row r="14" spans="2:9">
      <c r="B14" s="1"/>
      <c r="C14" s="36"/>
      <c r="D14" s="1"/>
      <c r="E14" s="30"/>
      <c r="F14" s="37"/>
      <c r="G14" s="30"/>
      <c r="H14" s="33"/>
    </row>
    <row r="15" spans="2:9">
      <c r="B15" s="1"/>
      <c r="C15" s="1"/>
      <c r="D15" s="1"/>
      <c r="E15" s="9"/>
      <c r="F15" s="1"/>
      <c r="G15" s="30"/>
      <c r="H15" s="30"/>
    </row>
    <row r="16" spans="2:9">
      <c r="B16" s="1"/>
      <c r="C16" s="1"/>
      <c r="D16" s="1"/>
      <c r="E16" s="30"/>
      <c r="F16" s="37"/>
      <c r="G16" s="30"/>
      <c r="H16" s="33"/>
    </row>
    <row r="17" spans="2:10">
      <c r="B17" s="1"/>
      <c r="C17" s="1"/>
      <c r="D17" s="9"/>
      <c r="E17" s="9"/>
      <c r="F17" s="37"/>
      <c r="G17" s="30"/>
      <c r="H17" s="34"/>
    </row>
    <row r="18" spans="2:10">
      <c r="B18" s="1"/>
      <c r="C18" s="1"/>
      <c r="D18" s="9"/>
      <c r="E18" s="9"/>
      <c r="F18" s="37"/>
      <c r="G18" s="30"/>
      <c r="H18" s="34"/>
    </row>
    <row r="19" spans="2:10">
      <c r="B19" s="1"/>
      <c r="C19" s="1"/>
      <c r="D19" s="1"/>
      <c r="E19" s="1"/>
      <c r="F19" s="1"/>
      <c r="G19" s="37"/>
      <c r="H19" s="30"/>
      <c r="I19" s="33"/>
    </row>
    <row r="20" spans="2:10">
      <c r="B20" s="1"/>
      <c r="C20" s="1"/>
      <c r="D20" s="1"/>
      <c r="E20" s="38"/>
      <c r="F20" s="1"/>
      <c r="G20" s="37"/>
      <c r="H20" s="30"/>
      <c r="I20" s="33"/>
    </row>
    <row r="21" spans="2:10">
      <c r="B21" s="1"/>
      <c r="C21" s="366" t="s">
        <v>230</v>
      </c>
      <c r="D21" s="366"/>
      <c r="E21" s="366"/>
      <c r="F21" s="366"/>
      <c r="G21" s="366"/>
      <c r="H21" s="366"/>
      <c r="I21" s="366"/>
      <c r="J21" s="366"/>
    </row>
    <row r="22" spans="2:10">
      <c r="B22" s="1"/>
      <c r="C22" s="39" t="s">
        <v>227</v>
      </c>
      <c r="D22" s="40" t="s">
        <v>231</v>
      </c>
      <c r="E22" s="40" t="s">
        <v>232</v>
      </c>
      <c r="F22" s="40" t="s">
        <v>233</v>
      </c>
      <c r="G22" s="40" t="s">
        <v>234</v>
      </c>
      <c r="H22" s="41" t="s">
        <v>235</v>
      </c>
      <c r="I22" s="42" t="s">
        <v>236</v>
      </c>
      <c r="J22" s="40" t="s">
        <v>237</v>
      </c>
    </row>
    <row r="23" spans="2:10">
      <c r="B23" s="1"/>
      <c r="C23" s="43"/>
      <c r="D23" s="2"/>
      <c r="E23" s="2"/>
      <c r="F23" s="9"/>
      <c r="G23" s="2"/>
      <c r="H23" s="9"/>
      <c r="I23" s="44"/>
    </row>
    <row r="24" spans="2:10">
      <c r="B24" s="1"/>
      <c r="C24" s="43"/>
      <c r="D24" s="2"/>
      <c r="E24" s="45"/>
      <c r="F24" s="9"/>
      <c r="G24" s="2"/>
      <c r="H24" s="9"/>
      <c r="I24" s="44"/>
    </row>
    <row r="25" spans="2:10">
      <c r="B25" s="1"/>
      <c r="C25" s="1"/>
      <c r="D25" s="2"/>
      <c r="E25" s="45"/>
      <c r="F25" s="9"/>
      <c r="G25" s="2"/>
      <c r="H25" s="9"/>
      <c r="I25" s="44"/>
    </row>
    <row r="26" spans="2:10">
      <c r="B26" s="1"/>
      <c r="C26" s="1"/>
      <c r="D26" s="2"/>
      <c r="E26" s="45"/>
      <c r="F26" s="9"/>
      <c r="G26" s="2"/>
      <c r="H26" s="9"/>
      <c r="I26" s="44"/>
    </row>
    <row r="27" spans="2:10">
      <c r="B27" s="1"/>
      <c r="C27" s="1"/>
      <c r="D27" s="2"/>
      <c r="E27" s="45"/>
      <c r="F27" s="9"/>
      <c r="G27" s="2"/>
      <c r="H27" s="9"/>
      <c r="I27" s="44"/>
    </row>
    <row r="28" spans="2:10">
      <c r="B28" s="1"/>
      <c r="C28" s="1"/>
      <c r="D28" s="2"/>
      <c r="E28" s="45"/>
      <c r="F28" s="9"/>
      <c r="G28" s="2"/>
      <c r="H28" s="9"/>
      <c r="I28" s="44"/>
    </row>
    <row r="29" spans="2:10">
      <c r="B29" s="1"/>
      <c r="C29" s="1"/>
      <c r="D29" s="1"/>
      <c r="E29" s="1"/>
      <c r="F29" s="9"/>
      <c r="G29" s="37"/>
      <c r="H29" s="30"/>
      <c r="I29" s="46"/>
    </row>
  </sheetData>
  <mergeCells count="2">
    <mergeCell ref="C2:F2"/>
    <mergeCell ref="C21:J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04AF-BDC6-4A69-8C7F-1C2E9E26A0D6}">
  <sheetPr>
    <tabColor theme="0"/>
  </sheetPr>
  <dimension ref="B2:C10"/>
  <sheetViews>
    <sheetView showGridLines="0" zoomScale="145" zoomScaleNormal="145" workbookViewId="0">
      <selection activeCell="A2" sqref="A2"/>
    </sheetView>
  </sheetViews>
  <sheetFormatPr defaultColWidth="8.7109375" defaultRowHeight="14.45"/>
  <cols>
    <col min="1" max="1" width="8.7109375" style="3"/>
    <col min="2" max="2" width="18.85546875" style="3" bestFit="1" customWidth="1"/>
    <col min="3" max="3" width="33.5703125" style="3" bestFit="1" customWidth="1"/>
    <col min="4" max="16384" width="8.7109375" style="3"/>
  </cols>
  <sheetData>
    <row r="2" spans="2:3">
      <c r="B2" s="198" t="s">
        <v>238</v>
      </c>
      <c r="C2" s="198" t="s">
        <v>239</v>
      </c>
    </row>
    <row r="3" spans="2:3">
      <c r="B3" s="140" t="s">
        <v>240</v>
      </c>
      <c r="C3" s="140" t="s">
        <v>241</v>
      </c>
    </row>
    <row r="4" spans="2:3">
      <c r="B4" s="140" t="s">
        <v>242</v>
      </c>
      <c r="C4" s="140" t="s">
        <v>243</v>
      </c>
    </row>
    <row r="5" spans="2:3">
      <c r="B5" s="140" t="s">
        <v>244</v>
      </c>
      <c r="C5" s="140" t="s">
        <v>245</v>
      </c>
    </row>
    <row r="6" spans="2:3">
      <c r="B6" s="140" t="s">
        <v>246</v>
      </c>
      <c r="C6" s="140" t="s">
        <v>247</v>
      </c>
    </row>
    <row r="7" spans="2:3">
      <c r="B7" s="140" t="s">
        <v>248</v>
      </c>
      <c r="C7" s="140" t="s">
        <v>249</v>
      </c>
    </row>
    <row r="8" spans="2:3">
      <c r="B8" s="140" t="s">
        <v>250</v>
      </c>
      <c r="C8" s="140" t="s">
        <v>251</v>
      </c>
    </row>
    <row r="9" spans="2:3">
      <c r="B9" s="140" t="s">
        <v>34</v>
      </c>
      <c r="C9" s="140" t="s">
        <v>252</v>
      </c>
    </row>
    <row r="10" spans="2:3">
      <c r="B10" s="140" t="s">
        <v>253</v>
      </c>
      <c r="C10" s="140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1950-F09B-4049-89CE-223C4A917598}">
  <sheetPr>
    <tabColor theme="0"/>
  </sheetPr>
  <dimension ref="B2:P26"/>
  <sheetViews>
    <sheetView showGridLines="0" workbookViewId="0"/>
  </sheetViews>
  <sheetFormatPr defaultColWidth="8.7109375" defaultRowHeight="14.45"/>
  <cols>
    <col min="1" max="2" width="8.7109375" style="139"/>
    <col min="3" max="3" width="15.140625" style="139" bestFit="1" customWidth="1"/>
    <col min="4" max="4" width="8.7109375" style="139"/>
    <col min="5" max="5" width="8.28515625" style="139" bestFit="1" customWidth="1"/>
    <col min="6" max="6" width="8.7109375" style="139"/>
    <col min="7" max="7" width="12.28515625" style="139" bestFit="1" customWidth="1"/>
    <col min="8" max="8" width="8.7109375" style="139"/>
    <col min="9" max="9" width="16.42578125" style="139" bestFit="1" customWidth="1"/>
    <col min="10" max="10" width="8.7109375" style="139"/>
    <col min="11" max="11" width="19.42578125" style="139" bestFit="1" customWidth="1"/>
    <col min="12" max="12" width="10.85546875" style="139" customWidth="1"/>
    <col min="13" max="13" width="19.42578125" style="139" customWidth="1"/>
    <col min="14" max="14" width="8.7109375" style="139"/>
    <col min="15" max="15" width="24.85546875" style="139" bestFit="1" customWidth="1"/>
    <col min="16" max="16384" width="8.7109375" style="139"/>
  </cols>
  <sheetData>
    <row r="2" spans="2:16" s="196" customFormat="1">
      <c r="C2" s="196" t="s">
        <v>255</v>
      </c>
      <c r="E2" s="196" t="s">
        <v>256</v>
      </c>
      <c r="G2" s="196" t="s">
        <v>25</v>
      </c>
      <c r="I2" s="196" t="s">
        <v>257</v>
      </c>
      <c r="K2" s="196" t="s">
        <v>258</v>
      </c>
      <c r="M2" s="196" t="s">
        <v>259</v>
      </c>
      <c r="O2" s="292" t="s">
        <v>260</v>
      </c>
    </row>
    <row r="3" spans="2:16">
      <c r="B3" s="139" t="s">
        <v>24</v>
      </c>
      <c r="C3" s="139">
        <v>1</v>
      </c>
      <c r="E3" s="139" t="s">
        <v>19</v>
      </c>
      <c r="G3" s="139">
        <v>1</v>
      </c>
      <c r="I3" s="271">
        <v>0</v>
      </c>
      <c r="J3" s="204"/>
      <c r="K3" s="272">
        <v>0</v>
      </c>
      <c r="L3" s="213"/>
      <c r="M3" s="272">
        <v>1</v>
      </c>
      <c r="O3" s="139" t="s">
        <v>116</v>
      </c>
      <c r="P3" s="173"/>
    </row>
    <row r="4" spans="2:16">
      <c r="B4" s="139" t="s">
        <v>27</v>
      </c>
      <c r="C4" s="139">
        <v>2</v>
      </c>
      <c r="E4" s="139" t="s">
        <v>261</v>
      </c>
      <c r="G4" s="139">
        <v>2</v>
      </c>
      <c r="I4" s="271">
        <v>0.01</v>
      </c>
      <c r="J4" s="204"/>
      <c r="K4" s="272">
        <v>1</v>
      </c>
      <c r="L4" s="213"/>
      <c r="M4" s="272">
        <f>M3+1</f>
        <v>2</v>
      </c>
      <c r="O4" s="139" t="s">
        <v>39</v>
      </c>
      <c r="P4" s="173"/>
    </row>
    <row r="5" spans="2:16">
      <c r="B5" s="139" t="s">
        <v>29</v>
      </c>
      <c r="C5" s="139">
        <v>3</v>
      </c>
      <c r="G5" s="139">
        <v>3</v>
      </c>
      <c r="I5" s="271">
        <f>I4+1%</f>
        <v>0.02</v>
      </c>
      <c r="J5" s="204"/>
      <c r="K5" s="272">
        <f>K4+1</f>
        <v>2</v>
      </c>
      <c r="L5" s="213"/>
      <c r="M5" s="272">
        <f t="shared" ref="K5:M20" si="0">M4+1</f>
        <v>3</v>
      </c>
      <c r="P5" s="173"/>
    </row>
    <row r="6" spans="2:16">
      <c r="G6" s="139">
        <v>4</v>
      </c>
      <c r="I6" s="271">
        <f t="shared" ref="I6:I23" si="1">I5+1%</f>
        <v>0.03</v>
      </c>
      <c r="J6" s="204"/>
      <c r="K6" s="272">
        <f t="shared" si="0"/>
        <v>3</v>
      </c>
      <c r="L6" s="213"/>
      <c r="M6" s="272">
        <f t="shared" si="0"/>
        <v>4</v>
      </c>
      <c r="P6" s="173"/>
    </row>
    <row r="7" spans="2:16">
      <c r="G7" s="139">
        <v>5</v>
      </c>
      <c r="I7" s="271">
        <f t="shared" si="1"/>
        <v>0.04</v>
      </c>
      <c r="J7" s="204"/>
      <c r="K7" s="272">
        <f t="shared" si="0"/>
        <v>4</v>
      </c>
      <c r="L7" s="213"/>
      <c r="M7" s="272">
        <f t="shared" si="0"/>
        <v>5</v>
      </c>
    </row>
    <row r="8" spans="2:16">
      <c r="G8" s="139">
        <v>6</v>
      </c>
      <c r="I8" s="271">
        <f t="shared" si="1"/>
        <v>0.05</v>
      </c>
      <c r="J8" s="204"/>
      <c r="K8" s="272">
        <f t="shared" si="0"/>
        <v>5</v>
      </c>
      <c r="L8" s="213"/>
      <c r="M8" s="272">
        <f t="shared" si="0"/>
        <v>6</v>
      </c>
    </row>
    <row r="9" spans="2:16">
      <c r="I9" s="271">
        <f t="shared" si="1"/>
        <v>6.0000000000000005E-2</v>
      </c>
      <c r="J9" s="204"/>
      <c r="K9" s="272">
        <f t="shared" si="0"/>
        <v>6</v>
      </c>
      <c r="L9" s="213"/>
      <c r="M9" s="272">
        <f t="shared" si="0"/>
        <v>7</v>
      </c>
    </row>
    <row r="10" spans="2:16">
      <c r="I10" s="271">
        <f t="shared" si="1"/>
        <v>7.0000000000000007E-2</v>
      </c>
      <c r="J10" s="204"/>
      <c r="K10" s="272">
        <f t="shared" si="0"/>
        <v>7</v>
      </c>
      <c r="L10" s="213"/>
      <c r="M10" s="272">
        <f t="shared" si="0"/>
        <v>8</v>
      </c>
    </row>
    <row r="11" spans="2:16">
      <c r="I11" s="271">
        <f t="shared" si="1"/>
        <v>0.08</v>
      </c>
      <c r="J11" s="204"/>
      <c r="K11" s="272">
        <f t="shared" si="0"/>
        <v>8</v>
      </c>
      <c r="L11" s="213"/>
      <c r="M11" s="272">
        <f t="shared" si="0"/>
        <v>9</v>
      </c>
    </row>
    <row r="12" spans="2:16">
      <c r="I12" s="271">
        <f t="shared" si="1"/>
        <v>0.09</v>
      </c>
      <c r="J12" s="204"/>
      <c r="K12" s="272">
        <f t="shared" si="0"/>
        <v>9</v>
      </c>
      <c r="L12" s="213"/>
      <c r="M12" s="272">
        <f t="shared" si="0"/>
        <v>10</v>
      </c>
    </row>
    <row r="13" spans="2:16">
      <c r="I13" s="271">
        <f t="shared" si="1"/>
        <v>9.9999999999999992E-2</v>
      </c>
      <c r="J13" s="204"/>
      <c r="K13" s="272">
        <f t="shared" si="0"/>
        <v>10</v>
      </c>
      <c r="L13" s="213"/>
      <c r="M13" s="272">
        <f t="shared" si="0"/>
        <v>11</v>
      </c>
    </row>
    <row r="14" spans="2:16">
      <c r="I14" s="271">
        <f t="shared" si="1"/>
        <v>0.10999999999999999</v>
      </c>
      <c r="J14" s="204"/>
      <c r="K14" s="272">
        <f t="shared" si="0"/>
        <v>11</v>
      </c>
      <c r="L14" s="213"/>
      <c r="M14" s="272">
        <f t="shared" si="0"/>
        <v>12</v>
      </c>
    </row>
    <row r="15" spans="2:16">
      <c r="I15" s="271">
        <f t="shared" si="1"/>
        <v>0.11999999999999998</v>
      </c>
      <c r="J15" s="204"/>
      <c r="K15" s="272">
        <f t="shared" si="0"/>
        <v>12</v>
      </c>
      <c r="L15" s="213"/>
      <c r="M15" s="272">
        <f t="shared" si="0"/>
        <v>13</v>
      </c>
    </row>
    <row r="16" spans="2:16">
      <c r="I16" s="271">
        <f t="shared" si="1"/>
        <v>0.12999999999999998</v>
      </c>
      <c r="J16" s="204"/>
      <c r="K16" s="213"/>
      <c r="L16" s="213"/>
      <c r="M16" s="272">
        <f t="shared" si="0"/>
        <v>14</v>
      </c>
    </row>
    <row r="17" spans="9:13">
      <c r="I17" s="271">
        <f t="shared" si="1"/>
        <v>0.13999999999999999</v>
      </c>
      <c r="J17" s="204"/>
      <c r="K17" s="213"/>
      <c r="L17" s="213"/>
      <c r="M17" s="272">
        <f t="shared" si="0"/>
        <v>15</v>
      </c>
    </row>
    <row r="18" spans="9:13">
      <c r="I18" s="271">
        <f t="shared" si="1"/>
        <v>0.15</v>
      </c>
      <c r="J18" s="204"/>
      <c r="K18" s="213"/>
      <c r="L18" s="213"/>
      <c r="M18" s="272">
        <f t="shared" si="0"/>
        <v>16</v>
      </c>
    </row>
    <row r="19" spans="9:13">
      <c r="I19" s="271">
        <f t="shared" si="1"/>
        <v>0.16</v>
      </c>
      <c r="J19" s="204"/>
      <c r="K19" s="213"/>
      <c r="L19" s="213"/>
      <c r="M19" s="272">
        <f t="shared" si="0"/>
        <v>17</v>
      </c>
    </row>
    <row r="20" spans="9:13">
      <c r="I20" s="271">
        <f t="shared" si="1"/>
        <v>0.17</v>
      </c>
      <c r="J20" s="204"/>
      <c r="K20" s="213"/>
      <c r="L20" s="213"/>
      <c r="M20" s="272">
        <f t="shared" si="0"/>
        <v>18</v>
      </c>
    </row>
    <row r="21" spans="9:13">
      <c r="I21" s="271">
        <f t="shared" si="1"/>
        <v>0.18000000000000002</v>
      </c>
      <c r="J21" s="204"/>
      <c r="K21" s="213"/>
      <c r="L21" s="213"/>
      <c r="M21" s="272">
        <f t="shared" ref="M21:M26" si="2">M20+1</f>
        <v>19</v>
      </c>
    </row>
    <row r="22" spans="9:13">
      <c r="I22" s="271">
        <f t="shared" si="1"/>
        <v>0.19000000000000003</v>
      </c>
      <c r="J22" s="204"/>
      <c r="K22" s="213"/>
      <c r="L22" s="213"/>
      <c r="M22" s="272">
        <f t="shared" si="2"/>
        <v>20</v>
      </c>
    </row>
    <row r="23" spans="9:13">
      <c r="I23" s="271">
        <f t="shared" si="1"/>
        <v>0.20000000000000004</v>
      </c>
      <c r="M23" s="272">
        <f t="shared" si="2"/>
        <v>21</v>
      </c>
    </row>
    <row r="24" spans="9:13">
      <c r="M24" s="272">
        <f t="shared" si="2"/>
        <v>22</v>
      </c>
    </row>
    <row r="25" spans="9:13">
      <c r="M25" s="272">
        <f t="shared" si="2"/>
        <v>23</v>
      </c>
    </row>
    <row r="26" spans="9:13">
      <c r="M26" s="272">
        <f t="shared" si="2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2025-11-25T14:05:48Z</dcterms:created>
  <dcterms:modified xsi:type="dcterms:W3CDTF">2025-12-06T23:42:19Z</dcterms:modified>
  <cp:category/>
  <cp:contentStatus/>
</cp:coreProperties>
</file>