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;(#,##0)"/>
    <numFmt numFmtId="166" formatCode="0.0%"/>
    <numFmt numFmtId="167" formatCode="#,##0.0"/>
    <numFmt numFmtId="168" formatCode="0.0x"/>
    <numFmt numFmtId="169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7F7F7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color rgb="FF008000"/>
      <sz val="10"/>
    </font>
    <font>
      <name val="Arial"/>
      <b val="1"/>
      <color rgb="FF1F3864"/>
      <sz val="12"/>
    </font>
    <font/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top style="thin">
        <color rgb="FF7F7F7F"/>
      </top>
      <bottom style="double">
        <color rgb="FF000000"/>
      </bottom>
    </border>
    <border/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7" fillId="0" borderId="0" pivotButton="0" quotePrefix="0" xfId="0"/>
    <xf numFmtId="164" fontId="7" fillId="4" borderId="0" pivotButton="0" quotePrefix="0" xfId="0"/>
    <xf numFmtId="165" fontId="7" fillId="4" borderId="0" pivotButton="0" quotePrefix="0" xfId="0"/>
    <xf numFmtId="166" fontId="7" fillId="4" borderId="0" pivotButton="0" quotePrefix="0" xfId="0"/>
    <xf numFmtId="0" fontId="5" fillId="3" borderId="0" pivotButton="0" quotePrefix="0" xfId="0"/>
    <xf numFmtId="167" fontId="5" fillId="3" borderId="0" pivotButton="0" quotePrefix="0" xfId="0"/>
    <xf numFmtId="165" fontId="5" fillId="3" borderId="0" pivotButton="0" quotePrefix="0" xfId="0"/>
    <xf numFmtId="165" fontId="4" fillId="4" borderId="0" pivotButton="0" quotePrefix="0" xfId="0"/>
    <xf numFmtId="165" fontId="4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166" fontId="5" fillId="3" borderId="0" pivotButton="0" quotePrefix="0" xfId="0"/>
    <xf numFmtId="10" fontId="5" fillId="3" borderId="0" pivotButton="0" quotePrefix="0" xfId="0"/>
    <xf numFmtId="168" fontId="5" fillId="3" borderId="0" pivotButton="0" quotePrefix="0" xfId="0"/>
    <xf numFmtId="1" fontId="4" fillId="0" borderId="0" pivotButton="0" quotePrefix="0" xfId="0"/>
    <xf numFmtId="165" fontId="7" fillId="0" borderId="0" pivotButton="0" quotePrefix="0" xfId="0"/>
    <xf numFmtId="0" fontId="4" fillId="0" borderId="0" applyAlignment="1" pivotButton="0" quotePrefix="0" xfId="0">
      <alignment indent="1"/>
    </xf>
    <xf numFmtId="166" fontId="4" fillId="0" borderId="0" pivotButton="0" quotePrefix="0" xfId="0"/>
    <xf numFmtId="166" fontId="7" fillId="0" borderId="0" pivotButton="0" quotePrefix="0" xfId="0"/>
    <xf numFmtId="165" fontId="4" fillId="4" borderId="1" pivotButton="0" quotePrefix="0" xfId="0"/>
    <xf numFmtId="169" fontId="7" fillId="0" borderId="0" pivotButton="0" quotePrefix="0" xfId="0"/>
    <xf numFmtId="168" fontId="4" fillId="0" borderId="0" pivotButton="0" quotePrefix="0" xfId="0"/>
    <xf numFmtId="10" fontId="7" fillId="0" borderId="0" pivotButton="0" quotePrefix="0" xfId="0"/>
    <xf numFmtId="0" fontId="6" fillId="0" borderId="0" applyAlignment="1" pivotButton="0" quotePrefix="0" xfId="0">
      <alignment horizontal="center"/>
    </xf>
    <xf numFmtId="167" fontId="7" fillId="0" borderId="0" pivotButton="0" quotePrefix="0" xfId="0"/>
    <xf numFmtId="164" fontId="4" fillId="4" borderId="1" pivotButton="0" quotePrefix="0" xfId="0"/>
    <xf numFmtId="2" fontId="5" fillId="3" borderId="0" pivotButton="0" quotePrefix="0" xfId="0"/>
    <xf numFmtId="10" fontId="4" fillId="4" borderId="0" pivotButton="0" quotePrefix="0" xfId="0"/>
    <xf numFmtId="10" fontId="4" fillId="4" borderId="1" pivotButton="0" quotePrefix="0" xfId="0"/>
    <xf numFmtId="10" fontId="4" fillId="0" borderId="0" applyAlignment="1" pivotButton="0" quotePrefix="0" xfId="0">
      <alignment horizontal="center"/>
    </xf>
    <xf numFmtId="10" fontId="7" fillId="4" borderId="0" applyAlignment="1" pivotButton="0" quotePrefix="0" xfId="0">
      <alignment horizontal="center"/>
    </xf>
    <xf numFmtId="10" fontId="4" fillId="0" borderId="0" pivotButton="0" quotePrefix="0" xfId="0"/>
    <xf numFmtId="10" fontId="7" fillId="4" borderId="0" pivotButton="0" quotePrefix="0" xfId="0"/>
    <xf numFmtId="168" fontId="4" fillId="0" borderId="0" applyAlignment="1" pivotButton="0" quotePrefix="0" xfId="0">
      <alignment horizontal="center"/>
    </xf>
    <xf numFmtId="168" fontId="7" fillId="4" borderId="0" applyAlignment="1" pivotButton="0" quotePrefix="0" xfId="0">
      <alignment horizontal="center"/>
    </xf>
    <xf numFmtId="165" fontId="7" fillId="4" borderId="0" pivotButton="0" quotePrefix="0" xfId="0"/>
    <xf numFmtId="166" fontId="7" fillId="4" borderId="0" pivotButton="0" quotePrefix="0" xfId="0"/>
    <xf numFmtId="167" fontId="5" fillId="3" borderId="0" pivotButton="0" quotePrefix="0" xfId="0"/>
    <xf numFmtId="165" fontId="5" fillId="3" borderId="0" pivotButton="0" quotePrefix="0" xfId="0"/>
    <xf numFmtId="165" fontId="4" fillId="4" borderId="0" pivotButton="0" quotePrefix="0" xfId="0"/>
    <xf numFmtId="165" fontId="4" fillId="0" borderId="0" pivotButton="0" quotePrefix="0" xfId="0"/>
    <xf numFmtId="0" fontId="9" fillId="0" borderId="2" pivotButton="0" quotePrefix="0" xfId="0"/>
    <xf numFmtId="166" fontId="5" fillId="3" borderId="0" pivotButton="0" quotePrefix="0" xfId="0"/>
    <xf numFmtId="165" fontId="7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5" fontId="4" fillId="4" borderId="1" pivotButton="0" quotePrefix="0" xfId="0"/>
    <xf numFmtId="167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/>
    <row r="2">
      <c r="B2" s="1" t="inlineStr">
        <is>
          <t>Apple Inc. (AAPL)</t>
        </is>
      </c>
    </row>
    <row r="3">
      <c r="B3" s="2" t="inlineStr">
        <is>
          <t>Discounted Cash Flow Analysis</t>
        </is>
      </c>
    </row>
    <row r="4">
      <c r="B4" s="3" t="inlineStr">
        <is>
          <t>Prepared by: Akul Veauli   |   Date: August 23, 2026</t>
        </is>
      </c>
    </row>
    <row r="5"/>
    <row r="6" ht="60" customHeight="1">
      <c r="B6" s="4" t="inlineStr">
        <is>
          <t>Five-year unlevered DCF for Apple Inc. (NASDAQ: AAPL), FYE last Saturday of September. Projects a mature, mid-single-digit revenue growth path with modest EBIT margin expansion from Services mix shift, discounts unlevered free cash flow at a CAPM-derived WACC, and cross-checks terminal value via both the Gordon Growth and Exit EV/EBITDA Multiple methods. Net debt reflects AAPL's large gross cash/investments position AND large gross debt load (both ~$110-130B), including long-term marketable securities treated as cash-like.</t>
        </is>
      </c>
    </row>
    <row r="7"/>
    <row r="8"/>
    <row r="9">
      <c r="B9" s="5" t="inlineStr">
        <is>
          <t>Color Code Legend</t>
        </is>
      </c>
      <c r="C9" s="5" t="n"/>
      <c r="D9" s="5" t="n"/>
    </row>
    <row r="10">
      <c r="B10" s="6" t="n">
        <v>309.35</v>
      </c>
      <c r="C10" s="7" t="inlineStr">
        <is>
          <t>Blue font / yellow fill = hardcoded input</t>
        </is>
      </c>
    </row>
    <row r="11">
      <c r="B11" s="8">
        <f>B10*1</f>
      </c>
      <c r="C11" s="7" t="inlineStr">
        <is>
          <t>Black font = formula (same sheet)</t>
        </is>
      </c>
    </row>
    <row r="12">
      <c r="B12" s="9">
        <f>Assumptions!D7</f>
      </c>
      <c r="C12" s="7" t="inlineStr">
        <is>
          <t>Green font = link from another tab</t>
        </is>
      </c>
    </row>
    <row r="13"/>
    <row r="14">
      <c r="B14" s="5" t="inlineStr">
        <is>
          <t>Table of Contents</t>
        </is>
      </c>
      <c r="C14" s="5" t="n"/>
      <c r="D14" s="5" t="n"/>
    </row>
    <row r="15">
      <c r="B15" s="7" t="inlineStr">
        <is>
          <t>Cover</t>
        </is>
      </c>
    </row>
    <row r="16">
      <c r="B16" s="7" t="inlineStr">
        <is>
          <t>Assumptions</t>
        </is>
      </c>
    </row>
    <row r="17">
      <c r="B17" s="7" t="inlineStr">
        <is>
          <t>DCF</t>
        </is>
      </c>
    </row>
    <row r="18">
      <c r="B18" s="7" t="inlineStr">
        <is>
          <t>WACC</t>
        </is>
      </c>
    </row>
    <row r="19">
      <c r="B19" s="7" t="inlineStr">
        <is>
          <t>Sensitivity</t>
        </is>
      </c>
    </row>
    <row r="20"/>
    <row r="21">
      <c r="B21" s="5" t="inlineStr">
        <is>
          <t>Key Outputs</t>
        </is>
      </c>
      <c r="C21" s="5" t="n"/>
      <c r="D21" s="5" t="n"/>
    </row>
    <row r="22">
      <c r="B22" s="7" t="inlineStr">
        <is>
          <t>Implied Share Price (Gordon Growth)</t>
        </is>
      </c>
      <c r="D22" s="10">
        <f>DCF!D60</f>
      </c>
    </row>
    <row r="23">
      <c r="B23" s="7" t="inlineStr">
        <is>
          <t>Implied Share Price (Exit Multiple)</t>
        </is>
      </c>
      <c r="D23" s="10">
        <f>DCF!F60</f>
      </c>
    </row>
    <row r="24">
      <c r="B24" s="7" t="inlineStr">
        <is>
          <t>Enterprise Value - Gordon ($mm)</t>
        </is>
      </c>
      <c r="D24" s="44">
        <f>DCF!D56</f>
      </c>
    </row>
    <row r="25">
      <c r="B25" s="7" t="inlineStr">
        <is>
          <t>Actual Share Price</t>
        </is>
      </c>
      <c r="D25" s="10">
        <f>Assumptions!D7</f>
      </c>
    </row>
    <row r="26">
      <c r="B26" s="7" t="inlineStr">
        <is>
          <t>Implied Upside/(Downside) - Gordon</t>
        </is>
      </c>
      <c r="D26" s="45">
        <f>DCF!D62</f>
      </c>
    </row>
    <row r="27"/>
    <row r="28"/>
    <row r="29">
      <c r="B29" s="3" t="inlineStr">
        <is>
          <t>Sources: Apple Inc. FY2023, FY2024, FY2025 Form 10-K (SEC EDGAR); FY2025 8-K earnings release; StockAnalysis.com; MacroTrends; FinBox; GuruFocus; FinCharts. Market data as of Aug 21, 2026.</t>
        </is>
      </c>
    </row>
    <row r="30">
      <c r="B30" s="3" t="inlineStr">
        <is>
          <t>FLAGGED ESTIMATES: FY2023A/FY2024A SBC (extrapolated from FY2025A actual); FY2023A/FY2024A NWC (held at FY2025A ratio, itemized BS detail unavailable); Cash/ST-investments split (residual of reported aggregate).</t>
        </is>
      </c>
    </row>
  </sheetData>
  <mergeCells count="1">
    <mergeCell ref="B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>
      <c r="B2" s="1" t="inlineStr">
        <is>
          <t>Apple Inc. (AAPL) - DCF Assumptions</t>
        </is>
      </c>
    </row>
    <row r="3">
      <c r="B3" s="3" t="inlineStr">
        <is>
          <t>($ in millions, except per-share data, percentages, and multiples)</t>
        </is>
      </c>
    </row>
    <row r="4"/>
    <row r="5">
      <c r="B5" s="5" t="inlineStr">
        <is>
          <t>1. Valuation Setup</t>
        </is>
      </c>
      <c r="C5" s="5" t="n"/>
      <c r="D5" s="5" t="n"/>
      <c r="E5" s="5" t="n"/>
      <c r="F5" s="5" t="n"/>
    </row>
    <row r="6">
      <c r="B6" s="7" t="inlineStr">
        <is>
          <t>Valuation Date</t>
        </is>
      </c>
      <c r="D6" s="13" t="inlineStr">
        <is>
          <t>Aug 21, 2026</t>
        </is>
      </c>
      <c r="F6" s="3" t="inlineStr">
        <is>
          <t>As-of date for market inputs</t>
        </is>
      </c>
    </row>
    <row r="7">
      <c r="B7" s="7" t="inlineStr">
        <is>
          <t>Actual Share Price ($)</t>
        </is>
      </c>
      <c r="D7" s="6" t="n">
        <v>309.35</v>
      </c>
      <c r="F7" s="3" t="inlineStr">
        <is>
          <t>Close, Aug 21, 2026 - Yahoo/Google Finance</t>
        </is>
      </c>
    </row>
    <row r="8">
      <c r="B8" s="7" t="inlineStr">
        <is>
          <t>Diluted Shares Outstanding (mm)</t>
        </is>
      </c>
      <c r="D8" s="46" t="n">
        <v>14715</v>
      </c>
      <c r="F8" s="3" t="inlineStr">
        <is>
          <t>Latest 10-Q/cover, ~Aug 2026 - FinCharts</t>
        </is>
      </c>
    </row>
    <row r="9">
      <c r="B9" s="7" t="inlineStr">
        <is>
          <t>Fiscal Year-End</t>
        </is>
      </c>
      <c r="D9" s="13" t="inlineStr">
        <is>
          <t>Last Saturday of September; FY2025 = Sep 27, 2025</t>
        </is>
      </c>
    </row>
    <row r="10"/>
    <row r="11">
      <c r="B11" s="5" t="inlineStr">
        <is>
          <t>2. Balance Sheet Items ($mm) - FY2025 10-K / Latest Available</t>
        </is>
      </c>
      <c r="C11" s="5" t="n"/>
      <c r="D11" s="5" t="n"/>
      <c r="E11" s="5" t="n"/>
      <c r="F11" s="5" t="n"/>
    </row>
    <row r="12">
      <c r="B12" s="7" t="inlineStr">
        <is>
          <t>Cash &amp; Equivalents + ST Marketable Securities</t>
        </is>
      </c>
      <c r="D12" s="47" t="n">
        <v>36620</v>
      </c>
      <c r="F12" s="3" t="inlineStr">
        <is>
          <t>Residual = Total Cash &amp; Investments ($132,420) less LT securities below; components not separately disclosed with precision</t>
        </is>
      </c>
    </row>
    <row r="13">
      <c r="B13" s="7" t="inlineStr">
        <is>
          <t>Long-term Marketable Securities (cash-like)</t>
        </is>
      </c>
      <c r="D13" s="47" t="n">
        <v>95800</v>
      </c>
      <c r="F13" s="3" t="inlineStr">
        <is>
          <t>AAPL's LT investment portfolio (Treasuries/corp bonds); treated as cash-like per model spec. ~Q1 FY2026 basis</t>
        </is>
      </c>
    </row>
    <row r="14">
      <c r="B14" s="7" t="inlineStr">
        <is>
          <t>Total Cash &amp; Investments</t>
        </is>
      </c>
      <c r="D14" s="48">
        <f>D12+D13</f>
      </c>
      <c r="F14" s="3" t="inlineStr">
        <is>
          <t>Check: ties to FY2025 10-K reported aggregate of ~$132.4B</t>
        </is>
      </c>
    </row>
    <row r="15">
      <c r="B15" s="7" t="inlineStr">
        <is>
          <t>Total Debt (Reported)</t>
        </is>
      </c>
      <c r="D15" s="47" t="n">
        <v>112377</v>
      </c>
      <c r="F15" s="3" t="inlineStr">
        <is>
          <t>FY2025 10-K / StockAnalysis</t>
        </is>
      </c>
    </row>
    <row r="16">
      <c r="B16" s="7" t="inlineStr">
        <is>
          <t xml:space="preserve">  Long-term Debt</t>
        </is>
      </c>
      <c r="D16" s="47" t="n">
        <v>78328</v>
      </c>
      <c r="F16" s="3" t="inlineStr">
        <is>
          <t>FY2025 10-K (down 8.66% YoY)</t>
        </is>
      </c>
    </row>
    <row r="17">
      <c r="B17" s="7" t="inlineStr">
        <is>
          <t xml:space="preserve">  Short-term Borrowings (residual)</t>
        </is>
      </c>
      <c r="D17" s="49">
        <f>D15-D16</f>
      </c>
      <c r="F17" s="3" t="inlineStr">
        <is>
          <t>Commercial paper + current portion of term debt = Total Debt less LT Debt</t>
        </is>
      </c>
    </row>
    <row r="18">
      <c r="B18" s="7" t="inlineStr">
        <is>
          <t>Non-Operating Assets / Equity Investments</t>
        </is>
      </c>
      <c r="D18" s="47" t="n">
        <v>0</v>
      </c>
      <c r="F18" s="3" t="inlineStr">
        <is>
          <t>Immaterial / already captured within marketable securities above</t>
        </is>
      </c>
    </row>
    <row r="19">
      <c r="B19" s="7" t="inlineStr">
        <is>
          <t>Minority Interest</t>
        </is>
      </c>
      <c r="D19" s="47" t="n">
        <v>0</v>
      </c>
    </row>
    <row r="20">
      <c r="B20" s="18" t="inlineStr">
        <is>
          <t>Net Debt / (Net Cash)</t>
        </is>
      </c>
      <c r="D20" s="48">
        <f>D15-D14</f>
      </c>
      <c r="F20" s="3" t="inlineStr">
        <is>
          <t>Negative = net cash position; ties to FY2025 10-K net cash of ~$20.0B</t>
        </is>
      </c>
    </row>
    <row r="21"/>
    <row r="22">
      <c r="B22" s="5" t="inlineStr">
        <is>
          <t>3. Operating Drivers, FY2026E–FY2030E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D23" s="19" t="inlineStr">
        <is>
          <t>FY2026E</t>
        </is>
      </c>
      <c r="E23" s="19" t="inlineStr">
        <is>
          <t>FY2027E</t>
        </is>
      </c>
      <c r="F23" s="19" t="inlineStr">
        <is>
          <t>FY2028E</t>
        </is>
      </c>
      <c r="G23" s="19" t="inlineStr">
        <is>
          <t>FY2029E</t>
        </is>
      </c>
      <c r="H23" s="19" t="inlineStr">
        <is>
          <t>FY2030E</t>
        </is>
      </c>
      <c r="J23" s="50" t="n"/>
      <c r="K23" s="50" t="n"/>
    </row>
    <row r="24">
      <c r="B24" s="7" t="inlineStr">
        <is>
          <t>Revenue Growth %</t>
        </is>
      </c>
      <c r="D24" s="51" t="n">
        <v>0.04</v>
      </c>
      <c r="E24" s="51" t="n">
        <v>0.05</v>
      </c>
      <c r="F24" s="51" t="n">
        <v>0.045</v>
      </c>
      <c r="G24" s="51" t="n">
        <v>0.04</v>
      </c>
      <c r="H24" s="51" t="n">
        <v>0.035</v>
      </c>
      <c r="I24" s="3" t="inlineStr">
        <is>
          <t>Mature mid-single-digit growth; modest fade from FY27 product cycle peak</t>
        </is>
      </c>
      <c r="J24" s="50" t="n"/>
      <c r="K24" s="50" t="n"/>
    </row>
    <row r="25">
      <c r="B25" s="7" t="inlineStr">
        <is>
          <t>EBIT Margin %</t>
        </is>
      </c>
      <c r="D25" s="51" t="n">
        <v>0.323</v>
      </c>
      <c r="E25" s="51" t="n">
        <v>0.326</v>
      </c>
      <c r="F25" s="51" t="n">
        <v>0.329</v>
      </c>
      <c r="G25" s="51" t="n">
        <v>0.331</v>
      </c>
      <c r="H25" s="51" t="n">
        <v>0.333</v>
      </c>
      <c r="I25" s="3" t="inlineStr">
        <is>
          <t>Gradual expansion from FY25A 32.0% via Services mix shift</t>
        </is>
      </c>
      <c r="J25" s="50" t="n"/>
      <c r="K25" s="50" t="n"/>
    </row>
    <row r="26">
      <c r="B26" s="7" t="inlineStr">
        <is>
          <t>D&amp;A % of Revenue</t>
        </is>
      </c>
      <c r="D26" s="21" t="n">
        <v>0.0285</v>
      </c>
      <c r="E26" s="21" t="n">
        <v>0.0285</v>
      </c>
      <c r="F26" s="21" t="n">
        <v>0.0285</v>
      </c>
      <c r="G26" s="21" t="n">
        <v>0.0285</v>
      </c>
      <c r="H26" s="21" t="n">
        <v>0.0285</v>
      </c>
      <c r="J26" s="50" t="n"/>
      <c r="K26" s="50" t="n"/>
    </row>
    <row r="27">
      <c r="B27" s="7" t="inlineStr">
        <is>
          <t>Capex % of Revenue</t>
        </is>
      </c>
      <c r="D27" s="21" t="n">
        <v>0.03</v>
      </c>
      <c r="E27" s="21" t="n">
        <v>0.03</v>
      </c>
      <c r="F27" s="21" t="n">
        <v>0.03</v>
      </c>
      <c r="G27" s="21" t="n">
        <v>0.03</v>
      </c>
      <c r="H27" s="21" t="n">
        <v>0.03</v>
      </c>
      <c r="J27" s="50" t="n"/>
      <c r="K27" s="50" t="n"/>
    </row>
    <row r="28">
      <c r="B28" s="7" t="inlineStr">
        <is>
          <t>NWC % of Revenue</t>
        </is>
      </c>
      <c r="D28" s="21" t="n">
        <v>-0.1739</v>
      </c>
      <c r="E28" s="21" t="n">
        <v>-0.1739</v>
      </c>
      <c r="F28" s="21" t="n">
        <v>-0.1739</v>
      </c>
      <c r="G28" s="21" t="n">
        <v>-0.1739</v>
      </c>
      <c r="H28" s="21" t="n">
        <v>-0.1739</v>
      </c>
      <c r="I28" s="3" t="inlineStr">
        <is>
          <t>Held flat at FY2025A ratio (structurally negative NWC - AAPL is payables-funded)</t>
        </is>
      </c>
      <c r="J28" s="50" t="n"/>
      <c r="K28" s="50" t="n"/>
    </row>
    <row r="29">
      <c r="B29" s="7" t="inlineStr">
        <is>
          <t>Tax Rate (applies all years)</t>
        </is>
      </c>
      <c r="D29" s="21" t="n">
        <v>0.155</v>
      </c>
      <c r="E29" s="3" t="inlineStr">
        <is>
          <t>Effective rate per FY2025 10-K ~15.6%, held flat; statutory federal 21% fallback if needed</t>
        </is>
      </c>
      <c r="J29" s="50" t="n"/>
      <c r="K29" s="50" t="n"/>
    </row>
    <row r="30"/>
    <row r="31">
      <c r="B31" s="5" t="inlineStr">
        <is>
          <t>4. Terminal Assumptions</t>
        </is>
      </c>
      <c r="C31" s="5" t="n"/>
      <c r="D31" s="5" t="n"/>
      <c r="E31" s="5" t="n"/>
      <c r="F31" s="5" t="n"/>
    </row>
    <row r="32">
      <c r="B32" s="7" t="inlineStr">
        <is>
          <t>Terminal Growth Rate (g)</t>
        </is>
      </c>
      <c r="F32" s="21" t="n">
        <v>0.03</v>
      </c>
      <c r="G32" s="3" t="inlineStr">
        <is>
          <t>Below 10Y UST (4.74%); long-run nominal GDP-like rate</t>
        </is>
      </c>
    </row>
    <row r="33">
      <c r="B33" s="7" t="inlineStr">
        <is>
          <t>Exit EV/EBITDA Multiple</t>
        </is>
      </c>
      <c r="F33" s="22" t="n">
        <v>13</v>
      </c>
      <c r="G33" s="3" t="inlineStr">
        <is>
          <t>Below AAPL's own trading multiple; deliberately conservative cross-check</t>
        </is>
      </c>
    </row>
    <row r="34">
      <c r="B34" s="3" t="inlineStr">
        <is>
          <t>End-of-period discounting throughout (no mid-year convention).</t>
        </is>
      </c>
    </row>
    <row r="35"/>
    <row r="36">
      <c r="B36" s="3" t="inlineStr">
        <is>
          <t>Sources: AAPL FY2023-FY2025 10-Ks (SEC EDGAR); FY2025 8-K earnings release; StockAnalysis.com; MacroTrends; FinBox; GuruFocus; FinCharts.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/>
    <row r="2">
      <c r="B2" s="1" t="inlineStr">
        <is>
          <t>Apple Inc. (AAPL) - Discounted Cash Flow Analysis</t>
        </is>
      </c>
    </row>
    <row r="3">
      <c r="B3" s="3" t="inlineStr">
        <is>
          <t>($ in millions, except per-share data)</t>
        </is>
      </c>
    </row>
    <row r="4"/>
    <row r="5">
      <c r="C5" s="19" t="inlineStr">
        <is>
          <t>FY2023A</t>
        </is>
      </c>
      <c r="D5" s="19" t="inlineStr">
        <is>
          <t>FY2024A</t>
        </is>
      </c>
      <c r="E5" s="19" t="inlineStr">
        <is>
          <t>FY2025A</t>
        </is>
      </c>
      <c r="F5" s="19" t="inlineStr">
        <is>
          <t>FY2026E</t>
        </is>
      </c>
      <c r="G5" s="19" t="inlineStr">
        <is>
          <t>FY2027E</t>
        </is>
      </c>
      <c r="H5" s="19" t="inlineStr">
        <is>
          <t>FY2028E</t>
        </is>
      </c>
      <c r="I5" s="19" t="inlineStr">
        <is>
          <t>FY2029E</t>
        </is>
      </c>
      <c r="J5" s="19" t="inlineStr">
        <is>
          <t>FY2030E</t>
        </is>
      </c>
    </row>
    <row r="6">
      <c r="B6" s="7" t="inlineStr">
        <is>
          <t>Discount Period</t>
        </is>
      </c>
      <c r="F6" s="23" t="n">
        <v>1</v>
      </c>
      <c r="G6" s="23">
        <f>F6+1</f>
      </c>
      <c r="H6" s="23">
        <f>G6+1</f>
      </c>
      <c r="I6" s="23">
        <f>H6+1</f>
      </c>
      <c r="J6" s="23">
        <f>I6+1</f>
      </c>
    </row>
    <row r="7"/>
    <row r="8">
      <c r="B8" s="5" t="inlineStr">
        <is>
          <t>Historical &amp; Projected Operating Build ($mm)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B9" s="7" t="inlineStr">
        <is>
          <t>Revenue</t>
        </is>
      </c>
      <c r="C9" s="47" t="n">
        <v>383285</v>
      </c>
      <c r="D9" s="47" t="n">
        <v>391035</v>
      </c>
      <c r="E9" s="47" t="n">
        <v>416161</v>
      </c>
      <c r="F9" s="52">
        <f>E9*(1+Assumptions!$D$24)</f>
      </c>
      <c r="G9" s="52">
        <f>F9*(1+Assumptions!$E$24)</f>
      </c>
      <c r="H9" s="52">
        <f>G9*(1+Assumptions!$F$24)</f>
      </c>
      <c r="I9" s="52">
        <f>H9*(1+Assumptions!$G$24)</f>
      </c>
      <c r="J9" s="52">
        <f>I9*(1+Assumptions!$H$24)</f>
      </c>
    </row>
    <row r="10">
      <c r="B10" s="25" t="inlineStr">
        <is>
          <t>Revenue Growth %</t>
        </is>
      </c>
      <c r="D10" s="53">
        <f>D9/C9-1</f>
      </c>
      <c r="E10" s="53">
        <f>E9/D9-1</f>
      </c>
      <c r="F10" s="54">
        <f>Assumptions!$D$24</f>
      </c>
      <c r="G10" s="54">
        <f>Assumptions!$E$24</f>
      </c>
      <c r="H10" s="54">
        <f>Assumptions!$F$24</f>
      </c>
      <c r="I10" s="54">
        <f>Assumptions!$G$24</f>
      </c>
      <c r="J10" s="54">
        <f>Assumptions!$H$24</f>
      </c>
    </row>
    <row r="11">
      <c r="B11" s="7" t="inlineStr">
        <is>
          <t>EBIT</t>
        </is>
      </c>
      <c r="C11" s="47" t="n">
        <v>114301</v>
      </c>
      <c r="D11" s="47" t="n">
        <v>123216</v>
      </c>
      <c r="E11" s="47" t="n">
        <v>133050</v>
      </c>
      <c r="F11" s="52">
        <f>F9*Assumptions!$D$25</f>
      </c>
      <c r="G11" s="52">
        <f>G9*Assumptions!$E$25</f>
      </c>
      <c r="H11" s="52">
        <f>H9*Assumptions!$F$25</f>
      </c>
      <c r="I11" s="52">
        <f>I9*Assumptions!$G$25</f>
      </c>
      <c r="J11" s="52">
        <f>J9*Assumptions!$H$25</f>
      </c>
    </row>
    <row r="12">
      <c r="B12" s="25" t="inlineStr">
        <is>
          <t>EBIT Margin %</t>
        </is>
      </c>
      <c r="C12" s="53">
        <f>C11/C9</f>
      </c>
      <c r="D12" s="53">
        <f>D11/D9</f>
      </c>
      <c r="E12" s="53">
        <f>E11/E9</f>
      </c>
      <c r="F12" s="54">
        <f>Assumptions!$D$25</f>
      </c>
      <c r="G12" s="54">
        <f>Assumptions!$E$25</f>
      </c>
      <c r="H12" s="54">
        <f>Assumptions!$F$25</f>
      </c>
      <c r="I12" s="54">
        <f>Assumptions!$G$25</f>
      </c>
      <c r="J12" s="54">
        <f>Assumptions!$H$25</f>
      </c>
    </row>
    <row r="13">
      <c r="B13" s="7" t="inlineStr">
        <is>
          <t>D&amp;A</t>
        </is>
      </c>
      <c r="C13" s="47" t="n">
        <v>11519</v>
      </c>
      <c r="D13" s="47" t="n">
        <v>11445</v>
      </c>
      <c r="E13" s="47" t="n">
        <v>11698</v>
      </c>
      <c r="F13" s="52">
        <f>F9*Assumptions!$D$26</f>
      </c>
      <c r="G13" s="52">
        <f>G9*Assumptions!$E$26</f>
      </c>
      <c r="H13" s="52">
        <f>H9*Assumptions!$F$26</f>
      </c>
      <c r="I13" s="52">
        <f>I9*Assumptions!$G$26</f>
      </c>
      <c r="J13" s="52">
        <f>J9*Assumptions!$H$26</f>
      </c>
    </row>
    <row r="14">
      <c r="B14" s="18" t="inlineStr">
        <is>
          <t>EBITDA</t>
        </is>
      </c>
      <c r="C14" s="49">
        <f>C11+C13</f>
      </c>
      <c r="D14" s="49">
        <f>D11+D13</f>
      </c>
      <c r="E14" s="49">
        <f>E11+E13</f>
      </c>
      <c r="F14" s="49">
        <f>F11+F13</f>
      </c>
      <c r="G14" s="49">
        <f>G11+G13</f>
      </c>
      <c r="H14" s="49">
        <f>H11+H13</f>
      </c>
      <c r="I14" s="49">
        <f>I11+I13</f>
      </c>
      <c r="J14" s="49">
        <f>J11+J13</f>
      </c>
    </row>
    <row r="15">
      <c r="B15" s="7" t="inlineStr">
        <is>
          <t>Less: Capex</t>
        </is>
      </c>
      <c r="C15" s="47" t="n">
        <v>10959</v>
      </c>
      <c r="D15" s="47" t="n">
        <v>9447</v>
      </c>
      <c r="E15" s="47" t="n">
        <v>12715</v>
      </c>
      <c r="F15" s="52">
        <f>F9*Assumptions!$D$27</f>
      </c>
      <c r="G15" s="52">
        <f>G9*Assumptions!$E$27</f>
      </c>
      <c r="H15" s="52">
        <f>H9*Assumptions!$F$27</f>
      </c>
      <c r="I15" s="52">
        <f>I9*Assumptions!$G$27</f>
      </c>
      <c r="J15" s="52">
        <f>J9*Assumptions!$H$27</f>
      </c>
    </row>
    <row r="16">
      <c r="B16" s="7" t="inlineStr">
        <is>
          <t>Net Working Capital (operating, ex-vendor non-trade recv.)</t>
        </is>
      </c>
      <c r="C16" s="47" t="n">
        <v>-66648.3</v>
      </c>
      <c r="D16" s="47" t="n">
        <v>-67995.89999999999</v>
      </c>
      <c r="E16" s="47" t="n">
        <v>-72365</v>
      </c>
      <c r="F16" s="52">
        <f>F9*Assumptions!$D$28</f>
      </c>
      <c r="G16" s="52">
        <f>G9*Assumptions!$E$28</f>
      </c>
      <c r="H16" s="52">
        <f>H9*Assumptions!$F$28</f>
      </c>
      <c r="I16" s="52">
        <f>I9*Assumptions!$G$28</f>
      </c>
      <c r="J16" s="52">
        <f>J9*Assumptions!$H$28</f>
      </c>
    </row>
    <row r="17">
      <c r="B17" s="3" t="inlineStr">
        <is>
          <t>NWC = AR + Inventory − AP − Accrued Liabilities. FY2025A computed from FY2025 10-K ($39,777 AR + $5,718 Inv − $69,860 AP − ~$48,000 accrued). Vendor non-trade receivables ($33.2B) deliberately EXCLUDED from NWC per explorer advisory - it is a supplier-financing conduit, not true operating working capital, and including it would double-count against AAPL's elevated AP. FY2023A/FY2024A NWC are ESTIMATES (held at FY2025A ratio to revenue; itemized BS detail not available for those years).</t>
        </is>
      </c>
    </row>
    <row r="18">
      <c r="B18" s="3" t="inlineStr">
        <is>
          <t>AAPL exhibits structurally negative net working capital (funded by suppliers) - a well-known feature of its business model, not a model error.</t>
        </is>
      </c>
    </row>
    <row r="19">
      <c r="B19" s="25" t="inlineStr">
        <is>
          <t>(Increase)/Decrease in NWC</t>
        </is>
      </c>
      <c r="F19" s="49">
        <f>E16-F16</f>
      </c>
      <c r="G19" s="49">
        <f>F16-G16</f>
      </c>
      <c r="H19" s="49">
        <f>G16-H16</f>
      </c>
      <c r="I19" s="49">
        <f>H16-I16</f>
      </c>
      <c r="J19" s="49">
        <f>I16-J16</f>
      </c>
    </row>
    <row r="20">
      <c r="B20" s="3" t="inlineStr">
        <is>
          <t>Shown as source/(use) of cash: NWC becoming more negative each year is a SOURCE of cash (positive here).</t>
        </is>
      </c>
    </row>
    <row r="21"/>
    <row r="22">
      <c r="B22" s="18" t="inlineStr">
        <is>
          <t>Memo: Stock-Based Compensation (SBC, $mm) - not added back below</t>
        </is>
      </c>
      <c r="C22" s="47" t="n">
        <v>12000</v>
      </c>
      <c r="D22" s="47" t="n">
        <v>12500</v>
      </c>
      <c r="E22" s="47" t="n">
        <v>12860</v>
      </c>
    </row>
    <row r="23">
      <c r="B23" s="3" t="inlineStr">
        <is>
          <t>FLAG: FY2023A/FY2024A SBC are ESTIMATES extrapolated from the FY2025A actual ($12.86B, GuruFocus/FinBox); only FY2025A is a disclosed figure. SBC is not separately added back in the UFCF build below - EBIT already reflects SBC as an operating expense; no incremental non-cash adjustment is applied (a deliberate, conservative convention flagged for reviewer discretion).</t>
        </is>
      </c>
    </row>
    <row r="24"/>
    <row r="25">
      <c r="B25" s="5" t="inlineStr">
        <is>
          <t>Unlevered Free Cash Flow Build ($mm) - FY2026E–FY2030E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B26" s="7" t="inlineStr">
        <is>
          <t>EBIT</t>
        </is>
      </c>
      <c r="F26" s="49">
        <f>F11</f>
      </c>
      <c r="G26" s="49">
        <f>G11</f>
      </c>
      <c r="H26" s="49">
        <f>H11</f>
      </c>
      <c r="I26" s="49">
        <f>I11</f>
      </c>
      <c r="J26" s="49">
        <f>J11</f>
      </c>
    </row>
    <row r="27">
      <c r="B27" s="7" t="inlineStr">
        <is>
          <t>Less: Cash Taxes @ Tax Rate</t>
        </is>
      </c>
      <c r="F27" s="52">
        <f>F26*Assumptions!$D$29</f>
      </c>
      <c r="G27" s="52">
        <f>G26*Assumptions!$D$29</f>
      </c>
      <c r="H27" s="52">
        <f>H26*Assumptions!$D$29</f>
      </c>
      <c r="I27" s="52">
        <f>I26*Assumptions!$D$29</f>
      </c>
      <c r="J27" s="52">
        <f>J26*Assumptions!$D$29</f>
      </c>
    </row>
    <row r="28">
      <c r="B28" s="18" t="inlineStr">
        <is>
          <t>NOPAT</t>
        </is>
      </c>
      <c r="F28" s="49">
        <f>F26-F27</f>
      </c>
      <c r="G28" s="49">
        <f>G26-G27</f>
      </c>
      <c r="H28" s="49">
        <f>H26-H27</f>
      </c>
      <c r="I28" s="49">
        <f>I26-I27</f>
      </c>
      <c r="J28" s="49">
        <f>J26-J27</f>
      </c>
    </row>
    <row r="29">
      <c r="B29" s="7" t="inlineStr">
        <is>
          <t>Plus: D&amp;A</t>
        </is>
      </c>
      <c r="F29" s="49">
        <f>F13</f>
      </c>
      <c r="G29" s="49">
        <f>G13</f>
      </c>
      <c r="H29" s="49">
        <f>H13</f>
      </c>
      <c r="I29" s="49">
        <f>I13</f>
      </c>
      <c r="J29" s="49">
        <f>J13</f>
      </c>
    </row>
    <row r="30">
      <c r="B30" s="7" t="inlineStr">
        <is>
          <t>Less: Capex</t>
        </is>
      </c>
      <c r="F30" s="49">
        <f>F15</f>
      </c>
      <c r="G30" s="49">
        <f>G15</f>
      </c>
      <c r="H30" s="49">
        <f>H15</f>
      </c>
      <c r="I30" s="49">
        <f>I15</f>
      </c>
      <c r="J30" s="49">
        <f>J15</f>
      </c>
    </row>
    <row r="31">
      <c r="B31" s="7" t="inlineStr">
        <is>
          <t>Less: (Increase)/Decrease in NWC add-back</t>
        </is>
      </c>
      <c r="F31" s="49">
        <f>F19</f>
      </c>
      <c r="G31" s="49">
        <f>G19</f>
      </c>
      <c r="H31" s="49">
        <f>H19</f>
      </c>
      <c r="I31" s="49">
        <f>I19</f>
      </c>
      <c r="J31" s="49">
        <f>J19</f>
      </c>
    </row>
    <row r="32">
      <c r="B32" s="18" t="inlineStr">
        <is>
          <t>Unlevered Free Cash Flow</t>
        </is>
      </c>
      <c r="F32" s="55">
        <f>F28+F29-F30+F31</f>
      </c>
      <c r="G32" s="55">
        <f>G28+G29-G30+G31</f>
      </c>
      <c r="H32" s="55">
        <f>H28+H29-H30+H31</f>
      </c>
      <c r="I32" s="55">
        <f>I28+I29-I30+I31</f>
      </c>
      <c r="J32" s="55">
        <f>J28+J29-J30+J31</f>
      </c>
    </row>
    <row r="33">
      <c r="B33" s="7" t="inlineStr">
        <is>
          <t>PV Factor</t>
        </is>
      </c>
      <c r="F33" s="29">
        <f>1/(1+WACC!$D$25)^F6</f>
      </c>
      <c r="G33" s="29">
        <f>1/(1+WACC!$D$25)^G6</f>
      </c>
      <c r="H33" s="29">
        <f>1/(1+WACC!$D$25)^H6</f>
      </c>
      <c r="I33" s="29">
        <f>1/(1+WACC!$D$25)^I6</f>
      </c>
      <c r="J33" s="29">
        <f>1/(1+WACC!$D$25)^J6</f>
      </c>
    </row>
    <row r="34">
      <c r="B34" s="7" t="inlineStr">
        <is>
          <t>PV of Unlevered FCF</t>
        </is>
      </c>
      <c r="F34" s="49">
        <f>F32*F33</f>
      </c>
      <c r="G34" s="49">
        <f>G32*G33</f>
      </c>
      <c r="H34" s="49">
        <f>H32*H33</f>
      </c>
      <c r="I34" s="49">
        <f>I32*I33</f>
      </c>
      <c r="J34" s="49">
        <f>J32*J33</f>
      </c>
    </row>
    <row r="35"/>
    <row r="36">
      <c r="B36" s="18" t="inlineStr">
        <is>
          <t>Sum of PV of Explicit UFCF (FY2026E–FY2030E)</t>
        </is>
      </c>
      <c r="F36" s="48">
        <f>SUM(F34:J34)</f>
      </c>
    </row>
    <row r="37"/>
    <row r="38">
      <c r="B38" s="5" t="inlineStr">
        <is>
          <t>Terminal Value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B39" s="18" t="inlineStr">
        <is>
          <t>Terminal Value - Gordon Growth Method</t>
        </is>
      </c>
    </row>
    <row r="40">
      <c r="B40" s="7" t="inlineStr">
        <is>
          <t>Terminal-Year Unlevered FCF (FY2030E)</t>
        </is>
      </c>
      <c r="F40" s="49">
        <f>J32</f>
      </c>
    </row>
    <row r="41">
      <c r="B41" s="7" t="inlineStr">
        <is>
          <t>Terminal Value (Gordon)</t>
        </is>
      </c>
      <c r="F41" s="52">
        <f>F40*(1+Assumptions!$F$32)/(WACC!$D$25-Assumptions!$F$32)</f>
      </c>
    </row>
    <row r="42">
      <c r="B42" s="7" t="inlineStr">
        <is>
          <t>PV of Terminal Value (Gordon)</t>
        </is>
      </c>
      <c r="F42" s="49">
        <f>F41*J33</f>
      </c>
    </row>
    <row r="43">
      <c r="B43" s="7" t="inlineStr">
        <is>
          <t>Implied Exit EV/EBITDA (cross-check)</t>
        </is>
      </c>
      <c r="F43" s="30">
        <f>F41/J14</f>
      </c>
    </row>
    <row r="44"/>
    <row r="45">
      <c r="B45" s="18" t="inlineStr">
        <is>
          <t>Terminal Value - Exit Multiple Method</t>
        </is>
      </c>
    </row>
    <row r="46">
      <c r="B46" s="7" t="inlineStr">
        <is>
          <t>Terminal-Year EBITDA (FY2030E)</t>
        </is>
      </c>
      <c r="F46" s="49">
        <f>J14</f>
      </c>
    </row>
    <row r="47">
      <c r="B47" s="7" t="inlineStr">
        <is>
          <t>Terminal Value (Exit Multiple)</t>
        </is>
      </c>
      <c r="F47" s="52">
        <f>F46*Assumptions!$F$33</f>
      </c>
    </row>
    <row r="48">
      <c r="B48" s="7" t="inlineStr">
        <is>
          <t>PV of Terminal Value (Exit Multiple)</t>
        </is>
      </c>
      <c r="F48" s="49">
        <f>F47*J33</f>
      </c>
    </row>
    <row r="49">
      <c r="B49" s="7" t="inlineStr">
        <is>
          <t>Implied Terminal Growth g (cross-check)</t>
        </is>
      </c>
      <c r="F49" s="31">
        <f>(WACC!$D$25*F47-F40)/(F47+F40)</f>
      </c>
    </row>
    <row r="50">
      <c r="B50" s="3" t="inlineStr">
        <is>
          <t>Cross-checks should bracket sensibly: Gordon-implied exit multiple vs. the assumed exit multiple (F33); exit-implied g vs. the assumed terminal g (Assumptions!F32).</t>
        </is>
      </c>
    </row>
    <row r="51"/>
    <row r="52">
      <c r="B52" s="5" t="inlineStr">
        <is>
          <t>EV → Equity Bridge &amp; Implied Share Price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D53" s="32" t="inlineStr">
        <is>
          <t>Gordon Growth</t>
        </is>
      </c>
      <c r="F53" s="32" t="inlineStr">
        <is>
          <t>Exit Multiple</t>
        </is>
      </c>
    </row>
    <row r="54">
      <c r="B54" s="7" t="inlineStr">
        <is>
          <t>PV of Explicit UFCF (FY26E–30E)</t>
        </is>
      </c>
      <c r="D54" s="49">
        <f>$F$36</f>
      </c>
      <c r="F54" s="49">
        <f>$F$36</f>
      </c>
    </row>
    <row r="55">
      <c r="B55" s="7" t="inlineStr">
        <is>
          <t>PV of Terminal Value</t>
        </is>
      </c>
      <c r="D55" s="49">
        <f>$F$42</f>
      </c>
      <c r="F55" s="49">
        <f>$F$48</f>
      </c>
    </row>
    <row r="56">
      <c r="B56" s="18" t="inlineStr">
        <is>
          <t>Enterprise Value</t>
        </is>
      </c>
      <c r="D56" s="55">
        <f>D54+D55</f>
      </c>
      <c r="F56" s="55">
        <f>F54+F55</f>
      </c>
    </row>
    <row r="57">
      <c r="B57" s="7" t="inlineStr">
        <is>
          <t>Less: Net Debt / (Net Cash)</t>
        </is>
      </c>
      <c r="D57" s="52">
        <f>Assumptions!$D$20</f>
      </c>
      <c r="F57" s="52">
        <f>Assumptions!$D$20</f>
      </c>
    </row>
    <row r="58">
      <c r="B58" s="18" t="inlineStr">
        <is>
          <t>Equity Value</t>
        </is>
      </c>
      <c r="D58" s="55">
        <f>D56-D57</f>
      </c>
      <c r="F58" s="55">
        <f>F56-F57</f>
      </c>
    </row>
    <row r="59">
      <c r="B59" s="7" t="inlineStr">
        <is>
          <t>Diluted Shares Outstanding (mm)</t>
        </is>
      </c>
      <c r="D59" s="56">
        <f>Assumptions!$D$8</f>
      </c>
      <c r="F59" s="56">
        <f>Assumptions!$D$8</f>
      </c>
    </row>
    <row r="60">
      <c r="B60" s="18" t="inlineStr">
        <is>
          <t>Implied Share Price</t>
        </is>
      </c>
      <c r="D60" s="34">
        <f>D58/D59</f>
      </c>
      <c r="F60" s="34">
        <f>F58/F59</f>
      </c>
    </row>
    <row r="61">
      <c r="B61" s="7" t="inlineStr">
        <is>
          <t>Actual Share Price</t>
        </is>
      </c>
      <c r="D61" s="9">
        <f>Assumptions!$D$7</f>
      </c>
      <c r="F61" s="9">
        <f>Assumptions!$D$7</f>
      </c>
    </row>
    <row r="62">
      <c r="B62" s="7" t="inlineStr">
        <is>
          <t>Implied Upside/(Downside) %</t>
        </is>
      </c>
      <c r="D62" s="53">
        <f>D60/D61-1</f>
      </c>
      <c r="F62" s="53">
        <f>F60/F61-1</f>
      </c>
    </row>
    <row r="63"/>
    <row r="64">
      <c r="B64" s="3" t="inlineStr">
        <is>
          <t>Share count held constant across the projection - this is an unlevered, capital-structure-neutral DCF; buybacks shift value PER SHARE via the equity bridge (fewer shares dividing the same equity value), not enterprise value itself.</t>
        </is>
      </c>
    </row>
    <row r="65">
      <c r="B65" s="3" t="inlineStr">
        <is>
          <t>Sources: AAPL FY2023-FY2025 10-Ks; FY2025 8-K; StockAnalysis.com; MacroTrends; GuruFocus; FinBox. Valuation date Aug 21,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/>
    <row r="2">
      <c r="B2" s="1" t="inlineStr">
        <is>
          <t>Apple Inc. (AAPL) - WACC Build</t>
        </is>
      </c>
    </row>
    <row r="3">
      <c r="B3" s="3" t="inlineStr">
        <is>
          <t>($ in millions, except per-share data)</t>
        </is>
      </c>
    </row>
    <row r="4"/>
    <row r="5">
      <c r="B5" s="5" t="inlineStr">
        <is>
          <t>Cost of Equity (CAPM)</t>
        </is>
      </c>
      <c r="C5" s="5" t="n"/>
      <c r="D5" s="5" t="n"/>
      <c r="E5" s="5" t="n"/>
      <c r="F5" s="5" t="n"/>
    </row>
    <row r="6">
      <c r="B6" s="7" t="inlineStr">
        <is>
          <t>Risk-Free Rate (10Y UST)</t>
        </is>
      </c>
      <c r="D6" s="21" t="n">
        <v>0.0474</v>
      </c>
      <c r="F6" s="3" t="inlineStr">
        <is>
          <t>10Y UST, Aug 21, 2026 - Trading Economics/CNBC</t>
        </is>
      </c>
    </row>
    <row r="7">
      <c r="B7" s="7" t="inlineStr">
        <is>
          <t>Levered Beta</t>
        </is>
      </c>
      <c r="D7" s="35" t="n">
        <v>0.95</v>
      </c>
      <c r="F7" s="3" t="inlineStr">
        <is>
          <t>Observed beta, Aug 2026: AlphaSpread 0.95, GuruFocus 0.93 (8/10/26), Yahoo 1.086, MacroAxis 0.73 - median of non-outlier set = 0.95. Spec fallback 1.10 used only where observed data is unavailable (cf. MSFT 1.04, NVDA 1.98 observed). Conservative alternative: beta 1.10 -&gt; WACC 10.08%, Gordon price ~$124.77.</t>
        </is>
      </c>
    </row>
    <row r="8">
      <c r="B8" s="7" t="inlineStr">
        <is>
          <t>Equity Risk Premium</t>
        </is>
      </c>
      <c r="D8" s="21" t="n">
        <v>0.05</v>
      </c>
      <c r="F8" s="3" t="inlineStr">
        <is>
          <t>Damodaran / Duff &amp; Phelps convention; fallback per spec (Damodaran implicit ~4.5-5.5%)</t>
        </is>
      </c>
    </row>
    <row r="9">
      <c r="B9" s="18" t="inlineStr">
        <is>
          <t>Cost of Equity (Ke)</t>
        </is>
      </c>
      <c r="D9" s="36">
        <f>D6+D7*D8</f>
      </c>
    </row>
    <row r="10"/>
    <row r="11">
      <c r="B11" s="5" t="inlineStr">
        <is>
          <t>Cost of Debt</t>
        </is>
      </c>
      <c r="C11" s="5" t="n"/>
      <c r="D11" s="5" t="n"/>
      <c r="E11" s="5" t="n"/>
      <c r="F11" s="5" t="n"/>
    </row>
    <row r="12">
      <c r="B12" s="7" t="inlineStr">
        <is>
          <t>Pre-Tax Cost of Debt</t>
        </is>
      </c>
      <c r="D12" s="21" t="n">
        <v>0.045</v>
      </c>
      <c r="F12" s="3" t="inlineStr">
        <is>
          <t>AAA-implied long-term bond yield given AAPL's strong credit profile (~rf + 25-50bp)</t>
        </is>
      </c>
    </row>
    <row r="13">
      <c r="B13" s="7" t="inlineStr">
        <is>
          <t>Tax Rate</t>
        </is>
      </c>
      <c r="D13" s="31">
        <f>Assumptions!$D$29</f>
      </c>
    </row>
    <row r="14">
      <c r="B14" s="18" t="inlineStr">
        <is>
          <t>After-Tax Cost of Debt</t>
        </is>
      </c>
      <c r="D14" s="36">
        <f>D12*(1-D13)</f>
      </c>
    </row>
    <row r="15"/>
    <row r="16">
      <c r="B16" s="5" t="inlineStr">
        <is>
          <t>Capital Structure Weights</t>
        </is>
      </c>
      <c r="C16" s="5" t="n"/>
      <c r="D16" s="5" t="n"/>
      <c r="E16" s="5" t="n"/>
      <c r="F16" s="5" t="n"/>
    </row>
    <row r="17">
      <c r="B17" s="7" t="inlineStr">
        <is>
          <t>Share Price ($)</t>
        </is>
      </c>
      <c r="D17" s="9">
        <f>Assumptions!$D$7</f>
      </c>
    </row>
    <row r="18">
      <c r="B18" s="7" t="inlineStr">
        <is>
          <t>Diluted Shares (mm)</t>
        </is>
      </c>
      <c r="D18" s="56">
        <f>Assumptions!$D$8</f>
      </c>
    </row>
    <row r="19">
      <c r="B19" s="7" t="inlineStr">
        <is>
          <t>Market Cap = Equity Value (E)</t>
        </is>
      </c>
      <c r="D19" s="49">
        <f>D17*D18</f>
      </c>
    </row>
    <row r="20">
      <c r="B20" s="7" t="inlineStr">
        <is>
          <t>Total Debt (D)</t>
        </is>
      </c>
      <c r="D20" s="52">
        <f>Assumptions!$D$15</f>
      </c>
    </row>
    <row r="21">
      <c r="B21" s="7" t="inlineStr">
        <is>
          <t>D + E</t>
        </is>
      </c>
      <c r="D21" s="49">
        <f>D19+D20</f>
      </c>
    </row>
    <row r="22">
      <c r="B22" s="7" t="inlineStr">
        <is>
          <t>E / (D+E)</t>
        </is>
      </c>
      <c r="D22" s="53">
        <f>D19/D21</f>
      </c>
    </row>
    <row r="23">
      <c r="B23" s="7" t="inlineStr">
        <is>
          <t>D / (D+E)</t>
        </is>
      </c>
      <c r="D23" s="53">
        <f>D20/D21</f>
      </c>
    </row>
    <row r="24"/>
    <row r="25">
      <c r="B25" s="18" t="inlineStr">
        <is>
          <t>WACC</t>
        </is>
      </c>
      <c r="D25" s="37">
        <f>D22*D9+D23*D14</f>
      </c>
    </row>
    <row r="26">
      <c r="B26" s="3" t="inlineStr">
        <is>
          <t>WACC sanity: sits above the risk-free rate, reflecting near-100% equity weight given AAPL's minimal net leverage (net cash position).</t>
        </is>
      </c>
    </row>
    <row r="27">
      <c r="B27" s="3" t="inlineStr">
        <is>
          <t>Interest computed on beginning-of-period balances / static capital structure - no iterative calc, no circularity.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Apple Inc. (AAPL) - DCF Sensitivity Grids</t>
        </is>
      </c>
    </row>
    <row r="3">
      <c r="B3" s="3" t="inlineStr">
        <is>
          <t>Implied share price ($); live algebraic re-derivation, no Data Tables</t>
        </is>
      </c>
    </row>
    <row r="4"/>
    <row r="5">
      <c r="B5" s="5" t="inlineStr">
        <is>
          <t>Grid A - Implied Share Price: WACC (rows) × Terminal Growth g (cols) - Gordon Growth Method</t>
        </is>
      </c>
      <c r="C5" s="5" t="n"/>
      <c r="D5" s="5" t="n"/>
      <c r="E5" s="5" t="n"/>
      <c r="F5" s="5" t="n"/>
      <c r="G5" s="5" t="n"/>
    </row>
    <row r="6">
      <c r="B6" s="3" t="inlineStr">
        <is>
          <t>Corner cell = base-case implied price (Gordon), green-linked to DCF!D60</t>
        </is>
      </c>
    </row>
    <row r="7">
      <c r="B7" s="10">
        <f>DCF!$D$60</f>
      </c>
      <c r="C7" s="38">
        <f>$E$7+(-0.01)</f>
      </c>
      <c r="D7" s="38">
        <f>$E$7+(-0.005)</f>
      </c>
      <c r="E7" s="39">
        <f>Assumptions!$F$32</f>
      </c>
      <c r="F7" s="38">
        <f>$E$7+(0.005)</f>
      </c>
      <c r="G7" s="38">
        <f>$E$7+(0.01)</f>
      </c>
    </row>
    <row r="8">
      <c r="B8" s="40">
        <f>$B$11+(-0.015)</f>
      </c>
      <c r="C8" s="9">
        <f>(SUMPRODUCT(DCF!$F$32:$J$32,1/(1+$B8)^DCF!$F$6:$J$6)+(DCF!$J$32*(1+C$7))/($B8-C$7)/(1+$B8)^DCF!$J$6-Assumptions!$D$20)/Assumptions!$D$8</f>
      </c>
      <c r="D8" s="9">
        <f>(SUMPRODUCT(DCF!$F$32:$J$32,1/(1+$B8)^DCF!$F$6:$J$6)+(DCF!$J$32*(1+D$7))/($B8-D$7)/(1+$B8)^DCF!$J$6-Assumptions!$D$20)/Assumptions!$D$8</f>
      </c>
      <c r="E8" s="9">
        <f>(SUMPRODUCT(DCF!$F$32:$J$32,1/(1+$B8)^DCF!$F$6:$J$6)+(DCF!$J$32*(1+E$7))/($B8-E$7)/(1+$B8)^DCF!$J$6-Assumptions!$D$20)/Assumptions!$D$8</f>
      </c>
      <c r="F8" s="9">
        <f>(SUMPRODUCT(DCF!$F$32:$J$32,1/(1+$B8)^DCF!$F$6:$J$6)+(DCF!$J$32*(1+F$7))/($B8-F$7)/(1+$B8)^DCF!$J$6-Assumptions!$D$20)/Assumptions!$D$8</f>
      </c>
      <c r="G8" s="9">
        <f>(SUMPRODUCT(DCF!$F$32:$J$32,1/(1+$B8)^DCF!$F$6:$J$6)+(DCF!$J$32*(1+G$7))/($B8-G$7)/(1+$B8)^DCF!$J$6-Assumptions!$D$20)/Assumptions!$D$8</f>
      </c>
    </row>
    <row r="9">
      <c r="B9" s="40">
        <f>$B$11+(-0.01)</f>
      </c>
      <c r="C9" s="9">
        <f>(SUMPRODUCT(DCF!$F$32:$J$32,1/(1+$B9)^DCF!$F$6:$J$6)+(DCF!$J$32*(1+C$7))/($B9-C$7)/(1+$B9)^DCF!$J$6-Assumptions!$D$20)/Assumptions!$D$8</f>
      </c>
      <c r="D9" s="9">
        <f>(SUMPRODUCT(DCF!$F$32:$J$32,1/(1+$B9)^DCF!$F$6:$J$6)+(DCF!$J$32*(1+D$7))/($B9-D$7)/(1+$B9)^DCF!$J$6-Assumptions!$D$20)/Assumptions!$D$8</f>
      </c>
      <c r="E9" s="9">
        <f>(SUMPRODUCT(DCF!$F$32:$J$32,1/(1+$B9)^DCF!$F$6:$J$6)+(DCF!$J$32*(1+E$7))/($B9-E$7)/(1+$B9)^DCF!$J$6-Assumptions!$D$20)/Assumptions!$D$8</f>
      </c>
      <c r="F9" s="9">
        <f>(SUMPRODUCT(DCF!$F$32:$J$32,1/(1+$B9)^DCF!$F$6:$J$6)+(DCF!$J$32*(1+F$7))/($B9-F$7)/(1+$B9)^DCF!$J$6-Assumptions!$D$20)/Assumptions!$D$8</f>
      </c>
      <c r="G9" s="9">
        <f>(SUMPRODUCT(DCF!$F$32:$J$32,1/(1+$B9)^DCF!$F$6:$J$6)+(DCF!$J$32*(1+G$7))/($B9-G$7)/(1+$B9)^DCF!$J$6-Assumptions!$D$20)/Assumptions!$D$8</f>
      </c>
    </row>
    <row r="10">
      <c r="B10" s="40">
        <f>$B$11+(-0.005)</f>
      </c>
      <c r="C10" s="9">
        <f>(SUMPRODUCT(DCF!$F$32:$J$32,1/(1+$B10)^DCF!$F$6:$J$6)+(DCF!$J$32*(1+C$7))/($B10-C$7)/(1+$B10)^DCF!$J$6-Assumptions!$D$20)/Assumptions!$D$8</f>
      </c>
      <c r="D10" s="9">
        <f>(SUMPRODUCT(DCF!$F$32:$J$32,1/(1+$B10)^DCF!$F$6:$J$6)+(DCF!$J$32*(1+D$7))/($B10-D$7)/(1+$B10)^DCF!$J$6-Assumptions!$D$20)/Assumptions!$D$8</f>
      </c>
      <c r="E10" s="9">
        <f>(SUMPRODUCT(DCF!$F$32:$J$32,1/(1+$B10)^DCF!$F$6:$J$6)+(DCF!$J$32*(1+E$7))/($B10-E$7)/(1+$B10)^DCF!$J$6-Assumptions!$D$20)/Assumptions!$D$8</f>
      </c>
      <c r="F10" s="9">
        <f>(SUMPRODUCT(DCF!$F$32:$J$32,1/(1+$B10)^DCF!$F$6:$J$6)+(DCF!$J$32*(1+F$7))/($B10-F$7)/(1+$B10)^DCF!$J$6-Assumptions!$D$20)/Assumptions!$D$8</f>
      </c>
      <c r="G10" s="9">
        <f>(SUMPRODUCT(DCF!$F$32:$J$32,1/(1+$B10)^DCF!$F$6:$J$6)+(DCF!$J$32*(1+G$7))/($B10-G$7)/(1+$B10)^DCF!$J$6-Assumptions!$D$20)/Assumptions!$D$8</f>
      </c>
    </row>
    <row r="11">
      <c r="B11" s="41">
        <f>WACC!$D$25</f>
      </c>
      <c r="C11" s="9">
        <f>(SUMPRODUCT(DCF!$F$32:$J$32,1/(1+$B11)^DCF!$F$6:$J$6)+(DCF!$J$32*(1+C$7))/($B11-C$7)/(1+$B11)^DCF!$J$6-Assumptions!$D$20)/Assumptions!$D$8</f>
      </c>
      <c r="D11" s="9">
        <f>(SUMPRODUCT(DCF!$F$32:$J$32,1/(1+$B11)^DCF!$F$6:$J$6)+(DCF!$J$32*(1+D$7))/($B11-D$7)/(1+$B11)^DCF!$J$6-Assumptions!$D$20)/Assumptions!$D$8</f>
      </c>
      <c r="E11" s="10">
        <f>(SUMPRODUCT(DCF!$F$32:$J$32,1/(1+$B11)^DCF!$F$6:$J$6)+(DCF!$J$32*(1+E$7))/($B11-E$7)/(1+$B11)^DCF!$J$6-Assumptions!$D$20)/Assumptions!$D$8</f>
      </c>
      <c r="F11" s="9">
        <f>(SUMPRODUCT(DCF!$F$32:$J$32,1/(1+$B11)^DCF!$F$6:$J$6)+(DCF!$J$32*(1+F$7))/($B11-F$7)/(1+$B11)^DCF!$J$6-Assumptions!$D$20)/Assumptions!$D$8</f>
      </c>
      <c r="G11" s="9">
        <f>(SUMPRODUCT(DCF!$F$32:$J$32,1/(1+$B11)^DCF!$F$6:$J$6)+(DCF!$J$32*(1+G$7))/($B11-G$7)/(1+$B11)^DCF!$J$6-Assumptions!$D$20)/Assumptions!$D$8</f>
      </c>
    </row>
    <row r="12">
      <c r="B12" s="40">
        <f>$B$11+(0.005)</f>
      </c>
      <c r="C12" s="9">
        <f>(SUMPRODUCT(DCF!$F$32:$J$32,1/(1+$B12)^DCF!$F$6:$J$6)+(DCF!$J$32*(1+C$7))/($B12-C$7)/(1+$B12)^DCF!$J$6-Assumptions!$D$20)/Assumptions!$D$8</f>
      </c>
      <c r="D12" s="9">
        <f>(SUMPRODUCT(DCF!$F$32:$J$32,1/(1+$B12)^DCF!$F$6:$J$6)+(DCF!$J$32*(1+D$7))/($B12-D$7)/(1+$B12)^DCF!$J$6-Assumptions!$D$20)/Assumptions!$D$8</f>
      </c>
      <c r="E12" s="9">
        <f>(SUMPRODUCT(DCF!$F$32:$J$32,1/(1+$B12)^DCF!$F$6:$J$6)+(DCF!$J$32*(1+E$7))/($B12-E$7)/(1+$B12)^DCF!$J$6-Assumptions!$D$20)/Assumptions!$D$8</f>
      </c>
      <c r="F12" s="9">
        <f>(SUMPRODUCT(DCF!$F$32:$J$32,1/(1+$B12)^DCF!$F$6:$J$6)+(DCF!$J$32*(1+F$7))/($B12-F$7)/(1+$B12)^DCF!$J$6-Assumptions!$D$20)/Assumptions!$D$8</f>
      </c>
      <c r="G12" s="9">
        <f>(SUMPRODUCT(DCF!$F$32:$J$32,1/(1+$B12)^DCF!$F$6:$J$6)+(DCF!$J$32*(1+G$7))/($B12-G$7)/(1+$B12)^DCF!$J$6-Assumptions!$D$20)/Assumptions!$D$8</f>
      </c>
    </row>
    <row r="13">
      <c r="B13" s="40">
        <f>$B$11+(0.01)</f>
      </c>
      <c r="C13" s="9">
        <f>(SUMPRODUCT(DCF!$F$32:$J$32,1/(1+$B13)^DCF!$F$6:$J$6)+(DCF!$J$32*(1+C$7))/($B13-C$7)/(1+$B13)^DCF!$J$6-Assumptions!$D$20)/Assumptions!$D$8</f>
      </c>
      <c r="D13" s="9">
        <f>(SUMPRODUCT(DCF!$F$32:$J$32,1/(1+$B13)^DCF!$F$6:$J$6)+(DCF!$J$32*(1+D$7))/($B13-D$7)/(1+$B13)^DCF!$J$6-Assumptions!$D$20)/Assumptions!$D$8</f>
      </c>
      <c r="E13" s="9">
        <f>(SUMPRODUCT(DCF!$F$32:$J$32,1/(1+$B13)^DCF!$F$6:$J$6)+(DCF!$J$32*(1+E$7))/($B13-E$7)/(1+$B13)^DCF!$J$6-Assumptions!$D$20)/Assumptions!$D$8</f>
      </c>
      <c r="F13" s="9">
        <f>(SUMPRODUCT(DCF!$F$32:$J$32,1/(1+$B13)^DCF!$F$6:$J$6)+(DCF!$J$32*(1+F$7))/($B13-F$7)/(1+$B13)^DCF!$J$6-Assumptions!$D$20)/Assumptions!$D$8</f>
      </c>
      <c r="G13" s="9">
        <f>(SUMPRODUCT(DCF!$F$32:$J$32,1/(1+$B13)^DCF!$F$6:$J$6)+(DCF!$J$32*(1+G$7))/($B13-G$7)/(1+$B13)^DCF!$J$6-Assumptions!$D$20)/Assumptions!$D$8</f>
      </c>
    </row>
    <row r="14">
      <c r="B14" s="40">
        <f>$B$11+(0.015)</f>
      </c>
      <c r="C14" s="9">
        <f>(SUMPRODUCT(DCF!$F$32:$J$32,1/(1+$B14)^DCF!$F$6:$J$6)+(DCF!$J$32*(1+C$7))/($B14-C$7)/(1+$B14)^DCF!$J$6-Assumptions!$D$20)/Assumptions!$D$8</f>
      </c>
      <c r="D14" s="9">
        <f>(SUMPRODUCT(DCF!$F$32:$J$32,1/(1+$B14)^DCF!$F$6:$J$6)+(DCF!$J$32*(1+D$7))/($B14-D$7)/(1+$B14)^DCF!$J$6-Assumptions!$D$20)/Assumptions!$D$8</f>
      </c>
      <c r="E14" s="9">
        <f>(SUMPRODUCT(DCF!$F$32:$J$32,1/(1+$B14)^DCF!$F$6:$J$6)+(DCF!$J$32*(1+E$7))/($B14-E$7)/(1+$B14)^DCF!$J$6-Assumptions!$D$20)/Assumptions!$D$8</f>
      </c>
      <c r="F14" s="9">
        <f>(SUMPRODUCT(DCF!$F$32:$J$32,1/(1+$B14)^DCF!$F$6:$J$6)+(DCF!$J$32*(1+F$7))/($B14-F$7)/(1+$B14)^DCF!$J$6-Assumptions!$D$20)/Assumptions!$D$8</f>
      </c>
      <c r="G14" s="9">
        <f>(SUMPRODUCT(DCF!$F$32:$J$32,1/(1+$B14)^DCF!$F$6:$J$6)+(DCF!$J$32*(1+G$7))/($B14-G$7)/(1+$B14)^DCF!$J$6-Assumptions!$D$20)/Assumptions!$D$8</f>
      </c>
    </row>
    <row r="15"/>
    <row r="16">
      <c r="B16" s="7" t="inlineStr">
        <is>
          <t>Check: Center Cell − DCF Gordon Implied Price (must = 0.00)</t>
        </is>
      </c>
      <c r="C16" s="8">
        <f>ROUND(E11-DCF!$D$60,2)</f>
      </c>
    </row>
    <row r="17"/>
    <row r="18">
      <c r="B18" s="5" t="inlineStr">
        <is>
          <t>Grid B - Implied Share Price: WACC (rows) × Exit EV/EBITDA Multiple (cols) - Exit Multiple Method</t>
        </is>
      </c>
      <c r="C18" s="5" t="n"/>
      <c r="D18" s="5" t="n"/>
      <c r="E18" s="5" t="n"/>
      <c r="F18" s="5" t="n"/>
      <c r="G18" s="5" t="n"/>
    </row>
    <row r="19">
      <c r="B19" s="3" t="inlineStr">
        <is>
          <t>Corner cell = base-case implied price (Exit Multiple), green-linked to DCF!F60</t>
        </is>
      </c>
    </row>
    <row r="20">
      <c r="B20" s="10">
        <f>DCF!$F$60</f>
      </c>
      <c r="C20" s="42">
        <f>$E$20+(-2.0)</f>
      </c>
      <c r="D20" s="42">
        <f>$E$20+(-1.0)</f>
      </c>
      <c r="E20" s="43">
        <f>Assumptions!$F$33</f>
      </c>
      <c r="F20" s="42">
        <f>$E$20+(1.0)</f>
      </c>
      <c r="G20" s="42">
        <f>$E$20+(2.0)</f>
      </c>
    </row>
    <row r="21">
      <c r="B21" s="40">
        <f>$B$24+(-0.015)</f>
      </c>
      <c r="C21" s="9">
        <f>(SUMPRODUCT(DCF!$F$32:$J$32,1/(1+$B21)^DCF!$F$6:$J$6)+DCF!$J$14*C$20/(1+$B21)^DCF!$J$6-Assumptions!$D$20)/Assumptions!$D$8</f>
      </c>
      <c r="D21" s="9">
        <f>(SUMPRODUCT(DCF!$F$32:$J$32,1/(1+$B21)^DCF!$F$6:$J$6)+DCF!$J$14*D$20/(1+$B21)^DCF!$J$6-Assumptions!$D$20)/Assumptions!$D$8</f>
      </c>
      <c r="E21" s="9">
        <f>(SUMPRODUCT(DCF!$F$32:$J$32,1/(1+$B21)^DCF!$F$6:$J$6)+DCF!$J$14*E$20/(1+$B21)^DCF!$J$6-Assumptions!$D$20)/Assumptions!$D$8</f>
      </c>
      <c r="F21" s="9">
        <f>(SUMPRODUCT(DCF!$F$32:$J$32,1/(1+$B21)^DCF!$F$6:$J$6)+DCF!$J$14*F$20/(1+$B21)^DCF!$J$6-Assumptions!$D$20)/Assumptions!$D$8</f>
      </c>
      <c r="G21" s="9">
        <f>(SUMPRODUCT(DCF!$F$32:$J$32,1/(1+$B21)^DCF!$F$6:$J$6)+DCF!$J$14*G$20/(1+$B21)^DCF!$J$6-Assumptions!$D$20)/Assumptions!$D$8</f>
      </c>
    </row>
    <row r="22">
      <c r="B22" s="40">
        <f>$B$24+(-0.01)</f>
      </c>
      <c r="C22" s="9">
        <f>(SUMPRODUCT(DCF!$F$32:$J$32,1/(1+$B22)^DCF!$F$6:$J$6)+DCF!$J$14*C$20/(1+$B22)^DCF!$J$6-Assumptions!$D$20)/Assumptions!$D$8</f>
      </c>
      <c r="D22" s="9">
        <f>(SUMPRODUCT(DCF!$F$32:$J$32,1/(1+$B22)^DCF!$F$6:$J$6)+DCF!$J$14*D$20/(1+$B22)^DCF!$J$6-Assumptions!$D$20)/Assumptions!$D$8</f>
      </c>
      <c r="E22" s="9">
        <f>(SUMPRODUCT(DCF!$F$32:$J$32,1/(1+$B22)^DCF!$F$6:$J$6)+DCF!$J$14*E$20/(1+$B22)^DCF!$J$6-Assumptions!$D$20)/Assumptions!$D$8</f>
      </c>
      <c r="F22" s="9">
        <f>(SUMPRODUCT(DCF!$F$32:$J$32,1/(1+$B22)^DCF!$F$6:$J$6)+DCF!$J$14*F$20/(1+$B22)^DCF!$J$6-Assumptions!$D$20)/Assumptions!$D$8</f>
      </c>
      <c r="G22" s="9">
        <f>(SUMPRODUCT(DCF!$F$32:$J$32,1/(1+$B22)^DCF!$F$6:$J$6)+DCF!$J$14*G$20/(1+$B22)^DCF!$J$6-Assumptions!$D$20)/Assumptions!$D$8</f>
      </c>
    </row>
    <row r="23">
      <c r="B23" s="40">
        <f>$B$24+(-0.005)</f>
      </c>
      <c r="C23" s="9">
        <f>(SUMPRODUCT(DCF!$F$32:$J$32,1/(1+$B23)^DCF!$F$6:$J$6)+DCF!$J$14*C$20/(1+$B23)^DCF!$J$6-Assumptions!$D$20)/Assumptions!$D$8</f>
      </c>
      <c r="D23" s="9">
        <f>(SUMPRODUCT(DCF!$F$32:$J$32,1/(1+$B23)^DCF!$F$6:$J$6)+DCF!$J$14*D$20/(1+$B23)^DCF!$J$6-Assumptions!$D$20)/Assumptions!$D$8</f>
      </c>
      <c r="E23" s="9">
        <f>(SUMPRODUCT(DCF!$F$32:$J$32,1/(1+$B23)^DCF!$F$6:$J$6)+DCF!$J$14*E$20/(1+$B23)^DCF!$J$6-Assumptions!$D$20)/Assumptions!$D$8</f>
      </c>
      <c r="F23" s="9">
        <f>(SUMPRODUCT(DCF!$F$32:$J$32,1/(1+$B23)^DCF!$F$6:$J$6)+DCF!$J$14*F$20/(1+$B23)^DCF!$J$6-Assumptions!$D$20)/Assumptions!$D$8</f>
      </c>
      <c r="G23" s="9">
        <f>(SUMPRODUCT(DCF!$F$32:$J$32,1/(1+$B23)^DCF!$F$6:$J$6)+DCF!$J$14*G$20/(1+$B23)^DCF!$J$6-Assumptions!$D$20)/Assumptions!$D$8</f>
      </c>
    </row>
    <row r="24">
      <c r="B24" s="41">
        <f>WACC!$D$25</f>
      </c>
      <c r="C24" s="9">
        <f>(SUMPRODUCT(DCF!$F$32:$J$32,1/(1+$B24)^DCF!$F$6:$J$6)+DCF!$J$14*C$20/(1+$B24)^DCF!$J$6-Assumptions!$D$20)/Assumptions!$D$8</f>
      </c>
      <c r="D24" s="9">
        <f>(SUMPRODUCT(DCF!$F$32:$J$32,1/(1+$B24)^DCF!$F$6:$J$6)+DCF!$J$14*D$20/(1+$B24)^DCF!$J$6-Assumptions!$D$20)/Assumptions!$D$8</f>
      </c>
      <c r="E24" s="10">
        <f>(SUMPRODUCT(DCF!$F$32:$J$32,1/(1+$B24)^DCF!$F$6:$J$6)+DCF!$J$14*E$20/(1+$B24)^DCF!$J$6-Assumptions!$D$20)/Assumptions!$D$8</f>
      </c>
      <c r="F24" s="9">
        <f>(SUMPRODUCT(DCF!$F$32:$J$32,1/(1+$B24)^DCF!$F$6:$J$6)+DCF!$J$14*F$20/(1+$B24)^DCF!$J$6-Assumptions!$D$20)/Assumptions!$D$8</f>
      </c>
      <c r="G24" s="9">
        <f>(SUMPRODUCT(DCF!$F$32:$J$32,1/(1+$B24)^DCF!$F$6:$J$6)+DCF!$J$14*G$20/(1+$B24)^DCF!$J$6-Assumptions!$D$20)/Assumptions!$D$8</f>
      </c>
    </row>
    <row r="25">
      <c r="B25" s="40">
        <f>$B$24+(0.005)</f>
      </c>
      <c r="C25" s="9">
        <f>(SUMPRODUCT(DCF!$F$32:$J$32,1/(1+$B25)^DCF!$F$6:$J$6)+DCF!$J$14*C$20/(1+$B25)^DCF!$J$6-Assumptions!$D$20)/Assumptions!$D$8</f>
      </c>
      <c r="D25" s="9">
        <f>(SUMPRODUCT(DCF!$F$32:$J$32,1/(1+$B25)^DCF!$F$6:$J$6)+DCF!$J$14*D$20/(1+$B25)^DCF!$J$6-Assumptions!$D$20)/Assumptions!$D$8</f>
      </c>
      <c r="E25" s="9">
        <f>(SUMPRODUCT(DCF!$F$32:$J$32,1/(1+$B25)^DCF!$F$6:$J$6)+DCF!$J$14*E$20/(1+$B25)^DCF!$J$6-Assumptions!$D$20)/Assumptions!$D$8</f>
      </c>
      <c r="F25" s="9">
        <f>(SUMPRODUCT(DCF!$F$32:$J$32,1/(1+$B25)^DCF!$F$6:$J$6)+DCF!$J$14*F$20/(1+$B25)^DCF!$J$6-Assumptions!$D$20)/Assumptions!$D$8</f>
      </c>
      <c r="G25" s="9">
        <f>(SUMPRODUCT(DCF!$F$32:$J$32,1/(1+$B25)^DCF!$F$6:$J$6)+DCF!$J$14*G$20/(1+$B25)^DCF!$J$6-Assumptions!$D$20)/Assumptions!$D$8</f>
      </c>
    </row>
    <row r="26">
      <c r="B26" s="40">
        <f>$B$24+(0.01)</f>
      </c>
      <c r="C26" s="9">
        <f>(SUMPRODUCT(DCF!$F$32:$J$32,1/(1+$B26)^DCF!$F$6:$J$6)+DCF!$J$14*C$20/(1+$B26)^DCF!$J$6-Assumptions!$D$20)/Assumptions!$D$8</f>
      </c>
      <c r="D26" s="9">
        <f>(SUMPRODUCT(DCF!$F$32:$J$32,1/(1+$B26)^DCF!$F$6:$J$6)+DCF!$J$14*D$20/(1+$B26)^DCF!$J$6-Assumptions!$D$20)/Assumptions!$D$8</f>
      </c>
      <c r="E26" s="9">
        <f>(SUMPRODUCT(DCF!$F$32:$J$32,1/(1+$B26)^DCF!$F$6:$J$6)+DCF!$J$14*E$20/(1+$B26)^DCF!$J$6-Assumptions!$D$20)/Assumptions!$D$8</f>
      </c>
      <c r="F26" s="9">
        <f>(SUMPRODUCT(DCF!$F$32:$J$32,1/(1+$B26)^DCF!$F$6:$J$6)+DCF!$J$14*F$20/(1+$B26)^DCF!$J$6-Assumptions!$D$20)/Assumptions!$D$8</f>
      </c>
      <c r="G26" s="9">
        <f>(SUMPRODUCT(DCF!$F$32:$J$32,1/(1+$B26)^DCF!$F$6:$J$6)+DCF!$J$14*G$20/(1+$B26)^DCF!$J$6-Assumptions!$D$20)/Assumptions!$D$8</f>
      </c>
    </row>
    <row r="27">
      <c r="B27" s="40">
        <f>$B$24+(0.015)</f>
      </c>
      <c r="C27" s="9">
        <f>(SUMPRODUCT(DCF!$F$32:$J$32,1/(1+$B27)^DCF!$F$6:$J$6)+DCF!$J$14*C$20/(1+$B27)^DCF!$J$6-Assumptions!$D$20)/Assumptions!$D$8</f>
      </c>
      <c r="D27" s="9">
        <f>(SUMPRODUCT(DCF!$F$32:$J$32,1/(1+$B27)^DCF!$F$6:$J$6)+DCF!$J$14*D$20/(1+$B27)^DCF!$J$6-Assumptions!$D$20)/Assumptions!$D$8</f>
      </c>
      <c r="E27" s="9">
        <f>(SUMPRODUCT(DCF!$F$32:$J$32,1/(1+$B27)^DCF!$F$6:$J$6)+DCF!$J$14*E$20/(1+$B27)^DCF!$J$6-Assumptions!$D$20)/Assumptions!$D$8</f>
      </c>
      <c r="F27" s="9">
        <f>(SUMPRODUCT(DCF!$F$32:$J$32,1/(1+$B27)^DCF!$F$6:$J$6)+DCF!$J$14*F$20/(1+$B27)^DCF!$J$6-Assumptions!$D$20)/Assumptions!$D$8</f>
      </c>
      <c r="G27" s="9">
        <f>(SUMPRODUCT(DCF!$F$32:$J$32,1/(1+$B27)^DCF!$F$6:$J$6)+DCF!$J$14*G$20/(1+$B27)^DCF!$J$6-Assumptions!$D$20)/Assumptions!$D$8</f>
      </c>
    </row>
    <row r="28"/>
    <row r="29">
      <c r="B29" s="7" t="inlineStr">
        <is>
          <t>Check: Center Cell − DCF Exit Multiple Implied Price (must = 0.00)</t>
        </is>
      </c>
      <c r="C29" s="8">
        <f>ROUND(E24-DCF!$F$60,2)</f>
      </c>
    </row>
  </sheetData>
  <conditionalFormatting sqref="C16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C29">
    <cfRule type="cellIs" priority="3" operator="equal" dxfId="0">
      <formula>0</formula>
    </cfRule>
    <cfRule type="cellIs" priority="4" operator="not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2026-08-23T05:50:08Z</dcterms:created>
  <dcterms:modified xmlns:dcterms="http://purl.org/dc/terms/" xmlns:xsi="http://www.w3.org/2001/XMLSchema-instance" xsi:type="dcterms:W3CDTF">2026-08-27T05:39:42Z</dcterms:modified>
</cp:coreProperties>
</file>