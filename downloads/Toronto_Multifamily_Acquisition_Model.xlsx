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Operating Proforma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Returns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Market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0&quot;x&quot;"/>
    <numFmt numFmtId="167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1E4D2B"/>
      <sz val="16"/>
    </font>
    <font>
      <i val="1"/>
      <color rgb="00595959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color rgb="001F4E78"/>
      <sz val="10"/>
    </font>
    <font>
      <name val="Calibri"/>
      <b val="1"/>
      <color rgb="00000000"/>
      <sz val="10"/>
    </font>
    <font>
      <i val="1"/>
      <color rgb="007F7F7F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4D2B"/>
      </patternFill>
    </fill>
    <fill>
      <patternFill patternType="solid">
        <fgColor rgb="003E6B4C"/>
      </patternFill>
    </fill>
    <fill>
      <patternFill patternType="solid">
        <fgColor rgb="00E8F0E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2" fontId="4" fillId="0" borderId="0" pivotButton="0" quotePrefix="0" xfId="0"/>
    <xf numFmtId="1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165" fontId="4" fillId="0" borderId="0" pivotButton="0" quotePrefix="0" xfId="0"/>
    <xf numFmtId="10" fontId="4" fillId="0" borderId="0" pivotButton="0" quotePrefix="0" xfId="0"/>
    <xf numFmtId="166" fontId="4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4" fontId="4" fillId="0" borderId="1" pivotButton="0" quotePrefix="0" xfId="0"/>
    <xf numFmtId="0" fontId="6" fillId="0" borderId="1" pivotButton="0" quotePrefix="0" xfId="0"/>
    <xf numFmtId="3" fontId="6" fillId="0" borderId="1" pivotButton="0" quotePrefix="0" xfId="0"/>
    <xf numFmtId="164" fontId="6" fillId="0" borderId="1" pivotButton="0" quotePrefix="0" xfId="0"/>
    <xf numFmtId="0" fontId="6" fillId="4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applyAlignment="1" pivotButton="0" quotePrefix="0" xfId="0">
      <alignment horizontal="left" vertical="center" indent="1"/>
    </xf>
    <xf numFmtId="10" fontId="5" fillId="0" borderId="1" pivotButton="0" quotePrefix="0" xfId="0"/>
    <xf numFmtId="165" fontId="5" fillId="0" borderId="1" pivotButton="0" quotePrefix="0" xfId="0"/>
    <xf numFmtId="167" fontId="5" fillId="0" borderId="1" pivotButton="0" quotePrefix="0" xfId="0"/>
    <xf numFmtId="165" fontId="4" fillId="0" borderId="1" pivotButton="0" quotePrefix="0" xfId="0"/>
    <xf numFmtId="0" fontId="5" fillId="4" borderId="1" pivotButton="0" quotePrefix="0" xfId="0"/>
    <xf numFmtId="10" fontId="4" fillId="0" borderId="1" pivotButton="0" quotePrefix="0" xfId="0"/>
    <xf numFmtId="167" fontId="4" fillId="0" borderId="1" pivotButton="0" quotePrefix="0" xfId="0"/>
    <xf numFmtId="166" fontId="4" fillId="0" borderId="1" pivotButton="0" quotePrefix="0" xfId="0"/>
    <xf numFmtId="0" fontId="8" fillId="3" borderId="1" applyAlignment="1" pivotButton="0" quotePrefix="0" xfId="0">
      <alignment horizontal="left" vertical="center" indent="1"/>
    </xf>
    <xf numFmtId="165" fontId="6" fillId="0" borderId="1" pivotButton="0" quotePrefix="0" xfId="0"/>
    <xf numFmtId="10" fontId="6" fillId="0" borderId="1" pivotButton="0" quotePrefix="0" xfId="0"/>
    <xf numFmtId="0" fontId="6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D2B"/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/>
    <row r="2">
      <c r="B2" s="1" t="inlineStr">
        <is>
          <t>2480 Dundas Street West, Toronto (High Park North)</t>
        </is>
      </c>
    </row>
    <row r="3">
      <c r="B3" s="2" t="inlineStr">
        <is>
          <t>14-Unit Hard-Loft Multifamily Acquisition Model</t>
        </is>
      </c>
    </row>
    <row r="4"/>
    <row r="5" ht="20" customHeight="1">
      <c r="B5" s="3" t="inlineStr">
        <is>
          <t>DEAL SNAPSHOT</t>
        </is>
      </c>
    </row>
    <row r="6">
      <c r="B6" s="4" t="inlineStr">
        <is>
          <t>Property Address</t>
        </is>
      </c>
      <c r="C6" s="5" t="inlineStr">
        <is>
          <t>2480 Dundas Street West, Toronto, ON</t>
        </is>
      </c>
    </row>
    <row r="7">
      <c r="B7" s="4" t="inlineStr">
        <is>
          <t>Submarket</t>
        </is>
      </c>
      <c r="C7" s="5" t="inlineStr">
        <is>
          <t>High Park North</t>
        </is>
      </c>
    </row>
    <row r="8">
      <c r="B8" s="4" t="inlineStr">
        <is>
          <t>Building Type</t>
        </is>
      </c>
      <c r="C8" s="5" t="inlineStr">
        <is>
          <t>Hard-loft / live-work studio &amp; 1BR conversion</t>
        </is>
      </c>
    </row>
    <row r="9">
      <c r="B9" s="4" t="inlineStr">
        <is>
          <t>Number of Units</t>
        </is>
      </c>
      <c r="C9" s="5" t="n">
        <v>14</v>
      </c>
    </row>
    <row r="10">
      <c r="B10" s="4" t="inlineStr">
        <is>
          <t>Purchase Price</t>
        </is>
      </c>
      <c r="C10" s="6" t="n">
        <v>5985000</v>
      </c>
    </row>
    <row r="11">
      <c r="B11" s="4" t="inlineStr">
        <is>
          <t>Price per Door</t>
        </is>
      </c>
      <c r="C11" s="7">
        <f>C10/C9</f>
        <v/>
      </c>
    </row>
    <row r="12">
      <c r="B12" s="4" t="inlineStr">
        <is>
          <t>Gross Annual Income (Advertised)</t>
        </is>
      </c>
      <c r="C12" s="6" t="n">
        <v>447113</v>
      </c>
    </row>
    <row r="13">
      <c r="B13" s="4" t="inlineStr">
        <is>
          <t>Gross Rent Multiplier (GRM)</t>
        </is>
      </c>
      <c r="C13" s="8">
        <f>C10/C12</f>
        <v/>
      </c>
    </row>
    <row r="14"/>
    <row r="15" ht="20" customHeight="1">
      <c r="B15" s="3" t="inlineStr">
        <is>
          <t>SOURCES &amp; USES</t>
        </is>
      </c>
    </row>
    <row r="16">
      <c r="B16" s="4" t="inlineStr">
        <is>
          <t>Closing Cost % (legal, DD, adjustments)</t>
        </is>
      </c>
      <c r="C16" s="9" t="n">
        <v>0.01</v>
      </c>
    </row>
    <row r="17"/>
    <row r="18">
      <c r="B18" s="10" t="inlineStr">
        <is>
          <t>USES</t>
        </is>
      </c>
    </row>
    <row r="19">
      <c r="B19" s="4" t="inlineStr">
        <is>
          <t>Purchase Price</t>
        </is>
      </c>
      <c r="C19" s="7">
        <f>C10</f>
        <v/>
      </c>
    </row>
    <row r="20">
      <c r="B20" s="4" t="inlineStr">
        <is>
          <t>Ontario Land Transfer Tax (banded)</t>
        </is>
      </c>
      <c r="C20" s="7">
        <f>MAX(0,MIN(C10,55000))*0.005+MAX(0,MIN(C10,250000)-55000)*0.01+MAX(0,MIN(C10,400000)-250000)*0.015+MAX(0,C10-400000)*0.02</f>
        <v/>
      </c>
    </row>
    <row r="21">
      <c r="B21" s="4" t="inlineStr">
        <is>
          <t>Toronto Municipal Land Transfer Tax (banded)</t>
        </is>
      </c>
      <c r="C21" s="7">
        <f>MAX(0,MIN(C10,55000))*0.005+MAX(0,MIN(C10,250000)-55000)*0.01+MAX(0,MIN(C10,400000)-250000)*0.015+MAX(0,C10-400000)*0.02</f>
        <v/>
      </c>
    </row>
    <row r="22">
      <c r="B22" s="4" t="inlineStr">
        <is>
          <t>Closing Costs (legal/DD)</t>
        </is>
      </c>
      <c r="C22" s="7">
        <f>C19*C16</f>
        <v/>
      </c>
    </row>
    <row r="23">
      <c r="B23" s="10" t="inlineStr">
        <is>
          <t>Total Uses</t>
        </is>
      </c>
      <c r="C23" s="11">
        <f>SUM(C19:C22)</f>
        <v/>
      </c>
    </row>
    <row r="24"/>
    <row r="25">
      <c r="B25" s="10" t="inlineStr">
        <is>
          <t>SOURCES</t>
        </is>
      </c>
    </row>
    <row r="26">
      <c r="B26" s="4" t="inlineStr">
        <is>
          <t>Senior Loan</t>
        </is>
      </c>
      <c r="C26" s="7">
        <f>Debt!D8</f>
        <v/>
      </c>
    </row>
    <row r="27">
      <c r="B27" s="4" t="inlineStr">
        <is>
          <t>Equity Required</t>
        </is>
      </c>
      <c r="C27" s="11">
        <f>C23-C26</f>
        <v/>
      </c>
    </row>
    <row r="28">
      <c r="B28" s="4" t="inlineStr">
        <is>
          <t>Loan-to-Cost</t>
        </is>
      </c>
      <c r="C28" s="12">
        <f>C26/C23</f>
        <v/>
      </c>
    </row>
    <row r="29"/>
    <row r="30" ht="20" customHeight="1">
      <c r="B30" s="3" t="inlineStr">
        <is>
          <t>FINANCING SUMMARY</t>
        </is>
      </c>
    </row>
    <row r="31">
      <c r="B31" s="4" t="inlineStr">
        <is>
          <t>Financing Type</t>
        </is>
      </c>
      <c r="C31" s="4">
        <f>Debt!D5</f>
        <v/>
      </c>
    </row>
    <row r="32">
      <c r="B32" s="4" t="inlineStr">
        <is>
          <t>Interest Rate</t>
        </is>
      </c>
      <c r="C32" s="13">
        <f>Debt!D6</f>
        <v/>
      </c>
    </row>
    <row r="33">
      <c r="B33" s="4" t="inlineStr">
        <is>
          <t>Max LTV</t>
        </is>
      </c>
      <c r="C33" s="12">
        <f>Debt!D7</f>
        <v/>
      </c>
    </row>
    <row r="34">
      <c r="B34" s="4" t="inlineStr">
        <is>
          <t>Loan Amount</t>
        </is>
      </c>
      <c r="C34" s="7">
        <f>Debt!D8</f>
        <v/>
      </c>
    </row>
    <row r="35">
      <c r="B35" s="4" t="inlineStr">
        <is>
          <t>Amortization (yrs)</t>
        </is>
      </c>
      <c r="C35" s="4">
        <f>Debt!D9</f>
        <v/>
      </c>
    </row>
    <row r="36">
      <c r="B36" s="4" t="inlineStr">
        <is>
          <t>Term (yrs, balloon at exit)</t>
        </is>
      </c>
      <c r="C36" s="4">
        <f>Debt!D10</f>
        <v/>
      </c>
    </row>
    <row r="37">
      <c r="B37" s="4" t="inlineStr">
        <is>
          <t>Annual Debt Service (Yr 1)</t>
        </is>
      </c>
      <c r="C37" s="7">
        <f>Debt!D12</f>
        <v/>
      </c>
    </row>
    <row r="38"/>
    <row r="39" ht="20" customHeight="1">
      <c r="B39" s="3" t="inlineStr">
        <is>
          <t>YEAR-1 &amp; STABILIZED METRICS</t>
        </is>
      </c>
    </row>
    <row r="40">
      <c r="B40" s="4" t="inlineStr">
        <is>
          <t>Year-1 Underwritten NOI</t>
        </is>
      </c>
      <c r="C40" s="7">
        <f>'Operating Proforma'!C39</f>
        <v/>
      </c>
    </row>
    <row r="41">
      <c r="B41" s="4" t="inlineStr">
        <is>
          <t>Year-1 Cap Rate (Underwritten)</t>
        </is>
      </c>
      <c r="C41" s="13">
        <f>C40/C10</f>
        <v/>
      </c>
    </row>
    <row r="42">
      <c r="B42" s="4" t="inlineStr">
        <is>
          <t>Year-1 DSCR</t>
        </is>
      </c>
      <c r="C42" s="14">
        <f>C40/C37</f>
        <v/>
      </c>
    </row>
    <row r="43">
      <c r="B43" s="4" t="inlineStr">
        <is>
          <t>Year-1 Cash-on-Cash Return</t>
        </is>
      </c>
      <c r="C43" s="13">
        <f>Returns!C29</f>
        <v/>
      </c>
    </row>
    <row r="44">
      <c r="B44" s="4" t="inlineStr">
        <is>
          <t>Stabilized (Yr 5) NOI</t>
        </is>
      </c>
      <c r="C44" s="7">
        <f>'Operating Proforma'!G39</f>
        <v/>
      </c>
    </row>
    <row r="45">
      <c r="B45" s="4" t="inlineStr">
        <is>
          <t>Stabilized (Yr 5) Cap Rate on Basis</t>
        </is>
      </c>
      <c r="C45" s="13">
        <f>C44/C10</f>
        <v/>
      </c>
    </row>
    <row r="46"/>
    <row r="47" ht="20" customHeight="1">
      <c r="B47" s="3" t="inlineStr">
        <is>
          <t>5-YEAR RETURNS</t>
        </is>
      </c>
    </row>
    <row r="48">
      <c r="B48" s="4" t="inlineStr">
        <is>
          <t>5-Yr Levered IRR</t>
        </is>
      </c>
      <c r="C48" s="13">
        <f>Returns!D34</f>
        <v/>
      </c>
    </row>
    <row r="49">
      <c r="B49" s="4" t="inlineStr">
        <is>
          <t>5-Yr Unlevered IRR</t>
        </is>
      </c>
      <c r="C49" s="13">
        <f>Returns!D35</f>
        <v/>
      </c>
    </row>
    <row r="50">
      <c r="B50" s="4" t="inlineStr">
        <is>
          <t>Levered Equity Multiple</t>
        </is>
      </c>
      <c r="C50" s="14">
        <f>Returns!D36</f>
        <v/>
      </c>
    </row>
    <row r="51">
      <c r="B51" s="4" t="inlineStr">
        <is>
          <t>Unlevered Equity Multiple</t>
        </is>
      </c>
      <c r="C51" s="14">
        <f>Returns!D37</f>
        <v/>
      </c>
    </row>
    <row r="52"/>
    <row r="53" ht="20" customHeight="1">
      <c r="B53" s="3" t="inlineStr">
        <is>
          <t>BROKER PRO-FORMA vs. UNDERWRITTEN</t>
        </is>
      </c>
    </row>
    <row r="54">
      <c r="B54" s="10" t="inlineStr"/>
      <c r="C54" s="10" t="inlineStr">
        <is>
          <t>Advertised</t>
        </is>
      </c>
      <c r="D54" s="10" t="inlineStr">
        <is>
          <t>Underwritten</t>
        </is>
      </c>
      <c r="E54" s="10" t="inlineStr">
        <is>
          <t>Variance</t>
        </is>
      </c>
    </row>
    <row r="55">
      <c r="B55" s="4" t="inlineStr">
        <is>
          <t>Gross Annual Income</t>
        </is>
      </c>
      <c r="C55" s="7">
        <f>C12</f>
        <v/>
      </c>
      <c r="D55" s="7">
        <f>'Operating Proforma'!C23</f>
        <v/>
      </c>
      <c r="E55" s="7">
        <f>D55-C55</f>
        <v/>
      </c>
    </row>
    <row r="56">
      <c r="B56" s="4" t="inlineStr">
        <is>
          <t>Operating Expenses</t>
        </is>
      </c>
      <c r="C56" s="6" t="n">
        <v>78993</v>
      </c>
      <c r="D56" s="7">
        <f>'Operating Proforma'!C36</f>
        <v/>
      </c>
      <c r="E56" s="7">
        <f>D56-C56</f>
        <v/>
      </c>
    </row>
    <row r="57">
      <c r="B57" s="4" t="inlineStr">
        <is>
          <t>Opex Ratio</t>
        </is>
      </c>
      <c r="C57" s="12">
        <f>C56/C55</f>
        <v/>
      </c>
      <c r="D57" s="12">
        <f>D56/D55</f>
        <v/>
      </c>
      <c r="E57" s="12">
        <f>D57-C57</f>
        <v/>
      </c>
    </row>
    <row r="58">
      <c r="B58" s="4" t="inlineStr">
        <is>
          <t>Net Operating Income</t>
        </is>
      </c>
      <c r="C58" s="6" t="n">
        <v>368120</v>
      </c>
      <c r="D58" s="7">
        <f>C40</f>
        <v/>
      </c>
      <c r="E58" s="7">
        <f>D58-C58</f>
        <v/>
      </c>
    </row>
    <row r="59">
      <c r="B59" s="4" t="inlineStr">
        <is>
          <t>Implied Cap Rate</t>
        </is>
      </c>
      <c r="C59" s="13">
        <f>C58/C10</f>
        <v/>
      </c>
      <c r="D59" s="13">
        <f>D58/C10</f>
        <v/>
      </c>
      <c r="E59" s="13">
        <f>D59-C59</f>
        <v/>
      </c>
    </row>
    <row r="60">
      <c r="B60" s="15" t="inlineStr">
        <is>
          <t>Note: Toronto small multifamily opex ratios typically run 32-45% of EGI; the advertised 17.6% ratio materially understates recurring operating costs. This model underwrites to a normalized 35% opex ratio.</t>
        </is>
      </c>
    </row>
    <row r="61"/>
    <row r="62" ht="20" customHeight="1">
      <c r="B62" s="3" t="inlineStr">
        <is>
          <t>LEGEND</t>
        </is>
      </c>
    </row>
    <row r="63">
      <c r="B63" s="5" t="inlineStr">
        <is>
          <t>Blue text = input / assumption</t>
        </is>
      </c>
    </row>
    <row r="64">
      <c r="B64" s="10" t="inlineStr">
        <is>
          <t>Black text = calculated (formula-driven)</t>
        </is>
      </c>
    </row>
  </sheetData>
  <mergeCells count="10">
    <mergeCell ref="B47:G47"/>
    <mergeCell ref="B3:G3"/>
    <mergeCell ref="B2:G2"/>
    <mergeCell ref="B5:G5"/>
    <mergeCell ref="B60:G60"/>
    <mergeCell ref="B30:G30"/>
    <mergeCell ref="B15:G15"/>
    <mergeCell ref="B53:G53"/>
    <mergeCell ref="B62:G62"/>
    <mergeCell ref="B39:G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4D2B"/>
    <outlinePr summaryBelow="1" summaryRight="1"/>
    <pageSetUpPr/>
  </sheetPr>
  <dimension ref="A1:I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16" customWidth="1" min="3" max="3"/>
    <col width="10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/>
    <row r="2" ht="20" customHeight="1">
      <c r="B2" s="3" t="inlineStr">
        <is>
          <t>RENT ROLL - 2480 DUNDAS STREET WEST (14 UNITS)</t>
        </is>
      </c>
    </row>
    <row r="3"/>
    <row r="4" ht="30" customHeight="1">
      <c r="B4" s="16" t="inlineStr">
        <is>
          <t>Unit</t>
        </is>
      </c>
      <c r="C4" s="16" t="inlineStr">
        <is>
          <t>Unit Type</t>
        </is>
      </c>
      <c r="D4" s="16" t="inlineStr">
        <is>
          <t>Approx SF</t>
        </is>
      </c>
      <c r="E4" s="16" t="inlineStr">
        <is>
          <t>In-Place Rent
($/mo)</t>
        </is>
      </c>
      <c r="F4" s="16" t="inlineStr">
        <is>
          <t>Market Rent
($/mo)</t>
        </is>
      </c>
      <c r="G4" s="16" t="inlineStr">
        <is>
          <t>Loss-to-Lease
($/mo)</t>
        </is>
      </c>
      <c r="H4" s="16" t="inlineStr">
        <is>
          <t>Annualized
In-Place</t>
        </is>
      </c>
      <c r="I4" s="16" t="inlineStr">
        <is>
          <t>Annualized
Market</t>
        </is>
      </c>
    </row>
    <row r="5">
      <c r="B5" s="17" t="inlineStr">
        <is>
          <t>101</t>
        </is>
      </c>
      <c r="C5" s="18" t="inlineStr">
        <is>
          <t>Loft 1BR / Live-Work</t>
        </is>
      </c>
      <c r="D5" s="19" t="n">
        <v>600</v>
      </c>
      <c r="E5" s="20" t="n">
        <v>2400</v>
      </c>
      <c r="F5" s="21">
        <f>E5*1.03</f>
        <v/>
      </c>
      <c r="G5" s="21">
        <f>F5-E5</f>
        <v/>
      </c>
      <c r="H5" s="21">
        <f>E5*12</f>
        <v/>
      </c>
      <c r="I5" s="21">
        <f>F5*12</f>
        <v/>
      </c>
    </row>
    <row r="6">
      <c r="B6" s="17" t="inlineStr">
        <is>
          <t>102</t>
        </is>
      </c>
      <c r="C6" s="18" t="inlineStr">
        <is>
          <t>Loft 1BR / Live-Work</t>
        </is>
      </c>
      <c r="D6" s="19" t="n">
        <v>610</v>
      </c>
      <c r="E6" s="20" t="n">
        <v>2450</v>
      </c>
      <c r="F6" s="21">
        <f>E6*1.03</f>
        <v/>
      </c>
      <c r="G6" s="21">
        <f>F6-E6</f>
        <v/>
      </c>
      <c r="H6" s="21">
        <f>E6*12</f>
        <v/>
      </c>
      <c r="I6" s="21">
        <f>F6*12</f>
        <v/>
      </c>
    </row>
    <row r="7">
      <c r="B7" s="17" t="inlineStr">
        <is>
          <t>103</t>
        </is>
      </c>
      <c r="C7" s="18" t="inlineStr">
        <is>
          <t>Loft 1BR / Live-Work</t>
        </is>
      </c>
      <c r="D7" s="19" t="n">
        <v>630</v>
      </c>
      <c r="E7" s="20" t="n">
        <v>2500</v>
      </c>
      <c r="F7" s="21">
        <f>E7*1.03</f>
        <v/>
      </c>
      <c r="G7" s="21">
        <f>F7-E7</f>
        <v/>
      </c>
      <c r="H7" s="21">
        <f>E7*12</f>
        <v/>
      </c>
      <c r="I7" s="21">
        <f>F7*12</f>
        <v/>
      </c>
    </row>
    <row r="8">
      <c r="B8" s="17" t="inlineStr">
        <is>
          <t>104</t>
        </is>
      </c>
      <c r="C8" s="18" t="inlineStr">
        <is>
          <t>Loft 1BR / Live-Work</t>
        </is>
      </c>
      <c r="D8" s="19" t="n">
        <v>640</v>
      </c>
      <c r="E8" s="20" t="n">
        <v>2550</v>
      </c>
      <c r="F8" s="21">
        <f>E8*1.03</f>
        <v/>
      </c>
      <c r="G8" s="21">
        <f>F8-E8</f>
        <v/>
      </c>
      <c r="H8" s="21">
        <f>E8*12</f>
        <v/>
      </c>
      <c r="I8" s="21">
        <f>F8*12</f>
        <v/>
      </c>
    </row>
    <row r="9">
      <c r="B9" s="17" t="inlineStr">
        <is>
          <t>105</t>
        </is>
      </c>
      <c r="C9" s="18" t="inlineStr">
        <is>
          <t>Loft 1BR / Live-Work</t>
        </is>
      </c>
      <c r="D9" s="19" t="n">
        <v>650</v>
      </c>
      <c r="E9" s="20" t="n">
        <v>2600</v>
      </c>
      <c r="F9" s="21">
        <f>E9*1.03</f>
        <v/>
      </c>
      <c r="G9" s="21">
        <f>F9-E9</f>
        <v/>
      </c>
      <c r="H9" s="21">
        <f>E9*12</f>
        <v/>
      </c>
      <c r="I9" s="21">
        <f>F9*12</f>
        <v/>
      </c>
    </row>
    <row r="10">
      <c r="B10" s="17" t="inlineStr">
        <is>
          <t>106</t>
        </is>
      </c>
      <c r="C10" s="18" t="inlineStr">
        <is>
          <t>Loft 1BR / Live-Work</t>
        </is>
      </c>
      <c r="D10" s="19" t="n">
        <v>655</v>
      </c>
      <c r="E10" s="20" t="n">
        <v>2620</v>
      </c>
      <c r="F10" s="21">
        <f>E10*1.03</f>
        <v/>
      </c>
      <c r="G10" s="21">
        <f>F10-E10</f>
        <v/>
      </c>
      <c r="H10" s="21">
        <f>E10*12</f>
        <v/>
      </c>
      <c r="I10" s="21">
        <f>F10*12</f>
        <v/>
      </c>
    </row>
    <row r="11">
      <c r="B11" s="17" t="inlineStr">
        <is>
          <t>107</t>
        </is>
      </c>
      <c r="C11" s="18" t="inlineStr">
        <is>
          <t>Loft 1BR / Live-Work</t>
        </is>
      </c>
      <c r="D11" s="19" t="n">
        <v>660</v>
      </c>
      <c r="E11" s="20" t="n">
        <v>2650</v>
      </c>
      <c r="F11" s="21">
        <f>E11*1.03</f>
        <v/>
      </c>
      <c r="G11" s="21">
        <f>F11-E11</f>
        <v/>
      </c>
      <c r="H11" s="21">
        <f>E11*12</f>
        <v/>
      </c>
      <c r="I11" s="21">
        <f>F11*12</f>
        <v/>
      </c>
    </row>
    <row r="12">
      <c r="B12" s="17" t="inlineStr">
        <is>
          <t>108</t>
        </is>
      </c>
      <c r="C12" s="18" t="inlineStr">
        <is>
          <t>Loft 1BR / Live-Work</t>
        </is>
      </c>
      <c r="D12" s="19" t="n">
        <v>665</v>
      </c>
      <c r="E12" s="20" t="n">
        <v>2680</v>
      </c>
      <c r="F12" s="21">
        <f>E12*1.03</f>
        <v/>
      </c>
      <c r="G12" s="21">
        <f>F12-E12</f>
        <v/>
      </c>
      <c r="H12" s="21">
        <f>E12*12</f>
        <v/>
      </c>
      <c r="I12" s="21">
        <f>F12*12</f>
        <v/>
      </c>
    </row>
    <row r="13">
      <c r="B13" s="17" t="inlineStr">
        <is>
          <t>109</t>
        </is>
      </c>
      <c r="C13" s="18" t="inlineStr">
        <is>
          <t>Loft 1BR / Live-Work</t>
        </is>
      </c>
      <c r="D13" s="19" t="n">
        <v>655</v>
      </c>
      <c r="E13" s="20" t="n">
        <v>2700</v>
      </c>
      <c r="F13" s="21">
        <f>E13*1.03</f>
        <v/>
      </c>
      <c r="G13" s="21">
        <f>F13-E13</f>
        <v/>
      </c>
      <c r="H13" s="21">
        <f>E13*12</f>
        <v/>
      </c>
      <c r="I13" s="21">
        <f>F13*12</f>
        <v/>
      </c>
    </row>
    <row r="14">
      <c r="B14" s="17" t="inlineStr">
        <is>
          <t>110</t>
        </is>
      </c>
      <c r="C14" s="18" t="inlineStr">
        <is>
          <t>Loft 1BR / Live-Work</t>
        </is>
      </c>
      <c r="D14" s="19" t="n">
        <v>660</v>
      </c>
      <c r="E14" s="20" t="n">
        <v>2720</v>
      </c>
      <c r="F14" s="21">
        <f>E14*1.03</f>
        <v/>
      </c>
      <c r="G14" s="21">
        <f>F14-E14</f>
        <v/>
      </c>
      <c r="H14" s="21">
        <f>E14*12</f>
        <v/>
      </c>
      <c r="I14" s="21">
        <f>F14*12</f>
        <v/>
      </c>
    </row>
    <row r="15">
      <c r="B15" s="17" t="inlineStr">
        <is>
          <t>111</t>
        </is>
      </c>
      <c r="C15" s="18" t="inlineStr">
        <is>
          <t>Loft 1BR / Live-Work</t>
        </is>
      </c>
      <c r="D15" s="19" t="n">
        <v>670</v>
      </c>
      <c r="E15" s="20" t="n">
        <v>2750</v>
      </c>
      <c r="F15" s="21">
        <f>E15*1.03</f>
        <v/>
      </c>
      <c r="G15" s="21">
        <f>F15-E15</f>
        <v/>
      </c>
      <c r="H15" s="21">
        <f>E15*12</f>
        <v/>
      </c>
      <c r="I15" s="21">
        <f>F15*12</f>
        <v/>
      </c>
    </row>
    <row r="16">
      <c r="B16" s="17" t="inlineStr">
        <is>
          <t>112</t>
        </is>
      </c>
      <c r="C16" s="18" t="inlineStr">
        <is>
          <t>Loft 1BR / Live-Work</t>
        </is>
      </c>
      <c r="D16" s="19" t="n">
        <v>680</v>
      </c>
      <c r="E16" s="20" t="n">
        <v>2800</v>
      </c>
      <c r="F16" s="21">
        <f>E16*1.03</f>
        <v/>
      </c>
      <c r="G16" s="21">
        <f>F16-E16</f>
        <v/>
      </c>
      <c r="H16" s="21">
        <f>E16*12</f>
        <v/>
      </c>
      <c r="I16" s="21">
        <f>F16*12</f>
        <v/>
      </c>
    </row>
    <row r="17">
      <c r="B17" s="17" t="inlineStr">
        <is>
          <t>113</t>
        </is>
      </c>
      <c r="C17" s="18" t="inlineStr">
        <is>
          <t>Loft 1BR / Live-Work</t>
        </is>
      </c>
      <c r="D17" s="19" t="n">
        <v>690</v>
      </c>
      <c r="E17" s="20" t="n">
        <v>2850</v>
      </c>
      <c r="F17" s="21">
        <f>E17*1.03</f>
        <v/>
      </c>
      <c r="G17" s="21">
        <f>F17-E17</f>
        <v/>
      </c>
      <c r="H17" s="21">
        <f>E17*12</f>
        <v/>
      </c>
      <c r="I17" s="21">
        <f>F17*12</f>
        <v/>
      </c>
    </row>
    <row r="18">
      <c r="B18" s="17" t="inlineStr">
        <is>
          <t>114</t>
        </is>
      </c>
      <c r="C18" s="18" t="inlineStr">
        <is>
          <t>Loft 1BR / Live-Work</t>
        </is>
      </c>
      <c r="D18" s="19" t="n">
        <v>700</v>
      </c>
      <c r="E18" s="20" t="n">
        <v>2990</v>
      </c>
      <c r="F18" s="21">
        <f>E18*1.03</f>
        <v/>
      </c>
      <c r="G18" s="21">
        <f>F18-E18</f>
        <v/>
      </c>
      <c r="H18" s="21">
        <f>E18*12</f>
        <v/>
      </c>
      <c r="I18" s="21">
        <f>F18*12</f>
        <v/>
      </c>
    </row>
    <row r="19">
      <c r="B19" s="22" t="inlineStr">
        <is>
          <t>TOTAL / AVG</t>
        </is>
      </c>
      <c r="C19" s="17" t="inlineStr"/>
      <c r="D19" s="23">
        <f>SUM(D5:D18)</f>
        <v/>
      </c>
      <c r="E19" s="24">
        <f>AVERAGE(E5:E18)</f>
        <v/>
      </c>
      <c r="F19" s="24">
        <f>AVERAGE(F5:F18)</f>
        <v/>
      </c>
      <c r="G19" s="24">
        <f>AVERAGE(G5:G18)</f>
        <v/>
      </c>
      <c r="H19" s="24">
        <f>SUM(H5:H18)</f>
        <v/>
      </c>
      <c r="I19" s="24">
        <f>SUM(I5:I18)</f>
        <v/>
      </c>
    </row>
    <row r="20"/>
    <row r="21">
      <c r="B21" s="15" t="inlineStr">
        <is>
          <t>Rents vary $2,400-$2,990/mo reflecting unit size/light/finish; total annualized in-place approximates the advertised $447,113 gross annual income.</t>
        </is>
      </c>
    </row>
  </sheetData>
  <mergeCells count="2">
    <mergeCell ref="B2:I2"/>
    <mergeCell ref="B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4D2B"/>
    <outlinePr summaryBelow="1" summaryRight="1"/>
    <pageSetUpPr/>
  </sheetPr>
  <dimension ref="A1:G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/>
    <row r="2" ht="20" customHeight="1">
      <c r="B2" s="3" t="inlineStr">
        <is>
          <t>OPERATING PROFORMA - 5-YEAR ANNUAL</t>
        </is>
      </c>
    </row>
    <row r="3"/>
    <row r="4">
      <c r="B4" s="22" t="inlineStr"/>
      <c r="C4" s="25" t="inlineStr">
        <is>
          <t>Year 1</t>
        </is>
      </c>
      <c r="D4" s="25" t="inlineStr">
        <is>
          <t>Year 2</t>
        </is>
      </c>
      <c r="E4" s="25" t="inlineStr">
        <is>
          <t>Year 3</t>
        </is>
      </c>
      <c r="F4" s="25" t="inlineStr">
        <is>
          <t>Year 4</t>
        </is>
      </c>
      <c r="G4" s="25" t="inlineStr">
        <is>
          <t>Year 5</t>
        </is>
      </c>
    </row>
    <row r="5">
      <c r="B5" s="26" t="n"/>
      <c r="C5" s="26" t="n"/>
      <c r="D5" s="26" t="n"/>
      <c r="E5" s="26" t="n"/>
      <c r="F5" s="26" t="n"/>
      <c r="G5" s="26" t="n"/>
    </row>
    <row r="6" ht="20" customHeight="1">
      <c r="B6" s="27" t="inlineStr">
        <is>
          <t>ASSUMPTIONS</t>
        </is>
      </c>
      <c r="C6" s="41" t="n"/>
      <c r="D6" s="41" t="n"/>
      <c r="E6" s="41" t="n"/>
      <c r="F6" s="41" t="n"/>
      <c r="G6" s="42" t="n"/>
    </row>
    <row r="7">
      <c r="B7" s="17" t="inlineStr">
        <is>
          <t>Ontario Rent Guideline (in-place escalation)</t>
        </is>
      </c>
      <c r="C7" s="28" t="n">
        <v>0.021</v>
      </c>
      <c r="D7" s="26" t="n"/>
      <c r="E7" s="26" t="n"/>
      <c r="F7" s="26" t="n"/>
      <c r="G7" s="26" t="n"/>
    </row>
    <row r="8">
      <c r="B8" s="17" t="inlineStr">
        <is>
          <t>Tenant Turnover Rate (annual)</t>
        </is>
      </c>
      <c r="C8" s="29" t="n">
        <v>0.15</v>
      </c>
      <c r="D8" s="26" t="n"/>
      <c r="E8" s="26" t="n"/>
      <c r="F8" s="26" t="n"/>
      <c r="G8" s="26" t="n"/>
    </row>
    <row r="9">
      <c r="B9" s="17" t="inlineStr">
        <is>
          <t>Market Rent Growth (turnover resets)</t>
        </is>
      </c>
      <c r="C9" s="29" t="n">
        <v>0.03</v>
      </c>
      <c r="D9" s="26" t="n"/>
      <c r="E9" s="26" t="n"/>
      <c r="F9" s="26" t="n"/>
      <c r="G9" s="26" t="n"/>
    </row>
    <row r="10">
      <c r="B10" s="17" t="inlineStr">
        <is>
          <t>Premium Loft Reset Rent ($/mo, at turnover)</t>
        </is>
      </c>
      <c r="C10" s="20" t="n">
        <v>2900</v>
      </c>
      <c r="D10" s="26" t="n"/>
      <c r="E10" s="26" t="n"/>
      <c r="F10" s="26" t="n"/>
      <c r="G10" s="26" t="n"/>
    </row>
    <row r="11">
      <c r="B11" s="17" t="inlineStr">
        <is>
          <t>Vacancy Rate (Toronto sub-2% mkt; underwritten)</t>
        </is>
      </c>
      <c r="C11" s="29" t="n">
        <v>0.02</v>
      </c>
      <c r="D11" s="26" t="n"/>
      <c r="E11" s="26" t="n"/>
      <c r="F11" s="26" t="n"/>
      <c r="G11" s="26" t="n"/>
    </row>
    <row r="12">
      <c r="B12" s="17" t="inlineStr">
        <is>
          <t>Other Income ($/unit/mo - laundry/parking)</t>
        </is>
      </c>
      <c r="C12" s="30" t="n">
        <v>45</v>
      </c>
      <c r="D12" s="26" t="n"/>
      <c r="E12" s="26" t="n"/>
      <c r="F12" s="26" t="n"/>
      <c r="G12" s="26" t="n"/>
    </row>
    <row r="13">
      <c r="B13" s="17" t="inlineStr">
        <is>
          <t>Expense Inflation</t>
        </is>
      </c>
      <c r="C13" s="29" t="n">
        <v>0.025</v>
      </c>
      <c r="D13" s="26" t="n"/>
      <c r="E13" s="26" t="n"/>
      <c r="F13" s="26" t="n"/>
      <c r="G13" s="26" t="n"/>
    </row>
    <row r="14">
      <c r="B14" s="17" t="inlineStr">
        <is>
          <t>Management Fee (% of EGI)</t>
        </is>
      </c>
      <c r="C14" s="29" t="n">
        <v>0.04</v>
      </c>
      <c r="D14" s="26" t="n"/>
      <c r="E14" s="26" t="n"/>
      <c r="F14" s="26" t="n"/>
      <c r="G14" s="26" t="n"/>
    </row>
    <row r="15">
      <c r="B15" s="17" t="inlineStr">
        <is>
          <t>Number of Units</t>
        </is>
      </c>
      <c r="C15" s="17">
        <f>Summary!C9</f>
        <v/>
      </c>
      <c r="D15" s="26" t="n"/>
      <c r="E15" s="26" t="n"/>
      <c r="F15" s="26" t="n"/>
      <c r="G15" s="26" t="n"/>
    </row>
    <row r="16">
      <c r="B16" s="17" t="inlineStr">
        <is>
          <t>Base Annual In-Place GPR (from Rent Roll)</t>
        </is>
      </c>
      <c r="C16" s="21">
        <f>'Rent Roll'!H19</f>
        <v/>
      </c>
      <c r="D16" s="26" t="n"/>
      <c r="E16" s="26" t="n"/>
      <c r="F16" s="26" t="n"/>
      <c r="G16" s="26" t="n"/>
    </row>
    <row r="17">
      <c r="B17" s="26" t="n"/>
      <c r="C17" s="26" t="n"/>
      <c r="D17" s="26" t="n"/>
      <c r="E17" s="26" t="n"/>
      <c r="F17" s="26" t="n"/>
      <c r="G17" s="26" t="n"/>
    </row>
    <row r="18" ht="20" customHeight="1">
      <c r="B18" s="27" t="inlineStr">
        <is>
          <t>REVENUE</t>
        </is>
      </c>
      <c r="C18" s="41" t="n"/>
      <c r="D18" s="41" t="n"/>
      <c r="E18" s="41" t="n"/>
      <c r="F18" s="41" t="n"/>
      <c r="G18" s="42" t="n"/>
    </row>
    <row r="19">
      <c r="B19" s="17" t="inlineStr">
        <is>
          <t>Retained Fraction (never turned over)</t>
        </is>
      </c>
      <c r="C19" s="31">
        <f>(1-$C$8)^1</f>
        <v/>
      </c>
      <c r="D19" s="31">
        <f>(1-$C$8)^2</f>
        <v/>
      </c>
      <c r="E19" s="31">
        <f>(1-$C$8)^3</f>
        <v/>
      </c>
      <c r="F19" s="31">
        <f>(1-$C$8)^4</f>
        <v/>
      </c>
      <c r="G19" s="31">
        <f>(1-$C$8)^5</f>
        <v/>
      </c>
    </row>
    <row r="20">
      <c r="B20" s="17" t="inlineStr">
        <is>
          <t>Turned-Over Fraction (cumulative)</t>
        </is>
      </c>
      <c r="C20" s="31">
        <f>1-C19</f>
        <v/>
      </c>
      <c r="D20" s="31">
        <f>1-D19</f>
        <v/>
      </c>
      <c r="E20" s="31">
        <f>1-E19</f>
        <v/>
      </c>
      <c r="F20" s="31">
        <f>1-F19</f>
        <v/>
      </c>
      <c r="G20" s="31">
        <f>1-G19</f>
        <v/>
      </c>
    </row>
    <row r="21">
      <c r="B21" s="17" t="inlineStr">
        <is>
          <t>Stream 1: In-Place Continuing Rent (guideline growth)</t>
        </is>
      </c>
      <c r="C21" s="21">
        <f>$C$16*C19*(1+$C$7)^1</f>
        <v/>
      </c>
      <c r="D21" s="21">
        <f>$C$16*D19*(1+$C$7)^2</f>
        <v/>
      </c>
      <c r="E21" s="21">
        <f>$C$16*E19*(1+$C$7)^3</f>
        <v/>
      </c>
      <c r="F21" s="21">
        <f>$C$16*F19*(1+$C$7)^4</f>
        <v/>
      </c>
      <c r="G21" s="21">
        <f>$C$16*G19*(1+$C$7)^5</f>
        <v/>
      </c>
    </row>
    <row r="22">
      <c r="B22" s="17" t="inlineStr">
        <is>
          <t>Stream 2: Turnover Rent (reset to market, grows @ mkt rate)</t>
        </is>
      </c>
      <c r="C22" s="21">
        <f>$C$15*C20*($C$10*12)*(1+$C$9)^0</f>
        <v/>
      </c>
      <c r="D22" s="21">
        <f>$C$15*D20*($C$10*12)*(1+$C$9)^1</f>
        <v/>
      </c>
      <c r="E22" s="21">
        <f>$C$15*E20*($C$10*12)*(1+$C$9)^2</f>
        <v/>
      </c>
      <c r="F22" s="21">
        <f>$C$15*F20*($C$10*12)*(1+$C$9)^3</f>
        <v/>
      </c>
      <c r="G22" s="21">
        <f>$C$15*G20*($C$10*12)*(1+$C$9)^4</f>
        <v/>
      </c>
    </row>
    <row r="23">
      <c r="B23" s="22" t="inlineStr">
        <is>
          <t>Gross Potential Rent (GPR)</t>
        </is>
      </c>
      <c r="C23" s="24">
        <f>C21+C22</f>
        <v/>
      </c>
      <c r="D23" s="24">
        <f>D21+D22</f>
        <v/>
      </c>
      <c r="E23" s="24">
        <f>E21+E22</f>
        <v/>
      </c>
      <c r="F23" s="24">
        <f>F21+F22</f>
        <v/>
      </c>
      <c r="G23" s="24">
        <f>G21+G22</f>
        <v/>
      </c>
    </row>
    <row r="24">
      <c r="B24" s="17" t="inlineStr">
        <is>
          <t>Less: Vacancy Loss</t>
        </is>
      </c>
      <c r="C24" s="21">
        <f>-C23*$C$11</f>
        <v/>
      </c>
      <c r="D24" s="21">
        <f>-D23*$C$11</f>
        <v/>
      </c>
      <c r="E24" s="21">
        <f>-E23*$C$11</f>
        <v/>
      </c>
      <c r="F24" s="21">
        <f>-F23*$C$11</f>
        <v/>
      </c>
      <c r="G24" s="21">
        <f>-G23*$C$11</f>
        <v/>
      </c>
    </row>
    <row r="25">
      <c r="B25" s="17" t="inlineStr">
        <is>
          <t>Other Income</t>
        </is>
      </c>
      <c r="C25" s="21">
        <f>$C$15*$C$12*12*(1+$C$13)^0</f>
        <v/>
      </c>
      <c r="D25" s="21">
        <f>$C$15*$C$12*12*(1+$C$13)^1</f>
        <v/>
      </c>
      <c r="E25" s="21">
        <f>$C$15*$C$12*12*(1+$C$13)^2</f>
        <v/>
      </c>
      <c r="F25" s="21">
        <f>$C$15*$C$12*12*(1+$C$13)^3</f>
        <v/>
      </c>
      <c r="G25" s="21">
        <f>$C$15*$C$12*12*(1+$C$13)^4</f>
        <v/>
      </c>
    </row>
    <row r="26">
      <c r="B26" s="22" t="inlineStr">
        <is>
          <t>Effective Gross Income (EGI)</t>
        </is>
      </c>
      <c r="C26" s="24">
        <f>C23+C24+C25</f>
        <v/>
      </c>
      <c r="D26" s="24">
        <f>D23+D24+D25</f>
        <v/>
      </c>
      <c r="E26" s="24">
        <f>E23+E24+E25</f>
        <v/>
      </c>
      <c r="F26" s="24">
        <f>F23+F24+F25</f>
        <v/>
      </c>
      <c r="G26" s="24">
        <f>G23+G24+G25</f>
        <v/>
      </c>
    </row>
    <row r="27">
      <c r="B27" s="26" t="n"/>
      <c r="C27" s="26" t="n"/>
      <c r="D27" s="26" t="n"/>
      <c r="E27" s="26" t="n"/>
      <c r="F27" s="26" t="n"/>
      <c r="G27" s="26" t="n"/>
    </row>
    <row r="28" ht="20" customHeight="1">
      <c r="B28" s="27" t="inlineStr">
        <is>
          <t>OPERATING EXPENSES</t>
        </is>
      </c>
      <c r="C28" s="41" t="n"/>
      <c r="D28" s="41" t="n"/>
      <c r="E28" s="41" t="n"/>
      <c r="F28" s="41" t="n"/>
      <c r="G28" s="42" t="n"/>
    </row>
    <row r="29">
      <c r="B29" s="17" t="inlineStr">
        <is>
          <t>Property Taxes</t>
        </is>
      </c>
      <c r="C29" s="20" t="n">
        <v>52000</v>
      </c>
      <c r="D29" s="21">
        <f>C29*(1+$C$13)</f>
        <v/>
      </c>
      <c r="E29" s="21">
        <f>D29*(1+$C$13)</f>
        <v/>
      </c>
      <c r="F29" s="21">
        <f>E29*(1+$C$13)</f>
        <v/>
      </c>
      <c r="G29" s="21">
        <f>F29*(1+$C$13)</f>
        <v/>
      </c>
    </row>
    <row r="30">
      <c r="B30" s="17" t="inlineStr">
        <is>
          <t>Insurance</t>
        </is>
      </c>
      <c r="C30" s="20" t="n">
        <v>18000</v>
      </c>
      <c r="D30" s="21">
        <f>C30*(1+$C$13)</f>
        <v/>
      </c>
      <c r="E30" s="21">
        <f>D30*(1+$C$13)</f>
        <v/>
      </c>
      <c r="F30" s="21">
        <f>E30*(1+$C$13)</f>
        <v/>
      </c>
      <c r="G30" s="21">
        <f>F30*(1+$C$13)</f>
        <v/>
      </c>
    </row>
    <row r="31">
      <c r="B31" s="17" t="inlineStr">
        <is>
          <t>Utilities (landlord-paid)</t>
        </is>
      </c>
      <c r="C31" s="20" t="n">
        <v>22000</v>
      </c>
      <c r="D31" s="21">
        <f>C31*(1+$C$13)</f>
        <v/>
      </c>
      <c r="E31" s="21">
        <f>D31*(1+$C$13)</f>
        <v/>
      </c>
      <c r="F31" s="21">
        <f>E31*(1+$C$13)</f>
        <v/>
      </c>
      <c r="G31" s="21">
        <f>F31*(1+$C$13)</f>
        <v/>
      </c>
    </row>
    <row r="32">
      <c r="B32" s="17" t="inlineStr">
        <is>
          <t>Repairs &amp; Maintenance</t>
        </is>
      </c>
      <c r="C32" s="20" t="n">
        <v>24000</v>
      </c>
      <c r="D32" s="21">
        <f>C32*(1+$C$13)</f>
        <v/>
      </c>
      <c r="E32" s="21">
        <f>D32*(1+$C$13)</f>
        <v/>
      </c>
      <c r="F32" s="21">
        <f>E32*(1+$C$13)</f>
        <v/>
      </c>
      <c r="G32" s="21">
        <f>F32*(1+$C$13)</f>
        <v/>
      </c>
    </row>
    <row r="33">
      <c r="B33" s="17" t="inlineStr">
        <is>
          <t>Super / Staff</t>
        </is>
      </c>
      <c r="C33" s="20" t="n">
        <v>16000</v>
      </c>
      <c r="D33" s="21">
        <f>C33*(1+$C$13)</f>
        <v/>
      </c>
      <c r="E33" s="21">
        <f>D33*(1+$C$13)</f>
        <v/>
      </c>
      <c r="F33" s="21">
        <f>E33*(1+$C$13)</f>
        <v/>
      </c>
      <c r="G33" s="21">
        <f>F33*(1+$C$13)</f>
        <v/>
      </c>
    </row>
    <row r="34">
      <c r="B34" s="17" t="inlineStr">
        <is>
          <t>Misc. / Admin / Reserves</t>
        </is>
      </c>
      <c r="C34" s="20" t="n">
        <v>10000</v>
      </c>
      <c r="D34" s="21">
        <f>C34*(1+$C$13)</f>
        <v/>
      </c>
      <c r="E34" s="21">
        <f>D34*(1+$C$13)</f>
        <v/>
      </c>
      <c r="F34" s="21">
        <f>E34*(1+$C$13)</f>
        <v/>
      </c>
      <c r="G34" s="21">
        <f>F34*(1+$C$13)</f>
        <v/>
      </c>
    </row>
    <row r="35">
      <c r="B35" s="17" t="inlineStr">
        <is>
          <t>Management Fee (4% of EGI)</t>
        </is>
      </c>
      <c r="C35" s="21">
        <f>C26*$C$14</f>
        <v/>
      </c>
      <c r="D35" s="21">
        <f>D26*$C$14</f>
        <v/>
      </c>
      <c r="E35" s="21">
        <f>E26*$C$14</f>
        <v/>
      </c>
      <c r="F35" s="21">
        <f>F26*$C$14</f>
        <v/>
      </c>
      <c r="G35" s="21">
        <f>G26*$C$14</f>
        <v/>
      </c>
    </row>
    <row r="36">
      <c r="B36" s="22" t="inlineStr">
        <is>
          <t>Total Operating Expenses</t>
        </is>
      </c>
      <c r="C36" s="24">
        <f>SUM(C29:C35)</f>
        <v/>
      </c>
      <c r="D36" s="24">
        <f>SUM(D29:D35)</f>
        <v/>
      </c>
      <c r="E36" s="24">
        <f>SUM(E29:E35)</f>
        <v/>
      </c>
      <c r="F36" s="24">
        <f>SUM(F29:F35)</f>
        <v/>
      </c>
      <c r="G36" s="24">
        <f>SUM(G29:G35)</f>
        <v/>
      </c>
    </row>
    <row r="37">
      <c r="B37" s="17" t="inlineStr">
        <is>
          <t>Opex Ratio (% of EGI)</t>
        </is>
      </c>
      <c r="C37" s="31">
        <f>C36/C26</f>
        <v/>
      </c>
      <c r="D37" s="31">
        <f>D36/D26</f>
        <v/>
      </c>
      <c r="E37" s="31">
        <f>E36/E26</f>
        <v/>
      </c>
      <c r="F37" s="31">
        <f>F36/F26</f>
        <v/>
      </c>
      <c r="G37" s="31">
        <f>G36/G26</f>
        <v/>
      </c>
    </row>
    <row r="38" ht="20" customHeight="1">
      <c r="B38" s="27" t="inlineStr">
        <is>
          <t>NET OPERATING INCOME</t>
        </is>
      </c>
      <c r="C38" s="41" t="n"/>
      <c r="D38" s="41" t="n"/>
      <c r="E38" s="41" t="n"/>
      <c r="F38" s="41" t="n"/>
      <c r="G38" s="42" t="n"/>
    </row>
    <row r="39">
      <c r="B39" s="22" t="inlineStr">
        <is>
          <t>Net Operating Income (NOI)</t>
        </is>
      </c>
      <c r="C39" s="24">
        <f>C26-C36</f>
        <v/>
      </c>
      <c r="D39" s="24">
        <f>D26-D36</f>
        <v/>
      </c>
      <c r="E39" s="24">
        <f>E26-E36</f>
        <v/>
      </c>
      <c r="F39" s="24">
        <f>F26-F36</f>
        <v/>
      </c>
      <c r="G39" s="24">
        <f>G26-G36</f>
        <v/>
      </c>
    </row>
  </sheetData>
  <mergeCells count="5">
    <mergeCell ref="B38:G38"/>
    <mergeCell ref="B2:G2"/>
    <mergeCell ref="B28:G28"/>
    <mergeCell ref="B18:G18"/>
    <mergeCell ref="B6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4D2B"/>
    <outlinePr summaryBelow="1" summaryRight="1"/>
    <pageSetUpPr/>
  </sheetPr>
  <dimension ref="A1:I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4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/>
    <row r="2" ht="20" customHeight="1">
      <c r="B2" s="3" t="inlineStr">
        <is>
          <t>DEBT SCHEDULE</t>
        </is>
      </c>
    </row>
    <row r="3"/>
    <row r="4">
      <c r="B4" s="22" t="inlineStr">
        <is>
          <t>Financing Toggle (Conventional / CMHC-Insured)</t>
        </is>
      </c>
      <c r="C4" s="26" t="n"/>
      <c r="D4" s="32" t="inlineStr">
        <is>
          <t>Conventional</t>
        </is>
      </c>
      <c r="E4" s="26" t="n"/>
      <c r="F4" s="26" t="n"/>
      <c r="G4" s="26" t="n"/>
    </row>
    <row r="5">
      <c r="B5" s="17" t="inlineStr">
        <is>
          <t>Financing Type</t>
        </is>
      </c>
      <c r="C5" s="26" t="n"/>
      <c r="D5" s="17">
        <f>D4</f>
        <v/>
      </c>
      <c r="E5" s="26" t="n"/>
      <c r="F5" s="26" t="n"/>
      <c r="G5" s="26" t="n"/>
    </row>
    <row r="6">
      <c r="B6" s="17" t="inlineStr">
        <is>
          <t>Interest Rate</t>
        </is>
      </c>
      <c r="C6" s="26" t="n"/>
      <c r="D6" s="33">
        <f>IF(D4="Conventional",0.055,0.0445)</f>
        <v/>
      </c>
      <c r="E6" s="26" t="n"/>
      <c r="F6" s="26" t="n"/>
      <c r="G6" s="26" t="n"/>
    </row>
    <row r="7">
      <c r="B7" s="17" t="inlineStr">
        <is>
          <t>Max LTV</t>
        </is>
      </c>
      <c r="C7" s="26" t="n"/>
      <c r="D7" s="31">
        <f>IF(D4="Conventional",0.65,0.75)</f>
        <v/>
      </c>
      <c r="E7" s="26" t="n"/>
      <c r="F7" s="26" t="n"/>
      <c r="G7" s="26" t="n"/>
    </row>
    <row r="8">
      <c r="B8" s="17" t="inlineStr">
        <is>
          <t>Loan Amount</t>
        </is>
      </c>
      <c r="C8" s="26" t="n"/>
      <c r="D8" s="21">
        <f>D7*Summary!C10</f>
        <v/>
      </c>
      <c r="E8" s="26" t="n"/>
      <c r="F8" s="26" t="n"/>
      <c r="G8" s="26" t="n"/>
    </row>
    <row r="9">
      <c r="B9" s="17" t="inlineStr">
        <is>
          <t>Amortization (years)</t>
        </is>
      </c>
      <c r="C9" s="26" t="n"/>
      <c r="D9" s="18" t="n">
        <v>30</v>
      </c>
      <c r="E9" s="26" t="n"/>
      <c r="F9" s="26" t="n"/>
      <c r="G9" s="26" t="n"/>
    </row>
    <row r="10">
      <c r="B10" s="17" t="inlineStr">
        <is>
          <t>Term (years, balloon at exit)</t>
        </is>
      </c>
      <c r="C10" s="26" t="n"/>
      <c r="D10" s="18" t="n">
        <v>5</v>
      </c>
      <c r="E10" s="26" t="n"/>
      <c r="F10" s="26" t="n"/>
      <c r="G10" s="26" t="n"/>
    </row>
    <row r="11">
      <c r="B11" s="17" t="inlineStr">
        <is>
          <t>Monthly Payment (PMT)</t>
        </is>
      </c>
      <c r="C11" s="26" t="n"/>
      <c r="D11" s="34">
        <f>-PMT(D6/12,D9*12,D8)</f>
        <v/>
      </c>
      <c r="E11" s="26" t="n"/>
      <c r="F11" s="26" t="n"/>
      <c r="G11" s="26" t="n"/>
    </row>
    <row r="12">
      <c r="B12" s="17" t="inlineStr">
        <is>
          <t>Annual Debt Service</t>
        </is>
      </c>
      <c r="C12" s="26" t="n"/>
      <c r="D12" s="21">
        <f>D11*12</f>
        <v/>
      </c>
      <c r="E12" s="26" t="n"/>
      <c r="F12" s="26" t="n"/>
      <c r="G12" s="26" t="n"/>
    </row>
    <row r="13">
      <c r="B13" s="17" t="inlineStr">
        <is>
          <t>Debt Yield (Yr 1 NOI / Loan Amount)</t>
        </is>
      </c>
      <c r="C13" s="26" t="n"/>
      <c r="D13" s="33">
        <f>'Operating Proforma'!C39/D8</f>
        <v/>
      </c>
      <c r="E13" s="26" t="n"/>
      <c r="F13" s="26" t="n"/>
      <c r="G13" s="26" t="n"/>
    </row>
    <row r="14">
      <c r="B14" s="26" t="n"/>
      <c r="C14" s="26" t="n"/>
      <c r="D14" s="26" t="n"/>
      <c r="E14" s="26" t="n"/>
      <c r="F14" s="26" t="n"/>
      <c r="G14" s="26" t="n"/>
    </row>
    <row r="15" ht="20" customHeight="1">
      <c r="B15" s="27" t="inlineStr">
        <is>
          <t>ANNUAL AMORTIZATION SCHEDULE</t>
        </is>
      </c>
      <c r="C15" s="41" t="n"/>
      <c r="D15" s="41" t="n"/>
      <c r="E15" s="41" t="n"/>
      <c r="F15" s="41" t="n"/>
      <c r="G15" s="41" t="n"/>
      <c r="H15" s="41" t="n"/>
      <c r="I15" s="42" t="n"/>
    </row>
    <row r="16">
      <c r="B16" s="26" t="n"/>
      <c r="C16" s="25" t="inlineStr">
        <is>
          <t>Year 1</t>
        </is>
      </c>
      <c r="D16" s="25" t="inlineStr">
        <is>
          <t>Year 2</t>
        </is>
      </c>
      <c r="E16" s="25" t="inlineStr">
        <is>
          <t>Year 3</t>
        </is>
      </c>
      <c r="F16" s="25" t="inlineStr">
        <is>
          <t>Year 4</t>
        </is>
      </c>
      <c r="G16" s="25" t="inlineStr">
        <is>
          <t>Year 5</t>
        </is>
      </c>
    </row>
    <row r="17">
      <c r="B17" s="17" t="inlineStr">
        <is>
          <t>Annual Debt Service</t>
        </is>
      </c>
      <c r="C17" s="21">
        <f>$D$12</f>
        <v/>
      </c>
      <c r="D17" s="21">
        <f>$D$12</f>
        <v/>
      </c>
      <c r="E17" s="21">
        <f>$D$12</f>
        <v/>
      </c>
      <c r="F17" s="21">
        <f>$D$12</f>
        <v/>
      </c>
      <c r="G17" s="21">
        <f>$D$12</f>
        <v/>
      </c>
    </row>
    <row r="18">
      <c r="B18" s="17" t="inlineStr">
        <is>
          <t>Interest Paid (annual)</t>
        </is>
      </c>
      <c r="C18" s="21">
        <f>-CUMIPMT($D$6/12,$D$9*12,$D$8,1,12,0)</f>
        <v/>
      </c>
      <c r="D18" s="21">
        <f>-CUMIPMT($D$6/12,$D$9*12,$D$8,13,24,0)</f>
        <v/>
      </c>
      <c r="E18" s="21">
        <f>-CUMIPMT($D$6/12,$D$9*12,$D$8,25,36,0)</f>
        <v/>
      </c>
      <c r="F18" s="21">
        <f>-CUMIPMT($D$6/12,$D$9*12,$D$8,37,48,0)</f>
        <v/>
      </c>
      <c r="G18" s="21">
        <f>-CUMIPMT($D$6/12,$D$9*12,$D$8,49,60,0)</f>
        <v/>
      </c>
    </row>
    <row r="19">
      <c r="B19" s="17" t="inlineStr">
        <is>
          <t>Principal Paid (annual)</t>
        </is>
      </c>
      <c r="C19" s="21">
        <f>-CUMPRINC($D$6/12,$D$9*12,$D$8,1,12,0)</f>
        <v/>
      </c>
      <c r="D19" s="21">
        <f>-CUMPRINC($D$6/12,$D$9*12,$D$8,13,24,0)</f>
        <v/>
      </c>
      <c r="E19" s="21">
        <f>-CUMPRINC($D$6/12,$D$9*12,$D$8,25,36,0)</f>
        <v/>
      </c>
      <c r="F19" s="21">
        <f>-CUMPRINC($D$6/12,$D$9*12,$D$8,37,48,0)</f>
        <v/>
      </c>
      <c r="G19" s="21">
        <f>-CUMPRINC($D$6/12,$D$9*12,$D$8,49,60,0)</f>
        <v/>
      </c>
    </row>
    <row r="20">
      <c r="B20" s="17" t="inlineStr">
        <is>
          <t>Ending Loan Balance</t>
        </is>
      </c>
      <c r="C20" s="21">
        <f>$D$8+CUMPRINC($D$6/12,$D$9*12,$D$8,1,12,0)</f>
        <v/>
      </c>
      <c r="D20" s="21">
        <f>$D$8+CUMPRINC($D$6/12,$D$9*12,$D$8,1,24,0)</f>
        <v/>
      </c>
      <c r="E20" s="21">
        <f>$D$8+CUMPRINC($D$6/12,$D$9*12,$D$8,1,36,0)</f>
        <v/>
      </c>
      <c r="F20" s="21">
        <f>$D$8+CUMPRINC($D$6/12,$D$9*12,$D$8,1,48,0)</f>
        <v/>
      </c>
      <c r="G20" s="21">
        <f>$D$8+CUMPRINC($D$6/12,$D$9*12,$D$8,1,60,0)</f>
        <v/>
      </c>
    </row>
    <row r="21">
      <c r="B21" s="17" t="inlineStr">
        <is>
          <t>DSCR (NOI / Debt Service)</t>
        </is>
      </c>
      <c r="C21" s="35">
        <f>'Operating Proforma'!C39/C17</f>
        <v/>
      </c>
      <c r="D21" s="35">
        <f>'Operating Proforma'!D39/D17</f>
        <v/>
      </c>
      <c r="E21" s="35">
        <f>'Operating Proforma'!E39/E17</f>
        <v/>
      </c>
      <c r="F21" s="35">
        <f>'Operating Proforma'!F39/F17</f>
        <v/>
      </c>
      <c r="G21" s="35">
        <f>'Operating Proforma'!G39/G17</f>
        <v/>
      </c>
    </row>
  </sheetData>
  <mergeCells count="2">
    <mergeCell ref="B2:I2"/>
    <mergeCell ref="B15:I15"/>
  </mergeCells>
  <dataValidations count="1">
    <dataValidation sqref="D4" showDropDown="0" showInputMessage="0" showErrorMessage="0" allowBlank="0" type="list">
      <formula1>"Conventional,CMHC-Insured"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4D2B"/>
    <outlinePr summaryBelow="1" summaryRight="1"/>
    <pageSetUpPr/>
  </sheetPr>
  <dimension ref="A1:H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/>
    <row r="2" ht="20" customHeight="1">
      <c r="B2" s="3" t="inlineStr">
        <is>
          <t>RETURNS - 5-YEAR HOLD</t>
        </is>
      </c>
    </row>
    <row r="3"/>
    <row r="4">
      <c r="B4" s="22" t="inlineStr"/>
      <c r="C4" s="22" t="inlineStr">
        <is>
          <t>Year 1</t>
        </is>
      </c>
      <c r="D4" s="22" t="inlineStr">
        <is>
          <t>Year 2</t>
        </is>
      </c>
      <c r="E4" s="22" t="inlineStr">
        <is>
          <t>Year 3</t>
        </is>
      </c>
      <c r="F4" s="22" t="inlineStr">
        <is>
          <t>Year 4</t>
        </is>
      </c>
      <c r="G4" s="22" t="inlineStr">
        <is>
          <t>Year 5</t>
        </is>
      </c>
    </row>
    <row r="5" ht="20" customHeight="1">
      <c r="B5" s="27" t="inlineStr">
        <is>
          <t>OPERATING CASH FLOWS</t>
        </is>
      </c>
      <c r="C5" s="41" t="n"/>
      <c r="D5" s="41" t="n"/>
      <c r="E5" s="41" t="n"/>
      <c r="F5" s="41" t="n"/>
      <c r="G5" s="41" t="n"/>
      <c r="H5" s="42" t="n"/>
    </row>
    <row r="6">
      <c r="B6" s="22" t="inlineStr">
        <is>
          <t>Initial Equity Investment</t>
        </is>
      </c>
      <c r="C6" s="24">
        <f>-Summary!C27</f>
        <v/>
      </c>
      <c r="D6" s="26" t="n"/>
      <c r="E6" s="26" t="n"/>
      <c r="F6" s="26" t="n"/>
      <c r="G6" s="26" t="n"/>
    </row>
    <row r="7">
      <c r="B7" s="17" t="inlineStr">
        <is>
          <t>NOI</t>
        </is>
      </c>
      <c r="C7" s="21">
        <f>'Operating Proforma'!C39</f>
        <v/>
      </c>
      <c r="D7" s="21">
        <f>'Operating Proforma'!D39</f>
        <v/>
      </c>
      <c r="E7" s="21">
        <f>'Operating Proforma'!E39</f>
        <v/>
      </c>
      <c r="F7" s="21">
        <f>'Operating Proforma'!F39</f>
        <v/>
      </c>
      <c r="G7" s="21">
        <f>'Operating Proforma'!G39</f>
        <v/>
      </c>
    </row>
    <row r="8">
      <c r="B8" s="17" t="inlineStr">
        <is>
          <t>Less: Annual Debt Service</t>
        </is>
      </c>
      <c r="C8" s="21">
        <f>-Debt!C17</f>
        <v/>
      </c>
      <c r="D8" s="21">
        <f>-Debt!D17</f>
        <v/>
      </c>
      <c r="E8" s="21">
        <f>-Debt!E17</f>
        <v/>
      </c>
      <c r="F8" s="21">
        <f>-Debt!F17</f>
        <v/>
      </c>
      <c r="G8" s="21">
        <f>-Debt!G17</f>
        <v/>
      </c>
    </row>
    <row r="9">
      <c r="B9" s="22" t="inlineStr">
        <is>
          <t>Levered Cash Flow (before exit)</t>
        </is>
      </c>
      <c r="C9" s="24">
        <f>C7+C8</f>
        <v/>
      </c>
      <c r="D9" s="24">
        <f>D7+D8</f>
        <v/>
      </c>
      <c r="E9" s="24">
        <f>E7+E8</f>
        <v/>
      </c>
      <c r="F9" s="24">
        <f>F7+F8</f>
        <v/>
      </c>
      <c r="G9" s="24">
        <f>G7+G8</f>
        <v/>
      </c>
    </row>
    <row r="10">
      <c r="B10" s="26" t="n"/>
      <c r="C10" s="26" t="n"/>
      <c r="D10" s="26" t="n"/>
      <c r="E10" s="26" t="n"/>
      <c r="F10" s="26" t="n"/>
      <c r="G10" s="26" t="n"/>
    </row>
    <row r="11" ht="20" customHeight="1">
      <c r="B11" s="27" t="inlineStr">
        <is>
          <t>EXIT / REVERSION (END OF YEAR 5)</t>
        </is>
      </c>
      <c r="C11" s="41" t="n"/>
      <c r="D11" s="41" t="n"/>
      <c r="E11" s="41" t="n"/>
      <c r="F11" s="41" t="n"/>
      <c r="G11" s="41" t="n"/>
      <c r="H11" s="42" t="n"/>
    </row>
    <row r="12">
      <c r="B12" s="17" t="inlineStr">
        <is>
          <t>Exit Cap Rate</t>
        </is>
      </c>
      <c r="C12" s="28" t="n">
        <v>0.0525</v>
      </c>
      <c r="D12" s="26" t="n"/>
      <c r="E12" s="26" t="n"/>
      <c r="F12" s="26" t="n"/>
      <c r="G12" s="26" t="n"/>
    </row>
    <row r="13">
      <c r="B13" s="17" t="inlineStr">
        <is>
          <t>Selling Costs (% of gross price)</t>
        </is>
      </c>
      <c r="C13" s="29" t="n">
        <v>0.025</v>
      </c>
      <c r="D13" s="26" t="n"/>
      <c r="E13" s="26" t="n"/>
      <c r="F13" s="26" t="n"/>
      <c r="G13" s="26" t="n"/>
    </row>
    <row r="14">
      <c r="B14" s="17" t="inlineStr">
        <is>
          <t>Forward Year-6 NOI (Yr5 NOI x (1+mkt growth))</t>
        </is>
      </c>
      <c r="C14" s="21">
        <f>G7*(1+'Operating Proforma'!$C$9)</f>
        <v/>
      </c>
      <c r="D14" s="26" t="n"/>
      <c r="E14" s="26" t="n"/>
      <c r="F14" s="26" t="n"/>
      <c r="G14" s="26" t="n"/>
    </row>
    <row r="15">
      <c r="B15" s="17" t="inlineStr">
        <is>
          <t>Gross Sale Price</t>
        </is>
      </c>
      <c r="C15" s="21">
        <f>C14/C12</f>
        <v/>
      </c>
      <c r="D15" s="26" t="n"/>
      <c r="E15" s="26" t="n"/>
      <c r="F15" s="26" t="n"/>
      <c r="G15" s="26" t="n"/>
    </row>
    <row r="16">
      <c r="B16" s="17" t="inlineStr">
        <is>
          <t>Less: Selling Costs</t>
        </is>
      </c>
      <c r="C16" s="21">
        <f>-C15*C13</f>
        <v/>
      </c>
      <c r="D16" s="26" t="n"/>
      <c r="E16" s="26" t="n"/>
      <c r="F16" s="26" t="n"/>
      <c r="G16" s="26" t="n"/>
    </row>
    <row r="17">
      <c r="B17" s="17" t="inlineStr">
        <is>
          <t>Less: Loan Balance at Exit</t>
        </is>
      </c>
      <c r="C17" s="21">
        <f>-Debt!G20</f>
        <v/>
      </c>
      <c r="D17" s="26" t="n"/>
      <c r="E17" s="26" t="n"/>
      <c r="F17" s="26" t="n"/>
      <c r="G17" s="26" t="n"/>
    </row>
    <row r="18">
      <c r="B18" s="22" t="inlineStr">
        <is>
          <t>Net Reversion to Equity (Levered)</t>
        </is>
      </c>
      <c r="C18" s="24">
        <f>C15+C16+C17</f>
        <v/>
      </c>
      <c r="D18" s="26" t="n"/>
      <c r="E18" s="26" t="n"/>
      <c r="F18" s="26" t="n"/>
      <c r="G18" s="26" t="n"/>
    </row>
    <row r="19">
      <c r="B19" s="22" t="inlineStr">
        <is>
          <t>Net Reversion (Unlevered)</t>
        </is>
      </c>
      <c r="C19" s="24">
        <f>C15+C16</f>
        <v/>
      </c>
      <c r="D19" s="26" t="n"/>
      <c r="E19" s="26" t="n"/>
      <c r="F19" s="26" t="n"/>
      <c r="G19" s="26" t="n"/>
    </row>
    <row r="20">
      <c r="B20" s="26" t="n"/>
      <c r="C20" s="26" t="n"/>
      <c r="D20" s="26" t="n"/>
      <c r="E20" s="26" t="n"/>
      <c r="F20" s="26" t="n"/>
      <c r="G20" s="26" t="n"/>
    </row>
    <row r="21" ht="20" customHeight="1">
      <c r="B21" s="27" t="inlineStr">
        <is>
          <t>LEVERED EQUITY CASH FLOWS</t>
        </is>
      </c>
      <c r="C21" s="41" t="n"/>
      <c r="D21" s="41" t="n"/>
      <c r="E21" s="41" t="n"/>
      <c r="F21" s="41" t="n"/>
      <c r="G21" s="41" t="n"/>
      <c r="H21" s="42" t="n"/>
    </row>
    <row r="22">
      <c r="B22" s="26" t="n"/>
      <c r="C22" s="26" t="n"/>
      <c r="D22" s="26" t="n"/>
      <c r="E22" s="26" t="n"/>
      <c r="F22" s="26" t="n"/>
      <c r="G22" s="26" t="n"/>
    </row>
    <row r="23">
      <c r="B23" s="17" t="inlineStr">
        <is>
          <t>Levered Equity CF (Yr0, Yr1-5)</t>
        </is>
      </c>
      <c r="C23" s="21">
        <f>C6</f>
        <v/>
      </c>
      <c r="D23" s="21">
        <f>C9</f>
        <v/>
      </c>
      <c r="E23" s="21">
        <f>D9</f>
        <v/>
      </c>
      <c r="F23" s="21">
        <f>E9</f>
        <v/>
      </c>
      <c r="G23" s="21">
        <f>F9</f>
        <v/>
      </c>
      <c r="H23" s="7">
        <f>G9+$C$18</f>
        <v/>
      </c>
    </row>
    <row r="24">
      <c r="B24" s="26" t="n"/>
      <c r="C24" s="26" t="n"/>
      <c r="D24" s="26" t="n"/>
      <c r="E24" s="26" t="n"/>
      <c r="F24" s="26" t="n"/>
      <c r="G24" s="26" t="n"/>
    </row>
    <row r="25" ht="20" customHeight="1">
      <c r="B25" s="27" t="inlineStr">
        <is>
          <t>UNLEVERED CASH FLOWS</t>
        </is>
      </c>
      <c r="C25" s="41" t="n"/>
      <c r="D25" s="41" t="n"/>
      <c r="E25" s="41" t="n"/>
      <c r="F25" s="41" t="n"/>
      <c r="G25" s="41" t="n"/>
      <c r="H25" s="42" t="n"/>
    </row>
    <row r="26">
      <c r="B26" s="17" t="inlineStr">
        <is>
          <t>Unlevered CF (Yr0, Yr1-5)</t>
        </is>
      </c>
      <c r="C26" s="21">
        <f>-Summary!C23</f>
        <v/>
      </c>
      <c r="D26" s="21">
        <f>C7</f>
        <v/>
      </c>
      <c r="E26" s="21">
        <f>D7</f>
        <v/>
      </c>
      <c r="F26" s="21">
        <f>E7</f>
        <v/>
      </c>
      <c r="G26" s="21">
        <f>F7</f>
        <v/>
      </c>
      <c r="H26" s="7">
        <f>G7+$C$19</f>
        <v/>
      </c>
    </row>
    <row r="27">
      <c r="B27" s="26" t="n"/>
      <c r="C27" s="26" t="n"/>
      <c r="D27" s="26" t="n"/>
      <c r="E27" s="26" t="n"/>
      <c r="F27" s="26" t="n"/>
      <c r="G27" s="26" t="n"/>
    </row>
    <row r="28" ht="20" customHeight="1">
      <c r="B28" s="27" t="inlineStr">
        <is>
          <t>CASH-ON-CASH BY YEAR</t>
        </is>
      </c>
      <c r="C28" s="41" t="n"/>
      <c r="D28" s="41" t="n"/>
      <c r="E28" s="41" t="n"/>
      <c r="F28" s="41" t="n"/>
      <c r="G28" s="41" t="n"/>
      <c r="H28" s="42" t="n"/>
    </row>
    <row r="29">
      <c r="B29" s="17" t="inlineStr">
        <is>
          <t>Cash-on-Cash Return</t>
        </is>
      </c>
      <c r="C29" s="31">
        <f>C9/-$C$6</f>
        <v/>
      </c>
      <c r="D29" s="31">
        <f>D9/-$C$6</f>
        <v/>
      </c>
      <c r="E29" s="31">
        <f>E9/-$C$6</f>
        <v/>
      </c>
      <c r="F29" s="31">
        <f>F9/-$C$6</f>
        <v/>
      </c>
      <c r="G29" s="31">
        <f>G9/-$C$6</f>
        <v/>
      </c>
    </row>
    <row r="30">
      <c r="B30" s="26" t="n"/>
      <c r="C30" s="26" t="n"/>
      <c r="D30" s="26" t="n"/>
      <c r="E30" s="26" t="n"/>
      <c r="F30" s="26" t="n"/>
      <c r="G30" s="26" t="n"/>
    </row>
    <row r="31" ht="20" customHeight="1">
      <c r="B31" s="27" t="inlineStr">
        <is>
          <t>SUMMARY RETURN METRICS</t>
        </is>
      </c>
      <c r="C31" s="41" t="n"/>
      <c r="D31" s="41" t="n"/>
      <c r="E31" s="41" t="n"/>
      <c r="F31" s="41" t="n"/>
      <c r="G31" s="41" t="n"/>
      <c r="H31" s="42" t="n"/>
    </row>
    <row r="32">
      <c r="B32" s="17" t="n"/>
      <c r="C32" s="26" t="n"/>
      <c r="D32" s="26" t="n"/>
      <c r="E32" s="26" t="n"/>
      <c r="F32" s="26" t="n"/>
      <c r="G32" s="26" t="n"/>
    </row>
    <row r="33">
      <c r="B33" s="17" t="inlineStr"/>
      <c r="C33" s="26" t="n"/>
      <c r="D33" s="26" t="n"/>
      <c r="E33" s="26" t="n"/>
      <c r="F33" s="26" t="n"/>
      <c r="G33" s="26" t="n"/>
    </row>
    <row r="34">
      <c r="B34" s="17" t="inlineStr">
        <is>
          <t>5-Yr Levered IRR</t>
        </is>
      </c>
      <c r="C34" s="26" t="n"/>
      <c r="D34" s="33">
        <f>IRR(C23:H23)</f>
        <v/>
      </c>
      <c r="E34" s="26" t="n"/>
      <c r="F34" s="26" t="n"/>
      <c r="G34" s="26" t="n"/>
    </row>
    <row r="35">
      <c r="B35" s="17" t="inlineStr">
        <is>
          <t>5-Yr Unlevered IRR</t>
        </is>
      </c>
      <c r="C35" s="26" t="n"/>
      <c r="D35" s="33">
        <f>IRR(C26:H26)</f>
        <v/>
      </c>
      <c r="E35" s="26" t="n"/>
      <c r="F35" s="26" t="n"/>
      <c r="G35" s="26" t="n"/>
    </row>
    <row r="36">
      <c r="B36" s="17" t="inlineStr">
        <is>
          <t>Levered Equity Multiple</t>
        </is>
      </c>
      <c r="C36" s="26" t="n"/>
      <c r="D36" s="35">
        <f>SUM(D23:H23)/-C23</f>
        <v/>
      </c>
      <c r="E36" s="26" t="n"/>
      <c r="F36" s="26" t="n"/>
      <c r="G36" s="26" t="n"/>
    </row>
    <row r="37">
      <c r="B37" s="17" t="inlineStr">
        <is>
          <t>Unlevered Equity Multiple</t>
        </is>
      </c>
      <c r="C37" s="26" t="n"/>
      <c r="D37" s="35">
        <f>SUM(D26:H26)/-C26</f>
        <v/>
      </c>
      <c r="E37" s="26" t="n"/>
      <c r="F37" s="26" t="n"/>
      <c r="G37" s="26" t="n"/>
    </row>
  </sheetData>
  <mergeCells count="7">
    <mergeCell ref="B21:H21"/>
    <mergeCell ref="B31:H31"/>
    <mergeCell ref="B2:H2"/>
    <mergeCell ref="B11:H11"/>
    <mergeCell ref="B25:H25"/>
    <mergeCell ref="B5:H5"/>
    <mergeCell ref="B28:H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4D2B"/>
    <outlinePr summaryBelow="1" summaryRight="1"/>
    <pageSetUpPr/>
  </sheetPr>
  <dimension ref="A1:G2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/>
    <row r="2" ht="20" customHeight="1">
      <c r="B2" s="3" t="inlineStr">
        <is>
          <t>SENSITIVITY ANALYSIS</t>
        </is>
      </c>
    </row>
    <row r="3"/>
    <row r="4">
      <c r="B4" s="36" t="inlineStr">
        <is>
          <t>2-WAY: EXIT CAP RATE  x  MARKET RENT GROWTH  -&gt;  LEVERED EQUITY MULTIPLE</t>
        </is>
      </c>
      <c r="C4" s="41" t="n"/>
      <c r="D4" s="41" t="n"/>
      <c r="E4" s="41" t="n"/>
      <c r="F4" s="41" t="n"/>
      <c r="G4" s="42" t="n"/>
    </row>
    <row r="5">
      <c r="B5" s="22" t="inlineStr">
        <is>
          <t>Exit Cap \ Mkt Growth</t>
        </is>
      </c>
      <c r="C5" s="37" t="n">
        <v>0.02</v>
      </c>
      <c r="D5" s="37" t="n">
        <v>0.025</v>
      </c>
      <c r="E5" s="37" t="n">
        <v>0.03</v>
      </c>
      <c r="F5" s="37" t="n">
        <v>0.035</v>
      </c>
      <c r="G5" s="37" t="n">
        <v>0.04</v>
      </c>
    </row>
    <row r="6">
      <c r="B6" s="38" t="n">
        <v>0.0475</v>
      </c>
      <c r="C6" s="35">
        <f>(SUM(Returns!C9:F9)+(((('Operating Proforma'!$G$21+'Operating Proforma'!$C$15*'Operating Proforma'!$G$20*('Operating Proforma'!$C$10*12)*(1+C$5)^4)*(1-'Operating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Proforma'!$C$10*12)*(1+C$5)^4)*(1-'Operating Proforma'!$C$11)+'Operating Proforma'!$G$25)*(1-'Operating Proforma'!$C$14)-('Operating Proforma'!$G$36-'Operating Proforma'!$G$35))*(1+C$5))/$B6)*(1-Returns!$C$13)-Debt!$G$20))/-Returns!$C$6</f>
        <v/>
      </c>
      <c r="D6" s="35">
        <f>(SUM(Returns!C9:F9)+(((('Operating Proforma'!$G$21+'Operating Proforma'!$C$15*'Operating Proforma'!$G$20*('Operating Proforma'!$C$10*12)*(1+D$5)^4)*(1-'Operating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Proforma'!$C$10*12)*(1+D$5)^4)*(1-'Operating Proforma'!$C$11)+'Operating Proforma'!$G$25)*(1-'Operating Proforma'!$C$14)-('Operating Proforma'!$G$36-'Operating Proforma'!$G$35))*(1+D$5))/$B6)*(1-Returns!$C$13)-Debt!$G$20))/-Returns!$C$6</f>
        <v/>
      </c>
      <c r="E6" s="35">
        <f>(SUM(Returns!C9:F9)+(((('Operating Proforma'!$G$21+'Operating Proforma'!$C$15*'Operating Proforma'!$G$20*('Operating Proforma'!$C$10*12)*(1+E$5)^4)*(1-'Operating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Proforma'!$C$10*12)*(1+E$5)^4)*(1-'Operating Proforma'!$C$11)+'Operating Proforma'!$G$25)*(1-'Operating Proforma'!$C$14)-('Operating Proforma'!$G$36-'Operating Proforma'!$G$35))*(1+E$5))/$B6)*(1-Returns!$C$13)-Debt!$G$20))/-Returns!$C$6</f>
        <v/>
      </c>
      <c r="F6" s="35">
        <f>(SUM(Returns!C9:F9)+(((('Operating Proforma'!$G$21+'Operating Proforma'!$C$15*'Operating Proforma'!$G$20*('Operating Proforma'!$C$10*12)*(1+F$5)^4)*(1-'Operating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Proforma'!$C$10*12)*(1+F$5)^4)*(1-'Operating Proforma'!$C$11)+'Operating Proforma'!$G$25)*(1-'Operating Proforma'!$C$14)-('Operating Proforma'!$G$36-'Operating Proforma'!$G$35))*(1+F$5))/$B6)*(1-Returns!$C$13)-Debt!$G$20))/-Returns!$C$6</f>
        <v/>
      </c>
      <c r="G6" s="35">
        <f>(SUM(Returns!C9:F9)+(((('Operating Proforma'!$G$21+'Operating Proforma'!$C$15*'Operating Proforma'!$G$20*('Operating Proforma'!$C$10*12)*(1+G$5)^4)*(1-'Operating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Proforma'!$C$10*12)*(1+G$5)^4)*(1-'Operating Proforma'!$C$11)+'Operating Proforma'!$G$25)*(1-'Operating Proforma'!$C$14)-('Operating Proforma'!$G$36-'Operating Proforma'!$G$35))*(1+G$5))/$B6)*(1-Returns!$C$13)-Debt!$G$20))/-Returns!$C$6</f>
        <v/>
      </c>
    </row>
    <row r="7">
      <c r="B7" s="38" t="n">
        <v>0.05</v>
      </c>
      <c r="C7" s="35">
        <f>(SUM(Returns!C9:F9)+(((('Operating Proforma'!$G$21+'Operating Proforma'!$C$15*'Operating Proforma'!$G$20*('Operating Proforma'!$C$10*12)*(1+C$5)^4)*(1-'Operating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Proforma'!$C$10*12)*(1+C$5)^4)*(1-'Operating Proforma'!$C$11)+'Operating Proforma'!$G$25)*(1-'Operating Proforma'!$C$14)-('Operating Proforma'!$G$36-'Operating Proforma'!$G$35))*(1+C$5))/$B7)*(1-Returns!$C$13)-Debt!$G$20))/-Returns!$C$6</f>
        <v/>
      </c>
      <c r="D7" s="35">
        <f>(SUM(Returns!C9:F9)+(((('Operating Proforma'!$G$21+'Operating Proforma'!$C$15*'Operating Proforma'!$G$20*('Operating Proforma'!$C$10*12)*(1+D$5)^4)*(1-'Operating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Proforma'!$C$10*12)*(1+D$5)^4)*(1-'Operating Proforma'!$C$11)+'Operating Proforma'!$G$25)*(1-'Operating Proforma'!$C$14)-('Operating Proforma'!$G$36-'Operating Proforma'!$G$35))*(1+D$5))/$B7)*(1-Returns!$C$13)-Debt!$G$20))/-Returns!$C$6</f>
        <v/>
      </c>
      <c r="E7" s="35">
        <f>(SUM(Returns!C9:F9)+(((('Operating Proforma'!$G$21+'Operating Proforma'!$C$15*'Operating Proforma'!$G$20*('Operating Proforma'!$C$10*12)*(1+E$5)^4)*(1-'Operating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Proforma'!$C$10*12)*(1+E$5)^4)*(1-'Operating Proforma'!$C$11)+'Operating Proforma'!$G$25)*(1-'Operating Proforma'!$C$14)-('Operating Proforma'!$G$36-'Operating Proforma'!$G$35))*(1+E$5))/$B7)*(1-Returns!$C$13)-Debt!$G$20))/-Returns!$C$6</f>
        <v/>
      </c>
      <c r="F7" s="35">
        <f>(SUM(Returns!C9:F9)+(((('Operating Proforma'!$G$21+'Operating Proforma'!$C$15*'Operating Proforma'!$G$20*('Operating Proforma'!$C$10*12)*(1+F$5)^4)*(1-'Operating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Proforma'!$C$10*12)*(1+F$5)^4)*(1-'Operating Proforma'!$C$11)+'Operating Proforma'!$G$25)*(1-'Operating Proforma'!$C$14)-('Operating Proforma'!$G$36-'Operating Proforma'!$G$35))*(1+F$5))/$B7)*(1-Returns!$C$13)-Debt!$G$20))/-Returns!$C$6</f>
        <v/>
      </c>
      <c r="G7" s="35">
        <f>(SUM(Returns!C9:F9)+(((('Operating Proforma'!$G$21+'Operating Proforma'!$C$15*'Operating Proforma'!$G$20*('Operating Proforma'!$C$10*12)*(1+G$5)^4)*(1-'Operating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Proforma'!$C$10*12)*(1+G$5)^4)*(1-'Operating Proforma'!$C$11)+'Operating Proforma'!$G$25)*(1-'Operating Proforma'!$C$14)-('Operating Proforma'!$G$36-'Operating Proforma'!$G$35))*(1+G$5))/$B7)*(1-Returns!$C$13)-Debt!$G$20))/-Returns!$C$6</f>
        <v/>
      </c>
    </row>
    <row r="8">
      <c r="B8" s="38" t="n">
        <v>0.0525</v>
      </c>
      <c r="C8" s="35">
        <f>(SUM(Returns!C9:F9)+(((('Operating Proforma'!$G$21+'Operating Proforma'!$C$15*'Operating Proforma'!$G$20*('Operating Proforma'!$C$10*12)*(1+C$5)^4)*(1-'Operating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Proforma'!$C$10*12)*(1+C$5)^4)*(1-'Operating Proforma'!$C$11)+'Operating Proforma'!$G$25)*(1-'Operating Proforma'!$C$14)-('Operating Proforma'!$G$36-'Operating Proforma'!$G$35))*(1+C$5))/$B8)*(1-Returns!$C$13)-Debt!$G$20))/-Returns!$C$6</f>
        <v/>
      </c>
      <c r="D8" s="35">
        <f>(SUM(Returns!C9:F9)+(((('Operating Proforma'!$G$21+'Operating Proforma'!$C$15*'Operating Proforma'!$G$20*('Operating Proforma'!$C$10*12)*(1+D$5)^4)*(1-'Operating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Proforma'!$C$10*12)*(1+D$5)^4)*(1-'Operating Proforma'!$C$11)+'Operating Proforma'!$G$25)*(1-'Operating Proforma'!$C$14)-('Operating Proforma'!$G$36-'Operating Proforma'!$G$35))*(1+D$5))/$B8)*(1-Returns!$C$13)-Debt!$G$20))/-Returns!$C$6</f>
        <v/>
      </c>
      <c r="E8" s="35">
        <f>(SUM(Returns!C9:F9)+(((('Operating Proforma'!$G$21+'Operating Proforma'!$C$15*'Operating Proforma'!$G$20*('Operating Proforma'!$C$10*12)*(1+E$5)^4)*(1-'Operating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Proforma'!$C$10*12)*(1+E$5)^4)*(1-'Operating Proforma'!$C$11)+'Operating Proforma'!$G$25)*(1-'Operating Proforma'!$C$14)-('Operating Proforma'!$G$36-'Operating Proforma'!$G$35))*(1+E$5))/$B8)*(1-Returns!$C$13)-Debt!$G$20))/-Returns!$C$6</f>
        <v/>
      </c>
      <c r="F8" s="35">
        <f>(SUM(Returns!C9:F9)+(((('Operating Proforma'!$G$21+'Operating Proforma'!$C$15*'Operating Proforma'!$G$20*('Operating Proforma'!$C$10*12)*(1+F$5)^4)*(1-'Operating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Proforma'!$C$10*12)*(1+F$5)^4)*(1-'Operating Proforma'!$C$11)+'Operating Proforma'!$G$25)*(1-'Operating Proforma'!$C$14)-('Operating Proforma'!$G$36-'Operating Proforma'!$G$35))*(1+F$5))/$B8)*(1-Returns!$C$13)-Debt!$G$20))/-Returns!$C$6</f>
        <v/>
      </c>
      <c r="G8" s="35">
        <f>(SUM(Returns!C9:F9)+(((('Operating Proforma'!$G$21+'Operating Proforma'!$C$15*'Operating Proforma'!$G$20*('Operating Proforma'!$C$10*12)*(1+G$5)^4)*(1-'Operating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Proforma'!$C$10*12)*(1+G$5)^4)*(1-'Operating Proforma'!$C$11)+'Operating Proforma'!$G$25)*(1-'Operating Proforma'!$C$14)-('Operating Proforma'!$G$36-'Operating Proforma'!$G$35))*(1+G$5))/$B8)*(1-Returns!$C$13)-Debt!$G$20))/-Returns!$C$6</f>
        <v/>
      </c>
    </row>
    <row r="9">
      <c r="B9" s="38" t="n">
        <v>0.055</v>
      </c>
      <c r="C9" s="35">
        <f>(SUM(Returns!C9:F9)+(((('Operating Proforma'!$G$21+'Operating Proforma'!$C$15*'Operating Proforma'!$G$20*('Operating Proforma'!$C$10*12)*(1+C$5)^4)*(1-'Operating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Proforma'!$C$10*12)*(1+C$5)^4)*(1-'Operating Proforma'!$C$11)+'Operating Proforma'!$G$25)*(1-'Operating Proforma'!$C$14)-('Operating Proforma'!$G$36-'Operating Proforma'!$G$35))*(1+C$5))/$B9)*(1-Returns!$C$13)-Debt!$G$20))/-Returns!$C$6</f>
        <v/>
      </c>
      <c r="D9" s="35">
        <f>(SUM(Returns!C9:F9)+(((('Operating Proforma'!$G$21+'Operating Proforma'!$C$15*'Operating Proforma'!$G$20*('Operating Proforma'!$C$10*12)*(1+D$5)^4)*(1-'Operating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Proforma'!$C$10*12)*(1+D$5)^4)*(1-'Operating Proforma'!$C$11)+'Operating Proforma'!$G$25)*(1-'Operating Proforma'!$C$14)-('Operating Proforma'!$G$36-'Operating Proforma'!$G$35))*(1+D$5))/$B9)*(1-Returns!$C$13)-Debt!$G$20))/-Returns!$C$6</f>
        <v/>
      </c>
      <c r="E9" s="35">
        <f>(SUM(Returns!C9:F9)+(((('Operating Proforma'!$G$21+'Operating Proforma'!$C$15*'Operating Proforma'!$G$20*('Operating Proforma'!$C$10*12)*(1+E$5)^4)*(1-'Operating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Proforma'!$C$10*12)*(1+E$5)^4)*(1-'Operating Proforma'!$C$11)+'Operating Proforma'!$G$25)*(1-'Operating Proforma'!$C$14)-('Operating Proforma'!$G$36-'Operating Proforma'!$G$35))*(1+E$5))/$B9)*(1-Returns!$C$13)-Debt!$G$20))/-Returns!$C$6</f>
        <v/>
      </c>
      <c r="F9" s="35">
        <f>(SUM(Returns!C9:F9)+(((('Operating Proforma'!$G$21+'Operating Proforma'!$C$15*'Operating Proforma'!$G$20*('Operating Proforma'!$C$10*12)*(1+F$5)^4)*(1-'Operating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Proforma'!$C$10*12)*(1+F$5)^4)*(1-'Operating Proforma'!$C$11)+'Operating Proforma'!$G$25)*(1-'Operating Proforma'!$C$14)-('Operating Proforma'!$G$36-'Operating Proforma'!$G$35))*(1+F$5))/$B9)*(1-Returns!$C$13)-Debt!$G$20))/-Returns!$C$6</f>
        <v/>
      </c>
      <c r="G9" s="35">
        <f>(SUM(Returns!C9:F9)+(((('Operating Proforma'!$G$21+'Operating Proforma'!$C$15*'Operating Proforma'!$G$20*('Operating Proforma'!$C$10*12)*(1+G$5)^4)*(1-'Operating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Proforma'!$C$10*12)*(1+G$5)^4)*(1-'Operating Proforma'!$C$11)+'Operating Proforma'!$G$25)*(1-'Operating Proforma'!$C$14)-('Operating Proforma'!$G$36-'Operating Proforma'!$G$35))*(1+G$5))/$B9)*(1-Returns!$C$13)-Debt!$G$20))/-Returns!$C$6</f>
        <v/>
      </c>
    </row>
    <row r="10">
      <c r="B10" s="38" t="n">
        <v>0.0575</v>
      </c>
      <c r="C10" s="35">
        <f>(SUM(Returns!C9:F9)+(((('Operating Proforma'!$G$21+'Operating Proforma'!$C$15*'Operating Proforma'!$G$20*('Operating Proforma'!$C$10*12)*(1+C$5)^4)*(1-'Operating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Proforma'!$C$10*12)*(1+C$5)^4)*(1-'Operating Proforma'!$C$11)+'Operating Proforma'!$G$25)*(1-'Operating Proforma'!$C$14)-('Operating Proforma'!$G$36-'Operating Proforma'!$G$35))*(1+C$5))/$B10)*(1-Returns!$C$13)-Debt!$G$20))/-Returns!$C$6</f>
        <v/>
      </c>
      <c r="D10" s="35">
        <f>(SUM(Returns!C9:F9)+(((('Operating Proforma'!$G$21+'Operating Proforma'!$C$15*'Operating Proforma'!$G$20*('Operating Proforma'!$C$10*12)*(1+D$5)^4)*(1-'Operating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Proforma'!$C$10*12)*(1+D$5)^4)*(1-'Operating Proforma'!$C$11)+'Operating Proforma'!$G$25)*(1-'Operating Proforma'!$C$14)-('Operating Proforma'!$G$36-'Operating Proforma'!$G$35))*(1+D$5))/$B10)*(1-Returns!$C$13)-Debt!$G$20))/-Returns!$C$6</f>
        <v/>
      </c>
      <c r="E10" s="35">
        <f>(SUM(Returns!C9:F9)+(((('Operating Proforma'!$G$21+'Operating Proforma'!$C$15*'Operating Proforma'!$G$20*('Operating Proforma'!$C$10*12)*(1+E$5)^4)*(1-'Operating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Proforma'!$C$10*12)*(1+E$5)^4)*(1-'Operating Proforma'!$C$11)+'Operating Proforma'!$G$25)*(1-'Operating Proforma'!$C$14)-('Operating Proforma'!$G$36-'Operating Proforma'!$G$35))*(1+E$5))/$B10)*(1-Returns!$C$13)-Debt!$G$20))/-Returns!$C$6</f>
        <v/>
      </c>
      <c r="F10" s="35">
        <f>(SUM(Returns!C9:F9)+(((('Operating Proforma'!$G$21+'Operating Proforma'!$C$15*'Operating Proforma'!$G$20*('Operating Proforma'!$C$10*12)*(1+F$5)^4)*(1-'Operating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Proforma'!$C$10*12)*(1+F$5)^4)*(1-'Operating Proforma'!$C$11)+'Operating Proforma'!$G$25)*(1-'Operating Proforma'!$C$14)-('Operating Proforma'!$G$36-'Operating Proforma'!$G$35))*(1+F$5))/$B10)*(1-Returns!$C$13)-Debt!$G$20))/-Returns!$C$6</f>
        <v/>
      </c>
      <c r="G10" s="35">
        <f>(SUM(Returns!C9:F9)+(((('Operating Proforma'!$G$21+'Operating Proforma'!$C$15*'Operating Proforma'!$G$20*('Operating Proforma'!$C$10*12)*(1+G$5)^4)*(1-'Operating Proforma'!$C$11)+'Operating Proforma'!$G$25)*(1-'Operating Proforma'!$C$14)-('Operating Proforma'!$G$36-'Operating Proforma'!$G$35))-Debt!$G$17+((((('Operating Proforma'!$G$21+'Operating Proforma'!$C$15*'Operating Proforma'!$G$20*('Operating Proforma'!$C$10*12)*(1+G$5)^4)*(1-'Operating Proforma'!$C$11)+'Operating Proforma'!$G$25)*(1-'Operating Proforma'!$C$14)-('Operating Proforma'!$G$36-'Operating Proforma'!$G$35))*(1+G$5))/$B10)*(1-Returns!$C$13)-Debt!$G$20))/-Returns!$C$6</f>
        <v/>
      </c>
    </row>
    <row r="11">
      <c r="B11" s="26" t="n"/>
      <c r="C11" s="26" t="n"/>
      <c r="D11" s="26" t="n"/>
      <c r="E11" s="26" t="n"/>
      <c r="F11" s="26" t="n"/>
      <c r="G11" s="26" t="n"/>
    </row>
    <row r="12">
      <c r="B12" s="26" t="n"/>
      <c r="C12" s="26" t="n"/>
      <c r="D12" s="26" t="n"/>
      <c r="E12" s="26" t="n"/>
      <c r="F12" s="26" t="n"/>
      <c r="G12" s="26" t="n"/>
    </row>
    <row r="13">
      <c r="B13" s="36" t="inlineStr">
        <is>
          <t>2-WAY: EXIT CAP RATE  x  MARKET RENT GROWTH  -&gt;  TOTAL PROFIT ($)</t>
        </is>
      </c>
      <c r="C13" s="41" t="n"/>
      <c r="D13" s="41" t="n"/>
      <c r="E13" s="41" t="n"/>
      <c r="F13" s="41" t="n"/>
      <c r="G13" s="42" t="n"/>
    </row>
    <row r="14">
      <c r="B14" s="22" t="inlineStr">
        <is>
          <t>Exit Cap \ Mkt Growth</t>
        </is>
      </c>
      <c r="C14" s="37" t="n">
        <v>0.02</v>
      </c>
      <c r="D14" s="37" t="n">
        <v>0.025</v>
      </c>
      <c r="E14" s="37" t="n">
        <v>0.03</v>
      </c>
      <c r="F14" s="37" t="n">
        <v>0.035</v>
      </c>
      <c r="G14" s="37" t="n">
        <v>0.04</v>
      </c>
    </row>
    <row r="15">
      <c r="B15" s="38" t="n">
        <v>0.0475</v>
      </c>
      <c r="C15" s="21">
        <f>(C6-1)*-Returns!$C$6</f>
        <v/>
      </c>
      <c r="D15" s="21">
        <f>(D6-1)*-Returns!$C$6</f>
        <v/>
      </c>
      <c r="E15" s="21">
        <f>(E6-1)*-Returns!$C$6</f>
        <v/>
      </c>
      <c r="F15" s="21">
        <f>(F6-1)*-Returns!$C$6</f>
        <v/>
      </c>
      <c r="G15" s="21">
        <f>(G6-1)*-Returns!$C$6</f>
        <v/>
      </c>
    </row>
    <row r="16">
      <c r="B16" s="38" t="n">
        <v>0.05</v>
      </c>
      <c r="C16" s="21">
        <f>(C7-1)*-Returns!$C$6</f>
        <v/>
      </c>
      <c r="D16" s="21">
        <f>(D7-1)*-Returns!$C$6</f>
        <v/>
      </c>
      <c r="E16" s="21">
        <f>(E7-1)*-Returns!$C$6</f>
        <v/>
      </c>
      <c r="F16" s="21">
        <f>(F7-1)*-Returns!$C$6</f>
        <v/>
      </c>
      <c r="G16" s="21">
        <f>(G7-1)*-Returns!$C$6</f>
        <v/>
      </c>
    </row>
    <row r="17">
      <c r="B17" s="38" t="n">
        <v>0.0525</v>
      </c>
      <c r="C17" s="21">
        <f>(C8-1)*-Returns!$C$6</f>
        <v/>
      </c>
      <c r="D17" s="21">
        <f>(D8-1)*-Returns!$C$6</f>
        <v/>
      </c>
      <c r="E17" s="21">
        <f>(E8-1)*-Returns!$C$6</f>
        <v/>
      </c>
      <c r="F17" s="21">
        <f>(F8-1)*-Returns!$C$6</f>
        <v/>
      </c>
      <c r="G17" s="21">
        <f>(G8-1)*-Returns!$C$6</f>
        <v/>
      </c>
    </row>
    <row r="18">
      <c r="B18" s="38" t="n">
        <v>0.055</v>
      </c>
      <c r="C18" s="21">
        <f>(C9-1)*-Returns!$C$6</f>
        <v/>
      </c>
      <c r="D18" s="21">
        <f>(D9-1)*-Returns!$C$6</f>
        <v/>
      </c>
      <c r="E18" s="21">
        <f>(E9-1)*-Returns!$C$6</f>
        <v/>
      </c>
      <c r="F18" s="21">
        <f>(F9-1)*-Returns!$C$6</f>
        <v/>
      </c>
      <c r="G18" s="21">
        <f>(G9-1)*-Returns!$C$6</f>
        <v/>
      </c>
    </row>
    <row r="19">
      <c r="B19" s="38" t="n">
        <v>0.0575</v>
      </c>
      <c r="C19" s="21">
        <f>(C10-1)*-Returns!$C$6</f>
        <v/>
      </c>
      <c r="D19" s="21">
        <f>(D10-1)*-Returns!$C$6</f>
        <v/>
      </c>
      <c r="E19" s="21">
        <f>(E10-1)*-Returns!$C$6</f>
        <v/>
      </c>
      <c r="F19" s="21">
        <f>(F10-1)*-Returns!$C$6</f>
        <v/>
      </c>
      <c r="G19" s="21">
        <f>(G10-1)*-Returns!$C$6</f>
        <v/>
      </c>
    </row>
    <row r="20">
      <c r="B20" s="26" t="n"/>
      <c r="C20" s="26" t="n"/>
      <c r="D20" s="26" t="n"/>
      <c r="E20" s="26" t="n"/>
      <c r="F20" s="26" t="n"/>
      <c r="G20" s="26" t="n"/>
    </row>
    <row r="21">
      <c r="B21" s="26" t="n"/>
      <c r="C21" s="26" t="n"/>
      <c r="D21" s="26" t="n"/>
      <c r="E21" s="26" t="n"/>
      <c r="F21" s="26" t="n"/>
      <c r="G21" s="26" t="n"/>
    </row>
    <row r="22">
      <c r="B22" s="26" t="n"/>
      <c r="C22" s="26" t="n"/>
      <c r="D22" s="26" t="n"/>
      <c r="E22" s="26" t="n"/>
      <c r="F22" s="26" t="n"/>
      <c r="G22" s="26" t="n"/>
    </row>
    <row r="23">
      <c r="B23" s="36" t="inlineStr">
        <is>
          <t>1-WAY: INTEREST RATE  x  YEAR-1 DSCR</t>
        </is>
      </c>
      <c r="C23" s="41" t="n"/>
      <c r="D23" s="41" t="n"/>
      <c r="E23" s="41" t="n"/>
      <c r="F23" s="41" t="n"/>
      <c r="G23" s="42" t="n"/>
    </row>
    <row r="24">
      <c r="B24" s="22" t="inlineStr">
        <is>
          <t>Interest Rate</t>
        </is>
      </c>
      <c r="C24" s="38" t="n">
        <v>0.04</v>
      </c>
      <c r="D24" s="38" t="n">
        <v>0.0475</v>
      </c>
      <c r="E24" s="38" t="n">
        <v>0.055</v>
      </c>
      <c r="F24" s="38" t="n">
        <v>0.0625</v>
      </c>
      <c r="G24" s="38" t="n">
        <v>0.065</v>
      </c>
    </row>
    <row r="25">
      <c r="B25" s="22" t="inlineStr">
        <is>
          <t>Year-1 DSCR</t>
        </is>
      </c>
      <c r="C25" s="35">
        <f>'Operating Proforma'!$C$39/(-PMT(C24/12,Debt!$D$9*12,Debt!$D$8)*12)</f>
        <v/>
      </c>
      <c r="D25" s="35">
        <f>'Operating Proforma'!$C$39/(-PMT(D24/12,Debt!$D$9*12,Debt!$D$8)*12)</f>
        <v/>
      </c>
      <c r="E25" s="35">
        <f>'Operating Proforma'!$C$39/(-PMT(E24/12,Debt!$D$9*12,Debt!$D$8)*12)</f>
        <v/>
      </c>
      <c r="F25" s="35">
        <f>'Operating Proforma'!$C$39/(-PMT(F24/12,Debt!$D$9*12,Debt!$D$8)*12)</f>
        <v/>
      </c>
      <c r="G25" s="35">
        <f>'Operating Proforma'!$C$39/(-PMT(G24/12,Debt!$D$9*12,Debt!$D$8)*12)</f>
        <v/>
      </c>
    </row>
    <row r="26">
      <c r="B26" s="26" t="n"/>
      <c r="C26" s="26" t="n"/>
      <c r="D26" s="26" t="n"/>
      <c r="E26" s="26" t="n"/>
      <c r="F26" s="26" t="n"/>
      <c r="G26" s="26" t="n"/>
    </row>
    <row r="27"/>
    <row r="28">
      <c r="B28" s="15" t="inlineStr">
        <is>
          <t>Closed-form sensitivities recompute Year-5 NOI / debt service directly from named assumptions (no Excel What-If Data Tables required); vacancy loss and management fee flex with the grid's rent-growth-driven GPR/EGI (other opex lines held at Year-5 proforma levels). Base case: exit cap 5.25%, market rent growth 3.0%.</t>
        </is>
      </c>
    </row>
  </sheetData>
  <mergeCells count="5">
    <mergeCell ref="B2:G2"/>
    <mergeCell ref="B28:G28"/>
    <mergeCell ref="B23:G23"/>
    <mergeCell ref="B4:G4"/>
    <mergeCell ref="B13:G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4D2B"/>
    <outlinePr summaryBelow="1" summaryRight="1"/>
    <pageSetUpPr/>
  </sheetPr>
  <dimension ref="A1:D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0" customWidth="1" min="4" max="4"/>
  </cols>
  <sheetData>
    <row r="1"/>
    <row r="2" ht="20" customHeight="1">
      <c r="B2" s="3" t="inlineStr">
        <is>
          <t>MARKET DATA &amp; SOURCES</t>
        </is>
      </c>
    </row>
    <row r="3"/>
    <row r="4" ht="18" customHeight="1">
      <c r="B4" s="39" t="inlineStr">
        <is>
          <t>Metric</t>
        </is>
      </c>
      <c r="C4" s="39" t="inlineStr">
        <is>
          <t>Value</t>
        </is>
      </c>
      <c r="D4" s="39" t="inlineStr">
        <is>
          <t>Source</t>
        </is>
      </c>
    </row>
    <row r="5">
      <c r="B5" s="40" t="inlineStr">
        <is>
          <t>Toronto multifamily cap rate range (Q1 2026)</t>
        </is>
      </c>
      <c r="C5" s="40" t="inlineStr">
        <is>
          <t>3.85% - 4.75%</t>
        </is>
      </c>
      <c r="D5" s="40" t="inlineStr">
        <is>
          <t>CBRE Canada Cap Rate Survey, Q1 2026</t>
        </is>
      </c>
    </row>
    <row r="6">
      <c r="B6" s="40" t="inlineStr">
        <is>
          <t>Subject listing advertised cap rate</t>
        </is>
      </c>
      <c r="C6" s="40" t="inlineStr">
        <is>
          <t>6.15%</t>
        </is>
      </c>
      <c r="D6" s="40" t="inlineStr">
        <is>
          <t>Listing marketing materials, 2480 Dundas St W</t>
        </is>
      </c>
    </row>
    <row r="7">
      <c r="B7" s="40" t="inlineStr">
        <is>
          <t>Subject implied opex ratio (advertised)</t>
        </is>
      </c>
      <c r="C7" s="40" t="inlineStr">
        <is>
          <t>17.6%</t>
        </is>
      </c>
      <c r="D7" s="40" t="inlineStr">
        <is>
          <t>Derived: advertised opex / advertised GAI</t>
        </is>
      </c>
    </row>
    <row r="8">
      <c r="B8" s="40" t="inlineStr">
        <is>
          <t>Toronto small multifamily opex ratio benchmark</t>
        </is>
      </c>
      <c r="C8" s="40" t="inlineStr">
        <is>
          <t>32% - 45% of EGI</t>
        </is>
      </c>
      <c r="D8" s="40" t="inlineStr">
        <is>
          <t>Industry underwriting norms for &lt;20-unit walk-ups, GTA</t>
        </is>
      </c>
    </row>
    <row r="9">
      <c r="B9" s="40" t="inlineStr">
        <is>
          <t>Toronto average asking rent, 1BR (market)</t>
        </is>
      </c>
      <c r="C9" s="40" t="inlineStr">
        <is>
          <t>~$2,150/mo</t>
        </is>
      </c>
      <c r="D9" s="40" t="inlineStr">
        <is>
          <t>Rentals.ca / Urbanation Toronto Rent Report</t>
        </is>
      </c>
    </row>
    <row r="10">
      <c r="B10" s="40" t="inlineStr">
        <is>
          <t>Subject in-place average rent (hard-loft premium)</t>
        </is>
      </c>
      <c r="C10" s="40" t="inlineStr">
        <is>
          <t>~$2,660/mo</t>
        </is>
      </c>
      <c r="D10" s="40" t="inlineStr">
        <is>
          <t>Derived from advertised GAI of $447,113 / 14 units / 12</t>
        </is>
      </c>
    </row>
    <row r="11">
      <c r="B11" s="40" t="inlineStr">
        <is>
          <t>Premium loft reset rent assumption (post-turnover)</t>
        </is>
      </c>
      <c r="C11" s="40" t="inlineStr">
        <is>
          <t>$2,900/mo</t>
        </is>
      </c>
      <c r="D11" s="40" t="inlineStr">
        <is>
          <t>Underwriting assumption - loft/live-work niche premium</t>
        </is>
      </c>
    </row>
    <row r="12">
      <c r="B12" s="40" t="inlineStr">
        <is>
          <t>Ontario Residential Rent Increase Guideline (2026)</t>
        </is>
      </c>
      <c r="C12" s="40" t="inlineStr">
        <is>
          <t>2.1%</t>
        </is>
      </c>
      <c r="D12" s="40" t="inlineStr">
        <is>
          <t>Ontario Ministry of Municipal Affairs and Housing, Rent Increase Guideline</t>
        </is>
      </c>
    </row>
    <row r="13">
      <c r="B13" s="40" t="inlineStr">
        <is>
          <t>Toronto purpose-built rental vacancy rate</t>
        </is>
      </c>
      <c r="C13" s="40" t="inlineStr">
        <is>
          <t>&lt; 2.0%</t>
        </is>
      </c>
      <c r="D13" s="40" t="inlineStr">
        <is>
          <t>CMHC Rental Market Report, Toronto CMA</t>
        </is>
      </c>
    </row>
    <row r="14">
      <c r="B14" s="40" t="inlineStr">
        <is>
          <t>CMHC-insured 5-yr multi-unit mortgage rate (indicative)</t>
        </is>
      </c>
      <c r="C14" s="40" t="inlineStr">
        <is>
          <t>~4.45%</t>
        </is>
      </c>
      <c r="D14" s="40" t="inlineStr">
        <is>
          <t>CMHC MLI Select / lender rate sheets, 2026</t>
        </is>
      </c>
    </row>
    <row r="15">
      <c r="B15" s="40" t="inlineStr">
        <is>
          <t>Conventional 5-yr multi-unit mortgage rate (indicative)</t>
        </is>
      </c>
      <c r="C15" s="40" t="inlineStr">
        <is>
          <t>~5.50%</t>
        </is>
      </c>
      <c r="D15" s="40" t="inlineStr">
        <is>
          <t>Chartered bank commercial/multi-res lending desks, 2026</t>
        </is>
      </c>
    </row>
    <row r="16">
      <c r="B16" s="40" t="inlineStr">
        <is>
          <t>Ontario Land Transfer Tax brackets</t>
        </is>
      </c>
      <c r="C16" s="40" t="inlineStr">
        <is>
          <t>0.5% / 1.0% / 1.5% / 2.0% / 2.5%</t>
        </is>
      </c>
      <c r="D16" s="40" t="inlineStr">
        <is>
          <t>Ontario Ministry of Finance, Land Transfer Tax rates</t>
        </is>
      </c>
    </row>
    <row r="17">
      <c r="B17" s="40" t="inlineStr">
        <is>
          <t>Toronto Municipal Land Transfer Tax brackets</t>
        </is>
      </c>
      <c r="C17" s="40" t="inlineStr">
        <is>
          <t>0.5% / 1.0% / 1.5% / 2.0% / 2.5% (harmonized w/ Ontario, 2024+)</t>
        </is>
      </c>
      <c r="D17" s="40" t="inlineStr">
        <is>
          <t>City of Toronto, Municipal Land Transfer Tax</t>
        </is>
      </c>
    </row>
    <row r="18">
      <c r="B18" s="40" t="inlineStr">
        <is>
          <t>Tenant turnover rate assumption</t>
        </is>
      </c>
      <c r="C18" s="40" t="inlineStr">
        <is>
          <t>15% per annum</t>
        </is>
      </c>
      <c r="D18" s="40" t="inlineStr">
        <is>
          <t>Underwriting assumption, small GTA rental buildings</t>
        </is>
      </c>
    </row>
    <row r="19">
      <c r="B19" s="40" t="inlineStr">
        <is>
          <t>Market rent growth assumption</t>
        </is>
      </c>
      <c r="C19" s="40" t="inlineStr">
        <is>
          <t>3.0% per annum</t>
        </is>
      </c>
      <c r="D19" s="40" t="inlineStr">
        <is>
          <t>Underwriting assumption, informed by CMHC/Urbanation trend data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Akul Veauli</dc:creator>
  <dc:title xmlns:dc="http://purl.org/dc/elements/1.1/">2480 Dundas Street West - Multifamily Acquisition Model</dc:title>
  <dcterms:created xmlns:dcterms="http://purl.org/dc/terms/" xmlns:xsi="http://www.w3.org/2001/XMLSchema-instance" xsi:type="dcterms:W3CDTF">2026-08-23T03:29:04Z</dcterms:created>
  <dcterms:modified xmlns:dcterms="http://purl.org/dc/terms/" xmlns:xsi="http://www.w3.org/2001/XMLSchema-instance" xsi:type="dcterms:W3CDTF">2026-08-27T05:46:11Z</dcterms:modified>
  <cp:lastModifiedBy>Akul Veauli</cp:lastModifiedBy>
</cp:coreProperties>
</file>