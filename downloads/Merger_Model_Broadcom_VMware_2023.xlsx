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Assumptions" sheetId="2" state="visible" r:id="rId2"/>
    <sheet xmlns:r="http://schemas.openxmlformats.org/officeDocument/2006/relationships" name="Acquirer" sheetId="3" state="visible" r:id="rId3"/>
    <sheet xmlns:r="http://schemas.openxmlformats.org/officeDocument/2006/relationships" name="Target" sheetId="4" state="visible" r:id="rId4"/>
    <sheet xmlns:r="http://schemas.openxmlformats.org/officeDocument/2006/relationships" name="Synergies" sheetId="5" state="visible" r:id="rId5"/>
    <sheet xmlns:r="http://schemas.openxmlformats.org/officeDocument/2006/relationships" name="PPA-Financing" sheetId="6" state="visible" r:id="rId6"/>
    <sheet xmlns:r="http://schemas.openxmlformats.org/officeDocument/2006/relationships" name="ProForma" sheetId="7" state="visible" r:id="rId7"/>
    <sheet xmlns:r="http://schemas.openxmlformats.org/officeDocument/2006/relationships" name="Contribution" sheetId="8" state="visible" r:id="rId8"/>
    <sheet xmlns:r="http://schemas.openxmlformats.org/officeDocument/2006/relationships" name="Sensitivity" sheetId="9" state="visible" r:id="rId9"/>
  </sheets>
  <definedNames/>
  <calcPr calcId="124519" fullCalcOnLoad="1"/>
</workbook>
</file>

<file path=xl/styles.xml><?xml version="1.0" encoding="utf-8"?>
<styleSheet xmlns="http://schemas.openxmlformats.org/spreadsheetml/2006/main">
  <numFmts count="7">
    <numFmt numFmtId="164" formatCode="$#,##0.00"/>
    <numFmt numFmtId="165" formatCode="#,##0.0;(#,##0.0)"/>
    <numFmt numFmtId="166" formatCode="0.0%"/>
    <numFmt numFmtId="167" formatCode="#,##0.0"/>
    <numFmt numFmtId="168" formatCode="0.0000"/>
    <numFmt numFmtId="169" formatCode="#,##0;(#,##0)"/>
    <numFmt numFmtId="170" formatCode="0.0x"/>
  </numFmts>
  <fonts count="10">
    <font>
      <name val="Calibri"/>
      <family val="2"/>
      <color theme="1"/>
      <sz val="11"/>
      <scheme val="minor"/>
    </font>
    <font>
      <name val="Arial"/>
      <b val="1"/>
      <color rgb="FF1F3864"/>
      <sz val="14"/>
    </font>
    <font>
      <name val="Arial"/>
      <i val="1"/>
      <color rgb="FF7F7F7F"/>
      <sz val="9"/>
    </font>
    <font>
      <name val="Arial"/>
      <b val="1"/>
      <sz val="10"/>
    </font>
    <font>
      <name val="Arial"/>
      <sz val="10"/>
    </font>
    <font>
      <name val="Arial"/>
      <b val="1"/>
      <color rgb="FFFFFFFF"/>
      <sz val="10"/>
    </font>
    <font>
      <name val="Arial"/>
      <color rgb="FF0000FF"/>
      <sz val="10"/>
    </font>
    <font>
      <name val="Arial"/>
      <color rgb="FF000000"/>
      <sz val="10"/>
    </font>
    <font>
      <name val="Arial"/>
      <color rgb="FF008000"/>
      <sz val="10"/>
    </font>
    <font>
      <name val="Arial"/>
      <b val="1"/>
      <color rgb="FF000000"/>
      <sz val="10"/>
    </font>
  </fonts>
  <fills count="5">
    <fill>
      <patternFill/>
    </fill>
    <fill>
      <patternFill patternType="gray125"/>
    </fill>
    <fill>
      <patternFill patternType="solid">
        <fgColor rgb="FF1F3864"/>
        <bgColor rgb="FF1F3864"/>
      </patternFill>
    </fill>
    <fill>
      <patternFill patternType="solid">
        <fgColor rgb="FFFFF2CC"/>
        <bgColor rgb="FFFFF2CC"/>
      </patternFill>
    </fill>
    <fill>
      <patternFill patternType="solid">
        <fgColor rgb="FFD9E1F2"/>
        <bgColor rgb="FFD9E1F2"/>
      </patternFill>
    </fill>
  </fills>
  <borders count="2">
    <border>
      <left/>
      <right/>
      <top/>
      <bottom/>
      <diagonal/>
    </border>
    <border>
      <top style="thin">
        <color rgb="FF7F7F7F"/>
      </top>
      <bottom style="double">
        <color rgb="FF000000"/>
      </bottom>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5" fillId="2" borderId="0" pivotButton="0" quotePrefix="0" xfId="0"/>
    <xf numFmtId="0" fontId="6" fillId="3" borderId="0" pivotButton="0" quotePrefix="0" xfId="0"/>
    <xf numFmtId="0" fontId="7" fillId="0" borderId="0" pivotButton="0" quotePrefix="0" xfId="0"/>
    <xf numFmtId="0" fontId="8" fillId="0" borderId="0" pivotButton="0" quotePrefix="0" xfId="0"/>
    <xf numFmtId="164" fontId="8" fillId="0" borderId="0" pivotButton="0" quotePrefix="0" xfId="0"/>
    <xf numFmtId="165" fontId="8" fillId="0" borderId="0" pivotButton="0" quotePrefix="0" xfId="0"/>
    <xf numFmtId="166" fontId="8" fillId="0" borderId="0" pivotButton="0" quotePrefix="0" xfId="0"/>
    <xf numFmtId="0" fontId="2" fillId="0" borderId="0" applyAlignment="1" pivotButton="0" quotePrefix="0" xfId="0">
      <alignment vertical="top" wrapText="1"/>
    </xf>
    <xf numFmtId="167" fontId="6" fillId="3" borderId="0" pivotButton="0" quotePrefix="0" xfId="0"/>
    <xf numFmtId="164" fontId="6" fillId="3" borderId="0" pivotButton="0" quotePrefix="0" xfId="0"/>
    <xf numFmtId="168" fontId="6" fillId="3" borderId="0" pivotButton="0" quotePrefix="0" xfId="0"/>
    <xf numFmtId="169" fontId="6" fillId="3" borderId="0" pivotButton="0" quotePrefix="0" xfId="0"/>
    <xf numFmtId="166" fontId="6" fillId="3" borderId="0" pivotButton="0" quotePrefix="0" xfId="0"/>
    <xf numFmtId="166" fontId="7" fillId="0" borderId="0" pivotButton="0" quotePrefix="0" xfId="0"/>
    <xf numFmtId="167" fontId="7" fillId="0" borderId="0" pivotButton="0" quotePrefix="0" xfId="0"/>
    <xf numFmtId="165" fontId="7" fillId="4" borderId="0" pivotButton="0" quotePrefix="0" xfId="0"/>
    <xf numFmtId="164" fontId="7" fillId="4" borderId="1" pivotButton="0" quotePrefix="0" xfId="0"/>
    <xf numFmtId="165" fontId="7" fillId="4" borderId="1" pivotButton="0" quotePrefix="0" xfId="0"/>
    <xf numFmtId="167" fontId="7" fillId="4" borderId="1" pivotButton="0" quotePrefix="0" xfId="0"/>
    <xf numFmtId="165" fontId="6" fillId="3" borderId="0" pivotButton="0" quotePrefix="0" xfId="0"/>
    <xf numFmtId="10" fontId="6" fillId="3" borderId="0" pivotButton="0" quotePrefix="0" xfId="0"/>
    <xf numFmtId="10" fontId="7" fillId="4" borderId="1" pivotButton="0" quotePrefix="0" xfId="0"/>
    <xf numFmtId="1" fontId="6" fillId="3" borderId="0" pivotButton="0" quotePrefix="0" xfId="0"/>
    <xf numFmtId="0" fontId="9" fillId="0" borderId="0" pivotButton="0" quotePrefix="0" xfId="0"/>
    <xf numFmtId="165" fontId="7" fillId="0" borderId="0" pivotButton="0" quotePrefix="0" xfId="0"/>
    <xf numFmtId="165" fontId="8" fillId="4" borderId="1" pivotButton="0" quotePrefix="0" xfId="0"/>
    <xf numFmtId="167" fontId="8" fillId="0" borderId="0" pivotButton="0" quotePrefix="0" xfId="0"/>
    <xf numFmtId="164" fontId="7" fillId="0" borderId="0" pivotButton="0" quotePrefix="0" xfId="0"/>
    <xf numFmtId="166" fontId="7" fillId="4" borderId="1" pivotButton="0" quotePrefix="0" xfId="0"/>
    <xf numFmtId="170" fontId="7" fillId="0" borderId="0" pivotButton="0" quotePrefix="0" xfId="0"/>
    <xf numFmtId="168" fontId="8" fillId="0" borderId="0" pivotButton="0" quotePrefix="0" xfId="0"/>
    <xf numFmtId="10" fontId="8" fillId="0" borderId="0" pivotButton="0" quotePrefix="0" xfId="0"/>
    <xf numFmtId="166" fontId="8" fillId="4" borderId="1" pivotButton="0" quotePrefix="0" xfId="0"/>
  </cellXfs>
  <cellStyles count="1">
    <cellStyle name="Normal" xfId="0" builtinId="0" hidden="0"/>
  </cellStyles>
  <dxfs count="2">
    <dxf>
      <fill>
        <patternFill patternType="solid">
          <fgColor rgb="FFC6EFCE"/>
          <bgColor rgb="FFC6EFCE"/>
        </patternFill>
      </fill>
    </dxf>
    <dxf>
      <fill>
        <patternFill patternType="solid">
          <fgColor rgb="FFFFC7CE"/>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
  <sheetViews>
    <sheetView showGridLines="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4" customWidth="1" min="2" max="2"/>
    <col width="20" customWidth="1" min="3" max="3"/>
    <col width="20" customWidth="1" min="4" max="4"/>
    <col width="20" customWidth="1" min="5" max="5"/>
    <col width="20" customWidth="1" min="6" max="6"/>
    <col width="20" customWidth="1" min="7" max="7"/>
  </cols>
  <sheetData>
    <row r="1"/>
    <row r="2">
      <c r="B2" s="1" t="inlineStr">
        <is>
          <t>Broadcom Inc. / VMware, Inc. - Merger Model (Cash-or-Stock Election)</t>
        </is>
      </c>
    </row>
    <row r="3">
      <c r="B3" s="2" t="inlineStr">
        <is>
          <t>($ in millions, except per-share data, unless noted)</t>
        </is>
      </c>
    </row>
    <row r="4">
      <c r="B4" s="2" t="inlineStr">
        <is>
          <t>Deal: Broadcom (AVGO) acquisition of VMware (VMW) - announced May 26, 2022; closed November 22, 2023</t>
        </is>
      </c>
    </row>
    <row r="5">
      <c r="B5" s="3" t="inlineStr">
        <is>
          <t>Prepared by: Akul Veauli</t>
        </is>
      </c>
    </row>
    <row r="6">
      <c r="B6" s="4" t="inlineStr">
        <is>
          <t>Date: August 23, 2026</t>
        </is>
      </c>
    </row>
    <row r="7"/>
    <row r="8" ht="105" customHeight="1">
      <c r="B8" s="5" t="inlineStr">
        <is>
          <t>Model description: Cash-or-stock election merger model for Broadcom's acquisition of VMware. VMware shareholders elected $142.50 cash OR 0.2520 AVGO shares per share, with aggregate proration to a 50%/50% cash/stock mix (actual outcome skewed slightly stock-heavy at 52.1% stock / 47.9% cash due to election oversubscription toward stock, since AVGO shares appreciated well above the fixed cash price between signing and close). The Assumptions tab models the election/proration mechanics explicitly as a live block. Financing uses $28.4B of new term loans (SOFR + 112.5-162.5bps across tranches) to fund the cash consideration; VMware's ~$8.25B of senior notes are assumed (not refinanced). Purchase price allocation is anchored to AVGO's actual FY2024 10-K disclosure (~$79.6B net consideration, ~$35-36B identifiable intangibles, ~$43-45B goodwill). Synergies are phased toward management's stated target of ~$8.5B VMware EBITDA within 3 years (from a ~$4.7B adjusted EBITDA base).</t>
        </is>
      </c>
    </row>
    <row r="9"/>
    <row r="10"/>
    <row r="11">
      <c r="B11" s="6" t="inlineStr">
        <is>
          <t>Color-code legend</t>
        </is>
      </c>
      <c r="C11" s="6" t="n"/>
      <c r="D11" s="6" t="n"/>
    </row>
    <row r="12">
      <c r="B12" s="7" t="inlineStr">
        <is>
          <t>123.4  (hardcoded input)</t>
        </is>
      </c>
      <c r="C12" t="inlineStr">
        <is>
          <t>Blue font / yellow fill = hardcoded assumption</t>
        </is>
      </c>
    </row>
    <row r="13">
      <c r="B13" s="8" t="inlineStr">
        <is>
          <t>B12*2  (same-sheet formula, e.g.)</t>
        </is>
      </c>
      <c r="C13" t="inlineStr">
        <is>
          <t>Black font = formula referencing same tab</t>
        </is>
      </c>
    </row>
    <row r="14">
      <c r="B14" s="9" t="inlineStr">
        <is>
          <t>'Assumptions'!B12  (cross-tab link, e.g.)</t>
        </is>
      </c>
      <c r="C14" t="inlineStr">
        <is>
          <t>Green font = formula linking from another tab</t>
        </is>
      </c>
    </row>
    <row r="15"/>
    <row r="16"/>
    <row r="17">
      <c r="B17" s="6" t="inlineStr">
        <is>
          <t>Table of contents</t>
        </is>
      </c>
      <c r="C17" s="6" t="n"/>
    </row>
    <row r="18">
      <c r="B18" s="4" t="inlineStr">
        <is>
          <t>Cover</t>
        </is>
      </c>
    </row>
    <row r="19">
      <c r="B19" s="4" t="inlineStr">
        <is>
          <t>Assumptions</t>
        </is>
      </c>
    </row>
    <row r="20">
      <c r="B20" s="4" t="inlineStr">
        <is>
          <t>Acquirer</t>
        </is>
      </c>
    </row>
    <row r="21">
      <c r="B21" s="4" t="inlineStr">
        <is>
          <t>Target</t>
        </is>
      </c>
    </row>
    <row r="22">
      <c r="B22" s="4" t="inlineStr">
        <is>
          <t>Synergies</t>
        </is>
      </c>
    </row>
    <row r="23">
      <c r="B23" s="4" t="inlineStr">
        <is>
          <t>PPA-Financing</t>
        </is>
      </c>
    </row>
    <row r="24">
      <c r="B24" s="4" t="inlineStr">
        <is>
          <t>ProForma</t>
        </is>
      </c>
    </row>
    <row r="25">
      <c r="B25" s="4" t="inlineStr">
        <is>
          <t>Contribution</t>
        </is>
      </c>
    </row>
    <row r="26">
      <c r="B26" s="4" t="inlineStr">
        <is>
          <t>Sensitivity</t>
        </is>
      </c>
    </row>
    <row r="27"/>
    <row r="28">
      <c r="B28" s="6" t="inlineStr">
        <is>
          <t>Key outputs</t>
        </is>
      </c>
      <c r="C28" s="6" t="n"/>
      <c r="D28" s="6" t="n"/>
      <c r="E28" s="6" t="n"/>
    </row>
    <row r="29">
      <c r="B29" s="4" t="inlineStr">
        <is>
          <t>Blended consideration / VMW share</t>
        </is>
      </c>
      <c r="D29" s="10">
        <f>'Assumptions'!D23</f>
      </c>
    </row>
    <row r="30">
      <c r="B30" s="4" t="inlineStr">
        <is>
          <t>Equity purchase price (aggregate)</t>
        </is>
      </c>
      <c r="D30" s="11">
        <f>'Assumptions'!D27</f>
      </c>
    </row>
    <row r="31">
      <c r="B31" s="4" t="inlineStr">
        <is>
          <t>Total new AVGO term loans</t>
        </is>
      </c>
      <c r="D31" s="11">
        <f>'PPA-Financing'!D8</f>
      </c>
    </row>
    <row r="32">
      <c r="B32" s="4" t="inlineStr">
        <is>
          <t>Goodwill created</t>
        </is>
      </c>
      <c r="D32" s="11">
        <f>'PPA-Financing'!D25</f>
      </c>
    </row>
    <row r="33">
      <c r="B33" s="4" t="inlineStr">
        <is>
          <t>FY2024E accretion / (dilution) %</t>
        </is>
      </c>
      <c r="D33" s="12">
        <f>'ProForma'!D29</f>
      </c>
    </row>
    <row r="34">
      <c r="B34" s="4" t="inlineStr">
        <is>
          <t>Yr-1 breakeven pre-tax synergies</t>
        </is>
      </c>
      <c r="D34" s="11">
        <f>'ProForma'!D32</f>
      </c>
    </row>
    <row r="35"/>
    <row r="36" ht="62" customHeight="1">
      <c r="B36" s="13" t="inlineStr">
        <is>
          <t>Sources: AVGO FY2021-FY2023 10-Ks (Oct/Nov FYE, SEC EDGAR); VMware FY2022-FY2024 10-Ks (Jan/Feb FYE); AVGO/VMware merger agreement and press release (May 26, 2022); AVGO $28.4B term loan commitment press release (Aug 17, 2023); close announcement / proration results (Nov 22, 2023); AVGO FY2024 10-K (filed Dec 2024) Note 3 business combination for actual purchase price allocation. AVGO share prices at announcement (~$530-535) and close (~$980-985) are flagged estimates pending exact closing-date quotes; intangible useful lives are estimated within 10-K disclosed ranges (software 5-15yr, customer relationships 10-20yr) pending the fully itemized Note 3 schedule.</t>
        </is>
      </c>
    </row>
    <row r="37"/>
    <row r="38"/>
    <row r="39">
      <c r="B39" s="6" t="inlineStr">
        <is>
          <t>DealNotes - Actual Outcome (2022-2024)</t>
        </is>
      </c>
      <c r="C39" s="6" t="n"/>
      <c r="D39" s="6" t="n"/>
      <c r="E39" s="6" t="n"/>
      <c r="F39" s="6" t="n"/>
      <c r="G39" s="6" t="n"/>
    </row>
    <row r="40" ht="30" customHeight="1">
      <c r="B40" s="13" t="inlineStr">
        <is>
          <t>May 26, 2022: Deal announced at ~$61B headline equity value; AVGO stock ~$530-535. VMW shareholders offered $142.50 cash OR 0.2520 AVGO shares per share, aggregate proration to 50% cash / 50% stock.</t>
        </is>
      </c>
    </row>
    <row r="41" ht="30" customHeight="1">
      <c r="B41" s="13" t="inlineStr">
        <is>
          <t>18-month regulatory review (EU, UK, and especially China's SAMR) delayed closing well past the original 12-month target, injecting material deal-completion risk into VMW's stock, which traded at a persistent spread to terms.</t>
        </is>
      </c>
    </row>
    <row r="42" ht="30" customHeight="1">
      <c r="B42" s="13" t="inlineStr">
        <is>
          <t>Nov 22, 2023: Deal closed. AVGO stock had risen to ~$980-985, making the stock election worth ~$247/share vs. the fixed $142.50 cash option -- a ~73% spread. Stock election was oversubscribed; final proration was 52.1% stock / 47.9% cash (vs. the theoretical 50/50 midpoint), reflecting the cap on aggregate stock consideration.</t>
        </is>
      </c>
    </row>
    <row r="43" ht="30" customHeight="1">
      <c r="B43" s="13" t="inlineStr">
        <is>
          <t>Total purchase consideration at close: $86,290mm gross ($53,398mm AVGO stock + $30,788mm cash + ~$2,104mm assumed equity awards), less $6,642mm VMware cash acquired = $79,648mm net consideration per AVGO's FY2024 10-K.</t>
        </is>
      </c>
    </row>
    <row r="44" ht="30" customHeight="1">
      <c r="B44" s="13" t="inlineStr">
        <is>
          <t>AVGO funded the cash portion with $28.4B of new term loans (Term A-2 $10.7B @ SOFR+112.5bps, Term A-3 $10.7B @ SOFR+125.0bps, Term A-5 $7.0B @ SOFR+162.5bps), materially increasing leverage; VMware's ~$8.25B senior notes were assumed rather than refinanced.</t>
        </is>
      </c>
    </row>
    <row r="45" ht="30" customHeight="1">
      <c r="B45" s="13" t="inlineStr">
        <is>
          <t>Actual PPA (FY2024 10-K, Note 3): goodwill of approximately $43-45B and identifiable intangible assets of approximately $35-36B (developed technology, customer relationships, trade names), driving a large incremental annual intangible amortization charge that pressures GAAP (though not non-GAAP) earnings for years.</t>
        </is>
      </c>
    </row>
    <row r="46" ht="30" customHeight="1">
      <c r="B46" s="13" t="inlineStr">
        <is>
          <t>Post-close, Broadcom moved aggressively on VMware's commercial model: shifting perpetual-license customers to subscription, raising prices, and cutting costs/headcount. VMware revenue re-accelerated and the Software segment reported gross margins above 70%, with synergy realization tracking ahead of the 3-year $8.5B EBITDA target.</t>
        </is>
      </c>
    </row>
    <row r="47" ht="30" customHeight="1">
      <c r="B47" s="13" t="inlineStr">
        <is>
          <t>Shareholders who elected stock captured a large windfall as AVGO shares roughly tripled from announcement through 2024, illustrating the asymmetric payoff of the stock election in a rising-acquirer-price deal -- the opposite risk profile from a falling-acquirer-price stock-election deal.</t>
        </is>
      </c>
    </row>
  </sheetData>
  <mergeCells count="10">
    <mergeCell ref="B47:G47"/>
    <mergeCell ref="B42:G42"/>
    <mergeCell ref="B46:G46"/>
    <mergeCell ref="B36:G36"/>
    <mergeCell ref="B45:G45"/>
    <mergeCell ref="B41:G41"/>
    <mergeCell ref="B8:G8"/>
    <mergeCell ref="B40:G40"/>
    <mergeCell ref="B43:G43"/>
    <mergeCell ref="B44:G4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7"/>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4" customWidth="1" min="2" max="2"/>
    <col width="4" customWidth="1" min="3" max="3"/>
    <col width="16" customWidth="1" min="4" max="4"/>
    <col width="16" customWidth="1" min="5" max="5"/>
    <col width="46" customWidth="1" min="6" max="6"/>
  </cols>
  <sheetData>
    <row r="1"/>
    <row r="2">
      <c r="B2" s="1" t="inlineStr">
        <is>
          <t>Assumptions - Deal Terms, Election/Proration, Financing, PPA</t>
        </is>
      </c>
    </row>
    <row r="3">
      <c r="B3" s="2" t="inlineStr">
        <is>
          <t>($ in millions, except per-share and rate data)</t>
        </is>
      </c>
    </row>
    <row r="4"/>
    <row r="5">
      <c r="B5" s="6" t="inlineStr">
        <is>
          <t>1. Deal Terms &amp; Target Shares</t>
        </is>
      </c>
      <c r="C5" s="6" t="n"/>
      <c r="D5" s="6" t="n"/>
      <c r="E5" s="6" t="n"/>
    </row>
    <row r="6">
      <c r="B6" s="4" t="inlineStr">
        <is>
          <t>VMW fully-diluted shares outstanding at close (mm)</t>
        </is>
      </c>
      <c r="D6" s="14" t="n">
        <v>430</v>
      </c>
      <c r="F6" s="2" t="inlineStr">
        <is>
          <t>Per VMW 10-K cover / close 8-K (approx.)</t>
        </is>
      </c>
    </row>
    <row r="7">
      <c r="B7" s="4" t="inlineStr">
        <is>
          <t>Cash election value per VMW share ($)</t>
        </is>
      </c>
      <c r="D7" s="15" t="n">
        <v>142.5</v>
      </c>
      <c r="F7" s="2" t="inlineStr">
        <is>
          <t>Fixed per merger agreement, May 26, 2022</t>
        </is>
      </c>
    </row>
    <row r="8">
      <c r="B8" s="4" t="inlineStr">
        <is>
          <t>Stock election exchange ratio (AVGO sh. / VMW sh.)</t>
        </is>
      </c>
      <c r="D8" s="16" t="n">
        <v>0.252</v>
      </c>
      <c r="F8" s="2" t="inlineStr">
        <is>
          <t>Fixed per merger agreement</t>
        </is>
      </c>
    </row>
    <row r="9">
      <c r="B9" s="4" t="inlineStr">
        <is>
          <t>AVGO share price at announcement (5/25/2022 close) [FLAGGED EST.]</t>
        </is>
      </c>
      <c r="D9" s="15" t="n">
        <v>532</v>
      </c>
      <c r="F9" s="2" t="inlineStr">
        <is>
          <t>Estimated range $530-535; exact close not confirmed in source data</t>
        </is>
      </c>
    </row>
    <row r="10">
      <c r="B10" s="4" t="inlineStr">
        <is>
          <t>AVGO share price at close (11/22/2023) [FLAGGED EST.]</t>
        </is>
      </c>
      <c r="D10" s="15" t="n">
        <v>981</v>
      </c>
      <c r="F10" s="2" t="inlineStr">
        <is>
          <t>Estimated range $980-985; drives model's blended value/share</t>
        </is>
      </c>
    </row>
    <row r="11">
      <c r="B11" s="4" t="inlineStr">
        <is>
          <t>Headline deal value at announcement ($mm) [memo]</t>
        </is>
      </c>
      <c r="D11" s="17" t="n">
        <v>61000</v>
      </c>
      <c r="F11" s="2" t="inlineStr">
        <is>
          <t>Announced framing, ~$61B</t>
        </is>
      </c>
    </row>
    <row r="12"/>
    <row r="13">
      <c r="B13" s="6" t="inlineStr">
        <is>
          <t>2. Election / Proration Mechanics (explicit, live)</t>
        </is>
      </c>
      <c r="C13" s="6" t="n"/>
      <c r="D13" s="6" t="n"/>
      <c r="E13" s="6" t="n"/>
    </row>
    <row r="14">
      <c r="B14" s="4" t="inlineStr">
        <is>
          <t>% of VMW shares electing cash (pre-proration, blue input)</t>
        </is>
      </c>
      <c r="D14" s="18" t="n">
        <v>0.65</v>
      </c>
      <c r="F14" s="2" t="inlineStr">
        <is>
          <t>Illustrative election skew before proration caps it to 50/50 aggregate</t>
        </is>
      </c>
    </row>
    <row r="15">
      <c r="B15" s="4" t="inlineStr">
        <is>
          <t>% of VMW shares electing stock (pre-proration, formula)</t>
        </is>
      </c>
      <c r="D15" s="19">
        <f>1-D14</f>
      </c>
    </row>
    <row r="16">
      <c r="B16" s="4" t="inlineStr">
        <is>
          <t>Aggregate proration target: % cash of total consideration</t>
        </is>
      </c>
      <c r="D16" s="18" t="n">
        <v>0.5</v>
      </c>
      <c r="F16" s="2" t="inlineStr">
        <is>
          <t>Merger agreement: 50%/50% aggregate proration</t>
        </is>
      </c>
    </row>
    <row r="17">
      <c r="B17" s="4" t="inlineStr">
        <is>
          <t>Aggregate proration target: % stock of total consideration</t>
        </is>
      </c>
      <c r="D17" s="19">
        <f>1-D16</f>
      </c>
    </row>
    <row r="18">
      <c r="B18" s="4" t="inlineStr">
        <is>
          <t>Actual outcome: % stock of aggregate consideration (memo)</t>
        </is>
      </c>
      <c r="D18" s="18" t="n">
        <v>0.521</v>
      </c>
      <c r="F18" s="2" t="inlineStr">
        <is>
          <t>Per close 8-K: 52.1% stock / 47.9% cash (stock oversubscribed)</t>
        </is>
      </c>
    </row>
    <row r="19">
      <c r="B19" s="4" t="inlineStr">
        <is>
          <t>Actual outcome: % cash of aggregate consideration (memo, formula)</t>
        </is>
      </c>
      <c r="D19" s="19">
        <f>1-D18</f>
      </c>
    </row>
    <row r="20">
      <c r="B20" s="4" t="inlineStr">
        <is>
          <t>VMW shares receiving cash consideration (mm) - modeled 50/50</t>
        </is>
      </c>
      <c r="D20" s="20">
        <f>D6*D16</f>
      </c>
    </row>
    <row r="21">
      <c r="B21" s="4" t="inlineStr">
        <is>
          <t>VMW shares receiving stock consideration (mm) - modeled 50/50</t>
        </is>
      </c>
      <c r="D21" s="20">
        <f>D6*D17</f>
      </c>
    </row>
    <row r="22">
      <c r="C22" s="4" t="inlineStr">
        <is>
          <t>Check: prorated shares tie to total FD shares (0.000)</t>
        </is>
      </c>
      <c r="D22" s="21">
        <f>ROUND(D20+D21-D6,3)</f>
      </c>
    </row>
    <row r="23">
      <c r="B23" s="4" t="inlineStr">
        <is>
          <t>Blended consideration value per VMW share ($, formula)</t>
        </is>
      </c>
      <c r="D23" s="22">
        <f>D16*D7+D17*D8*D10</f>
      </c>
      <c r="F23" s="2" t="inlineStr">
        <is>
          <t>Formula: 50%xCash + 50%xStockRatioxAVGO price at close</t>
        </is>
      </c>
    </row>
    <row r="24">
      <c r="B24" s="4" t="inlineStr">
        <is>
          <t>Total cash consideration needed ($mm, formula)</t>
        </is>
      </c>
      <c r="D24" s="23">
        <f>D20*D7</f>
      </c>
    </row>
    <row r="25">
      <c r="B25" s="4" t="inlineStr">
        <is>
          <t>Total new AVGO shares issued (mm, formula)</t>
        </is>
      </c>
      <c r="D25" s="24">
        <f>D21*D8</f>
      </c>
    </row>
    <row r="26">
      <c r="B26" s="4" t="inlineStr">
        <is>
          <t>Total stock consideration fair value ($mm, formula)</t>
        </is>
      </c>
      <c r="D26" s="23">
        <f>D25*D10</f>
      </c>
    </row>
    <row r="27">
      <c r="B27" s="4" t="inlineStr">
        <is>
          <t>Equity purchase price (aggregate, $mm, formula)</t>
        </is>
      </c>
      <c r="D27" s="23">
        <f>D24+D26</f>
      </c>
      <c r="F27" s="2" t="inlineStr">
        <is>
          <t>Ties to actual $86,290mm gross consideration region (incl. assumed awards, not modeled here)</t>
        </is>
      </c>
    </row>
    <row r="28">
      <c r="C28" s="4" t="inlineStr">
        <is>
          <t>Check: equity purchase price = shares x blended value (0.000)</t>
        </is>
      </c>
      <c r="D28" s="21">
        <f>ROUND(D27-D6*D23,3)</f>
      </c>
    </row>
    <row r="29"/>
    <row r="30">
      <c r="B30" s="6" t="inlineStr">
        <is>
          <t>3. Financing</t>
        </is>
      </c>
      <c r="C30" s="6" t="n"/>
      <c r="D30" s="6" t="n"/>
      <c r="E30" s="6" t="n"/>
    </row>
    <row r="31">
      <c r="B31" s="4" t="inlineStr">
        <is>
          <t>Cash from AVGO balance sheet used to fund deal ($mm)</t>
        </is>
      </c>
      <c r="D31" s="25" t="n">
        <v>2400</v>
      </c>
      <c r="F31" s="2" t="inlineStr">
        <is>
          <t>Balance of cash consideration beyond new term loans</t>
        </is>
      </c>
    </row>
    <row r="32">
      <c r="B32" s="4" t="inlineStr">
        <is>
          <t>New term loans raised ($mm, formula = cash consid. - BS cash)</t>
        </is>
      </c>
      <c r="D32" s="23">
        <f>D24-D31</f>
      </c>
      <c r="F32" s="2" t="inlineStr">
        <is>
          <t>Ties to $28.4B actual term loan commitment (Aug 2023 press release)</t>
        </is>
      </c>
    </row>
    <row r="33">
      <c r="B33" s="4" t="inlineStr">
        <is>
          <t>Reference SOFR at close (blue, mid-2023 level) [FLAGGED EST.]</t>
        </is>
      </c>
      <c r="D33" s="26" t="n">
        <v>0.0533</v>
      </c>
      <c r="F33" s="2" t="inlineStr">
        <is>
          <t>~5.33% mid-2023; exact SOFR fixing on close date not confirmed</t>
        </is>
      </c>
    </row>
    <row r="34">
      <c r="B34" s="4" t="inlineStr">
        <is>
          <t>Weighted-avg spread across Term A-2/A-3/A-5 tranches (bps, blue)</t>
        </is>
      </c>
      <c r="D34" s="26" t="n">
        <v>0.0135</v>
      </c>
      <c r="F34" s="2" t="inlineStr">
        <is>
          <t>Wtd avg of 112.5/125.0/162.5bps across $10.7B/$10.7B/$7.0B tranches ~135bps</t>
        </is>
      </c>
    </row>
    <row r="35">
      <c r="B35" s="4" t="inlineStr">
        <is>
          <t>All-in blended new-debt rate (formula = SOFR + spread)</t>
        </is>
      </c>
      <c r="D35" s="27">
        <f>D33+D34</f>
      </c>
    </row>
    <row r="36">
      <c r="B36" s="4" t="inlineStr">
        <is>
          <t>Foregone interest rate on cash used from balance sheet</t>
        </is>
      </c>
      <c r="D36" s="26" t="n">
        <v>0.045</v>
      </c>
      <c r="F36" s="2" t="inlineStr">
        <is>
          <t>Money-market / short-term investment yield, 2023</t>
        </is>
      </c>
    </row>
    <row r="37">
      <c r="B37" s="4" t="inlineStr">
        <is>
          <t>VMW debt assumed at close ($mm, not refinanced)</t>
        </is>
      </c>
      <c r="D37" s="25" t="n">
        <v>8250</v>
      </c>
      <c r="F37" s="2" t="inlineStr">
        <is>
          <t>VMW senior notes assumed, toggle = assume (not refi)</t>
        </is>
      </c>
    </row>
    <row r="38">
      <c r="B38" s="4" t="inlineStr">
        <is>
          <t>Blended coupon on assumed VMW notes</t>
        </is>
      </c>
      <c r="D38" s="26" t="n">
        <v>0.038</v>
      </c>
      <c r="F38" s="2" t="inlineStr">
        <is>
          <t>VMW senior notes blended coupon, per 10-K debt footnote</t>
        </is>
      </c>
    </row>
    <row r="39">
      <c r="B39" s="4" t="inlineStr">
        <is>
          <t>Financing + advisory fees ($mm)</t>
        </is>
      </c>
      <c r="D39" s="25" t="n">
        <v>500</v>
      </c>
      <c r="F39" s="2" t="inlineStr">
        <is>
          <t>Estimated arrangement/advisory fees, expensed at close</t>
        </is>
      </c>
    </row>
    <row r="40"/>
    <row r="41">
      <c r="B41" s="6" t="inlineStr">
        <is>
          <t>4. Purchase Price Allocation Inputs</t>
        </is>
      </c>
      <c r="C41" s="6" t="n"/>
      <c r="D41" s="6" t="n"/>
      <c r="E41" s="6" t="n"/>
    </row>
    <row r="42">
      <c r="B42" s="4" t="inlineStr">
        <is>
          <t>VMW book equity acquired ($mm, blue, at close balance sheet)</t>
        </is>
      </c>
      <c r="D42" s="25" t="n">
        <v>4200</v>
      </c>
      <c r="F42" s="2" t="inlineStr">
        <is>
          <t>Estimated VMW stockholders' equity at close per 10-K trend</t>
        </is>
      </c>
    </row>
    <row r="43">
      <c r="B43" s="4" t="inlineStr">
        <is>
          <t>VMW existing goodwill written off ($mm, blue)</t>
        </is>
      </c>
      <c r="D43" s="25" t="n">
        <v>4600</v>
      </c>
      <c r="F43" s="2" t="inlineStr">
        <is>
          <t>VMW pre-deal goodwill (Dell spin-off era), written off at close</t>
        </is>
      </c>
    </row>
    <row r="44">
      <c r="B44" s="4" t="inlineStr">
        <is>
          <t>Identifiable intangible assets recognized ($mm, blue - anchored to actual PPA)</t>
        </is>
      </c>
      <c r="D44" s="25" t="n">
        <v>35500</v>
      </c>
      <c r="F44" s="2" t="inlineStr">
        <is>
          <t>AVGO FY2024 10-K Note 3 actual: ~$35-36B (developed tech, customer relationships, trade names)</t>
        </is>
      </c>
    </row>
    <row r="45">
      <c r="B45" s="4" t="inlineStr">
        <is>
          <t>Blended intangible useful life (years, blue) [FLAGGED EST.]</t>
        </is>
      </c>
      <c r="D45" s="28" t="n">
        <v>11</v>
      </c>
      <c r="F45" s="2" t="inlineStr">
        <is>
          <t>Blend of disclosed ranges: software 5-15yr, customer relationships 10-20yr</t>
        </is>
      </c>
    </row>
    <row r="46">
      <c r="B46" s="4" t="inlineStr">
        <is>
          <t>Incremental intangible amortization / yr ($mm, formula)</t>
        </is>
      </c>
      <c r="D46" s="23">
        <f>D44/D45</f>
      </c>
    </row>
    <row r="47">
      <c r="B47" s="4" t="inlineStr">
        <is>
          <t>DTL on intangible step-up? (1 = yes / 0 = no, blue toggle)</t>
        </is>
      </c>
      <c r="D47" s="28" t="n">
        <v>1</v>
      </c>
    </row>
    <row r="48">
      <c r="B48" s="4" t="inlineStr">
        <is>
          <t>Blended tax rate for DTL / pro forma taxes (blue)</t>
        </is>
      </c>
      <c r="D48" s="26" t="n">
        <v>0.21</v>
      </c>
      <c r="F48" s="2" t="inlineStr">
        <is>
          <t>US federal statutory 21% -- deliberately conservative; see note below on the effect vs. AVGO's actual rate</t>
        </is>
      </c>
    </row>
    <row r="49">
      <c r="B49" s="2" t="inlineStr">
        <is>
          <t>TAX RATE DISCLOSURE: the pro forma tax rate above is set to the US federal statutory 21%, NOT to Broadcom's actual reported effective tax rate, which has run in the ~13-14% region (and lower in some years) on the strength of foreign-derived intangible income benefits, R&amp;D credits and a favorable jurisdictional earnings mix. This is a deliberate conservatism choice, and the reader should understand that it MECHANICALLY WORSENS the reported Year-1 GAAP dilution: the model taxes pro forma pre-tax income at 21% while the acquirer's standalone EPS on the Acquirer tab is built off its own lower effective rate, so part of the headline ~(19.6)% Year-1 dilution is a tax-rate convention rather than pure deal economics. Re-setting this cell to ~13-14% narrows Year-1 dilution materially. The cell is a live blue input -- flex it to see the effect. Note also that this rate simultaneously drives the deferred tax liability on the intangible step-up, so changing it moves goodwill as well as pro forma taxes.</t>
        </is>
      </c>
    </row>
    <row r="50">
      <c r="B50" s="4" t="inlineStr">
        <is>
          <t>Deferred tax liability created ($mm, formula)</t>
        </is>
      </c>
      <c r="D50" s="23">
        <f>D44*D48*D47</f>
      </c>
    </row>
    <row r="51"/>
    <row r="52">
      <c r="B52" s="6" t="inlineStr">
        <is>
          <t>5. Other / Modeling Notes</t>
        </is>
      </c>
      <c r="C52" s="6" t="n"/>
      <c r="D52" s="6" t="n"/>
      <c r="E52" s="6" t="n"/>
    </row>
    <row r="53">
      <c r="B53" s="4" t="inlineStr">
        <is>
          <t>Modeled projection window</t>
        </is>
      </c>
      <c r="D53" s="4" t="inlineStr">
        <is>
          <t>FY2024E - FY2028E</t>
        </is>
      </c>
    </row>
    <row r="54">
      <c r="B54" s="4" t="inlineStr">
        <is>
          <t>AVGO fiscal year-end</t>
        </is>
      </c>
      <c r="D54" s="4" t="inlineStr">
        <is>
          <t>Last Sunday in October (~Oct FYE)</t>
        </is>
      </c>
    </row>
    <row r="55">
      <c r="B55" s="4" t="inlineStr">
        <is>
          <t>VMware fiscal year-end (pre-close)</t>
        </is>
      </c>
      <c r="D55" s="4" t="inlineStr">
        <is>
          <t>Friday nearest Jan 31 (~Feb FYE)</t>
        </is>
      </c>
    </row>
    <row r="56" ht="40" customHeight="1">
      <c r="B56" s="13" t="inlineStr">
        <is>
          <t>Note: AVGO and VMW historicals are shown on each company's native fiscal calendar without restatement; pro forma combination in this model treats VMW figures as aligning to AVGO's fiscal year for projection purposes only (no historical restatement performed) - standard simplification given the ~9-month FYE offset.</t>
        </is>
      </c>
    </row>
    <row r="57">
      <c r="B57" s="13" t="inlineStr">
        <is>
          <t>Interest computed on beginning-of-period balances to avoid circularity (no iterative calc), per master spec section 5.</t>
        </is>
      </c>
    </row>
  </sheetData>
  <mergeCells count="2">
    <mergeCell ref="B56:F56"/>
    <mergeCell ref="B57:F57"/>
  </mergeCells>
  <conditionalFormatting sqref="D22">
    <cfRule type="cellIs" priority="1" operator="equal" dxfId="0">
      <formula>0</formula>
    </cfRule>
    <cfRule type="cellIs" priority="2" operator="notEqual" dxfId="1">
      <formula>0</formula>
    </cfRule>
  </conditionalFormatting>
  <conditionalFormatting sqref="D28">
    <cfRule type="cellIs" priority="3" operator="equal" dxfId="0">
      <formula>0</formula>
    </cfRule>
    <cfRule type="cellIs" priority="4" operator="notEqual" dxfId="1">
      <formula>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3"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row r="2">
      <c r="B2" s="1" t="inlineStr">
        <is>
          <t>Acquirer - Broadcom Inc. (AVGO) Standalone</t>
        </is>
      </c>
    </row>
    <row r="3">
      <c r="B3" s="2" t="inlineStr">
        <is>
          <t>($ in millions, except per-share data; AVGO fiscal year ends late October)</t>
        </is>
      </c>
    </row>
    <row r="4"/>
    <row r="5">
      <c r="B5" s="6" t="inlineStr">
        <is>
          <t>Broadcom Standalone Financials</t>
        </is>
      </c>
      <c r="C5" s="6" t="n"/>
      <c r="D5" s="6" t="n"/>
      <c r="E5" s="6" t="n"/>
      <c r="F5" s="6" t="n"/>
      <c r="G5" s="6" t="n"/>
      <c r="H5" s="6" t="n"/>
      <c r="I5" s="6" t="n"/>
      <c r="J5" s="6" t="n"/>
      <c r="K5" s="6" t="n"/>
    </row>
    <row r="6">
      <c r="B6" s="29" t="inlineStr">
        <is>
          <t>Fiscal Year</t>
        </is>
      </c>
      <c r="D6" s="29" t="inlineStr">
        <is>
          <t>FY2021A</t>
        </is>
      </c>
      <c r="E6" s="29" t="inlineStr">
        <is>
          <t>FY2022A</t>
        </is>
      </c>
      <c r="F6" s="29" t="inlineStr">
        <is>
          <t>FY2023A</t>
        </is>
      </c>
      <c r="G6" s="29" t="inlineStr">
        <is>
          <t>FY2024E</t>
        </is>
      </c>
      <c r="H6" s="29" t="inlineStr">
        <is>
          <t>FY2025E</t>
        </is>
      </c>
      <c r="I6" s="29" t="inlineStr">
        <is>
          <t>FY2026E</t>
        </is>
      </c>
      <c r="J6" s="29" t="inlineStr">
        <is>
          <t>FY2027E</t>
        </is>
      </c>
      <c r="K6" s="29" t="inlineStr">
        <is>
          <t>FY2028E</t>
        </is>
      </c>
    </row>
    <row r="7">
      <c r="B7" s="4" t="inlineStr">
        <is>
          <t>Revenue</t>
        </is>
      </c>
      <c r="D7" s="25" t="n">
        <v>27500</v>
      </c>
      <c r="E7" s="25" t="n">
        <v>33200</v>
      </c>
      <c r="F7" s="25" t="n">
        <v>35820</v>
      </c>
      <c r="G7" s="30">
        <f>F7*(1+G8)</f>
      </c>
      <c r="H7" s="30">
        <f>G7*(1+H8)</f>
      </c>
      <c r="I7" s="30">
        <f>H7*(1+I8)</f>
      </c>
      <c r="J7" s="30">
        <f>I7*(1+J8)</f>
      </c>
      <c r="K7" s="30">
        <f>J7*(1+K8)</f>
      </c>
    </row>
    <row r="8">
      <c r="B8" s="4" t="inlineStr">
        <is>
          <t>Revenue growth % (projection, blue)</t>
        </is>
      </c>
      <c r="G8" s="18" t="n">
        <v>0.09</v>
      </c>
      <c r="H8" s="18" t="n">
        <v>0.08499999999999999</v>
      </c>
      <c r="I8" s="18" t="n">
        <v>0.08</v>
      </c>
      <c r="J8" s="18" t="n">
        <v>0.075</v>
      </c>
      <c r="K8" s="18" t="n">
        <v>0.06999999999999999</v>
      </c>
    </row>
    <row r="9">
      <c r="B9" s="4" t="inlineStr">
        <is>
          <t>Adj. EBITDA margin % (blue for hist memo / proj drivers)</t>
        </is>
      </c>
      <c r="D9" s="18" t="n">
        <v>0.594</v>
      </c>
      <c r="E9" s="18" t="n">
        <v>0.6293975903614458</v>
      </c>
      <c r="F9" s="18" t="n">
        <v>0.6300949190396427</v>
      </c>
      <c r="G9" s="18" t="n">
        <v>0.635</v>
      </c>
      <c r="H9" s="18" t="n">
        <v>0.635</v>
      </c>
      <c r="I9" s="18" t="n">
        <v>0.635</v>
      </c>
      <c r="J9" s="18" t="n">
        <v>0.635</v>
      </c>
      <c r="K9" s="18" t="n">
        <v>0.635</v>
      </c>
    </row>
    <row r="10">
      <c r="B10" s="4" t="inlineStr">
        <is>
          <t>Adj. EBITDA</t>
        </is>
      </c>
      <c r="D10" s="30">
        <f>D7*D9</f>
      </c>
      <c r="E10" s="30">
        <f>E7*E9</f>
      </c>
      <c r="F10" s="30">
        <f>F7*F9</f>
      </c>
      <c r="G10" s="30">
        <f>G7*G9</f>
      </c>
      <c r="H10" s="30">
        <f>H7*H9</f>
      </c>
      <c r="I10" s="30">
        <f>I7*I9</f>
      </c>
      <c r="J10" s="30">
        <f>J7*J9</f>
      </c>
      <c r="K10" s="30">
        <f>K7*K9</f>
      </c>
    </row>
    <row r="11">
      <c r="B11" s="4" t="inlineStr">
        <is>
          <t>D&amp;A incl. existing intangible amortization</t>
        </is>
      </c>
      <c r="D11" s="25" t="n">
        <v>1450</v>
      </c>
      <c r="E11" s="25" t="n">
        <v>1650</v>
      </c>
      <c r="F11" s="25" t="n">
        <v>2000</v>
      </c>
      <c r="G11" s="25" t="n">
        <v>2100</v>
      </c>
      <c r="H11" s="25" t="n">
        <v>2150</v>
      </c>
      <c r="I11" s="25" t="n">
        <v>2200</v>
      </c>
      <c r="J11" s="25" t="n">
        <v>2250</v>
      </c>
      <c r="K11" s="25" t="n">
        <v>2300</v>
      </c>
    </row>
    <row r="12">
      <c r="B12" s="4" t="inlineStr">
        <is>
          <t>EBIT (EBITDA - D&amp;A)</t>
        </is>
      </c>
      <c r="D12" s="30">
        <f>D10-D11</f>
      </c>
      <c r="E12" s="30">
        <f>E10-E11</f>
      </c>
      <c r="F12" s="30">
        <f>F10-F11</f>
      </c>
      <c r="G12" s="30">
        <f>G10-G11</f>
      </c>
      <c r="H12" s="30">
        <f>H10-H11</f>
      </c>
      <c r="I12" s="30">
        <f>I10-I11</f>
      </c>
      <c r="J12" s="30">
        <f>J10-J11</f>
      </c>
      <c r="K12" s="30">
        <f>K10-K11</f>
      </c>
    </row>
    <row r="13">
      <c r="B13" s="4" t="inlineStr">
        <is>
          <t>Interest expense, standalone debt (blue rate x const. debt)</t>
        </is>
      </c>
      <c r="D13" s="25" t="n">
        <v>700</v>
      </c>
      <c r="E13" s="25" t="n">
        <v>1350</v>
      </c>
      <c r="F13" s="25" t="n">
        <v>1500</v>
      </c>
      <c r="G13" s="25" t="n">
        <v>250</v>
      </c>
      <c r="H13" s="25" t="n">
        <v>250</v>
      </c>
      <c r="I13" s="25" t="n">
        <v>250</v>
      </c>
      <c r="J13" s="25" t="n">
        <v>250</v>
      </c>
      <c r="K13" s="25" t="n">
        <v>250</v>
      </c>
      <c r="L13" s="2" t="inlineStr">
        <is>
          <t>Standalone pre-deal debt service; deal debt modeled on ProForma tab</t>
        </is>
      </c>
    </row>
    <row r="14">
      <c r="B14" s="4" t="inlineStr">
        <is>
          <t>EBT</t>
        </is>
      </c>
      <c r="D14" s="30">
        <f>D12-D13</f>
      </c>
      <c r="E14" s="30">
        <f>E12-E13</f>
      </c>
      <c r="F14" s="30">
        <f>F12-F13</f>
      </c>
      <c r="G14" s="30">
        <f>G12-G13</f>
      </c>
      <c r="H14" s="30">
        <f>H12-H13</f>
      </c>
      <c r="I14" s="30">
        <f>I12-I13</f>
      </c>
      <c r="J14" s="30">
        <f>J12-J13</f>
      </c>
      <c r="K14" s="30">
        <f>K12-K13</f>
      </c>
    </row>
    <row r="15">
      <c r="B15" s="4" t="inlineStr">
        <is>
          <t>Tax rate (blue)</t>
        </is>
      </c>
      <c r="D15" s="26" t="n">
        <v>0.13</v>
      </c>
      <c r="E15" s="26" t="n">
        <v>0.13</v>
      </c>
      <c r="F15" s="26" t="n">
        <v>0.13</v>
      </c>
      <c r="G15" s="26" t="n">
        <v>0.14</v>
      </c>
      <c r="H15" s="26" t="n">
        <v>0.14</v>
      </c>
      <c r="I15" s="26" t="n">
        <v>0.14</v>
      </c>
      <c r="J15" s="26" t="n">
        <v>0.14</v>
      </c>
      <c r="K15" s="26" t="n">
        <v>0.14</v>
      </c>
      <c r="L15" s="2" t="inlineStr">
        <is>
          <t>AVGO effective rate historically low due to tax credits/foreign mix</t>
        </is>
      </c>
    </row>
    <row r="16">
      <c r="B16" s="4" t="inlineStr">
        <is>
          <t>Taxes</t>
        </is>
      </c>
      <c r="D16" s="30">
        <f>D14*D15</f>
      </c>
      <c r="E16" s="30">
        <f>E14*E15</f>
      </c>
      <c r="F16" s="30">
        <f>F14*F15</f>
      </c>
      <c r="G16" s="30">
        <f>G14*G15</f>
      </c>
      <c r="H16" s="30">
        <f>H14*H15</f>
      </c>
      <c r="I16" s="30">
        <f>I14*I15</f>
      </c>
      <c r="J16" s="30">
        <f>J14*J15</f>
      </c>
      <c r="K16" s="30">
        <f>K14*K15</f>
      </c>
    </row>
    <row r="17">
      <c r="B17" s="29" t="inlineStr">
        <is>
          <t>Net income</t>
        </is>
      </c>
      <c r="D17" s="23">
        <f>D14-D16</f>
      </c>
      <c r="E17" s="23">
        <f>E14-E16</f>
      </c>
      <c r="F17" s="23">
        <f>F14-F16</f>
      </c>
      <c r="G17" s="23">
        <f>G14-G16</f>
      </c>
      <c r="H17" s="23">
        <f>H14-H16</f>
      </c>
      <c r="I17" s="23">
        <f>I14-I16</f>
      </c>
      <c r="J17" s="23">
        <f>J14-J16</f>
      </c>
      <c r="K17" s="23">
        <f>K14-K16</f>
      </c>
    </row>
    <row r="18">
      <c r="B18" s="4" t="inlineStr">
        <is>
          <t>Diluted shares outstanding (mm, blue)</t>
        </is>
      </c>
      <c r="D18" s="14" t="n">
        <v>463</v>
      </c>
      <c r="E18" s="14" t="n">
        <v>445</v>
      </c>
      <c r="F18" s="14" t="n">
        <v>424</v>
      </c>
      <c r="G18" s="14" t="n">
        <v>470</v>
      </c>
      <c r="H18" s="14" t="n">
        <v>470</v>
      </c>
      <c r="I18" s="14" t="n">
        <v>470</v>
      </c>
      <c r="J18" s="14" t="n">
        <v>470</v>
      </c>
      <c r="K18" s="14" t="n">
        <v>470</v>
      </c>
      <c r="L18" s="2" t="inlineStr">
        <is>
          <t>Standalone shares only; deal shares added on ProForma tab</t>
        </is>
      </c>
    </row>
    <row r="19">
      <c r="B19" s="29" t="inlineStr">
        <is>
          <t>Standalone diluted EPS</t>
        </is>
      </c>
      <c r="D19" s="22">
        <f>D17/D18</f>
      </c>
      <c r="E19" s="22">
        <f>E17/E18</f>
      </c>
      <c r="F19" s="22">
        <f>F17/F18</f>
      </c>
      <c r="G19" s="22">
        <f>G17/G18</f>
      </c>
      <c r="H19" s="22">
        <f>H17/H18</f>
      </c>
      <c r="I19" s="22">
        <f>I17/I18</f>
      </c>
      <c r="J19" s="22">
        <f>J17/J18</f>
      </c>
      <c r="K19" s="22">
        <f>K17/K18</f>
      </c>
    </row>
    <row r="20"/>
    <row r="21">
      <c r="B21" s="29" t="inlineStr">
        <is>
          <t>Balance sheet memo at FY2023 close (pre-VMware)</t>
        </is>
      </c>
    </row>
    <row r="22">
      <c r="B22" s="4" t="inlineStr">
        <is>
          <t>Cash &amp; equivalents ($mm, blue)</t>
        </is>
      </c>
      <c r="D22" s="25" t="n">
        <v>14189</v>
      </c>
    </row>
    <row r="23">
      <c r="B23" s="4" t="inlineStr">
        <is>
          <t>Total debt ($mm, blue, pre-deal)</t>
        </is>
      </c>
      <c r="D23" s="25" t="n">
        <v>40357</v>
      </c>
      <c r="F23" s="2" t="inlineStr">
        <is>
          <t>AVGO pre-deal debt load (includes existing IG bonds); grows with $28.4B new term loans post-close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0" customWidth="1" min="2" max="2"/>
    <col width="3"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row r="2">
      <c r="B2" s="1" t="inlineStr">
        <is>
          <t>Target - VMware, Inc. (VMW) Standalone</t>
        </is>
      </c>
    </row>
    <row r="3">
      <c r="B3" s="2" t="inlineStr">
        <is>
          <t>($ in millions, except per-share data; VMW fiscal year ends ~Feb, pre-close)</t>
        </is>
      </c>
    </row>
    <row r="4"/>
    <row r="5">
      <c r="B5" s="6" t="inlineStr">
        <is>
          <t>VMware Standalone Financials</t>
        </is>
      </c>
      <c r="C5" s="6" t="n"/>
      <c r="D5" s="6" t="n"/>
      <c r="E5" s="6" t="n"/>
      <c r="F5" s="6" t="n"/>
      <c r="G5" s="6" t="n"/>
      <c r="H5" s="6" t="n"/>
      <c r="I5" s="6" t="n"/>
      <c r="J5" s="6" t="n"/>
      <c r="K5" s="6" t="n"/>
    </row>
    <row r="6">
      <c r="B6" s="29" t="inlineStr">
        <is>
          <t>Fiscal Year</t>
        </is>
      </c>
      <c r="D6" s="29" t="inlineStr">
        <is>
          <t>FY2022A</t>
        </is>
      </c>
      <c r="E6" s="29" t="inlineStr">
        <is>
          <t>FY2023A</t>
        </is>
      </c>
      <c r="F6" s="29" t="inlineStr">
        <is>
          <t>FY2024A(pre-close)</t>
        </is>
      </c>
      <c r="G6" s="29" t="inlineStr">
        <is>
          <t>FY2024E</t>
        </is>
      </c>
      <c r="H6" s="29" t="inlineStr">
        <is>
          <t>FY2025E</t>
        </is>
      </c>
      <c r="I6" s="29" t="inlineStr">
        <is>
          <t>FY2026E</t>
        </is>
      </c>
      <c r="J6" s="29" t="inlineStr">
        <is>
          <t>FY2027E</t>
        </is>
      </c>
      <c r="K6" s="29" t="inlineStr">
        <is>
          <t>FY2028E</t>
        </is>
      </c>
    </row>
    <row r="7">
      <c r="B7" s="4" t="inlineStr">
        <is>
          <t>Revenue</t>
        </is>
      </c>
      <c r="D7" s="25" t="n">
        <v>12851</v>
      </c>
      <c r="E7" s="25" t="n">
        <v>13350</v>
      </c>
      <c r="F7" s="25" t="n">
        <v>13700</v>
      </c>
      <c r="G7" s="30">
        <f>F7*(1+G8)</f>
      </c>
      <c r="H7" s="30">
        <f>G7*(1+H8)</f>
      </c>
      <c r="I7" s="30">
        <f>H7*(1+I8)</f>
      </c>
      <c r="J7" s="30">
        <f>I7*(1+J8)</f>
      </c>
      <c r="K7" s="30">
        <f>J7*(1+K8)</f>
      </c>
    </row>
    <row r="8">
      <c r="B8" s="4" t="inlineStr">
        <is>
          <t>Revenue growth % (projection, blue - price hikes + subscription shift)</t>
        </is>
      </c>
      <c r="G8" s="18" t="n">
        <v>0.06</v>
      </c>
      <c r="H8" s="18" t="n">
        <v>0.06999999999999999</v>
      </c>
      <c r="I8" s="18" t="n">
        <v>0.08</v>
      </c>
      <c r="J8" s="18" t="n">
        <v>0.09</v>
      </c>
      <c r="K8" s="18" t="n">
        <v>0.1</v>
      </c>
    </row>
    <row r="9">
      <c r="B9" s="4" t="inlineStr">
        <is>
          <t>Non-GAAP operating margin % (blue, hist memo / proj driver)</t>
        </is>
      </c>
      <c r="D9" s="18" t="n">
        <v>0.3058127772157809</v>
      </c>
      <c r="E9" s="18" t="n">
        <v>0.2801498127340824</v>
      </c>
      <c r="F9" s="18" t="n">
        <v>0.3</v>
      </c>
      <c r="G9" s="18" t="n">
        <v>0.34</v>
      </c>
      <c r="H9" s="18" t="n">
        <v>0.35</v>
      </c>
      <c r="I9" s="18" t="n">
        <v>0.36</v>
      </c>
      <c r="J9" s="18" t="n">
        <v>0.37</v>
      </c>
      <c r="K9" s="18" t="n">
        <v>0.38</v>
      </c>
      <c r="L9" s="2" t="inlineStr">
        <is>
          <t>Margin expansion driven by AVGO's post-close pricing/cost actions toward $8.5B EBITDA target</t>
        </is>
      </c>
    </row>
    <row r="10">
      <c r="B10" s="4" t="inlineStr">
        <is>
          <t>EBITDA (proxy = non-GAAP operating income + D&amp;A add-back simplified to op income here)</t>
        </is>
      </c>
      <c r="D10" s="30">
        <f>D7*D9</f>
      </c>
      <c r="E10" s="30">
        <f>E7*E9</f>
      </c>
      <c r="F10" s="30">
        <f>F7*F9</f>
      </c>
      <c r="G10" s="30">
        <f>G7*G9</f>
      </c>
      <c r="H10" s="30">
        <f>H7*H9</f>
      </c>
      <c r="I10" s="30">
        <f>I7*I9</f>
      </c>
      <c r="J10" s="30">
        <f>J7*J9</f>
      </c>
      <c r="K10" s="30">
        <f>K7*K9</f>
      </c>
    </row>
    <row r="11">
      <c r="B11" s="4" t="inlineStr">
        <is>
          <t>D&amp;A</t>
        </is>
      </c>
      <c r="D11" s="25" t="n">
        <v>650</v>
      </c>
      <c r="E11" s="25" t="n">
        <v>700</v>
      </c>
      <c r="F11" s="25" t="n">
        <v>720</v>
      </c>
      <c r="G11" s="25" t="n">
        <v>750</v>
      </c>
      <c r="H11" s="25" t="n">
        <v>750</v>
      </c>
      <c r="I11" s="25" t="n">
        <v>750</v>
      </c>
      <c r="J11" s="25" t="n">
        <v>750</v>
      </c>
      <c r="K11" s="25" t="n">
        <v>750</v>
      </c>
    </row>
    <row r="12">
      <c r="B12" s="4" t="inlineStr">
        <is>
          <t>EBIT (EBITDA - D&amp;A)</t>
        </is>
      </c>
      <c r="D12" s="30">
        <f>D10-D11</f>
      </c>
      <c r="E12" s="30">
        <f>E10-E11</f>
      </c>
      <c r="F12" s="30">
        <f>F10-F11</f>
      </c>
      <c r="G12" s="30">
        <f>G10-G11</f>
      </c>
      <c r="H12" s="30">
        <f>H10-H11</f>
      </c>
      <c r="I12" s="30">
        <f>I10-I11</f>
      </c>
      <c r="J12" s="30">
        <f>J10-J11</f>
      </c>
      <c r="K12" s="30">
        <f>K10-K11</f>
      </c>
    </row>
    <row r="13">
      <c r="B13" s="4" t="inlineStr">
        <is>
          <t>Interest expense (standalone senior notes, blue rate x const. debt)</t>
        </is>
      </c>
      <c r="D13" s="25" t="n">
        <v>350</v>
      </c>
      <c r="E13" s="25" t="n">
        <v>350</v>
      </c>
      <c r="F13" s="25" t="n">
        <v>350</v>
      </c>
      <c r="G13" s="11">
        <f>'Assumptions'!D37*'Assumptions'!D38</f>
      </c>
      <c r="H13" s="11">
        <f>'Assumptions'!D37*'Assumptions'!D38</f>
      </c>
      <c r="I13" s="11">
        <f>'Assumptions'!D37*'Assumptions'!D38</f>
      </c>
      <c r="J13" s="11">
        <f>'Assumptions'!D37*'Assumptions'!D38</f>
      </c>
      <c r="K13" s="11">
        <f>'Assumptions'!D37*'Assumptions'!D38</f>
      </c>
    </row>
    <row r="14">
      <c r="B14" s="4" t="inlineStr">
        <is>
          <t>EBT</t>
        </is>
      </c>
      <c r="D14" s="30">
        <f>D12-D13</f>
      </c>
      <c r="E14" s="30">
        <f>E12-E13</f>
      </c>
      <c r="F14" s="30">
        <f>F12-F13</f>
      </c>
      <c r="G14" s="30">
        <f>G12-G13</f>
      </c>
      <c r="H14" s="30">
        <f>H12-H13</f>
      </c>
      <c r="I14" s="30">
        <f>I12-I13</f>
      </c>
      <c r="J14" s="30">
        <f>J12-J13</f>
      </c>
      <c r="K14" s="30">
        <f>K12-K13</f>
      </c>
    </row>
    <row r="15">
      <c r="B15" s="4" t="inlineStr">
        <is>
          <t>Tax rate (blue)</t>
        </is>
      </c>
      <c r="D15" s="26" t="n">
        <v>0.21</v>
      </c>
      <c r="E15" s="26" t="n">
        <v>0.21</v>
      </c>
      <c r="F15" s="26" t="n">
        <v>0.21</v>
      </c>
      <c r="G15" s="26" t="n">
        <v>0.21</v>
      </c>
      <c r="H15" s="26" t="n">
        <v>0.21</v>
      </c>
      <c r="I15" s="26" t="n">
        <v>0.21</v>
      </c>
      <c r="J15" s="26" t="n">
        <v>0.21</v>
      </c>
      <c r="K15" s="26" t="n">
        <v>0.21</v>
      </c>
    </row>
    <row r="16">
      <c r="B16" s="4" t="inlineStr">
        <is>
          <t>Taxes</t>
        </is>
      </c>
      <c r="D16" s="30">
        <f>D14*D15</f>
      </c>
      <c r="E16" s="30">
        <f>E14*E15</f>
      </c>
      <c r="F16" s="30">
        <f>F14*F15</f>
      </c>
      <c r="G16" s="30">
        <f>G14*G15</f>
      </c>
      <c r="H16" s="30">
        <f>H14*H15</f>
      </c>
      <c r="I16" s="30">
        <f>I14*I15</f>
      </c>
      <c r="J16" s="30">
        <f>J14*J15</f>
      </c>
      <c r="K16" s="30">
        <f>K14*K15</f>
      </c>
    </row>
    <row r="17">
      <c r="B17" s="29" t="inlineStr">
        <is>
          <t>Net income</t>
        </is>
      </c>
      <c r="D17" s="23">
        <f>D14-D16</f>
      </c>
      <c r="E17" s="23">
        <f>E14-E16</f>
      </c>
      <c r="F17" s="23">
        <f>F14-F16</f>
      </c>
      <c r="G17" s="23">
        <f>G14-G16</f>
      </c>
      <c r="H17" s="23">
        <f>H14-H16</f>
      </c>
      <c r="I17" s="23">
        <f>I14-I16</f>
      </c>
      <c r="J17" s="23">
        <f>J14-J16</f>
      </c>
      <c r="K17" s="23">
        <f>K14-K16</f>
      </c>
    </row>
    <row r="18">
      <c r="B18" s="4" t="inlineStr">
        <is>
          <t>Diluted shares outstanding (mm, blue)</t>
        </is>
      </c>
      <c r="D18" s="14" t="n">
        <v>437</v>
      </c>
      <c r="E18" s="14" t="n">
        <v>430</v>
      </c>
      <c r="F18" s="14" t="n">
        <v>430</v>
      </c>
      <c r="G18" s="14" t="n">
        <v>430</v>
      </c>
      <c r="H18" s="14" t="n">
        <v>430</v>
      </c>
      <c r="I18" s="14" t="n">
        <v>430</v>
      </c>
      <c r="J18" s="14" t="n">
        <v>430</v>
      </c>
      <c r="K18" s="14" t="n">
        <v>430</v>
      </c>
    </row>
    <row r="19">
      <c r="B19" s="29" t="inlineStr">
        <is>
          <t>Standalone diluted EPS</t>
        </is>
      </c>
      <c r="D19" s="22">
        <f>D17/D18</f>
      </c>
      <c r="E19" s="22">
        <f>E17/E18</f>
      </c>
      <c r="F19" s="22">
        <f>F17/F18</f>
      </c>
      <c r="G19" s="22">
        <f>G17/G18</f>
      </c>
      <c r="H19" s="22">
        <f>H17/H18</f>
      </c>
      <c r="I19" s="22">
        <f>I17/I18</f>
      </c>
      <c r="J19" s="22">
        <f>J17/J18</f>
      </c>
      <c r="K19" s="22">
        <f>K17/K18</f>
      </c>
    </row>
    <row r="20"/>
    <row r="21">
      <c r="B21" s="29" t="inlineStr">
        <is>
          <t>Balance sheet memo at close</t>
        </is>
      </c>
    </row>
    <row r="22">
      <c r="B22" s="4" t="inlineStr">
        <is>
          <t>Cash &amp; equivalents ($mm, blue - cash acquired by AVGO)</t>
        </is>
      </c>
      <c r="D22" s="25" t="n">
        <v>6642</v>
      </c>
    </row>
    <row r="23">
      <c r="B23" s="4" t="inlineStr">
        <is>
          <t>Gross debt / senior notes ($mm, blue)</t>
        </is>
      </c>
      <c r="D23" s="25" t="n">
        <v>8250</v>
      </c>
    </row>
    <row r="24">
      <c r="B24" s="13" t="inlineStr">
        <is>
          <t>Note: VMW fiscal calendar (~Feb FYE) shown without restatement to AVGO's Oct FYE; projection years FY2024E-FY2028E are treated as combined post-close periods aligned to AVGO's fiscal calendar.</t>
        </is>
      </c>
    </row>
  </sheetData>
  <mergeCells count="1">
    <mergeCell ref="B24:K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showGridLines="0"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2" customWidth="1" min="2" max="2"/>
    <col width="3" customWidth="1" min="3" max="3"/>
    <col width="14" customWidth="1" min="4" max="4"/>
    <col width="14" customWidth="1" min="5" max="5"/>
    <col width="14" customWidth="1" min="6" max="6"/>
    <col width="14" customWidth="1" min="7" max="7"/>
    <col width="14" customWidth="1" min="8" max="8"/>
  </cols>
  <sheetData>
    <row r="1"/>
    <row r="2">
      <c r="B2" s="1" t="inlineStr">
        <is>
          <t>Synergies - Path to $8.5B VMware EBITDA Target</t>
        </is>
      </c>
    </row>
    <row r="3">
      <c r="B3" s="2" t="inlineStr">
        <is>
          <t>($ in millions)</t>
        </is>
      </c>
    </row>
    <row r="4"/>
    <row r="5">
      <c r="B5" s="6" t="inlineStr">
        <is>
          <t>Synergy Build</t>
        </is>
      </c>
      <c r="C5" s="6" t="n"/>
      <c r="D5" s="6" t="n"/>
      <c r="E5" s="6" t="n"/>
      <c r="F5" s="6" t="n"/>
      <c r="G5" s="6" t="n"/>
      <c r="H5" s="6" t="n"/>
    </row>
    <row r="6">
      <c r="B6" s="29" t="inlineStr">
        <is>
          <t>Fiscal Year</t>
        </is>
      </c>
      <c r="D6" s="29" t="inlineStr">
        <is>
          <t>FY2024E</t>
        </is>
      </c>
      <c r="E6" s="29" t="inlineStr">
        <is>
          <t>FY2025E</t>
        </is>
      </c>
      <c r="F6" s="29" t="inlineStr">
        <is>
          <t>FY2026E</t>
        </is>
      </c>
      <c r="G6" s="29" t="inlineStr">
        <is>
          <t>FY2027E</t>
        </is>
      </c>
      <c r="H6" s="29" t="inlineStr">
        <is>
          <t>FY2028E</t>
        </is>
      </c>
    </row>
    <row r="7">
      <c r="B7" s="4" t="inlineStr">
        <is>
          <t>Run-rate cost synergy target ($mm, blue)</t>
        </is>
      </c>
      <c r="D7" s="25" t="n">
        <v>3500</v>
      </c>
      <c r="E7" s="30">
        <f>$D$7</f>
      </c>
      <c r="F7" s="30">
        <f>$D$7</f>
      </c>
      <c r="G7" s="30">
        <f>$D$7</f>
      </c>
      <c r="H7" s="30">
        <f>$D$7</f>
      </c>
      <c r="I7" s="2" t="inlineStr">
        <is>
          <t>Consistent with VMW EBITDA moving from ~$4.7B base toward ~$8.5B target within 3 years</t>
        </is>
      </c>
    </row>
    <row r="8">
      <c r="B8" s="4" t="inlineStr">
        <is>
          <t>Phase-in % of run-rate (blue: 40/70/100/100/100%)</t>
        </is>
      </c>
      <c r="D8" s="18" t="n">
        <v>0.4</v>
      </c>
      <c r="E8" s="18" t="n">
        <v>0.7</v>
      </c>
      <c r="F8" s="18" t="n">
        <v>1</v>
      </c>
      <c r="G8" s="18" t="n">
        <v>1</v>
      </c>
      <c r="H8" s="18" t="n">
        <v>1</v>
      </c>
    </row>
    <row r="9">
      <c r="B9" s="4" t="inlineStr">
        <is>
          <t>Cost synergies realized, pre-tax ($mm, formula)</t>
        </is>
      </c>
      <c r="D9" s="30">
        <f>D7*D8</f>
      </c>
      <c r="E9" s="30">
        <f>E7*E8</f>
      </c>
      <c r="F9" s="30">
        <f>F7*F8</f>
      </c>
      <c r="G9" s="30">
        <f>G7*G8</f>
      </c>
      <c r="H9" s="30">
        <f>H7*H8</f>
      </c>
    </row>
    <row r="10">
      <c r="B10" s="4" t="inlineStr">
        <is>
          <t>Revenue synergy uplift % of VMW revenue (blue, price increases)</t>
        </is>
      </c>
      <c r="D10" s="18" t="n">
        <v>0.01</v>
      </c>
      <c r="E10" s="18" t="n">
        <v>0.02</v>
      </c>
      <c r="F10" s="18" t="n">
        <v>0.03</v>
      </c>
      <c r="G10" s="18" t="n">
        <v>0.03</v>
      </c>
      <c r="H10" s="18" t="n">
        <v>0.03</v>
      </c>
    </row>
    <row r="11">
      <c r="B11" s="4" t="inlineStr">
        <is>
          <t>Revenue synergies ($mm, formula, green-linked to Target revenue)</t>
        </is>
      </c>
      <c r="D11" s="11">
        <f>D10*Target!G7</f>
      </c>
      <c r="E11" s="11">
        <f>E10*Target!H7</f>
      </c>
      <c r="F11" s="11">
        <f>F10*Target!I7</f>
      </c>
      <c r="G11" s="11">
        <f>G10*Target!J7</f>
      </c>
      <c r="H11" s="11">
        <f>H10*Target!K7</f>
      </c>
    </row>
    <row r="12">
      <c r="B12" s="4" t="inlineStr">
        <is>
          <t>Incremental margin on revenue synergies (blue)</t>
        </is>
      </c>
      <c r="D12" s="18" t="n">
        <v>0.7</v>
      </c>
      <c r="E12" s="18" t="n">
        <v>0.7</v>
      </c>
      <c r="F12" s="18" t="n">
        <v>0.7</v>
      </c>
      <c r="G12" s="18" t="n">
        <v>0.7</v>
      </c>
      <c r="H12" s="18" t="n">
        <v>0.7</v>
      </c>
    </row>
    <row r="13">
      <c r="B13" s="4" t="inlineStr">
        <is>
          <t>Revenue synergy EBITDA contribution ($mm, formula)</t>
        </is>
      </c>
      <c r="D13" s="30">
        <f>D11*D12</f>
      </c>
      <c r="E13" s="30">
        <f>E11*E12</f>
      </c>
      <c r="F13" s="30">
        <f>F11*F12</f>
      </c>
      <c r="G13" s="30">
        <f>G11*G12</f>
      </c>
      <c r="H13" s="30">
        <f>H11*H12</f>
      </c>
    </row>
    <row r="14">
      <c r="B14" s="4" t="inlineStr">
        <is>
          <t>One-time integration costs ($mm, blue, yr1-2 only, expensed)</t>
        </is>
      </c>
      <c r="D14" s="25" t="n">
        <v>600</v>
      </c>
      <c r="E14" s="25" t="n">
        <v>300</v>
      </c>
      <c r="F14" s="25" t="n">
        <v>0</v>
      </c>
      <c r="G14" s="25" t="n">
        <v>0</v>
      </c>
      <c r="H14" s="25" t="n">
        <v>0</v>
      </c>
    </row>
    <row r="15">
      <c r="B15" s="29" t="inlineStr">
        <is>
          <t>Total pre-tax synergy benefit, net of integration costs ($mm)</t>
        </is>
      </c>
      <c r="D15" s="23">
        <f>D9+D13-D14</f>
      </c>
      <c r="E15" s="23">
        <f>E9+E13-E14</f>
      </c>
      <c r="F15" s="23">
        <f>F9+F13-F14</f>
      </c>
      <c r="G15" s="23">
        <f>G9+G13-G14</f>
      </c>
      <c r="H15" s="23">
        <f>H9+H13-H14</f>
      </c>
    </row>
    <row r="16">
      <c r="B16" s="29" t="inlineStr">
        <is>
          <t>Total after-tax synergy benefit ($mm, formula)</t>
        </is>
      </c>
      <c r="D16" s="31">
        <f>D15*(1-'Assumptions'!D48)</f>
      </c>
      <c r="E16" s="31">
        <f>E15*(1-'Assumptions'!D48)</f>
      </c>
      <c r="F16" s="31">
        <f>F15*(1-'Assumptions'!D48)</f>
      </c>
      <c r="G16" s="31">
        <f>G15*(1-'Assumptions'!D48)</f>
      </c>
      <c r="H16" s="31">
        <f>H15*(1-'Assumptions'!D48)</f>
      </c>
    </row>
    <row r="17"/>
    <row r="18">
      <c r="B18" s="6" t="inlineStr">
        <is>
          <t>Memo: VMware EBITDA Path to $8.5B Target</t>
        </is>
      </c>
      <c r="C18" s="6" t="n"/>
      <c r="D18" s="6" t="n"/>
      <c r="E18" s="6" t="n"/>
      <c r="F18" s="6" t="n"/>
    </row>
    <row r="19">
      <c r="B19" s="4" t="inlineStr">
        <is>
          <t>VMW adj. EBITDA base, pre-deal (blue, ~FY2022 memo)</t>
        </is>
      </c>
      <c r="D19" s="25" t="n">
        <v>4700</v>
      </c>
    </row>
    <row r="20">
      <c r="B20" s="4" t="inlineStr">
        <is>
          <t>3-year target VMW EBITDA (blue, management guidance)</t>
        </is>
      </c>
      <c r="D20" s="25" t="n">
        <v>8500</v>
      </c>
    </row>
    <row r="21">
      <c r="B21" s="4" t="inlineStr">
        <is>
          <t>Implied VMW EBITDA (base + phased synergies), FY2024E-FY2028E</t>
        </is>
      </c>
      <c r="D21" s="11">
        <f>Target!G10+D9+D13</f>
      </c>
      <c r="E21" s="11">
        <f>Target!H10+E9+E13</f>
      </c>
      <c r="F21" s="11">
        <f>Target!I10+F9+F13</f>
      </c>
      <c r="G21" s="11">
        <f>Target!J10+G9+G13</f>
      </c>
      <c r="H21" s="11">
        <f>Target!K10+H9+H13</f>
      </c>
      <c r="I21" s="2" t="inlineStr">
        <is>
          <t>Yr3 (FY2026E) column should approach the $8.5B target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5"/>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4" customWidth="1" min="2" max="2"/>
    <col width="3" customWidth="1" min="3" max="3"/>
    <col width="18" customWidth="1" min="4" max="4"/>
    <col width="18" customWidth="1" min="5" max="5"/>
    <col width="46" customWidth="1" min="6" max="6"/>
  </cols>
  <sheetData>
    <row r="1"/>
    <row r="2">
      <c r="B2" s="1" t="inlineStr">
        <is>
          <t>PPA &amp; Financing - Sources &amp; Uses, Goodwill Build, Financing Effects</t>
        </is>
      </c>
    </row>
    <row r="3">
      <c r="B3" s="2" t="inlineStr">
        <is>
          <t>($ in millions)</t>
        </is>
      </c>
    </row>
    <row r="4"/>
    <row r="5">
      <c r="B5" s="6" t="inlineStr">
        <is>
          <t>Sources &amp; Uses</t>
        </is>
      </c>
      <c r="C5" s="6" t="n"/>
      <c r="D5" s="6" t="n"/>
      <c r="E5" s="6" t="n"/>
    </row>
    <row r="6">
      <c r="B6" s="29" t="inlineStr">
        <is>
          <t>Sources</t>
        </is>
      </c>
    </row>
    <row r="7">
      <c r="B7" s="4" t="inlineStr">
        <is>
          <t>Cash from AVGO balance sheet</t>
        </is>
      </c>
      <c r="D7" s="11">
        <f>'Assumptions'!D31</f>
      </c>
    </row>
    <row r="8">
      <c r="B8" s="4" t="inlineStr">
        <is>
          <t>New term loans ($28.4B target)</t>
        </is>
      </c>
      <c r="D8" s="11">
        <f>'Assumptions'!D32</f>
      </c>
    </row>
    <row r="9">
      <c r="B9" s="4" t="inlineStr">
        <is>
          <t>AVGO stock issued to VMW sellers</t>
        </is>
      </c>
      <c r="D9" s="11">
        <f>'Assumptions'!D26</f>
      </c>
    </row>
    <row r="10">
      <c r="B10" s="4" t="inlineStr">
        <is>
          <t>Incremental new-debt draw to fund financing + advisory fees</t>
        </is>
      </c>
      <c r="D10" s="11">
        <f>'Assumptions'!D39</f>
      </c>
    </row>
    <row r="11">
      <c r="B11" s="29" t="inlineStr">
        <is>
          <t>Total sources</t>
        </is>
      </c>
      <c r="D11" s="23">
        <f>SUM(D7:D10)</f>
      </c>
    </row>
    <row r="12"/>
    <row r="13">
      <c r="B13" s="29" t="inlineStr">
        <is>
          <t>Uses</t>
        </is>
      </c>
    </row>
    <row r="14">
      <c r="B14" s="4" t="inlineStr">
        <is>
          <t>Equity purchase price (cash + stock consideration)</t>
        </is>
      </c>
      <c r="D14" s="11">
        <f>'Assumptions'!D27</f>
      </c>
    </row>
    <row r="15">
      <c r="B15" s="4" t="inlineStr">
        <is>
          <t>Financing + advisory fees</t>
        </is>
      </c>
      <c r="D15" s="11">
        <f>'Assumptions'!D39</f>
      </c>
    </row>
    <row r="16">
      <c r="B16" s="29" t="inlineStr">
        <is>
          <t>Total uses</t>
        </is>
      </c>
      <c r="D16" s="23">
        <f>D14+D15</f>
      </c>
    </row>
    <row r="17">
      <c r="B17" s="4" t="inlineStr">
        <is>
          <t>Check: Sources - Uses (must = 0.000)</t>
        </is>
      </c>
      <c r="D17" s="30">
        <f>ROUND((D11)-(D14+D15),3)</f>
      </c>
    </row>
    <row r="18"/>
    <row r="19">
      <c r="B19" s="6" t="inlineStr">
        <is>
          <t>Goodwill Build (Waterfall)</t>
        </is>
      </c>
      <c r="C19" s="6" t="n"/>
      <c r="D19" s="6" t="n"/>
      <c r="E19" s="6" t="n"/>
    </row>
    <row r="20">
      <c r="B20" s="4" t="inlineStr">
        <is>
          <t>Equity purchase price</t>
        </is>
      </c>
      <c r="D20" s="11">
        <f>'Assumptions'!D27</f>
      </c>
    </row>
    <row r="21">
      <c r="B21" s="4" t="inlineStr">
        <is>
          <t>Less: VMW book equity acquired</t>
        </is>
      </c>
      <c r="D21" s="11">
        <f>-'Assumptions'!D42</f>
      </c>
    </row>
    <row r="22">
      <c r="B22" s="4" t="inlineStr">
        <is>
          <t>Plus: VMW existing goodwill written off (add back to step-up base)</t>
        </is>
      </c>
      <c r="D22" s="11">
        <f>'Assumptions'!D43</f>
      </c>
    </row>
    <row r="23">
      <c r="B23" s="4" t="inlineStr">
        <is>
          <t>Less: identifiable intangible step-up recognized</t>
        </is>
      </c>
      <c r="D23" s="11">
        <f>-'Assumptions'!D44</f>
      </c>
    </row>
    <row r="24">
      <c r="B24" s="4" t="inlineStr">
        <is>
          <t>Plus: deferred tax liability created on step-up</t>
        </is>
      </c>
      <c r="D24" s="11">
        <f>'Assumptions'!D50</f>
      </c>
    </row>
    <row r="25">
      <c r="B25" s="29" t="inlineStr">
        <is>
          <t>New goodwill created</t>
        </is>
      </c>
      <c r="D25" s="23">
        <f>SUM(D20:D24)</f>
      </c>
      <c r="F25" s="2" t="inlineStr">
        <is>
          <t>Modeled ~$56.1B vs. AVGO FY2024 10-K actual ~$43-45B -- see simplification note below</t>
        </is>
      </c>
    </row>
    <row r="26"/>
    <row r="27">
      <c r="B27" s="2" t="inlineStr">
        <is>
          <t>GOODWILL SIMPLIFICATION (read with the waterfall above): this model's residual goodwill computes to approximately $56.1B, versus the approximately $43-45B actually recorded in AVGO's FY2024 10-K Note 3. The gap is a deliberate simplification of the waterfall, not a calculation error, and comes from three sources. (1) The model's uses base is the GROSS equity purchase price (approximately $83.8B of cash + stock consideration), whereas the actual PPA allocates approximately $79.6B of consideration NET of the approximately $6.6B of VMware cash acquired. (2) This waterfall recognizes only two acquired-balance-sheet items -- book equity and the write-off of pre-deal goodwill -- and does not step up or separately identify the approximately $8.5B of other tangible net assets acquired (PP&amp;E, receivables, inventory, other), so their fair value falls into the residual instead of being carved out of it. (3) The full deferred tax liability of intangibles x 21% (approximately $7.5B) is added to goodwill, whereas the actual PPA nets the acquired deferred tax positions, NOLs and credits against it. Adjusting for those three items brings the residual back into the disclosed approximately $43-45B region. Goodwill is not amortized, so this difference does NOT affect the pro forma EPS or accretion/(dilution) results anywhere in this model -- those are driven by the identifiable intangible balance (blue input, calibrated to the actual approximately $35-36B) and its amortization life.</t>
        </is>
      </c>
    </row>
    <row r="28"/>
    <row r="29">
      <c r="B29" s="6" t="inlineStr">
        <is>
          <t>Financing Effects per Year</t>
        </is>
      </c>
      <c r="C29" s="6" t="n"/>
      <c r="D29" s="6" t="n"/>
      <c r="E29" s="6" t="n"/>
    </row>
    <row r="30">
      <c r="B30" s="29" t="inlineStr">
        <is>
          <t>Fiscal Year</t>
        </is>
      </c>
      <c r="D30" s="29" t="inlineStr">
        <is>
          <t>FY2024E</t>
        </is>
      </c>
      <c r="E30" s="29" t="inlineStr">
        <is>
          <t>FY2025E</t>
        </is>
      </c>
      <c r="F30" s="29" t="inlineStr">
        <is>
          <t>FY2026E</t>
        </is>
      </c>
      <c r="G30" s="29" t="inlineStr">
        <is>
          <t>FY2027E</t>
        </is>
      </c>
      <c r="H30" s="29" t="inlineStr">
        <is>
          <t>FY2028E</t>
        </is>
      </c>
    </row>
    <row r="31">
      <c r="B31" s="4" t="inlineStr">
        <is>
          <t>New term loan interest expense ($mm)</t>
        </is>
      </c>
      <c r="D31" s="11">
        <f>'Assumptions'!D32*'Assumptions'!D35</f>
      </c>
      <c r="E31" s="11">
        <f>'Assumptions'!D32*'Assumptions'!D35</f>
      </c>
      <c r="F31" s="11">
        <f>'Assumptions'!D32*'Assumptions'!D35</f>
      </c>
      <c r="G31" s="11">
        <f>'Assumptions'!D32*'Assumptions'!D35</f>
      </c>
      <c r="H31" s="11">
        <f>'Assumptions'!D32*'Assumptions'!D35</f>
      </c>
    </row>
    <row r="32">
      <c r="B32" s="4" t="inlineStr">
        <is>
          <t>Foregone interest income on BS cash used ($mm)</t>
        </is>
      </c>
      <c r="D32" s="11">
        <f>'Assumptions'!D31*'Assumptions'!D36</f>
      </c>
      <c r="E32" s="11">
        <f>'Assumptions'!D31*'Assumptions'!D36</f>
      </c>
      <c r="F32" s="11">
        <f>'Assumptions'!D31*'Assumptions'!D36</f>
      </c>
      <c r="G32" s="11">
        <f>'Assumptions'!D31*'Assumptions'!D36</f>
      </c>
      <c r="H32" s="11">
        <f>'Assumptions'!D31*'Assumptions'!D36</f>
      </c>
    </row>
    <row r="33">
      <c r="B33" s="4" t="inlineStr">
        <is>
          <t>Financing fee amortization ($mm, straight-line over 5yr tenor)</t>
        </is>
      </c>
      <c r="D33" s="11">
        <f>'Assumptions'!D39/5</f>
      </c>
      <c r="E33" s="11">
        <f>'Assumptions'!D39/5</f>
      </c>
      <c r="F33" s="11">
        <f>'Assumptions'!D39/5</f>
      </c>
      <c r="G33" s="11">
        <f>'Assumptions'!D39/5</f>
      </c>
      <c r="H33" s="11">
        <f>'Assumptions'!D39/5</f>
      </c>
    </row>
    <row r="34">
      <c r="B34" s="4" t="inlineStr">
        <is>
          <t>Interest on assumed VMW debt ($mm)</t>
        </is>
      </c>
      <c r="D34" s="11">
        <f>'Assumptions'!D37*'Assumptions'!D38</f>
      </c>
      <c r="E34" s="11">
        <f>'Assumptions'!D37*'Assumptions'!D38</f>
      </c>
      <c r="F34" s="11">
        <f>'Assumptions'!D37*'Assumptions'!D38</f>
      </c>
      <c r="G34" s="11">
        <f>'Assumptions'!D37*'Assumptions'!D38</f>
      </c>
      <c r="H34" s="11">
        <f>'Assumptions'!D37*'Assumptions'!D38</f>
      </c>
    </row>
    <row r="35">
      <c r="B35" s="4" t="inlineStr">
        <is>
          <t>Incremental intangible amortization ($mm)</t>
        </is>
      </c>
      <c r="D35" s="11">
        <f>'Assumptions'!D46</f>
      </c>
      <c r="E35" s="11">
        <f>'Assumptions'!D46</f>
      </c>
      <c r="F35" s="11">
        <f>'Assumptions'!D46</f>
      </c>
      <c r="G35" s="11">
        <f>'Assumptions'!D46</f>
      </c>
      <c r="H35" s="11">
        <f>'Assumptions'!D46</f>
      </c>
    </row>
  </sheetData>
  <conditionalFormatting sqref="D17">
    <cfRule type="cellIs" priority="1" operator="equal" dxfId="0">
      <formula>0</formula>
    </cfRule>
    <cfRule type="cellIs" priority="2" operator="notEqual" dxfId="1">
      <formula>0</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7"/>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44" customWidth="1" min="2" max="2"/>
    <col width="3" customWidth="1" min="3" max="3"/>
    <col width="15" customWidth="1" min="4" max="4"/>
    <col width="15" customWidth="1" min="5" max="5"/>
    <col width="15" customWidth="1" min="6" max="6"/>
    <col width="15" customWidth="1" min="7" max="7"/>
    <col width="15" customWidth="1" min="8" max="8"/>
  </cols>
  <sheetData>
    <row r="1"/>
    <row r="2">
      <c r="B2" s="1" t="inlineStr">
        <is>
          <t>Pro Forma Combined - Accretion/(Dilution) Analysis</t>
        </is>
      </c>
    </row>
    <row r="3">
      <c r="B3" s="2" t="inlineStr">
        <is>
          <t>($ in millions, except per-share data)</t>
        </is>
      </c>
    </row>
    <row r="4"/>
    <row r="5">
      <c r="B5" s="29" t="inlineStr">
        <is>
          <t>Fiscal Year</t>
        </is>
      </c>
      <c r="D5" s="29" t="inlineStr">
        <is>
          <t>FY2024E</t>
        </is>
      </c>
      <c r="E5" s="29" t="inlineStr">
        <is>
          <t>FY2025E</t>
        </is>
      </c>
      <c r="F5" s="29" t="inlineStr">
        <is>
          <t>FY2026E</t>
        </is>
      </c>
      <c r="G5" s="29" t="inlineStr">
        <is>
          <t>FY2027E</t>
        </is>
      </c>
      <c r="H5" s="29" t="inlineStr">
        <is>
          <t>FY2028E</t>
        </is>
      </c>
    </row>
    <row r="6">
      <c r="B6" s="6" t="inlineStr">
        <is>
          <t>Revenue &amp; EBITDA</t>
        </is>
      </c>
      <c r="C6" s="6" t="n"/>
      <c r="D6" s="6" t="n"/>
      <c r="E6" s="6" t="n"/>
      <c r="F6" s="6" t="n"/>
      <c r="G6" s="6" t="n"/>
      <c r="H6" s="6" t="n"/>
    </row>
    <row r="7">
      <c r="B7" s="4" t="inlineStr">
        <is>
          <t>Combined revenue (Acquirer + Target + revenue synergies)</t>
        </is>
      </c>
      <c r="D7" s="11">
        <f>Acquirer!G7+Target!G7+Synergies!D11</f>
      </c>
      <c r="E7" s="11">
        <f>Acquirer!H7+Target!H7+Synergies!E11</f>
      </c>
      <c r="F7" s="11">
        <f>Acquirer!I7+Target!I7+Synergies!F11</f>
      </c>
      <c r="G7" s="11">
        <f>Acquirer!J7+Target!J7+Synergies!G11</f>
      </c>
      <c r="H7" s="11">
        <f>Acquirer!K7+Target!K7+Synergies!H11</f>
      </c>
    </row>
    <row r="8">
      <c r="B8" s="4" t="inlineStr">
        <is>
          <t>Combined EBITDA (Acq + Tgt EBITDA + cost &amp; rev synergies - integration costs)</t>
        </is>
      </c>
      <c r="D8" s="11">
        <f>Acquirer!G10+Target!G10+Synergies!D15</f>
      </c>
      <c r="E8" s="11">
        <f>Acquirer!H10+Target!H10+Synergies!E15</f>
      </c>
      <c r="F8" s="11">
        <f>Acquirer!I10+Target!I10+Synergies!F15</f>
      </c>
      <c r="G8" s="11">
        <f>Acquirer!J10+Target!J10+Synergies!G15</f>
      </c>
      <c r="H8" s="11">
        <f>Acquirer!K10+Target!K10+Synergies!H15</f>
      </c>
    </row>
    <row r="9">
      <c r="B9" s="4" t="inlineStr">
        <is>
          <t>Combined D&amp;A (Acq + Tgt, excl. new intangible amort)</t>
        </is>
      </c>
      <c r="D9" s="11">
        <f>Acquirer!G11+Target!G11</f>
      </c>
      <c r="E9" s="11">
        <f>Acquirer!H11+Target!H11</f>
      </c>
      <c r="F9" s="11">
        <f>Acquirer!I11+Target!I11</f>
      </c>
      <c r="G9" s="11">
        <f>Acquirer!J11+Target!J11</f>
      </c>
      <c r="H9" s="11">
        <f>Acquirer!K11+Target!K11</f>
      </c>
    </row>
    <row r="10">
      <c r="B10" s="4" t="inlineStr">
        <is>
          <t>New incremental intangible amortization (from PPA)</t>
        </is>
      </c>
      <c r="D10" s="11">
        <f>'PPA-Financing'!D35</f>
      </c>
      <c r="E10" s="11">
        <f>'PPA-Financing'!E35</f>
      </c>
      <c r="F10" s="11">
        <f>'PPA-Financing'!F35</f>
      </c>
      <c r="G10" s="11">
        <f>'PPA-Financing'!G35</f>
      </c>
      <c r="H10" s="11">
        <f>'PPA-Financing'!H35</f>
      </c>
    </row>
    <row r="11">
      <c r="B11" s="4" t="inlineStr">
        <is>
          <t>Pro forma EBIT</t>
        </is>
      </c>
      <c r="D11" s="30">
        <f>D8-D9-D10</f>
      </c>
      <c r="E11" s="30">
        <f>E8-E9-E10</f>
      </c>
      <c r="F11" s="30">
        <f>F8-F9-F10</f>
      </c>
      <c r="G11" s="30">
        <f>G8-G9-G10</f>
      </c>
      <c r="H11" s="30">
        <f>H8-H9-H10</f>
      </c>
    </row>
    <row r="12"/>
    <row r="13">
      <c r="B13" s="6" t="inlineStr">
        <is>
          <t>Interest &amp; Taxes</t>
        </is>
      </c>
      <c r="C13" s="6" t="n"/>
      <c r="D13" s="6" t="n"/>
      <c r="E13" s="6" t="n"/>
      <c r="F13" s="6" t="n"/>
      <c r="G13" s="6" t="n"/>
      <c r="H13" s="6" t="n"/>
    </row>
    <row r="14">
      <c r="B14" s="4" t="inlineStr">
        <is>
          <t>Acquirer standalone interest expense</t>
        </is>
      </c>
      <c r="D14" s="11">
        <f>Acquirer!G13</f>
      </c>
      <c r="E14" s="11">
        <f>Acquirer!H13</f>
      </c>
      <c r="F14" s="11">
        <f>Acquirer!I13</f>
      </c>
      <c r="G14" s="11">
        <f>Acquirer!J13</f>
      </c>
      <c r="H14" s="11">
        <f>Acquirer!K13</f>
      </c>
    </row>
    <row r="15">
      <c r="B15" s="4" t="inlineStr">
        <is>
          <t>Interest on assumed VMW debt</t>
        </is>
      </c>
      <c r="D15" s="11">
        <f>'PPA-Financing'!D34</f>
      </c>
      <c r="E15" s="11">
        <f>'PPA-Financing'!E34</f>
      </c>
      <c r="F15" s="11">
        <f>'PPA-Financing'!F34</f>
      </c>
      <c r="G15" s="11">
        <f>'PPA-Financing'!G34</f>
      </c>
      <c r="H15" s="11">
        <f>'PPA-Financing'!H34</f>
      </c>
    </row>
    <row r="16">
      <c r="B16" s="4" t="inlineStr">
        <is>
          <t>New term loan interest expense</t>
        </is>
      </c>
      <c r="D16" s="11">
        <f>'PPA-Financing'!D31</f>
      </c>
      <c r="E16" s="11">
        <f>'PPA-Financing'!E31</f>
      </c>
      <c r="F16" s="11">
        <f>'PPA-Financing'!F31</f>
      </c>
      <c r="G16" s="11">
        <f>'PPA-Financing'!G31</f>
      </c>
      <c r="H16" s="11">
        <f>'PPA-Financing'!H31</f>
      </c>
    </row>
    <row r="17">
      <c r="B17" s="4" t="inlineStr">
        <is>
          <t>Foregone interest income on BS cash used</t>
        </is>
      </c>
      <c r="D17" s="11">
        <f>'PPA-Financing'!D32</f>
      </c>
      <c r="E17" s="11">
        <f>'PPA-Financing'!E32</f>
      </c>
      <c r="F17" s="11">
        <f>'PPA-Financing'!F32</f>
      </c>
      <c r="G17" s="11">
        <f>'PPA-Financing'!G32</f>
      </c>
      <c r="H17" s="11">
        <f>'PPA-Financing'!H32</f>
      </c>
    </row>
    <row r="18">
      <c r="B18" s="4" t="inlineStr">
        <is>
          <t>Financing fee amortization</t>
        </is>
      </c>
      <c r="D18" s="11">
        <f>'PPA-Financing'!D33</f>
      </c>
      <c r="E18" s="11">
        <f>'PPA-Financing'!E33</f>
      </c>
      <c r="F18" s="11">
        <f>'PPA-Financing'!F33</f>
      </c>
      <c r="G18" s="11">
        <f>'PPA-Financing'!G33</f>
      </c>
      <c r="H18" s="11">
        <f>'PPA-Financing'!H33</f>
      </c>
    </row>
    <row r="19">
      <c r="B19" s="4" t="inlineStr">
        <is>
          <t>Total interest &amp; financing expense</t>
        </is>
      </c>
      <c r="D19" s="30">
        <f>D14+D15+D16+D17+D18</f>
      </c>
      <c r="E19" s="30">
        <f>E14+E15+E16+E17+E18</f>
      </c>
      <c r="F19" s="30">
        <f>F14+F15+F16+F17+F18</f>
      </c>
      <c r="G19" s="30">
        <f>G14+G15+G16+G17+G18</f>
      </c>
      <c r="H19" s="30">
        <f>H14+H15+H16+H17+H18</f>
      </c>
    </row>
    <row r="20">
      <c r="B20" s="4" t="inlineStr">
        <is>
          <t>Pro forma EBT</t>
        </is>
      </c>
      <c r="D20" s="30">
        <f>D11-D19</f>
      </c>
      <c r="E20" s="30">
        <f>E11-E19</f>
      </c>
      <c r="F20" s="30">
        <f>F11-F19</f>
      </c>
      <c r="G20" s="30">
        <f>G11-G19</f>
      </c>
      <c r="H20" s="30">
        <f>H11-H19</f>
      </c>
    </row>
    <row r="21">
      <c r="B21" s="4" t="inlineStr">
        <is>
          <t>Taxes at blended rate</t>
        </is>
      </c>
      <c r="D21" s="11">
        <f>D20*'Assumptions'!D48</f>
      </c>
      <c r="E21" s="11">
        <f>E20*'Assumptions'!D48</f>
      </c>
      <c r="F21" s="11">
        <f>F20*'Assumptions'!D48</f>
      </c>
      <c r="G21" s="11">
        <f>G20*'Assumptions'!D48</f>
      </c>
      <c r="H21" s="11">
        <f>H20*'Assumptions'!D48</f>
      </c>
    </row>
    <row r="22">
      <c r="B22" s="29" t="inlineStr">
        <is>
          <t>Pro forma net income</t>
        </is>
      </c>
      <c r="D22" s="23">
        <f>D20-D21</f>
      </c>
      <c r="E22" s="23">
        <f>E20-E21</f>
      </c>
      <c r="F22" s="23">
        <f>F20-F21</f>
      </c>
      <c r="G22" s="23">
        <f>G20-G21</f>
      </c>
      <c r="H22" s="23">
        <f>H20-H21</f>
      </c>
    </row>
    <row r="23"/>
    <row r="24">
      <c r="B24" s="6" t="inlineStr">
        <is>
          <t>Shares &amp; EPS / Accretion-Dilution</t>
        </is>
      </c>
      <c r="C24" s="6" t="n"/>
      <c r="D24" s="6" t="n"/>
      <c r="E24" s="6" t="n"/>
      <c r="F24" s="6" t="n"/>
      <c r="G24" s="6" t="n"/>
      <c r="H24" s="6" t="n"/>
    </row>
    <row r="25">
      <c r="B25" s="4" t="inlineStr">
        <is>
          <t>Pro forma diluted shares (Acquirer standalone + new shares issued)</t>
        </is>
      </c>
      <c r="D25" s="32">
        <f>Acquirer!G18+'Assumptions'!D25</f>
      </c>
      <c r="E25" s="32">
        <f>Acquirer!H18+'Assumptions'!D25</f>
      </c>
      <c r="F25" s="32">
        <f>Acquirer!I18+'Assumptions'!D25</f>
      </c>
      <c r="G25" s="32">
        <f>Acquirer!J18+'Assumptions'!D25</f>
      </c>
      <c r="H25" s="32">
        <f>Acquirer!K18+'Assumptions'!D25</f>
      </c>
    </row>
    <row r="26">
      <c r="B26" s="29" t="inlineStr">
        <is>
          <t>Pro forma diluted EPS</t>
        </is>
      </c>
      <c r="D26" s="22">
        <f>D22/D25</f>
      </c>
      <c r="E26" s="22">
        <f>E22/E25</f>
      </c>
      <c r="F26" s="22">
        <f>F22/F25</f>
      </c>
      <c r="G26" s="22">
        <f>G22/G25</f>
      </c>
      <c r="H26" s="22">
        <f>H22/H25</f>
      </c>
    </row>
    <row r="27">
      <c r="B27" s="4" t="inlineStr">
        <is>
          <t>Acquirer standalone diluted EPS (memo)</t>
        </is>
      </c>
      <c r="D27" s="10">
        <f>Acquirer!G19</f>
      </c>
      <c r="E27" s="10">
        <f>Acquirer!H19</f>
      </c>
      <c r="F27" s="10">
        <f>Acquirer!I19</f>
      </c>
      <c r="G27" s="10">
        <f>Acquirer!J19</f>
      </c>
      <c r="H27" s="10">
        <f>Acquirer!K19</f>
      </c>
    </row>
    <row r="28">
      <c r="B28" s="4" t="inlineStr">
        <is>
          <t>Accretion / (dilution), $ per share</t>
        </is>
      </c>
      <c r="D28" s="33">
        <f>D26-D27</f>
      </c>
      <c r="E28" s="33">
        <f>E26-E27</f>
      </c>
      <c r="F28" s="33">
        <f>F26-F27</f>
      </c>
      <c r="G28" s="33">
        <f>G26-G27</f>
      </c>
      <c r="H28" s="33">
        <f>H26-H27</f>
      </c>
    </row>
    <row r="29">
      <c r="B29" s="29" t="inlineStr">
        <is>
          <t>Accretion / (dilution), %</t>
        </is>
      </c>
      <c r="D29" s="34">
        <f>D26/D27-1</f>
      </c>
      <c r="E29" s="34">
        <f>E26/E27-1</f>
      </c>
      <c r="F29" s="34">
        <f>F26/F27-1</f>
      </c>
      <c r="G29" s="34">
        <f>G26/G27-1</f>
      </c>
      <c r="H29" s="34">
        <f>H26/H27-1</f>
      </c>
    </row>
    <row r="30"/>
    <row r="31">
      <c r="B31" s="6" t="inlineStr">
        <is>
          <t>Breakeven Synergies (Year 1, FY2024E)</t>
        </is>
      </c>
      <c r="C31" s="6" t="n"/>
      <c r="D31" s="6" t="n"/>
      <c r="E31" s="6" t="n"/>
      <c r="F31" s="6" t="n"/>
      <c r="G31" s="6" t="n"/>
      <c r="H31" s="6" t="n"/>
    </row>
    <row r="32">
      <c r="B32" s="29" t="inlineStr">
        <is>
          <t>Breakeven run-rate cost synergies, pre-tax (Yr-1) ($mm)</t>
        </is>
      </c>
      <c r="D32" s="31">
        <f>(D27*D25-(D22-Synergies!D9*(1-'Assumptions'!D48)))/((1-'Assumptions'!D48)*Synergies!D8)</f>
      </c>
    </row>
    <row r="33">
      <c r="B33" s="4" t="inlineStr">
        <is>
          <t>Cross-check: plug breakeven into accretion formula -&gt; should be ~0.000</t>
        </is>
      </c>
      <c r="D33" s="11">
        <f>ROUND((((D22-Synergies!D9*(1-'Assumptions'!D48))+D32*(1-'Assumptions'!D48)*Synergies!D8)/D25)/D27-1,3)</f>
      </c>
    </row>
    <row r="34"/>
    <row r="35">
      <c r="B35" s="6" t="inlineStr">
        <is>
          <t>Memo: Pro Forma Leverage</t>
        </is>
      </c>
      <c r="C35" s="6" t="n"/>
      <c r="D35" s="6" t="n"/>
      <c r="E35" s="6" t="n"/>
      <c r="F35" s="6" t="n"/>
      <c r="G35" s="6" t="n"/>
      <c r="H35" s="6" t="n"/>
    </row>
    <row r="36">
      <c r="B36" s="4" t="inlineStr">
        <is>
          <t>Opening net debt (Acq BS debt + new term loans + assumed VMW debt - Acq BS cash)</t>
        </is>
      </c>
      <c r="D36" s="11">
        <f>Acquirer!D23+'Assumptions'!D32+'Assumptions'!D37-Acquirer!D22</f>
      </c>
      <c r="E36" s="30">
        <f>D36-0.5*E22</f>
      </c>
      <c r="F36" s="30">
        <f>E36-0.5*F22</f>
      </c>
      <c r="G36" s="30">
        <f>F36-0.5*G22</f>
      </c>
      <c r="H36" s="30">
        <f>G36-0.5*H22</f>
      </c>
      <c r="I36" s="2" t="inlineStr">
        <is>
          <t>Simple sweep: 50% of pro forma NI used for debt paydown (blue % embedded)</t>
        </is>
      </c>
    </row>
    <row r="37">
      <c r="B37" s="4" t="inlineStr">
        <is>
          <t>Pro forma net debt / EBITDA</t>
        </is>
      </c>
      <c r="D37" s="35">
        <f>D36/D8</f>
      </c>
      <c r="E37" s="35">
        <f>E36/E8</f>
      </c>
      <c r="F37" s="35">
        <f>F36/F8</f>
      </c>
      <c r="G37" s="35">
        <f>G36/G8</f>
      </c>
      <c r="H37" s="35">
        <f>H36/H8</f>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showGridLines="0" workbookViewId="0">
      <pane xSplit="3" ySplit="5" topLeftCell="D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4" customWidth="1" min="2" max="2"/>
    <col width="3" customWidth="1" min="3" max="3"/>
    <col width="16" customWidth="1" min="4" max="4"/>
    <col width="16" customWidth="1" min="5" max="5"/>
    <col width="16" customWidth="1" min="6" max="6"/>
    <col width="16" customWidth="1" min="7" max="7"/>
    <col width="16" customWidth="1" min="8" max="8"/>
  </cols>
  <sheetData>
    <row r="1"/>
    <row r="2">
      <c r="B2" s="1" t="inlineStr">
        <is>
          <t>Contribution Analysis - FY2024E (Yr-1)</t>
        </is>
      </c>
    </row>
    <row r="3">
      <c r="B3" s="2" t="inlineStr">
        <is>
          <t>($ in millions)</t>
        </is>
      </c>
    </row>
    <row r="4"/>
    <row r="5">
      <c r="B5" s="29" t="inlineStr"/>
      <c r="D5" s="29" t="inlineStr">
        <is>
          <t>Acquirer (AVGO)</t>
        </is>
      </c>
      <c r="E5" s="29" t="inlineStr">
        <is>
          <t>Target (VMW)</t>
        </is>
      </c>
      <c r="F5" s="29" t="inlineStr">
        <is>
          <t>Combined</t>
        </is>
      </c>
      <c r="G5" s="29" t="inlineStr">
        <is>
          <t>Acquirer %</t>
        </is>
      </c>
      <c r="H5" s="29" t="inlineStr">
        <is>
          <t>Target %</t>
        </is>
      </c>
    </row>
    <row r="6">
      <c r="B6" s="4" t="inlineStr">
        <is>
          <t>Revenue</t>
        </is>
      </c>
      <c r="D6" s="11">
        <f>Acquirer!G7</f>
      </c>
      <c r="E6" s="11">
        <f>Target!G7</f>
      </c>
      <c r="F6" s="23">
        <f>D6+E6</f>
      </c>
      <c r="G6" s="19">
        <f>D6/F6</f>
      </c>
      <c r="H6" s="19">
        <f>E6/F6</f>
      </c>
    </row>
    <row r="7">
      <c r="B7" s="4" t="inlineStr">
        <is>
          <t>EBITDA</t>
        </is>
      </c>
      <c r="D7" s="11">
        <f>Acquirer!G10</f>
      </c>
      <c r="E7" s="11">
        <f>Target!G10</f>
      </c>
      <c r="F7" s="23">
        <f>D7+E7</f>
      </c>
      <c r="G7" s="19">
        <f>D7/F7</f>
      </c>
      <c r="H7" s="19">
        <f>E7/F7</f>
      </c>
    </row>
    <row r="8">
      <c r="B8" s="4" t="inlineStr">
        <is>
          <t>EBIT</t>
        </is>
      </c>
      <c r="D8" s="11">
        <f>Acquirer!G12</f>
      </c>
      <c r="E8" s="11">
        <f>Target!G12</f>
      </c>
      <c r="F8" s="23">
        <f>D8+E8</f>
      </c>
      <c r="G8" s="19">
        <f>D8/F8</f>
      </c>
      <c r="H8" s="19">
        <f>E8/F8</f>
      </c>
    </row>
    <row r="9">
      <c r="B9" s="4" t="inlineStr">
        <is>
          <t>Net income</t>
        </is>
      </c>
      <c r="D9" s="11">
        <f>Acquirer!G17</f>
      </c>
      <c r="E9" s="11">
        <f>Target!G17</f>
      </c>
      <c r="F9" s="23">
        <f>D9+E9</f>
      </c>
      <c r="G9" s="19">
        <f>D9/F9</f>
      </c>
      <c r="H9" s="19">
        <f>E9/F9</f>
      </c>
    </row>
    <row r="10"/>
    <row r="11">
      <c r="B11" s="6" t="inlineStr">
        <is>
          <t>Contribution vs. Pro Forma Ownership</t>
        </is>
      </c>
      <c r="C11" s="6" t="n"/>
      <c r="D11" s="6" t="n"/>
      <c r="E11" s="6" t="n"/>
      <c r="F11" s="6" t="n"/>
      <c r="G11" s="6" t="n"/>
      <c r="H11" s="6" t="n"/>
    </row>
    <row r="12">
      <c r="B12" s="4" t="inlineStr">
        <is>
          <t>Acquirer (AVGO) legacy holders' % of pro forma shares</t>
        </is>
      </c>
      <c r="D12" s="12">
        <f>Acquirer!G18/ProForma!D25</f>
      </c>
    </row>
    <row r="13">
      <c r="B13" s="4" t="inlineStr">
        <is>
          <t>Target (VMW) former holders' % of pro forma shares (stock electors only)</t>
        </is>
      </c>
      <c r="D13" s="12">
        <f>'Assumptions'!D25/ProForma!D25</f>
      </c>
      <c r="F13" s="2" t="inlineStr">
        <is>
          <t>Only stock-elected VMW shares convert to AVGO shares; cash electors hold no pro forma equity</t>
        </is>
      </c>
    </row>
    <row r="14">
      <c r="B14" s="4" t="inlineStr">
        <is>
          <t>Delta: AVGO ownership % vs. AVGO NI contribution % (net income basis)</t>
        </is>
      </c>
      <c r="D14" s="19">
        <f>D12-G9</f>
      </c>
      <c r="F14" s="2" t="inlineStr">
        <is>
          <t>Positive = acquirer holders own more of pro forma co. than their earnings contribution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54"/>
  <sheetViews>
    <sheetView showGridLines="0"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30" customWidth="1" min="2" max="2"/>
    <col width="4" customWidth="1" min="3" max="3"/>
    <col width="13" customWidth="1" min="4" max="4"/>
    <col width="13" customWidth="1" min="5" max="5"/>
    <col width="13" customWidth="1" min="6" max="6"/>
    <col width="13" customWidth="1" min="7" max="7"/>
    <col width="13" customWidth="1" min="8" max="8"/>
    <col width="13" customWidth="1" min="9" max="9"/>
    <col width="4" customWidth="1" min="10" max="10"/>
    <col width="30" customWidth="1" min="11" max="11"/>
    <col width="13" customWidth="1" min="12" max="12"/>
    <col width="13" customWidth="1" min="13" max="13"/>
    <col width="13" customWidth="1" min="14" max="14"/>
    <col width="13" customWidth="1" min="15" max="15"/>
    <col width="13" customWidth="1" min="16" max="16"/>
  </cols>
  <sheetData>
    <row r="1"/>
    <row r="2">
      <c r="B2" s="1" t="inlineStr">
        <is>
          <t>Sensitivity - Election Mix &amp; Synergies; Premium &amp; Synergies</t>
        </is>
      </c>
    </row>
    <row r="3">
      <c r="B3" s="2" t="inlineStr">
        <is>
          <t>Output = FY2024E (Yr-1) accretion/(dilution) %; all cells live formulas</t>
        </is>
      </c>
    </row>
    <row r="4"/>
    <row r="5">
      <c r="B5" s="6" t="inlineStr">
        <is>
          <t>Helper Assumptions (drive both grids)</t>
        </is>
      </c>
      <c r="C5" s="6" t="n"/>
      <c r="D5" s="6" t="n"/>
      <c r="E5" s="6" t="n"/>
      <c r="F5" s="6" t="n"/>
      <c r="G5" s="6" t="n"/>
      <c r="H5" s="6" t="n"/>
      <c r="I5" s="6" t="n"/>
      <c r="J5" s="6" t="n"/>
      <c r="K5" s="6" t="n"/>
      <c r="L5" s="6" t="n"/>
      <c r="M5" s="6" t="n"/>
      <c r="N5" s="6" t="n"/>
      <c r="O5" s="6" t="n"/>
      <c r="P5" s="6" t="n"/>
    </row>
    <row r="6">
      <c r="B6" s="4" t="inlineStr">
        <is>
          <t>Base VMW FD shares (mm)</t>
        </is>
      </c>
      <c r="D6" s="32">
        <f>'Assumptions'!D6</f>
      </c>
    </row>
    <row r="7">
      <c r="B7" s="4" t="inlineStr">
        <is>
          <t>Base cash election value ($)</t>
        </is>
      </c>
      <c r="D7" s="10">
        <f>'Assumptions'!D7</f>
      </c>
    </row>
    <row r="8">
      <c r="B8" s="4" t="inlineStr">
        <is>
          <t>Base stock exchange ratio</t>
        </is>
      </c>
      <c r="D8" s="36">
        <f>'Assumptions'!D8</f>
      </c>
    </row>
    <row r="9">
      <c r="B9" s="4" t="inlineStr">
        <is>
          <t>AVGO price at close</t>
        </is>
      </c>
      <c r="D9" s="10">
        <f>'Assumptions'!D10</f>
      </c>
    </row>
    <row r="10">
      <c r="B10" s="4" t="inlineStr">
        <is>
          <t>Acquirer standalone NI, FY2024E ($mm)</t>
        </is>
      </c>
      <c r="D10" s="11">
        <f>Acquirer!G17</f>
      </c>
    </row>
    <row r="11">
      <c r="B11" s="4" t="inlineStr">
        <is>
          <t>Target standalone NI, FY2024E ($mm)</t>
        </is>
      </c>
      <c r="D11" s="11">
        <f>Target!G17</f>
      </c>
    </row>
    <row r="12">
      <c r="B12" s="4" t="inlineStr">
        <is>
          <t>Acquirer standalone shares, FY2024E (mm)</t>
        </is>
      </c>
      <c r="D12" s="32">
        <f>Acquirer!G18</f>
      </c>
    </row>
    <row r="13">
      <c r="B13" s="4" t="inlineStr">
        <is>
          <t>Acquirer standalone EPS, FY2024E ($)</t>
        </is>
      </c>
      <c r="D13" s="33">
        <f>D10/D12</f>
      </c>
    </row>
    <row r="14">
      <c r="B14" s="4" t="inlineStr">
        <is>
          <t>Yr-1 phase-in % of run-rate synergies</t>
        </is>
      </c>
      <c r="D14" s="12">
        <f>Synergies!D8</f>
      </c>
    </row>
    <row r="15">
      <c r="B15" s="4" t="inlineStr">
        <is>
          <t>Tax rate</t>
        </is>
      </c>
      <c r="D15" s="37">
        <f>'Assumptions'!D48</f>
      </c>
    </row>
    <row r="16">
      <c r="B16" s="4" t="inlineStr">
        <is>
          <t>New-debt all-in rate</t>
        </is>
      </c>
      <c r="D16" s="37">
        <f>'Assumptions'!D35</f>
      </c>
    </row>
    <row r="17">
      <c r="B17" s="4" t="inlineStr">
        <is>
          <t>Foregone cash yield rate</t>
        </is>
      </c>
      <c r="D17" s="37">
        <f>'Assumptions'!D36</f>
      </c>
    </row>
    <row r="18">
      <c r="B18" s="4" t="inlineStr">
        <is>
          <t>BS cash used to fund deal ($mm)</t>
        </is>
      </c>
      <c r="D18" s="11">
        <f>'Assumptions'!D31</f>
      </c>
    </row>
    <row r="19">
      <c r="B19" s="4" t="inlineStr">
        <is>
          <t>Other fixed financing costs (assumed debt int. + fee amort + intang amort), $mm</t>
        </is>
      </c>
      <c r="D19" s="11">
        <f>'PPA-Financing'!D34+'PPA-Financing'!D33+'PPA-Financing'!D35</f>
      </c>
    </row>
    <row r="20">
      <c r="B20" s="4" t="inlineStr">
        <is>
          <t>Combined EBITDA-level synergy pretax base run-rate ($mm)</t>
        </is>
      </c>
      <c r="D20" s="11">
        <f>Synergies!D7</f>
      </c>
    </row>
    <row r="21">
      <c r="B21" s="4" t="inlineStr">
        <is>
          <t>EBIT other combined (Acq+Tgt EBIT excl. new debt effects), $mm</t>
        </is>
      </c>
      <c r="D21" s="11">
        <f>Acquirer!G12+Target!G12-Acquirer!G13</f>
      </c>
      <c r="I21" s="2" t="inlineStr">
        <is>
          <t>EBIT of both standalones less acquirer's own standalone interest (kept constant across grids)</t>
        </is>
      </c>
    </row>
    <row r="22">
      <c r="B22" s="4" t="inlineStr">
        <is>
          <t>Fixed synergy component (revenue synergy EBITDA - integration costs), $mm</t>
        </is>
      </c>
      <c r="D22" s="11">
        <f>Synergies!D13-Synergies!D14</f>
      </c>
      <c r="I22" s="2" t="inlineStr">
        <is>
          <t>Held fixed while the grid shocks only the run-rate cost synergy target, so grid total pre-tax synergy = shocked_runratexphase + this fixed component, exactly reproducing Synergies!total_pretax at base case</t>
        </is>
      </c>
    </row>
    <row r="23" ht="40" customHeight="1">
      <c r="B23" s="13" t="inlineStr">
        <is>
          <t>Algebraic model (both grids): ProFormaNI(mix,syn) = [EBITother + syn_pretax] - IntAssumed - NewDebt(cashneeded)xrate - ForegoneCashYield - OtherFixedFin, all x(1-tax); Shares(mix) = AcqShares + StockShares(mix)/AcqPrice-based-conversion. Cell = ProFormaNI/Shares / AcqEPS - 1.</t>
        </is>
      </c>
    </row>
    <row r="24"/>
    <row r="25">
      <c r="B25" s="29" t="inlineStr">
        <is>
          <t>GRID 1: % Cash Election (rows, aggregate proration) x Run-rate Synergies (cols)</t>
        </is>
      </c>
    </row>
    <row r="26">
      <c r="B26" s="2" t="inlineStr"/>
      <c r="C26" s="38">
        <f>ProForma!D29</f>
      </c>
      <c r="D26" s="25" t="n">
        <v>1500</v>
      </c>
      <c r="E26" s="25" t="n">
        <v>2500</v>
      </c>
      <c r="F26" s="25" t="n">
        <v>3500</v>
      </c>
      <c r="G26" s="25" t="n">
        <v>4500</v>
      </c>
      <c r="H26" s="25" t="n">
        <v>5500</v>
      </c>
    </row>
    <row r="27">
      <c r="B27" s="18" t="n">
        <v>0.3</v>
      </c>
      <c r="D27" s="19">
        <f>((($D$21+D$26*$D$14+$D$22)-$D$19-(($D$6*$B27*$D$7-$D$18)*$D$16)-($D$18*$D$17))*(1-$D$15))/($D$12+($D$6*(1-$B27)*$D$8))/$D$13-1</f>
      </c>
      <c r="E27" s="19">
        <f>((($D$21+E$26*$D$14+$D$22)-$D$19-(($D$6*$B27*$D$7-$D$18)*$D$16)-($D$18*$D$17))*(1-$D$15))/($D$12+($D$6*(1-$B27)*$D$8))/$D$13-1</f>
      </c>
      <c r="F27" s="19">
        <f>((($D$21+F$26*$D$14+$D$22)-$D$19-(($D$6*$B27*$D$7-$D$18)*$D$16)-($D$18*$D$17))*(1-$D$15))/($D$12+($D$6*(1-$B27)*$D$8))/$D$13-1</f>
      </c>
      <c r="G27" s="19">
        <f>((($D$21+G$26*$D$14+$D$22)-$D$19-(($D$6*$B27*$D$7-$D$18)*$D$16)-($D$18*$D$17))*(1-$D$15))/($D$12+($D$6*(1-$B27)*$D$8))/$D$13-1</f>
      </c>
      <c r="H27" s="19">
        <f>((($D$21+H$26*$D$14+$D$22)-$D$19-(($D$6*$B27*$D$7-$D$18)*$D$16)-($D$18*$D$17))*(1-$D$15))/($D$12+($D$6*(1-$B27)*$D$8))/$D$13-1</f>
      </c>
    </row>
    <row r="28">
      <c r="B28" s="18" t="n">
        <v>0.4</v>
      </c>
      <c r="D28" s="19">
        <f>((($D$21+D$26*$D$14+$D$22)-$D$19-(($D$6*$B28*$D$7-$D$18)*$D$16)-($D$18*$D$17))*(1-$D$15))/($D$12+($D$6*(1-$B28)*$D$8))/$D$13-1</f>
      </c>
      <c r="E28" s="19">
        <f>((($D$21+E$26*$D$14+$D$22)-$D$19-(($D$6*$B28*$D$7-$D$18)*$D$16)-($D$18*$D$17))*(1-$D$15))/($D$12+($D$6*(1-$B28)*$D$8))/$D$13-1</f>
      </c>
      <c r="F28" s="19">
        <f>((($D$21+F$26*$D$14+$D$22)-$D$19-(($D$6*$B28*$D$7-$D$18)*$D$16)-($D$18*$D$17))*(1-$D$15))/($D$12+($D$6*(1-$B28)*$D$8))/$D$13-1</f>
      </c>
      <c r="G28" s="19">
        <f>((($D$21+G$26*$D$14+$D$22)-$D$19-(($D$6*$B28*$D$7-$D$18)*$D$16)-($D$18*$D$17))*(1-$D$15))/($D$12+($D$6*(1-$B28)*$D$8))/$D$13-1</f>
      </c>
      <c r="H28" s="19">
        <f>((($D$21+H$26*$D$14+$D$22)-$D$19-(($D$6*$B28*$D$7-$D$18)*$D$16)-($D$18*$D$17))*(1-$D$15))/($D$12+($D$6*(1-$B28)*$D$8))/$D$13-1</f>
      </c>
    </row>
    <row r="29">
      <c r="B29" s="18" t="n">
        <v>0.5</v>
      </c>
      <c r="D29" s="19">
        <f>((($D$21+D$26*$D$14+$D$22)-$D$19-(($D$6*$B29*$D$7-$D$18)*$D$16)-($D$18*$D$17))*(1-$D$15))/($D$12+($D$6*(1-$B29)*$D$8))/$D$13-1</f>
      </c>
      <c r="E29" s="19">
        <f>((($D$21+E$26*$D$14+$D$22)-$D$19-(($D$6*$B29*$D$7-$D$18)*$D$16)-($D$18*$D$17))*(1-$D$15))/($D$12+($D$6*(1-$B29)*$D$8))/$D$13-1</f>
      </c>
      <c r="F29" s="19">
        <f>((($D$21+F$26*$D$14+$D$22)-$D$19-(($D$6*$B29*$D$7-$D$18)*$D$16)-($D$18*$D$17))*(1-$D$15))/($D$12+($D$6*(1-$B29)*$D$8))/$D$13-1</f>
      </c>
      <c r="G29" s="19">
        <f>((($D$21+G$26*$D$14+$D$22)-$D$19-(($D$6*$B29*$D$7-$D$18)*$D$16)-($D$18*$D$17))*(1-$D$15))/($D$12+($D$6*(1-$B29)*$D$8))/$D$13-1</f>
      </c>
      <c r="H29" s="19">
        <f>((($D$21+H$26*$D$14+$D$22)-$D$19-(($D$6*$B29*$D$7-$D$18)*$D$16)-($D$18*$D$17))*(1-$D$15))/($D$12+($D$6*(1-$B29)*$D$8))/$D$13-1</f>
      </c>
    </row>
    <row r="30">
      <c r="B30" s="18" t="n">
        <v>0.6</v>
      </c>
      <c r="D30" s="19">
        <f>((($D$21+D$26*$D$14+$D$22)-$D$19-(($D$6*$B30*$D$7-$D$18)*$D$16)-($D$18*$D$17))*(1-$D$15))/($D$12+($D$6*(1-$B30)*$D$8))/$D$13-1</f>
      </c>
      <c r="E30" s="19">
        <f>((($D$21+E$26*$D$14+$D$22)-$D$19-(($D$6*$B30*$D$7-$D$18)*$D$16)-($D$18*$D$17))*(1-$D$15))/($D$12+($D$6*(1-$B30)*$D$8))/$D$13-1</f>
      </c>
      <c r="F30" s="19">
        <f>((($D$21+F$26*$D$14+$D$22)-$D$19-(($D$6*$B30*$D$7-$D$18)*$D$16)-($D$18*$D$17))*(1-$D$15))/($D$12+($D$6*(1-$B30)*$D$8))/$D$13-1</f>
      </c>
      <c r="G30" s="19">
        <f>((($D$21+G$26*$D$14+$D$22)-$D$19-(($D$6*$B30*$D$7-$D$18)*$D$16)-($D$18*$D$17))*(1-$D$15))/($D$12+($D$6*(1-$B30)*$D$8))/$D$13-1</f>
      </c>
      <c r="H30" s="19">
        <f>((($D$21+H$26*$D$14+$D$22)-$D$19-(($D$6*$B30*$D$7-$D$18)*$D$16)-($D$18*$D$17))*(1-$D$15))/($D$12+($D$6*(1-$B30)*$D$8))/$D$13-1</f>
      </c>
    </row>
    <row r="31">
      <c r="B31" s="18" t="n">
        <v>0.7</v>
      </c>
      <c r="D31" s="19">
        <f>((($D$21+D$26*$D$14+$D$22)-$D$19-(($D$6*$B31*$D$7-$D$18)*$D$16)-($D$18*$D$17))*(1-$D$15))/($D$12+($D$6*(1-$B31)*$D$8))/$D$13-1</f>
      </c>
      <c r="E31" s="19">
        <f>((($D$21+E$26*$D$14+$D$22)-$D$19-(($D$6*$B31*$D$7-$D$18)*$D$16)-($D$18*$D$17))*(1-$D$15))/($D$12+($D$6*(1-$B31)*$D$8))/$D$13-1</f>
      </c>
      <c r="F31" s="19">
        <f>((($D$21+F$26*$D$14+$D$22)-$D$19-(($D$6*$B31*$D$7-$D$18)*$D$16)-($D$18*$D$17))*(1-$D$15))/($D$12+($D$6*(1-$B31)*$D$8))/$D$13-1</f>
      </c>
      <c r="G31" s="19">
        <f>((($D$21+G$26*$D$14+$D$22)-$D$19-(($D$6*$B31*$D$7-$D$18)*$D$16)-($D$18*$D$17))*(1-$D$15))/($D$12+($D$6*(1-$B31)*$D$8))/$D$13-1</f>
      </c>
      <c r="H31" s="19">
        <f>((($D$21+H$26*$D$14+$D$22)-$D$19-(($D$6*$B31*$D$7-$D$18)*$D$16)-($D$18*$D$17))*(1-$D$15))/($D$12+($D$6*(1-$B31)*$D$8))/$D$13-1</f>
      </c>
    </row>
    <row r="32">
      <c r="B32" s="18" t="n">
        <v>0.8</v>
      </c>
      <c r="D32" s="19">
        <f>((($D$21+D$26*$D$14+$D$22)-$D$19-(($D$6*$B32*$D$7-$D$18)*$D$16)-($D$18*$D$17))*(1-$D$15))/($D$12+($D$6*(1-$B32)*$D$8))/$D$13-1</f>
      </c>
      <c r="E32" s="19">
        <f>((($D$21+E$26*$D$14+$D$22)-$D$19-(($D$6*$B32*$D$7-$D$18)*$D$16)-($D$18*$D$17))*(1-$D$15))/($D$12+($D$6*(1-$B32)*$D$8))/$D$13-1</f>
      </c>
      <c r="F32" s="19">
        <f>((($D$21+F$26*$D$14+$D$22)-$D$19-(($D$6*$B32*$D$7-$D$18)*$D$16)-($D$18*$D$17))*(1-$D$15))/($D$12+($D$6*(1-$B32)*$D$8))/$D$13-1</f>
      </c>
      <c r="G32" s="19">
        <f>((($D$21+G$26*$D$14+$D$22)-$D$19-(($D$6*$B32*$D$7-$D$18)*$D$16)-($D$18*$D$17))*(1-$D$15))/($D$12+($D$6*(1-$B32)*$D$8))/$D$13-1</f>
      </c>
      <c r="H32" s="19">
        <f>((($D$21+H$26*$D$14+$D$22)-$D$19-(($D$6*$B32*$D$7-$D$18)*$D$16)-($D$18*$D$17))*(1-$D$15))/($D$12+($D$6*(1-$B32)*$D$8))/$D$13-1</f>
      </c>
    </row>
    <row r="33">
      <c r="B33" s="18" t="n">
        <v>0.9</v>
      </c>
      <c r="D33" s="19">
        <f>((($D$21+D$26*$D$14+$D$22)-$D$19-(($D$6*$B33*$D$7-$D$18)*$D$16)-($D$18*$D$17))*(1-$D$15))/($D$12+($D$6*(1-$B33)*$D$8))/$D$13-1</f>
      </c>
      <c r="E33" s="19">
        <f>((($D$21+E$26*$D$14+$D$22)-$D$19-(($D$6*$B33*$D$7-$D$18)*$D$16)-($D$18*$D$17))*(1-$D$15))/($D$12+($D$6*(1-$B33)*$D$8))/$D$13-1</f>
      </c>
      <c r="F33" s="19">
        <f>((($D$21+F$26*$D$14+$D$22)-$D$19-(($D$6*$B33*$D$7-$D$18)*$D$16)-($D$18*$D$17))*(1-$D$15))/($D$12+($D$6*(1-$B33)*$D$8))/$D$13-1</f>
      </c>
      <c r="G33" s="19">
        <f>((($D$21+G$26*$D$14+$D$22)-$D$19-(($D$6*$B33*$D$7-$D$18)*$D$16)-($D$18*$D$17))*(1-$D$15))/($D$12+($D$6*(1-$B33)*$D$8))/$D$13-1</f>
      </c>
      <c r="H33" s="19">
        <f>((($D$21+H$26*$D$14+$D$22)-$D$19-(($D$6*$B33*$D$7-$D$18)*$D$16)-($D$18*$D$17))*(1-$D$15))/($D$12+($D$6*(1-$B33)*$D$8))/$D$13-1</f>
      </c>
    </row>
    <row r="34">
      <c r="B34" s="4" t="inlineStr">
        <is>
          <t>Check: center cell (50% cash, $3,500mm synergy) ties to ProForma base case</t>
        </is>
      </c>
      <c r="D34" s="19">
        <f>ROUND(F29-ProForma!D29,3)</f>
      </c>
    </row>
    <row r="35"/>
    <row r="36">
      <c r="B36" s="29" t="inlineStr">
        <is>
          <t>GRID 2: % Cash Consideration Mix (rows) x Run-rate Synergies (cols) - alternate cut</t>
        </is>
      </c>
    </row>
    <row r="37">
      <c r="B37" s="4" t="inlineStr">
        <is>
          <t>Output = FY2024E accretion/(dilution) %</t>
        </is>
      </c>
      <c r="C37" s="38">
        <f>ProForma!D29</f>
      </c>
      <c r="D37" s="25" t="n">
        <v>1500</v>
      </c>
      <c r="E37" s="25" t="n">
        <v>2500</v>
      </c>
      <c r="F37" s="25" t="n">
        <v>3500</v>
      </c>
      <c r="G37" s="25" t="n">
        <v>4500</v>
      </c>
      <c r="H37" s="25" t="n">
        <v>5500</v>
      </c>
    </row>
    <row r="38">
      <c r="B38" s="18" t="n">
        <v>0</v>
      </c>
      <c r="D38" s="19">
        <f>((($D$21+D$37*$D$14+$D$22)-$D$19-(($D$6*$B38*$D$7-$D$18)*$D$16)-($D$18*$D$17))*(1-$D$15))/($D$12+($D$6*(1-$B38)*$D$8))/$D$13-1</f>
      </c>
      <c r="E38" s="19">
        <f>((($D$21+E$37*$D$14+$D$22)-$D$19-(($D$6*$B38*$D$7-$D$18)*$D$16)-($D$18*$D$17))*(1-$D$15))/($D$12+($D$6*(1-$B38)*$D$8))/$D$13-1</f>
      </c>
      <c r="F38" s="19">
        <f>((($D$21+F$37*$D$14+$D$22)-$D$19-(($D$6*$B38*$D$7-$D$18)*$D$16)-($D$18*$D$17))*(1-$D$15))/($D$12+($D$6*(1-$B38)*$D$8))/$D$13-1</f>
      </c>
      <c r="G38" s="19">
        <f>((($D$21+G$37*$D$14+$D$22)-$D$19-(($D$6*$B38*$D$7-$D$18)*$D$16)-($D$18*$D$17))*(1-$D$15))/($D$12+($D$6*(1-$B38)*$D$8))/$D$13-1</f>
      </c>
      <c r="H38" s="19">
        <f>((($D$21+H$37*$D$14+$D$22)-$D$19-(($D$6*$B38*$D$7-$D$18)*$D$16)-($D$18*$D$17))*(1-$D$15))/($D$12+($D$6*(1-$B38)*$D$8))/$D$13-1</f>
      </c>
    </row>
    <row r="39">
      <c r="B39" s="18" t="n">
        <v>0.25</v>
      </c>
      <c r="D39" s="19">
        <f>((($D$21+D$37*$D$14+$D$22)-$D$19-(($D$6*$B39*$D$7-$D$18)*$D$16)-($D$18*$D$17))*(1-$D$15))/($D$12+($D$6*(1-$B39)*$D$8))/$D$13-1</f>
      </c>
      <c r="E39" s="19">
        <f>((($D$21+E$37*$D$14+$D$22)-$D$19-(($D$6*$B39*$D$7-$D$18)*$D$16)-($D$18*$D$17))*(1-$D$15))/($D$12+($D$6*(1-$B39)*$D$8))/$D$13-1</f>
      </c>
      <c r="F39" s="19">
        <f>((($D$21+F$37*$D$14+$D$22)-$D$19-(($D$6*$B39*$D$7-$D$18)*$D$16)-($D$18*$D$17))*(1-$D$15))/($D$12+($D$6*(1-$B39)*$D$8))/$D$13-1</f>
      </c>
      <c r="G39" s="19">
        <f>((($D$21+G$37*$D$14+$D$22)-$D$19-(($D$6*$B39*$D$7-$D$18)*$D$16)-($D$18*$D$17))*(1-$D$15))/($D$12+($D$6*(1-$B39)*$D$8))/$D$13-1</f>
      </c>
      <c r="H39" s="19">
        <f>((($D$21+H$37*$D$14+$D$22)-$D$19-(($D$6*$B39*$D$7-$D$18)*$D$16)-($D$18*$D$17))*(1-$D$15))/($D$12+($D$6*(1-$B39)*$D$8))/$D$13-1</f>
      </c>
    </row>
    <row r="40">
      <c r="B40" s="18" t="n">
        <v>0.5</v>
      </c>
      <c r="D40" s="19">
        <f>((($D$21+D$37*$D$14+$D$22)-$D$19-(($D$6*$B40*$D$7-$D$18)*$D$16)-($D$18*$D$17))*(1-$D$15))/($D$12+($D$6*(1-$B40)*$D$8))/$D$13-1</f>
      </c>
      <c r="E40" s="19">
        <f>((($D$21+E$37*$D$14+$D$22)-$D$19-(($D$6*$B40*$D$7-$D$18)*$D$16)-($D$18*$D$17))*(1-$D$15))/($D$12+($D$6*(1-$B40)*$D$8))/$D$13-1</f>
      </c>
      <c r="F40" s="19">
        <f>((($D$21+F$37*$D$14+$D$22)-$D$19-(($D$6*$B40*$D$7-$D$18)*$D$16)-($D$18*$D$17))*(1-$D$15))/($D$12+($D$6*(1-$B40)*$D$8))/$D$13-1</f>
      </c>
      <c r="G40" s="19">
        <f>((($D$21+G$37*$D$14+$D$22)-$D$19-(($D$6*$B40*$D$7-$D$18)*$D$16)-($D$18*$D$17))*(1-$D$15))/($D$12+($D$6*(1-$B40)*$D$8))/$D$13-1</f>
      </c>
      <c r="H40" s="19">
        <f>((($D$21+H$37*$D$14+$D$22)-$D$19-(($D$6*$B40*$D$7-$D$18)*$D$16)-($D$18*$D$17))*(1-$D$15))/($D$12+($D$6*(1-$B40)*$D$8))/$D$13-1</f>
      </c>
    </row>
    <row r="41">
      <c r="B41" s="18" t="n">
        <v>0.75</v>
      </c>
      <c r="D41" s="19">
        <f>((($D$21+D$37*$D$14+$D$22)-$D$19-(($D$6*$B41*$D$7-$D$18)*$D$16)-($D$18*$D$17))*(1-$D$15))/($D$12+($D$6*(1-$B41)*$D$8))/$D$13-1</f>
      </c>
      <c r="E41" s="19">
        <f>((($D$21+E$37*$D$14+$D$22)-$D$19-(($D$6*$B41*$D$7-$D$18)*$D$16)-($D$18*$D$17))*(1-$D$15))/($D$12+($D$6*(1-$B41)*$D$8))/$D$13-1</f>
      </c>
      <c r="F41" s="19">
        <f>((($D$21+F$37*$D$14+$D$22)-$D$19-(($D$6*$B41*$D$7-$D$18)*$D$16)-($D$18*$D$17))*(1-$D$15))/($D$12+($D$6*(1-$B41)*$D$8))/$D$13-1</f>
      </c>
      <c r="G41" s="19">
        <f>((($D$21+G$37*$D$14+$D$22)-$D$19-(($D$6*$B41*$D$7-$D$18)*$D$16)-($D$18*$D$17))*(1-$D$15))/($D$12+($D$6*(1-$B41)*$D$8))/$D$13-1</f>
      </c>
      <c r="H41" s="19">
        <f>((($D$21+H$37*$D$14+$D$22)-$D$19-(($D$6*$B41*$D$7-$D$18)*$D$16)-($D$18*$D$17))*(1-$D$15))/($D$12+($D$6*(1-$B41)*$D$8))/$D$13-1</f>
      </c>
    </row>
    <row r="42">
      <c r="B42" s="18" t="n">
        <v>1</v>
      </c>
      <c r="D42" s="19">
        <f>((($D$21+D$37*$D$14+$D$22)-$D$19-(($D$6*$B42*$D$7-$D$18)*$D$16)-($D$18*$D$17))*(1-$D$15))/($D$12+($D$6*(1-$B42)*$D$8))/$D$13-1</f>
      </c>
      <c r="E42" s="19">
        <f>((($D$21+E$37*$D$14+$D$22)-$D$19-(($D$6*$B42*$D$7-$D$18)*$D$16)-($D$18*$D$17))*(1-$D$15))/($D$12+($D$6*(1-$B42)*$D$8))/$D$13-1</f>
      </c>
      <c r="F42" s="19">
        <f>((($D$21+F$37*$D$14+$D$22)-$D$19-(($D$6*$B42*$D$7-$D$18)*$D$16)-($D$18*$D$17))*(1-$D$15))/($D$12+($D$6*(1-$B42)*$D$8))/$D$13-1</f>
      </c>
      <c r="G42" s="19">
        <f>((($D$21+G$37*$D$14+$D$22)-$D$19-(($D$6*$B42*$D$7-$D$18)*$D$16)-($D$18*$D$17))*(1-$D$15))/($D$12+($D$6*(1-$B42)*$D$8))/$D$13-1</f>
      </c>
      <c r="H42" s="19">
        <f>((($D$21+H$37*$D$14+$D$22)-$D$19-(($D$6*$B42*$D$7-$D$18)*$D$16)-($D$18*$D$17))*(1-$D$15))/($D$12+($D$6*(1-$B42)*$D$8))/$D$13-1</f>
      </c>
    </row>
    <row r="43">
      <c r="B43" s="4" t="inlineStr">
        <is>
          <t>Check: center cell (50% cash, $3,500mm synergy) ties to ProForma base case</t>
        </is>
      </c>
      <c r="D43" s="19">
        <f>ROUND(F40-ProForma!D29,3)</f>
      </c>
    </row>
    <row r="44"/>
    <row r="45">
      <c r="B45" s="29" t="inlineStr">
        <is>
          <t>GRID 3: Cash Election Premium (vs. $142.50 base, rows) x Run-rate Synergies (cols)</t>
        </is>
      </c>
    </row>
    <row r="46">
      <c r="B46" s="4" t="inlineStr">
        <is>
          <t>Output = FY2024E accretion/(dilution) %</t>
        </is>
      </c>
      <c r="C46" s="38">
        <f>ProForma!D29</f>
      </c>
      <c r="D46" s="25" t="n">
        <v>1500</v>
      </c>
      <c r="E46" s="25" t="n">
        <v>2500</v>
      </c>
      <c r="F46" s="25" t="n">
        <v>3500</v>
      </c>
      <c r="G46" s="25" t="n">
        <v>4500</v>
      </c>
      <c r="H46" s="25" t="n">
        <v>5500</v>
      </c>
    </row>
    <row r="47">
      <c r="B47" s="18" t="n">
        <v>-0.1</v>
      </c>
      <c r="D47" s="19">
        <f>((($D$21+D$46*$D$14+$D$22)-$D$19-(($D$6*'Assumptions'!$D$16*($D$7*(1+$B47))-$D$18)*$D$16)-($D$18*$D$17))*(1-$D$15))/($D$12+($D$6*(1-'Assumptions'!D16)*$D$8*(1+$B47)))/$D$13-1</f>
      </c>
      <c r="E47" s="19">
        <f>((($D$21+E$46*$D$14+$D$22)-$D$19-(($D$6*'Assumptions'!$D$16*($D$7*(1+$B47))-$D$18)*$D$16)-($D$18*$D$17))*(1-$D$15))/($D$12+($D$6*(1-'Assumptions'!D16)*$D$8*(1+$B47)))/$D$13-1</f>
      </c>
      <c r="F47" s="19">
        <f>((($D$21+F$46*$D$14+$D$22)-$D$19-(($D$6*'Assumptions'!$D$16*($D$7*(1+$B47))-$D$18)*$D$16)-($D$18*$D$17))*(1-$D$15))/($D$12+($D$6*(1-'Assumptions'!D16)*$D$8*(1+$B47)))/$D$13-1</f>
      </c>
      <c r="G47" s="19">
        <f>((($D$21+G$46*$D$14+$D$22)-$D$19-(($D$6*'Assumptions'!$D$16*($D$7*(1+$B47))-$D$18)*$D$16)-($D$18*$D$17))*(1-$D$15))/($D$12+($D$6*(1-'Assumptions'!D16)*$D$8*(1+$B47)))/$D$13-1</f>
      </c>
      <c r="H47" s="19">
        <f>((($D$21+H$46*$D$14+$D$22)-$D$19-(($D$6*'Assumptions'!$D$16*($D$7*(1+$B47))-$D$18)*$D$16)-($D$18*$D$17))*(1-$D$15))/($D$12+($D$6*(1-'Assumptions'!D16)*$D$8*(1+$B47)))/$D$13-1</f>
      </c>
    </row>
    <row r="48">
      <c r="B48" s="18" t="n">
        <v>-0.05</v>
      </c>
      <c r="D48" s="19">
        <f>((($D$21+D$46*$D$14+$D$22)-$D$19-(($D$6*'Assumptions'!$D$16*($D$7*(1+$B48))-$D$18)*$D$16)-($D$18*$D$17))*(1-$D$15))/($D$12+($D$6*(1-'Assumptions'!D16)*$D$8*(1+$B48)))/$D$13-1</f>
      </c>
      <c r="E48" s="19">
        <f>((($D$21+E$46*$D$14+$D$22)-$D$19-(($D$6*'Assumptions'!$D$16*($D$7*(1+$B48))-$D$18)*$D$16)-($D$18*$D$17))*(1-$D$15))/($D$12+($D$6*(1-'Assumptions'!D16)*$D$8*(1+$B48)))/$D$13-1</f>
      </c>
      <c r="F48" s="19">
        <f>((($D$21+F$46*$D$14+$D$22)-$D$19-(($D$6*'Assumptions'!$D$16*($D$7*(1+$B48))-$D$18)*$D$16)-($D$18*$D$17))*(1-$D$15))/($D$12+($D$6*(1-'Assumptions'!D16)*$D$8*(1+$B48)))/$D$13-1</f>
      </c>
      <c r="G48" s="19">
        <f>((($D$21+G$46*$D$14+$D$22)-$D$19-(($D$6*'Assumptions'!$D$16*($D$7*(1+$B48))-$D$18)*$D$16)-($D$18*$D$17))*(1-$D$15))/($D$12+($D$6*(1-'Assumptions'!D16)*$D$8*(1+$B48)))/$D$13-1</f>
      </c>
      <c r="H48" s="19">
        <f>((($D$21+H$46*$D$14+$D$22)-$D$19-(($D$6*'Assumptions'!$D$16*($D$7*(1+$B48))-$D$18)*$D$16)-($D$18*$D$17))*(1-$D$15))/($D$12+($D$6*(1-'Assumptions'!D16)*$D$8*(1+$B48)))/$D$13-1</f>
      </c>
    </row>
    <row r="49">
      <c r="B49" s="18" t="n">
        <v>0</v>
      </c>
      <c r="D49" s="19">
        <f>((($D$21+D$46*$D$14+$D$22)-$D$19-(($D$6*'Assumptions'!$D$16*($D$7*(1+$B49))-$D$18)*$D$16)-($D$18*$D$17))*(1-$D$15))/($D$12+($D$6*(1-'Assumptions'!D16)*$D$8*(1+$B49)))/$D$13-1</f>
      </c>
      <c r="E49" s="19">
        <f>((($D$21+E$46*$D$14+$D$22)-$D$19-(($D$6*'Assumptions'!$D$16*($D$7*(1+$B49))-$D$18)*$D$16)-($D$18*$D$17))*(1-$D$15))/($D$12+($D$6*(1-'Assumptions'!D16)*$D$8*(1+$B49)))/$D$13-1</f>
      </c>
      <c r="F49" s="19">
        <f>((($D$21+F$46*$D$14+$D$22)-$D$19-(($D$6*'Assumptions'!$D$16*($D$7*(1+$B49))-$D$18)*$D$16)-($D$18*$D$17))*(1-$D$15))/($D$12+($D$6*(1-'Assumptions'!D16)*$D$8*(1+$B49)))/$D$13-1</f>
      </c>
      <c r="G49" s="19">
        <f>((($D$21+G$46*$D$14+$D$22)-$D$19-(($D$6*'Assumptions'!$D$16*($D$7*(1+$B49))-$D$18)*$D$16)-($D$18*$D$17))*(1-$D$15))/($D$12+($D$6*(1-'Assumptions'!D16)*$D$8*(1+$B49)))/$D$13-1</f>
      </c>
      <c r="H49" s="19">
        <f>((($D$21+H$46*$D$14+$D$22)-$D$19-(($D$6*'Assumptions'!$D$16*($D$7*(1+$B49))-$D$18)*$D$16)-($D$18*$D$17))*(1-$D$15))/($D$12+($D$6*(1-'Assumptions'!D16)*$D$8*(1+$B49)))/$D$13-1</f>
      </c>
    </row>
    <row r="50">
      <c r="B50" s="18" t="n">
        <v>0.05</v>
      </c>
      <c r="D50" s="19">
        <f>((($D$21+D$46*$D$14+$D$22)-$D$19-(($D$6*'Assumptions'!$D$16*($D$7*(1+$B50))-$D$18)*$D$16)-($D$18*$D$17))*(1-$D$15))/($D$12+($D$6*(1-'Assumptions'!D16)*$D$8*(1+$B50)))/$D$13-1</f>
      </c>
      <c r="E50" s="19">
        <f>((($D$21+E$46*$D$14+$D$22)-$D$19-(($D$6*'Assumptions'!$D$16*($D$7*(1+$B50))-$D$18)*$D$16)-($D$18*$D$17))*(1-$D$15))/($D$12+($D$6*(1-'Assumptions'!D16)*$D$8*(1+$B50)))/$D$13-1</f>
      </c>
      <c r="F50" s="19">
        <f>((($D$21+F$46*$D$14+$D$22)-$D$19-(($D$6*'Assumptions'!$D$16*($D$7*(1+$B50))-$D$18)*$D$16)-($D$18*$D$17))*(1-$D$15))/($D$12+($D$6*(1-'Assumptions'!D16)*$D$8*(1+$B50)))/$D$13-1</f>
      </c>
      <c r="G50" s="19">
        <f>((($D$21+G$46*$D$14+$D$22)-$D$19-(($D$6*'Assumptions'!$D$16*($D$7*(1+$B50))-$D$18)*$D$16)-($D$18*$D$17))*(1-$D$15))/($D$12+($D$6*(1-'Assumptions'!D16)*$D$8*(1+$B50)))/$D$13-1</f>
      </c>
      <c r="H50" s="19">
        <f>((($D$21+H$46*$D$14+$D$22)-$D$19-(($D$6*'Assumptions'!$D$16*($D$7*(1+$B50))-$D$18)*$D$16)-($D$18*$D$17))*(1-$D$15))/($D$12+($D$6*(1-'Assumptions'!D16)*$D$8*(1+$B50)))/$D$13-1</f>
      </c>
    </row>
    <row r="51">
      <c r="B51" s="18" t="n">
        <v>0.1</v>
      </c>
      <c r="D51" s="19">
        <f>((($D$21+D$46*$D$14+$D$22)-$D$19-(($D$6*'Assumptions'!$D$16*($D$7*(1+$B51))-$D$18)*$D$16)-($D$18*$D$17))*(1-$D$15))/($D$12+($D$6*(1-'Assumptions'!D16)*$D$8*(1+$B51)))/$D$13-1</f>
      </c>
      <c r="E51" s="19">
        <f>((($D$21+E$46*$D$14+$D$22)-$D$19-(($D$6*'Assumptions'!$D$16*($D$7*(1+$B51))-$D$18)*$D$16)-($D$18*$D$17))*(1-$D$15))/($D$12+($D$6*(1-'Assumptions'!D16)*$D$8*(1+$B51)))/$D$13-1</f>
      </c>
      <c r="F51" s="19">
        <f>((($D$21+F$46*$D$14+$D$22)-$D$19-(($D$6*'Assumptions'!$D$16*($D$7*(1+$B51))-$D$18)*$D$16)-($D$18*$D$17))*(1-$D$15))/($D$12+($D$6*(1-'Assumptions'!D16)*$D$8*(1+$B51)))/$D$13-1</f>
      </c>
      <c r="G51" s="19">
        <f>((($D$21+G$46*$D$14+$D$22)-$D$19-(($D$6*'Assumptions'!$D$16*($D$7*(1+$B51))-$D$18)*$D$16)-($D$18*$D$17))*(1-$D$15))/($D$12+($D$6*(1-'Assumptions'!D16)*$D$8*(1+$B51)))/$D$13-1</f>
      </c>
      <c r="H51" s="19">
        <f>((($D$21+H$46*$D$14+$D$22)-$D$19-(($D$6*'Assumptions'!$D$16*($D$7*(1+$B51))-$D$18)*$D$16)-($D$18*$D$17))*(1-$D$15))/($D$12+($D$6*(1-'Assumptions'!D16)*$D$8*(1+$B51)))/$D$13-1</f>
      </c>
    </row>
    <row r="52">
      <c r="B52" s="18" t="n">
        <v>0.15</v>
      </c>
      <c r="D52" s="19">
        <f>((($D$21+D$46*$D$14+$D$22)-$D$19-(($D$6*'Assumptions'!$D$16*($D$7*(1+$B52))-$D$18)*$D$16)-($D$18*$D$17))*(1-$D$15))/($D$12+($D$6*(1-'Assumptions'!D16)*$D$8*(1+$B52)))/$D$13-1</f>
      </c>
      <c r="E52" s="19">
        <f>((($D$21+E$46*$D$14+$D$22)-$D$19-(($D$6*'Assumptions'!$D$16*($D$7*(1+$B52))-$D$18)*$D$16)-($D$18*$D$17))*(1-$D$15))/($D$12+($D$6*(1-'Assumptions'!D16)*$D$8*(1+$B52)))/$D$13-1</f>
      </c>
      <c r="F52" s="19">
        <f>((($D$21+F$46*$D$14+$D$22)-$D$19-(($D$6*'Assumptions'!$D$16*($D$7*(1+$B52))-$D$18)*$D$16)-($D$18*$D$17))*(1-$D$15))/($D$12+($D$6*(1-'Assumptions'!D16)*$D$8*(1+$B52)))/$D$13-1</f>
      </c>
      <c r="G52" s="19">
        <f>((($D$21+G$46*$D$14+$D$22)-$D$19-(($D$6*'Assumptions'!$D$16*($D$7*(1+$B52))-$D$18)*$D$16)-($D$18*$D$17))*(1-$D$15))/($D$12+($D$6*(1-'Assumptions'!D16)*$D$8*(1+$B52)))/$D$13-1</f>
      </c>
      <c r="H52" s="19">
        <f>((($D$21+H$46*$D$14+$D$22)-$D$19-(($D$6*'Assumptions'!$D$16*($D$7*(1+$B52))-$D$18)*$D$16)-($D$18*$D$17))*(1-$D$15))/($D$12+($D$6*(1-'Assumptions'!D16)*$D$8*(1+$B52)))/$D$13-1</f>
      </c>
    </row>
    <row r="53">
      <c r="B53" s="18" t="n">
        <v>0.2</v>
      </c>
      <c r="D53" s="19">
        <f>((($D$21+D$46*$D$14+$D$22)-$D$19-(($D$6*'Assumptions'!$D$16*($D$7*(1+$B53))-$D$18)*$D$16)-($D$18*$D$17))*(1-$D$15))/($D$12+($D$6*(1-'Assumptions'!D16)*$D$8*(1+$B53)))/$D$13-1</f>
      </c>
      <c r="E53" s="19">
        <f>((($D$21+E$46*$D$14+$D$22)-$D$19-(($D$6*'Assumptions'!$D$16*($D$7*(1+$B53))-$D$18)*$D$16)-($D$18*$D$17))*(1-$D$15))/($D$12+($D$6*(1-'Assumptions'!D16)*$D$8*(1+$B53)))/$D$13-1</f>
      </c>
      <c r="F53" s="19">
        <f>((($D$21+F$46*$D$14+$D$22)-$D$19-(($D$6*'Assumptions'!$D$16*($D$7*(1+$B53))-$D$18)*$D$16)-($D$18*$D$17))*(1-$D$15))/($D$12+($D$6*(1-'Assumptions'!D16)*$D$8*(1+$B53)))/$D$13-1</f>
      </c>
      <c r="G53" s="19">
        <f>((($D$21+G$46*$D$14+$D$22)-$D$19-(($D$6*'Assumptions'!$D$16*($D$7*(1+$B53))-$D$18)*$D$16)-($D$18*$D$17))*(1-$D$15))/($D$12+($D$6*(1-'Assumptions'!D16)*$D$8*(1+$B53)))/$D$13-1</f>
      </c>
      <c r="H53" s="19">
        <f>((($D$21+H$46*$D$14+$D$22)-$D$19-(($D$6*'Assumptions'!$D$16*($D$7*(1+$B53))-$D$18)*$D$16)-($D$18*$D$17))*(1-$D$15))/($D$12+($D$6*(1-'Assumptions'!D16)*$D$8*(1+$B53)))/$D$13-1</f>
      </c>
    </row>
    <row r="54">
      <c r="B54" s="4" t="inlineStr">
        <is>
          <t>Check: center cell (0% premium delta, $3,500mm synergy) ties to ProForma base case</t>
        </is>
      </c>
      <c r="D54" s="19">
        <f>ROUND(F49-ProForma!D29,3)</f>
      </c>
    </row>
  </sheetData>
  <mergeCells count="1">
    <mergeCell ref="B23:P23"/>
  </mergeCells>
  <conditionalFormatting sqref="D27:H33">
    <cfRule type="colorScale" priority="1">
      <colorScale>
        <cfvo type="min"/>
        <cfvo type="percentile" val="50"/>
        <cfvo type="max"/>
        <color rgb="FFFFC7CE"/>
        <color rgb="FFFFEB9C"/>
        <color rgb="FFC6EFCE"/>
      </colorScale>
    </cfRule>
  </conditionalFormatting>
  <conditionalFormatting sqref="D38:H42">
    <cfRule type="colorScale" priority="2">
      <colorScale>
        <cfvo type="min"/>
        <cfvo type="percentile" val="50"/>
        <cfvo type="max"/>
        <color rgb="FFFFC7CE"/>
        <color rgb="FFFFEB9C"/>
        <color rgb="FFC6EFCE"/>
      </colorScale>
    </cfRule>
  </conditionalFormatting>
  <conditionalFormatting sqref="D47:H53">
    <cfRule type="colorScale" priority="3">
      <colorScale>
        <cfvo type="min"/>
        <cfvo type="percentile" val="50"/>
        <cfvo type="max"/>
        <color rgb="FFFFC7CE"/>
        <color rgb="FFFFEB9C"/>
        <color rgb="FFC6EFCE"/>
      </colorScale>
    </cfRule>
  </conditionalFormatting>
  <conditionalFormatting sqref="D34">
    <cfRule type="cellIs" priority="4" operator="equal" dxfId="0">
      <formula>0</formula>
    </cfRule>
    <cfRule type="cellIs" priority="5" operator="notEqual" dxfId="1">
      <formula>0</formula>
    </cfRule>
  </conditionalFormatting>
  <conditionalFormatting sqref="D43">
    <cfRule type="cellIs" priority="6" operator="equal" dxfId="0">
      <formula>0</formula>
    </cfRule>
    <cfRule type="cellIs" priority="7" operator="notEqual" dxfId="1">
      <formula>0</formula>
    </cfRule>
  </conditionalFormatting>
  <conditionalFormatting sqref="D54">
    <cfRule type="cellIs" priority="8" operator="equal" dxfId="0">
      <formula>0</formula>
    </cfRule>
    <cfRule type="cellIs" priority="9" operator="notEqual" dxfId="1">
      <formula>0</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2026-08-23T05:47:24Z</dcterms:created>
  <dcterms:modified xmlns:dcterms="http://purl.org/dc/terms/" xmlns:xsi="http://www.w3.org/2001/XMLSchema-instance" xsi:type="dcterms:W3CDTF">2026-08-27T05:39:42Z</dcterms:modified>
</cp:coreProperties>
</file>