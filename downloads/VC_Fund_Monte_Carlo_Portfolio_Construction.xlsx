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akulveauli/Desktop/Rebuilt Models - Akul Veauli/"/>
    </mc:Choice>
  </mc:AlternateContent>
  <xr:revisionPtr revIDLastSave="0" documentId="13_ncr:1_{48DA0CBB-3698-2449-BC9A-F2DAB2A33949}" xr6:coauthVersionLast="47" xr6:coauthVersionMax="47" xr10:uidLastSave="{00000000-0000-0000-0000-000000000000}"/>
  <bookViews>
    <workbookView xWindow="0" yWindow="760" windowWidth="29400" windowHeight="16860" xr2:uid="{00000000-000D-0000-FFFF-FFFF00000000}"/>
  </bookViews>
  <sheets>
    <sheet name="Overview" sheetId="1" r:id="rId1"/>
    <sheet name="Assumptions" sheetId="2" r:id="rId2"/>
    <sheet name="Single Fund Sim" sheetId="3" r:id="rId3"/>
    <sheet name="Monte Carlo" sheetId="4" r:id="rId4"/>
    <sheet name="Results" sheetId="5" r:id="rId5"/>
    <sheet name="Portfolio Construction" sheetId="6" r:id="rId6"/>
  </sheets>
  <definedNames>
    <definedName name="Alpha">Assumptions!$G$24</definedName>
    <definedName name="C1">Assumptions!$D$21</definedName>
    <definedName name="C2">Assumptions!$D$22</definedName>
    <definedName name="C3">Assumptions!$D$23</definedName>
    <definedName name="CarryRate">Assumptions!$C$15</definedName>
    <definedName name="CheckSize">Assumptions!$C$14</definedName>
    <definedName name="CondGood">Assumptions!$C$30</definedName>
    <definedName name="CondReturn">Assumptions!$C$29</definedName>
    <definedName name="FeeAdj">Assumptions!$C$10</definedName>
    <definedName name="FeeRate">Assumptions!$C$8</definedName>
    <definedName name="FeeYears">Assumptions!$C$9</definedName>
    <definedName name="FundSize">Assumptions!$C$5</definedName>
    <definedName name="HurdleRate">Assumptions!$C$16</definedName>
    <definedName name="HurdleToggle">Assumptions!$C$17</definedName>
    <definedName name="InitialCheck">Assumptions!$C$13</definedName>
    <definedName name="InvestableCapital">Assumptions!$C$11</definedName>
    <definedName name="MaxMultiple">Assumptions!$C$25</definedName>
    <definedName name="MC_GrossMOIC">'Monte Carlo'!$AB$6:$AB$505</definedName>
    <definedName name="MC_NetMOIC">'Monte Carlo'!$AI$6:$AI$505</definedName>
    <definedName name="Mu1">Assumptions!$F$22</definedName>
    <definedName name="Mu2">Assumptions!$F$23</definedName>
    <definedName name="N_Companies">Assumptions!$C$6</definedName>
    <definedName name="OutlierEM">Assumptions!$C$34</definedName>
    <definedName name="OutlierEM2">Assumptions!$C$35</definedName>
    <definedName name="P_Good">Assumptions!$C$23</definedName>
    <definedName name="P_Outlier">Assumptions!$C$24</definedName>
    <definedName name="P_Return">Assumptions!$C$22</definedName>
    <definedName name="P_Zero">Assumptions!$C$21</definedName>
    <definedName name="ReservePool">Assumptions!$C$12</definedName>
    <definedName name="ReserveRatio">Assumptions!$C$7</definedName>
    <definedName name="Sigma1">Assumptions!$G$22</definedName>
    <definedName name="Sigma2">Assumptions!$G$23</definedName>
    <definedName name="Xm">Assumptions!$F$24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" i="6" l="1"/>
  <c r="C44" i="6"/>
  <c r="C45" i="6" s="1"/>
  <c r="C43" i="6"/>
  <c r="E23" i="6"/>
  <c r="D23" i="6"/>
  <c r="C23" i="6"/>
  <c r="E22" i="6"/>
  <c r="D22" i="6"/>
  <c r="C22" i="6"/>
  <c r="E21" i="6"/>
  <c r="D21" i="6"/>
  <c r="C21" i="6"/>
  <c r="E20" i="6"/>
  <c r="D20" i="6"/>
  <c r="C20" i="6"/>
  <c r="C16" i="6"/>
  <c r="D26" i="1" s="1"/>
  <c r="C15" i="6"/>
  <c r="C13" i="6"/>
  <c r="C12" i="6"/>
  <c r="C11" i="6"/>
  <c r="C10" i="6"/>
  <c r="C9" i="6"/>
  <c r="C8" i="6"/>
  <c r="C7" i="6"/>
  <c r="C6" i="6"/>
  <c r="S505" i="4"/>
  <c r="W504" i="4"/>
  <c r="H504" i="4"/>
  <c r="V503" i="4"/>
  <c r="T502" i="4"/>
  <c r="R501" i="4"/>
  <c r="K501" i="4"/>
  <c r="G500" i="4"/>
  <c r="O499" i="4"/>
  <c r="I499" i="4"/>
  <c r="K496" i="4"/>
  <c r="W495" i="4"/>
  <c r="U492" i="4"/>
  <c r="O492" i="4"/>
  <c r="W490" i="4"/>
  <c r="I490" i="4"/>
  <c r="V489" i="4"/>
  <c r="P489" i="4"/>
  <c r="F489" i="4"/>
  <c r="G488" i="4"/>
  <c r="I485" i="4"/>
  <c r="E485" i="4"/>
  <c r="H484" i="4"/>
  <c r="U483" i="4"/>
  <c r="W482" i="4"/>
  <c r="H481" i="4"/>
  <c r="W480" i="4"/>
  <c r="I480" i="4"/>
  <c r="L479" i="4"/>
  <c r="W478" i="4"/>
  <c r="S478" i="4"/>
  <c r="V477" i="4"/>
  <c r="E477" i="4"/>
  <c r="V474" i="4"/>
  <c r="I474" i="4"/>
  <c r="P473" i="4"/>
  <c r="J473" i="4"/>
  <c r="G473" i="4"/>
  <c r="C473" i="4"/>
  <c r="Z472" i="4"/>
  <c r="M472" i="4"/>
  <c r="C472" i="4"/>
  <c r="D471" i="4"/>
  <c r="AA470" i="4"/>
  <c r="L470" i="4"/>
  <c r="H470" i="4"/>
  <c r="D470" i="4"/>
  <c r="U469" i="4"/>
  <c r="L469" i="4"/>
  <c r="E468" i="4"/>
  <c r="R467" i="4"/>
  <c r="X466" i="4"/>
  <c r="O466" i="4"/>
  <c r="H466" i="4"/>
  <c r="M464" i="4"/>
  <c r="Z463" i="4"/>
  <c r="R461" i="4"/>
  <c r="Q461" i="4"/>
  <c r="P461" i="4"/>
  <c r="H461" i="4"/>
  <c r="D461" i="4"/>
  <c r="Y460" i="4"/>
  <c r="O460" i="4"/>
  <c r="M460" i="4"/>
  <c r="L460" i="4"/>
  <c r="V459" i="4"/>
  <c r="Q458" i="4"/>
  <c r="C458" i="4"/>
  <c r="H457" i="4"/>
  <c r="D457" i="4"/>
  <c r="Y456" i="4"/>
  <c r="W456" i="4"/>
  <c r="H456" i="4"/>
  <c r="Q455" i="4"/>
  <c r="O455" i="4"/>
  <c r="V454" i="4"/>
  <c r="P454" i="4"/>
  <c r="E454" i="4"/>
  <c r="U452" i="4"/>
  <c r="J452" i="4"/>
  <c r="AA451" i="4"/>
  <c r="T451" i="4"/>
  <c r="N451" i="4"/>
  <c r="V450" i="4"/>
  <c r="M450" i="4"/>
  <c r="H450" i="4"/>
  <c r="G450" i="4"/>
  <c r="D449" i="4"/>
  <c r="W448" i="4"/>
  <c r="F448" i="4"/>
  <c r="N447" i="4"/>
  <c r="L447" i="4"/>
  <c r="Q446" i="4"/>
  <c r="N446" i="4"/>
  <c r="Y445" i="4"/>
  <c r="O445" i="4"/>
  <c r="C445" i="4"/>
  <c r="Z444" i="4"/>
  <c r="W444" i="4"/>
  <c r="X443" i="4"/>
  <c r="T443" i="4"/>
  <c r="I443" i="4"/>
  <c r="F443" i="4"/>
  <c r="U441" i="4"/>
  <c r="D440" i="4"/>
  <c r="D439" i="4"/>
  <c r="C439" i="4"/>
  <c r="Z438" i="4"/>
  <c r="P438" i="4"/>
  <c r="I438" i="4"/>
  <c r="E438" i="4"/>
  <c r="Y437" i="4"/>
  <c r="W437" i="4"/>
  <c r="N436" i="4"/>
  <c r="H436" i="4"/>
  <c r="D436" i="4"/>
  <c r="V435" i="4"/>
  <c r="T434" i="4"/>
  <c r="C434" i="4"/>
  <c r="W433" i="4"/>
  <c r="G433" i="4"/>
  <c r="E433" i="4"/>
  <c r="L432" i="4"/>
  <c r="W431" i="4"/>
  <c r="U431" i="4"/>
  <c r="Y430" i="4"/>
  <c r="M430" i="4"/>
  <c r="K429" i="4"/>
  <c r="H429" i="4"/>
  <c r="AA428" i="4"/>
  <c r="AA425" i="4"/>
  <c r="Y425" i="4"/>
  <c r="L425" i="4"/>
  <c r="D425" i="4"/>
  <c r="X424" i="4"/>
  <c r="W424" i="4"/>
  <c r="AA423" i="4"/>
  <c r="W423" i="4"/>
  <c r="I423" i="4"/>
  <c r="P422" i="4"/>
  <c r="O422" i="4"/>
  <c r="J422" i="4"/>
  <c r="N421" i="4"/>
  <c r="J421" i="4"/>
  <c r="X420" i="4"/>
  <c r="H420" i="4"/>
  <c r="Z419" i="4"/>
  <c r="S419" i="4"/>
  <c r="C419" i="4"/>
  <c r="J417" i="4"/>
  <c r="G417" i="4"/>
  <c r="E417" i="4"/>
  <c r="Q416" i="4"/>
  <c r="L416" i="4"/>
  <c r="U414" i="4"/>
  <c r="N412" i="4"/>
  <c r="C412" i="4"/>
  <c r="R411" i="4"/>
  <c r="C411" i="4"/>
  <c r="M410" i="4"/>
  <c r="U409" i="4"/>
  <c r="V408" i="4"/>
  <c r="R408" i="4"/>
  <c r="Q407" i="4"/>
  <c r="I406" i="4"/>
  <c r="H406" i="4"/>
  <c r="H405" i="4"/>
  <c r="I404" i="4"/>
  <c r="W403" i="4"/>
  <c r="O403" i="4"/>
  <c r="K403" i="4"/>
  <c r="H403" i="4"/>
  <c r="G402" i="4"/>
  <c r="E402" i="4"/>
  <c r="W401" i="4"/>
  <c r="L401" i="4"/>
  <c r="K401" i="4"/>
  <c r="C401" i="4"/>
  <c r="T400" i="4"/>
  <c r="Q400" i="4"/>
  <c r="P400" i="4"/>
  <c r="F400" i="4"/>
  <c r="M399" i="4"/>
  <c r="M398" i="4"/>
  <c r="AA397" i="4"/>
  <c r="Q397" i="4"/>
  <c r="M397" i="4"/>
  <c r="Q396" i="4"/>
  <c r="P396" i="4"/>
  <c r="V394" i="4"/>
  <c r="D394" i="4"/>
  <c r="X393" i="4"/>
  <c r="N393" i="4"/>
  <c r="Z392" i="4"/>
  <c r="O392" i="4"/>
  <c r="W391" i="4"/>
  <c r="F390" i="4"/>
  <c r="X389" i="4"/>
  <c r="T389" i="4"/>
  <c r="Q389" i="4"/>
  <c r="Q387" i="4"/>
  <c r="M387" i="4"/>
  <c r="R386" i="4"/>
  <c r="AA385" i="4"/>
  <c r="M385" i="4"/>
  <c r="K385" i="4"/>
  <c r="I385" i="4"/>
  <c r="Z384" i="4"/>
  <c r="I383" i="4"/>
  <c r="L382" i="4"/>
  <c r="J382" i="4"/>
  <c r="M381" i="4"/>
  <c r="X377" i="4"/>
  <c r="D377" i="4"/>
  <c r="U375" i="4"/>
  <c r="F375" i="4"/>
  <c r="Y374" i="4"/>
  <c r="N374" i="4"/>
  <c r="Z373" i="4"/>
  <c r="P372" i="4"/>
  <c r="J372" i="4"/>
  <c r="J366" i="4"/>
  <c r="C366" i="4"/>
  <c r="U365" i="4"/>
  <c r="L365" i="4"/>
  <c r="G364" i="4"/>
  <c r="R363" i="4"/>
  <c r="P363" i="4"/>
  <c r="Z362" i="4"/>
  <c r="N360" i="4"/>
  <c r="D360" i="4"/>
  <c r="X359" i="4"/>
  <c r="G357" i="4"/>
  <c r="U356" i="4"/>
  <c r="R355" i="4"/>
  <c r="L355" i="4"/>
  <c r="U354" i="4"/>
  <c r="O354" i="4"/>
  <c r="L354" i="4"/>
  <c r="M353" i="4"/>
  <c r="M350" i="4"/>
  <c r="Y349" i="4"/>
  <c r="F348" i="4"/>
  <c r="N347" i="4"/>
  <c r="U346" i="4"/>
  <c r="N346" i="4"/>
  <c r="W345" i="4"/>
  <c r="Y342" i="4"/>
  <c r="P342" i="4"/>
  <c r="D342" i="4"/>
  <c r="M341" i="4"/>
  <c r="I341" i="4"/>
  <c r="S340" i="4"/>
  <c r="I340" i="4"/>
  <c r="Z339" i="4"/>
  <c r="V337" i="4"/>
  <c r="L337" i="4"/>
  <c r="D337" i="4"/>
  <c r="H336" i="4"/>
  <c r="C334" i="4"/>
  <c r="U333" i="4"/>
  <c r="Z332" i="4"/>
  <c r="Q332" i="4"/>
  <c r="H332" i="4"/>
  <c r="Z331" i="4"/>
  <c r="N330" i="4"/>
  <c r="L330" i="4"/>
  <c r="X329" i="4"/>
  <c r="M329" i="4"/>
  <c r="L329" i="4"/>
  <c r="J329" i="4"/>
  <c r="U328" i="4"/>
  <c r="L328" i="4"/>
  <c r="K327" i="4"/>
  <c r="AA326" i="4"/>
  <c r="M325" i="4"/>
  <c r="I324" i="4"/>
  <c r="F323" i="4"/>
  <c r="O322" i="4"/>
  <c r="J322" i="4"/>
  <c r="G322" i="4"/>
  <c r="W321" i="4"/>
  <c r="X320" i="4"/>
  <c r="P320" i="4"/>
  <c r="I320" i="4"/>
  <c r="S319" i="4"/>
  <c r="AA318" i="4"/>
  <c r="K318" i="4"/>
  <c r="X317" i="4"/>
  <c r="R317" i="4"/>
  <c r="O314" i="4"/>
  <c r="O311" i="4"/>
  <c r="N311" i="4"/>
  <c r="L311" i="4"/>
  <c r="M310" i="4"/>
  <c r="I310" i="4"/>
  <c r="F310" i="4"/>
  <c r="P308" i="4"/>
  <c r="U307" i="4"/>
  <c r="I306" i="4"/>
  <c r="L305" i="4"/>
  <c r="Z303" i="4"/>
  <c r="R303" i="4"/>
  <c r="H302" i="4"/>
  <c r="R301" i="4"/>
  <c r="D301" i="4"/>
  <c r="W299" i="4"/>
  <c r="Y298" i="4"/>
  <c r="K296" i="4"/>
  <c r="X295" i="4"/>
  <c r="G295" i="4"/>
  <c r="J294" i="4"/>
  <c r="W293" i="4"/>
  <c r="R293" i="4"/>
  <c r="E293" i="4"/>
  <c r="C293" i="4"/>
  <c r="H292" i="4"/>
  <c r="M291" i="4"/>
  <c r="J291" i="4"/>
  <c r="D291" i="4"/>
  <c r="I290" i="4"/>
  <c r="E289" i="4"/>
  <c r="X288" i="4"/>
  <c r="G288" i="4"/>
  <c r="X287" i="4"/>
  <c r="H287" i="4"/>
  <c r="U285" i="4"/>
  <c r="O285" i="4"/>
  <c r="C285" i="4"/>
  <c r="T284" i="4"/>
  <c r="O282" i="4"/>
  <c r="P281" i="4"/>
  <c r="H281" i="4"/>
  <c r="Z278" i="4"/>
  <c r="W278" i="4"/>
  <c r="R278" i="4"/>
  <c r="Z277" i="4"/>
  <c r="V277" i="4"/>
  <c r="R277" i="4"/>
  <c r="T276" i="4"/>
  <c r="M276" i="4"/>
  <c r="Q275" i="4"/>
  <c r="E275" i="4"/>
  <c r="D275" i="4"/>
  <c r="S274" i="4"/>
  <c r="G274" i="4"/>
  <c r="X273" i="4"/>
  <c r="O273" i="4"/>
  <c r="K273" i="4"/>
  <c r="H273" i="4"/>
  <c r="D273" i="4"/>
  <c r="V272" i="4"/>
  <c r="N272" i="4"/>
  <c r="N271" i="4"/>
  <c r="G271" i="4"/>
  <c r="W270" i="4"/>
  <c r="P269" i="4"/>
  <c r="K269" i="4"/>
  <c r="F269" i="4"/>
  <c r="J268" i="4"/>
  <c r="D268" i="4"/>
  <c r="G267" i="4"/>
  <c r="Y265" i="4"/>
  <c r="I265" i="4"/>
  <c r="X264" i="4"/>
  <c r="L264" i="4"/>
  <c r="Q263" i="4"/>
  <c r="E263" i="4"/>
  <c r="Z262" i="4"/>
  <c r="O262" i="4"/>
  <c r="K261" i="4"/>
  <c r="J261" i="4"/>
  <c r="V259" i="4"/>
  <c r="K259" i="4"/>
  <c r="I259" i="4"/>
  <c r="AA258" i="4"/>
  <c r="Y255" i="4"/>
  <c r="V253" i="4"/>
  <c r="T253" i="4"/>
  <c r="E252" i="4"/>
  <c r="V251" i="4"/>
  <c r="W250" i="4"/>
  <c r="J250" i="4"/>
  <c r="T249" i="4"/>
  <c r="N248" i="4"/>
  <c r="V247" i="4"/>
  <c r="T247" i="4"/>
  <c r="E247" i="4"/>
  <c r="K246" i="4"/>
  <c r="AA245" i="4"/>
  <c r="O245" i="4"/>
  <c r="Q244" i="4"/>
  <c r="I244" i="4"/>
  <c r="F244" i="4"/>
  <c r="G243" i="4"/>
  <c r="K241" i="4"/>
  <c r="Q240" i="4"/>
  <c r="O240" i="4"/>
  <c r="F240" i="4"/>
  <c r="G239" i="4"/>
  <c r="V238" i="4"/>
  <c r="R238" i="4"/>
  <c r="O238" i="4"/>
  <c r="J238" i="4"/>
  <c r="Y237" i="4"/>
  <c r="T237" i="4"/>
  <c r="R237" i="4"/>
  <c r="M237" i="4"/>
  <c r="C237" i="4"/>
  <c r="AA236" i="4"/>
  <c r="Y236" i="4"/>
  <c r="R236" i="4"/>
  <c r="S235" i="4"/>
  <c r="AA234" i="4"/>
  <c r="I233" i="4"/>
  <c r="T232" i="4"/>
  <c r="R232" i="4"/>
  <c r="S231" i="4"/>
  <c r="M230" i="4"/>
  <c r="L230" i="4"/>
  <c r="I230" i="4"/>
  <c r="C230" i="4"/>
  <c r="V228" i="4"/>
  <c r="T228" i="4"/>
  <c r="S228" i="4"/>
  <c r="P228" i="4"/>
  <c r="G228" i="4"/>
  <c r="X224" i="4"/>
  <c r="Q223" i="4"/>
  <c r="J223" i="4"/>
  <c r="O222" i="4"/>
  <c r="G222" i="4"/>
  <c r="M221" i="4"/>
  <c r="F221" i="4"/>
  <c r="AA220" i="4"/>
  <c r="V220" i="4"/>
  <c r="K220" i="4"/>
  <c r="G220" i="4"/>
  <c r="N218" i="4"/>
  <c r="AA217" i="4"/>
  <c r="P216" i="4"/>
  <c r="N214" i="4"/>
  <c r="I214" i="4"/>
  <c r="C214" i="4"/>
  <c r="Q213" i="4"/>
  <c r="N213" i="4"/>
  <c r="K213" i="4"/>
  <c r="E213" i="4"/>
  <c r="F212" i="4"/>
  <c r="U211" i="4"/>
  <c r="G210" i="4"/>
  <c r="X209" i="4"/>
  <c r="N208" i="4"/>
  <c r="H208" i="4"/>
  <c r="X207" i="4"/>
  <c r="N207" i="4"/>
  <c r="M206" i="4"/>
  <c r="L206" i="4"/>
  <c r="C206" i="4"/>
  <c r="O205" i="4"/>
  <c r="Y204" i="4"/>
  <c r="M203" i="4"/>
  <c r="G203" i="4"/>
  <c r="K202" i="4"/>
  <c r="G202" i="4"/>
  <c r="O201" i="4"/>
  <c r="K201" i="4"/>
  <c r="Q200" i="4"/>
  <c r="V199" i="4"/>
  <c r="R199" i="4"/>
  <c r="P198" i="4"/>
  <c r="L198" i="4"/>
  <c r="Z197" i="4"/>
  <c r="X196" i="4"/>
  <c r="Q196" i="4"/>
  <c r="O196" i="4"/>
  <c r="K196" i="4"/>
  <c r="R195" i="4"/>
  <c r="F194" i="4"/>
  <c r="D192" i="4"/>
  <c r="R191" i="4"/>
  <c r="Q191" i="4"/>
  <c r="J190" i="4"/>
  <c r="D190" i="4"/>
  <c r="Z188" i="4"/>
  <c r="O188" i="4"/>
  <c r="T187" i="4"/>
  <c r="K187" i="4"/>
  <c r="I187" i="4"/>
  <c r="R186" i="4"/>
  <c r="H186" i="4"/>
  <c r="H185" i="4"/>
  <c r="G185" i="4"/>
  <c r="Q184" i="4"/>
  <c r="D184" i="4"/>
  <c r="O183" i="4"/>
  <c r="K183" i="4"/>
  <c r="D183" i="4"/>
  <c r="Q182" i="4"/>
  <c r="N182" i="4"/>
  <c r="F182" i="4"/>
  <c r="Q181" i="4"/>
  <c r="F181" i="4"/>
  <c r="AA180" i="4"/>
  <c r="F180" i="4"/>
  <c r="D179" i="4"/>
  <c r="Z178" i="4"/>
  <c r="G178" i="4"/>
  <c r="T177" i="4"/>
  <c r="D177" i="4"/>
  <c r="L175" i="4"/>
  <c r="L174" i="4"/>
  <c r="K174" i="4"/>
  <c r="L172" i="4"/>
  <c r="K172" i="4"/>
  <c r="AA171" i="4"/>
  <c r="Z171" i="4"/>
  <c r="J171" i="4"/>
  <c r="U169" i="4"/>
  <c r="S169" i="4"/>
  <c r="R169" i="4"/>
  <c r="G169" i="4"/>
  <c r="K168" i="4"/>
  <c r="F168" i="4"/>
  <c r="R167" i="4"/>
  <c r="J167" i="4"/>
  <c r="I166" i="4"/>
  <c r="X165" i="4"/>
  <c r="V165" i="4"/>
  <c r="N165" i="4"/>
  <c r="S164" i="4"/>
  <c r="E164" i="4"/>
  <c r="W163" i="4"/>
  <c r="T163" i="4"/>
  <c r="P162" i="4"/>
  <c r="O162" i="4"/>
  <c r="AA161" i="4"/>
  <c r="Y161" i="4"/>
  <c r="C160" i="4"/>
  <c r="S159" i="4"/>
  <c r="G159" i="4"/>
  <c r="D159" i="4"/>
  <c r="E158" i="4"/>
  <c r="P157" i="4"/>
  <c r="Y156" i="4"/>
  <c r="V156" i="4"/>
  <c r="G156" i="4"/>
  <c r="D155" i="4"/>
  <c r="V154" i="4"/>
  <c r="F154" i="4"/>
  <c r="K153" i="4"/>
  <c r="Z152" i="4"/>
  <c r="N152" i="4"/>
  <c r="W151" i="4"/>
  <c r="M151" i="4"/>
  <c r="R149" i="4"/>
  <c r="M149" i="4"/>
  <c r="E149" i="4"/>
  <c r="U147" i="4"/>
  <c r="N147" i="4"/>
  <c r="X146" i="4"/>
  <c r="W146" i="4"/>
  <c r="T146" i="4"/>
  <c r="P146" i="4"/>
  <c r="V145" i="4"/>
  <c r="O145" i="4"/>
  <c r="X144" i="4"/>
  <c r="T144" i="4"/>
  <c r="J144" i="4"/>
  <c r="C144" i="4"/>
  <c r="C142" i="4"/>
  <c r="U141" i="4"/>
  <c r="S141" i="4"/>
  <c r="O141" i="4"/>
  <c r="M141" i="4"/>
  <c r="K141" i="4"/>
  <c r="D141" i="4"/>
  <c r="N140" i="4"/>
  <c r="M140" i="4"/>
  <c r="F140" i="4"/>
  <c r="AA139" i="4"/>
  <c r="T139" i="4"/>
  <c r="L139" i="4"/>
  <c r="X138" i="4"/>
  <c r="P138" i="4"/>
  <c r="L138" i="4"/>
  <c r="G138" i="4"/>
  <c r="R137" i="4"/>
  <c r="K137" i="4"/>
  <c r="D137" i="4"/>
  <c r="L136" i="4"/>
  <c r="U135" i="4"/>
  <c r="O135" i="4"/>
  <c r="K135" i="4"/>
  <c r="D135" i="4"/>
  <c r="P134" i="4"/>
  <c r="O134" i="4"/>
  <c r="W132" i="4"/>
  <c r="J132" i="4"/>
  <c r="X131" i="4"/>
  <c r="S131" i="4"/>
  <c r="R131" i="4"/>
  <c r="L131" i="4"/>
  <c r="I131" i="4"/>
  <c r="AA130" i="4"/>
  <c r="V130" i="4"/>
  <c r="P129" i="4"/>
  <c r="K128" i="4"/>
  <c r="I128" i="4"/>
  <c r="T126" i="4"/>
  <c r="C126" i="4"/>
  <c r="Q123" i="4"/>
  <c r="R122" i="4"/>
  <c r="Q122" i="4"/>
  <c r="K122" i="4"/>
  <c r="X121" i="4"/>
  <c r="O121" i="4"/>
  <c r="Z120" i="4"/>
  <c r="R120" i="4"/>
  <c r="M120" i="4"/>
  <c r="Z119" i="4"/>
  <c r="E118" i="4"/>
  <c r="AA116" i="4"/>
  <c r="D116" i="4"/>
  <c r="C116" i="4"/>
  <c r="X115" i="4"/>
  <c r="AA114" i="4"/>
  <c r="M114" i="4"/>
  <c r="G114" i="4"/>
  <c r="N113" i="4"/>
  <c r="K113" i="4"/>
  <c r="E113" i="4"/>
  <c r="Z112" i="4"/>
  <c r="I112" i="4"/>
  <c r="E112" i="4"/>
  <c r="C110" i="4"/>
  <c r="S109" i="4"/>
  <c r="U107" i="4"/>
  <c r="S107" i="4"/>
  <c r="G107" i="4"/>
  <c r="C107" i="4"/>
  <c r="Y106" i="4"/>
  <c r="N106" i="4"/>
  <c r="P105" i="4"/>
  <c r="H105" i="4"/>
  <c r="L104" i="4"/>
  <c r="U103" i="4"/>
  <c r="O103" i="4"/>
  <c r="L102" i="4"/>
  <c r="Z100" i="4"/>
  <c r="G100" i="4"/>
  <c r="D100" i="4"/>
  <c r="AA99" i="4"/>
  <c r="L98" i="4"/>
  <c r="AA96" i="4"/>
  <c r="F96" i="4"/>
  <c r="H95" i="4"/>
  <c r="E95" i="4"/>
  <c r="S94" i="4"/>
  <c r="Q94" i="4"/>
  <c r="Z93" i="4"/>
  <c r="U93" i="4"/>
  <c r="X92" i="4"/>
  <c r="AE91" i="4"/>
  <c r="C91" i="4"/>
  <c r="X90" i="4"/>
  <c r="W90" i="4"/>
  <c r="R90" i="4"/>
  <c r="Q89" i="4"/>
  <c r="N89" i="4"/>
  <c r="Z88" i="4"/>
  <c r="X88" i="4"/>
  <c r="V88" i="4"/>
  <c r="Q88" i="4"/>
  <c r="O88" i="4"/>
  <c r="J88" i="4"/>
  <c r="U87" i="4"/>
  <c r="K87" i="4"/>
  <c r="D86" i="4"/>
  <c r="O85" i="4"/>
  <c r="D85" i="4"/>
  <c r="R84" i="4"/>
  <c r="W83" i="4"/>
  <c r="V83" i="4"/>
  <c r="L83" i="4"/>
  <c r="J83" i="4"/>
  <c r="I83" i="4"/>
  <c r="K82" i="4"/>
  <c r="Y81" i="4"/>
  <c r="J81" i="4"/>
  <c r="D81" i="4"/>
  <c r="I80" i="4"/>
  <c r="X79" i="4"/>
  <c r="O79" i="4"/>
  <c r="M78" i="4"/>
  <c r="K78" i="4"/>
  <c r="X77" i="4"/>
  <c r="T77" i="4"/>
  <c r="P77" i="4"/>
  <c r="M77" i="4"/>
  <c r="V76" i="4"/>
  <c r="O76" i="4"/>
  <c r="N76" i="4"/>
  <c r="S75" i="4"/>
  <c r="C75" i="4"/>
  <c r="M74" i="4"/>
  <c r="L73" i="4"/>
  <c r="W72" i="4"/>
  <c r="S72" i="4"/>
  <c r="X71" i="4"/>
  <c r="C71" i="4"/>
  <c r="AA70" i="4"/>
  <c r="R70" i="4"/>
  <c r="P70" i="4"/>
  <c r="C70" i="4"/>
  <c r="R69" i="4"/>
  <c r="L69" i="4"/>
  <c r="C69" i="4"/>
  <c r="AA68" i="4"/>
  <c r="J68" i="4"/>
  <c r="M67" i="4"/>
  <c r="D67" i="4"/>
  <c r="C67" i="4"/>
  <c r="V66" i="4"/>
  <c r="P65" i="4"/>
  <c r="L65" i="4"/>
  <c r="AA64" i="4"/>
  <c r="L64" i="4"/>
  <c r="J63" i="4"/>
  <c r="H63" i="4"/>
  <c r="Z62" i="4"/>
  <c r="G62" i="4"/>
  <c r="Q61" i="4"/>
  <c r="V60" i="4"/>
  <c r="Z59" i="4"/>
  <c r="Y59" i="4"/>
  <c r="V59" i="4"/>
  <c r="S59" i="4"/>
  <c r="Q59" i="4"/>
  <c r="C59" i="4"/>
  <c r="O57" i="4"/>
  <c r="N57" i="4"/>
  <c r="H57" i="4"/>
  <c r="L56" i="4"/>
  <c r="G56" i="4"/>
  <c r="E56" i="4"/>
  <c r="C56" i="4"/>
  <c r="W55" i="4"/>
  <c r="P55" i="4"/>
  <c r="O55" i="4"/>
  <c r="Z54" i="4"/>
  <c r="D54" i="4"/>
  <c r="W53" i="4"/>
  <c r="H53" i="4"/>
  <c r="F53" i="4"/>
  <c r="T52" i="4"/>
  <c r="M52" i="4"/>
  <c r="AA51" i="4"/>
  <c r="H51" i="4"/>
  <c r="P50" i="4"/>
  <c r="J50" i="4"/>
  <c r="U49" i="4"/>
  <c r="I49" i="4"/>
  <c r="G49" i="4"/>
  <c r="Y48" i="4"/>
  <c r="W48" i="4"/>
  <c r="U48" i="4"/>
  <c r="N48" i="4"/>
  <c r="L48" i="4"/>
  <c r="V47" i="4"/>
  <c r="Q47" i="4"/>
  <c r="M47" i="4"/>
  <c r="J47" i="4"/>
  <c r="V46" i="4"/>
  <c r="Q46" i="4"/>
  <c r="O46" i="4"/>
  <c r="K46" i="4"/>
  <c r="H45" i="4"/>
  <c r="C45" i="4"/>
  <c r="M44" i="4"/>
  <c r="K44" i="4"/>
  <c r="H44" i="4"/>
  <c r="V43" i="4"/>
  <c r="Z42" i="4"/>
  <c r="U42" i="4"/>
  <c r="N42" i="4"/>
  <c r="E42" i="4"/>
  <c r="L41" i="4"/>
  <c r="E41" i="4"/>
  <c r="S40" i="4"/>
  <c r="O40" i="4"/>
  <c r="C40" i="4"/>
  <c r="AA39" i="4"/>
  <c r="T39" i="4"/>
  <c r="R39" i="4"/>
  <c r="G39" i="4"/>
  <c r="X38" i="4"/>
  <c r="U38" i="4"/>
  <c r="R38" i="4"/>
  <c r="I38" i="4"/>
  <c r="Z37" i="4"/>
  <c r="V37" i="4"/>
  <c r="U37" i="4"/>
  <c r="M37" i="4"/>
  <c r="R36" i="4"/>
  <c r="N36" i="4"/>
  <c r="H36" i="4"/>
  <c r="C36" i="4"/>
  <c r="AA35" i="4"/>
  <c r="Q35" i="4"/>
  <c r="O35" i="4"/>
  <c r="Z33" i="4"/>
  <c r="U33" i="4"/>
  <c r="S33" i="4"/>
  <c r="C33" i="4"/>
  <c r="AA32" i="4"/>
  <c r="I32" i="4"/>
  <c r="G31" i="4"/>
  <c r="U30" i="4"/>
  <c r="N30" i="4"/>
  <c r="R29" i="4"/>
  <c r="M29" i="4"/>
  <c r="K29" i="4"/>
  <c r="S28" i="4"/>
  <c r="K28" i="4"/>
  <c r="E28" i="4"/>
  <c r="K27" i="4"/>
  <c r="T26" i="4"/>
  <c r="E26" i="4"/>
  <c r="L25" i="4"/>
  <c r="G25" i="4"/>
  <c r="Z24" i="4"/>
  <c r="C24" i="4"/>
  <c r="W23" i="4"/>
  <c r="Q23" i="4"/>
  <c r="O23" i="4"/>
  <c r="AA22" i="4"/>
  <c r="V22" i="4"/>
  <c r="Q22" i="4"/>
  <c r="I22" i="4"/>
  <c r="Z21" i="4"/>
  <c r="T21" i="4"/>
  <c r="N21" i="4"/>
  <c r="K21" i="4"/>
  <c r="T20" i="4"/>
  <c r="S20" i="4"/>
  <c r="R20" i="4"/>
  <c r="J20" i="4"/>
  <c r="I20" i="4"/>
  <c r="E20" i="4"/>
  <c r="U19" i="4"/>
  <c r="N19" i="4"/>
  <c r="K19" i="4"/>
  <c r="F19" i="4"/>
  <c r="AE18" i="4"/>
  <c r="U18" i="4"/>
  <c r="Q18" i="4"/>
  <c r="L18" i="4"/>
  <c r="AE17" i="4"/>
  <c r="Y17" i="4"/>
  <c r="U17" i="4"/>
  <c r="H17" i="4"/>
  <c r="G16" i="4"/>
  <c r="E16" i="4"/>
  <c r="D16" i="4"/>
  <c r="X15" i="4"/>
  <c r="W15" i="4"/>
  <c r="Z14" i="4"/>
  <c r="S14" i="4"/>
  <c r="H14" i="4"/>
  <c r="T13" i="4"/>
  <c r="P13" i="4"/>
  <c r="M13" i="4"/>
  <c r="I13" i="4"/>
  <c r="X12" i="4"/>
  <c r="N12" i="4"/>
  <c r="L12" i="4"/>
  <c r="J12" i="4"/>
  <c r="E12" i="4"/>
  <c r="D12" i="4"/>
  <c r="C12" i="4"/>
  <c r="V11" i="4"/>
  <c r="S11" i="4"/>
  <c r="M11" i="4"/>
  <c r="L11" i="4"/>
  <c r="Z10" i="4"/>
  <c r="V10" i="4"/>
  <c r="R10" i="4"/>
  <c r="M10" i="4"/>
  <c r="D10" i="4"/>
  <c r="C10" i="4"/>
  <c r="U9" i="4"/>
  <c r="Q9" i="4"/>
  <c r="G9" i="4"/>
  <c r="O8" i="4"/>
  <c r="H8" i="4"/>
  <c r="K7" i="4"/>
  <c r="AA6" i="4"/>
  <c r="X6" i="4"/>
  <c r="W6" i="4"/>
  <c r="T6" i="4"/>
  <c r="O6" i="4"/>
  <c r="K6" i="4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C30" i="2"/>
  <c r="O100" i="4" s="1"/>
  <c r="C29" i="2"/>
  <c r="I338" i="4" s="1"/>
  <c r="D21" i="2"/>
  <c r="D22" i="2" s="1"/>
  <c r="C11" i="2"/>
  <c r="AE64" i="4" s="1"/>
  <c r="D20" i="1"/>
  <c r="D19" i="1"/>
  <c r="Z102" i="4" l="1"/>
  <c r="D162" i="4"/>
  <c r="Y167" i="4"/>
  <c r="W183" i="4"/>
  <c r="K186" i="4"/>
  <c r="X189" i="4"/>
  <c r="F200" i="4"/>
  <c r="P208" i="4"/>
  <c r="W219" i="4"/>
  <c r="Q221" i="4"/>
  <c r="T224" i="4"/>
  <c r="V334" i="4"/>
  <c r="C407" i="4"/>
  <c r="V16" i="4"/>
  <c r="AA75" i="4"/>
  <c r="K104" i="4"/>
  <c r="O139" i="4"/>
  <c r="Q164" i="4"/>
  <c r="D9" i="4"/>
  <c r="Y16" i="4"/>
  <c r="C19" i="4"/>
  <c r="X19" i="4"/>
  <c r="L42" i="4"/>
  <c r="W43" i="4"/>
  <c r="S61" i="4"/>
  <c r="AA73" i="4"/>
  <c r="U122" i="4"/>
  <c r="K148" i="4"/>
  <c r="D156" i="4"/>
  <c r="D21" i="1"/>
  <c r="J6" i="4"/>
  <c r="N11" i="4"/>
  <c r="X14" i="4"/>
  <c r="Y15" i="4"/>
  <c r="AA16" i="4"/>
  <c r="E18" i="4"/>
  <c r="D19" i="4"/>
  <c r="C21" i="4"/>
  <c r="R23" i="4"/>
  <c r="V25" i="4"/>
  <c r="V27" i="4"/>
  <c r="O29" i="4"/>
  <c r="O30" i="4"/>
  <c r="S32" i="4"/>
  <c r="H34" i="4"/>
  <c r="T35" i="4"/>
  <c r="O36" i="4"/>
  <c r="Q39" i="4"/>
  <c r="AA40" i="4"/>
  <c r="M42" i="4"/>
  <c r="P47" i="4"/>
  <c r="E49" i="4"/>
  <c r="Y50" i="4"/>
  <c r="G53" i="4"/>
  <c r="T59" i="4"/>
  <c r="W69" i="4"/>
  <c r="I71" i="4"/>
  <c r="F74" i="4"/>
  <c r="N81" i="4"/>
  <c r="F84" i="4"/>
  <c r="S86" i="4"/>
  <c r="E96" i="4"/>
  <c r="G103" i="4"/>
  <c r="G105" i="4"/>
  <c r="V112" i="4"/>
  <c r="Z114" i="4"/>
  <c r="H121" i="4"/>
  <c r="F123" i="4"/>
  <c r="T137" i="4"/>
  <c r="Q146" i="4"/>
  <c r="X152" i="4"/>
  <c r="M165" i="4"/>
  <c r="W169" i="4"/>
  <c r="M193" i="4"/>
  <c r="X208" i="4"/>
  <c r="T214" i="4"/>
  <c r="E239" i="4"/>
  <c r="Z317" i="4"/>
  <c r="W85" i="4"/>
  <c r="G17" i="4"/>
  <c r="K103" i="4"/>
  <c r="Q130" i="4"/>
  <c r="H149" i="4"/>
  <c r="I179" i="4"/>
  <c r="P203" i="4"/>
  <c r="O206" i="4"/>
  <c r="M213" i="4"/>
  <c r="J222" i="4"/>
  <c r="J226" i="4"/>
  <c r="G305" i="4"/>
  <c r="H362" i="4"/>
  <c r="R375" i="4"/>
  <c r="U168" i="4"/>
  <c r="F177" i="4"/>
  <c r="M190" i="4"/>
  <c r="D195" i="4"/>
  <c r="L201" i="4"/>
  <c r="N204" i="4"/>
  <c r="L217" i="4"/>
  <c r="P220" i="4"/>
  <c r="K226" i="4"/>
  <c r="O249" i="4"/>
  <c r="I255" i="4"/>
  <c r="U261" i="4"/>
  <c r="I282" i="4"/>
  <c r="J332" i="4"/>
  <c r="Q341" i="4"/>
  <c r="H370" i="4"/>
  <c r="T415" i="4"/>
  <c r="E29" i="3"/>
  <c r="F29" i="3" s="1"/>
  <c r="H27" i="4"/>
  <c r="G95" i="4"/>
  <c r="V116" i="4"/>
  <c r="T122" i="4"/>
  <c r="G143" i="4"/>
  <c r="E181" i="4"/>
  <c r="R11" i="4"/>
  <c r="R22" i="4"/>
  <c r="L68" i="4"/>
  <c r="C34" i="3"/>
  <c r="C37" i="3" s="1"/>
  <c r="AE33" i="4"/>
  <c r="J19" i="4"/>
  <c r="T34" i="4"/>
  <c r="H41" i="4"/>
  <c r="Q68" i="4"/>
  <c r="T79" i="4"/>
  <c r="O94" i="4"/>
  <c r="D119" i="4"/>
  <c r="X10" i="4"/>
  <c r="M12" i="4"/>
  <c r="W13" i="4"/>
  <c r="J17" i="4"/>
  <c r="L20" i="4"/>
  <c r="Y22" i="4"/>
  <c r="M24" i="4"/>
  <c r="J26" i="4"/>
  <c r="V29" i="4"/>
  <c r="I31" i="4"/>
  <c r="E33" i="4"/>
  <c r="E35" i="4"/>
  <c r="G37" i="4"/>
  <c r="N38" i="4"/>
  <c r="Q44" i="4"/>
  <c r="L49" i="4"/>
  <c r="C52" i="4"/>
  <c r="U58" i="4"/>
  <c r="O66" i="4"/>
  <c r="L85" i="4"/>
  <c r="V87" i="4"/>
  <c r="N91" i="4"/>
  <c r="M97" i="4"/>
  <c r="Y105" i="4"/>
  <c r="F113" i="4"/>
  <c r="S136" i="4"/>
  <c r="M145" i="4"/>
  <c r="N149" i="4"/>
  <c r="D154" i="4"/>
  <c r="N157" i="4"/>
  <c r="P160" i="4"/>
  <c r="S177" i="4"/>
  <c r="I180" i="4"/>
  <c r="N190" i="4"/>
  <c r="G195" i="4"/>
  <c r="V207" i="4"/>
  <c r="S210" i="4"/>
  <c r="N217" i="4"/>
  <c r="L227" i="4"/>
  <c r="L236" i="4"/>
  <c r="Z12" i="4"/>
  <c r="Z31" i="4"/>
  <c r="J42" i="4"/>
  <c r="Z99" i="4"/>
  <c r="O9" i="4"/>
  <c r="Z25" i="4"/>
  <c r="Y35" i="4"/>
  <c r="P57" i="4"/>
  <c r="Q71" i="4"/>
  <c r="N7" i="4"/>
  <c r="N18" i="4"/>
  <c r="L21" i="4"/>
  <c r="U36" i="4"/>
  <c r="P46" i="4"/>
  <c r="F58" i="4"/>
  <c r="R74" i="4"/>
  <c r="G89" i="4"/>
  <c r="Q6" i="4"/>
  <c r="W7" i="4"/>
  <c r="N15" i="4"/>
  <c r="S6" i="4"/>
  <c r="F8" i="4"/>
  <c r="W11" i="4"/>
  <c r="Y13" i="4"/>
  <c r="U15" i="4"/>
  <c r="R16" i="4"/>
  <c r="P20" i="4"/>
  <c r="O21" i="4"/>
  <c r="N24" i="4"/>
  <c r="I29" i="4"/>
  <c r="Y29" i="4"/>
  <c r="J31" i="4"/>
  <c r="G33" i="4"/>
  <c r="I35" i="4"/>
  <c r="D36" i="4"/>
  <c r="J37" i="4"/>
  <c r="AE39" i="4"/>
  <c r="D42" i="4"/>
  <c r="D43" i="4"/>
  <c r="U44" i="4"/>
  <c r="R46" i="4"/>
  <c r="Z63" i="4"/>
  <c r="S77" i="4"/>
  <c r="F80" i="4"/>
  <c r="O91" i="4"/>
  <c r="J101" i="4"/>
  <c r="X103" i="4"/>
  <c r="H111" i="4"/>
  <c r="R127" i="4"/>
  <c r="H131" i="4"/>
  <c r="C137" i="4"/>
  <c r="G142" i="4"/>
  <c r="I161" i="4"/>
  <c r="M169" i="4"/>
  <c r="N180" i="4"/>
  <c r="S185" i="4"/>
  <c r="G188" i="4"/>
  <c r="G191" i="4"/>
  <c r="H205" i="4"/>
  <c r="W213" i="4"/>
  <c r="P223" i="4"/>
  <c r="K312" i="4"/>
  <c r="G10" i="4"/>
  <c r="K30" i="4"/>
  <c r="O90" i="4"/>
  <c r="H148" i="4"/>
  <c r="W199" i="4"/>
  <c r="G212" i="4"/>
  <c r="L224" i="4"/>
  <c r="P381" i="4"/>
  <c r="S10" i="4"/>
  <c r="N34" i="4"/>
  <c r="H118" i="4"/>
  <c r="G15" i="4"/>
  <c r="U29" i="4"/>
  <c r="M70" i="4"/>
  <c r="E142" i="4"/>
  <c r="AA495" i="4"/>
  <c r="J486" i="4"/>
  <c r="J482" i="4"/>
  <c r="J478" i="4"/>
  <c r="V476" i="4"/>
  <c r="U467" i="4"/>
  <c r="Z465" i="4"/>
  <c r="J460" i="4"/>
  <c r="Q457" i="4"/>
  <c r="W455" i="4"/>
  <c r="R450" i="4"/>
  <c r="V449" i="4"/>
  <c r="S447" i="4"/>
  <c r="P443" i="4"/>
  <c r="S439" i="4"/>
  <c r="P432" i="4"/>
  <c r="J419" i="4"/>
  <c r="Q414" i="4"/>
  <c r="S412" i="4"/>
  <c r="K411" i="4"/>
  <c r="I409" i="4"/>
  <c r="P407" i="4"/>
  <c r="T399" i="4"/>
  <c r="R397" i="4"/>
  <c r="K394" i="4"/>
  <c r="M383" i="4"/>
  <c r="H373" i="4"/>
  <c r="Y370" i="4"/>
  <c r="Q368" i="4"/>
  <c r="E364" i="4"/>
  <c r="AA362" i="4"/>
  <c r="C362" i="4"/>
  <c r="K360" i="4"/>
  <c r="X358" i="4"/>
  <c r="T357" i="4"/>
  <c r="Z352" i="4"/>
  <c r="R350" i="4"/>
  <c r="K348" i="4"/>
  <c r="R343" i="4"/>
  <c r="V339" i="4"/>
  <c r="Q335" i="4"/>
  <c r="N333" i="4"/>
  <c r="Y331" i="4"/>
  <c r="L325" i="4"/>
  <c r="X314" i="4"/>
  <c r="H312" i="4"/>
  <c r="Y310" i="4"/>
  <c r="X305" i="4"/>
  <c r="R304" i="4"/>
  <c r="U299" i="4"/>
  <c r="Y296" i="4"/>
  <c r="P293" i="4"/>
  <c r="C291" i="4"/>
  <c r="O288" i="4"/>
  <c r="E287" i="4"/>
  <c r="R284" i="4"/>
  <c r="G282" i="4"/>
  <c r="F279" i="4"/>
  <c r="L276" i="4"/>
  <c r="Y272" i="4"/>
  <c r="G270" i="4"/>
  <c r="V505" i="4"/>
  <c r="O503" i="4"/>
  <c r="N499" i="4"/>
  <c r="Y495" i="4"/>
  <c r="R490" i="4"/>
  <c r="T488" i="4"/>
  <c r="C484" i="4"/>
  <c r="F482" i="4"/>
  <c r="G480" i="4"/>
  <c r="AA477" i="4"/>
  <c r="L476" i="4"/>
  <c r="AA473" i="4"/>
  <c r="R472" i="4"/>
  <c r="C471" i="4"/>
  <c r="R469" i="4"/>
  <c r="F465" i="4"/>
  <c r="M463" i="4"/>
  <c r="G460" i="4"/>
  <c r="R455" i="4"/>
  <c r="Z453" i="4"/>
  <c r="O450" i="4"/>
  <c r="R449" i="4"/>
  <c r="P447" i="4"/>
  <c r="X445" i="4"/>
  <c r="S441" i="4"/>
  <c r="J439" i="4"/>
  <c r="G438" i="4"/>
  <c r="H434" i="4"/>
  <c r="O432" i="4"/>
  <c r="U430" i="4"/>
  <c r="X425" i="4"/>
  <c r="U424" i="4"/>
  <c r="D423" i="4"/>
  <c r="U416" i="4"/>
  <c r="E414" i="4"/>
  <c r="P412" i="4"/>
  <c r="G411" i="4"/>
  <c r="C409" i="4"/>
  <c r="J407" i="4"/>
  <c r="S399" i="4"/>
  <c r="G396" i="4"/>
  <c r="E394" i="4"/>
  <c r="G387" i="4"/>
  <c r="R380" i="4"/>
  <c r="R374" i="4"/>
  <c r="Z372" i="4"/>
  <c r="X370" i="4"/>
  <c r="M368" i="4"/>
  <c r="W363" i="4"/>
  <c r="T361" i="4"/>
  <c r="U358" i="4"/>
  <c r="M357" i="4"/>
  <c r="P352" i="4"/>
  <c r="N345" i="4"/>
  <c r="Z340" i="4"/>
  <c r="H339" i="4"/>
  <c r="E337" i="4"/>
  <c r="N335" i="4"/>
  <c r="U331" i="4"/>
  <c r="D325" i="4"/>
  <c r="N320" i="4"/>
  <c r="W314" i="4"/>
  <c r="F312" i="4"/>
  <c r="Q310" i="4"/>
  <c r="K308" i="4"/>
  <c r="Q305" i="4"/>
  <c r="Y300" i="4"/>
  <c r="C299" i="4"/>
  <c r="D295" i="4"/>
  <c r="M293" i="4"/>
  <c r="S291" i="4"/>
  <c r="P290" i="4"/>
  <c r="J288" i="4"/>
  <c r="Y286" i="4"/>
  <c r="N284" i="4"/>
  <c r="E282" i="4"/>
  <c r="E279" i="4"/>
  <c r="X277" i="4"/>
  <c r="Y275" i="4"/>
  <c r="X272" i="4"/>
  <c r="P267" i="4"/>
  <c r="U505" i="4"/>
  <c r="L503" i="4"/>
  <c r="H501" i="4"/>
  <c r="L492" i="4"/>
  <c r="N490" i="4"/>
  <c r="P488" i="4"/>
  <c r="G485" i="4"/>
  <c r="AA483" i="4"/>
  <c r="J481" i="4"/>
  <c r="F480" i="4"/>
  <c r="X477" i="4"/>
  <c r="X475" i="4"/>
  <c r="X473" i="4"/>
  <c r="P472" i="4"/>
  <c r="Z466" i="4"/>
  <c r="R464" i="4"/>
  <c r="J462" i="4"/>
  <c r="C461" i="4"/>
  <c r="AA459" i="4"/>
  <c r="W453" i="4"/>
  <c r="S451" i="4"/>
  <c r="N450" i="4"/>
  <c r="R445" i="4"/>
  <c r="R444" i="4"/>
  <c r="H441" i="4"/>
  <c r="R430" i="4"/>
  <c r="L428" i="4"/>
  <c r="W425" i="4"/>
  <c r="S424" i="4"/>
  <c r="X422" i="4"/>
  <c r="T418" i="4"/>
  <c r="C414" i="4"/>
  <c r="W408" i="4"/>
  <c r="E407" i="4"/>
  <c r="N405" i="4"/>
  <c r="V402" i="4"/>
  <c r="E401" i="4"/>
  <c r="O399" i="4"/>
  <c r="O397" i="4"/>
  <c r="R395" i="4"/>
  <c r="V389" i="4"/>
  <c r="T386" i="4"/>
  <c r="W382" i="4"/>
  <c r="F380" i="4"/>
  <c r="V376" i="4"/>
  <c r="P370" i="4"/>
  <c r="D368" i="4"/>
  <c r="S363" i="4"/>
  <c r="O362" i="4"/>
  <c r="Q361" i="4"/>
  <c r="AA359" i="4"/>
  <c r="T358" i="4"/>
  <c r="Q354" i="4"/>
  <c r="O352" i="4"/>
  <c r="G350" i="4"/>
  <c r="T347" i="4"/>
  <c r="D345" i="4"/>
  <c r="P338" i="4"/>
  <c r="C335" i="4"/>
  <c r="S331" i="4"/>
  <c r="K330" i="4"/>
  <c r="T328" i="4"/>
  <c r="T326" i="4"/>
  <c r="S324" i="4"/>
  <c r="Y321" i="4"/>
  <c r="I317" i="4"/>
  <c r="U314" i="4"/>
  <c r="T311" i="4"/>
  <c r="X307" i="4"/>
  <c r="X300" i="4"/>
  <c r="H296" i="4"/>
  <c r="V294" i="4"/>
  <c r="R291" i="4"/>
  <c r="G286" i="4"/>
  <c r="C284" i="4"/>
  <c r="AA278" i="4"/>
  <c r="V273" i="4"/>
  <c r="L269" i="4"/>
  <c r="J259" i="4"/>
  <c r="Z255" i="4"/>
  <c r="X253" i="4"/>
  <c r="U241" i="4"/>
  <c r="Y239" i="4"/>
  <c r="V229" i="4"/>
  <c r="O227" i="4"/>
  <c r="M505" i="4"/>
  <c r="P500" i="4"/>
  <c r="X496" i="4"/>
  <c r="G494" i="4"/>
  <c r="D492" i="4"/>
  <c r="D490" i="4"/>
  <c r="D488" i="4"/>
  <c r="C485" i="4"/>
  <c r="L483" i="4"/>
  <c r="T477" i="4"/>
  <c r="Z474" i="4"/>
  <c r="J472" i="4"/>
  <c r="T468" i="4"/>
  <c r="T466" i="4"/>
  <c r="O464" i="4"/>
  <c r="V461" i="4"/>
  <c r="R460" i="4"/>
  <c r="M459" i="4"/>
  <c r="E455" i="4"/>
  <c r="S453" i="4"/>
  <c r="M451" i="4"/>
  <c r="F505" i="4"/>
  <c r="L502" i="4"/>
  <c r="V501" i="4"/>
  <c r="T493" i="4"/>
  <c r="F487" i="4"/>
  <c r="J480" i="4"/>
  <c r="Q477" i="4"/>
  <c r="S473" i="4"/>
  <c r="W471" i="4"/>
  <c r="C448" i="4"/>
  <c r="P445" i="4"/>
  <c r="E444" i="4"/>
  <c r="W442" i="4"/>
  <c r="C440" i="4"/>
  <c r="AA421" i="4"/>
  <c r="V413" i="4"/>
  <c r="S411" i="4"/>
  <c r="O406" i="4"/>
  <c r="H399" i="4"/>
  <c r="R396" i="4"/>
  <c r="J386" i="4"/>
  <c r="R383" i="4"/>
  <c r="O381" i="4"/>
  <c r="L374" i="4"/>
  <c r="E372" i="4"/>
  <c r="N367" i="4"/>
  <c r="N365" i="4"/>
  <c r="I363" i="4"/>
  <c r="H361" i="4"/>
  <c r="O359" i="4"/>
  <c r="Y350" i="4"/>
  <c r="O344" i="4"/>
  <c r="P341" i="4"/>
  <c r="F340" i="4"/>
  <c r="R328" i="4"/>
  <c r="J326" i="4"/>
  <c r="T312" i="4"/>
  <c r="S307" i="4"/>
  <c r="AA304" i="4"/>
  <c r="E301" i="4"/>
  <c r="L298" i="4"/>
  <c r="P291" i="4"/>
  <c r="F289" i="4"/>
  <c r="H279" i="4"/>
  <c r="X274" i="4"/>
  <c r="C267" i="4"/>
  <c r="C263" i="4"/>
  <c r="S255" i="4"/>
  <c r="O252" i="4"/>
  <c r="N250" i="4"/>
  <c r="R248" i="4"/>
  <c r="AA246" i="4"/>
  <c r="Y244" i="4"/>
  <c r="Y242" i="4"/>
  <c r="O235" i="4"/>
  <c r="Z232" i="4"/>
  <c r="E230" i="4"/>
  <c r="F228" i="4"/>
  <c r="E226" i="4"/>
  <c r="AA223" i="4"/>
  <c r="W222" i="4"/>
  <c r="J219" i="4"/>
  <c r="I217" i="4"/>
  <c r="J211" i="4"/>
  <c r="O208" i="4"/>
  <c r="F205" i="4"/>
  <c r="D203" i="4"/>
  <c r="S197" i="4"/>
  <c r="F196" i="4"/>
  <c r="K193" i="4"/>
  <c r="Y190" i="4"/>
  <c r="Q189" i="4"/>
  <c r="W186" i="4"/>
  <c r="D181" i="4"/>
  <c r="N179" i="4"/>
  <c r="T172" i="4"/>
  <c r="T168" i="4"/>
  <c r="R164" i="4"/>
  <c r="Z162" i="4"/>
  <c r="Y160" i="4"/>
  <c r="Q158" i="4"/>
  <c r="M157" i="4"/>
  <c r="J155" i="4"/>
  <c r="G148" i="4"/>
  <c r="V146" i="4"/>
  <c r="E146" i="4"/>
  <c r="S144" i="4"/>
  <c r="K498" i="4"/>
  <c r="P493" i="4"/>
  <c r="M486" i="4"/>
  <c r="N471" i="4"/>
  <c r="X461" i="4"/>
  <c r="U454" i="4"/>
  <c r="D450" i="4"/>
  <c r="C444" i="4"/>
  <c r="H442" i="4"/>
  <c r="Y435" i="4"/>
  <c r="K433" i="4"/>
  <c r="E431" i="4"/>
  <c r="V425" i="4"/>
  <c r="X421" i="4"/>
  <c r="O419" i="4"/>
  <c r="N413" i="4"/>
  <c r="K406" i="4"/>
  <c r="N398" i="4"/>
  <c r="V391" i="4"/>
  <c r="O383" i="4"/>
  <c r="J376" i="4"/>
  <c r="J374" i="4"/>
  <c r="T371" i="4"/>
  <c r="Y366" i="4"/>
  <c r="C363" i="4"/>
  <c r="Z360" i="4"/>
  <c r="M359" i="4"/>
  <c r="C357" i="4"/>
  <c r="S350" i="4"/>
  <c r="AA343" i="4"/>
  <c r="T336" i="4"/>
  <c r="J330" i="4"/>
  <c r="W325" i="4"/>
  <c r="C317" i="4"/>
  <c r="L312" i="4"/>
  <c r="V306" i="4"/>
  <c r="V304" i="4"/>
  <c r="AA297" i="4"/>
  <c r="V295" i="4"/>
  <c r="N282" i="4"/>
  <c r="Z272" i="4"/>
  <c r="Z266" i="4"/>
  <c r="N264" i="4"/>
  <c r="V260" i="4"/>
  <c r="Z258" i="4"/>
  <c r="L255" i="4"/>
  <c r="Q248" i="4"/>
  <c r="S246" i="4"/>
  <c r="S244" i="4"/>
  <c r="M242" i="4"/>
  <c r="N235" i="4"/>
  <c r="N227" i="4"/>
  <c r="X225" i="4"/>
  <c r="W223" i="4"/>
  <c r="U222" i="4"/>
  <c r="Z216" i="4"/>
  <c r="F213" i="4"/>
  <c r="V210" i="4"/>
  <c r="M207" i="4"/>
  <c r="C205" i="4"/>
  <c r="N202" i="4"/>
  <c r="AA200" i="4"/>
  <c r="T199" i="4"/>
  <c r="C197" i="4"/>
  <c r="E193" i="4"/>
  <c r="U190" i="4"/>
  <c r="S186" i="4"/>
  <c r="C183" i="4"/>
  <c r="C181" i="4"/>
  <c r="T496" i="4"/>
  <c r="M482" i="4"/>
  <c r="X479" i="4"/>
  <c r="Z476" i="4"/>
  <c r="J466" i="4"/>
  <c r="X449" i="4"/>
  <c r="H445" i="4"/>
  <c r="C442" i="4"/>
  <c r="W435" i="4"/>
  <c r="C431" i="4"/>
  <c r="R423" i="4"/>
  <c r="H413" i="4"/>
  <c r="N408" i="4"/>
  <c r="P393" i="4"/>
  <c r="T391" i="4"/>
  <c r="M389" i="4"/>
  <c r="Y385" i="4"/>
  <c r="N383" i="4"/>
  <c r="J379" i="4"/>
  <c r="H374" i="4"/>
  <c r="P371" i="4"/>
  <c r="W366" i="4"/>
  <c r="C365" i="4"/>
  <c r="S360" i="4"/>
  <c r="AA358" i="4"/>
  <c r="K347" i="4"/>
  <c r="Y343" i="4"/>
  <c r="J341" i="4"/>
  <c r="O338" i="4"/>
  <c r="G501" i="4"/>
  <c r="P496" i="4"/>
  <c r="R489" i="4"/>
  <c r="K482" i="4"/>
  <c r="V475" i="4"/>
  <c r="X468" i="4"/>
  <c r="Q456" i="4"/>
  <c r="L451" i="4"/>
  <c r="G445" i="4"/>
  <c r="R437" i="4"/>
  <c r="Y426" i="4"/>
  <c r="H425" i="4"/>
  <c r="J423" i="4"/>
  <c r="G492" i="4"/>
  <c r="Z484" i="4"/>
  <c r="I481" i="4"/>
  <c r="S470" i="4"/>
  <c r="P464" i="4"/>
  <c r="L456" i="4"/>
  <c r="T453" i="4"/>
  <c r="K451" i="4"/>
  <c r="V440" i="4"/>
  <c r="L437" i="4"/>
  <c r="R435" i="4"/>
  <c r="U432" i="4"/>
  <c r="Q430" i="4"/>
  <c r="U426" i="4"/>
  <c r="I418" i="4"/>
  <c r="J415" i="4"/>
  <c r="W409" i="4"/>
  <c r="M405" i="4"/>
  <c r="H395" i="4"/>
  <c r="M393" i="4"/>
  <c r="K390" i="4"/>
  <c r="S378" i="4"/>
  <c r="H375" i="4"/>
  <c r="R373" i="4"/>
  <c r="U369" i="4"/>
  <c r="L366" i="4"/>
  <c r="L362" i="4"/>
  <c r="L360" i="4"/>
  <c r="K358" i="4"/>
  <c r="T355" i="4"/>
  <c r="AA352" i="4"/>
  <c r="V349" i="4"/>
  <c r="E338" i="4"/>
  <c r="G336" i="4"/>
  <c r="C331" i="4"/>
  <c r="O327" i="4"/>
  <c r="S321" i="4"/>
  <c r="U318" i="4"/>
  <c r="F315" i="4"/>
  <c r="M309" i="4"/>
  <c r="T302" i="4"/>
  <c r="AA299" i="4"/>
  <c r="Z296" i="4"/>
  <c r="W292" i="4"/>
  <c r="M281" i="4"/>
  <c r="K266" i="4"/>
  <c r="D264" i="4"/>
  <c r="X261" i="4"/>
  <c r="V256" i="4"/>
  <c r="J254" i="4"/>
  <c r="V236" i="4"/>
  <c r="P234" i="4"/>
  <c r="H231" i="4"/>
  <c r="Z226" i="4"/>
  <c r="N223" i="4"/>
  <c r="G216" i="4"/>
  <c r="S213" i="4"/>
  <c r="F210" i="4"/>
  <c r="F208" i="4"/>
  <c r="G204" i="4"/>
  <c r="W198" i="4"/>
  <c r="P196" i="4"/>
  <c r="AA194" i="4"/>
  <c r="D503" i="4"/>
  <c r="E500" i="4"/>
  <c r="C492" i="4"/>
  <c r="L484" i="4"/>
  <c r="S474" i="4"/>
  <c r="X467" i="4"/>
  <c r="I458" i="4"/>
  <c r="AA452" i="4"/>
  <c r="V448" i="4"/>
  <c r="H446" i="4"/>
  <c r="U440" i="4"/>
  <c r="N438" i="4"/>
  <c r="AA436" i="4"/>
  <c r="V434" i="4"/>
  <c r="G426" i="4"/>
  <c r="V420" i="4"/>
  <c r="X417" i="4"/>
  <c r="F412" i="4"/>
  <c r="Z499" i="4"/>
  <c r="L495" i="4"/>
  <c r="Z491" i="4"/>
  <c r="J484" i="4"/>
  <c r="Q478" i="4"/>
  <c r="O474" i="4"/>
  <c r="V467" i="4"/>
  <c r="L464" i="4"/>
  <c r="G448" i="4"/>
  <c r="AA445" i="4"/>
  <c r="E443" i="4"/>
  <c r="H440" i="4"/>
  <c r="J438" i="4"/>
  <c r="H432" i="4"/>
  <c r="I430" i="4"/>
  <c r="C426" i="4"/>
  <c r="R414" i="4"/>
  <c r="T409" i="4"/>
  <c r="J487" i="4"/>
  <c r="U480" i="4"/>
  <c r="Z442" i="4"/>
  <c r="Z406" i="4"/>
  <c r="W394" i="4"/>
  <c r="V388" i="4"/>
  <c r="M369" i="4"/>
  <c r="U364" i="4"/>
  <c r="G362" i="4"/>
  <c r="C358" i="4"/>
  <c r="X337" i="4"/>
  <c r="M334" i="4"/>
  <c r="I332" i="4"/>
  <c r="AA327" i="4"/>
  <c r="G324" i="4"/>
  <c r="S320" i="4"/>
  <c r="S309" i="4"/>
  <c r="F305" i="4"/>
  <c r="V300" i="4"/>
  <c r="F296" i="4"/>
  <c r="S293" i="4"/>
  <c r="Q285" i="4"/>
  <c r="E278" i="4"/>
  <c r="Q270" i="4"/>
  <c r="H264" i="4"/>
  <c r="P261" i="4"/>
  <c r="V254" i="4"/>
  <c r="N251" i="4"/>
  <c r="J249" i="4"/>
  <c r="H241" i="4"/>
  <c r="AA238" i="4"/>
  <c r="R225" i="4"/>
  <c r="H221" i="4"/>
  <c r="N219" i="4"/>
  <c r="X216" i="4"/>
  <c r="T213" i="4"/>
  <c r="Z211" i="4"/>
  <c r="S199" i="4"/>
  <c r="M196" i="4"/>
  <c r="G192" i="4"/>
  <c r="P185" i="4"/>
  <c r="L169" i="4"/>
  <c r="F165" i="4"/>
  <c r="V163" i="4"/>
  <c r="F161" i="4"/>
  <c r="H158" i="4"/>
  <c r="P154" i="4"/>
  <c r="Z148" i="4"/>
  <c r="L147" i="4"/>
  <c r="O146" i="4"/>
  <c r="W144" i="4"/>
  <c r="E143" i="4"/>
  <c r="P141" i="4"/>
  <c r="J140" i="4"/>
  <c r="D139" i="4"/>
  <c r="R135" i="4"/>
  <c r="M134" i="4"/>
  <c r="C130" i="4"/>
  <c r="N127" i="4"/>
  <c r="E123" i="4"/>
  <c r="H122" i="4"/>
  <c r="C118" i="4"/>
  <c r="G112" i="4"/>
  <c r="F109" i="4"/>
  <c r="AA106" i="4"/>
  <c r="D105" i="4"/>
  <c r="K102" i="4"/>
  <c r="E100" i="4"/>
  <c r="S93" i="4"/>
  <c r="L91" i="4"/>
  <c r="P88" i="4"/>
  <c r="G86" i="4"/>
  <c r="Z84" i="4"/>
  <c r="AA80" i="4"/>
  <c r="G79" i="4"/>
  <c r="W73" i="4"/>
  <c r="W70" i="4"/>
  <c r="N69" i="4"/>
  <c r="J66" i="4"/>
  <c r="N64" i="4"/>
  <c r="Y62" i="4"/>
  <c r="F60" i="4"/>
  <c r="F59" i="4"/>
  <c r="S54" i="4"/>
  <c r="U51" i="4"/>
  <c r="Z49" i="4"/>
  <c r="X42" i="4"/>
  <c r="Y41" i="4"/>
  <c r="F40" i="4"/>
  <c r="Y491" i="4"/>
  <c r="X429" i="4"/>
  <c r="O418" i="4"/>
  <c r="AA413" i="4"/>
  <c r="P406" i="4"/>
  <c r="I379" i="4"/>
  <c r="L369" i="4"/>
  <c r="F362" i="4"/>
  <c r="AA357" i="4"/>
  <c r="M349" i="4"/>
  <c r="P327" i="4"/>
  <c r="J323" i="4"/>
  <c r="R320" i="4"/>
  <c r="R308" i="4"/>
  <c r="C305" i="4"/>
  <c r="F300" i="4"/>
  <c r="Y295" i="4"/>
  <c r="L291" i="4"/>
  <c r="V266" i="4"/>
  <c r="Z263" i="4"/>
  <c r="D249" i="4"/>
  <c r="C246" i="4"/>
  <c r="C244" i="4"/>
  <c r="T240" i="4"/>
  <c r="W238" i="4"/>
  <c r="D225" i="4"/>
  <c r="D223" i="4"/>
  <c r="J208" i="4"/>
  <c r="Z200" i="4"/>
  <c r="R180" i="4"/>
  <c r="T178" i="4"/>
  <c r="C177" i="4"/>
  <c r="R171" i="4"/>
  <c r="C167" i="4"/>
  <c r="Z164" i="4"/>
  <c r="W160" i="4"/>
  <c r="Q156" i="4"/>
  <c r="L154" i="4"/>
  <c r="R151" i="4"/>
  <c r="W148" i="4"/>
  <c r="AA146" i="4"/>
  <c r="N146" i="4"/>
  <c r="X142" i="4"/>
  <c r="H140" i="4"/>
  <c r="J137" i="4"/>
  <c r="H134" i="4"/>
  <c r="Q131" i="4"/>
  <c r="M127" i="4"/>
  <c r="X122" i="4"/>
  <c r="K120" i="4"/>
  <c r="Z117" i="4"/>
  <c r="Z108" i="4"/>
  <c r="W104" i="4"/>
  <c r="Z101" i="4"/>
  <c r="U96" i="4"/>
  <c r="V94" i="4"/>
  <c r="H91" i="4"/>
  <c r="O89" i="4"/>
  <c r="F86" i="4"/>
  <c r="Y80" i="4"/>
  <c r="U78" i="4"/>
  <c r="AA74" i="4"/>
  <c r="T73" i="4"/>
  <c r="V71" i="4"/>
  <c r="U70" i="4"/>
  <c r="M69" i="4"/>
  <c r="Q67" i="4"/>
  <c r="G66" i="4"/>
  <c r="J62" i="4"/>
  <c r="M57" i="4"/>
  <c r="X55" i="4"/>
  <c r="O54" i="4"/>
  <c r="L51" i="4"/>
  <c r="M45" i="4"/>
  <c r="O41" i="4"/>
  <c r="D40" i="4"/>
  <c r="N37" i="4"/>
  <c r="X32" i="4"/>
  <c r="T29" i="4"/>
  <c r="R28" i="4"/>
  <c r="N26" i="4"/>
  <c r="V24" i="4"/>
  <c r="I23" i="4"/>
  <c r="E22" i="4"/>
  <c r="T412" i="4"/>
  <c r="J409" i="4"/>
  <c r="R402" i="4"/>
  <c r="N397" i="4"/>
  <c r="U394" i="4"/>
  <c r="Z390" i="4"/>
  <c r="M384" i="4"/>
  <c r="M378" i="4"/>
  <c r="J369" i="4"/>
  <c r="R348" i="4"/>
  <c r="V344" i="4"/>
  <c r="T329" i="4"/>
  <c r="C316" i="4"/>
  <c r="Y299" i="4"/>
  <c r="D281" i="4"/>
  <c r="R266" i="4"/>
  <c r="F258" i="4"/>
  <c r="V250" i="4"/>
  <c r="R234" i="4"/>
  <c r="AA222" i="4"/>
  <c r="F218" i="4"/>
  <c r="O215" i="4"/>
  <c r="P211" i="4"/>
  <c r="V200" i="4"/>
  <c r="AA189" i="4"/>
  <c r="AA186" i="4"/>
  <c r="O180" i="4"/>
  <c r="Q178" i="4"/>
  <c r="F169" i="4"/>
  <c r="V160" i="4"/>
  <c r="Y157" i="4"/>
  <c r="H156" i="4"/>
  <c r="L148" i="4"/>
  <c r="G146" i="4"/>
  <c r="O144" i="4"/>
  <c r="O142" i="4"/>
  <c r="U138" i="4"/>
  <c r="L135" i="4"/>
  <c r="Q133" i="4"/>
  <c r="R128" i="4"/>
  <c r="V126" i="4"/>
  <c r="V122" i="4"/>
  <c r="V121" i="4"/>
  <c r="H120" i="4"/>
  <c r="U117" i="4"/>
  <c r="W115" i="4"/>
  <c r="J113" i="4"/>
  <c r="Y111" i="4"/>
  <c r="P108" i="4"/>
  <c r="U104" i="4"/>
  <c r="L103" i="4"/>
  <c r="T101" i="4"/>
  <c r="O96" i="4"/>
  <c r="P92" i="4"/>
  <c r="N84" i="4"/>
  <c r="J82" i="4"/>
  <c r="T80" i="4"/>
  <c r="V74" i="4"/>
  <c r="P73" i="4"/>
  <c r="U71" i="4"/>
  <c r="V65" i="4"/>
  <c r="J64" i="4"/>
  <c r="V58" i="4"/>
  <c r="K54" i="4"/>
  <c r="R52" i="4"/>
  <c r="J51" i="4"/>
  <c r="P49" i="4"/>
  <c r="I47" i="4"/>
  <c r="C44" i="4"/>
  <c r="P444" i="4"/>
  <c r="O424" i="4"/>
  <c r="H390" i="4"/>
  <c r="AA377" i="4"/>
  <c r="P366" i="4"/>
  <c r="E353" i="4"/>
  <c r="M348" i="4"/>
  <c r="S343" i="4"/>
  <c r="L340" i="4"/>
  <c r="S333" i="4"/>
  <c r="G331" i="4"/>
  <c r="S315" i="4"/>
  <c r="J311" i="4"/>
  <c r="P295" i="4"/>
  <c r="D293" i="4"/>
  <c r="T287" i="4"/>
  <c r="C281" i="4"/>
  <c r="Q260" i="4"/>
  <c r="D258" i="4"/>
  <c r="K253" i="4"/>
  <c r="AA242" i="4"/>
  <c r="H234" i="4"/>
  <c r="G470" i="4"/>
  <c r="T396" i="4"/>
  <c r="K386" i="4"/>
  <c r="O363" i="4"/>
  <c r="N356" i="4"/>
  <c r="Z351" i="4"/>
  <c r="J340" i="4"/>
  <c r="R336" i="4"/>
  <c r="D331" i="4"/>
  <c r="O326" i="4"/>
  <c r="AA314" i="4"/>
  <c r="H311" i="4"/>
  <c r="K306" i="4"/>
  <c r="M287" i="4"/>
  <c r="G283" i="4"/>
  <c r="N274" i="4"/>
  <c r="E269" i="4"/>
  <c r="W265" i="4"/>
  <c r="J260" i="4"/>
  <c r="F256" i="4"/>
  <c r="AA249" i="4"/>
  <c r="L245" i="4"/>
  <c r="K242" i="4"/>
  <c r="G234" i="4"/>
  <c r="I227" i="4"/>
  <c r="AA411" i="4"/>
  <c r="T407" i="4"/>
  <c r="Z401" i="4"/>
  <c r="T359" i="4"/>
  <c r="S351" i="4"/>
  <c r="X330" i="4"/>
  <c r="N325" i="4"/>
  <c r="Z297" i="4"/>
  <c r="N292" i="4"/>
  <c r="V289" i="4"/>
  <c r="K287" i="4"/>
  <c r="F283" i="4"/>
  <c r="S276" i="4"/>
  <c r="Z251" i="4"/>
  <c r="U249" i="4"/>
  <c r="S247" i="4"/>
  <c r="C245" i="4"/>
  <c r="G242" i="4"/>
  <c r="M239" i="4"/>
  <c r="N238" i="4"/>
  <c r="G229" i="4"/>
  <c r="S226" i="4"/>
  <c r="H224" i="4"/>
  <c r="X217" i="4"/>
  <c r="Q207" i="4"/>
  <c r="AA201" i="4"/>
  <c r="E200" i="4"/>
  <c r="S194" i="4"/>
  <c r="E191" i="4"/>
  <c r="X183" i="4"/>
  <c r="R165" i="4"/>
  <c r="L164" i="4"/>
  <c r="O157" i="4"/>
  <c r="Z155" i="4"/>
  <c r="E148" i="4"/>
  <c r="R146" i="4"/>
  <c r="W143" i="4"/>
  <c r="X141" i="4"/>
  <c r="S139" i="4"/>
  <c r="O136" i="4"/>
  <c r="T134" i="4"/>
  <c r="G132" i="4"/>
  <c r="Y127" i="4"/>
  <c r="O125" i="4"/>
  <c r="C119" i="4"/>
  <c r="L116" i="4"/>
  <c r="W114" i="4"/>
  <c r="I110" i="4"/>
  <c r="Q107" i="4"/>
  <c r="J105" i="4"/>
  <c r="F104" i="4"/>
  <c r="F103" i="4"/>
  <c r="S98" i="4"/>
  <c r="J95" i="4"/>
  <c r="J94" i="4"/>
  <c r="Q91" i="4"/>
  <c r="N87" i="4"/>
  <c r="K81" i="4"/>
  <c r="W75" i="4"/>
  <c r="J74" i="4"/>
  <c r="E73" i="4"/>
  <c r="W66" i="4"/>
  <c r="H65" i="4"/>
  <c r="E61" i="4"/>
  <c r="V57" i="4"/>
  <c r="J56" i="4"/>
  <c r="L55" i="4"/>
  <c r="Q53" i="4"/>
  <c r="I52" i="4"/>
  <c r="U47" i="4"/>
  <c r="G502" i="4"/>
  <c r="D494" i="4"/>
  <c r="D464" i="4"/>
  <c r="J393" i="4"/>
  <c r="G382" i="4"/>
  <c r="F372" i="4"/>
  <c r="N362" i="4"/>
  <c r="S358" i="4"/>
  <c r="C351" i="4"/>
  <c r="Z346" i="4"/>
  <c r="Z335" i="4"/>
  <c r="P332" i="4"/>
  <c r="W330" i="4"/>
  <c r="K313" i="4"/>
  <c r="H301" i="4"/>
  <c r="I297" i="4"/>
  <c r="AA293" i="4"/>
  <c r="M292" i="4"/>
  <c r="P289" i="4"/>
  <c r="V278" i="4"/>
  <c r="Q276" i="4"/>
  <c r="I268" i="4"/>
  <c r="Z261" i="4"/>
  <c r="N259" i="4"/>
  <c r="X255" i="4"/>
  <c r="X251" i="4"/>
  <c r="P247" i="4"/>
  <c r="C11" i="4"/>
  <c r="X11" i="4"/>
  <c r="AA13" i="4"/>
  <c r="V15" i="4"/>
  <c r="U16" i="4"/>
  <c r="W17" i="4"/>
  <c r="W18" i="4"/>
  <c r="S19" i="4"/>
  <c r="H23" i="4"/>
  <c r="E27" i="4"/>
  <c r="J29" i="4"/>
  <c r="I30" i="4"/>
  <c r="L31" i="4"/>
  <c r="N35" i="4"/>
  <c r="E36" i="4"/>
  <c r="K37" i="4"/>
  <c r="M43" i="4"/>
  <c r="X44" i="4"/>
  <c r="AA49" i="4"/>
  <c r="Q52" i="4"/>
  <c r="AA54" i="4"/>
  <c r="M56" i="4"/>
  <c r="H59" i="4"/>
  <c r="C61" i="4"/>
  <c r="F64" i="4"/>
  <c r="E69" i="4"/>
  <c r="Y70" i="4"/>
  <c r="I73" i="4"/>
  <c r="U75" i="4"/>
  <c r="R85" i="4"/>
  <c r="N90" i="4"/>
  <c r="W91" i="4"/>
  <c r="V99" i="4"/>
  <c r="M101" i="4"/>
  <c r="C104" i="4"/>
  <c r="S111" i="4"/>
  <c r="K116" i="4"/>
  <c r="N120" i="4"/>
  <c r="U127" i="4"/>
  <c r="J141" i="4"/>
  <c r="F143" i="4"/>
  <c r="P145" i="4"/>
  <c r="Q157" i="4"/>
  <c r="O164" i="4"/>
  <c r="E178" i="4"/>
  <c r="E186" i="4"/>
  <c r="H202" i="4"/>
  <c r="C218" i="4"/>
  <c r="I241" i="4"/>
  <c r="I358" i="4"/>
  <c r="N395" i="4"/>
  <c r="C55" i="6"/>
  <c r="R7" i="4"/>
  <c r="U10" i="4"/>
  <c r="Q13" i="4"/>
  <c r="F16" i="4"/>
  <c r="X18" i="4"/>
  <c r="C22" i="4"/>
  <c r="X24" i="4"/>
  <c r="P31" i="4"/>
  <c r="S36" i="4"/>
  <c r="R44" i="4"/>
  <c r="V50" i="4"/>
  <c r="X54" i="4"/>
  <c r="J60" i="4"/>
  <c r="S69" i="4"/>
  <c r="N72" i="4"/>
  <c r="G80" i="4"/>
  <c r="Y83" i="4"/>
  <c r="U7" i="4"/>
  <c r="U14" i="4"/>
  <c r="Y24" i="4"/>
  <c r="I27" i="4"/>
  <c r="M35" i="4"/>
  <c r="Z38" i="4"/>
  <c r="E44" i="4"/>
  <c r="E52" i="4"/>
  <c r="I10" i="4"/>
  <c r="O15" i="4"/>
  <c r="P17" i="4"/>
  <c r="AA20" i="4"/>
  <c r="L23" i="4"/>
  <c r="H33" i="4"/>
  <c r="AA38" i="4"/>
  <c r="Y45" i="4"/>
  <c r="Q51" i="4"/>
  <c r="R56" i="4"/>
  <c r="U59" i="4"/>
  <c r="V69" i="4"/>
  <c r="X74" i="4"/>
  <c r="J80" i="4"/>
  <c r="D84" i="4"/>
  <c r="W88" i="4"/>
  <c r="N102" i="4"/>
  <c r="F116" i="4"/>
  <c r="I6" i="4"/>
  <c r="L7" i="4"/>
  <c r="D8" i="4"/>
  <c r="AE8" i="4"/>
  <c r="M9" i="4"/>
  <c r="AE9" i="4"/>
  <c r="AE10" i="4"/>
  <c r="R12" i="4"/>
  <c r="O13" i="4"/>
  <c r="Q14" i="4"/>
  <c r="D15" i="4"/>
  <c r="S15" i="4"/>
  <c r="Q16" i="4"/>
  <c r="K18" i="4"/>
  <c r="V18" i="4"/>
  <c r="C20" i="4"/>
  <c r="H21" i="4"/>
  <c r="Y21" i="4"/>
  <c r="G23" i="4"/>
  <c r="U23" i="4"/>
  <c r="S24" i="4"/>
  <c r="E25" i="4"/>
  <c r="T25" i="4"/>
  <c r="H26" i="4"/>
  <c r="AE26" i="4"/>
  <c r="U27" i="4"/>
  <c r="H32" i="4"/>
  <c r="X34" i="4"/>
  <c r="Q36" i="4"/>
  <c r="L40" i="4"/>
  <c r="P44" i="4"/>
  <c r="N50" i="4"/>
  <c r="P52" i="4"/>
  <c r="U53" i="4"/>
  <c r="P54" i="4"/>
  <c r="T58" i="4"/>
  <c r="D61" i="4"/>
  <c r="Y63" i="4"/>
  <c r="Y65" i="4"/>
  <c r="U66" i="4"/>
  <c r="P68" i="4"/>
  <c r="W71" i="4"/>
  <c r="Z72" i="4"/>
  <c r="S73" i="4"/>
  <c r="Q75" i="4"/>
  <c r="P78" i="4"/>
  <c r="X80" i="4"/>
  <c r="M86" i="4"/>
  <c r="M89" i="4"/>
  <c r="K90" i="4"/>
  <c r="AE92" i="4"/>
  <c r="D95" i="4"/>
  <c r="N97" i="4"/>
  <c r="X99" i="4"/>
  <c r="D102" i="4"/>
  <c r="E103" i="4"/>
  <c r="V104" i="4"/>
  <c r="W105" i="4"/>
  <c r="K107" i="4"/>
  <c r="R108" i="4"/>
  <c r="U114" i="4"/>
  <c r="X116" i="4"/>
  <c r="Y119" i="4"/>
  <c r="W121" i="4"/>
  <c r="L125" i="4"/>
  <c r="X126" i="4"/>
  <c r="S127" i="4"/>
  <c r="W129" i="4"/>
  <c r="S133" i="4"/>
  <c r="Q134" i="4"/>
  <c r="Q136" i="4"/>
  <c r="L137" i="4"/>
  <c r="Q139" i="4"/>
  <c r="K140" i="4"/>
  <c r="Z143" i="4"/>
  <c r="S84" i="4"/>
  <c r="N86" i="4"/>
  <c r="D93" i="4"/>
  <c r="G94" i="4"/>
  <c r="P97" i="4"/>
  <c r="E102" i="4"/>
  <c r="Y103" i="4"/>
  <c r="N107" i="4"/>
  <c r="T108" i="4"/>
  <c r="U111" i="4"/>
  <c r="O113" i="4"/>
  <c r="Z116" i="4"/>
  <c r="U120" i="4"/>
  <c r="S123" i="4"/>
  <c r="C127" i="4"/>
  <c r="X128" i="4"/>
  <c r="L132" i="4"/>
  <c r="W133" i="4"/>
  <c r="S134" i="4"/>
  <c r="R136" i="4"/>
  <c r="AA143" i="4"/>
  <c r="E93" i="4"/>
  <c r="P96" i="4"/>
  <c r="C101" i="4"/>
  <c r="O107" i="4"/>
  <c r="J110" i="4"/>
  <c r="AA112" i="4"/>
  <c r="Q113" i="4"/>
  <c r="J118" i="4"/>
  <c r="AA119" i="4"/>
  <c r="W120" i="4"/>
  <c r="E124" i="4"/>
  <c r="R125" i="4"/>
  <c r="F127" i="4"/>
  <c r="Y128" i="4"/>
  <c r="Z133" i="4"/>
  <c r="Q138" i="4"/>
  <c r="Z142" i="4"/>
  <c r="L124" i="4"/>
  <c r="S125" i="4"/>
  <c r="C129" i="4"/>
  <c r="U130" i="4"/>
  <c r="D133" i="4"/>
  <c r="G134" i="4"/>
  <c r="W137" i="4"/>
  <c r="AA142" i="4"/>
  <c r="U32" i="4"/>
  <c r="T11" i="4"/>
  <c r="L15" i="4"/>
  <c r="W25" i="4"/>
  <c r="P40" i="4"/>
  <c r="W45" i="4"/>
  <c r="D52" i="4"/>
  <c r="G61" i="4"/>
  <c r="H66" i="4"/>
  <c r="H71" i="4"/>
  <c r="U77" i="4"/>
  <c r="P82" i="4"/>
  <c r="X85" i="4"/>
  <c r="O86" i="4"/>
  <c r="U88" i="4"/>
  <c r="M8" i="4"/>
  <c r="AA12" i="4"/>
  <c r="M17" i="4"/>
  <c r="P19" i="4"/>
  <c r="K23" i="4"/>
  <c r="X25" i="4"/>
  <c r="C31" i="4"/>
  <c r="F34" i="4"/>
  <c r="L43" i="4"/>
  <c r="R47" i="4"/>
  <c r="W50" i="4"/>
  <c r="Z53" i="4"/>
  <c r="W58" i="4"/>
  <c r="T69" i="4"/>
  <c r="W74" i="4"/>
  <c r="Q82" i="4"/>
  <c r="Y85" i="4"/>
  <c r="D88" i="4"/>
  <c r="J91" i="4"/>
  <c r="N93" i="4"/>
  <c r="N94" i="4"/>
  <c r="R96" i="4"/>
  <c r="O98" i="4"/>
  <c r="I103" i="4"/>
  <c r="O106" i="4"/>
  <c r="R110" i="4"/>
  <c r="W113" i="4"/>
  <c r="Q117" i="4"/>
  <c r="U118" i="4"/>
  <c r="J122" i="4"/>
  <c r="E128" i="4"/>
  <c r="S13" i="4"/>
  <c r="M16" i="4"/>
  <c r="P18" i="4"/>
  <c r="L24" i="4"/>
  <c r="C30" i="4"/>
  <c r="X48" i="4"/>
  <c r="X52" i="4"/>
  <c r="P72" i="4"/>
  <c r="Z77" i="4"/>
  <c r="E85" i="4"/>
  <c r="S90" i="4"/>
  <c r="K101" i="4"/>
  <c r="S110" i="4"/>
  <c r="G115" i="4"/>
  <c r="Y141" i="4"/>
  <c r="I7" i="4"/>
  <c r="X7" i="4"/>
  <c r="P8" i="4"/>
  <c r="H9" i="4"/>
  <c r="V9" i="4"/>
  <c r="K10" i="4"/>
  <c r="J13" i="4"/>
  <c r="J14" i="4"/>
  <c r="Y14" i="4"/>
  <c r="P15" i="4"/>
  <c r="N16" i="4"/>
  <c r="S17" i="4"/>
  <c r="F18" i="4"/>
  <c r="AA24" i="4"/>
  <c r="M25" i="4"/>
  <c r="D26" i="4"/>
  <c r="W26" i="4"/>
  <c r="M27" i="4"/>
  <c r="E31" i="4"/>
  <c r="Y31" i="4"/>
  <c r="J33" i="4"/>
  <c r="S37" i="4"/>
  <c r="K38" i="4"/>
  <c r="X41" i="4"/>
  <c r="N43" i="4"/>
  <c r="Z45" i="4"/>
  <c r="F47" i="4"/>
  <c r="O49" i="4"/>
  <c r="K50" i="4"/>
  <c r="R51" i="4"/>
  <c r="L52" i="4"/>
  <c r="Z52" i="4"/>
  <c r="M53" i="4"/>
  <c r="I54" i="4"/>
  <c r="D56" i="4"/>
  <c r="T56" i="4"/>
  <c r="E58" i="4"/>
  <c r="D59" i="4"/>
  <c r="Q60" i="4"/>
  <c r="T61" i="4"/>
  <c r="E67" i="4"/>
  <c r="I69" i="4"/>
  <c r="R71" i="4"/>
  <c r="Q72" i="4"/>
  <c r="H76" i="4"/>
  <c r="L77" i="4"/>
  <c r="K80" i="4"/>
  <c r="I85" i="4"/>
  <c r="E87" i="4"/>
  <c r="K88" i="4"/>
  <c r="AA89" i="4"/>
  <c r="U90" i="4"/>
  <c r="M91" i="4"/>
  <c r="I92" i="4"/>
  <c r="R93" i="4"/>
  <c r="R95" i="4"/>
  <c r="V98" i="4"/>
  <c r="P102" i="4"/>
  <c r="H109" i="4"/>
  <c r="H115" i="4"/>
  <c r="W117" i="4"/>
  <c r="X118" i="4"/>
  <c r="L122" i="4"/>
  <c r="AA122" i="4"/>
  <c r="C125" i="4"/>
  <c r="O127" i="4"/>
  <c r="Y130" i="4"/>
  <c r="G133" i="4"/>
  <c r="F135" i="4"/>
  <c r="X135" i="4"/>
  <c r="I137" i="4"/>
  <c r="C138" i="4"/>
  <c r="E12" i="3"/>
  <c r="F12" i="3" s="1"/>
  <c r="Y6" i="4"/>
  <c r="T14" i="4"/>
  <c r="M32" i="4"/>
  <c r="Y38" i="4"/>
  <c r="E13" i="3"/>
  <c r="F13" i="3" s="1"/>
  <c r="F9" i="4"/>
  <c r="J11" i="4"/>
  <c r="R13" i="4"/>
  <c r="K25" i="4"/>
  <c r="D28" i="4"/>
  <c r="W31" i="4"/>
  <c r="Q40" i="4"/>
  <c r="D50" i="4"/>
  <c r="J53" i="4"/>
  <c r="P56" i="4"/>
  <c r="K60" i="4"/>
  <c r="T67" i="4"/>
  <c r="O72" i="4"/>
  <c r="I77" i="4"/>
  <c r="R86" i="4"/>
  <c r="D113" i="4"/>
  <c r="W10" i="4"/>
  <c r="K20" i="4"/>
  <c r="Z22" i="4"/>
  <c r="X31" i="4"/>
  <c r="R37" i="4"/>
  <c r="W41" i="4"/>
  <c r="E47" i="4"/>
  <c r="X50" i="4"/>
  <c r="L60" i="4"/>
  <c r="L66" i="4"/>
  <c r="AA67" i="4"/>
  <c r="E74" i="4"/>
  <c r="K79" i="4"/>
  <c r="G92" i="4"/>
  <c r="G109" i="4"/>
  <c r="V118" i="4"/>
  <c r="U125" i="4"/>
  <c r="G128" i="4"/>
  <c r="H129" i="4"/>
  <c r="F133" i="4"/>
  <c r="E135" i="4"/>
  <c r="V135" i="4"/>
  <c r="AA137" i="4"/>
  <c r="Y7" i="4"/>
  <c r="I9" i="4"/>
  <c r="L10" i="4"/>
  <c r="K14" i="4"/>
  <c r="Z15" i="4"/>
  <c r="O16" i="4"/>
  <c r="H18" i="4"/>
  <c r="S18" i="4"/>
  <c r="E19" i="4"/>
  <c r="O20" i="4"/>
  <c r="D21" i="4"/>
  <c r="V21" i="4"/>
  <c r="M22" i="4"/>
  <c r="C23" i="4"/>
  <c r="C25" i="4"/>
  <c r="N25" i="4"/>
  <c r="Z26" i="4"/>
  <c r="N27" i="4"/>
  <c r="M28" i="4"/>
  <c r="Y32" i="4"/>
  <c r="M33" i="4"/>
  <c r="I37" i="4"/>
  <c r="T37" i="4"/>
  <c r="K39" i="4"/>
  <c r="V42" i="4"/>
  <c r="P43" i="4"/>
  <c r="D45" i="4"/>
  <c r="G48" i="4"/>
  <c r="Z48" i="4"/>
  <c r="L50" i="4"/>
  <c r="E51" i="4"/>
  <c r="S51" i="4"/>
  <c r="C53" i="4"/>
  <c r="N53" i="4"/>
  <c r="E59" i="4"/>
  <c r="W59" i="4"/>
  <c r="U61" i="4"/>
  <c r="W65" i="4"/>
  <c r="R66" i="4"/>
  <c r="G67" i="4"/>
  <c r="H74" i="4"/>
  <c r="L76" i="4"/>
  <c r="Q79" i="4"/>
  <c r="K83" i="4"/>
  <c r="I87" i="4"/>
  <c r="N88" i="4"/>
  <c r="D90" i="4"/>
  <c r="V90" i="4"/>
  <c r="W95" i="4"/>
  <c r="D97" i="4"/>
  <c r="U99" i="4"/>
  <c r="J100" i="4"/>
  <c r="R102" i="4"/>
  <c r="N104" i="4"/>
  <c r="K105" i="4"/>
  <c r="K108" i="4"/>
  <c r="M111" i="4"/>
  <c r="L112" i="4"/>
  <c r="O114" i="4"/>
  <c r="I115" i="4"/>
  <c r="U121" i="4"/>
  <c r="O122" i="4"/>
  <c r="I125" i="4"/>
  <c r="Q127" i="4"/>
  <c r="J128" i="4"/>
  <c r="Q129" i="4"/>
  <c r="H133" i="4"/>
  <c r="H135" i="4"/>
  <c r="F138" i="4"/>
  <c r="I140" i="4"/>
  <c r="S101" i="4"/>
  <c r="E505" i="4"/>
  <c r="Q503" i="4"/>
  <c r="X502" i="4"/>
  <c r="X501" i="4"/>
  <c r="F501" i="4"/>
  <c r="J500" i="4"/>
  <c r="J499" i="4"/>
  <c r="AA497" i="4"/>
  <c r="H497" i="4"/>
  <c r="S496" i="4"/>
  <c r="S494" i="4"/>
  <c r="W493" i="4"/>
  <c r="AA490" i="4"/>
  <c r="J489" i="4"/>
  <c r="M488" i="4"/>
  <c r="K486" i="4"/>
  <c r="V484" i="4"/>
  <c r="W483" i="4"/>
  <c r="X482" i="4"/>
  <c r="K481" i="4"/>
  <c r="X480" i="4"/>
  <c r="Y477" i="4"/>
  <c r="Q475" i="4"/>
  <c r="E474" i="4"/>
  <c r="O473" i="4"/>
  <c r="V472" i="4"/>
  <c r="M471" i="4"/>
  <c r="R470" i="4"/>
  <c r="F469" i="4"/>
  <c r="J467" i="4"/>
  <c r="N466" i="4"/>
  <c r="T465" i="4"/>
  <c r="I463" i="4"/>
  <c r="F462" i="4"/>
  <c r="H460" i="4"/>
  <c r="K457" i="4"/>
  <c r="U455" i="4"/>
  <c r="I454" i="4"/>
  <c r="Q453" i="4"/>
  <c r="O452" i="4"/>
  <c r="T449" i="4"/>
  <c r="Y443" i="4"/>
  <c r="S442" i="4"/>
  <c r="Z441" i="4"/>
  <c r="J441" i="4"/>
  <c r="M440" i="4"/>
  <c r="Y439" i="4"/>
  <c r="G439" i="4"/>
  <c r="L438" i="4"/>
  <c r="Z435" i="4"/>
  <c r="G435" i="4"/>
  <c r="K434" i="4"/>
  <c r="V433" i="4"/>
  <c r="T432" i="4"/>
  <c r="Y431" i="4"/>
  <c r="U429" i="4"/>
  <c r="C428" i="4"/>
  <c r="D427" i="4"/>
  <c r="E424" i="4"/>
  <c r="Y419" i="4"/>
  <c r="G419" i="4"/>
  <c r="J418" i="4"/>
  <c r="S417" i="4"/>
  <c r="E416" i="4"/>
  <c r="E415" i="4"/>
  <c r="N414" i="4"/>
  <c r="J413" i="4"/>
  <c r="F411" i="4"/>
  <c r="Y405" i="4"/>
  <c r="W404" i="4"/>
  <c r="E404" i="4"/>
  <c r="C505" i="4"/>
  <c r="Z503" i="4"/>
  <c r="W502" i="4"/>
  <c r="C501" i="4"/>
  <c r="Y497" i="4"/>
  <c r="G497" i="4"/>
  <c r="R494" i="4"/>
  <c r="R492" i="4"/>
  <c r="Z490" i="4"/>
  <c r="H487" i="4"/>
  <c r="Q484" i="4"/>
  <c r="V478" i="4"/>
  <c r="J476" i="4"/>
  <c r="N475" i="4"/>
  <c r="C474" i="4"/>
  <c r="L473" i="4"/>
  <c r="T472" i="4"/>
  <c r="I472" i="4"/>
  <c r="I471" i="4"/>
  <c r="M470" i="4"/>
  <c r="AA468" i="4"/>
  <c r="G467" i="4"/>
  <c r="P465" i="4"/>
  <c r="Y463" i="4"/>
  <c r="E463" i="4"/>
  <c r="D462" i="4"/>
  <c r="N461" i="4"/>
  <c r="S460" i="4"/>
  <c r="L459" i="4"/>
  <c r="L458" i="4"/>
  <c r="J456" i="4"/>
  <c r="T454" i="4"/>
  <c r="J453" i="4"/>
  <c r="L452" i="4"/>
  <c r="U450" i="4"/>
  <c r="E448" i="4"/>
  <c r="M446" i="4"/>
  <c r="U445" i="4"/>
  <c r="N442" i="4"/>
  <c r="X441" i="4"/>
  <c r="L440" i="4"/>
  <c r="T439" i="4"/>
  <c r="K438" i="4"/>
  <c r="X437" i="4"/>
  <c r="W436" i="4"/>
  <c r="E435" i="4"/>
  <c r="U433" i="4"/>
  <c r="X431" i="4"/>
  <c r="D431" i="4"/>
  <c r="P430" i="4"/>
  <c r="S429" i="4"/>
  <c r="Z428" i="4"/>
  <c r="Z427" i="4"/>
  <c r="C427" i="4"/>
  <c r="F426" i="4"/>
  <c r="D424" i="4"/>
  <c r="S421" i="4"/>
  <c r="W419" i="4"/>
  <c r="D419" i="4"/>
  <c r="R417" i="4"/>
  <c r="T416" i="4"/>
  <c r="D416" i="4"/>
  <c r="D415" i="4"/>
  <c r="G414" i="4"/>
  <c r="M412" i="4"/>
  <c r="E411" i="4"/>
  <c r="H410" i="4"/>
  <c r="V409" i="4"/>
  <c r="H409" i="4"/>
  <c r="Q408" i="4"/>
  <c r="R407" i="4"/>
  <c r="V405" i="4"/>
  <c r="T404" i="4"/>
  <c r="J505" i="4"/>
  <c r="M504" i="4"/>
  <c r="S503" i="4"/>
  <c r="AA502" i="4"/>
  <c r="L500" i="4"/>
  <c r="G498" i="4"/>
  <c r="L497" i="4"/>
  <c r="U496" i="4"/>
  <c r="U494" i="4"/>
  <c r="L493" i="4"/>
  <c r="E491" i="4"/>
  <c r="O490" i="4"/>
  <c r="O489" i="4"/>
  <c r="Q488" i="4"/>
  <c r="P487" i="4"/>
  <c r="R485" i="4"/>
  <c r="Y484" i="4"/>
  <c r="H483" i="4"/>
  <c r="N482" i="4"/>
  <c r="W481" i="4"/>
  <c r="C481" i="4"/>
  <c r="AA478" i="4"/>
  <c r="C478" i="4"/>
  <c r="J477" i="4"/>
  <c r="O476" i="4"/>
  <c r="AA472" i="4"/>
  <c r="L472" i="4"/>
  <c r="P471" i="4"/>
  <c r="W470" i="4"/>
  <c r="H469" i="4"/>
  <c r="P467" i="4"/>
  <c r="P466" i="4"/>
  <c r="X465" i="4"/>
  <c r="C464" i="4"/>
  <c r="L463" i="4"/>
  <c r="R459" i="4"/>
  <c r="T458" i="4"/>
  <c r="S456" i="4"/>
  <c r="Y454" i="4"/>
  <c r="L454" i="4"/>
  <c r="W451" i="4"/>
  <c r="AA450" i="4"/>
  <c r="Y448" i="4"/>
  <c r="J448" i="4"/>
  <c r="S446" i="4"/>
  <c r="L445" i="4"/>
  <c r="AA443" i="4"/>
  <c r="L443" i="4"/>
  <c r="X442" i="4"/>
  <c r="E442" i="4"/>
  <c r="D438" i="4"/>
  <c r="C436" i="4"/>
  <c r="N435" i="4"/>
  <c r="P434" i="4"/>
  <c r="X433" i="4"/>
  <c r="G432" i="4"/>
  <c r="I431" i="4"/>
  <c r="S430" i="4"/>
  <c r="W429" i="4"/>
  <c r="J428" i="4"/>
  <c r="K427" i="4"/>
  <c r="S426" i="4"/>
  <c r="I424" i="4"/>
  <c r="T423" i="4"/>
  <c r="F422" i="4"/>
  <c r="C421" i="4"/>
  <c r="D420" i="4"/>
  <c r="M418" i="4"/>
  <c r="O415" i="4"/>
  <c r="I411" i="4"/>
  <c r="T410" i="4"/>
  <c r="Z409" i="4"/>
  <c r="K504" i="4"/>
  <c r="R503" i="4"/>
  <c r="Y502" i="4"/>
  <c r="Z501" i="4"/>
  <c r="K500" i="4"/>
  <c r="D498" i="4"/>
  <c r="I497" i="4"/>
  <c r="T494" i="4"/>
  <c r="K493" i="4"/>
  <c r="D491" i="4"/>
  <c r="L489" i="4"/>
  <c r="K487" i="4"/>
  <c r="L486" i="4"/>
  <c r="M485" i="4"/>
  <c r="X484" i="4"/>
  <c r="D483" i="4"/>
  <c r="S481" i="4"/>
  <c r="Z480" i="4"/>
  <c r="H480" i="4"/>
  <c r="Y478" i="4"/>
  <c r="H477" i="4"/>
  <c r="N476" i="4"/>
  <c r="T475" i="4"/>
  <c r="K472" i="4"/>
  <c r="W469" i="4"/>
  <c r="G469" i="4"/>
  <c r="C468" i="4"/>
  <c r="M467" i="4"/>
  <c r="V465" i="4"/>
  <c r="Q464" i="4"/>
  <c r="AA463" i="4"/>
  <c r="J463" i="4"/>
  <c r="H462" i="4"/>
  <c r="Z460" i="4"/>
  <c r="Q459" i="4"/>
  <c r="R458" i="4"/>
  <c r="P457" i="4"/>
  <c r="V455" i="4"/>
  <c r="J454" i="4"/>
  <c r="P452" i="4"/>
  <c r="Z450" i="4"/>
  <c r="X448" i="4"/>
  <c r="R447" i="4"/>
  <c r="J445" i="4"/>
  <c r="T444" i="4"/>
  <c r="Z443" i="4"/>
  <c r="K443" i="4"/>
  <c r="M441" i="4"/>
  <c r="O440" i="4"/>
  <c r="Z439" i="4"/>
  <c r="I439" i="4"/>
  <c r="Z437" i="4"/>
  <c r="D437" i="4"/>
  <c r="AA435" i="4"/>
  <c r="M435" i="4"/>
  <c r="O434" i="4"/>
  <c r="C432" i="4"/>
  <c r="H431" i="4"/>
  <c r="V429" i="4"/>
  <c r="C429" i="4"/>
  <c r="D428" i="4"/>
  <c r="H427" i="4"/>
  <c r="P426" i="4"/>
  <c r="AA424" i="4"/>
  <c r="F424" i="4"/>
  <c r="U422" i="4"/>
  <c r="Y420" i="4"/>
  <c r="I419" i="4"/>
  <c r="K418" i="4"/>
  <c r="W417" i="4"/>
  <c r="V416" i="4"/>
  <c r="K416" i="4"/>
  <c r="P414" i="4"/>
  <c r="L413" i="4"/>
  <c r="X411" i="4"/>
  <c r="Q410" i="4"/>
  <c r="X409" i="4"/>
  <c r="T408" i="4"/>
  <c r="Y407" i="4"/>
  <c r="D407" i="4"/>
  <c r="E406" i="4"/>
  <c r="AA404" i="4"/>
  <c r="F404" i="4"/>
  <c r="AA399" i="4"/>
  <c r="J398" i="4"/>
  <c r="H502" i="4"/>
  <c r="W496" i="4"/>
  <c r="M494" i="4"/>
  <c r="N493" i="4"/>
  <c r="U490" i="4"/>
  <c r="W486" i="4"/>
  <c r="K483" i="4"/>
  <c r="F481" i="4"/>
  <c r="F476" i="4"/>
  <c r="Q474" i="4"/>
  <c r="H471" i="4"/>
  <c r="F470" i="4"/>
  <c r="Y468" i="4"/>
  <c r="S467" i="4"/>
  <c r="S464" i="4"/>
  <c r="L462" i="4"/>
  <c r="S454" i="4"/>
  <c r="U453" i="4"/>
  <c r="X447" i="4"/>
  <c r="H447" i="4"/>
  <c r="N444" i="4"/>
  <c r="L442" i="4"/>
  <c r="T441" i="4"/>
  <c r="J440" i="4"/>
  <c r="K439" i="4"/>
  <c r="R434" i="4"/>
  <c r="J432" i="4"/>
  <c r="Z430" i="4"/>
  <c r="O428" i="4"/>
  <c r="I422" i="4"/>
  <c r="R419" i="4"/>
  <c r="H418" i="4"/>
  <c r="C416" i="4"/>
  <c r="G413" i="4"/>
  <c r="G412" i="4"/>
  <c r="L411" i="4"/>
  <c r="G410" i="4"/>
  <c r="R409" i="4"/>
  <c r="E405" i="4"/>
  <c r="Z403" i="4"/>
  <c r="W402" i="4"/>
  <c r="G400" i="4"/>
  <c r="Q399" i="4"/>
  <c r="I397" i="4"/>
  <c r="X395" i="4"/>
  <c r="P394" i="4"/>
  <c r="T392" i="4"/>
  <c r="G390" i="4"/>
  <c r="R387" i="4"/>
  <c r="X386" i="4"/>
  <c r="L384" i="4"/>
  <c r="S383" i="4"/>
  <c r="G383" i="4"/>
  <c r="D381" i="4"/>
  <c r="G378" i="4"/>
  <c r="Z376" i="4"/>
  <c r="W375" i="4"/>
  <c r="J375" i="4"/>
  <c r="T374" i="4"/>
  <c r="V372" i="4"/>
  <c r="U370" i="4"/>
  <c r="R369" i="4"/>
  <c r="F369" i="4"/>
  <c r="P368" i="4"/>
  <c r="W367" i="4"/>
  <c r="E366" i="4"/>
  <c r="R365" i="4"/>
  <c r="I360" i="4"/>
  <c r="P359" i="4"/>
  <c r="I356" i="4"/>
  <c r="K355" i="4"/>
  <c r="H354" i="4"/>
  <c r="S352" i="4"/>
  <c r="K351" i="4"/>
  <c r="U349" i="4"/>
  <c r="W348" i="4"/>
  <c r="AA347" i="4"/>
  <c r="D346" i="4"/>
  <c r="H345" i="4"/>
  <c r="L344" i="4"/>
  <c r="X343" i="4"/>
  <c r="T342" i="4"/>
  <c r="G338" i="4"/>
  <c r="V504" i="4"/>
  <c r="AA500" i="4"/>
  <c r="W499" i="4"/>
  <c r="V497" i="4"/>
  <c r="I494" i="4"/>
  <c r="M493" i="4"/>
  <c r="V486" i="4"/>
  <c r="G484" i="4"/>
  <c r="E481" i="4"/>
  <c r="P478" i="4"/>
  <c r="C476" i="4"/>
  <c r="K473" i="4"/>
  <c r="I466" i="4"/>
  <c r="U463" i="4"/>
  <c r="I461" i="4"/>
  <c r="N460" i="4"/>
  <c r="U459" i="4"/>
  <c r="F458" i="4"/>
  <c r="Q454" i="4"/>
  <c r="I452" i="4"/>
  <c r="T448" i="4"/>
  <c r="W447" i="4"/>
  <c r="E447" i="4"/>
  <c r="F445" i="4"/>
  <c r="F444" i="4"/>
  <c r="K442" i="4"/>
  <c r="N437" i="4"/>
  <c r="J433" i="4"/>
  <c r="R429" i="4"/>
  <c r="N428" i="4"/>
  <c r="Y422" i="4"/>
  <c r="T420" i="4"/>
  <c r="G418" i="4"/>
  <c r="Z415" i="4"/>
  <c r="AA412" i="4"/>
  <c r="F410" i="4"/>
  <c r="L409" i="4"/>
  <c r="Q404" i="4"/>
  <c r="D401" i="4"/>
  <c r="P399" i="4"/>
  <c r="H397" i="4"/>
  <c r="U395" i="4"/>
  <c r="G395" i="4"/>
  <c r="O394" i="4"/>
  <c r="O393" i="4"/>
  <c r="Y390" i="4"/>
  <c r="S388" i="4"/>
  <c r="V386" i="4"/>
  <c r="F385" i="4"/>
  <c r="E384" i="4"/>
  <c r="F383" i="4"/>
  <c r="I382" i="4"/>
  <c r="N381" i="4"/>
  <c r="C381" i="4"/>
  <c r="X379" i="4"/>
  <c r="D378" i="4"/>
  <c r="V375" i="4"/>
  <c r="I375" i="4"/>
  <c r="T373" i="4"/>
  <c r="T372" i="4"/>
  <c r="S371" i="4"/>
  <c r="R370" i="4"/>
  <c r="Q369" i="4"/>
  <c r="E369" i="4"/>
  <c r="S367" i="4"/>
  <c r="Q365" i="4"/>
  <c r="Z364" i="4"/>
  <c r="R361" i="4"/>
  <c r="X360" i="4"/>
  <c r="E360" i="4"/>
  <c r="F358" i="4"/>
  <c r="Y355" i="4"/>
  <c r="G355" i="4"/>
  <c r="G354" i="4"/>
  <c r="I353" i="4"/>
  <c r="X351" i="4"/>
  <c r="G351" i="4"/>
  <c r="O350" i="4"/>
  <c r="N349" i="4"/>
  <c r="T346" i="4"/>
  <c r="C346" i="4"/>
  <c r="K344" i="4"/>
  <c r="S342" i="4"/>
  <c r="Y340" i="4"/>
  <c r="H340" i="4"/>
  <c r="Q504" i="4"/>
  <c r="G503" i="4"/>
  <c r="V500" i="4"/>
  <c r="S497" i="4"/>
  <c r="H494" i="4"/>
  <c r="Q490" i="4"/>
  <c r="Z487" i="4"/>
  <c r="V482" i="4"/>
  <c r="E482" i="4"/>
  <c r="AA475" i="4"/>
  <c r="Q467" i="4"/>
  <c r="S463" i="4"/>
  <c r="C462" i="4"/>
  <c r="G452" i="4"/>
  <c r="D451" i="4"/>
  <c r="R448" i="4"/>
  <c r="T447" i="4"/>
  <c r="E445" i="4"/>
  <c r="G440" i="4"/>
  <c r="G434" i="4"/>
  <c r="P429" i="4"/>
  <c r="T426" i="4"/>
  <c r="V423" i="4"/>
  <c r="Q420" i="4"/>
  <c r="C418" i="4"/>
  <c r="Y415" i="4"/>
  <c r="W412" i="4"/>
  <c r="E410" i="4"/>
  <c r="P408" i="4"/>
  <c r="N407" i="4"/>
  <c r="O404" i="4"/>
  <c r="S402" i="4"/>
  <c r="S401" i="4"/>
  <c r="E400" i="4"/>
  <c r="L398" i="4"/>
  <c r="P397" i="4"/>
  <c r="E397" i="4"/>
  <c r="F395" i="4"/>
  <c r="N392" i="4"/>
  <c r="X390" i="4"/>
  <c r="E390" i="4"/>
  <c r="H389" i="4"/>
  <c r="R388" i="4"/>
  <c r="O387" i="4"/>
  <c r="X385" i="4"/>
  <c r="C384" i="4"/>
  <c r="E383" i="4"/>
  <c r="Y380" i="4"/>
  <c r="W379" i="4"/>
  <c r="D379" i="4"/>
  <c r="U376" i="4"/>
  <c r="P369" i="4"/>
  <c r="C369" i="4"/>
  <c r="L368" i="4"/>
  <c r="Q367" i="4"/>
  <c r="U366" i="4"/>
  <c r="Z365" i="4"/>
  <c r="P365" i="4"/>
  <c r="Y364" i="4"/>
  <c r="C364" i="4"/>
  <c r="L363" i="4"/>
  <c r="X362" i="4"/>
  <c r="W360" i="4"/>
  <c r="N359" i="4"/>
  <c r="T356" i="4"/>
  <c r="W355" i="4"/>
  <c r="F355" i="4"/>
  <c r="W353" i="4"/>
  <c r="H353" i="4"/>
  <c r="U351" i="4"/>
  <c r="E351" i="4"/>
  <c r="Q348" i="4"/>
  <c r="E503" i="4"/>
  <c r="R500" i="4"/>
  <c r="R497" i="4"/>
  <c r="I495" i="4"/>
  <c r="P492" i="4"/>
  <c r="AA488" i="4"/>
  <c r="W487" i="4"/>
  <c r="U482" i="4"/>
  <c r="AA481" i="4"/>
  <c r="Q479" i="4"/>
  <c r="M468" i="4"/>
  <c r="F466" i="4"/>
  <c r="O463" i="4"/>
  <c r="Y461" i="4"/>
  <c r="F461" i="4"/>
  <c r="F459" i="4"/>
  <c r="V457" i="4"/>
  <c r="O454" i="4"/>
  <c r="G453" i="4"/>
  <c r="O449" i="4"/>
  <c r="Q448" i="4"/>
  <c r="G442" i="4"/>
  <c r="AA440" i="4"/>
  <c r="D434" i="4"/>
  <c r="V431" i="4"/>
  <c r="X427" i="4"/>
  <c r="O505" i="4"/>
  <c r="W503" i="4"/>
  <c r="L501" i="4"/>
  <c r="N497" i="4"/>
  <c r="H496" i="4"/>
  <c r="H495" i="4"/>
  <c r="P491" i="4"/>
  <c r="Z488" i="4"/>
  <c r="T487" i="4"/>
  <c r="I486" i="4"/>
  <c r="AA484" i="4"/>
  <c r="T482" i="4"/>
  <c r="Y481" i="4"/>
  <c r="O480" i="4"/>
  <c r="U476" i="4"/>
  <c r="Y473" i="4"/>
  <c r="X471" i="4"/>
  <c r="P469" i="4"/>
  <c r="C459" i="4"/>
  <c r="K455" i="4"/>
  <c r="C450" i="4"/>
  <c r="E449" i="4"/>
  <c r="K448" i="4"/>
  <c r="I446" i="4"/>
  <c r="Q445" i="4"/>
  <c r="AA442" i="4"/>
  <c r="Z440" i="4"/>
  <c r="Q435" i="4"/>
  <c r="I429" i="4"/>
  <c r="U427" i="4"/>
  <c r="D426" i="4"/>
  <c r="G499" i="4"/>
  <c r="C497" i="4"/>
  <c r="F496" i="4"/>
  <c r="AA494" i="4"/>
  <c r="N491" i="4"/>
  <c r="V488" i="4"/>
  <c r="Z485" i="4"/>
  <c r="Q483" i="4"/>
  <c r="R482" i="4"/>
  <c r="K480" i="4"/>
  <c r="J479" i="4"/>
  <c r="T476" i="4"/>
  <c r="H465" i="4"/>
  <c r="C463" i="4"/>
  <c r="Y458" i="4"/>
  <c r="Z455" i="4"/>
  <c r="D454" i="4"/>
  <c r="X452" i="4"/>
  <c r="Q450" i="4"/>
  <c r="AA449" i="4"/>
  <c r="W443" i="4"/>
  <c r="W441" i="4"/>
  <c r="W440" i="4"/>
  <c r="X438" i="4"/>
  <c r="I436" i="4"/>
  <c r="W434" i="4"/>
  <c r="AA433" i="4"/>
  <c r="T431" i="4"/>
  <c r="S427" i="4"/>
  <c r="J425" i="4"/>
  <c r="P424" i="4"/>
  <c r="U503" i="4"/>
  <c r="Q502" i="4"/>
  <c r="J501" i="4"/>
  <c r="X498" i="4"/>
  <c r="Z496" i="4"/>
  <c r="D496" i="4"/>
  <c r="V494" i="4"/>
  <c r="Q493" i="4"/>
  <c r="K492" i="4"/>
  <c r="J491" i="4"/>
  <c r="X489" i="4"/>
  <c r="X485" i="4"/>
  <c r="O483" i="4"/>
  <c r="U477" i="4"/>
  <c r="Q476" i="4"/>
  <c r="W473" i="4"/>
  <c r="S472" i="4"/>
  <c r="U471" i="4"/>
  <c r="K469" i="4"/>
  <c r="R466" i="4"/>
  <c r="H464" i="4"/>
  <c r="U462" i="4"/>
  <c r="F460" i="4"/>
  <c r="U458" i="4"/>
  <c r="Y455" i="4"/>
  <c r="W452" i="4"/>
  <c r="Z449" i="4"/>
  <c r="C449" i="4"/>
  <c r="M447" i="4"/>
  <c r="E446" i="4"/>
  <c r="U443" i="4"/>
  <c r="Y442" i="4"/>
  <c r="V441" i="4"/>
  <c r="P439" i="4"/>
  <c r="U438" i="4"/>
  <c r="N427" i="4"/>
  <c r="G423" i="4"/>
  <c r="Y504" i="4"/>
  <c r="T503" i="4"/>
  <c r="AA499" i="4"/>
  <c r="M498" i="4"/>
  <c r="Q494" i="4"/>
  <c r="Y486" i="4"/>
  <c r="V485" i="4"/>
  <c r="J469" i="4"/>
  <c r="X464" i="4"/>
  <c r="N462" i="4"/>
  <c r="Z456" i="4"/>
  <c r="X455" i="4"/>
  <c r="Y449" i="4"/>
  <c r="D446" i="4"/>
  <c r="N439" i="4"/>
  <c r="U437" i="4"/>
  <c r="R433" i="4"/>
  <c r="H430" i="4"/>
  <c r="X428" i="4"/>
  <c r="AA426" i="4"/>
  <c r="Z425" i="4"/>
  <c r="E425" i="4"/>
  <c r="C424" i="4"/>
  <c r="F423" i="4"/>
  <c r="I412" i="4"/>
  <c r="O411" i="4"/>
  <c r="S409" i="4"/>
  <c r="AA403" i="4"/>
  <c r="AA402" i="4"/>
  <c r="D402" i="4"/>
  <c r="G401" i="4"/>
  <c r="K400" i="4"/>
  <c r="R399" i="4"/>
  <c r="W398" i="4"/>
  <c r="U397" i="4"/>
  <c r="J397" i="4"/>
  <c r="AA395" i="4"/>
  <c r="I395" i="4"/>
  <c r="T394" i="4"/>
  <c r="W393" i="4"/>
  <c r="W392" i="4"/>
  <c r="Z391" i="4"/>
  <c r="C391" i="4"/>
  <c r="W388" i="4"/>
  <c r="W387" i="4"/>
  <c r="Y386" i="4"/>
  <c r="C386" i="4"/>
  <c r="T383" i="4"/>
  <c r="F381" i="4"/>
  <c r="M380" i="4"/>
  <c r="M379" i="4"/>
  <c r="C377" i="4"/>
  <c r="X375" i="4"/>
  <c r="M375" i="4"/>
  <c r="W374" i="4"/>
  <c r="C374" i="4"/>
  <c r="V371" i="4"/>
  <c r="T369" i="4"/>
  <c r="X367" i="4"/>
  <c r="Z366" i="4"/>
  <c r="T365" i="4"/>
  <c r="D365" i="4"/>
  <c r="L364" i="4"/>
  <c r="V361" i="4"/>
  <c r="AA360" i="4"/>
  <c r="J356" i="4"/>
  <c r="N353" i="4"/>
  <c r="T352" i="4"/>
  <c r="C352" i="4"/>
  <c r="N351" i="4"/>
  <c r="X348" i="4"/>
  <c r="F346" i="4"/>
  <c r="J345" i="4"/>
  <c r="M344" i="4"/>
  <c r="H341" i="4"/>
  <c r="M339" i="4"/>
  <c r="J420" i="4"/>
  <c r="W418" i="4"/>
  <c r="J404" i="4"/>
  <c r="D403" i="4"/>
  <c r="C398" i="4"/>
  <c r="C397" i="4"/>
  <c r="M396" i="4"/>
  <c r="J395" i="4"/>
  <c r="J390" i="4"/>
  <c r="O388" i="4"/>
  <c r="C387" i="4"/>
  <c r="U385" i="4"/>
  <c r="U384" i="4"/>
  <c r="U382" i="4"/>
  <c r="S381" i="4"/>
  <c r="G381" i="4"/>
  <c r="P379" i="4"/>
  <c r="AA368" i="4"/>
  <c r="F368" i="4"/>
  <c r="V365" i="4"/>
  <c r="R356" i="4"/>
  <c r="Q353" i="4"/>
  <c r="P351" i="4"/>
  <c r="J349" i="4"/>
  <c r="L342" i="4"/>
  <c r="L341" i="4"/>
  <c r="X334" i="4"/>
  <c r="E334" i="4"/>
  <c r="P333" i="4"/>
  <c r="E332" i="4"/>
  <c r="O331" i="4"/>
  <c r="V330" i="4"/>
  <c r="I330" i="4"/>
  <c r="J327" i="4"/>
  <c r="X324" i="4"/>
  <c r="P321" i="4"/>
  <c r="F317" i="4"/>
  <c r="Y315" i="4"/>
  <c r="Q314" i="4"/>
  <c r="W313" i="4"/>
  <c r="F313" i="4"/>
  <c r="J312" i="4"/>
  <c r="Q311" i="4"/>
  <c r="G310" i="4"/>
  <c r="N309" i="4"/>
  <c r="W308" i="4"/>
  <c r="D308" i="4"/>
  <c r="H307" i="4"/>
  <c r="P306" i="4"/>
  <c r="Y305" i="4"/>
  <c r="O304" i="4"/>
  <c r="I303" i="4"/>
  <c r="N301" i="4"/>
  <c r="T300" i="4"/>
  <c r="W298" i="4"/>
  <c r="T296" i="4"/>
  <c r="C296" i="4"/>
  <c r="K295" i="4"/>
  <c r="U294" i="4"/>
  <c r="X292" i="4"/>
  <c r="C292" i="4"/>
  <c r="V290" i="4"/>
  <c r="Z288" i="4"/>
  <c r="H288" i="4"/>
  <c r="C287" i="4"/>
  <c r="D285" i="4"/>
  <c r="E284" i="4"/>
  <c r="D282" i="4"/>
  <c r="Q280" i="4"/>
  <c r="Z279" i="4"/>
  <c r="V276" i="4"/>
  <c r="U275" i="4"/>
  <c r="C274" i="4"/>
  <c r="W272" i="4"/>
  <c r="Y271" i="4"/>
  <c r="Z270" i="4"/>
  <c r="H270" i="4"/>
  <c r="J269" i="4"/>
  <c r="Q268" i="4"/>
  <c r="Y267" i="4"/>
  <c r="E267" i="4"/>
  <c r="I266" i="4"/>
  <c r="V265" i="4"/>
  <c r="Y264" i="4"/>
  <c r="C264" i="4"/>
  <c r="J399" i="4"/>
  <c r="AA396" i="4"/>
  <c r="J396" i="4"/>
  <c r="Y393" i="4"/>
  <c r="Q391" i="4"/>
  <c r="I390" i="4"/>
  <c r="K388" i="4"/>
  <c r="R385" i="4"/>
  <c r="O384" i="4"/>
  <c r="Q382" i="4"/>
  <c r="R381" i="4"/>
  <c r="T380" i="4"/>
  <c r="O379" i="4"/>
  <c r="Z375" i="4"/>
  <c r="G375" i="4"/>
  <c r="M371" i="4"/>
  <c r="E370" i="4"/>
  <c r="W368" i="4"/>
  <c r="O366" i="4"/>
  <c r="R364" i="4"/>
  <c r="L361" i="4"/>
  <c r="Y354" i="4"/>
  <c r="O353" i="4"/>
  <c r="L352" i="4"/>
  <c r="O351" i="4"/>
  <c r="C349" i="4"/>
  <c r="R346" i="4"/>
  <c r="M345" i="4"/>
  <c r="J344" i="4"/>
  <c r="Q343" i="4"/>
  <c r="K342" i="4"/>
  <c r="AA338" i="4"/>
  <c r="D338" i="4"/>
  <c r="K337" i="4"/>
  <c r="L336" i="4"/>
  <c r="O335" i="4"/>
  <c r="T332" i="4"/>
  <c r="AA331" i="4"/>
  <c r="K331" i="4"/>
  <c r="U330" i="4"/>
  <c r="H330" i="4"/>
  <c r="G329" i="4"/>
  <c r="G328" i="4"/>
  <c r="F327" i="4"/>
  <c r="E326" i="4"/>
  <c r="W324" i="4"/>
  <c r="G323" i="4"/>
  <c r="F322" i="4"/>
  <c r="K321" i="4"/>
  <c r="R319" i="4"/>
  <c r="T318" i="4"/>
  <c r="E317" i="4"/>
  <c r="V315" i="4"/>
  <c r="D315" i="4"/>
  <c r="P314" i="4"/>
  <c r="U313" i="4"/>
  <c r="E313" i="4"/>
  <c r="P311" i="4"/>
  <c r="V310" i="4"/>
  <c r="T308" i="4"/>
  <c r="Y307" i="4"/>
  <c r="F307" i="4"/>
  <c r="O306" i="4"/>
  <c r="J304" i="4"/>
  <c r="E303" i="4"/>
  <c r="F302" i="4"/>
  <c r="P300" i="4"/>
  <c r="P299" i="4"/>
  <c r="V298" i="4"/>
  <c r="X297" i="4"/>
  <c r="Q296" i="4"/>
  <c r="S294" i="4"/>
  <c r="AA291" i="4"/>
  <c r="I291" i="4"/>
  <c r="T289" i="4"/>
  <c r="Y288" i="4"/>
  <c r="Q287" i="4"/>
  <c r="AA286" i="4"/>
  <c r="Y285" i="4"/>
  <c r="R282" i="4"/>
  <c r="AA281" i="4"/>
  <c r="G281" i="4"/>
  <c r="O280" i="4"/>
  <c r="Y279" i="4"/>
  <c r="P278" i="4"/>
  <c r="K276" i="4"/>
  <c r="D411" i="4"/>
  <c r="D404" i="4"/>
  <c r="J401" i="4"/>
  <c r="W396" i="4"/>
  <c r="I396" i="4"/>
  <c r="E395" i="4"/>
  <c r="H392" i="4"/>
  <c r="O391" i="4"/>
  <c r="E388" i="4"/>
  <c r="P385" i="4"/>
  <c r="N384" i="4"/>
  <c r="M382" i="4"/>
  <c r="S380" i="4"/>
  <c r="Y375" i="4"/>
  <c r="G374" i="4"/>
  <c r="J371" i="4"/>
  <c r="V368" i="4"/>
  <c r="M366" i="4"/>
  <c r="N364" i="4"/>
  <c r="L356" i="4"/>
  <c r="I352" i="4"/>
  <c r="D351" i="4"/>
  <c r="E350" i="4"/>
  <c r="AA348" i="4"/>
  <c r="P347" i="4"/>
  <c r="O346" i="4"/>
  <c r="K345" i="4"/>
  <c r="G344" i="4"/>
  <c r="P343" i="4"/>
  <c r="E342" i="4"/>
  <c r="Z338" i="4"/>
  <c r="Z337" i="4"/>
  <c r="T334" i="4"/>
  <c r="X333" i="4"/>
  <c r="J333" i="4"/>
  <c r="T330" i="4"/>
  <c r="F330" i="4"/>
  <c r="F329" i="4"/>
  <c r="E327" i="4"/>
  <c r="D326" i="4"/>
  <c r="V324" i="4"/>
  <c r="F324" i="4"/>
  <c r="E321" i="4"/>
  <c r="P319" i="4"/>
  <c r="R318" i="4"/>
  <c r="P317" i="4"/>
  <c r="T313" i="4"/>
  <c r="C313" i="4"/>
  <c r="G312" i="4"/>
  <c r="U310" i="4"/>
  <c r="E310" i="4"/>
  <c r="K309" i="4"/>
  <c r="S308" i="4"/>
  <c r="E307" i="4"/>
  <c r="M306" i="4"/>
  <c r="V305" i="4"/>
  <c r="F304" i="4"/>
  <c r="D303" i="4"/>
  <c r="E302" i="4"/>
  <c r="M300" i="4"/>
  <c r="O299" i="4"/>
  <c r="U298" i="4"/>
  <c r="W297" i="4"/>
  <c r="P296" i="4"/>
  <c r="F295" i="4"/>
  <c r="L293" i="4"/>
  <c r="E291" i="4"/>
  <c r="M290" i="4"/>
  <c r="R289" i="4"/>
  <c r="F288" i="4"/>
  <c r="P287" i="4"/>
  <c r="X283" i="4"/>
  <c r="Z281" i="4"/>
  <c r="M280" i="4"/>
  <c r="V279" i="4"/>
  <c r="C279" i="4"/>
  <c r="O278" i="4"/>
  <c r="G276" i="4"/>
  <c r="U419" i="4"/>
  <c r="C415" i="4"/>
  <c r="I401" i="4"/>
  <c r="D400" i="4"/>
  <c r="C399" i="4"/>
  <c r="U396" i="4"/>
  <c r="E392" i="4"/>
  <c r="I391" i="4"/>
  <c r="G389" i="4"/>
  <c r="Z387" i="4"/>
  <c r="T377" i="4"/>
  <c r="K372" i="4"/>
  <c r="D371" i="4"/>
  <c r="N369" i="4"/>
  <c r="S368" i="4"/>
  <c r="G367" i="4"/>
  <c r="P362" i="4"/>
  <c r="D362" i="4"/>
  <c r="G361" i="4"/>
  <c r="L359" i="4"/>
  <c r="R358" i="4"/>
  <c r="N357" i="4"/>
  <c r="K356" i="4"/>
  <c r="H352" i="4"/>
  <c r="H421" i="4"/>
  <c r="AA417" i="4"/>
  <c r="R416" i="4"/>
  <c r="V414" i="4"/>
  <c r="Z410" i="4"/>
  <c r="I408" i="4"/>
  <c r="F402" i="4"/>
  <c r="X399" i="4"/>
  <c r="D392" i="4"/>
  <c r="G391" i="4"/>
  <c r="C390" i="4"/>
  <c r="F389" i="4"/>
  <c r="AA383" i="4"/>
  <c r="K383" i="4"/>
  <c r="Q380" i="4"/>
  <c r="V378" i="4"/>
  <c r="F377" i="4"/>
  <c r="S375" i="4"/>
  <c r="X374" i="4"/>
  <c r="F367" i="4"/>
  <c r="H365" i="4"/>
  <c r="K363" i="4"/>
  <c r="F361" i="4"/>
  <c r="C360" i="4"/>
  <c r="J359" i="4"/>
  <c r="P358" i="4"/>
  <c r="U355" i="4"/>
  <c r="D352" i="4"/>
  <c r="AA350" i="4"/>
  <c r="M422" i="4"/>
  <c r="G421" i="4"/>
  <c r="W410" i="4"/>
  <c r="F409" i="4"/>
  <c r="E408" i="4"/>
  <c r="K405" i="4"/>
  <c r="M403" i="4"/>
  <c r="AA391" i="4"/>
  <c r="Z389" i="4"/>
  <c r="D389" i="4"/>
  <c r="G386" i="4"/>
  <c r="Y383" i="4"/>
  <c r="J383" i="4"/>
  <c r="L381" i="4"/>
  <c r="N373" i="4"/>
  <c r="C367" i="4"/>
  <c r="G365" i="4"/>
  <c r="Z363" i="4"/>
  <c r="Z361" i="4"/>
  <c r="D359" i="4"/>
  <c r="O358" i="4"/>
  <c r="L422" i="4"/>
  <c r="P417" i="4"/>
  <c r="P416" i="4"/>
  <c r="AA407" i="4"/>
  <c r="Y400" i="4"/>
  <c r="G398" i="4"/>
  <c r="M395" i="4"/>
  <c r="W390" i="4"/>
  <c r="C389" i="4"/>
  <c r="J387" i="4"/>
  <c r="X383" i="4"/>
  <c r="C382" i="4"/>
  <c r="K381" i="4"/>
  <c r="U379" i="4"/>
  <c r="Q378" i="4"/>
  <c r="Q375" i="4"/>
  <c r="L373" i="4"/>
  <c r="K369" i="4"/>
  <c r="K368" i="4"/>
  <c r="Y365" i="4"/>
  <c r="H363" i="4"/>
  <c r="M362" i="4"/>
  <c r="W361" i="4"/>
  <c r="T360" i="4"/>
  <c r="S355" i="4"/>
  <c r="V353" i="4"/>
  <c r="Y352" i="4"/>
  <c r="I348" i="4"/>
  <c r="N417" i="4"/>
  <c r="N416" i="4"/>
  <c r="Q411" i="4"/>
  <c r="AA409" i="4"/>
  <c r="Z408" i="4"/>
  <c r="M404" i="4"/>
  <c r="D398" i="4"/>
  <c r="L397" i="4"/>
  <c r="L395" i="4"/>
  <c r="G393" i="4"/>
  <c r="X384" i="4"/>
  <c r="V383" i="4"/>
  <c r="V381" i="4"/>
  <c r="H381" i="4"/>
  <c r="T379" i="4"/>
  <c r="N378" i="4"/>
  <c r="M376" i="4"/>
  <c r="N375" i="4"/>
  <c r="J373" i="4"/>
  <c r="O370" i="4"/>
  <c r="H368" i="4"/>
  <c r="W365" i="4"/>
  <c r="X364" i="4"/>
  <c r="V363" i="4"/>
  <c r="G363" i="4"/>
  <c r="W359" i="4"/>
  <c r="U353" i="4"/>
  <c r="R351" i="4"/>
  <c r="K349" i="4"/>
  <c r="H348" i="4"/>
  <c r="U345" i="4"/>
  <c r="R344" i="4"/>
  <c r="N340" i="4"/>
  <c r="Q339" i="4"/>
  <c r="M337" i="4"/>
  <c r="Y335" i="4"/>
  <c r="Y334" i="4"/>
  <c r="H334" i="4"/>
  <c r="Q333" i="4"/>
  <c r="C333" i="4"/>
  <c r="R331" i="4"/>
  <c r="M328" i="4"/>
  <c r="S325" i="4"/>
  <c r="AA324" i="4"/>
  <c r="K324" i="4"/>
  <c r="L323" i="4"/>
  <c r="Q321" i="4"/>
  <c r="V319" i="4"/>
  <c r="G317" i="4"/>
  <c r="J315" i="4"/>
  <c r="S314" i="4"/>
  <c r="Z313" i="4"/>
  <c r="G313" i="4"/>
  <c r="AA310" i="4"/>
  <c r="O309" i="4"/>
  <c r="X308" i="4"/>
  <c r="P307" i="4"/>
  <c r="T306" i="4"/>
  <c r="Z305" i="4"/>
  <c r="Q304" i="4"/>
  <c r="N303" i="4"/>
  <c r="M302" i="4"/>
  <c r="P301" i="4"/>
  <c r="X298" i="4"/>
  <c r="N295" i="4"/>
  <c r="AA292" i="4"/>
  <c r="D292" i="4"/>
  <c r="W290" i="4"/>
  <c r="AA289" i="4"/>
  <c r="C289" i="4"/>
  <c r="I288" i="4"/>
  <c r="W287" i="4"/>
  <c r="I286" i="4"/>
  <c r="E285" i="4"/>
  <c r="F284" i="4"/>
  <c r="K281" i="4"/>
  <c r="T280" i="4"/>
  <c r="C280" i="4"/>
  <c r="S278" i="4"/>
  <c r="Y277" i="4"/>
  <c r="C277" i="4"/>
  <c r="W275" i="4"/>
  <c r="X344" i="4"/>
  <c r="T340" i="4"/>
  <c r="Z336" i="4"/>
  <c r="Q334" i="4"/>
  <c r="R330" i="4"/>
  <c r="P324" i="4"/>
  <c r="P323" i="4"/>
  <c r="T320" i="4"/>
  <c r="E320" i="4"/>
  <c r="N317" i="4"/>
  <c r="D316" i="4"/>
  <c r="H314" i="4"/>
  <c r="R310" i="4"/>
  <c r="Q309" i="4"/>
  <c r="O308" i="4"/>
  <c r="D307" i="4"/>
  <c r="Q303" i="4"/>
  <c r="V301" i="4"/>
  <c r="F299" i="4"/>
  <c r="I296" i="4"/>
  <c r="D294" i="4"/>
  <c r="E292" i="4"/>
  <c r="C290" i="4"/>
  <c r="S288" i="4"/>
  <c r="V286" i="4"/>
  <c r="G285" i="4"/>
  <c r="U283" i="4"/>
  <c r="M282" i="4"/>
  <c r="F280" i="4"/>
  <c r="F277" i="4"/>
  <c r="K275" i="4"/>
  <c r="I272" i="4"/>
  <c r="E271" i="4"/>
  <c r="G269" i="4"/>
  <c r="H268" i="4"/>
  <c r="N267" i="4"/>
  <c r="U266" i="4"/>
  <c r="AA264" i="4"/>
  <c r="O263" i="4"/>
  <c r="W262" i="4"/>
  <c r="H261" i="4"/>
  <c r="H259" i="4"/>
  <c r="M258" i="4"/>
  <c r="L257" i="4"/>
  <c r="D256" i="4"/>
  <c r="J255" i="4"/>
  <c r="Q254" i="4"/>
  <c r="Z252" i="4"/>
  <c r="AA251" i="4"/>
  <c r="G251" i="4"/>
  <c r="E250" i="4"/>
  <c r="P248" i="4"/>
  <c r="F247" i="4"/>
  <c r="P246" i="4"/>
  <c r="P245" i="4"/>
  <c r="T244" i="4"/>
  <c r="U243" i="4"/>
  <c r="U242" i="4"/>
  <c r="S240" i="4"/>
  <c r="P239" i="4"/>
  <c r="H238" i="4"/>
  <c r="Q236" i="4"/>
  <c r="U233" i="4"/>
  <c r="E233" i="4"/>
  <c r="M232" i="4"/>
  <c r="I231" i="4"/>
  <c r="H230" i="4"/>
  <c r="Q229" i="4"/>
  <c r="R227" i="4"/>
  <c r="N225" i="4"/>
  <c r="M224" i="4"/>
  <c r="T221" i="4"/>
  <c r="Z219" i="4"/>
  <c r="F219" i="4"/>
  <c r="J218" i="4"/>
  <c r="Q217" i="4"/>
  <c r="AA215" i="4"/>
  <c r="G215" i="4"/>
  <c r="O213" i="4"/>
  <c r="D213" i="4"/>
  <c r="D212" i="4"/>
  <c r="G211" i="4"/>
  <c r="L210" i="4"/>
  <c r="S209" i="4"/>
  <c r="Q208" i="4"/>
  <c r="G208" i="4"/>
  <c r="R207" i="4"/>
  <c r="U206" i="4"/>
  <c r="X205" i="4"/>
  <c r="H204" i="4"/>
  <c r="Q203" i="4"/>
  <c r="C203" i="4"/>
  <c r="J202" i="4"/>
  <c r="U201" i="4"/>
  <c r="S196" i="4"/>
  <c r="G196" i="4"/>
  <c r="P195" i="4"/>
  <c r="P194" i="4"/>
  <c r="X193" i="4"/>
  <c r="Z191" i="4"/>
  <c r="I191" i="4"/>
  <c r="Y336" i="4"/>
  <c r="O334" i="4"/>
  <c r="L332" i="4"/>
  <c r="W327" i="4"/>
  <c r="P326" i="4"/>
  <c r="O324" i="4"/>
  <c r="D320" i="4"/>
  <c r="J317" i="4"/>
  <c r="F314" i="4"/>
  <c r="M308" i="4"/>
  <c r="X306" i="4"/>
  <c r="U305" i="4"/>
  <c r="C303" i="4"/>
  <c r="P286" i="4"/>
  <c r="Q283" i="4"/>
  <c r="E280" i="4"/>
  <c r="C276" i="4"/>
  <c r="J274" i="4"/>
  <c r="P273" i="4"/>
  <c r="D272" i="4"/>
  <c r="Y270" i="4"/>
  <c r="X269" i="4"/>
  <c r="G268" i="4"/>
  <c r="L267" i="4"/>
  <c r="Y263" i="4"/>
  <c r="M263" i="4"/>
  <c r="S261" i="4"/>
  <c r="Y260" i="4"/>
  <c r="G260" i="4"/>
  <c r="G259" i="4"/>
  <c r="K258" i="4"/>
  <c r="J257" i="4"/>
  <c r="P254" i="4"/>
  <c r="S252" i="4"/>
  <c r="Y250" i="4"/>
  <c r="G249" i="4"/>
  <c r="O248" i="4"/>
  <c r="Q243" i="4"/>
  <c r="T242" i="4"/>
  <c r="E242" i="4"/>
  <c r="G241" i="4"/>
  <c r="AA237" i="4"/>
  <c r="G237" i="4"/>
  <c r="P236" i="4"/>
  <c r="Q234" i="4"/>
  <c r="P233" i="4"/>
  <c r="I232" i="4"/>
  <c r="G230" i="4"/>
  <c r="M229" i="4"/>
  <c r="P227" i="4"/>
  <c r="U226" i="4"/>
  <c r="G226" i="4"/>
  <c r="M225" i="4"/>
  <c r="O223" i="4"/>
  <c r="S221" i="4"/>
  <c r="D219" i="4"/>
  <c r="T216" i="4"/>
  <c r="Z215" i="4"/>
  <c r="E215" i="4"/>
  <c r="F214" i="4"/>
  <c r="Z212" i="4"/>
  <c r="D211" i="4"/>
  <c r="O209" i="4"/>
  <c r="R206" i="4"/>
  <c r="W205" i="4"/>
  <c r="X202" i="4"/>
  <c r="P201" i="4"/>
  <c r="N200" i="4"/>
  <c r="W197" i="4"/>
  <c r="O194" i="4"/>
  <c r="T193" i="4"/>
  <c r="Z192" i="4"/>
  <c r="Y191" i="4"/>
  <c r="R189" i="4"/>
  <c r="J186" i="4"/>
  <c r="M185" i="4"/>
  <c r="V184" i="4"/>
  <c r="E184" i="4"/>
  <c r="U344" i="4"/>
  <c r="L343" i="4"/>
  <c r="O341" i="4"/>
  <c r="Y338" i="4"/>
  <c r="T337" i="4"/>
  <c r="I333" i="4"/>
  <c r="S327" i="4"/>
  <c r="L324" i="4"/>
  <c r="X321" i="4"/>
  <c r="H318" i="4"/>
  <c r="S313" i="4"/>
  <c r="H309" i="4"/>
  <c r="W306" i="4"/>
  <c r="T304" i="4"/>
  <c r="AA302" i="4"/>
  <c r="E297" i="4"/>
  <c r="E295" i="4"/>
  <c r="Z290" i="4"/>
  <c r="M286" i="4"/>
  <c r="N283" i="4"/>
  <c r="L279" i="4"/>
  <c r="Z275" i="4"/>
  <c r="X271" i="4"/>
  <c r="T269" i="4"/>
  <c r="F268" i="4"/>
  <c r="H267" i="4"/>
  <c r="U265" i="4"/>
  <c r="V264" i="4"/>
  <c r="X263" i="4"/>
  <c r="G263" i="4"/>
  <c r="M262" i="4"/>
  <c r="Q261" i="4"/>
  <c r="W260" i="4"/>
  <c r="X259" i="4"/>
  <c r="F259" i="4"/>
  <c r="I258" i="4"/>
  <c r="E257" i="4"/>
  <c r="H255" i="4"/>
  <c r="O254" i="4"/>
  <c r="L253" i="4"/>
  <c r="Q252" i="4"/>
  <c r="X249" i="4"/>
  <c r="D247" i="4"/>
  <c r="D246" i="4"/>
  <c r="H243" i="4"/>
  <c r="S242" i="4"/>
  <c r="Y241" i="4"/>
  <c r="F241" i="4"/>
  <c r="J239" i="4"/>
  <c r="Z237" i="4"/>
  <c r="J235" i="4"/>
  <c r="L233" i="4"/>
  <c r="U232" i="4"/>
  <c r="E232" i="4"/>
  <c r="AA230" i="4"/>
  <c r="F230" i="4"/>
  <c r="N228" i="4"/>
  <c r="T226" i="4"/>
  <c r="H225" i="4"/>
  <c r="R222" i="4"/>
  <c r="T219" i="4"/>
  <c r="Y218" i="4"/>
  <c r="E218" i="4"/>
  <c r="M217" i="4"/>
  <c r="Q216" i="4"/>
  <c r="Y215" i="4"/>
  <c r="D215" i="4"/>
  <c r="W212" i="4"/>
  <c r="V211" i="4"/>
  <c r="Z210" i="4"/>
  <c r="M209" i="4"/>
  <c r="AA207" i="4"/>
  <c r="Q206" i="4"/>
  <c r="U205" i="4"/>
  <c r="D204" i="4"/>
  <c r="N203" i="4"/>
  <c r="T202" i="4"/>
  <c r="Y200" i="4"/>
  <c r="M200" i="4"/>
  <c r="M198" i="4"/>
  <c r="Z195" i="4"/>
  <c r="N194" i="4"/>
  <c r="S193" i="4"/>
  <c r="X192" i="4"/>
  <c r="T191" i="4"/>
  <c r="C350" i="4"/>
  <c r="L346" i="4"/>
  <c r="C343" i="4"/>
  <c r="Q337" i="4"/>
  <c r="M335" i="4"/>
  <c r="J334" i="4"/>
  <c r="H333" i="4"/>
  <c r="AA328" i="4"/>
  <c r="K325" i="4"/>
  <c r="D323" i="4"/>
  <c r="K319" i="4"/>
  <c r="F318" i="4"/>
  <c r="H317" i="4"/>
  <c r="Q315" i="4"/>
  <c r="E309" i="4"/>
  <c r="S304" i="4"/>
  <c r="N298" i="4"/>
  <c r="AA296" i="4"/>
  <c r="X290" i="4"/>
  <c r="H289" i="4"/>
  <c r="S284" i="4"/>
  <c r="H283" i="4"/>
  <c r="AA280" i="4"/>
  <c r="K279" i="4"/>
  <c r="R276" i="4"/>
  <c r="AA274" i="4"/>
  <c r="D274" i="4"/>
  <c r="U271" i="4"/>
  <c r="U270" i="4"/>
  <c r="K346" i="4"/>
  <c r="D344" i="4"/>
  <c r="J335" i="4"/>
  <c r="G333" i="4"/>
  <c r="C326" i="4"/>
  <c r="G325" i="4"/>
  <c r="Z322" i="4"/>
  <c r="T321" i="4"/>
  <c r="I319" i="4"/>
  <c r="C318" i="4"/>
  <c r="P315" i="4"/>
  <c r="T314" i="4"/>
  <c r="J313" i="4"/>
  <c r="C309" i="4"/>
  <c r="W307" i="4"/>
  <c r="L306" i="4"/>
  <c r="H305" i="4"/>
  <c r="R302" i="4"/>
  <c r="X299" i="4"/>
  <c r="Z294" i="4"/>
  <c r="O291" i="4"/>
  <c r="D288" i="4"/>
  <c r="G287" i="4"/>
  <c r="T281" i="4"/>
  <c r="Z280" i="4"/>
  <c r="J279" i="4"/>
  <c r="X275" i="4"/>
  <c r="AA273" i="4"/>
  <c r="U272" i="4"/>
  <c r="Q271" i="4"/>
  <c r="S270" i="4"/>
  <c r="C344" i="4"/>
  <c r="Q342" i="4"/>
  <c r="N338" i="4"/>
  <c r="E335" i="4"/>
  <c r="W333" i="4"/>
  <c r="E333" i="4"/>
  <c r="Y330" i="4"/>
  <c r="D330" i="4"/>
  <c r="Z325" i="4"/>
  <c r="E324" i="4"/>
  <c r="T322" i="4"/>
  <c r="G319" i="4"/>
  <c r="U316" i="4"/>
  <c r="O315" i="4"/>
  <c r="H313" i="4"/>
  <c r="C312" i="4"/>
  <c r="Y309" i="4"/>
  <c r="Z308" i="4"/>
  <c r="J298" i="4"/>
  <c r="X294" i="4"/>
  <c r="Z287" i="4"/>
  <c r="Y280" i="4"/>
  <c r="I279" i="4"/>
  <c r="L277" i="4"/>
  <c r="P276" i="4"/>
  <c r="W274" i="4"/>
  <c r="Y273" i="4"/>
  <c r="G273" i="4"/>
  <c r="Q272" i="4"/>
  <c r="F347" i="4"/>
  <c r="AA339" i="4"/>
  <c r="D336" i="4"/>
  <c r="V333" i="4"/>
  <c r="C325" i="4"/>
  <c r="AA323" i="4"/>
  <c r="D321" i="4"/>
  <c r="H320" i="4"/>
  <c r="C319" i="4"/>
  <c r="T316" i="4"/>
  <c r="L315" i="4"/>
  <c r="N314" i="4"/>
  <c r="Z312" i="4"/>
  <c r="X311" i="4"/>
  <c r="U309" i="4"/>
  <c r="S303" i="4"/>
  <c r="AA301" i="4"/>
  <c r="G298" i="4"/>
  <c r="M296" i="4"/>
  <c r="T295" i="4"/>
  <c r="G290" i="4"/>
  <c r="Y287" i="4"/>
  <c r="J284" i="4"/>
  <c r="O281" i="4"/>
  <c r="I280" i="4"/>
  <c r="L278" i="4"/>
  <c r="I277" i="4"/>
  <c r="N276" i="4"/>
  <c r="P275" i="4"/>
  <c r="V274" i="4"/>
  <c r="O272" i="4"/>
  <c r="L271" i="4"/>
  <c r="C347" i="4"/>
  <c r="U340" i="4"/>
  <c r="AA336" i="4"/>
  <c r="C336" i="4"/>
  <c r="V331" i="4"/>
  <c r="Z326" i="4"/>
  <c r="U325" i="4"/>
  <c r="W323" i="4"/>
  <c r="F320" i="4"/>
  <c r="O316" i="4"/>
  <c r="I314" i="4"/>
  <c r="V312" i="4"/>
  <c r="U311" i="4"/>
  <c r="S310" i="4"/>
  <c r="R307" i="4"/>
  <c r="H306" i="4"/>
  <c r="Y301" i="4"/>
  <c r="W300" i="4"/>
  <c r="N299" i="4"/>
  <c r="R295" i="4"/>
  <c r="I293" i="4"/>
  <c r="G292" i="4"/>
  <c r="D290" i="4"/>
  <c r="W288" i="4"/>
  <c r="W286" i="4"/>
  <c r="M285" i="4"/>
  <c r="H280" i="4"/>
  <c r="F278" i="4"/>
  <c r="G277" i="4"/>
  <c r="M275" i="4"/>
  <c r="W273" i="4"/>
  <c r="AA272" i="4"/>
  <c r="O270" i="4"/>
  <c r="I269" i="4"/>
  <c r="O267" i="4"/>
  <c r="Z265" i="4"/>
  <c r="D265" i="4"/>
  <c r="P263" i="4"/>
  <c r="Y262" i="4"/>
  <c r="I261" i="4"/>
  <c r="O260" i="4"/>
  <c r="P258" i="4"/>
  <c r="W257" i="4"/>
  <c r="U254" i="4"/>
  <c r="W253" i="4"/>
  <c r="D253" i="4"/>
  <c r="C252" i="4"/>
  <c r="J251" i="4"/>
  <c r="U247" i="4"/>
  <c r="G247" i="4"/>
  <c r="R246" i="4"/>
  <c r="Q245" i="4"/>
  <c r="V244" i="4"/>
  <c r="AA243" i="4"/>
  <c r="W242" i="4"/>
  <c r="I242" i="4"/>
  <c r="T239" i="4"/>
  <c r="Z238" i="4"/>
  <c r="I238" i="4"/>
  <c r="N237" i="4"/>
  <c r="R235" i="4"/>
  <c r="U234" i="4"/>
  <c r="Y233" i="4"/>
  <c r="F233" i="4"/>
  <c r="N232" i="4"/>
  <c r="K231" i="4"/>
  <c r="W227" i="4"/>
  <c r="D227" i="4"/>
  <c r="E222" i="4"/>
  <c r="E221" i="4"/>
  <c r="C220" i="4"/>
  <c r="S217" i="4"/>
  <c r="E216" i="4"/>
  <c r="K215" i="4"/>
  <c r="K214" i="4"/>
  <c r="O210" i="4"/>
  <c r="T209" i="4"/>
  <c r="R208" i="4"/>
  <c r="S207" i="4"/>
  <c r="W206" i="4"/>
  <c r="L205" i="4"/>
  <c r="T203" i="4"/>
  <c r="W201" i="4"/>
  <c r="H201" i="4"/>
  <c r="S200" i="4"/>
  <c r="Z199" i="4"/>
  <c r="AA198" i="4"/>
  <c r="D198" i="4"/>
  <c r="V196" i="4"/>
  <c r="I196" i="4"/>
  <c r="Q195" i="4"/>
  <c r="Q194" i="4"/>
  <c r="Y193" i="4"/>
  <c r="H193" i="4"/>
  <c r="K191" i="4"/>
  <c r="P270" i="4"/>
  <c r="C269" i="4"/>
  <c r="G266" i="4"/>
  <c r="O265" i="4"/>
  <c r="V258" i="4"/>
  <c r="P256" i="4"/>
  <c r="M255" i="4"/>
  <c r="K254" i="4"/>
  <c r="G253" i="4"/>
  <c r="R251" i="4"/>
  <c r="F248" i="4"/>
  <c r="J247" i="4"/>
  <c r="AA240" i="4"/>
  <c r="H235" i="4"/>
  <c r="Z230" i="4"/>
  <c r="Y229" i="4"/>
  <c r="M227" i="4"/>
  <c r="G223" i="4"/>
  <c r="H217" i="4"/>
  <c r="U215" i="4"/>
  <c r="P212" i="4"/>
  <c r="Z209" i="4"/>
  <c r="X206" i="4"/>
  <c r="U204" i="4"/>
  <c r="L202" i="4"/>
  <c r="W200" i="4"/>
  <c r="C195" i="4"/>
  <c r="O193" i="4"/>
  <c r="Z190" i="4"/>
  <c r="J189" i="4"/>
  <c r="Z187" i="4"/>
  <c r="F187" i="4"/>
  <c r="P186" i="4"/>
  <c r="AA185" i="4"/>
  <c r="C185" i="4"/>
  <c r="I184" i="4"/>
  <c r="R183" i="4"/>
  <c r="H182" i="4"/>
  <c r="K181" i="4"/>
  <c r="U180" i="4"/>
  <c r="E180" i="4"/>
  <c r="C179" i="4"/>
  <c r="M178" i="4"/>
  <c r="X176" i="4"/>
  <c r="V175" i="4"/>
  <c r="T174" i="4"/>
  <c r="Y173" i="4"/>
  <c r="J173" i="4"/>
  <c r="S171" i="4"/>
  <c r="X170" i="4"/>
  <c r="O168" i="4"/>
  <c r="V167" i="4"/>
  <c r="E167" i="4"/>
  <c r="L165" i="4"/>
  <c r="H164" i="4"/>
  <c r="K163" i="4"/>
  <c r="X162" i="4"/>
  <c r="O160" i="4"/>
  <c r="E159" i="4"/>
  <c r="O158" i="4"/>
  <c r="W157" i="4"/>
  <c r="Z156" i="4"/>
  <c r="U155" i="4"/>
  <c r="Y154" i="4"/>
  <c r="C154" i="4"/>
  <c r="S152" i="4"/>
  <c r="J150" i="4"/>
  <c r="V148" i="4"/>
  <c r="D148" i="4"/>
  <c r="I147" i="4"/>
  <c r="I143" i="4"/>
  <c r="I139" i="4"/>
  <c r="I136" i="4"/>
  <c r="Y134" i="4"/>
  <c r="M133" i="4"/>
  <c r="AA131" i="4"/>
  <c r="K130" i="4"/>
  <c r="N129" i="4"/>
  <c r="W127" i="4"/>
  <c r="T124" i="4"/>
  <c r="D122" i="4"/>
  <c r="K121" i="4"/>
  <c r="H119" i="4"/>
  <c r="G117" i="4"/>
  <c r="T115" i="4"/>
  <c r="E114" i="4"/>
  <c r="Z111" i="4"/>
  <c r="D111" i="4"/>
  <c r="D109" i="4"/>
  <c r="AA107" i="4"/>
  <c r="C106" i="4"/>
  <c r="J102" i="4"/>
  <c r="P101" i="4"/>
  <c r="X100" i="4"/>
  <c r="P99" i="4"/>
  <c r="J98" i="4"/>
  <c r="Z96" i="4"/>
  <c r="I96" i="4"/>
  <c r="L95" i="4"/>
  <c r="K93" i="4"/>
  <c r="R92" i="4"/>
  <c r="X89" i="4"/>
  <c r="V86" i="4"/>
  <c r="J86" i="4"/>
  <c r="S85" i="4"/>
  <c r="C85" i="4"/>
  <c r="H84" i="4"/>
  <c r="U83" i="4"/>
  <c r="E83" i="4"/>
  <c r="F82" i="4"/>
  <c r="E81" i="4"/>
  <c r="G78" i="4"/>
  <c r="R77" i="4"/>
  <c r="X76" i="4"/>
  <c r="I75" i="4"/>
  <c r="Z73" i="4"/>
  <c r="C72" i="4"/>
  <c r="K71" i="4"/>
  <c r="U68" i="4"/>
  <c r="Y66" i="4"/>
  <c r="D66" i="4"/>
  <c r="W64" i="4"/>
  <c r="G64" i="4"/>
  <c r="R62" i="4"/>
  <c r="R61" i="4"/>
  <c r="E60" i="4"/>
  <c r="Z58" i="4"/>
  <c r="O58" i="4"/>
  <c r="Y57" i="4"/>
  <c r="C57" i="4"/>
  <c r="I55" i="4"/>
  <c r="T54" i="4"/>
  <c r="G54" i="4"/>
  <c r="R53" i="4"/>
  <c r="J52" i="4"/>
  <c r="V51" i="4"/>
  <c r="M51" i="4"/>
  <c r="C51" i="4"/>
  <c r="R50" i="4"/>
  <c r="I50" i="4"/>
  <c r="W49" i="4"/>
  <c r="V48" i="4"/>
  <c r="Y47" i="4"/>
  <c r="N47" i="4"/>
  <c r="I46" i="4"/>
  <c r="N45" i="4"/>
  <c r="L44" i="4"/>
  <c r="T43" i="4"/>
  <c r="F43" i="4"/>
  <c r="R42" i="4"/>
  <c r="F42" i="4"/>
  <c r="Q41" i="4"/>
  <c r="G40" i="4"/>
  <c r="W39" i="4"/>
  <c r="Z36" i="4"/>
  <c r="L36" i="4"/>
  <c r="X35" i="4"/>
  <c r="C32" i="4"/>
  <c r="V30" i="4"/>
  <c r="S29" i="4"/>
  <c r="AA28" i="4"/>
  <c r="H28" i="4"/>
  <c r="S27" i="4"/>
  <c r="C27" i="4"/>
  <c r="W24" i="4"/>
  <c r="J23" i="4"/>
  <c r="F22" i="4"/>
  <c r="R21" i="4"/>
  <c r="N20" i="4"/>
  <c r="W268" i="4"/>
  <c r="F266" i="4"/>
  <c r="V263" i="4"/>
  <c r="L261" i="4"/>
  <c r="R258" i="4"/>
  <c r="G256" i="4"/>
  <c r="Y248" i="4"/>
  <c r="X247" i="4"/>
  <c r="I247" i="4"/>
  <c r="Y240" i="4"/>
  <c r="W239" i="4"/>
  <c r="G235" i="4"/>
  <c r="D234" i="4"/>
  <c r="Q232" i="4"/>
  <c r="M219" i="4"/>
  <c r="D218" i="4"/>
  <c r="E217" i="4"/>
  <c r="S215" i="4"/>
  <c r="L213" i="4"/>
  <c r="X210" i="4"/>
  <c r="Y209" i="4"/>
  <c r="N205" i="4"/>
  <c r="K203" i="4"/>
  <c r="N201" i="4"/>
  <c r="Z196" i="4"/>
  <c r="E189" i="4"/>
  <c r="X187" i="4"/>
  <c r="E187" i="4"/>
  <c r="N186" i="4"/>
  <c r="AA184" i="4"/>
  <c r="F184" i="4"/>
  <c r="G182" i="4"/>
  <c r="G181" i="4"/>
  <c r="Y179" i="4"/>
  <c r="H178" i="4"/>
  <c r="Q177" i="4"/>
  <c r="W176" i="4"/>
  <c r="S175" i="4"/>
  <c r="Q174" i="4"/>
  <c r="W173" i="4"/>
  <c r="G173" i="4"/>
  <c r="W170" i="4"/>
  <c r="N168" i="4"/>
  <c r="S167" i="4"/>
  <c r="AA165" i="4"/>
  <c r="I165" i="4"/>
  <c r="G164" i="4"/>
  <c r="I163" i="4"/>
  <c r="X161" i="4"/>
  <c r="AA160" i="4"/>
  <c r="N160" i="4"/>
  <c r="J158" i="4"/>
  <c r="F156" i="4"/>
  <c r="S155" i="4"/>
  <c r="R153" i="4"/>
  <c r="O151" i="4"/>
  <c r="I150" i="4"/>
  <c r="L149" i="4"/>
  <c r="N148" i="4"/>
  <c r="AA147" i="4"/>
  <c r="G147" i="4"/>
  <c r="L144" i="4"/>
  <c r="M142" i="4"/>
  <c r="R140" i="4"/>
  <c r="K138" i="4"/>
  <c r="X136" i="4"/>
  <c r="H136" i="4"/>
  <c r="N135" i="4"/>
  <c r="V134" i="4"/>
  <c r="I134" i="4"/>
  <c r="J133" i="4"/>
  <c r="P132" i="4"/>
  <c r="Y131" i="4"/>
  <c r="C131" i="4"/>
  <c r="F130" i="4"/>
  <c r="M129" i="4"/>
  <c r="O128" i="4"/>
  <c r="L127" i="4"/>
  <c r="L126" i="4"/>
  <c r="N125" i="4"/>
  <c r="R124" i="4"/>
  <c r="L123" i="4"/>
  <c r="C122" i="4"/>
  <c r="F117" i="4"/>
  <c r="Q115" i="4"/>
  <c r="AA113" i="4"/>
  <c r="U112" i="4"/>
  <c r="AA110" i="4"/>
  <c r="AA109" i="4"/>
  <c r="E107" i="4"/>
  <c r="AA105" i="4"/>
  <c r="G104" i="4"/>
  <c r="U102" i="4"/>
  <c r="G102" i="4"/>
  <c r="T100" i="4"/>
  <c r="I99" i="4"/>
  <c r="F98" i="4"/>
  <c r="W96" i="4"/>
  <c r="H96" i="4"/>
  <c r="K95" i="4"/>
  <c r="W93" i="4"/>
  <c r="J93" i="4"/>
  <c r="T89" i="4"/>
  <c r="D89" i="4"/>
  <c r="U86" i="4"/>
  <c r="R83" i="4"/>
  <c r="D83" i="4"/>
  <c r="C82" i="4"/>
  <c r="R80" i="4"/>
  <c r="U79" i="4"/>
  <c r="X78" i="4"/>
  <c r="E78" i="4"/>
  <c r="W76" i="4"/>
  <c r="E75" i="4"/>
  <c r="Y73" i="4"/>
  <c r="U72" i="4"/>
  <c r="Y71" i="4"/>
  <c r="J71" i="4"/>
  <c r="Y69" i="4"/>
  <c r="T68" i="4"/>
  <c r="H68" i="4"/>
  <c r="L67" i="4"/>
  <c r="X66" i="4"/>
  <c r="N66" i="4"/>
  <c r="C66" i="4"/>
  <c r="O65" i="4"/>
  <c r="Q64" i="4"/>
  <c r="I63" i="4"/>
  <c r="P62" i="4"/>
  <c r="U60" i="4"/>
  <c r="AA59" i="4"/>
  <c r="Y58" i="4"/>
  <c r="I58" i="4"/>
  <c r="X56" i="4"/>
  <c r="I56" i="4"/>
  <c r="R55" i="4"/>
  <c r="H55" i="4"/>
  <c r="F50" i="4"/>
  <c r="F49" i="4"/>
  <c r="X47" i="4"/>
  <c r="S46" i="4"/>
  <c r="H46" i="4"/>
  <c r="S43" i="4"/>
  <c r="E43" i="4"/>
  <c r="P42" i="4"/>
  <c r="V40" i="4"/>
  <c r="V39" i="4"/>
  <c r="F39" i="4"/>
  <c r="O38" i="4"/>
  <c r="L37" i="4"/>
  <c r="X36" i="4"/>
  <c r="J36" i="4"/>
  <c r="V35" i="4"/>
  <c r="G35" i="4"/>
  <c r="M34" i="4"/>
  <c r="P33" i="4"/>
  <c r="R32" i="4"/>
  <c r="F30" i="4"/>
  <c r="V28" i="4"/>
  <c r="G28" i="4"/>
  <c r="O27" i="4"/>
  <c r="S268" i="4"/>
  <c r="C266" i="4"/>
  <c r="U263" i="4"/>
  <c r="J262" i="4"/>
  <c r="K252" i="4"/>
  <c r="M251" i="4"/>
  <c r="V248" i="4"/>
  <c r="V245" i="4"/>
  <c r="Z242" i="4"/>
  <c r="R241" i="4"/>
  <c r="V240" i="4"/>
  <c r="J236" i="4"/>
  <c r="J233" i="4"/>
  <c r="O232" i="4"/>
  <c r="W224" i="4"/>
  <c r="V223" i="4"/>
  <c r="P221" i="4"/>
  <c r="J220" i="4"/>
  <c r="Q215" i="4"/>
  <c r="Y213" i="4"/>
  <c r="K208" i="4"/>
  <c r="U207" i="4"/>
  <c r="I203" i="4"/>
  <c r="T200" i="4"/>
  <c r="I198" i="4"/>
  <c r="V195" i="4"/>
  <c r="W194" i="4"/>
  <c r="V190" i="4"/>
  <c r="C189" i="4"/>
  <c r="D187" i="4"/>
  <c r="M186" i="4"/>
  <c r="X184" i="4"/>
  <c r="N183" i="4"/>
  <c r="X182" i="4"/>
  <c r="Y178" i="4"/>
  <c r="I177" i="4"/>
  <c r="T176" i="4"/>
  <c r="R175" i="4"/>
  <c r="V173" i="4"/>
  <c r="F173" i="4"/>
  <c r="H172" i="4"/>
  <c r="P171" i="4"/>
  <c r="Q170" i="4"/>
  <c r="O169" i="4"/>
  <c r="C169" i="4"/>
  <c r="T166" i="4"/>
  <c r="Y165" i="4"/>
  <c r="H165" i="4"/>
  <c r="P164" i="4"/>
  <c r="H163" i="4"/>
  <c r="V161" i="4"/>
  <c r="M160" i="4"/>
  <c r="AA158" i="4"/>
  <c r="E156" i="4"/>
  <c r="M155" i="4"/>
  <c r="O153" i="4"/>
  <c r="K152" i="4"/>
  <c r="N151" i="4"/>
  <c r="G150" i="4"/>
  <c r="J149" i="4"/>
  <c r="W147" i="4"/>
  <c r="E147" i="4"/>
  <c r="D146" i="4"/>
  <c r="J142" i="4"/>
  <c r="C139" i="4"/>
  <c r="Q137" i="4"/>
  <c r="V136" i="4"/>
  <c r="F136" i="4"/>
  <c r="I133" i="4"/>
  <c r="M132" i="4"/>
  <c r="K129" i="4"/>
  <c r="T127" i="4"/>
  <c r="I127" i="4"/>
  <c r="F126" i="4"/>
  <c r="M125" i="4"/>
  <c r="Q124" i="4"/>
  <c r="AA121" i="4"/>
  <c r="J120" i="4"/>
  <c r="D117" i="4"/>
  <c r="I116" i="4"/>
  <c r="K115" i="4"/>
  <c r="Y113" i="4"/>
  <c r="G113" i="4"/>
  <c r="O112" i="4"/>
  <c r="W111" i="4"/>
  <c r="X110" i="4"/>
  <c r="X109" i="4"/>
  <c r="W108" i="4"/>
  <c r="D107" i="4"/>
  <c r="S102" i="4"/>
  <c r="F102" i="4"/>
  <c r="L101" i="4"/>
  <c r="S100" i="4"/>
  <c r="Z98" i="4"/>
  <c r="Y97" i="4"/>
  <c r="V96" i="4"/>
  <c r="G96" i="4"/>
  <c r="I93" i="4"/>
  <c r="J92" i="4"/>
  <c r="M90" i="4"/>
  <c r="Q87" i="4"/>
  <c r="P85" i="4"/>
  <c r="T84" i="4"/>
  <c r="E84" i="4"/>
  <c r="M83" i="4"/>
  <c r="S82" i="4"/>
  <c r="C81" i="4"/>
  <c r="P80" i="4"/>
  <c r="V78" i="4"/>
  <c r="D78" i="4"/>
  <c r="V75" i="4"/>
  <c r="K74" i="4"/>
  <c r="H73" i="4"/>
  <c r="X69" i="4"/>
  <c r="S68" i="4"/>
  <c r="C68" i="4"/>
  <c r="K67" i="4"/>
  <c r="M66" i="4"/>
  <c r="AA65" i="4"/>
  <c r="M65" i="4"/>
  <c r="P64" i="4"/>
  <c r="C64" i="4"/>
  <c r="K62" i="4"/>
  <c r="I61" i="4"/>
  <c r="R60" i="4"/>
  <c r="X58" i="4"/>
  <c r="H58" i="4"/>
  <c r="V56" i="4"/>
  <c r="H56" i="4"/>
  <c r="Q55" i="4"/>
  <c r="G55" i="4"/>
  <c r="R54" i="4"/>
  <c r="C54" i="4"/>
  <c r="O53" i="4"/>
  <c r="H52" i="4"/>
  <c r="T51" i="4"/>
  <c r="K51" i="4"/>
  <c r="Z50" i="4"/>
  <c r="O50" i="4"/>
  <c r="E50" i="4"/>
  <c r="R49" i="4"/>
  <c r="O48" i="4"/>
  <c r="W47" i="4"/>
  <c r="K47" i="4"/>
  <c r="C46" i="4"/>
  <c r="L45" i="4"/>
  <c r="T44" i="4"/>
  <c r="Q43" i="4"/>
  <c r="O42" i="4"/>
  <c r="M41" i="4"/>
  <c r="E40" i="4"/>
  <c r="D39" i="4"/>
  <c r="F35" i="4"/>
  <c r="L34" i="4"/>
  <c r="O33" i="4"/>
  <c r="Q32" i="4"/>
  <c r="H31" i="4"/>
  <c r="S30" i="4"/>
  <c r="D30" i="4"/>
  <c r="T28" i="4"/>
  <c r="M269" i="4"/>
  <c r="AA265" i="4"/>
  <c r="R263" i="4"/>
  <c r="C262" i="4"/>
  <c r="D255" i="4"/>
  <c r="F252" i="4"/>
  <c r="S248" i="4"/>
  <c r="C247" i="4"/>
  <c r="S245" i="4"/>
  <c r="Q241" i="4"/>
  <c r="H239" i="4"/>
  <c r="Z235" i="4"/>
  <c r="V234" i="4"/>
  <c r="V231" i="4"/>
  <c r="J230" i="4"/>
  <c r="AA228" i="4"/>
  <c r="D226" i="4"/>
  <c r="U224" i="4"/>
  <c r="H220" i="4"/>
  <c r="U218" i="4"/>
  <c r="G213" i="4"/>
  <c r="G209" i="4"/>
  <c r="C204" i="4"/>
  <c r="G198" i="4"/>
  <c r="U195" i="4"/>
  <c r="I193" i="4"/>
  <c r="Z189" i="4"/>
  <c r="S187" i="4"/>
  <c r="L186" i="4"/>
  <c r="N185" i="4"/>
  <c r="T184" i="4"/>
  <c r="Z183" i="4"/>
  <c r="L183" i="4"/>
  <c r="V182" i="4"/>
  <c r="AA181" i="4"/>
  <c r="X178" i="4"/>
  <c r="F178" i="4"/>
  <c r="R176" i="4"/>
  <c r="Q175" i="4"/>
  <c r="P173" i="4"/>
  <c r="E173" i="4"/>
  <c r="C172" i="4"/>
  <c r="M170" i="4"/>
  <c r="N169" i="4"/>
  <c r="Z168" i="4"/>
  <c r="G168" i="4"/>
  <c r="M167" i="4"/>
  <c r="S166" i="4"/>
  <c r="E163" i="4"/>
  <c r="L162" i="4"/>
  <c r="S161" i="4"/>
  <c r="Y158" i="4"/>
  <c r="G158" i="4"/>
  <c r="U156" i="4"/>
  <c r="L155" i="4"/>
  <c r="N154" i="4"/>
  <c r="G152" i="4"/>
  <c r="F150" i="4"/>
  <c r="W145" i="4"/>
  <c r="J145" i="4"/>
  <c r="H144" i="4"/>
  <c r="W266" i="4"/>
  <c r="AA261" i="4"/>
  <c r="C258" i="4"/>
  <c r="Z254" i="4"/>
  <c r="Q249" i="4"/>
  <c r="P242" i="4"/>
  <c r="M238" i="4"/>
  <c r="Y235" i="4"/>
  <c r="H233" i="4"/>
  <c r="T231" i="4"/>
  <c r="Y228" i="4"/>
  <c r="C228" i="4"/>
  <c r="Y225" i="4"/>
  <c r="S218" i="4"/>
  <c r="AA214" i="4"/>
  <c r="P210" i="4"/>
  <c r="E209" i="4"/>
  <c r="I208" i="4"/>
  <c r="E206" i="4"/>
  <c r="Z203" i="4"/>
  <c r="D202" i="4"/>
  <c r="I201" i="4"/>
  <c r="K200" i="4"/>
  <c r="E198" i="4"/>
  <c r="S195" i="4"/>
  <c r="M194" i="4"/>
  <c r="P191" i="4"/>
  <c r="P190" i="4"/>
  <c r="S188" i="4"/>
  <c r="Q187" i="4"/>
  <c r="Y186" i="4"/>
  <c r="K185" i="4"/>
  <c r="Y183" i="4"/>
  <c r="M180" i="4"/>
  <c r="H179" i="4"/>
  <c r="E177" i="4"/>
  <c r="M176" i="4"/>
  <c r="H174" i="4"/>
  <c r="O173" i="4"/>
  <c r="Y172" i="4"/>
  <c r="H171" i="4"/>
  <c r="E170" i="4"/>
  <c r="X168" i="4"/>
  <c r="N166" i="4"/>
  <c r="E165" i="4"/>
  <c r="N164" i="4"/>
  <c r="C163" i="4"/>
  <c r="I162" i="4"/>
  <c r="R161" i="4"/>
  <c r="Y159" i="4"/>
  <c r="X158" i="4"/>
  <c r="F158" i="4"/>
  <c r="AA155" i="4"/>
  <c r="F153" i="4"/>
  <c r="F152" i="4"/>
  <c r="U150" i="4"/>
  <c r="AA149" i="4"/>
  <c r="R147" i="4"/>
  <c r="U260" i="4"/>
  <c r="Z257" i="4"/>
  <c r="X254" i="4"/>
  <c r="Q250" i="4"/>
  <c r="P249" i="4"/>
  <c r="V246" i="4"/>
  <c r="Z236" i="4"/>
  <c r="G233" i="4"/>
  <c r="Y227" i="4"/>
  <c r="R226" i="4"/>
  <c r="P222" i="4"/>
  <c r="R218" i="4"/>
  <c r="M216" i="4"/>
  <c r="W214" i="4"/>
  <c r="S211" i="4"/>
  <c r="Y208" i="4"/>
  <c r="AA204" i="4"/>
  <c r="W203" i="4"/>
  <c r="Q202" i="4"/>
  <c r="E199" i="4"/>
  <c r="L194" i="4"/>
  <c r="S192" i="4"/>
  <c r="O191" i="4"/>
  <c r="O190" i="4"/>
  <c r="W189" i="4"/>
  <c r="N184" i="4"/>
  <c r="J183" i="4"/>
  <c r="P181" i="4"/>
  <c r="G179" i="4"/>
  <c r="S178" i="4"/>
  <c r="C178" i="4"/>
  <c r="L176" i="4"/>
  <c r="K175" i="4"/>
  <c r="E174" i="4"/>
  <c r="N173" i="4"/>
  <c r="X172" i="4"/>
  <c r="G171" i="4"/>
  <c r="Z169" i="4"/>
  <c r="W168" i="4"/>
  <c r="C168" i="4"/>
  <c r="I167" i="4"/>
  <c r="M166" i="4"/>
  <c r="M164" i="4"/>
  <c r="AA162" i="4"/>
  <c r="E162" i="4"/>
  <c r="O161" i="4"/>
  <c r="U160" i="4"/>
  <c r="T158" i="4"/>
  <c r="P156" i="4"/>
  <c r="G155" i="4"/>
  <c r="J154" i="4"/>
  <c r="E152" i="4"/>
  <c r="T150" i="4"/>
  <c r="U149" i="4"/>
  <c r="AA148" i="4"/>
  <c r="P147" i="4"/>
  <c r="L146" i="4"/>
  <c r="T145" i="4"/>
  <c r="AA267" i="4"/>
  <c r="Q265" i="4"/>
  <c r="G264" i="4"/>
  <c r="T255" i="4"/>
  <c r="J253" i="4"/>
  <c r="O250" i="4"/>
  <c r="N247" i="4"/>
  <c r="J245" i="4"/>
  <c r="E244" i="4"/>
  <c r="J240" i="4"/>
  <c r="N234" i="4"/>
  <c r="M231" i="4"/>
  <c r="D230" i="4"/>
  <c r="U228" i="4"/>
  <c r="P226" i="4"/>
  <c r="T225" i="4"/>
  <c r="R219" i="4"/>
  <c r="O218" i="4"/>
  <c r="T212" i="4"/>
  <c r="I207" i="4"/>
  <c r="S205" i="4"/>
  <c r="Z204" i="4"/>
  <c r="U203" i="4"/>
  <c r="P202" i="4"/>
  <c r="Y201" i="4"/>
  <c r="D199" i="4"/>
  <c r="N196" i="4"/>
  <c r="H194" i="4"/>
  <c r="O192" i="4"/>
  <c r="K188" i="4"/>
  <c r="G186" i="4"/>
  <c r="M184" i="4"/>
  <c r="H183" i="4"/>
  <c r="K182" i="4"/>
  <c r="O181" i="4"/>
  <c r="G180" i="4"/>
  <c r="E179" i="4"/>
  <c r="U177" i="4"/>
  <c r="D176" i="4"/>
  <c r="I175" i="4"/>
  <c r="D174" i="4"/>
  <c r="L173" i="4"/>
  <c r="W171" i="4"/>
  <c r="D171" i="4"/>
  <c r="J169" i="4"/>
  <c r="AA167" i="4"/>
  <c r="H167" i="4"/>
  <c r="L166" i="4"/>
  <c r="X164" i="4"/>
  <c r="R163" i="4"/>
  <c r="K161" i="4"/>
  <c r="Q160" i="4"/>
  <c r="Q159" i="4"/>
  <c r="AA157" i="4"/>
  <c r="H157" i="4"/>
  <c r="J156" i="4"/>
  <c r="X155" i="4"/>
  <c r="D152" i="4"/>
  <c r="R150" i="4"/>
  <c r="F148" i="4"/>
  <c r="K146" i="4"/>
  <c r="S145" i="4"/>
  <c r="X267" i="4"/>
  <c r="P265" i="4"/>
  <c r="AA262" i="4"/>
  <c r="P260" i="4"/>
  <c r="S256" i="4"/>
  <c r="M254" i="4"/>
  <c r="H253" i="4"/>
  <c r="I248" i="4"/>
  <c r="L247" i="4"/>
  <c r="E245" i="4"/>
  <c r="J242" i="4"/>
  <c r="C241" i="4"/>
  <c r="V237" i="4"/>
  <c r="O226" i="4"/>
  <c r="C224" i="4"/>
  <c r="I223" i="4"/>
  <c r="Q219" i="4"/>
  <c r="F216" i="4"/>
  <c r="R212" i="4"/>
  <c r="L211" i="4"/>
  <c r="D210" i="4"/>
  <c r="Z207" i="4"/>
  <c r="Y206" i="4"/>
  <c r="P205" i="4"/>
  <c r="X201" i="4"/>
  <c r="X200" i="4"/>
  <c r="C200" i="4"/>
  <c r="P197" i="4"/>
  <c r="K192" i="4"/>
  <c r="M189" i="4"/>
  <c r="G187" i="4"/>
  <c r="F185" i="4"/>
  <c r="K184" i="4"/>
  <c r="U183" i="4"/>
  <c r="F183" i="4"/>
  <c r="I182" i="4"/>
  <c r="N181" i="4"/>
  <c r="V180" i="4"/>
  <c r="N178" i="4"/>
  <c r="Y176" i="4"/>
  <c r="AA175" i="4"/>
  <c r="Z174" i="4"/>
  <c r="C174" i="4"/>
  <c r="K173" i="4"/>
  <c r="N172" i="4"/>
  <c r="V171" i="4"/>
  <c r="C171" i="4"/>
  <c r="I169" i="4"/>
  <c r="F167" i="4"/>
  <c r="J166" i="4"/>
  <c r="K164" i="4"/>
  <c r="M163" i="4"/>
  <c r="Y162" i="4"/>
  <c r="P158" i="4"/>
  <c r="G157" i="4"/>
  <c r="V155" i="4"/>
  <c r="Z154" i="4"/>
  <c r="V152" i="4"/>
  <c r="K150" i="4"/>
  <c r="J146" i="4"/>
  <c r="Q145" i="4"/>
  <c r="W142" i="4"/>
  <c r="H141" i="4"/>
  <c r="J139" i="4"/>
  <c r="N138" i="4"/>
  <c r="U137" i="4"/>
  <c r="Q135" i="4"/>
  <c r="N134" i="4"/>
  <c r="C133" i="4"/>
  <c r="D132" i="4"/>
  <c r="P130" i="4"/>
  <c r="O129" i="4"/>
  <c r="U128" i="4"/>
  <c r="U126" i="4"/>
  <c r="P125" i="4"/>
  <c r="X124" i="4"/>
  <c r="R123" i="4"/>
  <c r="W119" i="4"/>
  <c r="I118" i="4"/>
  <c r="P117" i="4"/>
  <c r="Q116" i="4"/>
  <c r="C115" i="4"/>
  <c r="L113" i="4"/>
  <c r="F110" i="4"/>
  <c r="I108" i="4"/>
  <c r="J107" i="4"/>
  <c r="I105" i="4"/>
  <c r="R103" i="4"/>
  <c r="D103" i="4"/>
  <c r="R101" i="4"/>
  <c r="Y100" i="4"/>
  <c r="R99" i="4"/>
  <c r="K98" i="4"/>
  <c r="N96" i="4"/>
  <c r="O95" i="4"/>
  <c r="AA94" i="4"/>
  <c r="D94" i="4"/>
  <c r="M93" i="4"/>
  <c r="S92" i="4"/>
  <c r="D91" i="4"/>
  <c r="Q90" i="4"/>
  <c r="Y89" i="4"/>
  <c r="K89" i="4"/>
  <c r="R88" i="4"/>
  <c r="C88" i="4"/>
  <c r="Z86" i="4"/>
  <c r="L86" i="4"/>
  <c r="J84" i="4"/>
  <c r="F83" i="4"/>
  <c r="I82" i="4"/>
  <c r="G81" i="4"/>
  <c r="V80" i="4"/>
  <c r="I79" i="4"/>
  <c r="AA76" i="4"/>
  <c r="G76" i="4"/>
  <c r="K75" i="4"/>
  <c r="T74" i="4"/>
  <c r="N73" i="4"/>
  <c r="Y72" i="4"/>
  <c r="F72" i="4"/>
  <c r="E70" i="4"/>
  <c r="V68" i="4"/>
  <c r="K68" i="4"/>
  <c r="N67" i="4"/>
  <c r="Q66" i="4"/>
  <c r="E66" i="4"/>
  <c r="S65" i="4"/>
  <c r="Z64" i="4"/>
  <c r="H64" i="4"/>
  <c r="W63" i="4"/>
  <c r="U62" i="4"/>
  <c r="Z60" i="4"/>
  <c r="AA58" i="4"/>
  <c r="S58" i="4"/>
  <c r="Z57" i="4"/>
  <c r="D57" i="4"/>
  <c r="J55" i="4"/>
  <c r="V54" i="4"/>
  <c r="H54" i="4"/>
  <c r="S53" i="4"/>
  <c r="I53" i="4"/>
  <c r="V52" i="4"/>
  <c r="K52" i="4"/>
  <c r="Z51" i="4"/>
  <c r="N51" i="4"/>
  <c r="D51" i="4"/>
  <c r="S50" i="4"/>
  <c r="Y49" i="4"/>
  <c r="E48" i="4"/>
  <c r="W46" i="4"/>
  <c r="J46" i="4"/>
  <c r="T45" i="4"/>
  <c r="AA44" i="4"/>
  <c r="G43" i="4"/>
  <c r="I42" i="4"/>
  <c r="U41" i="4"/>
  <c r="J40" i="4"/>
  <c r="Z39" i="4"/>
  <c r="J39" i="4"/>
  <c r="AA37" i="4"/>
  <c r="AA36" i="4"/>
  <c r="J35" i="4"/>
  <c r="Q34" i="4"/>
  <c r="F33" i="4"/>
  <c r="T32" i="4"/>
  <c r="F32" i="4"/>
  <c r="Y30" i="4"/>
  <c r="J30" i="4"/>
  <c r="E29" i="4"/>
  <c r="E9" i="4"/>
  <c r="D11" i="4"/>
  <c r="C14" i="4"/>
  <c r="M18" i="4"/>
  <c r="J25" i="4"/>
  <c r="C28" i="4"/>
  <c r="D38" i="4"/>
  <c r="D44" i="4"/>
  <c r="C50" i="4"/>
  <c r="X53" i="4"/>
  <c r="AA63" i="4"/>
  <c r="R67" i="4"/>
  <c r="Q70" i="4"/>
  <c r="F73" i="4"/>
  <c r="G77" i="4"/>
  <c r="Z91" i="4"/>
  <c r="T9" i="4"/>
  <c r="I12" i="4"/>
  <c r="E14" i="4"/>
  <c r="D18" i="4"/>
  <c r="U20" i="4"/>
  <c r="H24" i="4"/>
  <c r="O26" i="4"/>
  <c r="P37" i="4"/>
  <c r="V41" i="4"/>
  <c r="X45" i="4"/>
  <c r="O51" i="4"/>
  <c r="Y54" i="4"/>
  <c r="AA62" i="4"/>
  <c r="G73" i="4"/>
  <c r="J79" i="4"/>
  <c r="Z83" i="4"/>
  <c r="P89" i="4"/>
  <c r="D7" i="4"/>
  <c r="W16" i="4"/>
  <c r="H22" i="4"/>
  <c r="D31" i="4"/>
  <c r="D37" i="4"/>
  <c r="J38" i="4"/>
  <c r="N49" i="4"/>
  <c r="L53" i="4"/>
  <c r="AA57" i="4"/>
  <c r="G63" i="4"/>
  <c r="K77" i="4"/>
  <c r="AA85" i="4"/>
  <c r="O93" i="4"/>
  <c r="P124" i="4"/>
  <c r="AE66" i="4"/>
  <c r="AE99" i="4"/>
  <c r="AE50" i="4"/>
  <c r="AE31" i="4"/>
  <c r="AE81" i="4"/>
  <c r="AE40" i="4"/>
  <c r="C12" i="2"/>
  <c r="E16" i="3"/>
  <c r="F16" i="3" s="1"/>
  <c r="D6" i="4"/>
  <c r="J7" i="4"/>
  <c r="Q8" i="4"/>
  <c r="X9" i="4"/>
  <c r="Y11" i="4"/>
  <c r="K13" i="4"/>
  <c r="Q15" i="4"/>
  <c r="C13" i="2"/>
  <c r="G6" i="4"/>
  <c r="V6" i="4"/>
  <c r="C8" i="4"/>
  <c r="S8" i="4"/>
  <c r="L9" i="4"/>
  <c r="AA9" i="4"/>
  <c r="AA10" i="4"/>
  <c r="Q11" i="4"/>
  <c r="Z11" i="4"/>
  <c r="X13" i="4"/>
  <c r="P14" i="4"/>
  <c r="C15" i="4"/>
  <c r="R15" i="4"/>
  <c r="AA15" i="4"/>
  <c r="P16" i="4"/>
  <c r="AE16" i="4"/>
  <c r="V17" i="4"/>
  <c r="I18" i="4"/>
  <c r="AA19" i="4"/>
  <c r="F21" i="4"/>
  <c r="X21" i="4"/>
  <c r="P22" i="4"/>
  <c r="F23" i="4"/>
  <c r="O24" i="4"/>
  <c r="D25" i="4"/>
  <c r="Q25" i="4"/>
  <c r="F26" i="4"/>
  <c r="AA26" i="4"/>
  <c r="T27" i="4"/>
  <c r="Q28" i="4"/>
  <c r="M30" i="4"/>
  <c r="G32" i="4"/>
  <c r="Z32" i="4"/>
  <c r="W34" i="4"/>
  <c r="P39" i="4"/>
  <c r="F41" i="4"/>
  <c r="W42" i="4"/>
  <c r="N44" i="4"/>
  <c r="F45" i="4"/>
  <c r="J48" i="4"/>
  <c r="D49" i="4"/>
  <c r="M50" i="4"/>
  <c r="F51" i="4"/>
  <c r="O52" i="4"/>
  <c r="D53" i="4"/>
  <c r="M55" i="4"/>
  <c r="G58" i="4"/>
  <c r="X63" i="4"/>
  <c r="O64" i="4"/>
  <c r="X65" i="4"/>
  <c r="T66" i="4"/>
  <c r="H67" i="4"/>
  <c r="M68" i="4"/>
  <c r="J70" i="4"/>
  <c r="Z70" i="4"/>
  <c r="Q73" i="4"/>
  <c r="M75" i="4"/>
  <c r="O78" i="4"/>
  <c r="W80" i="4"/>
  <c r="O84" i="4"/>
  <c r="F90" i="4"/>
  <c r="L100" i="4"/>
  <c r="V109" i="4"/>
  <c r="O111" i="4"/>
  <c r="N112" i="4"/>
  <c r="S114" i="4"/>
  <c r="J115" i="4"/>
  <c r="P120" i="4"/>
  <c r="J125" i="4"/>
  <c r="R129" i="4"/>
  <c r="I132" i="4"/>
  <c r="E25" i="6"/>
  <c r="E25" i="3"/>
  <c r="F25" i="3" s="1"/>
  <c r="W9" i="4"/>
  <c r="O18" i="4"/>
  <c r="M20" i="4"/>
  <c r="AA21" i="4"/>
  <c r="P24" i="4"/>
  <c r="G26" i="4"/>
  <c r="V33" i="4"/>
  <c r="S35" i="4"/>
  <c r="C38" i="4"/>
  <c r="Q54" i="4"/>
  <c r="K59" i="4"/>
  <c r="M60" i="4"/>
  <c r="Q62" i="4"/>
  <c r="N65" i="4"/>
  <c r="H70" i="4"/>
  <c r="O74" i="4"/>
  <c r="G82" i="4"/>
  <c r="E28" i="3"/>
  <c r="F28" i="3" s="1"/>
  <c r="H6" i="4"/>
  <c r="N8" i="4"/>
  <c r="Y8" i="4"/>
  <c r="T10" i="4"/>
  <c r="K11" i="4"/>
  <c r="U11" i="4"/>
  <c r="K12" i="4"/>
  <c r="D13" i="4"/>
  <c r="I14" i="4"/>
  <c r="X16" i="4"/>
  <c r="F17" i="4"/>
  <c r="T18" i="4"/>
  <c r="M19" i="4"/>
  <c r="U25" i="4"/>
  <c r="M26" i="4"/>
  <c r="F27" i="4"/>
  <c r="L28" i="4"/>
  <c r="Z28" i="4"/>
  <c r="R30" i="4"/>
  <c r="P32" i="4"/>
  <c r="V34" i="4"/>
  <c r="D35" i="4"/>
  <c r="O39" i="4"/>
  <c r="Y39" i="4"/>
  <c r="N40" i="4"/>
  <c r="Y40" i="4"/>
  <c r="G41" i="4"/>
  <c r="J44" i="4"/>
  <c r="S44" i="4"/>
  <c r="K45" i="4"/>
  <c r="AA46" i="4"/>
  <c r="H47" i="4"/>
  <c r="AE47" i="4"/>
  <c r="I48" i="4"/>
  <c r="M49" i="4"/>
  <c r="X49" i="4"/>
  <c r="U50" i="4"/>
  <c r="U52" i="4"/>
  <c r="K53" i="4"/>
  <c r="T53" i="4"/>
  <c r="J54" i="4"/>
  <c r="Q56" i="4"/>
  <c r="AE56" i="4"/>
  <c r="X57" i="4"/>
  <c r="D58" i="4"/>
  <c r="N58" i="4"/>
  <c r="T60" i="4"/>
  <c r="L61" i="4"/>
  <c r="AA61" i="4"/>
  <c r="I62" i="4"/>
  <c r="X62" i="4"/>
  <c r="G65" i="4"/>
  <c r="U65" i="4"/>
  <c r="AE65" i="4"/>
  <c r="V67" i="4"/>
  <c r="E68" i="4"/>
  <c r="R68" i="4"/>
  <c r="K69" i="4"/>
  <c r="G71" i="4"/>
  <c r="X72" i="4"/>
  <c r="I74" i="4"/>
  <c r="U76" i="4"/>
  <c r="D77" i="4"/>
  <c r="C78" i="4"/>
  <c r="R78" i="4"/>
  <c r="Z81" i="4"/>
  <c r="C86" i="4"/>
  <c r="S87" i="4"/>
  <c r="H90" i="4"/>
  <c r="M92" i="4"/>
  <c r="L93" i="4"/>
  <c r="M94" i="4"/>
  <c r="P98" i="4"/>
  <c r="G99" i="4"/>
  <c r="W99" i="4"/>
  <c r="T102" i="4"/>
  <c r="P106" i="4"/>
  <c r="U108" i="4"/>
  <c r="T87" i="4"/>
  <c r="Q95" i="4"/>
  <c r="G98" i="4"/>
  <c r="Q98" i="4"/>
  <c r="H99" i="4"/>
  <c r="X104" i="4"/>
  <c r="Q106" i="4"/>
  <c r="P107" i="4"/>
  <c r="V108" i="4"/>
  <c r="N109" i="4"/>
  <c r="E86" i="4"/>
  <c r="E91" i="4"/>
  <c r="C93" i="4"/>
  <c r="Q96" i="4"/>
  <c r="H98" i="4"/>
  <c r="Z103" i="4"/>
  <c r="Y104" i="4"/>
  <c r="F107" i="4"/>
  <c r="Z89" i="4"/>
  <c r="F91" i="4"/>
  <c r="P91" i="4"/>
  <c r="C94" i="4"/>
  <c r="S95" i="4"/>
  <c r="R97" i="4"/>
  <c r="M99" i="4"/>
  <c r="M100" i="4"/>
  <c r="AA103" i="4"/>
  <c r="P104" i="4"/>
  <c r="Z104" i="4"/>
  <c r="L108" i="4"/>
  <c r="Q111" i="4"/>
  <c r="L27" i="4"/>
  <c r="O7" i="4"/>
  <c r="T19" i="4"/>
  <c r="F25" i="4"/>
  <c r="U26" i="4"/>
  <c r="L29" i="4"/>
  <c r="O31" i="4"/>
  <c r="O34" i="4"/>
  <c r="T36" i="4"/>
  <c r="P38" i="4"/>
  <c r="H40" i="4"/>
  <c r="Y53" i="4"/>
  <c r="W56" i="4"/>
  <c r="V64" i="4"/>
  <c r="F67" i="4"/>
  <c r="Z69" i="4"/>
  <c r="X73" i="4"/>
  <c r="Z78" i="4"/>
  <c r="F85" i="4"/>
  <c r="T92" i="4"/>
  <c r="S96" i="4"/>
  <c r="W97" i="4"/>
  <c r="Y98" i="4"/>
  <c r="N100" i="4"/>
  <c r="C103" i="4"/>
  <c r="Q104" i="4"/>
  <c r="AA104" i="4"/>
  <c r="Q105" i="4"/>
  <c r="H107" i="4"/>
  <c r="M108" i="4"/>
  <c r="C109" i="4"/>
  <c r="AE503" i="4"/>
  <c r="AE495" i="4"/>
  <c r="AE487" i="4"/>
  <c r="AE502" i="4"/>
  <c r="AE494" i="4"/>
  <c r="AE486" i="4"/>
  <c r="AE498" i="4"/>
  <c r="AE490" i="4"/>
  <c r="AE505" i="4"/>
  <c r="AE504" i="4"/>
  <c r="AE496" i="4"/>
  <c r="AE488" i="4"/>
  <c r="AE500" i="4"/>
  <c r="AE476" i="4"/>
  <c r="AE468" i="4"/>
  <c r="AE501" i="4"/>
  <c r="AE491" i="4"/>
  <c r="AE483" i="4"/>
  <c r="AE481" i="4"/>
  <c r="AE475" i="4"/>
  <c r="AE467" i="4"/>
  <c r="AE474" i="4"/>
  <c r="AE497" i="4"/>
  <c r="AE493" i="4"/>
  <c r="AE485" i="4"/>
  <c r="AE477" i="4"/>
  <c r="AE469" i="4"/>
  <c r="AE473" i="4"/>
  <c r="AE466" i="4"/>
  <c r="AE465" i="4"/>
  <c r="AE458" i="4"/>
  <c r="AE472" i="4"/>
  <c r="AE470" i="4"/>
  <c r="AE457" i="4"/>
  <c r="AE480" i="4"/>
  <c r="AE478" i="4"/>
  <c r="AE456" i="4"/>
  <c r="AE492" i="4"/>
  <c r="AE484" i="4"/>
  <c r="AE482" i="4"/>
  <c r="AE499" i="4"/>
  <c r="AE479" i="4"/>
  <c r="AE459" i="4"/>
  <c r="AE489" i="4"/>
  <c r="AE446" i="4"/>
  <c r="AE438" i="4"/>
  <c r="AE463" i="4"/>
  <c r="AE462" i="4"/>
  <c r="AE445" i="4"/>
  <c r="AE437" i="4"/>
  <c r="AE460" i="4"/>
  <c r="AE444" i="4"/>
  <c r="AE436" i="4"/>
  <c r="AE471" i="4"/>
  <c r="AE447" i="4"/>
  <c r="AE439" i="4"/>
  <c r="AE434" i="4"/>
  <c r="AE433" i="4"/>
  <c r="AE425" i="4"/>
  <c r="AE417" i="4"/>
  <c r="AE409" i="4"/>
  <c r="AE401" i="4"/>
  <c r="AE393" i="4"/>
  <c r="AE464" i="4"/>
  <c r="AE454" i="4"/>
  <c r="AE440" i="4"/>
  <c r="AE432" i="4"/>
  <c r="AE424" i="4"/>
  <c r="AE416" i="4"/>
  <c r="AE408" i="4"/>
  <c r="AE400" i="4"/>
  <c r="AE392" i="4"/>
  <c r="AE451" i="4"/>
  <c r="AE443" i="4"/>
  <c r="AE442" i="4"/>
  <c r="AE441" i="4"/>
  <c r="AE431" i="4"/>
  <c r="AE423" i="4"/>
  <c r="AE415" i="4"/>
  <c r="AE407" i="4"/>
  <c r="AE399" i="4"/>
  <c r="AE461" i="4"/>
  <c r="AE452" i="4"/>
  <c r="AE435" i="4"/>
  <c r="AE430" i="4"/>
  <c r="AE429" i="4"/>
  <c r="AE455" i="4"/>
  <c r="AE449" i="4"/>
  <c r="AE448" i="4"/>
  <c r="AE428" i="4"/>
  <c r="AE450" i="4"/>
  <c r="AE453" i="4"/>
  <c r="AE426" i="4"/>
  <c r="AE418" i="4"/>
  <c r="AE410" i="4"/>
  <c r="AE402" i="4"/>
  <c r="AE394" i="4"/>
  <c r="AE421" i="4"/>
  <c r="AE411" i="4"/>
  <c r="AE406" i="4"/>
  <c r="AE403" i="4"/>
  <c r="AE382" i="4"/>
  <c r="AE374" i="4"/>
  <c r="AE366" i="4"/>
  <c r="AE358" i="4"/>
  <c r="AE419" i="4"/>
  <c r="AE414" i="4"/>
  <c r="AE404" i="4"/>
  <c r="AE390" i="4"/>
  <c r="AE389" i="4"/>
  <c r="AE381" i="4"/>
  <c r="AE373" i="4"/>
  <c r="AE365" i="4"/>
  <c r="AE357" i="4"/>
  <c r="AE422" i="4"/>
  <c r="AE412" i="4"/>
  <c r="AE398" i="4"/>
  <c r="AE388" i="4"/>
  <c r="AE380" i="4"/>
  <c r="AE372" i="4"/>
  <c r="AE364" i="4"/>
  <c r="AE356" i="4"/>
  <c r="AE427" i="4"/>
  <c r="AE383" i="4"/>
  <c r="AE375" i="4"/>
  <c r="AE367" i="4"/>
  <c r="AE359" i="4"/>
  <c r="AE385" i="4"/>
  <c r="AE378" i="4"/>
  <c r="AE362" i="4"/>
  <c r="AE351" i="4"/>
  <c r="AE343" i="4"/>
  <c r="AE335" i="4"/>
  <c r="AE396" i="4"/>
  <c r="AE395" i="4"/>
  <c r="AE386" i="4"/>
  <c r="AE376" i="4"/>
  <c r="AE350" i="4"/>
  <c r="AE342" i="4"/>
  <c r="AE334" i="4"/>
  <c r="AE326" i="4"/>
  <c r="AE420" i="4"/>
  <c r="AE405" i="4"/>
  <c r="AE370" i="4"/>
  <c r="AE349" i="4"/>
  <c r="AE341" i="4"/>
  <c r="AE333" i="4"/>
  <c r="AE325" i="4"/>
  <c r="AE387" i="4"/>
  <c r="AE379" i="4"/>
  <c r="AE413" i="4"/>
  <c r="AE391" i="4"/>
  <c r="AE368" i="4"/>
  <c r="AE363" i="4"/>
  <c r="AE352" i="4"/>
  <c r="AE344" i="4"/>
  <c r="AE336" i="4"/>
  <c r="AE328" i="4"/>
  <c r="AE384" i="4"/>
  <c r="AE369" i="4"/>
  <c r="AE338" i="4"/>
  <c r="AE319" i="4"/>
  <c r="AE311" i="4"/>
  <c r="AE303" i="4"/>
  <c r="AE295" i="4"/>
  <c r="AE353" i="4"/>
  <c r="AE318" i="4"/>
  <c r="AE310" i="4"/>
  <c r="AE302" i="4"/>
  <c r="AE294" i="4"/>
  <c r="AE377" i="4"/>
  <c r="AE331" i="4"/>
  <c r="AE317" i="4"/>
  <c r="AE309" i="4"/>
  <c r="AE301" i="4"/>
  <c r="AE293" i="4"/>
  <c r="AE397" i="4"/>
  <c r="AE361" i="4"/>
  <c r="AE360" i="4"/>
  <c r="AE355" i="4"/>
  <c r="AE348" i="4"/>
  <c r="AE347" i="4"/>
  <c r="AE320" i="4"/>
  <c r="AE312" i="4"/>
  <c r="AE304" i="4"/>
  <c r="AE296" i="4"/>
  <c r="AE354" i="4"/>
  <c r="AE308" i="4"/>
  <c r="AE292" i="4"/>
  <c r="AE285" i="4"/>
  <c r="AE277" i="4"/>
  <c r="AE269" i="4"/>
  <c r="AE261" i="4"/>
  <c r="AE253" i="4"/>
  <c r="AE245" i="4"/>
  <c r="AE237" i="4"/>
  <c r="AE229" i="4"/>
  <c r="AE221" i="4"/>
  <c r="AE337" i="4"/>
  <c r="AE324" i="4"/>
  <c r="AE322" i="4"/>
  <c r="AE305" i="4"/>
  <c r="AE284" i="4"/>
  <c r="AE276" i="4"/>
  <c r="AE268" i="4"/>
  <c r="AE260" i="4"/>
  <c r="AE252" i="4"/>
  <c r="AE244" i="4"/>
  <c r="AE236" i="4"/>
  <c r="AE228" i="4"/>
  <c r="AE220" i="4"/>
  <c r="AE283" i="4"/>
  <c r="AE275" i="4"/>
  <c r="AE267" i="4"/>
  <c r="AE259" i="4"/>
  <c r="AE251" i="4"/>
  <c r="AE243" i="4"/>
  <c r="AE235" i="4"/>
  <c r="AE227" i="4"/>
  <c r="AE219" i="4"/>
  <c r="AE346" i="4"/>
  <c r="AE340" i="4"/>
  <c r="AE339" i="4"/>
  <c r="AE313" i="4"/>
  <c r="AE300" i="4"/>
  <c r="AE298" i="4"/>
  <c r="AE332" i="4"/>
  <c r="AE329" i="4"/>
  <c r="AE323" i="4"/>
  <c r="AE306" i="4"/>
  <c r="AE327" i="4"/>
  <c r="AE321" i="4"/>
  <c r="AE316" i="4"/>
  <c r="AE345" i="4"/>
  <c r="AE330" i="4"/>
  <c r="AE314" i="4"/>
  <c r="AE371" i="4"/>
  <c r="AE315" i="4"/>
  <c r="AE307" i="4"/>
  <c r="AE299" i="4"/>
  <c r="AE297" i="4"/>
  <c r="AE291" i="4"/>
  <c r="AE286" i="4"/>
  <c r="AE278" i="4"/>
  <c r="AE270" i="4"/>
  <c r="AE262" i="4"/>
  <c r="AE254" i="4"/>
  <c r="AE246" i="4"/>
  <c r="AE238" i="4"/>
  <c r="AE230" i="4"/>
  <c r="AE222" i="4"/>
  <c r="AE239" i="4"/>
  <c r="AE234" i="4"/>
  <c r="AE214" i="4"/>
  <c r="AE206" i="4"/>
  <c r="AE198" i="4"/>
  <c r="AE190" i="4"/>
  <c r="AE182" i="4"/>
  <c r="AE174" i="4"/>
  <c r="AE166" i="4"/>
  <c r="AE158" i="4"/>
  <c r="AE150" i="4"/>
  <c r="AE142" i="4"/>
  <c r="AE274" i="4"/>
  <c r="AE271" i="4"/>
  <c r="AE264" i="4"/>
  <c r="AE249" i="4"/>
  <c r="AE224" i="4"/>
  <c r="AE217" i="4"/>
  <c r="AE213" i="4"/>
  <c r="AE205" i="4"/>
  <c r="AE197" i="4"/>
  <c r="AE189" i="4"/>
  <c r="AE181" i="4"/>
  <c r="AE173" i="4"/>
  <c r="AE165" i="4"/>
  <c r="AE157" i="4"/>
  <c r="AE149" i="4"/>
  <c r="AE141" i="4"/>
  <c r="AE288" i="4"/>
  <c r="AE265" i="4"/>
  <c r="AE247" i="4"/>
  <c r="AE231" i="4"/>
  <c r="AE212" i="4"/>
  <c r="AE204" i="4"/>
  <c r="AE196" i="4"/>
  <c r="AE188" i="4"/>
  <c r="AE180" i="4"/>
  <c r="AE172" i="4"/>
  <c r="AE164" i="4"/>
  <c r="AE156" i="4"/>
  <c r="AE148" i="4"/>
  <c r="AE140" i="4"/>
  <c r="AE290" i="4"/>
  <c r="AE256" i="4"/>
  <c r="AE242" i="4"/>
  <c r="AE240" i="4"/>
  <c r="AE282" i="4"/>
  <c r="AE272" i="4"/>
  <c r="AE266" i="4"/>
  <c r="AE241" i="4"/>
  <c r="AE289" i="4"/>
  <c r="AE279" i="4"/>
  <c r="AE250" i="4"/>
  <c r="AE280" i="4"/>
  <c r="AE263" i="4"/>
  <c r="AE255" i="4"/>
  <c r="AE287" i="4"/>
  <c r="AE281" i="4"/>
  <c r="AE273" i="4"/>
  <c r="AE258" i="4"/>
  <c r="AE257" i="4"/>
  <c r="AE248" i="4"/>
  <c r="AE223" i="4"/>
  <c r="AE218" i="4"/>
  <c r="AE215" i="4"/>
  <c r="AE207" i="4"/>
  <c r="AE199" i="4"/>
  <c r="AE191" i="4"/>
  <c r="AE183" i="4"/>
  <c r="AE175" i="4"/>
  <c r="AE167" i="4"/>
  <c r="AE159" i="4"/>
  <c r="AE151" i="4"/>
  <c r="AE143" i="4"/>
  <c r="AE200" i="4"/>
  <c r="AE192" i="4"/>
  <c r="AE153" i="4"/>
  <c r="AE147" i="4"/>
  <c r="AE135" i="4"/>
  <c r="AE127" i="4"/>
  <c r="AE119" i="4"/>
  <c r="AE111" i="4"/>
  <c r="AE103" i="4"/>
  <c r="AE95" i="4"/>
  <c r="AE87" i="4"/>
  <c r="AE79" i="4"/>
  <c r="AE210" i="4"/>
  <c r="AE184" i="4"/>
  <c r="AE171" i="4"/>
  <c r="AE163" i="4"/>
  <c r="AE154" i="4"/>
  <c r="AE134" i="4"/>
  <c r="AE126" i="4"/>
  <c r="AE118" i="4"/>
  <c r="AE110" i="4"/>
  <c r="AE102" i="4"/>
  <c r="AE94" i="4"/>
  <c r="AE86" i="4"/>
  <c r="AE78" i="4"/>
  <c r="AE232" i="4"/>
  <c r="AE226" i="4"/>
  <c r="AE193" i="4"/>
  <c r="AE179" i="4"/>
  <c r="AE170" i="4"/>
  <c r="AE133" i="4"/>
  <c r="AE125" i="4"/>
  <c r="AE117" i="4"/>
  <c r="AE109" i="4"/>
  <c r="AE101" i="4"/>
  <c r="AE93" i="4"/>
  <c r="AE85" i="4"/>
  <c r="AE77" i="4"/>
  <c r="AE216" i="4"/>
  <c r="AE201" i="4"/>
  <c r="AE186" i="4"/>
  <c r="AE185" i="4"/>
  <c r="AE225" i="4"/>
  <c r="AE211" i="4"/>
  <c r="AE208" i="4"/>
  <c r="AE202" i="4"/>
  <c r="AE187" i="4"/>
  <c r="AE233" i="4"/>
  <c r="AE203" i="4"/>
  <c r="AE194" i="4"/>
  <c r="AE176" i="4"/>
  <c r="AE209" i="4"/>
  <c r="AE195" i="4"/>
  <c r="AE177" i="4"/>
  <c r="AE178" i="4"/>
  <c r="AE162" i="4"/>
  <c r="AE136" i="4"/>
  <c r="AE128" i="4"/>
  <c r="AE120" i="4"/>
  <c r="AE112" i="4"/>
  <c r="AE104" i="4"/>
  <c r="AE96" i="4"/>
  <c r="AE88" i="4"/>
  <c r="AE80" i="4"/>
  <c r="AE72" i="4"/>
  <c r="AE168" i="4"/>
  <c r="AE122" i="4"/>
  <c r="AE100" i="4"/>
  <c r="AE74" i="4"/>
  <c r="AE69" i="4"/>
  <c r="AE61" i="4"/>
  <c r="AE53" i="4"/>
  <c r="AE45" i="4"/>
  <c r="AE37" i="4"/>
  <c r="AE29" i="4"/>
  <c r="AE21" i="4"/>
  <c r="AE13" i="4"/>
  <c r="C14" i="2"/>
  <c r="AE155" i="4"/>
  <c r="AE145" i="4"/>
  <c r="AE137" i="4"/>
  <c r="AE131" i="4"/>
  <c r="AE97" i="4"/>
  <c r="AE68" i="4"/>
  <c r="AE60" i="4"/>
  <c r="AE52" i="4"/>
  <c r="AE44" i="4"/>
  <c r="AE36" i="4"/>
  <c r="AE28" i="4"/>
  <c r="AE20" i="4"/>
  <c r="AE12" i="4"/>
  <c r="AE130" i="4"/>
  <c r="AE121" i="4"/>
  <c r="AE89" i="4"/>
  <c r="AE67" i="4"/>
  <c r="AE59" i="4"/>
  <c r="AE51" i="4"/>
  <c r="AE43" i="4"/>
  <c r="AE35" i="4"/>
  <c r="AE27" i="4"/>
  <c r="AE19" i="4"/>
  <c r="AE11" i="4"/>
  <c r="AE146" i="4"/>
  <c r="AE139" i="4"/>
  <c r="AE123" i="4"/>
  <c r="AE169" i="4"/>
  <c r="AE138" i="4"/>
  <c r="AE113" i="4"/>
  <c r="AE160" i="4"/>
  <c r="AE152" i="4"/>
  <c r="AE132" i="4"/>
  <c r="AE114" i="4"/>
  <c r="AE144" i="4"/>
  <c r="AE124" i="4"/>
  <c r="AE116" i="4"/>
  <c r="AE115" i="4"/>
  <c r="AE108" i="4"/>
  <c r="AE161" i="4"/>
  <c r="AE129" i="4"/>
  <c r="AE105" i="4"/>
  <c r="AE84" i="4"/>
  <c r="AE73" i="4"/>
  <c r="AE70" i="4"/>
  <c r="AE62" i="4"/>
  <c r="AE54" i="4"/>
  <c r="AE46" i="4"/>
  <c r="AE38" i="4"/>
  <c r="AE30" i="4"/>
  <c r="AE22" i="4"/>
  <c r="AE14" i="4"/>
  <c r="AE6" i="4"/>
  <c r="C6" i="4"/>
  <c r="P6" i="4"/>
  <c r="G7" i="4"/>
  <c r="P7" i="4"/>
  <c r="AE7" i="4"/>
  <c r="V8" i="4"/>
  <c r="N9" i="4"/>
  <c r="E10" i="4"/>
  <c r="O10" i="4"/>
  <c r="E11" i="4"/>
  <c r="S12" i="4"/>
  <c r="R14" i="4"/>
  <c r="I15" i="4"/>
  <c r="AE15" i="4"/>
  <c r="H16" i="4"/>
  <c r="N17" i="4"/>
  <c r="G18" i="4"/>
  <c r="Y23" i="4"/>
  <c r="G24" i="4"/>
  <c r="Q24" i="4"/>
  <c r="P25" i="4"/>
  <c r="V26" i="4"/>
  <c r="AE32" i="4"/>
  <c r="W33" i="4"/>
  <c r="E34" i="4"/>
  <c r="C37" i="4"/>
  <c r="Y37" i="4"/>
  <c r="Q38" i="4"/>
  <c r="I39" i="4"/>
  <c r="I40" i="4"/>
  <c r="T42" i="4"/>
  <c r="R45" i="4"/>
  <c r="X46" i="4"/>
  <c r="F48" i="4"/>
  <c r="P48" i="4"/>
  <c r="H49" i="4"/>
  <c r="Y55" i="4"/>
  <c r="N56" i="4"/>
  <c r="E57" i="4"/>
  <c r="U57" i="4"/>
  <c r="L59" i="4"/>
  <c r="C60" i="4"/>
  <c r="C62" i="4"/>
  <c r="P63" i="4"/>
  <c r="AE63" i="4"/>
  <c r="I64" i="4"/>
  <c r="F66" i="4"/>
  <c r="S67" i="4"/>
  <c r="Z68" i="4"/>
  <c r="AA69" i="4"/>
  <c r="I70" i="4"/>
  <c r="O71" i="4"/>
  <c r="G72" i="4"/>
  <c r="P74" i="4"/>
  <c r="Z74" i="4"/>
  <c r="J75" i="4"/>
  <c r="M76" i="4"/>
  <c r="AE76" i="4"/>
  <c r="AA78" i="4"/>
  <c r="O81" i="4"/>
  <c r="H82" i="4"/>
  <c r="AE82" i="4"/>
  <c r="U84" i="4"/>
  <c r="P90" i="4"/>
  <c r="Y90" i="4"/>
  <c r="U91" i="4"/>
  <c r="U92" i="4"/>
  <c r="E94" i="4"/>
  <c r="AA95" i="4"/>
  <c r="H97" i="4"/>
  <c r="X97" i="4"/>
  <c r="D101" i="4"/>
  <c r="Q103" i="4"/>
  <c r="R104" i="4"/>
  <c r="R105" i="4"/>
  <c r="AE106" i="4"/>
  <c r="Z7" i="4"/>
  <c r="L13" i="4"/>
  <c r="AA14" i="4"/>
  <c r="H15" i="4"/>
  <c r="Q21" i="4"/>
  <c r="X23" i="4"/>
  <c r="D34" i="4"/>
  <c r="N41" i="4"/>
  <c r="K43" i="4"/>
  <c r="Z44" i="4"/>
  <c r="Q45" i="4"/>
  <c r="G50" i="4"/>
  <c r="AA60" i="4"/>
  <c r="O63" i="4"/>
  <c r="D69" i="4"/>
  <c r="S70" i="4"/>
  <c r="V77" i="4"/>
  <c r="V82" i="4"/>
  <c r="Y88" i="4"/>
  <c r="G91" i="4"/>
  <c r="E18" i="3"/>
  <c r="F18" i="3" s="1"/>
  <c r="Z6" i="4"/>
  <c r="H7" i="4"/>
  <c r="Q7" i="4"/>
  <c r="I8" i="4"/>
  <c r="W8" i="4"/>
  <c r="F10" i="4"/>
  <c r="F11" i="4"/>
  <c r="AA11" i="4"/>
  <c r="T12" i="4"/>
  <c r="J15" i="4"/>
  <c r="I16" i="4"/>
  <c r="O17" i="4"/>
  <c r="V19" i="4"/>
  <c r="D20" i="4"/>
  <c r="I21" i="4"/>
  <c r="S21" i="4"/>
  <c r="J22" i="4"/>
  <c r="X22" i="4"/>
  <c r="Z23" i="4"/>
  <c r="AE24" i="4"/>
  <c r="H25" i="4"/>
  <c r="D27" i="4"/>
  <c r="J28" i="4"/>
  <c r="U28" i="4"/>
  <c r="C29" i="4"/>
  <c r="Z29" i="4"/>
  <c r="P30" i="4"/>
  <c r="Z30" i="4"/>
  <c r="Q31" i="4"/>
  <c r="N32" i="4"/>
  <c r="V32" i="4"/>
  <c r="X33" i="4"/>
  <c r="AE34" i="4"/>
  <c r="K35" i="4"/>
  <c r="U35" i="4"/>
  <c r="M36" i="4"/>
  <c r="H38" i="4"/>
  <c r="W40" i="4"/>
  <c r="P41" i="4"/>
  <c r="AE42" i="4"/>
  <c r="I45" i="4"/>
  <c r="S45" i="4"/>
  <c r="Y46" i="4"/>
  <c r="O47" i="4"/>
  <c r="Q48" i="4"/>
  <c r="AE48" i="4"/>
  <c r="V49" i="4"/>
  <c r="AE49" i="4"/>
  <c r="S52" i="4"/>
  <c r="AA53" i="4"/>
  <c r="Z55" i="4"/>
  <c r="F56" i="4"/>
  <c r="O56" i="4"/>
  <c r="Y56" i="4"/>
  <c r="F57" i="4"/>
  <c r="AE57" i="4"/>
  <c r="L58" i="4"/>
  <c r="AE58" i="4"/>
  <c r="M59" i="4"/>
  <c r="D60" i="4"/>
  <c r="J61" i="4"/>
  <c r="Y61" i="4"/>
  <c r="S62" i="4"/>
  <c r="Q63" i="4"/>
  <c r="X64" i="4"/>
  <c r="E65" i="4"/>
  <c r="P71" i="4"/>
  <c r="Z71" i="4"/>
  <c r="H72" i="4"/>
  <c r="V72" i="4"/>
  <c r="O73" i="4"/>
  <c r="G74" i="4"/>
  <c r="Q74" i="4"/>
  <c r="N77" i="4"/>
  <c r="R79" i="4"/>
  <c r="X81" i="4"/>
  <c r="L84" i="4"/>
  <c r="V84" i="4"/>
  <c r="V92" i="4"/>
  <c r="Z94" i="4"/>
  <c r="J96" i="4"/>
  <c r="I97" i="4"/>
  <c r="N98" i="4"/>
  <c r="E101" i="4"/>
  <c r="D23" i="2"/>
  <c r="D24" i="2" s="1"/>
  <c r="N504" i="4"/>
  <c r="F504" i="4"/>
  <c r="P502" i="4"/>
  <c r="Y501" i="4"/>
  <c r="Q501" i="4"/>
  <c r="I501" i="4"/>
  <c r="Z500" i="4"/>
  <c r="S499" i="4"/>
  <c r="K499" i="4"/>
  <c r="C499" i="4"/>
  <c r="T498" i="4"/>
  <c r="L498" i="4"/>
  <c r="U497" i="4"/>
  <c r="M497" i="4"/>
  <c r="E497" i="4"/>
  <c r="V496" i="4"/>
  <c r="N496" i="4"/>
  <c r="O495" i="4"/>
  <c r="G495" i="4"/>
  <c r="X494" i="4"/>
  <c r="P494" i="4"/>
  <c r="Y493" i="4"/>
  <c r="I493" i="4"/>
  <c r="Z492" i="4"/>
  <c r="J492" i="4"/>
  <c r="AA491" i="4"/>
  <c r="S491" i="4"/>
  <c r="K491" i="4"/>
  <c r="C491" i="4"/>
  <c r="T490" i="4"/>
  <c r="L490" i="4"/>
  <c r="U489" i="4"/>
  <c r="M489" i="4"/>
  <c r="E489" i="4"/>
  <c r="N488" i="4"/>
  <c r="F488" i="4"/>
  <c r="O487" i="4"/>
  <c r="G487" i="4"/>
  <c r="X486" i="4"/>
  <c r="P486" i="4"/>
  <c r="H486" i="4"/>
  <c r="Y485" i="4"/>
  <c r="Q485" i="4"/>
  <c r="T505" i="4"/>
  <c r="L505" i="4"/>
  <c r="D505" i="4"/>
  <c r="U504" i="4"/>
  <c r="E504" i="4"/>
  <c r="N503" i="4"/>
  <c r="F503" i="4"/>
  <c r="O502" i="4"/>
  <c r="P501" i="4"/>
  <c r="Y500" i="4"/>
  <c r="Q500" i="4"/>
  <c r="I500" i="4"/>
  <c r="R499" i="4"/>
  <c r="AA498" i="4"/>
  <c r="S498" i="4"/>
  <c r="C498" i="4"/>
  <c r="T497" i="4"/>
  <c r="D497" i="4"/>
  <c r="M496" i="4"/>
  <c r="E496" i="4"/>
  <c r="V495" i="4"/>
  <c r="N495" i="4"/>
  <c r="F495" i="4"/>
  <c r="W494" i="4"/>
  <c r="O494" i="4"/>
  <c r="X493" i="4"/>
  <c r="H493" i="4"/>
  <c r="Y492" i="4"/>
  <c r="Q492" i="4"/>
  <c r="I492" i="4"/>
  <c r="R491" i="4"/>
  <c r="S490" i="4"/>
  <c r="K490" i="4"/>
  <c r="C490" i="4"/>
  <c r="T489" i="4"/>
  <c r="D489" i="4"/>
  <c r="U488" i="4"/>
  <c r="E488" i="4"/>
  <c r="V487" i="4"/>
  <c r="N487" i="4"/>
  <c r="O486" i="4"/>
  <c r="G486" i="4"/>
  <c r="P485" i="4"/>
  <c r="H485" i="4"/>
  <c r="I484" i="4"/>
  <c r="Z483" i="4"/>
  <c r="R483" i="4"/>
  <c r="J483" i="4"/>
  <c r="AA482" i="4"/>
  <c r="S482" i="4"/>
  <c r="C482" i="4"/>
  <c r="T481" i="4"/>
  <c r="L481" i="4"/>
  <c r="AA505" i="4"/>
  <c r="X505" i="4"/>
  <c r="P505" i="4"/>
  <c r="H505" i="4"/>
  <c r="I504" i="4"/>
  <c r="J503" i="4"/>
  <c r="S502" i="4"/>
  <c r="K502" i="4"/>
  <c r="C502" i="4"/>
  <c r="T501" i="4"/>
  <c r="D501" i="4"/>
  <c r="U500" i="4"/>
  <c r="M500" i="4"/>
  <c r="V499" i="4"/>
  <c r="F499" i="4"/>
  <c r="W498" i="4"/>
  <c r="O498" i="4"/>
  <c r="X497" i="4"/>
  <c r="P497" i="4"/>
  <c r="Y496" i="4"/>
  <c r="Q496" i="4"/>
  <c r="I496" i="4"/>
  <c r="Z495" i="4"/>
  <c r="R495" i="4"/>
  <c r="J495" i="4"/>
  <c r="K494" i="4"/>
  <c r="C494" i="4"/>
  <c r="D493" i="4"/>
  <c r="M492" i="4"/>
  <c r="E492" i="4"/>
  <c r="V491" i="4"/>
  <c r="F491" i="4"/>
  <c r="G490" i="4"/>
  <c r="H489" i="4"/>
  <c r="Y488" i="4"/>
  <c r="I488" i="4"/>
  <c r="R487" i="4"/>
  <c r="AA486" i="4"/>
  <c r="S486" i="4"/>
  <c r="C486" i="4"/>
  <c r="T485" i="4"/>
  <c r="L485" i="4"/>
  <c r="D485" i="4"/>
  <c r="N505" i="4"/>
  <c r="O504" i="4"/>
  <c r="G504" i="4"/>
  <c r="X503" i="4"/>
  <c r="P503" i="4"/>
  <c r="H503" i="4"/>
  <c r="I502" i="4"/>
  <c r="S500" i="4"/>
  <c r="C500" i="4"/>
  <c r="T499" i="4"/>
  <c r="L499" i="4"/>
  <c r="D499" i="4"/>
  <c r="U498" i="4"/>
  <c r="E498" i="4"/>
  <c r="F497" i="4"/>
  <c r="O496" i="4"/>
  <c r="G496" i="4"/>
  <c r="X495" i="4"/>
  <c r="P495" i="4"/>
  <c r="Y494" i="4"/>
  <c r="Z493" i="4"/>
  <c r="R493" i="4"/>
  <c r="J493" i="4"/>
  <c r="AA492" i="4"/>
  <c r="S492" i="4"/>
  <c r="T491" i="4"/>
  <c r="L491" i="4"/>
  <c r="M490" i="4"/>
  <c r="E490" i="4"/>
  <c r="N489" i="4"/>
  <c r="W488" i="4"/>
  <c r="O488" i="4"/>
  <c r="X487" i="4"/>
  <c r="Q486" i="4"/>
  <c r="J485" i="4"/>
  <c r="S484" i="4"/>
  <c r="K484" i="4"/>
  <c r="T483" i="4"/>
  <c r="V481" i="4"/>
  <c r="N481" i="4"/>
  <c r="G505" i="4"/>
  <c r="AA504" i="4"/>
  <c r="R504" i="4"/>
  <c r="D504" i="4"/>
  <c r="Y503" i="4"/>
  <c r="C503" i="4"/>
  <c r="M502" i="4"/>
  <c r="R498" i="4"/>
  <c r="H498" i="4"/>
  <c r="O497" i="4"/>
  <c r="J496" i="4"/>
  <c r="M495" i="4"/>
  <c r="F493" i="4"/>
  <c r="W492" i="4"/>
  <c r="Q491" i="4"/>
  <c r="G491" i="4"/>
  <c r="P490" i="4"/>
  <c r="W489" i="4"/>
  <c r="K489" i="4"/>
  <c r="R488" i="4"/>
  <c r="M487" i="4"/>
  <c r="D487" i="4"/>
  <c r="S485" i="4"/>
  <c r="F485" i="4"/>
  <c r="R484" i="4"/>
  <c r="V483" i="4"/>
  <c r="C483" i="4"/>
  <c r="Y482" i="4"/>
  <c r="P482" i="4"/>
  <c r="H482" i="4"/>
  <c r="U481" i="4"/>
  <c r="AA480" i="4"/>
  <c r="S480" i="4"/>
  <c r="C480" i="4"/>
  <c r="T479" i="4"/>
  <c r="D479" i="4"/>
  <c r="U478" i="4"/>
  <c r="M478" i="4"/>
  <c r="E478" i="4"/>
  <c r="N477" i="4"/>
  <c r="F477" i="4"/>
  <c r="W476" i="4"/>
  <c r="G476" i="4"/>
  <c r="P475" i="4"/>
  <c r="H475" i="4"/>
  <c r="Y474" i="4"/>
  <c r="Z473" i="4"/>
  <c r="R473" i="4"/>
  <c r="T471" i="4"/>
  <c r="L471" i="4"/>
  <c r="U470" i="4"/>
  <c r="E470" i="4"/>
  <c r="V469" i="4"/>
  <c r="N469" i="4"/>
  <c r="W468" i="4"/>
  <c r="O468" i="4"/>
  <c r="G468" i="4"/>
  <c r="H467" i="4"/>
  <c r="R505" i="4"/>
  <c r="Z504" i="4"/>
  <c r="C504" i="4"/>
  <c r="M503" i="4"/>
  <c r="U501" i="4"/>
  <c r="F500" i="4"/>
  <c r="Q498" i="4"/>
  <c r="Z497" i="4"/>
  <c r="E493" i="4"/>
  <c r="V492" i="4"/>
  <c r="Y490" i="4"/>
  <c r="Y487" i="4"/>
  <c r="L487" i="4"/>
  <c r="C487" i="4"/>
  <c r="O482" i="4"/>
  <c r="G482" i="4"/>
  <c r="R480" i="4"/>
  <c r="AA479" i="4"/>
  <c r="S479" i="4"/>
  <c r="K479" i="4"/>
  <c r="C479" i="4"/>
  <c r="T478" i="4"/>
  <c r="L478" i="4"/>
  <c r="D478" i="4"/>
  <c r="M477" i="4"/>
  <c r="W475" i="4"/>
  <c r="O475" i="4"/>
  <c r="G475" i="4"/>
  <c r="X474" i="4"/>
  <c r="P474" i="4"/>
  <c r="H474" i="4"/>
  <c r="Q473" i="4"/>
  <c r="I473" i="4"/>
  <c r="AA471" i="4"/>
  <c r="S471" i="4"/>
  <c r="K471" i="4"/>
  <c r="T470" i="4"/>
  <c r="M469" i="4"/>
  <c r="E469" i="4"/>
  <c r="V468" i="4"/>
  <c r="N468" i="4"/>
  <c r="F468" i="4"/>
  <c r="W467" i="4"/>
  <c r="O467" i="4"/>
  <c r="Y465" i="4"/>
  <c r="Q465" i="4"/>
  <c r="I465" i="4"/>
  <c r="Z464" i="4"/>
  <c r="J464" i="4"/>
  <c r="Q505" i="4"/>
  <c r="P504" i="4"/>
  <c r="V502" i="4"/>
  <c r="J502" i="4"/>
  <c r="S501" i="4"/>
  <c r="O500" i="4"/>
  <c r="Y499" i="4"/>
  <c r="M499" i="4"/>
  <c r="P498" i="4"/>
  <c r="F498" i="4"/>
  <c r="K495" i="4"/>
  <c r="AA493" i="4"/>
  <c r="O493" i="4"/>
  <c r="C493" i="4"/>
  <c r="H492" i="4"/>
  <c r="O491" i="4"/>
  <c r="X490" i="4"/>
  <c r="S489" i="4"/>
  <c r="I489" i="4"/>
  <c r="C488" i="4"/>
  <c r="U486" i="4"/>
  <c r="AA485" i="4"/>
  <c r="O485" i="4"/>
  <c r="P484" i="4"/>
  <c r="F484" i="4"/>
  <c r="S483" i="4"/>
  <c r="I483" i="4"/>
  <c r="R481" i="4"/>
  <c r="Y480" i="4"/>
  <c r="Q480" i="4"/>
  <c r="Z479" i="4"/>
  <c r="R479" i="4"/>
  <c r="K478" i="4"/>
  <c r="L477" i="4"/>
  <c r="D477" i="4"/>
  <c r="M476" i="4"/>
  <c r="E476" i="4"/>
  <c r="F475" i="4"/>
  <c r="W474" i="4"/>
  <c r="G474" i="4"/>
  <c r="H473" i="4"/>
  <c r="Y472" i="4"/>
  <c r="Q472" i="4"/>
  <c r="Z471" i="4"/>
  <c r="R471" i="4"/>
  <c r="J471" i="4"/>
  <c r="K470" i="4"/>
  <c r="C470" i="4"/>
  <c r="T469" i="4"/>
  <c r="D469" i="4"/>
  <c r="U468" i="4"/>
  <c r="N467" i="4"/>
  <c r="F467" i="4"/>
  <c r="I505" i="4"/>
  <c r="S504" i="4"/>
  <c r="N502" i="4"/>
  <c r="D502" i="4"/>
  <c r="W501" i="4"/>
  <c r="T500" i="4"/>
  <c r="H500" i="4"/>
  <c r="P499" i="4"/>
  <c r="E499" i="4"/>
  <c r="V498" i="4"/>
  <c r="I498" i="4"/>
  <c r="Q497" i="4"/>
  <c r="Q495" i="4"/>
  <c r="C495" i="4"/>
  <c r="J494" i="4"/>
  <c r="S493" i="4"/>
  <c r="G493" i="4"/>
  <c r="X492" i="4"/>
  <c r="N492" i="4"/>
  <c r="U491" i="4"/>
  <c r="H491" i="4"/>
  <c r="S488" i="4"/>
  <c r="H488" i="4"/>
  <c r="AA487" i="4"/>
  <c r="E487" i="4"/>
  <c r="U485" i="4"/>
  <c r="T484" i="4"/>
  <c r="M483" i="4"/>
  <c r="Z482" i="4"/>
  <c r="Q482" i="4"/>
  <c r="I482" i="4"/>
  <c r="T480" i="4"/>
  <c r="L480" i="4"/>
  <c r="D480" i="4"/>
  <c r="U479" i="4"/>
  <c r="M479" i="4"/>
  <c r="E479" i="4"/>
  <c r="N478" i="4"/>
  <c r="F478" i="4"/>
  <c r="W477" i="4"/>
  <c r="O477" i="4"/>
  <c r="G477" i="4"/>
  <c r="X476" i="4"/>
  <c r="P476" i="4"/>
  <c r="H476" i="4"/>
  <c r="Y475" i="4"/>
  <c r="I475" i="4"/>
  <c r="R474" i="4"/>
  <c r="J474" i="4"/>
  <c r="D472" i="4"/>
  <c r="E471" i="4"/>
  <c r="V470" i="4"/>
  <c r="N470" i="4"/>
  <c r="O469" i="4"/>
  <c r="P468" i="4"/>
  <c r="H468" i="4"/>
  <c r="Y467" i="4"/>
  <c r="L504" i="4"/>
  <c r="R502" i="4"/>
  <c r="AA501" i="4"/>
  <c r="N498" i="4"/>
  <c r="R496" i="4"/>
  <c r="L494" i="4"/>
  <c r="Z489" i="4"/>
  <c r="X488" i="4"/>
  <c r="J488" i="4"/>
  <c r="I487" i="4"/>
  <c r="W485" i="4"/>
  <c r="M484" i="4"/>
  <c r="P483" i="4"/>
  <c r="E483" i="4"/>
  <c r="V480" i="4"/>
  <c r="N479" i="4"/>
  <c r="H478" i="4"/>
  <c r="Z477" i="4"/>
  <c r="K476" i="4"/>
  <c r="S475" i="4"/>
  <c r="E475" i="4"/>
  <c r="M474" i="4"/>
  <c r="V473" i="4"/>
  <c r="E472" i="4"/>
  <c r="AA469" i="4"/>
  <c r="Q469" i="4"/>
  <c r="K468" i="4"/>
  <c r="I467" i="4"/>
  <c r="W466" i="4"/>
  <c r="G466" i="4"/>
  <c r="M465" i="4"/>
  <c r="D465" i="4"/>
  <c r="K464" i="4"/>
  <c r="R463" i="4"/>
  <c r="AA462" i="4"/>
  <c r="S462" i="4"/>
  <c r="K462" i="4"/>
  <c r="T461" i="4"/>
  <c r="L461" i="4"/>
  <c r="U460" i="4"/>
  <c r="E460" i="4"/>
  <c r="N459" i="4"/>
  <c r="W458" i="4"/>
  <c r="O458" i="4"/>
  <c r="G458" i="4"/>
  <c r="X457" i="4"/>
  <c r="I456" i="4"/>
  <c r="J455" i="4"/>
  <c r="AA454" i="4"/>
  <c r="Z505" i="4"/>
  <c r="K505" i="4"/>
  <c r="X500" i="4"/>
  <c r="K497" i="4"/>
  <c r="AA496" i="4"/>
  <c r="V493" i="4"/>
  <c r="I491" i="4"/>
  <c r="J490" i="4"/>
  <c r="Y489" i="4"/>
  <c r="U487" i="4"/>
  <c r="X481" i="4"/>
  <c r="Y479" i="4"/>
  <c r="G478" i="4"/>
  <c r="P477" i="4"/>
  <c r="R475" i="4"/>
  <c r="D475" i="4"/>
  <c r="L474" i="4"/>
  <c r="U473" i="4"/>
  <c r="U472" i="4"/>
  <c r="V471" i="4"/>
  <c r="Q470" i="4"/>
  <c r="Z469" i="4"/>
  <c r="C469" i="4"/>
  <c r="J468" i="4"/>
  <c r="V466" i="4"/>
  <c r="U465" i="4"/>
  <c r="L465" i="4"/>
  <c r="C465" i="4"/>
  <c r="AA464" i="4"/>
  <c r="I464" i="4"/>
  <c r="Q463" i="4"/>
  <c r="Z462" i="4"/>
  <c r="R462" i="4"/>
  <c r="AA461" i="4"/>
  <c r="S461" i="4"/>
  <c r="K461" i="4"/>
  <c r="T460" i="4"/>
  <c r="D460" i="4"/>
  <c r="E459" i="4"/>
  <c r="V458" i="4"/>
  <c r="N458" i="4"/>
  <c r="W457" i="4"/>
  <c r="O457" i="4"/>
  <c r="G457" i="4"/>
  <c r="X456" i="4"/>
  <c r="P456" i="4"/>
  <c r="I455" i="4"/>
  <c r="Z454" i="4"/>
  <c r="Y505" i="4"/>
  <c r="X504" i="4"/>
  <c r="J504" i="4"/>
  <c r="K503" i="4"/>
  <c r="Z502" i="4"/>
  <c r="W500" i="4"/>
  <c r="X499" i="4"/>
  <c r="H499" i="4"/>
  <c r="J497" i="4"/>
  <c r="L496" i="4"/>
  <c r="U493" i="4"/>
  <c r="G489" i="4"/>
  <c r="T486" i="4"/>
  <c r="F486" i="4"/>
  <c r="W484" i="4"/>
  <c r="N483" i="4"/>
  <c r="P480" i="4"/>
  <c r="R478" i="4"/>
  <c r="K477" i="4"/>
  <c r="S476" i="4"/>
  <c r="I476" i="4"/>
  <c r="C475" i="4"/>
  <c r="U474" i="4"/>
  <c r="K474" i="4"/>
  <c r="T473" i="4"/>
  <c r="G471" i="4"/>
  <c r="P470" i="4"/>
  <c r="Y469" i="4"/>
  <c r="I468" i="4"/>
  <c r="AA467" i="4"/>
  <c r="E467" i="4"/>
  <c r="U466" i="4"/>
  <c r="M466" i="4"/>
  <c r="E466" i="4"/>
  <c r="K465" i="4"/>
  <c r="Y464" i="4"/>
  <c r="X463" i="4"/>
  <c r="P463" i="4"/>
  <c r="H463" i="4"/>
  <c r="Y462" i="4"/>
  <c r="Q462" i="4"/>
  <c r="I462" i="4"/>
  <c r="Z461" i="4"/>
  <c r="J461" i="4"/>
  <c r="AA460" i="4"/>
  <c r="K460" i="4"/>
  <c r="C460" i="4"/>
  <c r="T459" i="4"/>
  <c r="D459" i="4"/>
  <c r="M458" i="4"/>
  <c r="E458" i="4"/>
  <c r="N457" i="4"/>
  <c r="F457" i="4"/>
  <c r="O456" i="4"/>
  <c r="G456" i="4"/>
  <c r="P455" i="4"/>
  <c r="H455" i="4"/>
  <c r="R453" i="4"/>
  <c r="S452" i="4"/>
  <c r="W505" i="4"/>
  <c r="I503" i="4"/>
  <c r="J498" i="4"/>
  <c r="W497" i="4"/>
  <c r="E495" i="4"/>
  <c r="X491" i="4"/>
  <c r="V490" i="4"/>
  <c r="H490" i="4"/>
  <c r="S487" i="4"/>
  <c r="R486" i="4"/>
  <c r="E486" i="4"/>
  <c r="N485" i="4"/>
  <c r="Y483" i="4"/>
  <c r="D500" i="4"/>
  <c r="U499" i="4"/>
  <c r="D495" i="4"/>
  <c r="F494" i="4"/>
  <c r="W491" i="4"/>
  <c r="F490" i="4"/>
  <c r="C489" i="4"/>
  <c r="Q487" i="4"/>
  <c r="N486" i="4"/>
  <c r="D486" i="4"/>
  <c r="U484" i="4"/>
  <c r="X483" i="4"/>
  <c r="Q481" i="4"/>
  <c r="G481" i="4"/>
  <c r="T504" i="4"/>
  <c r="F502" i="4"/>
  <c r="O501" i="4"/>
  <c r="Q499" i="4"/>
  <c r="Z498" i="4"/>
  <c r="U495" i="4"/>
  <c r="E494" i="4"/>
  <c r="Q489" i="4"/>
  <c r="K485" i="4"/>
  <c r="E484" i="4"/>
  <c r="P481" i="4"/>
  <c r="AA503" i="4"/>
  <c r="M501" i="4"/>
  <c r="C496" i="4"/>
  <c r="S495" i="4"/>
  <c r="Z494" i="4"/>
  <c r="T492" i="4"/>
  <c r="M491" i="4"/>
  <c r="AA489" i="4"/>
  <c r="K488" i="4"/>
  <c r="N484" i="4"/>
  <c r="F483" i="4"/>
  <c r="Z481" i="4"/>
  <c r="M481" i="4"/>
  <c r="D481" i="4"/>
  <c r="O479" i="4"/>
  <c r="I478" i="4"/>
  <c r="R477" i="4"/>
  <c r="C477" i="4"/>
  <c r="J475" i="4"/>
  <c r="AA474" i="4"/>
  <c r="N474" i="4"/>
  <c r="M473" i="4"/>
  <c r="W472" i="4"/>
  <c r="N472" i="4"/>
  <c r="F472" i="4"/>
  <c r="I470" i="4"/>
  <c r="Z468" i="4"/>
  <c r="L468" i="4"/>
  <c r="T467" i="4"/>
  <c r="W465" i="4"/>
  <c r="N465" i="4"/>
  <c r="E465" i="4"/>
  <c r="T464" i="4"/>
  <c r="K463" i="4"/>
  <c r="T462" i="4"/>
  <c r="U461" i="4"/>
  <c r="M461" i="4"/>
  <c r="E461" i="4"/>
  <c r="V460" i="4"/>
  <c r="W459" i="4"/>
  <c r="O459" i="4"/>
  <c r="G459" i="4"/>
  <c r="X458" i="4"/>
  <c r="P458" i="4"/>
  <c r="H458" i="4"/>
  <c r="Y457" i="4"/>
  <c r="I457" i="4"/>
  <c r="L488" i="4"/>
  <c r="I479" i="4"/>
  <c r="F473" i="4"/>
  <c r="Q468" i="4"/>
  <c r="K467" i="4"/>
  <c r="AA466" i="4"/>
  <c r="W464" i="4"/>
  <c r="N464" i="4"/>
  <c r="W463" i="4"/>
  <c r="P462" i="4"/>
  <c r="I460" i="4"/>
  <c r="J458" i="4"/>
  <c r="E456" i="4"/>
  <c r="AA455" i="4"/>
  <c r="S455" i="4"/>
  <c r="G455" i="4"/>
  <c r="K454" i="4"/>
  <c r="C454" i="4"/>
  <c r="AA453" i="4"/>
  <c r="Z452" i="4"/>
  <c r="Q452" i="4"/>
  <c r="Z451" i="4"/>
  <c r="R451" i="4"/>
  <c r="J451" i="4"/>
  <c r="S450" i="4"/>
  <c r="K450" i="4"/>
  <c r="L449" i="4"/>
  <c r="U448" i="4"/>
  <c r="M448" i="4"/>
  <c r="V447" i="4"/>
  <c r="F447" i="4"/>
  <c r="W446" i="4"/>
  <c r="O446" i="4"/>
  <c r="G446" i="4"/>
  <c r="Y444" i="4"/>
  <c r="Q444" i="4"/>
  <c r="I444" i="4"/>
  <c r="R443" i="4"/>
  <c r="J443" i="4"/>
  <c r="L441" i="4"/>
  <c r="D441" i="4"/>
  <c r="E440" i="4"/>
  <c r="V439" i="4"/>
  <c r="F439" i="4"/>
  <c r="W438" i="4"/>
  <c r="O438" i="4"/>
  <c r="P437" i="4"/>
  <c r="H437" i="4"/>
  <c r="Y436" i="4"/>
  <c r="Q436" i="4"/>
  <c r="D484" i="4"/>
  <c r="H479" i="4"/>
  <c r="AA476" i="4"/>
  <c r="M475" i="4"/>
  <c r="D474" i="4"/>
  <c r="E473" i="4"/>
  <c r="Y471" i="4"/>
  <c r="Z470" i="4"/>
  <c r="D466" i="4"/>
  <c r="G465" i="4"/>
  <c r="V464" i="4"/>
  <c r="V463" i="4"/>
  <c r="O462" i="4"/>
  <c r="E462" i="4"/>
  <c r="Q460" i="4"/>
  <c r="Z459" i="4"/>
  <c r="P459" i="4"/>
  <c r="AA457" i="4"/>
  <c r="C457" i="4"/>
  <c r="N456" i="4"/>
  <c r="D456" i="4"/>
  <c r="F455" i="4"/>
  <c r="R454" i="4"/>
  <c r="I453" i="4"/>
  <c r="Y452" i="4"/>
  <c r="H452" i="4"/>
  <c r="Y451" i="4"/>
  <c r="Q451" i="4"/>
  <c r="I451" i="4"/>
  <c r="J450" i="4"/>
  <c r="S449" i="4"/>
  <c r="K449" i="4"/>
  <c r="L448" i="4"/>
  <c r="D448" i="4"/>
  <c r="U447" i="4"/>
  <c r="V446" i="4"/>
  <c r="F446" i="4"/>
  <c r="W445" i="4"/>
  <c r="X444" i="4"/>
  <c r="H444" i="4"/>
  <c r="Q443" i="4"/>
  <c r="R442" i="4"/>
  <c r="J442" i="4"/>
  <c r="AA441" i="4"/>
  <c r="K441" i="4"/>
  <c r="C441" i="4"/>
  <c r="T440" i="4"/>
  <c r="U439" i="4"/>
  <c r="M439" i="4"/>
  <c r="E439" i="4"/>
  <c r="V438" i="4"/>
  <c r="F438" i="4"/>
  <c r="O437" i="4"/>
  <c r="G437" i="4"/>
  <c r="X436" i="4"/>
  <c r="P436" i="4"/>
  <c r="I435" i="4"/>
  <c r="Z434" i="4"/>
  <c r="E502" i="4"/>
  <c r="D482" i="4"/>
  <c r="W479" i="4"/>
  <c r="G479" i="4"/>
  <c r="S477" i="4"/>
  <c r="Z475" i="4"/>
  <c r="L475" i="4"/>
  <c r="T474" i="4"/>
  <c r="D473" i="4"/>
  <c r="Y470" i="4"/>
  <c r="J470" i="4"/>
  <c r="X469" i="4"/>
  <c r="Y466" i="4"/>
  <c r="C466" i="4"/>
  <c r="U464" i="4"/>
  <c r="W461" i="4"/>
  <c r="P460" i="4"/>
  <c r="Y459" i="4"/>
  <c r="Z457" i="4"/>
  <c r="M457" i="4"/>
  <c r="M456" i="4"/>
  <c r="C456" i="4"/>
  <c r="Y453" i="4"/>
  <c r="P453" i="4"/>
  <c r="H453" i="4"/>
  <c r="X451" i="4"/>
  <c r="P451" i="4"/>
  <c r="H451" i="4"/>
  <c r="Y450" i="4"/>
  <c r="I450" i="4"/>
  <c r="J449" i="4"/>
  <c r="AA448" i="4"/>
  <c r="S448" i="4"/>
  <c r="D447" i="4"/>
  <c r="U446" i="4"/>
  <c r="V445" i="4"/>
  <c r="N445" i="4"/>
  <c r="O444" i="4"/>
  <c r="G444" i="4"/>
  <c r="H443" i="4"/>
  <c r="Q442" i="4"/>
  <c r="I442" i="4"/>
  <c r="R441" i="4"/>
  <c r="S440" i="4"/>
  <c r="K440" i="4"/>
  <c r="L439" i="4"/>
  <c r="M438" i="4"/>
  <c r="V437" i="4"/>
  <c r="F437" i="4"/>
  <c r="O436" i="4"/>
  <c r="G436" i="4"/>
  <c r="X435" i="4"/>
  <c r="P435" i="4"/>
  <c r="N501" i="4"/>
  <c r="O481" i="4"/>
  <c r="M480" i="4"/>
  <c r="X478" i="4"/>
  <c r="R476" i="4"/>
  <c r="F474" i="4"/>
  <c r="X472" i="4"/>
  <c r="O471" i="4"/>
  <c r="O470" i="4"/>
  <c r="R468" i="4"/>
  <c r="L467" i="4"/>
  <c r="Q466" i="4"/>
  <c r="J465" i="4"/>
  <c r="G462" i="4"/>
  <c r="O461" i="4"/>
  <c r="H459" i="4"/>
  <c r="Z458" i="4"/>
  <c r="K458" i="4"/>
  <c r="R457" i="4"/>
  <c r="E457" i="4"/>
  <c r="AA456" i="4"/>
  <c r="R456" i="4"/>
  <c r="F456" i="4"/>
  <c r="T455" i="4"/>
  <c r="K453" i="4"/>
  <c r="C453" i="4"/>
  <c r="R452" i="4"/>
  <c r="C451" i="4"/>
  <c r="T450" i="4"/>
  <c r="L450" i="4"/>
  <c r="U449" i="4"/>
  <c r="M449" i="4"/>
  <c r="N448" i="4"/>
  <c r="O447" i="4"/>
  <c r="G447" i="4"/>
  <c r="X446" i="4"/>
  <c r="P446" i="4"/>
  <c r="I445" i="4"/>
  <c r="J444" i="4"/>
  <c r="S443" i="4"/>
  <c r="C443" i="4"/>
  <c r="T442" i="4"/>
  <c r="D442" i="4"/>
  <c r="E441" i="4"/>
  <c r="N440" i="4"/>
  <c r="F440" i="4"/>
  <c r="W439" i="4"/>
  <c r="O439" i="4"/>
  <c r="H438" i="4"/>
  <c r="Q437" i="4"/>
  <c r="I437" i="4"/>
  <c r="Z436" i="4"/>
  <c r="R436" i="4"/>
  <c r="J436" i="4"/>
  <c r="N500" i="4"/>
  <c r="N494" i="4"/>
  <c r="E480" i="4"/>
  <c r="O478" i="4"/>
  <c r="Y476" i="4"/>
  <c r="F471" i="4"/>
  <c r="S469" i="4"/>
  <c r="C467" i="4"/>
  <c r="F463" i="4"/>
  <c r="F453" i="4"/>
  <c r="M452" i="4"/>
  <c r="D452" i="4"/>
  <c r="V451" i="4"/>
  <c r="E450" i="4"/>
  <c r="P449" i="4"/>
  <c r="R446" i="4"/>
  <c r="D444" i="4"/>
  <c r="N443" i="4"/>
  <c r="D443" i="4"/>
  <c r="M442" i="4"/>
  <c r="I440" i="4"/>
  <c r="Q439" i="4"/>
  <c r="Y438" i="4"/>
  <c r="C438" i="4"/>
  <c r="N434" i="4"/>
  <c r="F434" i="4"/>
  <c r="O433" i="4"/>
  <c r="X432" i="4"/>
  <c r="Q431" i="4"/>
  <c r="J430" i="4"/>
  <c r="AA429" i="4"/>
  <c r="T428" i="4"/>
  <c r="M427" i="4"/>
  <c r="E427" i="4"/>
  <c r="V426" i="4"/>
  <c r="N426" i="4"/>
  <c r="O425" i="4"/>
  <c r="G425" i="4"/>
  <c r="H424" i="4"/>
  <c r="Y423" i="4"/>
  <c r="Q423" i="4"/>
  <c r="Z422" i="4"/>
  <c r="R422" i="4"/>
  <c r="K421" i="4"/>
  <c r="L420" i="4"/>
  <c r="M419" i="4"/>
  <c r="E419" i="4"/>
  <c r="V418" i="4"/>
  <c r="N418" i="4"/>
  <c r="F418" i="4"/>
  <c r="O417" i="4"/>
  <c r="X416" i="4"/>
  <c r="H416" i="4"/>
  <c r="Q415" i="4"/>
  <c r="I415" i="4"/>
  <c r="Z414" i="4"/>
  <c r="J414" i="4"/>
  <c r="S413" i="4"/>
  <c r="K413" i="4"/>
  <c r="C413" i="4"/>
  <c r="L412" i="4"/>
  <c r="D412" i="4"/>
  <c r="U411" i="4"/>
  <c r="M411" i="4"/>
  <c r="V410" i="4"/>
  <c r="N410" i="4"/>
  <c r="O409" i="4"/>
  <c r="G409" i="4"/>
  <c r="X408" i="4"/>
  <c r="H408" i="4"/>
  <c r="I407" i="4"/>
  <c r="R406" i="4"/>
  <c r="J406" i="4"/>
  <c r="AA405" i="4"/>
  <c r="S405" i="4"/>
  <c r="C405" i="4"/>
  <c r="L404" i="4"/>
  <c r="U403" i="4"/>
  <c r="E403" i="4"/>
  <c r="N402" i="4"/>
  <c r="O401" i="4"/>
  <c r="X400" i="4"/>
  <c r="H400" i="4"/>
  <c r="Y399" i="4"/>
  <c r="I399" i="4"/>
  <c r="Z398" i="4"/>
  <c r="R398" i="4"/>
  <c r="S397" i="4"/>
  <c r="K397" i="4"/>
  <c r="L396" i="4"/>
  <c r="D396" i="4"/>
  <c r="N394" i="4"/>
  <c r="F394" i="4"/>
  <c r="X392" i="4"/>
  <c r="P392" i="4"/>
  <c r="Y391" i="4"/>
  <c r="N480" i="4"/>
  <c r="Z478" i="4"/>
  <c r="D468" i="4"/>
  <c r="S465" i="4"/>
  <c r="J457" i="4"/>
  <c r="K456" i="4"/>
  <c r="N455" i="4"/>
  <c r="H454" i="4"/>
  <c r="E453" i="4"/>
  <c r="C452" i="4"/>
  <c r="U451" i="4"/>
  <c r="G451" i="4"/>
  <c r="P450" i="4"/>
  <c r="K447" i="4"/>
  <c r="Z445" i="4"/>
  <c r="AA444" i="4"/>
  <c r="M443" i="4"/>
  <c r="R440" i="4"/>
  <c r="AA439" i="4"/>
  <c r="K437" i="4"/>
  <c r="M436" i="4"/>
  <c r="O435" i="4"/>
  <c r="F435" i="4"/>
  <c r="U434" i="4"/>
  <c r="M434" i="4"/>
  <c r="E434" i="4"/>
  <c r="N433" i="4"/>
  <c r="F433" i="4"/>
  <c r="W432" i="4"/>
  <c r="P431" i="4"/>
  <c r="Z429" i="4"/>
  <c r="J429" i="4"/>
  <c r="S428" i="4"/>
  <c r="K428" i="4"/>
  <c r="T427" i="4"/>
  <c r="L427" i="4"/>
  <c r="M426" i="4"/>
  <c r="E426" i="4"/>
  <c r="N425" i="4"/>
  <c r="F425" i="4"/>
  <c r="G424" i="4"/>
  <c r="X423" i="4"/>
  <c r="P423" i="4"/>
  <c r="H423" i="4"/>
  <c r="Q422" i="4"/>
  <c r="Z421" i="4"/>
  <c r="R421" i="4"/>
  <c r="AA420" i="4"/>
  <c r="S420" i="4"/>
  <c r="K420" i="4"/>
  <c r="C420" i="4"/>
  <c r="T419" i="4"/>
  <c r="L419" i="4"/>
  <c r="U418" i="4"/>
  <c r="E418" i="4"/>
  <c r="V417" i="4"/>
  <c r="F417" i="4"/>
  <c r="W416" i="4"/>
  <c r="O416" i="4"/>
  <c r="G416" i="4"/>
  <c r="X415" i="4"/>
  <c r="P415" i="4"/>
  <c r="H415" i="4"/>
  <c r="Y414" i="4"/>
  <c r="I414" i="4"/>
  <c r="Z413" i="4"/>
  <c r="R413" i="4"/>
  <c r="K412" i="4"/>
  <c r="T411" i="4"/>
  <c r="U410" i="4"/>
  <c r="N409" i="4"/>
  <c r="O408" i="4"/>
  <c r="G408" i="4"/>
  <c r="X407" i="4"/>
  <c r="H407" i="4"/>
  <c r="Y406" i="4"/>
  <c r="Q406" i="4"/>
  <c r="Z405" i="4"/>
  <c r="R405" i="4"/>
  <c r="J405" i="4"/>
  <c r="S404" i="4"/>
  <c r="K404" i="4"/>
  <c r="C404" i="4"/>
  <c r="T403" i="4"/>
  <c r="L403" i="4"/>
  <c r="U402" i="4"/>
  <c r="M402" i="4"/>
  <c r="V401" i="4"/>
  <c r="N401" i="4"/>
  <c r="F401" i="4"/>
  <c r="W400" i="4"/>
  <c r="O400" i="4"/>
  <c r="Y398" i="4"/>
  <c r="Q398" i="4"/>
  <c r="I398" i="4"/>
  <c r="Z397" i="4"/>
  <c r="S396" i="4"/>
  <c r="K396" i="4"/>
  <c r="C396" i="4"/>
  <c r="T395" i="4"/>
  <c r="D395" i="4"/>
  <c r="M394" i="4"/>
  <c r="V393" i="4"/>
  <c r="F393" i="4"/>
  <c r="U502" i="4"/>
  <c r="E501" i="4"/>
  <c r="G483" i="4"/>
  <c r="V479" i="4"/>
  <c r="D476" i="4"/>
  <c r="Q471" i="4"/>
  <c r="R465" i="4"/>
  <c r="N463" i="4"/>
  <c r="D463" i="4"/>
  <c r="M462" i="4"/>
  <c r="U457" i="4"/>
  <c r="M455" i="4"/>
  <c r="G454" i="4"/>
  <c r="O453" i="4"/>
  <c r="D453" i="4"/>
  <c r="V452" i="4"/>
  <c r="K452" i="4"/>
  <c r="F451" i="4"/>
  <c r="N449" i="4"/>
  <c r="I448" i="4"/>
  <c r="J447" i="4"/>
  <c r="V442" i="4"/>
  <c r="I441" i="4"/>
  <c r="Q440" i="4"/>
  <c r="J437" i="4"/>
  <c r="L436" i="4"/>
  <c r="L434" i="4"/>
  <c r="M433" i="4"/>
  <c r="V432" i="4"/>
  <c r="N432" i="4"/>
  <c r="F432" i="4"/>
  <c r="O431" i="4"/>
  <c r="G431" i="4"/>
  <c r="X430" i="4"/>
  <c r="Y429" i="4"/>
  <c r="Q429" i="4"/>
  <c r="R428" i="4"/>
  <c r="AA427" i="4"/>
  <c r="L426" i="4"/>
  <c r="U425" i="4"/>
  <c r="M425" i="4"/>
  <c r="V424" i="4"/>
  <c r="N424" i="4"/>
  <c r="O423" i="4"/>
  <c r="H422" i="4"/>
  <c r="Y421" i="4"/>
  <c r="Q421" i="4"/>
  <c r="I421" i="4"/>
  <c r="Z420" i="4"/>
  <c r="R420" i="4"/>
  <c r="AA419" i="4"/>
  <c r="K419" i="4"/>
  <c r="L418" i="4"/>
  <c r="D418" i="4"/>
  <c r="U417" i="4"/>
  <c r="M417" i="4"/>
  <c r="F416" i="4"/>
  <c r="W415" i="4"/>
  <c r="G415" i="4"/>
  <c r="X414" i="4"/>
  <c r="H414" i="4"/>
  <c r="Y413" i="4"/>
  <c r="Q413" i="4"/>
  <c r="I413" i="4"/>
  <c r="Z412" i="4"/>
  <c r="R412" i="4"/>
  <c r="J412" i="4"/>
  <c r="L410" i="4"/>
  <c r="D410" i="4"/>
  <c r="M409" i="4"/>
  <c r="E409" i="4"/>
  <c r="F408" i="4"/>
  <c r="W407" i="4"/>
  <c r="O407" i="4"/>
  <c r="G407" i="4"/>
  <c r="X406" i="4"/>
  <c r="Q405" i="4"/>
  <c r="I405" i="4"/>
  <c r="Z404" i="4"/>
  <c r="R404" i="4"/>
  <c r="S403" i="4"/>
  <c r="C403" i="4"/>
  <c r="T402" i="4"/>
  <c r="L402" i="4"/>
  <c r="U401" i="4"/>
  <c r="M401" i="4"/>
  <c r="V400" i="4"/>
  <c r="N400" i="4"/>
  <c r="W399" i="4"/>
  <c r="G399" i="4"/>
  <c r="X398" i="4"/>
  <c r="P398" i="4"/>
  <c r="H398" i="4"/>
  <c r="Y397" i="4"/>
  <c r="Z396" i="4"/>
  <c r="S395" i="4"/>
  <c r="K395" i="4"/>
  <c r="C395" i="4"/>
  <c r="L394" i="4"/>
  <c r="U393" i="4"/>
  <c r="K475" i="4"/>
  <c r="H472" i="4"/>
  <c r="L466" i="4"/>
  <c r="X460" i="4"/>
  <c r="X459" i="4"/>
  <c r="K459" i="4"/>
  <c r="AA458" i="4"/>
  <c r="T457" i="4"/>
  <c r="V456" i="4"/>
  <c r="L455" i="4"/>
  <c r="X454" i="4"/>
  <c r="F454" i="4"/>
  <c r="X453" i="4"/>
  <c r="N453" i="4"/>
  <c r="E451" i="4"/>
  <c r="X450" i="4"/>
  <c r="W449" i="4"/>
  <c r="I449" i="4"/>
  <c r="H448" i="4"/>
  <c r="I447" i="4"/>
  <c r="AA446" i="4"/>
  <c r="C446" i="4"/>
  <c r="M445" i="4"/>
  <c r="D445" i="4"/>
  <c r="M444" i="4"/>
  <c r="V443" i="4"/>
  <c r="U442" i="4"/>
  <c r="P440" i="4"/>
  <c r="T438" i="4"/>
  <c r="T437" i="4"/>
  <c r="E437" i="4"/>
  <c r="K436" i="4"/>
  <c r="D435" i="4"/>
  <c r="S434" i="4"/>
  <c r="T433" i="4"/>
  <c r="L433" i="4"/>
  <c r="D433" i="4"/>
  <c r="M432" i="4"/>
  <c r="E432" i="4"/>
  <c r="N431" i="4"/>
  <c r="F431" i="4"/>
  <c r="W430" i="4"/>
  <c r="O430" i="4"/>
  <c r="G430" i="4"/>
  <c r="Y428" i="4"/>
  <c r="Q428" i="4"/>
  <c r="I428" i="4"/>
  <c r="R427" i="4"/>
  <c r="J427" i="4"/>
  <c r="K426" i="4"/>
  <c r="Z486" i="4"/>
  <c r="O484" i="4"/>
  <c r="L482" i="4"/>
  <c r="P479" i="4"/>
  <c r="I477" i="4"/>
  <c r="G472" i="4"/>
  <c r="X470" i="4"/>
  <c r="Z467" i="4"/>
  <c r="K466" i="4"/>
  <c r="AA465" i="4"/>
  <c r="O465" i="4"/>
  <c r="G464" i="4"/>
  <c r="W460" i="4"/>
  <c r="J459" i="4"/>
  <c r="S457" i="4"/>
  <c r="U456" i="4"/>
  <c r="W454" i="4"/>
  <c r="N454" i="4"/>
  <c r="M453" i="4"/>
  <c r="T452" i="4"/>
  <c r="O451" i="4"/>
  <c r="W450" i="4"/>
  <c r="H449" i="4"/>
  <c r="AA447" i="4"/>
  <c r="Q447" i="4"/>
  <c r="Z446" i="4"/>
  <c r="L446" i="4"/>
  <c r="V444" i="4"/>
  <c r="L444" i="4"/>
  <c r="Q441" i="4"/>
  <c r="G441" i="4"/>
  <c r="Y440" i="4"/>
  <c r="X439" i="4"/>
  <c r="S438" i="4"/>
  <c r="S437" i="4"/>
  <c r="V436" i="4"/>
  <c r="U435" i="4"/>
  <c r="L435" i="4"/>
  <c r="C435" i="4"/>
  <c r="AA434" i="4"/>
  <c r="J434" i="4"/>
  <c r="S433" i="4"/>
  <c r="C433" i="4"/>
  <c r="D432" i="4"/>
  <c r="M431" i="4"/>
  <c r="V430" i="4"/>
  <c r="N430" i="4"/>
  <c r="F430" i="4"/>
  <c r="O429" i="4"/>
  <c r="G429" i="4"/>
  <c r="P428" i="4"/>
  <c r="H428" i="4"/>
  <c r="Y427" i="4"/>
  <c r="Q427" i="4"/>
  <c r="T495" i="4"/>
  <c r="F492" i="4"/>
  <c r="O472" i="4"/>
  <c r="F464" i="4"/>
  <c r="X462" i="4"/>
  <c r="G461" i="4"/>
  <c r="I459" i="4"/>
  <c r="D458" i="4"/>
  <c r="T456" i="4"/>
  <c r="M454" i="4"/>
  <c r="V453" i="4"/>
  <c r="L453" i="4"/>
  <c r="G449" i="4"/>
  <c r="Z447" i="4"/>
  <c r="Y446" i="4"/>
  <c r="K446" i="4"/>
  <c r="T445" i="4"/>
  <c r="K445" i="4"/>
  <c r="U444" i="4"/>
  <c r="K444" i="4"/>
  <c r="G443" i="4"/>
  <c r="P442" i="4"/>
  <c r="F442" i="4"/>
  <c r="Y441" i="4"/>
  <c r="P441" i="4"/>
  <c r="F441" i="4"/>
  <c r="X440" i="4"/>
  <c r="R438" i="4"/>
  <c r="AA437" i="4"/>
  <c r="C437" i="4"/>
  <c r="U436" i="4"/>
  <c r="T435" i="4"/>
  <c r="K435" i="4"/>
  <c r="Y434" i="4"/>
  <c r="Q434" i="4"/>
  <c r="I434" i="4"/>
  <c r="Z433" i="4"/>
  <c r="AA432" i="4"/>
  <c r="S432" i="4"/>
  <c r="K432" i="4"/>
  <c r="L431" i="4"/>
  <c r="E430" i="4"/>
  <c r="N429" i="4"/>
  <c r="F429" i="4"/>
  <c r="W428" i="4"/>
  <c r="G428" i="4"/>
  <c r="Y498" i="4"/>
  <c r="I469" i="4"/>
  <c r="S468" i="4"/>
  <c r="S466" i="4"/>
  <c r="E464" i="4"/>
  <c r="W462" i="4"/>
  <c r="S459" i="4"/>
  <c r="D455" i="4"/>
  <c r="F452" i="4"/>
  <c r="F449" i="4"/>
  <c r="Z448" i="4"/>
  <c r="P448" i="4"/>
  <c r="F479" i="4"/>
  <c r="U475" i="4"/>
  <c r="N473" i="4"/>
  <c r="D467" i="4"/>
  <c r="T463" i="4"/>
  <c r="G463" i="4"/>
  <c r="V462" i="4"/>
  <c r="S458" i="4"/>
  <c r="L457" i="4"/>
  <c r="C455" i="4"/>
  <c r="N452" i="4"/>
  <c r="E452" i="4"/>
  <c r="F450" i="4"/>
  <c r="Q449" i="4"/>
  <c r="O448" i="4"/>
  <c r="S444" i="4"/>
  <c r="O443" i="4"/>
  <c r="N441" i="4"/>
  <c r="R439" i="4"/>
  <c r="M437" i="4"/>
  <c r="S436" i="4"/>
  <c r="E436" i="4"/>
  <c r="H435" i="4"/>
  <c r="P433" i="4"/>
  <c r="H433" i="4"/>
  <c r="Y432" i="4"/>
  <c r="Q432" i="4"/>
  <c r="I432" i="4"/>
  <c r="Z431" i="4"/>
  <c r="R431" i="4"/>
  <c r="J431" i="4"/>
  <c r="AA430" i="4"/>
  <c r="K430" i="4"/>
  <c r="C430" i="4"/>
  <c r="T429" i="4"/>
  <c r="L429" i="4"/>
  <c r="D429" i="4"/>
  <c r="U428" i="4"/>
  <c r="M428" i="4"/>
  <c r="E428" i="4"/>
  <c r="V427" i="4"/>
  <c r="F427" i="4"/>
  <c r="W426" i="4"/>
  <c r="O426" i="4"/>
  <c r="P425" i="4"/>
  <c r="Y424" i="4"/>
  <c r="Q424" i="4"/>
  <c r="Z423" i="4"/>
  <c r="AA422" i="4"/>
  <c r="S422" i="4"/>
  <c r="K422" i="4"/>
  <c r="C422" i="4"/>
  <c r="T421" i="4"/>
  <c r="L421" i="4"/>
  <c r="D421" i="4"/>
  <c r="U420" i="4"/>
  <c r="M420" i="4"/>
  <c r="E420" i="4"/>
  <c r="V419" i="4"/>
  <c r="N419" i="4"/>
  <c r="F419" i="4"/>
  <c r="H417" i="4"/>
  <c r="Y416" i="4"/>
  <c r="I416" i="4"/>
  <c r="R415" i="4"/>
  <c r="AA414" i="4"/>
  <c r="S414" i="4"/>
  <c r="K414" i="4"/>
  <c r="T413" i="4"/>
  <c r="D413" i="4"/>
  <c r="U412" i="4"/>
  <c r="E412" i="4"/>
  <c r="V411" i="4"/>
  <c r="N411" i="4"/>
  <c r="O410" i="4"/>
  <c r="P409" i="4"/>
  <c r="Y408" i="4"/>
  <c r="Z407" i="4"/>
  <c r="AA406" i="4"/>
  <c r="S406" i="4"/>
  <c r="C406" i="4"/>
  <c r="T405" i="4"/>
  <c r="L405" i="4"/>
  <c r="D405" i="4"/>
  <c r="U404" i="4"/>
  <c r="V403" i="4"/>
  <c r="N403" i="4"/>
  <c r="F403" i="4"/>
  <c r="O402" i="4"/>
  <c r="X401" i="4"/>
  <c r="P401" i="4"/>
  <c r="H401" i="4"/>
  <c r="I400" i="4"/>
  <c r="Z399" i="4"/>
  <c r="AA398" i="4"/>
  <c r="S398" i="4"/>
  <c r="K398" i="4"/>
  <c r="T397" i="4"/>
  <c r="D397" i="4"/>
  <c r="E396" i="4"/>
  <c r="V395" i="4"/>
  <c r="G394" i="4"/>
  <c r="H393" i="4"/>
  <c r="Y392" i="4"/>
  <c r="Q392" i="4"/>
  <c r="I392" i="4"/>
  <c r="R391" i="4"/>
  <c r="J391" i="4"/>
  <c r="AA390" i="4"/>
  <c r="T446" i="4"/>
  <c r="O442" i="4"/>
  <c r="T430" i="4"/>
  <c r="G427" i="4"/>
  <c r="J426" i="4"/>
  <c r="I425" i="4"/>
  <c r="R424" i="4"/>
  <c r="M423" i="4"/>
  <c r="W422" i="4"/>
  <c r="F421" i="4"/>
  <c r="Y418" i="4"/>
  <c r="K417" i="4"/>
  <c r="S416" i="4"/>
  <c r="J416" i="4"/>
  <c r="AA415" i="4"/>
  <c r="N415" i="4"/>
  <c r="T414" i="4"/>
  <c r="V412" i="4"/>
  <c r="R410" i="4"/>
  <c r="D408" i="4"/>
  <c r="V407" i="4"/>
  <c r="M407" i="4"/>
  <c r="T406" i="4"/>
  <c r="H404" i="4"/>
  <c r="P403" i="4"/>
  <c r="X402" i="4"/>
  <c r="J402" i="4"/>
  <c r="T401" i="4"/>
  <c r="AA400" i="4"/>
  <c r="V399" i="4"/>
  <c r="N399" i="4"/>
  <c r="D399" i="4"/>
  <c r="U398" i="4"/>
  <c r="F398" i="4"/>
  <c r="F397" i="4"/>
  <c r="Y396" i="4"/>
  <c r="F396" i="4"/>
  <c r="C393" i="4"/>
  <c r="M392" i="4"/>
  <c r="H391" i="4"/>
  <c r="O390" i="4"/>
  <c r="P389" i="4"/>
  <c r="Y388" i="4"/>
  <c r="Q388" i="4"/>
  <c r="I388" i="4"/>
  <c r="AA386" i="4"/>
  <c r="S386" i="4"/>
  <c r="T385" i="4"/>
  <c r="L385" i="4"/>
  <c r="D385" i="4"/>
  <c r="O382" i="4"/>
  <c r="X381" i="4"/>
  <c r="I380" i="4"/>
  <c r="Z379" i="4"/>
  <c r="R379" i="4"/>
  <c r="AA378" i="4"/>
  <c r="K378" i="4"/>
  <c r="C378" i="4"/>
  <c r="L377" i="4"/>
  <c r="E376" i="4"/>
  <c r="O374" i="4"/>
  <c r="X373" i="4"/>
  <c r="P373" i="4"/>
  <c r="Y372" i="4"/>
  <c r="Q372" i="4"/>
  <c r="I372" i="4"/>
  <c r="Z371" i="4"/>
  <c r="R371" i="4"/>
  <c r="AA370" i="4"/>
  <c r="S370" i="4"/>
  <c r="K370" i="4"/>
  <c r="C370" i="4"/>
  <c r="D369" i="4"/>
  <c r="U368" i="4"/>
  <c r="E368" i="4"/>
  <c r="V367" i="4"/>
  <c r="G366" i="4"/>
  <c r="X365" i="4"/>
  <c r="Q364" i="4"/>
  <c r="I364" i="4"/>
  <c r="J363" i="4"/>
  <c r="S362" i="4"/>
  <c r="K362" i="4"/>
  <c r="D361" i="4"/>
  <c r="U360" i="4"/>
  <c r="M360" i="4"/>
  <c r="V359" i="4"/>
  <c r="F359" i="4"/>
  <c r="W358" i="4"/>
  <c r="G358" i="4"/>
  <c r="X357" i="4"/>
  <c r="P357" i="4"/>
  <c r="H357" i="4"/>
  <c r="Y356" i="4"/>
  <c r="Q356" i="4"/>
  <c r="T436" i="4"/>
  <c r="D430" i="4"/>
  <c r="F428" i="4"/>
  <c r="X426" i="4"/>
  <c r="I426" i="4"/>
  <c r="T425" i="4"/>
  <c r="L423" i="4"/>
  <c r="C423" i="4"/>
  <c r="V422" i="4"/>
  <c r="P421" i="4"/>
  <c r="E421" i="4"/>
  <c r="W420" i="4"/>
  <c r="I420" i="4"/>
  <c r="Q419" i="4"/>
  <c r="X418" i="4"/>
  <c r="T417" i="4"/>
  <c r="M415" i="4"/>
  <c r="F414" i="4"/>
  <c r="M413" i="4"/>
  <c r="H412" i="4"/>
  <c r="P411" i="4"/>
  <c r="AA410" i="4"/>
  <c r="D409" i="4"/>
  <c r="C408" i="4"/>
  <c r="U407" i="4"/>
  <c r="L407" i="4"/>
  <c r="G406" i="4"/>
  <c r="G404" i="4"/>
  <c r="I402" i="4"/>
  <c r="Z400" i="4"/>
  <c r="M400" i="4"/>
  <c r="C400" i="4"/>
  <c r="U399" i="4"/>
  <c r="T398" i="4"/>
  <c r="E398" i="4"/>
  <c r="X397" i="4"/>
  <c r="X396" i="4"/>
  <c r="O396" i="4"/>
  <c r="W395" i="4"/>
  <c r="T393" i="4"/>
  <c r="L393" i="4"/>
  <c r="V392" i="4"/>
  <c r="L392" i="4"/>
  <c r="C392" i="4"/>
  <c r="P391" i="4"/>
  <c r="V390" i="4"/>
  <c r="N390" i="4"/>
  <c r="W389" i="4"/>
  <c r="O389" i="4"/>
  <c r="X388" i="4"/>
  <c r="P388" i="4"/>
  <c r="H388" i="4"/>
  <c r="Y387" i="4"/>
  <c r="I387" i="4"/>
  <c r="Z386" i="4"/>
  <c r="S385" i="4"/>
  <c r="C385" i="4"/>
  <c r="T384" i="4"/>
  <c r="D384" i="4"/>
  <c r="U383" i="4"/>
  <c r="V382" i="4"/>
  <c r="N382" i="4"/>
  <c r="F382" i="4"/>
  <c r="W381" i="4"/>
  <c r="X380" i="4"/>
  <c r="P380" i="4"/>
  <c r="H380" i="4"/>
  <c r="Y379" i="4"/>
  <c r="Q379" i="4"/>
  <c r="Z378" i="4"/>
  <c r="R378" i="4"/>
  <c r="J378" i="4"/>
  <c r="S377" i="4"/>
  <c r="K377" i="4"/>
  <c r="T376" i="4"/>
  <c r="L376" i="4"/>
  <c r="D376" i="4"/>
  <c r="E375" i="4"/>
  <c r="V374" i="4"/>
  <c r="F374" i="4"/>
  <c r="W373" i="4"/>
  <c r="O373" i="4"/>
  <c r="G373" i="4"/>
  <c r="X372" i="4"/>
  <c r="H372" i="4"/>
  <c r="Y371" i="4"/>
  <c r="Q371" i="4"/>
  <c r="I371" i="4"/>
  <c r="Z370" i="4"/>
  <c r="J370" i="4"/>
  <c r="AA369" i="4"/>
  <c r="S369" i="4"/>
  <c r="T368" i="4"/>
  <c r="U367" i="4"/>
  <c r="M367" i="4"/>
  <c r="E367" i="4"/>
  <c r="V366" i="4"/>
  <c r="N366" i="4"/>
  <c r="F366" i="4"/>
  <c r="O365" i="4"/>
  <c r="P364" i="4"/>
  <c r="H364" i="4"/>
  <c r="Y363" i="4"/>
  <c r="Q363" i="4"/>
  <c r="R362" i="4"/>
  <c r="J362" i="4"/>
  <c r="AA361" i="4"/>
  <c r="S361" i="4"/>
  <c r="K361" i="4"/>
  <c r="C361" i="4"/>
  <c r="U359" i="4"/>
  <c r="E359" i="4"/>
  <c r="V358" i="4"/>
  <c r="N358" i="4"/>
  <c r="W357" i="4"/>
  <c r="O357" i="4"/>
  <c r="X356" i="4"/>
  <c r="Z432" i="4"/>
  <c r="M429" i="4"/>
  <c r="P427" i="4"/>
  <c r="H426" i="4"/>
  <c r="S425" i="4"/>
  <c r="Z424" i="4"/>
  <c r="K423" i="4"/>
  <c r="O421" i="4"/>
  <c r="P419" i="4"/>
  <c r="I417" i="4"/>
  <c r="L415" i="4"/>
  <c r="X413" i="4"/>
  <c r="Z411" i="4"/>
  <c r="P410" i="4"/>
  <c r="Y409" i="4"/>
  <c r="Q409" i="4"/>
  <c r="M408" i="4"/>
  <c r="K407" i="4"/>
  <c r="F406" i="4"/>
  <c r="X405" i="4"/>
  <c r="P404" i="4"/>
  <c r="H402" i="4"/>
  <c r="R401" i="4"/>
  <c r="L400" i="4"/>
  <c r="L399" i="4"/>
  <c r="O398" i="4"/>
  <c r="W397" i="4"/>
  <c r="N396" i="4"/>
  <c r="J394" i="4"/>
  <c r="S393" i="4"/>
  <c r="K393" i="4"/>
  <c r="U392" i="4"/>
  <c r="K392" i="4"/>
  <c r="X391" i="4"/>
  <c r="F391" i="4"/>
  <c r="U390" i="4"/>
  <c r="M390" i="4"/>
  <c r="N389" i="4"/>
  <c r="G388" i="4"/>
  <c r="X387" i="4"/>
  <c r="P387" i="4"/>
  <c r="H387" i="4"/>
  <c r="Q386" i="4"/>
  <c r="I386" i="4"/>
  <c r="Z385" i="4"/>
  <c r="J385" i="4"/>
  <c r="AA384" i="4"/>
  <c r="S384" i="4"/>
  <c r="K384" i="4"/>
  <c r="L383" i="4"/>
  <c r="D383" i="4"/>
  <c r="E382" i="4"/>
  <c r="W380" i="4"/>
  <c r="O380" i="4"/>
  <c r="G380" i="4"/>
  <c r="H379" i="4"/>
  <c r="Y378" i="4"/>
  <c r="I378" i="4"/>
  <c r="Z377" i="4"/>
  <c r="R377" i="4"/>
  <c r="J377" i="4"/>
  <c r="AA376" i="4"/>
  <c r="S376" i="4"/>
  <c r="K376" i="4"/>
  <c r="C376" i="4"/>
  <c r="T375" i="4"/>
  <c r="L375" i="4"/>
  <c r="D375" i="4"/>
  <c r="U374" i="4"/>
  <c r="M374" i="4"/>
  <c r="E374" i="4"/>
  <c r="V373" i="4"/>
  <c r="F373" i="4"/>
  <c r="W372" i="4"/>
  <c r="O372" i="4"/>
  <c r="G372" i="4"/>
  <c r="X371" i="4"/>
  <c r="H371" i="4"/>
  <c r="Q370" i="4"/>
  <c r="I370" i="4"/>
  <c r="Z369" i="4"/>
  <c r="C368" i="4"/>
  <c r="T367" i="4"/>
  <c r="L367" i="4"/>
  <c r="D367" i="4"/>
  <c r="F365" i="4"/>
  <c r="W364" i="4"/>
  <c r="O364" i="4"/>
  <c r="X363" i="4"/>
  <c r="Y362" i="4"/>
  <c r="Q362" i="4"/>
  <c r="I362" i="4"/>
  <c r="J361" i="4"/>
  <c r="M358" i="4"/>
  <c r="E358" i="4"/>
  <c r="V357" i="4"/>
  <c r="F357" i="4"/>
  <c r="W356" i="4"/>
  <c r="O356" i="4"/>
  <c r="G356" i="4"/>
  <c r="Y447" i="4"/>
  <c r="H439" i="4"/>
  <c r="Q438" i="4"/>
  <c r="J435" i="4"/>
  <c r="Q433" i="4"/>
  <c r="O427" i="4"/>
  <c r="R425" i="4"/>
  <c r="M424" i="4"/>
  <c r="U423" i="4"/>
  <c r="T422" i="4"/>
  <c r="G422" i="4"/>
  <c r="G420" i="4"/>
  <c r="V428" i="4"/>
  <c r="Q425" i="4"/>
  <c r="C425" i="4"/>
  <c r="L424" i="4"/>
  <c r="M421" i="4"/>
  <c r="F420" i="4"/>
  <c r="J446" i="4"/>
  <c r="F436" i="4"/>
  <c r="Y433" i="4"/>
  <c r="R432" i="4"/>
  <c r="S431" i="4"/>
  <c r="R426" i="4"/>
  <c r="K424" i="4"/>
  <c r="S423" i="4"/>
  <c r="E422" i="4"/>
  <c r="W421" i="4"/>
  <c r="S435" i="4"/>
  <c r="I433" i="4"/>
  <c r="AA431" i="4"/>
  <c r="K431" i="4"/>
  <c r="L430" i="4"/>
  <c r="E429" i="4"/>
  <c r="I427" i="4"/>
  <c r="Q426" i="4"/>
  <c r="K425" i="4"/>
  <c r="T424" i="4"/>
  <c r="J424" i="4"/>
  <c r="C447" i="4"/>
  <c r="S445" i="4"/>
  <c r="O441" i="4"/>
  <c r="AA438" i="4"/>
  <c r="X434" i="4"/>
  <c r="W427" i="4"/>
  <c r="Z426" i="4"/>
  <c r="N423" i="4"/>
  <c r="E423" i="4"/>
  <c r="U421" i="4"/>
  <c r="N420" i="4"/>
  <c r="Z418" i="4"/>
  <c r="P418" i="4"/>
  <c r="L417" i="4"/>
  <c r="L414" i="4"/>
  <c r="O413" i="4"/>
  <c r="E413" i="4"/>
  <c r="H411" i="4"/>
  <c r="S410" i="4"/>
  <c r="AA408" i="4"/>
  <c r="U406" i="4"/>
  <c r="O405" i="4"/>
  <c r="V404" i="4"/>
  <c r="Q403" i="4"/>
  <c r="G403" i="4"/>
  <c r="Y402" i="4"/>
  <c r="K402" i="4"/>
  <c r="C402" i="4"/>
  <c r="E399" i="4"/>
  <c r="V398" i="4"/>
  <c r="G397" i="4"/>
  <c r="Y395" i="4"/>
  <c r="X394" i="4"/>
  <c r="C394" i="4"/>
  <c r="D393" i="4"/>
  <c r="S391" i="4"/>
  <c r="P390" i="4"/>
  <c r="Y389" i="4"/>
  <c r="I389" i="4"/>
  <c r="Z388" i="4"/>
  <c r="J388" i="4"/>
  <c r="AA387" i="4"/>
  <c r="S387" i="4"/>
  <c r="K387" i="4"/>
  <c r="L386" i="4"/>
  <c r="D386" i="4"/>
  <c r="E385" i="4"/>
  <c r="V384" i="4"/>
  <c r="F384" i="4"/>
  <c r="W383" i="4"/>
  <c r="X382" i="4"/>
  <c r="P382" i="4"/>
  <c r="H382" i="4"/>
  <c r="Y381" i="4"/>
  <c r="Q381" i="4"/>
  <c r="I381" i="4"/>
  <c r="Z380" i="4"/>
  <c r="J380" i="4"/>
  <c r="AA379" i="4"/>
  <c r="S379" i="4"/>
  <c r="K379" i="4"/>
  <c r="C379" i="4"/>
  <c r="T378" i="4"/>
  <c r="L378" i="4"/>
  <c r="U377" i="4"/>
  <c r="M377" i="4"/>
  <c r="E377" i="4"/>
  <c r="N376" i="4"/>
  <c r="F376" i="4"/>
  <c r="O375" i="4"/>
  <c r="P374" i="4"/>
  <c r="Y373" i="4"/>
  <c r="Q373" i="4"/>
  <c r="I373" i="4"/>
  <c r="R372" i="4"/>
  <c r="AA371" i="4"/>
  <c r="K371" i="4"/>
  <c r="C371" i="4"/>
  <c r="T370" i="4"/>
  <c r="L370" i="4"/>
  <c r="D370" i="4"/>
  <c r="N368" i="4"/>
  <c r="O367" i="4"/>
  <c r="X366" i="4"/>
  <c r="H366" i="4"/>
  <c r="I365" i="4"/>
  <c r="J364" i="4"/>
  <c r="AA363" i="4"/>
  <c r="T362" i="4"/>
  <c r="U361" i="4"/>
  <c r="M361" i="4"/>
  <c r="E361" i="4"/>
  <c r="V360" i="4"/>
  <c r="F360" i="4"/>
  <c r="G359" i="4"/>
  <c r="H358" i="4"/>
  <c r="Y357" i="4"/>
  <c r="Q357" i="4"/>
  <c r="I357" i="4"/>
  <c r="Z356" i="4"/>
  <c r="D422" i="4"/>
  <c r="AA418" i="4"/>
  <c r="Z417" i="4"/>
  <c r="F413" i="4"/>
  <c r="Q412" i="4"/>
  <c r="X410" i="4"/>
  <c r="J408" i="4"/>
  <c r="D406" i="4"/>
  <c r="Y404" i="4"/>
  <c r="J403" i="4"/>
  <c r="Q401" i="4"/>
  <c r="R400" i="4"/>
  <c r="F399" i="4"/>
  <c r="P395" i="4"/>
  <c r="AA392" i="4"/>
  <c r="J392" i="4"/>
  <c r="E391" i="4"/>
  <c r="U389" i="4"/>
  <c r="J389" i="4"/>
  <c r="U386" i="4"/>
  <c r="H385" i="4"/>
  <c r="Y384" i="4"/>
  <c r="Y382" i="4"/>
  <c r="J381" i="4"/>
  <c r="E380" i="4"/>
  <c r="L379" i="4"/>
  <c r="E378" i="4"/>
  <c r="I377" i="4"/>
  <c r="R376" i="4"/>
  <c r="G376" i="4"/>
  <c r="C375" i="4"/>
  <c r="K374" i="4"/>
  <c r="D373" i="4"/>
  <c r="O371" i="4"/>
  <c r="V370" i="4"/>
  <c r="G370" i="4"/>
  <c r="X369" i="4"/>
  <c r="O369" i="4"/>
  <c r="G369" i="4"/>
  <c r="AA367" i="4"/>
  <c r="P367" i="4"/>
  <c r="M365" i="4"/>
  <c r="U362" i="4"/>
  <c r="P361" i="4"/>
  <c r="C359" i="4"/>
  <c r="L358" i="4"/>
  <c r="R357" i="4"/>
  <c r="D357" i="4"/>
  <c r="AA355" i="4"/>
  <c r="C355" i="4"/>
  <c r="T354" i="4"/>
  <c r="D354" i="4"/>
  <c r="V352" i="4"/>
  <c r="N352" i="4"/>
  <c r="F352" i="4"/>
  <c r="W351" i="4"/>
  <c r="X350" i="4"/>
  <c r="P350" i="4"/>
  <c r="H350" i="4"/>
  <c r="Q349" i="4"/>
  <c r="I349" i="4"/>
  <c r="Z348" i="4"/>
  <c r="J348" i="4"/>
  <c r="S347" i="4"/>
  <c r="E345" i="4"/>
  <c r="N344" i="4"/>
  <c r="F344" i="4"/>
  <c r="W343" i="4"/>
  <c r="O343" i="4"/>
  <c r="G343" i="4"/>
  <c r="X342" i="4"/>
  <c r="H342" i="4"/>
  <c r="Y341" i="4"/>
  <c r="R340" i="4"/>
  <c r="S339" i="4"/>
  <c r="K339" i="4"/>
  <c r="C339" i="4"/>
  <c r="T338" i="4"/>
  <c r="L338" i="4"/>
  <c r="U337" i="4"/>
  <c r="V336" i="4"/>
  <c r="N336" i="4"/>
  <c r="F336" i="4"/>
  <c r="W335" i="4"/>
  <c r="G335" i="4"/>
  <c r="P334" i="4"/>
  <c r="Y333" i="4"/>
  <c r="R332" i="4"/>
  <c r="P420" i="4"/>
  <c r="X419" i="4"/>
  <c r="H419" i="4"/>
  <c r="Y417" i="4"/>
  <c r="F415" i="4"/>
  <c r="U413" i="4"/>
  <c r="S408" i="4"/>
  <c r="S407" i="4"/>
  <c r="N406" i="4"/>
  <c r="X404" i="4"/>
  <c r="Y403" i="4"/>
  <c r="I403" i="4"/>
  <c r="V397" i="4"/>
  <c r="O395" i="4"/>
  <c r="I394" i="4"/>
  <c r="D391" i="4"/>
  <c r="D388" i="4"/>
  <c r="V387" i="4"/>
  <c r="L387" i="4"/>
  <c r="H386" i="4"/>
  <c r="Q385" i="4"/>
  <c r="G385" i="4"/>
  <c r="C383" i="4"/>
  <c r="K382" i="4"/>
  <c r="D380" i="4"/>
  <c r="V379" i="4"/>
  <c r="P378" i="4"/>
  <c r="W377" i="4"/>
  <c r="H377" i="4"/>
  <c r="Q376" i="4"/>
  <c r="C373" i="4"/>
  <c r="U372" i="4"/>
  <c r="N371" i="4"/>
  <c r="F370" i="4"/>
  <c r="W369" i="4"/>
  <c r="Z368" i="4"/>
  <c r="G368" i="4"/>
  <c r="Z367" i="4"/>
  <c r="V364" i="4"/>
  <c r="K364" i="4"/>
  <c r="E362" i="4"/>
  <c r="Y361" i="4"/>
  <c r="O361" i="4"/>
  <c r="Z355" i="4"/>
  <c r="J355" i="4"/>
  <c r="AA354" i="4"/>
  <c r="S354" i="4"/>
  <c r="K354" i="4"/>
  <c r="C354" i="4"/>
  <c r="T353" i="4"/>
  <c r="L353" i="4"/>
  <c r="D353" i="4"/>
  <c r="U352" i="4"/>
  <c r="M352" i="4"/>
  <c r="E352" i="4"/>
  <c r="V351" i="4"/>
  <c r="F351" i="4"/>
  <c r="W350" i="4"/>
  <c r="X349" i="4"/>
  <c r="P349" i="4"/>
  <c r="H349" i="4"/>
  <c r="Y348" i="4"/>
  <c r="Z347" i="4"/>
  <c r="R347" i="4"/>
  <c r="J347" i="4"/>
  <c r="AA346" i="4"/>
  <c r="S346" i="4"/>
  <c r="T345" i="4"/>
  <c r="L345" i="4"/>
  <c r="E344" i="4"/>
  <c r="V343" i="4"/>
  <c r="N343" i="4"/>
  <c r="F343" i="4"/>
  <c r="W342" i="4"/>
  <c r="O342" i="4"/>
  <c r="G342" i="4"/>
  <c r="X341" i="4"/>
  <c r="Q340" i="4"/>
  <c r="R339" i="4"/>
  <c r="J339" i="4"/>
  <c r="S338" i="4"/>
  <c r="K338" i="4"/>
  <c r="C338" i="4"/>
  <c r="U336" i="4"/>
  <c r="M336" i="4"/>
  <c r="E336" i="4"/>
  <c r="V335" i="4"/>
  <c r="F335" i="4"/>
  <c r="W334" i="4"/>
  <c r="G334" i="4"/>
  <c r="Y332" i="4"/>
  <c r="J331" i="4"/>
  <c r="AA330" i="4"/>
  <c r="S330" i="4"/>
  <c r="C330" i="4"/>
  <c r="D329" i="4"/>
  <c r="E328" i="4"/>
  <c r="V327" i="4"/>
  <c r="N327" i="4"/>
  <c r="W326" i="4"/>
  <c r="G326" i="4"/>
  <c r="N422" i="4"/>
  <c r="O420" i="4"/>
  <c r="V415" i="4"/>
  <c r="D414" i="4"/>
  <c r="P413" i="4"/>
  <c r="O412" i="4"/>
  <c r="K409" i="4"/>
  <c r="M406" i="4"/>
  <c r="X403" i="4"/>
  <c r="H394" i="4"/>
  <c r="I393" i="4"/>
  <c r="G392" i="4"/>
  <c r="N391" i="4"/>
  <c r="T390" i="4"/>
  <c r="S389" i="4"/>
  <c r="C388" i="4"/>
  <c r="U387" i="4"/>
  <c r="W384" i="4"/>
  <c r="C380" i="4"/>
  <c r="O378" i="4"/>
  <c r="V377" i="4"/>
  <c r="G377" i="4"/>
  <c r="P376" i="4"/>
  <c r="K375" i="4"/>
  <c r="I374" i="4"/>
  <c r="M373" i="4"/>
  <c r="W371" i="4"/>
  <c r="V369" i="4"/>
  <c r="Y368" i="4"/>
  <c r="O368" i="4"/>
  <c r="Y367" i="4"/>
  <c r="K367" i="4"/>
  <c r="T366" i="4"/>
  <c r="K366" i="4"/>
  <c r="K365" i="4"/>
  <c r="X361" i="4"/>
  <c r="N361" i="4"/>
  <c r="J360" i="4"/>
  <c r="J358" i="4"/>
  <c r="S356" i="4"/>
  <c r="Q355" i="4"/>
  <c r="I355" i="4"/>
  <c r="Z354" i="4"/>
  <c r="R354" i="4"/>
  <c r="J354" i="4"/>
  <c r="AA353" i="4"/>
  <c r="S353" i="4"/>
  <c r="K353" i="4"/>
  <c r="C353" i="4"/>
  <c r="M351" i="4"/>
  <c r="V350" i="4"/>
  <c r="N350" i="4"/>
  <c r="F350" i="4"/>
  <c r="W349" i="4"/>
  <c r="O349" i="4"/>
  <c r="G349" i="4"/>
  <c r="P348" i="4"/>
  <c r="Y347" i="4"/>
  <c r="Q347" i="4"/>
  <c r="I347" i="4"/>
  <c r="J346" i="4"/>
  <c r="AA345" i="4"/>
  <c r="S345" i="4"/>
  <c r="C345" i="4"/>
  <c r="T344" i="4"/>
  <c r="U343" i="4"/>
  <c r="M343" i="4"/>
  <c r="E343" i="4"/>
  <c r="V342" i="4"/>
  <c r="N342" i="4"/>
  <c r="F342" i="4"/>
  <c r="W341" i="4"/>
  <c r="G341" i="4"/>
  <c r="X340" i="4"/>
  <c r="P340" i="4"/>
  <c r="Y339" i="4"/>
  <c r="I339" i="4"/>
  <c r="R338" i="4"/>
  <c r="J338" i="4"/>
  <c r="AA337" i="4"/>
  <c r="S337" i="4"/>
  <c r="C337" i="4"/>
  <c r="U335" i="4"/>
  <c r="N334" i="4"/>
  <c r="F334" i="4"/>
  <c r="O333" i="4"/>
  <c r="X332" i="4"/>
  <c r="Q331" i="4"/>
  <c r="I331" i="4"/>
  <c r="Z330" i="4"/>
  <c r="AA329" i="4"/>
  <c r="S329" i="4"/>
  <c r="K329" i="4"/>
  <c r="C329" i="4"/>
  <c r="D328" i="4"/>
  <c r="U327" i="4"/>
  <c r="M327" i="4"/>
  <c r="V326" i="4"/>
  <c r="N326" i="4"/>
  <c r="F326" i="4"/>
  <c r="O325" i="4"/>
  <c r="H324" i="4"/>
  <c r="V421" i="4"/>
  <c r="S418" i="4"/>
  <c r="U415" i="4"/>
  <c r="Y412" i="4"/>
  <c r="L406" i="4"/>
  <c r="AA401" i="4"/>
  <c r="Z395" i="4"/>
  <c r="S394" i="4"/>
  <c r="R393" i="4"/>
  <c r="F392" i="4"/>
  <c r="M391" i="4"/>
  <c r="S390" i="4"/>
  <c r="R389" i="4"/>
  <c r="AA388" i="4"/>
  <c r="N388" i="4"/>
  <c r="T387" i="4"/>
  <c r="P386" i="4"/>
  <c r="F386" i="4"/>
  <c r="O385" i="4"/>
  <c r="J384" i="4"/>
  <c r="T382" i="4"/>
  <c r="AA381" i="4"/>
  <c r="AA380" i="4"/>
  <c r="N380" i="4"/>
  <c r="G379" i="4"/>
  <c r="X378" i="4"/>
  <c r="Y376" i="4"/>
  <c r="O376" i="4"/>
  <c r="R418" i="4"/>
  <c r="D417" i="4"/>
  <c r="X412" i="4"/>
  <c r="Y411" i="4"/>
  <c r="C410" i="4"/>
  <c r="Q418" i="4"/>
  <c r="C417" i="4"/>
  <c r="S415" i="4"/>
  <c r="O414" i="4"/>
  <c r="J411" i="4"/>
  <c r="K410" i="4"/>
  <c r="W406" i="4"/>
  <c r="F405" i="4"/>
  <c r="P402" i="4"/>
  <c r="Y401" i="4"/>
  <c r="U400" i="4"/>
  <c r="K399" i="4"/>
  <c r="Z416" i="4"/>
  <c r="M416" i="4"/>
  <c r="K415" i="4"/>
  <c r="W414" i="4"/>
  <c r="M414" i="4"/>
  <c r="W413" i="4"/>
  <c r="Y410" i="4"/>
  <c r="I410" i="4"/>
  <c r="U408" i="4"/>
  <c r="K408" i="4"/>
  <c r="F407" i="4"/>
  <c r="P405" i="4"/>
  <c r="Z402" i="4"/>
  <c r="S400" i="4"/>
  <c r="Q395" i="4"/>
  <c r="Z393" i="4"/>
  <c r="K389" i="4"/>
  <c r="T388" i="4"/>
  <c r="F388" i="4"/>
  <c r="N387" i="4"/>
  <c r="Z382" i="4"/>
  <c r="T381" i="4"/>
  <c r="F378" i="4"/>
  <c r="Y377" i="4"/>
  <c r="N377" i="4"/>
  <c r="H376" i="4"/>
  <c r="P375" i="4"/>
  <c r="S373" i="4"/>
  <c r="E373" i="4"/>
  <c r="L372" i="4"/>
  <c r="E371" i="4"/>
  <c r="W370" i="4"/>
  <c r="Y369" i="4"/>
  <c r="H369" i="4"/>
  <c r="R368" i="4"/>
  <c r="I368" i="4"/>
  <c r="M364" i="4"/>
  <c r="T363" i="4"/>
  <c r="V362" i="4"/>
  <c r="Y359" i="4"/>
  <c r="Y358" i="4"/>
  <c r="S357" i="4"/>
  <c r="E357" i="4"/>
  <c r="V356" i="4"/>
  <c r="C356" i="4"/>
  <c r="D355" i="4"/>
  <c r="M354" i="4"/>
  <c r="E354" i="4"/>
  <c r="F353" i="4"/>
  <c r="W352" i="4"/>
  <c r="G352" i="4"/>
  <c r="H351" i="4"/>
  <c r="Q350" i="4"/>
  <c r="I350" i="4"/>
  <c r="Z349" i="4"/>
  <c r="R349" i="4"/>
  <c r="S348" i="4"/>
  <c r="C348" i="4"/>
  <c r="L347" i="4"/>
  <c r="D347" i="4"/>
  <c r="M346" i="4"/>
  <c r="E346" i="4"/>
  <c r="V345" i="4"/>
  <c r="F345" i="4"/>
  <c r="W344" i="4"/>
  <c r="H343" i="4"/>
  <c r="I342" i="4"/>
  <c r="Z341" i="4"/>
  <c r="R341" i="4"/>
  <c r="AA340" i="4"/>
  <c r="K340" i="4"/>
  <c r="C340" i="4"/>
  <c r="T339" i="4"/>
  <c r="L339" i="4"/>
  <c r="D339" i="4"/>
  <c r="U338" i="4"/>
  <c r="M338" i="4"/>
  <c r="N337" i="4"/>
  <c r="F337" i="4"/>
  <c r="W336" i="4"/>
  <c r="O336" i="4"/>
  <c r="X335" i="4"/>
  <c r="P335" i="4"/>
  <c r="H335" i="4"/>
  <c r="I334" i="4"/>
  <c r="Z333" i="4"/>
  <c r="R333" i="4"/>
  <c r="AA332" i="4"/>
  <c r="S332" i="4"/>
  <c r="K332" i="4"/>
  <c r="C332" i="4"/>
  <c r="T331" i="4"/>
  <c r="L331" i="4"/>
  <c r="M330" i="4"/>
  <c r="E330" i="4"/>
  <c r="V329" i="4"/>
  <c r="N329" i="4"/>
  <c r="W328" i="4"/>
  <c r="O328" i="4"/>
  <c r="X327" i="4"/>
  <c r="H327" i="4"/>
  <c r="U405" i="4"/>
  <c r="J400" i="4"/>
  <c r="U391" i="4"/>
  <c r="Q390" i="4"/>
  <c r="L388" i="4"/>
  <c r="D387" i="4"/>
  <c r="O386" i="4"/>
  <c r="W378" i="4"/>
  <c r="P377" i="4"/>
  <c r="W376" i="4"/>
  <c r="AA375" i="4"/>
  <c r="AA372" i="4"/>
  <c r="U371" i="4"/>
  <c r="F371" i="4"/>
  <c r="R366" i="4"/>
  <c r="N363" i="4"/>
  <c r="E363" i="4"/>
  <c r="Q360" i="4"/>
  <c r="G360" i="4"/>
  <c r="K357" i="4"/>
  <c r="H355" i="4"/>
  <c r="N354" i="4"/>
  <c r="R353" i="4"/>
  <c r="L351" i="4"/>
  <c r="T350" i="4"/>
  <c r="AA349" i="4"/>
  <c r="L349" i="4"/>
  <c r="T348" i="4"/>
  <c r="E347" i="4"/>
  <c r="X346" i="4"/>
  <c r="X345" i="4"/>
  <c r="D343" i="4"/>
  <c r="O340" i="4"/>
  <c r="N339" i="4"/>
  <c r="Q338" i="4"/>
  <c r="X336" i="4"/>
  <c r="J336" i="4"/>
  <c r="Z334" i="4"/>
  <c r="D334" i="4"/>
  <c r="M333" i="4"/>
  <c r="W332" i="4"/>
  <c r="M332" i="4"/>
  <c r="D332" i="4"/>
  <c r="X331" i="4"/>
  <c r="N331" i="4"/>
  <c r="X328" i="4"/>
  <c r="N328" i="4"/>
  <c r="F328" i="4"/>
  <c r="Z327" i="4"/>
  <c r="D327" i="4"/>
  <c r="T324" i="4"/>
  <c r="C324" i="4"/>
  <c r="S323" i="4"/>
  <c r="K323" i="4"/>
  <c r="C323" i="4"/>
  <c r="L322" i="4"/>
  <c r="D322" i="4"/>
  <c r="U321" i="4"/>
  <c r="M321" i="4"/>
  <c r="V320" i="4"/>
  <c r="W319" i="4"/>
  <c r="O319" i="4"/>
  <c r="X318" i="4"/>
  <c r="P318" i="4"/>
  <c r="Y317" i="4"/>
  <c r="Q317" i="4"/>
  <c r="Z316" i="4"/>
  <c r="R316" i="4"/>
  <c r="J316" i="4"/>
  <c r="AA315" i="4"/>
  <c r="K315" i="4"/>
  <c r="C315" i="4"/>
  <c r="L314" i="4"/>
  <c r="D314" i="4"/>
  <c r="M313" i="4"/>
  <c r="N312" i="4"/>
  <c r="W311" i="4"/>
  <c r="G311" i="4"/>
  <c r="X310" i="4"/>
  <c r="P310" i="4"/>
  <c r="H310" i="4"/>
  <c r="I309" i="4"/>
  <c r="J308" i="4"/>
  <c r="AA307" i="4"/>
  <c r="K307" i="4"/>
  <c r="C307" i="4"/>
  <c r="D306" i="4"/>
  <c r="M305" i="4"/>
  <c r="E305" i="4"/>
  <c r="N304" i="4"/>
  <c r="W303" i="4"/>
  <c r="O303" i="4"/>
  <c r="G303" i="4"/>
  <c r="X302" i="4"/>
  <c r="P302" i="4"/>
  <c r="Q301" i="4"/>
  <c r="I301" i="4"/>
  <c r="Z300" i="4"/>
  <c r="R300" i="4"/>
  <c r="J300" i="4"/>
  <c r="S299" i="4"/>
  <c r="K299" i="4"/>
  <c r="T298" i="4"/>
  <c r="D298" i="4"/>
  <c r="U297" i="4"/>
  <c r="M297" i="4"/>
  <c r="V296" i="4"/>
  <c r="N296" i="4"/>
  <c r="W295" i="4"/>
  <c r="O295" i="4"/>
  <c r="P294" i="4"/>
  <c r="J410" i="4"/>
  <c r="L390" i="4"/>
  <c r="D390" i="4"/>
  <c r="N386" i="4"/>
  <c r="N385" i="4"/>
  <c r="Q383" i="4"/>
  <c r="H383" i="4"/>
  <c r="N379" i="4"/>
  <c r="O377" i="4"/>
  <c r="S374" i="4"/>
  <c r="D374" i="4"/>
  <c r="Q366" i="4"/>
  <c r="D366" i="4"/>
  <c r="J365" i="4"/>
  <c r="AA364" i="4"/>
  <c r="M363" i="4"/>
  <c r="D363" i="4"/>
  <c r="P360" i="4"/>
  <c r="Q358" i="4"/>
  <c r="J357" i="4"/>
  <c r="X354" i="4"/>
  <c r="G353" i="4"/>
  <c r="T351" i="4"/>
  <c r="O347" i="4"/>
  <c r="W346" i="4"/>
  <c r="S344" i="4"/>
  <c r="U342" i="4"/>
  <c r="F341" i="4"/>
  <c r="E340" i="4"/>
  <c r="X339" i="4"/>
  <c r="W337" i="4"/>
  <c r="I336" i="4"/>
  <c r="D335" i="4"/>
  <c r="L333" i="4"/>
  <c r="D333" i="4"/>
  <c r="V332" i="4"/>
  <c r="W331" i="4"/>
  <c r="M331" i="4"/>
  <c r="W329" i="4"/>
  <c r="V328" i="4"/>
  <c r="C328" i="4"/>
  <c r="Y327" i="4"/>
  <c r="L327" i="4"/>
  <c r="C327" i="4"/>
  <c r="Y326" i="4"/>
  <c r="T325" i="4"/>
  <c r="Z323" i="4"/>
  <c r="R323" i="4"/>
  <c r="AA322" i="4"/>
  <c r="S322" i="4"/>
  <c r="K322" i="4"/>
  <c r="C322" i="4"/>
  <c r="L321" i="4"/>
  <c r="U320" i="4"/>
  <c r="M320" i="4"/>
  <c r="N319" i="4"/>
  <c r="F319" i="4"/>
  <c r="W318" i="4"/>
  <c r="O318" i="4"/>
  <c r="G318" i="4"/>
  <c r="Y316" i="4"/>
  <c r="Q316" i="4"/>
  <c r="I316" i="4"/>
  <c r="Z315" i="4"/>
  <c r="R315" i="4"/>
  <c r="K314" i="4"/>
  <c r="C314" i="4"/>
  <c r="L313" i="4"/>
  <c r="D313" i="4"/>
  <c r="U312" i="4"/>
  <c r="M312" i="4"/>
  <c r="E312" i="4"/>
  <c r="V311" i="4"/>
  <c r="F311" i="4"/>
  <c r="W310" i="4"/>
  <c r="O310" i="4"/>
  <c r="X309" i="4"/>
  <c r="P309" i="4"/>
  <c r="Y308" i="4"/>
  <c r="Q308" i="4"/>
  <c r="I308" i="4"/>
  <c r="Z307" i="4"/>
  <c r="J307" i="4"/>
  <c r="AA306" i="4"/>
  <c r="S306" i="4"/>
  <c r="C306" i="4"/>
  <c r="T305" i="4"/>
  <c r="D305" i="4"/>
  <c r="U304" i="4"/>
  <c r="M304" i="4"/>
  <c r="E304" i="4"/>
  <c r="V303" i="4"/>
  <c r="F303" i="4"/>
  <c r="W302" i="4"/>
  <c r="O302" i="4"/>
  <c r="G302" i="4"/>
  <c r="X301" i="4"/>
  <c r="Q300" i="4"/>
  <c r="I300" i="4"/>
  <c r="Z299" i="4"/>
  <c r="R299" i="4"/>
  <c r="J299" i="4"/>
  <c r="AA298" i="4"/>
  <c r="S298" i="4"/>
  <c r="K298" i="4"/>
  <c r="C298" i="4"/>
  <c r="T297" i="4"/>
  <c r="L297" i="4"/>
  <c r="D297" i="4"/>
  <c r="U296" i="4"/>
  <c r="E296" i="4"/>
  <c r="W294" i="4"/>
  <c r="O294" i="4"/>
  <c r="G294" i="4"/>
  <c r="L389" i="4"/>
  <c r="M386" i="4"/>
  <c r="Z383" i="4"/>
  <c r="P383" i="4"/>
  <c r="S382" i="4"/>
  <c r="D382" i="4"/>
  <c r="E381" i="4"/>
  <c r="U378" i="4"/>
  <c r="K373" i="4"/>
  <c r="N370" i="4"/>
  <c r="J367" i="4"/>
  <c r="AA366" i="4"/>
  <c r="Y360" i="4"/>
  <c r="O360" i="4"/>
  <c r="Z357" i="4"/>
  <c r="H356" i="4"/>
  <c r="P355" i="4"/>
  <c r="W354" i="4"/>
  <c r="I354" i="4"/>
  <c r="Z353" i="4"/>
  <c r="P353" i="4"/>
  <c r="X352" i="4"/>
  <c r="K352" i="4"/>
  <c r="J351" i="4"/>
  <c r="D350" i="4"/>
  <c r="G348" i="4"/>
  <c r="V346" i="4"/>
  <c r="I344" i="4"/>
  <c r="J342" i="4"/>
  <c r="AA341" i="4"/>
  <c r="N341" i="4"/>
  <c r="E341" i="4"/>
  <c r="M340" i="4"/>
  <c r="D340" i="4"/>
  <c r="W339" i="4"/>
  <c r="S336" i="4"/>
  <c r="AA335" i="4"/>
  <c r="K333" i="4"/>
  <c r="U332" i="4"/>
  <c r="U329" i="4"/>
  <c r="X326" i="4"/>
  <c r="M326" i="4"/>
  <c r="AA325" i="4"/>
  <c r="J325" i="4"/>
  <c r="Z324" i="4"/>
  <c r="R324" i="4"/>
  <c r="J324" i="4"/>
  <c r="Y323" i="4"/>
  <c r="Q323" i="4"/>
  <c r="I323" i="4"/>
  <c r="R322" i="4"/>
  <c r="AA321" i="4"/>
  <c r="C321" i="4"/>
  <c r="L320" i="4"/>
  <c r="U319" i="4"/>
  <c r="M319" i="4"/>
  <c r="E319" i="4"/>
  <c r="V318" i="4"/>
  <c r="N318" i="4"/>
  <c r="W317" i="4"/>
  <c r="O317" i="4"/>
  <c r="X316" i="4"/>
  <c r="P316" i="4"/>
  <c r="H316" i="4"/>
  <c r="I315" i="4"/>
  <c r="Z314" i="4"/>
  <c r="R314" i="4"/>
  <c r="J314" i="4"/>
  <c r="AA313" i="4"/>
  <c r="D312" i="4"/>
  <c r="M311" i="4"/>
  <c r="E311" i="4"/>
  <c r="N310" i="4"/>
  <c r="W309" i="4"/>
  <c r="G309" i="4"/>
  <c r="H308" i="4"/>
  <c r="Q307" i="4"/>
  <c r="I307" i="4"/>
  <c r="Z306" i="4"/>
  <c r="R306" i="4"/>
  <c r="J306" i="4"/>
  <c r="AA305" i="4"/>
  <c r="S305" i="4"/>
  <c r="K305" i="4"/>
  <c r="L304" i="4"/>
  <c r="D304" i="4"/>
  <c r="U303" i="4"/>
  <c r="M303" i="4"/>
  <c r="V302" i="4"/>
  <c r="N302" i="4"/>
  <c r="W301" i="4"/>
  <c r="O301" i="4"/>
  <c r="G301" i="4"/>
  <c r="H300" i="4"/>
  <c r="Q299" i="4"/>
  <c r="I299" i="4"/>
  <c r="Z298" i="4"/>
  <c r="R298" i="4"/>
  <c r="S297" i="4"/>
  <c r="K297" i="4"/>
  <c r="C297" i="4"/>
  <c r="L296" i="4"/>
  <c r="D296" i="4"/>
  <c r="U295" i="4"/>
  <c r="M295" i="4"/>
  <c r="N294" i="4"/>
  <c r="F294" i="4"/>
  <c r="O293" i="4"/>
  <c r="G293" i="4"/>
  <c r="P292" i="4"/>
  <c r="Y291" i="4"/>
  <c r="Q291" i="4"/>
  <c r="R290" i="4"/>
  <c r="J290" i="4"/>
  <c r="AA416" i="4"/>
  <c r="Q402" i="4"/>
  <c r="R394" i="4"/>
  <c r="AA393" i="4"/>
  <c r="AA389" i="4"/>
  <c r="U388" i="4"/>
  <c r="I384" i="4"/>
  <c r="R382" i="4"/>
  <c r="AA374" i="4"/>
  <c r="Q374" i="4"/>
  <c r="AA373" i="4"/>
  <c r="M370" i="4"/>
  <c r="I367" i="4"/>
  <c r="S365" i="4"/>
  <c r="U363" i="4"/>
  <c r="I361" i="4"/>
  <c r="S359" i="4"/>
  <c r="K359" i="4"/>
  <c r="Z358" i="4"/>
  <c r="U357" i="4"/>
  <c r="P356" i="4"/>
  <c r="F356" i="4"/>
  <c r="X355" i="4"/>
  <c r="O355" i="4"/>
  <c r="N404" i="4"/>
  <c r="V396" i="4"/>
  <c r="AA394" i="4"/>
  <c r="Q394" i="4"/>
  <c r="S392" i="4"/>
  <c r="L391" i="4"/>
  <c r="W386" i="4"/>
  <c r="W385" i="4"/>
  <c r="R384" i="4"/>
  <c r="H384" i="4"/>
  <c r="Z381" i="4"/>
  <c r="Z374" i="4"/>
  <c r="S372" i="4"/>
  <c r="D372" i="4"/>
  <c r="I369" i="4"/>
  <c r="Q417" i="4"/>
  <c r="G405" i="4"/>
  <c r="H396" i="4"/>
  <c r="Z394" i="4"/>
  <c r="R392" i="4"/>
  <c r="K391" i="4"/>
  <c r="V385" i="4"/>
  <c r="Q384" i="4"/>
  <c r="G384" i="4"/>
  <c r="L380" i="4"/>
  <c r="F379" i="4"/>
  <c r="I376" i="4"/>
  <c r="U373" i="4"/>
  <c r="C372" i="4"/>
  <c r="L371" i="4"/>
  <c r="J368" i="4"/>
  <c r="L408" i="4"/>
  <c r="V406" i="4"/>
  <c r="W405" i="4"/>
  <c r="Y394" i="4"/>
  <c r="E393" i="4"/>
  <c r="E389" i="4"/>
  <c r="F387" i="4"/>
  <c r="E386" i="4"/>
  <c r="P384" i="4"/>
  <c r="U381" i="4"/>
  <c r="V380" i="4"/>
  <c r="K380" i="4"/>
  <c r="E379" i="4"/>
  <c r="W411" i="4"/>
  <c r="R403" i="4"/>
  <c r="Q393" i="4"/>
  <c r="R390" i="4"/>
  <c r="M388" i="4"/>
  <c r="E387" i="4"/>
  <c r="AA382" i="4"/>
  <c r="U380" i="4"/>
  <c r="H378" i="4"/>
  <c r="Q377" i="4"/>
  <c r="X376" i="4"/>
  <c r="M372" i="4"/>
  <c r="G371" i="4"/>
  <c r="R367" i="4"/>
  <c r="S366" i="4"/>
  <c r="I366" i="4"/>
  <c r="S364" i="4"/>
  <c r="F363" i="4"/>
  <c r="R360" i="4"/>
  <c r="H360" i="4"/>
  <c r="Z359" i="4"/>
  <c r="D358" i="4"/>
  <c r="L357" i="4"/>
  <c r="AA356" i="4"/>
  <c r="U350" i="4"/>
  <c r="J350" i="4"/>
  <c r="U348" i="4"/>
  <c r="Y346" i="4"/>
  <c r="P346" i="4"/>
  <c r="Y345" i="4"/>
  <c r="T343" i="4"/>
  <c r="I343" i="4"/>
  <c r="Z342" i="4"/>
  <c r="M342" i="4"/>
  <c r="G340" i="4"/>
  <c r="O339" i="4"/>
  <c r="V338" i="4"/>
  <c r="F338" i="4"/>
  <c r="Y337" i="4"/>
  <c r="O337" i="4"/>
  <c r="K336" i="4"/>
  <c r="R335" i="4"/>
  <c r="I335" i="4"/>
  <c r="AA334" i="4"/>
  <c r="R334" i="4"/>
  <c r="F333" i="4"/>
  <c r="N332" i="4"/>
  <c r="O330" i="4"/>
  <c r="Y329" i="4"/>
  <c r="O329" i="4"/>
  <c r="E329" i="4"/>
  <c r="Y328" i="4"/>
  <c r="P328" i="4"/>
  <c r="Q326" i="4"/>
  <c r="H326" i="4"/>
  <c r="V325" i="4"/>
  <c r="E325" i="4"/>
  <c r="U324" i="4"/>
  <c r="M324" i="4"/>
  <c r="D324" i="4"/>
  <c r="T323" i="4"/>
  <c r="U322" i="4"/>
  <c r="M322" i="4"/>
  <c r="E322" i="4"/>
  <c r="V321" i="4"/>
  <c r="N321" i="4"/>
  <c r="F321" i="4"/>
  <c r="W320" i="4"/>
  <c r="O320" i="4"/>
  <c r="G320" i="4"/>
  <c r="X319" i="4"/>
  <c r="H319" i="4"/>
  <c r="Y318" i="4"/>
  <c r="Q318" i="4"/>
  <c r="I318" i="4"/>
  <c r="AA316" i="4"/>
  <c r="S316" i="4"/>
  <c r="K316" i="4"/>
  <c r="T315" i="4"/>
  <c r="M314" i="4"/>
  <c r="E314" i="4"/>
  <c r="V313" i="4"/>
  <c r="N313" i="4"/>
  <c r="W312" i="4"/>
  <c r="O312" i="4"/>
  <c r="Z309" i="4"/>
  <c r="R309" i="4"/>
  <c r="J309" i="4"/>
  <c r="AA308" i="4"/>
  <c r="C308" i="4"/>
  <c r="T307" i="4"/>
  <c r="L307" i="4"/>
  <c r="U306" i="4"/>
  <c r="E306" i="4"/>
  <c r="N305" i="4"/>
  <c r="W304" i="4"/>
  <c r="G304" i="4"/>
  <c r="X303" i="4"/>
  <c r="P303" i="4"/>
  <c r="H303" i="4"/>
  <c r="Y302" i="4"/>
  <c r="Q302" i="4"/>
  <c r="I302" i="4"/>
  <c r="Z301" i="4"/>
  <c r="J301" i="4"/>
  <c r="AA300" i="4"/>
  <c r="S300" i="4"/>
  <c r="K300" i="4"/>
  <c r="C300" i="4"/>
  <c r="T299" i="4"/>
  <c r="L299" i="4"/>
  <c r="D299" i="4"/>
  <c r="M298" i="4"/>
  <c r="E298" i="4"/>
  <c r="V297" i="4"/>
  <c r="N297" i="4"/>
  <c r="F297" i="4"/>
  <c r="W296" i="4"/>
  <c r="O296" i="4"/>
  <c r="G296" i="4"/>
  <c r="H295" i="4"/>
  <c r="Y294" i="4"/>
  <c r="Q294" i="4"/>
  <c r="F364" i="4"/>
  <c r="M356" i="4"/>
  <c r="M355" i="4"/>
  <c r="Z350" i="4"/>
  <c r="E349" i="4"/>
  <c r="U347" i="4"/>
  <c r="G346" i="4"/>
  <c r="Y344" i="4"/>
  <c r="V340" i="4"/>
  <c r="E339" i="4"/>
  <c r="P337" i="4"/>
  <c r="H331" i="4"/>
  <c r="Q330" i="4"/>
  <c r="G330" i="4"/>
  <c r="H329" i="4"/>
  <c r="I328" i="4"/>
  <c r="X323" i="4"/>
  <c r="Q319" i="4"/>
  <c r="AA317" i="4"/>
  <c r="L316" i="4"/>
  <c r="G315" i="4"/>
  <c r="I312" i="4"/>
  <c r="R311" i="4"/>
  <c r="I311" i="4"/>
  <c r="U308" i="4"/>
  <c r="L308" i="4"/>
  <c r="R305" i="4"/>
  <c r="Z304" i="4"/>
  <c r="P304" i="4"/>
  <c r="Z302" i="4"/>
  <c r="J302" i="4"/>
  <c r="I298" i="4"/>
  <c r="O297" i="4"/>
  <c r="R296" i="4"/>
  <c r="K294" i="4"/>
  <c r="Y293" i="4"/>
  <c r="Q293" i="4"/>
  <c r="H293" i="4"/>
  <c r="F292" i="4"/>
  <c r="U291" i="4"/>
  <c r="T290" i="4"/>
  <c r="K290" i="4"/>
  <c r="S289" i="4"/>
  <c r="K289" i="4"/>
  <c r="T288" i="4"/>
  <c r="L288" i="4"/>
  <c r="U287" i="4"/>
  <c r="N286" i="4"/>
  <c r="F286" i="4"/>
  <c r="W285" i="4"/>
  <c r="X284" i="4"/>
  <c r="P284" i="4"/>
  <c r="H284" i="4"/>
  <c r="Y283" i="4"/>
  <c r="I283" i="4"/>
  <c r="Z282" i="4"/>
  <c r="J282" i="4"/>
  <c r="S281" i="4"/>
  <c r="L280" i="4"/>
  <c r="D280" i="4"/>
  <c r="U279" i="4"/>
  <c r="M279" i="4"/>
  <c r="N278" i="4"/>
  <c r="W277" i="4"/>
  <c r="O277" i="4"/>
  <c r="X276" i="4"/>
  <c r="H276" i="4"/>
  <c r="I275" i="4"/>
  <c r="Z274" i="4"/>
  <c r="R274" i="4"/>
  <c r="S273" i="4"/>
  <c r="C273" i="4"/>
  <c r="T272" i="4"/>
  <c r="L272" i="4"/>
  <c r="M271" i="4"/>
  <c r="V270" i="4"/>
  <c r="N270" i="4"/>
  <c r="F270" i="4"/>
  <c r="W269" i="4"/>
  <c r="O269" i="4"/>
  <c r="X268" i="4"/>
  <c r="P268" i="4"/>
  <c r="Q267" i="4"/>
  <c r="I267" i="4"/>
  <c r="J266" i="4"/>
  <c r="S265" i="4"/>
  <c r="K265" i="4"/>
  <c r="C265" i="4"/>
  <c r="T264" i="4"/>
  <c r="V262" i="4"/>
  <c r="N262" i="4"/>
  <c r="F262" i="4"/>
  <c r="W261" i="4"/>
  <c r="O261" i="4"/>
  <c r="G261" i="4"/>
  <c r="X260" i="4"/>
  <c r="H260" i="4"/>
  <c r="Y259" i="4"/>
  <c r="Q259" i="4"/>
  <c r="J258" i="4"/>
  <c r="AA257" i="4"/>
  <c r="S257" i="4"/>
  <c r="K257" i="4"/>
  <c r="C257" i="4"/>
  <c r="T256" i="4"/>
  <c r="L256" i="4"/>
  <c r="U255" i="4"/>
  <c r="E255" i="4"/>
  <c r="N254" i="4"/>
  <c r="F254" i="4"/>
  <c r="O253" i="4"/>
  <c r="X252" i="4"/>
  <c r="P252" i="4"/>
  <c r="H252" i="4"/>
  <c r="Y251" i="4"/>
  <c r="Q251" i="4"/>
  <c r="I251" i="4"/>
  <c r="Z250" i="4"/>
  <c r="R250" i="4"/>
  <c r="S249" i="4"/>
  <c r="K249" i="4"/>
  <c r="C249" i="4"/>
  <c r="T248" i="4"/>
  <c r="L248" i="4"/>
  <c r="D248" i="4"/>
  <c r="M247" i="4"/>
  <c r="N246" i="4"/>
  <c r="F246" i="4"/>
  <c r="W245" i="4"/>
  <c r="G245" i="4"/>
  <c r="X244" i="4"/>
  <c r="P244" i="4"/>
  <c r="H244" i="4"/>
  <c r="Y243" i="4"/>
  <c r="I243" i="4"/>
  <c r="R242" i="4"/>
  <c r="AA241" i="4"/>
  <c r="S241" i="4"/>
  <c r="L240" i="4"/>
  <c r="D240" i="4"/>
  <c r="U239" i="4"/>
  <c r="F238" i="4"/>
  <c r="W237" i="4"/>
  <c r="O237" i="4"/>
  <c r="X236" i="4"/>
  <c r="H236" i="4"/>
  <c r="Q235" i="4"/>
  <c r="I235" i="4"/>
  <c r="Z234" i="4"/>
  <c r="J234" i="4"/>
  <c r="AA233" i="4"/>
  <c r="S233" i="4"/>
  <c r="K233" i="4"/>
  <c r="C233" i="4"/>
  <c r="L232" i="4"/>
  <c r="D232" i="4"/>
  <c r="U231" i="4"/>
  <c r="E231" i="4"/>
  <c r="V230" i="4"/>
  <c r="N230" i="4"/>
  <c r="W229" i="4"/>
  <c r="O229" i="4"/>
  <c r="X228" i="4"/>
  <c r="H228" i="4"/>
  <c r="Q227" i="4"/>
  <c r="AA225" i="4"/>
  <c r="S225" i="4"/>
  <c r="K225" i="4"/>
  <c r="C225" i="4"/>
  <c r="D224" i="4"/>
  <c r="U223" i="4"/>
  <c r="M223" i="4"/>
  <c r="E223" i="4"/>
  <c r="V222" i="4"/>
  <c r="N222" i="4"/>
  <c r="F222" i="4"/>
  <c r="W221" i="4"/>
  <c r="O221" i="4"/>
  <c r="G221" i="4"/>
  <c r="X220" i="4"/>
  <c r="Y219" i="4"/>
  <c r="I219" i="4"/>
  <c r="Z218" i="4"/>
  <c r="I351" i="4"/>
  <c r="T349" i="4"/>
  <c r="D349" i="4"/>
  <c r="O348" i="4"/>
  <c r="E348" i="4"/>
  <c r="Q346" i="4"/>
  <c r="Z343" i="4"/>
  <c r="K343" i="4"/>
  <c r="D341" i="4"/>
  <c r="U339" i="4"/>
  <c r="Q336" i="4"/>
  <c r="L335" i="4"/>
  <c r="T333" i="4"/>
  <c r="G332" i="4"/>
  <c r="P330" i="4"/>
  <c r="R329" i="4"/>
  <c r="S328" i="4"/>
  <c r="H328" i="4"/>
  <c r="T327" i="4"/>
  <c r="I327" i="4"/>
  <c r="L326" i="4"/>
  <c r="I325" i="4"/>
  <c r="Q324" i="4"/>
  <c r="Q322" i="4"/>
  <c r="J321" i="4"/>
  <c r="AA319" i="4"/>
  <c r="S318" i="4"/>
  <c r="E318" i="4"/>
  <c r="W316" i="4"/>
  <c r="G316" i="4"/>
  <c r="Y314" i="4"/>
  <c r="I313" i="4"/>
  <c r="S312" i="4"/>
  <c r="AA311" i="4"/>
  <c r="Z310" i="4"/>
  <c r="D310" i="4"/>
  <c r="V309" i="4"/>
  <c r="L309" i="4"/>
  <c r="Y304" i="4"/>
  <c r="U302" i="4"/>
  <c r="L300" i="4"/>
  <c r="H298" i="4"/>
  <c r="J297" i="4"/>
  <c r="L295" i="4"/>
  <c r="C295" i="4"/>
  <c r="X293" i="4"/>
  <c r="F293" i="4"/>
  <c r="V292" i="4"/>
  <c r="T291" i="4"/>
  <c r="K291" i="4"/>
  <c r="AA290" i="4"/>
  <c r="S290" i="4"/>
  <c r="Z289" i="4"/>
  <c r="J289" i="4"/>
  <c r="AA288" i="4"/>
  <c r="K288" i="4"/>
  <c r="C288" i="4"/>
  <c r="L287" i="4"/>
  <c r="D287" i="4"/>
  <c r="U286" i="4"/>
  <c r="E286" i="4"/>
  <c r="V285" i="4"/>
  <c r="N285" i="4"/>
  <c r="F285" i="4"/>
  <c r="W284" i="4"/>
  <c r="O284" i="4"/>
  <c r="G284" i="4"/>
  <c r="P283" i="4"/>
  <c r="Y282" i="4"/>
  <c r="Q282" i="4"/>
  <c r="R281" i="4"/>
  <c r="J281" i="4"/>
  <c r="S280" i="4"/>
  <c r="K280" i="4"/>
  <c r="T279" i="4"/>
  <c r="D279" i="4"/>
  <c r="U278" i="4"/>
  <c r="M278" i="4"/>
  <c r="N277" i="4"/>
  <c r="W276" i="4"/>
  <c r="O276" i="4"/>
  <c r="H275" i="4"/>
  <c r="Y274" i="4"/>
  <c r="Q274" i="4"/>
  <c r="I274" i="4"/>
  <c r="Z273" i="4"/>
  <c r="R273" i="4"/>
  <c r="J273" i="4"/>
  <c r="S272" i="4"/>
  <c r="K272" i="4"/>
  <c r="C272" i="4"/>
  <c r="T271" i="4"/>
  <c r="D271" i="4"/>
  <c r="M270" i="4"/>
  <c r="E270" i="4"/>
  <c r="V269" i="4"/>
  <c r="N269" i="4"/>
  <c r="O268" i="4"/>
  <c r="Y266" i="4"/>
  <c r="Q266" i="4"/>
  <c r="R265" i="4"/>
  <c r="J265" i="4"/>
  <c r="S264" i="4"/>
  <c r="K264" i="4"/>
  <c r="T263" i="4"/>
  <c r="L263" i="4"/>
  <c r="D263" i="4"/>
  <c r="U262" i="4"/>
  <c r="E262" i="4"/>
  <c r="V261" i="4"/>
  <c r="N261" i="4"/>
  <c r="F261" i="4"/>
  <c r="P259" i="4"/>
  <c r="Y258" i="4"/>
  <c r="Q258" i="4"/>
  <c r="R257" i="4"/>
  <c r="AA256" i="4"/>
  <c r="K256" i="4"/>
  <c r="C256" i="4"/>
  <c r="E254" i="4"/>
  <c r="N253" i="4"/>
  <c r="F253" i="4"/>
  <c r="W252" i="4"/>
  <c r="G252" i="4"/>
  <c r="P251" i="4"/>
  <c r="H251" i="4"/>
  <c r="I250" i="4"/>
  <c r="Z249" i="4"/>
  <c r="R249" i="4"/>
  <c r="AA248" i="4"/>
  <c r="K248" i="4"/>
  <c r="C248" i="4"/>
  <c r="U246" i="4"/>
  <c r="M246" i="4"/>
  <c r="E246" i="4"/>
  <c r="N245" i="4"/>
  <c r="F245" i="4"/>
  <c r="W244" i="4"/>
  <c r="O244" i="4"/>
  <c r="G244" i="4"/>
  <c r="X243" i="4"/>
  <c r="P243" i="4"/>
  <c r="Q242" i="4"/>
  <c r="Z241" i="4"/>
  <c r="J241" i="4"/>
  <c r="K240" i="4"/>
  <c r="C240" i="4"/>
  <c r="L239" i="4"/>
  <c r="D239" i="4"/>
  <c r="U238" i="4"/>
  <c r="E238" i="4"/>
  <c r="F237" i="4"/>
  <c r="W236" i="4"/>
  <c r="O236" i="4"/>
  <c r="G236" i="4"/>
  <c r="X235" i="4"/>
  <c r="P235" i="4"/>
  <c r="Y234" i="4"/>
  <c r="I234" i="4"/>
  <c r="Z233" i="4"/>
  <c r="R233" i="4"/>
  <c r="AA232" i="4"/>
  <c r="S232" i="4"/>
  <c r="K232" i="4"/>
  <c r="C232" i="4"/>
  <c r="L231" i="4"/>
  <c r="D231" i="4"/>
  <c r="U230" i="4"/>
  <c r="N229" i="4"/>
  <c r="F229" i="4"/>
  <c r="W228" i="4"/>
  <c r="O228" i="4"/>
  <c r="X227" i="4"/>
  <c r="H227" i="4"/>
  <c r="Y226" i="4"/>
  <c r="Q226" i="4"/>
  <c r="I226" i="4"/>
  <c r="Z225" i="4"/>
  <c r="J225" i="4"/>
  <c r="AA224" i="4"/>
  <c r="S224" i="4"/>
  <c r="K224" i="4"/>
  <c r="T223" i="4"/>
  <c r="L223" i="4"/>
  <c r="M222" i="4"/>
  <c r="V221" i="4"/>
  <c r="N221" i="4"/>
  <c r="W220" i="4"/>
  <c r="O220" i="4"/>
  <c r="X219" i="4"/>
  <c r="P219" i="4"/>
  <c r="H219" i="4"/>
  <c r="N372" i="4"/>
  <c r="D364" i="4"/>
  <c r="V355" i="4"/>
  <c r="V354" i="4"/>
  <c r="F354" i="4"/>
  <c r="R352" i="4"/>
  <c r="S349" i="4"/>
  <c r="N348" i="4"/>
  <c r="D348" i="4"/>
  <c r="R345" i="4"/>
  <c r="I345" i="4"/>
  <c r="J343" i="4"/>
  <c r="C342" i="4"/>
  <c r="C341" i="4"/>
  <c r="P336" i="4"/>
  <c r="K335" i="4"/>
  <c r="F332" i="4"/>
  <c r="F331" i="4"/>
  <c r="Q329" i="4"/>
  <c r="G327" i="4"/>
  <c r="K326" i="4"/>
  <c r="R325" i="4"/>
  <c r="H325" i="4"/>
  <c r="V323" i="4"/>
  <c r="H323" i="4"/>
  <c r="P322" i="4"/>
  <c r="I321" i="4"/>
  <c r="Q320" i="4"/>
  <c r="Z319" i="4"/>
  <c r="L319" i="4"/>
  <c r="D318" i="4"/>
  <c r="M317" i="4"/>
  <c r="V316" i="4"/>
  <c r="F316" i="4"/>
  <c r="E315" i="4"/>
  <c r="R312" i="4"/>
  <c r="Z311" i="4"/>
  <c r="D311" i="4"/>
  <c r="L310" i="4"/>
  <c r="C310" i="4"/>
  <c r="G308" i="4"/>
  <c r="O307" i="4"/>
  <c r="P305" i="4"/>
  <c r="X304" i="4"/>
  <c r="K304" i="4"/>
  <c r="C301" i="4"/>
  <c r="G300" i="4"/>
  <c r="Q298" i="4"/>
  <c r="Y297" i="4"/>
  <c r="I294" i="4"/>
  <c r="N293" i="4"/>
  <c r="U292" i="4"/>
  <c r="L292" i="4"/>
  <c r="Q290" i="4"/>
  <c r="H290" i="4"/>
  <c r="Y289" i="4"/>
  <c r="Q289" i="4"/>
  <c r="I289" i="4"/>
  <c r="R288" i="4"/>
  <c r="AA287" i="4"/>
  <c r="S287" i="4"/>
  <c r="T286" i="4"/>
  <c r="L286" i="4"/>
  <c r="D286" i="4"/>
  <c r="V284" i="4"/>
  <c r="W283" i="4"/>
  <c r="O283" i="4"/>
  <c r="X282" i="4"/>
  <c r="P282" i="4"/>
  <c r="H282" i="4"/>
  <c r="Y281" i="4"/>
  <c r="Q281" i="4"/>
  <c r="I281" i="4"/>
  <c r="R280" i="4"/>
  <c r="J280" i="4"/>
  <c r="AA279" i="4"/>
  <c r="S279" i="4"/>
  <c r="T278" i="4"/>
  <c r="D278" i="4"/>
  <c r="U277" i="4"/>
  <c r="M277" i="4"/>
  <c r="E277" i="4"/>
  <c r="F276" i="4"/>
  <c r="O275" i="4"/>
  <c r="G275" i="4"/>
  <c r="P274" i="4"/>
  <c r="H274" i="4"/>
  <c r="Q273" i="4"/>
  <c r="I273" i="4"/>
  <c r="R272" i="4"/>
  <c r="J272" i="4"/>
  <c r="AA271" i="4"/>
  <c r="S271" i="4"/>
  <c r="K271" i="4"/>
  <c r="C271" i="4"/>
  <c r="T270" i="4"/>
  <c r="L270" i="4"/>
  <c r="D270" i="4"/>
  <c r="U269" i="4"/>
  <c r="V268" i="4"/>
  <c r="N268" i="4"/>
  <c r="W267" i="4"/>
  <c r="X266" i="4"/>
  <c r="P266" i="4"/>
  <c r="H266" i="4"/>
  <c r="Z264" i="4"/>
  <c r="R264" i="4"/>
  <c r="J264" i="4"/>
  <c r="AA263" i="4"/>
  <c r="S263" i="4"/>
  <c r="K263" i="4"/>
  <c r="T262" i="4"/>
  <c r="L262" i="4"/>
  <c r="D262" i="4"/>
  <c r="M261" i="4"/>
  <c r="E261" i="4"/>
  <c r="N260" i="4"/>
  <c r="F260" i="4"/>
  <c r="W259" i="4"/>
  <c r="O259" i="4"/>
  <c r="X258" i="4"/>
  <c r="H258" i="4"/>
  <c r="Y257" i="4"/>
  <c r="Q257" i="4"/>
  <c r="I257" i="4"/>
  <c r="Z256" i="4"/>
  <c r="R256" i="4"/>
  <c r="J256" i="4"/>
  <c r="AA255" i="4"/>
  <c r="K255" i="4"/>
  <c r="C255" i="4"/>
  <c r="T254" i="4"/>
  <c r="L254" i="4"/>
  <c r="D254" i="4"/>
  <c r="U253" i="4"/>
  <c r="M253" i="4"/>
  <c r="E253" i="4"/>
  <c r="V252" i="4"/>
  <c r="N252" i="4"/>
  <c r="W251" i="4"/>
  <c r="O251" i="4"/>
  <c r="X250" i="4"/>
  <c r="P250" i="4"/>
  <c r="H250" i="4"/>
  <c r="Y249" i="4"/>
  <c r="I249" i="4"/>
  <c r="Z248" i="4"/>
  <c r="J248" i="4"/>
  <c r="AA247" i="4"/>
  <c r="K247" i="4"/>
  <c r="T246" i="4"/>
  <c r="L246" i="4"/>
  <c r="U245" i="4"/>
  <c r="M245" i="4"/>
  <c r="N244" i="4"/>
  <c r="W243" i="4"/>
  <c r="O243" i="4"/>
  <c r="X242" i="4"/>
  <c r="H242" i="4"/>
  <c r="Z240" i="4"/>
  <c r="R240" i="4"/>
  <c r="AA239" i="4"/>
  <c r="S239" i="4"/>
  <c r="K239" i="4"/>
  <c r="C239" i="4"/>
  <c r="T238" i="4"/>
  <c r="L238" i="4"/>
  <c r="D238" i="4"/>
  <c r="U237" i="4"/>
  <c r="E237" i="4"/>
  <c r="N236" i="4"/>
  <c r="F236" i="4"/>
  <c r="W235" i="4"/>
  <c r="X234" i="4"/>
  <c r="Q233" i="4"/>
  <c r="J232" i="4"/>
  <c r="AA231" i="4"/>
  <c r="C231" i="4"/>
  <c r="T230" i="4"/>
  <c r="U229" i="4"/>
  <c r="E229" i="4"/>
  <c r="G227" i="4"/>
  <c r="X226" i="4"/>
  <c r="H226" i="4"/>
  <c r="Q225" i="4"/>
  <c r="I225" i="4"/>
  <c r="Z224" i="4"/>
  <c r="R224" i="4"/>
  <c r="J224" i="4"/>
  <c r="S223" i="4"/>
  <c r="K223" i="4"/>
  <c r="C223" i="4"/>
  <c r="T222" i="4"/>
  <c r="L222" i="4"/>
  <c r="D222" i="4"/>
  <c r="U221" i="4"/>
  <c r="N220" i="4"/>
  <c r="F220" i="4"/>
  <c r="O219" i="4"/>
  <c r="G219" i="4"/>
  <c r="X218" i="4"/>
  <c r="P218" i="4"/>
  <c r="H218" i="4"/>
  <c r="Y217" i="4"/>
  <c r="T364" i="4"/>
  <c r="Q352" i="4"/>
  <c r="Q345" i="4"/>
  <c r="R342" i="4"/>
  <c r="P339" i="4"/>
  <c r="H338" i="4"/>
  <c r="T335" i="4"/>
  <c r="L334" i="4"/>
  <c r="E331" i="4"/>
  <c r="P329" i="4"/>
  <c r="Q328" i="4"/>
  <c r="R327" i="4"/>
  <c r="U326" i="4"/>
  <c r="Q325" i="4"/>
  <c r="U323" i="4"/>
  <c r="H321" i="4"/>
  <c r="AA320" i="4"/>
  <c r="Y319" i="4"/>
  <c r="M318" i="4"/>
  <c r="V317" i="4"/>
  <c r="L317" i="4"/>
  <c r="D317" i="4"/>
  <c r="E316" i="4"/>
  <c r="X315" i="4"/>
  <c r="N315" i="4"/>
  <c r="R313" i="4"/>
  <c r="AA312" i="4"/>
  <c r="Q312" i="4"/>
  <c r="Y311" i="4"/>
  <c r="C311" i="4"/>
  <c r="K310" i="4"/>
  <c r="T309" i="4"/>
  <c r="F308" i="4"/>
  <c r="N307" i="4"/>
  <c r="Q306" i="4"/>
  <c r="O305" i="4"/>
  <c r="S302" i="4"/>
  <c r="M301" i="4"/>
  <c r="U300" i="4"/>
  <c r="M299" i="4"/>
  <c r="P298" i="4"/>
  <c r="F298" i="4"/>
  <c r="H297" i="4"/>
  <c r="J295" i="4"/>
  <c r="T294" i="4"/>
  <c r="H294" i="4"/>
  <c r="V293" i="4"/>
  <c r="E365" i="4"/>
  <c r="W362" i="4"/>
  <c r="R359" i="4"/>
  <c r="I359" i="4"/>
  <c r="Y353" i="4"/>
  <c r="Q351" i="4"/>
  <c r="L348" i="4"/>
  <c r="M347" i="4"/>
  <c r="P345" i="4"/>
  <c r="G345" i="4"/>
  <c r="H344" i="4"/>
  <c r="V341" i="4"/>
  <c r="J337" i="4"/>
  <c r="S335" i="4"/>
  <c r="K334" i="4"/>
  <c r="AA333" i="4"/>
  <c r="O332" i="4"/>
  <c r="Q327" i="4"/>
  <c r="I326" i="4"/>
  <c r="P325" i="4"/>
  <c r="F325" i="4"/>
  <c r="Y324" i="4"/>
  <c r="N324" i="4"/>
  <c r="Y322" i="4"/>
  <c r="N322" i="4"/>
  <c r="R321" i="4"/>
  <c r="G321" i="4"/>
  <c r="Z320" i="4"/>
  <c r="C320" i="4"/>
  <c r="J319" i="4"/>
  <c r="L318" i="4"/>
  <c r="U317" i="4"/>
  <c r="K317" i="4"/>
  <c r="W315" i="4"/>
  <c r="M315" i="4"/>
  <c r="V314" i="4"/>
  <c r="Q313" i="4"/>
  <c r="P312" i="4"/>
  <c r="J310" i="4"/>
  <c r="F309" i="4"/>
  <c r="E308" i="4"/>
  <c r="M307" i="4"/>
  <c r="G306" i="4"/>
  <c r="I304" i="4"/>
  <c r="AA303" i="4"/>
  <c r="L303" i="4"/>
  <c r="D302" i="4"/>
  <c r="L301" i="4"/>
  <c r="E300" i="4"/>
  <c r="H299" i="4"/>
  <c r="O298" i="4"/>
  <c r="G297" i="4"/>
  <c r="Q359" i="4"/>
  <c r="H359" i="4"/>
  <c r="E356" i="4"/>
  <c r="E355" i="4"/>
  <c r="P354" i="4"/>
  <c r="X353" i="4"/>
  <c r="J353" i="4"/>
  <c r="AA351" i="4"/>
  <c r="X347" i="4"/>
  <c r="O345" i="4"/>
  <c r="Q344" i="4"/>
  <c r="U341" i="4"/>
  <c r="K341" i="4"/>
  <c r="X338" i="4"/>
  <c r="I337" i="4"/>
  <c r="U334" i="4"/>
  <c r="P331" i="4"/>
  <c r="S326" i="4"/>
  <c r="Y325" i="4"/>
  <c r="O323" i="4"/>
  <c r="E323" i="4"/>
  <c r="X322" i="4"/>
  <c r="Y320" i="4"/>
  <c r="K320" i="4"/>
  <c r="T319" i="4"/>
  <c r="T317" i="4"/>
  <c r="Y313" i="4"/>
  <c r="P313" i="4"/>
  <c r="Y312" i="4"/>
  <c r="T310" i="4"/>
  <c r="V307" i="4"/>
  <c r="F306" i="4"/>
  <c r="W305" i="4"/>
  <c r="J305" i="4"/>
  <c r="H304" i="4"/>
  <c r="K303" i="4"/>
  <c r="C302" i="4"/>
  <c r="U301" i="4"/>
  <c r="K301" i="4"/>
  <c r="D300" i="4"/>
  <c r="G299" i="4"/>
  <c r="R297" i="4"/>
  <c r="X296" i="4"/>
  <c r="J296" i="4"/>
  <c r="R294" i="4"/>
  <c r="X368" i="4"/>
  <c r="AA365" i="4"/>
  <c r="D356" i="4"/>
  <c r="L350" i="4"/>
  <c r="V348" i="4"/>
  <c r="W347" i="4"/>
  <c r="H347" i="4"/>
  <c r="I346" i="4"/>
  <c r="AA344" i="4"/>
  <c r="P344" i="4"/>
  <c r="T341" i="4"/>
  <c r="G339" i="4"/>
  <c r="W338" i="4"/>
  <c r="R337" i="4"/>
  <c r="H337" i="4"/>
  <c r="Z329" i="4"/>
  <c r="Z328" i="4"/>
  <c r="K328" i="4"/>
  <c r="R326" i="4"/>
  <c r="X325" i="4"/>
  <c r="N323" i="4"/>
  <c r="W322" i="4"/>
  <c r="I322" i="4"/>
  <c r="Z321" i="4"/>
  <c r="J320" i="4"/>
  <c r="Z318" i="4"/>
  <c r="J318" i="4"/>
  <c r="S317" i="4"/>
  <c r="N316" i="4"/>
  <c r="U315" i="4"/>
  <c r="G314" i="4"/>
  <c r="X313" i="4"/>
  <c r="O313" i="4"/>
  <c r="X312" i="4"/>
  <c r="K311" i="4"/>
  <c r="D309" i="4"/>
  <c r="N308" i="4"/>
  <c r="G307" i="4"/>
  <c r="Y306" i="4"/>
  <c r="N306" i="4"/>
  <c r="I305" i="4"/>
  <c r="Y303" i="4"/>
  <c r="J303" i="4"/>
  <c r="L302" i="4"/>
  <c r="T301" i="4"/>
  <c r="O300" i="4"/>
  <c r="V299" i="4"/>
  <c r="Q297" i="4"/>
  <c r="AA295" i="4"/>
  <c r="Q295" i="4"/>
  <c r="AA294" i="4"/>
  <c r="M294" i="4"/>
  <c r="C294" i="4"/>
  <c r="J293" i="4"/>
  <c r="Y292" i="4"/>
  <c r="H367" i="4"/>
  <c r="N355" i="4"/>
  <c r="J352" i="4"/>
  <c r="Y351" i="4"/>
  <c r="K350" i="4"/>
  <c r="F349" i="4"/>
  <c r="V347" i="4"/>
  <c r="G347" i="4"/>
  <c r="H346" i="4"/>
  <c r="Z345" i="4"/>
  <c r="Z344" i="4"/>
  <c r="AA342" i="4"/>
  <c r="S341" i="4"/>
  <c r="W340" i="4"/>
  <c r="F339" i="4"/>
  <c r="G337" i="4"/>
  <c r="S334" i="4"/>
  <c r="I329" i="4"/>
  <c r="J328" i="4"/>
  <c r="M323" i="4"/>
  <c r="V322" i="4"/>
  <c r="H322" i="4"/>
  <c r="O321" i="4"/>
  <c r="D319" i="4"/>
  <c r="M316" i="4"/>
  <c r="H315" i="4"/>
  <c r="S311" i="4"/>
  <c r="AA309" i="4"/>
  <c r="V308" i="4"/>
  <c r="C304" i="4"/>
  <c r="T303" i="4"/>
  <c r="K302" i="4"/>
  <c r="S301" i="4"/>
  <c r="F301" i="4"/>
  <c r="N300" i="4"/>
  <c r="E299" i="4"/>
  <c r="P297" i="4"/>
  <c r="S296" i="4"/>
  <c r="Z295" i="4"/>
  <c r="L294" i="4"/>
  <c r="Z293" i="4"/>
  <c r="O292" i="4"/>
  <c r="V291" i="4"/>
  <c r="U290" i="4"/>
  <c r="L290" i="4"/>
  <c r="L289" i="4"/>
  <c r="D289" i="4"/>
  <c r="U288" i="4"/>
  <c r="M288" i="4"/>
  <c r="E288" i="4"/>
  <c r="V287" i="4"/>
  <c r="N287" i="4"/>
  <c r="F287" i="4"/>
  <c r="O286" i="4"/>
  <c r="X285" i="4"/>
  <c r="P285" i="4"/>
  <c r="H285" i="4"/>
  <c r="Y284" i="4"/>
  <c r="Q284" i="4"/>
  <c r="I284" i="4"/>
  <c r="Z283" i="4"/>
  <c r="R283" i="4"/>
  <c r="J283" i="4"/>
  <c r="AA282" i="4"/>
  <c r="S282" i="4"/>
  <c r="K282" i="4"/>
  <c r="C282" i="4"/>
  <c r="L281" i="4"/>
  <c r="U280" i="4"/>
  <c r="N279" i="4"/>
  <c r="G278" i="4"/>
  <c r="P277" i="4"/>
  <c r="H277" i="4"/>
  <c r="Y276" i="4"/>
  <c r="I276" i="4"/>
  <c r="R275" i="4"/>
  <c r="J275" i="4"/>
  <c r="K274" i="4"/>
  <c r="T273" i="4"/>
  <c r="L273" i="4"/>
  <c r="M272" i="4"/>
  <c r="E272" i="4"/>
  <c r="V271" i="4"/>
  <c r="F271" i="4"/>
  <c r="H269" i="4"/>
  <c r="Y268" i="4"/>
  <c r="Z267" i="4"/>
  <c r="R267" i="4"/>
  <c r="J267" i="4"/>
  <c r="AA266" i="4"/>
  <c r="S266" i="4"/>
  <c r="T265" i="4"/>
  <c r="L265" i="4"/>
  <c r="U264" i="4"/>
  <c r="M264" i="4"/>
  <c r="E264" i="4"/>
  <c r="N263" i="4"/>
  <c r="F263" i="4"/>
  <c r="G262" i="4"/>
  <c r="I260" i="4"/>
  <c r="Z259" i="4"/>
  <c r="R259" i="4"/>
  <c r="S258" i="4"/>
  <c r="T257" i="4"/>
  <c r="D257" i="4"/>
  <c r="U256" i="4"/>
  <c r="M256" i="4"/>
  <c r="E256" i="4"/>
  <c r="V255" i="4"/>
  <c r="N255" i="4"/>
  <c r="F255" i="4"/>
  <c r="W254" i="4"/>
  <c r="G254" i="4"/>
  <c r="P253" i="4"/>
  <c r="Y252" i="4"/>
  <c r="I252" i="4"/>
  <c r="AA250" i="4"/>
  <c r="S250" i="4"/>
  <c r="K250" i="4"/>
  <c r="C250" i="4"/>
  <c r="L249" i="4"/>
  <c r="U248" i="4"/>
  <c r="M248" i="4"/>
  <c r="E248" i="4"/>
  <c r="W246" i="4"/>
  <c r="O246" i="4"/>
  <c r="G246" i="4"/>
  <c r="X245" i="4"/>
  <c r="H245" i="4"/>
  <c r="Z243" i="4"/>
  <c r="R243" i="4"/>
  <c r="J243" i="4"/>
  <c r="C242" i="4"/>
  <c r="T241" i="4"/>
  <c r="L241" i="4"/>
  <c r="D241" i="4"/>
  <c r="U240" i="4"/>
  <c r="M240" i="4"/>
  <c r="E240" i="4"/>
  <c r="V239" i="4"/>
  <c r="N239" i="4"/>
  <c r="F239" i="4"/>
  <c r="G238" i="4"/>
  <c r="X237" i="4"/>
  <c r="P237" i="4"/>
  <c r="H237" i="4"/>
  <c r="I236" i="4"/>
  <c r="S234" i="4"/>
  <c r="K234" i="4"/>
  <c r="C234" i="4"/>
  <c r="T233" i="4"/>
  <c r="D233" i="4"/>
  <c r="N231" i="4"/>
  <c r="F231" i="4"/>
  <c r="W230" i="4"/>
  <c r="O230" i="4"/>
  <c r="X229" i="4"/>
  <c r="P229" i="4"/>
  <c r="H229" i="4"/>
  <c r="Q228" i="4"/>
  <c r="I228" i="4"/>
  <c r="Z227" i="4"/>
  <c r="J227" i="4"/>
  <c r="AA226" i="4"/>
  <c r="C226" i="4"/>
  <c r="L225" i="4"/>
  <c r="E224" i="4"/>
  <c r="F223" i="4"/>
  <c r="X221" i="4"/>
  <c r="Y220" i="4"/>
  <c r="Q220" i="4"/>
  <c r="I220" i="4"/>
  <c r="AA218" i="4"/>
  <c r="K218" i="4"/>
  <c r="T217" i="4"/>
  <c r="D217" i="4"/>
  <c r="Q292" i="4"/>
  <c r="X291" i="4"/>
  <c r="F290" i="4"/>
  <c r="O289" i="4"/>
  <c r="V288" i="4"/>
  <c r="O287" i="4"/>
  <c r="X286" i="4"/>
  <c r="K286" i="4"/>
  <c r="R285" i="4"/>
  <c r="AA284" i="4"/>
  <c r="L284" i="4"/>
  <c r="S283" i="4"/>
  <c r="W282" i="4"/>
  <c r="L282" i="4"/>
  <c r="F281" i="4"/>
  <c r="P280" i="4"/>
  <c r="X279" i="4"/>
  <c r="K278" i="4"/>
  <c r="T277" i="4"/>
  <c r="AA276" i="4"/>
  <c r="D276" i="4"/>
  <c r="C275" i="4"/>
  <c r="E273" i="4"/>
  <c r="S269" i="4"/>
  <c r="R268" i="4"/>
  <c r="F267" i="4"/>
  <c r="M266" i="4"/>
  <c r="X265" i="4"/>
  <c r="M265" i="4"/>
  <c r="Q264" i="4"/>
  <c r="F264" i="4"/>
  <c r="C261" i="4"/>
  <c r="C260" i="4"/>
  <c r="U259" i="4"/>
  <c r="T258" i="4"/>
  <c r="O257" i="4"/>
  <c r="O255" i="4"/>
  <c r="S253" i="4"/>
  <c r="L252" i="4"/>
  <c r="T251" i="4"/>
  <c r="H249" i="4"/>
  <c r="X246" i="4"/>
  <c r="I246" i="4"/>
  <c r="K244" i="4"/>
  <c r="E243" i="4"/>
  <c r="O242" i="4"/>
  <c r="F242" i="4"/>
  <c r="X241" i="4"/>
  <c r="N241" i="4"/>
  <c r="W240" i="4"/>
  <c r="U235" i="4"/>
  <c r="K235" i="4"/>
  <c r="T234" i="4"/>
  <c r="N233" i="4"/>
  <c r="W232" i="4"/>
  <c r="J231" i="4"/>
  <c r="Z229" i="4"/>
  <c r="L229" i="4"/>
  <c r="J228" i="4"/>
  <c r="S227" i="4"/>
  <c r="F226" i="4"/>
  <c r="M220" i="4"/>
  <c r="V219" i="4"/>
  <c r="L219" i="4"/>
  <c r="I218" i="4"/>
  <c r="V217" i="4"/>
  <c r="U216" i="4"/>
  <c r="V215" i="4"/>
  <c r="N215" i="4"/>
  <c r="F215" i="4"/>
  <c r="O214" i="4"/>
  <c r="G214" i="4"/>
  <c r="X213" i="4"/>
  <c r="P213" i="4"/>
  <c r="H213" i="4"/>
  <c r="Y212" i="4"/>
  <c r="Q212" i="4"/>
  <c r="I212" i="4"/>
  <c r="R211" i="4"/>
  <c r="AA210" i="4"/>
  <c r="K210" i="4"/>
  <c r="C210" i="4"/>
  <c r="L209" i="4"/>
  <c r="D209" i="4"/>
  <c r="U208" i="4"/>
  <c r="M208" i="4"/>
  <c r="E208" i="4"/>
  <c r="F207" i="4"/>
  <c r="G206" i="4"/>
  <c r="Q204" i="4"/>
  <c r="I204" i="4"/>
  <c r="R203" i="4"/>
  <c r="J203" i="4"/>
  <c r="AA202" i="4"/>
  <c r="S202" i="4"/>
  <c r="C202" i="4"/>
  <c r="T201" i="4"/>
  <c r="D201" i="4"/>
  <c r="U200" i="4"/>
  <c r="N199" i="4"/>
  <c r="F199" i="4"/>
  <c r="O198" i="4"/>
  <c r="X197" i="4"/>
  <c r="H197" i="4"/>
  <c r="Y196" i="4"/>
  <c r="J195" i="4"/>
  <c r="K194" i="4"/>
  <c r="C194" i="4"/>
  <c r="L193" i="4"/>
  <c r="D193" i="4"/>
  <c r="U192" i="4"/>
  <c r="M192" i="4"/>
  <c r="E192" i="4"/>
  <c r="V191" i="4"/>
  <c r="N191" i="4"/>
  <c r="F191" i="4"/>
  <c r="W190" i="4"/>
  <c r="G190" i="4"/>
  <c r="P189" i="4"/>
  <c r="H189" i="4"/>
  <c r="Y188" i="4"/>
  <c r="Q188" i="4"/>
  <c r="I188" i="4"/>
  <c r="R187" i="4"/>
  <c r="J187" i="4"/>
  <c r="C186" i="4"/>
  <c r="T185" i="4"/>
  <c r="L185" i="4"/>
  <c r="D185" i="4"/>
  <c r="U184" i="4"/>
  <c r="V183" i="4"/>
  <c r="W182" i="4"/>
  <c r="O182" i="4"/>
  <c r="X181" i="4"/>
  <c r="H181" i="4"/>
  <c r="Y180" i="4"/>
  <c r="Q180" i="4"/>
  <c r="Z179" i="4"/>
  <c r="R179" i="4"/>
  <c r="J179" i="4"/>
  <c r="AA178" i="4"/>
  <c r="K178" i="4"/>
  <c r="L177" i="4"/>
  <c r="U176" i="4"/>
  <c r="E176" i="4"/>
  <c r="N175" i="4"/>
  <c r="F175" i="4"/>
  <c r="W174" i="4"/>
  <c r="O174" i="4"/>
  <c r="G174" i="4"/>
  <c r="X173" i="4"/>
  <c r="H173" i="4"/>
  <c r="Q172" i="4"/>
  <c r="I172" i="4"/>
  <c r="AA170" i="4"/>
  <c r="S170" i="4"/>
  <c r="K170" i="4"/>
  <c r="C170" i="4"/>
  <c r="T169" i="4"/>
  <c r="D169" i="4"/>
  <c r="M168" i="4"/>
  <c r="E168" i="4"/>
  <c r="N167" i="4"/>
  <c r="W166" i="4"/>
  <c r="O166" i="4"/>
  <c r="G166" i="4"/>
  <c r="P165" i="4"/>
  <c r="Y164" i="4"/>
  <c r="I164" i="4"/>
  <c r="Z163" i="4"/>
  <c r="J163" i="4"/>
  <c r="S162" i="4"/>
  <c r="K162" i="4"/>
  <c r="C162" i="4"/>
  <c r="T161" i="4"/>
  <c r="L161" i="4"/>
  <c r="D161" i="4"/>
  <c r="E160" i="4"/>
  <c r="V159" i="4"/>
  <c r="N159" i="4"/>
  <c r="F159" i="4"/>
  <c r="W158" i="4"/>
  <c r="X157" i="4"/>
  <c r="I156" i="4"/>
  <c r="R155" i="4"/>
  <c r="AA154" i="4"/>
  <c r="S154" i="4"/>
  <c r="K154" i="4"/>
  <c r="T153" i="4"/>
  <c r="L153" i="4"/>
  <c r="D153" i="4"/>
  <c r="U152" i="4"/>
  <c r="M152" i="4"/>
  <c r="V151" i="4"/>
  <c r="F151" i="4"/>
  <c r="W150" i="4"/>
  <c r="O150" i="4"/>
  <c r="X149" i="4"/>
  <c r="P149" i="4"/>
  <c r="Y148" i="4"/>
  <c r="Q148" i="4"/>
  <c r="I148" i="4"/>
  <c r="Z147" i="4"/>
  <c r="J147" i="4"/>
  <c r="S146" i="4"/>
  <c r="C146" i="4"/>
  <c r="L145" i="4"/>
  <c r="D145" i="4"/>
  <c r="U144" i="4"/>
  <c r="M144" i="4"/>
  <c r="E144" i="4"/>
  <c r="V143" i="4"/>
  <c r="N143" i="4"/>
  <c r="Y140" i="4"/>
  <c r="Q140" i="4"/>
  <c r="I295" i="4"/>
  <c r="W291" i="4"/>
  <c r="E290" i="4"/>
  <c r="X289" i="4"/>
  <c r="N289" i="4"/>
  <c r="J286" i="4"/>
  <c r="Z284" i="4"/>
  <c r="K284" i="4"/>
  <c r="E283" i="4"/>
  <c r="V282" i="4"/>
  <c r="E281" i="4"/>
  <c r="W279" i="4"/>
  <c r="J278" i="4"/>
  <c r="S277" i="4"/>
  <c r="Z276" i="4"/>
  <c r="N275" i="4"/>
  <c r="U274" i="4"/>
  <c r="P271" i="4"/>
  <c r="X270" i="4"/>
  <c r="K270" i="4"/>
  <c r="R269" i="4"/>
  <c r="L266" i="4"/>
  <c r="P264" i="4"/>
  <c r="S262" i="4"/>
  <c r="I262" i="4"/>
  <c r="M260" i="4"/>
  <c r="T259" i="4"/>
  <c r="G258" i="4"/>
  <c r="N257" i="4"/>
  <c r="AA253" i="4"/>
  <c r="R253" i="4"/>
  <c r="U252" i="4"/>
  <c r="S251" i="4"/>
  <c r="F251" i="4"/>
  <c r="M250" i="4"/>
  <c r="H246" i="4"/>
  <c r="Z245" i="4"/>
  <c r="U244" i="4"/>
  <c r="J244" i="4"/>
  <c r="N243" i="4"/>
  <c r="D243" i="4"/>
  <c r="N242" i="4"/>
  <c r="W241" i="4"/>
  <c r="M241" i="4"/>
  <c r="I240" i="4"/>
  <c r="Z239" i="4"/>
  <c r="O239" i="4"/>
  <c r="K238" i="4"/>
  <c r="Q237" i="4"/>
  <c r="D237" i="4"/>
  <c r="M236" i="4"/>
  <c r="T235" i="4"/>
  <c r="M233" i="4"/>
  <c r="V232" i="4"/>
  <c r="K229" i="4"/>
  <c r="F227" i="4"/>
  <c r="W225" i="4"/>
  <c r="Q224" i="4"/>
  <c r="G224" i="4"/>
  <c r="Z223" i="4"/>
  <c r="I222" i="4"/>
  <c r="Z220" i="4"/>
  <c r="L220" i="4"/>
  <c r="U219" i="4"/>
  <c r="K219" i="4"/>
  <c r="G218" i="4"/>
  <c r="U217" i="4"/>
  <c r="C217" i="4"/>
  <c r="L216" i="4"/>
  <c r="D216" i="4"/>
  <c r="M215" i="4"/>
  <c r="V214" i="4"/>
  <c r="X212" i="4"/>
  <c r="H212" i="4"/>
  <c r="Y211" i="4"/>
  <c r="Q211" i="4"/>
  <c r="I211" i="4"/>
  <c r="R210" i="4"/>
  <c r="J210" i="4"/>
  <c r="AA209" i="4"/>
  <c r="K209" i="4"/>
  <c r="C209" i="4"/>
  <c r="T208" i="4"/>
  <c r="L208" i="4"/>
  <c r="D208" i="4"/>
  <c r="E207" i="4"/>
  <c r="V206" i="4"/>
  <c r="N206" i="4"/>
  <c r="F206" i="4"/>
  <c r="G205" i="4"/>
  <c r="X204" i="4"/>
  <c r="P204" i="4"/>
  <c r="Y203" i="4"/>
  <c r="Z202" i="4"/>
  <c r="R202" i="4"/>
  <c r="S201" i="4"/>
  <c r="C201" i="4"/>
  <c r="L200" i="4"/>
  <c r="D200" i="4"/>
  <c r="U199" i="4"/>
  <c r="M199" i="4"/>
  <c r="V198" i="4"/>
  <c r="N198" i="4"/>
  <c r="F198" i="4"/>
  <c r="O197" i="4"/>
  <c r="G197" i="4"/>
  <c r="H196" i="4"/>
  <c r="Y195" i="4"/>
  <c r="I195" i="4"/>
  <c r="Z194" i="4"/>
  <c r="R194" i="4"/>
  <c r="J194" i="4"/>
  <c r="AA193" i="4"/>
  <c r="C193" i="4"/>
  <c r="T192" i="4"/>
  <c r="L192" i="4"/>
  <c r="U191" i="4"/>
  <c r="M191" i="4"/>
  <c r="F190" i="4"/>
  <c r="O189" i="4"/>
  <c r="G189" i="4"/>
  <c r="X188" i="4"/>
  <c r="P188" i="4"/>
  <c r="H188" i="4"/>
  <c r="Y187" i="4"/>
  <c r="Z186" i="4"/>
  <c r="L184" i="4"/>
  <c r="M183" i="4"/>
  <c r="E183" i="4"/>
  <c r="W181" i="4"/>
  <c r="X180" i="4"/>
  <c r="P180" i="4"/>
  <c r="H180" i="4"/>
  <c r="Q179" i="4"/>
  <c r="R178" i="4"/>
  <c r="J178" i="4"/>
  <c r="AA177" i="4"/>
  <c r="K177" i="4"/>
  <c r="U175" i="4"/>
  <c r="M175" i="4"/>
  <c r="E175" i="4"/>
  <c r="V174" i="4"/>
  <c r="N174" i="4"/>
  <c r="F174" i="4"/>
  <c r="P172" i="4"/>
  <c r="Y171" i="4"/>
  <c r="Q171" i="4"/>
  <c r="I171" i="4"/>
  <c r="Z170" i="4"/>
  <c r="R170" i="4"/>
  <c r="J170" i="4"/>
  <c r="AA169" i="4"/>
  <c r="K169" i="4"/>
  <c r="L168" i="4"/>
  <c r="D168" i="4"/>
  <c r="U167" i="4"/>
  <c r="V166" i="4"/>
  <c r="F166" i="4"/>
  <c r="W165" i="4"/>
  <c r="O165" i="4"/>
  <c r="G165" i="4"/>
  <c r="Y163" i="4"/>
  <c r="Q163" i="4"/>
  <c r="R162" i="4"/>
  <c r="J162" i="4"/>
  <c r="C161" i="4"/>
  <c r="T160" i="4"/>
  <c r="L160" i="4"/>
  <c r="D160" i="4"/>
  <c r="U159" i="4"/>
  <c r="M159" i="4"/>
  <c r="V158" i="4"/>
  <c r="N158" i="4"/>
  <c r="X156" i="4"/>
  <c r="Y155" i="4"/>
  <c r="Q155" i="4"/>
  <c r="I155" i="4"/>
  <c r="R154" i="4"/>
  <c r="AA153" i="4"/>
  <c r="S153" i="4"/>
  <c r="C153" i="4"/>
  <c r="T152" i="4"/>
  <c r="L152" i="4"/>
  <c r="U151" i="4"/>
  <c r="E151" i="4"/>
  <c r="V150" i="4"/>
  <c r="N150" i="4"/>
  <c r="W149" i="4"/>
  <c r="O149" i="4"/>
  <c r="G149" i="4"/>
  <c r="X148" i="4"/>
  <c r="P148" i="4"/>
  <c r="Y147" i="4"/>
  <c r="Q147" i="4"/>
  <c r="Z146" i="4"/>
  <c r="AA145" i="4"/>
  <c r="K145" i="4"/>
  <c r="C145" i="4"/>
  <c r="D144" i="4"/>
  <c r="U143" i="4"/>
  <c r="M143" i="4"/>
  <c r="V142" i="4"/>
  <c r="N142" i="4"/>
  <c r="F142" i="4"/>
  <c r="W141" i="4"/>
  <c r="G141" i="4"/>
  <c r="X140" i="4"/>
  <c r="P140" i="4"/>
  <c r="Y139" i="4"/>
  <c r="K293" i="4"/>
  <c r="Z292" i="4"/>
  <c r="W289" i="4"/>
  <c r="M289" i="4"/>
  <c r="Q288" i="4"/>
  <c r="AA285" i="4"/>
  <c r="U284" i="4"/>
  <c r="D283" i="4"/>
  <c r="U282" i="4"/>
  <c r="N280" i="4"/>
  <c r="I278" i="4"/>
  <c r="D277" i="4"/>
  <c r="T274" i="4"/>
  <c r="F274" i="4"/>
  <c r="N273" i="4"/>
  <c r="H272" i="4"/>
  <c r="Z271" i="4"/>
  <c r="O271" i="4"/>
  <c r="J270" i="4"/>
  <c r="Q269" i="4"/>
  <c r="AA268" i="4"/>
  <c r="M268" i="4"/>
  <c r="E268" i="4"/>
  <c r="D267" i="4"/>
  <c r="H265" i="4"/>
  <c r="O264" i="4"/>
  <c r="W263" i="4"/>
  <c r="J263" i="4"/>
  <c r="R262" i="4"/>
  <c r="H262" i="4"/>
  <c r="Y261" i="4"/>
  <c r="L260" i="4"/>
  <c r="S259" i="4"/>
  <c r="M257" i="4"/>
  <c r="Q256" i="4"/>
  <c r="W255" i="4"/>
  <c r="S254" i="4"/>
  <c r="I254" i="4"/>
  <c r="Z253" i="4"/>
  <c r="Q253" i="4"/>
  <c r="C253" i="4"/>
  <c r="T252" i="4"/>
  <c r="J252" i="4"/>
  <c r="E251" i="4"/>
  <c r="L250" i="4"/>
  <c r="F249" i="4"/>
  <c r="X248" i="4"/>
  <c r="Y245" i="4"/>
  <c r="M243" i="4"/>
  <c r="C243" i="4"/>
  <c r="D242" i="4"/>
  <c r="V241" i="4"/>
  <c r="H240" i="4"/>
  <c r="S238" i="4"/>
  <c r="F234" i="4"/>
  <c r="X233" i="4"/>
  <c r="R231" i="4"/>
  <c r="Y230" i="4"/>
  <c r="K230" i="4"/>
  <c r="J229" i="4"/>
  <c r="R228" i="4"/>
  <c r="AA227" i="4"/>
  <c r="E227" i="4"/>
  <c r="W226" i="4"/>
  <c r="N226" i="4"/>
  <c r="V225" i="4"/>
  <c r="P224" i="4"/>
  <c r="F224" i="4"/>
  <c r="Y223" i="4"/>
  <c r="S222" i="4"/>
  <c r="H222" i="4"/>
  <c r="AA221" i="4"/>
  <c r="D221" i="4"/>
  <c r="Q218" i="4"/>
  <c r="K217" i="4"/>
  <c r="AA216" i="4"/>
  <c r="S216" i="4"/>
  <c r="K216" i="4"/>
  <c r="C216" i="4"/>
  <c r="T215" i="4"/>
  <c r="L215" i="4"/>
  <c r="U214" i="4"/>
  <c r="M214" i="4"/>
  <c r="E214" i="4"/>
  <c r="V213" i="4"/>
  <c r="O212" i="4"/>
  <c r="X211" i="4"/>
  <c r="H211" i="4"/>
  <c r="Y210" i="4"/>
  <c r="Q210" i="4"/>
  <c r="I210" i="4"/>
  <c r="R209" i="4"/>
  <c r="J209" i="4"/>
  <c r="AA208" i="4"/>
  <c r="S208" i="4"/>
  <c r="C208" i="4"/>
  <c r="T207" i="4"/>
  <c r="L207" i="4"/>
  <c r="D207" i="4"/>
  <c r="V205" i="4"/>
  <c r="W204" i="4"/>
  <c r="O204" i="4"/>
  <c r="X203" i="4"/>
  <c r="H203" i="4"/>
  <c r="Y202" i="4"/>
  <c r="I202" i="4"/>
  <c r="Z201" i="4"/>
  <c r="R201" i="4"/>
  <c r="J201" i="4"/>
  <c r="L199" i="4"/>
  <c r="U198" i="4"/>
  <c r="V197" i="4"/>
  <c r="N197" i="4"/>
  <c r="F197" i="4"/>
  <c r="W196" i="4"/>
  <c r="X195" i="4"/>
  <c r="H195" i="4"/>
  <c r="Y194" i="4"/>
  <c r="I194" i="4"/>
  <c r="Z193" i="4"/>
  <c r="R193" i="4"/>
  <c r="J193" i="4"/>
  <c r="AA192" i="4"/>
  <c r="C192" i="4"/>
  <c r="L191" i="4"/>
  <c r="D191" i="4"/>
  <c r="E190" i="4"/>
  <c r="V189" i="4"/>
  <c r="N189" i="4"/>
  <c r="F189" i="4"/>
  <c r="W188" i="4"/>
  <c r="P187" i="4"/>
  <c r="H187" i="4"/>
  <c r="Q186" i="4"/>
  <c r="I186" i="4"/>
  <c r="Z185" i="4"/>
  <c r="R185" i="4"/>
  <c r="J185" i="4"/>
  <c r="S184" i="4"/>
  <c r="C184" i="4"/>
  <c r="T183" i="4"/>
  <c r="U182" i="4"/>
  <c r="M182" i="4"/>
  <c r="E182" i="4"/>
  <c r="V181" i="4"/>
  <c r="W180" i="4"/>
  <c r="X179" i="4"/>
  <c r="P179" i="4"/>
  <c r="I178" i="4"/>
  <c r="Z177" i="4"/>
  <c r="R177" i="4"/>
  <c r="J177" i="4"/>
  <c r="AA176" i="4"/>
  <c r="S176" i="4"/>
  <c r="K176" i="4"/>
  <c r="C176" i="4"/>
  <c r="T175" i="4"/>
  <c r="D175" i="4"/>
  <c r="U174" i="4"/>
  <c r="M174" i="4"/>
  <c r="W172" i="4"/>
  <c r="O172" i="4"/>
  <c r="G172" i="4"/>
  <c r="X171" i="4"/>
  <c r="Y170" i="4"/>
  <c r="I170" i="4"/>
  <c r="AA168" i="4"/>
  <c r="S168" i="4"/>
  <c r="T167" i="4"/>
  <c r="L167" i="4"/>
  <c r="D167" i="4"/>
  <c r="U166" i="4"/>
  <c r="E166" i="4"/>
  <c r="W164" i="4"/>
  <c r="X163" i="4"/>
  <c r="P163" i="4"/>
  <c r="Q162" i="4"/>
  <c r="Z161" i="4"/>
  <c r="J161" i="4"/>
  <c r="S160" i="4"/>
  <c r="K160" i="4"/>
  <c r="T159" i="4"/>
  <c r="L159" i="4"/>
  <c r="U158" i="4"/>
  <c r="M158" i="4"/>
  <c r="V157" i="4"/>
  <c r="F157" i="4"/>
  <c r="W156" i="4"/>
  <c r="O156" i="4"/>
  <c r="P155" i="4"/>
  <c r="H155" i="4"/>
  <c r="Q154" i="4"/>
  <c r="I154" i="4"/>
  <c r="Z153" i="4"/>
  <c r="J153" i="4"/>
  <c r="AA152" i="4"/>
  <c r="C152" i="4"/>
  <c r="T151" i="4"/>
  <c r="L151" i="4"/>
  <c r="D151" i="4"/>
  <c r="M150" i="4"/>
  <c r="E150" i="4"/>
  <c r="V149" i="4"/>
  <c r="F149" i="4"/>
  <c r="O148" i="4"/>
  <c r="X147" i="4"/>
  <c r="H147" i="4"/>
  <c r="Y146" i="4"/>
  <c r="I146" i="4"/>
  <c r="Z145" i="4"/>
  <c r="R145" i="4"/>
  <c r="AA144" i="4"/>
  <c r="K144" i="4"/>
  <c r="T143" i="4"/>
  <c r="L143" i="4"/>
  <c r="D143" i="4"/>
  <c r="U142" i="4"/>
  <c r="V141" i="4"/>
  <c r="N141" i="4"/>
  <c r="F141" i="4"/>
  <c r="W140" i="4"/>
  <c r="O140" i="4"/>
  <c r="G140" i="4"/>
  <c r="U293" i="4"/>
  <c r="K292" i="4"/>
  <c r="H291" i="4"/>
  <c r="O290" i="4"/>
  <c r="P288" i="4"/>
  <c r="J287" i="4"/>
  <c r="S286" i="4"/>
  <c r="H286" i="4"/>
  <c r="Z285" i="4"/>
  <c r="AA283" i="4"/>
  <c r="M283" i="4"/>
  <c r="C283" i="4"/>
  <c r="T282" i="4"/>
  <c r="F282" i="4"/>
  <c r="N281" i="4"/>
  <c r="X280" i="4"/>
  <c r="R279" i="4"/>
  <c r="H278" i="4"/>
  <c r="AA277" i="4"/>
  <c r="Q277" i="4"/>
  <c r="U276" i="4"/>
  <c r="V275" i="4"/>
  <c r="L275" i="4"/>
  <c r="E274" i="4"/>
  <c r="M273" i="4"/>
  <c r="G272" i="4"/>
  <c r="I270" i="4"/>
  <c r="AA269" i="4"/>
  <c r="Z268" i="4"/>
  <c r="L268" i="4"/>
  <c r="M267" i="4"/>
  <c r="G265" i="4"/>
  <c r="I263" i="4"/>
  <c r="Q262" i="4"/>
  <c r="T260" i="4"/>
  <c r="K260" i="4"/>
  <c r="O258" i="4"/>
  <c r="E258" i="4"/>
  <c r="X257" i="4"/>
  <c r="R254" i="4"/>
  <c r="H254" i="4"/>
  <c r="Y253" i="4"/>
  <c r="D251" i="4"/>
  <c r="E249" i="4"/>
  <c r="W248" i="4"/>
  <c r="Z247" i="4"/>
  <c r="R247" i="4"/>
  <c r="H247" i="4"/>
  <c r="K245" i="4"/>
  <c r="L243" i="4"/>
  <c r="V242" i="4"/>
  <c r="L242" i="4"/>
  <c r="G240" i="4"/>
  <c r="S295" i="4"/>
  <c r="T293" i="4"/>
  <c r="J292" i="4"/>
  <c r="G291" i="4"/>
  <c r="N290" i="4"/>
  <c r="U289" i="4"/>
  <c r="G289" i="4"/>
  <c r="I287" i="4"/>
  <c r="R286" i="4"/>
  <c r="L285" i="4"/>
  <c r="L283" i="4"/>
  <c r="X281" i="4"/>
  <c r="W280" i="4"/>
  <c r="Q279" i="4"/>
  <c r="G279" i="4"/>
  <c r="Q278" i="4"/>
  <c r="O274" i="4"/>
  <c r="F272" i="4"/>
  <c r="Z269" i="4"/>
  <c r="D269" i="4"/>
  <c r="K268" i="4"/>
  <c r="C268" i="4"/>
  <c r="V267" i="4"/>
  <c r="T266" i="4"/>
  <c r="F265" i="4"/>
  <c r="H263" i="4"/>
  <c r="P262" i="4"/>
  <c r="S260" i="4"/>
  <c r="M259" i="4"/>
  <c r="E259" i="4"/>
  <c r="N258" i="4"/>
  <c r="O256" i="4"/>
  <c r="AA254" i="4"/>
  <c r="C254" i="4"/>
  <c r="R252" i="4"/>
  <c r="C251" i="4"/>
  <c r="U250" i="4"/>
  <c r="G250" i="4"/>
  <c r="H248" i="4"/>
  <c r="Y247" i="4"/>
  <c r="Q247" i="4"/>
  <c r="Q246" i="4"/>
  <c r="T245" i="4"/>
  <c r="R244" i="4"/>
  <c r="V243" i="4"/>
  <c r="K243" i="4"/>
  <c r="E294" i="4"/>
  <c r="T292" i="4"/>
  <c r="I292" i="4"/>
  <c r="F291" i="4"/>
  <c r="N288" i="4"/>
  <c r="R287" i="4"/>
  <c r="Q286" i="4"/>
  <c r="C286" i="4"/>
  <c r="K285" i="4"/>
  <c r="D284" i="4"/>
  <c r="V283" i="4"/>
  <c r="K283" i="4"/>
  <c r="W281" i="4"/>
  <c r="V280" i="4"/>
  <c r="P279" i="4"/>
  <c r="K277" i="4"/>
  <c r="J276" i="4"/>
  <c r="T275" i="4"/>
  <c r="F275" i="4"/>
  <c r="W271" i="4"/>
  <c r="J271" i="4"/>
  <c r="R270" i="4"/>
  <c r="Y269" i="4"/>
  <c r="U268" i="4"/>
  <c r="U267" i="4"/>
  <c r="K267" i="4"/>
  <c r="E265" i="4"/>
  <c r="I264" i="4"/>
  <c r="T261" i="4"/>
  <c r="AA260" i="4"/>
  <c r="R260" i="4"/>
  <c r="AA259" i="4"/>
  <c r="L259" i="4"/>
  <c r="D259" i="4"/>
  <c r="W258" i="4"/>
  <c r="V257" i="4"/>
  <c r="H257" i="4"/>
  <c r="Y256" i="4"/>
  <c r="N256" i="4"/>
  <c r="R255" i="4"/>
  <c r="D252" i="4"/>
  <c r="L251" i="4"/>
  <c r="T250" i="4"/>
  <c r="F250" i="4"/>
  <c r="N249" i="4"/>
  <c r="G248" i="4"/>
  <c r="I245" i="4"/>
  <c r="AA244" i="4"/>
  <c r="D244" i="4"/>
  <c r="P240" i="4"/>
  <c r="S292" i="4"/>
  <c r="N291" i="4"/>
  <c r="Y290" i="4"/>
  <c r="Z286" i="4"/>
  <c r="T285" i="4"/>
  <c r="J285" i="4"/>
  <c r="V281" i="4"/>
  <c r="G280" i="4"/>
  <c r="O279" i="4"/>
  <c r="Y278" i="4"/>
  <c r="C278" i="4"/>
  <c r="J277" i="4"/>
  <c r="AA275" i="4"/>
  <c r="S275" i="4"/>
  <c r="M274" i="4"/>
  <c r="P272" i="4"/>
  <c r="I271" i="4"/>
  <c r="AA270" i="4"/>
  <c r="C270" i="4"/>
  <c r="T268" i="4"/>
  <c r="T267" i="4"/>
  <c r="O266" i="4"/>
  <c r="E266" i="4"/>
  <c r="W264" i="4"/>
  <c r="Z260" i="4"/>
  <c r="E260" i="4"/>
  <c r="C259" i="4"/>
  <c r="L258" i="4"/>
  <c r="U257" i="4"/>
  <c r="G257" i="4"/>
  <c r="X256" i="4"/>
  <c r="I256" i="4"/>
  <c r="Q255" i="4"/>
  <c r="G255" i="4"/>
  <c r="Y254" i="4"/>
  <c r="I253" i="4"/>
  <c r="K251" i="4"/>
  <c r="W249" i="4"/>
  <c r="M249" i="4"/>
  <c r="W247" i="4"/>
  <c r="O247" i="4"/>
  <c r="Z246" i="4"/>
  <c r="R245" i="4"/>
  <c r="Z244" i="4"/>
  <c r="M244" i="4"/>
  <c r="T243" i="4"/>
  <c r="P241" i="4"/>
  <c r="R239" i="4"/>
  <c r="Y238" i="4"/>
  <c r="J237" i="4"/>
  <c r="R292" i="4"/>
  <c r="Z291" i="4"/>
  <c r="S285" i="4"/>
  <c r="I285" i="4"/>
  <c r="M284" i="4"/>
  <c r="T283" i="4"/>
  <c r="U281" i="4"/>
  <c r="X278" i="4"/>
  <c r="E276" i="4"/>
  <c r="L274" i="4"/>
  <c r="U273" i="4"/>
  <c r="F273" i="4"/>
  <c r="R271" i="4"/>
  <c r="H271" i="4"/>
  <c r="S267" i="4"/>
  <c r="N266" i="4"/>
  <c r="D266" i="4"/>
  <c r="N265" i="4"/>
  <c r="X262" i="4"/>
  <c r="K262" i="4"/>
  <c r="R261" i="4"/>
  <c r="D261" i="4"/>
  <c r="D260" i="4"/>
  <c r="U258" i="4"/>
  <c r="P257" i="4"/>
  <c r="F257" i="4"/>
  <c r="W256" i="4"/>
  <c r="H256" i="4"/>
  <c r="P255" i="4"/>
  <c r="AA252" i="4"/>
  <c r="M252" i="4"/>
  <c r="U251" i="4"/>
  <c r="D250" i="4"/>
  <c r="V249" i="4"/>
  <c r="Y246" i="4"/>
  <c r="J246" i="4"/>
  <c r="D245" i="4"/>
  <c r="L244" i="4"/>
  <c r="S243" i="4"/>
  <c r="F243" i="4"/>
  <c r="O241" i="4"/>
  <c r="E241" i="4"/>
  <c r="X240" i="4"/>
  <c r="N240" i="4"/>
  <c r="Q239" i="4"/>
  <c r="X238" i="4"/>
  <c r="S237" i="4"/>
  <c r="I237" i="4"/>
  <c r="C236" i="4"/>
  <c r="V235" i="4"/>
  <c r="L235" i="4"/>
  <c r="C235" i="4"/>
  <c r="L234" i="4"/>
  <c r="O233" i="4"/>
  <c r="X232" i="4"/>
  <c r="P230" i="4"/>
  <c r="AA229" i="4"/>
  <c r="K228" i="4"/>
  <c r="T227" i="4"/>
  <c r="K227" i="4"/>
  <c r="O225" i="4"/>
  <c r="I224" i="4"/>
  <c r="X222" i="4"/>
  <c r="K222" i="4"/>
  <c r="R221" i="4"/>
  <c r="D220" i="4"/>
  <c r="T218" i="4"/>
  <c r="W217" i="4"/>
  <c r="F217" i="4"/>
  <c r="V216" i="4"/>
  <c r="N216" i="4"/>
  <c r="W215" i="4"/>
  <c r="X214" i="4"/>
  <c r="P214" i="4"/>
  <c r="H214" i="4"/>
  <c r="I213" i="4"/>
  <c r="J212" i="4"/>
  <c r="AA211" i="4"/>
  <c r="K211" i="4"/>
  <c r="C211" i="4"/>
  <c r="T210" i="4"/>
  <c r="U209" i="4"/>
  <c r="V208" i="4"/>
  <c r="W207" i="4"/>
  <c r="O207" i="4"/>
  <c r="G207" i="4"/>
  <c r="P206" i="4"/>
  <c r="H206" i="4"/>
  <c r="Y205" i="4"/>
  <c r="Q205" i="4"/>
  <c r="I205" i="4"/>
  <c r="R204" i="4"/>
  <c r="J204" i="4"/>
  <c r="AA203" i="4"/>
  <c r="S203" i="4"/>
  <c r="M201" i="4"/>
  <c r="E201" i="4"/>
  <c r="O199" i="4"/>
  <c r="G199" i="4"/>
  <c r="X198" i="4"/>
  <c r="H198" i="4"/>
  <c r="Y197" i="4"/>
  <c r="Q197" i="4"/>
  <c r="I197" i="4"/>
  <c r="R196" i="4"/>
  <c r="J196" i="4"/>
  <c r="AA195" i="4"/>
  <c r="K195" i="4"/>
  <c r="T194" i="4"/>
  <c r="D194" i="4"/>
  <c r="U193" i="4"/>
  <c r="V192" i="4"/>
  <c r="N192" i="4"/>
  <c r="F192" i="4"/>
  <c r="W191" i="4"/>
  <c r="X190" i="4"/>
  <c r="H190" i="4"/>
  <c r="Y189" i="4"/>
  <c r="I189" i="4"/>
  <c r="R188" i="4"/>
  <c r="J188" i="4"/>
  <c r="AA187" i="4"/>
  <c r="C187" i="4"/>
  <c r="T186" i="4"/>
  <c r="D186" i="4"/>
  <c r="U185" i="4"/>
  <c r="E185" i="4"/>
  <c r="G183" i="4"/>
  <c r="P182" i="4"/>
  <c r="Y181" i="4"/>
  <c r="I181" i="4"/>
  <c r="Z180" i="4"/>
  <c r="J180" i="4"/>
  <c r="AA179" i="4"/>
  <c r="S179" i="4"/>
  <c r="K179" i="4"/>
  <c r="L178" i="4"/>
  <c r="D178" i="4"/>
  <c r="M177" i="4"/>
  <c r="V176" i="4"/>
  <c r="N176" i="4"/>
  <c r="F176" i="4"/>
  <c r="W175" i="4"/>
  <c r="O175" i="4"/>
  <c r="G175" i="4"/>
  <c r="X174" i="4"/>
  <c r="P174" i="4"/>
  <c r="Q173" i="4"/>
  <c r="I173" i="4"/>
  <c r="Z172" i="4"/>
  <c r="R172" i="4"/>
  <c r="J172" i="4"/>
  <c r="K171" i="4"/>
  <c r="T170" i="4"/>
  <c r="L170" i="4"/>
  <c r="D170" i="4"/>
  <c r="E169" i="4"/>
  <c r="V168" i="4"/>
  <c r="W167" i="4"/>
  <c r="O167" i="4"/>
  <c r="G167" i="4"/>
  <c r="X166" i="4"/>
  <c r="P166" i="4"/>
  <c r="H166" i="4"/>
  <c r="Q165" i="4"/>
  <c r="J164" i="4"/>
  <c r="AA163" i="4"/>
  <c r="S163" i="4"/>
  <c r="T162" i="4"/>
  <c r="U161" i="4"/>
  <c r="M161" i="4"/>
  <c r="E161" i="4"/>
  <c r="F160" i="4"/>
  <c r="W159" i="4"/>
  <c r="O159" i="4"/>
  <c r="I157" i="4"/>
  <c r="R156" i="4"/>
  <c r="K155" i="4"/>
  <c r="C155" i="4"/>
  <c r="T154" i="4"/>
  <c r="U153" i="4"/>
  <c r="M153" i="4"/>
  <c r="E153" i="4"/>
  <c r="G151" i="4"/>
  <c r="X150" i="4"/>
  <c r="P150" i="4"/>
  <c r="H150" i="4"/>
  <c r="Y149" i="4"/>
  <c r="Q149" i="4"/>
  <c r="I149" i="4"/>
  <c r="R148" i="4"/>
  <c r="J148" i="4"/>
  <c r="S147" i="4"/>
  <c r="K147" i="4"/>
  <c r="C147" i="4"/>
  <c r="U145" i="4"/>
  <c r="E145" i="4"/>
  <c r="V144" i="4"/>
  <c r="N144" i="4"/>
  <c r="F144" i="4"/>
  <c r="O143" i="4"/>
  <c r="P142" i="4"/>
  <c r="H142" i="4"/>
  <c r="Q141" i="4"/>
  <c r="I141" i="4"/>
  <c r="Z140" i="4"/>
  <c r="K237" i="4"/>
  <c r="V233" i="4"/>
  <c r="G232" i="4"/>
  <c r="S230" i="4"/>
  <c r="I229" i="4"/>
  <c r="U227" i="4"/>
  <c r="G225" i="4"/>
  <c r="Q222" i="4"/>
  <c r="Z221" i="4"/>
  <c r="K221" i="4"/>
  <c r="W218" i="4"/>
  <c r="L218" i="4"/>
  <c r="H216" i="4"/>
  <c r="P215" i="4"/>
  <c r="Y214" i="4"/>
  <c r="J213" i="4"/>
  <c r="S212" i="4"/>
  <c r="N211" i="4"/>
  <c r="U210" i="4"/>
  <c r="P209" i="4"/>
  <c r="W208" i="4"/>
  <c r="C207" i="4"/>
  <c r="O203" i="4"/>
  <c r="E203" i="4"/>
  <c r="W202" i="4"/>
  <c r="M202" i="4"/>
  <c r="J200" i="4"/>
  <c r="I199" i="4"/>
  <c r="Q198" i="4"/>
  <c r="L197" i="4"/>
  <c r="F195" i="4"/>
  <c r="P192" i="4"/>
  <c r="R190" i="4"/>
  <c r="T188" i="4"/>
  <c r="F188" i="4"/>
  <c r="O187" i="4"/>
  <c r="X186" i="4"/>
  <c r="W185" i="4"/>
  <c r="J184" i="4"/>
  <c r="T182" i="4"/>
  <c r="D180" i="4"/>
  <c r="V179" i="4"/>
  <c r="Y177" i="4"/>
  <c r="P177" i="4"/>
  <c r="C175" i="4"/>
  <c r="AA173" i="4"/>
  <c r="R173" i="4"/>
  <c r="M171" i="4"/>
  <c r="U170" i="4"/>
  <c r="F170" i="4"/>
  <c r="X169" i="4"/>
  <c r="K165" i="4"/>
  <c r="U164" i="4"/>
  <c r="C164" i="4"/>
  <c r="U162" i="4"/>
  <c r="G162" i="4"/>
  <c r="P161" i="4"/>
  <c r="L158" i="4"/>
  <c r="D158" i="4"/>
  <c r="E157" i="4"/>
  <c r="N156" i="4"/>
  <c r="N155" i="4"/>
  <c r="H154" i="4"/>
  <c r="P153" i="4"/>
  <c r="J152" i="4"/>
  <c r="S151" i="4"/>
  <c r="J151" i="4"/>
  <c r="AA150" i="4"/>
  <c r="L150" i="4"/>
  <c r="S149" i="4"/>
  <c r="T147" i="4"/>
  <c r="Y145" i="4"/>
  <c r="I144" i="4"/>
  <c r="P143" i="4"/>
  <c r="C143" i="4"/>
  <c r="L142" i="4"/>
  <c r="E140" i="4"/>
  <c r="K139" i="4"/>
  <c r="T138" i="4"/>
  <c r="D138" i="4"/>
  <c r="M137" i="4"/>
  <c r="E137" i="4"/>
  <c r="N136" i="4"/>
  <c r="W135" i="4"/>
  <c r="G135" i="4"/>
  <c r="X134" i="4"/>
  <c r="Y133" i="4"/>
  <c r="Z132" i="4"/>
  <c r="R132" i="4"/>
  <c r="K131" i="4"/>
  <c r="T130" i="4"/>
  <c r="L130" i="4"/>
  <c r="D130" i="4"/>
  <c r="U129" i="4"/>
  <c r="E129" i="4"/>
  <c r="V128" i="4"/>
  <c r="N128" i="4"/>
  <c r="F128" i="4"/>
  <c r="G127" i="4"/>
  <c r="P126" i="4"/>
  <c r="H126" i="4"/>
  <c r="Y125" i="4"/>
  <c r="Q125" i="4"/>
  <c r="Z124" i="4"/>
  <c r="J124" i="4"/>
  <c r="AA123" i="4"/>
  <c r="K123" i="4"/>
  <c r="C123" i="4"/>
  <c r="M121" i="4"/>
  <c r="E121" i="4"/>
  <c r="V120" i="4"/>
  <c r="F120" i="4"/>
  <c r="O119" i="4"/>
  <c r="G119" i="4"/>
  <c r="P118" i="4"/>
  <c r="Y117" i="4"/>
  <c r="I117" i="4"/>
  <c r="R116" i="4"/>
  <c r="J116" i="4"/>
  <c r="AA115" i="4"/>
  <c r="S115" i="4"/>
  <c r="T114" i="4"/>
  <c r="L114" i="4"/>
  <c r="D114" i="4"/>
  <c r="U113" i="4"/>
  <c r="M113" i="4"/>
  <c r="F112" i="4"/>
  <c r="G111" i="4"/>
  <c r="P110" i="4"/>
  <c r="H110" i="4"/>
  <c r="Y109" i="4"/>
  <c r="Q109" i="4"/>
  <c r="I109" i="4"/>
  <c r="J108" i="4"/>
  <c r="T106" i="4"/>
  <c r="L106" i="4"/>
  <c r="D106" i="4"/>
  <c r="U105" i="4"/>
  <c r="M105" i="4"/>
  <c r="E105" i="4"/>
  <c r="W103" i="4"/>
  <c r="X102" i="4"/>
  <c r="H102" i="4"/>
  <c r="Y101" i="4"/>
  <c r="Q101" i="4"/>
  <c r="I101" i="4"/>
  <c r="R100" i="4"/>
  <c r="S99" i="4"/>
  <c r="K99" i="4"/>
  <c r="C99" i="4"/>
  <c r="T98" i="4"/>
  <c r="D98" i="4"/>
  <c r="U97" i="4"/>
  <c r="E97" i="4"/>
  <c r="X94" i="4"/>
  <c r="P94" i="4"/>
  <c r="H94" i="4"/>
  <c r="Y93" i="4"/>
  <c r="Q93" i="4"/>
  <c r="Z92" i="4"/>
  <c r="AA91" i="4"/>
  <c r="S91" i="4"/>
  <c r="K91" i="4"/>
  <c r="T90" i="4"/>
  <c r="L90" i="4"/>
  <c r="U89" i="4"/>
  <c r="E89" i="4"/>
  <c r="F88" i="4"/>
  <c r="W87" i="4"/>
  <c r="O87" i="4"/>
  <c r="G87" i="4"/>
  <c r="X86" i="4"/>
  <c r="P86" i="4"/>
  <c r="H86" i="4"/>
  <c r="Q85" i="4"/>
  <c r="AA83" i="4"/>
  <c r="S83" i="4"/>
  <c r="C83" i="4"/>
  <c r="T82" i="4"/>
  <c r="L82" i="4"/>
  <c r="D82" i="4"/>
  <c r="U81" i="4"/>
  <c r="M81" i="4"/>
  <c r="N80" i="4"/>
  <c r="W79" i="4"/>
  <c r="H78" i="4"/>
  <c r="Y77" i="4"/>
  <c r="Q77" i="4"/>
  <c r="Z76" i="4"/>
  <c r="R76" i="4"/>
  <c r="J76" i="4"/>
  <c r="F232" i="4"/>
  <c r="G231" i="4"/>
  <c r="R230" i="4"/>
  <c r="E228" i="4"/>
  <c r="C227" i="4"/>
  <c r="U225" i="4"/>
  <c r="F225" i="4"/>
  <c r="Y221" i="4"/>
  <c r="J221" i="4"/>
  <c r="AA219" i="4"/>
  <c r="V218" i="4"/>
  <c r="Z217" i="4"/>
  <c r="R216" i="4"/>
  <c r="C215" i="4"/>
  <c r="J214" i="4"/>
  <c r="R213" i="4"/>
  <c r="E212" i="4"/>
  <c r="W211" i="4"/>
  <c r="M211" i="4"/>
  <c r="P207" i="4"/>
  <c r="T205" i="4"/>
  <c r="K205" i="4"/>
  <c r="T204" i="4"/>
  <c r="F204" i="4"/>
  <c r="V202" i="4"/>
  <c r="V201" i="4"/>
  <c r="R200" i="4"/>
  <c r="I200" i="4"/>
  <c r="H199" i="4"/>
  <c r="K197" i="4"/>
  <c r="E195" i="4"/>
  <c r="X194" i="4"/>
  <c r="S191" i="4"/>
  <c r="H191" i="4"/>
  <c r="AA190" i="4"/>
  <c r="Q190" i="4"/>
  <c r="I190" i="4"/>
  <c r="E188" i="4"/>
  <c r="N187" i="4"/>
  <c r="V185" i="4"/>
  <c r="I185" i="4"/>
  <c r="R184" i="4"/>
  <c r="S183" i="4"/>
  <c r="S182" i="4"/>
  <c r="C180" i="4"/>
  <c r="U179" i="4"/>
  <c r="X177" i="4"/>
  <c r="O177" i="4"/>
  <c r="J176" i="4"/>
  <c r="S174" i="4"/>
  <c r="Z173" i="4"/>
  <c r="AA172" i="4"/>
  <c r="M172" i="4"/>
  <c r="U171" i="4"/>
  <c r="L171" i="4"/>
  <c r="AA166" i="4"/>
  <c r="U165" i="4"/>
  <c r="J165" i="4"/>
  <c r="T164" i="4"/>
  <c r="G163" i="4"/>
  <c r="F162" i="4"/>
  <c r="J160" i="4"/>
  <c r="P159" i="4"/>
  <c r="C159" i="4"/>
  <c r="K158" i="4"/>
  <c r="C158" i="4"/>
  <c r="D157" i="4"/>
  <c r="M156" i="4"/>
  <c r="U154" i="4"/>
  <c r="G154" i="4"/>
  <c r="I152" i="4"/>
  <c r="I151" i="4"/>
  <c r="Z150" i="4"/>
  <c r="D149" i="4"/>
  <c r="F147" i="4"/>
  <c r="F146" i="4"/>
  <c r="X145" i="4"/>
  <c r="N145" i="4"/>
  <c r="K143" i="4"/>
  <c r="K142" i="4"/>
  <c r="T141" i="4"/>
  <c r="D140" i="4"/>
  <c r="R139" i="4"/>
  <c r="AA138" i="4"/>
  <c r="S138" i="4"/>
  <c r="U136" i="4"/>
  <c r="M136" i="4"/>
  <c r="E136" i="4"/>
  <c r="W134" i="4"/>
  <c r="X133" i="4"/>
  <c r="P133" i="4"/>
  <c r="Y132" i="4"/>
  <c r="Q132" i="4"/>
  <c r="Z131" i="4"/>
  <c r="J131" i="4"/>
  <c r="S130" i="4"/>
  <c r="T129" i="4"/>
  <c r="L129" i="4"/>
  <c r="D129" i="4"/>
  <c r="M128" i="4"/>
  <c r="V127" i="4"/>
  <c r="W126" i="4"/>
  <c r="O126" i="4"/>
  <c r="G126" i="4"/>
  <c r="X125" i="4"/>
  <c r="H125" i="4"/>
  <c r="Y124" i="4"/>
  <c r="I124" i="4"/>
  <c r="Z123" i="4"/>
  <c r="J123" i="4"/>
  <c r="S122" i="4"/>
  <c r="T121" i="4"/>
  <c r="L121" i="4"/>
  <c r="D121" i="4"/>
  <c r="E120" i="4"/>
  <c r="V119" i="4"/>
  <c r="N119" i="4"/>
  <c r="F119" i="4"/>
  <c r="W118" i="4"/>
  <c r="O118" i="4"/>
  <c r="G118" i="4"/>
  <c r="X117" i="4"/>
  <c r="H117" i="4"/>
  <c r="Y116" i="4"/>
  <c r="Z115" i="4"/>
  <c r="R115" i="4"/>
  <c r="K114" i="4"/>
  <c r="C114" i="4"/>
  <c r="T113" i="4"/>
  <c r="M112" i="4"/>
  <c r="V111" i="4"/>
  <c r="N111" i="4"/>
  <c r="F111" i="4"/>
  <c r="W110" i="4"/>
  <c r="O110" i="4"/>
  <c r="G110" i="4"/>
  <c r="P109" i="4"/>
  <c r="Y108" i="4"/>
  <c r="Q108" i="4"/>
  <c r="Z107" i="4"/>
  <c r="R107" i="4"/>
  <c r="S106" i="4"/>
  <c r="K106" i="4"/>
  <c r="T105" i="4"/>
  <c r="L105" i="4"/>
  <c r="M104" i="4"/>
  <c r="E104" i="4"/>
  <c r="V103" i="4"/>
  <c r="N103" i="4"/>
  <c r="W102" i="4"/>
  <c r="O102" i="4"/>
  <c r="X101" i="4"/>
  <c r="H101" i="4"/>
  <c r="Q100" i="4"/>
  <c r="I100" i="4"/>
  <c r="J99" i="4"/>
  <c r="AA98" i="4"/>
  <c r="C98" i="4"/>
  <c r="T97" i="4"/>
  <c r="L97" i="4"/>
  <c r="M96" i="4"/>
  <c r="V95" i="4"/>
  <c r="N95" i="4"/>
  <c r="F95" i="4"/>
  <c r="W94" i="4"/>
  <c r="X93" i="4"/>
  <c r="P93" i="4"/>
  <c r="H93" i="4"/>
  <c r="Y92" i="4"/>
  <c r="Q92" i="4"/>
  <c r="R91" i="4"/>
  <c r="AA90" i="4"/>
  <c r="C90" i="4"/>
  <c r="L89" i="4"/>
  <c r="M88" i="4"/>
  <c r="E88" i="4"/>
  <c r="F87" i="4"/>
  <c r="W86" i="4"/>
  <c r="H85" i="4"/>
  <c r="Y84" i="4"/>
  <c r="Q84" i="4"/>
  <c r="I84" i="4"/>
  <c r="AA82" i="4"/>
  <c r="T81" i="4"/>
  <c r="L81" i="4"/>
  <c r="U80" i="4"/>
  <c r="M80" i="4"/>
  <c r="E80" i="4"/>
  <c r="V79" i="4"/>
  <c r="N79" i="4"/>
  <c r="F79" i="4"/>
  <c r="W78" i="4"/>
  <c r="H77" i="4"/>
  <c r="Y76" i="4"/>
  <c r="Q76" i="4"/>
  <c r="I76" i="4"/>
  <c r="Z75" i="4"/>
  <c r="R75" i="4"/>
  <c r="K236" i="4"/>
  <c r="F235" i="4"/>
  <c r="E234" i="4"/>
  <c r="P232" i="4"/>
  <c r="Q231" i="4"/>
  <c r="Q230" i="4"/>
  <c r="D229" i="4"/>
  <c r="D228" i="4"/>
  <c r="E225" i="4"/>
  <c r="O224" i="4"/>
  <c r="I221" i="4"/>
  <c r="AA213" i="4"/>
  <c r="AA212" i="4"/>
  <c r="E210" i="4"/>
  <c r="N209" i="4"/>
  <c r="Y207" i="4"/>
  <c r="K206" i="4"/>
  <c r="J205" i="4"/>
  <c r="S204" i="4"/>
  <c r="E204" i="4"/>
  <c r="U202" i="4"/>
  <c r="H200" i="4"/>
  <c r="Z198" i="4"/>
  <c r="C198" i="4"/>
  <c r="U197" i="4"/>
  <c r="J197" i="4"/>
  <c r="AA196" i="4"/>
  <c r="Q193" i="4"/>
  <c r="G193" i="4"/>
  <c r="Y192" i="4"/>
  <c r="L189" i="4"/>
  <c r="D188" i="4"/>
  <c r="W187" i="4"/>
  <c r="M187" i="4"/>
  <c r="V186" i="4"/>
  <c r="H184" i="4"/>
  <c r="I183" i="4"/>
  <c r="R182" i="4"/>
  <c r="L180" i="4"/>
  <c r="T179" i="4"/>
  <c r="F179" i="4"/>
  <c r="W177" i="4"/>
  <c r="N177" i="4"/>
  <c r="I176" i="4"/>
  <c r="P175" i="4"/>
  <c r="R174" i="4"/>
  <c r="T171" i="4"/>
  <c r="P170" i="4"/>
  <c r="V169" i="4"/>
  <c r="J168" i="4"/>
  <c r="Z166" i="4"/>
  <c r="T165" i="4"/>
  <c r="O163" i="4"/>
  <c r="F163" i="4"/>
  <c r="N161" i="4"/>
  <c r="I160" i="4"/>
  <c r="AA159" i="4"/>
  <c r="K159" i="4"/>
  <c r="U157" i="4"/>
  <c r="C157" i="4"/>
  <c r="L156" i="4"/>
  <c r="C156" i="4"/>
  <c r="W155" i="4"/>
  <c r="Y153" i="4"/>
  <c r="N153" i="4"/>
  <c r="R152" i="4"/>
  <c r="H152" i="4"/>
  <c r="Q151" i="4"/>
  <c r="H151" i="4"/>
  <c r="Y150" i="4"/>
  <c r="C149" i="4"/>
  <c r="R144" i="4"/>
  <c r="G144" i="4"/>
  <c r="Y143" i="4"/>
  <c r="J143" i="4"/>
  <c r="T142" i="4"/>
  <c r="AA140" i="4"/>
  <c r="L140" i="4"/>
  <c r="C140" i="4"/>
  <c r="Z139" i="4"/>
  <c r="Z138" i="4"/>
  <c r="R138" i="4"/>
  <c r="J138" i="4"/>
  <c r="S137" i="4"/>
  <c r="T136" i="4"/>
  <c r="D136" i="4"/>
  <c r="M135" i="4"/>
  <c r="F134" i="4"/>
  <c r="O133" i="4"/>
  <c r="X132" i="4"/>
  <c r="H132" i="4"/>
  <c r="Z130" i="4"/>
  <c r="R130" i="4"/>
  <c r="J130" i="4"/>
  <c r="AA129" i="4"/>
  <c r="S129" i="4"/>
  <c r="T128" i="4"/>
  <c r="L128" i="4"/>
  <c r="D128" i="4"/>
  <c r="E127" i="4"/>
  <c r="N126" i="4"/>
  <c r="W125" i="4"/>
  <c r="G125" i="4"/>
  <c r="H124" i="4"/>
  <c r="Y123" i="4"/>
  <c r="I123" i="4"/>
  <c r="Z122" i="4"/>
  <c r="S121" i="4"/>
  <c r="C121" i="4"/>
  <c r="T120" i="4"/>
  <c r="L120" i="4"/>
  <c r="D120" i="4"/>
  <c r="U119" i="4"/>
  <c r="M119" i="4"/>
  <c r="E119" i="4"/>
  <c r="N118" i="4"/>
  <c r="F118" i="4"/>
  <c r="O117" i="4"/>
  <c r="P116" i="4"/>
  <c r="H116" i="4"/>
  <c r="Y115" i="4"/>
  <c r="R114" i="4"/>
  <c r="J114" i="4"/>
  <c r="S113" i="4"/>
  <c r="C113" i="4"/>
  <c r="T112" i="4"/>
  <c r="D112" i="4"/>
  <c r="E111" i="4"/>
  <c r="V110" i="4"/>
  <c r="N110" i="4"/>
  <c r="W109" i="4"/>
  <c r="O109" i="4"/>
  <c r="X108" i="4"/>
  <c r="H108" i="4"/>
  <c r="Y107" i="4"/>
  <c r="I107" i="4"/>
  <c r="Z106" i="4"/>
  <c r="R106" i="4"/>
  <c r="J106" i="4"/>
  <c r="S105" i="4"/>
  <c r="C105" i="4"/>
  <c r="T104" i="4"/>
  <c r="D104" i="4"/>
  <c r="M103" i="4"/>
  <c r="V102" i="4"/>
  <c r="W101" i="4"/>
  <c r="O101" i="4"/>
  <c r="G101" i="4"/>
  <c r="P100" i="4"/>
  <c r="H100" i="4"/>
  <c r="Y99" i="4"/>
  <c r="Q99" i="4"/>
  <c r="R98" i="4"/>
  <c r="AA97" i="4"/>
  <c r="S97" i="4"/>
  <c r="K97" i="4"/>
  <c r="C97" i="4"/>
  <c r="T96" i="4"/>
  <c r="L96" i="4"/>
  <c r="D96" i="4"/>
  <c r="U95" i="4"/>
  <c r="M95" i="4"/>
  <c r="F94" i="4"/>
  <c r="G93" i="4"/>
  <c r="H92" i="4"/>
  <c r="Y91" i="4"/>
  <c r="I91" i="4"/>
  <c r="Z90" i="4"/>
  <c r="J90" i="4"/>
  <c r="S89" i="4"/>
  <c r="C89" i="4"/>
  <c r="T88" i="4"/>
  <c r="L88" i="4"/>
  <c r="M87" i="4"/>
  <c r="G85" i="4"/>
  <c r="X84" i="4"/>
  <c r="P84" i="4"/>
  <c r="Q83" i="4"/>
  <c r="Z82" i="4"/>
  <c r="R82" i="4"/>
  <c r="AA81" i="4"/>
  <c r="S81" i="4"/>
  <c r="L80" i="4"/>
  <c r="D80" i="4"/>
  <c r="M79" i="4"/>
  <c r="E79" i="4"/>
  <c r="N78" i="4"/>
  <c r="F78" i="4"/>
  <c r="W77" i="4"/>
  <c r="O77" i="4"/>
  <c r="U236" i="4"/>
  <c r="E235" i="4"/>
  <c r="Z231" i="4"/>
  <c r="P231" i="4"/>
  <c r="T229" i="4"/>
  <c r="C229" i="4"/>
  <c r="N224" i="4"/>
  <c r="Z222" i="4"/>
  <c r="J217" i="4"/>
  <c r="X215" i="4"/>
  <c r="J215" i="4"/>
  <c r="S214" i="4"/>
  <c r="Z213" i="4"/>
  <c r="N212" i="4"/>
  <c r="C212" i="4"/>
  <c r="W209" i="4"/>
  <c r="T206" i="4"/>
  <c r="J206" i="4"/>
  <c r="R205" i="4"/>
  <c r="V203" i="4"/>
  <c r="L203" i="4"/>
  <c r="Q201" i="4"/>
  <c r="G201" i="4"/>
  <c r="P200" i="4"/>
  <c r="G200" i="4"/>
  <c r="AA199" i="4"/>
  <c r="Y198" i="4"/>
  <c r="T197" i="4"/>
  <c r="E197" i="4"/>
  <c r="E196" i="4"/>
  <c r="W195" i="4"/>
  <c r="O195" i="4"/>
  <c r="V194" i="4"/>
  <c r="P193" i="4"/>
  <c r="F193" i="4"/>
  <c r="J192" i="4"/>
  <c r="C190" i="4"/>
  <c r="K189" i="4"/>
  <c r="N188" i="4"/>
  <c r="C188" i="4"/>
  <c r="V187" i="4"/>
  <c r="L187" i="4"/>
  <c r="U186" i="4"/>
  <c r="Q185" i="4"/>
  <c r="Z184" i="4"/>
  <c r="P184" i="4"/>
  <c r="G184" i="4"/>
  <c r="AA183" i="4"/>
  <c r="Q183" i="4"/>
  <c r="AA182" i="4"/>
  <c r="Z181" i="4"/>
  <c r="K180" i="4"/>
  <c r="O179" i="4"/>
  <c r="P178" i="4"/>
  <c r="V177" i="4"/>
  <c r="H176" i="4"/>
  <c r="Z175" i="4"/>
  <c r="I239" i="4"/>
  <c r="T236" i="4"/>
  <c r="E236" i="4"/>
  <c r="D235" i="4"/>
  <c r="Y231" i="4"/>
  <c r="O231" i="4"/>
  <c r="S229" i="4"/>
  <c r="M226" i="4"/>
  <c r="P225" i="4"/>
  <c r="Y224" i="4"/>
  <c r="X223" i="4"/>
  <c r="Y222" i="4"/>
  <c r="U220" i="4"/>
  <c r="E219" i="4"/>
  <c r="R217" i="4"/>
  <c r="O216" i="4"/>
  <c r="I215" i="4"/>
  <c r="R214" i="4"/>
  <c r="D214" i="4"/>
  <c r="M212" i="4"/>
  <c r="T211" i="4"/>
  <c r="N210" i="4"/>
  <c r="V209" i="4"/>
  <c r="I209" i="4"/>
  <c r="K207" i="4"/>
  <c r="S206" i="4"/>
  <c r="I206" i="4"/>
  <c r="AA205" i="4"/>
  <c r="M204" i="4"/>
  <c r="F201" i="4"/>
  <c r="O200" i="4"/>
  <c r="Q199" i="4"/>
  <c r="C199" i="4"/>
  <c r="K198" i="4"/>
  <c r="D197" i="4"/>
  <c r="D196" i="4"/>
  <c r="N195" i="4"/>
  <c r="U194" i="4"/>
  <c r="W192" i="4"/>
  <c r="I192" i="4"/>
  <c r="AA191" i="4"/>
  <c r="C191" i="4"/>
  <c r="U189" i="4"/>
  <c r="AA188" i="4"/>
  <c r="M188" i="4"/>
  <c r="U187" i="4"/>
  <c r="Y184" i="4"/>
  <c r="O184" i="4"/>
  <c r="P183" i="4"/>
  <c r="Z182" i="4"/>
  <c r="D182" i="4"/>
  <c r="U181" i="4"/>
  <c r="M181" i="4"/>
  <c r="T180" i="4"/>
  <c r="O178" i="4"/>
  <c r="H177" i="4"/>
  <c r="Q176" i="4"/>
  <c r="G176" i="4"/>
  <c r="Y175" i="4"/>
  <c r="S236" i="4"/>
  <c r="D236" i="4"/>
  <c r="O234" i="4"/>
  <c r="Y232" i="4"/>
  <c r="X231" i="4"/>
  <c r="R229" i="4"/>
  <c r="Z228" i="4"/>
  <c r="M228" i="4"/>
  <c r="V226" i="4"/>
  <c r="L226" i="4"/>
  <c r="T220" i="4"/>
  <c r="E220" i="4"/>
  <c r="S219" i="4"/>
  <c r="Y216" i="4"/>
  <c r="H215" i="4"/>
  <c r="Q214" i="4"/>
  <c r="C213" i="4"/>
  <c r="V212" i="4"/>
  <c r="L212" i="4"/>
  <c r="F211" i="4"/>
  <c r="M210" i="4"/>
  <c r="H209" i="4"/>
  <c r="Z208" i="4"/>
  <c r="J207" i="4"/>
  <c r="AA206" i="4"/>
  <c r="Z205" i="4"/>
  <c r="E205" i="4"/>
  <c r="L204" i="4"/>
  <c r="Y199" i="4"/>
  <c r="P199" i="4"/>
  <c r="T198" i="4"/>
  <c r="J198" i="4"/>
  <c r="R197" i="4"/>
  <c r="C196" i="4"/>
  <c r="M195" i="4"/>
  <c r="G194" i="4"/>
  <c r="N193" i="4"/>
  <c r="H192" i="4"/>
  <c r="T189" i="4"/>
  <c r="L188" i="4"/>
  <c r="O185" i="4"/>
  <c r="Y182" i="4"/>
  <c r="L182" i="4"/>
  <c r="C182" i="4"/>
  <c r="T181" i="4"/>
  <c r="L181" i="4"/>
  <c r="S180" i="4"/>
  <c r="M179" i="4"/>
  <c r="W178" i="4"/>
  <c r="G177" i="4"/>
  <c r="P176" i="4"/>
  <c r="X175" i="4"/>
  <c r="J175" i="4"/>
  <c r="AA174" i="4"/>
  <c r="U173" i="4"/>
  <c r="X239" i="4"/>
  <c r="Q238" i="4"/>
  <c r="C238" i="4"/>
  <c r="M235" i="4"/>
  <c r="W231" i="4"/>
  <c r="L228" i="4"/>
  <c r="H223" i="4"/>
  <c r="C222" i="4"/>
  <c r="C221" i="4"/>
  <c r="S220" i="4"/>
  <c r="C219" i="4"/>
  <c r="P217" i="4"/>
  <c r="G217" i="4"/>
  <c r="J216" i="4"/>
  <c r="R215" i="4"/>
  <c r="U213" i="4"/>
  <c r="U212" i="4"/>
  <c r="K212" i="4"/>
  <c r="E211" i="4"/>
  <c r="W210" i="4"/>
  <c r="Z206" i="4"/>
  <c r="D206" i="4"/>
  <c r="D205" i="4"/>
  <c r="K204" i="4"/>
  <c r="O202" i="4"/>
  <c r="F202" i="4"/>
  <c r="X199" i="4"/>
  <c r="K199" i="4"/>
  <c r="S198" i="4"/>
  <c r="U196" i="4"/>
  <c r="L196" i="4"/>
  <c r="T195" i="4"/>
  <c r="L195" i="4"/>
  <c r="W193" i="4"/>
  <c r="R192" i="4"/>
  <c r="T190" i="4"/>
  <c r="L190" i="4"/>
  <c r="S189" i="4"/>
  <c r="D189" i="4"/>
  <c r="V188" i="4"/>
  <c r="Y185" i="4"/>
  <c r="W184" i="4"/>
  <c r="S181" i="4"/>
  <c r="L179" i="4"/>
  <c r="V178" i="4"/>
  <c r="Z176" i="4"/>
  <c r="O176" i="4"/>
  <c r="P238" i="4"/>
  <c r="L237" i="4"/>
  <c r="AA235" i="4"/>
  <c r="W234" i="4"/>
  <c r="M234" i="4"/>
  <c r="W233" i="4"/>
  <c r="H232" i="4"/>
  <c r="X230" i="4"/>
  <c r="V227" i="4"/>
  <c r="V224" i="4"/>
  <c r="R223" i="4"/>
  <c r="L221" i="4"/>
  <c r="R220" i="4"/>
  <c r="M218" i="4"/>
  <c r="O217" i="4"/>
  <c r="W216" i="4"/>
  <c r="I216" i="4"/>
  <c r="Z214" i="4"/>
  <c r="L214" i="4"/>
  <c r="O211" i="4"/>
  <c r="H210" i="4"/>
  <c r="Q209" i="4"/>
  <c r="F209" i="4"/>
  <c r="H207" i="4"/>
  <c r="M205" i="4"/>
  <c r="V204" i="4"/>
  <c r="F203" i="4"/>
  <c r="E202" i="4"/>
  <c r="J199" i="4"/>
  <c r="R198" i="4"/>
  <c r="AA197" i="4"/>
  <c r="M197" i="4"/>
  <c r="T196" i="4"/>
  <c r="E194" i="4"/>
  <c r="V193" i="4"/>
  <c r="Q192" i="4"/>
  <c r="X191" i="4"/>
  <c r="J191" i="4"/>
  <c r="S190" i="4"/>
  <c r="K190" i="4"/>
  <c r="U188" i="4"/>
  <c r="O186" i="4"/>
  <c r="F186" i="4"/>
  <c r="X185" i="4"/>
  <c r="J182" i="4"/>
  <c r="R181" i="4"/>
  <c r="J181" i="4"/>
  <c r="W179" i="4"/>
  <c r="U178" i="4"/>
  <c r="H175" i="4"/>
  <c r="Y174" i="4"/>
  <c r="I174" i="4"/>
  <c r="S173" i="4"/>
  <c r="S172" i="4"/>
  <c r="D172" i="4"/>
  <c r="N171" i="4"/>
  <c r="V170" i="4"/>
  <c r="G170" i="4"/>
  <c r="Y169" i="4"/>
  <c r="P169" i="4"/>
  <c r="Y168" i="4"/>
  <c r="X167" i="4"/>
  <c r="Q166" i="4"/>
  <c r="C166" i="4"/>
  <c r="C165" i="4"/>
  <c r="V164" i="4"/>
  <c r="D164" i="4"/>
  <c r="U163" i="4"/>
  <c r="V162" i="4"/>
  <c r="H162" i="4"/>
  <c r="Q161" i="4"/>
  <c r="X160" i="4"/>
  <c r="R159" i="4"/>
  <c r="Z158" i="4"/>
  <c r="Z157" i="4"/>
  <c r="AA156" i="4"/>
  <c r="O155" i="4"/>
  <c r="W154" i="4"/>
  <c r="Q153" i="4"/>
  <c r="W152" i="4"/>
  <c r="K151" i="4"/>
  <c r="Q150" i="4"/>
  <c r="C150" i="4"/>
  <c r="T149" i="4"/>
  <c r="M148" i="4"/>
  <c r="C148" i="4"/>
  <c r="H146" i="4"/>
  <c r="F145" i="4"/>
  <c r="Q143" i="4"/>
  <c r="Y142" i="4"/>
  <c r="L141" i="4"/>
  <c r="M138" i="4"/>
  <c r="E138" i="4"/>
  <c r="V137" i="4"/>
  <c r="N137" i="4"/>
  <c r="F137" i="4"/>
  <c r="W136" i="4"/>
  <c r="G136" i="4"/>
  <c r="P135" i="4"/>
  <c r="R133" i="4"/>
  <c r="AA132" i="4"/>
  <c r="S132" i="4"/>
  <c r="K132" i="4"/>
  <c r="C132" i="4"/>
  <c r="T131" i="4"/>
  <c r="D131" i="4"/>
  <c r="M130" i="4"/>
  <c r="E130" i="4"/>
  <c r="V129" i="4"/>
  <c r="F129" i="4"/>
  <c r="W128" i="4"/>
  <c r="X127" i="4"/>
  <c r="P127" i="4"/>
  <c r="H127" i="4"/>
  <c r="Y126" i="4"/>
  <c r="Q126" i="4"/>
  <c r="I126" i="4"/>
  <c r="Z125" i="4"/>
  <c r="AA124" i="4"/>
  <c r="S124" i="4"/>
  <c r="K124" i="4"/>
  <c r="C124" i="4"/>
  <c r="T123" i="4"/>
  <c r="D123" i="4"/>
  <c r="M122" i="4"/>
  <c r="E122" i="4"/>
  <c r="N121" i="4"/>
  <c r="F121" i="4"/>
  <c r="O120" i="4"/>
  <c r="G120" i="4"/>
  <c r="X119" i="4"/>
  <c r="P119" i="4"/>
  <c r="Y118" i="4"/>
  <c r="Q118" i="4"/>
  <c r="R117" i="4"/>
  <c r="J117" i="4"/>
  <c r="S116" i="4"/>
  <c r="L115" i="4"/>
  <c r="D115" i="4"/>
  <c r="V113" i="4"/>
  <c r="W112" i="4"/>
  <c r="X111" i="4"/>
  <c r="P111" i="4"/>
  <c r="Y110" i="4"/>
  <c r="Q110" i="4"/>
  <c r="Z109" i="4"/>
  <c r="R109" i="4"/>
  <c r="J109" i="4"/>
  <c r="AA108" i="4"/>
  <c r="S108" i="4"/>
  <c r="C108" i="4"/>
  <c r="T107" i="4"/>
  <c r="L107" i="4"/>
  <c r="U106" i="4"/>
  <c r="M106" i="4"/>
  <c r="E106" i="4"/>
  <c r="V105" i="4"/>
  <c r="N105" i="4"/>
  <c r="F105" i="4"/>
  <c r="O104" i="4"/>
  <c r="P103" i="4"/>
  <c r="H103" i="4"/>
  <c r="Y102" i="4"/>
  <c r="Q102" i="4"/>
  <c r="I102" i="4"/>
  <c r="AA100" i="4"/>
  <c r="K100" i="4"/>
  <c r="C100" i="4"/>
  <c r="T99" i="4"/>
  <c r="L99" i="4"/>
  <c r="D99" i="4"/>
  <c r="U98" i="4"/>
  <c r="M98" i="4"/>
  <c r="E98" i="4"/>
  <c r="V97" i="4"/>
  <c r="F97" i="4"/>
  <c r="X95" i="4"/>
  <c r="P95" i="4"/>
  <c r="Y94" i="4"/>
  <c r="I94" i="4"/>
  <c r="AA92" i="4"/>
  <c r="K92" i="4"/>
  <c r="C92" i="4"/>
  <c r="T91" i="4"/>
  <c r="E90" i="4"/>
  <c r="V89" i="4"/>
  <c r="F89" i="4"/>
  <c r="G88" i="4"/>
  <c r="X87" i="4"/>
  <c r="P87" i="4"/>
  <c r="H87" i="4"/>
  <c r="Y86" i="4"/>
  <c r="Q86" i="4"/>
  <c r="I86" i="4"/>
  <c r="Z85" i="4"/>
  <c r="J85" i="4"/>
  <c r="AA84" i="4"/>
  <c r="K84" i="4"/>
  <c r="C84" i="4"/>
  <c r="T83" i="4"/>
  <c r="U82" i="4"/>
  <c r="M82" i="4"/>
  <c r="E82" i="4"/>
  <c r="V81" i="4"/>
  <c r="F81" i="4"/>
  <c r="O80" i="4"/>
  <c r="P79" i="4"/>
  <c r="H79" i="4"/>
  <c r="Y78" i="4"/>
  <c r="Q78" i="4"/>
  <c r="I78" i="4"/>
  <c r="J77" i="4"/>
  <c r="S76" i="4"/>
  <c r="K76" i="4"/>
  <c r="C76" i="4"/>
  <c r="T75" i="4"/>
  <c r="L75" i="4"/>
  <c r="D75" i="4"/>
  <c r="U74" i="4"/>
  <c r="V73" i="4"/>
  <c r="D173" i="4"/>
  <c r="P168" i="4"/>
  <c r="Q167" i="4"/>
  <c r="AA164" i="4"/>
  <c r="L163" i="4"/>
  <c r="M162" i="4"/>
  <c r="X159" i="4"/>
  <c r="S158" i="4"/>
  <c r="F155" i="4"/>
  <c r="U148" i="4"/>
  <c r="M146" i="4"/>
  <c r="Y144" i="4"/>
  <c r="S142" i="4"/>
  <c r="S140" i="4"/>
  <c r="V139" i="4"/>
  <c r="M139" i="4"/>
  <c r="W138" i="4"/>
  <c r="Y135" i="4"/>
  <c r="Z134" i="4"/>
  <c r="V131" i="4"/>
  <c r="M131" i="4"/>
  <c r="H130" i="4"/>
  <c r="Z129" i="4"/>
  <c r="AA126" i="4"/>
  <c r="M126" i="4"/>
  <c r="V123" i="4"/>
  <c r="M123" i="4"/>
  <c r="I121" i="4"/>
  <c r="T119" i="4"/>
  <c r="Z118" i="4"/>
  <c r="L118" i="4"/>
  <c r="K117" i="4"/>
  <c r="T116" i="4"/>
  <c r="G116" i="4"/>
  <c r="O115" i="4"/>
  <c r="F115" i="4"/>
  <c r="P114" i="4"/>
  <c r="X113" i="4"/>
  <c r="K111" i="4"/>
  <c r="D110" i="4"/>
  <c r="F108" i="4"/>
  <c r="X107" i="4"/>
  <c r="X106" i="4"/>
  <c r="H106" i="4"/>
  <c r="O105" i="4"/>
  <c r="T103" i="4"/>
  <c r="V100" i="4"/>
  <c r="E99" i="4"/>
  <c r="W98" i="4"/>
  <c r="X96" i="4"/>
  <c r="Y95" i="4"/>
  <c r="T94" i="4"/>
  <c r="K94" i="4"/>
  <c r="F92" i="4"/>
  <c r="X91" i="4"/>
  <c r="J89" i="4"/>
  <c r="S88" i="4"/>
  <c r="I88" i="4"/>
  <c r="AA87" i="4"/>
  <c r="C87" i="4"/>
  <c r="K86" i="4"/>
  <c r="U85" i="4"/>
  <c r="G84" i="4"/>
  <c r="O83" i="4"/>
  <c r="G83" i="4"/>
  <c r="Y82" i="4"/>
  <c r="N82" i="4"/>
  <c r="R81" i="4"/>
  <c r="H81" i="4"/>
  <c r="S80" i="4"/>
  <c r="Z79" i="4"/>
  <c r="P76" i="4"/>
  <c r="E76" i="4"/>
  <c r="P75" i="4"/>
  <c r="G75" i="4"/>
  <c r="D73" i="4"/>
  <c r="T72" i="4"/>
  <c r="L72" i="4"/>
  <c r="D72" i="4"/>
  <c r="M71" i="4"/>
  <c r="E71" i="4"/>
  <c r="V70" i="4"/>
  <c r="N70" i="4"/>
  <c r="F70" i="4"/>
  <c r="O69" i="4"/>
  <c r="G69" i="4"/>
  <c r="X68" i="4"/>
  <c r="Y67" i="4"/>
  <c r="I67" i="4"/>
  <c r="Z66" i="4"/>
  <c r="K65" i="4"/>
  <c r="C65" i="4"/>
  <c r="T64" i="4"/>
  <c r="D64" i="4"/>
  <c r="U63" i="4"/>
  <c r="M63" i="4"/>
  <c r="E63" i="4"/>
  <c r="V62" i="4"/>
  <c r="N62" i="4"/>
  <c r="F62" i="4"/>
  <c r="W61" i="4"/>
  <c r="O61" i="4"/>
  <c r="X60" i="4"/>
  <c r="P60" i="4"/>
  <c r="H60" i="4"/>
  <c r="I59" i="4"/>
  <c r="R58" i="4"/>
  <c r="J58" i="4"/>
  <c r="S57" i="4"/>
  <c r="K57" i="4"/>
  <c r="U55" i="4"/>
  <c r="E55" i="4"/>
  <c r="N54" i="4"/>
  <c r="F54" i="4"/>
  <c r="Y51" i="4"/>
  <c r="I51" i="4"/>
  <c r="S49" i="4"/>
  <c r="K49" i="4"/>
  <c r="C49" i="4"/>
  <c r="T48" i="4"/>
  <c r="D48" i="4"/>
  <c r="N46" i="4"/>
  <c r="F46" i="4"/>
  <c r="O45" i="4"/>
  <c r="G45" i="4"/>
  <c r="Y43" i="4"/>
  <c r="I43" i="4"/>
  <c r="AA41" i="4"/>
  <c r="S41" i="4"/>
  <c r="K41" i="4"/>
  <c r="C41" i="4"/>
  <c r="T40" i="4"/>
  <c r="U39" i="4"/>
  <c r="M39" i="4"/>
  <c r="E39" i="4"/>
  <c r="V38" i="4"/>
  <c r="F38" i="4"/>
  <c r="W37" i="4"/>
  <c r="O37" i="4"/>
  <c r="P36" i="4"/>
  <c r="Z34" i="4"/>
  <c r="R34" i="4"/>
  <c r="J34" i="4"/>
  <c r="AA33" i="4"/>
  <c r="K33" i="4"/>
  <c r="L32" i="4"/>
  <c r="D32" i="4"/>
  <c r="U31" i="4"/>
  <c r="M31" i="4"/>
  <c r="W29" i="4"/>
  <c r="G29" i="4"/>
  <c r="X28" i="4"/>
  <c r="P28" i="4"/>
  <c r="Y27" i="4"/>
  <c r="Q27" i="4"/>
  <c r="R26" i="4"/>
  <c r="AA25" i="4"/>
  <c r="S25" i="4"/>
  <c r="T24" i="4"/>
  <c r="D24" i="4"/>
  <c r="M23" i="4"/>
  <c r="E23" i="4"/>
  <c r="N22" i="4"/>
  <c r="W21" i="4"/>
  <c r="G21" i="4"/>
  <c r="X20" i="4"/>
  <c r="H20" i="4"/>
  <c r="Y19" i="4"/>
  <c r="Q19" i="4"/>
  <c r="I19" i="4"/>
  <c r="Z18" i="4"/>
  <c r="R18" i="4"/>
  <c r="J18" i="4"/>
  <c r="AA17" i="4"/>
  <c r="K17" i="4"/>
  <c r="C17" i="4"/>
  <c r="T16" i="4"/>
  <c r="L16" i="4"/>
  <c r="M15" i="4"/>
  <c r="E15" i="4"/>
  <c r="V14" i="4"/>
  <c r="N14" i="4"/>
  <c r="F14" i="4"/>
  <c r="G13" i="4"/>
  <c r="P12" i="4"/>
  <c r="H12" i="4"/>
  <c r="I11" i="4"/>
  <c r="J10" i="4"/>
  <c r="S9" i="4"/>
  <c r="K9" i="4"/>
  <c r="C9" i="4"/>
  <c r="T8" i="4"/>
  <c r="L8" i="4"/>
  <c r="M7" i="4"/>
  <c r="E7" i="4"/>
  <c r="N6" i="4"/>
  <c r="F6" i="4"/>
  <c r="M173" i="4"/>
  <c r="C173" i="4"/>
  <c r="O171" i="4"/>
  <c r="H170" i="4"/>
  <c r="P167" i="4"/>
  <c r="Z165" i="4"/>
  <c r="R158" i="4"/>
  <c r="T157" i="4"/>
  <c r="L157" i="4"/>
  <c r="E155" i="4"/>
  <c r="O154" i="4"/>
  <c r="I153" i="4"/>
  <c r="T148" i="4"/>
  <c r="D147" i="4"/>
  <c r="U146" i="4"/>
  <c r="X143" i="4"/>
  <c r="R142" i="4"/>
  <c r="D142" i="4"/>
  <c r="E141" i="4"/>
  <c r="U139" i="4"/>
  <c r="V138" i="4"/>
  <c r="I138" i="4"/>
  <c r="H137" i="4"/>
  <c r="AA136" i="4"/>
  <c r="P136" i="4"/>
  <c r="C136" i="4"/>
  <c r="AA133" i="4"/>
  <c r="N133" i="4"/>
  <c r="U131" i="4"/>
  <c r="G130" i="4"/>
  <c r="Y129" i="4"/>
  <c r="S128" i="4"/>
  <c r="H128" i="4"/>
  <c r="AA127" i="4"/>
  <c r="Z126" i="4"/>
  <c r="D124" i="4"/>
  <c r="U123" i="4"/>
  <c r="I122" i="4"/>
  <c r="Y120" i="4"/>
  <c r="S119" i="4"/>
  <c r="K118" i="4"/>
  <c r="T117" i="4"/>
  <c r="N115" i="4"/>
  <c r="E115" i="4"/>
  <c r="Y114" i="4"/>
  <c r="K112" i="4"/>
  <c r="T111" i="4"/>
  <c r="J111" i="4"/>
  <c r="M110" i="4"/>
  <c r="U109" i="4"/>
  <c r="O108" i="4"/>
  <c r="E108" i="4"/>
  <c r="W107" i="4"/>
  <c r="M107" i="4"/>
  <c r="W106" i="4"/>
  <c r="G106" i="4"/>
  <c r="Z105" i="4"/>
  <c r="J104" i="4"/>
  <c r="S103" i="4"/>
  <c r="V101" i="4"/>
  <c r="U100" i="4"/>
  <c r="O99" i="4"/>
  <c r="O97" i="4"/>
  <c r="C96" i="4"/>
  <c r="F93" i="4"/>
  <c r="O92" i="4"/>
  <c r="E92" i="4"/>
  <c r="R89" i="4"/>
  <c r="I89" i="4"/>
  <c r="AA88" i="4"/>
  <c r="H88" i="4"/>
  <c r="Z87" i="4"/>
  <c r="T86" i="4"/>
  <c r="T85" i="4"/>
  <c r="K85" i="4"/>
  <c r="N83" i="4"/>
  <c r="X82" i="4"/>
  <c r="Q81" i="4"/>
  <c r="Y79" i="4"/>
  <c r="L79" i="4"/>
  <c r="T78" i="4"/>
  <c r="J78" i="4"/>
  <c r="F77" i="4"/>
  <c r="D76" i="4"/>
  <c r="Y75" i="4"/>
  <c r="O75" i="4"/>
  <c r="F75" i="4"/>
  <c r="L74" i="4"/>
  <c r="D74" i="4"/>
  <c r="K73" i="4"/>
  <c r="C73" i="4"/>
  <c r="AA72" i="4"/>
  <c r="K72" i="4"/>
  <c r="T71" i="4"/>
  <c r="L71" i="4"/>
  <c r="D71" i="4"/>
  <c r="F69" i="4"/>
  <c r="W68" i="4"/>
  <c r="O68" i="4"/>
  <c r="G68" i="4"/>
  <c r="X67" i="4"/>
  <c r="P67" i="4"/>
  <c r="I66" i="4"/>
  <c r="Z65" i="4"/>
  <c r="R65" i="4"/>
  <c r="J65" i="4"/>
  <c r="S64" i="4"/>
  <c r="K64" i="4"/>
  <c r="T63" i="4"/>
  <c r="L63" i="4"/>
  <c r="D63" i="4"/>
  <c r="M62" i="4"/>
  <c r="E62" i="4"/>
  <c r="V61" i="4"/>
  <c r="N61" i="4"/>
  <c r="F61" i="4"/>
  <c r="W60" i="4"/>
  <c r="O60" i="4"/>
  <c r="G60" i="4"/>
  <c r="X59" i="4"/>
  <c r="P59" i="4"/>
  <c r="Q58" i="4"/>
  <c r="R57" i="4"/>
  <c r="J57" i="4"/>
  <c r="AA56" i="4"/>
  <c r="S56" i="4"/>
  <c r="K56" i="4"/>
  <c r="T55" i="4"/>
  <c r="D55" i="4"/>
  <c r="U54" i="4"/>
  <c r="M54" i="4"/>
  <c r="E54" i="4"/>
  <c r="V53" i="4"/>
  <c r="W52" i="4"/>
  <c r="G52" i="4"/>
  <c r="X51" i="4"/>
  <c r="P51" i="4"/>
  <c r="Q50" i="4"/>
  <c r="J49" i="4"/>
  <c r="AA48" i="4"/>
  <c r="S48" i="4"/>
  <c r="K48" i="4"/>
  <c r="C48" i="4"/>
  <c r="T47" i="4"/>
  <c r="L47" i="4"/>
  <c r="D47" i="4"/>
  <c r="U46" i="4"/>
  <c r="M46" i="4"/>
  <c r="E46" i="4"/>
  <c r="V45" i="4"/>
  <c r="W44" i="4"/>
  <c r="O44" i="4"/>
  <c r="G44" i="4"/>
  <c r="X43" i="4"/>
  <c r="H43" i="4"/>
  <c r="Y42" i="4"/>
  <c r="Q42" i="4"/>
  <c r="Z41" i="4"/>
  <c r="R41" i="4"/>
  <c r="J41" i="4"/>
  <c r="K40" i="4"/>
  <c r="L39" i="4"/>
  <c r="M38" i="4"/>
  <c r="E38" i="4"/>
  <c r="F37" i="4"/>
  <c r="W36" i="4"/>
  <c r="G36" i="4"/>
  <c r="P35" i="4"/>
  <c r="H35" i="4"/>
  <c r="Y34" i="4"/>
  <c r="I34" i="4"/>
  <c r="R33" i="4"/>
  <c r="K32" i="4"/>
  <c r="T31" i="4"/>
  <c r="E30" i="4"/>
  <c r="N29" i="4"/>
  <c r="F29" i="4"/>
  <c r="W28" i="4"/>
  <c r="O28" i="4"/>
  <c r="X27" i="4"/>
  <c r="P27" i="4"/>
  <c r="Y26" i="4"/>
  <c r="Q26" i="4"/>
  <c r="I26" i="4"/>
  <c r="R25" i="4"/>
  <c r="K24" i="4"/>
  <c r="T23" i="4"/>
  <c r="D23" i="4"/>
  <c r="U22" i="4"/>
  <c r="W20" i="4"/>
  <c r="G20" i="4"/>
  <c r="H19" i="4"/>
  <c r="Y18" i="4"/>
  <c r="Z17" i="4"/>
  <c r="R17" i="4"/>
  <c r="S16" i="4"/>
  <c r="K16" i="4"/>
  <c r="C16" i="4"/>
  <c r="T15" i="4"/>
  <c r="M14" i="4"/>
  <c r="V13" i="4"/>
  <c r="N13" i="4"/>
  <c r="F13" i="4"/>
  <c r="W12" i="4"/>
  <c r="O12" i="4"/>
  <c r="G12" i="4"/>
  <c r="P11" i="4"/>
  <c r="H11" i="4"/>
  <c r="Y10" i="4"/>
  <c r="Q10" i="4"/>
  <c r="Z9" i="4"/>
  <c r="R9" i="4"/>
  <c r="J9" i="4"/>
  <c r="AA8" i="4"/>
  <c r="K8" i="4"/>
  <c r="T7" i="4"/>
  <c r="U6" i="4"/>
  <c r="M6" i="4"/>
  <c r="E6" i="4"/>
  <c r="H169" i="4"/>
  <c r="H161" i="4"/>
  <c r="H160" i="4"/>
  <c r="S157" i="4"/>
  <c r="K157" i="4"/>
  <c r="K156" i="4"/>
  <c r="T155" i="4"/>
  <c r="H153" i="4"/>
  <c r="P151" i="4"/>
  <c r="S148" i="4"/>
  <c r="O147" i="4"/>
  <c r="Q142" i="4"/>
  <c r="R141" i="4"/>
  <c r="H138" i="4"/>
  <c r="G137" i="4"/>
  <c r="Z136" i="4"/>
  <c r="C135" i="4"/>
  <c r="E134" i="4"/>
  <c r="E133" i="4"/>
  <c r="V132" i="4"/>
  <c r="X129" i="4"/>
  <c r="Z127" i="4"/>
  <c r="D127" i="4"/>
  <c r="K126" i="4"/>
  <c r="F125" i="4"/>
  <c r="O124" i="4"/>
  <c r="H123" i="4"/>
  <c r="R121" i="4"/>
  <c r="G121" i="4"/>
  <c r="X120" i="4"/>
  <c r="R119" i="4"/>
  <c r="S117" i="4"/>
  <c r="O116" i="4"/>
  <c r="E116" i="4"/>
  <c r="M115" i="4"/>
  <c r="X114" i="4"/>
  <c r="N114" i="4"/>
  <c r="R113" i="4"/>
  <c r="I113" i="4"/>
  <c r="S112" i="4"/>
  <c r="J112" i="4"/>
  <c r="I111" i="4"/>
  <c r="L110" i="4"/>
  <c r="T109" i="4"/>
  <c r="N108" i="4"/>
  <c r="D108" i="4"/>
  <c r="V107" i="4"/>
  <c r="V106" i="4"/>
  <c r="F106" i="4"/>
  <c r="S104" i="4"/>
  <c r="I104" i="4"/>
  <c r="AA102" i="4"/>
  <c r="M102" i="4"/>
  <c r="C102" i="4"/>
  <c r="U101" i="4"/>
  <c r="F100" i="4"/>
  <c r="N99" i="4"/>
  <c r="I98" i="4"/>
  <c r="Z97" i="4"/>
  <c r="K96" i="4"/>
  <c r="T95" i="4"/>
  <c r="I95" i="4"/>
  <c r="R94" i="4"/>
  <c r="AA93" i="4"/>
  <c r="W92" i="4"/>
  <c r="N92" i="4"/>
  <c r="D92" i="4"/>
  <c r="V91" i="4"/>
  <c r="I90" i="4"/>
  <c r="H89" i="4"/>
  <c r="Y87" i="4"/>
  <c r="L87" i="4"/>
  <c r="X83" i="4"/>
  <c r="W82" i="4"/>
  <c r="P81" i="4"/>
  <c r="Z80" i="4"/>
  <c r="Q80" i="4"/>
  <c r="C80" i="4"/>
  <c r="S78" i="4"/>
  <c r="AA77" i="4"/>
  <c r="E77" i="4"/>
  <c r="X75" i="4"/>
  <c r="N75" i="4"/>
  <c r="S74" i="4"/>
  <c r="C74" i="4"/>
  <c r="R73" i="4"/>
  <c r="J73" i="4"/>
  <c r="R72" i="4"/>
  <c r="J72" i="4"/>
  <c r="AA71" i="4"/>
  <c r="S71" i="4"/>
  <c r="T70" i="4"/>
  <c r="L70" i="4"/>
  <c r="D70" i="4"/>
  <c r="U69" i="4"/>
  <c r="N68" i="4"/>
  <c r="F68" i="4"/>
  <c r="W67" i="4"/>
  <c r="O67" i="4"/>
  <c r="P66" i="4"/>
  <c r="Q65" i="4"/>
  <c r="I65" i="4"/>
  <c r="R64" i="4"/>
  <c r="S63" i="4"/>
  <c r="K63" i="4"/>
  <c r="C63" i="4"/>
  <c r="T62" i="4"/>
  <c r="L62" i="4"/>
  <c r="D62" i="4"/>
  <c r="M61" i="4"/>
  <c r="N60" i="4"/>
  <c r="O59" i="4"/>
  <c r="G59" i="4"/>
  <c r="P58" i="4"/>
  <c r="Q57" i="4"/>
  <c r="I57" i="4"/>
  <c r="Z56" i="4"/>
  <c r="AA55" i="4"/>
  <c r="S55" i="4"/>
  <c r="K55" i="4"/>
  <c r="C55" i="4"/>
  <c r="L54" i="4"/>
  <c r="E53" i="4"/>
  <c r="N52" i="4"/>
  <c r="F52" i="4"/>
  <c r="W51" i="4"/>
  <c r="G51" i="4"/>
  <c r="H50" i="4"/>
  <c r="Q49" i="4"/>
  <c r="R48" i="4"/>
  <c r="AA47" i="4"/>
  <c r="S47" i="4"/>
  <c r="C47" i="4"/>
  <c r="T46" i="4"/>
  <c r="L46" i="4"/>
  <c r="D46" i="4"/>
  <c r="U45" i="4"/>
  <c r="E45" i="4"/>
  <c r="V44" i="4"/>
  <c r="F44" i="4"/>
  <c r="O43" i="4"/>
  <c r="H42" i="4"/>
  <c r="I41" i="4"/>
  <c r="Z40" i="4"/>
  <c r="R40" i="4"/>
  <c r="S39" i="4"/>
  <c r="C39" i="4"/>
  <c r="T38" i="4"/>
  <c r="L38" i="4"/>
  <c r="E37" i="4"/>
  <c r="V36" i="4"/>
  <c r="F36" i="4"/>
  <c r="W35" i="4"/>
  <c r="P34" i="4"/>
  <c r="Y33" i="4"/>
  <c r="Q33" i="4"/>
  <c r="I33" i="4"/>
  <c r="J32" i="4"/>
  <c r="AA31" i="4"/>
  <c r="S31" i="4"/>
  <c r="K31" i="4"/>
  <c r="T30" i="4"/>
  <c r="L30" i="4"/>
  <c r="N28" i="4"/>
  <c r="F28" i="4"/>
  <c r="W27" i="4"/>
  <c r="G27" i="4"/>
  <c r="X26" i="4"/>
  <c r="P26" i="4"/>
  <c r="Y25" i="4"/>
  <c r="I25" i="4"/>
  <c r="R24" i="4"/>
  <c r="J24" i="4"/>
  <c r="AA23" i="4"/>
  <c r="S23" i="4"/>
  <c r="T22" i="4"/>
  <c r="L22" i="4"/>
  <c r="D22" i="4"/>
  <c r="U21" i="4"/>
  <c r="M21" i="4"/>
  <c r="E21" i="4"/>
  <c r="V20" i="4"/>
  <c r="F20" i="4"/>
  <c r="W19" i="4"/>
  <c r="O19" i="4"/>
  <c r="G19" i="4"/>
  <c r="Q17" i="4"/>
  <c r="I17" i="4"/>
  <c r="Z16" i="4"/>
  <c r="J16" i="4"/>
  <c r="K15" i="4"/>
  <c r="L14" i="4"/>
  <c r="D14" i="4"/>
  <c r="U13" i="4"/>
  <c r="E13" i="4"/>
  <c r="V12" i="4"/>
  <c r="F12" i="4"/>
  <c r="O11" i="4"/>
  <c r="G11" i="4"/>
  <c r="P10" i="4"/>
  <c r="H10" i="4"/>
  <c r="Y9" i="4"/>
  <c r="Z8" i="4"/>
  <c r="R8" i="4"/>
  <c r="J8" i="4"/>
  <c r="AA7" i="4"/>
  <c r="S7" i="4"/>
  <c r="C7" i="4"/>
  <c r="L6" i="4"/>
  <c r="J174" i="4"/>
  <c r="Q169" i="4"/>
  <c r="Z167" i="4"/>
  <c r="K167" i="4"/>
  <c r="K166" i="4"/>
  <c r="W161" i="4"/>
  <c r="G161" i="4"/>
  <c r="G160" i="4"/>
  <c r="J159" i="4"/>
  <c r="R157" i="4"/>
  <c r="J157" i="4"/>
  <c r="M154" i="4"/>
  <c r="X153" i="4"/>
  <c r="G153" i="4"/>
  <c r="Q152" i="4"/>
  <c r="D150" i="4"/>
  <c r="I145" i="4"/>
  <c r="S143" i="4"/>
  <c r="C141" i="4"/>
  <c r="Z137" i="4"/>
  <c r="P137" i="4"/>
  <c r="Y136" i="4"/>
  <c r="U134" i="4"/>
  <c r="D134" i="4"/>
  <c r="L133" i="4"/>
  <c r="U132" i="4"/>
  <c r="J129" i="4"/>
  <c r="Q128" i="4"/>
  <c r="J126" i="4"/>
  <c r="E125" i="4"/>
  <c r="W124" i="4"/>
  <c r="N124" i="4"/>
  <c r="G123" i="4"/>
  <c r="Y122" i="4"/>
  <c r="P122" i="4"/>
  <c r="G122" i="4"/>
  <c r="Q121" i="4"/>
  <c r="Q119" i="4"/>
  <c r="E117" i="4"/>
  <c r="N116" i="4"/>
  <c r="V115" i="4"/>
  <c r="H113" i="4"/>
  <c r="R112" i="4"/>
  <c r="R111" i="4"/>
  <c r="Z110" i="4"/>
  <c r="K110" i="4"/>
  <c r="E109" i="4"/>
  <c r="I168" i="4"/>
  <c r="Y166" i="4"/>
  <c r="W162" i="4"/>
  <c r="R160" i="4"/>
  <c r="I159" i="4"/>
  <c r="W153" i="4"/>
  <c r="P152" i="4"/>
  <c r="AA151" i="4"/>
  <c r="S150" i="4"/>
  <c r="K149" i="4"/>
  <c r="M147" i="4"/>
  <c r="H145" i="4"/>
  <c r="R143" i="4"/>
  <c r="AA141" i="4"/>
  <c r="H139" i="4"/>
  <c r="Y137" i="4"/>
  <c r="O137" i="4"/>
  <c r="K136" i="4"/>
  <c r="T135" i="4"/>
  <c r="J135" i="4"/>
  <c r="L134" i="4"/>
  <c r="C134" i="4"/>
  <c r="V133" i="4"/>
  <c r="K133" i="4"/>
  <c r="T132" i="4"/>
  <c r="G131" i="4"/>
  <c r="O130" i="4"/>
  <c r="I129" i="4"/>
  <c r="AA128" i="4"/>
  <c r="P128" i="4"/>
  <c r="C128" i="4"/>
  <c r="AA125" i="4"/>
  <c r="D125" i="4"/>
  <c r="V124" i="4"/>
  <c r="M124" i="4"/>
  <c r="F122" i="4"/>
  <c r="Z121" i="4"/>
  <c r="P121" i="4"/>
  <c r="L119" i="4"/>
  <c r="T118" i="4"/>
  <c r="AA117" i="4"/>
  <c r="M116" i="4"/>
  <c r="U115" i="4"/>
  <c r="V114" i="4"/>
  <c r="I114" i="4"/>
  <c r="P113" i="4"/>
  <c r="Q112" i="4"/>
  <c r="H112" i="4"/>
  <c r="AA111" i="4"/>
  <c r="T173" i="4"/>
  <c r="F172" i="4"/>
  <c r="F171" i="4"/>
  <c r="H168" i="4"/>
  <c r="S165" i="4"/>
  <c r="D163" i="4"/>
  <c r="H159" i="4"/>
  <c r="V153" i="4"/>
  <c r="O152" i="4"/>
  <c r="Z151" i="4"/>
  <c r="G145" i="4"/>
  <c r="Q144" i="4"/>
  <c r="Z141" i="4"/>
  <c r="V140" i="4"/>
  <c r="P139" i="4"/>
  <c r="G139" i="4"/>
  <c r="O138" i="4"/>
  <c r="X137" i="4"/>
  <c r="J136" i="4"/>
  <c r="S135" i="4"/>
  <c r="I135" i="4"/>
  <c r="K134" i="4"/>
  <c r="U133" i="4"/>
  <c r="F132" i="4"/>
  <c r="P131" i="4"/>
  <c r="F131" i="4"/>
  <c r="N130" i="4"/>
  <c r="Z128" i="4"/>
  <c r="E126" i="4"/>
  <c r="V125" i="4"/>
  <c r="U124" i="4"/>
  <c r="P123" i="4"/>
  <c r="W122" i="4"/>
  <c r="N122" i="4"/>
  <c r="Y121" i="4"/>
  <c r="S120" i="4"/>
  <c r="I120" i="4"/>
  <c r="K119" i="4"/>
  <c r="S118" i="4"/>
  <c r="N117" i="4"/>
  <c r="C117" i="4"/>
  <c r="W116" i="4"/>
  <c r="H114" i="4"/>
  <c r="P112" i="4"/>
  <c r="C111" i="4"/>
  <c r="U110" i="4"/>
  <c r="M109" i="4"/>
  <c r="V172" i="4"/>
  <c r="E172" i="4"/>
  <c r="E171" i="4"/>
  <c r="O170" i="4"/>
  <c r="R168" i="4"/>
  <c r="D166" i="4"/>
  <c r="D165" i="4"/>
  <c r="F164" i="4"/>
  <c r="N163" i="4"/>
  <c r="Z159" i="4"/>
  <c r="I158" i="4"/>
  <c r="T156" i="4"/>
  <c r="X154" i="4"/>
  <c r="Y151" i="4"/>
  <c r="C151" i="4"/>
  <c r="Z149" i="4"/>
  <c r="V147" i="4"/>
  <c r="P144" i="4"/>
  <c r="H143" i="4"/>
  <c r="I142" i="4"/>
  <c r="U140" i="4"/>
  <c r="X139" i="4"/>
  <c r="F139" i="4"/>
  <c r="Y138" i="4"/>
  <c r="AA135" i="4"/>
  <c r="R134" i="4"/>
  <c r="J134" i="4"/>
  <c r="T133" i="4"/>
  <c r="O132" i="4"/>
  <c r="E132" i="4"/>
  <c r="O131" i="4"/>
  <c r="E131" i="4"/>
  <c r="X130" i="4"/>
  <c r="G129" i="4"/>
  <c r="K127" i="4"/>
  <c r="S126" i="4"/>
  <c r="D126" i="4"/>
  <c r="G124" i="4"/>
  <c r="X123" i="4"/>
  <c r="O123" i="4"/>
  <c r="J119" i="4"/>
  <c r="R118" i="4"/>
  <c r="D118" i="4"/>
  <c r="M117" i="4"/>
  <c r="Z113" i="4"/>
  <c r="Y112" i="4"/>
  <c r="T110" i="4"/>
  <c r="L109" i="4"/>
  <c r="U172" i="4"/>
  <c r="N170" i="4"/>
  <c r="Q168" i="4"/>
  <c r="R166" i="4"/>
  <c r="N162" i="4"/>
  <c r="Z160" i="4"/>
  <c r="S156" i="4"/>
  <c r="E154" i="4"/>
  <c r="Y152" i="4"/>
  <c r="X151" i="4"/>
  <c r="Z144" i="4"/>
  <c r="T140" i="4"/>
  <c r="W139" i="4"/>
  <c r="N139" i="4"/>
  <c r="E139" i="4"/>
  <c r="Z135" i="4"/>
  <c r="AA134" i="4"/>
  <c r="N132" i="4"/>
  <c r="W131" i="4"/>
  <c r="N131" i="4"/>
  <c r="W130" i="4"/>
  <c r="I130" i="4"/>
  <c r="J127" i="4"/>
  <c r="R126" i="4"/>
  <c r="T125" i="4"/>
  <c r="K125" i="4"/>
  <c r="F124" i="4"/>
  <c r="W123" i="4"/>
  <c r="N123" i="4"/>
  <c r="J121" i="4"/>
  <c r="AA120" i="4"/>
  <c r="Q120" i="4"/>
  <c r="C120" i="4"/>
  <c r="I119" i="4"/>
  <c r="AA118" i="4"/>
  <c r="M118" i="4"/>
  <c r="V117" i="4"/>
  <c r="L117" i="4"/>
  <c r="U116" i="4"/>
  <c r="P115" i="4"/>
  <c r="Q114" i="4"/>
  <c r="F114" i="4"/>
  <c r="X112" i="4"/>
  <c r="C112" i="4"/>
  <c r="L111" i="4"/>
  <c r="E110" i="4"/>
  <c r="K109" i="4"/>
  <c r="G108" i="4"/>
  <c r="I106" i="4"/>
  <c r="J103" i="4"/>
  <c r="AA101" i="4"/>
  <c r="N101" i="4"/>
  <c r="W100" i="4"/>
  <c r="F99" i="4"/>
  <c r="X98" i="4"/>
  <c r="Q97" i="4"/>
  <c r="G97" i="4"/>
  <c r="Y96" i="4"/>
  <c r="Z95" i="4"/>
  <c r="C95" i="4"/>
  <c r="U94" i="4"/>
  <c r="L94" i="4"/>
  <c r="T93" i="4"/>
  <c r="W89" i="4"/>
  <c r="R87" i="4"/>
  <c r="D87" i="4"/>
  <c r="V85" i="4"/>
  <c r="M85" i="4"/>
  <c r="P83" i="4"/>
  <c r="H83" i="4"/>
  <c r="O82" i="4"/>
  <c r="W81" i="4"/>
  <c r="I81" i="4"/>
  <c r="H80" i="4"/>
  <c r="AA79" i="4"/>
  <c r="C79" i="4"/>
  <c r="L78" i="4"/>
  <c r="T76" i="4"/>
  <c r="F76" i="4"/>
  <c r="H75" i="4"/>
  <c r="N74" i="4"/>
  <c r="U73" i="4"/>
  <c r="M73" i="4"/>
  <c r="M72" i="4"/>
  <c r="E72" i="4"/>
  <c r="N71" i="4"/>
  <c r="F71" i="4"/>
  <c r="O70" i="4"/>
  <c r="G70" i="4"/>
  <c r="P69" i="4"/>
  <c r="H69" i="4"/>
  <c r="Y68" i="4"/>
  <c r="I68" i="4"/>
  <c r="Z67" i="4"/>
  <c r="J67" i="4"/>
  <c r="AA66" i="4"/>
  <c r="S66" i="4"/>
  <c r="K66" i="4"/>
  <c r="T65" i="4"/>
  <c r="D65" i="4"/>
  <c r="U64" i="4"/>
  <c r="M64" i="4"/>
  <c r="E64" i="4"/>
  <c r="V63" i="4"/>
  <c r="N63" i="4"/>
  <c r="F63" i="4"/>
  <c r="W62" i="4"/>
  <c r="O62" i="4"/>
  <c r="X61" i="4"/>
  <c r="P61" i="4"/>
  <c r="H61" i="4"/>
  <c r="Y60" i="4"/>
  <c r="I60" i="4"/>
  <c r="R59" i="4"/>
  <c r="J59" i="4"/>
  <c r="K58" i="4"/>
  <c r="C58" i="4"/>
  <c r="T57" i="4"/>
  <c r="L57" i="4"/>
  <c r="U56" i="4"/>
  <c r="V55" i="4"/>
  <c r="N55" i="4"/>
  <c r="F55" i="4"/>
  <c r="W54" i="4"/>
  <c r="P53" i="4"/>
  <c r="Y52" i="4"/>
  <c r="AA50" i="4"/>
  <c r="T49" i="4"/>
  <c r="M48" i="4"/>
  <c r="G46" i="4"/>
  <c r="P45" i="4"/>
  <c r="Y44" i="4"/>
  <c r="I44" i="4"/>
  <c r="Z43" i="4"/>
  <c r="R43" i="4"/>
  <c r="J43" i="4"/>
  <c r="AA42" i="4"/>
  <c r="S42" i="4"/>
  <c r="K42" i="4"/>
  <c r="C42" i="4"/>
  <c r="T41" i="4"/>
  <c r="D41" i="4"/>
  <c r="U40" i="4"/>
  <c r="M40" i="4"/>
  <c r="N39" i="4"/>
  <c r="W38" i="4"/>
  <c r="G38" i="4"/>
  <c r="X37" i="4"/>
  <c r="H37" i="4"/>
  <c r="Y36" i="4"/>
  <c r="I36" i="4"/>
  <c r="Z35" i="4"/>
  <c r="R35" i="4"/>
  <c r="AA34" i="4"/>
  <c r="S34" i="4"/>
  <c r="K34" i="4"/>
  <c r="C34" i="4"/>
  <c r="T33" i="4"/>
  <c r="L33" i="4"/>
  <c r="D33" i="4"/>
  <c r="E32" i="4"/>
  <c r="V31" i="4"/>
  <c r="N31" i="4"/>
  <c r="F31" i="4"/>
  <c r="W30" i="4"/>
  <c r="G30" i="4"/>
  <c r="X29" i="4"/>
  <c r="P29" i="4"/>
  <c r="H29" i="4"/>
  <c r="Y28" i="4"/>
  <c r="I28" i="4"/>
  <c r="Z27" i="4"/>
  <c r="R27" i="4"/>
  <c r="J27" i="4"/>
  <c r="S26" i="4"/>
  <c r="K26" i="4"/>
  <c r="C26" i="4"/>
  <c r="U24" i="4"/>
  <c r="E24" i="4"/>
  <c r="V23" i="4"/>
  <c r="N23" i="4"/>
  <c r="W22" i="4"/>
  <c r="O22" i="4"/>
  <c r="G22" i="4"/>
  <c r="P21" i="4"/>
  <c r="Y20" i="4"/>
  <c r="Q20" i="4"/>
  <c r="Z19" i="4"/>
  <c r="R19" i="4"/>
  <c r="AA18" i="4"/>
  <c r="C18" i="4"/>
  <c r="T17" i="4"/>
  <c r="L17" i="4"/>
  <c r="D17" i="4"/>
  <c r="F15" i="4"/>
  <c r="W14" i="4"/>
  <c r="O14" i="4"/>
  <c r="G14" i="4"/>
  <c r="H13" i="4"/>
  <c r="Y12" i="4"/>
  <c r="Q12" i="4"/>
  <c r="U8" i="4"/>
  <c r="E8" i="4"/>
  <c r="V7" i="4"/>
  <c r="F7" i="4"/>
  <c r="G8" i="4"/>
  <c r="N10" i="4"/>
  <c r="X17" i="4"/>
  <c r="Z20" i="4"/>
  <c r="S22" i="4"/>
  <c r="F24" i="4"/>
  <c r="O25" i="4"/>
  <c r="AA27" i="4"/>
  <c r="X30" i="4"/>
  <c r="K36" i="4"/>
  <c r="H39" i="4"/>
  <c r="G42" i="4"/>
  <c r="U43" i="4"/>
  <c r="AA45" i="4"/>
  <c r="AA52" i="4"/>
  <c r="Q69" i="4"/>
  <c r="Y74" i="4"/>
  <c r="J87" i="4"/>
  <c r="R6" i="4"/>
  <c r="X8" i="4"/>
  <c r="P9" i="4"/>
  <c r="U12" i="4"/>
  <c r="C13" i="4"/>
  <c r="Z13" i="4"/>
  <c r="E17" i="4"/>
  <c r="L19" i="4"/>
  <c r="J21" i="4"/>
  <c r="K22" i="4"/>
  <c r="P23" i="4"/>
  <c r="AE23" i="4"/>
  <c r="I24" i="4"/>
  <c r="AE25" i="4"/>
  <c r="L26" i="4"/>
  <c r="D29" i="4"/>
  <c r="Q29" i="4"/>
  <c r="AA29" i="4"/>
  <c r="H30" i="4"/>
  <c r="Q30" i="4"/>
  <c r="AA30" i="4"/>
  <c r="R31" i="4"/>
  <c r="O32" i="4"/>
  <c r="W32" i="4"/>
  <c r="N33" i="4"/>
  <c r="G34" i="4"/>
  <c r="U34" i="4"/>
  <c r="C35" i="4"/>
  <c r="L35" i="4"/>
  <c r="Q37" i="4"/>
  <c r="S38" i="4"/>
  <c r="X39" i="4"/>
  <c r="X40" i="4"/>
  <c r="AE41" i="4"/>
  <c r="C43" i="4"/>
  <c r="AA43" i="4"/>
  <c r="J45" i="4"/>
  <c r="Z46" i="4"/>
  <c r="G47" i="4"/>
  <c r="Z47" i="4"/>
  <c r="H48" i="4"/>
  <c r="T50" i="4"/>
  <c r="AE55" i="4"/>
  <c r="G57" i="4"/>
  <c r="W57" i="4"/>
  <c r="M58" i="4"/>
  <c r="N59" i="4"/>
  <c r="S60" i="4"/>
  <c r="K61" i="4"/>
  <c r="Z61" i="4"/>
  <c r="H62" i="4"/>
  <c r="R63" i="4"/>
  <c r="Y64" i="4"/>
  <c r="F65" i="4"/>
  <c r="U67" i="4"/>
  <c r="D68" i="4"/>
  <c r="J69" i="4"/>
  <c r="K70" i="4"/>
  <c r="X70" i="4"/>
  <c r="AE71" i="4"/>
  <c r="I72" i="4"/>
  <c r="AE75" i="4"/>
  <c r="C77" i="4"/>
  <c r="D79" i="4"/>
  <c r="S79" i="4"/>
  <c r="AE83" i="4"/>
  <c r="M84" i="4"/>
  <c r="W84" i="4"/>
  <c r="N85" i="4"/>
  <c r="AA86" i="4"/>
  <c r="G90" i="4"/>
  <c r="AE90" i="4"/>
  <c r="L92" i="4"/>
  <c r="V93" i="4"/>
  <c r="J97" i="4"/>
  <c r="AE98" i="4"/>
  <c r="F101" i="4"/>
  <c r="H104" i="4"/>
  <c r="X105" i="4"/>
  <c r="AE107" i="4"/>
  <c r="C46" i="6"/>
  <c r="C47" i="6" s="1"/>
  <c r="C48" i="6" s="1"/>
  <c r="C49" i="6" s="1"/>
  <c r="C51" i="6" s="1"/>
  <c r="D24" i="6"/>
  <c r="D26" i="6" s="1"/>
  <c r="AB269" i="4" l="1"/>
  <c r="AC269" i="4" s="1"/>
  <c r="AB360" i="4"/>
  <c r="AC360" i="4" s="1"/>
  <c r="AB461" i="4"/>
  <c r="AC461" i="4" s="1"/>
  <c r="AB478" i="4"/>
  <c r="AC478" i="4" s="1"/>
  <c r="AB471" i="4"/>
  <c r="AC471" i="4" s="1"/>
  <c r="AB419" i="4"/>
  <c r="AC419" i="4" s="1"/>
  <c r="AB439" i="4"/>
  <c r="AC439" i="4" s="1"/>
  <c r="AB292" i="4"/>
  <c r="AC292" i="4" s="1"/>
  <c r="AD292" i="4" s="1"/>
  <c r="AF292" i="4" s="1"/>
  <c r="AG292" i="4" s="1"/>
  <c r="AH292" i="4" s="1"/>
  <c r="AI292" i="4" s="1"/>
  <c r="AB444" i="4"/>
  <c r="AC444" i="4" s="1"/>
  <c r="AD444" i="4" s="1"/>
  <c r="AF444" i="4" s="1"/>
  <c r="AG444" i="4" s="1"/>
  <c r="AH444" i="4" s="1"/>
  <c r="AI444" i="4" s="1"/>
  <c r="AB485" i="4"/>
  <c r="AC485" i="4" s="1"/>
  <c r="AD485" i="4" s="1"/>
  <c r="AF485" i="4" s="1"/>
  <c r="AG485" i="4" s="1"/>
  <c r="AH485" i="4" s="1"/>
  <c r="AI485" i="4" s="1"/>
  <c r="AB434" i="4"/>
  <c r="AC434" i="4" s="1"/>
  <c r="AB481" i="4"/>
  <c r="AC481" i="4" s="1"/>
  <c r="AB449" i="4"/>
  <c r="AC449" i="4" s="1"/>
  <c r="AB458" i="4"/>
  <c r="AC458" i="4" s="1"/>
  <c r="AB110" i="4"/>
  <c r="AC110" i="4" s="1"/>
  <c r="AD110" i="4" s="1"/>
  <c r="AF110" i="4" s="1"/>
  <c r="AG110" i="4" s="1"/>
  <c r="AH110" i="4" s="1"/>
  <c r="AI110" i="4" s="1"/>
  <c r="AB352" i="4"/>
  <c r="AC352" i="4" s="1"/>
  <c r="AD352" i="4" s="1"/>
  <c r="AF352" i="4" s="1"/>
  <c r="AG352" i="4" s="1"/>
  <c r="AH352" i="4" s="1"/>
  <c r="AI352" i="4" s="1"/>
  <c r="AB448" i="4"/>
  <c r="AC448" i="4" s="1"/>
  <c r="AB432" i="4"/>
  <c r="AC432" i="4" s="1"/>
  <c r="AD432" i="4" s="1"/>
  <c r="AF432" i="4" s="1"/>
  <c r="AG432" i="4" s="1"/>
  <c r="AH432" i="4" s="1"/>
  <c r="AI432" i="4" s="1"/>
  <c r="AB476" i="4"/>
  <c r="AC476" i="4" s="1"/>
  <c r="AB501" i="4"/>
  <c r="AC501" i="4" s="1"/>
  <c r="AD501" i="4" s="1"/>
  <c r="AF501" i="4" s="1"/>
  <c r="AG501" i="4" s="1"/>
  <c r="AH501" i="4" s="1"/>
  <c r="AI501" i="4" s="1"/>
  <c r="AB362" i="4"/>
  <c r="AC362" i="4" s="1"/>
  <c r="AB415" i="4"/>
  <c r="AC415" i="4" s="1"/>
  <c r="AB316" i="4"/>
  <c r="AC316" i="4" s="1"/>
  <c r="AD316" i="4" s="1"/>
  <c r="AF316" i="4" s="1"/>
  <c r="AG316" i="4" s="1"/>
  <c r="AH316" i="4" s="1"/>
  <c r="AI316" i="4" s="1"/>
  <c r="E7" i="3"/>
  <c r="F7" i="3" s="1"/>
  <c r="AB168" i="4"/>
  <c r="AC168" i="4" s="1"/>
  <c r="AD168" i="4" s="1"/>
  <c r="AF168" i="4" s="1"/>
  <c r="AG168" i="4" s="1"/>
  <c r="AH168" i="4" s="1"/>
  <c r="AI168" i="4" s="1"/>
  <c r="AB331" i="4"/>
  <c r="AC331" i="4" s="1"/>
  <c r="AB391" i="4"/>
  <c r="AC391" i="4" s="1"/>
  <c r="AD391" i="4" s="1"/>
  <c r="AF391" i="4" s="1"/>
  <c r="AG391" i="4" s="1"/>
  <c r="AH391" i="4" s="1"/>
  <c r="AI391" i="4" s="1"/>
  <c r="E30" i="3"/>
  <c r="F30" i="3" s="1"/>
  <c r="E17" i="3"/>
  <c r="F17" i="3" s="1"/>
  <c r="E15" i="3"/>
  <c r="F15" i="3" s="1"/>
  <c r="E19" i="3"/>
  <c r="F19" i="3" s="1"/>
  <c r="AB325" i="4"/>
  <c r="AC325" i="4" s="1"/>
  <c r="AD325" i="4" s="1"/>
  <c r="AF325" i="4" s="1"/>
  <c r="AG325" i="4" s="1"/>
  <c r="AH325" i="4" s="1"/>
  <c r="AI325" i="4" s="1"/>
  <c r="AB424" i="4"/>
  <c r="AC424" i="4" s="1"/>
  <c r="AD424" i="4" s="1"/>
  <c r="AF424" i="4" s="1"/>
  <c r="AG424" i="4" s="1"/>
  <c r="AH424" i="4" s="1"/>
  <c r="AI424" i="4" s="1"/>
  <c r="AB367" i="4"/>
  <c r="AC367" i="4" s="1"/>
  <c r="AD367" i="4" s="1"/>
  <c r="AF367" i="4" s="1"/>
  <c r="AG367" i="4" s="1"/>
  <c r="AH367" i="4" s="1"/>
  <c r="AI367" i="4" s="1"/>
  <c r="AB369" i="4"/>
  <c r="AC369" i="4" s="1"/>
  <c r="AD369" i="4" s="1"/>
  <c r="AF369" i="4" s="1"/>
  <c r="AG369" i="4" s="1"/>
  <c r="AH369" i="4" s="1"/>
  <c r="AI369" i="4" s="1"/>
  <c r="AB436" i="4"/>
  <c r="AC436" i="4" s="1"/>
  <c r="AD436" i="4" s="1"/>
  <c r="AF436" i="4" s="1"/>
  <c r="AG436" i="4" s="1"/>
  <c r="AH436" i="4" s="1"/>
  <c r="AI436" i="4" s="1"/>
  <c r="E26" i="3"/>
  <c r="F26" i="3" s="1"/>
  <c r="E14" i="3"/>
  <c r="F14" i="3" s="1"/>
  <c r="AB154" i="4"/>
  <c r="AC154" i="4" s="1"/>
  <c r="AD154" i="4" s="1"/>
  <c r="AF154" i="4" s="1"/>
  <c r="AG154" i="4" s="1"/>
  <c r="AH154" i="4" s="1"/>
  <c r="AI154" i="4" s="1"/>
  <c r="AB36" i="4"/>
  <c r="AC36" i="4" s="1"/>
  <c r="AD36" i="4" s="1"/>
  <c r="AF36" i="4" s="1"/>
  <c r="AG36" i="4" s="1"/>
  <c r="AH36" i="4" s="1"/>
  <c r="AI36" i="4" s="1"/>
  <c r="AB24" i="4"/>
  <c r="AC24" i="4" s="1"/>
  <c r="AD24" i="4" s="1"/>
  <c r="AF24" i="4" s="1"/>
  <c r="AG24" i="4" s="1"/>
  <c r="AH24" i="4" s="1"/>
  <c r="AI24" i="4" s="1"/>
  <c r="AB346" i="4"/>
  <c r="AC346" i="4" s="1"/>
  <c r="AD346" i="4" s="1"/>
  <c r="AF346" i="4" s="1"/>
  <c r="AG346" i="4" s="1"/>
  <c r="AH346" i="4" s="1"/>
  <c r="AI346" i="4" s="1"/>
  <c r="AB384" i="4"/>
  <c r="AC384" i="4" s="1"/>
  <c r="AD384" i="4" s="1"/>
  <c r="AF384" i="4" s="1"/>
  <c r="AG384" i="4" s="1"/>
  <c r="AH384" i="4" s="1"/>
  <c r="AI384" i="4" s="1"/>
  <c r="AB412" i="4"/>
  <c r="AC412" i="4" s="1"/>
  <c r="AD412" i="4" s="1"/>
  <c r="AF412" i="4" s="1"/>
  <c r="AG412" i="4" s="1"/>
  <c r="AH412" i="4" s="1"/>
  <c r="AI412" i="4" s="1"/>
  <c r="AB389" i="4"/>
  <c r="AC389" i="4" s="1"/>
  <c r="AD389" i="4" s="1"/>
  <c r="AF389" i="4" s="1"/>
  <c r="AG389" i="4" s="1"/>
  <c r="AB374" i="4"/>
  <c r="AC374" i="4" s="1"/>
  <c r="AB426" i="4"/>
  <c r="AC426" i="4" s="1"/>
  <c r="AB427" i="4"/>
  <c r="AC427" i="4" s="1"/>
  <c r="AB464" i="4"/>
  <c r="AC464" i="4" s="1"/>
  <c r="AD464" i="4" s="1"/>
  <c r="AF464" i="4" s="1"/>
  <c r="AG464" i="4" s="1"/>
  <c r="AH464" i="4" s="1"/>
  <c r="AI464" i="4" s="1"/>
  <c r="AB431" i="4"/>
  <c r="AC431" i="4" s="1"/>
  <c r="AD431" i="4" s="1"/>
  <c r="AF431" i="4" s="1"/>
  <c r="AG431" i="4" s="1"/>
  <c r="AH431" i="4" s="1"/>
  <c r="AI431" i="4" s="1"/>
  <c r="AB418" i="4"/>
  <c r="AC418" i="4" s="1"/>
  <c r="AD418" i="4" s="1"/>
  <c r="AF418" i="4" s="1"/>
  <c r="AG418" i="4" s="1"/>
  <c r="AH418" i="4" s="1"/>
  <c r="AI418" i="4" s="1"/>
  <c r="AB428" i="4"/>
  <c r="AC428" i="4" s="1"/>
  <c r="AD428" i="4" s="1"/>
  <c r="AF428" i="4" s="1"/>
  <c r="AG428" i="4" s="1"/>
  <c r="AH428" i="4" s="1"/>
  <c r="AI428" i="4" s="1"/>
  <c r="AB440" i="4"/>
  <c r="AC440" i="4" s="1"/>
  <c r="AD440" i="4" s="1"/>
  <c r="AF440" i="4" s="1"/>
  <c r="AG440" i="4" s="1"/>
  <c r="AH440" i="4" s="1"/>
  <c r="AI440" i="4" s="1"/>
  <c r="AB445" i="4"/>
  <c r="AC445" i="4" s="1"/>
  <c r="AB450" i="4"/>
  <c r="AC450" i="4" s="1"/>
  <c r="AD450" i="4" s="1"/>
  <c r="AF450" i="4" s="1"/>
  <c r="AG450" i="4" s="1"/>
  <c r="AH450" i="4" s="1"/>
  <c r="AI450" i="4" s="1"/>
  <c r="AB462" i="4"/>
  <c r="AC462" i="4" s="1"/>
  <c r="AD462" i="4" s="1"/>
  <c r="AF462" i="4" s="1"/>
  <c r="AG462" i="4" s="1"/>
  <c r="AH462" i="4" s="1"/>
  <c r="AI462" i="4" s="1"/>
  <c r="AB497" i="4"/>
  <c r="AC497" i="4" s="1"/>
  <c r="AD497" i="4" s="1"/>
  <c r="AF497" i="4" s="1"/>
  <c r="AG497" i="4" s="1"/>
  <c r="AH497" i="4" s="1"/>
  <c r="AI497" i="4" s="1"/>
  <c r="AB459" i="4"/>
  <c r="AC459" i="4" s="1"/>
  <c r="AD459" i="4" s="1"/>
  <c r="AF459" i="4" s="1"/>
  <c r="AG459" i="4" s="1"/>
  <c r="AH459" i="4" s="1"/>
  <c r="AI459" i="4" s="1"/>
  <c r="AB505" i="4"/>
  <c r="AC505" i="4" s="1"/>
  <c r="AD505" i="4" s="1"/>
  <c r="AF505" i="4" s="1"/>
  <c r="AG505" i="4" s="1"/>
  <c r="AH505" i="4" s="1"/>
  <c r="AI505" i="4" s="1"/>
  <c r="AB468" i="4"/>
  <c r="AC468" i="4" s="1"/>
  <c r="AD468" i="4" s="1"/>
  <c r="AF468" i="4" s="1"/>
  <c r="AG468" i="4" s="1"/>
  <c r="AH468" i="4" s="1"/>
  <c r="AI468" i="4" s="1"/>
  <c r="E24" i="3"/>
  <c r="F24" i="3" s="1"/>
  <c r="E20" i="3"/>
  <c r="F20" i="3" s="1"/>
  <c r="E27" i="3"/>
  <c r="F27" i="3" s="1"/>
  <c r="AB204" i="4"/>
  <c r="AC204" i="4" s="1"/>
  <c r="AD204" i="4" s="1"/>
  <c r="AF204" i="4" s="1"/>
  <c r="AG204" i="4" s="1"/>
  <c r="AH204" i="4" s="1"/>
  <c r="AI204" i="4" s="1"/>
  <c r="AB51" i="4"/>
  <c r="AC51" i="4" s="1"/>
  <c r="AD51" i="4" s="1"/>
  <c r="AF51" i="4" s="1"/>
  <c r="AG51" i="4" s="1"/>
  <c r="AH51" i="4" s="1"/>
  <c r="AI51" i="4" s="1"/>
  <c r="AB138" i="4"/>
  <c r="AC138" i="4" s="1"/>
  <c r="AD138" i="4" s="1"/>
  <c r="AF138" i="4" s="1"/>
  <c r="AG138" i="4" s="1"/>
  <c r="AH138" i="4" s="1"/>
  <c r="AI138" i="4" s="1"/>
  <c r="AB179" i="4"/>
  <c r="AC179" i="4" s="1"/>
  <c r="AD179" i="4" s="1"/>
  <c r="AF179" i="4" s="1"/>
  <c r="AG179" i="4" s="1"/>
  <c r="AH179" i="4" s="1"/>
  <c r="AI179" i="4" s="1"/>
  <c r="AB46" i="4"/>
  <c r="AC46" i="4" s="1"/>
  <c r="AD46" i="4" s="1"/>
  <c r="AF46" i="4" s="1"/>
  <c r="AG46" i="4" s="1"/>
  <c r="AH46" i="4" s="1"/>
  <c r="AI46" i="4" s="1"/>
  <c r="AB177" i="4"/>
  <c r="AC177" i="4" s="1"/>
  <c r="AB252" i="4"/>
  <c r="AC252" i="4" s="1"/>
  <c r="AB344" i="4"/>
  <c r="AC344" i="4" s="1"/>
  <c r="AD344" i="4" s="1"/>
  <c r="AF344" i="4" s="1"/>
  <c r="AG344" i="4" s="1"/>
  <c r="AH344" i="4" s="1"/>
  <c r="AI344" i="4" s="1"/>
  <c r="AB247" i="4"/>
  <c r="AC247" i="4" s="1"/>
  <c r="AD247" i="4" s="1"/>
  <c r="AF247" i="4" s="1"/>
  <c r="AG247" i="4" s="1"/>
  <c r="AH247" i="4" s="1"/>
  <c r="AI247" i="4" s="1"/>
  <c r="AB319" i="4"/>
  <c r="AC319" i="4" s="1"/>
  <c r="AD319" i="4" s="1"/>
  <c r="AF319" i="4" s="1"/>
  <c r="AG319" i="4" s="1"/>
  <c r="AH319" i="4" s="1"/>
  <c r="AI319" i="4" s="1"/>
  <c r="E23" i="3"/>
  <c r="F23" i="3" s="1"/>
  <c r="AB106" i="4"/>
  <c r="AC106" i="4" s="1"/>
  <c r="AD106" i="4" s="1"/>
  <c r="AF106" i="4" s="1"/>
  <c r="AG106" i="4" s="1"/>
  <c r="AH106" i="4" s="1"/>
  <c r="AI106" i="4" s="1"/>
  <c r="AB185" i="4"/>
  <c r="AC185" i="4" s="1"/>
  <c r="AD185" i="4" s="1"/>
  <c r="AF185" i="4" s="1"/>
  <c r="AG185" i="4" s="1"/>
  <c r="AH185" i="4" s="1"/>
  <c r="AI185" i="4" s="1"/>
  <c r="AB276" i="4"/>
  <c r="AC276" i="4" s="1"/>
  <c r="AD276" i="4" s="1"/>
  <c r="AF276" i="4" s="1"/>
  <c r="AG276" i="4" s="1"/>
  <c r="AB285" i="4"/>
  <c r="AC285" i="4" s="1"/>
  <c r="AD285" i="4" s="1"/>
  <c r="AF285" i="4" s="1"/>
  <c r="AG285" i="4" s="1"/>
  <c r="AB484" i="4"/>
  <c r="AC484" i="4" s="1"/>
  <c r="AD484" i="4" s="1"/>
  <c r="AF484" i="4" s="1"/>
  <c r="AG484" i="4" s="1"/>
  <c r="AH484" i="4" s="1"/>
  <c r="AI484" i="4" s="1"/>
  <c r="AB477" i="4"/>
  <c r="AC477" i="4" s="1"/>
  <c r="AD477" i="4" s="1"/>
  <c r="AF477" i="4" s="1"/>
  <c r="AG477" i="4" s="1"/>
  <c r="AH477" i="4" s="1"/>
  <c r="AI477" i="4" s="1"/>
  <c r="AB25" i="4"/>
  <c r="AC25" i="4" s="1"/>
  <c r="AB75" i="4"/>
  <c r="AC75" i="4" s="1"/>
  <c r="AD75" i="4" s="1"/>
  <c r="AF75" i="4" s="1"/>
  <c r="AG75" i="4" s="1"/>
  <c r="AH75" i="4" s="1"/>
  <c r="AI75" i="4" s="1"/>
  <c r="AB85" i="4"/>
  <c r="AC85" i="4" s="1"/>
  <c r="AD85" i="4" s="1"/>
  <c r="AF85" i="4" s="1"/>
  <c r="AG85" i="4" s="1"/>
  <c r="AH85" i="4" s="1"/>
  <c r="AI85" i="4" s="1"/>
  <c r="AB139" i="4"/>
  <c r="AC139" i="4" s="1"/>
  <c r="AD139" i="4" s="1"/>
  <c r="AF139" i="4" s="1"/>
  <c r="AG139" i="4" s="1"/>
  <c r="AH139" i="4" s="1"/>
  <c r="AI139" i="4" s="1"/>
  <c r="AB70" i="4"/>
  <c r="AC70" i="4" s="1"/>
  <c r="AD70" i="4" s="1"/>
  <c r="AF70" i="4" s="1"/>
  <c r="AG70" i="4" s="1"/>
  <c r="AH70" i="4" s="1"/>
  <c r="AI70" i="4" s="1"/>
  <c r="AB64" i="4"/>
  <c r="AC64" i="4" s="1"/>
  <c r="AD64" i="4" s="1"/>
  <c r="AF64" i="4" s="1"/>
  <c r="AG64" i="4" s="1"/>
  <c r="AH64" i="4" s="1"/>
  <c r="AI64" i="4" s="1"/>
  <c r="AB126" i="4"/>
  <c r="AC126" i="4" s="1"/>
  <c r="AD126" i="4" s="1"/>
  <c r="AF126" i="4" s="1"/>
  <c r="AG126" i="4" s="1"/>
  <c r="AH126" i="4" s="1"/>
  <c r="AI126" i="4" s="1"/>
  <c r="AB12" i="4"/>
  <c r="AC12" i="4" s="1"/>
  <c r="AD12" i="4" s="1"/>
  <c r="AF12" i="4" s="1"/>
  <c r="AG12" i="4" s="1"/>
  <c r="AH12" i="4" s="1"/>
  <c r="AI12" i="4" s="1"/>
  <c r="AB21" i="4"/>
  <c r="AC21" i="4" s="1"/>
  <c r="AD21" i="4" s="1"/>
  <c r="AF21" i="4" s="1"/>
  <c r="AG21" i="4" s="1"/>
  <c r="AH21" i="4" s="1"/>
  <c r="AI21" i="4" s="1"/>
  <c r="AB28" i="4"/>
  <c r="AC28" i="4" s="1"/>
  <c r="AB52" i="4"/>
  <c r="AC52" i="4" s="1"/>
  <c r="AD52" i="4" s="1"/>
  <c r="AF52" i="4" s="1"/>
  <c r="AG52" i="4" s="1"/>
  <c r="AH52" i="4" s="1"/>
  <c r="AI52" i="4" s="1"/>
  <c r="AB69" i="4"/>
  <c r="AC69" i="4" s="1"/>
  <c r="AD69" i="4" s="1"/>
  <c r="AF69" i="4" s="1"/>
  <c r="AG69" i="4" s="1"/>
  <c r="AH69" i="4" s="1"/>
  <c r="AI69" i="4" s="1"/>
  <c r="AB11" i="4"/>
  <c r="AC11" i="4" s="1"/>
  <c r="AD11" i="4" s="1"/>
  <c r="AF11" i="4" s="1"/>
  <c r="AG11" i="4" s="1"/>
  <c r="AH11" i="4" s="1"/>
  <c r="AI11" i="4" s="1"/>
  <c r="AB35" i="4"/>
  <c r="AC35" i="4" s="1"/>
  <c r="AD35" i="4" s="1"/>
  <c r="AF35" i="4" s="1"/>
  <c r="AG35" i="4" s="1"/>
  <c r="AH35" i="4" s="1"/>
  <c r="AI35" i="4" s="1"/>
  <c r="AB8" i="4"/>
  <c r="AC8" i="4" s="1"/>
  <c r="AD8" i="4" s="1"/>
  <c r="AF8" i="4" s="1"/>
  <c r="AG8" i="4" s="1"/>
  <c r="AH8" i="4" s="1"/>
  <c r="AI8" i="4" s="1"/>
  <c r="AB171" i="4"/>
  <c r="AC171" i="4" s="1"/>
  <c r="AD171" i="4" s="1"/>
  <c r="AF171" i="4" s="1"/>
  <c r="AG171" i="4" s="1"/>
  <c r="AH171" i="4" s="1"/>
  <c r="AI171" i="4" s="1"/>
  <c r="AB39" i="4"/>
  <c r="AC39" i="4" s="1"/>
  <c r="AD39" i="4" s="1"/>
  <c r="AF39" i="4" s="1"/>
  <c r="AG39" i="4" s="1"/>
  <c r="AH39" i="4" s="1"/>
  <c r="AI39" i="4" s="1"/>
  <c r="AB53" i="4"/>
  <c r="AC53" i="4" s="1"/>
  <c r="AD53" i="4" s="1"/>
  <c r="AF53" i="4" s="1"/>
  <c r="AG53" i="4" s="1"/>
  <c r="AH53" i="4" s="1"/>
  <c r="AI53" i="4" s="1"/>
  <c r="AB133" i="4"/>
  <c r="AC133" i="4" s="1"/>
  <c r="AD133" i="4" s="1"/>
  <c r="AF133" i="4" s="1"/>
  <c r="AG133" i="4" s="1"/>
  <c r="AH133" i="4" s="1"/>
  <c r="AI133" i="4" s="1"/>
  <c r="AB16" i="4"/>
  <c r="AC16" i="4" s="1"/>
  <c r="AD16" i="4" s="1"/>
  <c r="AF16" i="4" s="1"/>
  <c r="AG16" i="4" s="1"/>
  <c r="AH16" i="4" s="1"/>
  <c r="AI16" i="4" s="1"/>
  <c r="AB107" i="4"/>
  <c r="AC107" i="4" s="1"/>
  <c r="AD107" i="4" s="1"/>
  <c r="AF107" i="4" s="1"/>
  <c r="AG107" i="4" s="1"/>
  <c r="AH107" i="4" s="1"/>
  <c r="AI107" i="4" s="1"/>
  <c r="AB130" i="4"/>
  <c r="AC130" i="4" s="1"/>
  <c r="AD130" i="4" s="1"/>
  <c r="AF130" i="4" s="1"/>
  <c r="AG130" i="4" s="1"/>
  <c r="AH130" i="4" s="1"/>
  <c r="AI130" i="4" s="1"/>
  <c r="AB32" i="4"/>
  <c r="AC32" i="4" s="1"/>
  <c r="AB76" i="4"/>
  <c r="AC76" i="4" s="1"/>
  <c r="AD76" i="4" s="1"/>
  <c r="AF76" i="4" s="1"/>
  <c r="AG76" i="4" s="1"/>
  <c r="AH76" i="4" s="1"/>
  <c r="AI76" i="4" s="1"/>
  <c r="AB84" i="4"/>
  <c r="AC84" i="4" s="1"/>
  <c r="AD84" i="4" s="1"/>
  <c r="AF84" i="4" s="1"/>
  <c r="AG84" i="4" s="1"/>
  <c r="AH84" i="4" s="1"/>
  <c r="AI84" i="4" s="1"/>
  <c r="AB108" i="4"/>
  <c r="AC108" i="4" s="1"/>
  <c r="AB172" i="4"/>
  <c r="AC172" i="4" s="1"/>
  <c r="AD172" i="4" s="1"/>
  <c r="AF172" i="4" s="1"/>
  <c r="AG172" i="4" s="1"/>
  <c r="AH172" i="4" s="1"/>
  <c r="AI172" i="4" s="1"/>
  <c r="AB206" i="4"/>
  <c r="AC206" i="4" s="1"/>
  <c r="AD206" i="4" s="1"/>
  <c r="AF206" i="4" s="1"/>
  <c r="AG206" i="4" s="1"/>
  <c r="AH206" i="4" s="1"/>
  <c r="AI206" i="4" s="1"/>
  <c r="AB200" i="4"/>
  <c r="AC200" i="4" s="1"/>
  <c r="AD200" i="4" s="1"/>
  <c r="AF200" i="4" s="1"/>
  <c r="AG200" i="4" s="1"/>
  <c r="AH200" i="4" s="1"/>
  <c r="AI200" i="4" s="1"/>
  <c r="AB91" i="4"/>
  <c r="AC91" i="4" s="1"/>
  <c r="AD91" i="4" s="1"/>
  <c r="AF91" i="4" s="1"/>
  <c r="AG91" i="4" s="1"/>
  <c r="AH91" i="4" s="1"/>
  <c r="AI91" i="4" s="1"/>
  <c r="AB104" i="4"/>
  <c r="AC104" i="4" s="1"/>
  <c r="AD104" i="4" s="1"/>
  <c r="AF104" i="4" s="1"/>
  <c r="AG104" i="4" s="1"/>
  <c r="AH104" i="4" s="1"/>
  <c r="AI104" i="4" s="1"/>
  <c r="AB140" i="4"/>
  <c r="AC140" i="4" s="1"/>
  <c r="AD140" i="4" s="1"/>
  <c r="AF140" i="4" s="1"/>
  <c r="AG140" i="4" s="1"/>
  <c r="AH140" i="4" s="1"/>
  <c r="AI140" i="4" s="1"/>
  <c r="AB149" i="4"/>
  <c r="AC149" i="4" s="1"/>
  <c r="AD149" i="4" s="1"/>
  <c r="AF149" i="4" s="1"/>
  <c r="AG149" i="4" s="1"/>
  <c r="AH149" i="4" s="1"/>
  <c r="AI149" i="4" s="1"/>
  <c r="AB90" i="4"/>
  <c r="AC90" i="4" s="1"/>
  <c r="AD90" i="4" s="1"/>
  <c r="AF90" i="4" s="1"/>
  <c r="AG90" i="4" s="1"/>
  <c r="AB227" i="4"/>
  <c r="AC227" i="4" s="1"/>
  <c r="AD227" i="4" s="1"/>
  <c r="AF227" i="4" s="1"/>
  <c r="AG227" i="4" s="1"/>
  <c r="AH227" i="4" s="1"/>
  <c r="AI227" i="4" s="1"/>
  <c r="AB82" i="4"/>
  <c r="AC82" i="4" s="1"/>
  <c r="AD82" i="4" s="1"/>
  <c r="AF82" i="4" s="1"/>
  <c r="AG82" i="4" s="1"/>
  <c r="AH82" i="4" s="1"/>
  <c r="AI82" i="4" s="1"/>
  <c r="AB178" i="4"/>
  <c r="AC178" i="4" s="1"/>
  <c r="AB220" i="4"/>
  <c r="AC220" i="4" s="1"/>
  <c r="AD220" i="4" s="1"/>
  <c r="AF220" i="4" s="1"/>
  <c r="AG220" i="4" s="1"/>
  <c r="AB258" i="4"/>
  <c r="AC258" i="4" s="1"/>
  <c r="AD258" i="4" s="1"/>
  <c r="AF258" i="4" s="1"/>
  <c r="AG258" i="4" s="1"/>
  <c r="AH258" i="4" s="1"/>
  <c r="AI258" i="4" s="1"/>
  <c r="AB280" i="4"/>
  <c r="AC280" i="4" s="1"/>
  <c r="AD280" i="4" s="1"/>
  <c r="AF280" i="4" s="1"/>
  <c r="AG280" i="4" s="1"/>
  <c r="AH280" i="4" s="1"/>
  <c r="AI280" i="4" s="1"/>
  <c r="AB251" i="4"/>
  <c r="AC251" i="4" s="1"/>
  <c r="AD251" i="4" s="1"/>
  <c r="AF251" i="4" s="1"/>
  <c r="AG251" i="4" s="1"/>
  <c r="AH251" i="4" s="1"/>
  <c r="AI251" i="4" s="1"/>
  <c r="AB279" i="4"/>
  <c r="AC279" i="4" s="1"/>
  <c r="AD279" i="4" s="1"/>
  <c r="AF279" i="4" s="1"/>
  <c r="AG279" i="4" s="1"/>
  <c r="AH279" i="4" s="1"/>
  <c r="AI279" i="4" s="1"/>
  <c r="AB203" i="4"/>
  <c r="AC203" i="4" s="1"/>
  <c r="AD203" i="4" s="1"/>
  <c r="AF203" i="4" s="1"/>
  <c r="AG203" i="4" s="1"/>
  <c r="AH203" i="4" s="1"/>
  <c r="AI203" i="4" s="1"/>
  <c r="AB208" i="4"/>
  <c r="AC208" i="4" s="1"/>
  <c r="AD208" i="4" s="1"/>
  <c r="AF208" i="4" s="1"/>
  <c r="AG208" i="4" s="1"/>
  <c r="AH208" i="4" s="1"/>
  <c r="AI208" i="4" s="1"/>
  <c r="AB267" i="4"/>
  <c r="AC267" i="4" s="1"/>
  <c r="AD267" i="4" s="1"/>
  <c r="AF267" i="4" s="1"/>
  <c r="AG267" i="4" s="1"/>
  <c r="AB160" i="4"/>
  <c r="AC160" i="4" s="1"/>
  <c r="AB183" i="4"/>
  <c r="AC183" i="4" s="1"/>
  <c r="AD183" i="4" s="1"/>
  <c r="AF183" i="4" s="1"/>
  <c r="AG183" i="4" s="1"/>
  <c r="AH183" i="4" s="1"/>
  <c r="AI183" i="4" s="1"/>
  <c r="AB189" i="4"/>
  <c r="AC189" i="4" s="1"/>
  <c r="AD189" i="4" s="1"/>
  <c r="AF189" i="4" s="1"/>
  <c r="AG189" i="4" s="1"/>
  <c r="AH189" i="4" s="1"/>
  <c r="AI189" i="4" s="1"/>
  <c r="AB197" i="4"/>
  <c r="AC197" i="4" s="1"/>
  <c r="AD197" i="4" s="1"/>
  <c r="AF197" i="4" s="1"/>
  <c r="AG197" i="4" s="1"/>
  <c r="AH197" i="4" s="1"/>
  <c r="AI197" i="4" s="1"/>
  <c r="AB201" i="4"/>
  <c r="AC201" i="4" s="1"/>
  <c r="AD201" i="4" s="1"/>
  <c r="AF201" i="4" s="1"/>
  <c r="AG201" i="4" s="1"/>
  <c r="AB169" i="4"/>
  <c r="AC169" i="4" s="1"/>
  <c r="AD169" i="4" s="1"/>
  <c r="AF169" i="4" s="1"/>
  <c r="AG169" i="4" s="1"/>
  <c r="AH169" i="4" s="1"/>
  <c r="AI169" i="4" s="1"/>
  <c r="AB202" i="4"/>
  <c r="AC202" i="4" s="1"/>
  <c r="AD202" i="4" s="1"/>
  <c r="AF202" i="4" s="1"/>
  <c r="AG202" i="4" s="1"/>
  <c r="AH202" i="4" s="1"/>
  <c r="AI202" i="4" s="1"/>
  <c r="AB214" i="4"/>
  <c r="AC214" i="4" s="1"/>
  <c r="AD214" i="4" s="1"/>
  <c r="AF214" i="4" s="1"/>
  <c r="AG214" i="4" s="1"/>
  <c r="AH214" i="4" s="1"/>
  <c r="AI214" i="4" s="1"/>
  <c r="AB261" i="4"/>
  <c r="AC261" i="4" s="1"/>
  <c r="AD261" i="4" s="1"/>
  <c r="AF261" i="4" s="1"/>
  <c r="AG261" i="4" s="1"/>
  <c r="AH261" i="4" s="1"/>
  <c r="AI261" i="4" s="1"/>
  <c r="AB250" i="4"/>
  <c r="AC250" i="4" s="1"/>
  <c r="AD250" i="4" s="1"/>
  <c r="AF250" i="4" s="1"/>
  <c r="AG250" i="4" s="1"/>
  <c r="AH250" i="4" s="1"/>
  <c r="AI250" i="4" s="1"/>
  <c r="AB264" i="4"/>
  <c r="AC264" i="4" s="1"/>
  <c r="AD264" i="4" s="1"/>
  <c r="AF264" i="4" s="1"/>
  <c r="AG264" i="4" s="1"/>
  <c r="AH264" i="4" s="1"/>
  <c r="AI264" i="4" s="1"/>
  <c r="AB347" i="4"/>
  <c r="AC347" i="4" s="1"/>
  <c r="AD347" i="4" s="1"/>
  <c r="AF347" i="4" s="1"/>
  <c r="AG347" i="4" s="1"/>
  <c r="AH347" i="4" s="1"/>
  <c r="AI347" i="4" s="1"/>
  <c r="AB299" i="4"/>
  <c r="AC299" i="4" s="1"/>
  <c r="AD299" i="4" s="1"/>
  <c r="AF299" i="4" s="1"/>
  <c r="AG299" i="4" s="1"/>
  <c r="AH299" i="4" s="1"/>
  <c r="AI299" i="4" s="1"/>
  <c r="AB296" i="4"/>
  <c r="AC296" i="4" s="1"/>
  <c r="AD296" i="4" s="1"/>
  <c r="AF296" i="4" s="1"/>
  <c r="AG296" i="4" s="1"/>
  <c r="AH296" i="4" s="1"/>
  <c r="AI296" i="4" s="1"/>
  <c r="AB218" i="4"/>
  <c r="AC218" i="4" s="1"/>
  <c r="AD218" i="4" s="1"/>
  <c r="AF218" i="4" s="1"/>
  <c r="AG218" i="4" s="1"/>
  <c r="AH218" i="4" s="1"/>
  <c r="AI218" i="4" s="1"/>
  <c r="AB255" i="4"/>
  <c r="AC255" i="4" s="1"/>
  <c r="AD255" i="4" s="1"/>
  <c r="AF255" i="4" s="1"/>
  <c r="AG255" i="4" s="1"/>
  <c r="AH255" i="4" s="1"/>
  <c r="AI255" i="4" s="1"/>
  <c r="AB240" i="4"/>
  <c r="AC240" i="4" s="1"/>
  <c r="AD240" i="4" s="1"/>
  <c r="AF240" i="4" s="1"/>
  <c r="AG240" i="4" s="1"/>
  <c r="AH240" i="4" s="1"/>
  <c r="AI240" i="4" s="1"/>
  <c r="AB263" i="4"/>
  <c r="AC263" i="4" s="1"/>
  <c r="AD263" i="4" s="1"/>
  <c r="AF263" i="4" s="1"/>
  <c r="AG263" i="4" s="1"/>
  <c r="AH263" i="4" s="1"/>
  <c r="AI263" i="4" s="1"/>
  <c r="AB284" i="4"/>
  <c r="AC284" i="4" s="1"/>
  <c r="AD284" i="4" s="1"/>
  <c r="AF284" i="4" s="1"/>
  <c r="AG284" i="4" s="1"/>
  <c r="AH284" i="4" s="1"/>
  <c r="AI284" i="4" s="1"/>
  <c r="AB287" i="4"/>
  <c r="AC287" i="4" s="1"/>
  <c r="AD287" i="4" s="1"/>
  <c r="AF287" i="4" s="1"/>
  <c r="AG287" i="4" s="1"/>
  <c r="AH287" i="4" s="1"/>
  <c r="AI287" i="4" s="1"/>
  <c r="AB336" i="4"/>
  <c r="AC336" i="4" s="1"/>
  <c r="AD336" i="4" s="1"/>
  <c r="AF336" i="4" s="1"/>
  <c r="AG336" i="4" s="1"/>
  <c r="AB349" i="4"/>
  <c r="AC349" i="4" s="1"/>
  <c r="AD349" i="4" s="1"/>
  <c r="AF349" i="4" s="1"/>
  <c r="AG349" i="4" s="1"/>
  <c r="AH349" i="4" s="1"/>
  <c r="AI349" i="4" s="1"/>
  <c r="AB224" i="4"/>
  <c r="AC224" i="4" s="1"/>
  <c r="AD224" i="4" s="1"/>
  <c r="AF224" i="4" s="1"/>
  <c r="AG224" i="4" s="1"/>
  <c r="AH224" i="4" s="1"/>
  <c r="AI224" i="4" s="1"/>
  <c r="AB381" i="4"/>
  <c r="AC381" i="4" s="1"/>
  <c r="AD381" i="4" s="1"/>
  <c r="AF381" i="4" s="1"/>
  <c r="AG381" i="4" s="1"/>
  <c r="AH381" i="4" s="1"/>
  <c r="AI381" i="4" s="1"/>
  <c r="AB366" i="4"/>
  <c r="AC366" i="4" s="1"/>
  <c r="AD366" i="4" s="1"/>
  <c r="AF366" i="4" s="1"/>
  <c r="AG366" i="4" s="1"/>
  <c r="AH366" i="4" s="1"/>
  <c r="AI366" i="4" s="1"/>
  <c r="AB312" i="4"/>
  <c r="AC312" i="4" s="1"/>
  <c r="AD312" i="4" s="1"/>
  <c r="AF312" i="4" s="1"/>
  <c r="AG312" i="4" s="1"/>
  <c r="AB357" i="4"/>
  <c r="AC357" i="4" s="1"/>
  <c r="AD357" i="4" s="1"/>
  <c r="AF357" i="4" s="1"/>
  <c r="AG357" i="4" s="1"/>
  <c r="AH357" i="4" s="1"/>
  <c r="AI357" i="4" s="1"/>
  <c r="AB377" i="4"/>
  <c r="AC377" i="4" s="1"/>
  <c r="AD377" i="4" s="1"/>
  <c r="AF377" i="4" s="1"/>
  <c r="AG377" i="4" s="1"/>
  <c r="AH377" i="4" s="1"/>
  <c r="AI377" i="4" s="1"/>
  <c r="AB416" i="4"/>
  <c r="AC416" i="4" s="1"/>
  <c r="AD416" i="4" s="1"/>
  <c r="AF416" i="4" s="1"/>
  <c r="AG416" i="4" s="1"/>
  <c r="AH416" i="4" s="1"/>
  <c r="AI416" i="4" s="1"/>
  <c r="AB411" i="4"/>
  <c r="AC411" i="4" s="1"/>
  <c r="AD411" i="4" s="1"/>
  <c r="AF411" i="4" s="1"/>
  <c r="AG411" i="4" s="1"/>
  <c r="AB343" i="4"/>
  <c r="AC343" i="4" s="1"/>
  <c r="AD343" i="4" s="1"/>
  <c r="AF343" i="4" s="1"/>
  <c r="AG343" i="4" s="1"/>
  <c r="AH343" i="4" s="1"/>
  <c r="AI343" i="4" s="1"/>
  <c r="AB414" i="4"/>
  <c r="AC414" i="4" s="1"/>
  <c r="AD414" i="4" s="1"/>
  <c r="AF414" i="4" s="1"/>
  <c r="AG414" i="4" s="1"/>
  <c r="AH414" i="4" s="1"/>
  <c r="AI414" i="4" s="1"/>
  <c r="AB351" i="4"/>
  <c r="AC351" i="4" s="1"/>
  <c r="AD351" i="4" s="1"/>
  <c r="AF351" i="4" s="1"/>
  <c r="AG351" i="4" s="1"/>
  <c r="AB30" i="4"/>
  <c r="AC30" i="4" s="1"/>
  <c r="AD30" i="4" s="1"/>
  <c r="AF30" i="4" s="1"/>
  <c r="AG30" i="4" s="1"/>
  <c r="AH30" i="4" s="1"/>
  <c r="AI30" i="4" s="1"/>
  <c r="AB56" i="4"/>
  <c r="AC56" i="4" s="1"/>
  <c r="AD56" i="4" s="1"/>
  <c r="AF56" i="4" s="1"/>
  <c r="AG56" i="4" s="1"/>
  <c r="AH56" i="4" s="1"/>
  <c r="AI56" i="4" s="1"/>
  <c r="AB15" i="4"/>
  <c r="AC15" i="4" s="1"/>
  <c r="AD15" i="4" s="1"/>
  <c r="AF15" i="4" s="1"/>
  <c r="AG15" i="4" s="1"/>
  <c r="AB43" i="4"/>
  <c r="AC43" i="4" s="1"/>
  <c r="AD43" i="4" s="1"/>
  <c r="AF43" i="4" s="1"/>
  <c r="AG43" i="4" s="1"/>
  <c r="AH43" i="4" s="1"/>
  <c r="AI43" i="4" s="1"/>
  <c r="AB144" i="4"/>
  <c r="AC144" i="4" s="1"/>
  <c r="AD144" i="4" s="1"/>
  <c r="AF144" i="4" s="1"/>
  <c r="AG144" i="4" s="1"/>
  <c r="AH144" i="4" s="1"/>
  <c r="AI144" i="4" s="1"/>
  <c r="AB19" i="4"/>
  <c r="AC19" i="4" s="1"/>
  <c r="AD19" i="4" s="1"/>
  <c r="AF19" i="4" s="1"/>
  <c r="AG19" i="4" s="1"/>
  <c r="AH19" i="4" s="1"/>
  <c r="AI19" i="4" s="1"/>
  <c r="AB22" i="4"/>
  <c r="AC22" i="4" s="1"/>
  <c r="AD22" i="4" s="1"/>
  <c r="AF22" i="4" s="1"/>
  <c r="AG22" i="4" s="1"/>
  <c r="AH22" i="4" s="1"/>
  <c r="AI22" i="4" s="1"/>
  <c r="AB45" i="4"/>
  <c r="AC45" i="4" s="1"/>
  <c r="AD45" i="4" s="1"/>
  <c r="AF45" i="4" s="1"/>
  <c r="AG45" i="4" s="1"/>
  <c r="AH45" i="4" s="1"/>
  <c r="AI45" i="4" s="1"/>
  <c r="AB116" i="4"/>
  <c r="AC116" i="4" s="1"/>
  <c r="AB88" i="4"/>
  <c r="AC88" i="4" s="1"/>
  <c r="AD88" i="4" s="1"/>
  <c r="AF88" i="4" s="1"/>
  <c r="AG88" i="4" s="1"/>
  <c r="AH88" i="4" s="1"/>
  <c r="AI88" i="4" s="1"/>
  <c r="AB122" i="4"/>
  <c r="AC122" i="4" s="1"/>
  <c r="AD122" i="4" s="1"/>
  <c r="AF122" i="4" s="1"/>
  <c r="AG122" i="4" s="1"/>
  <c r="AH122" i="4" s="1"/>
  <c r="AI122" i="4" s="1"/>
  <c r="AB188" i="4"/>
  <c r="AC188" i="4" s="1"/>
  <c r="AB228" i="4"/>
  <c r="AC228" i="4" s="1"/>
  <c r="AD228" i="4" s="1"/>
  <c r="AF228" i="4" s="1"/>
  <c r="AG228" i="4" s="1"/>
  <c r="AH228" i="4" s="1"/>
  <c r="AI228" i="4" s="1"/>
  <c r="AB167" i="4"/>
  <c r="AC167" i="4" s="1"/>
  <c r="AD167" i="4" s="1"/>
  <c r="AF167" i="4" s="1"/>
  <c r="AG167" i="4" s="1"/>
  <c r="AH167" i="4" s="1"/>
  <c r="AI167" i="4" s="1"/>
  <c r="AB266" i="4"/>
  <c r="AC266" i="4" s="1"/>
  <c r="AD266" i="4" s="1"/>
  <c r="AF266" i="4" s="1"/>
  <c r="AG266" i="4" s="1"/>
  <c r="AH266" i="4" s="1"/>
  <c r="AI266" i="4" s="1"/>
  <c r="AB259" i="4"/>
  <c r="AC259" i="4" s="1"/>
  <c r="AD259" i="4" s="1"/>
  <c r="AF259" i="4" s="1"/>
  <c r="AG259" i="4" s="1"/>
  <c r="AH259" i="4" s="1"/>
  <c r="AI259" i="4" s="1"/>
  <c r="AB278" i="4"/>
  <c r="AC278" i="4" s="1"/>
  <c r="AD278" i="4" s="1"/>
  <c r="AF278" i="4" s="1"/>
  <c r="AG278" i="4" s="1"/>
  <c r="AH278" i="4" s="1"/>
  <c r="AI278" i="4" s="1"/>
  <c r="AB281" i="4"/>
  <c r="AC281" i="4" s="1"/>
  <c r="AD281" i="4" s="1"/>
  <c r="AF281" i="4" s="1"/>
  <c r="AG281" i="4" s="1"/>
  <c r="AH281" i="4" s="1"/>
  <c r="AI281" i="4" s="1"/>
  <c r="AB274" i="4"/>
  <c r="AC274" i="4" s="1"/>
  <c r="AD274" i="4" s="1"/>
  <c r="AF274" i="4" s="1"/>
  <c r="AG274" i="4" s="1"/>
  <c r="AB174" i="4"/>
  <c r="AC174" i="4" s="1"/>
  <c r="AD174" i="4" s="1"/>
  <c r="AF174" i="4" s="1"/>
  <c r="AG174" i="4" s="1"/>
  <c r="AB181" i="4"/>
  <c r="AC181" i="4" s="1"/>
  <c r="AD181" i="4" s="1"/>
  <c r="AF181" i="4" s="1"/>
  <c r="AG181" i="4" s="1"/>
  <c r="AH181" i="4" s="1"/>
  <c r="AI181" i="4" s="1"/>
  <c r="AB289" i="4"/>
  <c r="AC289" i="4" s="1"/>
  <c r="AD289" i="4" s="1"/>
  <c r="AF289" i="4" s="1"/>
  <c r="AG289" i="4" s="1"/>
  <c r="AH289" i="4" s="1"/>
  <c r="AI289" i="4" s="1"/>
  <c r="AB293" i="4"/>
  <c r="AC293" i="4" s="1"/>
  <c r="AD293" i="4" s="1"/>
  <c r="AF293" i="4" s="1"/>
  <c r="AG293" i="4" s="1"/>
  <c r="AH293" i="4" s="1"/>
  <c r="AI293" i="4" s="1"/>
  <c r="AB311" i="4"/>
  <c r="AC311" i="4" s="1"/>
  <c r="AD311" i="4" s="1"/>
  <c r="AF311" i="4" s="1"/>
  <c r="AG311" i="4" s="1"/>
  <c r="AH311" i="4" s="1"/>
  <c r="AI311" i="4" s="1"/>
  <c r="AB317" i="4"/>
  <c r="AC317" i="4" s="1"/>
  <c r="AB237" i="4"/>
  <c r="AC237" i="4" s="1"/>
  <c r="AD237" i="4" s="1"/>
  <c r="AF237" i="4" s="1"/>
  <c r="AG237" i="4" s="1"/>
  <c r="AH237" i="4" s="1"/>
  <c r="AI237" i="4" s="1"/>
  <c r="AB262" i="4"/>
  <c r="AC262" i="4" s="1"/>
  <c r="AD262" i="4" s="1"/>
  <c r="AF262" i="4" s="1"/>
  <c r="AG262" i="4" s="1"/>
  <c r="AH262" i="4" s="1"/>
  <c r="AI262" i="4" s="1"/>
  <c r="AB277" i="4"/>
  <c r="AC277" i="4" s="1"/>
  <c r="AD277" i="4" s="1"/>
  <c r="AF277" i="4" s="1"/>
  <c r="AG277" i="4" s="1"/>
  <c r="AB364" i="4"/>
  <c r="AC364" i="4" s="1"/>
  <c r="AD364" i="4" s="1"/>
  <c r="AF364" i="4" s="1"/>
  <c r="AG364" i="4" s="1"/>
  <c r="AH364" i="4" s="1"/>
  <c r="AI364" i="4" s="1"/>
  <c r="AB290" i="4"/>
  <c r="AC290" i="4" s="1"/>
  <c r="AD290" i="4" s="1"/>
  <c r="AF290" i="4" s="1"/>
  <c r="AG290" i="4" s="1"/>
  <c r="AH290" i="4" s="1"/>
  <c r="AI290" i="4" s="1"/>
  <c r="AB473" i="4"/>
  <c r="AC473" i="4" s="1"/>
  <c r="AB50" i="4"/>
  <c r="AC50" i="4" s="1"/>
  <c r="AD50" i="4" s="1"/>
  <c r="AF50" i="4" s="1"/>
  <c r="AG50" i="4" s="1"/>
  <c r="AB67" i="4"/>
  <c r="AC67" i="4" s="1"/>
  <c r="AD67" i="4" s="1"/>
  <c r="AF67" i="4" s="1"/>
  <c r="AG67" i="4" s="1"/>
  <c r="AH67" i="4" s="1"/>
  <c r="AI67" i="4" s="1"/>
  <c r="AB127" i="4"/>
  <c r="AC127" i="4" s="1"/>
  <c r="AD127" i="4" s="1"/>
  <c r="AF127" i="4" s="1"/>
  <c r="AG127" i="4" s="1"/>
  <c r="AH127" i="4" s="1"/>
  <c r="AI127" i="4" s="1"/>
  <c r="AB72" i="4"/>
  <c r="AC72" i="4" s="1"/>
  <c r="AD72" i="4" s="1"/>
  <c r="AF72" i="4" s="1"/>
  <c r="AG72" i="4" s="1"/>
  <c r="AH72" i="4" s="1"/>
  <c r="AI72" i="4" s="1"/>
  <c r="AB31" i="4"/>
  <c r="AC31" i="4" s="1"/>
  <c r="AD31" i="4" s="1"/>
  <c r="AF31" i="4" s="1"/>
  <c r="AG31" i="4" s="1"/>
  <c r="AB44" i="4"/>
  <c r="AC44" i="4" s="1"/>
  <c r="AD44" i="4" s="1"/>
  <c r="AF44" i="4" s="1"/>
  <c r="AG44" i="4" s="1"/>
  <c r="AH44" i="4" s="1"/>
  <c r="AI44" i="4" s="1"/>
  <c r="AB125" i="4"/>
  <c r="AC125" i="4" s="1"/>
  <c r="AD125" i="4" s="1"/>
  <c r="AF125" i="4" s="1"/>
  <c r="AG125" i="4" s="1"/>
  <c r="AH125" i="4" s="1"/>
  <c r="AI125" i="4" s="1"/>
  <c r="AB14" i="4"/>
  <c r="AC14" i="4" s="1"/>
  <c r="AD14" i="4" s="1"/>
  <c r="AF14" i="4" s="1"/>
  <c r="AG14" i="4" s="1"/>
  <c r="AH14" i="4" s="1"/>
  <c r="AI14" i="4" s="1"/>
  <c r="AB40" i="4"/>
  <c r="AC40" i="4" s="1"/>
  <c r="AD40" i="4" s="1"/>
  <c r="AF40" i="4" s="1"/>
  <c r="AG40" i="4" s="1"/>
  <c r="AH40" i="4" s="1"/>
  <c r="AI40" i="4" s="1"/>
  <c r="AB59" i="4"/>
  <c r="AC59" i="4" s="1"/>
  <c r="AD59" i="4" s="1"/>
  <c r="AF59" i="4" s="1"/>
  <c r="AG59" i="4" s="1"/>
  <c r="AH59" i="4" s="1"/>
  <c r="AI59" i="4" s="1"/>
  <c r="AB23" i="4"/>
  <c r="AC23" i="4" s="1"/>
  <c r="AD23" i="4" s="1"/>
  <c r="AF23" i="4" s="1"/>
  <c r="AG23" i="4" s="1"/>
  <c r="AH23" i="4" s="1"/>
  <c r="AI23" i="4" s="1"/>
  <c r="AB54" i="4"/>
  <c r="AC54" i="4" s="1"/>
  <c r="AD54" i="4" s="1"/>
  <c r="AF54" i="4" s="1"/>
  <c r="AG54" i="4" s="1"/>
  <c r="AH54" i="4" s="1"/>
  <c r="AI54" i="4" s="1"/>
  <c r="AB61" i="4"/>
  <c r="AC61" i="4" s="1"/>
  <c r="AD61" i="4" s="1"/>
  <c r="AF61" i="4" s="1"/>
  <c r="AG61" i="4" s="1"/>
  <c r="AH61" i="4" s="1"/>
  <c r="AI61" i="4" s="1"/>
  <c r="AB71" i="4"/>
  <c r="AC71" i="4" s="1"/>
  <c r="AD71" i="4" s="1"/>
  <c r="AF71" i="4" s="1"/>
  <c r="AG71" i="4" s="1"/>
  <c r="AH71" i="4" s="1"/>
  <c r="AI71" i="4" s="1"/>
  <c r="AB81" i="4"/>
  <c r="AC81" i="4" s="1"/>
  <c r="AD81" i="4" s="1"/>
  <c r="AF81" i="4" s="1"/>
  <c r="AG81" i="4" s="1"/>
  <c r="AB195" i="4"/>
  <c r="AC195" i="4" s="1"/>
  <c r="AD195" i="4" s="1"/>
  <c r="AF195" i="4" s="1"/>
  <c r="AG195" i="4" s="1"/>
  <c r="AH195" i="4" s="1"/>
  <c r="AI195" i="4" s="1"/>
  <c r="AB129" i="4"/>
  <c r="AC129" i="4" s="1"/>
  <c r="AD129" i="4" s="1"/>
  <c r="AF129" i="4" s="1"/>
  <c r="AG129" i="4" s="1"/>
  <c r="AH129" i="4" s="1"/>
  <c r="AI129" i="4" s="1"/>
  <c r="AB137" i="4"/>
  <c r="AC137" i="4" s="1"/>
  <c r="AD137" i="4" s="1"/>
  <c r="AF137" i="4" s="1"/>
  <c r="AG137" i="4" s="1"/>
  <c r="AH137" i="4" s="1"/>
  <c r="AI137" i="4" s="1"/>
  <c r="AB291" i="4"/>
  <c r="AC291" i="4" s="1"/>
  <c r="AD291" i="4" s="1"/>
  <c r="AF291" i="4" s="1"/>
  <c r="AG291" i="4" s="1"/>
  <c r="AB304" i="4"/>
  <c r="AC304" i="4" s="1"/>
  <c r="AD304" i="4" s="1"/>
  <c r="AF304" i="4" s="1"/>
  <c r="AG304" i="4" s="1"/>
  <c r="AH304" i="4" s="1"/>
  <c r="AI304" i="4" s="1"/>
  <c r="AB230" i="4"/>
  <c r="AC230" i="4" s="1"/>
  <c r="AD230" i="4" s="1"/>
  <c r="AF230" i="4" s="1"/>
  <c r="AG230" i="4" s="1"/>
  <c r="AH230" i="4" s="1"/>
  <c r="AI230" i="4" s="1"/>
  <c r="AB246" i="4"/>
  <c r="AC246" i="4" s="1"/>
  <c r="AD246" i="4" s="1"/>
  <c r="AF246" i="4" s="1"/>
  <c r="AG246" i="4" s="1"/>
  <c r="AH246" i="4" s="1"/>
  <c r="AI246" i="4" s="1"/>
  <c r="AB398" i="4"/>
  <c r="AC398" i="4" s="1"/>
  <c r="AD398" i="4" s="1"/>
  <c r="AF398" i="4" s="1"/>
  <c r="AG398" i="4" s="1"/>
  <c r="AH398" i="4" s="1"/>
  <c r="AI398" i="4" s="1"/>
  <c r="AB496" i="4"/>
  <c r="AC496" i="4" s="1"/>
  <c r="AD496" i="4" s="1"/>
  <c r="AF496" i="4" s="1"/>
  <c r="AG496" i="4" s="1"/>
  <c r="AH496" i="4" s="1"/>
  <c r="AI496" i="4" s="1"/>
  <c r="AB27" i="4"/>
  <c r="AC27" i="4" s="1"/>
  <c r="AD27" i="4" s="1"/>
  <c r="AF27" i="4" s="1"/>
  <c r="AG27" i="4" s="1"/>
  <c r="AH27" i="4" s="1"/>
  <c r="AI27" i="4" s="1"/>
  <c r="AB10" i="4"/>
  <c r="AC10" i="4" s="1"/>
  <c r="AD10" i="4" s="1"/>
  <c r="AF10" i="4" s="1"/>
  <c r="AG10" i="4" s="1"/>
  <c r="AH10" i="4" s="1"/>
  <c r="AI10" i="4" s="1"/>
  <c r="AB66" i="4"/>
  <c r="AC66" i="4" s="1"/>
  <c r="AD66" i="4" s="1"/>
  <c r="AF66" i="4" s="1"/>
  <c r="AG66" i="4" s="1"/>
  <c r="AH66" i="4" s="1"/>
  <c r="AI66" i="4" s="1"/>
  <c r="AB57" i="4"/>
  <c r="AC57" i="4" s="1"/>
  <c r="AD57" i="4" s="1"/>
  <c r="AF57" i="4" s="1"/>
  <c r="AG57" i="4" s="1"/>
  <c r="AH57" i="4" s="1"/>
  <c r="AI57" i="4" s="1"/>
  <c r="AD177" i="4"/>
  <c r="AF177" i="4" s="1"/>
  <c r="AG177" i="4" s="1"/>
  <c r="AH177" i="4" s="1"/>
  <c r="AI177" i="4" s="1"/>
  <c r="AD461" i="4"/>
  <c r="AF461" i="4" s="1"/>
  <c r="AG461" i="4" s="1"/>
  <c r="AH461" i="4" s="1"/>
  <c r="AI461" i="4" s="1"/>
  <c r="AB63" i="4"/>
  <c r="AC63" i="4" s="1"/>
  <c r="AB120" i="4"/>
  <c r="AC120" i="4" s="1"/>
  <c r="AB105" i="4"/>
  <c r="AC105" i="4" s="1"/>
  <c r="AB186" i="4"/>
  <c r="AC186" i="4" s="1"/>
  <c r="AB33" i="4"/>
  <c r="AC33" i="4" s="1"/>
  <c r="AB17" i="4"/>
  <c r="AC17" i="4" s="1"/>
  <c r="AB219" i="4"/>
  <c r="AC219" i="4" s="1"/>
  <c r="AB196" i="4"/>
  <c r="AC196" i="4" s="1"/>
  <c r="AB157" i="4"/>
  <c r="AC157" i="4" s="1"/>
  <c r="AB158" i="4"/>
  <c r="AC158" i="4" s="1"/>
  <c r="AD476" i="4"/>
  <c r="AF476" i="4" s="1"/>
  <c r="AG476" i="4" s="1"/>
  <c r="AH476" i="4" s="1"/>
  <c r="AI476" i="4" s="1"/>
  <c r="AD360" i="4"/>
  <c r="AF360" i="4" s="1"/>
  <c r="AG360" i="4" s="1"/>
  <c r="AH360" i="4" s="1"/>
  <c r="AI360" i="4" s="1"/>
  <c r="AB13" i="4"/>
  <c r="AC13" i="4" s="1"/>
  <c r="AB42" i="4"/>
  <c r="AC42" i="4" s="1"/>
  <c r="AB79" i="4"/>
  <c r="AC79" i="4" s="1"/>
  <c r="AB95" i="4"/>
  <c r="AC95" i="4" s="1"/>
  <c r="AB112" i="4"/>
  <c r="AC112" i="4" s="1"/>
  <c r="AB141" i="4"/>
  <c r="AC141" i="4" s="1"/>
  <c r="AB48" i="4"/>
  <c r="AC48" i="4" s="1"/>
  <c r="AB65" i="4"/>
  <c r="AC65" i="4" s="1"/>
  <c r="AB87" i="4"/>
  <c r="AC87" i="4" s="1"/>
  <c r="AB100" i="4"/>
  <c r="AC100" i="4" s="1"/>
  <c r="AB132" i="4"/>
  <c r="AC132" i="4" s="1"/>
  <c r="AB166" i="4"/>
  <c r="AC166" i="4" s="1"/>
  <c r="AB205" i="4"/>
  <c r="AC205" i="4" s="1"/>
  <c r="AB199" i="4"/>
  <c r="AC199" i="4" s="1"/>
  <c r="AB198" i="4"/>
  <c r="AC198" i="4" s="1"/>
  <c r="AB98" i="4"/>
  <c r="AC98" i="4" s="1"/>
  <c r="AB215" i="4"/>
  <c r="AC215" i="4" s="1"/>
  <c r="AB175" i="4"/>
  <c r="AC175" i="4" s="1"/>
  <c r="AB147" i="4"/>
  <c r="AC147" i="4" s="1"/>
  <c r="AB155" i="4"/>
  <c r="AC155" i="4" s="1"/>
  <c r="AB187" i="4"/>
  <c r="AC187" i="4" s="1"/>
  <c r="AB253" i="4"/>
  <c r="AC253" i="4" s="1"/>
  <c r="AB193" i="4"/>
  <c r="AC193" i="4" s="1"/>
  <c r="AB209" i="4"/>
  <c r="AC209" i="4" s="1"/>
  <c r="AB260" i="4"/>
  <c r="AC260" i="4" s="1"/>
  <c r="AB302" i="4"/>
  <c r="AC302" i="4" s="1"/>
  <c r="AB365" i="4"/>
  <c r="AC365" i="4" s="1"/>
  <c r="AB248" i="4"/>
  <c r="AC248" i="4" s="1"/>
  <c r="AB358" i="4"/>
  <c r="AC358" i="4" s="1"/>
  <c r="AB306" i="4"/>
  <c r="AC306" i="4" s="1"/>
  <c r="AB348" i="4"/>
  <c r="AC348" i="4" s="1"/>
  <c r="AB355" i="4"/>
  <c r="AC355" i="4" s="1"/>
  <c r="AB371" i="4"/>
  <c r="AC371" i="4" s="1"/>
  <c r="AB379" i="4"/>
  <c r="AC379" i="4" s="1"/>
  <c r="AB386" i="4"/>
  <c r="AC386" i="4" s="1"/>
  <c r="AB376" i="4"/>
  <c r="AC376" i="4" s="1"/>
  <c r="AB361" i="4"/>
  <c r="AC361" i="4" s="1"/>
  <c r="AB430" i="4"/>
  <c r="AC430" i="4" s="1"/>
  <c r="AB455" i="4"/>
  <c r="AC455" i="4" s="1"/>
  <c r="AB438" i="4"/>
  <c r="AC438" i="4" s="1"/>
  <c r="AB467" i="4"/>
  <c r="AC467" i="4" s="1"/>
  <c r="AB474" i="4"/>
  <c r="AC474" i="4" s="1"/>
  <c r="AB489" i="4"/>
  <c r="AC489" i="4" s="1"/>
  <c r="AB460" i="4"/>
  <c r="AC460" i="4" s="1"/>
  <c r="AB469" i="4"/>
  <c r="AC469" i="4" s="1"/>
  <c r="AB493" i="4"/>
  <c r="AC493" i="4" s="1"/>
  <c r="AB500" i="4"/>
  <c r="AC500" i="4" s="1"/>
  <c r="AB62" i="4"/>
  <c r="AC62" i="4" s="1"/>
  <c r="AB109" i="4"/>
  <c r="AC109" i="4" s="1"/>
  <c r="AB78" i="4"/>
  <c r="AC78" i="4" s="1"/>
  <c r="AB118" i="4"/>
  <c r="AC118" i="4" s="1"/>
  <c r="AB241" i="4"/>
  <c r="AC241" i="4" s="1"/>
  <c r="AB272" i="4"/>
  <c r="AC272" i="4" s="1"/>
  <c r="AB233" i="4"/>
  <c r="AC233" i="4" s="1"/>
  <c r="AB249" i="4"/>
  <c r="AC249" i="4" s="1"/>
  <c r="AB300" i="4"/>
  <c r="AC300" i="4" s="1"/>
  <c r="AB303" i="4"/>
  <c r="AC303" i="4" s="1"/>
  <c r="AB313" i="4"/>
  <c r="AC313" i="4" s="1"/>
  <c r="AB324" i="4"/>
  <c r="AC324" i="4" s="1"/>
  <c r="AB326" i="4"/>
  <c r="AC326" i="4" s="1"/>
  <c r="AB354" i="4"/>
  <c r="AC354" i="4" s="1"/>
  <c r="AB406" i="4"/>
  <c r="AC406" i="4" s="1"/>
  <c r="AB475" i="4"/>
  <c r="AC475" i="4" s="1"/>
  <c r="AB487" i="4"/>
  <c r="AC487" i="4" s="1"/>
  <c r="AB494" i="4"/>
  <c r="AC494" i="4" s="1"/>
  <c r="AB498" i="4"/>
  <c r="AC498" i="4" s="1"/>
  <c r="AB60" i="4"/>
  <c r="AC60" i="4" s="1"/>
  <c r="AB37" i="4"/>
  <c r="AC37" i="4" s="1"/>
  <c r="AD269" i="4"/>
  <c r="AF269" i="4" s="1"/>
  <c r="AG269" i="4" s="1"/>
  <c r="AH269" i="4" s="1"/>
  <c r="AI269" i="4" s="1"/>
  <c r="AB180" i="4"/>
  <c r="AC180" i="4" s="1"/>
  <c r="AD178" i="4"/>
  <c r="AF178" i="4" s="1"/>
  <c r="AG178" i="4" s="1"/>
  <c r="AH178" i="4" s="1"/>
  <c r="AI178" i="4" s="1"/>
  <c r="C35" i="6"/>
  <c r="D35" i="6" s="1"/>
  <c r="C31" i="6"/>
  <c r="D31" i="6" s="1"/>
  <c r="D27" i="6"/>
  <c r="C38" i="6"/>
  <c r="C34" i="6"/>
  <c r="D34" i="6" s="1"/>
  <c r="C37" i="6"/>
  <c r="D37" i="6" s="1"/>
  <c r="C33" i="6"/>
  <c r="C36" i="6"/>
  <c r="D36" i="6" s="1"/>
  <c r="C32" i="6"/>
  <c r="D32" i="6" s="1"/>
  <c r="AB231" i="4"/>
  <c r="AC231" i="4" s="1"/>
  <c r="AB225" i="4"/>
  <c r="AC225" i="4" s="1"/>
  <c r="AB322" i="4"/>
  <c r="AC322" i="4" s="1"/>
  <c r="AB327" i="4"/>
  <c r="AC327" i="4" s="1"/>
  <c r="AB340" i="4"/>
  <c r="AC340" i="4" s="1"/>
  <c r="AB380" i="4"/>
  <c r="AC380" i="4" s="1"/>
  <c r="AB402" i="4"/>
  <c r="AC402" i="4" s="1"/>
  <c r="AB392" i="4"/>
  <c r="AC392" i="4" s="1"/>
  <c r="AB451" i="4"/>
  <c r="AC451" i="4" s="1"/>
  <c r="AB457" i="4"/>
  <c r="AC457" i="4" s="1"/>
  <c r="AB488" i="4"/>
  <c r="AC488" i="4" s="1"/>
  <c r="AB479" i="4"/>
  <c r="AC479" i="4" s="1"/>
  <c r="AB499" i="4"/>
  <c r="AC499" i="4" s="1"/>
  <c r="AB29" i="4"/>
  <c r="AC29" i="4" s="1"/>
  <c r="E8" i="3"/>
  <c r="F8" i="3" s="1"/>
  <c r="AD374" i="4"/>
  <c r="AF374" i="4" s="1"/>
  <c r="AG374" i="4" s="1"/>
  <c r="AH374" i="4" s="1"/>
  <c r="AI374" i="4" s="1"/>
  <c r="AB26" i="4"/>
  <c r="AC26" i="4" s="1"/>
  <c r="AB121" i="4"/>
  <c r="AC121" i="4" s="1"/>
  <c r="AB294" i="4"/>
  <c r="AC294" i="4" s="1"/>
  <c r="AB288" i="4"/>
  <c r="AC288" i="4" s="1"/>
  <c r="AB257" i="4"/>
  <c r="AC257" i="4" s="1"/>
  <c r="AB265" i="4"/>
  <c r="AC265" i="4" s="1"/>
  <c r="AB273" i="4"/>
  <c r="AC273" i="4" s="1"/>
  <c r="AB350" i="4"/>
  <c r="AC350" i="4" s="1"/>
  <c r="AB314" i="4"/>
  <c r="AC314" i="4" s="1"/>
  <c r="AB333" i="4"/>
  <c r="AC333" i="4" s="1"/>
  <c r="AB390" i="4"/>
  <c r="AC390" i="4" s="1"/>
  <c r="AB337" i="4"/>
  <c r="AC337" i="4" s="1"/>
  <c r="AB330" i="4"/>
  <c r="AC330" i="4" s="1"/>
  <c r="AB373" i="4"/>
  <c r="AC373" i="4" s="1"/>
  <c r="AB383" i="4"/>
  <c r="AC383" i="4" s="1"/>
  <c r="AB375" i="4"/>
  <c r="AC375" i="4" s="1"/>
  <c r="AB378" i="4"/>
  <c r="AC378" i="4" s="1"/>
  <c r="AB421" i="4"/>
  <c r="AC421" i="4" s="1"/>
  <c r="AB435" i="4"/>
  <c r="AC435" i="4" s="1"/>
  <c r="AB442" i="4"/>
  <c r="AC442" i="4" s="1"/>
  <c r="AB465" i="4"/>
  <c r="AC465" i="4" s="1"/>
  <c r="AB495" i="4"/>
  <c r="AC495" i="4" s="1"/>
  <c r="AB503" i="4"/>
  <c r="AC503" i="4" s="1"/>
  <c r="AB502" i="4"/>
  <c r="AC502" i="4" s="1"/>
  <c r="AB101" i="4"/>
  <c r="AC101" i="4" s="1"/>
  <c r="C27" i="3"/>
  <c r="C19" i="3"/>
  <c r="G19" i="3" s="1"/>
  <c r="C11" i="3"/>
  <c r="C30" i="3"/>
  <c r="C24" i="3"/>
  <c r="G24" i="3" s="1"/>
  <c r="C15" i="3"/>
  <c r="G15" i="3" s="1"/>
  <c r="C8" i="3"/>
  <c r="C18" i="3"/>
  <c r="G18" i="3" s="1"/>
  <c r="C9" i="3"/>
  <c r="C25" i="3"/>
  <c r="G25" i="3" s="1"/>
  <c r="C29" i="3"/>
  <c r="G29" i="3" s="1"/>
  <c r="C28" i="3"/>
  <c r="G28" i="3" s="1"/>
  <c r="C26" i="3"/>
  <c r="G26" i="3" s="1"/>
  <c r="C22" i="3"/>
  <c r="C6" i="3"/>
  <c r="C23" i="3"/>
  <c r="C20" i="3"/>
  <c r="C13" i="3"/>
  <c r="G13" i="3" s="1"/>
  <c r="C21" i="3"/>
  <c r="C17" i="3"/>
  <c r="G17" i="3" s="1"/>
  <c r="C10" i="3"/>
  <c r="C16" i="3"/>
  <c r="G16" i="3" s="1"/>
  <c r="C7" i="3"/>
  <c r="C14" i="3"/>
  <c r="C12" i="3"/>
  <c r="G12" i="3" s="1"/>
  <c r="AB94" i="4"/>
  <c r="AC94" i="4" s="1"/>
  <c r="AB41" i="4"/>
  <c r="AC41" i="4" s="1"/>
  <c r="AD252" i="4"/>
  <c r="AF252" i="4" s="1"/>
  <c r="AG252" i="4" s="1"/>
  <c r="AB182" i="4"/>
  <c r="AC182" i="4" s="1"/>
  <c r="AB156" i="4"/>
  <c r="AC156" i="4" s="1"/>
  <c r="AD449" i="4"/>
  <c r="AF449" i="4" s="1"/>
  <c r="AG449" i="4" s="1"/>
  <c r="AH449" i="4" s="1"/>
  <c r="AI449" i="4" s="1"/>
  <c r="AB97" i="4"/>
  <c r="AC97" i="4" s="1"/>
  <c r="AB83" i="4"/>
  <c r="AC83" i="4" s="1"/>
  <c r="AB162" i="4"/>
  <c r="AC162" i="4" s="1"/>
  <c r="AB152" i="4"/>
  <c r="AC152" i="4" s="1"/>
  <c r="AB308" i="4"/>
  <c r="AC308" i="4" s="1"/>
  <c r="AB298" i="4"/>
  <c r="AC298" i="4" s="1"/>
  <c r="AB417" i="4"/>
  <c r="AC417" i="4" s="1"/>
  <c r="AB353" i="4"/>
  <c r="AC353" i="4" s="1"/>
  <c r="AB394" i="4"/>
  <c r="AC394" i="4" s="1"/>
  <c r="AB405" i="4"/>
  <c r="AC405" i="4" s="1"/>
  <c r="AB413" i="4"/>
  <c r="AC413" i="4" s="1"/>
  <c r="AB453" i="4"/>
  <c r="AC453" i="4" s="1"/>
  <c r="AB504" i="4"/>
  <c r="AC504" i="4" s="1"/>
  <c r="AB486" i="4"/>
  <c r="AC486" i="4" s="1"/>
  <c r="AB6" i="4"/>
  <c r="AC6" i="4" s="1"/>
  <c r="E22" i="3"/>
  <c r="F22" i="3" s="1"/>
  <c r="AD362" i="4"/>
  <c r="AF362" i="4" s="1"/>
  <c r="AG362" i="4" s="1"/>
  <c r="AH362" i="4" s="1"/>
  <c r="AI362" i="4" s="1"/>
  <c r="AB143" i="4"/>
  <c r="AC143" i="4" s="1"/>
  <c r="AD481" i="4"/>
  <c r="AF481" i="4" s="1"/>
  <c r="AG481" i="4" s="1"/>
  <c r="AH481" i="4" s="1"/>
  <c r="AI481" i="4" s="1"/>
  <c r="AD448" i="4"/>
  <c r="AF448" i="4" s="1"/>
  <c r="AG448" i="4" s="1"/>
  <c r="AH448" i="4" s="1"/>
  <c r="AI448" i="4" s="1"/>
  <c r="AB211" i="4"/>
  <c r="AC211" i="4" s="1"/>
  <c r="AB275" i="4"/>
  <c r="AC275" i="4" s="1"/>
  <c r="AD478" i="4"/>
  <c r="AF478" i="4" s="1"/>
  <c r="AG478" i="4" s="1"/>
  <c r="AH478" i="4" s="1"/>
  <c r="AI478" i="4" s="1"/>
  <c r="AD419" i="4"/>
  <c r="AF419" i="4" s="1"/>
  <c r="AG419" i="4" s="1"/>
  <c r="AH419" i="4" s="1"/>
  <c r="AI419" i="4" s="1"/>
  <c r="AB77" i="4"/>
  <c r="AC77" i="4" s="1"/>
  <c r="AB73" i="4"/>
  <c r="AC73" i="4" s="1"/>
  <c r="AB161" i="4"/>
  <c r="AC161" i="4" s="1"/>
  <c r="AD445" i="4"/>
  <c r="AF445" i="4" s="1"/>
  <c r="AG445" i="4" s="1"/>
  <c r="AD415" i="4"/>
  <c r="AF415" i="4" s="1"/>
  <c r="AG415" i="4" s="1"/>
  <c r="AH415" i="4" s="1"/>
  <c r="AI415" i="4" s="1"/>
  <c r="AB18" i="4"/>
  <c r="AC18" i="4" s="1"/>
  <c r="AB151" i="4"/>
  <c r="AC151" i="4" s="1"/>
  <c r="AB163" i="4"/>
  <c r="AC163" i="4" s="1"/>
  <c r="AB128" i="4"/>
  <c r="AC128" i="4" s="1"/>
  <c r="AB136" i="4"/>
  <c r="AC136" i="4" s="1"/>
  <c r="AB142" i="4"/>
  <c r="AC142" i="4" s="1"/>
  <c r="AB173" i="4"/>
  <c r="AC173" i="4" s="1"/>
  <c r="AB9" i="4"/>
  <c r="AC9" i="4" s="1"/>
  <c r="AB49" i="4"/>
  <c r="AC49" i="4" s="1"/>
  <c r="AB115" i="4"/>
  <c r="AC115" i="4" s="1"/>
  <c r="AB150" i="4"/>
  <c r="AC150" i="4" s="1"/>
  <c r="AB213" i="4"/>
  <c r="AC213" i="4" s="1"/>
  <c r="AB190" i="4"/>
  <c r="AC190" i="4" s="1"/>
  <c r="AB89" i="4"/>
  <c r="AC89" i="4" s="1"/>
  <c r="AB119" i="4"/>
  <c r="AC119" i="4" s="1"/>
  <c r="AB176" i="4"/>
  <c r="AC176" i="4" s="1"/>
  <c r="AB184" i="4"/>
  <c r="AC184" i="4" s="1"/>
  <c r="AB192" i="4"/>
  <c r="AC192" i="4" s="1"/>
  <c r="AB153" i="4"/>
  <c r="AC153" i="4" s="1"/>
  <c r="AB194" i="4"/>
  <c r="AC194" i="4" s="1"/>
  <c r="AB271" i="4"/>
  <c r="AC271" i="4" s="1"/>
  <c r="AB318" i="4"/>
  <c r="AC318" i="4" s="1"/>
  <c r="AB256" i="4"/>
  <c r="AC256" i="4" s="1"/>
  <c r="AB372" i="4"/>
  <c r="AC372" i="4" s="1"/>
  <c r="AB328" i="4"/>
  <c r="AC328" i="4" s="1"/>
  <c r="AB335" i="4"/>
  <c r="AC335" i="4" s="1"/>
  <c r="AB363" i="4"/>
  <c r="AC363" i="4" s="1"/>
  <c r="AB315" i="4"/>
  <c r="AC315" i="4" s="1"/>
  <c r="AB356" i="4"/>
  <c r="AC356" i="4" s="1"/>
  <c r="AB345" i="4"/>
  <c r="AC345" i="4" s="1"/>
  <c r="AB388" i="4"/>
  <c r="AC388" i="4" s="1"/>
  <c r="AB339" i="4"/>
  <c r="AC339" i="4" s="1"/>
  <c r="AB359" i="4"/>
  <c r="AC359" i="4" s="1"/>
  <c r="AB447" i="4"/>
  <c r="AC447" i="4" s="1"/>
  <c r="AB385" i="4"/>
  <c r="AC385" i="4" s="1"/>
  <c r="AB370" i="4"/>
  <c r="AC370" i="4" s="1"/>
  <c r="AB399" i="4"/>
  <c r="AC399" i="4" s="1"/>
  <c r="AB429" i="4"/>
  <c r="AC429" i="4" s="1"/>
  <c r="AB396" i="4"/>
  <c r="AC396" i="4" s="1"/>
  <c r="AB404" i="4"/>
  <c r="AC404" i="4" s="1"/>
  <c r="AB420" i="4"/>
  <c r="AC420" i="4" s="1"/>
  <c r="AB443" i="4"/>
  <c r="AC443" i="4" s="1"/>
  <c r="AB456" i="4"/>
  <c r="AC456" i="4" s="1"/>
  <c r="AB466" i="4"/>
  <c r="AC466" i="4" s="1"/>
  <c r="AB454" i="4"/>
  <c r="AC454" i="4" s="1"/>
  <c r="E11" i="3"/>
  <c r="F11" i="3" s="1"/>
  <c r="E9" i="3"/>
  <c r="F9" i="3" s="1"/>
  <c r="AB86" i="4"/>
  <c r="AC86" i="4" s="1"/>
  <c r="E6" i="3"/>
  <c r="F6" i="3" s="1"/>
  <c r="E21" i="3"/>
  <c r="F21" i="3" s="1"/>
  <c r="AB92" i="4"/>
  <c r="AC92" i="4" s="1"/>
  <c r="AD458" i="4"/>
  <c r="AF458" i="4" s="1"/>
  <c r="AG458" i="4" s="1"/>
  <c r="AH458" i="4" s="1"/>
  <c r="AI458" i="4" s="1"/>
  <c r="AB148" i="4"/>
  <c r="AC148" i="4" s="1"/>
  <c r="AB236" i="4"/>
  <c r="AC236" i="4" s="1"/>
  <c r="AB216" i="4"/>
  <c r="AC216" i="4" s="1"/>
  <c r="AB55" i="4"/>
  <c r="AC55" i="4" s="1"/>
  <c r="AB212" i="4"/>
  <c r="AC212" i="4" s="1"/>
  <c r="AB113" i="4"/>
  <c r="AC113" i="4" s="1"/>
  <c r="AB254" i="4"/>
  <c r="AC254" i="4" s="1"/>
  <c r="AB146" i="4"/>
  <c r="AC146" i="4" s="1"/>
  <c r="AB170" i="4"/>
  <c r="AC170" i="4" s="1"/>
  <c r="AB234" i="4"/>
  <c r="AC234" i="4" s="1"/>
  <c r="AD471" i="4"/>
  <c r="AF471" i="4" s="1"/>
  <c r="AG471" i="4" s="1"/>
  <c r="AH471" i="4" s="1"/>
  <c r="AI471" i="4" s="1"/>
  <c r="AB68" i="4"/>
  <c r="AC68" i="4" s="1"/>
  <c r="AB7" i="4"/>
  <c r="AC7" i="4" s="1"/>
  <c r="AB238" i="4"/>
  <c r="AC238" i="4" s="1"/>
  <c r="AB229" i="4"/>
  <c r="AC229" i="4" s="1"/>
  <c r="AB145" i="4"/>
  <c r="AC145" i="4" s="1"/>
  <c r="AB226" i="4"/>
  <c r="AC226" i="4" s="1"/>
  <c r="AB242" i="4"/>
  <c r="AC242" i="4" s="1"/>
  <c r="AB320" i="4"/>
  <c r="AC320" i="4" s="1"/>
  <c r="AB223" i="4"/>
  <c r="AC223" i="4" s="1"/>
  <c r="AD426" i="4"/>
  <c r="AF426" i="4" s="1"/>
  <c r="AG426" i="4" s="1"/>
  <c r="AH426" i="4" s="1"/>
  <c r="AI426" i="4" s="1"/>
  <c r="AD434" i="4"/>
  <c r="AF434" i="4" s="1"/>
  <c r="AG434" i="4" s="1"/>
  <c r="AH434" i="4" s="1"/>
  <c r="AI434" i="4" s="1"/>
  <c r="AB111" i="4"/>
  <c r="AC111" i="4" s="1"/>
  <c r="AB134" i="4"/>
  <c r="AC134" i="4" s="1"/>
  <c r="AB80" i="4"/>
  <c r="AC80" i="4" s="1"/>
  <c r="AB102" i="4"/>
  <c r="AC102" i="4" s="1"/>
  <c r="AB124" i="4"/>
  <c r="AC124" i="4" s="1"/>
  <c r="AB131" i="4"/>
  <c r="AC131" i="4" s="1"/>
  <c r="AB221" i="4"/>
  <c r="AC221" i="4" s="1"/>
  <c r="AB114" i="4"/>
  <c r="AC114" i="4" s="1"/>
  <c r="AB159" i="4"/>
  <c r="AC159" i="4" s="1"/>
  <c r="AB245" i="4"/>
  <c r="AC245" i="4" s="1"/>
  <c r="AB244" i="4"/>
  <c r="AC244" i="4" s="1"/>
  <c r="AB283" i="4"/>
  <c r="AC283" i="4" s="1"/>
  <c r="AB217" i="4"/>
  <c r="AC217" i="4" s="1"/>
  <c r="AB282" i="4"/>
  <c r="AC282" i="4" s="1"/>
  <c r="AB301" i="4"/>
  <c r="AC301" i="4" s="1"/>
  <c r="AB341" i="4"/>
  <c r="AC341" i="4" s="1"/>
  <c r="AB382" i="4"/>
  <c r="AC382" i="4" s="1"/>
  <c r="AB305" i="4"/>
  <c r="AC305" i="4" s="1"/>
  <c r="AB323" i="4"/>
  <c r="AC323" i="4" s="1"/>
  <c r="AB334" i="4"/>
  <c r="AC334" i="4" s="1"/>
  <c r="AB410" i="4"/>
  <c r="AC410" i="4" s="1"/>
  <c r="AB425" i="4"/>
  <c r="AC425" i="4" s="1"/>
  <c r="AB400" i="4"/>
  <c r="AC400" i="4" s="1"/>
  <c r="AB408" i="4"/>
  <c r="AC408" i="4" s="1"/>
  <c r="AB423" i="4"/>
  <c r="AC423" i="4" s="1"/>
  <c r="AB422" i="4"/>
  <c r="AC422" i="4" s="1"/>
  <c r="AB437" i="4"/>
  <c r="AC437" i="4" s="1"/>
  <c r="AB446" i="4"/>
  <c r="AC446" i="4" s="1"/>
  <c r="AB395" i="4"/>
  <c r="AC395" i="4" s="1"/>
  <c r="AB403" i="4"/>
  <c r="AC403" i="4" s="1"/>
  <c r="AB401" i="4"/>
  <c r="AC401" i="4" s="1"/>
  <c r="AB452" i="4"/>
  <c r="AC452" i="4" s="1"/>
  <c r="AB470" i="4"/>
  <c r="AC470" i="4" s="1"/>
  <c r="AB483" i="4"/>
  <c r="AC483" i="4" s="1"/>
  <c r="AB492" i="4"/>
  <c r="AC492" i="4" s="1"/>
  <c r="AB482" i="4"/>
  <c r="AC482" i="4" s="1"/>
  <c r="AB20" i="4"/>
  <c r="AC20" i="4" s="1"/>
  <c r="AB38" i="4"/>
  <c r="AC38" i="4" s="1"/>
  <c r="E10" i="3"/>
  <c r="F10" i="3" s="1"/>
  <c r="AB123" i="4"/>
  <c r="AC123" i="4" s="1"/>
  <c r="AB117" i="4"/>
  <c r="AC117" i="4" s="1"/>
  <c r="AB270" i="4"/>
  <c r="AC270" i="4" s="1"/>
  <c r="AB135" i="4"/>
  <c r="AC135" i="4" s="1"/>
  <c r="AB309" i="4"/>
  <c r="AC309" i="4" s="1"/>
  <c r="AB310" i="4"/>
  <c r="AC310" i="4" s="1"/>
  <c r="D38" i="6"/>
  <c r="D33" i="6"/>
  <c r="AD439" i="4"/>
  <c r="AF439" i="4" s="1"/>
  <c r="AG439" i="4" s="1"/>
  <c r="AH439" i="4" s="1"/>
  <c r="AI439" i="4" s="1"/>
  <c r="AD427" i="4"/>
  <c r="AF427" i="4" s="1"/>
  <c r="AG427" i="4" s="1"/>
  <c r="AH427" i="4" s="1"/>
  <c r="AI427" i="4" s="1"/>
  <c r="AB34" i="4"/>
  <c r="AC34" i="4" s="1"/>
  <c r="AB58" i="4"/>
  <c r="AC58" i="4" s="1"/>
  <c r="AB47" i="4"/>
  <c r="AC47" i="4" s="1"/>
  <c r="AB74" i="4"/>
  <c r="AC74" i="4" s="1"/>
  <c r="AB96" i="4"/>
  <c r="AC96" i="4" s="1"/>
  <c r="AB165" i="4"/>
  <c r="AC165" i="4" s="1"/>
  <c r="AB222" i="4"/>
  <c r="AC222" i="4" s="1"/>
  <c r="AB191" i="4"/>
  <c r="AC191" i="4" s="1"/>
  <c r="AB99" i="4"/>
  <c r="AC99" i="4" s="1"/>
  <c r="AB164" i="4"/>
  <c r="AC164" i="4" s="1"/>
  <c r="AB207" i="4"/>
  <c r="AC207" i="4" s="1"/>
  <c r="AB235" i="4"/>
  <c r="AC235" i="4" s="1"/>
  <c r="AB286" i="4"/>
  <c r="AC286" i="4" s="1"/>
  <c r="AB268" i="4"/>
  <c r="AC268" i="4" s="1"/>
  <c r="AB243" i="4"/>
  <c r="AC243" i="4" s="1"/>
  <c r="AB210" i="4"/>
  <c r="AC210" i="4" s="1"/>
  <c r="AB239" i="4"/>
  <c r="AC239" i="4" s="1"/>
  <c r="AB342" i="4"/>
  <c r="AC342" i="4" s="1"/>
  <c r="AB232" i="4"/>
  <c r="AC232" i="4" s="1"/>
  <c r="AB295" i="4"/>
  <c r="AC295" i="4" s="1"/>
  <c r="AB297" i="4"/>
  <c r="AC297" i="4" s="1"/>
  <c r="AB321" i="4"/>
  <c r="AC321" i="4" s="1"/>
  <c r="AB307" i="4"/>
  <c r="AC307" i="4" s="1"/>
  <c r="AB387" i="4"/>
  <c r="AC387" i="4" s="1"/>
  <c r="AB332" i="4"/>
  <c r="AC332" i="4" s="1"/>
  <c r="AB407" i="4"/>
  <c r="AC407" i="4" s="1"/>
  <c r="AB329" i="4"/>
  <c r="AC329" i="4" s="1"/>
  <c r="AB338" i="4"/>
  <c r="AC338" i="4" s="1"/>
  <c r="AB368" i="4"/>
  <c r="AC368" i="4" s="1"/>
  <c r="AB409" i="4"/>
  <c r="AC409" i="4" s="1"/>
  <c r="AB393" i="4"/>
  <c r="AC393" i="4" s="1"/>
  <c r="AB397" i="4"/>
  <c r="AC397" i="4" s="1"/>
  <c r="AB433" i="4"/>
  <c r="AC433" i="4" s="1"/>
  <c r="AB463" i="4"/>
  <c r="AC463" i="4" s="1"/>
  <c r="AB441" i="4"/>
  <c r="AC441" i="4" s="1"/>
  <c r="AB472" i="4"/>
  <c r="AC472" i="4" s="1"/>
  <c r="AB480" i="4"/>
  <c r="AC480" i="4" s="1"/>
  <c r="AB490" i="4"/>
  <c r="AC490" i="4" s="1"/>
  <c r="AB491" i="4"/>
  <c r="AC491" i="4" s="1"/>
  <c r="AB103" i="4"/>
  <c r="AC103" i="4" s="1"/>
  <c r="AB93" i="4"/>
  <c r="AC93" i="4" s="1"/>
  <c r="G27" i="3" l="1"/>
  <c r="G7" i="3"/>
  <c r="AH312" i="4"/>
  <c r="AI312" i="4" s="1"/>
  <c r="AD331" i="4"/>
  <c r="AF331" i="4" s="1"/>
  <c r="AG331" i="4" s="1"/>
  <c r="AH331" i="4" s="1"/>
  <c r="AI331" i="4" s="1"/>
  <c r="G30" i="3"/>
  <c r="G14" i="3"/>
  <c r="G23" i="3"/>
  <c r="AH252" i="4"/>
  <c r="AI252" i="4" s="1"/>
  <c r="AH445" i="4"/>
  <c r="AI445" i="4" s="1"/>
  <c r="AH267" i="4"/>
  <c r="AI267" i="4" s="1"/>
  <c r="AD160" i="4"/>
  <c r="AF160" i="4" s="1"/>
  <c r="AG160" i="4" s="1"/>
  <c r="AH160" i="4" s="1"/>
  <c r="AI160" i="4" s="1"/>
  <c r="AH81" i="4"/>
  <c r="AI81" i="4" s="1"/>
  <c r="AH50" i="4"/>
  <c r="AI50" i="4" s="1"/>
  <c r="AD473" i="4"/>
  <c r="AF473" i="4" s="1"/>
  <c r="AG473" i="4" s="1"/>
  <c r="AH473" i="4" s="1"/>
  <c r="AI473" i="4" s="1"/>
  <c r="AH351" i="4"/>
  <c r="AI351" i="4" s="1"/>
  <c r="AH285" i="4"/>
  <c r="AI285" i="4" s="1"/>
  <c r="AH90" i="4"/>
  <c r="AI90" i="4" s="1"/>
  <c r="G20" i="3"/>
  <c r="AH389" i="4"/>
  <c r="AI389" i="4" s="1"/>
  <c r="AH276" i="4"/>
  <c r="AI276" i="4" s="1"/>
  <c r="AH15" i="4"/>
  <c r="AI15" i="4" s="1"/>
  <c r="AH411" i="4"/>
  <c r="AI411" i="4" s="1"/>
  <c r="AD28" i="4"/>
  <c r="AF28" i="4" s="1"/>
  <c r="AG28" i="4" s="1"/>
  <c r="AH28" i="4" s="1"/>
  <c r="AI28" i="4" s="1"/>
  <c r="G6" i="3"/>
  <c r="G8" i="3"/>
  <c r="AD188" i="4"/>
  <c r="AF188" i="4" s="1"/>
  <c r="AG188" i="4" s="1"/>
  <c r="AH188" i="4" s="1"/>
  <c r="AI188" i="4" s="1"/>
  <c r="AH277" i="4"/>
  <c r="AI277" i="4" s="1"/>
  <c r="AH174" i="4"/>
  <c r="AI174" i="4" s="1"/>
  <c r="AD108" i="4"/>
  <c r="AF108" i="4" s="1"/>
  <c r="AG108" i="4" s="1"/>
  <c r="AH108" i="4" s="1"/>
  <c r="AI108" i="4" s="1"/>
  <c r="G10" i="3"/>
  <c r="AH201" i="4"/>
  <c r="AI201" i="4" s="1"/>
  <c r="AH274" i="4"/>
  <c r="AI274" i="4" s="1"/>
  <c r="AH31" i="4"/>
  <c r="AI31" i="4" s="1"/>
  <c r="AH220" i="4"/>
  <c r="AI220" i="4" s="1"/>
  <c r="AD317" i="4"/>
  <c r="AF317" i="4" s="1"/>
  <c r="AG317" i="4" s="1"/>
  <c r="AH317" i="4" s="1"/>
  <c r="AI317" i="4" s="1"/>
  <c r="AD116" i="4"/>
  <c r="AF116" i="4" s="1"/>
  <c r="AG116" i="4" s="1"/>
  <c r="AH116" i="4" s="1"/>
  <c r="AI116" i="4" s="1"/>
  <c r="AH336" i="4"/>
  <c r="AI336" i="4" s="1"/>
  <c r="AD32" i="4"/>
  <c r="AF32" i="4" s="1"/>
  <c r="AG32" i="4" s="1"/>
  <c r="AH32" i="4" s="1"/>
  <c r="AI32" i="4" s="1"/>
  <c r="AD25" i="4"/>
  <c r="AF25" i="4" s="1"/>
  <c r="AG25" i="4" s="1"/>
  <c r="AH25" i="4" s="1"/>
  <c r="AI25" i="4" s="1"/>
  <c r="AH291" i="4"/>
  <c r="AI291" i="4" s="1"/>
  <c r="AD165" i="4"/>
  <c r="AF165" i="4" s="1"/>
  <c r="AG165" i="4" s="1"/>
  <c r="AH165" i="4" s="1"/>
  <c r="AI165" i="4" s="1"/>
  <c r="AD479" i="4"/>
  <c r="AF479" i="4" s="1"/>
  <c r="AG479" i="4" s="1"/>
  <c r="AH479" i="4" s="1"/>
  <c r="AI479" i="4" s="1"/>
  <c r="AD37" i="4"/>
  <c r="AF37" i="4" s="1"/>
  <c r="AG37" i="4" s="1"/>
  <c r="AH37" i="4" s="1"/>
  <c r="AI37" i="4" s="1"/>
  <c r="AD209" i="4"/>
  <c r="AF209" i="4" s="1"/>
  <c r="AG209" i="4" s="1"/>
  <c r="AH209" i="4" s="1"/>
  <c r="AI209" i="4" s="1"/>
  <c r="AD98" i="4"/>
  <c r="AF98" i="4" s="1"/>
  <c r="AG98" i="4" s="1"/>
  <c r="AH98" i="4" s="1"/>
  <c r="AI98" i="4" s="1"/>
  <c r="AD65" i="4"/>
  <c r="AF65" i="4" s="1"/>
  <c r="AG65" i="4" s="1"/>
  <c r="AH65" i="4" s="1"/>
  <c r="AI65" i="4" s="1"/>
  <c r="AD17" i="4"/>
  <c r="AF17" i="4" s="1"/>
  <c r="AG17" i="4" s="1"/>
  <c r="AH17" i="4" s="1"/>
  <c r="AI17" i="4" s="1"/>
  <c r="AD438" i="4"/>
  <c r="AF438" i="4" s="1"/>
  <c r="AG438" i="4" s="1"/>
  <c r="AH438" i="4" s="1"/>
  <c r="AI438" i="4" s="1"/>
  <c r="AD368" i="4"/>
  <c r="AF368" i="4" s="1"/>
  <c r="AG368" i="4" s="1"/>
  <c r="AH368" i="4" s="1"/>
  <c r="AI368" i="4" s="1"/>
  <c r="AD345" i="4"/>
  <c r="AF345" i="4" s="1"/>
  <c r="AG345" i="4" s="1"/>
  <c r="AH345" i="4" s="1"/>
  <c r="AI345" i="4" s="1"/>
  <c r="AD89" i="4"/>
  <c r="AF89" i="4" s="1"/>
  <c r="AG89" i="4" s="1"/>
  <c r="AH89" i="4" s="1"/>
  <c r="AI89" i="4" s="1"/>
  <c r="AD340" i="4"/>
  <c r="AF340" i="4" s="1"/>
  <c r="AG340" i="4" s="1"/>
  <c r="AH340" i="4" s="1"/>
  <c r="AI340" i="4" s="1"/>
  <c r="AD500" i="4"/>
  <c r="AF500" i="4" s="1"/>
  <c r="AG500" i="4" s="1"/>
  <c r="AH500" i="4" s="1"/>
  <c r="AI500" i="4" s="1"/>
  <c r="AD455" i="4"/>
  <c r="AF455" i="4" s="1"/>
  <c r="AG455" i="4" s="1"/>
  <c r="AH455" i="4" s="1"/>
  <c r="AI455" i="4" s="1"/>
  <c r="AD348" i="4"/>
  <c r="AF348" i="4" s="1"/>
  <c r="AG348" i="4" s="1"/>
  <c r="AH348" i="4" s="1"/>
  <c r="AI348" i="4" s="1"/>
  <c r="AD193" i="4"/>
  <c r="AF193" i="4" s="1"/>
  <c r="AG193" i="4" s="1"/>
  <c r="AH193" i="4" s="1"/>
  <c r="AI193" i="4" s="1"/>
  <c r="AD198" i="4"/>
  <c r="AF198" i="4" s="1"/>
  <c r="AG198" i="4" s="1"/>
  <c r="AH198" i="4" s="1"/>
  <c r="AI198" i="4" s="1"/>
  <c r="AD48" i="4"/>
  <c r="AF48" i="4" s="1"/>
  <c r="AG48" i="4" s="1"/>
  <c r="AH48" i="4" s="1"/>
  <c r="AI48" i="4" s="1"/>
  <c r="AD33" i="4"/>
  <c r="AF33" i="4" s="1"/>
  <c r="AG33" i="4" s="1"/>
  <c r="AH33" i="4" s="1"/>
  <c r="AI33" i="4" s="1"/>
  <c r="AD490" i="4"/>
  <c r="AF490" i="4" s="1"/>
  <c r="AG490" i="4" s="1"/>
  <c r="AH490" i="4" s="1"/>
  <c r="AI490" i="4" s="1"/>
  <c r="AD409" i="4"/>
  <c r="AF409" i="4" s="1"/>
  <c r="AG409" i="4" s="1"/>
  <c r="AH409" i="4" s="1"/>
  <c r="AI409" i="4" s="1"/>
  <c r="AD268" i="4"/>
  <c r="AF268" i="4" s="1"/>
  <c r="AG268" i="4" s="1"/>
  <c r="AH268" i="4" s="1"/>
  <c r="AI268" i="4" s="1"/>
  <c r="AD395" i="4"/>
  <c r="AF395" i="4" s="1"/>
  <c r="AG395" i="4" s="1"/>
  <c r="AH395" i="4" s="1"/>
  <c r="AI395" i="4" s="1"/>
  <c r="AD217" i="4"/>
  <c r="AF217" i="4" s="1"/>
  <c r="AG217" i="4" s="1"/>
  <c r="AH217" i="4" s="1"/>
  <c r="AI217" i="4" s="1"/>
  <c r="AD124" i="4"/>
  <c r="AF124" i="4" s="1"/>
  <c r="AG124" i="4" s="1"/>
  <c r="AH124" i="4" s="1"/>
  <c r="AI124" i="4" s="1"/>
  <c r="AD226" i="4"/>
  <c r="AF226" i="4" s="1"/>
  <c r="AG226" i="4" s="1"/>
  <c r="AH226" i="4" s="1"/>
  <c r="AI226" i="4" s="1"/>
  <c r="AD55" i="4"/>
  <c r="AF55" i="4" s="1"/>
  <c r="AG55" i="4" s="1"/>
  <c r="AH55" i="4" s="1"/>
  <c r="AI55" i="4" s="1"/>
  <c r="AD396" i="4"/>
  <c r="AF396" i="4" s="1"/>
  <c r="AG396" i="4" s="1"/>
  <c r="AH396" i="4" s="1"/>
  <c r="AI396" i="4" s="1"/>
  <c r="AD256" i="4"/>
  <c r="AF256" i="4" s="1"/>
  <c r="AG256" i="4" s="1"/>
  <c r="AH256" i="4" s="1"/>
  <c r="AI256" i="4" s="1"/>
  <c r="AD173" i="4"/>
  <c r="AF173" i="4" s="1"/>
  <c r="AG173" i="4" s="1"/>
  <c r="AH173" i="4" s="1"/>
  <c r="AI173" i="4" s="1"/>
  <c r="AD417" i="4"/>
  <c r="AF417" i="4" s="1"/>
  <c r="AG417" i="4" s="1"/>
  <c r="AH417" i="4" s="1"/>
  <c r="AI417" i="4" s="1"/>
  <c r="AD101" i="4"/>
  <c r="AF101" i="4" s="1"/>
  <c r="AG101" i="4" s="1"/>
  <c r="AH101" i="4" s="1"/>
  <c r="AI101" i="4" s="1"/>
  <c r="AD330" i="4"/>
  <c r="AF330" i="4" s="1"/>
  <c r="AG330" i="4" s="1"/>
  <c r="AH330" i="4" s="1"/>
  <c r="AI330" i="4" s="1"/>
  <c r="AD300" i="4"/>
  <c r="AF300" i="4" s="1"/>
  <c r="AG300" i="4" s="1"/>
  <c r="AH300" i="4" s="1"/>
  <c r="AI300" i="4" s="1"/>
  <c r="AD62" i="4"/>
  <c r="AF62" i="4" s="1"/>
  <c r="AG62" i="4" s="1"/>
  <c r="AH62" i="4" s="1"/>
  <c r="AI62" i="4" s="1"/>
  <c r="AD355" i="4"/>
  <c r="AF355" i="4" s="1"/>
  <c r="AG355" i="4" s="1"/>
  <c r="AH355" i="4" s="1"/>
  <c r="AI355" i="4" s="1"/>
  <c r="AD480" i="4"/>
  <c r="AF480" i="4" s="1"/>
  <c r="AG480" i="4" s="1"/>
  <c r="AH480" i="4" s="1"/>
  <c r="AI480" i="4" s="1"/>
  <c r="AD96" i="4"/>
  <c r="AF96" i="4" s="1"/>
  <c r="AG96" i="4" s="1"/>
  <c r="AH96" i="4" s="1"/>
  <c r="AI96" i="4" s="1"/>
  <c r="AD123" i="4"/>
  <c r="AF123" i="4" s="1"/>
  <c r="AG123" i="4" s="1"/>
  <c r="AH123" i="4" s="1"/>
  <c r="AI123" i="4" s="1"/>
  <c r="AD482" i="4"/>
  <c r="AF482" i="4" s="1"/>
  <c r="AG482" i="4" s="1"/>
  <c r="AH482" i="4" s="1"/>
  <c r="AI482" i="4" s="1"/>
  <c r="AD446" i="4"/>
  <c r="AF446" i="4" s="1"/>
  <c r="AG446" i="4" s="1"/>
  <c r="AH446" i="4" s="1"/>
  <c r="AI446" i="4" s="1"/>
  <c r="AD334" i="4"/>
  <c r="AF334" i="4" s="1"/>
  <c r="AG334" i="4" s="1"/>
  <c r="AH334" i="4" s="1"/>
  <c r="AI334" i="4" s="1"/>
  <c r="AD283" i="4"/>
  <c r="AF283" i="4" s="1"/>
  <c r="AG283" i="4" s="1"/>
  <c r="AH283" i="4" s="1"/>
  <c r="AI283" i="4" s="1"/>
  <c r="AD102" i="4"/>
  <c r="AF102" i="4" s="1"/>
  <c r="AG102" i="4" s="1"/>
  <c r="AH102" i="4" s="1"/>
  <c r="AI102" i="4" s="1"/>
  <c r="AD145" i="4"/>
  <c r="AF145" i="4" s="1"/>
  <c r="AG145" i="4" s="1"/>
  <c r="AH145" i="4" s="1"/>
  <c r="AI145" i="4" s="1"/>
  <c r="AD429" i="4"/>
  <c r="AF429" i="4" s="1"/>
  <c r="AG429" i="4" s="1"/>
  <c r="AH429" i="4" s="1"/>
  <c r="AI429" i="4" s="1"/>
  <c r="AD318" i="4"/>
  <c r="AF318" i="4" s="1"/>
  <c r="AG318" i="4" s="1"/>
  <c r="AH318" i="4" s="1"/>
  <c r="AI318" i="4" s="1"/>
  <c r="AD142" i="4"/>
  <c r="AF142" i="4" s="1"/>
  <c r="AG142" i="4" s="1"/>
  <c r="AH142" i="4" s="1"/>
  <c r="AI142" i="4" s="1"/>
  <c r="AD298" i="4"/>
  <c r="AF298" i="4" s="1"/>
  <c r="AG298" i="4" s="1"/>
  <c r="AH298" i="4" s="1"/>
  <c r="AI298" i="4" s="1"/>
  <c r="AD156" i="4"/>
  <c r="AF156" i="4" s="1"/>
  <c r="AG156" i="4" s="1"/>
  <c r="AH156" i="4" s="1"/>
  <c r="AI156" i="4" s="1"/>
  <c r="AD502" i="4"/>
  <c r="AF502" i="4" s="1"/>
  <c r="AG502" i="4" s="1"/>
  <c r="AH502" i="4" s="1"/>
  <c r="AI502" i="4" s="1"/>
  <c r="AD421" i="4"/>
  <c r="AF421" i="4" s="1"/>
  <c r="AG421" i="4" s="1"/>
  <c r="AH421" i="4" s="1"/>
  <c r="AI421" i="4" s="1"/>
  <c r="AD337" i="4"/>
  <c r="AF337" i="4" s="1"/>
  <c r="AG337" i="4" s="1"/>
  <c r="AH337" i="4" s="1"/>
  <c r="AI337" i="4" s="1"/>
  <c r="AD288" i="4"/>
  <c r="AF288" i="4" s="1"/>
  <c r="AG288" i="4" s="1"/>
  <c r="AH288" i="4" s="1"/>
  <c r="AI288" i="4" s="1"/>
  <c r="AD488" i="4"/>
  <c r="AF488" i="4" s="1"/>
  <c r="AG488" i="4" s="1"/>
  <c r="AH488" i="4" s="1"/>
  <c r="AI488" i="4" s="1"/>
  <c r="AD180" i="4"/>
  <c r="AF180" i="4" s="1"/>
  <c r="AG180" i="4" s="1"/>
  <c r="AH180" i="4" s="1"/>
  <c r="AI180" i="4" s="1"/>
  <c r="AD60" i="4"/>
  <c r="AF60" i="4" s="1"/>
  <c r="AG60" i="4" s="1"/>
  <c r="AH60" i="4" s="1"/>
  <c r="AI60" i="4" s="1"/>
  <c r="AD249" i="4"/>
  <c r="AF249" i="4" s="1"/>
  <c r="AG249" i="4" s="1"/>
  <c r="AH249" i="4" s="1"/>
  <c r="AI249" i="4" s="1"/>
  <c r="AD118" i="4"/>
  <c r="AF118" i="4" s="1"/>
  <c r="AG118" i="4" s="1"/>
  <c r="AH118" i="4" s="1"/>
  <c r="AI118" i="4" s="1"/>
  <c r="AD472" i="4"/>
  <c r="AF472" i="4" s="1"/>
  <c r="AG472" i="4" s="1"/>
  <c r="AH472" i="4" s="1"/>
  <c r="AI472" i="4" s="1"/>
  <c r="AD338" i="4"/>
  <c r="AF338" i="4" s="1"/>
  <c r="AG338" i="4" s="1"/>
  <c r="AH338" i="4" s="1"/>
  <c r="AI338" i="4" s="1"/>
  <c r="AD295" i="4"/>
  <c r="AF295" i="4" s="1"/>
  <c r="AG295" i="4" s="1"/>
  <c r="AH295" i="4" s="1"/>
  <c r="AI295" i="4" s="1"/>
  <c r="AD235" i="4"/>
  <c r="AF235" i="4" s="1"/>
  <c r="AG235" i="4" s="1"/>
  <c r="AH235" i="4" s="1"/>
  <c r="AI235" i="4" s="1"/>
  <c r="AD74" i="4"/>
  <c r="AF74" i="4" s="1"/>
  <c r="AG74" i="4" s="1"/>
  <c r="AH74" i="4" s="1"/>
  <c r="AI74" i="4" s="1"/>
  <c r="AD492" i="4"/>
  <c r="AF492" i="4" s="1"/>
  <c r="AG492" i="4" s="1"/>
  <c r="AH492" i="4" s="1"/>
  <c r="AI492" i="4" s="1"/>
  <c r="AD437" i="4"/>
  <c r="AF437" i="4" s="1"/>
  <c r="AG437" i="4" s="1"/>
  <c r="AH437" i="4" s="1"/>
  <c r="AI437" i="4" s="1"/>
  <c r="AD323" i="4"/>
  <c r="AF323" i="4" s="1"/>
  <c r="AG323" i="4" s="1"/>
  <c r="AH323" i="4" s="1"/>
  <c r="AI323" i="4" s="1"/>
  <c r="AD244" i="4"/>
  <c r="AF244" i="4" s="1"/>
  <c r="AG244" i="4" s="1"/>
  <c r="AH244" i="4" s="1"/>
  <c r="AI244" i="4" s="1"/>
  <c r="AD80" i="4"/>
  <c r="AF80" i="4" s="1"/>
  <c r="AG80" i="4" s="1"/>
  <c r="AH80" i="4" s="1"/>
  <c r="AI80" i="4" s="1"/>
  <c r="AD229" i="4"/>
  <c r="AF229" i="4" s="1"/>
  <c r="AG229" i="4" s="1"/>
  <c r="AH229" i="4" s="1"/>
  <c r="AI229" i="4" s="1"/>
  <c r="AD234" i="4"/>
  <c r="AF234" i="4" s="1"/>
  <c r="AG234" i="4" s="1"/>
  <c r="AH234" i="4" s="1"/>
  <c r="AI234" i="4" s="1"/>
  <c r="AD454" i="4"/>
  <c r="AF454" i="4" s="1"/>
  <c r="AG454" i="4" s="1"/>
  <c r="AH454" i="4" s="1"/>
  <c r="AI454" i="4" s="1"/>
  <c r="AD399" i="4"/>
  <c r="AF399" i="4" s="1"/>
  <c r="AG399" i="4" s="1"/>
  <c r="AH399" i="4" s="1"/>
  <c r="AI399" i="4" s="1"/>
  <c r="AD356" i="4"/>
  <c r="AF356" i="4" s="1"/>
  <c r="AG356" i="4" s="1"/>
  <c r="AH356" i="4" s="1"/>
  <c r="AI356" i="4" s="1"/>
  <c r="AD271" i="4"/>
  <c r="AF271" i="4" s="1"/>
  <c r="AG271" i="4" s="1"/>
  <c r="AH271" i="4" s="1"/>
  <c r="AI271" i="4" s="1"/>
  <c r="AD190" i="4"/>
  <c r="AF190" i="4" s="1"/>
  <c r="AG190" i="4" s="1"/>
  <c r="AH190" i="4" s="1"/>
  <c r="AI190" i="4" s="1"/>
  <c r="AD136" i="4"/>
  <c r="AF136" i="4" s="1"/>
  <c r="AG136" i="4" s="1"/>
  <c r="AH136" i="4" s="1"/>
  <c r="AI136" i="4" s="1"/>
  <c r="AD275" i="4"/>
  <c r="AF275" i="4" s="1"/>
  <c r="AG275" i="4" s="1"/>
  <c r="AH275" i="4" s="1"/>
  <c r="AI275" i="4" s="1"/>
  <c r="AD308" i="4"/>
  <c r="AF308" i="4" s="1"/>
  <c r="AG308" i="4" s="1"/>
  <c r="AH308" i="4" s="1"/>
  <c r="AI308" i="4" s="1"/>
  <c r="G22" i="3"/>
  <c r="AD503" i="4"/>
  <c r="AF503" i="4" s="1"/>
  <c r="AG503" i="4" s="1"/>
  <c r="AH503" i="4" s="1"/>
  <c r="AI503" i="4" s="1"/>
  <c r="AD378" i="4"/>
  <c r="AF378" i="4" s="1"/>
  <c r="AG378" i="4" s="1"/>
  <c r="AH378" i="4" s="1"/>
  <c r="AI378" i="4" s="1"/>
  <c r="AD390" i="4"/>
  <c r="AF390" i="4" s="1"/>
  <c r="AG390" i="4" s="1"/>
  <c r="AH390" i="4" s="1"/>
  <c r="AI390" i="4" s="1"/>
  <c r="AD294" i="4"/>
  <c r="AF294" i="4" s="1"/>
  <c r="AG294" i="4" s="1"/>
  <c r="AH294" i="4" s="1"/>
  <c r="AI294" i="4" s="1"/>
  <c r="AD457" i="4"/>
  <c r="AF457" i="4" s="1"/>
  <c r="AG457" i="4" s="1"/>
  <c r="AH457" i="4" s="1"/>
  <c r="AI457" i="4" s="1"/>
  <c r="AD327" i="4"/>
  <c r="AF327" i="4" s="1"/>
  <c r="AG327" i="4" s="1"/>
  <c r="AH327" i="4" s="1"/>
  <c r="AI327" i="4" s="1"/>
  <c r="AD498" i="4"/>
  <c r="AF498" i="4" s="1"/>
  <c r="AG498" i="4" s="1"/>
  <c r="AH498" i="4" s="1"/>
  <c r="AI498" i="4" s="1"/>
  <c r="AD326" i="4"/>
  <c r="AF326" i="4" s="1"/>
  <c r="AG326" i="4" s="1"/>
  <c r="AH326" i="4" s="1"/>
  <c r="AI326" i="4" s="1"/>
  <c r="AD233" i="4"/>
  <c r="AF233" i="4" s="1"/>
  <c r="AG233" i="4" s="1"/>
  <c r="AH233" i="4" s="1"/>
  <c r="AI233" i="4" s="1"/>
  <c r="AD241" i="4"/>
  <c r="AF241" i="4" s="1"/>
  <c r="AG241" i="4" s="1"/>
  <c r="AH241" i="4" s="1"/>
  <c r="AI241" i="4" s="1"/>
  <c r="AD493" i="4"/>
  <c r="AF493" i="4" s="1"/>
  <c r="AG493" i="4" s="1"/>
  <c r="AH493" i="4" s="1"/>
  <c r="AI493" i="4" s="1"/>
  <c r="AD430" i="4"/>
  <c r="AF430" i="4" s="1"/>
  <c r="AG430" i="4" s="1"/>
  <c r="AH430" i="4" s="1"/>
  <c r="AI430" i="4" s="1"/>
  <c r="AD306" i="4"/>
  <c r="AF306" i="4" s="1"/>
  <c r="AG306" i="4" s="1"/>
  <c r="AH306" i="4" s="1"/>
  <c r="AI306" i="4" s="1"/>
  <c r="AD253" i="4"/>
  <c r="AF253" i="4" s="1"/>
  <c r="AG253" i="4" s="1"/>
  <c r="AH253" i="4" s="1"/>
  <c r="AI253" i="4" s="1"/>
  <c r="AD199" i="4"/>
  <c r="AF199" i="4" s="1"/>
  <c r="AG199" i="4" s="1"/>
  <c r="AH199" i="4" s="1"/>
  <c r="AI199" i="4" s="1"/>
  <c r="AD141" i="4"/>
  <c r="AF141" i="4" s="1"/>
  <c r="AG141" i="4" s="1"/>
  <c r="AH141" i="4" s="1"/>
  <c r="AI141" i="4" s="1"/>
  <c r="AD321" i="4"/>
  <c r="AF321" i="4" s="1"/>
  <c r="AG321" i="4" s="1"/>
  <c r="AH321" i="4" s="1"/>
  <c r="AI321" i="4" s="1"/>
  <c r="AD135" i="4"/>
  <c r="AF135" i="4" s="1"/>
  <c r="AG135" i="4" s="1"/>
  <c r="AH135" i="4" s="1"/>
  <c r="AI135" i="4" s="1"/>
  <c r="AD20" i="4"/>
  <c r="AF20" i="4" s="1"/>
  <c r="AG20" i="4" s="1"/>
  <c r="AH20" i="4" s="1"/>
  <c r="AI20" i="4" s="1"/>
  <c r="AD410" i="4"/>
  <c r="AF410" i="4" s="1"/>
  <c r="AG410" i="4" s="1"/>
  <c r="AH410" i="4" s="1"/>
  <c r="AI410" i="4" s="1"/>
  <c r="AD92" i="4"/>
  <c r="AF92" i="4" s="1"/>
  <c r="AG92" i="4" s="1"/>
  <c r="AH92" i="4" s="1"/>
  <c r="AI92" i="4" s="1"/>
  <c r="AD388" i="4"/>
  <c r="AF388" i="4" s="1"/>
  <c r="AG388" i="4" s="1"/>
  <c r="AH388" i="4" s="1"/>
  <c r="AI388" i="4" s="1"/>
  <c r="AD119" i="4"/>
  <c r="AF119" i="4" s="1"/>
  <c r="AG119" i="4" s="1"/>
  <c r="AH119" i="4" s="1"/>
  <c r="AI119" i="4" s="1"/>
  <c r="AD435" i="4"/>
  <c r="AF435" i="4" s="1"/>
  <c r="AG435" i="4" s="1"/>
  <c r="AH435" i="4" s="1"/>
  <c r="AI435" i="4" s="1"/>
  <c r="AD257" i="4"/>
  <c r="AF257" i="4" s="1"/>
  <c r="AG257" i="4" s="1"/>
  <c r="AH257" i="4" s="1"/>
  <c r="AI257" i="4" s="1"/>
  <c r="AD380" i="4"/>
  <c r="AF380" i="4" s="1"/>
  <c r="AG380" i="4" s="1"/>
  <c r="AH380" i="4" s="1"/>
  <c r="AI380" i="4" s="1"/>
  <c r="AD297" i="4"/>
  <c r="AF297" i="4" s="1"/>
  <c r="AG297" i="4" s="1"/>
  <c r="AH297" i="4" s="1"/>
  <c r="AI297" i="4" s="1"/>
  <c r="AD286" i="4"/>
  <c r="AF286" i="4" s="1"/>
  <c r="AG286" i="4" s="1"/>
  <c r="AH286" i="4" s="1"/>
  <c r="AI286" i="4" s="1"/>
  <c r="AD441" i="4"/>
  <c r="AF441" i="4" s="1"/>
  <c r="AG441" i="4" s="1"/>
  <c r="AH441" i="4" s="1"/>
  <c r="AI441" i="4" s="1"/>
  <c r="AD329" i="4"/>
  <c r="AF329" i="4" s="1"/>
  <c r="AG329" i="4" s="1"/>
  <c r="AH329" i="4" s="1"/>
  <c r="AI329" i="4" s="1"/>
  <c r="AD232" i="4"/>
  <c r="AF232" i="4" s="1"/>
  <c r="AG232" i="4" s="1"/>
  <c r="AH232" i="4" s="1"/>
  <c r="AI232" i="4" s="1"/>
  <c r="AD207" i="4"/>
  <c r="AF207" i="4" s="1"/>
  <c r="AG207" i="4" s="1"/>
  <c r="AH207" i="4" s="1"/>
  <c r="AI207" i="4" s="1"/>
  <c r="AD47" i="4"/>
  <c r="AF47" i="4" s="1"/>
  <c r="AG47" i="4" s="1"/>
  <c r="AH47" i="4" s="1"/>
  <c r="AI47" i="4" s="1"/>
  <c r="AD270" i="4"/>
  <c r="AF270" i="4" s="1"/>
  <c r="AG270" i="4" s="1"/>
  <c r="AH270" i="4" s="1"/>
  <c r="AI270" i="4" s="1"/>
  <c r="AD483" i="4"/>
  <c r="AF483" i="4" s="1"/>
  <c r="AG483" i="4" s="1"/>
  <c r="AH483" i="4" s="1"/>
  <c r="AI483" i="4" s="1"/>
  <c r="AD422" i="4"/>
  <c r="AF422" i="4" s="1"/>
  <c r="AG422" i="4" s="1"/>
  <c r="AH422" i="4" s="1"/>
  <c r="AI422" i="4" s="1"/>
  <c r="AD305" i="4"/>
  <c r="AF305" i="4" s="1"/>
  <c r="AG305" i="4" s="1"/>
  <c r="AH305" i="4" s="1"/>
  <c r="AI305" i="4" s="1"/>
  <c r="AD245" i="4"/>
  <c r="AF245" i="4" s="1"/>
  <c r="AG245" i="4" s="1"/>
  <c r="AH245" i="4" s="1"/>
  <c r="AI245" i="4" s="1"/>
  <c r="AD134" i="4"/>
  <c r="AF134" i="4" s="1"/>
  <c r="AG134" i="4" s="1"/>
  <c r="AH134" i="4" s="1"/>
  <c r="AI134" i="4" s="1"/>
  <c r="AD238" i="4"/>
  <c r="AF238" i="4" s="1"/>
  <c r="AG238" i="4" s="1"/>
  <c r="AH238" i="4" s="1"/>
  <c r="AI238" i="4" s="1"/>
  <c r="AD170" i="4"/>
  <c r="AF170" i="4" s="1"/>
  <c r="AG170" i="4" s="1"/>
  <c r="AH170" i="4" s="1"/>
  <c r="AI170" i="4" s="1"/>
  <c r="AD216" i="4"/>
  <c r="AF216" i="4" s="1"/>
  <c r="AG216" i="4" s="1"/>
  <c r="AH216" i="4" s="1"/>
  <c r="AI216" i="4" s="1"/>
  <c r="AD466" i="4"/>
  <c r="AF466" i="4" s="1"/>
  <c r="AG466" i="4" s="1"/>
  <c r="AH466" i="4" s="1"/>
  <c r="AI466" i="4" s="1"/>
  <c r="AD370" i="4"/>
  <c r="AF370" i="4" s="1"/>
  <c r="AG370" i="4" s="1"/>
  <c r="AH370" i="4" s="1"/>
  <c r="AI370" i="4" s="1"/>
  <c r="AD315" i="4"/>
  <c r="AF315" i="4" s="1"/>
  <c r="AG315" i="4" s="1"/>
  <c r="AH315" i="4" s="1"/>
  <c r="AI315" i="4" s="1"/>
  <c r="AD194" i="4"/>
  <c r="AF194" i="4" s="1"/>
  <c r="AG194" i="4" s="1"/>
  <c r="AH194" i="4" s="1"/>
  <c r="AI194" i="4" s="1"/>
  <c r="AD213" i="4"/>
  <c r="AF213" i="4" s="1"/>
  <c r="AG213" i="4" s="1"/>
  <c r="AH213" i="4" s="1"/>
  <c r="AI213" i="4" s="1"/>
  <c r="AD128" i="4"/>
  <c r="AF128" i="4" s="1"/>
  <c r="AG128" i="4" s="1"/>
  <c r="AH128" i="4" s="1"/>
  <c r="AI128" i="4" s="1"/>
  <c r="AD161" i="4"/>
  <c r="AF161" i="4" s="1"/>
  <c r="AG161" i="4" s="1"/>
  <c r="AH161" i="4" s="1"/>
  <c r="AI161" i="4" s="1"/>
  <c r="AD211" i="4"/>
  <c r="AF211" i="4" s="1"/>
  <c r="AG211" i="4" s="1"/>
  <c r="AH211" i="4" s="1"/>
  <c r="AI211" i="4" s="1"/>
  <c r="AD453" i="4"/>
  <c r="AF453" i="4" s="1"/>
  <c r="AG453" i="4" s="1"/>
  <c r="AH453" i="4" s="1"/>
  <c r="AI453" i="4" s="1"/>
  <c r="AD152" i="4"/>
  <c r="AF152" i="4" s="1"/>
  <c r="AG152" i="4" s="1"/>
  <c r="AH152" i="4" s="1"/>
  <c r="AI152" i="4" s="1"/>
  <c r="AD495" i="4"/>
  <c r="AF495" i="4" s="1"/>
  <c r="AG495" i="4" s="1"/>
  <c r="AH495" i="4" s="1"/>
  <c r="AI495" i="4" s="1"/>
  <c r="AD333" i="4"/>
  <c r="AF333" i="4" s="1"/>
  <c r="AG333" i="4" s="1"/>
  <c r="AH333" i="4" s="1"/>
  <c r="AI333" i="4" s="1"/>
  <c r="AD322" i="4"/>
  <c r="AF322" i="4" s="1"/>
  <c r="AG322" i="4" s="1"/>
  <c r="AH322" i="4" s="1"/>
  <c r="AI322" i="4" s="1"/>
  <c r="AD494" i="4"/>
  <c r="AF494" i="4" s="1"/>
  <c r="AG494" i="4" s="1"/>
  <c r="AH494" i="4" s="1"/>
  <c r="AI494" i="4" s="1"/>
  <c r="AD324" i="4"/>
  <c r="AF324" i="4" s="1"/>
  <c r="AG324" i="4" s="1"/>
  <c r="AH324" i="4" s="1"/>
  <c r="AI324" i="4" s="1"/>
  <c r="AD272" i="4"/>
  <c r="AF272" i="4" s="1"/>
  <c r="AG272" i="4" s="1"/>
  <c r="AH272" i="4" s="1"/>
  <c r="AI272" i="4" s="1"/>
  <c r="AD469" i="4"/>
  <c r="AF469" i="4" s="1"/>
  <c r="AG469" i="4" s="1"/>
  <c r="AH469" i="4" s="1"/>
  <c r="AI469" i="4" s="1"/>
  <c r="AD361" i="4"/>
  <c r="AF361" i="4" s="1"/>
  <c r="AG361" i="4" s="1"/>
  <c r="AH361" i="4" s="1"/>
  <c r="AI361" i="4" s="1"/>
  <c r="AD358" i="4"/>
  <c r="AF358" i="4" s="1"/>
  <c r="AG358" i="4" s="1"/>
  <c r="AH358" i="4" s="1"/>
  <c r="AI358" i="4" s="1"/>
  <c r="AD187" i="4"/>
  <c r="AF187" i="4" s="1"/>
  <c r="AG187" i="4" s="1"/>
  <c r="AH187" i="4" s="1"/>
  <c r="AI187" i="4" s="1"/>
  <c r="AD205" i="4"/>
  <c r="AF205" i="4" s="1"/>
  <c r="AG205" i="4" s="1"/>
  <c r="AH205" i="4" s="1"/>
  <c r="AI205" i="4" s="1"/>
  <c r="AD112" i="4"/>
  <c r="AF112" i="4" s="1"/>
  <c r="AG112" i="4" s="1"/>
  <c r="AH112" i="4" s="1"/>
  <c r="AI112" i="4" s="1"/>
  <c r="AD63" i="4"/>
  <c r="AF63" i="4" s="1"/>
  <c r="AG63" i="4" s="1"/>
  <c r="AH63" i="4" s="1"/>
  <c r="AI63" i="4" s="1"/>
  <c r="AD407" i="4"/>
  <c r="AF407" i="4" s="1"/>
  <c r="AG407" i="4" s="1"/>
  <c r="AH407" i="4" s="1"/>
  <c r="AI407" i="4" s="1"/>
  <c r="AD423" i="4"/>
  <c r="AF423" i="4" s="1"/>
  <c r="AG423" i="4" s="1"/>
  <c r="AH423" i="4" s="1"/>
  <c r="AI423" i="4" s="1"/>
  <c r="AD182" i="4"/>
  <c r="AF182" i="4" s="1"/>
  <c r="AG182" i="4" s="1"/>
  <c r="AH182" i="4" s="1"/>
  <c r="AI182" i="4" s="1"/>
  <c r="AD314" i="4"/>
  <c r="AF314" i="4" s="1"/>
  <c r="AG314" i="4" s="1"/>
  <c r="AH314" i="4" s="1"/>
  <c r="AI314" i="4" s="1"/>
  <c r="AD155" i="4"/>
  <c r="AF155" i="4" s="1"/>
  <c r="AG155" i="4" s="1"/>
  <c r="AH155" i="4" s="1"/>
  <c r="AI155" i="4" s="1"/>
  <c r="AD166" i="4"/>
  <c r="AF166" i="4" s="1"/>
  <c r="AG166" i="4" s="1"/>
  <c r="AH166" i="4" s="1"/>
  <c r="AI166" i="4" s="1"/>
  <c r="AD95" i="4"/>
  <c r="AF95" i="4" s="1"/>
  <c r="AG95" i="4" s="1"/>
  <c r="AH95" i="4" s="1"/>
  <c r="AI95" i="4" s="1"/>
  <c r="AD158" i="4"/>
  <c r="AF158" i="4" s="1"/>
  <c r="AG158" i="4" s="1"/>
  <c r="AH158" i="4" s="1"/>
  <c r="AI158" i="4" s="1"/>
  <c r="AD186" i="4"/>
  <c r="AF186" i="4" s="1"/>
  <c r="AG186" i="4" s="1"/>
  <c r="AH186" i="4" s="1"/>
  <c r="AI186" i="4" s="1"/>
  <c r="AD463" i="4"/>
  <c r="AF463" i="4" s="1"/>
  <c r="AG463" i="4" s="1"/>
  <c r="AH463" i="4" s="1"/>
  <c r="AI463" i="4" s="1"/>
  <c r="AD225" i="4"/>
  <c r="AF225" i="4" s="1"/>
  <c r="AG225" i="4" s="1"/>
  <c r="AH225" i="4" s="1"/>
  <c r="AI225" i="4" s="1"/>
  <c r="AD460" i="4"/>
  <c r="AF460" i="4" s="1"/>
  <c r="AG460" i="4" s="1"/>
  <c r="AH460" i="4" s="1"/>
  <c r="AI460" i="4" s="1"/>
  <c r="AD93" i="4"/>
  <c r="AF93" i="4" s="1"/>
  <c r="AG93" i="4" s="1"/>
  <c r="AH93" i="4" s="1"/>
  <c r="AI93" i="4" s="1"/>
  <c r="AD239" i="4"/>
  <c r="AF239" i="4" s="1"/>
  <c r="AG239" i="4" s="1"/>
  <c r="AH239" i="4" s="1"/>
  <c r="AI239" i="4" s="1"/>
  <c r="AD223" i="4"/>
  <c r="AF223" i="4" s="1"/>
  <c r="AG223" i="4" s="1"/>
  <c r="AH223" i="4" s="1"/>
  <c r="AI223" i="4" s="1"/>
  <c r="AD335" i="4"/>
  <c r="AF335" i="4" s="1"/>
  <c r="AG335" i="4" s="1"/>
  <c r="AH335" i="4" s="1"/>
  <c r="AI335" i="4" s="1"/>
  <c r="AD115" i="4"/>
  <c r="AF115" i="4" s="1"/>
  <c r="AG115" i="4" s="1"/>
  <c r="AH115" i="4" s="1"/>
  <c r="AI115" i="4" s="1"/>
  <c r="AD83" i="4"/>
  <c r="AF83" i="4" s="1"/>
  <c r="AG83" i="4" s="1"/>
  <c r="AH83" i="4" s="1"/>
  <c r="AI83" i="4" s="1"/>
  <c r="G21" i="3"/>
  <c r="AD375" i="4"/>
  <c r="AF375" i="4" s="1"/>
  <c r="AG375" i="4" s="1"/>
  <c r="AH375" i="4" s="1"/>
  <c r="AI375" i="4" s="1"/>
  <c r="AD121" i="4"/>
  <c r="AF121" i="4" s="1"/>
  <c r="AG121" i="4" s="1"/>
  <c r="AH121" i="4" s="1"/>
  <c r="AI121" i="4" s="1"/>
  <c r="AD475" i="4"/>
  <c r="AF475" i="4" s="1"/>
  <c r="AG475" i="4" s="1"/>
  <c r="AH475" i="4" s="1"/>
  <c r="AI475" i="4" s="1"/>
  <c r="AD147" i="4"/>
  <c r="AF147" i="4" s="1"/>
  <c r="AG147" i="4" s="1"/>
  <c r="AH147" i="4" s="1"/>
  <c r="AI147" i="4" s="1"/>
  <c r="AD132" i="4"/>
  <c r="AF132" i="4" s="1"/>
  <c r="AG132" i="4" s="1"/>
  <c r="AH132" i="4" s="1"/>
  <c r="AI132" i="4" s="1"/>
  <c r="AD79" i="4"/>
  <c r="AF79" i="4" s="1"/>
  <c r="AG79" i="4" s="1"/>
  <c r="AH79" i="4" s="1"/>
  <c r="AI79" i="4" s="1"/>
  <c r="AD157" i="4"/>
  <c r="AF157" i="4" s="1"/>
  <c r="AG157" i="4" s="1"/>
  <c r="AH157" i="4" s="1"/>
  <c r="AI157" i="4" s="1"/>
  <c r="AD105" i="4"/>
  <c r="AF105" i="4" s="1"/>
  <c r="AG105" i="4" s="1"/>
  <c r="AH105" i="4" s="1"/>
  <c r="AI105" i="4" s="1"/>
  <c r="AD342" i="4"/>
  <c r="AF342" i="4" s="1"/>
  <c r="AG342" i="4" s="1"/>
  <c r="AH342" i="4" s="1"/>
  <c r="AI342" i="4" s="1"/>
  <c r="AD470" i="4"/>
  <c r="AF470" i="4" s="1"/>
  <c r="AG470" i="4" s="1"/>
  <c r="AH470" i="4" s="1"/>
  <c r="AI470" i="4" s="1"/>
  <c r="AD382" i="4"/>
  <c r="AF382" i="4" s="1"/>
  <c r="AG382" i="4" s="1"/>
  <c r="AH382" i="4" s="1"/>
  <c r="AI382" i="4" s="1"/>
  <c r="AD7" i="4"/>
  <c r="AF7" i="4" s="1"/>
  <c r="AG7" i="4" s="1"/>
  <c r="AH7" i="4" s="1"/>
  <c r="AI7" i="4" s="1"/>
  <c r="AD236" i="4"/>
  <c r="AF236" i="4" s="1"/>
  <c r="AG236" i="4" s="1"/>
  <c r="AH236" i="4" s="1"/>
  <c r="AI236" i="4" s="1"/>
  <c r="AD456" i="4"/>
  <c r="AF456" i="4" s="1"/>
  <c r="AG456" i="4" s="1"/>
  <c r="AH456" i="4" s="1"/>
  <c r="AI456" i="4" s="1"/>
  <c r="AD363" i="4"/>
  <c r="AF363" i="4" s="1"/>
  <c r="AG363" i="4" s="1"/>
  <c r="AH363" i="4" s="1"/>
  <c r="AI363" i="4" s="1"/>
  <c r="AD150" i="4"/>
  <c r="AF150" i="4" s="1"/>
  <c r="AG150" i="4" s="1"/>
  <c r="AH150" i="4" s="1"/>
  <c r="AI150" i="4" s="1"/>
  <c r="AD163" i="4"/>
  <c r="AF163" i="4" s="1"/>
  <c r="AG163" i="4" s="1"/>
  <c r="AH163" i="4" s="1"/>
  <c r="AI163" i="4" s="1"/>
  <c r="AD73" i="4"/>
  <c r="AF73" i="4" s="1"/>
  <c r="AG73" i="4" s="1"/>
  <c r="AH73" i="4" s="1"/>
  <c r="AI73" i="4" s="1"/>
  <c r="AD143" i="4"/>
  <c r="AF143" i="4" s="1"/>
  <c r="AG143" i="4" s="1"/>
  <c r="AH143" i="4" s="1"/>
  <c r="AI143" i="4" s="1"/>
  <c r="AD6" i="4"/>
  <c r="AF6" i="4" s="1"/>
  <c r="AG6" i="4" s="1"/>
  <c r="AH6" i="4" s="1"/>
  <c r="AI6" i="4" s="1"/>
  <c r="AD413" i="4"/>
  <c r="AF413" i="4" s="1"/>
  <c r="AG413" i="4" s="1"/>
  <c r="AH413" i="4" s="1"/>
  <c r="AI413" i="4" s="1"/>
  <c r="AD162" i="4"/>
  <c r="AF162" i="4" s="1"/>
  <c r="AG162" i="4" s="1"/>
  <c r="AH162" i="4" s="1"/>
  <c r="AI162" i="4" s="1"/>
  <c r="AD487" i="4"/>
  <c r="AF487" i="4" s="1"/>
  <c r="AG487" i="4" s="1"/>
  <c r="AH487" i="4" s="1"/>
  <c r="AI487" i="4" s="1"/>
  <c r="AD376" i="4"/>
  <c r="AF376" i="4" s="1"/>
  <c r="AG376" i="4" s="1"/>
  <c r="AH376" i="4" s="1"/>
  <c r="AI376" i="4" s="1"/>
  <c r="AD332" i="4"/>
  <c r="AF332" i="4" s="1"/>
  <c r="AG332" i="4" s="1"/>
  <c r="AH332" i="4" s="1"/>
  <c r="AI332" i="4" s="1"/>
  <c r="AD99" i="4"/>
  <c r="AF99" i="4" s="1"/>
  <c r="AG99" i="4" s="1"/>
  <c r="AH99" i="4" s="1"/>
  <c r="AI99" i="4" s="1"/>
  <c r="AD408" i="4"/>
  <c r="AF408" i="4" s="1"/>
  <c r="AG408" i="4" s="1"/>
  <c r="AH408" i="4" s="1"/>
  <c r="AI408" i="4" s="1"/>
  <c r="AD341" i="4"/>
  <c r="AF341" i="4" s="1"/>
  <c r="AG341" i="4" s="1"/>
  <c r="AH341" i="4" s="1"/>
  <c r="AI341" i="4" s="1"/>
  <c r="AD114" i="4"/>
  <c r="AF114" i="4" s="1"/>
  <c r="AG114" i="4" s="1"/>
  <c r="AH114" i="4" s="1"/>
  <c r="AI114" i="4" s="1"/>
  <c r="AD148" i="4"/>
  <c r="AF148" i="4" s="1"/>
  <c r="AG148" i="4" s="1"/>
  <c r="AH148" i="4" s="1"/>
  <c r="AI148" i="4" s="1"/>
  <c r="AD447" i="4"/>
  <c r="AF447" i="4" s="1"/>
  <c r="AG447" i="4" s="1"/>
  <c r="AH447" i="4" s="1"/>
  <c r="AI447" i="4" s="1"/>
  <c r="AD151" i="4"/>
  <c r="AF151" i="4" s="1"/>
  <c r="AG151" i="4" s="1"/>
  <c r="AH151" i="4" s="1"/>
  <c r="AI151" i="4" s="1"/>
  <c r="AD486" i="4"/>
  <c r="AF486" i="4" s="1"/>
  <c r="AG486" i="4" s="1"/>
  <c r="AH486" i="4" s="1"/>
  <c r="AI486" i="4" s="1"/>
  <c r="AD405" i="4"/>
  <c r="AF405" i="4" s="1"/>
  <c r="AG405" i="4" s="1"/>
  <c r="AH405" i="4" s="1"/>
  <c r="AI405" i="4" s="1"/>
  <c r="AD41" i="4"/>
  <c r="AF41" i="4" s="1"/>
  <c r="AG41" i="4" s="1"/>
  <c r="AH41" i="4" s="1"/>
  <c r="AI41" i="4" s="1"/>
  <c r="G11" i="3"/>
  <c r="AD350" i="4"/>
  <c r="AF350" i="4" s="1"/>
  <c r="AG350" i="4" s="1"/>
  <c r="AH350" i="4" s="1"/>
  <c r="AI350" i="4" s="1"/>
  <c r="AD451" i="4"/>
  <c r="AF451" i="4" s="1"/>
  <c r="AG451" i="4" s="1"/>
  <c r="AH451" i="4" s="1"/>
  <c r="AI451" i="4" s="1"/>
  <c r="AD231" i="4"/>
  <c r="AF231" i="4" s="1"/>
  <c r="AG231" i="4" s="1"/>
  <c r="AH231" i="4" s="1"/>
  <c r="AI231" i="4" s="1"/>
  <c r="AD489" i="4"/>
  <c r="AF489" i="4" s="1"/>
  <c r="AG489" i="4" s="1"/>
  <c r="AH489" i="4" s="1"/>
  <c r="AI489" i="4" s="1"/>
  <c r="AD386" i="4"/>
  <c r="AF386" i="4" s="1"/>
  <c r="AG386" i="4" s="1"/>
  <c r="AH386" i="4" s="1"/>
  <c r="AI386" i="4" s="1"/>
  <c r="AD365" i="4"/>
  <c r="AF365" i="4" s="1"/>
  <c r="AG365" i="4" s="1"/>
  <c r="AH365" i="4" s="1"/>
  <c r="AI365" i="4" s="1"/>
  <c r="AD103" i="4"/>
  <c r="AF103" i="4" s="1"/>
  <c r="AG103" i="4" s="1"/>
  <c r="AH103" i="4" s="1"/>
  <c r="AI103" i="4" s="1"/>
  <c r="AD397" i="4"/>
  <c r="AF397" i="4" s="1"/>
  <c r="AG397" i="4" s="1"/>
  <c r="AH397" i="4" s="1"/>
  <c r="AI397" i="4" s="1"/>
  <c r="AD387" i="4"/>
  <c r="AF387" i="4" s="1"/>
  <c r="AG387" i="4" s="1"/>
  <c r="AH387" i="4" s="1"/>
  <c r="AI387" i="4" s="1"/>
  <c r="AD210" i="4"/>
  <c r="AF210" i="4" s="1"/>
  <c r="AG210" i="4" s="1"/>
  <c r="AH210" i="4" s="1"/>
  <c r="AI210" i="4" s="1"/>
  <c r="AD191" i="4"/>
  <c r="AF191" i="4" s="1"/>
  <c r="AG191" i="4" s="1"/>
  <c r="AH191" i="4" s="1"/>
  <c r="AI191" i="4" s="1"/>
  <c r="AD117" i="4"/>
  <c r="AF117" i="4" s="1"/>
  <c r="AG117" i="4" s="1"/>
  <c r="AH117" i="4" s="1"/>
  <c r="AI117" i="4" s="1"/>
  <c r="AD401" i="4"/>
  <c r="AF401" i="4" s="1"/>
  <c r="AG401" i="4" s="1"/>
  <c r="AH401" i="4" s="1"/>
  <c r="AI401" i="4" s="1"/>
  <c r="AD400" i="4"/>
  <c r="AF400" i="4" s="1"/>
  <c r="AG400" i="4" s="1"/>
  <c r="AH400" i="4" s="1"/>
  <c r="AI400" i="4" s="1"/>
  <c r="AD301" i="4"/>
  <c r="AF301" i="4" s="1"/>
  <c r="AG301" i="4" s="1"/>
  <c r="AH301" i="4" s="1"/>
  <c r="AI301" i="4" s="1"/>
  <c r="AD221" i="4"/>
  <c r="AF221" i="4" s="1"/>
  <c r="AG221" i="4" s="1"/>
  <c r="AH221" i="4" s="1"/>
  <c r="AI221" i="4" s="1"/>
  <c r="AD320" i="4"/>
  <c r="AF320" i="4" s="1"/>
  <c r="AG320" i="4" s="1"/>
  <c r="AH320" i="4" s="1"/>
  <c r="AI320" i="4" s="1"/>
  <c r="AD113" i="4"/>
  <c r="AF113" i="4" s="1"/>
  <c r="AG113" i="4" s="1"/>
  <c r="AH113" i="4" s="1"/>
  <c r="AI113" i="4" s="1"/>
  <c r="AD420" i="4"/>
  <c r="AF420" i="4" s="1"/>
  <c r="AG420" i="4" s="1"/>
  <c r="AH420" i="4" s="1"/>
  <c r="AI420" i="4" s="1"/>
  <c r="AD359" i="4"/>
  <c r="AF359" i="4" s="1"/>
  <c r="AG359" i="4" s="1"/>
  <c r="AH359" i="4" s="1"/>
  <c r="AI359" i="4" s="1"/>
  <c r="AD328" i="4"/>
  <c r="AF328" i="4" s="1"/>
  <c r="AG328" i="4" s="1"/>
  <c r="AH328" i="4" s="1"/>
  <c r="AI328" i="4" s="1"/>
  <c r="AD184" i="4"/>
  <c r="AF184" i="4" s="1"/>
  <c r="AG184" i="4" s="1"/>
  <c r="AH184" i="4" s="1"/>
  <c r="AI184" i="4" s="1"/>
  <c r="AD49" i="4"/>
  <c r="AF49" i="4" s="1"/>
  <c r="AG49" i="4" s="1"/>
  <c r="AH49" i="4" s="1"/>
  <c r="AI49" i="4" s="1"/>
  <c r="AD18" i="4"/>
  <c r="AF18" i="4" s="1"/>
  <c r="AG18" i="4" s="1"/>
  <c r="AH18" i="4" s="1"/>
  <c r="AI18" i="4" s="1"/>
  <c r="AD504" i="4"/>
  <c r="AF504" i="4" s="1"/>
  <c r="AG504" i="4" s="1"/>
  <c r="AH504" i="4" s="1"/>
  <c r="AI504" i="4" s="1"/>
  <c r="AD394" i="4"/>
  <c r="AF394" i="4" s="1"/>
  <c r="AG394" i="4" s="1"/>
  <c r="AH394" i="4" s="1"/>
  <c r="AI394" i="4" s="1"/>
  <c r="AD97" i="4"/>
  <c r="AF97" i="4" s="1"/>
  <c r="AG97" i="4" s="1"/>
  <c r="AH97" i="4" s="1"/>
  <c r="AI97" i="4" s="1"/>
  <c r="AD94" i="4"/>
  <c r="AF94" i="4" s="1"/>
  <c r="AG94" i="4" s="1"/>
  <c r="AH94" i="4" s="1"/>
  <c r="AI94" i="4" s="1"/>
  <c r="AD383" i="4"/>
  <c r="AF383" i="4" s="1"/>
  <c r="AG383" i="4" s="1"/>
  <c r="AH383" i="4" s="1"/>
  <c r="AI383" i="4" s="1"/>
  <c r="AD273" i="4"/>
  <c r="AF273" i="4" s="1"/>
  <c r="AG273" i="4" s="1"/>
  <c r="AH273" i="4" s="1"/>
  <c r="AI273" i="4" s="1"/>
  <c r="AD26" i="4"/>
  <c r="AF26" i="4" s="1"/>
  <c r="AG26" i="4" s="1"/>
  <c r="AH26" i="4" s="1"/>
  <c r="AI26" i="4" s="1"/>
  <c r="AD29" i="4"/>
  <c r="AF29" i="4" s="1"/>
  <c r="AG29" i="4" s="1"/>
  <c r="AH29" i="4" s="1"/>
  <c r="AI29" i="4" s="1"/>
  <c r="AD392" i="4"/>
  <c r="AF392" i="4" s="1"/>
  <c r="AG392" i="4" s="1"/>
  <c r="AH392" i="4" s="1"/>
  <c r="AI392" i="4" s="1"/>
  <c r="AD406" i="4"/>
  <c r="AF406" i="4" s="1"/>
  <c r="AG406" i="4" s="1"/>
  <c r="AH406" i="4" s="1"/>
  <c r="AI406" i="4" s="1"/>
  <c r="AD313" i="4"/>
  <c r="AF313" i="4" s="1"/>
  <c r="AG313" i="4" s="1"/>
  <c r="AH313" i="4" s="1"/>
  <c r="AI313" i="4" s="1"/>
  <c r="AD78" i="4"/>
  <c r="AF78" i="4" s="1"/>
  <c r="AG78" i="4" s="1"/>
  <c r="AH78" i="4" s="1"/>
  <c r="AI78" i="4" s="1"/>
  <c r="AD474" i="4"/>
  <c r="AF474" i="4" s="1"/>
  <c r="AG474" i="4" s="1"/>
  <c r="AH474" i="4" s="1"/>
  <c r="AI474" i="4" s="1"/>
  <c r="AD379" i="4"/>
  <c r="AF379" i="4" s="1"/>
  <c r="AG379" i="4" s="1"/>
  <c r="AH379" i="4" s="1"/>
  <c r="AI379" i="4" s="1"/>
  <c r="AD302" i="4"/>
  <c r="AF302" i="4" s="1"/>
  <c r="AG302" i="4" s="1"/>
  <c r="AH302" i="4" s="1"/>
  <c r="AI302" i="4" s="1"/>
  <c r="AD175" i="4"/>
  <c r="AF175" i="4" s="1"/>
  <c r="AG175" i="4" s="1"/>
  <c r="AH175" i="4" s="1"/>
  <c r="AI175" i="4" s="1"/>
  <c r="AD100" i="4"/>
  <c r="AF100" i="4" s="1"/>
  <c r="AG100" i="4" s="1"/>
  <c r="AH100" i="4" s="1"/>
  <c r="AI100" i="4" s="1"/>
  <c r="AD42" i="4"/>
  <c r="AF42" i="4" s="1"/>
  <c r="AG42" i="4" s="1"/>
  <c r="AH42" i="4" s="1"/>
  <c r="AI42" i="4" s="1"/>
  <c r="AD196" i="4"/>
  <c r="AF196" i="4" s="1"/>
  <c r="AG196" i="4" s="1"/>
  <c r="AH196" i="4" s="1"/>
  <c r="AI196" i="4" s="1"/>
  <c r="AD120" i="4"/>
  <c r="AF120" i="4" s="1"/>
  <c r="AG120" i="4" s="1"/>
  <c r="AH120" i="4" s="1"/>
  <c r="AI120" i="4" s="1"/>
  <c r="AD164" i="4"/>
  <c r="AF164" i="4" s="1"/>
  <c r="AG164" i="4" s="1"/>
  <c r="AH164" i="4" s="1"/>
  <c r="AI164" i="4" s="1"/>
  <c r="AD58" i="4"/>
  <c r="AF58" i="4" s="1"/>
  <c r="AG58" i="4" s="1"/>
  <c r="AH58" i="4" s="1"/>
  <c r="AI58" i="4" s="1"/>
  <c r="AD310" i="4"/>
  <c r="AF310" i="4" s="1"/>
  <c r="AG310" i="4" s="1"/>
  <c r="AH310" i="4" s="1"/>
  <c r="AI310" i="4" s="1"/>
  <c r="AD159" i="4"/>
  <c r="AF159" i="4" s="1"/>
  <c r="AG159" i="4" s="1"/>
  <c r="AH159" i="4" s="1"/>
  <c r="AI159" i="4" s="1"/>
  <c r="AD111" i="4"/>
  <c r="AF111" i="4" s="1"/>
  <c r="AG111" i="4" s="1"/>
  <c r="AH111" i="4" s="1"/>
  <c r="AI111" i="4" s="1"/>
  <c r="AD146" i="4"/>
  <c r="AF146" i="4" s="1"/>
  <c r="AG146" i="4" s="1"/>
  <c r="AH146" i="4" s="1"/>
  <c r="AI146" i="4" s="1"/>
  <c r="AD385" i="4"/>
  <c r="AF385" i="4" s="1"/>
  <c r="AG385" i="4" s="1"/>
  <c r="AH385" i="4" s="1"/>
  <c r="AI385" i="4" s="1"/>
  <c r="AD153" i="4"/>
  <c r="AF153" i="4" s="1"/>
  <c r="AG153" i="4" s="1"/>
  <c r="AH153" i="4" s="1"/>
  <c r="AI153" i="4" s="1"/>
  <c r="AD465" i="4"/>
  <c r="AF465" i="4" s="1"/>
  <c r="AG465" i="4" s="1"/>
  <c r="AH465" i="4" s="1"/>
  <c r="AI465" i="4" s="1"/>
  <c r="AD248" i="4"/>
  <c r="AF248" i="4" s="1"/>
  <c r="AG248" i="4" s="1"/>
  <c r="AH248" i="4" s="1"/>
  <c r="AI248" i="4" s="1"/>
  <c r="AD433" i="4"/>
  <c r="AF433" i="4" s="1"/>
  <c r="AG433" i="4" s="1"/>
  <c r="AH433" i="4" s="1"/>
  <c r="AI433" i="4" s="1"/>
  <c r="AD34" i="4"/>
  <c r="AF34" i="4" s="1"/>
  <c r="AG34" i="4" s="1"/>
  <c r="AH34" i="4" s="1"/>
  <c r="AI34" i="4" s="1"/>
  <c r="AD309" i="4"/>
  <c r="AF309" i="4" s="1"/>
  <c r="AG309" i="4" s="1"/>
  <c r="AH309" i="4" s="1"/>
  <c r="AI309" i="4" s="1"/>
  <c r="AD452" i="4"/>
  <c r="AF452" i="4" s="1"/>
  <c r="AG452" i="4" s="1"/>
  <c r="AH452" i="4" s="1"/>
  <c r="AI452" i="4" s="1"/>
  <c r="AD68" i="4"/>
  <c r="AF68" i="4" s="1"/>
  <c r="AG68" i="4" s="1"/>
  <c r="AH68" i="4" s="1"/>
  <c r="AI68" i="4" s="1"/>
  <c r="AD254" i="4"/>
  <c r="AF254" i="4" s="1"/>
  <c r="AG254" i="4" s="1"/>
  <c r="AH254" i="4" s="1"/>
  <c r="AI254" i="4" s="1"/>
  <c r="AD443" i="4"/>
  <c r="AF443" i="4" s="1"/>
  <c r="AG443" i="4" s="1"/>
  <c r="AH443" i="4" s="1"/>
  <c r="AI443" i="4" s="1"/>
  <c r="AD192" i="4"/>
  <c r="AF192" i="4" s="1"/>
  <c r="AG192" i="4" s="1"/>
  <c r="AH192" i="4" s="1"/>
  <c r="AI192" i="4" s="1"/>
  <c r="AD77" i="4"/>
  <c r="AF77" i="4" s="1"/>
  <c r="AG77" i="4" s="1"/>
  <c r="AH77" i="4" s="1"/>
  <c r="AI77" i="4" s="1"/>
  <c r="AD491" i="4"/>
  <c r="AF491" i="4" s="1"/>
  <c r="AG491" i="4" s="1"/>
  <c r="AH491" i="4" s="1"/>
  <c r="AI491" i="4" s="1"/>
  <c r="AD393" i="4"/>
  <c r="AF393" i="4" s="1"/>
  <c r="AG393" i="4" s="1"/>
  <c r="AH393" i="4" s="1"/>
  <c r="AI393" i="4" s="1"/>
  <c r="AD307" i="4"/>
  <c r="AF307" i="4" s="1"/>
  <c r="AG307" i="4" s="1"/>
  <c r="AH307" i="4" s="1"/>
  <c r="AI307" i="4" s="1"/>
  <c r="AD243" i="4"/>
  <c r="AF243" i="4" s="1"/>
  <c r="AG243" i="4" s="1"/>
  <c r="AH243" i="4" s="1"/>
  <c r="AI243" i="4" s="1"/>
  <c r="AD222" i="4"/>
  <c r="AF222" i="4" s="1"/>
  <c r="AG222" i="4" s="1"/>
  <c r="AH222" i="4" s="1"/>
  <c r="AI222" i="4" s="1"/>
  <c r="AD38" i="4"/>
  <c r="AF38" i="4" s="1"/>
  <c r="AG38" i="4" s="1"/>
  <c r="AH38" i="4" s="1"/>
  <c r="AI38" i="4" s="1"/>
  <c r="AD403" i="4"/>
  <c r="AF403" i="4" s="1"/>
  <c r="AG403" i="4" s="1"/>
  <c r="AH403" i="4" s="1"/>
  <c r="AI403" i="4" s="1"/>
  <c r="AD425" i="4"/>
  <c r="AF425" i="4" s="1"/>
  <c r="AG425" i="4" s="1"/>
  <c r="AH425" i="4" s="1"/>
  <c r="AI425" i="4" s="1"/>
  <c r="AD282" i="4"/>
  <c r="AF282" i="4" s="1"/>
  <c r="AG282" i="4" s="1"/>
  <c r="AH282" i="4" s="1"/>
  <c r="AI282" i="4" s="1"/>
  <c r="AD131" i="4"/>
  <c r="AF131" i="4" s="1"/>
  <c r="AG131" i="4" s="1"/>
  <c r="AH131" i="4" s="1"/>
  <c r="AI131" i="4" s="1"/>
  <c r="AD242" i="4"/>
  <c r="AF242" i="4" s="1"/>
  <c r="AG242" i="4" s="1"/>
  <c r="AH242" i="4" s="1"/>
  <c r="AI242" i="4" s="1"/>
  <c r="AD212" i="4"/>
  <c r="AF212" i="4" s="1"/>
  <c r="AG212" i="4" s="1"/>
  <c r="AH212" i="4" s="1"/>
  <c r="AI212" i="4" s="1"/>
  <c r="AD86" i="4"/>
  <c r="AF86" i="4" s="1"/>
  <c r="AG86" i="4" s="1"/>
  <c r="AH86" i="4" s="1"/>
  <c r="AI86" i="4" s="1"/>
  <c r="AD404" i="4"/>
  <c r="AF404" i="4" s="1"/>
  <c r="AG404" i="4" s="1"/>
  <c r="AH404" i="4" s="1"/>
  <c r="AI404" i="4" s="1"/>
  <c r="AD339" i="4"/>
  <c r="AF339" i="4" s="1"/>
  <c r="AG339" i="4" s="1"/>
  <c r="AH339" i="4" s="1"/>
  <c r="AI339" i="4" s="1"/>
  <c r="AD372" i="4"/>
  <c r="AF372" i="4" s="1"/>
  <c r="AG372" i="4" s="1"/>
  <c r="AH372" i="4" s="1"/>
  <c r="AI372" i="4" s="1"/>
  <c r="AD176" i="4"/>
  <c r="AF176" i="4" s="1"/>
  <c r="AG176" i="4" s="1"/>
  <c r="AH176" i="4" s="1"/>
  <c r="AI176" i="4" s="1"/>
  <c r="AD9" i="4"/>
  <c r="AF9" i="4" s="1"/>
  <c r="AG9" i="4" s="1"/>
  <c r="AH9" i="4" s="1"/>
  <c r="AI9" i="4" s="1"/>
  <c r="AD353" i="4"/>
  <c r="AF353" i="4" s="1"/>
  <c r="AG353" i="4" s="1"/>
  <c r="AH353" i="4" s="1"/>
  <c r="AI353" i="4" s="1"/>
  <c r="G9" i="3"/>
  <c r="AD442" i="4"/>
  <c r="AF442" i="4" s="1"/>
  <c r="AG442" i="4" s="1"/>
  <c r="AH442" i="4" s="1"/>
  <c r="AI442" i="4" s="1"/>
  <c r="AD373" i="4"/>
  <c r="AF373" i="4" s="1"/>
  <c r="AG373" i="4" s="1"/>
  <c r="AH373" i="4" s="1"/>
  <c r="AI373" i="4" s="1"/>
  <c r="AD265" i="4"/>
  <c r="AF265" i="4" s="1"/>
  <c r="AG265" i="4" s="1"/>
  <c r="AH265" i="4" s="1"/>
  <c r="AI265" i="4" s="1"/>
  <c r="AD499" i="4"/>
  <c r="AF499" i="4" s="1"/>
  <c r="AG499" i="4" s="1"/>
  <c r="AH499" i="4" s="1"/>
  <c r="AI499" i="4" s="1"/>
  <c r="AD402" i="4"/>
  <c r="AF402" i="4" s="1"/>
  <c r="AG402" i="4" s="1"/>
  <c r="AH402" i="4" s="1"/>
  <c r="AI402" i="4" s="1"/>
  <c r="AD354" i="4"/>
  <c r="AF354" i="4" s="1"/>
  <c r="AG354" i="4" s="1"/>
  <c r="AH354" i="4" s="1"/>
  <c r="AI354" i="4" s="1"/>
  <c r="AD303" i="4"/>
  <c r="AF303" i="4" s="1"/>
  <c r="AG303" i="4" s="1"/>
  <c r="AH303" i="4" s="1"/>
  <c r="AI303" i="4" s="1"/>
  <c r="AD109" i="4"/>
  <c r="AF109" i="4" s="1"/>
  <c r="AG109" i="4" s="1"/>
  <c r="AH109" i="4" s="1"/>
  <c r="AI109" i="4" s="1"/>
  <c r="AD467" i="4"/>
  <c r="AF467" i="4" s="1"/>
  <c r="AG467" i="4" s="1"/>
  <c r="AH467" i="4" s="1"/>
  <c r="AI467" i="4" s="1"/>
  <c r="AD371" i="4"/>
  <c r="AF371" i="4" s="1"/>
  <c r="AG371" i="4" s="1"/>
  <c r="AH371" i="4" s="1"/>
  <c r="AI371" i="4" s="1"/>
  <c r="AD260" i="4"/>
  <c r="AF260" i="4" s="1"/>
  <c r="AG260" i="4" s="1"/>
  <c r="AH260" i="4" s="1"/>
  <c r="AI260" i="4" s="1"/>
  <c r="AD215" i="4"/>
  <c r="AF215" i="4" s="1"/>
  <c r="AG215" i="4" s="1"/>
  <c r="AH215" i="4" s="1"/>
  <c r="AI215" i="4" s="1"/>
  <c r="AD87" i="4"/>
  <c r="AF87" i="4" s="1"/>
  <c r="AG87" i="4" s="1"/>
  <c r="AH87" i="4" s="1"/>
  <c r="AI87" i="4" s="1"/>
  <c r="AD13" i="4"/>
  <c r="AF13" i="4" s="1"/>
  <c r="AG13" i="4" s="1"/>
  <c r="AH13" i="4" s="1"/>
  <c r="AI13" i="4" s="1"/>
  <c r="AD219" i="4"/>
  <c r="AF219" i="4" s="1"/>
  <c r="AG219" i="4" s="1"/>
  <c r="AH219" i="4" s="1"/>
  <c r="AI219" i="4" s="1"/>
  <c r="C33" i="3" l="1"/>
  <c r="C36" i="3"/>
  <c r="C38" i="3" s="1"/>
  <c r="C39" i="3" s="1"/>
  <c r="C40" i="3" s="1"/>
  <c r="C41" i="3" s="1"/>
  <c r="C35" i="3"/>
  <c r="C15" i="5"/>
  <c r="C7" i="5"/>
  <c r="D23" i="1" s="1"/>
  <c r="C27" i="5"/>
  <c r="D27" i="5" s="1"/>
  <c r="C23" i="5"/>
  <c r="D23" i="5" s="1"/>
  <c r="C14" i="5"/>
  <c r="C6" i="5"/>
  <c r="D22" i="1" s="1"/>
  <c r="C13" i="5"/>
  <c r="D24" i="1" s="1"/>
  <c r="C26" i="5"/>
  <c r="D26" i="5" s="1"/>
  <c r="C22" i="5"/>
  <c r="D22" i="5" s="1"/>
  <c r="C12" i="5"/>
  <c r="C11" i="5"/>
  <c r="C29" i="5"/>
  <c r="D29" i="5" s="1"/>
  <c r="C25" i="5"/>
  <c r="D25" i="5" s="1"/>
  <c r="C21" i="5"/>
  <c r="D21" i="5" s="1"/>
  <c r="C10" i="5"/>
  <c r="C9" i="5"/>
  <c r="C28" i="5"/>
  <c r="D28" i="5" s="1"/>
  <c r="C24" i="5"/>
  <c r="D24" i="5" s="1"/>
  <c r="C20" i="5"/>
  <c r="D20" i="5" s="1"/>
  <c r="C8" i="5"/>
  <c r="D25" i="1" l="1"/>
</calcChain>
</file>

<file path=xl/sharedStrings.xml><?xml version="1.0" encoding="utf-8"?>
<sst xmlns="http://schemas.openxmlformats.org/spreadsheetml/2006/main" count="189" uniqueCount="185">
  <si>
    <t>VC FUND MONTE CARLO &amp; PORTFOLIO CONSTRUCTION MODEL</t>
  </si>
  <si>
    <t>Prepared by Akul Veauli</t>
  </si>
  <si>
    <t>PURPOSE</t>
  </si>
  <si>
    <t>Simulate the fund-level MOIC distribution of a seed/Series-A venture fund under stylized power-law company outcomes, and use closed-form portfolio-construction math to solve for an appropriate portfolio size (N) and reserve/check-sizing strategy - i.e., how many bets a fund needs to place, and how big, to reliably capture outlier-driven returns without taking on excessive variance.</t>
  </si>
  <si>
    <t>METHODOLOGY</t>
  </si>
  <si>
    <t>Each portfolio company's exit outcome is drawn from a four-bucket mixture (Assumptions tab): a write-off probability, a 'return capital-ish' lognormal bucket, a 'good outcome' lognormal bucket, and an 8% power-law outlier bucket modeled as a Pareto tail (alpha≈1.1) capped at 300x - deliberately fat-tailed so that a small share of trials produce the 50-100x+ outcomes that drive real venture returns. The Single Fund Sim tab shows one fund's mechanics company-by-company; the Monte Carlo tab repeats this 500 times (12,500 company draws) to build an empirical net-MOIC distribution after a 2%×10yr management-fee drag on investable capital and a 20% carry (with an 8% toggleable hurdle). The Portfolio Construction tab then derives, in closed form, how many companies a fund needs to reasonably guarantee landing at least one outlier, how fund MOIC variance (not its mean) scales with N, and an illustrative Kelly-criterion cross-check on check sizing.</t>
  </si>
  <si>
    <t>KEY RESULTS  (live - re-randomizes on every recalculation)</t>
  </si>
  <si>
    <t>Fund Size</t>
  </si>
  <si>
    <t>Portfolio Companies (N)</t>
  </si>
  <si>
    <t>Investable Capital</t>
  </si>
  <si>
    <t>Mean Net MOIC (500 trials)</t>
  </si>
  <si>
    <t>Median Net MOIC (500 trials)</t>
  </si>
  <si>
    <t>P(Net MOIC &lt; 1.0x)</t>
  </si>
  <si>
    <t>P5 / P95 Net MOIC</t>
  </si>
  <si>
    <t>Recommended N range (closed-form)</t>
  </si>
  <si>
    <t>Note: RAND()-driven results are NOT seeded. Every recalculation (F9, or opening the file) draws a fresh set of 500 simulated funds and a fresh single-fund illustration - figures above and on the Monte Carlo / Results / Single Fund Sim tabs will fluctuate run to run by design.</t>
  </si>
  <si>
    <t>LEGEND</t>
  </si>
  <si>
    <t>Input (edit me)</t>
  </si>
  <si>
    <t>Formula (live, do not overwrite)</t>
  </si>
  <si>
    <t>Header</t>
  </si>
  <si>
    <t>Section banner</t>
  </si>
  <si>
    <t>ASSUMPTIONS - VC FUND TERMS &amp; OUTCOME DISTRIBUTION</t>
  </si>
  <si>
    <t>FUND TERMS</t>
  </si>
  <si>
    <t>Fund Size ($)</t>
  </si>
  <si>
    <t>Blue = input.  Black = formula.  See legend on Overview tab.</t>
  </si>
  <si>
    <t>Number of Portfolio Companies (N)</t>
  </si>
  <si>
    <t>Reserve Ratio (follow-on % of investable capital)</t>
  </si>
  <si>
    <t>Annual Management Fee Rate</t>
  </si>
  <si>
    <t>Fee Term (years)</t>
  </si>
  <si>
    <t>Fee Drag Adjustment Factor (1.0 = full straight-line drag)</t>
  </si>
  <si>
    <t>Investable Capital ($) = Fund Size × (1 − Fee×Years×Adj)</t>
  </si>
  <si>
    <t>Reserve Pool ($) = Investable Capital × Reserve Ratio</t>
  </si>
  <si>
    <t>Initial Check per Company ($) = Investable × (1−Reserve) / N</t>
  </si>
  <si>
    <t>Total Invested per Company at Full Deployment ($)</t>
  </si>
  <si>
    <t>Carry Rate</t>
  </si>
  <si>
    <t>Hurdle Rate (preferred return, compounded over fee term)</t>
  </si>
  <si>
    <t>Hurdle Toggle (1 = hurdle applies, 0 = American-style straight 20%)</t>
  </si>
  <si>
    <t>OUTCOME DISTRIBUTION  (stylized power-law, per stage bucket)</t>
  </si>
  <si>
    <t>Bucket</t>
  </si>
  <si>
    <t>Probability</t>
  </si>
  <si>
    <t>Cumulative</t>
  </si>
  <si>
    <t>Multiple Model</t>
  </si>
  <si>
    <t>Param 1</t>
  </si>
  <si>
    <t>Param 2</t>
  </si>
  <si>
    <t>Zero (write-off)</t>
  </si>
  <si>
    <t>Fixed 0x</t>
  </si>
  <si>
    <t>-</t>
  </si>
  <si>
    <t>Return of Capital-ish</t>
  </si>
  <si>
    <t>Lognormal</t>
  </si>
  <si>
    <t>Good Outcome</t>
  </si>
  <si>
    <t>Outlier (power-law tail)</t>
  </si>
  <si>
    <t>Pareto</t>
  </si>
  <si>
    <t>Max Multiple Cap (applies to Pareto tail only)</t>
  </si>
  <si>
    <t>Bucket probabilities/multiples are stylized to be broadly consistent with published VC return-dispersion studies (e.g., Correlation Ventures' analysis of seed/Series-A outcomes, and AngelList portfolio data) - no specific dataset's figures are reproduced; treat as illustrative, not empirical fact.</t>
  </si>
  <si>
    <t>CONDITIONAL PROBABILITIES  (for compact single-cell Monte Carlo formulas)</t>
  </si>
  <si>
    <t>P(Return | not Zero) = P(Return)/(1−P(Zero))</t>
  </si>
  <si>
    <t>P(Good | not Zero, not Return) = P(Good)/(1−P(Zero)−P(Return))</t>
  </si>
  <si>
    <t>These convert the cumulative bucket structure into nested independent RAND() draws, used where a single compact formula (no helper column) is required - see Monte Carlo tab.</t>
  </si>
  <si>
    <t>OUTLIER BUCKET - CAPPED MOMENTS  (numerical, alpha=1.1 &lt; 2 ⇒ divergent raw variance)</t>
  </si>
  <si>
    <t>Outlier E[M] - capped Pareto mean (numerically integrated)</t>
  </si>
  <si>
    <t>Outlier E[M²] - capped Pareto 2nd moment (numerically integrated)</t>
  </si>
  <si>
    <t>Because alpha=1.1 is below 2, the *uncapped* Pareto distribution has an infinite raw second moment (and its variance is likewise undefined). The 300x cap makes the moments finite; the two values above are computed by numerically integrating E[min(X,M)] and E[min(X,M)^2] for X~Pareto(xm=10, alpha=1.1) at cap M=300, then entered here as input constants (blue) for use in the closed-form Portfolio Construction tab.</t>
  </si>
  <si>
    <t>SINGLE FUND SIMULATION - ONE FUND, COMPANY-BY-COMPANY MECHANICS</t>
  </si>
  <si>
    <t>Press F9 to re-randomize this fund. Each row is one portfolio company; RAND() draws are live and non-seeded.</t>
  </si>
  <si>
    <t>Company #</t>
  </si>
  <si>
    <t>Check Size ($)</t>
  </si>
  <si>
    <t>RAND() Draw</t>
  </si>
  <si>
    <t>Outcome Bucket</t>
  </si>
  <si>
    <t>Exit Multiple</t>
  </si>
  <si>
    <t>Proceeds ($)</t>
  </si>
  <si>
    <t>FUND TOTALS</t>
  </si>
  <si>
    <t>Gross Proceeds ($)</t>
  </si>
  <si>
    <t>Investable Capital ($)</t>
  </si>
  <si>
    <t>Gross MOIC (on invested capital)</t>
  </si>
  <si>
    <t>Profit ($) = Gross Proceeds − Investable Capital</t>
  </si>
  <si>
    <t>Hurdle Amount ($) = Toggle × Investable × ((1+Hurdle)^Years − 1)</t>
  </si>
  <si>
    <t>Carry Base ($) = MAX(0, Profit − Hurdle Amount)</t>
  </si>
  <si>
    <t>GP Carry ($) = 20% × Carry Base</t>
  </si>
  <si>
    <t>Net Proceeds to LPs ($)</t>
  </si>
  <si>
    <t>Net MOIC to LPs (on Fund Size)</t>
  </si>
  <si>
    <t>MONTE CARLO - 500 SIMULATED FUNDS (25 COMPANIES EACH, INLINE)</t>
  </si>
  <si>
    <t>Each row = one independently simulated fund. Each of the 25 company columns is ONE compact formula returning proceeds-per-$1-invested (the exit multiple), using nested independent RAND() draws calibrated to the bucket probabilities in Assumptions. Recalculates (F9) live - 12,500 formula cells total.</t>
  </si>
  <si>
    <t>Trial #</t>
  </si>
  <si>
    <t>Co.1</t>
  </si>
  <si>
    <t>Co.2</t>
  </si>
  <si>
    <t>Co.3</t>
  </si>
  <si>
    <t>Co.4</t>
  </si>
  <si>
    <t>Co.5</t>
  </si>
  <si>
    <t>Co.6</t>
  </si>
  <si>
    <t>Co.7</t>
  </si>
  <si>
    <t>Co.8</t>
  </si>
  <si>
    <t>Co.9</t>
  </si>
  <si>
    <t>Co.10</t>
  </si>
  <si>
    <t>Co.11</t>
  </si>
  <si>
    <t>Co.12</t>
  </si>
  <si>
    <t>Co.13</t>
  </si>
  <si>
    <t>Co.14</t>
  </si>
  <si>
    <t>Co.15</t>
  </si>
  <si>
    <t>Co.16</t>
  </si>
  <si>
    <t>Co.17</t>
  </si>
  <si>
    <t>Co.18</t>
  </si>
  <si>
    <t>Co.19</t>
  </si>
  <si>
    <t>Co.20</t>
  </si>
  <si>
    <t>Co.21</t>
  </si>
  <si>
    <t>Co.22</t>
  </si>
  <si>
    <t>Co.23</t>
  </si>
  <si>
    <t>Co.24</t>
  </si>
  <si>
    <t>Co.25</t>
  </si>
  <si>
    <t>Gross MOIC</t>
  </si>
  <si>
    <t>Gross Proceeds</t>
  </si>
  <si>
    <t>Profit</t>
  </si>
  <si>
    <t>Hurdle Amt</t>
  </si>
  <si>
    <t>Carry Base</t>
  </si>
  <si>
    <t>GP Carry</t>
  </si>
  <si>
    <t>Net Proceeds</t>
  </si>
  <si>
    <t>Net MOIC</t>
  </si>
  <si>
    <t>RESULTS - DISTRIBUTION OF NET FUND MOIC (500 TRIALS)</t>
  </si>
  <si>
    <t>All statistics below are LIVE formulas over the Monte Carlo tab's 500 Net MOIC outcomes; they will shift every time the workbook recalculates (F9) because RAND() is not seeded.</t>
  </si>
  <si>
    <t>SUMMARY STATISTICS</t>
  </si>
  <si>
    <t>Mean Net MOIC</t>
  </si>
  <si>
    <t>Median Net MOIC</t>
  </si>
  <si>
    <t>Std. Dev. Net MOIC</t>
  </si>
  <si>
    <t>P5 (5th percentile)</t>
  </si>
  <si>
    <t>P25 (25th percentile)</t>
  </si>
  <si>
    <t>P75 (75th percentile)</t>
  </si>
  <si>
    <t>P95 (95th percentile)</t>
  </si>
  <si>
    <t>P(Net MOIC &lt; 1.0x) - capital loss</t>
  </si>
  <si>
    <t>P(Net MOIC &gt; 3.0x)</t>
  </si>
  <si>
    <t>P(Net MOIC &gt; 5.0x)</t>
  </si>
  <si>
    <t>HISTOGRAM - NET MOIC BINS (COUNTIFS, 500 trials)</t>
  </si>
  <si>
    <t>Bin</t>
  </si>
  <si>
    <t>Count</t>
  </si>
  <si>
    <t>% of Trials</t>
  </si>
  <si>
    <t>0.0x – 0.5x</t>
  </si>
  <si>
    <t>0.5x – 1.0x</t>
  </si>
  <si>
    <t>1.0x – 1.5x</t>
  </si>
  <si>
    <t>1.5x – 2.0x</t>
  </si>
  <si>
    <t>2.0x – 3.0x</t>
  </si>
  <si>
    <t>3.0x – 4.0x</t>
  </si>
  <si>
    <t>4.0x – 5.0x</t>
  </si>
  <si>
    <t>5.0x – 7.0x</t>
  </si>
  <si>
    <t>7.0x – 10.0x</t>
  </si>
  <si>
    <t>10.0x +</t>
  </si>
  <si>
    <t>INTERPRETATION</t>
  </si>
  <si>
    <t>Fund-level outcomes are right-skewed even though individual company outcomes are extreme: diversification across 25 independent power-law draws compresses the fund MOIC distribution toward its mean relative to any single company, but a nontrivial share of trials still fall below 1.0x because a low-N portfolio can miss the outlier bucket entirely.</t>
  </si>
  <si>
    <t>Compare these empirical Monte Carlo statistics with the closed-form, normal-approximation estimates on the Portfolio Construction tab - the two will diverge in the tails because the true distribution here is fat-tailed (Pareto, alpha≈1.1), which the normal approximation understates.</t>
  </si>
  <si>
    <t>PORTFOLIO CONSTRUCTION - SIZING THEORY FOR POWER-LAW VC RETURNS</t>
  </si>
  <si>
    <t>(A)  ZERO-OUTLIER RISK - P(no outlier in portfolio) = (1 − p_outlier)^N</t>
  </si>
  <si>
    <t>Portfolio Size (N)</t>
  </si>
  <si>
    <t>P(No Outlier)</t>
  </si>
  <si>
    <t>N required for P(no outlier) &lt; 10%</t>
  </si>
  <si>
    <t>N required for P(no outlier) &lt; 5%</t>
  </si>
  <si>
    <t>(B)  MIXTURE MOMENTS &amp; FUND MOIC VARIANCE vs. N</t>
  </si>
  <si>
    <t>Weight</t>
  </si>
  <si>
    <t>E[Multiple]</t>
  </si>
  <si>
    <t>E[Multiple^2]</t>
  </si>
  <si>
    <t>Zero</t>
  </si>
  <si>
    <t>Return Capital</t>
  </si>
  <si>
    <t>Outlier (capped)</t>
  </si>
  <si>
    <t>Overall E[M] = SUMPRODUCT(weights, E[M]_i)</t>
  </si>
  <si>
    <t>Overall E[M²] = SUMPRODUCT(weights, E[M²]_i)</t>
  </si>
  <si>
    <t>Var(M) = E[M²] − E[M]²</t>
  </si>
  <si>
    <t>StDev(M) - per-company</t>
  </si>
  <si>
    <t>Note: with equal checks across N companies, E[fund MOIC] = E[M] regardless of N - diversification does not change the expected outcome, only its dispersion. Fund MOIC variance = Var(M)/N.</t>
  </si>
  <si>
    <t>N</t>
  </si>
  <si>
    <t>Fund MOIC StDev</t>
  </si>
  <si>
    <t>P(Fund MOIC &lt; 1x)  [Normal approx.]</t>
  </si>
  <si>
    <t>CAVEAT: this table uses a Normal approximation to the sum of N iid mixture draws, which is only asymptotically valid and materially UNDERSTATES tail (loss) risk here because the true per-company distribution is fat-tailed (Pareto alpha≈1.1 in the outlier bucket). Treat the Monte Carlo tab's empirical P(&lt;1x) as the more reliable estimate; this table is a fast, closed-form sanity check only.</t>
  </si>
  <si>
    <t>(C)  KELLY-STYLE CHECK SIZING  (illustrative, single-bet framing on the outlier bucket)</t>
  </si>
  <si>
    <t>p = P(outlier)</t>
  </si>
  <si>
    <t>Expected outlier multiple, E[M | outlier]</t>
  </si>
  <si>
    <t>b = net odds per $1 staked = E[M|outlier] − 1</t>
  </si>
  <si>
    <t>q = 1 − p</t>
  </si>
  <si>
    <t>Kelly Fraction  f* = (p×b − q) / b</t>
  </si>
  <si>
    <t>Half-Kelly (commonly used in practice)</t>
  </si>
  <si>
    <t>Implied Max % of Fund per Single Check (Half-Kelly)</t>
  </si>
  <si>
    <t>Equal-Check Default (1 / N)</t>
  </si>
  <si>
    <t>Kelly vs. Equal-Check - Ratio</t>
  </si>
  <si>
    <t>This Kelly framing treats the outlier bucket as a single binary bet (win b, lose stake) purely for illustration; it ignores the other three buckets and the fund's fixed-N, no-reinvestment structure, so it should be read as directional guidance on concentration, not a literal sizing rule.</t>
  </si>
  <si>
    <t>(D)  VERDICT</t>
  </si>
  <si>
    <t>Recommended N range (ties A + B)</t>
  </si>
  <si>
    <t>Lower bound = N needed to hold P(missing the outlier bucket entirely) under 10%; upper bound = under 5%. Below the lower bound, a meaningful share of funds never land a single outlier and the fund MOIC distribution collapses toward the sub-1x/1-2x range; well above the upper bound, added diversification keeps buying down variance but at a shrinking marginal rate (variance scales as 1/N) while diluting the winners' economics and straining the reserve pool.</t>
  </si>
  <si>
    <t>The fund's default N=25 (Assumptions) sits within/near this closed-form band for the given outcome distribution - cross-check against the Monte Carlo tab's empirical loss probability before relying on this alone.</t>
  </si>
  <si>
    <t>Recommended reserve strategy</t>
  </si>
  <si>
    <t>With only an 8% chance any single company becomes an outlier, and outlier multiples that are extremely fat-tailed, the fund is best served by preserving optionality: deploy initial checks broadly at the default N, then concentrate the 50% reserve pool disproportionately into companies that show early outlier-track signal (follow the winners) rather than spreading reserves pro-rata - pro-rata reserve deployment defends ownership in average companies but does little for fund MOIC, since fund returns are dominated by the outlier bucket.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</si>
</sst>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0.00&quot;x&quot;"/>
    <numFmt numFmtId="166" formatCode="0.0%"/>
    <numFmt numFmtId="167" formatCode="0.0000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0000FF"/>
      <name val="Calibri"/>
      <family val="2"/>
    </font>
    <font>
      <b/>
      <sz val="11"/>
      <color rgb="FF000000"/>
      <name val="Calibri"/>
      <family val="2"/>
    </font>
    <font>
      <i/>
      <sz val="9"/>
      <color rgb="FF595959"/>
      <name val="Calibri"/>
      <family val="2"/>
    </font>
    <font>
      <b/>
      <sz val="18"/>
      <color rgb="FFFFFFFF"/>
      <name val="Calibri"/>
      <family val="2"/>
    </font>
    <font>
      <i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/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164" fontId="2" fillId="0" borderId="1" xfId="0" applyNumberFormat="1" applyFont="1" applyBorder="1"/>
    <xf numFmtId="1" fontId="2" fillId="0" borderId="1" xfId="0" applyNumberFormat="1" applyFont="1" applyBorder="1"/>
    <xf numFmtId="165" fontId="2" fillId="0" borderId="1" xfId="0" applyNumberFormat="1" applyFont="1" applyBorder="1"/>
    <xf numFmtId="166" fontId="2" fillId="0" borderId="1" xfId="0" applyNumberFormat="1" applyFont="1" applyBorder="1"/>
    <xf numFmtId="49" fontId="2" fillId="0" borderId="1" xfId="0" applyNumberFormat="1" applyFont="1" applyBorder="1"/>
    <xf numFmtId="0" fontId="5" fillId="0" borderId="0" xfId="0" applyFont="1"/>
    <xf numFmtId="0" fontId="3" fillId="0" borderId="0" xfId="0" applyFont="1"/>
    <xf numFmtId="164" fontId="3" fillId="0" borderId="0" xfId="0" applyNumberFormat="1" applyFont="1"/>
    <xf numFmtId="1" fontId="3" fillId="0" borderId="0" xfId="0" applyNumberFormat="1" applyFont="1"/>
    <xf numFmtId="166" fontId="3" fillId="0" borderId="0" xfId="0" applyNumberFormat="1" applyFont="1"/>
    <xf numFmtId="2" fontId="3" fillId="0" borderId="0" xfId="0" applyNumberFormat="1" applyFont="1"/>
    <xf numFmtId="0" fontId="4" fillId="0" borderId="0" xfId="0" applyFont="1"/>
    <xf numFmtId="164" fontId="2" fillId="0" borderId="0" xfId="0" applyNumberFormat="1" applyFont="1"/>
    <xf numFmtId="166" fontId="2" fillId="0" borderId="0" xfId="0" applyNumberFormat="1" applyFont="1"/>
    <xf numFmtId="165" fontId="3" fillId="0" borderId="0" xfId="0" applyNumberFormat="1" applyFont="1"/>
    <xf numFmtId="167" fontId="2" fillId="0" borderId="1" xfId="0" applyNumberFormat="1" applyFont="1" applyBorder="1"/>
    <xf numFmtId="0" fontId="2" fillId="0" borderId="1" xfId="0" applyFont="1" applyBorder="1"/>
    <xf numFmtId="165" fontId="2" fillId="0" borderId="0" xfId="0" applyNumberFormat="1" applyFont="1"/>
    <xf numFmtId="1" fontId="3" fillId="0" borderId="1" xfId="0" applyNumberFormat="1" applyFont="1" applyBorder="1"/>
    <xf numFmtId="1" fontId="2" fillId="0" borderId="0" xfId="0" applyNumberFormat="1" applyFont="1"/>
    <xf numFmtId="2" fontId="2" fillId="0" borderId="0" xfId="0" applyNumberFormat="1" applyFont="1"/>
    <xf numFmtId="49" fontId="2" fillId="0" borderId="0" xfId="0" applyNumberFormat="1" applyFont="1"/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/>
    </xf>
    <xf numFmtId="0" fontId="7" fillId="2" borderId="0" xfId="0" applyFont="1" applyFill="1"/>
    <xf numFmtId="0" fontId="0" fillId="0" borderId="0" xfId="0"/>
    <xf numFmtId="0" fontId="6" fillId="2" borderId="0" xfId="0" applyFont="1" applyFill="1"/>
    <xf numFmtId="0" fontId="1" fillId="2" borderId="0" xfId="0" applyFont="1" applyFill="1"/>
    <xf numFmtId="0" fontId="2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CA"/>
              <a:t>Net Fund MOIC Distribution (500 Trials)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Results!$C$19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Results!$B$20:$B$29</c:f>
              <c:strCache>
                <c:ptCount val="10"/>
                <c:pt idx="0">
                  <c:v>0.0x – 0.5x</c:v>
                </c:pt>
                <c:pt idx="1">
                  <c:v>0.5x – 1.0x</c:v>
                </c:pt>
                <c:pt idx="2">
                  <c:v>1.0x – 1.5x</c:v>
                </c:pt>
                <c:pt idx="3">
                  <c:v>1.5x – 2.0x</c:v>
                </c:pt>
                <c:pt idx="4">
                  <c:v>2.0x – 3.0x</c:v>
                </c:pt>
                <c:pt idx="5">
                  <c:v>3.0x – 4.0x</c:v>
                </c:pt>
                <c:pt idx="6">
                  <c:v>4.0x – 5.0x</c:v>
                </c:pt>
                <c:pt idx="7">
                  <c:v>5.0x – 7.0x</c:v>
                </c:pt>
                <c:pt idx="8">
                  <c:v>7.0x – 10.0x</c:v>
                </c:pt>
                <c:pt idx="9">
                  <c:v>10.0x +</c:v>
                </c:pt>
              </c:strCache>
            </c:strRef>
          </c:cat>
          <c:val>
            <c:numRef>
              <c:f>Results!$C$20:$C$29</c:f>
              <c:numCache>
                <c:formatCode>0</c:formatCode>
                <c:ptCount val="10"/>
                <c:pt idx="0">
                  <c:v>33</c:v>
                </c:pt>
                <c:pt idx="1">
                  <c:v>63</c:v>
                </c:pt>
                <c:pt idx="2">
                  <c:v>94</c:v>
                </c:pt>
                <c:pt idx="3">
                  <c:v>78</c:v>
                </c:pt>
                <c:pt idx="4">
                  <c:v>99</c:v>
                </c:pt>
                <c:pt idx="5">
                  <c:v>45</c:v>
                </c:pt>
                <c:pt idx="6">
                  <c:v>24</c:v>
                </c:pt>
                <c:pt idx="7">
                  <c:v>32</c:v>
                </c:pt>
                <c:pt idx="8">
                  <c:v>23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93-E149-991D-5F12E4575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Net MOIC Bin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Number of Trials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152400</xdr:colOff>
      <xdr:row>13</xdr:row>
      <xdr:rowOff>25400</xdr:rowOff>
    </xdr:from>
    <xdr:ext cx="72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  <pageSetUpPr fitToPage="1"/>
  </sheetPr>
  <dimension ref="B2:G32"/>
  <sheetViews>
    <sheetView showGridLines="0" tabSelected="1" zoomScale="111" workbookViewId="0"/>
  </sheetViews>
  <sheetFormatPr baseColWidth="10" defaultColWidth="8.83203125" defaultRowHeight="15" x14ac:dyDescent="0.2"/>
  <cols>
    <col min="1" max="1" width="4" customWidth="1"/>
    <col min="2" max="2" width="40" customWidth="1"/>
    <col min="3" max="3" width="20" customWidth="1"/>
    <col min="4" max="4" width="35.33203125" customWidth="1"/>
    <col min="5" max="7" width="20" customWidth="1"/>
    <col min="8" max="8" width="4" customWidth="1"/>
  </cols>
  <sheetData>
    <row r="2" spans="2:7" ht="24" x14ac:dyDescent="0.3">
      <c r="B2" s="28" t="s">
        <v>0</v>
      </c>
      <c r="C2" s="27"/>
      <c r="D2" s="27"/>
      <c r="E2" s="27"/>
      <c r="F2" s="27"/>
      <c r="G2" s="27"/>
    </row>
    <row r="3" spans="2:7" x14ac:dyDescent="0.2">
      <c r="B3" s="26" t="s">
        <v>1</v>
      </c>
      <c r="C3" s="27"/>
      <c r="D3" s="27"/>
      <c r="E3" s="27"/>
      <c r="F3" s="27"/>
      <c r="G3" s="27"/>
    </row>
    <row r="5" spans="2:7" x14ac:dyDescent="0.2">
      <c r="B5" s="29" t="s">
        <v>2</v>
      </c>
      <c r="C5" s="27"/>
      <c r="D5" s="27"/>
      <c r="E5" s="27"/>
      <c r="F5" s="27"/>
      <c r="G5" s="27"/>
    </row>
    <row r="6" spans="2:7" x14ac:dyDescent="0.2">
      <c r="B6" s="30" t="s">
        <v>3</v>
      </c>
      <c r="C6" s="27"/>
      <c r="D6" s="27"/>
      <c r="E6" s="27"/>
      <c r="F6" s="27"/>
      <c r="G6" s="27"/>
    </row>
    <row r="7" spans="2:7" x14ac:dyDescent="0.2">
      <c r="B7" s="27"/>
      <c r="C7" s="27"/>
      <c r="D7" s="27"/>
      <c r="E7" s="27"/>
      <c r="F7" s="27"/>
      <c r="G7" s="27"/>
    </row>
    <row r="8" spans="2:7" x14ac:dyDescent="0.2">
      <c r="B8" s="27"/>
      <c r="C8" s="27"/>
      <c r="D8" s="27"/>
      <c r="E8" s="27"/>
      <c r="F8" s="27"/>
      <c r="G8" s="27"/>
    </row>
    <row r="10" spans="2:7" x14ac:dyDescent="0.2">
      <c r="B10" s="29" t="s">
        <v>4</v>
      </c>
      <c r="C10" s="27"/>
      <c r="D10" s="27"/>
      <c r="E10" s="27"/>
      <c r="F10" s="27"/>
      <c r="G10" s="27"/>
    </row>
    <row r="11" spans="2:7" x14ac:dyDescent="0.2">
      <c r="B11" s="30" t="s">
        <v>5</v>
      </c>
      <c r="C11" s="27"/>
      <c r="D11" s="27"/>
      <c r="E11" s="27"/>
      <c r="F11" s="27"/>
      <c r="G11" s="27"/>
    </row>
    <row r="12" spans="2:7" x14ac:dyDescent="0.2">
      <c r="B12" s="27"/>
      <c r="C12" s="27"/>
      <c r="D12" s="27"/>
      <c r="E12" s="27"/>
      <c r="F12" s="27"/>
      <c r="G12" s="27"/>
    </row>
    <row r="13" spans="2:7" x14ac:dyDescent="0.2">
      <c r="B13" s="27"/>
      <c r="C13" s="27"/>
      <c r="D13" s="27"/>
      <c r="E13" s="27"/>
      <c r="F13" s="27"/>
      <c r="G13" s="27"/>
    </row>
    <row r="14" spans="2:7" x14ac:dyDescent="0.2">
      <c r="B14" s="27"/>
      <c r="C14" s="27"/>
      <c r="D14" s="27"/>
      <c r="E14" s="27"/>
      <c r="F14" s="27"/>
      <c r="G14" s="27"/>
    </row>
    <row r="15" spans="2:7" x14ac:dyDescent="0.2">
      <c r="B15" s="27"/>
      <c r="C15" s="27"/>
      <c r="D15" s="27"/>
      <c r="E15" s="27"/>
      <c r="F15" s="27"/>
      <c r="G15" s="27"/>
    </row>
    <row r="16" spans="2:7" x14ac:dyDescent="0.2">
      <c r="B16" s="27"/>
      <c r="C16" s="27"/>
      <c r="D16" s="27"/>
      <c r="E16" s="27"/>
      <c r="F16" s="27"/>
      <c r="G16" s="27"/>
    </row>
    <row r="18" spans="2:7" x14ac:dyDescent="0.2">
      <c r="B18" s="29" t="s">
        <v>6</v>
      </c>
      <c r="C18" s="27"/>
      <c r="D18" s="27"/>
      <c r="E18" s="27"/>
      <c r="F18" s="27"/>
      <c r="G18" s="27"/>
    </row>
    <row r="19" spans="2:7" x14ac:dyDescent="0.2">
      <c r="B19" s="1" t="s">
        <v>7</v>
      </c>
      <c r="D19" s="2">
        <f>FundSize</f>
        <v>60000000</v>
      </c>
    </row>
    <row r="20" spans="2:7" x14ac:dyDescent="0.2">
      <c r="B20" s="1" t="s">
        <v>8</v>
      </c>
      <c r="D20" s="3">
        <f>N_Companies</f>
        <v>25</v>
      </c>
    </row>
    <row r="21" spans="2:7" x14ac:dyDescent="0.2">
      <c r="B21" s="1" t="s">
        <v>9</v>
      </c>
      <c r="D21" s="2">
        <f>InvestableCapital</f>
        <v>48000000</v>
      </c>
    </row>
    <row r="22" spans="2:7" x14ac:dyDescent="0.2">
      <c r="B22" s="1" t="s">
        <v>10</v>
      </c>
      <c r="D22" s="4">
        <f ca="1">Results!$C$6</f>
        <v>2.6469917966430323</v>
      </c>
    </row>
    <row r="23" spans="2:7" x14ac:dyDescent="0.2">
      <c r="B23" s="1" t="s">
        <v>11</v>
      </c>
      <c r="D23" s="4">
        <f ca="1">Results!$C$7</f>
        <v>1.856370130110488</v>
      </c>
    </row>
    <row r="24" spans="2:7" x14ac:dyDescent="0.2">
      <c r="B24" s="1" t="s">
        <v>12</v>
      </c>
      <c r="D24" s="5">
        <f ca="1">Results!$C$13</f>
        <v>0.192</v>
      </c>
    </row>
    <row r="25" spans="2:7" x14ac:dyDescent="0.2">
      <c r="B25" s="1" t="s">
        <v>13</v>
      </c>
      <c r="D25" s="6" t="str">
        <f ca="1">Results!$C$9&amp;" / "&amp;Results!$C$12&amp;"x"</f>
        <v>0.468179526705523 / 8.32861791466085x</v>
      </c>
    </row>
    <row r="26" spans="2:7" x14ac:dyDescent="0.2">
      <c r="B26" s="1" t="s">
        <v>14</v>
      </c>
      <c r="D26" s="6" t="str">
        <f>'Portfolio Construction'!$C$15&amp;" – "&amp;'Portfolio Construction'!$C$16</f>
        <v>28 – 36</v>
      </c>
    </row>
    <row r="28" spans="2:7" x14ac:dyDescent="0.2">
      <c r="B28" s="7" t="s">
        <v>15</v>
      </c>
    </row>
    <row r="30" spans="2:7" x14ac:dyDescent="0.2">
      <c r="B30" s="29" t="s">
        <v>16</v>
      </c>
      <c r="C30" s="27"/>
      <c r="D30" s="27"/>
      <c r="E30" s="27"/>
      <c r="F30" s="27"/>
      <c r="G30" s="27"/>
    </row>
    <row r="31" spans="2:7" x14ac:dyDescent="0.2">
      <c r="B31" s="8" t="s">
        <v>17</v>
      </c>
      <c r="D31" s="1" t="s">
        <v>18</v>
      </c>
    </row>
    <row r="32" spans="2:7" x14ac:dyDescent="0.2">
      <c r="B32" s="24" t="s">
        <v>19</v>
      </c>
      <c r="D32" s="24" t="s">
        <v>20</v>
      </c>
    </row>
  </sheetData>
  <mergeCells count="8">
    <mergeCell ref="B18:G18"/>
    <mergeCell ref="B30:G30"/>
    <mergeCell ref="B11:G16"/>
    <mergeCell ref="B3:G3"/>
    <mergeCell ref="B2:G2"/>
    <mergeCell ref="B10:G10"/>
    <mergeCell ref="B5:G5"/>
    <mergeCell ref="B6:G8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00"/>
    <pageSetUpPr fitToPage="1"/>
  </sheetPr>
  <dimension ref="B2:I36"/>
  <sheetViews>
    <sheetView showGridLines="0" workbookViewId="0"/>
  </sheetViews>
  <sheetFormatPr baseColWidth="10" defaultColWidth="8.83203125" defaultRowHeight="15" x14ac:dyDescent="0.2"/>
  <cols>
    <col min="1" max="1" width="4.1640625" customWidth="1"/>
    <col min="2" max="2" width="42" customWidth="1"/>
    <col min="3" max="3" width="16" customWidth="1"/>
    <col min="4" max="4" width="14" customWidth="1"/>
    <col min="5" max="5" width="22" customWidth="1"/>
    <col min="6" max="8" width="14" customWidth="1"/>
    <col min="9" max="9" width="46" customWidth="1"/>
  </cols>
  <sheetData>
    <row r="2" spans="2:9" ht="24" customHeight="1" x14ac:dyDescent="0.2">
      <c r="B2" s="31" t="s">
        <v>21</v>
      </c>
      <c r="C2" s="32"/>
      <c r="D2" s="32"/>
      <c r="E2" s="32"/>
      <c r="F2" s="32"/>
      <c r="G2" s="32"/>
      <c r="H2" s="32"/>
      <c r="I2" s="33"/>
    </row>
    <row r="4" spans="2:9" ht="18" customHeight="1" x14ac:dyDescent="0.2">
      <c r="B4" s="24" t="s">
        <v>22</v>
      </c>
      <c r="C4" s="24"/>
      <c r="D4" s="24"/>
      <c r="E4" s="24"/>
    </row>
    <row r="5" spans="2:9" x14ac:dyDescent="0.2">
      <c r="B5" s="1" t="s">
        <v>23</v>
      </c>
      <c r="C5" s="9">
        <v>60000000</v>
      </c>
      <c r="E5" s="7" t="s">
        <v>24</v>
      </c>
    </row>
    <row r="6" spans="2:9" x14ac:dyDescent="0.2">
      <c r="B6" s="1" t="s">
        <v>25</v>
      </c>
      <c r="C6" s="10">
        <v>25</v>
      </c>
    </row>
    <row r="7" spans="2:9" x14ac:dyDescent="0.2">
      <c r="B7" s="1" t="s">
        <v>26</v>
      </c>
      <c r="C7" s="11">
        <v>0.5</v>
      </c>
    </row>
    <row r="8" spans="2:9" x14ac:dyDescent="0.2">
      <c r="B8" s="1" t="s">
        <v>27</v>
      </c>
      <c r="C8" s="11">
        <v>0.02</v>
      </c>
    </row>
    <row r="9" spans="2:9" x14ac:dyDescent="0.2">
      <c r="B9" s="1" t="s">
        <v>28</v>
      </c>
      <c r="C9" s="10">
        <v>10</v>
      </c>
    </row>
    <row r="10" spans="2:9" x14ac:dyDescent="0.2">
      <c r="B10" s="1" t="s">
        <v>29</v>
      </c>
      <c r="C10" s="12">
        <v>1</v>
      </c>
    </row>
    <row r="11" spans="2:9" x14ac:dyDescent="0.2">
      <c r="B11" s="13" t="s">
        <v>30</v>
      </c>
      <c r="C11" s="14">
        <f>C5*(1-C8*C9*C10)</f>
        <v>48000000</v>
      </c>
    </row>
    <row r="12" spans="2:9" x14ac:dyDescent="0.2">
      <c r="B12" s="1" t="s">
        <v>31</v>
      </c>
      <c r="C12" s="14">
        <f>C11*C7</f>
        <v>24000000</v>
      </c>
    </row>
    <row r="13" spans="2:9" x14ac:dyDescent="0.2">
      <c r="B13" s="1" t="s">
        <v>32</v>
      </c>
      <c r="C13" s="14">
        <f>C11*(1-C7)/C6</f>
        <v>960000</v>
      </c>
    </row>
    <row r="14" spans="2:9" x14ac:dyDescent="0.2">
      <c r="B14" s="13" t="s">
        <v>33</v>
      </c>
      <c r="C14" s="14">
        <f>C11/C6</f>
        <v>1920000</v>
      </c>
    </row>
    <row r="15" spans="2:9" x14ac:dyDescent="0.2">
      <c r="B15" s="1" t="s">
        <v>34</v>
      </c>
      <c r="C15" s="11">
        <v>0.2</v>
      </c>
    </row>
    <row r="16" spans="2:9" x14ac:dyDescent="0.2">
      <c r="B16" s="1" t="s">
        <v>35</v>
      </c>
      <c r="C16" s="11">
        <v>0.08</v>
      </c>
    </row>
    <row r="17" spans="2:7" x14ac:dyDescent="0.2">
      <c r="B17" s="1" t="s">
        <v>36</v>
      </c>
      <c r="C17" s="10">
        <v>1</v>
      </c>
    </row>
    <row r="19" spans="2:7" ht="18" customHeight="1" x14ac:dyDescent="0.2">
      <c r="B19" s="24" t="s">
        <v>37</v>
      </c>
      <c r="C19" s="24"/>
      <c r="D19" s="24"/>
      <c r="E19" s="24"/>
      <c r="F19" s="24"/>
      <c r="G19" s="24"/>
    </row>
    <row r="20" spans="2:7" ht="18" customHeight="1" x14ac:dyDescent="0.2">
      <c r="B20" s="25" t="s">
        <v>38</v>
      </c>
      <c r="C20" s="25" t="s">
        <v>39</v>
      </c>
      <c r="D20" s="25" t="s">
        <v>40</v>
      </c>
      <c r="E20" s="25" t="s">
        <v>41</v>
      </c>
      <c r="F20" s="25" t="s">
        <v>42</v>
      </c>
      <c r="G20" s="25" t="s">
        <v>43</v>
      </c>
    </row>
    <row r="21" spans="2:7" x14ac:dyDescent="0.2">
      <c r="B21" t="s">
        <v>44</v>
      </c>
      <c r="C21" s="11">
        <v>0.4</v>
      </c>
      <c r="D21" s="15">
        <f>C21</f>
        <v>0.4</v>
      </c>
      <c r="E21" t="s">
        <v>45</v>
      </c>
      <c r="F21" t="s">
        <v>46</v>
      </c>
      <c r="G21" t="s">
        <v>46</v>
      </c>
    </row>
    <row r="22" spans="2:7" x14ac:dyDescent="0.2">
      <c r="B22" t="s">
        <v>47</v>
      </c>
      <c r="C22" s="11">
        <v>0.3</v>
      </c>
      <c r="D22" s="15">
        <f>D21+C22</f>
        <v>0.7</v>
      </c>
      <c r="E22" t="s">
        <v>48</v>
      </c>
      <c r="F22" s="12">
        <v>0</v>
      </c>
      <c r="G22" s="12">
        <v>0.5</v>
      </c>
    </row>
    <row r="23" spans="2:7" x14ac:dyDescent="0.2">
      <c r="B23" t="s">
        <v>49</v>
      </c>
      <c r="C23" s="11">
        <v>0.22</v>
      </c>
      <c r="D23" s="15">
        <f>D22+C23</f>
        <v>0.91999999999999993</v>
      </c>
      <c r="E23" t="s">
        <v>48</v>
      </c>
      <c r="F23" s="12">
        <v>1.3</v>
      </c>
      <c r="G23" s="12">
        <v>0.5</v>
      </c>
    </row>
    <row r="24" spans="2:7" x14ac:dyDescent="0.2">
      <c r="B24" t="s">
        <v>50</v>
      </c>
      <c r="C24" s="11">
        <v>0.08</v>
      </c>
      <c r="D24" s="15">
        <f>D23+C24</f>
        <v>0.99999999999999989</v>
      </c>
      <c r="E24" t="s">
        <v>51</v>
      </c>
      <c r="F24" s="12">
        <v>10</v>
      </c>
      <c r="G24" s="12">
        <v>1.1000000000000001</v>
      </c>
    </row>
    <row r="25" spans="2:7" x14ac:dyDescent="0.2">
      <c r="B25" s="13" t="s">
        <v>52</v>
      </c>
      <c r="C25" s="16">
        <v>300</v>
      </c>
    </row>
    <row r="26" spans="2:7" x14ac:dyDescent="0.2">
      <c r="B26" s="7" t="s">
        <v>53</v>
      </c>
    </row>
    <row r="28" spans="2:7" ht="18" customHeight="1" x14ac:dyDescent="0.2">
      <c r="B28" s="24" t="s">
        <v>54</v>
      </c>
      <c r="C28" s="24"/>
      <c r="D28" s="24"/>
      <c r="E28" s="24"/>
    </row>
    <row r="29" spans="2:7" x14ac:dyDescent="0.2">
      <c r="B29" s="1" t="s">
        <v>55</v>
      </c>
      <c r="C29" s="15">
        <f>C22/(1-C21)</f>
        <v>0.5</v>
      </c>
    </row>
    <row r="30" spans="2:7" x14ac:dyDescent="0.2">
      <c r="B30" s="1" t="s">
        <v>56</v>
      </c>
      <c r="C30" s="15">
        <f>C23/(1-C21-C22)</f>
        <v>0.73333333333333339</v>
      </c>
    </row>
    <row r="31" spans="2:7" x14ac:dyDescent="0.2">
      <c r="B31" s="7" t="s">
        <v>57</v>
      </c>
    </row>
    <row r="33" spans="2:5" ht="18" customHeight="1" x14ac:dyDescent="0.2">
      <c r="B33" s="24" t="s">
        <v>58</v>
      </c>
      <c r="C33" s="24"/>
      <c r="D33" s="24"/>
      <c r="E33" s="24"/>
    </row>
    <row r="34" spans="2:5" x14ac:dyDescent="0.2">
      <c r="B34" s="1" t="s">
        <v>59</v>
      </c>
      <c r="C34" s="12">
        <v>38.831490000000002</v>
      </c>
    </row>
    <row r="35" spans="2:5" x14ac:dyDescent="0.2">
      <c r="B35" s="1" t="s">
        <v>60</v>
      </c>
      <c r="C35" s="12">
        <v>4622.3451230000001</v>
      </c>
    </row>
    <row r="36" spans="2:5" x14ac:dyDescent="0.2">
      <c r="B36" s="7" t="s">
        <v>61</v>
      </c>
    </row>
  </sheetData>
  <mergeCells count="1">
    <mergeCell ref="B2:I2"/>
  </mergeCell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00"/>
    <pageSetUpPr fitToPage="1"/>
  </sheetPr>
  <dimension ref="B2:G41"/>
  <sheetViews>
    <sheetView showGridLines="0" workbookViewId="0"/>
  </sheetViews>
  <sheetFormatPr baseColWidth="10" defaultColWidth="8.83203125" defaultRowHeight="15" x14ac:dyDescent="0.2"/>
  <cols>
    <col min="1" max="1" width="4.33203125" customWidth="1"/>
    <col min="2" max="2" width="10" customWidth="1"/>
    <col min="3" max="3" width="18" customWidth="1"/>
    <col min="4" max="4" width="12" customWidth="1"/>
    <col min="5" max="5" width="20" customWidth="1"/>
    <col min="6" max="6" width="16" customWidth="1"/>
    <col min="7" max="7" width="18" customWidth="1"/>
    <col min="8" max="8" width="4" customWidth="1"/>
  </cols>
  <sheetData>
    <row r="2" spans="2:7" ht="24" customHeight="1" x14ac:dyDescent="0.2">
      <c r="B2" s="31" t="s">
        <v>62</v>
      </c>
      <c r="C2" s="32"/>
      <c r="D2" s="32"/>
      <c r="E2" s="32"/>
      <c r="F2" s="32"/>
      <c r="G2" s="33"/>
    </row>
    <row r="3" spans="2:7" x14ac:dyDescent="0.2">
      <c r="B3" s="7" t="s">
        <v>63</v>
      </c>
    </row>
    <row r="5" spans="2:7" ht="18" customHeight="1" x14ac:dyDescent="0.2">
      <c r="B5" s="25" t="s">
        <v>64</v>
      </c>
      <c r="C5" s="25" t="s">
        <v>65</v>
      </c>
      <c r="D5" s="25" t="s">
        <v>66</v>
      </c>
      <c r="E5" s="25" t="s">
        <v>67</v>
      </c>
      <c r="F5" s="25" t="s">
        <v>68</v>
      </c>
      <c r="G5" s="25" t="s">
        <v>69</v>
      </c>
    </row>
    <row r="6" spans="2:7" x14ac:dyDescent="0.2">
      <c r="B6" s="3">
        <v>1</v>
      </c>
      <c r="C6" s="2">
        <f t="shared" ref="C6:C30" si="0">CheckSize</f>
        <v>1920000</v>
      </c>
      <c r="D6" s="17">
        <f t="shared" ref="D6:D30" ca="1" si="1">RAND()</f>
        <v>2.2915081929859249E-2</v>
      </c>
      <c r="E6" s="18" t="str">
        <f ca="1">IF(D6&lt;Assumptions!$D$21,"Zero",IF(D6&lt;Assumptions!$D$22,"Return Capital",IF(D6&lt;Assumptions!$D$23,"Good","Outlier")))</f>
        <v>Zero</v>
      </c>
      <c r="F6" s="4">
        <f ca="1">IF(E6="Zero",0,IF(E6="Return Capital",_xlfn.LOGNORM.INV(RAND(),MV2,Sigma1),IF(E6="Good",_xlfn.LOGNORM.INV(RAND(),MV3,Sigma2),MIN(MaxMultiple,Xm/(1-RAND())^(1/Alpha)))))</f>
        <v>0</v>
      </c>
      <c r="G6" s="2">
        <f t="shared" ref="G6:G30" ca="1" si="2">C6*F6</f>
        <v>0</v>
      </c>
    </row>
    <row r="7" spans="2:7" x14ac:dyDescent="0.2">
      <c r="B7" s="3">
        <v>2</v>
      </c>
      <c r="C7" s="2">
        <f t="shared" si="0"/>
        <v>1920000</v>
      </c>
      <c r="D7" s="17">
        <f t="shared" ca="1" si="1"/>
        <v>0.8751085886829042</v>
      </c>
      <c r="E7" s="18" t="str">
        <f ca="1">IF(D7&lt;Assumptions!$D$21,"Zero",IF(D7&lt;Assumptions!$D$22,"Return Capital",IF(D7&lt;Assumptions!$D$23,"Good","Outlier")))</f>
        <v>Good</v>
      </c>
      <c r="F7" s="4">
        <f ca="1">IF(E7="Zero",0,IF(E7="Return Capital",_xlfn.LOGNORM.INV(RAND(),MV2,Sigma1),IF(E7="Good",_xlfn.LOGNORM.INV(RAND(),MV3,Sigma2),MIN(MaxMultiple,Xm/(1-RAND())^(1/Alpha)))))</f>
        <v>0.62143872127701483</v>
      </c>
      <c r="G7" s="2">
        <f t="shared" ca="1" si="2"/>
        <v>1193162.3448518685</v>
      </c>
    </row>
    <row r="8" spans="2:7" x14ac:dyDescent="0.2">
      <c r="B8" s="3">
        <v>3</v>
      </c>
      <c r="C8" s="2">
        <f t="shared" si="0"/>
        <v>1920000</v>
      </c>
      <c r="D8" s="17">
        <f t="shared" ca="1" si="1"/>
        <v>0.51629581442225714</v>
      </c>
      <c r="E8" s="18" t="str">
        <f ca="1">IF(D8&lt;Assumptions!$D$21,"Zero",IF(D8&lt;Assumptions!$D$22,"Return Capital",IF(D8&lt;Assumptions!$D$23,"Good","Outlier")))</f>
        <v>Return Capital</v>
      </c>
      <c r="F8" s="4">
        <f ca="1">IF(E8="Zero",0,IF(E8="Return Capital",_xlfn.LOGNORM.INV(RAND(),MV2,Sigma1),IF(E8="Good",_xlfn.LOGNORM.INV(RAND(),MV3,Sigma2),MIN(MaxMultiple,Xm/(1-RAND())^(1/Alpha)))))</f>
        <v>1.5285872816161052</v>
      </c>
      <c r="G8" s="2">
        <f t="shared" ca="1" si="2"/>
        <v>2934887.5807029218</v>
      </c>
    </row>
    <row r="9" spans="2:7" x14ac:dyDescent="0.2">
      <c r="B9" s="3">
        <v>4</v>
      </c>
      <c r="C9" s="2">
        <f t="shared" si="0"/>
        <v>1920000</v>
      </c>
      <c r="D9" s="17">
        <f t="shared" ca="1" si="1"/>
        <v>0.15094127957090364</v>
      </c>
      <c r="E9" s="18" t="str">
        <f ca="1">IF(D9&lt;Assumptions!$D$21,"Zero",IF(D9&lt;Assumptions!$D$22,"Return Capital",IF(D9&lt;Assumptions!$D$23,"Good","Outlier")))</f>
        <v>Zero</v>
      </c>
      <c r="F9" s="4">
        <f ca="1">IF(E9="Zero",0,IF(E9="Return Capital",_xlfn.LOGNORM.INV(RAND(),MV2,Sigma1),IF(E9="Good",_xlfn.LOGNORM.INV(RAND(),MV3,Sigma2),MIN(MaxMultiple,Xm/(1-RAND())^(1/Alpha)))))</f>
        <v>0</v>
      </c>
      <c r="G9" s="2">
        <f t="shared" ca="1" si="2"/>
        <v>0</v>
      </c>
    </row>
    <row r="10" spans="2:7" x14ac:dyDescent="0.2">
      <c r="B10" s="3">
        <v>5</v>
      </c>
      <c r="C10" s="2">
        <f t="shared" si="0"/>
        <v>1920000</v>
      </c>
      <c r="D10" s="17">
        <f t="shared" ca="1" si="1"/>
        <v>0.41040435375327455</v>
      </c>
      <c r="E10" s="18" t="str">
        <f ca="1">IF(D10&lt;Assumptions!$D$21,"Zero",IF(D10&lt;Assumptions!$D$22,"Return Capital",IF(D10&lt;Assumptions!$D$23,"Good","Outlier")))</f>
        <v>Return Capital</v>
      </c>
      <c r="F10" s="4">
        <f ca="1">IF(E10="Zero",0,IF(E10="Return Capital",_xlfn.LOGNORM.INV(RAND(),MV2,Sigma1),IF(E10="Good",_xlfn.LOGNORM.INV(RAND(),MV3,Sigma2),MIN(MaxMultiple,Xm/(1-RAND())^(1/Alpha)))))</f>
        <v>0.54226444507230664</v>
      </c>
      <c r="G10" s="2">
        <f t="shared" ca="1" si="2"/>
        <v>1041147.7345388287</v>
      </c>
    </row>
    <row r="11" spans="2:7" x14ac:dyDescent="0.2">
      <c r="B11" s="3">
        <v>6</v>
      </c>
      <c r="C11" s="2">
        <f t="shared" si="0"/>
        <v>1920000</v>
      </c>
      <c r="D11" s="17">
        <f t="shared" ca="1" si="1"/>
        <v>7.4017059279005259E-2</v>
      </c>
      <c r="E11" s="18" t="str">
        <f ca="1">IF(D11&lt;Assumptions!$D$21,"Zero",IF(D11&lt;Assumptions!$D$22,"Return Capital",IF(D11&lt;Assumptions!$D$23,"Good","Outlier")))</f>
        <v>Zero</v>
      </c>
      <c r="F11" s="4">
        <f ca="1">IF(E11="Zero",0,IF(E11="Return Capital",_xlfn.LOGNORM.INV(RAND(),MV2,Sigma1),IF(E11="Good",_xlfn.LOGNORM.INV(RAND(),MV3,Sigma2),MIN(MaxMultiple,Xm/(1-RAND())^(1/Alpha)))))</f>
        <v>0</v>
      </c>
      <c r="G11" s="2">
        <f t="shared" ca="1" si="2"/>
        <v>0</v>
      </c>
    </row>
    <row r="12" spans="2:7" x14ac:dyDescent="0.2">
      <c r="B12" s="3">
        <v>7</v>
      </c>
      <c r="C12" s="2">
        <f t="shared" si="0"/>
        <v>1920000</v>
      </c>
      <c r="D12" s="17">
        <f t="shared" ca="1" si="1"/>
        <v>0.87005154075184343</v>
      </c>
      <c r="E12" s="18" t="str">
        <f ca="1">IF(D12&lt;Assumptions!$D$21,"Zero",IF(D12&lt;Assumptions!$D$22,"Return Capital",IF(D12&lt;Assumptions!$D$23,"Good","Outlier")))</f>
        <v>Good</v>
      </c>
      <c r="F12" s="4">
        <f ca="1">IF(E12="Zero",0,IF(E12="Return Capital",_xlfn.LOGNORM.INV(RAND(),MV2,Sigma1),IF(E12="Good",_xlfn.LOGNORM.INV(RAND(),MV3,Sigma2),MIN(MaxMultiple,Xm/(1-RAND())^(1/Alpha)))))</f>
        <v>0.52907651673439648</v>
      </c>
      <c r="G12" s="2">
        <f t="shared" ca="1" si="2"/>
        <v>1015826.9121300413</v>
      </c>
    </row>
    <row r="13" spans="2:7" x14ac:dyDescent="0.2">
      <c r="B13" s="3">
        <v>8</v>
      </c>
      <c r="C13" s="2">
        <f t="shared" si="0"/>
        <v>1920000</v>
      </c>
      <c r="D13" s="17">
        <f t="shared" ca="1" si="1"/>
        <v>6.6328470426780139E-2</v>
      </c>
      <c r="E13" s="18" t="str">
        <f ca="1">IF(D13&lt;Assumptions!$D$21,"Zero",IF(D13&lt;Assumptions!$D$22,"Return Capital",IF(D13&lt;Assumptions!$D$23,"Good","Outlier")))</f>
        <v>Zero</v>
      </c>
      <c r="F13" s="4">
        <f ca="1">IF(E13="Zero",0,IF(E13="Return Capital",_xlfn.LOGNORM.INV(RAND(),MV2,Sigma1),IF(E13="Good",_xlfn.LOGNORM.INV(RAND(),MV3,Sigma2),MIN(MaxMultiple,Xm/(1-RAND())^(1/Alpha)))))</f>
        <v>0</v>
      </c>
      <c r="G13" s="2">
        <f t="shared" ca="1" si="2"/>
        <v>0</v>
      </c>
    </row>
    <row r="14" spans="2:7" x14ac:dyDescent="0.2">
      <c r="B14" s="3">
        <v>9</v>
      </c>
      <c r="C14" s="2">
        <f t="shared" si="0"/>
        <v>1920000</v>
      </c>
      <c r="D14" s="17">
        <f t="shared" ca="1" si="1"/>
        <v>0.40087459345246368</v>
      </c>
      <c r="E14" s="18" t="str">
        <f ca="1">IF(D14&lt;Assumptions!$D$21,"Zero",IF(D14&lt;Assumptions!$D$22,"Return Capital",IF(D14&lt;Assumptions!$D$23,"Good","Outlier")))</f>
        <v>Return Capital</v>
      </c>
      <c r="F14" s="4">
        <f ca="1">IF(E14="Zero",0,IF(E14="Return Capital",_xlfn.LOGNORM.INV(RAND(),MV2,Sigma1),IF(E14="Good",_xlfn.LOGNORM.INV(RAND(),MV3,Sigma2),MIN(MaxMultiple,Xm/(1-RAND())^(1/Alpha)))))</f>
        <v>0.83255862708170036</v>
      </c>
      <c r="G14" s="2">
        <f t="shared" ca="1" si="2"/>
        <v>1598512.5639968647</v>
      </c>
    </row>
    <row r="15" spans="2:7" x14ac:dyDescent="0.2">
      <c r="B15" s="3">
        <v>10</v>
      </c>
      <c r="C15" s="2">
        <f t="shared" si="0"/>
        <v>1920000</v>
      </c>
      <c r="D15" s="17">
        <f t="shared" ca="1" si="1"/>
        <v>0.15350217397306898</v>
      </c>
      <c r="E15" s="18" t="str">
        <f ca="1">IF(D15&lt;Assumptions!$D$21,"Zero",IF(D15&lt;Assumptions!$D$22,"Return Capital",IF(D15&lt;Assumptions!$D$23,"Good","Outlier")))</f>
        <v>Zero</v>
      </c>
      <c r="F15" s="4">
        <f ca="1">IF(E15="Zero",0,IF(E15="Return Capital",_xlfn.LOGNORM.INV(RAND(),MV2,Sigma1),IF(E15="Good",_xlfn.LOGNORM.INV(RAND(),MV3,Sigma2),MIN(MaxMultiple,Xm/(1-RAND())^(1/Alpha)))))</f>
        <v>0</v>
      </c>
      <c r="G15" s="2">
        <f t="shared" ca="1" si="2"/>
        <v>0</v>
      </c>
    </row>
    <row r="16" spans="2:7" x14ac:dyDescent="0.2">
      <c r="B16" s="3">
        <v>11</v>
      </c>
      <c r="C16" s="2">
        <f t="shared" si="0"/>
        <v>1920000</v>
      </c>
      <c r="D16" s="17">
        <f t="shared" ca="1" si="1"/>
        <v>0.75336675578794066</v>
      </c>
      <c r="E16" s="18" t="str">
        <f ca="1">IF(D16&lt;Assumptions!$D$21,"Zero",IF(D16&lt;Assumptions!$D$22,"Return Capital",IF(D16&lt;Assumptions!$D$23,"Good","Outlier")))</f>
        <v>Good</v>
      </c>
      <c r="F16" s="4">
        <f ca="1">IF(E16="Zero",0,IF(E16="Return Capital",_xlfn.LOGNORM.INV(RAND(),MV2,Sigma1),IF(E16="Good",_xlfn.LOGNORM.INV(RAND(),MV3,Sigma2),MIN(MaxMultiple,Xm/(1-RAND())^(1/Alpha)))))</f>
        <v>2.9853605239105678</v>
      </c>
      <c r="G16" s="2">
        <f t="shared" ca="1" si="2"/>
        <v>5731892.2059082901</v>
      </c>
    </row>
    <row r="17" spans="2:7" x14ac:dyDescent="0.2">
      <c r="B17" s="3">
        <v>12</v>
      </c>
      <c r="C17" s="2">
        <f t="shared" si="0"/>
        <v>1920000</v>
      </c>
      <c r="D17" s="17">
        <f t="shared" ca="1" si="1"/>
        <v>0.53327729117971256</v>
      </c>
      <c r="E17" s="18" t="str">
        <f ca="1">IF(D17&lt;Assumptions!$D$21,"Zero",IF(D17&lt;Assumptions!$D$22,"Return Capital",IF(D17&lt;Assumptions!$D$23,"Good","Outlier")))</f>
        <v>Return Capital</v>
      </c>
      <c r="F17" s="4">
        <f ca="1">IF(E17="Zero",0,IF(E17="Return Capital",_xlfn.LOGNORM.INV(RAND(),MV2,Sigma1),IF(E17="Good",_xlfn.LOGNORM.INV(RAND(),MV3,Sigma2),MIN(MaxMultiple,Xm/(1-RAND())^(1/Alpha)))))</f>
        <v>1.2952869326613532</v>
      </c>
      <c r="G17" s="2">
        <f t="shared" ca="1" si="2"/>
        <v>2486950.9107097983</v>
      </c>
    </row>
    <row r="18" spans="2:7" x14ac:dyDescent="0.2">
      <c r="B18" s="3">
        <v>13</v>
      </c>
      <c r="C18" s="2">
        <f t="shared" si="0"/>
        <v>1920000</v>
      </c>
      <c r="D18" s="17">
        <f t="shared" ca="1" si="1"/>
        <v>0.44886546137365213</v>
      </c>
      <c r="E18" s="18" t="str">
        <f ca="1">IF(D18&lt;Assumptions!$D$21,"Zero",IF(D18&lt;Assumptions!$D$22,"Return Capital",IF(D18&lt;Assumptions!$D$23,"Good","Outlier")))</f>
        <v>Return Capital</v>
      </c>
      <c r="F18" s="4">
        <f ca="1">IF(E18="Zero",0,IF(E18="Return Capital",_xlfn.LOGNORM.INV(RAND(),MV2,Sigma1),IF(E18="Good",_xlfn.LOGNORM.INV(RAND(),MV3,Sigma2),MIN(MaxMultiple,Xm/(1-RAND())^(1/Alpha)))))</f>
        <v>2.3302572226468565</v>
      </c>
      <c r="G18" s="2">
        <f t="shared" ca="1" si="2"/>
        <v>4474093.8674819646</v>
      </c>
    </row>
    <row r="19" spans="2:7" x14ac:dyDescent="0.2">
      <c r="B19" s="3">
        <v>14</v>
      </c>
      <c r="C19" s="2">
        <f t="shared" si="0"/>
        <v>1920000</v>
      </c>
      <c r="D19" s="17">
        <f t="shared" ca="1" si="1"/>
        <v>0.50272474817953772</v>
      </c>
      <c r="E19" s="18" t="str">
        <f ca="1">IF(D19&lt;Assumptions!$D$21,"Zero",IF(D19&lt;Assumptions!$D$22,"Return Capital",IF(D19&lt;Assumptions!$D$23,"Good","Outlier")))</f>
        <v>Return Capital</v>
      </c>
      <c r="F19" s="4">
        <f ca="1">IF(E19="Zero",0,IF(E19="Return Capital",_xlfn.LOGNORM.INV(RAND(),MV2,Sigma1),IF(E19="Good",_xlfn.LOGNORM.INV(RAND(),MV3,Sigma2),MIN(MaxMultiple,Xm/(1-RAND())^(1/Alpha)))))</f>
        <v>0.53088033622313291</v>
      </c>
      <c r="G19" s="2">
        <f t="shared" ca="1" si="2"/>
        <v>1019290.2455484152</v>
      </c>
    </row>
    <row r="20" spans="2:7" x14ac:dyDescent="0.2">
      <c r="B20" s="3">
        <v>15</v>
      </c>
      <c r="C20" s="2">
        <f t="shared" si="0"/>
        <v>1920000</v>
      </c>
      <c r="D20" s="17">
        <f t="shared" ca="1" si="1"/>
        <v>0.24428027017790699</v>
      </c>
      <c r="E20" s="18" t="str">
        <f ca="1">IF(D20&lt;Assumptions!$D$21,"Zero",IF(D20&lt;Assumptions!$D$22,"Return Capital",IF(D20&lt;Assumptions!$D$23,"Good","Outlier")))</f>
        <v>Zero</v>
      </c>
      <c r="F20" s="4">
        <f ca="1">IF(E20="Zero",0,IF(E20="Return Capital",_xlfn.LOGNORM.INV(RAND(),MV2,Sigma1),IF(E20="Good",_xlfn.LOGNORM.INV(RAND(),MV3,Sigma2),MIN(MaxMultiple,Xm/(1-RAND())^(1/Alpha)))))</f>
        <v>0</v>
      </c>
      <c r="G20" s="2">
        <f t="shared" ca="1" si="2"/>
        <v>0</v>
      </c>
    </row>
    <row r="21" spans="2:7" x14ac:dyDescent="0.2">
      <c r="B21" s="3">
        <v>16</v>
      </c>
      <c r="C21" s="2">
        <f t="shared" si="0"/>
        <v>1920000</v>
      </c>
      <c r="D21" s="17">
        <f t="shared" ca="1" si="1"/>
        <v>5.6275045193843964E-2</v>
      </c>
      <c r="E21" s="18" t="str">
        <f ca="1">IF(D21&lt;Assumptions!$D$21,"Zero",IF(D21&lt;Assumptions!$D$22,"Return Capital",IF(D21&lt;Assumptions!$D$23,"Good","Outlier")))</f>
        <v>Zero</v>
      </c>
      <c r="F21" s="4">
        <f ca="1">IF(E21="Zero",0,IF(E21="Return Capital",_xlfn.LOGNORM.INV(RAND(),MV2,Sigma1),IF(E21="Good",_xlfn.LOGNORM.INV(RAND(),MV3,Sigma2),MIN(MaxMultiple,Xm/(1-RAND())^(1/Alpha)))))</f>
        <v>0</v>
      </c>
      <c r="G21" s="2">
        <f t="shared" ca="1" si="2"/>
        <v>0</v>
      </c>
    </row>
    <row r="22" spans="2:7" x14ac:dyDescent="0.2">
      <c r="B22" s="3">
        <v>17</v>
      </c>
      <c r="C22" s="2">
        <f t="shared" si="0"/>
        <v>1920000</v>
      </c>
      <c r="D22" s="17">
        <f t="shared" ca="1" si="1"/>
        <v>0.73163001283905549</v>
      </c>
      <c r="E22" s="18" t="str">
        <f ca="1">IF(D22&lt;Assumptions!$D$21,"Zero",IF(D22&lt;Assumptions!$D$22,"Return Capital",IF(D22&lt;Assumptions!$D$23,"Good","Outlier")))</f>
        <v>Good</v>
      </c>
      <c r="F22" s="4">
        <f ca="1">IF(E22="Zero",0,IF(E22="Return Capital",_xlfn.LOGNORM.INV(RAND(),MV2,Sigma1),IF(E22="Good",_xlfn.LOGNORM.INV(RAND(),MV3,Sigma2),MIN(MaxMultiple,Xm/(1-RAND())^(1/Alpha)))))</f>
        <v>0.47773563312396689</v>
      </c>
      <c r="G22" s="2">
        <f t="shared" ca="1" si="2"/>
        <v>917252.41559801647</v>
      </c>
    </row>
    <row r="23" spans="2:7" x14ac:dyDescent="0.2">
      <c r="B23" s="3">
        <v>18</v>
      </c>
      <c r="C23" s="2">
        <f t="shared" si="0"/>
        <v>1920000</v>
      </c>
      <c r="D23" s="17">
        <f t="shared" ca="1" si="1"/>
        <v>0.53076097659881061</v>
      </c>
      <c r="E23" s="18" t="str">
        <f ca="1">IF(D23&lt;Assumptions!$D$21,"Zero",IF(D23&lt;Assumptions!$D$22,"Return Capital",IF(D23&lt;Assumptions!$D$23,"Good","Outlier")))</f>
        <v>Return Capital</v>
      </c>
      <c r="F23" s="4">
        <f ca="1">IF(E23="Zero",0,IF(E23="Return Capital",_xlfn.LOGNORM.INV(RAND(),MV2,Sigma1),IF(E23="Good",_xlfn.LOGNORM.INV(RAND(),MV3,Sigma2),MIN(MaxMultiple,Xm/(1-RAND())^(1/Alpha)))))</f>
        <v>0.8711408260750062</v>
      </c>
      <c r="G23" s="2">
        <f t="shared" ca="1" si="2"/>
        <v>1672590.3860640118</v>
      </c>
    </row>
    <row r="24" spans="2:7" x14ac:dyDescent="0.2">
      <c r="B24" s="3">
        <v>19</v>
      </c>
      <c r="C24" s="2">
        <f t="shared" si="0"/>
        <v>1920000</v>
      </c>
      <c r="D24" s="17">
        <f t="shared" ca="1" si="1"/>
        <v>0.61642503195069076</v>
      </c>
      <c r="E24" s="18" t="str">
        <f ca="1">IF(D24&lt;Assumptions!$D$21,"Zero",IF(D24&lt;Assumptions!$D$22,"Return Capital",IF(D24&lt;Assumptions!$D$23,"Good","Outlier")))</f>
        <v>Return Capital</v>
      </c>
      <c r="F24" s="4">
        <f ca="1">IF(E24="Zero",0,IF(E24="Return Capital",_xlfn.LOGNORM.INV(RAND(),MV2,Sigma1),IF(E24="Good",_xlfn.LOGNORM.INV(RAND(),MV3,Sigma2),MIN(MaxMultiple,Xm/(1-RAND())^(1/Alpha)))))</f>
        <v>0.46949685852849815</v>
      </c>
      <c r="G24" s="2">
        <f t="shared" ca="1" si="2"/>
        <v>901433.96837471647</v>
      </c>
    </row>
    <row r="25" spans="2:7" x14ac:dyDescent="0.2">
      <c r="B25" s="3">
        <v>20</v>
      </c>
      <c r="C25" s="2">
        <f t="shared" si="0"/>
        <v>1920000</v>
      </c>
      <c r="D25" s="17">
        <f t="shared" ca="1" si="1"/>
        <v>0.44088033875967858</v>
      </c>
      <c r="E25" s="18" t="str">
        <f ca="1">IF(D25&lt;Assumptions!$D$21,"Zero",IF(D25&lt;Assumptions!$D$22,"Return Capital",IF(D25&lt;Assumptions!$D$23,"Good","Outlier")))</f>
        <v>Return Capital</v>
      </c>
      <c r="F25" s="4">
        <f ca="1">IF(E25="Zero",0,IF(E25="Return Capital",_xlfn.LOGNORM.INV(RAND(),MV2,Sigma1),IF(E25="Good",_xlfn.LOGNORM.INV(RAND(),MV3,Sigma2),MIN(MaxMultiple,Xm/(1-RAND())^(1/Alpha)))))</f>
        <v>1.1911380015892397</v>
      </c>
      <c r="G25" s="2">
        <f t="shared" ca="1" si="2"/>
        <v>2286984.9630513401</v>
      </c>
    </row>
    <row r="26" spans="2:7" x14ac:dyDescent="0.2">
      <c r="B26" s="3">
        <v>21</v>
      </c>
      <c r="C26" s="2">
        <f t="shared" si="0"/>
        <v>1920000</v>
      </c>
      <c r="D26" s="17">
        <f t="shared" ca="1" si="1"/>
        <v>0.14005456516233605</v>
      </c>
      <c r="E26" s="18" t="str">
        <f ca="1">IF(D26&lt;Assumptions!$D$21,"Zero",IF(D26&lt;Assumptions!$D$22,"Return Capital",IF(D26&lt;Assumptions!$D$23,"Good","Outlier")))</f>
        <v>Zero</v>
      </c>
      <c r="F26" s="4">
        <f ca="1">IF(E26="Zero",0,IF(E26="Return Capital",_xlfn.LOGNORM.INV(RAND(),MV2,Sigma1),IF(E26="Good",_xlfn.LOGNORM.INV(RAND(),MV3,Sigma2),MIN(MaxMultiple,Xm/(1-RAND())^(1/Alpha)))))</f>
        <v>0</v>
      </c>
      <c r="G26" s="2">
        <f t="shared" ca="1" si="2"/>
        <v>0</v>
      </c>
    </row>
    <row r="27" spans="2:7" x14ac:dyDescent="0.2">
      <c r="B27" s="3">
        <v>22</v>
      </c>
      <c r="C27" s="2">
        <f t="shared" si="0"/>
        <v>1920000</v>
      </c>
      <c r="D27" s="17">
        <f t="shared" ca="1" si="1"/>
        <v>0.65858014709729784</v>
      </c>
      <c r="E27" s="18" t="str">
        <f ca="1">IF(D27&lt;Assumptions!$D$21,"Zero",IF(D27&lt;Assumptions!$D$22,"Return Capital",IF(D27&lt;Assumptions!$D$23,"Good","Outlier")))</f>
        <v>Return Capital</v>
      </c>
      <c r="F27" s="4">
        <f ca="1">IF(E27="Zero",0,IF(E27="Return Capital",_xlfn.LOGNORM.INV(RAND(),MV2,Sigma1),IF(E27="Good",_xlfn.LOGNORM.INV(RAND(),MV3,Sigma2),MIN(MaxMultiple,Xm/(1-RAND())^(1/Alpha)))))</f>
        <v>2.469562595686515</v>
      </c>
      <c r="G27" s="2">
        <f t="shared" ca="1" si="2"/>
        <v>4741560.1837181086</v>
      </c>
    </row>
    <row r="28" spans="2:7" x14ac:dyDescent="0.2">
      <c r="B28" s="3">
        <v>23</v>
      </c>
      <c r="C28" s="2">
        <f t="shared" si="0"/>
        <v>1920000</v>
      </c>
      <c r="D28" s="17">
        <f t="shared" ca="1" si="1"/>
        <v>5.206098534444481E-2</v>
      </c>
      <c r="E28" s="18" t="str">
        <f ca="1">IF(D28&lt;Assumptions!$D$21,"Zero",IF(D28&lt;Assumptions!$D$22,"Return Capital",IF(D28&lt;Assumptions!$D$23,"Good","Outlier")))</f>
        <v>Zero</v>
      </c>
      <c r="F28" s="4">
        <f ca="1">IF(E28="Zero",0,IF(E28="Return Capital",_xlfn.LOGNORM.INV(RAND(),MV2,Sigma1),IF(E28="Good",_xlfn.LOGNORM.INV(RAND(),MV3,Sigma2),MIN(MaxMultiple,Xm/(1-RAND())^(1/Alpha)))))</f>
        <v>0</v>
      </c>
      <c r="G28" s="2">
        <f t="shared" ca="1" si="2"/>
        <v>0</v>
      </c>
    </row>
    <row r="29" spans="2:7" x14ac:dyDescent="0.2">
      <c r="B29" s="3">
        <v>24</v>
      </c>
      <c r="C29" s="2">
        <f t="shared" si="0"/>
        <v>1920000</v>
      </c>
      <c r="D29" s="17">
        <f t="shared" ca="1" si="1"/>
        <v>0.54068000926597526</v>
      </c>
      <c r="E29" s="18" t="str">
        <f ca="1">IF(D29&lt;Assumptions!$D$21,"Zero",IF(D29&lt;Assumptions!$D$22,"Return Capital",IF(D29&lt;Assumptions!$D$23,"Good","Outlier")))</f>
        <v>Return Capital</v>
      </c>
      <c r="F29" s="4">
        <f ca="1">IF(E29="Zero",0,IF(E29="Return Capital",_xlfn.LOGNORM.INV(RAND(),MV2,Sigma1),IF(E29="Good",_xlfn.LOGNORM.INV(RAND(),MV3,Sigma2),MIN(MaxMultiple,Xm/(1-RAND())^(1/Alpha)))))</f>
        <v>0.35826975620293661</v>
      </c>
      <c r="G29" s="2">
        <f t="shared" ca="1" si="2"/>
        <v>687877.93190963834</v>
      </c>
    </row>
    <row r="30" spans="2:7" x14ac:dyDescent="0.2">
      <c r="B30" s="3">
        <v>25</v>
      </c>
      <c r="C30" s="2">
        <f t="shared" si="0"/>
        <v>1920000</v>
      </c>
      <c r="D30" s="17">
        <f t="shared" ca="1" si="1"/>
        <v>0.44559463858306303</v>
      </c>
      <c r="E30" s="18" t="str">
        <f ca="1">IF(D30&lt;Assumptions!$D$21,"Zero",IF(D30&lt;Assumptions!$D$22,"Return Capital",IF(D30&lt;Assumptions!$D$23,"Good","Outlier")))</f>
        <v>Return Capital</v>
      </c>
      <c r="F30" s="4">
        <f ca="1">IF(E30="Zero",0,IF(E30="Return Capital",_xlfn.LOGNORM.INV(RAND(),MV2,Sigma1),IF(E30="Good",_xlfn.LOGNORM.INV(RAND(),MV3,Sigma2),MIN(MaxMultiple,Xm/(1-RAND())^(1/Alpha)))))</f>
        <v>0.63881191179592833</v>
      </c>
      <c r="G30" s="2">
        <f t="shared" ca="1" si="2"/>
        <v>1226518.8706481825</v>
      </c>
    </row>
    <row r="32" spans="2:7" ht="18" customHeight="1" x14ac:dyDescent="0.2">
      <c r="B32" s="24" t="s">
        <v>70</v>
      </c>
      <c r="C32" s="24"/>
      <c r="D32" s="24"/>
      <c r="E32" s="24"/>
      <c r="F32" s="24"/>
      <c r="G32" s="24"/>
    </row>
    <row r="33" spans="2:3" x14ac:dyDescent="0.2">
      <c r="B33" s="13" t="s">
        <v>71</v>
      </c>
      <c r="C33" s="2">
        <f ca="1">SUM(G6:G30)</f>
        <v>33929983.08523301</v>
      </c>
    </row>
    <row r="34" spans="2:3" x14ac:dyDescent="0.2">
      <c r="B34" s="1" t="s">
        <v>72</v>
      </c>
      <c r="C34" s="2">
        <f>InvestableCapital</f>
        <v>48000000</v>
      </c>
    </row>
    <row r="35" spans="2:3" x14ac:dyDescent="0.2">
      <c r="B35" s="13" t="s">
        <v>73</v>
      </c>
      <c r="C35" s="4">
        <f ca="1">C33/C34</f>
        <v>0.70687464760902108</v>
      </c>
    </row>
    <row r="36" spans="2:3" x14ac:dyDescent="0.2">
      <c r="B36" s="1" t="s">
        <v>74</v>
      </c>
      <c r="C36" s="2">
        <f ca="1">C33-C34</f>
        <v>-14070016.91476699</v>
      </c>
    </row>
    <row r="37" spans="2:3" x14ac:dyDescent="0.2">
      <c r="B37" s="1" t="s">
        <v>75</v>
      </c>
      <c r="C37" s="2">
        <f>HurdleToggle*C34*((1+HurdleRate)^FeeYears-1)</f>
        <v>55628399.869093813</v>
      </c>
    </row>
    <row r="38" spans="2:3" x14ac:dyDescent="0.2">
      <c r="B38" s="1" t="s">
        <v>76</v>
      </c>
      <c r="C38" s="2">
        <f ca="1">MAX(0,C36-C37)</f>
        <v>0</v>
      </c>
    </row>
    <row r="39" spans="2:3" x14ac:dyDescent="0.2">
      <c r="B39" s="13" t="s">
        <v>77</v>
      </c>
      <c r="C39" s="2">
        <f ca="1">CarryRate*C38</f>
        <v>0</v>
      </c>
    </row>
    <row r="40" spans="2:3" x14ac:dyDescent="0.2">
      <c r="B40" s="1" t="s">
        <v>78</v>
      </c>
      <c r="C40" s="2">
        <f ca="1">C33-C39</f>
        <v>33929983.08523301</v>
      </c>
    </row>
    <row r="41" spans="2:3" x14ac:dyDescent="0.2">
      <c r="B41" s="13" t="s">
        <v>79</v>
      </c>
      <c r="C41" s="4">
        <f ca="1">C40/FundSize</f>
        <v>0.56549971808721688</v>
      </c>
    </row>
  </sheetData>
  <mergeCells count="1">
    <mergeCell ref="B2:G2"/>
  </mergeCells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00"/>
    <pageSetUpPr fitToPage="1"/>
  </sheetPr>
  <dimension ref="B2:AI505"/>
  <sheetViews>
    <sheetView showGridLines="0" zoomScale="169"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.5" customWidth="1"/>
    <col min="2" max="2" width="8" customWidth="1"/>
    <col min="3" max="27" width="8.5" customWidth="1"/>
    <col min="28" max="28" width="14" customWidth="1"/>
    <col min="29" max="29" width="15" customWidth="1"/>
    <col min="30" max="32" width="13" customWidth="1"/>
    <col min="33" max="33" width="12" customWidth="1"/>
    <col min="34" max="34" width="15" customWidth="1"/>
    <col min="35" max="35" width="12" customWidth="1"/>
  </cols>
  <sheetData>
    <row r="2" spans="2:35" ht="24" customHeight="1" x14ac:dyDescent="0.2">
      <c r="B2" s="31" t="s">
        <v>80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3"/>
    </row>
    <row r="3" spans="2:35" x14ac:dyDescent="0.2">
      <c r="B3" s="7" t="s">
        <v>81</v>
      </c>
    </row>
    <row r="5" spans="2:35" ht="18" customHeight="1" x14ac:dyDescent="0.2">
      <c r="B5" s="25" t="s">
        <v>82</v>
      </c>
      <c r="C5" s="25" t="s">
        <v>83</v>
      </c>
      <c r="D5" s="25" t="s">
        <v>84</v>
      </c>
      <c r="E5" s="25" t="s">
        <v>85</v>
      </c>
      <c r="F5" s="25" t="s">
        <v>86</v>
      </c>
      <c r="G5" s="25" t="s">
        <v>87</v>
      </c>
      <c r="H5" s="25" t="s">
        <v>88</v>
      </c>
      <c r="I5" s="25" t="s">
        <v>89</v>
      </c>
      <c r="J5" s="25" t="s">
        <v>90</v>
      </c>
      <c r="K5" s="25" t="s">
        <v>91</v>
      </c>
      <c r="L5" s="25" t="s">
        <v>92</v>
      </c>
      <c r="M5" s="25" t="s">
        <v>93</v>
      </c>
      <c r="N5" s="25" t="s">
        <v>94</v>
      </c>
      <c r="O5" s="25" t="s">
        <v>95</v>
      </c>
      <c r="P5" s="25" t="s">
        <v>96</v>
      </c>
      <c r="Q5" s="25" t="s">
        <v>97</v>
      </c>
      <c r="R5" s="25" t="s">
        <v>98</v>
      </c>
      <c r="S5" s="25" t="s">
        <v>99</v>
      </c>
      <c r="T5" s="25" t="s">
        <v>100</v>
      </c>
      <c r="U5" s="25" t="s">
        <v>101</v>
      </c>
      <c r="V5" s="25" t="s">
        <v>102</v>
      </c>
      <c r="W5" s="25" t="s">
        <v>103</v>
      </c>
      <c r="X5" s="25" t="s">
        <v>104</v>
      </c>
      <c r="Y5" s="25" t="s">
        <v>105</v>
      </c>
      <c r="Z5" s="25" t="s">
        <v>106</v>
      </c>
      <c r="AA5" s="25" t="s">
        <v>107</v>
      </c>
      <c r="AB5" s="25" t="s">
        <v>108</v>
      </c>
      <c r="AC5" s="25" t="s">
        <v>109</v>
      </c>
      <c r="AD5" s="25" t="s">
        <v>110</v>
      </c>
      <c r="AE5" s="25" t="s">
        <v>111</v>
      </c>
      <c r="AF5" s="25" t="s">
        <v>112</v>
      </c>
      <c r="AG5" s="25" t="s">
        <v>113</v>
      </c>
      <c r="AH5" s="25" t="s">
        <v>114</v>
      </c>
      <c r="AI5" s="25" t="s">
        <v>115</v>
      </c>
    </row>
    <row r="6" spans="2:35" x14ac:dyDescent="0.2">
      <c r="B6" s="1">
        <v>1</v>
      </c>
      <c r="C6" s="19">
        <f ca="1">IF(RAND()&lt;P_Zero,0,IF(RAND()&lt;CondReturn,_xlfn.LOGNORM.INV(RAND(),MV2,Sigma1),IF(RAND()&lt;CondGood,_xlfn.LOGNORM.INV(RAND(),MV3,Sigma2),MIN(MaxMultiple,Xm/(1-RAND())^(1/Alpha)))))</f>
        <v>0</v>
      </c>
      <c r="D6" s="19">
        <f ca="1">IF(RAND()&lt;P_Zero,0,IF(RAND()&lt;CondReturn,_xlfn.LOGNORM.INV(RAND(),MV2,Sigma1),IF(RAND()&lt;CondGood,_xlfn.LOGNORM.INV(RAND(),MV3,Sigma2),MIN(MaxMultiple,Xm/(1-RAND())^(1/Alpha)))))</f>
        <v>2.3706425952004242</v>
      </c>
      <c r="E6" s="19">
        <f ca="1">IF(RAND()&lt;P_Zero,0,IF(RAND()&lt;CondReturn,_xlfn.LOGNORM.INV(RAND(),MV2,Sigma1),IF(RAND()&lt;CondGood,_xlfn.LOGNORM.INV(RAND(),MV3,Sigma2),MIN(MaxMultiple,Xm/(1-RAND())^(1/Alpha)))))</f>
        <v>0</v>
      </c>
      <c r="F6" s="19">
        <f ca="1">IF(RAND()&lt;P_Zero,0,IF(RAND()&lt;CondReturn,_xlfn.LOGNORM.INV(RAND(),MV2,Sigma1),IF(RAND()&lt;CondGood,_xlfn.LOGNORM.INV(RAND(),MV3,Sigma2),MIN(MaxMultiple,Xm/(1-RAND())^(1/Alpha)))))</f>
        <v>0</v>
      </c>
      <c r="G6" s="19">
        <f ca="1">IF(RAND()&lt;P_Zero,0,IF(RAND()&lt;CondReturn,_xlfn.LOGNORM.INV(RAND(),MV2,Sigma1),IF(RAND()&lt;CondGood,_xlfn.LOGNORM.INV(RAND(),MV3,Sigma2),MIN(MaxMultiple,Xm/(1-RAND())^(1/Alpha)))))</f>
        <v>0</v>
      </c>
      <c r="H6" s="19">
        <f ca="1">IF(RAND()&lt;P_Zero,0,IF(RAND()&lt;CondReturn,_xlfn.LOGNORM.INV(RAND(),MV2,Sigma1),IF(RAND()&lt;CondGood,_xlfn.LOGNORM.INV(RAND(),MV3,Sigma2),MIN(MaxMultiple,Xm/(1-RAND())^(1/Alpha)))))</f>
        <v>0</v>
      </c>
      <c r="I6" s="19">
        <f ca="1">IF(RAND()&lt;P_Zero,0,IF(RAND()&lt;CondReturn,_xlfn.LOGNORM.INV(RAND(),MV2,Sigma1),IF(RAND()&lt;CondGood,_xlfn.LOGNORM.INV(RAND(),MV3,Sigma2),MIN(MaxMultiple,Xm/(1-RAND())^(1/Alpha)))))</f>
        <v>0.86419458511848579</v>
      </c>
      <c r="J6" s="19">
        <f ca="1">IF(RAND()&lt;P_Zero,0,IF(RAND()&lt;CondReturn,_xlfn.LOGNORM.INV(RAND(),MV2,Sigma1),IF(RAND()&lt;CondGood,_xlfn.LOGNORM.INV(RAND(),MV3,Sigma2),MIN(MaxMultiple,Xm/(1-RAND())^(1/Alpha)))))</f>
        <v>0</v>
      </c>
      <c r="K6" s="19">
        <f ca="1">IF(RAND()&lt;P_Zero,0,IF(RAND()&lt;CondReturn,_xlfn.LOGNORM.INV(RAND(),MV2,Sigma1),IF(RAND()&lt;CondGood,_xlfn.LOGNORM.INV(RAND(),MV3,Sigma2),MIN(MaxMultiple,Xm/(1-RAND())^(1/Alpha)))))</f>
        <v>0.71190435003456454</v>
      </c>
      <c r="L6" s="19">
        <f ca="1">IF(RAND()&lt;P_Zero,0,IF(RAND()&lt;CondReturn,_xlfn.LOGNORM.INV(RAND(),MV2,Sigma1),IF(RAND()&lt;CondGood,_xlfn.LOGNORM.INV(RAND(),MV3,Sigma2),MIN(MaxMultiple,Xm/(1-RAND())^(1/Alpha)))))</f>
        <v>1.5978971339047927</v>
      </c>
      <c r="M6" s="19">
        <f ca="1">IF(RAND()&lt;P_Zero,0,IF(RAND()&lt;CondReturn,_xlfn.LOGNORM.INV(RAND(),MV2,Sigma1),IF(RAND()&lt;CondGood,_xlfn.LOGNORM.INV(RAND(),MV3,Sigma2),MIN(MaxMultiple,Xm/(1-RAND())^(1/Alpha)))))</f>
        <v>1.208792874462965</v>
      </c>
      <c r="N6" s="19">
        <f ca="1">IF(RAND()&lt;P_Zero,0,IF(RAND()&lt;CondReturn,_xlfn.LOGNORM.INV(RAND(),MV2,Sigma1),IF(RAND()&lt;CondGood,_xlfn.LOGNORM.INV(RAND(),MV3,Sigma2),MIN(MaxMultiple,Xm/(1-RAND())^(1/Alpha)))))</f>
        <v>1.1222728731246316</v>
      </c>
      <c r="O6" s="19">
        <f ca="1">IF(RAND()&lt;P_Zero,0,IF(RAND()&lt;CondReturn,_xlfn.LOGNORM.INV(RAND(),MV2,Sigma1),IF(RAND()&lt;CondGood,_xlfn.LOGNORM.INV(RAND(),MV3,Sigma2),MIN(MaxMultiple,Xm/(1-RAND())^(1/Alpha)))))</f>
        <v>23.133994528976284</v>
      </c>
      <c r="P6" s="19">
        <f ca="1">IF(RAND()&lt;P_Zero,0,IF(RAND()&lt;CondReturn,_xlfn.LOGNORM.INV(RAND(),MV2,Sigma1),IF(RAND()&lt;CondGood,_xlfn.LOGNORM.INV(RAND(),MV3,Sigma2),MIN(MaxMultiple,Xm/(1-RAND())^(1/Alpha)))))</f>
        <v>0.86534651459460077</v>
      </c>
      <c r="Q6" s="19">
        <f ca="1">IF(RAND()&lt;P_Zero,0,IF(RAND()&lt;CondReturn,_xlfn.LOGNORM.INV(RAND(),MV2,Sigma1),IF(RAND()&lt;CondGood,_xlfn.LOGNORM.INV(RAND(),MV3,Sigma2),MIN(MaxMultiple,Xm/(1-RAND())^(1/Alpha)))))</f>
        <v>22.615605361931554</v>
      </c>
      <c r="R6" s="19">
        <f ca="1">IF(RAND()&lt;P_Zero,0,IF(RAND()&lt;CondReturn,_xlfn.LOGNORM.INV(RAND(),MV2,Sigma1),IF(RAND()&lt;CondGood,_xlfn.LOGNORM.INV(RAND(),MV3,Sigma2),MIN(MaxMultiple,Xm/(1-RAND())^(1/Alpha)))))</f>
        <v>0</v>
      </c>
      <c r="S6" s="19">
        <f ca="1">IF(RAND()&lt;P_Zero,0,IF(RAND()&lt;CondReturn,_xlfn.LOGNORM.INV(RAND(),MV2,Sigma1),IF(RAND()&lt;CondGood,_xlfn.LOGNORM.INV(RAND(),MV3,Sigma2),MIN(MaxMultiple,Xm/(1-RAND())^(1/Alpha)))))</f>
        <v>1.1034048977641642</v>
      </c>
      <c r="T6" s="19">
        <f ca="1">IF(RAND()&lt;P_Zero,0,IF(RAND()&lt;CondReturn,_xlfn.LOGNORM.INV(RAND(),MV2,Sigma1),IF(RAND()&lt;CondGood,_xlfn.LOGNORM.INV(RAND(),MV3,Sigma2),MIN(MaxMultiple,Xm/(1-RAND())^(1/Alpha)))))</f>
        <v>0.49597041269745634</v>
      </c>
      <c r="U6" s="19">
        <f ca="1">IF(RAND()&lt;P_Zero,0,IF(RAND()&lt;CondReturn,_xlfn.LOGNORM.INV(RAND(),MV2,Sigma1),IF(RAND()&lt;CondGood,_xlfn.LOGNORM.INV(RAND(),MV3,Sigma2),MIN(MaxMultiple,Xm/(1-RAND())^(1/Alpha)))))</f>
        <v>1.0287367586711713</v>
      </c>
      <c r="V6" s="19">
        <f ca="1">IF(RAND()&lt;P_Zero,0,IF(RAND()&lt;CondReturn,_xlfn.LOGNORM.INV(RAND(),MV2,Sigma1),IF(RAND()&lt;CondGood,_xlfn.LOGNORM.INV(RAND(),MV3,Sigma2),MIN(MaxMultiple,Xm/(1-RAND())^(1/Alpha)))))</f>
        <v>0</v>
      </c>
      <c r="W6" s="19">
        <f ca="1">IF(RAND()&lt;P_Zero,0,IF(RAND()&lt;CondReturn,_xlfn.LOGNORM.INV(RAND(),MV2,Sigma1),IF(RAND()&lt;CondGood,_xlfn.LOGNORM.INV(RAND(),MV3,Sigma2),MIN(MaxMultiple,Xm/(1-RAND())^(1/Alpha)))))</f>
        <v>0.89121852324358852</v>
      </c>
      <c r="X6" s="19">
        <f ca="1">IF(RAND()&lt;P_Zero,0,IF(RAND()&lt;CondReturn,_xlfn.LOGNORM.INV(RAND(),MV2,Sigma1),IF(RAND()&lt;CondGood,_xlfn.LOGNORM.INV(RAND(),MV3,Sigma2),MIN(MaxMultiple,Xm/(1-RAND())^(1/Alpha)))))</f>
        <v>0.7288076000502034</v>
      </c>
      <c r="Y6" s="19">
        <f ca="1">IF(RAND()&lt;P_Zero,0,IF(RAND()&lt;CondReturn,_xlfn.LOGNORM.INV(RAND(),MV2,Sigma1),IF(RAND()&lt;CondGood,_xlfn.LOGNORM.INV(RAND(),MV3,Sigma2),MIN(MaxMultiple,Xm/(1-RAND())^(1/Alpha)))))</f>
        <v>0</v>
      </c>
      <c r="Z6" s="19">
        <f ca="1">IF(RAND()&lt;P_Zero,0,IF(RAND()&lt;CondReturn,_xlfn.LOGNORM.INV(RAND(),MV2,Sigma1),IF(RAND()&lt;CondGood,_xlfn.LOGNORM.INV(RAND(),MV3,Sigma2),MIN(MaxMultiple,Xm/(1-RAND())^(1/Alpha)))))</f>
        <v>0.97652722747421083</v>
      </c>
      <c r="AA6" s="19">
        <f ca="1">IF(RAND()&lt;P_Zero,0,IF(RAND()&lt;CondReturn,_xlfn.LOGNORM.INV(RAND(),MV2,Sigma1),IF(RAND()&lt;CondGood,_xlfn.LOGNORM.INV(RAND(),MV3,Sigma2),MIN(MaxMultiple,Xm/(1-RAND())^(1/Alpha)))))</f>
        <v>18.537948814925759</v>
      </c>
      <c r="AB6" s="19">
        <f t="shared" ref="AB6:AB69" ca="1" si="0">AVERAGE(C6:AA6)</f>
        <v>3.1301306020869943</v>
      </c>
      <c r="AC6" s="14">
        <f t="shared" ref="AC6:AC69" ca="1" si="1">AB6*InvestableCapital</f>
        <v>150246268.90017572</v>
      </c>
      <c r="AD6" s="14">
        <f t="shared" ref="AD6:AD69" ca="1" si="2">AC6-InvestableCapital</f>
        <v>102246268.90017572</v>
      </c>
      <c r="AE6" s="14">
        <f t="shared" ref="AE6:AE69" si="3">HurdleToggle*InvestableCapital*((1+HurdleRate)^FeeYears-1)</f>
        <v>55628399.869093813</v>
      </c>
      <c r="AF6" s="14">
        <f t="shared" ref="AF6:AF69" ca="1" si="4">MAX(0,AD6-AE6)</f>
        <v>46617869.031081907</v>
      </c>
      <c r="AG6" s="14">
        <f t="shared" ref="AG6:AG69" ca="1" si="5">CarryRate*AF6</f>
        <v>9323573.8062163815</v>
      </c>
      <c r="AH6" s="14">
        <f t="shared" ref="AH6:AH69" ca="1" si="6">AC6-AG6</f>
        <v>140922695.09395933</v>
      </c>
      <c r="AI6" s="19">
        <f t="shared" ref="AI6:AI69" ca="1" si="7">AH6/FundSize</f>
        <v>2.3487115848993221</v>
      </c>
    </row>
    <row r="7" spans="2:35" x14ac:dyDescent="0.2">
      <c r="B7" s="1">
        <v>2</v>
      </c>
      <c r="C7" s="19">
        <f ca="1">IF(RAND()&lt;P_Zero,0,IF(RAND()&lt;CondReturn,_xlfn.LOGNORM.INV(RAND(),MV2,Sigma1),IF(RAND()&lt;CondGood,_xlfn.LOGNORM.INV(RAND(),MV3,Sigma2),MIN(MaxMultiple,Xm/(1-RAND())^(1/Alpha)))))</f>
        <v>1.1484460071039355</v>
      </c>
      <c r="D7" s="19">
        <f ca="1">IF(RAND()&lt;P_Zero,0,IF(RAND()&lt;CondReturn,_xlfn.LOGNORM.INV(RAND(),MV2,Sigma1),IF(RAND()&lt;CondGood,_xlfn.LOGNORM.INV(RAND(),MV3,Sigma2),MIN(MaxMultiple,Xm/(1-RAND())^(1/Alpha)))))</f>
        <v>0.69132586148330999</v>
      </c>
      <c r="E7" s="19">
        <f ca="1">IF(RAND()&lt;P_Zero,0,IF(RAND()&lt;CondReturn,_xlfn.LOGNORM.INV(RAND(),MV2,Sigma1),IF(RAND()&lt;CondGood,_xlfn.LOGNORM.INV(RAND(),MV3,Sigma2),MIN(MaxMultiple,Xm/(1-RAND())^(1/Alpha)))))</f>
        <v>1.5908164614611089</v>
      </c>
      <c r="F7" s="19">
        <f ca="1">IF(RAND()&lt;P_Zero,0,IF(RAND()&lt;CondReturn,_xlfn.LOGNORM.INV(RAND(),MV2,Sigma1),IF(RAND()&lt;CondGood,_xlfn.LOGNORM.INV(RAND(),MV3,Sigma2),MIN(MaxMultiple,Xm/(1-RAND())^(1/Alpha)))))</f>
        <v>0.45060673320620426</v>
      </c>
      <c r="G7" s="19">
        <f ca="1">IF(RAND()&lt;P_Zero,0,IF(RAND()&lt;CondReturn,_xlfn.LOGNORM.INV(RAND(),MV2,Sigma1),IF(RAND()&lt;CondGood,_xlfn.LOGNORM.INV(RAND(),MV3,Sigma2),MIN(MaxMultiple,Xm/(1-RAND())^(1/Alpha)))))</f>
        <v>1.3055466642042093</v>
      </c>
      <c r="H7" s="19">
        <f ca="1">IF(RAND()&lt;P_Zero,0,IF(RAND()&lt;CondReturn,_xlfn.LOGNORM.INV(RAND(),MV2,Sigma1),IF(RAND()&lt;CondGood,_xlfn.LOGNORM.INV(RAND(),MV3,Sigma2),MIN(MaxMultiple,Xm/(1-RAND())^(1/Alpha)))))</f>
        <v>0</v>
      </c>
      <c r="I7" s="19">
        <f ca="1">IF(RAND()&lt;P_Zero,0,IF(RAND()&lt;CondReturn,_xlfn.LOGNORM.INV(RAND(),MV2,Sigma1),IF(RAND()&lt;CondGood,_xlfn.LOGNORM.INV(RAND(),MV3,Sigma2),MIN(MaxMultiple,Xm/(1-RAND())^(1/Alpha)))))</f>
        <v>0.905311971619153</v>
      </c>
      <c r="J7" s="19">
        <f ca="1">IF(RAND()&lt;P_Zero,0,IF(RAND()&lt;CondReturn,_xlfn.LOGNORM.INV(RAND(),MV2,Sigma1),IF(RAND()&lt;CondGood,_xlfn.LOGNORM.INV(RAND(),MV3,Sigma2),MIN(MaxMultiple,Xm/(1-RAND())^(1/Alpha)))))</f>
        <v>0</v>
      </c>
      <c r="K7" s="19">
        <f ca="1">IF(RAND()&lt;P_Zero,0,IF(RAND()&lt;CondReturn,_xlfn.LOGNORM.INV(RAND(),MV2,Sigma1),IF(RAND()&lt;CondGood,_xlfn.LOGNORM.INV(RAND(),MV3,Sigma2),MIN(MaxMultiple,Xm/(1-RAND())^(1/Alpha)))))</f>
        <v>0</v>
      </c>
      <c r="L7" s="19">
        <f ca="1">IF(RAND()&lt;P_Zero,0,IF(RAND()&lt;CondReturn,_xlfn.LOGNORM.INV(RAND(),MV2,Sigma1),IF(RAND()&lt;CondGood,_xlfn.LOGNORM.INV(RAND(),MV3,Sigma2),MIN(MaxMultiple,Xm/(1-RAND())^(1/Alpha)))))</f>
        <v>0.27972218119173337</v>
      </c>
      <c r="M7" s="19">
        <f ca="1">IF(RAND()&lt;P_Zero,0,IF(RAND()&lt;CondReturn,_xlfn.LOGNORM.INV(RAND(),MV2,Sigma1),IF(RAND()&lt;CondGood,_xlfn.LOGNORM.INV(RAND(),MV3,Sigma2),MIN(MaxMultiple,Xm/(1-RAND())^(1/Alpha)))))</f>
        <v>2.7220785301387775</v>
      </c>
      <c r="N7" s="19">
        <f ca="1">IF(RAND()&lt;P_Zero,0,IF(RAND()&lt;CondReturn,_xlfn.LOGNORM.INV(RAND(),MV2,Sigma1),IF(RAND()&lt;CondGood,_xlfn.LOGNORM.INV(RAND(),MV3,Sigma2),MIN(MaxMultiple,Xm/(1-RAND())^(1/Alpha)))))</f>
        <v>0</v>
      </c>
      <c r="O7" s="19">
        <f ca="1">IF(RAND()&lt;P_Zero,0,IF(RAND()&lt;CondReturn,_xlfn.LOGNORM.INV(RAND(),MV2,Sigma1),IF(RAND()&lt;CondGood,_xlfn.LOGNORM.INV(RAND(),MV3,Sigma2),MIN(MaxMultiple,Xm/(1-RAND())^(1/Alpha)))))</f>
        <v>1.3712503338998212</v>
      </c>
      <c r="P7" s="19">
        <f ca="1">IF(RAND()&lt;P_Zero,0,IF(RAND()&lt;CondReturn,_xlfn.LOGNORM.INV(RAND(),MV2,Sigma1),IF(RAND()&lt;CondGood,_xlfn.LOGNORM.INV(RAND(),MV3,Sigma2),MIN(MaxMultiple,Xm/(1-RAND())^(1/Alpha)))))</f>
        <v>0</v>
      </c>
      <c r="Q7" s="19">
        <f ca="1">IF(RAND()&lt;P_Zero,0,IF(RAND()&lt;CondReturn,_xlfn.LOGNORM.INV(RAND(),MV2,Sigma1),IF(RAND()&lt;CondGood,_xlfn.LOGNORM.INV(RAND(),MV3,Sigma2),MIN(MaxMultiple,Xm/(1-RAND())^(1/Alpha)))))</f>
        <v>0</v>
      </c>
      <c r="R7" s="19">
        <f ca="1">IF(RAND()&lt;P_Zero,0,IF(RAND()&lt;CondReturn,_xlfn.LOGNORM.INV(RAND(),MV2,Sigma1),IF(RAND()&lt;CondGood,_xlfn.LOGNORM.INV(RAND(),MV3,Sigma2),MIN(MaxMultiple,Xm/(1-RAND())^(1/Alpha)))))</f>
        <v>2.8201149765788847</v>
      </c>
      <c r="S7" s="19">
        <f ca="1">IF(RAND()&lt;P_Zero,0,IF(RAND()&lt;CondReturn,_xlfn.LOGNORM.INV(RAND(),MV2,Sigma1),IF(RAND()&lt;CondGood,_xlfn.LOGNORM.INV(RAND(),MV3,Sigma2),MIN(MaxMultiple,Xm/(1-RAND())^(1/Alpha)))))</f>
        <v>41.420210166140876</v>
      </c>
      <c r="T7" s="19">
        <f ca="1">IF(RAND()&lt;P_Zero,0,IF(RAND()&lt;CondReturn,_xlfn.LOGNORM.INV(RAND(),MV2,Sigma1),IF(RAND()&lt;CondGood,_xlfn.LOGNORM.INV(RAND(),MV3,Sigma2),MIN(MaxMultiple,Xm/(1-RAND())^(1/Alpha)))))</f>
        <v>0.68104349275997345</v>
      </c>
      <c r="U7" s="19">
        <f ca="1">IF(RAND()&lt;P_Zero,0,IF(RAND()&lt;CondReturn,_xlfn.LOGNORM.INV(RAND(),MV2,Sigma1),IF(RAND()&lt;CondGood,_xlfn.LOGNORM.INV(RAND(),MV3,Sigma2),MIN(MaxMultiple,Xm/(1-RAND())^(1/Alpha)))))</f>
        <v>1.9741888601797384</v>
      </c>
      <c r="V7" s="19">
        <f ca="1">IF(RAND()&lt;P_Zero,0,IF(RAND()&lt;CondReturn,_xlfn.LOGNORM.INV(RAND(),MV2,Sigma1),IF(RAND()&lt;CondGood,_xlfn.LOGNORM.INV(RAND(),MV3,Sigma2),MIN(MaxMultiple,Xm/(1-RAND())^(1/Alpha)))))</f>
        <v>1.1122483922331445</v>
      </c>
      <c r="W7" s="19">
        <f ca="1">IF(RAND()&lt;P_Zero,0,IF(RAND()&lt;CondReturn,_xlfn.LOGNORM.INV(RAND(),MV2,Sigma1),IF(RAND()&lt;CondGood,_xlfn.LOGNORM.INV(RAND(),MV3,Sigma2),MIN(MaxMultiple,Xm/(1-RAND())^(1/Alpha)))))</f>
        <v>0</v>
      </c>
      <c r="X7" s="19">
        <f ca="1">IF(RAND()&lt;P_Zero,0,IF(RAND()&lt;CondReturn,_xlfn.LOGNORM.INV(RAND(),MV2,Sigma1),IF(RAND()&lt;CondGood,_xlfn.LOGNORM.INV(RAND(),MV3,Sigma2),MIN(MaxMultiple,Xm/(1-RAND())^(1/Alpha)))))</f>
        <v>0.9843368809898102</v>
      </c>
      <c r="Y7" s="19">
        <f ca="1">IF(RAND()&lt;P_Zero,0,IF(RAND()&lt;CondReturn,_xlfn.LOGNORM.INV(RAND(),MV2,Sigma1),IF(RAND()&lt;CondGood,_xlfn.LOGNORM.INV(RAND(),MV3,Sigma2),MIN(MaxMultiple,Xm/(1-RAND())^(1/Alpha)))))</f>
        <v>0</v>
      </c>
      <c r="Z7" s="19">
        <f ca="1">IF(RAND()&lt;P_Zero,0,IF(RAND()&lt;CondReturn,_xlfn.LOGNORM.INV(RAND(),MV2,Sigma1),IF(RAND()&lt;CondGood,_xlfn.LOGNORM.INV(RAND(),MV3,Sigma2),MIN(MaxMultiple,Xm/(1-RAND())^(1/Alpha)))))</f>
        <v>0.91237954304139524</v>
      </c>
      <c r="AA7" s="19">
        <f ca="1">IF(RAND()&lt;P_Zero,0,IF(RAND()&lt;CondReturn,_xlfn.LOGNORM.INV(RAND(),MV2,Sigma1),IF(RAND()&lt;CondGood,_xlfn.LOGNORM.INV(RAND(),MV3,Sigma2),MIN(MaxMultiple,Xm/(1-RAND())^(1/Alpha)))))</f>
        <v>1.0624646311404571</v>
      </c>
      <c r="AB7" s="19">
        <f t="shared" ca="1" si="0"/>
        <v>2.4572836674949015</v>
      </c>
      <c r="AC7" s="14">
        <f t="shared" ca="1" si="1"/>
        <v>117949616.03975527</v>
      </c>
      <c r="AD7" s="14">
        <f t="shared" ca="1" si="2"/>
        <v>69949616.03975527</v>
      </c>
      <c r="AE7" s="14">
        <f t="shared" si="3"/>
        <v>55628399.869093813</v>
      </c>
      <c r="AF7" s="14">
        <f t="shared" ca="1" si="4"/>
        <v>14321216.170661457</v>
      </c>
      <c r="AG7" s="14">
        <f t="shared" ca="1" si="5"/>
        <v>2864243.2341322917</v>
      </c>
      <c r="AH7" s="14">
        <f t="shared" ca="1" si="6"/>
        <v>115085372.80562298</v>
      </c>
      <c r="AI7" s="19">
        <f t="shared" ca="1" si="7"/>
        <v>1.9180895467603829</v>
      </c>
    </row>
    <row r="8" spans="2:35" x14ac:dyDescent="0.2">
      <c r="B8" s="1">
        <v>3</v>
      </c>
      <c r="C8" s="19">
        <f ca="1">IF(RAND()&lt;P_Zero,0,IF(RAND()&lt;CondReturn,_xlfn.LOGNORM.INV(RAND(),MV2,Sigma1),IF(RAND()&lt;CondGood,_xlfn.LOGNORM.INV(RAND(),MV3,Sigma2),MIN(MaxMultiple,Xm/(1-RAND())^(1/Alpha)))))</f>
        <v>23.020823394158022</v>
      </c>
      <c r="D8" s="19">
        <f ca="1">IF(RAND()&lt;P_Zero,0,IF(RAND()&lt;CondReturn,_xlfn.LOGNORM.INV(RAND(),MV2,Sigma1),IF(RAND()&lt;CondGood,_xlfn.LOGNORM.INV(RAND(),MV3,Sigma2),MIN(MaxMultiple,Xm/(1-RAND())^(1/Alpha)))))</f>
        <v>0</v>
      </c>
      <c r="E8" s="19">
        <f ca="1">IF(RAND()&lt;P_Zero,0,IF(RAND()&lt;CondReturn,_xlfn.LOGNORM.INV(RAND(),MV2,Sigma1),IF(RAND()&lt;CondGood,_xlfn.LOGNORM.INV(RAND(),MV3,Sigma2),MIN(MaxMultiple,Xm/(1-RAND())^(1/Alpha)))))</f>
        <v>0.88947828045525967</v>
      </c>
      <c r="F8" s="19">
        <f ca="1">IF(RAND()&lt;P_Zero,0,IF(RAND()&lt;CondReturn,_xlfn.LOGNORM.INV(RAND(),MV2,Sigma1),IF(RAND()&lt;CondGood,_xlfn.LOGNORM.INV(RAND(),MV3,Sigma2),MIN(MaxMultiple,Xm/(1-RAND())^(1/Alpha)))))</f>
        <v>50.502866393394847</v>
      </c>
      <c r="G8" s="19">
        <f ca="1">IF(RAND()&lt;P_Zero,0,IF(RAND()&lt;CondReturn,_xlfn.LOGNORM.INV(RAND(),MV2,Sigma1),IF(RAND()&lt;CondGood,_xlfn.LOGNORM.INV(RAND(),MV3,Sigma2),MIN(MaxMultiple,Xm/(1-RAND())^(1/Alpha)))))</f>
        <v>1.0510485052142893</v>
      </c>
      <c r="H8" s="19">
        <f ca="1">IF(RAND()&lt;P_Zero,0,IF(RAND()&lt;CondReturn,_xlfn.LOGNORM.INV(RAND(),MV2,Sigma1),IF(RAND()&lt;CondGood,_xlfn.LOGNORM.INV(RAND(),MV3,Sigma2),MIN(MaxMultiple,Xm/(1-RAND())^(1/Alpha)))))</f>
        <v>13.469861251130558</v>
      </c>
      <c r="I8" s="19">
        <f ca="1">IF(RAND()&lt;P_Zero,0,IF(RAND()&lt;CondReturn,_xlfn.LOGNORM.INV(RAND(),MV2,Sigma1),IF(RAND()&lt;CondGood,_xlfn.LOGNORM.INV(RAND(),MV3,Sigma2),MIN(MaxMultiple,Xm/(1-RAND())^(1/Alpha)))))</f>
        <v>0</v>
      </c>
      <c r="J8" s="19">
        <f ca="1">IF(RAND()&lt;P_Zero,0,IF(RAND()&lt;CondReturn,_xlfn.LOGNORM.INV(RAND(),MV2,Sigma1),IF(RAND()&lt;CondGood,_xlfn.LOGNORM.INV(RAND(),MV3,Sigma2),MIN(MaxMultiple,Xm/(1-RAND())^(1/Alpha)))))</f>
        <v>0</v>
      </c>
      <c r="K8" s="19">
        <f ca="1">IF(RAND()&lt;P_Zero,0,IF(RAND()&lt;CondReturn,_xlfn.LOGNORM.INV(RAND(),MV2,Sigma1),IF(RAND()&lt;CondGood,_xlfn.LOGNORM.INV(RAND(),MV3,Sigma2),MIN(MaxMultiple,Xm/(1-RAND())^(1/Alpha)))))</f>
        <v>0</v>
      </c>
      <c r="L8" s="19">
        <f ca="1">IF(RAND()&lt;P_Zero,0,IF(RAND()&lt;CondReturn,_xlfn.LOGNORM.INV(RAND(),MV2,Sigma1),IF(RAND()&lt;CondGood,_xlfn.LOGNORM.INV(RAND(),MV3,Sigma2),MIN(MaxMultiple,Xm/(1-RAND())^(1/Alpha)))))</f>
        <v>1.7041172140845346</v>
      </c>
      <c r="M8" s="19">
        <f ca="1">IF(RAND()&lt;P_Zero,0,IF(RAND()&lt;CondReturn,_xlfn.LOGNORM.INV(RAND(),MV2,Sigma1),IF(RAND()&lt;CondGood,_xlfn.LOGNORM.INV(RAND(),MV3,Sigma2),MIN(MaxMultiple,Xm/(1-RAND())^(1/Alpha)))))</f>
        <v>1.1596779914823734</v>
      </c>
      <c r="N8" s="19">
        <f ca="1">IF(RAND()&lt;P_Zero,0,IF(RAND()&lt;CondReturn,_xlfn.LOGNORM.INV(RAND(),MV2,Sigma1),IF(RAND()&lt;CondGood,_xlfn.LOGNORM.INV(RAND(),MV3,Sigma2),MIN(MaxMultiple,Xm/(1-RAND())^(1/Alpha)))))</f>
        <v>1.3312129984561691</v>
      </c>
      <c r="O8" s="19">
        <f ca="1">IF(RAND()&lt;P_Zero,0,IF(RAND()&lt;CondReturn,_xlfn.LOGNORM.INV(RAND(),MV2,Sigma1),IF(RAND()&lt;CondGood,_xlfn.LOGNORM.INV(RAND(),MV3,Sigma2),MIN(MaxMultiple,Xm/(1-RAND())^(1/Alpha)))))</f>
        <v>1.9612135587607025</v>
      </c>
      <c r="P8" s="19">
        <f ca="1">IF(RAND()&lt;P_Zero,0,IF(RAND()&lt;CondReturn,_xlfn.LOGNORM.INV(RAND(),MV2,Sigma1),IF(RAND()&lt;CondGood,_xlfn.LOGNORM.INV(RAND(),MV3,Sigma2),MIN(MaxMultiple,Xm/(1-RAND())^(1/Alpha)))))</f>
        <v>0</v>
      </c>
      <c r="Q8" s="19">
        <f ca="1">IF(RAND()&lt;P_Zero,0,IF(RAND()&lt;CondReturn,_xlfn.LOGNORM.INV(RAND(),MV2,Sigma1),IF(RAND()&lt;CondGood,_xlfn.LOGNORM.INV(RAND(),MV3,Sigma2),MIN(MaxMultiple,Xm/(1-RAND())^(1/Alpha)))))</f>
        <v>0</v>
      </c>
      <c r="R8" s="19">
        <f ca="1">IF(RAND()&lt;P_Zero,0,IF(RAND()&lt;CondReturn,_xlfn.LOGNORM.INV(RAND(),MV2,Sigma1),IF(RAND()&lt;CondGood,_xlfn.LOGNORM.INV(RAND(),MV3,Sigma2),MIN(MaxMultiple,Xm/(1-RAND())^(1/Alpha)))))</f>
        <v>0.44608620041207697</v>
      </c>
      <c r="S8" s="19">
        <f ca="1">IF(RAND()&lt;P_Zero,0,IF(RAND()&lt;CondReturn,_xlfn.LOGNORM.INV(RAND(),MV2,Sigma1),IF(RAND()&lt;CondGood,_xlfn.LOGNORM.INV(RAND(),MV3,Sigma2),MIN(MaxMultiple,Xm/(1-RAND())^(1/Alpha)))))</f>
        <v>1.493189222293517</v>
      </c>
      <c r="T8" s="19">
        <f ca="1">IF(RAND()&lt;P_Zero,0,IF(RAND()&lt;CondReturn,_xlfn.LOGNORM.INV(RAND(),MV2,Sigma1),IF(RAND()&lt;CondGood,_xlfn.LOGNORM.INV(RAND(),MV3,Sigma2),MIN(MaxMultiple,Xm/(1-RAND())^(1/Alpha)))))</f>
        <v>1.6835397758869024</v>
      </c>
      <c r="U8" s="19">
        <f ca="1">IF(RAND()&lt;P_Zero,0,IF(RAND()&lt;CondReturn,_xlfn.LOGNORM.INV(RAND(),MV2,Sigma1),IF(RAND()&lt;CondGood,_xlfn.LOGNORM.INV(RAND(),MV3,Sigma2),MIN(MaxMultiple,Xm/(1-RAND())^(1/Alpha)))))</f>
        <v>0.54910796458452571</v>
      </c>
      <c r="V8" s="19">
        <f ca="1">IF(RAND()&lt;P_Zero,0,IF(RAND()&lt;CondReturn,_xlfn.LOGNORM.INV(RAND(),MV2,Sigma1),IF(RAND()&lt;CondGood,_xlfn.LOGNORM.INV(RAND(),MV3,Sigma2),MIN(MaxMultiple,Xm/(1-RAND())^(1/Alpha)))))</f>
        <v>0.62107711782723318</v>
      </c>
      <c r="W8" s="19">
        <f ca="1">IF(RAND()&lt;P_Zero,0,IF(RAND()&lt;CondReturn,_xlfn.LOGNORM.INV(RAND(),MV2,Sigma1),IF(RAND()&lt;CondGood,_xlfn.LOGNORM.INV(RAND(),MV3,Sigma2),MIN(MaxMultiple,Xm/(1-RAND())^(1/Alpha)))))</f>
        <v>1.7423138210731957</v>
      </c>
      <c r="X8" s="19">
        <f ca="1">IF(RAND()&lt;P_Zero,0,IF(RAND()&lt;CondReturn,_xlfn.LOGNORM.INV(RAND(),MV2,Sigma1),IF(RAND()&lt;CondGood,_xlfn.LOGNORM.INV(RAND(),MV3,Sigma2),MIN(MaxMultiple,Xm/(1-RAND())^(1/Alpha)))))</f>
        <v>0</v>
      </c>
      <c r="Y8" s="19">
        <f ca="1">IF(RAND()&lt;P_Zero,0,IF(RAND()&lt;CondReturn,_xlfn.LOGNORM.INV(RAND(),MV2,Sigma1),IF(RAND()&lt;CondGood,_xlfn.LOGNORM.INV(RAND(),MV3,Sigma2),MIN(MaxMultiple,Xm/(1-RAND())^(1/Alpha)))))</f>
        <v>0.55833884487290664</v>
      </c>
      <c r="Z8" s="19">
        <f ca="1">IF(RAND()&lt;P_Zero,0,IF(RAND()&lt;CondReturn,_xlfn.LOGNORM.INV(RAND(),MV2,Sigma1),IF(RAND()&lt;CondGood,_xlfn.LOGNORM.INV(RAND(),MV3,Sigma2),MIN(MaxMultiple,Xm/(1-RAND())^(1/Alpha)))))</f>
        <v>0</v>
      </c>
      <c r="AA8" s="19">
        <f ca="1">IF(RAND()&lt;P_Zero,0,IF(RAND()&lt;CondReturn,_xlfn.LOGNORM.INV(RAND(),MV2,Sigma1),IF(RAND()&lt;CondGood,_xlfn.LOGNORM.INV(RAND(),MV3,Sigma2),MIN(MaxMultiple,Xm/(1-RAND())^(1/Alpha)))))</f>
        <v>0.72702586306200079</v>
      </c>
      <c r="AB8" s="19">
        <f t="shared" ca="1" si="0"/>
        <v>4.1164391358859636</v>
      </c>
      <c r="AC8" s="14">
        <f t="shared" ca="1" si="1"/>
        <v>197589078.52252626</v>
      </c>
      <c r="AD8" s="14">
        <f t="shared" ca="1" si="2"/>
        <v>149589078.52252626</v>
      </c>
      <c r="AE8" s="14">
        <f t="shared" si="3"/>
        <v>55628399.869093813</v>
      </c>
      <c r="AF8" s="14">
        <f t="shared" ca="1" si="4"/>
        <v>93960678.653432459</v>
      </c>
      <c r="AG8" s="14">
        <f t="shared" ca="1" si="5"/>
        <v>18792135.730686493</v>
      </c>
      <c r="AH8" s="14">
        <f t="shared" ca="1" si="6"/>
        <v>178796942.79183978</v>
      </c>
      <c r="AI8" s="19">
        <f t="shared" ca="1" si="7"/>
        <v>2.9799490465306628</v>
      </c>
    </row>
    <row r="9" spans="2:35" x14ac:dyDescent="0.2">
      <c r="B9" s="1">
        <v>4</v>
      </c>
      <c r="C9" s="19">
        <f ca="1">IF(RAND()&lt;P_Zero,0,IF(RAND()&lt;CondReturn,_xlfn.LOGNORM.INV(RAND(),MV2,Sigma1),IF(RAND()&lt;CondGood,_xlfn.LOGNORM.INV(RAND(),MV3,Sigma2),MIN(MaxMultiple,Xm/(1-RAND())^(1/Alpha)))))</f>
        <v>1.3207637010079243</v>
      </c>
      <c r="D9" s="19">
        <f ca="1">IF(RAND()&lt;P_Zero,0,IF(RAND()&lt;CondReturn,_xlfn.LOGNORM.INV(RAND(),MV2,Sigma1),IF(RAND()&lt;CondGood,_xlfn.LOGNORM.INV(RAND(),MV3,Sigma2),MIN(MaxMultiple,Xm/(1-RAND())^(1/Alpha)))))</f>
        <v>1.0299329622750284</v>
      </c>
      <c r="E9" s="19">
        <f ca="1">IF(RAND()&lt;P_Zero,0,IF(RAND()&lt;CondReturn,_xlfn.LOGNORM.INV(RAND(),MV2,Sigma1),IF(RAND()&lt;CondGood,_xlfn.LOGNORM.INV(RAND(),MV3,Sigma2),MIN(MaxMultiple,Xm/(1-RAND())^(1/Alpha)))))</f>
        <v>2.1489922774582513</v>
      </c>
      <c r="F9" s="19">
        <f ca="1">IF(RAND()&lt;P_Zero,0,IF(RAND()&lt;CondReturn,_xlfn.LOGNORM.INV(RAND(),MV2,Sigma1),IF(RAND()&lt;CondGood,_xlfn.LOGNORM.INV(RAND(),MV3,Sigma2),MIN(MaxMultiple,Xm/(1-RAND())^(1/Alpha)))))</f>
        <v>1.2523057693478814</v>
      </c>
      <c r="G9" s="19">
        <f ca="1">IF(RAND()&lt;P_Zero,0,IF(RAND()&lt;CondReturn,_xlfn.LOGNORM.INV(RAND(),MV2,Sigma1),IF(RAND()&lt;CondGood,_xlfn.LOGNORM.INV(RAND(),MV3,Sigma2),MIN(MaxMultiple,Xm/(1-RAND())^(1/Alpha)))))</f>
        <v>1.2250737293795322</v>
      </c>
      <c r="H9" s="19">
        <f ca="1">IF(RAND()&lt;P_Zero,0,IF(RAND()&lt;CondReturn,_xlfn.LOGNORM.INV(RAND(),MV2,Sigma1),IF(RAND()&lt;CondGood,_xlfn.LOGNORM.INV(RAND(),MV3,Sigma2),MIN(MaxMultiple,Xm/(1-RAND())^(1/Alpha)))))</f>
        <v>1.436285122320746</v>
      </c>
      <c r="I9" s="19">
        <f ca="1">IF(RAND()&lt;P_Zero,0,IF(RAND()&lt;CondReturn,_xlfn.LOGNORM.INV(RAND(),MV2,Sigma1),IF(RAND()&lt;CondGood,_xlfn.LOGNORM.INV(RAND(),MV3,Sigma2),MIN(MaxMultiple,Xm/(1-RAND())^(1/Alpha)))))</f>
        <v>0</v>
      </c>
      <c r="J9" s="19">
        <f ca="1">IF(RAND()&lt;P_Zero,0,IF(RAND()&lt;CondReturn,_xlfn.LOGNORM.INV(RAND(),MV2,Sigma1),IF(RAND()&lt;CondGood,_xlfn.LOGNORM.INV(RAND(),MV3,Sigma2),MIN(MaxMultiple,Xm/(1-RAND())^(1/Alpha)))))</f>
        <v>0</v>
      </c>
      <c r="K9" s="19">
        <f ca="1">IF(RAND()&lt;P_Zero,0,IF(RAND()&lt;CondReturn,_xlfn.LOGNORM.INV(RAND(),MV2,Sigma1),IF(RAND()&lt;CondGood,_xlfn.LOGNORM.INV(RAND(),MV3,Sigma2),MIN(MaxMultiple,Xm/(1-RAND())^(1/Alpha)))))</f>
        <v>0</v>
      </c>
      <c r="L9" s="19">
        <f ca="1">IF(RAND()&lt;P_Zero,0,IF(RAND()&lt;CondReturn,_xlfn.LOGNORM.INV(RAND(),MV2,Sigma1),IF(RAND()&lt;CondGood,_xlfn.LOGNORM.INV(RAND(),MV3,Sigma2),MIN(MaxMultiple,Xm/(1-RAND())^(1/Alpha)))))</f>
        <v>0</v>
      </c>
      <c r="M9" s="19">
        <f ca="1">IF(RAND()&lt;P_Zero,0,IF(RAND()&lt;CondReturn,_xlfn.LOGNORM.INV(RAND(),MV2,Sigma1),IF(RAND()&lt;CondGood,_xlfn.LOGNORM.INV(RAND(),MV3,Sigma2),MIN(MaxMultiple,Xm/(1-RAND())^(1/Alpha)))))</f>
        <v>1.1553973321370072</v>
      </c>
      <c r="N9" s="19">
        <f ca="1">IF(RAND()&lt;P_Zero,0,IF(RAND()&lt;CondReturn,_xlfn.LOGNORM.INV(RAND(),MV2,Sigma1),IF(RAND()&lt;CondGood,_xlfn.LOGNORM.INV(RAND(),MV3,Sigma2),MIN(MaxMultiple,Xm/(1-RAND())^(1/Alpha)))))</f>
        <v>0</v>
      </c>
      <c r="O9" s="19">
        <f ca="1">IF(RAND()&lt;P_Zero,0,IF(RAND()&lt;CondReturn,_xlfn.LOGNORM.INV(RAND(),MV2,Sigma1),IF(RAND()&lt;CondGood,_xlfn.LOGNORM.INV(RAND(),MV3,Sigma2),MIN(MaxMultiple,Xm/(1-RAND())^(1/Alpha)))))</f>
        <v>1.5207063578974478</v>
      </c>
      <c r="P9" s="19">
        <f ca="1">IF(RAND()&lt;P_Zero,0,IF(RAND()&lt;CondReturn,_xlfn.LOGNORM.INV(RAND(),MV2,Sigma1),IF(RAND()&lt;CondGood,_xlfn.LOGNORM.INV(RAND(),MV3,Sigma2),MIN(MaxMultiple,Xm/(1-RAND())^(1/Alpha)))))</f>
        <v>0</v>
      </c>
      <c r="Q9" s="19">
        <f ca="1">IF(RAND()&lt;P_Zero,0,IF(RAND()&lt;CondReturn,_xlfn.LOGNORM.INV(RAND(),MV2,Sigma1),IF(RAND()&lt;CondGood,_xlfn.LOGNORM.INV(RAND(),MV3,Sigma2),MIN(MaxMultiple,Xm/(1-RAND())^(1/Alpha)))))</f>
        <v>0</v>
      </c>
      <c r="R9" s="19">
        <f ca="1">IF(RAND()&lt;P_Zero,0,IF(RAND()&lt;CondReturn,_xlfn.LOGNORM.INV(RAND(),MV2,Sigma1),IF(RAND()&lt;CondGood,_xlfn.LOGNORM.INV(RAND(),MV3,Sigma2),MIN(MaxMultiple,Xm/(1-RAND())^(1/Alpha)))))</f>
        <v>1.0709693756274234</v>
      </c>
      <c r="S9" s="19">
        <f ca="1">IF(RAND()&lt;P_Zero,0,IF(RAND()&lt;CondReturn,_xlfn.LOGNORM.INV(RAND(),MV2,Sigma1),IF(RAND()&lt;CondGood,_xlfn.LOGNORM.INV(RAND(),MV3,Sigma2),MIN(MaxMultiple,Xm/(1-RAND())^(1/Alpha)))))</f>
        <v>0</v>
      </c>
      <c r="T9" s="19">
        <f ca="1">IF(RAND()&lt;P_Zero,0,IF(RAND()&lt;CondReturn,_xlfn.LOGNORM.INV(RAND(),MV2,Sigma1),IF(RAND()&lt;CondGood,_xlfn.LOGNORM.INV(RAND(),MV3,Sigma2),MIN(MaxMultiple,Xm/(1-RAND())^(1/Alpha)))))</f>
        <v>0.619764110831729</v>
      </c>
      <c r="U9" s="19">
        <f ca="1">IF(RAND()&lt;P_Zero,0,IF(RAND()&lt;CondReturn,_xlfn.LOGNORM.INV(RAND(),MV2,Sigma1),IF(RAND()&lt;CondGood,_xlfn.LOGNORM.INV(RAND(),MV3,Sigma2),MIN(MaxMultiple,Xm/(1-RAND())^(1/Alpha)))))</f>
        <v>1.0078457313815583</v>
      </c>
      <c r="V9" s="19">
        <f ca="1">IF(RAND()&lt;P_Zero,0,IF(RAND()&lt;CondReturn,_xlfn.LOGNORM.INV(RAND(),MV2,Sigma1),IF(RAND()&lt;CondGood,_xlfn.LOGNORM.INV(RAND(),MV3,Sigma2),MIN(MaxMultiple,Xm/(1-RAND())^(1/Alpha)))))</f>
        <v>1.6936058732882744</v>
      </c>
      <c r="W9" s="19">
        <f ca="1">IF(RAND()&lt;P_Zero,0,IF(RAND()&lt;CondReturn,_xlfn.LOGNORM.INV(RAND(),MV2,Sigma1),IF(RAND()&lt;CondGood,_xlfn.LOGNORM.INV(RAND(),MV3,Sigma2),MIN(MaxMultiple,Xm/(1-RAND())^(1/Alpha)))))</f>
        <v>0.95642554513672529</v>
      </c>
      <c r="X9" s="19">
        <f ca="1">IF(RAND()&lt;P_Zero,0,IF(RAND()&lt;CondReturn,_xlfn.LOGNORM.INV(RAND(),MV2,Sigma1),IF(RAND()&lt;CondGood,_xlfn.LOGNORM.INV(RAND(),MV3,Sigma2),MIN(MaxMultiple,Xm/(1-RAND())^(1/Alpha)))))</f>
        <v>0.85474686323884119</v>
      </c>
      <c r="Y9" s="19">
        <f ca="1">IF(RAND()&lt;P_Zero,0,IF(RAND()&lt;CondReturn,_xlfn.LOGNORM.INV(RAND(),MV2,Sigma1),IF(RAND()&lt;CondGood,_xlfn.LOGNORM.INV(RAND(),MV3,Sigma2),MIN(MaxMultiple,Xm/(1-RAND())^(1/Alpha)))))</f>
        <v>23.04749409873828</v>
      </c>
      <c r="Z9" s="19">
        <f ca="1">IF(RAND()&lt;P_Zero,0,IF(RAND()&lt;CondReturn,_xlfn.LOGNORM.INV(RAND(),MV2,Sigma1),IF(RAND()&lt;CondGood,_xlfn.LOGNORM.INV(RAND(),MV3,Sigma2),MIN(MaxMultiple,Xm/(1-RAND())^(1/Alpha)))))</f>
        <v>0.48380286727987104</v>
      </c>
      <c r="AA9" s="19">
        <f ca="1">IF(RAND()&lt;P_Zero,0,IF(RAND()&lt;CondReturn,_xlfn.LOGNORM.INV(RAND(),MV2,Sigma1),IF(RAND()&lt;CondGood,_xlfn.LOGNORM.INV(RAND(),MV3,Sigma2),MIN(MaxMultiple,Xm/(1-RAND())^(1/Alpha)))))</f>
        <v>0</v>
      </c>
      <c r="AB9" s="19">
        <f t="shared" ca="1" si="0"/>
        <v>1.6329644686938607</v>
      </c>
      <c r="AC9" s="14">
        <f t="shared" ca="1" si="1"/>
        <v>78382294.497305319</v>
      </c>
      <c r="AD9" s="14">
        <f t="shared" ca="1" si="2"/>
        <v>30382294.497305319</v>
      </c>
      <c r="AE9" s="14">
        <f t="shared" si="3"/>
        <v>55628399.869093813</v>
      </c>
      <c r="AF9" s="14">
        <f t="shared" ca="1" si="4"/>
        <v>0</v>
      </c>
      <c r="AG9" s="14">
        <f t="shared" ca="1" si="5"/>
        <v>0</v>
      </c>
      <c r="AH9" s="14">
        <f t="shared" ca="1" si="6"/>
        <v>78382294.497305319</v>
      </c>
      <c r="AI9" s="19">
        <f t="shared" ca="1" si="7"/>
        <v>1.3063715749550886</v>
      </c>
    </row>
    <row r="10" spans="2:35" x14ac:dyDescent="0.2">
      <c r="B10" s="1">
        <v>5</v>
      </c>
      <c r="C10" s="19">
        <f ca="1">IF(RAND()&lt;P_Zero,0,IF(RAND()&lt;CondReturn,_xlfn.LOGNORM.INV(RAND(),MV2,Sigma1),IF(RAND()&lt;CondGood,_xlfn.LOGNORM.INV(RAND(),MV3,Sigma2),MIN(MaxMultiple,Xm/(1-RAND())^(1/Alpha)))))</f>
        <v>3.560079478074071</v>
      </c>
      <c r="D10" s="19">
        <f ca="1">IF(RAND()&lt;P_Zero,0,IF(RAND()&lt;CondReturn,_xlfn.LOGNORM.INV(RAND(),MV2,Sigma1),IF(RAND()&lt;CondGood,_xlfn.LOGNORM.INV(RAND(),MV3,Sigma2),MIN(MaxMultiple,Xm/(1-RAND())^(1/Alpha)))))</f>
        <v>0.55702074034634197</v>
      </c>
      <c r="E10" s="19">
        <f ca="1">IF(RAND()&lt;P_Zero,0,IF(RAND()&lt;CondReturn,_xlfn.LOGNORM.INV(RAND(),MV2,Sigma1),IF(RAND()&lt;CondGood,_xlfn.LOGNORM.INV(RAND(),MV3,Sigma2),MIN(MaxMultiple,Xm/(1-RAND())^(1/Alpha)))))</f>
        <v>11.565695251771677</v>
      </c>
      <c r="F10" s="19">
        <f ca="1">IF(RAND()&lt;P_Zero,0,IF(RAND()&lt;CondReturn,_xlfn.LOGNORM.INV(RAND(),MV2,Sigma1),IF(RAND()&lt;CondGood,_xlfn.LOGNORM.INV(RAND(),MV3,Sigma2),MIN(MaxMultiple,Xm/(1-RAND())^(1/Alpha)))))</f>
        <v>0</v>
      </c>
      <c r="G10" s="19">
        <f ca="1">IF(RAND()&lt;P_Zero,0,IF(RAND()&lt;CondReturn,_xlfn.LOGNORM.INV(RAND(),MV2,Sigma1),IF(RAND()&lt;CondGood,_xlfn.LOGNORM.INV(RAND(),MV3,Sigma2),MIN(MaxMultiple,Xm/(1-RAND())^(1/Alpha)))))</f>
        <v>0</v>
      </c>
      <c r="H10" s="19">
        <f ca="1">IF(RAND()&lt;P_Zero,0,IF(RAND()&lt;CondReturn,_xlfn.LOGNORM.INV(RAND(),MV2,Sigma1),IF(RAND()&lt;CondGood,_xlfn.LOGNORM.INV(RAND(),MV3,Sigma2),MIN(MaxMultiple,Xm/(1-RAND())^(1/Alpha)))))</f>
        <v>0.6000355620366471</v>
      </c>
      <c r="I10" s="19">
        <f ca="1">IF(RAND()&lt;P_Zero,0,IF(RAND()&lt;CondReturn,_xlfn.LOGNORM.INV(RAND(),MV2,Sigma1),IF(RAND()&lt;CondGood,_xlfn.LOGNORM.INV(RAND(),MV3,Sigma2),MIN(MaxMultiple,Xm/(1-RAND())^(1/Alpha)))))</f>
        <v>11.470691482268947</v>
      </c>
      <c r="J10" s="19">
        <f ca="1">IF(RAND()&lt;P_Zero,0,IF(RAND()&lt;CondReturn,_xlfn.LOGNORM.INV(RAND(),MV2,Sigma1),IF(RAND()&lt;CondGood,_xlfn.LOGNORM.INV(RAND(),MV3,Sigma2),MIN(MaxMultiple,Xm/(1-RAND())^(1/Alpha)))))</f>
        <v>0</v>
      </c>
      <c r="K10" s="19">
        <f ca="1">IF(RAND()&lt;P_Zero,0,IF(RAND()&lt;CondReturn,_xlfn.LOGNORM.INV(RAND(),MV2,Sigma1),IF(RAND()&lt;CondGood,_xlfn.LOGNORM.INV(RAND(),MV3,Sigma2),MIN(MaxMultiple,Xm/(1-RAND())^(1/Alpha)))))</f>
        <v>0</v>
      </c>
      <c r="L10" s="19">
        <f ca="1">IF(RAND()&lt;P_Zero,0,IF(RAND()&lt;CondReturn,_xlfn.LOGNORM.INV(RAND(),MV2,Sigma1),IF(RAND()&lt;CondGood,_xlfn.LOGNORM.INV(RAND(),MV3,Sigma2),MIN(MaxMultiple,Xm/(1-RAND())^(1/Alpha)))))</f>
        <v>0</v>
      </c>
      <c r="M10" s="19">
        <f ca="1">IF(RAND()&lt;P_Zero,0,IF(RAND()&lt;CondReturn,_xlfn.LOGNORM.INV(RAND(),MV2,Sigma1),IF(RAND()&lt;CondGood,_xlfn.LOGNORM.INV(RAND(),MV3,Sigma2),MIN(MaxMultiple,Xm/(1-RAND())^(1/Alpha)))))</f>
        <v>0</v>
      </c>
      <c r="N10" s="19">
        <f ca="1">IF(RAND()&lt;P_Zero,0,IF(RAND()&lt;CondReturn,_xlfn.LOGNORM.INV(RAND(),MV2,Sigma1),IF(RAND()&lt;CondGood,_xlfn.LOGNORM.INV(RAND(),MV3,Sigma2),MIN(MaxMultiple,Xm/(1-RAND())^(1/Alpha)))))</f>
        <v>0.95881776934859941</v>
      </c>
      <c r="O10" s="19">
        <f ca="1">IF(RAND()&lt;P_Zero,0,IF(RAND()&lt;CondReturn,_xlfn.LOGNORM.INV(RAND(),MV2,Sigma1),IF(RAND()&lt;CondGood,_xlfn.LOGNORM.INV(RAND(),MV3,Sigma2),MIN(MaxMultiple,Xm/(1-RAND())^(1/Alpha)))))</f>
        <v>0</v>
      </c>
      <c r="P10" s="19">
        <f ca="1">IF(RAND()&lt;P_Zero,0,IF(RAND()&lt;CondReturn,_xlfn.LOGNORM.INV(RAND(),MV2,Sigma1),IF(RAND()&lt;CondGood,_xlfn.LOGNORM.INV(RAND(),MV3,Sigma2),MIN(MaxMultiple,Xm/(1-RAND())^(1/Alpha)))))</f>
        <v>0</v>
      </c>
      <c r="Q10" s="19">
        <f ca="1">IF(RAND()&lt;P_Zero,0,IF(RAND()&lt;CondReturn,_xlfn.LOGNORM.INV(RAND(),MV2,Sigma1),IF(RAND()&lt;CondGood,_xlfn.LOGNORM.INV(RAND(),MV3,Sigma2),MIN(MaxMultiple,Xm/(1-RAND())^(1/Alpha)))))</f>
        <v>0.51871464950911339</v>
      </c>
      <c r="R10" s="19">
        <f ca="1">IF(RAND()&lt;P_Zero,0,IF(RAND()&lt;CondReturn,_xlfn.LOGNORM.INV(RAND(),MV2,Sigma1),IF(RAND()&lt;CondGood,_xlfn.LOGNORM.INV(RAND(),MV3,Sigma2),MIN(MaxMultiple,Xm/(1-RAND())^(1/Alpha)))))</f>
        <v>1.5704738401236815</v>
      </c>
      <c r="S10" s="19">
        <f ca="1">IF(RAND()&lt;P_Zero,0,IF(RAND()&lt;CondReturn,_xlfn.LOGNORM.INV(RAND(),MV2,Sigma1),IF(RAND()&lt;CondGood,_xlfn.LOGNORM.INV(RAND(),MV3,Sigma2),MIN(MaxMultiple,Xm/(1-RAND())^(1/Alpha)))))</f>
        <v>1.2391076956495659</v>
      </c>
      <c r="T10" s="19">
        <f ca="1">IF(RAND()&lt;P_Zero,0,IF(RAND()&lt;CondReturn,_xlfn.LOGNORM.INV(RAND(),MV2,Sigma1),IF(RAND()&lt;CondGood,_xlfn.LOGNORM.INV(RAND(),MV3,Sigma2),MIN(MaxMultiple,Xm/(1-RAND())^(1/Alpha)))))</f>
        <v>0.55627547685899259</v>
      </c>
      <c r="U10" s="19">
        <f ca="1">IF(RAND()&lt;P_Zero,0,IF(RAND()&lt;CondReturn,_xlfn.LOGNORM.INV(RAND(),MV2,Sigma1),IF(RAND()&lt;CondGood,_xlfn.LOGNORM.INV(RAND(),MV3,Sigma2),MIN(MaxMultiple,Xm/(1-RAND())^(1/Alpha)))))</f>
        <v>0</v>
      </c>
      <c r="V10" s="19">
        <f ca="1">IF(RAND()&lt;P_Zero,0,IF(RAND()&lt;CondReturn,_xlfn.LOGNORM.INV(RAND(),MV2,Sigma1),IF(RAND()&lt;CondGood,_xlfn.LOGNORM.INV(RAND(),MV3,Sigma2),MIN(MaxMultiple,Xm/(1-RAND())^(1/Alpha)))))</f>
        <v>0</v>
      </c>
      <c r="W10" s="19">
        <f ca="1">IF(RAND()&lt;P_Zero,0,IF(RAND()&lt;CondReturn,_xlfn.LOGNORM.INV(RAND(),MV2,Sigma1),IF(RAND()&lt;CondGood,_xlfn.LOGNORM.INV(RAND(),MV3,Sigma2),MIN(MaxMultiple,Xm/(1-RAND())^(1/Alpha)))))</f>
        <v>1.284209542922186</v>
      </c>
      <c r="X10" s="19">
        <f ca="1">IF(RAND()&lt;P_Zero,0,IF(RAND()&lt;CondReturn,_xlfn.LOGNORM.INV(RAND(),MV2,Sigma1),IF(RAND()&lt;CondGood,_xlfn.LOGNORM.INV(RAND(),MV3,Sigma2),MIN(MaxMultiple,Xm/(1-RAND())^(1/Alpha)))))</f>
        <v>0</v>
      </c>
      <c r="Y10" s="19">
        <f ca="1">IF(RAND()&lt;P_Zero,0,IF(RAND()&lt;CondReturn,_xlfn.LOGNORM.INV(RAND(),MV2,Sigma1),IF(RAND()&lt;CondGood,_xlfn.LOGNORM.INV(RAND(),MV3,Sigma2),MIN(MaxMultiple,Xm/(1-RAND())^(1/Alpha)))))</f>
        <v>11.416490007581002</v>
      </c>
      <c r="Z10" s="19">
        <f ca="1">IF(RAND()&lt;P_Zero,0,IF(RAND()&lt;CondReturn,_xlfn.LOGNORM.INV(RAND(),MV2,Sigma1),IF(RAND()&lt;CondGood,_xlfn.LOGNORM.INV(RAND(),MV3,Sigma2),MIN(MaxMultiple,Xm/(1-RAND())^(1/Alpha)))))</f>
        <v>0</v>
      </c>
      <c r="AA10" s="19">
        <f ca="1">IF(RAND()&lt;P_Zero,0,IF(RAND()&lt;CondReturn,_xlfn.LOGNORM.INV(RAND(),MV2,Sigma1),IF(RAND()&lt;CondGood,_xlfn.LOGNORM.INV(RAND(),MV3,Sigma2),MIN(MaxMultiple,Xm/(1-RAND())^(1/Alpha)))))</f>
        <v>0.95191466307920902</v>
      </c>
      <c r="AB10" s="19">
        <f t="shared" ca="1" si="0"/>
        <v>1.8499810463828015</v>
      </c>
      <c r="AC10" s="14">
        <f t="shared" ca="1" si="1"/>
        <v>88799090.226374477</v>
      </c>
      <c r="AD10" s="14">
        <f t="shared" ca="1" si="2"/>
        <v>40799090.226374477</v>
      </c>
      <c r="AE10" s="14">
        <f t="shared" si="3"/>
        <v>55628399.869093813</v>
      </c>
      <c r="AF10" s="14">
        <f t="shared" ca="1" si="4"/>
        <v>0</v>
      </c>
      <c r="AG10" s="14">
        <f t="shared" ca="1" si="5"/>
        <v>0</v>
      </c>
      <c r="AH10" s="14">
        <f t="shared" ca="1" si="6"/>
        <v>88799090.226374477</v>
      </c>
      <c r="AI10" s="19">
        <f t="shared" ca="1" si="7"/>
        <v>1.4799848371062412</v>
      </c>
    </row>
    <row r="11" spans="2:35" x14ac:dyDescent="0.2">
      <c r="B11" s="1">
        <v>6</v>
      </c>
      <c r="C11" s="19">
        <f ca="1">IF(RAND()&lt;P_Zero,0,IF(RAND()&lt;CondReturn,_xlfn.LOGNORM.INV(RAND(),MV2,Sigma1),IF(RAND()&lt;CondGood,_xlfn.LOGNORM.INV(RAND(),MV3,Sigma2),MIN(MaxMultiple,Xm/(1-RAND())^(1/Alpha)))))</f>
        <v>0</v>
      </c>
      <c r="D11" s="19">
        <f ca="1">IF(RAND()&lt;P_Zero,0,IF(RAND()&lt;CondReturn,_xlfn.LOGNORM.INV(RAND(),MV2,Sigma1),IF(RAND()&lt;CondGood,_xlfn.LOGNORM.INV(RAND(),MV3,Sigma2),MIN(MaxMultiple,Xm/(1-RAND())^(1/Alpha)))))</f>
        <v>1.0417887757646416</v>
      </c>
      <c r="E11" s="19">
        <f ca="1">IF(RAND()&lt;P_Zero,0,IF(RAND()&lt;CondReturn,_xlfn.LOGNORM.INV(RAND(),MV2,Sigma1),IF(RAND()&lt;CondGood,_xlfn.LOGNORM.INV(RAND(),MV3,Sigma2),MIN(MaxMultiple,Xm/(1-RAND())^(1/Alpha)))))</f>
        <v>3.0326513803188386</v>
      </c>
      <c r="F11" s="19">
        <f ca="1">IF(RAND()&lt;P_Zero,0,IF(RAND()&lt;CondReturn,_xlfn.LOGNORM.INV(RAND(),MV2,Sigma1),IF(RAND()&lt;CondGood,_xlfn.LOGNORM.INV(RAND(),MV3,Sigma2),MIN(MaxMultiple,Xm/(1-RAND())^(1/Alpha)))))</f>
        <v>0.46576832842285865</v>
      </c>
      <c r="G11" s="19">
        <f ca="1">IF(RAND()&lt;P_Zero,0,IF(RAND()&lt;CondReturn,_xlfn.LOGNORM.INV(RAND(),MV2,Sigma1),IF(RAND()&lt;CondGood,_xlfn.LOGNORM.INV(RAND(),MV3,Sigma2),MIN(MaxMultiple,Xm/(1-RAND())^(1/Alpha)))))</f>
        <v>1.225322750699771</v>
      </c>
      <c r="H11" s="19">
        <f ca="1">IF(RAND()&lt;P_Zero,0,IF(RAND()&lt;CondReturn,_xlfn.LOGNORM.INV(RAND(),MV2,Sigma1),IF(RAND()&lt;CondGood,_xlfn.LOGNORM.INV(RAND(),MV3,Sigma2),MIN(MaxMultiple,Xm/(1-RAND())^(1/Alpha)))))</f>
        <v>0</v>
      </c>
      <c r="I11" s="19">
        <f ca="1">IF(RAND()&lt;P_Zero,0,IF(RAND()&lt;CondReturn,_xlfn.LOGNORM.INV(RAND(),MV2,Sigma1),IF(RAND()&lt;CondGood,_xlfn.LOGNORM.INV(RAND(),MV3,Sigma2),MIN(MaxMultiple,Xm/(1-RAND())^(1/Alpha)))))</f>
        <v>0.64431357734263783</v>
      </c>
      <c r="J11" s="19">
        <f ca="1">IF(RAND()&lt;P_Zero,0,IF(RAND()&lt;CondReturn,_xlfn.LOGNORM.INV(RAND(),MV2,Sigma1),IF(RAND()&lt;CondGood,_xlfn.LOGNORM.INV(RAND(),MV3,Sigma2),MIN(MaxMultiple,Xm/(1-RAND())^(1/Alpha)))))</f>
        <v>0</v>
      </c>
      <c r="K11" s="19">
        <f ca="1">IF(RAND()&lt;P_Zero,0,IF(RAND()&lt;CondReturn,_xlfn.LOGNORM.INV(RAND(),MV2,Sigma1),IF(RAND()&lt;CondGood,_xlfn.LOGNORM.INV(RAND(),MV3,Sigma2),MIN(MaxMultiple,Xm/(1-RAND())^(1/Alpha)))))</f>
        <v>0</v>
      </c>
      <c r="L11" s="19">
        <f ca="1">IF(RAND()&lt;P_Zero,0,IF(RAND()&lt;CondReturn,_xlfn.LOGNORM.INV(RAND(),MV2,Sigma1),IF(RAND()&lt;CondGood,_xlfn.LOGNORM.INV(RAND(),MV3,Sigma2),MIN(MaxMultiple,Xm/(1-RAND())^(1/Alpha)))))</f>
        <v>0</v>
      </c>
      <c r="M11" s="19">
        <f ca="1">IF(RAND()&lt;P_Zero,0,IF(RAND()&lt;CondReturn,_xlfn.LOGNORM.INV(RAND(),MV2,Sigma1),IF(RAND()&lt;CondGood,_xlfn.LOGNORM.INV(RAND(),MV3,Sigma2),MIN(MaxMultiple,Xm/(1-RAND())^(1/Alpha)))))</f>
        <v>0</v>
      </c>
      <c r="N11" s="19">
        <f ca="1">IF(RAND()&lt;P_Zero,0,IF(RAND()&lt;CondReturn,_xlfn.LOGNORM.INV(RAND(),MV2,Sigma1),IF(RAND()&lt;CondGood,_xlfn.LOGNORM.INV(RAND(),MV3,Sigma2),MIN(MaxMultiple,Xm/(1-RAND())^(1/Alpha)))))</f>
        <v>1.0981270856877978</v>
      </c>
      <c r="O11" s="19">
        <f ca="1">IF(RAND()&lt;P_Zero,0,IF(RAND()&lt;CondReturn,_xlfn.LOGNORM.INV(RAND(),MV2,Sigma1),IF(RAND()&lt;CondGood,_xlfn.LOGNORM.INV(RAND(),MV3,Sigma2),MIN(MaxMultiple,Xm/(1-RAND())^(1/Alpha)))))</f>
        <v>0</v>
      </c>
      <c r="P11" s="19">
        <f ca="1">IF(RAND()&lt;P_Zero,0,IF(RAND()&lt;CondReturn,_xlfn.LOGNORM.INV(RAND(),MV2,Sigma1),IF(RAND()&lt;CondGood,_xlfn.LOGNORM.INV(RAND(),MV3,Sigma2),MIN(MaxMultiple,Xm/(1-RAND())^(1/Alpha)))))</f>
        <v>0.56097268950670165</v>
      </c>
      <c r="Q11" s="19">
        <f ca="1">IF(RAND()&lt;P_Zero,0,IF(RAND()&lt;CondReturn,_xlfn.LOGNORM.INV(RAND(),MV2,Sigma1),IF(RAND()&lt;CondGood,_xlfn.LOGNORM.INV(RAND(),MV3,Sigma2),MIN(MaxMultiple,Xm/(1-RAND())^(1/Alpha)))))</f>
        <v>1.4301477580668638</v>
      </c>
      <c r="R11" s="19">
        <f ca="1">IF(RAND()&lt;P_Zero,0,IF(RAND()&lt;CondReturn,_xlfn.LOGNORM.INV(RAND(),MV2,Sigma1),IF(RAND()&lt;CondGood,_xlfn.LOGNORM.INV(RAND(),MV3,Sigma2),MIN(MaxMultiple,Xm/(1-RAND())^(1/Alpha)))))</f>
        <v>0</v>
      </c>
      <c r="S11" s="19">
        <f ca="1">IF(RAND()&lt;P_Zero,0,IF(RAND()&lt;CondReturn,_xlfn.LOGNORM.INV(RAND(),MV2,Sigma1),IF(RAND()&lt;CondGood,_xlfn.LOGNORM.INV(RAND(),MV3,Sigma2),MIN(MaxMultiple,Xm/(1-RAND())^(1/Alpha)))))</f>
        <v>10.302980695442063</v>
      </c>
      <c r="T11" s="19">
        <f ca="1">IF(RAND()&lt;P_Zero,0,IF(RAND()&lt;CondReturn,_xlfn.LOGNORM.INV(RAND(),MV2,Sigma1),IF(RAND()&lt;CondGood,_xlfn.LOGNORM.INV(RAND(),MV3,Sigma2),MIN(MaxMultiple,Xm/(1-RAND())^(1/Alpha)))))</f>
        <v>25.373767210215103</v>
      </c>
      <c r="U11" s="19">
        <f ca="1">IF(RAND()&lt;P_Zero,0,IF(RAND()&lt;CondReturn,_xlfn.LOGNORM.INV(RAND(),MV2,Sigma1),IF(RAND()&lt;CondGood,_xlfn.LOGNORM.INV(RAND(),MV3,Sigma2),MIN(MaxMultiple,Xm/(1-RAND())^(1/Alpha)))))</f>
        <v>0</v>
      </c>
      <c r="V11" s="19">
        <f ca="1">IF(RAND()&lt;P_Zero,0,IF(RAND()&lt;CondReturn,_xlfn.LOGNORM.INV(RAND(),MV2,Sigma1),IF(RAND()&lt;CondGood,_xlfn.LOGNORM.INV(RAND(),MV3,Sigma2),MIN(MaxMultiple,Xm/(1-RAND())^(1/Alpha)))))</f>
        <v>54.12639696905989</v>
      </c>
      <c r="W11" s="19">
        <f ca="1">IF(RAND()&lt;P_Zero,0,IF(RAND()&lt;CondReturn,_xlfn.LOGNORM.INV(RAND(),MV2,Sigma1),IF(RAND()&lt;CondGood,_xlfn.LOGNORM.INV(RAND(),MV3,Sigma2),MIN(MaxMultiple,Xm/(1-RAND())^(1/Alpha)))))</f>
        <v>17.553741579315886</v>
      </c>
      <c r="X11" s="19">
        <f ca="1">IF(RAND()&lt;P_Zero,0,IF(RAND()&lt;CondReturn,_xlfn.LOGNORM.INV(RAND(),MV2,Sigma1),IF(RAND()&lt;CondGood,_xlfn.LOGNORM.INV(RAND(),MV3,Sigma2),MIN(MaxMultiple,Xm/(1-RAND())^(1/Alpha)))))</f>
        <v>1.2336725644392865</v>
      </c>
      <c r="Y11" s="19">
        <f ca="1">IF(RAND()&lt;P_Zero,0,IF(RAND()&lt;CondReturn,_xlfn.LOGNORM.INV(RAND(),MV2,Sigma1),IF(RAND()&lt;CondGood,_xlfn.LOGNORM.INV(RAND(),MV3,Sigma2),MIN(MaxMultiple,Xm/(1-RAND())^(1/Alpha)))))</f>
        <v>17.27321897769713</v>
      </c>
      <c r="Z11" s="19">
        <f ca="1">IF(RAND()&lt;P_Zero,0,IF(RAND()&lt;CondReturn,_xlfn.LOGNORM.INV(RAND(),MV2,Sigma1),IF(RAND()&lt;CondGood,_xlfn.LOGNORM.INV(RAND(),MV3,Sigma2),MIN(MaxMultiple,Xm/(1-RAND())^(1/Alpha)))))</f>
        <v>0</v>
      </c>
      <c r="AA11" s="19">
        <f ca="1">IF(RAND()&lt;P_Zero,0,IF(RAND()&lt;CondReturn,_xlfn.LOGNORM.INV(RAND(),MV2,Sigma1),IF(RAND()&lt;CondGood,_xlfn.LOGNORM.INV(RAND(),MV3,Sigma2),MIN(MaxMultiple,Xm/(1-RAND())^(1/Alpha)))))</f>
        <v>0.95436286491821187</v>
      </c>
      <c r="AB11" s="19">
        <f t="shared" ca="1" si="0"/>
        <v>5.4526893282759064</v>
      </c>
      <c r="AC11" s="14">
        <f t="shared" ca="1" si="1"/>
        <v>261729087.75724351</v>
      </c>
      <c r="AD11" s="14">
        <f t="shared" ca="1" si="2"/>
        <v>213729087.75724351</v>
      </c>
      <c r="AE11" s="14">
        <f t="shared" si="3"/>
        <v>55628399.869093813</v>
      </c>
      <c r="AF11" s="14">
        <f t="shared" ca="1" si="4"/>
        <v>158100687.88814971</v>
      </c>
      <c r="AG11" s="14">
        <f t="shared" ca="1" si="5"/>
        <v>31620137.577629942</v>
      </c>
      <c r="AH11" s="14">
        <f t="shared" ca="1" si="6"/>
        <v>230108950.17961356</v>
      </c>
      <c r="AI11" s="19">
        <f t="shared" ca="1" si="7"/>
        <v>3.8351491696602258</v>
      </c>
    </row>
    <row r="12" spans="2:35" x14ac:dyDescent="0.2">
      <c r="B12" s="1">
        <v>7</v>
      </c>
      <c r="C12" s="19">
        <f ca="1">IF(RAND()&lt;P_Zero,0,IF(RAND()&lt;CondReturn,_xlfn.LOGNORM.INV(RAND(),MV2,Sigma1),IF(RAND()&lt;CondGood,_xlfn.LOGNORM.INV(RAND(),MV3,Sigma2),MIN(MaxMultiple,Xm/(1-RAND())^(1/Alpha)))))</f>
        <v>1.3032065472662719</v>
      </c>
      <c r="D12" s="19">
        <f ca="1">IF(RAND()&lt;P_Zero,0,IF(RAND()&lt;CondReturn,_xlfn.LOGNORM.INV(RAND(),MV2,Sigma1),IF(RAND()&lt;CondGood,_xlfn.LOGNORM.INV(RAND(),MV3,Sigma2),MIN(MaxMultiple,Xm/(1-RAND())^(1/Alpha)))))</f>
        <v>0</v>
      </c>
      <c r="E12" s="19">
        <f ca="1">IF(RAND()&lt;P_Zero,0,IF(RAND()&lt;CondReturn,_xlfn.LOGNORM.INV(RAND(),MV2,Sigma1),IF(RAND()&lt;CondGood,_xlfn.LOGNORM.INV(RAND(),MV3,Sigma2),MIN(MaxMultiple,Xm/(1-RAND())^(1/Alpha)))))</f>
        <v>0</v>
      </c>
      <c r="F12" s="19">
        <f ca="1">IF(RAND()&lt;P_Zero,0,IF(RAND()&lt;CondReturn,_xlfn.LOGNORM.INV(RAND(),MV2,Sigma1),IF(RAND()&lt;CondGood,_xlfn.LOGNORM.INV(RAND(),MV3,Sigma2),MIN(MaxMultiple,Xm/(1-RAND())^(1/Alpha)))))</f>
        <v>1.4693885387020973</v>
      </c>
      <c r="G12" s="19">
        <f ca="1">IF(RAND()&lt;P_Zero,0,IF(RAND()&lt;CondReturn,_xlfn.LOGNORM.INV(RAND(),MV2,Sigma1),IF(RAND()&lt;CondGood,_xlfn.LOGNORM.INV(RAND(),MV3,Sigma2),MIN(MaxMultiple,Xm/(1-RAND())^(1/Alpha)))))</f>
        <v>0</v>
      </c>
      <c r="H12" s="19">
        <f ca="1">IF(RAND()&lt;P_Zero,0,IF(RAND()&lt;CondReturn,_xlfn.LOGNORM.INV(RAND(),MV2,Sigma1),IF(RAND()&lt;CondGood,_xlfn.LOGNORM.INV(RAND(),MV3,Sigma2),MIN(MaxMultiple,Xm/(1-RAND())^(1/Alpha)))))</f>
        <v>0</v>
      </c>
      <c r="I12" s="19">
        <f ca="1">IF(RAND()&lt;P_Zero,0,IF(RAND()&lt;CondReturn,_xlfn.LOGNORM.INV(RAND(),MV2,Sigma1),IF(RAND()&lt;CondGood,_xlfn.LOGNORM.INV(RAND(),MV3,Sigma2),MIN(MaxMultiple,Xm/(1-RAND())^(1/Alpha)))))</f>
        <v>0</v>
      </c>
      <c r="J12" s="19">
        <f ca="1">IF(RAND()&lt;P_Zero,0,IF(RAND()&lt;CondReturn,_xlfn.LOGNORM.INV(RAND(),MV2,Sigma1),IF(RAND()&lt;CondGood,_xlfn.LOGNORM.INV(RAND(),MV3,Sigma2),MIN(MaxMultiple,Xm/(1-RAND())^(1/Alpha)))))</f>
        <v>0</v>
      </c>
      <c r="K12" s="19">
        <f ca="1">IF(RAND()&lt;P_Zero,0,IF(RAND()&lt;CondReturn,_xlfn.LOGNORM.INV(RAND(),MV2,Sigma1),IF(RAND()&lt;CondGood,_xlfn.LOGNORM.INV(RAND(),MV3,Sigma2),MIN(MaxMultiple,Xm/(1-RAND())^(1/Alpha)))))</f>
        <v>1.110398106845208</v>
      </c>
      <c r="L12" s="19">
        <f ca="1">IF(RAND()&lt;P_Zero,0,IF(RAND()&lt;CondReturn,_xlfn.LOGNORM.INV(RAND(),MV2,Sigma1),IF(RAND()&lt;CondGood,_xlfn.LOGNORM.INV(RAND(),MV3,Sigma2),MIN(MaxMultiple,Xm/(1-RAND())^(1/Alpha)))))</f>
        <v>0.515163156888373</v>
      </c>
      <c r="M12" s="19">
        <f ca="1">IF(RAND()&lt;P_Zero,0,IF(RAND()&lt;CondReturn,_xlfn.LOGNORM.INV(RAND(),MV2,Sigma1),IF(RAND()&lt;CondGood,_xlfn.LOGNORM.INV(RAND(),MV3,Sigma2),MIN(MaxMultiple,Xm/(1-RAND())^(1/Alpha)))))</f>
        <v>1.7859228080609515</v>
      </c>
      <c r="N12" s="19">
        <f ca="1">IF(RAND()&lt;P_Zero,0,IF(RAND()&lt;CondReturn,_xlfn.LOGNORM.INV(RAND(),MV2,Sigma1),IF(RAND()&lt;CondGood,_xlfn.LOGNORM.INV(RAND(),MV3,Sigma2),MIN(MaxMultiple,Xm/(1-RAND())^(1/Alpha)))))</f>
        <v>0</v>
      </c>
      <c r="O12" s="19">
        <f ca="1">IF(RAND()&lt;P_Zero,0,IF(RAND()&lt;CondReturn,_xlfn.LOGNORM.INV(RAND(),MV2,Sigma1),IF(RAND()&lt;CondGood,_xlfn.LOGNORM.INV(RAND(),MV3,Sigma2),MIN(MaxMultiple,Xm/(1-RAND())^(1/Alpha)))))</f>
        <v>0.60785724319762646</v>
      </c>
      <c r="P12" s="19">
        <f ca="1">IF(RAND()&lt;P_Zero,0,IF(RAND()&lt;CondReturn,_xlfn.LOGNORM.INV(RAND(),MV2,Sigma1),IF(RAND()&lt;CondGood,_xlfn.LOGNORM.INV(RAND(),MV3,Sigma2),MIN(MaxMultiple,Xm/(1-RAND())^(1/Alpha)))))</f>
        <v>1.7921004742550974</v>
      </c>
      <c r="Q12" s="19">
        <f ca="1">IF(RAND()&lt;P_Zero,0,IF(RAND()&lt;CondReturn,_xlfn.LOGNORM.INV(RAND(),MV2,Sigma1),IF(RAND()&lt;CondGood,_xlfn.LOGNORM.INV(RAND(),MV3,Sigma2),MIN(MaxMultiple,Xm/(1-RAND())^(1/Alpha)))))</f>
        <v>1.7345567505300563</v>
      </c>
      <c r="R12" s="19">
        <f ca="1">IF(RAND()&lt;P_Zero,0,IF(RAND()&lt;CondReturn,_xlfn.LOGNORM.INV(RAND(),MV2,Sigma1),IF(RAND()&lt;CondGood,_xlfn.LOGNORM.INV(RAND(),MV3,Sigma2),MIN(MaxMultiple,Xm/(1-RAND())^(1/Alpha)))))</f>
        <v>1.0661423259640175</v>
      </c>
      <c r="S12" s="19">
        <f ca="1">IF(RAND()&lt;P_Zero,0,IF(RAND()&lt;CondReturn,_xlfn.LOGNORM.INV(RAND(),MV2,Sigma1),IF(RAND()&lt;CondGood,_xlfn.LOGNORM.INV(RAND(),MV3,Sigma2),MIN(MaxMultiple,Xm/(1-RAND())^(1/Alpha)))))</f>
        <v>0</v>
      </c>
      <c r="T12" s="19">
        <f ca="1">IF(RAND()&lt;P_Zero,0,IF(RAND()&lt;CondReturn,_xlfn.LOGNORM.INV(RAND(),MV2,Sigma1),IF(RAND()&lt;CondGood,_xlfn.LOGNORM.INV(RAND(),MV3,Sigma2),MIN(MaxMultiple,Xm/(1-RAND())^(1/Alpha)))))</f>
        <v>0.92871863825056256</v>
      </c>
      <c r="U12" s="19">
        <f ca="1">IF(RAND()&lt;P_Zero,0,IF(RAND()&lt;CondReturn,_xlfn.LOGNORM.INV(RAND(),MV2,Sigma1),IF(RAND()&lt;CondGood,_xlfn.LOGNORM.INV(RAND(),MV3,Sigma2),MIN(MaxMultiple,Xm/(1-RAND())^(1/Alpha)))))</f>
        <v>0</v>
      </c>
      <c r="V12" s="19">
        <f ca="1">IF(RAND()&lt;P_Zero,0,IF(RAND()&lt;CondReturn,_xlfn.LOGNORM.INV(RAND(),MV2,Sigma1),IF(RAND()&lt;CondGood,_xlfn.LOGNORM.INV(RAND(),MV3,Sigma2),MIN(MaxMultiple,Xm/(1-RAND())^(1/Alpha)))))</f>
        <v>1.5588884193088306</v>
      </c>
      <c r="W12" s="19">
        <f ca="1">IF(RAND()&lt;P_Zero,0,IF(RAND()&lt;CondReturn,_xlfn.LOGNORM.INV(RAND(),MV2,Sigma1),IF(RAND()&lt;CondGood,_xlfn.LOGNORM.INV(RAND(),MV3,Sigma2),MIN(MaxMultiple,Xm/(1-RAND())^(1/Alpha)))))</f>
        <v>0</v>
      </c>
      <c r="X12" s="19">
        <f ca="1">IF(RAND()&lt;P_Zero,0,IF(RAND()&lt;CondReturn,_xlfn.LOGNORM.INV(RAND(),MV2,Sigma1),IF(RAND()&lt;CondGood,_xlfn.LOGNORM.INV(RAND(),MV3,Sigma2),MIN(MaxMultiple,Xm/(1-RAND())^(1/Alpha)))))</f>
        <v>0</v>
      </c>
      <c r="Y12" s="19">
        <f ca="1">IF(RAND()&lt;P_Zero,0,IF(RAND()&lt;CondReturn,_xlfn.LOGNORM.INV(RAND(),MV2,Sigma1),IF(RAND()&lt;CondGood,_xlfn.LOGNORM.INV(RAND(),MV3,Sigma2),MIN(MaxMultiple,Xm/(1-RAND())^(1/Alpha)))))</f>
        <v>1.2819160953217799</v>
      </c>
      <c r="Z12" s="19">
        <f ca="1">IF(RAND()&lt;P_Zero,0,IF(RAND()&lt;CondReturn,_xlfn.LOGNORM.INV(RAND(),MV2,Sigma1),IF(RAND()&lt;CondGood,_xlfn.LOGNORM.INV(RAND(),MV3,Sigma2),MIN(MaxMultiple,Xm/(1-RAND())^(1/Alpha)))))</f>
        <v>1.8105764919148957</v>
      </c>
      <c r="AA12" s="19">
        <f ca="1">IF(RAND()&lt;P_Zero,0,IF(RAND()&lt;CondReturn,_xlfn.LOGNORM.INV(RAND(),MV2,Sigma1),IF(RAND()&lt;CondGood,_xlfn.LOGNORM.INV(RAND(),MV3,Sigma2),MIN(MaxMultiple,Xm/(1-RAND())^(1/Alpha)))))</f>
        <v>0</v>
      </c>
      <c r="AB12" s="19">
        <f t="shared" ca="1" si="0"/>
        <v>0.67859342386023069</v>
      </c>
      <c r="AC12" s="14">
        <f t="shared" ca="1" si="1"/>
        <v>32572484.345291074</v>
      </c>
      <c r="AD12" s="14">
        <f t="shared" ca="1" si="2"/>
        <v>-15427515.654708926</v>
      </c>
      <c r="AE12" s="14">
        <f t="shared" si="3"/>
        <v>55628399.869093813</v>
      </c>
      <c r="AF12" s="14">
        <f t="shared" ca="1" si="4"/>
        <v>0</v>
      </c>
      <c r="AG12" s="14">
        <f t="shared" ca="1" si="5"/>
        <v>0</v>
      </c>
      <c r="AH12" s="14">
        <f t="shared" ca="1" si="6"/>
        <v>32572484.345291074</v>
      </c>
      <c r="AI12" s="19">
        <f t="shared" ca="1" si="7"/>
        <v>0.54287473908818462</v>
      </c>
    </row>
    <row r="13" spans="2:35" x14ac:dyDescent="0.2">
      <c r="B13" s="1">
        <v>8</v>
      </c>
      <c r="C13" s="19">
        <f ca="1">IF(RAND()&lt;P_Zero,0,IF(RAND()&lt;CondReturn,_xlfn.LOGNORM.INV(RAND(),MV2,Sigma1),IF(RAND()&lt;CondGood,_xlfn.LOGNORM.INV(RAND(),MV3,Sigma2),MIN(MaxMultiple,Xm/(1-RAND())^(1/Alpha)))))</f>
        <v>0</v>
      </c>
      <c r="D13" s="19">
        <f ca="1">IF(RAND()&lt;P_Zero,0,IF(RAND()&lt;CondReturn,_xlfn.LOGNORM.INV(RAND(),MV2,Sigma1),IF(RAND()&lt;CondGood,_xlfn.LOGNORM.INV(RAND(),MV3,Sigma2),MIN(MaxMultiple,Xm/(1-RAND())^(1/Alpha)))))</f>
        <v>14.035548628571977</v>
      </c>
      <c r="E13" s="19">
        <f ca="1">IF(RAND()&lt;P_Zero,0,IF(RAND()&lt;CondReturn,_xlfn.LOGNORM.INV(RAND(),MV2,Sigma1),IF(RAND()&lt;CondGood,_xlfn.LOGNORM.INV(RAND(),MV3,Sigma2),MIN(MaxMultiple,Xm/(1-RAND())^(1/Alpha)))))</f>
        <v>0</v>
      </c>
      <c r="F13" s="19">
        <f ca="1">IF(RAND()&lt;P_Zero,0,IF(RAND()&lt;CondReturn,_xlfn.LOGNORM.INV(RAND(),MV2,Sigma1),IF(RAND()&lt;CondGood,_xlfn.LOGNORM.INV(RAND(),MV3,Sigma2),MIN(MaxMultiple,Xm/(1-RAND())^(1/Alpha)))))</f>
        <v>0</v>
      </c>
      <c r="G13" s="19">
        <f ca="1">IF(RAND()&lt;P_Zero,0,IF(RAND()&lt;CondReturn,_xlfn.LOGNORM.INV(RAND(),MV2,Sigma1),IF(RAND()&lt;CondGood,_xlfn.LOGNORM.INV(RAND(),MV3,Sigma2),MIN(MaxMultiple,Xm/(1-RAND())^(1/Alpha)))))</f>
        <v>0</v>
      </c>
      <c r="H13" s="19">
        <f ca="1">IF(RAND()&lt;P_Zero,0,IF(RAND()&lt;CondReturn,_xlfn.LOGNORM.INV(RAND(),MV2,Sigma1),IF(RAND()&lt;CondGood,_xlfn.LOGNORM.INV(RAND(),MV3,Sigma2),MIN(MaxMultiple,Xm/(1-RAND())^(1/Alpha)))))</f>
        <v>0.87525402914751804</v>
      </c>
      <c r="I13" s="19">
        <f ca="1">IF(RAND()&lt;P_Zero,0,IF(RAND()&lt;CondReturn,_xlfn.LOGNORM.INV(RAND(),MV2,Sigma1),IF(RAND()&lt;CondGood,_xlfn.LOGNORM.INV(RAND(),MV3,Sigma2),MIN(MaxMultiple,Xm/(1-RAND())^(1/Alpha)))))</f>
        <v>1.4672277358289516</v>
      </c>
      <c r="J13" s="19">
        <f ca="1">IF(RAND()&lt;P_Zero,0,IF(RAND()&lt;CondReturn,_xlfn.LOGNORM.INV(RAND(),MV2,Sigma1),IF(RAND()&lt;CondGood,_xlfn.LOGNORM.INV(RAND(),MV3,Sigma2),MIN(MaxMultiple,Xm/(1-RAND())^(1/Alpha)))))</f>
        <v>0.50036428234494701</v>
      </c>
      <c r="K13" s="19">
        <f ca="1">IF(RAND()&lt;P_Zero,0,IF(RAND()&lt;CondReturn,_xlfn.LOGNORM.INV(RAND(),MV2,Sigma1),IF(RAND()&lt;CondGood,_xlfn.LOGNORM.INV(RAND(),MV3,Sigma2),MIN(MaxMultiple,Xm/(1-RAND())^(1/Alpha)))))</f>
        <v>0</v>
      </c>
      <c r="L13" s="19">
        <f ca="1">IF(RAND()&lt;P_Zero,0,IF(RAND()&lt;CondReturn,_xlfn.LOGNORM.INV(RAND(),MV2,Sigma1),IF(RAND()&lt;CondGood,_xlfn.LOGNORM.INV(RAND(),MV3,Sigma2),MIN(MaxMultiple,Xm/(1-RAND())^(1/Alpha)))))</f>
        <v>0</v>
      </c>
      <c r="M13" s="19">
        <f ca="1">IF(RAND()&lt;P_Zero,0,IF(RAND()&lt;CondReturn,_xlfn.LOGNORM.INV(RAND(),MV2,Sigma1),IF(RAND()&lt;CondGood,_xlfn.LOGNORM.INV(RAND(),MV3,Sigma2),MIN(MaxMultiple,Xm/(1-RAND())^(1/Alpha)))))</f>
        <v>0.73400218678884566</v>
      </c>
      <c r="N13" s="19">
        <f ca="1">IF(RAND()&lt;P_Zero,0,IF(RAND()&lt;CondReturn,_xlfn.LOGNORM.INV(RAND(),MV2,Sigma1),IF(RAND()&lt;CondGood,_xlfn.LOGNORM.INV(RAND(),MV3,Sigma2),MIN(MaxMultiple,Xm/(1-RAND())^(1/Alpha)))))</f>
        <v>0</v>
      </c>
      <c r="O13" s="19">
        <f ca="1">IF(RAND()&lt;P_Zero,0,IF(RAND()&lt;CondReturn,_xlfn.LOGNORM.INV(RAND(),MV2,Sigma1),IF(RAND()&lt;CondGood,_xlfn.LOGNORM.INV(RAND(),MV3,Sigma2),MIN(MaxMultiple,Xm/(1-RAND())^(1/Alpha)))))</f>
        <v>0.65364040966354964</v>
      </c>
      <c r="P13" s="19">
        <f ca="1">IF(RAND()&lt;P_Zero,0,IF(RAND()&lt;CondReturn,_xlfn.LOGNORM.INV(RAND(),MV2,Sigma1),IF(RAND()&lt;CondGood,_xlfn.LOGNORM.INV(RAND(),MV3,Sigma2),MIN(MaxMultiple,Xm/(1-RAND())^(1/Alpha)))))</f>
        <v>0</v>
      </c>
      <c r="Q13" s="19">
        <f ca="1">IF(RAND()&lt;P_Zero,0,IF(RAND()&lt;CondReturn,_xlfn.LOGNORM.INV(RAND(),MV2,Sigma1),IF(RAND()&lt;CondGood,_xlfn.LOGNORM.INV(RAND(),MV3,Sigma2),MIN(MaxMultiple,Xm/(1-RAND())^(1/Alpha)))))</f>
        <v>1.2071440837977869</v>
      </c>
      <c r="R13" s="19">
        <f ca="1">IF(RAND()&lt;P_Zero,0,IF(RAND()&lt;CondReturn,_xlfn.LOGNORM.INV(RAND(),MV2,Sigma1),IF(RAND()&lt;CondGood,_xlfn.LOGNORM.INV(RAND(),MV3,Sigma2),MIN(MaxMultiple,Xm/(1-RAND())^(1/Alpha)))))</f>
        <v>0.65483934220643591</v>
      </c>
      <c r="S13" s="19">
        <f ca="1">IF(RAND()&lt;P_Zero,0,IF(RAND()&lt;CondReturn,_xlfn.LOGNORM.INV(RAND(),MV2,Sigma1),IF(RAND()&lt;CondGood,_xlfn.LOGNORM.INV(RAND(),MV3,Sigma2),MIN(MaxMultiple,Xm/(1-RAND())^(1/Alpha)))))</f>
        <v>1.6015420464113705</v>
      </c>
      <c r="T13" s="19">
        <f ca="1">IF(RAND()&lt;P_Zero,0,IF(RAND()&lt;CondReturn,_xlfn.LOGNORM.INV(RAND(),MV2,Sigma1),IF(RAND()&lt;CondGood,_xlfn.LOGNORM.INV(RAND(),MV3,Sigma2),MIN(MaxMultiple,Xm/(1-RAND())^(1/Alpha)))))</f>
        <v>0.41861195191893186</v>
      </c>
      <c r="U13" s="19">
        <f ca="1">IF(RAND()&lt;P_Zero,0,IF(RAND()&lt;CondReturn,_xlfn.LOGNORM.INV(RAND(),MV2,Sigma1),IF(RAND()&lt;CondGood,_xlfn.LOGNORM.INV(RAND(),MV3,Sigma2),MIN(MaxMultiple,Xm/(1-RAND())^(1/Alpha)))))</f>
        <v>16.411533407012918</v>
      </c>
      <c r="V13" s="19">
        <f ca="1">IF(RAND()&lt;P_Zero,0,IF(RAND()&lt;CondReturn,_xlfn.LOGNORM.INV(RAND(),MV2,Sigma1),IF(RAND()&lt;CondGood,_xlfn.LOGNORM.INV(RAND(),MV3,Sigma2),MIN(MaxMultiple,Xm/(1-RAND())^(1/Alpha)))))</f>
        <v>0</v>
      </c>
      <c r="W13" s="19">
        <f ca="1">IF(RAND()&lt;P_Zero,0,IF(RAND()&lt;CondReturn,_xlfn.LOGNORM.INV(RAND(),MV2,Sigma1),IF(RAND()&lt;CondGood,_xlfn.LOGNORM.INV(RAND(),MV3,Sigma2),MIN(MaxMultiple,Xm/(1-RAND())^(1/Alpha)))))</f>
        <v>1.0190080206536163</v>
      </c>
      <c r="X13" s="19">
        <f ca="1">IF(RAND()&lt;P_Zero,0,IF(RAND()&lt;CondReturn,_xlfn.LOGNORM.INV(RAND(),MV2,Sigma1),IF(RAND()&lt;CondGood,_xlfn.LOGNORM.INV(RAND(),MV3,Sigma2),MIN(MaxMultiple,Xm/(1-RAND())^(1/Alpha)))))</f>
        <v>0.90367901708112142</v>
      </c>
      <c r="Y13" s="19">
        <f ca="1">IF(RAND()&lt;P_Zero,0,IF(RAND()&lt;CondReturn,_xlfn.LOGNORM.INV(RAND(),MV2,Sigma1),IF(RAND()&lt;CondGood,_xlfn.LOGNORM.INV(RAND(),MV3,Sigma2),MIN(MaxMultiple,Xm/(1-RAND())^(1/Alpha)))))</f>
        <v>0</v>
      </c>
      <c r="Z13" s="19">
        <f ca="1">IF(RAND()&lt;P_Zero,0,IF(RAND()&lt;CondReturn,_xlfn.LOGNORM.INV(RAND(),MV2,Sigma1),IF(RAND()&lt;CondGood,_xlfn.LOGNORM.INV(RAND(),MV3,Sigma2),MIN(MaxMultiple,Xm/(1-RAND())^(1/Alpha)))))</f>
        <v>0</v>
      </c>
      <c r="AA13" s="19">
        <f ca="1">IF(RAND()&lt;P_Zero,0,IF(RAND()&lt;CondReturn,_xlfn.LOGNORM.INV(RAND(),MV2,Sigma1),IF(RAND()&lt;CondGood,_xlfn.LOGNORM.INV(RAND(),MV3,Sigma2),MIN(MaxMultiple,Xm/(1-RAND())^(1/Alpha)))))</f>
        <v>1.7907860919606484</v>
      </c>
      <c r="AB13" s="19">
        <f t="shared" ca="1" si="0"/>
        <v>1.6909272493355447</v>
      </c>
      <c r="AC13" s="14">
        <f t="shared" ca="1" si="1"/>
        <v>81164507.968106151</v>
      </c>
      <c r="AD13" s="14">
        <f t="shared" ca="1" si="2"/>
        <v>33164507.968106151</v>
      </c>
      <c r="AE13" s="14">
        <f t="shared" si="3"/>
        <v>55628399.869093813</v>
      </c>
      <c r="AF13" s="14">
        <f t="shared" ca="1" si="4"/>
        <v>0</v>
      </c>
      <c r="AG13" s="14">
        <f t="shared" ca="1" si="5"/>
        <v>0</v>
      </c>
      <c r="AH13" s="14">
        <f t="shared" ca="1" si="6"/>
        <v>81164507.968106151</v>
      </c>
      <c r="AI13" s="19">
        <f t="shared" ca="1" si="7"/>
        <v>1.3527417994684359</v>
      </c>
    </row>
    <row r="14" spans="2:35" x14ac:dyDescent="0.2">
      <c r="B14" s="1">
        <v>9</v>
      </c>
      <c r="C14" s="19">
        <f ca="1">IF(RAND()&lt;P_Zero,0,IF(RAND()&lt;CondReturn,_xlfn.LOGNORM.INV(RAND(),MV2,Sigma1),IF(RAND()&lt;CondGood,_xlfn.LOGNORM.INV(RAND(),MV3,Sigma2),MIN(MaxMultiple,Xm/(1-RAND())^(1/Alpha)))))</f>
        <v>1.2778719623244923</v>
      </c>
      <c r="D14" s="19">
        <f ca="1">IF(RAND()&lt;P_Zero,0,IF(RAND()&lt;CondReturn,_xlfn.LOGNORM.INV(RAND(),MV2,Sigma1),IF(RAND()&lt;CondGood,_xlfn.LOGNORM.INV(RAND(),MV3,Sigma2),MIN(MaxMultiple,Xm/(1-RAND())^(1/Alpha)))))</f>
        <v>0.69624490712181608</v>
      </c>
      <c r="E14" s="19">
        <f ca="1">IF(RAND()&lt;P_Zero,0,IF(RAND()&lt;CondReturn,_xlfn.LOGNORM.INV(RAND(),MV2,Sigma1),IF(RAND()&lt;CondGood,_xlfn.LOGNORM.INV(RAND(),MV3,Sigma2),MIN(MaxMultiple,Xm/(1-RAND())^(1/Alpha)))))</f>
        <v>0.96862835693125571</v>
      </c>
      <c r="F14" s="19">
        <f ca="1">IF(RAND()&lt;P_Zero,0,IF(RAND()&lt;CondReturn,_xlfn.LOGNORM.INV(RAND(),MV2,Sigma1),IF(RAND()&lt;CondGood,_xlfn.LOGNORM.INV(RAND(),MV3,Sigma2),MIN(MaxMultiple,Xm/(1-RAND())^(1/Alpha)))))</f>
        <v>10.177186413704428</v>
      </c>
      <c r="G14" s="19">
        <f ca="1">IF(RAND()&lt;P_Zero,0,IF(RAND()&lt;CondReturn,_xlfn.LOGNORM.INV(RAND(),MV2,Sigma1),IF(RAND()&lt;CondGood,_xlfn.LOGNORM.INV(RAND(),MV3,Sigma2),MIN(MaxMultiple,Xm/(1-RAND())^(1/Alpha)))))</f>
        <v>0</v>
      </c>
      <c r="H14" s="19">
        <f ca="1">IF(RAND()&lt;P_Zero,0,IF(RAND()&lt;CondReturn,_xlfn.LOGNORM.INV(RAND(),MV2,Sigma1),IF(RAND()&lt;CondGood,_xlfn.LOGNORM.INV(RAND(),MV3,Sigma2),MIN(MaxMultiple,Xm/(1-RAND())^(1/Alpha)))))</f>
        <v>0</v>
      </c>
      <c r="I14" s="19">
        <f ca="1">IF(RAND()&lt;P_Zero,0,IF(RAND()&lt;CondReturn,_xlfn.LOGNORM.INV(RAND(),MV2,Sigma1),IF(RAND()&lt;CondGood,_xlfn.LOGNORM.INV(RAND(),MV3,Sigma2),MIN(MaxMultiple,Xm/(1-RAND())^(1/Alpha)))))</f>
        <v>38.933291136785208</v>
      </c>
      <c r="J14" s="19">
        <f ca="1">IF(RAND()&lt;P_Zero,0,IF(RAND()&lt;CondReturn,_xlfn.LOGNORM.INV(RAND(),MV2,Sigma1),IF(RAND()&lt;CondGood,_xlfn.LOGNORM.INV(RAND(),MV3,Sigma2),MIN(MaxMultiple,Xm/(1-RAND())^(1/Alpha)))))</f>
        <v>0.56884682546712118</v>
      </c>
      <c r="K14" s="19">
        <f ca="1">IF(RAND()&lt;P_Zero,0,IF(RAND()&lt;CondReturn,_xlfn.LOGNORM.INV(RAND(),MV2,Sigma1),IF(RAND()&lt;CondGood,_xlfn.LOGNORM.INV(RAND(),MV3,Sigma2),MIN(MaxMultiple,Xm/(1-RAND())^(1/Alpha)))))</f>
        <v>0</v>
      </c>
      <c r="L14" s="19">
        <f ca="1">IF(RAND()&lt;P_Zero,0,IF(RAND()&lt;CondReturn,_xlfn.LOGNORM.INV(RAND(),MV2,Sigma1),IF(RAND()&lt;CondGood,_xlfn.LOGNORM.INV(RAND(),MV3,Sigma2),MIN(MaxMultiple,Xm/(1-RAND())^(1/Alpha)))))</f>
        <v>0</v>
      </c>
      <c r="M14" s="19">
        <f ca="1">IF(RAND()&lt;P_Zero,0,IF(RAND()&lt;CondReturn,_xlfn.LOGNORM.INV(RAND(),MV2,Sigma1),IF(RAND()&lt;CondGood,_xlfn.LOGNORM.INV(RAND(),MV3,Sigma2),MIN(MaxMultiple,Xm/(1-RAND())^(1/Alpha)))))</f>
        <v>1.6070444917963338</v>
      </c>
      <c r="N14" s="19">
        <f ca="1">IF(RAND()&lt;P_Zero,0,IF(RAND()&lt;CondReturn,_xlfn.LOGNORM.INV(RAND(),MV2,Sigma1),IF(RAND()&lt;CondGood,_xlfn.LOGNORM.INV(RAND(),MV3,Sigma2),MIN(MaxMultiple,Xm/(1-RAND())^(1/Alpha)))))</f>
        <v>31.880572345290215</v>
      </c>
      <c r="O14" s="19">
        <f ca="1">IF(RAND()&lt;P_Zero,0,IF(RAND()&lt;CondReturn,_xlfn.LOGNORM.INV(RAND(),MV2,Sigma1),IF(RAND()&lt;CondGood,_xlfn.LOGNORM.INV(RAND(),MV3,Sigma2),MIN(MaxMultiple,Xm/(1-RAND())^(1/Alpha)))))</f>
        <v>0</v>
      </c>
      <c r="P14" s="19">
        <f ca="1">IF(RAND()&lt;P_Zero,0,IF(RAND()&lt;CondReturn,_xlfn.LOGNORM.INV(RAND(),MV2,Sigma1),IF(RAND()&lt;CondGood,_xlfn.LOGNORM.INV(RAND(),MV3,Sigma2),MIN(MaxMultiple,Xm/(1-RAND())^(1/Alpha)))))</f>
        <v>1.0299017508180863</v>
      </c>
      <c r="Q14" s="19">
        <f ca="1">IF(RAND()&lt;P_Zero,0,IF(RAND()&lt;CondReturn,_xlfn.LOGNORM.INV(RAND(),MV2,Sigma1),IF(RAND()&lt;CondGood,_xlfn.LOGNORM.INV(RAND(),MV3,Sigma2),MIN(MaxMultiple,Xm/(1-RAND())^(1/Alpha)))))</f>
        <v>0.50629897552809111</v>
      </c>
      <c r="R14" s="19">
        <f ca="1">IF(RAND()&lt;P_Zero,0,IF(RAND()&lt;CondReturn,_xlfn.LOGNORM.INV(RAND(),MV2,Sigma1),IF(RAND()&lt;CondGood,_xlfn.LOGNORM.INV(RAND(),MV3,Sigma2),MIN(MaxMultiple,Xm/(1-RAND())^(1/Alpha)))))</f>
        <v>22.113178707841541</v>
      </c>
      <c r="S14" s="19">
        <f ca="1">IF(RAND()&lt;P_Zero,0,IF(RAND()&lt;CondReturn,_xlfn.LOGNORM.INV(RAND(),MV2,Sigma1),IF(RAND()&lt;CondGood,_xlfn.LOGNORM.INV(RAND(),MV3,Sigma2),MIN(MaxMultiple,Xm/(1-RAND())^(1/Alpha)))))</f>
        <v>3.1964925930536143</v>
      </c>
      <c r="T14" s="19">
        <f ca="1">IF(RAND()&lt;P_Zero,0,IF(RAND()&lt;CondReturn,_xlfn.LOGNORM.INV(RAND(),MV2,Sigma1),IF(RAND()&lt;CondGood,_xlfn.LOGNORM.INV(RAND(),MV3,Sigma2),MIN(MaxMultiple,Xm/(1-RAND())^(1/Alpha)))))</f>
        <v>0.81116783778394042</v>
      </c>
      <c r="U14" s="19">
        <f ca="1">IF(RAND()&lt;P_Zero,0,IF(RAND()&lt;CondReturn,_xlfn.LOGNORM.INV(RAND(),MV2,Sigma1),IF(RAND()&lt;CondGood,_xlfn.LOGNORM.INV(RAND(),MV3,Sigma2),MIN(MaxMultiple,Xm/(1-RAND())^(1/Alpha)))))</f>
        <v>21.412414984423485</v>
      </c>
      <c r="V14" s="19">
        <f ca="1">IF(RAND()&lt;P_Zero,0,IF(RAND()&lt;CondReturn,_xlfn.LOGNORM.INV(RAND(),MV2,Sigma1),IF(RAND()&lt;CondGood,_xlfn.LOGNORM.INV(RAND(),MV3,Sigma2),MIN(MaxMultiple,Xm/(1-RAND())^(1/Alpha)))))</f>
        <v>2.4397670699105416</v>
      </c>
      <c r="W14" s="19">
        <f ca="1">IF(RAND()&lt;P_Zero,0,IF(RAND()&lt;CondReturn,_xlfn.LOGNORM.INV(RAND(),MV2,Sigma1),IF(RAND()&lt;CondGood,_xlfn.LOGNORM.INV(RAND(),MV3,Sigma2),MIN(MaxMultiple,Xm/(1-RAND())^(1/Alpha)))))</f>
        <v>0</v>
      </c>
      <c r="X14" s="19">
        <f ca="1">IF(RAND()&lt;P_Zero,0,IF(RAND()&lt;CondReturn,_xlfn.LOGNORM.INV(RAND(),MV2,Sigma1),IF(RAND()&lt;CondGood,_xlfn.LOGNORM.INV(RAND(),MV3,Sigma2),MIN(MaxMultiple,Xm/(1-RAND())^(1/Alpha)))))</f>
        <v>61.140715097302682</v>
      </c>
      <c r="Y14" s="19">
        <f ca="1">IF(RAND()&lt;P_Zero,0,IF(RAND()&lt;CondReturn,_xlfn.LOGNORM.INV(RAND(),MV2,Sigma1),IF(RAND()&lt;CondGood,_xlfn.LOGNORM.INV(RAND(),MV3,Sigma2),MIN(MaxMultiple,Xm/(1-RAND())^(1/Alpha)))))</f>
        <v>0.83395649300353059</v>
      </c>
      <c r="Z14" s="19">
        <f ca="1">IF(RAND()&lt;P_Zero,0,IF(RAND()&lt;CondReturn,_xlfn.LOGNORM.INV(RAND(),MV2,Sigma1),IF(RAND()&lt;CondGood,_xlfn.LOGNORM.INV(RAND(),MV3,Sigma2),MIN(MaxMultiple,Xm/(1-RAND())^(1/Alpha)))))</f>
        <v>2.4250313865428401</v>
      </c>
      <c r="AA14" s="19">
        <f ca="1">IF(RAND()&lt;P_Zero,0,IF(RAND()&lt;CondReturn,_xlfn.LOGNORM.INV(RAND(),MV2,Sigma1),IF(RAND()&lt;CondGood,_xlfn.LOGNORM.INV(RAND(),MV3,Sigma2),MIN(MaxMultiple,Xm/(1-RAND())^(1/Alpha)))))</f>
        <v>44.983205762174549</v>
      </c>
      <c r="AB14" s="19">
        <f t="shared" ca="1" si="0"/>
        <v>9.880072683912152</v>
      </c>
      <c r="AC14" s="14">
        <f t="shared" ca="1" si="1"/>
        <v>474243488.82778329</v>
      </c>
      <c r="AD14" s="14">
        <f t="shared" ca="1" si="2"/>
        <v>426243488.82778329</v>
      </c>
      <c r="AE14" s="14">
        <f t="shared" si="3"/>
        <v>55628399.869093813</v>
      </c>
      <c r="AF14" s="14">
        <f t="shared" ca="1" si="4"/>
        <v>370615088.95868945</v>
      </c>
      <c r="AG14" s="14">
        <f t="shared" ca="1" si="5"/>
        <v>74123017.791737899</v>
      </c>
      <c r="AH14" s="14">
        <f t="shared" ca="1" si="6"/>
        <v>400120471.03604537</v>
      </c>
      <c r="AI14" s="19">
        <f t="shared" ca="1" si="7"/>
        <v>6.6686745172674229</v>
      </c>
    </row>
    <row r="15" spans="2:35" x14ac:dyDescent="0.2">
      <c r="B15" s="1">
        <v>10</v>
      </c>
      <c r="C15" s="19">
        <f ca="1">IF(RAND()&lt;P_Zero,0,IF(RAND()&lt;CondReturn,_xlfn.LOGNORM.INV(RAND(),MV2,Sigma1),IF(RAND()&lt;CondGood,_xlfn.LOGNORM.INV(RAND(),MV3,Sigma2),MIN(MaxMultiple,Xm/(1-RAND())^(1/Alpha)))))</f>
        <v>0.40074210035693286</v>
      </c>
      <c r="D15" s="19">
        <f ca="1">IF(RAND()&lt;P_Zero,0,IF(RAND()&lt;CondReturn,_xlfn.LOGNORM.INV(RAND(),MV2,Sigma1),IF(RAND()&lt;CondGood,_xlfn.LOGNORM.INV(RAND(),MV3,Sigma2),MIN(MaxMultiple,Xm/(1-RAND())^(1/Alpha)))))</f>
        <v>0</v>
      </c>
      <c r="E15" s="19">
        <f ca="1">IF(RAND()&lt;P_Zero,0,IF(RAND()&lt;CondReturn,_xlfn.LOGNORM.INV(RAND(),MV2,Sigma1),IF(RAND()&lt;CondGood,_xlfn.LOGNORM.INV(RAND(),MV3,Sigma2),MIN(MaxMultiple,Xm/(1-RAND())^(1/Alpha)))))</f>
        <v>0</v>
      </c>
      <c r="F15" s="19">
        <f ca="1">IF(RAND()&lt;P_Zero,0,IF(RAND()&lt;CondReturn,_xlfn.LOGNORM.INV(RAND(),MV2,Sigma1),IF(RAND()&lt;CondGood,_xlfn.LOGNORM.INV(RAND(),MV3,Sigma2),MIN(MaxMultiple,Xm/(1-RAND())^(1/Alpha)))))</f>
        <v>0</v>
      </c>
      <c r="G15" s="19">
        <f ca="1">IF(RAND()&lt;P_Zero,0,IF(RAND()&lt;CondReturn,_xlfn.LOGNORM.INV(RAND(),MV2,Sigma1),IF(RAND()&lt;CondGood,_xlfn.LOGNORM.INV(RAND(),MV3,Sigma2),MIN(MaxMultiple,Xm/(1-RAND())^(1/Alpha)))))</f>
        <v>0.89201181540161667</v>
      </c>
      <c r="H15" s="19">
        <f ca="1">IF(RAND()&lt;P_Zero,0,IF(RAND()&lt;CondReturn,_xlfn.LOGNORM.INV(RAND(),MV2,Sigma1),IF(RAND()&lt;CondGood,_xlfn.LOGNORM.INV(RAND(),MV3,Sigma2),MIN(MaxMultiple,Xm/(1-RAND())^(1/Alpha)))))</f>
        <v>0</v>
      </c>
      <c r="I15" s="19">
        <f ca="1">IF(RAND()&lt;P_Zero,0,IF(RAND()&lt;CondReturn,_xlfn.LOGNORM.INV(RAND(),MV2,Sigma1),IF(RAND()&lt;CondGood,_xlfn.LOGNORM.INV(RAND(),MV3,Sigma2),MIN(MaxMultiple,Xm/(1-RAND())^(1/Alpha)))))</f>
        <v>1.7985426449391173</v>
      </c>
      <c r="J15" s="19">
        <f ca="1">IF(RAND()&lt;P_Zero,0,IF(RAND()&lt;CondReturn,_xlfn.LOGNORM.INV(RAND(),MV2,Sigma1),IF(RAND()&lt;CondGood,_xlfn.LOGNORM.INV(RAND(),MV3,Sigma2),MIN(MaxMultiple,Xm/(1-RAND())^(1/Alpha)))))</f>
        <v>68.325312158760553</v>
      </c>
      <c r="K15" s="19">
        <f ca="1">IF(RAND()&lt;P_Zero,0,IF(RAND()&lt;CondReturn,_xlfn.LOGNORM.INV(RAND(),MV2,Sigma1),IF(RAND()&lt;CondGood,_xlfn.LOGNORM.INV(RAND(),MV3,Sigma2),MIN(MaxMultiple,Xm/(1-RAND())^(1/Alpha)))))</f>
        <v>0</v>
      </c>
      <c r="L15" s="19">
        <f ca="1">IF(RAND()&lt;P_Zero,0,IF(RAND()&lt;CondReturn,_xlfn.LOGNORM.INV(RAND(),MV2,Sigma1),IF(RAND()&lt;CondGood,_xlfn.LOGNORM.INV(RAND(),MV3,Sigma2),MIN(MaxMultiple,Xm/(1-RAND())^(1/Alpha)))))</f>
        <v>0</v>
      </c>
      <c r="M15" s="19">
        <f ca="1">IF(RAND()&lt;P_Zero,0,IF(RAND()&lt;CondReturn,_xlfn.LOGNORM.INV(RAND(),MV2,Sigma1),IF(RAND()&lt;CondGood,_xlfn.LOGNORM.INV(RAND(),MV3,Sigma2),MIN(MaxMultiple,Xm/(1-RAND())^(1/Alpha)))))</f>
        <v>0</v>
      </c>
      <c r="N15" s="19">
        <f ca="1">IF(RAND()&lt;P_Zero,0,IF(RAND()&lt;CondReturn,_xlfn.LOGNORM.INV(RAND(),MV2,Sigma1),IF(RAND()&lt;CondGood,_xlfn.LOGNORM.INV(RAND(),MV3,Sigma2),MIN(MaxMultiple,Xm/(1-RAND())^(1/Alpha)))))</f>
        <v>0.33663937920483661</v>
      </c>
      <c r="O15" s="19">
        <f ca="1">IF(RAND()&lt;P_Zero,0,IF(RAND()&lt;CondReturn,_xlfn.LOGNORM.INV(RAND(),MV2,Sigma1),IF(RAND()&lt;CondGood,_xlfn.LOGNORM.INV(RAND(),MV3,Sigma2),MIN(MaxMultiple,Xm/(1-RAND())^(1/Alpha)))))</f>
        <v>1.5432995260329907</v>
      </c>
      <c r="P15" s="19">
        <f ca="1">IF(RAND()&lt;P_Zero,0,IF(RAND()&lt;CondReturn,_xlfn.LOGNORM.INV(RAND(),MV2,Sigma1),IF(RAND()&lt;CondGood,_xlfn.LOGNORM.INV(RAND(),MV3,Sigma2),MIN(MaxMultiple,Xm/(1-RAND())^(1/Alpha)))))</f>
        <v>0</v>
      </c>
      <c r="Q15" s="19">
        <f ca="1">IF(RAND()&lt;P_Zero,0,IF(RAND()&lt;CondReturn,_xlfn.LOGNORM.INV(RAND(),MV2,Sigma1),IF(RAND()&lt;CondGood,_xlfn.LOGNORM.INV(RAND(),MV3,Sigma2),MIN(MaxMultiple,Xm/(1-RAND())^(1/Alpha)))))</f>
        <v>1.4044779489470305</v>
      </c>
      <c r="R15" s="19">
        <f ca="1">IF(RAND()&lt;P_Zero,0,IF(RAND()&lt;CondReturn,_xlfn.LOGNORM.INV(RAND(),MV2,Sigma1),IF(RAND()&lt;CondGood,_xlfn.LOGNORM.INV(RAND(),MV3,Sigma2),MIN(MaxMultiple,Xm/(1-RAND())^(1/Alpha)))))</f>
        <v>0.48640867116858161</v>
      </c>
      <c r="S15" s="19">
        <f ca="1">IF(RAND()&lt;P_Zero,0,IF(RAND()&lt;CondReturn,_xlfn.LOGNORM.INV(RAND(),MV2,Sigma1),IF(RAND()&lt;CondGood,_xlfn.LOGNORM.INV(RAND(),MV3,Sigma2),MIN(MaxMultiple,Xm/(1-RAND())^(1/Alpha)))))</f>
        <v>1.3010454229898871</v>
      </c>
      <c r="T15" s="19">
        <f ca="1">IF(RAND()&lt;P_Zero,0,IF(RAND()&lt;CondReturn,_xlfn.LOGNORM.INV(RAND(),MV2,Sigma1),IF(RAND()&lt;CondGood,_xlfn.LOGNORM.INV(RAND(),MV3,Sigma2),MIN(MaxMultiple,Xm/(1-RAND())^(1/Alpha)))))</f>
        <v>0</v>
      </c>
      <c r="U15" s="19">
        <f ca="1">IF(RAND()&lt;P_Zero,0,IF(RAND()&lt;CondReturn,_xlfn.LOGNORM.INV(RAND(),MV2,Sigma1),IF(RAND()&lt;CondGood,_xlfn.LOGNORM.INV(RAND(),MV3,Sigma2),MIN(MaxMultiple,Xm/(1-RAND())^(1/Alpha)))))</f>
        <v>1.1324817643915268</v>
      </c>
      <c r="V15" s="19">
        <f ca="1">IF(RAND()&lt;P_Zero,0,IF(RAND()&lt;CondReturn,_xlfn.LOGNORM.INV(RAND(),MV2,Sigma1),IF(RAND()&lt;CondGood,_xlfn.LOGNORM.INV(RAND(),MV3,Sigma2),MIN(MaxMultiple,Xm/(1-RAND())^(1/Alpha)))))</f>
        <v>1.0162216229897343</v>
      </c>
      <c r="W15" s="19">
        <f ca="1">IF(RAND()&lt;P_Zero,0,IF(RAND()&lt;CondReturn,_xlfn.LOGNORM.INV(RAND(),MV2,Sigma1),IF(RAND()&lt;CondGood,_xlfn.LOGNORM.INV(RAND(),MV3,Sigma2),MIN(MaxMultiple,Xm/(1-RAND())^(1/Alpha)))))</f>
        <v>0</v>
      </c>
      <c r="X15" s="19">
        <f ca="1">IF(RAND()&lt;P_Zero,0,IF(RAND()&lt;CondReturn,_xlfn.LOGNORM.INV(RAND(),MV2,Sigma1),IF(RAND()&lt;CondGood,_xlfn.LOGNORM.INV(RAND(),MV3,Sigma2),MIN(MaxMultiple,Xm/(1-RAND())^(1/Alpha)))))</f>
        <v>0.89063579737261167</v>
      </c>
      <c r="Y15" s="19">
        <f ca="1">IF(RAND()&lt;P_Zero,0,IF(RAND()&lt;CondReturn,_xlfn.LOGNORM.INV(RAND(),MV2,Sigma1),IF(RAND()&lt;CondGood,_xlfn.LOGNORM.INV(RAND(),MV3,Sigma2),MIN(MaxMultiple,Xm/(1-RAND())^(1/Alpha)))))</f>
        <v>0.84532613988846084</v>
      </c>
      <c r="Z15" s="19">
        <f ca="1">IF(RAND()&lt;P_Zero,0,IF(RAND()&lt;CondReturn,_xlfn.LOGNORM.INV(RAND(),MV2,Sigma1),IF(RAND()&lt;CondGood,_xlfn.LOGNORM.INV(RAND(),MV3,Sigma2),MIN(MaxMultiple,Xm/(1-RAND())^(1/Alpha)))))</f>
        <v>1.2118365721162505</v>
      </c>
      <c r="AA15" s="19">
        <f ca="1">IF(RAND()&lt;P_Zero,0,IF(RAND()&lt;CondReturn,_xlfn.LOGNORM.INV(RAND(),MV2,Sigma1),IF(RAND()&lt;CondGood,_xlfn.LOGNORM.INV(RAND(),MV3,Sigma2),MIN(MaxMultiple,Xm/(1-RAND())^(1/Alpha)))))</f>
        <v>1.0149618718643121</v>
      </c>
      <c r="AB15" s="19">
        <f t="shared" ca="1" si="0"/>
        <v>3.303997737456978</v>
      </c>
      <c r="AC15" s="14">
        <f t="shared" ca="1" si="1"/>
        <v>158591891.39793494</v>
      </c>
      <c r="AD15" s="14">
        <f t="shared" ca="1" si="2"/>
        <v>110591891.39793494</v>
      </c>
      <c r="AE15" s="14">
        <f t="shared" si="3"/>
        <v>55628399.869093813</v>
      </c>
      <c r="AF15" s="14">
        <f t="shared" ca="1" si="4"/>
        <v>54963491.52884113</v>
      </c>
      <c r="AG15" s="14">
        <f t="shared" ca="1" si="5"/>
        <v>10992698.305768227</v>
      </c>
      <c r="AH15" s="14">
        <f t="shared" ca="1" si="6"/>
        <v>147599193.09216672</v>
      </c>
      <c r="AI15" s="19">
        <f t="shared" ca="1" si="7"/>
        <v>2.4599865515361121</v>
      </c>
    </row>
    <row r="16" spans="2:35" x14ac:dyDescent="0.2">
      <c r="B16" s="1">
        <v>11</v>
      </c>
      <c r="C16" s="19">
        <f ca="1">IF(RAND()&lt;P_Zero,0,IF(RAND()&lt;CondReturn,_xlfn.LOGNORM.INV(RAND(),MV2,Sigma1),IF(RAND()&lt;CondGood,_xlfn.LOGNORM.INV(RAND(),MV3,Sigma2),MIN(MaxMultiple,Xm/(1-RAND())^(1/Alpha)))))</f>
        <v>1.3018249157845811</v>
      </c>
      <c r="D16" s="19">
        <f ca="1">IF(RAND()&lt;P_Zero,0,IF(RAND()&lt;CondReturn,_xlfn.LOGNORM.INV(RAND(),MV2,Sigma1),IF(RAND()&lt;CondGood,_xlfn.LOGNORM.INV(RAND(),MV3,Sigma2),MIN(MaxMultiple,Xm/(1-RAND())^(1/Alpha)))))</f>
        <v>1.0229099246323536</v>
      </c>
      <c r="E16" s="19">
        <f ca="1">IF(RAND()&lt;P_Zero,0,IF(RAND()&lt;CondReturn,_xlfn.LOGNORM.INV(RAND(),MV2,Sigma1),IF(RAND()&lt;CondGood,_xlfn.LOGNORM.INV(RAND(),MV3,Sigma2),MIN(MaxMultiple,Xm/(1-RAND())^(1/Alpha)))))</f>
        <v>1.0993413404936643</v>
      </c>
      <c r="F16" s="19">
        <f ca="1">IF(RAND()&lt;P_Zero,0,IF(RAND()&lt;CondReturn,_xlfn.LOGNORM.INV(RAND(),MV2,Sigma1),IF(RAND()&lt;CondGood,_xlfn.LOGNORM.INV(RAND(),MV3,Sigma2),MIN(MaxMultiple,Xm/(1-RAND())^(1/Alpha)))))</f>
        <v>0.53019802404583638</v>
      </c>
      <c r="G16" s="19">
        <f ca="1">IF(RAND()&lt;P_Zero,0,IF(RAND()&lt;CondReturn,_xlfn.LOGNORM.INV(RAND(),MV2,Sigma1),IF(RAND()&lt;CondGood,_xlfn.LOGNORM.INV(RAND(),MV3,Sigma2),MIN(MaxMultiple,Xm/(1-RAND())^(1/Alpha)))))</f>
        <v>0</v>
      </c>
      <c r="H16" s="19">
        <f ca="1">IF(RAND()&lt;P_Zero,0,IF(RAND()&lt;CondReturn,_xlfn.LOGNORM.INV(RAND(),MV2,Sigma1),IF(RAND()&lt;CondGood,_xlfn.LOGNORM.INV(RAND(),MV3,Sigma2),MIN(MaxMultiple,Xm/(1-RAND())^(1/Alpha)))))</f>
        <v>0</v>
      </c>
      <c r="I16" s="19">
        <f ca="1">IF(RAND()&lt;P_Zero,0,IF(RAND()&lt;CondReturn,_xlfn.LOGNORM.INV(RAND(),MV2,Sigma1),IF(RAND()&lt;CondGood,_xlfn.LOGNORM.INV(RAND(),MV3,Sigma2),MIN(MaxMultiple,Xm/(1-RAND())^(1/Alpha)))))</f>
        <v>0.7948292902679428</v>
      </c>
      <c r="J16" s="19">
        <f ca="1">IF(RAND()&lt;P_Zero,0,IF(RAND()&lt;CondReturn,_xlfn.LOGNORM.INV(RAND(),MV2,Sigma1),IF(RAND()&lt;CondGood,_xlfn.LOGNORM.INV(RAND(),MV3,Sigma2),MIN(MaxMultiple,Xm/(1-RAND())^(1/Alpha)))))</f>
        <v>0</v>
      </c>
      <c r="K16" s="19">
        <f ca="1">IF(RAND()&lt;P_Zero,0,IF(RAND()&lt;CondReturn,_xlfn.LOGNORM.INV(RAND(),MV2,Sigma1),IF(RAND()&lt;CondGood,_xlfn.LOGNORM.INV(RAND(),MV3,Sigma2),MIN(MaxMultiple,Xm/(1-RAND())^(1/Alpha)))))</f>
        <v>0.47007212114113162</v>
      </c>
      <c r="L16" s="19">
        <f ca="1">IF(RAND()&lt;P_Zero,0,IF(RAND()&lt;CondReturn,_xlfn.LOGNORM.INV(RAND(),MV2,Sigma1),IF(RAND()&lt;CondGood,_xlfn.LOGNORM.INV(RAND(),MV3,Sigma2),MIN(MaxMultiple,Xm/(1-RAND())^(1/Alpha)))))</f>
        <v>0.72824023169819863</v>
      </c>
      <c r="M16" s="19">
        <f ca="1">IF(RAND()&lt;P_Zero,0,IF(RAND()&lt;CondReturn,_xlfn.LOGNORM.INV(RAND(),MV2,Sigma1),IF(RAND()&lt;CondGood,_xlfn.LOGNORM.INV(RAND(),MV3,Sigma2),MIN(MaxMultiple,Xm/(1-RAND())^(1/Alpha)))))</f>
        <v>0.85280274519145793</v>
      </c>
      <c r="N16" s="19">
        <f ca="1">IF(RAND()&lt;P_Zero,0,IF(RAND()&lt;CondReturn,_xlfn.LOGNORM.INV(RAND(),MV2,Sigma1),IF(RAND()&lt;CondGood,_xlfn.LOGNORM.INV(RAND(),MV3,Sigma2),MIN(MaxMultiple,Xm/(1-RAND())^(1/Alpha)))))</f>
        <v>0.88710126826054425</v>
      </c>
      <c r="O16" s="19">
        <f ca="1">IF(RAND()&lt;P_Zero,0,IF(RAND()&lt;CondReturn,_xlfn.LOGNORM.INV(RAND(),MV2,Sigma1),IF(RAND()&lt;CondGood,_xlfn.LOGNORM.INV(RAND(),MV3,Sigma2),MIN(MaxMultiple,Xm/(1-RAND())^(1/Alpha)))))</f>
        <v>0.54905667432934357</v>
      </c>
      <c r="P16" s="19">
        <f ca="1">IF(RAND()&lt;P_Zero,0,IF(RAND()&lt;CondReturn,_xlfn.LOGNORM.INV(RAND(),MV2,Sigma1),IF(RAND()&lt;CondGood,_xlfn.LOGNORM.INV(RAND(),MV3,Sigma2),MIN(MaxMultiple,Xm/(1-RAND())^(1/Alpha)))))</f>
        <v>1.5379332073848109</v>
      </c>
      <c r="Q16" s="19">
        <f ca="1">IF(RAND()&lt;P_Zero,0,IF(RAND()&lt;CondReturn,_xlfn.LOGNORM.INV(RAND(),MV2,Sigma1),IF(RAND()&lt;CondGood,_xlfn.LOGNORM.INV(RAND(),MV3,Sigma2),MIN(MaxMultiple,Xm/(1-RAND())^(1/Alpha)))))</f>
        <v>19.385602861128444</v>
      </c>
      <c r="R16" s="19">
        <f ca="1">IF(RAND()&lt;P_Zero,0,IF(RAND()&lt;CondReturn,_xlfn.LOGNORM.INV(RAND(),MV2,Sigma1),IF(RAND()&lt;CondGood,_xlfn.LOGNORM.INV(RAND(),MV3,Sigma2),MIN(MaxMultiple,Xm/(1-RAND())^(1/Alpha)))))</f>
        <v>0</v>
      </c>
      <c r="S16" s="19">
        <f ca="1">IF(RAND()&lt;P_Zero,0,IF(RAND()&lt;CondReturn,_xlfn.LOGNORM.INV(RAND(),MV2,Sigma1),IF(RAND()&lt;CondGood,_xlfn.LOGNORM.INV(RAND(),MV3,Sigma2),MIN(MaxMultiple,Xm/(1-RAND())^(1/Alpha)))))</f>
        <v>0</v>
      </c>
      <c r="T16" s="19">
        <f ca="1">IF(RAND()&lt;P_Zero,0,IF(RAND()&lt;CondReturn,_xlfn.LOGNORM.INV(RAND(),MV2,Sigma1),IF(RAND()&lt;CondGood,_xlfn.LOGNORM.INV(RAND(),MV3,Sigma2),MIN(MaxMultiple,Xm/(1-RAND())^(1/Alpha)))))</f>
        <v>0</v>
      </c>
      <c r="U16" s="19">
        <f ca="1">IF(RAND()&lt;P_Zero,0,IF(RAND()&lt;CondReturn,_xlfn.LOGNORM.INV(RAND(),MV2,Sigma1),IF(RAND()&lt;CondGood,_xlfn.LOGNORM.INV(RAND(),MV3,Sigma2),MIN(MaxMultiple,Xm/(1-RAND())^(1/Alpha)))))</f>
        <v>0</v>
      </c>
      <c r="V16" s="19">
        <f ca="1">IF(RAND()&lt;P_Zero,0,IF(RAND()&lt;CondReturn,_xlfn.LOGNORM.INV(RAND(),MV2,Sigma1),IF(RAND()&lt;CondGood,_xlfn.LOGNORM.INV(RAND(),MV3,Sigma2),MIN(MaxMultiple,Xm/(1-RAND())^(1/Alpha)))))</f>
        <v>0</v>
      </c>
      <c r="W16" s="19">
        <f ca="1">IF(RAND()&lt;P_Zero,0,IF(RAND()&lt;CondReturn,_xlfn.LOGNORM.INV(RAND(),MV2,Sigma1),IF(RAND()&lt;CondGood,_xlfn.LOGNORM.INV(RAND(),MV3,Sigma2),MIN(MaxMultiple,Xm/(1-RAND())^(1/Alpha)))))</f>
        <v>0</v>
      </c>
      <c r="X16" s="19">
        <f ca="1">IF(RAND()&lt;P_Zero,0,IF(RAND()&lt;CondReturn,_xlfn.LOGNORM.INV(RAND(),MV2,Sigma1),IF(RAND()&lt;CondGood,_xlfn.LOGNORM.INV(RAND(),MV3,Sigma2),MIN(MaxMultiple,Xm/(1-RAND())^(1/Alpha)))))</f>
        <v>0.83668573307719796</v>
      </c>
      <c r="Y16" s="19">
        <f ca="1">IF(RAND()&lt;P_Zero,0,IF(RAND()&lt;CondReturn,_xlfn.LOGNORM.INV(RAND(),MV2,Sigma1),IF(RAND()&lt;CondGood,_xlfn.LOGNORM.INV(RAND(),MV3,Sigma2),MIN(MaxMultiple,Xm/(1-RAND())^(1/Alpha)))))</f>
        <v>2.7751387863451984</v>
      </c>
      <c r="Z16" s="19">
        <f ca="1">IF(RAND()&lt;P_Zero,0,IF(RAND()&lt;CondReturn,_xlfn.LOGNORM.INV(RAND(),MV2,Sigma1),IF(RAND()&lt;CondGood,_xlfn.LOGNORM.INV(RAND(),MV3,Sigma2),MIN(MaxMultiple,Xm/(1-RAND())^(1/Alpha)))))</f>
        <v>1.0482037748167807</v>
      </c>
      <c r="AA16" s="19">
        <f ca="1">IF(RAND()&lt;P_Zero,0,IF(RAND()&lt;CondReturn,_xlfn.LOGNORM.INV(RAND(),MV2,Sigma1),IF(RAND()&lt;CondGood,_xlfn.LOGNORM.INV(RAND(),MV3,Sigma2),MIN(MaxMultiple,Xm/(1-RAND())^(1/Alpha)))))</f>
        <v>1.0556417634299109</v>
      </c>
      <c r="AB16" s="19">
        <f t="shared" ca="1" si="0"/>
        <v>1.395023306481096</v>
      </c>
      <c r="AC16" s="14">
        <f t="shared" ca="1" si="1"/>
        <v>66961118.711092606</v>
      </c>
      <c r="AD16" s="14">
        <f t="shared" ca="1" si="2"/>
        <v>18961118.711092606</v>
      </c>
      <c r="AE16" s="14">
        <f t="shared" si="3"/>
        <v>55628399.869093813</v>
      </c>
      <c r="AF16" s="14">
        <f t="shared" ca="1" si="4"/>
        <v>0</v>
      </c>
      <c r="AG16" s="14">
        <f t="shared" ca="1" si="5"/>
        <v>0</v>
      </c>
      <c r="AH16" s="14">
        <f t="shared" ca="1" si="6"/>
        <v>66961118.711092606</v>
      </c>
      <c r="AI16" s="19">
        <f t="shared" ca="1" si="7"/>
        <v>1.1160186451848768</v>
      </c>
    </row>
    <row r="17" spans="2:35" x14ac:dyDescent="0.2">
      <c r="B17" s="1">
        <v>12</v>
      </c>
      <c r="C17" s="19">
        <f ca="1">IF(RAND()&lt;P_Zero,0,IF(RAND()&lt;CondReturn,_xlfn.LOGNORM.INV(RAND(),MV2,Sigma1),IF(RAND()&lt;CondGood,_xlfn.LOGNORM.INV(RAND(),MV3,Sigma2),MIN(MaxMultiple,Xm/(1-RAND())^(1/Alpha)))))</f>
        <v>0</v>
      </c>
      <c r="D17" s="19">
        <f ca="1">IF(RAND()&lt;P_Zero,0,IF(RAND()&lt;CondReturn,_xlfn.LOGNORM.INV(RAND(),MV2,Sigma1),IF(RAND()&lt;CondGood,_xlfn.LOGNORM.INV(RAND(),MV3,Sigma2),MIN(MaxMultiple,Xm/(1-RAND())^(1/Alpha)))))</f>
        <v>21.883633449497442</v>
      </c>
      <c r="E17" s="19">
        <f ca="1">IF(RAND()&lt;P_Zero,0,IF(RAND()&lt;CondReturn,_xlfn.LOGNORM.INV(RAND(),MV2,Sigma1),IF(RAND()&lt;CondGood,_xlfn.LOGNORM.INV(RAND(),MV3,Sigma2),MIN(MaxMultiple,Xm/(1-RAND())^(1/Alpha)))))</f>
        <v>0</v>
      </c>
      <c r="F17" s="19">
        <f ca="1">IF(RAND()&lt;P_Zero,0,IF(RAND()&lt;CondReturn,_xlfn.LOGNORM.INV(RAND(),MV2,Sigma1),IF(RAND()&lt;CondGood,_xlfn.LOGNORM.INV(RAND(),MV3,Sigma2),MIN(MaxMultiple,Xm/(1-RAND())^(1/Alpha)))))</f>
        <v>1.577327162160195</v>
      </c>
      <c r="G17" s="19">
        <f ca="1">IF(RAND()&lt;P_Zero,0,IF(RAND()&lt;CondReturn,_xlfn.LOGNORM.INV(RAND(),MV2,Sigma1),IF(RAND()&lt;CondGood,_xlfn.LOGNORM.INV(RAND(),MV3,Sigma2),MIN(MaxMultiple,Xm/(1-RAND())^(1/Alpha)))))</f>
        <v>17.691514856835127</v>
      </c>
      <c r="H17" s="19">
        <f ca="1">IF(RAND()&lt;P_Zero,0,IF(RAND()&lt;CondReturn,_xlfn.LOGNORM.INV(RAND(),MV2,Sigma1),IF(RAND()&lt;CondGood,_xlfn.LOGNORM.INV(RAND(),MV3,Sigma2),MIN(MaxMultiple,Xm/(1-RAND())^(1/Alpha)))))</f>
        <v>1.6763648263225162</v>
      </c>
      <c r="I17" s="19">
        <f ca="1">IF(RAND()&lt;P_Zero,0,IF(RAND()&lt;CondReturn,_xlfn.LOGNORM.INV(RAND(),MV2,Sigma1),IF(RAND()&lt;CondGood,_xlfn.LOGNORM.INV(RAND(),MV3,Sigma2),MIN(MaxMultiple,Xm/(1-RAND())^(1/Alpha)))))</f>
        <v>0.84297593682301775</v>
      </c>
      <c r="J17" s="19">
        <f ca="1">IF(RAND()&lt;P_Zero,0,IF(RAND()&lt;CondReturn,_xlfn.LOGNORM.INV(RAND(),MV2,Sigma1),IF(RAND()&lt;CondGood,_xlfn.LOGNORM.INV(RAND(),MV3,Sigma2),MIN(MaxMultiple,Xm/(1-RAND())^(1/Alpha)))))</f>
        <v>0</v>
      </c>
      <c r="K17" s="19">
        <f ca="1">IF(RAND()&lt;P_Zero,0,IF(RAND()&lt;CondReturn,_xlfn.LOGNORM.INV(RAND(),MV2,Sigma1),IF(RAND()&lt;CondGood,_xlfn.LOGNORM.INV(RAND(),MV3,Sigma2),MIN(MaxMultiple,Xm/(1-RAND())^(1/Alpha)))))</f>
        <v>2.9562751724886067</v>
      </c>
      <c r="L17" s="19">
        <f ca="1">IF(RAND()&lt;P_Zero,0,IF(RAND()&lt;CondReturn,_xlfn.LOGNORM.INV(RAND(),MV2,Sigma1),IF(RAND()&lt;CondGood,_xlfn.LOGNORM.INV(RAND(),MV3,Sigma2),MIN(MaxMultiple,Xm/(1-RAND())^(1/Alpha)))))</f>
        <v>10.965036336959903</v>
      </c>
      <c r="M17" s="19">
        <f ca="1">IF(RAND()&lt;P_Zero,0,IF(RAND()&lt;CondReturn,_xlfn.LOGNORM.INV(RAND(),MV2,Sigma1),IF(RAND()&lt;CondGood,_xlfn.LOGNORM.INV(RAND(),MV3,Sigma2),MIN(MaxMultiple,Xm/(1-RAND())^(1/Alpha)))))</f>
        <v>0</v>
      </c>
      <c r="N17" s="19">
        <f ca="1">IF(RAND()&lt;P_Zero,0,IF(RAND()&lt;CondReturn,_xlfn.LOGNORM.INV(RAND(),MV2,Sigma1),IF(RAND()&lt;CondGood,_xlfn.LOGNORM.INV(RAND(),MV3,Sigma2),MIN(MaxMultiple,Xm/(1-RAND())^(1/Alpha)))))</f>
        <v>109.94022878799572</v>
      </c>
      <c r="O17" s="19">
        <f ca="1">IF(RAND()&lt;P_Zero,0,IF(RAND()&lt;CondReturn,_xlfn.LOGNORM.INV(RAND(),MV2,Sigma1),IF(RAND()&lt;CondGood,_xlfn.LOGNORM.INV(RAND(),MV3,Sigma2),MIN(MaxMultiple,Xm/(1-RAND())^(1/Alpha)))))</f>
        <v>1.0999642122734357</v>
      </c>
      <c r="P17" s="19">
        <f ca="1">IF(RAND()&lt;P_Zero,0,IF(RAND()&lt;CondReturn,_xlfn.LOGNORM.INV(RAND(),MV2,Sigma1),IF(RAND()&lt;CondGood,_xlfn.LOGNORM.INV(RAND(),MV3,Sigma2),MIN(MaxMultiple,Xm/(1-RAND())^(1/Alpha)))))</f>
        <v>1.0801273059203447</v>
      </c>
      <c r="Q17" s="19">
        <f ca="1">IF(RAND()&lt;P_Zero,0,IF(RAND()&lt;CondReturn,_xlfn.LOGNORM.INV(RAND(),MV2,Sigma1),IF(RAND()&lt;CondGood,_xlfn.LOGNORM.INV(RAND(),MV3,Sigma2),MIN(MaxMultiple,Xm/(1-RAND())^(1/Alpha)))))</f>
        <v>0.68463382235008519</v>
      </c>
      <c r="R17" s="19">
        <f ca="1">IF(RAND()&lt;P_Zero,0,IF(RAND()&lt;CondReturn,_xlfn.LOGNORM.INV(RAND(),MV2,Sigma1),IF(RAND()&lt;CondGood,_xlfn.LOGNORM.INV(RAND(),MV3,Sigma2),MIN(MaxMultiple,Xm/(1-RAND())^(1/Alpha)))))</f>
        <v>16.843185593333661</v>
      </c>
      <c r="S17" s="19">
        <f ca="1">IF(RAND()&lt;P_Zero,0,IF(RAND()&lt;CondReturn,_xlfn.LOGNORM.INV(RAND(),MV2,Sigma1),IF(RAND()&lt;CondGood,_xlfn.LOGNORM.INV(RAND(),MV3,Sigma2),MIN(MaxMultiple,Xm/(1-RAND())^(1/Alpha)))))</f>
        <v>1.4696691866691951</v>
      </c>
      <c r="T17" s="19">
        <f ca="1">IF(RAND()&lt;P_Zero,0,IF(RAND()&lt;CondReturn,_xlfn.LOGNORM.INV(RAND(),MV2,Sigma1),IF(RAND()&lt;CondGood,_xlfn.LOGNORM.INV(RAND(),MV3,Sigma2),MIN(MaxMultiple,Xm/(1-RAND())^(1/Alpha)))))</f>
        <v>0</v>
      </c>
      <c r="U17" s="19">
        <f ca="1">IF(RAND()&lt;P_Zero,0,IF(RAND()&lt;CondReturn,_xlfn.LOGNORM.INV(RAND(),MV2,Sigma1),IF(RAND()&lt;CondGood,_xlfn.LOGNORM.INV(RAND(),MV3,Sigma2),MIN(MaxMultiple,Xm/(1-RAND())^(1/Alpha)))))</f>
        <v>10.100988659993545</v>
      </c>
      <c r="V17" s="19">
        <f ca="1">IF(RAND()&lt;P_Zero,0,IF(RAND()&lt;CondReturn,_xlfn.LOGNORM.INV(RAND(),MV2,Sigma1),IF(RAND()&lt;CondGood,_xlfn.LOGNORM.INV(RAND(),MV3,Sigma2),MIN(MaxMultiple,Xm/(1-RAND())^(1/Alpha)))))</f>
        <v>0</v>
      </c>
      <c r="W17" s="19">
        <f ca="1">IF(RAND()&lt;P_Zero,0,IF(RAND()&lt;CondReturn,_xlfn.LOGNORM.INV(RAND(),MV2,Sigma1),IF(RAND()&lt;CondGood,_xlfn.LOGNORM.INV(RAND(),MV3,Sigma2),MIN(MaxMultiple,Xm/(1-RAND())^(1/Alpha)))))</f>
        <v>2.2572242567091703</v>
      </c>
      <c r="X17" s="19">
        <f ca="1">IF(RAND()&lt;P_Zero,0,IF(RAND()&lt;CondReturn,_xlfn.LOGNORM.INV(RAND(),MV2,Sigma1),IF(RAND()&lt;CondGood,_xlfn.LOGNORM.INV(RAND(),MV3,Sigma2),MIN(MaxMultiple,Xm/(1-RAND())^(1/Alpha)))))</f>
        <v>0</v>
      </c>
      <c r="Y17" s="19">
        <f ca="1">IF(RAND()&lt;P_Zero,0,IF(RAND()&lt;CondReturn,_xlfn.LOGNORM.INV(RAND(),MV2,Sigma1),IF(RAND()&lt;CondGood,_xlfn.LOGNORM.INV(RAND(),MV3,Sigma2),MIN(MaxMultiple,Xm/(1-RAND())^(1/Alpha)))))</f>
        <v>0.88284616870426558</v>
      </c>
      <c r="Z17" s="19">
        <f ca="1">IF(RAND()&lt;P_Zero,0,IF(RAND()&lt;CondReturn,_xlfn.LOGNORM.INV(RAND(),MV2,Sigma1),IF(RAND()&lt;CondGood,_xlfn.LOGNORM.INV(RAND(),MV3,Sigma2),MIN(MaxMultiple,Xm/(1-RAND())^(1/Alpha)))))</f>
        <v>4.036344843556706</v>
      </c>
      <c r="AA17" s="19">
        <f ca="1">IF(RAND()&lt;P_Zero,0,IF(RAND()&lt;CondReturn,_xlfn.LOGNORM.INV(RAND(),MV2,Sigma1),IF(RAND()&lt;CondGood,_xlfn.LOGNORM.INV(RAND(),MV3,Sigma2),MIN(MaxMultiple,Xm/(1-RAND())^(1/Alpha)))))</f>
        <v>0.64658326449763315</v>
      </c>
      <c r="AB17" s="19">
        <f t="shared" ca="1" si="0"/>
        <v>8.2653969537236236</v>
      </c>
      <c r="AC17" s="14">
        <f t="shared" ca="1" si="1"/>
        <v>396739053.77873391</v>
      </c>
      <c r="AD17" s="14">
        <f t="shared" ca="1" si="2"/>
        <v>348739053.77873391</v>
      </c>
      <c r="AE17" s="14">
        <f t="shared" si="3"/>
        <v>55628399.869093813</v>
      </c>
      <c r="AF17" s="14">
        <f t="shared" ca="1" si="4"/>
        <v>293110653.90964007</v>
      </c>
      <c r="AG17" s="14">
        <f t="shared" ca="1" si="5"/>
        <v>58622130.781928018</v>
      </c>
      <c r="AH17" s="14">
        <f t="shared" ca="1" si="6"/>
        <v>338116922.99680591</v>
      </c>
      <c r="AI17" s="19">
        <f t="shared" ca="1" si="7"/>
        <v>5.6352820499467651</v>
      </c>
    </row>
    <row r="18" spans="2:35" x14ac:dyDescent="0.2">
      <c r="B18" s="1">
        <v>13</v>
      </c>
      <c r="C18" s="19">
        <f ca="1">IF(RAND()&lt;P_Zero,0,IF(RAND()&lt;CondReturn,_xlfn.LOGNORM.INV(RAND(),MV2,Sigma1),IF(RAND()&lt;CondGood,_xlfn.LOGNORM.INV(RAND(),MV3,Sigma2),MIN(MaxMultiple,Xm/(1-RAND())^(1/Alpha)))))</f>
        <v>1.0747011166213043</v>
      </c>
      <c r="D18" s="19">
        <f ca="1">IF(RAND()&lt;P_Zero,0,IF(RAND()&lt;CondReturn,_xlfn.LOGNORM.INV(RAND(),MV2,Sigma1),IF(RAND()&lt;CondGood,_xlfn.LOGNORM.INV(RAND(),MV3,Sigma2),MIN(MaxMultiple,Xm/(1-RAND())^(1/Alpha)))))</f>
        <v>1.3735605415102246</v>
      </c>
      <c r="E18" s="19">
        <f ca="1">IF(RAND()&lt;P_Zero,0,IF(RAND()&lt;CondReturn,_xlfn.LOGNORM.INV(RAND(),MV2,Sigma1),IF(RAND()&lt;CondGood,_xlfn.LOGNORM.INV(RAND(),MV3,Sigma2),MIN(MaxMultiple,Xm/(1-RAND())^(1/Alpha)))))</f>
        <v>2.0417456574018278</v>
      </c>
      <c r="F18" s="19">
        <f ca="1">IF(RAND()&lt;P_Zero,0,IF(RAND()&lt;CondReturn,_xlfn.LOGNORM.INV(RAND(),MV2,Sigma1),IF(RAND()&lt;CondGood,_xlfn.LOGNORM.INV(RAND(),MV3,Sigma2),MIN(MaxMultiple,Xm/(1-RAND())^(1/Alpha)))))</f>
        <v>0</v>
      </c>
      <c r="G18" s="19">
        <f ca="1">IF(RAND()&lt;P_Zero,0,IF(RAND()&lt;CondReturn,_xlfn.LOGNORM.INV(RAND(),MV2,Sigma1),IF(RAND()&lt;CondGood,_xlfn.LOGNORM.INV(RAND(),MV3,Sigma2),MIN(MaxMultiple,Xm/(1-RAND())^(1/Alpha)))))</f>
        <v>0</v>
      </c>
      <c r="H18" s="19">
        <f ca="1">IF(RAND()&lt;P_Zero,0,IF(RAND()&lt;CondReturn,_xlfn.LOGNORM.INV(RAND(),MV2,Sigma1),IF(RAND()&lt;CondGood,_xlfn.LOGNORM.INV(RAND(),MV3,Sigma2),MIN(MaxMultiple,Xm/(1-RAND())^(1/Alpha)))))</f>
        <v>1.4472008244984049</v>
      </c>
      <c r="I18" s="19">
        <f ca="1">IF(RAND()&lt;P_Zero,0,IF(RAND()&lt;CondReturn,_xlfn.LOGNORM.INV(RAND(),MV2,Sigma1),IF(RAND()&lt;CondGood,_xlfn.LOGNORM.INV(RAND(),MV3,Sigma2),MIN(MaxMultiple,Xm/(1-RAND())^(1/Alpha)))))</f>
        <v>1.581920396457061</v>
      </c>
      <c r="J18" s="19">
        <f ca="1">IF(RAND()&lt;P_Zero,0,IF(RAND()&lt;CondReturn,_xlfn.LOGNORM.INV(RAND(),MV2,Sigma1),IF(RAND()&lt;CondGood,_xlfn.LOGNORM.INV(RAND(),MV3,Sigma2),MIN(MaxMultiple,Xm/(1-RAND())^(1/Alpha)))))</f>
        <v>0.85529755612794778</v>
      </c>
      <c r="K18" s="19">
        <f ca="1">IF(RAND()&lt;P_Zero,0,IF(RAND()&lt;CondReturn,_xlfn.LOGNORM.INV(RAND(),MV2,Sigma1),IF(RAND()&lt;CondGood,_xlfn.LOGNORM.INV(RAND(),MV3,Sigma2),MIN(MaxMultiple,Xm/(1-RAND())^(1/Alpha)))))</f>
        <v>0</v>
      </c>
      <c r="L18" s="19">
        <f ca="1">IF(RAND()&lt;P_Zero,0,IF(RAND()&lt;CondReturn,_xlfn.LOGNORM.INV(RAND(),MV2,Sigma1),IF(RAND()&lt;CondGood,_xlfn.LOGNORM.INV(RAND(),MV3,Sigma2),MIN(MaxMultiple,Xm/(1-RAND())^(1/Alpha)))))</f>
        <v>1.5352165707790091</v>
      </c>
      <c r="M18" s="19">
        <f ca="1">IF(RAND()&lt;P_Zero,0,IF(RAND()&lt;CondReturn,_xlfn.LOGNORM.INV(RAND(),MV2,Sigma1),IF(RAND()&lt;CondGood,_xlfn.LOGNORM.INV(RAND(),MV3,Sigma2),MIN(MaxMultiple,Xm/(1-RAND())^(1/Alpha)))))</f>
        <v>0.74573342098310746</v>
      </c>
      <c r="N18" s="19">
        <f ca="1">IF(RAND()&lt;P_Zero,0,IF(RAND()&lt;CondReturn,_xlfn.LOGNORM.INV(RAND(),MV2,Sigma1),IF(RAND()&lt;CondGood,_xlfn.LOGNORM.INV(RAND(),MV3,Sigma2),MIN(MaxMultiple,Xm/(1-RAND())^(1/Alpha)))))</f>
        <v>12.52702310103075</v>
      </c>
      <c r="O18" s="19">
        <f ca="1">IF(RAND()&lt;P_Zero,0,IF(RAND()&lt;CondReturn,_xlfn.LOGNORM.INV(RAND(),MV2,Sigma1),IF(RAND()&lt;CondGood,_xlfn.LOGNORM.INV(RAND(),MV3,Sigma2),MIN(MaxMultiple,Xm/(1-RAND())^(1/Alpha)))))</f>
        <v>0</v>
      </c>
      <c r="P18" s="19">
        <f ca="1">IF(RAND()&lt;P_Zero,0,IF(RAND()&lt;CondReturn,_xlfn.LOGNORM.INV(RAND(),MV2,Sigma1),IF(RAND()&lt;CondGood,_xlfn.LOGNORM.INV(RAND(),MV3,Sigma2),MIN(MaxMultiple,Xm/(1-RAND())^(1/Alpha)))))</f>
        <v>0</v>
      </c>
      <c r="Q18" s="19">
        <f ca="1">IF(RAND()&lt;P_Zero,0,IF(RAND()&lt;CondReturn,_xlfn.LOGNORM.INV(RAND(),MV2,Sigma1),IF(RAND()&lt;CondGood,_xlfn.LOGNORM.INV(RAND(),MV3,Sigma2),MIN(MaxMultiple,Xm/(1-RAND())^(1/Alpha)))))</f>
        <v>0</v>
      </c>
      <c r="R18" s="19">
        <f ca="1">IF(RAND()&lt;P_Zero,0,IF(RAND()&lt;CondReturn,_xlfn.LOGNORM.INV(RAND(),MV2,Sigma1),IF(RAND()&lt;CondGood,_xlfn.LOGNORM.INV(RAND(),MV3,Sigma2),MIN(MaxMultiple,Xm/(1-RAND())^(1/Alpha)))))</f>
        <v>0.68192848176567111</v>
      </c>
      <c r="S18" s="19">
        <f ca="1">IF(RAND()&lt;P_Zero,0,IF(RAND()&lt;CondReturn,_xlfn.LOGNORM.INV(RAND(),MV2,Sigma1),IF(RAND()&lt;CondGood,_xlfn.LOGNORM.INV(RAND(),MV3,Sigma2),MIN(MaxMultiple,Xm/(1-RAND())^(1/Alpha)))))</f>
        <v>0</v>
      </c>
      <c r="T18" s="19">
        <f ca="1">IF(RAND()&lt;P_Zero,0,IF(RAND()&lt;CondReturn,_xlfn.LOGNORM.INV(RAND(),MV2,Sigma1),IF(RAND()&lt;CondGood,_xlfn.LOGNORM.INV(RAND(),MV3,Sigma2),MIN(MaxMultiple,Xm/(1-RAND())^(1/Alpha)))))</f>
        <v>0</v>
      </c>
      <c r="U18" s="19">
        <f ca="1">IF(RAND()&lt;P_Zero,0,IF(RAND()&lt;CondReturn,_xlfn.LOGNORM.INV(RAND(),MV2,Sigma1),IF(RAND()&lt;CondGood,_xlfn.LOGNORM.INV(RAND(),MV3,Sigma2),MIN(MaxMultiple,Xm/(1-RAND())^(1/Alpha)))))</f>
        <v>23.584699185471198</v>
      </c>
      <c r="V18" s="19">
        <f ca="1">IF(RAND()&lt;P_Zero,0,IF(RAND()&lt;CondReturn,_xlfn.LOGNORM.INV(RAND(),MV2,Sigma1),IF(RAND()&lt;CondGood,_xlfn.LOGNORM.INV(RAND(),MV3,Sigma2),MIN(MaxMultiple,Xm/(1-RAND())^(1/Alpha)))))</f>
        <v>2.7233075902464532</v>
      </c>
      <c r="W18" s="19">
        <f ca="1">IF(RAND()&lt;P_Zero,0,IF(RAND()&lt;CondReturn,_xlfn.LOGNORM.INV(RAND(),MV2,Sigma1),IF(RAND()&lt;CondGood,_xlfn.LOGNORM.INV(RAND(),MV3,Sigma2),MIN(MaxMultiple,Xm/(1-RAND())^(1/Alpha)))))</f>
        <v>0</v>
      </c>
      <c r="X18" s="19">
        <f ca="1">IF(RAND()&lt;P_Zero,0,IF(RAND()&lt;CondReturn,_xlfn.LOGNORM.INV(RAND(),MV2,Sigma1),IF(RAND()&lt;CondGood,_xlfn.LOGNORM.INV(RAND(),MV3,Sigma2),MIN(MaxMultiple,Xm/(1-RAND())^(1/Alpha)))))</f>
        <v>1.045254335311236</v>
      </c>
      <c r="Y18" s="19">
        <f ca="1">IF(RAND()&lt;P_Zero,0,IF(RAND()&lt;CondReturn,_xlfn.LOGNORM.INV(RAND(),MV2,Sigma1),IF(RAND()&lt;CondGood,_xlfn.LOGNORM.INV(RAND(),MV3,Sigma2),MIN(MaxMultiple,Xm/(1-RAND())^(1/Alpha)))))</f>
        <v>0.82908320716763573</v>
      </c>
      <c r="Z18" s="19">
        <f ca="1">IF(RAND()&lt;P_Zero,0,IF(RAND()&lt;CondReturn,_xlfn.LOGNORM.INV(RAND(),MV2,Sigma1),IF(RAND()&lt;CondGood,_xlfn.LOGNORM.INV(RAND(),MV3,Sigma2),MIN(MaxMultiple,Xm/(1-RAND())^(1/Alpha)))))</f>
        <v>0</v>
      </c>
      <c r="AA18" s="19">
        <f ca="1">IF(RAND()&lt;P_Zero,0,IF(RAND()&lt;CondReturn,_xlfn.LOGNORM.INV(RAND(),MV2,Sigma1),IF(RAND()&lt;CondGood,_xlfn.LOGNORM.INV(RAND(),MV3,Sigma2),MIN(MaxMultiple,Xm/(1-RAND())^(1/Alpha)))))</f>
        <v>0</v>
      </c>
      <c r="AB18" s="19">
        <f t="shared" ca="1" si="0"/>
        <v>2.0818668794148731</v>
      </c>
      <c r="AC18" s="14">
        <f t="shared" ca="1" si="1"/>
        <v>99929610.211913913</v>
      </c>
      <c r="AD18" s="14">
        <f t="shared" ca="1" si="2"/>
        <v>51929610.211913913</v>
      </c>
      <c r="AE18" s="14">
        <f t="shared" si="3"/>
        <v>55628399.869093813</v>
      </c>
      <c r="AF18" s="14">
        <f t="shared" ca="1" si="4"/>
        <v>0</v>
      </c>
      <c r="AG18" s="14">
        <f t="shared" ca="1" si="5"/>
        <v>0</v>
      </c>
      <c r="AH18" s="14">
        <f t="shared" ca="1" si="6"/>
        <v>99929610.211913913</v>
      </c>
      <c r="AI18" s="19">
        <f t="shared" ca="1" si="7"/>
        <v>1.6654935035318985</v>
      </c>
    </row>
    <row r="19" spans="2:35" x14ac:dyDescent="0.2">
      <c r="B19" s="1">
        <v>14</v>
      </c>
      <c r="C19" s="19">
        <f ca="1">IF(RAND()&lt;P_Zero,0,IF(RAND()&lt;CondReturn,_xlfn.LOGNORM.INV(RAND(),MV2,Sigma1),IF(RAND()&lt;CondGood,_xlfn.LOGNORM.INV(RAND(),MV3,Sigma2),MIN(MaxMultiple,Xm/(1-RAND())^(1/Alpha)))))</f>
        <v>0</v>
      </c>
      <c r="D19" s="19">
        <f ca="1">IF(RAND()&lt;P_Zero,0,IF(RAND()&lt;CondReturn,_xlfn.LOGNORM.INV(RAND(),MV2,Sigma1),IF(RAND()&lt;CondGood,_xlfn.LOGNORM.INV(RAND(),MV3,Sigma2),MIN(MaxMultiple,Xm/(1-RAND())^(1/Alpha)))))</f>
        <v>25.10655087423352</v>
      </c>
      <c r="E19" s="19">
        <f ca="1">IF(RAND()&lt;P_Zero,0,IF(RAND()&lt;CondReturn,_xlfn.LOGNORM.INV(RAND(),MV2,Sigma1),IF(RAND()&lt;CondGood,_xlfn.LOGNORM.INV(RAND(),MV3,Sigma2),MIN(MaxMultiple,Xm/(1-RAND())^(1/Alpha)))))</f>
        <v>0.81647232659481761</v>
      </c>
      <c r="F19" s="19">
        <f ca="1">IF(RAND()&lt;P_Zero,0,IF(RAND()&lt;CondReturn,_xlfn.LOGNORM.INV(RAND(),MV2,Sigma1),IF(RAND()&lt;CondGood,_xlfn.LOGNORM.INV(RAND(),MV3,Sigma2),MIN(MaxMultiple,Xm/(1-RAND())^(1/Alpha)))))</f>
        <v>0</v>
      </c>
      <c r="G19" s="19">
        <f ca="1">IF(RAND()&lt;P_Zero,0,IF(RAND()&lt;CondReturn,_xlfn.LOGNORM.INV(RAND(),MV2,Sigma1),IF(RAND()&lt;CondGood,_xlfn.LOGNORM.INV(RAND(),MV3,Sigma2),MIN(MaxMultiple,Xm/(1-RAND())^(1/Alpha)))))</f>
        <v>1.0054865865199232</v>
      </c>
      <c r="H19" s="19">
        <f ca="1">IF(RAND()&lt;P_Zero,0,IF(RAND()&lt;CondReturn,_xlfn.LOGNORM.INV(RAND(),MV2,Sigma1),IF(RAND()&lt;CondGood,_xlfn.LOGNORM.INV(RAND(),MV3,Sigma2),MIN(MaxMultiple,Xm/(1-RAND())^(1/Alpha)))))</f>
        <v>1.2244894141435387</v>
      </c>
      <c r="I19" s="19">
        <f ca="1">IF(RAND()&lt;P_Zero,0,IF(RAND()&lt;CondReturn,_xlfn.LOGNORM.INV(RAND(),MV2,Sigma1),IF(RAND()&lt;CondGood,_xlfn.LOGNORM.INV(RAND(),MV3,Sigma2),MIN(MaxMultiple,Xm/(1-RAND())^(1/Alpha)))))</f>
        <v>1.0004780819724344</v>
      </c>
      <c r="J19" s="19">
        <f ca="1">IF(RAND()&lt;P_Zero,0,IF(RAND()&lt;CondReturn,_xlfn.LOGNORM.INV(RAND(),MV2,Sigma1),IF(RAND()&lt;CondGood,_xlfn.LOGNORM.INV(RAND(),MV3,Sigma2),MIN(MaxMultiple,Xm/(1-RAND())^(1/Alpha)))))</f>
        <v>0</v>
      </c>
      <c r="K19" s="19">
        <f ca="1">IF(RAND()&lt;P_Zero,0,IF(RAND()&lt;CondReturn,_xlfn.LOGNORM.INV(RAND(),MV2,Sigma1),IF(RAND()&lt;CondGood,_xlfn.LOGNORM.INV(RAND(),MV3,Sigma2),MIN(MaxMultiple,Xm/(1-RAND())^(1/Alpha)))))</f>
        <v>1.4442105356289179</v>
      </c>
      <c r="L19" s="19">
        <f ca="1">IF(RAND()&lt;P_Zero,0,IF(RAND()&lt;CondReturn,_xlfn.LOGNORM.INV(RAND(),MV2,Sigma1),IF(RAND()&lt;CondGood,_xlfn.LOGNORM.INV(RAND(),MV3,Sigma2),MIN(MaxMultiple,Xm/(1-RAND())^(1/Alpha)))))</f>
        <v>1.0240050202975719</v>
      </c>
      <c r="M19" s="19">
        <f ca="1">IF(RAND()&lt;P_Zero,0,IF(RAND()&lt;CondReturn,_xlfn.LOGNORM.INV(RAND(),MV2,Sigma1),IF(RAND()&lt;CondGood,_xlfn.LOGNORM.INV(RAND(),MV3,Sigma2),MIN(MaxMultiple,Xm/(1-RAND())^(1/Alpha)))))</f>
        <v>55.855703593741943</v>
      </c>
      <c r="N19" s="19">
        <f ca="1">IF(RAND()&lt;P_Zero,0,IF(RAND()&lt;CondReturn,_xlfn.LOGNORM.INV(RAND(),MV2,Sigma1),IF(RAND()&lt;CondGood,_xlfn.LOGNORM.INV(RAND(),MV3,Sigma2),MIN(MaxMultiple,Xm/(1-RAND())^(1/Alpha)))))</f>
        <v>1.5609931420639482</v>
      </c>
      <c r="O19" s="19">
        <f ca="1">IF(RAND()&lt;P_Zero,0,IF(RAND()&lt;CondReturn,_xlfn.LOGNORM.INV(RAND(),MV2,Sigma1),IF(RAND()&lt;CondGood,_xlfn.LOGNORM.INV(RAND(),MV3,Sigma2),MIN(MaxMultiple,Xm/(1-RAND())^(1/Alpha)))))</f>
        <v>1.9802759159185193</v>
      </c>
      <c r="P19" s="19">
        <f ca="1">IF(RAND()&lt;P_Zero,0,IF(RAND()&lt;CondReturn,_xlfn.LOGNORM.INV(RAND(),MV2,Sigma1),IF(RAND()&lt;CondGood,_xlfn.LOGNORM.INV(RAND(),MV3,Sigma2),MIN(MaxMultiple,Xm/(1-RAND())^(1/Alpha)))))</f>
        <v>0</v>
      </c>
      <c r="Q19" s="19">
        <f ca="1">IF(RAND()&lt;P_Zero,0,IF(RAND()&lt;CondReturn,_xlfn.LOGNORM.INV(RAND(),MV2,Sigma1),IF(RAND()&lt;CondGood,_xlfn.LOGNORM.INV(RAND(),MV3,Sigma2),MIN(MaxMultiple,Xm/(1-RAND())^(1/Alpha)))))</f>
        <v>0</v>
      </c>
      <c r="R19" s="19">
        <f ca="1">IF(RAND()&lt;P_Zero,0,IF(RAND()&lt;CondReturn,_xlfn.LOGNORM.INV(RAND(),MV2,Sigma1),IF(RAND()&lt;CondGood,_xlfn.LOGNORM.INV(RAND(),MV3,Sigma2),MIN(MaxMultiple,Xm/(1-RAND())^(1/Alpha)))))</f>
        <v>0</v>
      </c>
      <c r="S19" s="19">
        <f ca="1">IF(RAND()&lt;P_Zero,0,IF(RAND()&lt;CondReturn,_xlfn.LOGNORM.INV(RAND(),MV2,Sigma1),IF(RAND()&lt;CondGood,_xlfn.LOGNORM.INV(RAND(),MV3,Sigma2),MIN(MaxMultiple,Xm/(1-RAND())^(1/Alpha)))))</f>
        <v>0.72995172732516667</v>
      </c>
      <c r="T19" s="19">
        <f ca="1">IF(RAND()&lt;P_Zero,0,IF(RAND()&lt;CondReturn,_xlfn.LOGNORM.INV(RAND(),MV2,Sigma1),IF(RAND()&lt;CondGood,_xlfn.LOGNORM.INV(RAND(),MV3,Sigma2),MIN(MaxMultiple,Xm/(1-RAND())^(1/Alpha)))))</f>
        <v>1.0977720647566596</v>
      </c>
      <c r="U19" s="19">
        <f ca="1">IF(RAND()&lt;P_Zero,0,IF(RAND()&lt;CondReturn,_xlfn.LOGNORM.INV(RAND(),MV2,Sigma1),IF(RAND()&lt;CondGood,_xlfn.LOGNORM.INV(RAND(),MV3,Sigma2),MIN(MaxMultiple,Xm/(1-RAND())^(1/Alpha)))))</f>
        <v>0.80544040069283351</v>
      </c>
      <c r="V19" s="19">
        <f ca="1">IF(RAND()&lt;P_Zero,0,IF(RAND()&lt;CondReturn,_xlfn.LOGNORM.INV(RAND(),MV2,Sigma1),IF(RAND()&lt;CondGood,_xlfn.LOGNORM.INV(RAND(),MV3,Sigma2),MIN(MaxMultiple,Xm/(1-RAND())^(1/Alpha)))))</f>
        <v>4.8340996815320763</v>
      </c>
      <c r="W19" s="19">
        <f ca="1">IF(RAND()&lt;P_Zero,0,IF(RAND()&lt;CondReturn,_xlfn.LOGNORM.INV(RAND(),MV2,Sigma1),IF(RAND()&lt;CondGood,_xlfn.LOGNORM.INV(RAND(),MV3,Sigma2),MIN(MaxMultiple,Xm/(1-RAND())^(1/Alpha)))))</f>
        <v>0.88091980434826633</v>
      </c>
      <c r="X19" s="19">
        <f ca="1">IF(RAND()&lt;P_Zero,0,IF(RAND()&lt;CondReturn,_xlfn.LOGNORM.INV(RAND(),MV2,Sigma1),IF(RAND()&lt;CondGood,_xlfn.LOGNORM.INV(RAND(),MV3,Sigma2),MIN(MaxMultiple,Xm/(1-RAND())^(1/Alpha)))))</f>
        <v>0.49369465429654941</v>
      </c>
      <c r="Y19" s="19">
        <f ca="1">IF(RAND()&lt;P_Zero,0,IF(RAND()&lt;CondReturn,_xlfn.LOGNORM.INV(RAND(),MV2,Sigma1),IF(RAND()&lt;CondGood,_xlfn.LOGNORM.INV(RAND(),MV3,Sigma2),MIN(MaxMultiple,Xm/(1-RAND())^(1/Alpha)))))</f>
        <v>1.5460448763268462</v>
      </c>
      <c r="Z19" s="19">
        <f ca="1">IF(RAND()&lt;P_Zero,0,IF(RAND()&lt;CondReturn,_xlfn.LOGNORM.INV(RAND(),MV2,Sigma1),IF(RAND()&lt;CondGood,_xlfn.LOGNORM.INV(RAND(),MV3,Sigma2),MIN(MaxMultiple,Xm/(1-RAND())^(1/Alpha)))))</f>
        <v>0</v>
      </c>
      <c r="AA19" s="19">
        <f ca="1">IF(RAND()&lt;P_Zero,0,IF(RAND()&lt;CondReturn,_xlfn.LOGNORM.INV(RAND(),MV2,Sigma1),IF(RAND()&lt;CondGood,_xlfn.LOGNORM.INV(RAND(),MV3,Sigma2),MIN(MaxMultiple,Xm/(1-RAND())^(1/Alpha)))))</f>
        <v>1.1867865976953007</v>
      </c>
      <c r="AB19" s="19">
        <f t="shared" ca="1" si="0"/>
        <v>4.1037350119235541</v>
      </c>
      <c r="AC19" s="14">
        <f t="shared" ca="1" si="1"/>
        <v>196979280.57233059</v>
      </c>
      <c r="AD19" s="14">
        <f t="shared" ca="1" si="2"/>
        <v>148979280.57233059</v>
      </c>
      <c r="AE19" s="14">
        <f t="shared" si="3"/>
        <v>55628399.869093813</v>
      </c>
      <c r="AF19" s="14">
        <f t="shared" ca="1" si="4"/>
        <v>93350880.703236789</v>
      </c>
      <c r="AG19" s="14">
        <f t="shared" ca="1" si="5"/>
        <v>18670176.140647359</v>
      </c>
      <c r="AH19" s="14">
        <f t="shared" ca="1" si="6"/>
        <v>178309104.43168324</v>
      </c>
      <c r="AI19" s="19">
        <f t="shared" ca="1" si="7"/>
        <v>2.9718184071947209</v>
      </c>
    </row>
    <row r="20" spans="2:35" x14ac:dyDescent="0.2">
      <c r="B20" s="1">
        <v>15</v>
      </c>
      <c r="C20" s="19">
        <f ca="1">IF(RAND()&lt;P_Zero,0,IF(RAND()&lt;CondReturn,_xlfn.LOGNORM.INV(RAND(),MV2,Sigma1),IF(RAND()&lt;CondGood,_xlfn.LOGNORM.INV(RAND(),MV3,Sigma2),MIN(MaxMultiple,Xm/(1-RAND())^(1/Alpha)))))</f>
        <v>10.161802846319206</v>
      </c>
      <c r="D20" s="19">
        <f ca="1">IF(RAND()&lt;P_Zero,0,IF(RAND()&lt;CondReturn,_xlfn.LOGNORM.INV(RAND(),MV2,Sigma1),IF(RAND()&lt;CondGood,_xlfn.LOGNORM.INV(RAND(),MV3,Sigma2),MIN(MaxMultiple,Xm/(1-RAND())^(1/Alpha)))))</f>
        <v>0</v>
      </c>
      <c r="E20" s="19">
        <f ca="1">IF(RAND()&lt;P_Zero,0,IF(RAND()&lt;CondReturn,_xlfn.LOGNORM.INV(RAND(),MV2,Sigma1),IF(RAND()&lt;CondGood,_xlfn.LOGNORM.INV(RAND(),MV3,Sigma2),MIN(MaxMultiple,Xm/(1-RAND())^(1/Alpha)))))</f>
        <v>0</v>
      </c>
      <c r="F20" s="19">
        <f ca="1">IF(RAND()&lt;P_Zero,0,IF(RAND()&lt;CondReturn,_xlfn.LOGNORM.INV(RAND(),MV2,Sigma1),IF(RAND()&lt;CondGood,_xlfn.LOGNORM.INV(RAND(),MV3,Sigma2),MIN(MaxMultiple,Xm/(1-RAND())^(1/Alpha)))))</f>
        <v>0</v>
      </c>
      <c r="G20" s="19">
        <f ca="1">IF(RAND()&lt;P_Zero,0,IF(RAND()&lt;CondReturn,_xlfn.LOGNORM.INV(RAND(),MV2,Sigma1),IF(RAND()&lt;CondGood,_xlfn.LOGNORM.INV(RAND(),MV3,Sigma2),MIN(MaxMultiple,Xm/(1-RAND())^(1/Alpha)))))</f>
        <v>0.60103164062059178</v>
      </c>
      <c r="H20" s="19">
        <f ca="1">IF(RAND()&lt;P_Zero,0,IF(RAND()&lt;CondReturn,_xlfn.LOGNORM.INV(RAND(),MV2,Sigma1),IF(RAND()&lt;CondGood,_xlfn.LOGNORM.INV(RAND(),MV3,Sigma2),MIN(MaxMultiple,Xm/(1-RAND())^(1/Alpha)))))</f>
        <v>11.563823842535511</v>
      </c>
      <c r="I20" s="19">
        <f ca="1">IF(RAND()&lt;P_Zero,0,IF(RAND()&lt;CondReturn,_xlfn.LOGNORM.INV(RAND(),MV2,Sigma1),IF(RAND()&lt;CondGood,_xlfn.LOGNORM.INV(RAND(),MV3,Sigma2),MIN(MaxMultiple,Xm/(1-RAND())^(1/Alpha)))))</f>
        <v>1.0121725927066629</v>
      </c>
      <c r="J20" s="19">
        <f ca="1">IF(RAND()&lt;P_Zero,0,IF(RAND()&lt;CondReturn,_xlfn.LOGNORM.INV(RAND(),MV2,Sigma1),IF(RAND()&lt;CondGood,_xlfn.LOGNORM.INV(RAND(),MV3,Sigma2),MIN(MaxMultiple,Xm/(1-RAND())^(1/Alpha)))))</f>
        <v>0</v>
      </c>
      <c r="K20" s="19">
        <f ca="1">IF(RAND()&lt;P_Zero,0,IF(RAND()&lt;CondReturn,_xlfn.LOGNORM.INV(RAND(),MV2,Sigma1),IF(RAND()&lt;CondGood,_xlfn.LOGNORM.INV(RAND(),MV3,Sigma2),MIN(MaxMultiple,Xm/(1-RAND())^(1/Alpha)))))</f>
        <v>0</v>
      </c>
      <c r="L20" s="19">
        <f ca="1">IF(RAND()&lt;P_Zero,0,IF(RAND()&lt;CondReturn,_xlfn.LOGNORM.INV(RAND(),MV2,Sigma1),IF(RAND()&lt;CondGood,_xlfn.LOGNORM.INV(RAND(),MV3,Sigma2),MIN(MaxMultiple,Xm/(1-RAND())^(1/Alpha)))))</f>
        <v>2.6478837584674459</v>
      </c>
      <c r="M20" s="19">
        <f ca="1">IF(RAND()&lt;P_Zero,0,IF(RAND()&lt;CondReturn,_xlfn.LOGNORM.INV(RAND(),MV2,Sigma1),IF(RAND()&lt;CondGood,_xlfn.LOGNORM.INV(RAND(),MV3,Sigma2),MIN(MaxMultiple,Xm/(1-RAND())^(1/Alpha)))))</f>
        <v>0</v>
      </c>
      <c r="N20" s="19">
        <f ca="1">IF(RAND()&lt;P_Zero,0,IF(RAND()&lt;CondReturn,_xlfn.LOGNORM.INV(RAND(),MV2,Sigma1),IF(RAND()&lt;CondGood,_xlfn.LOGNORM.INV(RAND(),MV3,Sigma2),MIN(MaxMultiple,Xm/(1-RAND())^(1/Alpha)))))</f>
        <v>0</v>
      </c>
      <c r="O20" s="19">
        <f ca="1">IF(RAND()&lt;P_Zero,0,IF(RAND()&lt;CondReturn,_xlfn.LOGNORM.INV(RAND(),MV2,Sigma1),IF(RAND()&lt;CondGood,_xlfn.LOGNORM.INV(RAND(),MV3,Sigma2),MIN(MaxMultiple,Xm/(1-RAND())^(1/Alpha)))))</f>
        <v>0</v>
      </c>
      <c r="P20" s="19">
        <f ca="1">IF(RAND()&lt;P_Zero,0,IF(RAND()&lt;CondReturn,_xlfn.LOGNORM.INV(RAND(),MV2,Sigma1),IF(RAND()&lt;CondGood,_xlfn.LOGNORM.INV(RAND(),MV3,Sigma2),MIN(MaxMultiple,Xm/(1-RAND())^(1/Alpha)))))</f>
        <v>0</v>
      </c>
      <c r="Q20" s="19">
        <f ca="1">IF(RAND()&lt;P_Zero,0,IF(RAND()&lt;CondReturn,_xlfn.LOGNORM.INV(RAND(),MV2,Sigma1),IF(RAND()&lt;CondGood,_xlfn.LOGNORM.INV(RAND(),MV3,Sigma2),MIN(MaxMultiple,Xm/(1-RAND())^(1/Alpha)))))</f>
        <v>0</v>
      </c>
      <c r="R20" s="19">
        <f ca="1">IF(RAND()&lt;P_Zero,0,IF(RAND()&lt;CondReturn,_xlfn.LOGNORM.INV(RAND(),MV2,Sigma1),IF(RAND()&lt;CondGood,_xlfn.LOGNORM.INV(RAND(),MV3,Sigma2),MIN(MaxMultiple,Xm/(1-RAND())^(1/Alpha)))))</f>
        <v>0.52508682455756206</v>
      </c>
      <c r="S20" s="19">
        <f ca="1">IF(RAND()&lt;P_Zero,0,IF(RAND()&lt;CondReturn,_xlfn.LOGNORM.INV(RAND(),MV2,Sigma1),IF(RAND()&lt;CondGood,_xlfn.LOGNORM.INV(RAND(),MV3,Sigma2),MIN(MaxMultiple,Xm/(1-RAND())^(1/Alpha)))))</f>
        <v>0.92932010749389016</v>
      </c>
      <c r="T20" s="19">
        <f ca="1">IF(RAND()&lt;P_Zero,0,IF(RAND()&lt;CondReturn,_xlfn.LOGNORM.INV(RAND(),MV2,Sigma1),IF(RAND()&lt;CondGood,_xlfn.LOGNORM.INV(RAND(),MV3,Sigma2),MIN(MaxMultiple,Xm/(1-RAND())^(1/Alpha)))))</f>
        <v>0</v>
      </c>
      <c r="U20" s="19">
        <f ca="1">IF(RAND()&lt;P_Zero,0,IF(RAND()&lt;CondReturn,_xlfn.LOGNORM.INV(RAND(),MV2,Sigma1),IF(RAND()&lt;CondGood,_xlfn.LOGNORM.INV(RAND(),MV3,Sigma2),MIN(MaxMultiple,Xm/(1-RAND())^(1/Alpha)))))</f>
        <v>1.6027032765013793</v>
      </c>
      <c r="V20" s="19">
        <f ca="1">IF(RAND()&lt;P_Zero,0,IF(RAND()&lt;CondReturn,_xlfn.LOGNORM.INV(RAND(),MV2,Sigma1),IF(RAND()&lt;CondGood,_xlfn.LOGNORM.INV(RAND(),MV3,Sigma2),MIN(MaxMultiple,Xm/(1-RAND())^(1/Alpha)))))</f>
        <v>0</v>
      </c>
      <c r="W20" s="19">
        <f ca="1">IF(RAND()&lt;P_Zero,0,IF(RAND()&lt;CondReturn,_xlfn.LOGNORM.INV(RAND(),MV2,Sigma1),IF(RAND()&lt;CondGood,_xlfn.LOGNORM.INV(RAND(),MV3,Sigma2),MIN(MaxMultiple,Xm/(1-RAND())^(1/Alpha)))))</f>
        <v>0</v>
      </c>
      <c r="X20" s="19">
        <f ca="1">IF(RAND()&lt;P_Zero,0,IF(RAND()&lt;CondReturn,_xlfn.LOGNORM.INV(RAND(),MV2,Sigma1),IF(RAND()&lt;CondGood,_xlfn.LOGNORM.INV(RAND(),MV3,Sigma2),MIN(MaxMultiple,Xm/(1-RAND())^(1/Alpha)))))</f>
        <v>0.76330683062495019</v>
      </c>
      <c r="Y20" s="19">
        <f ca="1">IF(RAND()&lt;P_Zero,0,IF(RAND()&lt;CondReturn,_xlfn.LOGNORM.INV(RAND(),MV2,Sigma1),IF(RAND()&lt;CondGood,_xlfn.LOGNORM.INV(RAND(),MV3,Sigma2),MIN(MaxMultiple,Xm/(1-RAND())^(1/Alpha)))))</f>
        <v>0.9013242935605188</v>
      </c>
      <c r="Z20" s="19">
        <f ca="1">IF(RAND()&lt;P_Zero,0,IF(RAND()&lt;CondReturn,_xlfn.LOGNORM.INV(RAND(),MV2,Sigma1),IF(RAND()&lt;CondGood,_xlfn.LOGNORM.INV(RAND(),MV3,Sigma2),MIN(MaxMultiple,Xm/(1-RAND())^(1/Alpha)))))</f>
        <v>0.91987748207686437</v>
      </c>
      <c r="AA20" s="19">
        <f ca="1">IF(RAND()&lt;P_Zero,0,IF(RAND()&lt;CondReturn,_xlfn.LOGNORM.INV(RAND(),MV2,Sigma1),IF(RAND()&lt;CondGood,_xlfn.LOGNORM.INV(RAND(),MV3,Sigma2),MIN(MaxMultiple,Xm/(1-RAND())^(1/Alpha)))))</f>
        <v>2.9564402918378536</v>
      </c>
      <c r="AB20" s="19">
        <f t="shared" ca="1" si="0"/>
        <v>1.3833909514920972</v>
      </c>
      <c r="AC20" s="14">
        <f t="shared" ca="1" si="1"/>
        <v>66402765.671620667</v>
      </c>
      <c r="AD20" s="14">
        <f t="shared" ca="1" si="2"/>
        <v>18402765.671620667</v>
      </c>
      <c r="AE20" s="14">
        <f t="shared" si="3"/>
        <v>55628399.869093813</v>
      </c>
      <c r="AF20" s="14">
        <f t="shared" ca="1" si="4"/>
        <v>0</v>
      </c>
      <c r="AG20" s="14">
        <f t="shared" ca="1" si="5"/>
        <v>0</v>
      </c>
      <c r="AH20" s="14">
        <f t="shared" ca="1" si="6"/>
        <v>66402765.671620667</v>
      </c>
      <c r="AI20" s="19">
        <f t="shared" ca="1" si="7"/>
        <v>1.1067127611936778</v>
      </c>
    </row>
    <row r="21" spans="2:35" x14ac:dyDescent="0.2">
      <c r="B21" s="1">
        <v>16</v>
      </c>
      <c r="C21" s="19">
        <f ca="1">IF(RAND()&lt;P_Zero,0,IF(RAND()&lt;CondReturn,_xlfn.LOGNORM.INV(RAND(),MV2,Sigma1),IF(RAND()&lt;CondGood,_xlfn.LOGNORM.INV(RAND(),MV3,Sigma2),MIN(MaxMultiple,Xm/(1-RAND())^(1/Alpha)))))</f>
        <v>3.3649978894028014</v>
      </c>
      <c r="D21" s="19">
        <f ca="1">IF(RAND()&lt;P_Zero,0,IF(RAND()&lt;CondReturn,_xlfn.LOGNORM.INV(RAND(),MV2,Sigma1),IF(RAND()&lt;CondGood,_xlfn.LOGNORM.INV(RAND(),MV3,Sigma2),MIN(MaxMultiple,Xm/(1-RAND())^(1/Alpha)))))</f>
        <v>0.34689197353605122</v>
      </c>
      <c r="E21" s="19">
        <f ca="1">IF(RAND()&lt;P_Zero,0,IF(RAND()&lt;CondReturn,_xlfn.LOGNORM.INV(RAND(),MV2,Sigma1),IF(RAND()&lt;CondGood,_xlfn.LOGNORM.INV(RAND(),MV3,Sigma2),MIN(MaxMultiple,Xm/(1-RAND())^(1/Alpha)))))</f>
        <v>0</v>
      </c>
      <c r="F21" s="19">
        <f ca="1">IF(RAND()&lt;P_Zero,0,IF(RAND()&lt;CondReturn,_xlfn.LOGNORM.INV(RAND(),MV2,Sigma1),IF(RAND()&lt;CondGood,_xlfn.LOGNORM.INV(RAND(),MV3,Sigma2),MIN(MaxMultiple,Xm/(1-RAND())^(1/Alpha)))))</f>
        <v>0.97703024371545144</v>
      </c>
      <c r="G21" s="19">
        <f ca="1">IF(RAND()&lt;P_Zero,0,IF(RAND()&lt;CondReturn,_xlfn.LOGNORM.INV(RAND(),MV2,Sigma1),IF(RAND()&lt;CondGood,_xlfn.LOGNORM.INV(RAND(),MV3,Sigma2),MIN(MaxMultiple,Xm/(1-RAND())^(1/Alpha)))))</f>
        <v>1.6541978616632689</v>
      </c>
      <c r="H21" s="19">
        <f ca="1">IF(RAND()&lt;P_Zero,0,IF(RAND()&lt;CondReturn,_xlfn.LOGNORM.INV(RAND(),MV2,Sigma1),IF(RAND()&lt;CondGood,_xlfn.LOGNORM.INV(RAND(),MV3,Sigma2),MIN(MaxMultiple,Xm/(1-RAND())^(1/Alpha)))))</f>
        <v>0</v>
      </c>
      <c r="I21" s="19">
        <f ca="1">IF(RAND()&lt;P_Zero,0,IF(RAND()&lt;CondReturn,_xlfn.LOGNORM.INV(RAND(),MV2,Sigma1),IF(RAND()&lt;CondGood,_xlfn.LOGNORM.INV(RAND(),MV3,Sigma2),MIN(MaxMultiple,Xm/(1-RAND())^(1/Alpha)))))</f>
        <v>1.7852532859819386</v>
      </c>
      <c r="J21" s="19">
        <f ca="1">IF(RAND()&lt;P_Zero,0,IF(RAND()&lt;CondReturn,_xlfn.LOGNORM.INV(RAND(),MV2,Sigma1),IF(RAND()&lt;CondGood,_xlfn.LOGNORM.INV(RAND(),MV3,Sigma2),MIN(MaxMultiple,Xm/(1-RAND())^(1/Alpha)))))</f>
        <v>1.030241627333941</v>
      </c>
      <c r="K21" s="19">
        <f ca="1">IF(RAND()&lt;P_Zero,0,IF(RAND()&lt;CondReturn,_xlfn.LOGNORM.INV(RAND(),MV2,Sigma1),IF(RAND()&lt;CondGood,_xlfn.LOGNORM.INV(RAND(),MV3,Sigma2),MIN(MaxMultiple,Xm/(1-RAND())^(1/Alpha)))))</f>
        <v>0.51889510864797983</v>
      </c>
      <c r="L21" s="19">
        <f ca="1">IF(RAND()&lt;P_Zero,0,IF(RAND()&lt;CondReturn,_xlfn.LOGNORM.INV(RAND(),MV2,Sigma1),IF(RAND()&lt;CondGood,_xlfn.LOGNORM.INV(RAND(),MV3,Sigma2),MIN(MaxMultiple,Xm/(1-RAND())^(1/Alpha)))))</f>
        <v>0</v>
      </c>
      <c r="M21" s="19">
        <f ca="1">IF(RAND()&lt;P_Zero,0,IF(RAND()&lt;CondReturn,_xlfn.LOGNORM.INV(RAND(),MV2,Sigma1),IF(RAND()&lt;CondGood,_xlfn.LOGNORM.INV(RAND(),MV3,Sigma2),MIN(MaxMultiple,Xm/(1-RAND())^(1/Alpha)))))</f>
        <v>0.72631216982565217</v>
      </c>
      <c r="N21" s="19">
        <f ca="1">IF(RAND()&lt;P_Zero,0,IF(RAND()&lt;CondReturn,_xlfn.LOGNORM.INV(RAND(),MV2,Sigma1),IF(RAND()&lt;CondGood,_xlfn.LOGNORM.INV(RAND(),MV3,Sigma2),MIN(MaxMultiple,Xm/(1-RAND())^(1/Alpha)))))</f>
        <v>0</v>
      </c>
      <c r="O21" s="19">
        <f ca="1">IF(RAND()&lt;P_Zero,0,IF(RAND()&lt;CondReturn,_xlfn.LOGNORM.INV(RAND(),MV2,Sigma1),IF(RAND()&lt;CondGood,_xlfn.LOGNORM.INV(RAND(),MV3,Sigma2),MIN(MaxMultiple,Xm/(1-RAND())^(1/Alpha)))))</f>
        <v>0</v>
      </c>
      <c r="P21" s="19">
        <f ca="1">IF(RAND()&lt;P_Zero,0,IF(RAND()&lt;CondReturn,_xlfn.LOGNORM.INV(RAND(),MV2,Sigma1),IF(RAND()&lt;CondGood,_xlfn.LOGNORM.INV(RAND(),MV3,Sigma2),MIN(MaxMultiple,Xm/(1-RAND())^(1/Alpha)))))</f>
        <v>0.82366271537099578</v>
      </c>
      <c r="Q21" s="19">
        <f ca="1">IF(RAND()&lt;P_Zero,0,IF(RAND()&lt;CondReturn,_xlfn.LOGNORM.INV(RAND(),MV2,Sigma1),IF(RAND()&lt;CondGood,_xlfn.LOGNORM.INV(RAND(),MV3,Sigma2),MIN(MaxMultiple,Xm/(1-RAND())^(1/Alpha)))))</f>
        <v>0</v>
      </c>
      <c r="R21" s="19">
        <f ca="1">IF(RAND()&lt;P_Zero,0,IF(RAND()&lt;CondReturn,_xlfn.LOGNORM.INV(RAND(),MV2,Sigma1),IF(RAND()&lt;CondGood,_xlfn.LOGNORM.INV(RAND(),MV3,Sigma2),MIN(MaxMultiple,Xm/(1-RAND())^(1/Alpha)))))</f>
        <v>0</v>
      </c>
      <c r="S21" s="19">
        <f ca="1">IF(RAND()&lt;P_Zero,0,IF(RAND()&lt;CondReturn,_xlfn.LOGNORM.INV(RAND(),MV2,Sigma1),IF(RAND()&lt;CondGood,_xlfn.LOGNORM.INV(RAND(),MV3,Sigma2),MIN(MaxMultiple,Xm/(1-RAND())^(1/Alpha)))))</f>
        <v>0</v>
      </c>
      <c r="T21" s="19">
        <f ca="1">IF(RAND()&lt;P_Zero,0,IF(RAND()&lt;CondReturn,_xlfn.LOGNORM.INV(RAND(),MV2,Sigma1),IF(RAND()&lt;CondGood,_xlfn.LOGNORM.INV(RAND(),MV3,Sigma2),MIN(MaxMultiple,Xm/(1-RAND())^(1/Alpha)))))</f>
        <v>1.7107005720990174</v>
      </c>
      <c r="U21" s="19">
        <f ca="1">IF(RAND()&lt;P_Zero,0,IF(RAND()&lt;CondReturn,_xlfn.LOGNORM.INV(RAND(),MV2,Sigma1),IF(RAND()&lt;CondGood,_xlfn.LOGNORM.INV(RAND(),MV3,Sigma2),MIN(MaxMultiple,Xm/(1-RAND())^(1/Alpha)))))</f>
        <v>0</v>
      </c>
      <c r="V21" s="19">
        <f ca="1">IF(RAND()&lt;P_Zero,0,IF(RAND()&lt;CondReturn,_xlfn.LOGNORM.INV(RAND(),MV2,Sigma1),IF(RAND()&lt;CondGood,_xlfn.LOGNORM.INV(RAND(),MV3,Sigma2),MIN(MaxMultiple,Xm/(1-RAND())^(1/Alpha)))))</f>
        <v>10.20258917429646</v>
      </c>
      <c r="W21" s="19">
        <f ca="1">IF(RAND()&lt;P_Zero,0,IF(RAND()&lt;CondReturn,_xlfn.LOGNORM.INV(RAND(),MV2,Sigma1),IF(RAND()&lt;CondGood,_xlfn.LOGNORM.INV(RAND(),MV3,Sigma2),MIN(MaxMultiple,Xm/(1-RAND())^(1/Alpha)))))</f>
        <v>0</v>
      </c>
      <c r="X21" s="19">
        <f ca="1">IF(RAND()&lt;P_Zero,0,IF(RAND()&lt;CondReturn,_xlfn.LOGNORM.INV(RAND(),MV2,Sigma1),IF(RAND()&lt;CondGood,_xlfn.LOGNORM.INV(RAND(),MV3,Sigma2),MIN(MaxMultiple,Xm/(1-RAND())^(1/Alpha)))))</f>
        <v>0.82186831493179813</v>
      </c>
      <c r="Y21" s="19">
        <f ca="1">IF(RAND()&lt;P_Zero,0,IF(RAND()&lt;CondReturn,_xlfn.LOGNORM.INV(RAND(),MV2,Sigma1),IF(RAND()&lt;CondGood,_xlfn.LOGNORM.INV(RAND(),MV3,Sigma2),MIN(MaxMultiple,Xm/(1-RAND())^(1/Alpha)))))</f>
        <v>0.68073804291794215</v>
      </c>
      <c r="Z21" s="19">
        <f ca="1">IF(RAND()&lt;P_Zero,0,IF(RAND()&lt;CondReturn,_xlfn.LOGNORM.INV(RAND(),MV2,Sigma1),IF(RAND()&lt;CondGood,_xlfn.LOGNORM.INV(RAND(),MV3,Sigma2),MIN(MaxMultiple,Xm/(1-RAND())^(1/Alpha)))))</f>
        <v>1.5467525176247232</v>
      </c>
      <c r="AA21" s="19">
        <f ca="1">IF(RAND()&lt;P_Zero,0,IF(RAND()&lt;CondReturn,_xlfn.LOGNORM.INV(RAND(),MV2,Sigma1),IF(RAND()&lt;CondGood,_xlfn.LOGNORM.INV(RAND(),MV3,Sigma2),MIN(MaxMultiple,Xm/(1-RAND())^(1/Alpha)))))</f>
        <v>0</v>
      </c>
      <c r="AB21" s="19">
        <f t="shared" ca="1" si="0"/>
        <v>1.0476052598939207</v>
      </c>
      <c r="AC21" s="14">
        <f t="shared" ca="1" si="1"/>
        <v>50285052.474908195</v>
      </c>
      <c r="AD21" s="14">
        <f t="shared" ca="1" si="2"/>
        <v>2285052.4749081954</v>
      </c>
      <c r="AE21" s="14">
        <f t="shared" si="3"/>
        <v>55628399.869093813</v>
      </c>
      <c r="AF21" s="14">
        <f t="shared" ca="1" si="4"/>
        <v>0</v>
      </c>
      <c r="AG21" s="14">
        <f t="shared" ca="1" si="5"/>
        <v>0</v>
      </c>
      <c r="AH21" s="14">
        <f t="shared" ca="1" si="6"/>
        <v>50285052.474908195</v>
      </c>
      <c r="AI21" s="19">
        <f t="shared" ca="1" si="7"/>
        <v>0.8380842079151366</v>
      </c>
    </row>
    <row r="22" spans="2:35" x14ac:dyDescent="0.2">
      <c r="B22" s="1">
        <v>17</v>
      </c>
      <c r="C22" s="19">
        <f ca="1">IF(RAND()&lt;P_Zero,0,IF(RAND()&lt;CondReturn,_xlfn.LOGNORM.INV(RAND(),MV2,Sigma1),IF(RAND()&lt;CondGood,_xlfn.LOGNORM.INV(RAND(),MV3,Sigma2),MIN(MaxMultiple,Xm/(1-RAND())^(1/Alpha)))))</f>
        <v>0</v>
      </c>
      <c r="D22" s="19">
        <f ca="1">IF(RAND()&lt;P_Zero,0,IF(RAND()&lt;CondReturn,_xlfn.LOGNORM.INV(RAND(),MV2,Sigma1),IF(RAND()&lt;CondGood,_xlfn.LOGNORM.INV(RAND(),MV3,Sigma2),MIN(MaxMultiple,Xm/(1-RAND())^(1/Alpha)))))</f>
        <v>0.43066092779038578</v>
      </c>
      <c r="E22" s="19">
        <f ca="1">IF(RAND()&lt;P_Zero,0,IF(RAND()&lt;CondReturn,_xlfn.LOGNORM.INV(RAND(),MV2,Sigma1),IF(RAND()&lt;CondGood,_xlfn.LOGNORM.INV(RAND(),MV3,Sigma2),MIN(MaxMultiple,Xm/(1-RAND())^(1/Alpha)))))</f>
        <v>2.1162396676425557</v>
      </c>
      <c r="F22" s="19">
        <f ca="1">IF(RAND()&lt;P_Zero,0,IF(RAND()&lt;CondReturn,_xlfn.LOGNORM.INV(RAND(),MV2,Sigma1),IF(RAND()&lt;CondGood,_xlfn.LOGNORM.INV(RAND(),MV3,Sigma2),MIN(MaxMultiple,Xm/(1-RAND())^(1/Alpha)))))</f>
        <v>0.9855646923730671</v>
      </c>
      <c r="G22" s="19">
        <f ca="1">IF(RAND()&lt;P_Zero,0,IF(RAND()&lt;CondReturn,_xlfn.LOGNORM.INV(RAND(),MV2,Sigma1),IF(RAND()&lt;CondGood,_xlfn.LOGNORM.INV(RAND(),MV3,Sigma2),MIN(MaxMultiple,Xm/(1-RAND())^(1/Alpha)))))</f>
        <v>1.8471235513369659</v>
      </c>
      <c r="H22" s="19">
        <f ca="1">IF(RAND()&lt;P_Zero,0,IF(RAND()&lt;CondReturn,_xlfn.LOGNORM.INV(RAND(),MV2,Sigma1),IF(RAND()&lt;CondGood,_xlfn.LOGNORM.INV(RAND(),MV3,Sigma2),MIN(MaxMultiple,Xm/(1-RAND())^(1/Alpha)))))</f>
        <v>0.61149297502552213</v>
      </c>
      <c r="I22" s="19">
        <f ca="1">IF(RAND()&lt;P_Zero,0,IF(RAND()&lt;CondReturn,_xlfn.LOGNORM.INV(RAND(),MV2,Sigma1),IF(RAND()&lt;CondGood,_xlfn.LOGNORM.INV(RAND(),MV3,Sigma2),MIN(MaxMultiple,Xm/(1-RAND())^(1/Alpha)))))</f>
        <v>0</v>
      </c>
      <c r="J22" s="19">
        <f ca="1">IF(RAND()&lt;P_Zero,0,IF(RAND()&lt;CondReturn,_xlfn.LOGNORM.INV(RAND(),MV2,Sigma1),IF(RAND()&lt;CondGood,_xlfn.LOGNORM.INV(RAND(),MV3,Sigma2),MIN(MaxMultiple,Xm/(1-RAND())^(1/Alpha)))))</f>
        <v>1.5494810681462252</v>
      </c>
      <c r="K22" s="19">
        <f ca="1">IF(RAND()&lt;P_Zero,0,IF(RAND()&lt;CondReturn,_xlfn.LOGNORM.INV(RAND(),MV2,Sigma1),IF(RAND()&lt;CondGood,_xlfn.LOGNORM.INV(RAND(),MV3,Sigma2),MIN(MaxMultiple,Xm/(1-RAND())^(1/Alpha)))))</f>
        <v>0.9836439245192059</v>
      </c>
      <c r="L22" s="19">
        <f ca="1">IF(RAND()&lt;P_Zero,0,IF(RAND()&lt;CondReturn,_xlfn.LOGNORM.INV(RAND(),MV2,Sigma1),IF(RAND()&lt;CondGood,_xlfn.LOGNORM.INV(RAND(),MV3,Sigma2),MIN(MaxMultiple,Xm/(1-RAND())^(1/Alpha)))))</f>
        <v>0</v>
      </c>
      <c r="M22" s="19">
        <f ca="1">IF(RAND()&lt;P_Zero,0,IF(RAND()&lt;CondReturn,_xlfn.LOGNORM.INV(RAND(),MV2,Sigma1),IF(RAND()&lt;CondGood,_xlfn.LOGNORM.INV(RAND(),MV3,Sigma2),MIN(MaxMultiple,Xm/(1-RAND())^(1/Alpha)))))</f>
        <v>0.38493923138491043</v>
      </c>
      <c r="N22" s="19">
        <f ca="1">IF(RAND()&lt;P_Zero,0,IF(RAND()&lt;CondReturn,_xlfn.LOGNORM.INV(RAND(),MV2,Sigma1),IF(RAND()&lt;CondGood,_xlfn.LOGNORM.INV(RAND(),MV3,Sigma2),MIN(MaxMultiple,Xm/(1-RAND())^(1/Alpha)))))</f>
        <v>0</v>
      </c>
      <c r="O22" s="19">
        <f ca="1">IF(RAND()&lt;P_Zero,0,IF(RAND()&lt;CondReturn,_xlfn.LOGNORM.INV(RAND(),MV2,Sigma1),IF(RAND()&lt;CondGood,_xlfn.LOGNORM.INV(RAND(),MV3,Sigma2),MIN(MaxMultiple,Xm/(1-RAND())^(1/Alpha)))))</f>
        <v>0</v>
      </c>
      <c r="P22" s="19">
        <f ca="1">IF(RAND()&lt;P_Zero,0,IF(RAND()&lt;CondReturn,_xlfn.LOGNORM.INV(RAND(),MV2,Sigma1),IF(RAND()&lt;CondGood,_xlfn.LOGNORM.INV(RAND(),MV3,Sigma2),MIN(MaxMultiple,Xm/(1-RAND())^(1/Alpha)))))</f>
        <v>0</v>
      </c>
      <c r="Q22" s="19">
        <f ca="1">IF(RAND()&lt;P_Zero,0,IF(RAND()&lt;CondReturn,_xlfn.LOGNORM.INV(RAND(),MV2,Sigma1),IF(RAND()&lt;CondGood,_xlfn.LOGNORM.INV(RAND(),MV3,Sigma2),MIN(MaxMultiple,Xm/(1-RAND())^(1/Alpha)))))</f>
        <v>0.90464509348894995</v>
      </c>
      <c r="R22" s="19">
        <f ca="1">IF(RAND()&lt;P_Zero,0,IF(RAND()&lt;CondReturn,_xlfn.LOGNORM.INV(RAND(),MV2,Sigma1),IF(RAND()&lt;CondGood,_xlfn.LOGNORM.INV(RAND(),MV3,Sigma2),MIN(MaxMultiple,Xm/(1-RAND())^(1/Alpha)))))</f>
        <v>0</v>
      </c>
      <c r="S22" s="19">
        <f ca="1">IF(RAND()&lt;P_Zero,0,IF(RAND()&lt;CondReturn,_xlfn.LOGNORM.INV(RAND(),MV2,Sigma1),IF(RAND()&lt;CondGood,_xlfn.LOGNORM.INV(RAND(),MV3,Sigma2),MIN(MaxMultiple,Xm/(1-RAND())^(1/Alpha)))))</f>
        <v>0.97091879545393778</v>
      </c>
      <c r="T22" s="19">
        <f ca="1">IF(RAND()&lt;P_Zero,0,IF(RAND()&lt;CondReturn,_xlfn.LOGNORM.INV(RAND(),MV2,Sigma1),IF(RAND()&lt;CondGood,_xlfn.LOGNORM.INV(RAND(),MV3,Sigma2),MIN(MaxMultiple,Xm/(1-RAND())^(1/Alpha)))))</f>
        <v>0.44832867984147723</v>
      </c>
      <c r="U22" s="19">
        <f ca="1">IF(RAND()&lt;P_Zero,0,IF(RAND()&lt;CondReturn,_xlfn.LOGNORM.INV(RAND(),MV2,Sigma1),IF(RAND()&lt;CondGood,_xlfn.LOGNORM.INV(RAND(),MV3,Sigma2),MIN(MaxMultiple,Xm/(1-RAND())^(1/Alpha)))))</f>
        <v>0.69108599085216105</v>
      </c>
      <c r="V22" s="19">
        <f ca="1">IF(RAND()&lt;P_Zero,0,IF(RAND()&lt;CondReturn,_xlfn.LOGNORM.INV(RAND(),MV2,Sigma1),IF(RAND()&lt;CondGood,_xlfn.LOGNORM.INV(RAND(),MV3,Sigma2),MIN(MaxMultiple,Xm/(1-RAND())^(1/Alpha)))))</f>
        <v>1.1377440075418983</v>
      </c>
      <c r="W22" s="19">
        <f ca="1">IF(RAND()&lt;P_Zero,0,IF(RAND()&lt;CondReturn,_xlfn.LOGNORM.INV(RAND(),MV2,Sigma1),IF(RAND()&lt;CondGood,_xlfn.LOGNORM.INV(RAND(),MV3,Sigma2),MIN(MaxMultiple,Xm/(1-RAND())^(1/Alpha)))))</f>
        <v>0.70116348506778903</v>
      </c>
      <c r="X22" s="19">
        <f ca="1">IF(RAND()&lt;P_Zero,0,IF(RAND()&lt;CondReturn,_xlfn.LOGNORM.INV(RAND(),MV2,Sigma1),IF(RAND()&lt;CondGood,_xlfn.LOGNORM.INV(RAND(),MV3,Sigma2),MIN(MaxMultiple,Xm/(1-RAND())^(1/Alpha)))))</f>
        <v>0</v>
      </c>
      <c r="Y22" s="19">
        <f ca="1">IF(RAND()&lt;P_Zero,0,IF(RAND()&lt;CondReturn,_xlfn.LOGNORM.INV(RAND(),MV2,Sigma1),IF(RAND()&lt;CondGood,_xlfn.LOGNORM.INV(RAND(),MV3,Sigma2),MIN(MaxMultiple,Xm/(1-RAND())^(1/Alpha)))))</f>
        <v>0</v>
      </c>
      <c r="Z22" s="19">
        <f ca="1">IF(RAND()&lt;P_Zero,0,IF(RAND()&lt;CondReturn,_xlfn.LOGNORM.INV(RAND(),MV2,Sigma1),IF(RAND()&lt;CondGood,_xlfn.LOGNORM.INV(RAND(),MV3,Sigma2),MIN(MaxMultiple,Xm/(1-RAND())^(1/Alpha)))))</f>
        <v>0</v>
      </c>
      <c r="AA22" s="19">
        <f ca="1">IF(RAND()&lt;P_Zero,0,IF(RAND()&lt;CondReturn,_xlfn.LOGNORM.INV(RAND(),MV2,Sigma1),IF(RAND()&lt;CondGood,_xlfn.LOGNORM.INV(RAND(),MV3,Sigma2),MIN(MaxMultiple,Xm/(1-RAND())^(1/Alpha)))))</f>
        <v>0.84995080302334736</v>
      </c>
      <c r="AB22" s="19">
        <f t="shared" ca="1" si="0"/>
        <v>0.58451931573953597</v>
      </c>
      <c r="AC22" s="14">
        <f t="shared" ca="1" si="1"/>
        <v>28056927.155497726</v>
      </c>
      <c r="AD22" s="14">
        <f t="shared" ca="1" si="2"/>
        <v>-19943072.844502274</v>
      </c>
      <c r="AE22" s="14">
        <f t="shared" si="3"/>
        <v>55628399.869093813</v>
      </c>
      <c r="AF22" s="14">
        <f t="shared" ca="1" si="4"/>
        <v>0</v>
      </c>
      <c r="AG22" s="14">
        <f t="shared" ca="1" si="5"/>
        <v>0</v>
      </c>
      <c r="AH22" s="14">
        <f t="shared" ca="1" si="6"/>
        <v>28056927.155497726</v>
      </c>
      <c r="AI22" s="19">
        <f t="shared" ca="1" si="7"/>
        <v>0.46761545259162879</v>
      </c>
    </row>
    <row r="23" spans="2:35" x14ac:dyDescent="0.2">
      <c r="B23" s="1">
        <v>18</v>
      </c>
      <c r="C23" s="19">
        <f ca="1">IF(RAND()&lt;P_Zero,0,IF(RAND()&lt;CondReturn,_xlfn.LOGNORM.INV(RAND(),MV2,Sigma1),IF(RAND()&lt;CondGood,_xlfn.LOGNORM.INV(RAND(),MV3,Sigma2),MIN(MaxMultiple,Xm/(1-RAND())^(1/Alpha)))))</f>
        <v>0</v>
      </c>
      <c r="D23" s="19">
        <f ca="1">IF(RAND()&lt;P_Zero,0,IF(RAND()&lt;CondReturn,_xlfn.LOGNORM.INV(RAND(),MV2,Sigma1),IF(RAND()&lt;CondGood,_xlfn.LOGNORM.INV(RAND(),MV3,Sigma2),MIN(MaxMultiple,Xm/(1-RAND())^(1/Alpha)))))</f>
        <v>0</v>
      </c>
      <c r="E23" s="19">
        <f ca="1">IF(RAND()&lt;P_Zero,0,IF(RAND()&lt;CondReturn,_xlfn.LOGNORM.INV(RAND(),MV2,Sigma1),IF(RAND()&lt;CondGood,_xlfn.LOGNORM.INV(RAND(),MV3,Sigma2),MIN(MaxMultiple,Xm/(1-RAND())^(1/Alpha)))))</f>
        <v>1.8605559198229511</v>
      </c>
      <c r="F23" s="19">
        <f ca="1">IF(RAND()&lt;P_Zero,0,IF(RAND()&lt;CondReturn,_xlfn.LOGNORM.INV(RAND(),MV2,Sigma1),IF(RAND()&lt;CondGood,_xlfn.LOGNORM.INV(RAND(),MV3,Sigma2),MIN(MaxMultiple,Xm/(1-RAND())^(1/Alpha)))))</f>
        <v>1.2543921280820611</v>
      </c>
      <c r="G23" s="19">
        <f ca="1">IF(RAND()&lt;P_Zero,0,IF(RAND()&lt;CondReturn,_xlfn.LOGNORM.INV(RAND(),MV2,Sigma1),IF(RAND()&lt;CondGood,_xlfn.LOGNORM.INV(RAND(),MV3,Sigma2),MIN(MaxMultiple,Xm/(1-RAND())^(1/Alpha)))))</f>
        <v>0.74501667946318351</v>
      </c>
      <c r="H23" s="19">
        <f ca="1">IF(RAND()&lt;P_Zero,0,IF(RAND()&lt;CondReturn,_xlfn.LOGNORM.INV(RAND(),MV2,Sigma1),IF(RAND()&lt;CondGood,_xlfn.LOGNORM.INV(RAND(),MV3,Sigma2),MIN(MaxMultiple,Xm/(1-RAND())^(1/Alpha)))))</f>
        <v>0</v>
      </c>
      <c r="I23" s="19">
        <f ca="1">IF(RAND()&lt;P_Zero,0,IF(RAND()&lt;CondReturn,_xlfn.LOGNORM.INV(RAND(),MV2,Sigma1),IF(RAND()&lt;CondGood,_xlfn.LOGNORM.INV(RAND(),MV3,Sigma2),MIN(MaxMultiple,Xm/(1-RAND())^(1/Alpha)))))</f>
        <v>0</v>
      </c>
      <c r="J23" s="19">
        <f ca="1">IF(RAND()&lt;P_Zero,0,IF(RAND()&lt;CondReturn,_xlfn.LOGNORM.INV(RAND(),MV2,Sigma1),IF(RAND()&lt;CondGood,_xlfn.LOGNORM.INV(RAND(),MV3,Sigma2),MIN(MaxMultiple,Xm/(1-RAND())^(1/Alpha)))))</f>
        <v>0.64020416877304598</v>
      </c>
      <c r="K23" s="19">
        <f ca="1">IF(RAND()&lt;P_Zero,0,IF(RAND()&lt;CondReturn,_xlfn.LOGNORM.INV(RAND(),MV2,Sigma1),IF(RAND()&lt;CondGood,_xlfn.LOGNORM.INV(RAND(),MV3,Sigma2),MIN(MaxMultiple,Xm/(1-RAND())^(1/Alpha)))))</f>
        <v>0.47051331702022137</v>
      </c>
      <c r="L23" s="19">
        <f ca="1">IF(RAND()&lt;P_Zero,0,IF(RAND()&lt;CondReturn,_xlfn.LOGNORM.INV(RAND(),MV2,Sigma1),IF(RAND()&lt;CondGood,_xlfn.LOGNORM.INV(RAND(),MV3,Sigma2),MIN(MaxMultiple,Xm/(1-RAND())^(1/Alpha)))))</f>
        <v>0</v>
      </c>
      <c r="M23" s="19">
        <f ca="1">IF(RAND()&lt;P_Zero,0,IF(RAND()&lt;CondReturn,_xlfn.LOGNORM.INV(RAND(),MV2,Sigma1),IF(RAND()&lt;CondGood,_xlfn.LOGNORM.INV(RAND(),MV3,Sigma2),MIN(MaxMultiple,Xm/(1-RAND())^(1/Alpha)))))</f>
        <v>0</v>
      </c>
      <c r="N23" s="19">
        <f ca="1">IF(RAND()&lt;P_Zero,0,IF(RAND()&lt;CondReturn,_xlfn.LOGNORM.INV(RAND(),MV2,Sigma1),IF(RAND()&lt;CondGood,_xlfn.LOGNORM.INV(RAND(),MV3,Sigma2),MIN(MaxMultiple,Xm/(1-RAND())^(1/Alpha)))))</f>
        <v>0</v>
      </c>
      <c r="O23" s="19">
        <f ca="1">IF(RAND()&lt;P_Zero,0,IF(RAND()&lt;CondReturn,_xlfn.LOGNORM.INV(RAND(),MV2,Sigma1),IF(RAND()&lt;CondGood,_xlfn.LOGNORM.INV(RAND(),MV3,Sigma2),MIN(MaxMultiple,Xm/(1-RAND())^(1/Alpha)))))</f>
        <v>12.100153057509427</v>
      </c>
      <c r="P23" s="19">
        <f ca="1">IF(RAND()&lt;P_Zero,0,IF(RAND()&lt;CondReturn,_xlfn.LOGNORM.INV(RAND(),MV2,Sigma1),IF(RAND()&lt;CondGood,_xlfn.LOGNORM.INV(RAND(),MV3,Sigma2),MIN(MaxMultiple,Xm/(1-RAND())^(1/Alpha)))))</f>
        <v>1.0433457694962962</v>
      </c>
      <c r="Q23" s="19">
        <f ca="1">IF(RAND()&lt;P_Zero,0,IF(RAND()&lt;CondReturn,_xlfn.LOGNORM.INV(RAND(),MV2,Sigma1),IF(RAND()&lt;CondGood,_xlfn.LOGNORM.INV(RAND(),MV3,Sigma2),MIN(MaxMultiple,Xm/(1-RAND())^(1/Alpha)))))</f>
        <v>0.83387284508043291</v>
      </c>
      <c r="R23" s="19">
        <f ca="1">IF(RAND()&lt;P_Zero,0,IF(RAND()&lt;CondReturn,_xlfn.LOGNORM.INV(RAND(),MV2,Sigma1),IF(RAND()&lt;CondGood,_xlfn.LOGNORM.INV(RAND(),MV3,Sigma2),MIN(MaxMultiple,Xm/(1-RAND())^(1/Alpha)))))</f>
        <v>36.173200073188085</v>
      </c>
      <c r="S23" s="19">
        <f ca="1">IF(RAND()&lt;P_Zero,0,IF(RAND()&lt;CondReturn,_xlfn.LOGNORM.INV(RAND(),MV2,Sigma1),IF(RAND()&lt;CondGood,_xlfn.LOGNORM.INV(RAND(),MV3,Sigma2),MIN(MaxMultiple,Xm/(1-RAND())^(1/Alpha)))))</f>
        <v>1.1739269405484531</v>
      </c>
      <c r="T23" s="19">
        <f ca="1">IF(RAND()&lt;P_Zero,0,IF(RAND()&lt;CondReturn,_xlfn.LOGNORM.INV(RAND(),MV2,Sigma1),IF(RAND()&lt;CondGood,_xlfn.LOGNORM.INV(RAND(),MV3,Sigma2),MIN(MaxMultiple,Xm/(1-RAND())^(1/Alpha)))))</f>
        <v>0.82641564414141067</v>
      </c>
      <c r="U23" s="19">
        <f ca="1">IF(RAND()&lt;P_Zero,0,IF(RAND()&lt;CondReturn,_xlfn.LOGNORM.INV(RAND(),MV2,Sigma1),IF(RAND()&lt;CondGood,_xlfn.LOGNORM.INV(RAND(),MV3,Sigma2),MIN(MaxMultiple,Xm/(1-RAND())^(1/Alpha)))))</f>
        <v>0.59361946827299306</v>
      </c>
      <c r="V23" s="19">
        <f ca="1">IF(RAND()&lt;P_Zero,0,IF(RAND()&lt;CondReturn,_xlfn.LOGNORM.INV(RAND(),MV2,Sigma1),IF(RAND()&lt;CondGood,_xlfn.LOGNORM.INV(RAND(),MV3,Sigma2),MIN(MaxMultiple,Xm/(1-RAND())^(1/Alpha)))))</f>
        <v>0</v>
      </c>
      <c r="W23" s="19">
        <f ca="1">IF(RAND()&lt;P_Zero,0,IF(RAND()&lt;CondReturn,_xlfn.LOGNORM.INV(RAND(),MV2,Sigma1),IF(RAND()&lt;CondGood,_xlfn.LOGNORM.INV(RAND(),MV3,Sigma2),MIN(MaxMultiple,Xm/(1-RAND())^(1/Alpha)))))</f>
        <v>0</v>
      </c>
      <c r="X23" s="19">
        <f ca="1">IF(RAND()&lt;P_Zero,0,IF(RAND()&lt;CondReturn,_xlfn.LOGNORM.INV(RAND(),MV2,Sigma1),IF(RAND()&lt;CondGood,_xlfn.LOGNORM.INV(RAND(),MV3,Sigma2),MIN(MaxMultiple,Xm/(1-RAND())^(1/Alpha)))))</f>
        <v>1.3783725346370246</v>
      </c>
      <c r="Y23" s="19">
        <f ca="1">IF(RAND()&lt;P_Zero,0,IF(RAND()&lt;CondReturn,_xlfn.LOGNORM.INV(RAND(),MV2,Sigma1),IF(RAND()&lt;CondGood,_xlfn.LOGNORM.INV(RAND(),MV3,Sigma2),MIN(MaxMultiple,Xm/(1-RAND())^(1/Alpha)))))</f>
        <v>0</v>
      </c>
      <c r="Z23" s="19">
        <f ca="1">IF(RAND()&lt;P_Zero,0,IF(RAND()&lt;CondReturn,_xlfn.LOGNORM.INV(RAND(),MV2,Sigma1),IF(RAND()&lt;CondGood,_xlfn.LOGNORM.INV(RAND(),MV3,Sigma2),MIN(MaxMultiple,Xm/(1-RAND())^(1/Alpha)))))</f>
        <v>11.551463886451304</v>
      </c>
      <c r="AA23" s="19">
        <f ca="1">IF(RAND()&lt;P_Zero,0,IF(RAND()&lt;CondReturn,_xlfn.LOGNORM.INV(RAND(),MV2,Sigma1),IF(RAND()&lt;CondGood,_xlfn.LOGNORM.INV(RAND(),MV3,Sigma2),MIN(MaxMultiple,Xm/(1-RAND())^(1/Alpha)))))</f>
        <v>0.54671459067782036</v>
      </c>
      <c r="AB23" s="19">
        <f t="shared" ca="1" si="0"/>
        <v>2.8476706809265888</v>
      </c>
      <c r="AC23" s="14">
        <f t="shared" ca="1" si="1"/>
        <v>136688192.68447626</v>
      </c>
      <c r="AD23" s="14">
        <f t="shared" ca="1" si="2"/>
        <v>88688192.684476256</v>
      </c>
      <c r="AE23" s="14">
        <f t="shared" si="3"/>
        <v>55628399.869093813</v>
      </c>
      <c r="AF23" s="14">
        <f t="shared" ca="1" si="4"/>
        <v>33059792.815382443</v>
      </c>
      <c r="AG23" s="14">
        <f t="shared" ca="1" si="5"/>
        <v>6611958.5630764887</v>
      </c>
      <c r="AH23" s="14">
        <f t="shared" ca="1" si="6"/>
        <v>130076234.12139976</v>
      </c>
      <c r="AI23" s="19">
        <f t="shared" ca="1" si="7"/>
        <v>2.1679372353566628</v>
      </c>
    </row>
    <row r="24" spans="2:35" x14ac:dyDescent="0.2">
      <c r="B24" s="1">
        <v>19</v>
      </c>
      <c r="C24" s="19">
        <f ca="1">IF(RAND()&lt;P_Zero,0,IF(RAND()&lt;CondReturn,_xlfn.LOGNORM.INV(RAND(),MV2,Sigma1),IF(RAND()&lt;CondGood,_xlfn.LOGNORM.INV(RAND(),MV3,Sigma2),MIN(MaxMultiple,Xm/(1-RAND())^(1/Alpha)))))</f>
        <v>0.89359288899180622</v>
      </c>
      <c r="D24" s="19">
        <f ca="1">IF(RAND()&lt;P_Zero,0,IF(RAND()&lt;CondReturn,_xlfn.LOGNORM.INV(RAND(),MV2,Sigma1),IF(RAND()&lt;CondGood,_xlfn.LOGNORM.INV(RAND(),MV3,Sigma2),MIN(MaxMultiple,Xm/(1-RAND())^(1/Alpha)))))</f>
        <v>1.4241652861736056</v>
      </c>
      <c r="E24" s="19">
        <f ca="1">IF(RAND()&lt;P_Zero,0,IF(RAND()&lt;CondReturn,_xlfn.LOGNORM.INV(RAND(),MV2,Sigma1),IF(RAND()&lt;CondGood,_xlfn.LOGNORM.INV(RAND(),MV3,Sigma2),MIN(MaxMultiple,Xm/(1-RAND())^(1/Alpha)))))</f>
        <v>0</v>
      </c>
      <c r="F24" s="19">
        <f ca="1">IF(RAND()&lt;P_Zero,0,IF(RAND()&lt;CondReturn,_xlfn.LOGNORM.INV(RAND(),MV2,Sigma1),IF(RAND()&lt;CondGood,_xlfn.LOGNORM.INV(RAND(),MV3,Sigma2),MIN(MaxMultiple,Xm/(1-RAND())^(1/Alpha)))))</f>
        <v>0</v>
      </c>
      <c r="G24" s="19">
        <f ca="1">IF(RAND()&lt;P_Zero,0,IF(RAND()&lt;CondReturn,_xlfn.LOGNORM.INV(RAND(),MV2,Sigma1),IF(RAND()&lt;CondGood,_xlfn.LOGNORM.INV(RAND(),MV3,Sigma2),MIN(MaxMultiple,Xm/(1-RAND())^(1/Alpha)))))</f>
        <v>0</v>
      </c>
      <c r="H24" s="19">
        <f ca="1">IF(RAND()&lt;P_Zero,0,IF(RAND()&lt;CondReturn,_xlfn.LOGNORM.INV(RAND(),MV2,Sigma1),IF(RAND()&lt;CondGood,_xlfn.LOGNORM.INV(RAND(),MV3,Sigma2),MIN(MaxMultiple,Xm/(1-RAND())^(1/Alpha)))))</f>
        <v>31.519994954344316</v>
      </c>
      <c r="I24" s="19">
        <f ca="1">IF(RAND()&lt;P_Zero,0,IF(RAND()&lt;CondReturn,_xlfn.LOGNORM.INV(RAND(),MV2,Sigma1),IF(RAND()&lt;CondGood,_xlfn.LOGNORM.INV(RAND(),MV3,Sigma2),MIN(MaxMultiple,Xm/(1-RAND())^(1/Alpha)))))</f>
        <v>0.84687444973539661</v>
      </c>
      <c r="J24" s="19">
        <f ca="1">IF(RAND()&lt;P_Zero,0,IF(RAND()&lt;CondReturn,_xlfn.LOGNORM.INV(RAND(),MV2,Sigma1),IF(RAND()&lt;CondGood,_xlfn.LOGNORM.INV(RAND(),MV3,Sigma2),MIN(MaxMultiple,Xm/(1-RAND())^(1/Alpha)))))</f>
        <v>1.2094899911061576</v>
      </c>
      <c r="K24" s="19">
        <f ca="1">IF(RAND()&lt;P_Zero,0,IF(RAND()&lt;CondReturn,_xlfn.LOGNORM.INV(RAND(),MV2,Sigma1),IF(RAND()&lt;CondGood,_xlfn.LOGNORM.INV(RAND(),MV3,Sigma2),MIN(MaxMultiple,Xm/(1-RAND())^(1/Alpha)))))</f>
        <v>0</v>
      </c>
      <c r="L24" s="19">
        <f ca="1">IF(RAND()&lt;P_Zero,0,IF(RAND()&lt;CondReturn,_xlfn.LOGNORM.INV(RAND(),MV2,Sigma1),IF(RAND()&lt;CondGood,_xlfn.LOGNORM.INV(RAND(),MV3,Sigma2),MIN(MaxMultiple,Xm/(1-RAND())^(1/Alpha)))))</f>
        <v>0</v>
      </c>
      <c r="M24" s="19">
        <f ca="1">IF(RAND()&lt;P_Zero,0,IF(RAND()&lt;CondReturn,_xlfn.LOGNORM.INV(RAND(),MV2,Sigma1),IF(RAND()&lt;CondGood,_xlfn.LOGNORM.INV(RAND(),MV3,Sigma2),MIN(MaxMultiple,Xm/(1-RAND())^(1/Alpha)))))</f>
        <v>0.95174996586762994</v>
      </c>
      <c r="N24" s="19">
        <f ca="1">IF(RAND()&lt;P_Zero,0,IF(RAND()&lt;CondReturn,_xlfn.LOGNORM.INV(RAND(),MV2,Sigma1),IF(RAND()&lt;CondGood,_xlfn.LOGNORM.INV(RAND(),MV3,Sigma2),MIN(MaxMultiple,Xm/(1-RAND())^(1/Alpha)))))</f>
        <v>0</v>
      </c>
      <c r="O24" s="19">
        <f ca="1">IF(RAND()&lt;P_Zero,0,IF(RAND()&lt;CondReturn,_xlfn.LOGNORM.INV(RAND(),MV2,Sigma1),IF(RAND()&lt;CondGood,_xlfn.LOGNORM.INV(RAND(),MV3,Sigma2),MIN(MaxMultiple,Xm/(1-RAND())^(1/Alpha)))))</f>
        <v>1.57754168945066</v>
      </c>
      <c r="P24" s="19">
        <f ca="1">IF(RAND()&lt;P_Zero,0,IF(RAND()&lt;CondReturn,_xlfn.LOGNORM.INV(RAND(),MV2,Sigma1),IF(RAND()&lt;CondGood,_xlfn.LOGNORM.INV(RAND(),MV3,Sigma2),MIN(MaxMultiple,Xm/(1-RAND())^(1/Alpha)))))</f>
        <v>1.8876464188773086</v>
      </c>
      <c r="Q24" s="19">
        <f ca="1">IF(RAND()&lt;P_Zero,0,IF(RAND()&lt;CondReturn,_xlfn.LOGNORM.INV(RAND(),MV2,Sigma1),IF(RAND()&lt;CondGood,_xlfn.LOGNORM.INV(RAND(),MV3,Sigma2),MIN(MaxMultiple,Xm/(1-RAND())^(1/Alpha)))))</f>
        <v>0</v>
      </c>
      <c r="R24" s="19">
        <f ca="1">IF(RAND()&lt;P_Zero,0,IF(RAND()&lt;CondReturn,_xlfn.LOGNORM.INV(RAND(),MV2,Sigma1),IF(RAND()&lt;CondGood,_xlfn.LOGNORM.INV(RAND(),MV3,Sigma2),MIN(MaxMultiple,Xm/(1-RAND())^(1/Alpha)))))</f>
        <v>0.52965027117815344</v>
      </c>
      <c r="S24" s="19">
        <f ca="1">IF(RAND()&lt;P_Zero,0,IF(RAND()&lt;CondReturn,_xlfn.LOGNORM.INV(RAND(),MV2,Sigma1),IF(RAND()&lt;CondGood,_xlfn.LOGNORM.INV(RAND(),MV3,Sigma2),MIN(MaxMultiple,Xm/(1-RAND())^(1/Alpha)))))</f>
        <v>2.234236284504393</v>
      </c>
      <c r="T24" s="19">
        <f ca="1">IF(RAND()&lt;P_Zero,0,IF(RAND()&lt;CondReturn,_xlfn.LOGNORM.INV(RAND(),MV2,Sigma1),IF(RAND()&lt;CondGood,_xlfn.LOGNORM.INV(RAND(),MV3,Sigma2),MIN(MaxMultiple,Xm/(1-RAND())^(1/Alpha)))))</f>
        <v>0.58997812063050814</v>
      </c>
      <c r="U24" s="19">
        <f ca="1">IF(RAND()&lt;P_Zero,0,IF(RAND()&lt;CondReturn,_xlfn.LOGNORM.INV(RAND(),MV2,Sigma1),IF(RAND()&lt;CondGood,_xlfn.LOGNORM.INV(RAND(),MV3,Sigma2),MIN(MaxMultiple,Xm/(1-RAND())^(1/Alpha)))))</f>
        <v>0</v>
      </c>
      <c r="V24" s="19">
        <f ca="1">IF(RAND()&lt;P_Zero,0,IF(RAND()&lt;CondReturn,_xlfn.LOGNORM.INV(RAND(),MV2,Sigma1),IF(RAND()&lt;CondGood,_xlfn.LOGNORM.INV(RAND(),MV3,Sigma2),MIN(MaxMultiple,Xm/(1-RAND())^(1/Alpha)))))</f>
        <v>0.74190888337550209</v>
      </c>
      <c r="W24" s="19">
        <f ca="1">IF(RAND()&lt;P_Zero,0,IF(RAND()&lt;CondReturn,_xlfn.LOGNORM.INV(RAND(),MV2,Sigma1),IF(RAND()&lt;CondGood,_xlfn.LOGNORM.INV(RAND(),MV3,Sigma2),MIN(MaxMultiple,Xm/(1-RAND())^(1/Alpha)))))</f>
        <v>1.0026566100286953</v>
      </c>
      <c r="X24" s="19">
        <f ca="1">IF(RAND()&lt;P_Zero,0,IF(RAND()&lt;CondReturn,_xlfn.LOGNORM.INV(RAND(),MV2,Sigma1),IF(RAND()&lt;CondGood,_xlfn.LOGNORM.INV(RAND(),MV3,Sigma2),MIN(MaxMultiple,Xm/(1-RAND())^(1/Alpha)))))</f>
        <v>0</v>
      </c>
      <c r="Y24" s="19">
        <f ca="1">IF(RAND()&lt;P_Zero,0,IF(RAND()&lt;CondReturn,_xlfn.LOGNORM.INV(RAND(),MV2,Sigma1),IF(RAND()&lt;CondGood,_xlfn.LOGNORM.INV(RAND(),MV3,Sigma2),MIN(MaxMultiple,Xm/(1-RAND())^(1/Alpha)))))</f>
        <v>0</v>
      </c>
      <c r="Z24" s="19">
        <f ca="1">IF(RAND()&lt;P_Zero,0,IF(RAND()&lt;CondReturn,_xlfn.LOGNORM.INV(RAND(),MV2,Sigma1),IF(RAND()&lt;CondGood,_xlfn.LOGNORM.INV(RAND(),MV3,Sigma2),MIN(MaxMultiple,Xm/(1-RAND())^(1/Alpha)))))</f>
        <v>0</v>
      </c>
      <c r="AA24" s="19">
        <f ca="1">IF(RAND()&lt;P_Zero,0,IF(RAND()&lt;CondReturn,_xlfn.LOGNORM.INV(RAND(),MV2,Sigma1),IF(RAND()&lt;CondGood,_xlfn.LOGNORM.INV(RAND(),MV3,Sigma2),MIN(MaxMultiple,Xm/(1-RAND())^(1/Alpha)))))</f>
        <v>1.7350125184449803</v>
      </c>
      <c r="AB24" s="19">
        <f t="shared" ca="1" si="0"/>
        <v>1.8857799333083645</v>
      </c>
      <c r="AC24" s="14">
        <f t="shared" ca="1" si="1"/>
        <v>90517436.798801497</v>
      </c>
      <c r="AD24" s="14">
        <f t="shared" ca="1" si="2"/>
        <v>42517436.798801497</v>
      </c>
      <c r="AE24" s="14">
        <f t="shared" si="3"/>
        <v>55628399.869093813</v>
      </c>
      <c r="AF24" s="14">
        <f t="shared" ca="1" si="4"/>
        <v>0</v>
      </c>
      <c r="AG24" s="14">
        <f t="shared" ca="1" si="5"/>
        <v>0</v>
      </c>
      <c r="AH24" s="14">
        <f t="shared" ca="1" si="6"/>
        <v>90517436.798801497</v>
      </c>
      <c r="AI24" s="19">
        <f t="shared" ca="1" si="7"/>
        <v>1.5086239466466915</v>
      </c>
    </row>
    <row r="25" spans="2:35" x14ac:dyDescent="0.2">
      <c r="B25" s="1">
        <v>20</v>
      </c>
      <c r="C25" s="19">
        <f ca="1">IF(RAND()&lt;P_Zero,0,IF(RAND()&lt;CondReturn,_xlfn.LOGNORM.INV(RAND(),MV2,Sigma1),IF(RAND()&lt;CondGood,_xlfn.LOGNORM.INV(RAND(),MV3,Sigma2),MIN(MaxMultiple,Xm/(1-RAND())^(1/Alpha)))))</f>
        <v>0.67580773997229948</v>
      </c>
      <c r="D25" s="19">
        <f ca="1">IF(RAND()&lt;P_Zero,0,IF(RAND()&lt;CondReturn,_xlfn.LOGNORM.INV(RAND(),MV2,Sigma1),IF(RAND()&lt;CondGood,_xlfn.LOGNORM.INV(RAND(),MV3,Sigma2),MIN(MaxMultiple,Xm/(1-RAND())^(1/Alpha)))))</f>
        <v>0.69614866927505492</v>
      </c>
      <c r="E25" s="19">
        <f ca="1">IF(RAND()&lt;P_Zero,0,IF(RAND()&lt;CondReturn,_xlfn.LOGNORM.INV(RAND(),MV2,Sigma1),IF(RAND()&lt;CondGood,_xlfn.LOGNORM.INV(RAND(),MV3,Sigma2),MIN(MaxMultiple,Xm/(1-RAND())^(1/Alpha)))))</f>
        <v>0</v>
      </c>
      <c r="F25" s="19">
        <f ca="1">IF(RAND()&lt;P_Zero,0,IF(RAND()&lt;CondReturn,_xlfn.LOGNORM.INV(RAND(),MV2,Sigma1),IF(RAND()&lt;CondGood,_xlfn.LOGNORM.INV(RAND(),MV3,Sigma2),MIN(MaxMultiple,Xm/(1-RAND())^(1/Alpha)))))</f>
        <v>0</v>
      </c>
      <c r="G25" s="19">
        <f ca="1">IF(RAND()&lt;P_Zero,0,IF(RAND()&lt;CondReturn,_xlfn.LOGNORM.INV(RAND(),MV2,Sigma1),IF(RAND()&lt;CondGood,_xlfn.LOGNORM.INV(RAND(),MV3,Sigma2),MIN(MaxMultiple,Xm/(1-RAND())^(1/Alpha)))))</f>
        <v>0</v>
      </c>
      <c r="H25" s="19">
        <f ca="1">IF(RAND()&lt;P_Zero,0,IF(RAND()&lt;CondReturn,_xlfn.LOGNORM.INV(RAND(),MV2,Sigma1),IF(RAND()&lt;CondGood,_xlfn.LOGNORM.INV(RAND(),MV3,Sigma2),MIN(MaxMultiple,Xm/(1-RAND())^(1/Alpha)))))</f>
        <v>0</v>
      </c>
      <c r="I25" s="19">
        <f ca="1">IF(RAND()&lt;P_Zero,0,IF(RAND()&lt;CondReturn,_xlfn.LOGNORM.INV(RAND(),MV2,Sigma1),IF(RAND()&lt;CondGood,_xlfn.LOGNORM.INV(RAND(),MV3,Sigma2),MIN(MaxMultiple,Xm/(1-RAND())^(1/Alpha)))))</f>
        <v>0</v>
      </c>
      <c r="J25" s="19">
        <f ca="1">IF(RAND()&lt;P_Zero,0,IF(RAND()&lt;CondReturn,_xlfn.LOGNORM.INV(RAND(),MV2,Sigma1),IF(RAND()&lt;CondGood,_xlfn.LOGNORM.INV(RAND(),MV3,Sigma2),MIN(MaxMultiple,Xm/(1-RAND())^(1/Alpha)))))</f>
        <v>1.2991460789328264</v>
      </c>
      <c r="K25" s="19">
        <f ca="1">IF(RAND()&lt;P_Zero,0,IF(RAND()&lt;CondReturn,_xlfn.LOGNORM.INV(RAND(),MV2,Sigma1),IF(RAND()&lt;CondGood,_xlfn.LOGNORM.INV(RAND(),MV3,Sigma2),MIN(MaxMultiple,Xm/(1-RAND())^(1/Alpha)))))</f>
        <v>2.1977475413795693</v>
      </c>
      <c r="L25" s="19">
        <f ca="1">IF(RAND()&lt;P_Zero,0,IF(RAND()&lt;CondReturn,_xlfn.LOGNORM.INV(RAND(),MV2,Sigma1),IF(RAND()&lt;CondGood,_xlfn.LOGNORM.INV(RAND(),MV3,Sigma2),MIN(MaxMultiple,Xm/(1-RAND())^(1/Alpha)))))</f>
        <v>0.50420228083757912</v>
      </c>
      <c r="M25" s="19">
        <f ca="1">IF(RAND()&lt;P_Zero,0,IF(RAND()&lt;CondReturn,_xlfn.LOGNORM.INV(RAND(),MV2,Sigma1),IF(RAND()&lt;CondGood,_xlfn.LOGNORM.INV(RAND(),MV3,Sigma2),MIN(MaxMultiple,Xm/(1-RAND())^(1/Alpha)))))</f>
        <v>1.8798891524328918</v>
      </c>
      <c r="N25" s="19">
        <f ca="1">IF(RAND()&lt;P_Zero,0,IF(RAND()&lt;CondReturn,_xlfn.LOGNORM.INV(RAND(),MV2,Sigma1),IF(RAND()&lt;CondGood,_xlfn.LOGNORM.INV(RAND(),MV3,Sigma2),MIN(MaxMultiple,Xm/(1-RAND())^(1/Alpha)))))</f>
        <v>1.2772639551179401</v>
      </c>
      <c r="O25" s="19">
        <f ca="1">IF(RAND()&lt;P_Zero,0,IF(RAND()&lt;CondReturn,_xlfn.LOGNORM.INV(RAND(),MV2,Sigma1),IF(RAND()&lt;CondGood,_xlfn.LOGNORM.INV(RAND(),MV3,Sigma2),MIN(MaxMultiple,Xm/(1-RAND())^(1/Alpha)))))</f>
        <v>0</v>
      </c>
      <c r="P25" s="19">
        <f ca="1">IF(RAND()&lt;P_Zero,0,IF(RAND()&lt;CondReturn,_xlfn.LOGNORM.INV(RAND(),MV2,Sigma1),IF(RAND()&lt;CondGood,_xlfn.LOGNORM.INV(RAND(),MV3,Sigma2),MIN(MaxMultiple,Xm/(1-RAND())^(1/Alpha)))))</f>
        <v>1.1432998029323926</v>
      </c>
      <c r="Q25" s="19">
        <f ca="1">IF(RAND()&lt;P_Zero,0,IF(RAND()&lt;CondReturn,_xlfn.LOGNORM.INV(RAND(),MV2,Sigma1),IF(RAND()&lt;CondGood,_xlfn.LOGNORM.INV(RAND(),MV3,Sigma2),MIN(MaxMultiple,Xm/(1-RAND())^(1/Alpha)))))</f>
        <v>0</v>
      </c>
      <c r="R25" s="19">
        <f ca="1">IF(RAND()&lt;P_Zero,0,IF(RAND()&lt;CondReturn,_xlfn.LOGNORM.INV(RAND(),MV2,Sigma1),IF(RAND()&lt;CondGood,_xlfn.LOGNORM.INV(RAND(),MV3,Sigma2),MIN(MaxMultiple,Xm/(1-RAND())^(1/Alpha)))))</f>
        <v>1.440583308608395</v>
      </c>
      <c r="S25" s="19">
        <f ca="1">IF(RAND()&lt;P_Zero,0,IF(RAND()&lt;CondReturn,_xlfn.LOGNORM.INV(RAND(),MV2,Sigma1),IF(RAND()&lt;CondGood,_xlfn.LOGNORM.INV(RAND(),MV3,Sigma2),MIN(MaxMultiple,Xm/(1-RAND())^(1/Alpha)))))</f>
        <v>2.3580334542637997</v>
      </c>
      <c r="T25" s="19">
        <f ca="1">IF(RAND()&lt;P_Zero,0,IF(RAND()&lt;CondReturn,_xlfn.LOGNORM.INV(RAND(),MV2,Sigma1),IF(RAND()&lt;CondGood,_xlfn.LOGNORM.INV(RAND(),MV3,Sigma2),MIN(MaxMultiple,Xm/(1-RAND())^(1/Alpha)))))</f>
        <v>0</v>
      </c>
      <c r="U25" s="19">
        <f ca="1">IF(RAND()&lt;P_Zero,0,IF(RAND()&lt;CondReturn,_xlfn.LOGNORM.INV(RAND(),MV2,Sigma1),IF(RAND()&lt;CondGood,_xlfn.LOGNORM.INV(RAND(),MV3,Sigma2),MIN(MaxMultiple,Xm/(1-RAND())^(1/Alpha)))))</f>
        <v>0</v>
      </c>
      <c r="V25" s="19">
        <f ca="1">IF(RAND()&lt;P_Zero,0,IF(RAND()&lt;CondReturn,_xlfn.LOGNORM.INV(RAND(),MV2,Sigma1),IF(RAND()&lt;CondGood,_xlfn.LOGNORM.INV(RAND(),MV3,Sigma2),MIN(MaxMultiple,Xm/(1-RAND())^(1/Alpha)))))</f>
        <v>0</v>
      </c>
      <c r="W25" s="19">
        <f ca="1">IF(RAND()&lt;P_Zero,0,IF(RAND()&lt;CondReturn,_xlfn.LOGNORM.INV(RAND(),MV2,Sigma1),IF(RAND()&lt;CondGood,_xlfn.LOGNORM.INV(RAND(),MV3,Sigma2),MIN(MaxMultiple,Xm/(1-RAND())^(1/Alpha)))))</f>
        <v>0</v>
      </c>
      <c r="X25" s="19">
        <f ca="1">IF(RAND()&lt;P_Zero,0,IF(RAND()&lt;CondReturn,_xlfn.LOGNORM.INV(RAND(),MV2,Sigma1),IF(RAND()&lt;CondGood,_xlfn.LOGNORM.INV(RAND(),MV3,Sigma2),MIN(MaxMultiple,Xm/(1-RAND())^(1/Alpha)))))</f>
        <v>0</v>
      </c>
      <c r="Y25" s="19">
        <f ca="1">IF(RAND()&lt;P_Zero,0,IF(RAND()&lt;CondReturn,_xlfn.LOGNORM.INV(RAND(),MV2,Sigma1),IF(RAND()&lt;CondGood,_xlfn.LOGNORM.INV(RAND(),MV3,Sigma2),MIN(MaxMultiple,Xm/(1-RAND())^(1/Alpha)))))</f>
        <v>0</v>
      </c>
      <c r="Z25" s="19">
        <f ca="1">IF(RAND()&lt;P_Zero,0,IF(RAND()&lt;CondReturn,_xlfn.LOGNORM.INV(RAND(),MV2,Sigma1),IF(RAND()&lt;CondGood,_xlfn.LOGNORM.INV(RAND(),MV3,Sigma2),MIN(MaxMultiple,Xm/(1-RAND())^(1/Alpha)))))</f>
        <v>0</v>
      </c>
      <c r="AA25" s="19">
        <f ca="1">IF(RAND()&lt;P_Zero,0,IF(RAND()&lt;CondReturn,_xlfn.LOGNORM.INV(RAND(),MV2,Sigma1),IF(RAND()&lt;CondGood,_xlfn.LOGNORM.INV(RAND(),MV3,Sigma2),MIN(MaxMultiple,Xm/(1-RAND())^(1/Alpha)))))</f>
        <v>5.1143445397390543</v>
      </c>
      <c r="AB25" s="19">
        <f t="shared" ca="1" si="0"/>
        <v>0.74345866093967217</v>
      </c>
      <c r="AC25" s="14">
        <f t="shared" ca="1" si="1"/>
        <v>35686015.725104265</v>
      </c>
      <c r="AD25" s="14">
        <f t="shared" ca="1" si="2"/>
        <v>-12313984.274895735</v>
      </c>
      <c r="AE25" s="14">
        <f t="shared" si="3"/>
        <v>55628399.869093813</v>
      </c>
      <c r="AF25" s="14">
        <f t="shared" ca="1" si="4"/>
        <v>0</v>
      </c>
      <c r="AG25" s="14">
        <f t="shared" ca="1" si="5"/>
        <v>0</v>
      </c>
      <c r="AH25" s="14">
        <f t="shared" ca="1" si="6"/>
        <v>35686015.725104265</v>
      </c>
      <c r="AI25" s="19">
        <f t="shared" ca="1" si="7"/>
        <v>0.59476692875173776</v>
      </c>
    </row>
    <row r="26" spans="2:35" x14ac:dyDescent="0.2">
      <c r="B26" s="1">
        <v>21</v>
      </c>
      <c r="C26" s="19">
        <f ca="1">IF(RAND()&lt;P_Zero,0,IF(RAND()&lt;CondReturn,_xlfn.LOGNORM.INV(RAND(),MV2,Sigma1),IF(RAND()&lt;CondGood,_xlfn.LOGNORM.INV(RAND(),MV3,Sigma2),MIN(MaxMultiple,Xm/(1-RAND())^(1/Alpha)))))</f>
        <v>0.85662099586864859</v>
      </c>
      <c r="D26" s="19">
        <f ca="1">IF(RAND()&lt;P_Zero,0,IF(RAND()&lt;CondReturn,_xlfn.LOGNORM.INV(RAND(),MV2,Sigma1),IF(RAND()&lt;CondGood,_xlfn.LOGNORM.INV(RAND(),MV3,Sigma2),MIN(MaxMultiple,Xm/(1-RAND())^(1/Alpha)))))</f>
        <v>29.790560775714219</v>
      </c>
      <c r="E26" s="19">
        <f ca="1">IF(RAND()&lt;P_Zero,0,IF(RAND()&lt;CondReturn,_xlfn.LOGNORM.INV(RAND(),MV2,Sigma1),IF(RAND()&lt;CondGood,_xlfn.LOGNORM.INV(RAND(),MV3,Sigma2),MIN(MaxMultiple,Xm/(1-RAND())^(1/Alpha)))))</f>
        <v>1.416848453419193</v>
      </c>
      <c r="F26" s="19">
        <f ca="1">IF(RAND()&lt;P_Zero,0,IF(RAND()&lt;CondReturn,_xlfn.LOGNORM.INV(RAND(),MV2,Sigma1),IF(RAND()&lt;CondGood,_xlfn.LOGNORM.INV(RAND(),MV3,Sigma2),MIN(MaxMultiple,Xm/(1-RAND())^(1/Alpha)))))</f>
        <v>1.1688941849865842</v>
      </c>
      <c r="G26" s="19">
        <f ca="1">IF(RAND()&lt;P_Zero,0,IF(RAND()&lt;CondReturn,_xlfn.LOGNORM.INV(RAND(),MV2,Sigma1),IF(RAND()&lt;CondGood,_xlfn.LOGNORM.INV(RAND(),MV3,Sigma2),MIN(MaxMultiple,Xm/(1-RAND())^(1/Alpha)))))</f>
        <v>0.44819312416347379</v>
      </c>
      <c r="H26" s="19">
        <f ca="1">IF(RAND()&lt;P_Zero,0,IF(RAND()&lt;CondReturn,_xlfn.LOGNORM.INV(RAND(),MV2,Sigma1),IF(RAND()&lt;CondGood,_xlfn.LOGNORM.INV(RAND(),MV3,Sigma2),MIN(MaxMultiple,Xm/(1-RAND())^(1/Alpha)))))</f>
        <v>0</v>
      </c>
      <c r="I26" s="19">
        <f ca="1">IF(RAND()&lt;P_Zero,0,IF(RAND()&lt;CondReturn,_xlfn.LOGNORM.INV(RAND(),MV2,Sigma1),IF(RAND()&lt;CondGood,_xlfn.LOGNORM.INV(RAND(),MV3,Sigma2),MIN(MaxMultiple,Xm/(1-RAND())^(1/Alpha)))))</f>
        <v>39.972484081996065</v>
      </c>
      <c r="J26" s="19">
        <f ca="1">IF(RAND()&lt;P_Zero,0,IF(RAND()&lt;CondReturn,_xlfn.LOGNORM.INV(RAND(),MV2,Sigma1),IF(RAND()&lt;CondGood,_xlfn.LOGNORM.INV(RAND(),MV3,Sigma2),MIN(MaxMultiple,Xm/(1-RAND())^(1/Alpha)))))</f>
        <v>0.74000600933633409</v>
      </c>
      <c r="K26" s="19">
        <f ca="1">IF(RAND()&lt;P_Zero,0,IF(RAND()&lt;CondReturn,_xlfn.LOGNORM.INV(RAND(),MV2,Sigma1),IF(RAND()&lt;CondGood,_xlfn.LOGNORM.INV(RAND(),MV3,Sigma2),MIN(MaxMultiple,Xm/(1-RAND())^(1/Alpha)))))</f>
        <v>1.5760796965552011</v>
      </c>
      <c r="L26" s="19">
        <f ca="1">IF(RAND()&lt;P_Zero,0,IF(RAND()&lt;CondReturn,_xlfn.LOGNORM.INV(RAND(),MV2,Sigma1),IF(RAND()&lt;CondGood,_xlfn.LOGNORM.INV(RAND(),MV3,Sigma2),MIN(MaxMultiple,Xm/(1-RAND())^(1/Alpha)))))</f>
        <v>0</v>
      </c>
      <c r="M26" s="19">
        <f ca="1">IF(RAND()&lt;P_Zero,0,IF(RAND()&lt;CondReturn,_xlfn.LOGNORM.INV(RAND(),MV2,Sigma1),IF(RAND()&lt;CondGood,_xlfn.LOGNORM.INV(RAND(),MV3,Sigma2),MIN(MaxMultiple,Xm/(1-RAND())^(1/Alpha)))))</f>
        <v>0.88597460416714657</v>
      </c>
      <c r="N26" s="19">
        <f ca="1">IF(RAND()&lt;P_Zero,0,IF(RAND()&lt;CondReturn,_xlfn.LOGNORM.INV(RAND(),MV2,Sigma1),IF(RAND()&lt;CondGood,_xlfn.LOGNORM.INV(RAND(),MV3,Sigma2),MIN(MaxMultiple,Xm/(1-RAND())^(1/Alpha)))))</f>
        <v>0</v>
      </c>
      <c r="O26" s="19">
        <f ca="1">IF(RAND()&lt;P_Zero,0,IF(RAND()&lt;CondReturn,_xlfn.LOGNORM.INV(RAND(),MV2,Sigma1),IF(RAND()&lt;CondGood,_xlfn.LOGNORM.INV(RAND(),MV3,Sigma2),MIN(MaxMultiple,Xm/(1-RAND())^(1/Alpha)))))</f>
        <v>0.61672101031533777</v>
      </c>
      <c r="P26" s="19">
        <f ca="1">IF(RAND()&lt;P_Zero,0,IF(RAND()&lt;CondReturn,_xlfn.LOGNORM.INV(RAND(),MV2,Sigma1),IF(RAND()&lt;CondGood,_xlfn.LOGNORM.INV(RAND(),MV3,Sigma2),MIN(MaxMultiple,Xm/(1-RAND())^(1/Alpha)))))</f>
        <v>0.83652803600381287</v>
      </c>
      <c r="Q26" s="19">
        <f ca="1">IF(RAND()&lt;P_Zero,0,IF(RAND()&lt;CondReturn,_xlfn.LOGNORM.INV(RAND(),MV2,Sigma1),IF(RAND()&lt;CondGood,_xlfn.LOGNORM.INV(RAND(),MV3,Sigma2),MIN(MaxMultiple,Xm/(1-RAND())^(1/Alpha)))))</f>
        <v>0</v>
      </c>
      <c r="R26" s="19">
        <f ca="1">IF(RAND()&lt;P_Zero,0,IF(RAND()&lt;CondReturn,_xlfn.LOGNORM.INV(RAND(),MV2,Sigma1),IF(RAND()&lt;CondGood,_xlfn.LOGNORM.INV(RAND(),MV3,Sigma2),MIN(MaxMultiple,Xm/(1-RAND())^(1/Alpha)))))</f>
        <v>0</v>
      </c>
      <c r="S26" s="19">
        <f ca="1">IF(RAND()&lt;P_Zero,0,IF(RAND()&lt;CondReturn,_xlfn.LOGNORM.INV(RAND(),MV2,Sigma1),IF(RAND()&lt;CondGood,_xlfn.LOGNORM.INV(RAND(),MV3,Sigma2),MIN(MaxMultiple,Xm/(1-RAND())^(1/Alpha)))))</f>
        <v>0</v>
      </c>
      <c r="T26" s="19">
        <f ca="1">IF(RAND()&lt;P_Zero,0,IF(RAND()&lt;CondReturn,_xlfn.LOGNORM.INV(RAND(),MV2,Sigma1),IF(RAND()&lt;CondGood,_xlfn.LOGNORM.INV(RAND(),MV3,Sigma2),MIN(MaxMultiple,Xm/(1-RAND())^(1/Alpha)))))</f>
        <v>0</v>
      </c>
      <c r="U26" s="19">
        <f ca="1">IF(RAND()&lt;P_Zero,0,IF(RAND()&lt;CondReturn,_xlfn.LOGNORM.INV(RAND(),MV2,Sigma1),IF(RAND()&lt;CondGood,_xlfn.LOGNORM.INV(RAND(),MV3,Sigma2),MIN(MaxMultiple,Xm/(1-RAND())^(1/Alpha)))))</f>
        <v>1.9100414307498628</v>
      </c>
      <c r="V26" s="19">
        <f ca="1">IF(RAND()&lt;P_Zero,0,IF(RAND()&lt;CondReturn,_xlfn.LOGNORM.INV(RAND(),MV2,Sigma1),IF(RAND()&lt;CondGood,_xlfn.LOGNORM.INV(RAND(),MV3,Sigma2),MIN(MaxMultiple,Xm/(1-RAND())^(1/Alpha)))))</f>
        <v>0.65765331481889266</v>
      </c>
      <c r="W26" s="19">
        <f ca="1">IF(RAND()&lt;P_Zero,0,IF(RAND()&lt;CondReturn,_xlfn.LOGNORM.INV(RAND(),MV2,Sigma1),IF(RAND()&lt;CondGood,_xlfn.LOGNORM.INV(RAND(),MV3,Sigma2),MIN(MaxMultiple,Xm/(1-RAND())^(1/Alpha)))))</f>
        <v>0</v>
      </c>
      <c r="X26" s="19">
        <f ca="1">IF(RAND()&lt;P_Zero,0,IF(RAND()&lt;CondReturn,_xlfn.LOGNORM.INV(RAND(),MV2,Sigma1),IF(RAND()&lt;CondGood,_xlfn.LOGNORM.INV(RAND(),MV3,Sigma2),MIN(MaxMultiple,Xm/(1-RAND())^(1/Alpha)))))</f>
        <v>0</v>
      </c>
      <c r="Y26" s="19">
        <f ca="1">IF(RAND()&lt;P_Zero,0,IF(RAND()&lt;CondReturn,_xlfn.LOGNORM.INV(RAND(),MV2,Sigma1),IF(RAND()&lt;CondGood,_xlfn.LOGNORM.INV(RAND(),MV3,Sigma2),MIN(MaxMultiple,Xm/(1-RAND())^(1/Alpha)))))</f>
        <v>1.2326197493532336</v>
      </c>
      <c r="Z26" s="19">
        <f ca="1">IF(RAND()&lt;P_Zero,0,IF(RAND()&lt;CondReturn,_xlfn.LOGNORM.INV(RAND(),MV2,Sigma1),IF(RAND()&lt;CondGood,_xlfn.LOGNORM.INV(RAND(),MV3,Sigma2),MIN(MaxMultiple,Xm/(1-RAND())^(1/Alpha)))))</f>
        <v>1.1469325687875356</v>
      </c>
      <c r="AA26" s="19">
        <f ca="1">IF(RAND()&lt;P_Zero,0,IF(RAND()&lt;CondReturn,_xlfn.LOGNORM.INV(RAND(),MV2,Sigma1),IF(RAND()&lt;CondGood,_xlfn.LOGNORM.INV(RAND(),MV3,Sigma2),MIN(MaxMultiple,Xm/(1-RAND())^(1/Alpha)))))</f>
        <v>0</v>
      </c>
      <c r="AB26" s="19">
        <f t="shared" ca="1" si="0"/>
        <v>3.3302463214494211</v>
      </c>
      <c r="AC26" s="14">
        <f t="shared" ca="1" si="1"/>
        <v>159851823.42957222</v>
      </c>
      <c r="AD26" s="14">
        <f t="shared" ca="1" si="2"/>
        <v>111851823.42957222</v>
      </c>
      <c r="AE26" s="14">
        <f t="shared" si="3"/>
        <v>55628399.869093813</v>
      </c>
      <c r="AF26" s="14">
        <f t="shared" ca="1" si="4"/>
        <v>56223423.560478412</v>
      </c>
      <c r="AG26" s="14">
        <f t="shared" ca="1" si="5"/>
        <v>11244684.712095683</v>
      </c>
      <c r="AH26" s="14">
        <f t="shared" ca="1" si="6"/>
        <v>148607138.71747655</v>
      </c>
      <c r="AI26" s="19">
        <f t="shared" ca="1" si="7"/>
        <v>2.476785645291276</v>
      </c>
    </row>
    <row r="27" spans="2:35" x14ac:dyDescent="0.2">
      <c r="B27" s="1">
        <v>22</v>
      </c>
      <c r="C27" s="19">
        <f ca="1">IF(RAND()&lt;P_Zero,0,IF(RAND()&lt;CondReturn,_xlfn.LOGNORM.INV(RAND(),MV2,Sigma1),IF(RAND()&lt;CondGood,_xlfn.LOGNORM.INV(RAND(),MV3,Sigma2),MIN(MaxMultiple,Xm/(1-RAND())^(1/Alpha)))))</f>
        <v>0</v>
      </c>
      <c r="D27" s="19">
        <f ca="1">IF(RAND()&lt;P_Zero,0,IF(RAND()&lt;CondReturn,_xlfn.LOGNORM.INV(RAND(),MV2,Sigma1),IF(RAND()&lt;CondGood,_xlfn.LOGNORM.INV(RAND(),MV3,Sigma2),MIN(MaxMultiple,Xm/(1-RAND())^(1/Alpha)))))</f>
        <v>1.0373350240312427</v>
      </c>
      <c r="E27" s="19">
        <f ca="1">IF(RAND()&lt;P_Zero,0,IF(RAND()&lt;CondReturn,_xlfn.LOGNORM.INV(RAND(),MV2,Sigma1),IF(RAND()&lt;CondGood,_xlfn.LOGNORM.INV(RAND(),MV3,Sigma2),MIN(MaxMultiple,Xm/(1-RAND())^(1/Alpha)))))</f>
        <v>0.72897314091434473</v>
      </c>
      <c r="F27" s="19">
        <f ca="1">IF(RAND()&lt;P_Zero,0,IF(RAND()&lt;CondReturn,_xlfn.LOGNORM.INV(RAND(),MV2,Sigma1),IF(RAND()&lt;CondGood,_xlfn.LOGNORM.INV(RAND(),MV3,Sigma2),MIN(MaxMultiple,Xm/(1-RAND())^(1/Alpha)))))</f>
        <v>1.3031525747607686</v>
      </c>
      <c r="G27" s="19">
        <f ca="1">IF(RAND()&lt;P_Zero,0,IF(RAND()&lt;CondReturn,_xlfn.LOGNORM.INV(RAND(),MV2,Sigma1),IF(RAND()&lt;CondGood,_xlfn.LOGNORM.INV(RAND(),MV3,Sigma2),MIN(MaxMultiple,Xm/(1-RAND())^(1/Alpha)))))</f>
        <v>0</v>
      </c>
      <c r="H27" s="19">
        <f ca="1">IF(RAND()&lt;P_Zero,0,IF(RAND()&lt;CondReturn,_xlfn.LOGNORM.INV(RAND(),MV2,Sigma1),IF(RAND()&lt;CondGood,_xlfn.LOGNORM.INV(RAND(),MV3,Sigma2),MIN(MaxMultiple,Xm/(1-RAND())^(1/Alpha)))))</f>
        <v>10.777339025393941</v>
      </c>
      <c r="I27" s="19">
        <f ca="1">IF(RAND()&lt;P_Zero,0,IF(RAND()&lt;CondReturn,_xlfn.LOGNORM.INV(RAND(),MV2,Sigma1),IF(RAND()&lt;CondGood,_xlfn.LOGNORM.INV(RAND(),MV3,Sigma2),MIN(MaxMultiple,Xm/(1-RAND())^(1/Alpha)))))</f>
        <v>0.92895667245957314</v>
      </c>
      <c r="J27" s="19">
        <f ca="1">IF(RAND()&lt;P_Zero,0,IF(RAND()&lt;CondReturn,_xlfn.LOGNORM.INV(RAND(),MV2,Sigma1),IF(RAND()&lt;CondGood,_xlfn.LOGNORM.INV(RAND(),MV3,Sigma2),MIN(MaxMultiple,Xm/(1-RAND())^(1/Alpha)))))</f>
        <v>0</v>
      </c>
      <c r="K27" s="19">
        <f ca="1">IF(RAND()&lt;P_Zero,0,IF(RAND()&lt;CondReturn,_xlfn.LOGNORM.INV(RAND(),MV2,Sigma1),IF(RAND()&lt;CondGood,_xlfn.LOGNORM.INV(RAND(),MV3,Sigma2),MIN(MaxMultiple,Xm/(1-RAND())^(1/Alpha)))))</f>
        <v>0</v>
      </c>
      <c r="L27" s="19">
        <f ca="1">IF(RAND()&lt;P_Zero,0,IF(RAND()&lt;CondReturn,_xlfn.LOGNORM.INV(RAND(),MV2,Sigma1),IF(RAND()&lt;CondGood,_xlfn.LOGNORM.INV(RAND(),MV3,Sigma2),MIN(MaxMultiple,Xm/(1-RAND())^(1/Alpha)))))</f>
        <v>1.2563839927513571</v>
      </c>
      <c r="M27" s="19">
        <f ca="1">IF(RAND()&lt;P_Zero,0,IF(RAND()&lt;CondReturn,_xlfn.LOGNORM.INV(RAND(),MV2,Sigma1),IF(RAND()&lt;CondGood,_xlfn.LOGNORM.INV(RAND(),MV3,Sigma2),MIN(MaxMultiple,Xm/(1-RAND())^(1/Alpha)))))</f>
        <v>0.96063513075641105</v>
      </c>
      <c r="N27" s="19">
        <f ca="1">IF(RAND()&lt;P_Zero,0,IF(RAND()&lt;CondReturn,_xlfn.LOGNORM.INV(RAND(),MV2,Sigma1),IF(RAND()&lt;CondGood,_xlfn.LOGNORM.INV(RAND(),MV3,Sigma2),MIN(MaxMultiple,Xm/(1-RAND())^(1/Alpha)))))</f>
        <v>0.98989142936111585</v>
      </c>
      <c r="O27" s="19">
        <f ca="1">IF(RAND()&lt;P_Zero,0,IF(RAND()&lt;CondReturn,_xlfn.LOGNORM.INV(RAND(),MV2,Sigma1),IF(RAND()&lt;CondGood,_xlfn.LOGNORM.INV(RAND(),MV3,Sigma2),MIN(MaxMultiple,Xm/(1-RAND())^(1/Alpha)))))</f>
        <v>10.831037004798832</v>
      </c>
      <c r="P27" s="19">
        <f ca="1">IF(RAND()&lt;P_Zero,0,IF(RAND()&lt;CondReturn,_xlfn.LOGNORM.INV(RAND(),MV2,Sigma1),IF(RAND()&lt;CondGood,_xlfn.LOGNORM.INV(RAND(),MV3,Sigma2),MIN(MaxMultiple,Xm/(1-RAND())^(1/Alpha)))))</f>
        <v>0</v>
      </c>
      <c r="Q27" s="19">
        <f ca="1">IF(RAND()&lt;P_Zero,0,IF(RAND()&lt;CondReturn,_xlfn.LOGNORM.INV(RAND(),MV2,Sigma1),IF(RAND()&lt;CondGood,_xlfn.LOGNORM.INV(RAND(),MV3,Sigma2),MIN(MaxMultiple,Xm/(1-RAND())^(1/Alpha)))))</f>
        <v>0.77847054185523745</v>
      </c>
      <c r="R27" s="19">
        <f ca="1">IF(RAND()&lt;P_Zero,0,IF(RAND()&lt;CondReturn,_xlfn.LOGNORM.INV(RAND(),MV2,Sigma1),IF(RAND()&lt;CondGood,_xlfn.LOGNORM.INV(RAND(),MV3,Sigma2),MIN(MaxMultiple,Xm/(1-RAND())^(1/Alpha)))))</f>
        <v>0</v>
      </c>
      <c r="S27" s="19">
        <f ca="1">IF(RAND()&lt;P_Zero,0,IF(RAND()&lt;CondReturn,_xlfn.LOGNORM.INV(RAND(),MV2,Sigma1),IF(RAND()&lt;CondGood,_xlfn.LOGNORM.INV(RAND(),MV3,Sigma2),MIN(MaxMultiple,Xm/(1-RAND())^(1/Alpha)))))</f>
        <v>0.82373916816333514</v>
      </c>
      <c r="T27" s="19">
        <f ca="1">IF(RAND()&lt;P_Zero,0,IF(RAND()&lt;CondReturn,_xlfn.LOGNORM.INV(RAND(),MV2,Sigma1),IF(RAND()&lt;CondGood,_xlfn.LOGNORM.INV(RAND(),MV3,Sigma2),MIN(MaxMultiple,Xm/(1-RAND())^(1/Alpha)))))</f>
        <v>1.3224293169763133</v>
      </c>
      <c r="U27" s="19">
        <f ca="1">IF(RAND()&lt;P_Zero,0,IF(RAND()&lt;CondReturn,_xlfn.LOGNORM.INV(RAND(),MV2,Sigma1),IF(RAND()&lt;CondGood,_xlfn.LOGNORM.INV(RAND(),MV3,Sigma2),MIN(MaxMultiple,Xm/(1-RAND())^(1/Alpha)))))</f>
        <v>0.45404566212095537</v>
      </c>
      <c r="V27" s="19">
        <f ca="1">IF(RAND()&lt;P_Zero,0,IF(RAND()&lt;CondReturn,_xlfn.LOGNORM.INV(RAND(),MV2,Sigma1),IF(RAND()&lt;CondGood,_xlfn.LOGNORM.INV(RAND(),MV3,Sigma2),MIN(MaxMultiple,Xm/(1-RAND())^(1/Alpha)))))</f>
        <v>0</v>
      </c>
      <c r="W27" s="19">
        <f ca="1">IF(RAND()&lt;P_Zero,0,IF(RAND()&lt;CondReturn,_xlfn.LOGNORM.INV(RAND(),MV2,Sigma1),IF(RAND()&lt;CondGood,_xlfn.LOGNORM.INV(RAND(),MV3,Sigma2),MIN(MaxMultiple,Xm/(1-RAND())^(1/Alpha)))))</f>
        <v>0</v>
      </c>
      <c r="X27" s="19">
        <f ca="1">IF(RAND()&lt;P_Zero,0,IF(RAND()&lt;CondReturn,_xlfn.LOGNORM.INV(RAND(),MV2,Sigma1),IF(RAND()&lt;CondGood,_xlfn.LOGNORM.INV(RAND(),MV3,Sigma2),MIN(MaxMultiple,Xm/(1-RAND())^(1/Alpha)))))</f>
        <v>0.88536542302652455</v>
      </c>
      <c r="Y27" s="19">
        <f ca="1">IF(RAND()&lt;P_Zero,0,IF(RAND()&lt;CondReturn,_xlfn.LOGNORM.INV(RAND(),MV2,Sigma1),IF(RAND()&lt;CondGood,_xlfn.LOGNORM.INV(RAND(),MV3,Sigma2),MIN(MaxMultiple,Xm/(1-RAND())^(1/Alpha)))))</f>
        <v>0</v>
      </c>
      <c r="Z27" s="19">
        <f ca="1">IF(RAND()&lt;P_Zero,0,IF(RAND()&lt;CondReturn,_xlfn.LOGNORM.INV(RAND(),MV2,Sigma1),IF(RAND()&lt;CondGood,_xlfn.LOGNORM.INV(RAND(),MV3,Sigma2),MIN(MaxMultiple,Xm/(1-RAND())^(1/Alpha)))))</f>
        <v>0</v>
      </c>
      <c r="AA27" s="19">
        <f ca="1">IF(RAND()&lt;P_Zero,0,IF(RAND()&lt;CondReturn,_xlfn.LOGNORM.INV(RAND(),MV2,Sigma1),IF(RAND()&lt;CondGood,_xlfn.LOGNORM.INV(RAND(),MV3,Sigma2),MIN(MaxMultiple,Xm/(1-RAND())^(1/Alpha)))))</f>
        <v>0</v>
      </c>
      <c r="AB27" s="19">
        <f t="shared" ca="1" si="0"/>
        <v>1.3231101642947982</v>
      </c>
      <c r="AC27" s="14">
        <f t="shared" ca="1" si="1"/>
        <v>63509287.886150315</v>
      </c>
      <c r="AD27" s="14">
        <f t="shared" ca="1" si="2"/>
        <v>15509287.886150315</v>
      </c>
      <c r="AE27" s="14">
        <f t="shared" si="3"/>
        <v>55628399.869093813</v>
      </c>
      <c r="AF27" s="14">
        <f t="shared" ca="1" si="4"/>
        <v>0</v>
      </c>
      <c r="AG27" s="14">
        <f t="shared" ca="1" si="5"/>
        <v>0</v>
      </c>
      <c r="AH27" s="14">
        <f t="shared" ca="1" si="6"/>
        <v>63509287.886150315</v>
      </c>
      <c r="AI27" s="19">
        <f t="shared" ca="1" si="7"/>
        <v>1.0584881314358385</v>
      </c>
    </row>
    <row r="28" spans="2:35" x14ac:dyDescent="0.2">
      <c r="B28" s="1">
        <v>23</v>
      </c>
      <c r="C28" s="19">
        <f ca="1">IF(RAND()&lt;P_Zero,0,IF(RAND()&lt;CondReturn,_xlfn.LOGNORM.INV(RAND(),MV2,Sigma1),IF(RAND()&lt;CondGood,_xlfn.LOGNORM.INV(RAND(),MV3,Sigma2),MIN(MaxMultiple,Xm/(1-RAND())^(1/Alpha)))))</f>
        <v>0</v>
      </c>
      <c r="D28" s="19">
        <f ca="1">IF(RAND()&lt;P_Zero,0,IF(RAND()&lt;CondReturn,_xlfn.LOGNORM.INV(RAND(),MV2,Sigma1),IF(RAND()&lt;CondGood,_xlfn.LOGNORM.INV(RAND(),MV3,Sigma2),MIN(MaxMultiple,Xm/(1-RAND())^(1/Alpha)))))</f>
        <v>28.021650451483275</v>
      </c>
      <c r="E28" s="19">
        <f ca="1">IF(RAND()&lt;P_Zero,0,IF(RAND()&lt;CondReturn,_xlfn.LOGNORM.INV(RAND(),MV2,Sigma1),IF(RAND()&lt;CondGood,_xlfn.LOGNORM.INV(RAND(),MV3,Sigma2),MIN(MaxMultiple,Xm/(1-RAND())^(1/Alpha)))))</f>
        <v>1.3061077707244073</v>
      </c>
      <c r="F28" s="19">
        <f ca="1">IF(RAND()&lt;P_Zero,0,IF(RAND()&lt;CondReturn,_xlfn.LOGNORM.INV(RAND(),MV2,Sigma1),IF(RAND()&lt;CondGood,_xlfn.LOGNORM.INV(RAND(),MV3,Sigma2),MIN(MaxMultiple,Xm/(1-RAND())^(1/Alpha)))))</f>
        <v>0.52378834439726951</v>
      </c>
      <c r="G28" s="19">
        <f ca="1">IF(RAND()&lt;P_Zero,0,IF(RAND()&lt;CondReturn,_xlfn.LOGNORM.INV(RAND(),MV2,Sigma1),IF(RAND()&lt;CondGood,_xlfn.LOGNORM.INV(RAND(),MV3,Sigma2),MIN(MaxMultiple,Xm/(1-RAND())^(1/Alpha)))))</f>
        <v>2.3547439131260313</v>
      </c>
      <c r="H28" s="19">
        <f ca="1">IF(RAND()&lt;P_Zero,0,IF(RAND()&lt;CondReturn,_xlfn.LOGNORM.INV(RAND(),MV2,Sigma1),IF(RAND()&lt;CondGood,_xlfn.LOGNORM.INV(RAND(),MV3,Sigma2),MIN(MaxMultiple,Xm/(1-RAND())^(1/Alpha)))))</f>
        <v>0</v>
      </c>
      <c r="I28" s="19">
        <f ca="1">IF(RAND()&lt;P_Zero,0,IF(RAND()&lt;CondReturn,_xlfn.LOGNORM.INV(RAND(),MV2,Sigma1),IF(RAND()&lt;CondGood,_xlfn.LOGNORM.INV(RAND(),MV3,Sigma2),MIN(MaxMultiple,Xm/(1-RAND())^(1/Alpha)))))</f>
        <v>14.881526250622445</v>
      </c>
      <c r="J28" s="19">
        <f ca="1">IF(RAND()&lt;P_Zero,0,IF(RAND()&lt;CondReturn,_xlfn.LOGNORM.INV(RAND(),MV2,Sigma1),IF(RAND()&lt;CondGood,_xlfn.LOGNORM.INV(RAND(),MV3,Sigma2),MIN(MaxMultiple,Xm/(1-RAND())^(1/Alpha)))))</f>
        <v>13.170787738567233</v>
      </c>
      <c r="K28" s="19">
        <f ca="1">IF(RAND()&lt;P_Zero,0,IF(RAND()&lt;CondReturn,_xlfn.LOGNORM.INV(RAND(),MV2,Sigma1),IF(RAND()&lt;CondGood,_xlfn.LOGNORM.INV(RAND(),MV3,Sigma2),MIN(MaxMultiple,Xm/(1-RAND())^(1/Alpha)))))</f>
        <v>24.490777006559295</v>
      </c>
      <c r="L28" s="19">
        <f ca="1">IF(RAND()&lt;P_Zero,0,IF(RAND()&lt;CondReturn,_xlfn.LOGNORM.INV(RAND(),MV2,Sigma1),IF(RAND()&lt;CondGood,_xlfn.LOGNORM.INV(RAND(),MV3,Sigma2),MIN(MaxMultiple,Xm/(1-RAND())^(1/Alpha)))))</f>
        <v>0</v>
      </c>
      <c r="M28" s="19">
        <f ca="1">IF(RAND()&lt;P_Zero,0,IF(RAND()&lt;CondReturn,_xlfn.LOGNORM.INV(RAND(),MV2,Sigma1),IF(RAND()&lt;CondGood,_xlfn.LOGNORM.INV(RAND(),MV3,Sigma2),MIN(MaxMultiple,Xm/(1-RAND())^(1/Alpha)))))</f>
        <v>0.7723560948317163</v>
      </c>
      <c r="N28" s="19">
        <f ca="1">IF(RAND()&lt;P_Zero,0,IF(RAND()&lt;CondReturn,_xlfn.LOGNORM.INV(RAND(),MV2,Sigma1),IF(RAND()&lt;CondGood,_xlfn.LOGNORM.INV(RAND(),MV3,Sigma2),MIN(MaxMultiple,Xm/(1-RAND())^(1/Alpha)))))</f>
        <v>0</v>
      </c>
      <c r="O28" s="19">
        <f ca="1">IF(RAND()&lt;P_Zero,0,IF(RAND()&lt;CondReturn,_xlfn.LOGNORM.INV(RAND(),MV2,Sigma1),IF(RAND()&lt;CondGood,_xlfn.LOGNORM.INV(RAND(),MV3,Sigma2),MIN(MaxMultiple,Xm/(1-RAND())^(1/Alpha)))))</f>
        <v>0</v>
      </c>
      <c r="P28" s="19">
        <f ca="1">IF(RAND()&lt;P_Zero,0,IF(RAND()&lt;CondReturn,_xlfn.LOGNORM.INV(RAND(),MV2,Sigma1),IF(RAND()&lt;CondGood,_xlfn.LOGNORM.INV(RAND(),MV3,Sigma2),MIN(MaxMultiple,Xm/(1-RAND())^(1/Alpha)))))</f>
        <v>1.1689055175653595</v>
      </c>
      <c r="Q28" s="19">
        <f ca="1">IF(RAND()&lt;P_Zero,0,IF(RAND()&lt;CondReturn,_xlfn.LOGNORM.INV(RAND(),MV2,Sigma1),IF(RAND()&lt;CondGood,_xlfn.LOGNORM.INV(RAND(),MV3,Sigma2),MIN(MaxMultiple,Xm/(1-RAND())^(1/Alpha)))))</f>
        <v>10.671824023302639</v>
      </c>
      <c r="R28" s="19">
        <f ca="1">IF(RAND()&lt;P_Zero,0,IF(RAND()&lt;CondReturn,_xlfn.LOGNORM.INV(RAND(),MV2,Sigma1),IF(RAND()&lt;CondGood,_xlfn.LOGNORM.INV(RAND(),MV3,Sigma2),MIN(MaxMultiple,Xm/(1-RAND())^(1/Alpha)))))</f>
        <v>0.64711433450399802</v>
      </c>
      <c r="S28" s="19">
        <f ca="1">IF(RAND()&lt;P_Zero,0,IF(RAND()&lt;CondReturn,_xlfn.LOGNORM.INV(RAND(),MV2,Sigma1),IF(RAND()&lt;CondGood,_xlfn.LOGNORM.INV(RAND(),MV3,Sigma2),MIN(MaxMultiple,Xm/(1-RAND())^(1/Alpha)))))</f>
        <v>1.1063906194516977</v>
      </c>
      <c r="T28" s="19">
        <f ca="1">IF(RAND()&lt;P_Zero,0,IF(RAND()&lt;CondReturn,_xlfn.LOGNORM.INV(RAND(),MV2,Sigma1),IF(RAND()&lt;CondGood,_xlfn.LOGNORM.INV(RAND(),MV3,Sigma2),MIN(MaxMultiple,Xm/(1-RAND())^(1/Alpha)))))</f>
        <v>0.73219490465694304</v>
      </c>
      <c r="U28" s="19">
        <f ca="1">IF(RAND()&lt;P_Zero,0,IF(RAND()&lt;CondReturn,_xlfn.LOGNORM.INV(RAND(),MV2,Sigma1),IF(RAND()&lt;CondGood,_xlfn.LOGNORM.INV(RAND(),MV3,Sigma2),MIN(MaxMultiple,Xm/(1-RAND())^(1/Alpha)))))</f>
        <v>0</v>
      </c>
      <c r="V28" s="19">
        <f ca="1">IF(RAND()&lt;P_Zero,0,IF(RAND()&lt;CondReturn,_xlfn.LOGNORM.INV(RAND(),MV2,Sigma1),IF(RAND()&lt;CondGood,_xlfn.LOGNORM.INV(RAND(),MV3,Sigma2),MIN(MaxMultiple,Xm/(1-RAND())^(1/Alpha)))))</f>
        <v>0</v>
      </c>
      <c r="W28" s="19">
        <f ca="1">IF(RAND()&lt;P_Zero,0,IF(RAND()&lt;CondReturn,_xlfn.LOGNORM.INV(RAND(),MV2,Sigma1),IF(RAND()&lt;CondGood,_xlfn.LOGNORM.INV(RAND(),MV3,Sigma2),MIN(MaxMultiple,Xm/(1-RAND())^(1/Alpha)))))</f>
        <v>1.6056923952822877</v>
      </c>
      <c r="X28" s="19">
        <f ca="1">IF(RAND()&lt;P_Zero,0,IF(RAND()&lt;CondReturn,_xlfn.LOGNORM.INV(RAND(),MV2,Sigma1),IF(RAND()&lt;CondGood,_xlfn.LOGNORM.INV(RAND(),MV3,Sigma2),MIN(MaxMultiple,Xm/(1-RAND())^(1/Alpha)))))</f>
        <v>2.3828131529718184</v>
      </c>
      <c r="Y28" s="19">
        <f ca="1">IF(RAND()&lt;P_Zero,0,IF(RAND()&lt;CondReturn,_xlfn.LOGNORM.INV(RAND(),MV2,Sigma1),IF(RAND()&lt;CondGood,_xlfn.LOGNORM.INV(RAND(),MV3,Sigma2),MIN(MaxMultiple,Xm/(1-RAND())^(1/Alpha)))))</f>
        <v>0</v>
      </c>
      <c r="Z28" s="19">
        <f ca="1">IF(RAND()&lt;P_Zero,0,IF(RAND()&lt;CondReturn,_xlfn.LOGNORM.INV(RAND(),MV2,Sigma1),IF(RAND()&lt;CondGood,_xlfn.LOGNORM.INV(RAND(),MV3,Sigma2),MIN(MaxMultiple,Xm/(1-RAND())^(1/Alpha)))))</f>
        <v>0</v>
      </c>
      <c r="AA28" s="19">
        <f ca="1">IF(RAND()&lt;P_Zero,0,IF(RAND()&lt;CondReturn,_xlfn.LOGNORM.INV(RAND(),MV2,Sigma1),IF(RAND()&lt;CondGood,_xlfn.LOGNORM.INV(RAND(),MV3,Sigma2),MIN(MaxMultiple,Xm/(1-RAND())^(1/Alpha)))))</f>
        <v>0</v>
      </c>
      <c r="AB28" s="19">
        <f t="shared" ca="1" si="0"/>
        <v>4.153466900721857</v>
      </c>
      <c r="AC28" s="14">
        <f t="shared" ca="1" si="1"/>
        <v>199366411.23464912</v>
      </c>
      <c r="AD28" s="14">
        <f t="shared" ca="1" si="2"/>
        <v>151366411.23464912</v>
      </c>
      <c r="AE28" s="14">
        <f t="shared" si="3"/>
        <v>55628399.869093813</v>
      </c>
      <c r="AF28" s="14">
        <f t="shared" ca="1" si="4"/>
        <v>95738011.365555316</v>
      </c>
      <c r="AG28" s="14">
        <f t="shared" ca="1" si="5"/>
        <v>19147602.273111064</v>
      </c>
      <c r="AH28" s="14">
        <f t="shared" ca="1" si="6"/>
        <v>180218808.96153805</v>
      </c>
      <c r="AI28" s="19">
        <f t="shared" ca="1" si="7"/>
        <v>3.003646816025634</v>
      </c>
    </row>
    <row r="29" spans="2:35" x14ac:dyDescent="0.2">
      <c r="B29" s="1">
        <v>24</v>
      </c>
      <c r="C29" s="19">
        <f ca="1">IF(RAND()&lt;P_Zero,0,IF(RAND()&lt;CondReturn,_xlfn.LOGNORM.INV(RAND(),MV2,Sigma1),IF(RAND()&lt;CondGood,_xlfn.LOGNORM.INV(RAND(),MV3,Sigma2),MIN(MaxMultiple,Xm/(1-RAND())^(1/Alpha)))))</f>
        <v>35.079613190819664</v>
      </c>
      <c r="D29" s="19">
        <f ca="1">IF(RAND()&lt;P_Zero,0,IF(RAND()&lt;CondReturn,_xlfn.LOGNORM.INV(RAND(),MV2,Sigma1),IF(RAND()&lt;CondGood,_xlfn.LOGNORM.INV(RAND(),MV3,Sigma2),MIN(MaxMultiple,Xm/(1-RAND())^(1/Alpha)))))</f>
        <v>13.108735065683661</v>
      </c>
      <c r="E29" s="19">
        <f ca="1">IF(RAND()&lt;P_Zero,0,IF(RAND()&lt;CondReturn,_xlfn.LOGNORM.INV(RAND(),MV2,Sigma1),IF(RAND()&lt;CondGood,_xlfn.LOGNORM.INV(RAND(),MV3,Sigma2),MIN(MaxMultiple,Xm/(1-RAND())^(1/Alpha)))))</f>
        <v>0</v>
      </c>
      <c r="F29" s="19">
        <f ca="1">IF(RAND()&lt;P_Zero,0,IF(RAND()&lt;CondReturn,_xlfn.LOGNORM.INV(RAND(),MV2,Sigma1),IF(RAND()&lt;CondGood,_xlfn.LOGNORM.INV(RAND(),MV3,Sigma2),MIN(MaxMultiple,Xm/(1-RAND())^(1/Alpha)))))</f>
        <v>140.95175271192781</v>
      </c>
      <c r="G29" s="19">
        <f ca="1">IF(RAND()&lt;P_Zero,0,IF(RAND()&lt;CondReturn,_xlfn.LOGNORM.INV(RAND(),MV2,Sigma1),IF(RAND()&lt;CondGood,_xlfn.LOGNORM.INV(RAND(),MV3,Sigma2),MIN(MaxMultiple,Xm/(1-RAND())^(1/Alpha)))))</f>
        <v>0</v>
      </c>
      <c r="H29" s="19">
        <f ca="1">IF(RAND()&lt;P_Zero,0,IF(RAND()&lt;CondReturn,_xlfn.LOGNORM.INV(RAND(),MV2,Sigma1),IF(RAND()&lt;CondGood,_xlfn.LOGNORM.INV(RAND(),MV3,Sigma2),MIN(MaxMultiple,Xm/(1-RAND())^(1/Alpha)))))</f>
        <v>0.81024582461751293</v>
      </c>
      <c r="I29" s="19">
        <f ca="1">IF(RAND()&lt;P_Zero,0,IF(RAND()&lt;CondReturn,_xlfn.LOGNORM.INV(RAND(),MV2,Sigma1),IF(RAND()&lt;CondGood,_xlfn.LOGNORM.INV(RAND(),MV3,Sigma2),MIN(MaxMultiple,Xm/(1-RAND())^(1/Alpha)))))</f>
        <v>0.51984586496452956</v>
      </c>
      <c r="J29" s="19">
        <f ca="1">IF(RAND()&lt;P_Zero,0,IF(RAND()&lt;CondReturn,_xlfn.LOGNORM.INV(RAND(),MV2,Sigma1),IF(RAND()&lt;CondGood,_xlfn.LOGNORM.INV(RAND(),MV3,Sigma2),MIN(MaxMultiple,Xm/(1-RAND())^(1/Alpha)))))</f>
        <v>0.58404978682396647</v>
      </c>
      <c r="K29" s="19">
        <f ca="1">IF(RAND()&lt;P_Zero,0,IF(RAND()&lt;CondReturn,_xlfn.LOGNORM.INV(RAND(),MV2,Sigma1),IF(RAND()&lt;CondGood,_xlfn.LOGNORM.INV(RAND(),MV3,Sigma2),MIN(MaxMultiple,Xm/(1-RAND())^(1/Alpha)))))</f>
        <v>1.8388942481360326</v>
      </c>
      <c r="L29" s="19">
        <f ca="1">IF(RAND()&lt;P_Zero,0,IF(RAND()&lt;CondReturn,_xlfn.LOGNORM.INV(RAND(),MV2,Sigma1),IF(RAND()&lt;CondGood,_xlfn.LOGNORM.INV(RAND(),MV3,Sigma2),MIN(MaxMultiple,Xm/(1-RAND())^(1/Alpha)))))</f>
        <v>23.98395419508682</v>
      </c>
      <c r="M29" s="19">
        <f ca="1">IF(RAND()&lt;P_Zero,0,IF(RAND()&lt;CondReturn,_xlfn.LOGNORM.INV(RAND(),MV2,Sigma1),IF(RAND()&lt;CondGood,_xlfn.LOGNORM.INV(RAND(),MV3,Sigma2),MIN(MaxMultiple,Xm/(1-RAND())^(1/Alpha)))))</f>
        <v>0.40717112304214986</v>
      </c>
      <c r="N29" s="19">
        <f ca="1">IF(RAND()&lt;P_Zero,0,IF(RAND()&lt;CondReturn,_xlfn.LOGNORM.INV(RAND(),MV2,Sigma1),IF(RAND()&lt;CondGood,_xlfn.LOGNORM.INV(RAND(),MV3,Sigma2),MIN(MaxMultiple,Xm/(1-RAND())^(1/Alpha)))))</f>
        <v>0</v>
      </c>
      <c r="O29" s="19">
        <f ca="1">IF(RAND()&lt;P_Zero,0,IF(RAND()&lt;CondReturn,_xlfn.LOGNORM.INV(RAND(),MV2,Sigma1),IF(RAND()&lt;CondGood,_xlfn.LOGNORM.INV(RAND(),MV3,Sigma2),MIN(MaxMultiple,Xm/(1-RAND())^(1/Alpha)))))</f>
        <v>14.663697612736756</v>
      </c>
      <c r="P29" s="19">
        <f ca="1">IF(RAND()&lt;P_Zero,0,IF(RAND()&lt;CondReturn,_xlfn.LOGNORM.INV(RAND(),MV2,Sigma1),IF(RAND()&lt;CondGood,_xlfn.LOGNORM.INV(RAND(),MV3,Sigma2),MIN(MaxMultiple,Xm/(1-RAND())^(1/Alpha)))))</f>
        <v>0.68510834499238027</v>
      </c>
      <c r="Q29" s="19">
        <f ca="1">IF(RAND()&lt;P_Zero,0,IF(RAND()&lt;CondReturn,_xlfn.LOGNORM.INV(RAND(),MV2,Sigma1),IF(RAND()&lt;CondGood,_xlfn.LOGNORM.INV(RAND(),MV3,Sigma2),MIN(MaxMultiple,Xm/(1-RAND())^(1/Alpha)))))</f>
        <v>0</v>
      </c>
      <c r="R29" s="19">
        <f ca="1">IF(RAND()&lt;P_Zero,0,IF(RAND()&lt;CondReturn,_xlfn.LOGNORM.INV(RAND(),MV2,Sigma1),IF(RAND()&lt;CondGood,_xlfn.LOGNORM.INV(RAND(),MV3,Sigma2),MIN(MaxMultiple,Xm/(1-RAND())^(1/Alpha)))))</f>
        <v>1.5364432410454436</v>
      </c>
      <c r="S29" s="19">
        <f ca="1">IF(RAND()&lt;P_Zero,0,IF(RAND()&lt;CondReturn,_xlfn.LOGNORM.INV(RAND(),MV2,Sigma1),IF(RAND()&lt;CondGood,_xlfn.LOGNORM.INV(RAND(),MV3,Sigma2),MIN(MaxMultiple,Xm/(1-RAND())^(1/Alpha)))))</f>
        <v>0</v>
      </c>
      <c r="T29" s="19">
        <f ca="1">IF(RAND()&lt;P_Zero,0,IF(RAND()&lt;CondReturn,_xlfn.LOGNORM.INV(RAND(),MV2,Sigma1),IF(RAND()&lt;CondGood,_xlfn.LOGNORM.INV(RAND(),MV3,Sigma2),MIN(MaxMultiple,Xm/(1-RAND())^(1/Alpha)))))</f>
        <v>0</v>
      </c>
      <c r="U29" s="19">
        <f ca="1">IF(RAND()&lt;P_Zero,0,IF(RAND()&lt;CondReturn,_xlfn.LOGNORM.INV(RAND(),MV2,Sigma1),IF(RAND()&lt;CondGood,_xlfn.LOGNORM.INV(RAND(),MV3,Sigma2),MIN(MaxMultiple,Xm/(1-RAND())^(1/Alpha)))))</f>
        <v>0</v>
      </c>
      <c r="V29" s="19">
        <f ca="1">IF(RAND()&lt;P_Zero,0,IF(RAND()&lt;CondReturn,_xlfn.LOGNORM.INV(RAND(),MV2,Sigma1),IF(RAND()&lt;CondGood,_xlfn.LOGNORM.INV(RAND(),MV3,Sigma2),MIN(MaxMultiple,Xm/(1-RAND())^(1/Alpha)))))</f>
        <v>0.51156514144496734</v>
      </c>
      <c r="W29" s="19">
        <f ca="1">IF(RAND()&lt;P_Zero,0,IF(RAND()&lt;CondReturn,_xlfn.LOGNORM.INV(RAND(),MV2,Sigma1),IF(RAND()&lt;CondGood,_xlfn.LOGNORM.INV(RAND(),MV3,Sigma2),MIN(MaxMultiple,Xm/(1-RAND())^(1/Alpha)))))</f>
        <v>0</v>
      </c>
      <c r="X29" s="19">
        <f ca="1">IF(RAND()&lt;P_Zero,0,IF(RAND()&lt;CondReturn,_xlfn.LOGNORM.INV(RAND(),MV2,Sigma1),IF(RAND()&lt;CondGood,_xlfn.LOGNORM.INV(RAND(),MV3,Sigma2),MIN(MaxMultiple,Xm/(1-RAND())^(1/Alpha)))))</f>
        <v>0</v>
      </c>
      <c r="Y29" s="19">
        <f ca="1">IF(RAND()&lt;P_Zero,0,IF(RAND()&lt;CondReturn,_xlfn.LOGNORM.INV(RAND(),MV2,Sigma1),IF(RAND()&lt;CondGood,_xlfn.LOGNORM.INV(RAND(),MV3,Sigma2),MIN(MaxMultiple,Xm/(1-RAND())^(1/Alpha)))))</f>
        <v>1.124394613641325</v>
      </c>
      <c r="Z29" s="19">
        <f ca="1">IF(RAND()&lt;P_Zero,0,IF(RAND()&lt;CondReturn,_xlfn.LOGNORM.INV(RAND(),MV2,Sigma1),IF(RAND()&lt;CondGood,_xlfn.LOGNORM.INV(RAND(),MV3,Sigma2),MIN(MaxMultiple,Xm/(1-RAND())^(1/Alpha)))))</f>
        <v>1.3571920495063314</v>
      </c>
      <c r="AA29" s="19">
        <f ca="1">IF(RAND()&lt;P_Zero,0,IF(RAND()&lt;CondReturn,_xlfn.LOGNORM.INV(RAND(),MV2,Sigma1),IF(RAND()&lt;CondGood,_xlfn.LOGNORM.INV(RAND(),MV3,Sigma2),MIN(MaxMultiple,Xm/(1-RAND())^(1/Alpha)))))</f>
        <v>0.62375238798064603</v>
      </c>
      <c r="AB29" s="19">
        <f t="shared" ca="1" si="0"/>
        <v>9.5114566160980019</v>
      </c>
      <c r="AC29" s="14">
        <f t="shared" ca="1" si="1"/>
        <v>456549917.57270408</v>
      </c>
      <c r="AD29" s="14">
        <f t="shared" ca="1" si="2"/>
        <v>408549917.57270408</v>
      </c>
      <c r="AE29" s="14">
        <f t="shared" si="3"/>
        <v>55628399.869093813</v>
      </c>
      <c r="AF29" s="14">
        <f t="shared" ca="1" si="4"/>
        <v>352921517.70361024</v>
      </c>
      <c r="AG29" s="14">
        <f t="shared" ca="1" si="5"/>
        <v>70584303.540722057</v>
      </c>
      <c r="AH29" s="14">
        <f t="shared" ca="1" si="6"/>
        <v>385965614.031982</v>
      </c>
      <c r="AI29" s="19">
        <f t="shared" ca="1" si="7"/>
        <v>6.4327602338663663</v>
      </c>
    </row>
    <row r="30" spans="2:35" x14ac:dyDescent="0.2">
      <c r="B30" s="1">
        <v>25</v>
      </c>
      <c r="C30" s="19">
        <f ca="1">IF(RAND()&lt;P_Zero,0,IF(RAND()&lt;CondReturn,_xlfn.LOGNORM.INV(RAND(),MV2,Sigma1),IF(RAND()&lt;CondGood,_xlfn.LOGNORM.INV(RAND(),MV3,Sigma2),MIN(MaxMultiple,Xm/(1-RAND())^(1/Alpha)))))</f>
        <v>11.950904819897548</v>
      </c>
      <c r="D30" s="19">
        <f ca="1">IF(RAND()&lt;P_Zero,0,IF(RAND()&lt;CondReturn,_xlfn.LOGNORM.INV(RAND(),MV2,Sigma1),IF(RAND()&lt;CondGood,_xlfn.LOGNORM.INV(RAND(),MV3,Sigma2),MIN(MaxMultiple,Xm/(1-RAND())^(1/Alpha)))))</f>
        <v>0</v>
      </c>
      <c r="E30" s="19">
        <f ca="1">IF(RAND()&lt;P_Zero,0,IF(RAND()&lt;CondReturn,_xlfn.LOGNORM.INV(RAND(),MV2,Sigma1),IF(RAND()&lt;CondGood,_xlfn.LOGNORM.INV(RAND(),MV3,Sigma2),MIN(MaxMultiple,Xm/(1-RAND())^(1/Alpha)))))</f>
        <v>0.55571834272332343</v>
      </c>
      <c r="F30" s="19">
        <f ca="1">IF(RAND()&lt;P_Zero,0,IF(RAND()&lt;CondReturn,_xlfn.LOGNORM.INV(RAND(),MV2,Sigma1),IF(RAND()&lt;CondGood,_xlfn.LOGNORM.INV(RAND(),MV3,Sigma2),MIN(MaxMultiple,Xm/(1-RAND())^(1/Alpha)))))</f>
        <v>0</v>
      </c>
      <c r="G30" s="19">
        <f ca="1">IF(RAND()&lt;P_Zero,0,IF(RAND()&lt;CondReturn,_xlfn.LOGNORM.INV(RAND(),MV2,Sigma1),IF(RAND()&lt;CondGood,_xlfn.LOGNORM.INV(RAND(),MV3,Sigma2),MIN(MaxMultiple,Xm/(1-RAND())^(1/Alpha)))))</f>
        <v>0</v>
      </c>
      <c r="H30" s="19">
        <f ca="1">IF(RAND()&lt;P_Zero,0,IF(RAND()&lt;CondReturn,_xlfn.LOGNORM.INV(RAND(),MV2,Sigma1),IF(RAND()&lt;CondGood,_xlfn.LOGNORM.INV(RAND(),MV3,Sigma2),MIN(MaxMultiple,Xm/(1-RAND())^(1/Alpha)))))</f>
        <v>0.77544486173113436</v>
      </c>
      <c r="I30" s="19">
        <f ca="1">IF(RAND()&lt;P_Zero,0,IF(RAND()&lt;CondReturn,_xlfn.LOGNORM.INV(RAND(),MV2,Sigma1),IF(RAND()&lt;CondGood,_xlfn.LOGNORM.INV(RAND(),MV3,Sigma2),MIN(MaxMultiple,Xm/(1-RAND())^(1/Alpha)))))</f>
        <v>0</v>
      </c>
      <c r="J30" s="19">
        <f ca="1">IF(RAND()&lt;P_Zero,0,IF(RAND()&lt;CondReturn,_xlfn.LOGNORM.INV(RAND(),MV2,Sigma1),IF(RAND()&lt;CondGood,_xlfn.LOGNORM.INV(RAND(),MV3,Sigma2),MIN(MaxMultiple,Xm/(1-RAND())^(1/Alpha)))))</f>
        <v>1.1373438274928018</v>
      </c>
      <c r="K30" s="19">
        <f ca="1">IF(RAND()&lt;P_Zero,0,IF(RAND()&lt;CondReturn,_xlfn.LOGNORM.INV(RAND(),MV2,Sigma1),IF(RAND()&lt;CondGood,_xlfn.LOGNORM.INV(RAND(),MV3,Sigma2),MIN(MaxMultiple,Xm/(1-RAND())^(1/Alpha)))))</f>
        <v>1.5160423491118582</v>
      </c>
      <c r="L30" s="19">
        <f ca="1">IF(RAND()&lt;P_Zero,0,IF(RAND()&lt;CondReturn,_xlfn.LOGNORM.INV(RAND(),MV2,Sigma1),IF(RAND()&lt;CondGood,_xlfn.LOGNORM.INV(RAND(),MV3,Sigma2),MIN(MaxMultiple,Xm/(1-RAND())^(1/Alpha)))))</f>
        <v>0</v>
      </c>
      <c r="M30" s="19">
        <f ca="1">IF(RAND()&lt;P_Zero,0,IF(RAND()&lt;CondReturn,_xlfn.LOGNORM.INV(RAND(),MV2,Sigma1),IF(RAND()&lt;CondGood,_xlfn.LOGNORM.INV(RAND(),MV3,Sigma2),MIN(MaxMultiple,Xm/(1-RAND())^(1/Alpha)))))</f>
        <v>0.7925415940939734</v>
      </c>
      <c r="N30" s="19">
        <f ca="1">IF(RAND()&lt;P_Zero,0,IF(RAND()&lt;CondReturn,_xlfn.LOGNORM.INV(RAND(),MV2,Sigma1),IF(RAND()&lt;CondGood,_xlfn.LOGNORM.INV(RAND(),MV3,Sigma2),MIN(MaxMultiple,Xm/(1-RAND())^(1/Alpha)))))</f>
        <v>12.794134957022086</v>
      </c>
      <c r="O30" s="19">
        <f ca="1">IF(RAND()&lt;P_Zero,0,IF(RAND()&lt;CondReturn,_xlfn.LOGNORM.INV(RAND(),MV2,Sigma1),IF(RAND()&lt;CondGood,_xlfn.LOGNORM.INV(RAND(),MV3,Sigma2),MIN(MaxMultiple,Xm/(1-RAND())^(1/Alpha)))))</f>
        <v>0</v>
      </c>
      <c r="P30" s="19">
        <f ca="1">IF(RAND()&lt;P_Zero,0,IF(RAND()&lt;CondReturn,_xlfn.LOGNORM.INV(RAND(),MV2,Sigma1),IF(RAND()&lt;CondGood,_xlfn.LOGNORM.INV(RAND(),MV3,Sigma2),MIN(MaxMultiple,Xm/(1-RAND())^(1/Alpha)))))</f>
        <v>1.0806492679681035</v>
      </c>
      <c r="Q30" s="19">
        <f ca="1">IF(RAND()&lt;P_Zero,0,IF(RAND()&lt;CondReturn,_xlfn.LOGNORM.INV(RAND(),MV2,Sigma1),IF(RAND()&lt;CondGood,_xlfn.LOGNORM.INV(RAND(),MV3,Sigma2),MIN(MaxMultiple,Xm/(1-RAND())^(1/Alpha)))))</f>
        <v>0</v>
      </c>
      <c r="R30" s="19">
        <f ca="1">IF(RAND()&lt;P_Zero,0,IF(RAND()&lt;CondReturn,_xlfn.LOGNORM.INV(RAND(),MV2,Sigma1),IF(RAND()&lt;CondGood,_xlfn.LOGNORM.INV(RAND(),MV3,Sigma2),MIN(MaxMultiple,Xm/(1-RAND())^(1/Alpha)))))</f>
        <v>0</v>
      </c>
      <c r="S30" s="19">
        <f ca="1">IF(RAND()&lt;P_Zero,0,IF(RAND()&lt;CondReturn,_xlfn.LOGNORM.INV(RAND(),MV2,Sigma1),IF(RAND()&lt;CondGood,_xlfn.LOGNORM.INV(RAND(),MV3,Sigma2),MIN(MaxMultiple,Xm/(1-RAND())^(1/Alpha)))))</f>
        <v>0</v>
      </c>
      <c r="T30" s="19">
        <f ca="1">IF(RAND()&lt;P_Zero,0,IF(RAND()&lt;CondReturn,_xlfn.LOGNORM.INV(RAND(),MV2,Sigma1),IF(RAND()&lt;CondGood,_xlfn.LOGNORM.INV(RAND(),MV3,Sigma2),MIN(MaxMultiple,Xm/(1-RAND())^(1/Alpha)))))</f>
        <v>0</v>
      </c>
      <c r="U30" s="19">
        <f ca="1">IF(RAND()&lt;P_Zero,0,IF(RAND()&lt;CondReturn,_xlfn.LOGNORM.INV(RAND(),MV2,Sigma1),IF(RAND()&lt;CondGood,_xlfn.LOGNORM.INV(RAND(),MV3,Sigma2),MIN(MaxMultiple,Xm/(1-RAND())^(1/Alpha)))))</f>
        <v>0</v>
      </c>
      <c r="V30" s="19">
        <f ca="1">IF(RAND()&lt;P_Zero,0,IF(RAND()&lt;CondReturn,_xlfn.LOGNORM.INV(RAND(),MV2,Sigma1),IF(RAND()&lt;CondGood,_xlfn.LOGNORM.INV(RAND(),MV3,Sigma2),MIN(MaxMultiple,Xm/(1-RAND())^(1/Alpha)))))</f>
        <v>1.0581542970218891</v>
      </c>
      <c r="W30" s="19">
        <f ca="1">IF(RAND()&lt;P_Zero,0,IF(RAND()&lt;CondReturn,_xlfn.LOGNORM.INV(RAND(),MV2,Sigma1),IF(RAND()&lt;CondGood,_xlfn.LOGNORM.INV(RAND(),MV3,Sigma2),MIN(MaxMultiple,Xm/(1-RAND())^(1/Alpha)))))</f>
        <v>1.8461624188082142</v>
      </c>
      <c r="X30" s="19">
        <f ca="1">IF(RAND()&lt;P_Zero,0,IF(RAND()&lt;CondReturn,_xlfn.LOGNORM.INV(RAND(),MV2,Sigma1),IF(RAND()&lt;CondGood,_xlfn.LOGNORM.INV(RAND(),MV3,Sigma2),MIN(MaxMultiple,Xm/(1-RAND())^(1/Alpha)))))</f>
        <v>0</v>
      </c>
      <c r="Y30" s="19">
        <f ca="1">IF(RAND()&lt;P_Zero,0,IF(RAND()&lt;CondReturn,_xlfn.LOGNORM.INV(RAND(),MV2,Sigma1),IF(RAND()&lt;CondGood,_xlfn.LOGNORM.INV(RAND(),MV3,Sigma2),MIN(MaxMultiple,Xm/(1-RAND())^(1/Alpha)))))</f>
        <v>0.90050292107914987</v>
      </c>
      <c r="Z30" s="19">
        <f ca="1">IF(RAND()&lt;P_Zero,0,IF(RAND()&lt;CondReturn,_xlfn.LOGNORM.INV(RAND(),MV2,Sigma1),IF(RAND()&lt;CondGood,_xlfn.LOGNORM.INV(RAND(),MV3,Sigma2),MIN(MaxMultiple,Xm/(1-RAND())^(1/Alpha)))))</f>
        <v>0.69393001887428529</v>
      </c>
      <c r="AA30" s="19">
        <f ca="1">IF(RAND()&lt;P_Zero,0,IF(RAND()&lt;CondReturn,_xlfn.LOGNORM.INV(RAND(),MV2,Sigma1),IF(RAND()&lt;CondGood,_xlfn.LOGNORM.INV(RAND(),MV3,Sigma2),MIN(MaxMultiple,Xm/(1-RAND())^(1/Alpha)))))</f>
        <v>0</v>
      </c>
      <c r="AB30" s="19">
        <f t="shared" ca="1" si="0"/>
        <v>1.4040611870329747</v>
      </c>
      <c r="AC30" s="14">
        <f t="shared" ca="1" si="1"/>
        <v>67394936.977582783</v>
      </c>
      <c r="AD30" s="14">
        <f t="shared" ca="1" si="2"/>
        <v>19394936.977582783</v>
      </c>
      <c r="AE30" s="14">
        <f t="shared" si="3"/>
        <v>55628399.869093813</v>
      </c>
      <c r="AF30" s="14">
        <f t="shared" ca="1" si="4"/>
        <v>0</v>
      </c>
      <c r="AG30" s="14">
        <f t="shared" ca="1" si="5"/>
        <v>0</v>
      </c>
      <c r="AH30" s="14">
        <f t="shared" ca="1" si="6"/>
        <v>67394936.977582783</v>
      </c>
      <c r="AI30" s="19">
        <f t="shared" ca="1" si="7"/>
        <v>1.1232489496263798</v>
      </c>
    </row>
    <row r="31" spans="2:35" x14ac:dyDescent="0.2">
      <c r="B31" s="1">
        <v>26</v>
      </c>
      <c r="C31" s="19">
        <f ca="1">IF(RAND()&lt;P_Zero,0,IF(RAND()&lt;CondReturn,_xlfn.LOGNORM.INV(RAND(),MV2,Sigma1),IF(RAND()&lt;CondGood,_xlfn.LOGNORM.INV(RAND(),MV3,Sigma2),MIN(MaxMultiple,Xm/(1-RAND())^(1/Alpha)))))</f>
        <v>0</v>
      </c>
      <c r="D31" s="19">
        <f ca="1">IF(RAND()&lt;P_Zero,0,IF(RAND()&lt;CondReturn,_xlfn.LOGNORM.INV(RAND(),MV2,Sigma1),IF(RAND()&lt;CondGood,_xlfn.LOGNORM.INV(RAND(),MV3,Sigma2),MIN(MaxMultiple,Xm/(1-RAND())^(1/Alpha)))))</f>
        <v>0.67475667612436807</v>
      </c>
      <c r="E31" s="19">
        <f ca="1">IF(RAND()&lt;P_Zero,0,IF(RAND()&lt;CondReturn,_xlfn.LOGNORM.INV(RAND(),MV2,Sigma1),IF(RAND()&lt;CondGood,_xlfn.LOGNORM.INV(RAND(),MV3,Sigma2),MIN(MaxMultiple,Xm/(1-RAND())^(1/Alpha)))))</f>
        <v>1.1500362980848442</v>
      </c>
      <c r="F31" s="19">
        <f ca="1">IF(RAND()&lt;P_Zero,0,IF(RAND()&lt;CondReturn,_xlfn.LOGNORM.INV(RAND(),MV2,Sigma1),IF(RAND()&lt;CondGood,_xlfn.LOGNORM.INV(RAND(),MV3,Sigma2),MIN(MaxMultiple,Xm/(1-RAND())^(1/Alpha)))))</f>
        <v>0</v>
      </c>
      <c r="G31" s="19">
        <f ca="1">IF(RAND()&lt;P_Zero,0,IF(RAND()&lt;CondReturn,_xlfn.LOGNORM.INV(RAND(),MV2,Sigma1),IF(RAND()&lt;CondGood,_xlfn.LOGNORM.INV(RAND(),MV3,Sigma2),MIN(MaxMultiple,Xm/(1-RAND())^(1/Alpha)))))</f>
        <v>1.6538221936980064</v>
      </c>
      <c r="H31" s="19">
        <f ca="1">IF(RAND()&lt;P_Zero,0,IF(RAND()&lt;CondReturn,_xlfn.LOGNORM.INV(RAND(),MV2,Sigma1),IF(RAND()&lt;CondGood,_xlfn.LOGNORM.INV(RAND(),MV3,Sigma2),MIN(MaxMultiple,Xm/(1-RAND())^(1/Alpha)))))</f>
        <v>1.1614280086041868</v>
      </c>
      <c r="I31" s="19">
        <f ca="1">IF(RAND()&lt;P_Zero,0,IF(RAND()&lt;CondReturn,_xlfn.LOGNORM.INV(RAND(),MV2,Sigma1),IF(RAND()&lt;CondGood,_xlfn.LOGNORM.INV(RAND(),MV3,Sigma2),MIN(MaxMultiple,Xm/(1-RAND())^(1/Alpha)))))</f>
        <v>2.6871754350253929</v>
      </c>
      <c r="J31" s="19">
        <f ca="1">IF(RAND()&lt;P_Zero,0,IF(RAND()&lt;CondReturn,_xlfn.LOGNORM.INV(RAND(),MV2,Sigma1),IF(RAND()&lt;CondGood,_xlfn.LOGNORM.INV(RAND(),MV3,Sigma2),MIN(MaxMultiple,Xm/(1-RAND())^(1/Alpha)))))</f>
        <v>0</v>
      </c>
      <c r="K31" s="19">
        <f ca="1">IF(RAND()&lt;P_Zero,0,IF(RAND()&lt;CondReturn,_xlfn.LOGNORM.INV(RAND(),MV2,Sigma1),IF(RAND()&lt;CondGood,_xlfn.LOGNORM.INV(RAND(),MV3,Sigma2),MIN(MaxMultiple,Xm/(1-RAND())^(1/Alpha)))))</f>
        <v>1.012752378616226</v>
      </c>
      <c r="L31" s="19">
        <f ca="1">IF(RAND()&lt;P_Zero,0,IF(RAND()&lt;CondReturn,_xlfn.LOGNORM.INV(RAND(),MV2,Sigma1),IF(RAND()&lt;CondGood,_xlfn.LOGNORM.INV(RAND(),MV3,Sigma2),MIN(MaxMultiple,Xm/(1-RAND())^(1/Alpha)))))</f>
        <v>0</v>
      </c>
      <c r="M31" s="19">
        <f ca="1">IF(RAND()&lt;P_Zero,0,IF(RAND()&lt;CondReturn,_xlfn.LOGNORM.INV(RAND(),MV2,Sigma1),IF(RAND()&lt;CondGood,_xlfn.LOGNORM.INV(RAND(),MV3,Sigma2),MIN(MaxMultiple,Xm/(1-RAND())^(1/Alpha)))))</f>
        <v>0.93031667697403653</v>
      </c>
      <c r="N31" s="19">
        <f ca="1">IF(RAND()&lt;P_Zero,0,IF(RAND()&lt;CondReturn,_xlfn.LOGNORM.INV(RAND(),MV2,Sigma1),IF(RAND()&lt;CondGood,_xlfn.LOGNORM.INV(RAND(),MV3,Sigma2),MIN(MaxMultiple,Xm/(1-RAND())^(1/Alpha)))))</f>
        <v>0</v>
      </c>
      <c r="O31" s="19">
        <f ca="1">IF(RAND()&lt;P_Zero,0,IF(RAND()&lt;CondReturn,_xlfn.LOGNORM.INV(RAND(),MV2,Sigma1),IF(RAND()&lt;CondGood,_xlfn.LOGNORM.INV(RAND(),MV3,Sigma2),MIN(MaxMultiple,Xm/(1-RAND())^(1/Alpha)))))</f>
        <v>0</v>
      </c>
      <c r="P31" s="19">
        <f ca="1">IF(RAND()&lt;P_Zero,0,IF(RAND()&lt;CondReturn,_xlfn.LOGNORM.INV(RAND(),MV2,Sigma1),IF(RAND()&lt;CondGood,_xlfn.LOGNORM.INV(RAND(),MV3,Sigma2),MIN(MaxMultiple,Xm/(1-RAND())^(1/Alpha)))))</f>
        <v>2.0686953209245069</v>
      </c>
      <c r="Q31" s="19">
        <f ca="1">IF(RAND()&lt;P_Zero,0,IF(RAND()&lt;CondReturn,_xlfn.LOGNORM.INV(RAND(),MV2,Sigma1),IF(RAND()&lt;CondGood,_xlfn.LOGNORM.INV(RAND(),MV3,Sigma2),MIN(MaxMultiple,Xm/(1-RAND())^(1/Alpha)))))</f>
        <v>0</v>
      </c>
      <c r="R31" s="19">
        <f ca="1">IF(RAND()&lt;P_Zero,0,IF(RAND()&lt;CondReturn,_xlfn.LOGNORM.INV(RAND(),MV2,Sigma1),IF(RAND()&lt;CondGood,_xlfn.LOGNORM.INV(RAND(),MV3,Sigma2),MIN(MaxMultiple,Xm/(1-RAND())^(1/Alpha)))))</f>
        <v>0</v>
      </c>
      <c r="S31" s="19">
        <f ca="1">IF(RAND()&lt;P_Zero,0,IF(RAND()&lt;CondReturn,_xlfn.LOGNORM.INV(RAND(),MV2,Sigma1),IF(RAND()&lt;CondGood,_xlfn.LOGNORM.INV(RAND(),MV3,Sigma2),MIN(MaxMultiple,Xm/(1-RAND())^(1/Alpha)))))</f>
        <v>0.65389786060789667</v>
      </c>
      <c r="T31" s="19">
        <f ca="1">IF(RAND()&lt;P_Zero,0,IF(RAND()&lt;CondReturn,_xlfn.LOGNORM.INV(RAND(),MV2,Sigma1),IF(RAND()&lt;CondGood,_xlfn.LOGNORM.INV(RAND(),MV3,Sigma2),MIN(MaxMultiple,Xm/(1-RAND())^(1/Alpha)))))</f>
        <v>0.41293640880076304</v>
      </c>
      <c r="U31" s="19">
        <f ca="1">IF(RAND()&lt;P_Zero,0,IF(RAND()&lt;CondReturn,_xlfn.LOGNORM.INV(RAND(),MV2,Sigma1),IF(RAND()&lt;CondGood,_xlfn.LOGNORM.INV(RAND(),MV3,Sigma2),MIN(MaxMultiple,Xm/(1-RAND())^(1/Alpha)))))</f>
        <v>0</v>
      </c>
      <c r="V31" s="19">
        <f ca="1">IF(RAND()&lt;P_Zero,0,IF(RAND()&lt;CondReturn,_xlfn.LOGNORM.INV(RAND(),MV2,Sigma1),IF(RAND()&lt;CondGood,_xlfn.LOGNORM.INV(RAND(),MV3,Sigma2),MIN(MaxMultiple,Xm/(1-RAND())^(1/Alpha)))))</f>
        <v>0</v>
      </c>
      <c r="W31" s="19">
        <f ca="1">IF(RAND()&lt;P_Zero,0,IF(RAND()&lt;CondReturn,_xlfn.LOGNORM.INV(RAND(),MV2,Sigma1),IF(RAND()&lt;CondGood,_xlfn.LOGNORM.INV(RAND(),MV3,Sigma2),MIN(MaxMultiple,Xm/(1-RAND())^(1/Alpha)))))</f>
        <v>0</v>
      </c>
      <c r="X31" s="19">
        <f ca="1">IF(RAND()&lt;P_Zero,0,IF(RAND()&lt;CondReturn,_xlfn.LOGNORM.INV(RAND(),MV2,Sigma1),IF(RAND()&lt;CondGood,_xlfn.LOGNORM.INV(RAND(),MV3,Sigma2),MIN(MaxMultiple,Xm/(1-RAND())^(1/Alpha)))))</f>
        <v>0</v>
      </c>
      <c r="Y31" s="19">
        <f ca="1">IF(RAND()&lt;P_Zero,0,IF(RAND()&lt;CondReturn,_xlfn.LOGNORM.INV(RAND(),MV2,Sigma1),IF(RAND()&lt;CondGood,_xlfn.LOGNORM.INV(RAND(),MV3,Sigma2),MIN(MaxMultiple,Xm/(1-RAND())^(1/Alpha)))))</f>
        <v>0</v>
      </c>
      <c r="Z31" s="19">
        <f ca="1">IF(RAND()&lt;P_Zero,0,IF(RAND()&lt;CondReturn,_xlfn.LOGNORM.INV(RAND(),MV2,Sigma1),IF(RAND()&lt;CondGood,_xlfn.LOGNORM.INV(RAND(),MV3,Sigma2),MIN(MaxMultiple,Xm/(1-RAND())^(1/Alpha)))))</f>
        <v>15.237626423212584</v>
      </c>
      <c r="AA31" s="19">
        <f ca="1">IF(RAND()&lt;P_Zero,0,IF(RAND()&lt;CondReturn,_xlfn.LOGNORM.INV(RAND(),MV2,Sigma1),IF(RAND()&lt;CondGood,_xlfn.LOGNORM.INV(RAND(),MV3,Sigma2),MIN(MaxMultiple,Xm/(1-RAND())^(1/Alpha)))))</f>
        <v>1.1037699290269096</v>
      </c>
      <c r="AB31" s="19">
        <f t="shared" ca="1" si="0"/>
        <v>1.1498885443879887</v>
      </c>
      <c r="AC31" s="14">
        <f t="shared" ca="1" si="1"/>
        <v>55194650.13062346</v>
      </c>
      <c r="AD31" s="14">
        <f t="shared" ca="1" si="2"/>
        <v>7194650.1306234598</v>
      </c>
      <c r="AE31" s="14">
        <f t="shared" si="3"/>
        <v>55628399.869093813</v>
      </c>
      <c r="AF31" s="14">
        <f t="shared" ca="1" si="4"/>
        <v>0</v>
      </c>
      <c r="AG31" s="14">
        <f t="shared" ca="1" si="5"/>
        <v>0</v>
      </c>
      <c r="AH31" s="14">
        <f t="shared" ca="1" si="6"/>
        <v>55194650.13062346</v>
      </c>
      <c r="AI31" s="19">
        <f t="shared" ca="1" si="7"/>
        <v>0.91991083551039099</v>
      </c>
    </row>
    <row r="32" spans="2:35" x14ac:dyDescent="0.2">
      <c r="B32" s="1">
        <v>27</v>
      </c>
      <c r="C32" s="19">
        <f ca="1">IF(RAND()&lt;P_Zero,0,IF(RAND()&lt;CondReturn,_xlfn.LOGNORM.INV(RAND(),MV2,Sigma1),IF(RAND()&lt;CondGood,_xlfn.LOGNORM.INV(RAND(),MV3,Sigma2),MIN(MaxMultiple,Xm/(1-RAND())^(1/Alpha)))))</f>
        <v>0</v>
      </c>
      <c r="D32" s="19">
        <f ca="1">IF(RAND()&lt;P_Zero,0,IF(RAND()&lt;CondReturn,_xlfn.LOGNORM.INV(RAND(),MV2,Sigma1),IF(RAND()&lt;CondGood,_xlfn.LOGNORM.INV(RAND(),MV3,Sigma2),MIN(MaxMultiple,Xm/(1-RAND())^(1/Alpha)))))</f>
        <v>0.48287870182760156</v>
      </c>
      <c r="E32" s="19">
        <f ca="1">IF(RAND()&lt;P_Zero,0,IF(RAND()&lt;CondReturn,_xlfn.LOGNORM.INV(RAND(),MV2,Sigma1),IF(RAND()&lt;CondGood,_xlfn.LOGNORM.INV(RAND(),MV3,Sigma2),MIN(MaxMultiple,Xm/(1-RAND())^(1/Alpha)))))</f>
        <v>1.067961916462423</v>
      </c>
      <c r="F32" s="19">
        <f ca="1">IF(RAND()&lt;P_Zero,0,IF(RAND()&lt;CondReturn,_xlfn.LOGNORM.INV(RAND(),MV2,Sigma1),IF(RAND()&lt;CondGood,_xlfn.LOGNORM.INV(RAND(),MV3,Sigma2),MIN(MaxMultiple,Xm/(1-RAND())^(1/Alpha)))))</f>
        <v>0</v>
      </c>
      <c r="G32" s="19">
        <f ca="1">IF(RAND()&lt;P_Zero,0,IF(RAND()&lt;CondReturn,_xlfn.LOGNORM.INV(RAND(),MV2,Sigma1),IF(RAND()&lt;CondGood,_xlfn.LOGNORM.INV(RAND(),MV3,Sigma2),MIN(MaxMultiple,Xm/(1-RAND())^(1/Alpha)))))</f>
        <v>1.7228870662381317</v>
      </c>
      <c r="H32" s="19">
        <f ca="1">IF(RAND()&lt;P_Zero,0,IF(RAND()&lt;CondReturn,_xlfn.LOGNORM.INV(RAND(),MV2,Sigma1),IF(RAND()&lt;CondGood,_xlfn.LOGNORM.INV(RAND(),MV3,Sigma2),MIN(MaxMultiple,Xm/(1-RAND())^(1/Alpha)))))</f>
        <v>0</v>
      </c>
      <c r="I32" s="19">
        <f ca="1">IF(RAND()&lt;P_Zero,0,IF(RAND()&lt;CondReturn,_xlfn.LOGNORM.INV(RAND(),MV2,Sigma1),IF(RAND()&lt;CondGood,_xlfn.LOGNORM.INV(RAND(),MV3,Sigma2),MIN(MaxMultiple,Xm/(1-RAND())^(1/Alpha)))))</f>
        <v>1.1279295339482678</v>
      </c>
      <c r="J32" s="19">
        <f ca="1">IF(RAND()&lt;P_Zero,0,IF(RAND()&lt;CondReturn,_xlfn.LOGNORM.INV(RAND(),MV2,Sigma1),IF(RAND()&lt;CondGood,_xlfn.LOGNORM.INV(RAND(),MV3,Sigma2),MIN(MaxMultiple,Xm/(1-RAND())^(1/Alpha)))))</f>
        <v>0</v>
      </c>
      <c r="K32" s="19">
        <f ca="1">IF(RAND()&lt;P_Zero,0,IF(RAND()&lt;CondReturn,_xlfn.LOGNORM.INV(RAND(),MV2,Sigma1),IF(RAND()&lt;CondGood,_xlfn.LOGNORM.INV(RAND(),MV3,Sigma2),MIN(MaxMultiple,Xm/(1-RAND())^(1/Alpha)))))</f>
        <v>1.7096509742410595</v>
      </c>
      <c r="L32" s="19">
        <f ca="1">IF(RAND()&lt;P_Zero,0,IF(RAND()&lt;CondReturn,_xlfn.LOGNORM.INV(RAND(),MV2,Sigma1),IF(RAND()&lt;CondGood,_xlfn.LOGNORM.INV(RAND(),MV3,Sigma2),MIN(MaxMultiple,Xm/(1-RAND())^(1/Alpha)))))</f>
        <v>0</v>
      </c>
      <c r="M32" s="19">
        <f ca="1">IF(RAND()&lt;P_Zero,0,IF(RAND()&lt;CondReturn,_xlfn.LOGNORM.INV(RAND(),MV2,Sigma1),IF(RAND()&lt;CondGood,_xlfn.LOGNORM.INV(RAND(),MV3,Sigma2),MIN(MaxMultiple,Xm/(1-RAND())^(1/Alpha)))))</f>
        <v>0</v>
      </c>
      <c r="N32" s="19">
        <f ca="1">IF(RAND()&lt;P_Zero,0,IF(RAND()&lt;CondReturn,_xlfn.LOGNORM.INV(RAND(),MV2,Sigma1),IF(RAND()&lt;CondGood,_xlfn.LOGNORM.INV(RAND(),MV3,Sigma2),MIN(MaxMultiple,Xm/(1-RAND())^(1/Alpha)))))</f>
        <v>0</v>
      </c>
      <c r="O32" s="19">
        <f ca="1">IF(RAND()&lt;P_Zero,0,IF(RAND()&lt;CondReturn,_xlfn.LOGNORM.INV(RAND(),MV2,Sigma1),IF(RAND()&lt;CondGood,_xlfn.LOGNORM.INV(RAND(),MV3,Sigma2),MIN(MaxMultiple,Xm/(1-RAND())^(1/Alpha)))))</f>
        <v>0.73635446482399591</v>
      </c>
      <c r="P32" s="19">
        <f ca="1">IF(RAND()&lt;P_Zero,0,IF(RAND()&lt;CondReturn,_xlfn.LOGNORM.INV(RAND(),MV2,Sigma1),IF(RAND()&lt;CondGood,_xlfn.LOGNORM.INV(RAND(),MV3,Sigma2),MIN(MaxMultiple,Xm/(1-RAND())^(1/Alpha)))))</f>
        <v>0.94160049865345807</v>
      </c>
      <c r="Q32" s="19">
        <f ca="1">IF(RAND()&lt;P_Zero,0,IF(RAND()&lt;CondReturn,_xlfn.LOGNORM.INV(RAND(),MV2,Sigma1),IF(RAND()&lt;CondGood,_xlfn.LOGNORM.INV(RAND(),MV3,Sigma2),MIN(MaxMultiple,Xm/(1-RAND())^(1/Alpha)))))</f>
        <v>168.64783403507593</v>
      </c>
      <c r="R32" s="19">
        <f ca="1">IF(RAND()&lt;P_Zero,0,IF(RAND()&lt;CondReturn,_xlfn.LOGNORM.INV(RAND(),MV2,Sigma1),IF(RAND()&lt;CondGood,_xlfn.LOGNORM.INV(RAND(),MV3,Sigma2),MIN(MaxMultiple,Xm/(1-RAND())^(1/Alpha)))))</f>
        <v>2.5156977737228288</v>
      </c>
      <c r="S32" s="19">
        <f ca="1">IF(RAND()&lt;P_Zero,0,IF(RAND()&lt;CondReturn,_xlfn.LOGNORM.INV(RAND(),MV2,Sigma1),IF(RAND()&lt;CondGood,_xlfn.LOGNORM.INV(RAND(),MV3,Sigma2),MIN(MaxMultiple,Xm/(1-RAND())^(1/Alpha)))))</f>
        <v>0</v>
      </c>
      <c r="T32" s="19">
        <f ca="1">IF(RAND()&lt;P_Zero,0,IF(RAND()&lt;CondReturn,_xlfn.LOGNORM.INV(RAND(),MV2,Sigma1),IF(RAND()&lt;CondGood,_xlfn.LOGNORM.INV(RAND(),MV3,Sigma2),MIN(MaxMultiple,Xm/(1-RAND())^(1/Alpha)))))</f>
        <v>53.137298892142312</v>
      </c>
      <c r="U32" s="19">
        <f ca="1">IF(RAND()&lt;P_Zero,0,IF(RAND()&lt;CondReturn,_xlfn.LOGNORM.INV(RAND(),MV2,Sigma1),IF(RAND()&lt;CondGood,_xlfn.LOGNORM.INV(RAND(),MV3,Sigma2),MIN(MaxMultiple,Xm/(1-RAND())^(1/Alpha)))))</f>
        <v>1.0054878297524468</v>
      </c>
      <c r="V32" s="19">
        <f ca="1">IF(RAND()&lt;P_Zero,0,IF(RAND()&lt;CondReturn,_xlfn.LOGNORM.INV(RAND(),MV2,Sigma1),IF(RAND()&lt;CondGood,_xlfn.LOGNORM.INV(RAND(),MV3,Sigma2),MIN(MaxMultiple,Xm/(1-RAND())^(1/Alpha)))))</f>
        <v>0</v>
      </c>
      <c r="W32" s="19">
        <f ca="1">IF(RAND()&lt;P_Zero,0,IF(RAND()&lt;CondReturn,_xlfn.LOGNORM.INV(RAND(),MV2,Sigma1),IF(RAND()&lt;CondGood,_xlfn.LOGNORM.INV(RAND(),MV3,Sigma2),MIN(MaxMultiple,Xm/(1-RAND())^(1/Alpha)))))</f>
        <v>0</v>
      </c>
      <c r="X32" s="19">
        <f ca="1">IF(RAND()&lt;P_Zero,0,IF(RAND()&lt;CondReturn,_xlfn.LOGNORM.INV(RAND(),MV2,Sigma1),IF(RAND()&lt;CondGood,_xlfn.LOGNORM.INV(RAND(),MV3,Sigma2),MIN(MaxMultiple,Xm/(1-RAND())^(1/Alpha)))))</f>
        <v>0.73015580856774354</v>
      </c>
      <c r="Y32" s="19">
        <f ca="1">IF(RAND()&lt;P_Zero,0,IF(RAND()&lt;CondReturn,_xlfn.LOGNORM.INV(RAND(),MV2,Sigma1),IF(RAND()&lt;CondGood,_xlfn.LOGNORM.INV(RAND(),MV3,Sigma2),MIN(MaxMultiple,Xm/(1-RAND())^(1/Alpha)))))</f>
        <v>0</v>
      </c>
      <c r="Z32" s="19">
        <f ca="1">IF(RAND()&lt;P_Zero,0,IF(RAND()&lt;CondReturn,_xlfn.LOGNORM.INV(RAND(),MV2,Sigma1),IF(RAND()&lt;CondGood,_xlfn.LOGNORM.INV(RAND(),MV3,Sigma2),MIN(MaxMultiple,Xm/(1-RAND())^(1/Alpha)))))</f>
        <v>0.49146485535570539</v>
      </c>
      <c r="AA32" s="19">
        <f ca="1">IF(RAND()&lt;P_Zero,0,IF(RAND()&lt;CondReturn,_xlfn.LOGNORM.INV(RAND(),MV2,Sigma1),IF(RAND()&lt;CondGood,_xlfn.LOGNORM.INV(RAND(),MV3,Sigma2),MIN(MaxMultiple,Xm/(1-RAND())^(1/Alpha)))))</f>
        <v>0</v>
      </c>
      <c r="AB32" s="19">
        <f t="shared" ca="1" si="0"/>
        <v>9.3726880940324762</v>
      </c>
      <c r="AC32" s="14">
        <f t="shared" ca="1" si="1"/>
        <v>449889028.51355886</v>
      </c>
      <c r="AD32" s="14">
        <f t="shared" ca="1" si="2"/>
        <v>401889028.51355886</v>
      </c>
      <c r="AE32" s="14">
        <f t="shared" si="3"/>
        <v>55628399.869093813</v>
      </c>
      <c r="AF32" s="14">
        <f t="shared" ca="1" si="4"/>
        <v>346260628.64446503</v>
      </c>
      <c r="AG32" s="14">
        <f t="shared" ca="1" si="5"/>
        <v>69252125.728893012</v>
      </c>
      <c r="AH32" s="14">
        <f t="shared" ca="1" si="6"/>
        <v>380636902.78466582</v>
      </c>
      <c r="AI32" s="19">
        <f t="shared" ca="1" si="7"/>
        <v>6.3439483797444307</v>
      </c>
    </row>
    <row r="33" spans="2:35" x14ac:dyDescent="0.2">
      <c r="B33" s="1">
        <v>28</v>
      </c>
      <c r="C33" s="19">
        <f ca="1">IF(RAND()&lt;P_Zero,0,IF(RAND()&lt;CondReturn,_xlfn.LOGNORM.INV(RAND(),MV2,Sigma1),IF(RAND()&lt;CondGood,_xlfn.LOGNORM.INV(RAND(),MV3,Sigma2),MIN(MaxMultiple,Xm/(1-RAND())^(1/Alpha)))))</f>
        <v>3.5687271894736998</v>
      </c>
      <c r="D33" s="19">
        <f ca="1">IF(RAND()&lt;P_Zero,0,IF(RAND()&lt;CondReturn,_xlfn.LOGNORM.INV(RAND(),MV2,Sigma1),IF(RAND()&lt;CondGood,_xlfn.LOGNORM.INV(RAND(),MV3,Sigma2),MIN(MaxMultiple,Xm/(1-RAND())^(1/Alpha)))))</f>
        <v>1.5373227021836051</v>
      </c>
      <c r="E33" s="19">
        <f ca="1">IF(RAND()&lt;P_Zero,0,IF(RAND()&lt;CondReturn,_xlfn.LOGNORM.INV(RAND(),MV2,Sigma1),IF(RAND()&lt;CondGood,_xlfn.LOGNORM.INV(RAND(),MV3,Sigma2),MIN(MaxMultiple,Xm/(1-RAND())^(1/Alpha)))))</f>
        <v>1.3839075775772769</v>
      </c>
      <c r="F33" s="19">
        <f ca="1">IF(RAND()&lt;P_Zero,0,IF(RAND()&lt;CondReturn,_xlfn.LOGNORM.INV(RAND(),MV2,Sigma1),IF(RAND()&lt;CondGood,_xlfn.LOGNORM.INV(RAND(),MV3,Sigma2),MIN(MaxMultiple,Xm/(1-RAND())^(1/Alpha)))))</f>
        <v>2.1685491273023154</v>
      </c>
      <c r="G33" s="19">
        <f ca="1">IF(RAND()&lt;P_Zero,0,IF(RAND()&lt;CondReturn,_xlfn.LOGNORM.INV(RAND(),MV2,Sigma1),IF(RAND()&lt;CondGood,_xlfn.LOGNORM.INV(RAND(),MV3,Sigma2),MIN(MaxMultiple,Xm/(1-RAND())^(1/Alpha)))))</f>
        <v>0.53087820230350924</v>
      </c>
      <c r="H33" s="19">
        <f ca="1">IF(RAND()&lt;P_Zero,0,IF(RAND()&lt;CondReturn,_xlfn.LOGNORM.INV(RAND(),MV2,Sigma1),IF(RAND()&lt;CondGood,_xlfn.LOGNORM.INV(RAND(),MV3,Sigma2),MIN(MaxMultiple,Xm/(1-RAND())^(1/Alpha)))))</f>
        <v>0.40051870664474276</v>
      </c>
      <c r="I33" s="19">
        <f ca="1">IF(RAND()&lt;P_Zero,0,IF(RAND()&lt;CondReturn,_xlfn.LOGNORM.INV(RAND(),MV2,Sigma1),IF(RAND()&lt;CondGood,_xlfn.LOGNORM.INV(RAND(),MV3,Sigma2),MIN(MaxMultiple,Xm/(1-RAND())^(1/Alpha)))))</f>
        <v>14.185748026168806</v>
      </c>
      <c r="J33" s="19">
        <f ca="1">IF(RAND()&lt;P_Zero,0,IF(RAND()&lt;CondReturn,_xlfn.LOGNORM.INV(RAND(),MV2,Sigma1),IF(RAND()&lt;CondGood,_xlfn.LOGNORM.INV(RAND(),MV3,Sigma2),MIN(MaxMultiple,Xm/(1-RAND())^(1/Alpha)))))</f>
        <v>0</v>
      </c>
      <c r="K33" s="19">
        <f ca="1">IF(RAND()&lt;P_Zero,0,IF(RAND()&lt;CondReturn,_xlfn.LOGNORM.INV(RAND(),MV2,Sigma1),IF(RAND()&lt;CondGood,_xlfn.LOGNORM.INV(RAND(),MV3,Sigma2),MIN(MaxMultiple,Xm/(1-RAND())^(1/Alpha)))))</f>
        <v>0.72152351429165096</v>
      </c>
      <c r="L33" s="19">
        <f ca="1">IF(RAND()&lt;P_Zero,0,IF(RAND()&lt;CondReturn,_xlfn.LOGNORM.INV(RAND(),MV2,Sigma1),IF(RAND()&lt;CondGood,_xlfn.LOGNORM.INV(RAND(),MV3,Sigma2),MIN(MaxMultiple,Xm/(1-RAND())^(1/Alpha)))))</f>
        <v>0</v>
      </c>
      <c r="M33" s="19">
        <f ca="1">IF(RAND()&lt;P_Zero,0,IF(RAND()&lt;CondReturn,_xlfn.LOGNORM.INV(RAND(),MV2,Sigma1),IF(RAND()&lt;CondGood,_xlfn.LOGNORM.INV(RAND(),MV3,Sigma2),MIN(MaxMultiple,Xm/(1-RAND())^(1/Alpha)))))</f>
        <v>0</v>
      </c>
      <c r="N33" s="19">
        <f ca="1">IF(RAND()&lt;P_Zero,0,IF(RAND()&lt;CondReturn,_xlfn.LOGNORM.INV(RAND(),MV2,Sigma1),IF(RAND()&lt;CondGood,_xlfn.LOGNORM.INV(RAND(),MV3,Sigma2),MIN(MaxMultiple,Xm/(1-RAND())^(1/Alpha)))))</f>
        <v>0</v>
      </c>
      <c r="O33" s="19">
        <f ca="1">IF(RAND()&lt;P_Zero,0,IF(RAND()&lt;CondReturn,_xlfn.LOGNORM.INV(RAND(),MV2,Sigma1),IF(RAND()&lt;CondGood,_xlfn.LOGNORM.INV(RAND(),MV3,Sigma2),MIN(MaxMultiple,Xm/(1-RAND())^(1/Alpha)))))</f>
        <v>0.62271239075822626</v>
      </c>
      <c r="P33" s="19">
        <f ca="1">IF(RAND()&lt;P_Zero,0,IF(RAND()&lt;CondReturn,_xlfn.LOGNORM.INV(RAND(),MV2,Sigma1),IF(RAND()&lt;CondGood,_xlfn.LOGNORM.INV(RAND(),MV3,Sigma2),MIN(MaxMultiple,Xm/(1-RAND())^(1/Alpha)))))</f>
        <v>0.56670595122753542</v>
      </c>
      <c r="Q33" s="19">
        <f ca="1">IF(RAND()&lt;P_Zero,0,IF(RAND()&lt;CondReturn,_xlfn.LOGNORM.INV(RAND(),MV2,Sigma1),IF(RAND()&lt;CondGood,_xlfn.LOGNORM.INV(RAND(),MV3,Sigma2),MIN(MaxMultiple,Xm/(1-RAND())^(1/Alpha)))))</f>
        <v>0.79690391881776834</v>
      </c>
      <c r="R33" s="19">
        <f ca="1">IF(RAND()&lt;P_Zero,0,IF(RAND()&lt;CondReturn,_xlfn.LOGNORM.INV(RAND(),MV2,Sigma1),IF(RAND()&lt;CondGood,_xlfn.LOGNORM.INV(RAND(),MV3,Sigma2),MIN(MaxMultiple,Xm/(1-RAND())^(1/Alpha)))))</f>
        <v>0</v>
      </c>
      <c r="S33" s="19">
        <f ca="1">IF(RAND()&lt;P_Zero,0,IF(RAND()&lt;CondReturn,_xlfn.LOGNORM.INV(RAND(),MV2,Sigma1),IF(RAND()&lt;CondGood,_xlfn.LOGNORM.INV(RAND(),MV3,Sigma2),MIN(MaxMultiple,Xm/(1-RAND())^(1/Alpha)))))</f>
        <v>0</v>
      </c>
      <c r="T33" s="19">
        <f ca="1">IF(RAND()&lt;P_Zero,0,IF(RAND()&lt;CondReturn,_xlfn.LOGNORM.INV(RAND(),MV2,Sigma1),IF(RAND()&lt;CondGood,_xlfn.LOGNORM.INV(RAND(),MV3,Sigma2),MIN(MaxMultiple,Xm/(1-RAND())^(1/Alpha)))))</f>
        <v>1.5679845461971214</v>
      </c>
      <c r="U33" s="19">
        <f ca="1">IF(RAND()&lt;P_Zero,0,IF(RAND()&lt;CondReturn,_xlfn.LOGNORM.INV(RAND(),MV2,Sigma1),IF(RAND()&lt;CondGood,_xlfn.LOGNORM.INV(RAND(),MV3,Sigma2),MIN(MaxMultiple,Xm/(1-RAND())^(1/Alpha)))))</f>
        <v>0</v>
      </c>
      <c r="V33" s="19">
        <f ca="1">IF(RAND()&lt;P_Zero,0,IF(RAND()&lt;CondReturn,_xlfn.LOGNORM.INV(RAND(),MV2,Sigma1),IF(RAND()&lt;CondGood,_xlfn.LOGNORM.INV(RAND(),MV3,Sigma2),MIN(MaxMultiple,Xm/(1-RAND())^(1/Alpha)))))</f>
        <v>0.96538468356672902</v>
      </c>
      <c r="W33" s="19">
        <f ca="1">IF(RAND()&lt;P_Zero,0,IF(RAND()&lt;CondReturn,_xlfn.LOGNORM.INV(RAND(),MV2,Sigma1),IF(RAND()&lt;CondGood,_xlfn.LOGNORM.INV(RAND(),MV3,Sigma2),MIN(MaxMultiple,Xm/(1-RAND())^(1/Alpha)))))</f>
        <v>1.0567067665535597</v>
      </c>
      <c r="X33" s="19">
        <f ca="1">IF(RAND()&lt;P_Zero,0,IF(RAND()&lt;CondReturn,_xlfn.LOGNORM.INV(RAND(),MV2,Sigma1),IF(RAND()&lt;CondGood,_xlfn.LOGNORM.INV(RAND(),MV3,Sigma2),MIN(MaxMultiple,Xm/(1-RAND())^(1/Alpha)))))</f>
        <v>0</v>
      </c>
      <c r="Y33" s="19">
        <f ca="1">IF(RAND()&lt;P_Zero,0,IF(RAND()&lt;CondReturn,_xlfn.LOGNORM.INV(RAND(),MV2,Sigma1),IF(RAND()&lt;CondGood,_xlfn.LOGNORM.INV(RAND(),MV3,Sigma2),MIN(MaxMultiple,Xm/(1-RAND())^(1/Alpha)))))</f>
        <v>0</v>
      </c>
      <c r="Z33" s="19">
        <f ca="1">IF(RAND()&lt;P_Zero,0,IF(RAND()&lt;CondReturn,_xlfn.LOGNORM.INV(RAND(),MV2,Sigma1),IF(RAND()&lt;CondGood,_xlfn.LOGNORM.INV(RAND(),MV3,Sigma2),MIN(MaxMultiple,Xm/(1-RAND())^(1/Alpha)))))</f>
        <v>0.4845360744216583</v>
      </c>
      <c r="AA33" s="19">
        <f ca="1">IF(RAND()&lt;P_Zero,0,IF(RAND()&lt;CondReturn,_xlfn.LOGNORM.INV(RAND(),MV2,Sigma1),IF(RAND()&lt;CondGood,_xlfn.LOGNORM.INV(RAND(),MV3,Sigma2),MIN(MaxMultiple,Xm/(1-RAND())^(1/Alpha)))))</f>
        <v>0</v>
      </c>
      <c r="AB33" s="19">
        <f t="shared" ca="1" si="0"/>
        <v>1.2223243750995283</v>
      </c>
      <c r="AC33" s="14">
        <f t="shared" ca="1" si="1"/>
        <v>58671570.004777357</v>
      </c>
      <c r="AD33" s="14">
        <f t="shared" ca="1" si="2"/>
        <v>10671570.004777357</v>
      </c>
      <c r="AE33" s="14">
        <f t="shared" si="3"/>
        <v>55628399.869093813</v>
      </c>
      <c r="AF33" s="14">
        <f t="shared" ca="1" si="4"/>
        <v>0</v>
      </c>
      <c r="AG33" s="14">
        <f t="shared" ca="1" si="5"/>
        <v>0</v>
      </c>
      <c r="AH33" s="14">
        <f t="shared" ca="1" si="6"/>
        <v>58671570.004777357</v>
      </c>
      <c r="AI33" s="19">
        <f t="shared" ca="1" si="7"/>
        <v>0.97785950007962263</v>
      </c>
    </row>
    <row r="34" spans="2:35" x14ac:dyDescent="0.2">
      <c r="B34" s="1">
        <v>29</v>
      </c>
      <c r="C34" s="19">
        <f ca="1">IF(RAND()&lt;P_Zero,0,IF(RAND()&lt;CondReturn,_xlfn.LOGNORM.INV(RAND(),MV2,Sigma1),IF(RAND()&lt;CondGood,_xlfn.LOGNORM.INV(RAND(),MV3,Sigma2),MIN(MaxMultiple,Xm/(1-RAND())^(1/Alpha)))))</f>
        <v>0.44799519462281395</v>
      </c>
      <c r="D34" s="19">
        <f ca="1">IF(RAND()&lt;P_Zero,0,IF(RAND()&lt;CondReturn,_xlfn.LOGNORM.INV(RAND(),MV2,Sigma1),IF(RAND()&lt;CondGood,_xlfn.LOGNORM.INV(RAND(),MV3,Sigma2),MIN(MaxMultiple,Xm/(1-RAND())^(1/Alpha)))))</f>
        <v>2.1797643872114159</v>
      </c>
      <c r="E34" s="19">
        <f ca="1">IF(RAND()&lt;P_Zero,0,IF(RAND()&lt;CondReturn,_xlfn.LOGNORM.INV(RAND(),MV2,Sigma1),IF(RAND()&lt;CondGood,_xlfn.LOGNORM.INV(RAND(),MV3,Sigma2),MIN(MaxMultiple,Xm/(1-RAND())^(1/Alpha)))))</f>
        <v>1.3840578665899426</v>
      </c>
      <c r="F34" s="19">
        <f ca="1">IF(RAND()&lt;P_Zero,0,IF(RAND()&lt;CondReturn,_xlfn.LOGNORM.INV(RAND(),MV2,Sigma1),IF(RAND()&lt;CondGood,_xlfn.LOGNORM.INV(RAND(),MV3,Sigma2),MIN(MaxMultiple,Xm/(1-RAND())^(1/Alpha)))))</f>
        <v>0</v>
      </c>
      <c r="G34" s="19">
        <f ca="1">IF(RAND()&lt;P_Zero,0,IF(RAND()&lt;CondReturn,_xlfn.LOGNORM.INV(RAND(),MV2,Sigma1),IF(RAND()&lt;CondGood,_xlfn.LOGNORM.INV(RAND(),MV3,Sigma2),MIN(MaxMultiple,Xm/(1-RAND())^(1/Alpha)))))</f>
        <v>1.130733689288282</v>
      </c>
      <c r="H34" s="19">
        <f ca="1">IF(RAND()&lt;P_Zero,0,IF(RAND()&lt;CondReturn,_xlfn.LOGNORM.INV(RAND(),MV2,Sigma1),IF(RAND()&lt;CondGood,_xlfn.LOGNORM.INV(RAND(),MV3,Sigma2),MIN(MaxMultiple,Xm/(1-RAND())^(1/Alpha)))))</f>
        <v>0.26185654664910263</v>
      </c>
      <c r="I34" s="19">
        <f ca="1">IF(RAND()&lt;P_Zero,0,IF(RAND()&lt;CondReturn,_xlfn.LOGNORM.INV(RAND(),MV2,Sigma1),IF(RAND()&lt;CondGood,_xlfn.LOGNORM.INV(RAND(),MV3,Sigma2),MIN(MaxMultiple,Xm/(1-RAND())^(1/Alpha)))))</f>
        <v>0.88375810421540413</v>
      </c>
      <c r="J34" s="19">
        <f ca="1">IF(RAND()&lt;P_Zero,0,IF(RAND()&lt;CondReturn,_xlfn.LOGNORM.INV(RAND(),MV2,Sigma1),IF(RAND()&lt;CondGood,_xlfn.LOGNORM.INV(RAND(),MV3,Sigma2),MIN(MaxMultiple,Xm/(1-RAND())^(1/Alpha)))))</f>
        <v>0.92686430551921462</v>
      </c>
      <c r="K34" s="19">
        <f ca="1">IF(RAND()&lt;P_Zero,0,IF(RAND()&lt;CondReturn,_xlfn.LOGNORM.INV(RAND(),MV2,Sigma1),IF(RAND()&lt;CondGood,_xlfn.LOGNORM.INV(RAND(),MV3,Sigma2),MIN(MaxMultiple,Xm/(1-RAND())^(1/Alpha)))))</f>
        <v>0</v>
      </c>
      <c r="L34" s="19">
        <f ca="1">IF(RAND()&lt;P_Zero,0,IF(RAND()&lt;CondReturn,_xlfn.LOGNORM.INV(RAND(),MV2,Sigma1),IF(RAND()&lt;CondGood,_xlfn.LOGNORM.INV(RAND(),MV3,Sigma2),MIN(MaxMultiple,Xm/(1-RAND())^(1/Alpha)))))</f>
        <v>0</v>
      </c>
      <c r="M34" s="19">
        <f ca="1">IF(RAND()&lt;P_Zero,0,IF(RAND()&lt;CondReturn,_xlfn.LOGNORM.INV(RAND(),MV2,Sigma1),IF(RAND()&lt;CondGood,_xlfn.LOGNORM.INV(RAND(),MV3,Sigma2),MIN(MaxMultiple,Xm/(1-RAND())^(1/Alpha)))))</f>
        <v>0.99684450980373873</v>
      </c>
      <c r="N34" s="19">
        <f ca="1">IF(RAND()&lt;P_Zero,0,IF(RAND()&lt;CondReturn,_xlfn.LOGNORM.INV(RAND(),MV2,Sigma1),IF(RAND()&lt;CondGood,_xlfn.LOGNORM.INV(RAND(),MV3,Sigma2),MIN(MaxMultiple,Xm/(1-RAND())^(1/Alpha)))))</f>
        <v>0.89388537884210795</v>
      </c>
      <c r="O34" s="19">
        <f ca="1">IF(RAND()&lt;P_Zero,0,IF(RAND()&lt;CondReturn,_xlfn.LOGNORM.INV(RAND(),MV2,Sigma1),IF(RAND()&lt;CondGood,_xlfn.LOGNORM.INV(RAND(),MV3,Sigma2),MIN(MaxMultiple,Xm/(1-RAND())^(1/Alpha)))))</f>
        <v>0.94587847981562556</v>
      </c>
      <c r="P34" s="19">
        <f ca="1">IF(RAND()&lt;P_Zero,0,IF(RAND()&lt;CondReturn,_xlfn.LOGNORM.INV(RAND(),MV2,Sigma1),IF(RAND()&lt;CondGood,_xlfn.LOGNORM.INV(RAND(),MV3,Sigma2),MIN(MaxMultiple,Xm/(1-RAND())^(1/Alpha)))))</f>
        <v>0.53120988044847128</v>
      </c>
      <c r="Q34" s="19">
        <f ca="1">IF(RAND()&lt;P_Zero,0,IF(RAND()&lt;CondReturn,_xlfn.LOGNORM.INV(RAND(),MV2,Sigma1),IF(RAND()&lt;CondGood,_xlfn.LOGNORM.INV(RAND(),MV3,Sigma2),MIN(MaxMultiple,Xm/(1-RAND())^(1/Alpha)))))</f>
        <v>0.84825788976921879</v>
      </c>
      <c r="R34" s="19">
        <f ca="1">IF(RAND()&lt;P_Zero,0,IF(RAND()&lt;CondReturn,_xlfn.LOGNORM.INV(RAND(),MV2,Sigma1),IF(RAND()&lt;CondGood,_xlfn.LOGNORM.INV(RAND(),MV3,Sigma2),MIN(MaxMultiple,Xm/(1-RAND())^(1/Alpha)))))</f>
        <v>0.84385255793991865</v>
      </c>
      <c r="S34" s="19">
        <f ca="1">IF(RAND()&lt;P_Zero,0,IF(RAND()&lt;CondReturn,_xlfn.LOGNORM.INV(RAND(),MV2,Sigma1),IF(RAND()&lt;CondGood,_xlfn.LOGNORM.INV(RAND(),MV3,Sigma2),MIN(MaxMultiple,Xm/(1-RAND())^(1/Alpha)))))</f>
        <v>1.2795046090514735</v>
      </c>
      <c r="T34" s="19">
        <f ca="1">IF(RAND()&lt;P_Zero,0,IF(RAND()&lt;CondReturn,_xlfn.LOGNORM.INV(RAND(),MV2,Sigma1),IF(RAND()&lt;CondGood,_xlfn.LOGNORM.INV(RAND(),MV3,Sigma2),MIN(MaxMultiple,Xm/(1-RAND())^(1/Alpha)))))</f>
        <v>0.85625635000800315</v>
      </c>
      <c r="U34" s="19">
        <f ca="1">IF(RAND()&lt;P_Zero,0,IF(RAND()&lt;CondReturn,_xlfn.LOGNORM.INV(RAND(),MV2,Sigma1),IF(RAND()&lt;CondGood,_xlfn.LOGNORM.INV(RAND(),MV3,Sigma2),MIN(MaxMultiple,Xm/(1-RAND())^(1/Alpha)))))</f>
        <v>2.1966787693091101</v>
      </c>
      <c r="V34" s="19">
        <f ca="1">IF(RAND()&lt;P_Zero,0,IF(RAND()&lt;CondReturn,_xlfn.LOGNORM.INV(RAND(),MV2,Sigma1),IF(RAND()&lt;CondGood,_xlfn.LOGNORM.INV(RAND(),MV3,Sigma2),MIN(MaxMultiple,Xm/(1-RAND())^(1/Alpha)))))</f>
        <v>0</v>
      </c>
      <c r="W34" s="19">
        <f ca="1">IF(RAND()&lt;P_Zero,0,IF(RAND()&lt;CondReturn,_xlfn.LOGNORM.INV(RAND(),MV2,Sigma1),IF(RAND()&lt;CondGood,_xlfn.LOGNORM.INV(RAND(),MV3,Sigma2),MIN(MaxMultiple,Xm/(1-RAND())^(1/Alpha)))))</f>
        <v>1.0139234378850657</v>
      </c>
      <c r="X34" s="19">
        <f ca="1">IF(RAND()&lt;P_Zero,0,IF(RAND()&lt;CondReturn,_xlfn.LOGNORM.INV(RAND(),MV2,Sigma1),IF(RAND()&lt;CondGood,_xlfn.LOGNORM.INV(RAND(),MV3,Sigma2),MIN(MaxMultiple,Xm/(1-RAND())^(1/Alpha)))))</f>
        <v>0</v>
      </c>
      <c r="Y34" s="19">
        <f ca="1">IF(RAND()&lt;P_Zero,0,IF(RAND()&lt;CondReturn,_xlfn.LOGNORM.INV(RAND(),MV2,Sigma1),IF(RAND()&lt;CondGood,_xlfn.LOGNORM.INV(RAND(),MV3,Sigma2),MIN(MaxMultiple,Xm/(1-RAND())^(1/Alpha)))))</f>
        <v>0</v>
      </c>
      <c r="Z34" s="19">
        <f ca="1">IF(RAND()&lt;P_Zero,0,IF(RAND()&lt;CondReturn,_xlfn.LOGNORM.INV(RAND(),MV2,Sigma1),IF(RAND()&lt;CondGood,_xlfn.LOGNORM.INV(RAND(),MV3,Sigma2),MIN(MaxMultiple,Xm/(1-RAND())^(1/Alpha)))))</f>
        <v>1.4841847504402097</v>
      </c>
      <c r="AA34" s="19">
        <f ca="1">IF(RAND()&lt;P_Zero,0,IF(RAND()&lt;CondReturn,_xlfn.LOGNORM.INV(RAND(),MV2,Sigma1),IF(RAND()&lt;CondGood,_xlfn.LOGNORM.INV(RAND(),MV3,Sigma2),MIN(MaxMultiple,Xm/(1-RAND())^(1/Alpha)))))</f>
        <v>1.0213713098398725</v>
      </c>
      <c r="AB34" s="19">
        <f t="shared" ca="1" si="0"/>
        <v>0.80507512068995968</v>
      </c>
      <c r="AC34" s="14">
        <f t="shared" ca="1" si="1"/>
        <v>38643605.793118067</v>
      </c>
      <c r="AD34" s="14">
        <f t="shared" ca="1" si="2"/>
        <v>-9356394.2068819329</v>
      </c>
      <c r="AE34" s="14">
        <f t="shared" si="3"/>
        <v>55628399.869093813</v>
      </c>
      <c r="AF34" s="14">
        <f t="shared" ca="1" si="4"/>
        <v>0</v>
      </c>
      <c r="AG34" s="14">
        <f t="shared" ca="1" si="5"/>
        <v>0</v>
      </c>
      <c r="AH34" s="14">
        <f t="shared" ca="1" si="6"/>
        <v>38643605.793118067</v>
      </c>
      <c r="AI34" s="19">
        <f t="shared" ca="1" si="7"/>
        <v>0.64406009655196783</v>
      </c>
    </row>
    <row r="35" spans="2:35" x14ac:dyDescent="0.2">
      <c r="B35" s="1">
        <v>30</v>
      </c>
      <c r="C35" s="19">
        <f ca="1">IF(RAND()&lt;P_Zero,0,IF(RAND()&lt;CondReturn,_xlfn.LOGNORM.INV(RAND(),MV2,Sigma1),IF(RAND()&lt;CondGood,_xlfn.LOGNORM.INV(RAND(),MV3,Sigma2),MIN(MaxMultiple,Xm/(1-RAND())^(1/Alpha)))))</f>
        <v>0</v>
      </c>
      <c r="D35" s="19">
        <f ca="1">IF(RAND()&lt;P_Zero,0,IF(RAND()&lt;CondReturn,_xlfn.LOGNORM.INV(RAND(),MV2,Sigma1),IF(RAND()&lt;CondGood,_xlfn.LOGNORM.INV(RAND(),MV3,Sigma2),MIN(MaxMultiple,Xm/(1-RAND())^(1/Alpha)))))</f>
        <v>1.3331060062586753</v>
      </c>
      <c r="E35" s="19">
        <f ca="1">IF(RAND()&lt;P_Zero,0,IF(RAND()&lt;CondReturn,_xlfn.LOGNORM.INV(RAND(),MV2,Sigma1),IF(RAND()&lt;CondGood,_xlfn.LOGNORM.INV(RAND(),MV3,Sigma2),MIN(MaxMultiple,Xm/(1-RAND())^(1/Alpha)))))</f>
        <v>0</v>
      </c>
      <c r="F35" s="19">
        <f ca="1">IF(RAND()&lt;P_Zero,0,IF(RAND()&lt;CondReturn,_xlfn.LOGNORM.INV(RAND(),MV2,Sigma1),IF(RAND()&lt;CondGood,_xlfn.LOGNORM.INV(RAND(),MV3,Sigma2),MIN(MaxMultiple,Xm/(1-RAND())^(1/Alpha)))))</f>
        <v>1.4858541587177698</v>
      </c>
      <c r="G35" s="19">
        <f ca="1">IF(RAND()&lt;P_Zero,0,IF(RAND()&lt;CondReturn,_xlfn.LOGNORM.INV(RAND(),MV2,Sigma1),IF(RAND()&lt;CondGood,_xlfn.LOGNORM.INV(RAND(),MV3,Sigma2),MIN(MaxMultiple,Xm/(1-RAND())^(1/Alpha)))))</f>
        <v>0.619166183390925</v>
      </c>
      <c r="H35" s="19">
        <f ca="1">IF(RAND()&lt;P_Zero,0,IF(RAND()&lt;CondReturn,_xlfn.LOGNORM.INV(RAND(),MV2,Sigma1),IF(RAND()&lt;CondGood,_xlfn.LOGNORM.INV(RAND(),MV3,Sigma2),MIN(MaxMultiple,Xm/(1-RAND())^(1/Alpha)))))</f>
        <v>0</v>
      </c>
      <c r="I35" s="19">
        <f ca="1">IF(RAND()&lt;P_Zero,0,IF(RAND()&lt;CondReturn,_xlfn.LOGNORM.INV(RAND(),MV2,Sigma1),IF(RAND()&lt;CondGood,_xlfn.LOGNORM.INV(RAND(),MV3,Sigma2),MIN(MaxMultiple,Xm/(1-RAND())^(1/Alpha)))))</f>
        <v>0</v>
      </c>
      <c r="J35" s="19">
        <f ca="1">IF(RAND()&lt;P_Zero,0,IF(RAND()&lt;CondReturn,_xlfn.LOGNORM.INV(RAND(),MV2,Sigma1),IF(RAND()&lt;CondGood,_xlfn.LOGNORM.INV(RAND(),MV3,Sigma2),MIN(MaxMultiple,Xm/(1-RAND())^(1/Alpha)))))</f>
        <v>1.2308179611591463</v>
      </c>
      <c r="K35" s="19">
        <f ca="1">IF(RAND()&lt;P_Zero,0,IF(RAND()&lt;CondReturn,_xlfn.LOGNORM.INV(RAND(),MV2,Sigma1),IF(RAND()&lt;CondGood,_xlfn.LOGNORM.INV(RAND(),MV3,Sigma2),MIN(MaxMultiple,Xm/(1-RAND())^(1/Alpha)))))</f>
        <v>0.67305070722142224</v>
      </c>
      <c r="L35" s="19">
        <f ca="1">IF(RAND()&lt;P_Zero,0,IF(RAND()&lt;CondReturn,_xlfn.LOGNORM.INV(RAND(),MV2,Sigma1),IF(RAND()&lt;CondGood,_xlfn.LOGNORM.INV(RAND(),MV3,Sigma2),MIN(MaxMultiple,Xm/(1-RAND())^(1/Alpha)))))</f>
        <v>1.5659650388648148</v>
      </c>
      <c r="M35" s="19">
        <f ca="1">IF(RAND()&lt;P_Zero,0,IF(RAND()&lt;CondReturn,_xlfn.LOGNORM.INV(RAND(),MV2,Sigma1),IF(RAND()&lt;CondGood,_xlfn.LOGNORM.INV(RAND(),MV3,Sigma2),MIN(MaxMultiple,Xm/(1-RAND())^(1/Alpha)))))</f>
        <v>1.5593083893014514</v>
      </c>
      <c r="N35" s="19">
        <f ca="1">IF(RAND()&lt;P_Zero,0,IF(RAND()&lt;CondReturn,_xlfn.LOGNORM.INV(RAND(),MV2,Sigma1),IF(RAND()&lt;CondGood,_xlfn.LOGNORM.INV(RAND(),MV3,Sigma2),MIN(MaxMultiple,Xm/(1-RAND())^(1/Alpha)))))</f>
        <v>0</v>
      </c>
      <c r="O35" s="19">
        <f ca="1">IF(RAND()&lt;P_Zero,0,IF(RAND()&lt;CondReturn,_xlfn.LOGNORM.INV(RAND(),MV2,Sigma1),IF(RAND()&lt;CondGood,_xlfn.LOGNORM.INV(RAND(),MV3,Sigma2),MIN(MaxMultiple,Xm/(1-RAND())^(1/Alpha)))))</f>
        <v>11.26775563642644</v>
      </c>
      <c r="P35" s="19">
        <f ca="1">IF(RAND()&lt;P_Zero,0,IF(RAND()&lt;CondReturn,_xlfn.LOGNORM.INV(RAND(),MV2,Sigma1),IF(RAND()&lt;CondGood,_xlfn.LOGNORM.INV(RAND(),MV3,Sigma2),MIN(MaxMultiple,Xm/(1-RAND())^(1/Alpha)))))</f>
        <v>1.2393179000185583</v>
      </c>
      <c r="Q35" s="19">
        <f ca="1">IF(RAND()&lt;P_Zero,0,IF(RAND()&lt;CondReturn,_xlfn.LOGNORM.INV(RAND(),MV2,Sigma1),IF(RAND()&lt;CondGood,_xlfn.LOGNORM.INV(RAND(),MV3,Sigma2),MIN(MaxMultiple,Xm/(1-RAND())^(1/Alpha)))))</f>
        <v>0</v>
      </c>
      <c r="R35" s="19">
        <f ca="1">IF(RAND()&lt;P_Zero,0,IF(RAND()&lt;CondReturn,_xlfn.LOGNORM.INV(RAND(),MV2,Sigma1),IF(RAND()&lt;CondGood,_xlfn.LOGNORM.INV(RAND(),MV3,Sigma2),MIN(MaxMultiple,Xm/(1-RAND())^(1/Alpha)))))</f>
        <v>0</v>
      </c>
      <c r="S35" s="19">
        <f ca="1">IF(RAND()&lt;P_Zero,0,IF(RAND()&lt;CondReturn,_xlfn.LOGNORM.INV(RAND(),MV2,Sigma1),IF(RAND()&lt;CondGood,_xlfn.LOGNORM.INV(RAND(),MV3,Sigma2),MIN(MaxMultiple,Xm/(1-RAND())^(1/Alpha)))))</f>
        <v>0</v>
      </c>
      <c r="T35" s="19">
        <f ca="1">IF(RAND()&lt;P_Zero,0,IF(RAND()&lt;CondReturn,_xlfn.LOGNORM.INV(RAND(),MV2,Sigma1),IF(RAND()&lt;CondGood,_xlfn.LOGNORM.INV(RAND(),MV3,Sigma2),MIN(MaxMultiple,Xm/(1-RAND())^(1/Alpha)))))</f>
        <v>0</v>
      </c>
      <c r="U35" s="19">
        <f ca="1">IF(RAND()&lt;P_Zero,0,IF(RAND()&lt;CondReturn,_xlfn.LOGNORM.INV(RAND(),MV2,Sigma1),IF(RAND()&lt;CondGood,_xlfn.LOGNORM.INV(RAND(),MV3,Sigma2),MIN(MaxMultiple,Xm/(1-RAND())^(1/Alpha)))))</f>
        <v>0</v>
      </c>
      <c r="V35" s="19">
        <f ca="1">IF(RAND()&lt;P_Zero,0,IF(RAND()&lt;CondReturn,_xlfn.LOGNORM.INV(RAND(),MV2,Sigma1),IF(RAND()&lt;CondGood,_xlfn.LOGNORM.INV(RAND(),MV3,Sigma2),MIN(MaxMultiple,Xm/(1-RAND())^(1/Alpha)))))</f>
        <v>0</v>
      </c>
      <c r="W35" s="19">
        <f ca="1">IF(RAND()&lt;P_Zero,0,IF(RAND()&lt;CondReturn,_xlfn.LOGNORM.INV(RAND(),MV2,Sigma1),IF(RAND()&lt;CondGood,_xlfn.LOGNORM.INV(RAND(),MV3,Sigma2),MIN(MaxMultiple,Xm/(1-RAND())^(1/Alpha)))))</f>
        <v>1.3990540349537601</v>
      </c>
      <c r="X35" s="19">
        <f ca="1">IF(RAND()&lt;P_Zero,0,IF(RAND()&lt;CondReturn,_xlfn.LOGNORM.INV(RAND(),MV2,Sigma1),IF(RAND()&lt;CondGood,_xlfn.LOGNORM.INV(RAND(),MV3,Sigma2),MIN(MaxMultiple,Xm/(1-RAND())^(1/Alpha)))))</f>
        <v>1.6495530680211201</v>
      </c>
      <c r="Y35" s="19">
        <f ca="1">IF(RAND()&lt;P_Zero,0,IF(RAND()&lt;CondReturn,_xlfn.LOGNORM.INV(RAND(),MV2,Sigma1),IF(RAND()&lt;CondGood,_xlfn.LOGNORM.INV(RAND(),MV3,Sigma2),MIN(MaxMultiple,Xm/(1-RAND())^(1/Alpha)))))</f>
        <v>0</v>
      </c>
      <c r="Z35" s="19">
        <f ca="1">IF(RAND()&lt;P_Zero,0,IF(RAND()&lt;CondReturn,_xlfn.LOGNORM.INV(RAND(),MV2,Sigma1),IF(RAND()&lt;CondGood,_xlfn.LOGNORM.INV(RAND(),MV3,Sigma2),MIN(MaxMultiple,Xm/(1-RAND())^(1/Alpha)))))</f>
        <v>1.1270194879643465</v>
      </c>
      <c r="AA35" s="19">
        <f ca="1">IF(RAND()&lt;P_Zero,0,IF(RAND()&lt;CondReturn,_xlfn.LOGNORM.INV(RAND(),MV2,Sigma1),IF(RAND()&lt;CondGood,_xlfn.LOGNORM.INV(RAND(),MV3,Sigma2),MIN(MaxMultiple,Xm/(1-RAND())^(1/Alpha)))))</f>
        <v>0.80598985953809676</v>
      </c>
      <c r="AB35" s="19">
        <f t="shared" ca="1" si="0"/>
        <v>1.0382383372734614</v>
      </c>
      <c r="AC35" s="14">
        <f t="shared" ca="1" si="1"/>
        <v>49835440.189126149</v>
      </c>
      <c r="AD35" s="14">
        <f t="shared" ca="1" si="2"/>
        <v>1835440.1891261488</v>
      </c>
      <c r="AE35" s="14">
        <f t="shared" si="3"/>
        <v>55628399.869093813</v>
      </c>
      <c r="AF35" s="14">
        <f t="shared" ca="1" si="4"/>
        <v>0</v>
      </c>
      <c r="AG35" s="14">
        <f t="shared" ca="1" si="5"/>
        <v>0</v>
      </c>
      <c r="AH35" s="14">
        <f t="shared" ca="1" si="6"/>
        <v>49835440.189126149</v>
      </c>
      <c r="AI35" s="19">
        <f t="shared" ca="1" si="7"/>
        <v>0.83059066981876917</v>
      </c>
    </row>
    <row r="36" spans="2:35" x14ac:dyDescent="0.2">
      <c r="B36" s="1">
        <v>31</v>
      </c>
      <c r="C36" s="19">
        <f ca="1">IF(RAND()&lt;P_Zero,0,IF(RAND()&lt;CondReturn,_xlfn.LOGNORM.INV(RAND(),MV2,Sigma1),IF(RAND()&lt;CondGood,_xlfn.LOGNORM.INV(RAND(),MV3,Sigma2),MIN(MaxMultiple,Xm/(1-RAND())^(1/Alpha)))))</f>
        <v>14.382117785078758</v>
      </c>
      <c r="D36" s="19">
        <f ca="1">IF(RAND()&lt;P_Zero,0,IF(RAND()&lt;CondReturn,_xlfn.LOGNORM.INV(RAND(),MV2,Sigma1),IF(RAND()&lt;CondGood,_xlfn.LOGNORM.INV(RAND(),MV3,Sigma2),MIN(MaxMultiple,Xm/(1-RAND())^(1/Alpha)))))</f>
        <v>2.0937780825195178</v>
      </c>
      <c r="E36" s="19">
        <f ca="1">IF(RAND()&lt;P_Zero,0,IF(RAND()&lt;CondReturn,_xlfn.LOGNORM.INV(RAND(),MV2,Sigma1),IF(RAND()&lt;CondGood,_xlfn.LOGNORM.INV(RAND(),MV3,Sigma2),MIN(MaxMultiple,Xm/(1-RAND())^(1/Alpha)))))</f>
        <v>0</v>
      </c>
      <c r="F36" s="19">
        <f ca="1">IF(RAND()&lt;P_Zero,0,IF(RAND()&lt;CondReturn,_xlfn.LOGNORM.INV(RAND(),MV2,Sigma1),IF(RAND()&lt;CondGood,_xlfn.LOGNORM.INV(RAND(),MV3,Sigma2),MIN(MaxMultiple,Xm/(1-RAND())^(1/Alpha)))))</f>
        <v>0</v>
      </c>
      <c r="G36" s="19">
        <f ca="1">IF(RAND()&lt;P_Zero,0,IF(RAND()&lt;CondReturn,_xlfn.LOGNORM.INV(RAND(),MV2,Sigma1),IF(RAND()&lt;CondGood,_xlfn.LOGNORM.INV(RAND(),MV3,Sigma2),MIN(MaxMultiple,Xm/(1-RAND())^(1/Alpha)))))</f>
        <v>0</v>
      </c>
      <c r="H36" s="19">
        <f ca="1">IF(RAND()&lt;P_Zero,0,IF(RAND()&lt;CondReturn,_xlfn.LOGNORM.INV(RAND(),MV2,Sigma1),IF(RAND()&lt;CondGood,_xlfn.LOGNORM.INV(RAND(),MV3,Sigma2),MIN(MaxMultiple,Xm/(1-RAND())^(1/Alpha)))))</f>
        <v>0.92880496199191243</v>
      </c>
      <c r="I36" s="19">
        <f ca="1">IF(RAND()&lt;P_Zero,0,IF(RAND()&lt;CondReturn,_xlfn.LOGNORM.INV(RAND(),MV2,Sigma1),IF(RAND()&lt;CondGood,_xlfn.LOGNORM.INV(RAND(),MV3,Sigma2),MIN(MaxMultiple,Xm/(1-RAND())^(1/Alpha)))))</f>
        <v>0</v>
      </c>
      <c r="J36" s="19">
        <f ca="1">IF(RAND()&lt;P_Zero,0,IF(RAND()&lt;CondReturn,_xlfn.LOGNORM.INV(RAND(),MV2,Sigma1),IF(RAND()&lt;CondGood,_xlfn.LOGNORM.INV(RAND(),MV3,Sigma2),MIN(MaxMultiple,Xm/(1-RAND())^(1/Alpha)))))</f>
        <v>0.87578031580701166</v>
      </c>
      <c r="K36" s="19">
        <f ca="1">IF(RAND()&lt;P_Zero,0,IF(RAND()&lt;CondReturn,_xlfn.LOGNORM.INV(RAND(),MV2,Sigma1),IF(RAND()&lt;CondGood,_xlfn.LOGNORM.INV(RAND(),MV3,Sigma2),MIN(MaxMultiple,Xm/(1-RAND())^(1/Alpha)))))</f>
        <v>11.187782597159945</v>
      </c>
      <c r="L36" s="19">
        <f ca="1">IF(RAND()&lt;P_Zero,0,IF(RAND()&lt;CondReturn,_xlfn.LOGNORM.INV(RAND(),MV2,Sigma1),IF(RAND()&lt;CondGood,_xlfn.LOGNORM.INV(RAND(),MV3,Sigma2),MIN(MaxMultiple,Xm/(1-RAND())^(1/Alpha)))))</f>
        <v>2.3199965562423501</v>
      </c>
      <c r="M36" s="19">
        <f ca="1">IF(RAND()&lt;P_Zero,0,IF(RAND()&lt;CondReturn,_xlfn.LOGNORM.INV(RAND(),MV2,Sigma1),IF(RAND()&lt;CondGood,_xlfn.LOGNORM.INV(RAND(),MV3,Sigma2),MIN(MaxMultiple,Xm/(1-RAND())^(1/Alpha)))))</f>
        <v>0</v>
      </c>
      <c r="N36" s="19">
        <f ca="1">IF(RAND()&lt;P_Zero,0,IF(RAND()&lt;CondReturn,_xlfn.LOGNORM.INV(RAND(),MV2,Sigma1),IF(RAND()&lt;CondGood,_xlfn.LOGNORM.INV(RAND(),MV3,Sigma2),MIN(MaxMultiple,Xm/(1-RAND())^(1/Alpha)))))</f>
        <v>0</v>
      </c>
      <c r="O36" s="19">
        <f ca="1">IF(RAND()&lt;P_Zero,0,IF(RAND()&lt;CondReturn,_xlfn.LOGNORM.INV(RAND(),MV2,Sigma1),IF(RAND()&lt;CondGood,_xlfn.LOGNORM.INV(RAND(),MV3,Sigma2),MIN(MaxMultiple,Xm/(1-RAND())^(1/Alpha)))))</f>
        <v>0</v>
      </c>
      <c r="P36" s="19">
        <f ca="1">IF(RAND()&lt;P_Zero,0,IF(RAND()&lt;CondReturn,_xlfn.LOGNORM.INV(RAND(),MV2,Sigma1),IF(RAND()&lt;CondGood,_xlfn.LOGNORM.INV(RAND(),MV3,Sigma2),MIN(MaxMultiple,Xm/(1-RAND())^(1/Alpha)))))</f>
        <v>218.69120083978092</v>
      </c>
      <c r="Q36" s="19">
        <f ca="1">IF(RAND()&lt;P_Zero,0,IF(RAND()&lt;CondReturn,_xlfn.LOGNORM.INV(RAND(),MV2,Sigma1),IF(RAND()&lt;CondGood,_xlfn.LOGNORM.INV(RAND(),MV3,Sigma2),MIN(MaxMultiple,Xm/(1-RAND())^(1/Alpha)))))</f>
        <v>0</v>
      </c>
      <c r="R36" s="19">
        <f ca="1">IF(RAND()&lt;P_Zero,0,IF(RAND()&lt;CondReturn,_xlfn.LOGNORM.INV(RAND(),MV2,Sigma1),IF(RAND()&lt;CondGood,_xlfn.LOGNORM.INV(RAND(),MV3,Sigma2),MIN(MaxMultiple,Xm/(1-RAND())^(1/Alpha)))))</f>
        <v>4.508120818474171</v>
      </c>
      <c r="S36" s="19">
        <f ca="1">IF(RAND()&lt;P_Zero,0,IF(RAND()&lt;CondReturn,_xlfn.LOGNORM.INV(RAND(),MV2,Sigma1),IF(RAND()&lt;CondGood,_xlfn.LOGNORM.INV(RAND(),MV3,Sigma2),MIN(MaxMultiple,Xm/(1-RAND())^(1/Alpha)))))</f>
        <v>1.1140249306022689</v>
      </c>
      <c r="T36" s="19">
        <f ca="1">IF(RAND()&lt;P_Zero,0,IF(RAND()&lt;CondReturn,_xlfn.LOGNORM.INV(RAND(),MV2,Sigma1),IF(RAND()&lt;CondGood,_xlfn.LOGNORM.INV(RAND(),MV3,Sigma2),MIN(MaxMultiple,Xm/(1-RAND())^(1/Alpha)))))</f>
        <v>0</v>
      </c>
      <c r="U36" s="19">
        <f ca="1">IF(RAND()&lt;P_Zero,0,IF(RAND()&lt;CondReturn,_xlfn.LOGNORM.INV(RAND(),MV2,Sigma1),IF(RAND()&lt;CondGood,_xlfn.LOGNORM.INV(RAND(),MV3,Sigma2),MIN(MaxMultiple,Xm/(1-RAND())^(1/Alpha)))))</f>
        <v>0</v>
      </c>
      <c r="V36" s="19">
        <f ca="1">IF(RAND()&lt;P_Zero,0,IF(RAND()&lt;CondReturn,_xlfn.LOGNORM.INV(RAND(),MV2,Sigma1),IF(RAND()&lt;CondGood,_xlfn.LOGNORM.INV(RAND(),MV3,Sigma2),MIN(MaxMultiple,Xm/(1-RAND())^(1/Alpha)))))</f>
        <v>0</v>
      </c>
      <c r="W36" s="19">
        <f ca="1">IF(RAND()&lt;P_Zero,0,IF(RAND()&lt;CondReturn,_xlfn.LOGNORM.INV(RAND(),MV2,Sigma1),IF(RAND()&lt;CondGood,_xlfn.LOGNORM.INV(RAND(),MV3,Sigma2),MIN(MaxMultiple,Xm/(1-RAND())^(1/Alpha)))))</f>
        <v>0.69536268824950265</v>
      </c>
      <c r="X36" s="19">
        <f ca="1">IF(RAND()&lt;P_Zero,0,IF(RAND()&lt;CondReturn,_xlfn.LOGNORM.INV(RAND(),MV2,Sigma1),IF(RAND()&lt;CondGood,_xlfn.LOGNORM.INV(RAND(),MV3,Sigma2),MIN(MaxMultiple,Xm/(1-RAND())^(1/Alpha)))))</f>
        <v>0</v>
      </c>
      <c r="Y36" s="19">
        <f ca="1">IF(RAND()&lt;P_Zero,0,IF(RAND()&lt;CondReturn,_xlfn.LOGNORM.INV(RAND(),MV2,Sigma1),IF(RAND()&lt;CondGood,_xlfn.LOGNORM.INV(RAND(),MV3,Sigma2),MIN(MaxMultiple,Xm/(1-RAND())^(1/Alpha)))))</f>
        <v>0.52003403255874803</v>
      </c>
      <c r="Z36" s="19">
        <f ca="1">IF(RAND()&lt;P_Zero,0,IF(RAND()&lt;CondReturn,_xlfn.LOGNORM.INV(RAND(),MV2,Sigma1),IF(RAND()&lt;CondGood,_xlfn.LOGNORM.INV(RAND(),MV3,Sigma2),MIN(MaxMultiple,Xm/(1-RAND())^(1/Alpha)))))</f>
        <v>10.6985328545097</v>
      </c>
      <c r="AA36" s="19">
        <f ca="1">IF(RAND()&lt;P_Zero,0,IF(RAND()&lt;CondReturn,_xlfn.LOGNORM.INV(RAND(),MV2,Sigma1),IF(RAND()&lt;CondGood,_xlfn.LOGNORM.INV(RAND(),MV3,Sigma2),MIN(MaxMultiple,Xm/(1-RAND())^(1/Alpha)))))</f>
        <v>3.1161894705523889</v>
      </c>
      <c r="AB36" s="19">
        <f t="shared" ca="1" si="0"/>
        <v>10.845269037341087</v>
      </c>
      <c r="AC36" s="14">
        <f t="shared" ca="1" si="1"/>
        <v>520572913.79237217</v>
      </c>
      <c r="AD36" s="14">
        <f t="shared" ca="1" si="2"/>
        <v>472572913.79237217</v>
      </c>
      <c r="AE36" s="14">
        <f t="shared" si="3"/>
        <v>55628399.869093813</v>
      </c>
      <c r="AF36" s="14">
        <f t="shared" ca="1" si="4"/>
        <v>416944513.92327833</v>
      </c>
      <c r="AG36" s="14">
        <f t="shared" ca="1" si="5"/>
        <v>83388902.784655675</v>
      </c>
      <c r="AH36" s="14">
        <f t="shared" ca="1" si="6"/>
        <v>437184011.00771648</v>
      </c>
      <c r="AI36" s="19">
        <f t="shared" ca="1" si="7"/>
        <v>7.2864001834619412</v>
      </c>
    </row>
    <row r="37" spans="2:35" x14ac:dyDescent="0.2">
      <c r="B37" s="1">
        <v>32</v>
      </c>
      <c r="C37" s="19">
        <f ca="1">IF(RAND()&lt;P_Zero,0,IF(RAND()&lt;CondReturn,_xlfn.LOGNORM.INV(RAND(),MV2,Sigma1),IF(RAND()&lt;CondGood,_xlfn.LOGNORM.INV(RAND(),MV3,Sigma2),MIN(MaxMultiple,Xm/(1-RAND())^(1/Alpha)))))</f>
        <v>0</v>
      </c>
      <c r="D37" s="19">
        <f ca="1">IF(RAND()&lt;P_Zero,0,IF(RAND()&lt;CondReturn,_xlfn.LOGNORM.INV(RAND(),MV2,Sigma1),IF(RAND()&lt;CondGood,_xlfn.LOGNORM.INV(RAND(),MV3,Sigma2),MIN(MaxMultiple,Xm/(1-RAND())^(1/Alpha)))))</f>
        <v>18.435879303954561</v>
      </c>
      <c r="E37" s="19">
        <f ca="1">IF(RAND()&lt;P_Zero,0,IF(RAND()&lt;CondReturn,_xlfn.LOGNORM.INV(RAND(),MV2,Sigma1),IF(RAND()&lt;CondGood,_xlfn.LOGNORM.INV(RAND(),MV3,Sigma2),MIN(MaxMultiple,Xm/(1-RAND())^(1/Alpha)))))</f>
        <v>18.285705336508766</v>
      </c>
      <c r="F37" s="19">
        <f ca="1">IF(RAND()&lt;P_Zero,0,IF(RAND()&lt;CondReturn,_xlfn.LOGNORM.INV(RAND(),MV2,Sigma1),IF(RAND()&lt;CondGood,_xlfn.LOGNORM.INV(RAND(),MV3,Sigma2),MIN(MaxMultiple,Xm/(1-RAND())^(1/Alpha)))))</f>
        <v>0</v>
      </c>
      <c r="G37" s="19">
        <f ca="1">IF(RAND()&lt;P_Zero,0,IF(RAND()&lt;CondReturn,_xlfn.LOGNORM.INV(RAND(),MV2,Sigma1),IF(RAND()&lt;CondGood,_xlfn.LOGNORM.INV(RAND(),MV3,Sigma2),MIN(MaxMultiple,Xm/(1-RAND())^(1/Alpha)))))</f>
        <v>1.4824413205877238</v>
      </c>
      <c r="H37" s="19">
        <f ca="1">IF(RAND()&lt;P_Zero,0,IF(RAND()&lt;CondReturn,_xlfn.LOGNORM.INV(RAND(),MV2,Sigma1),IF(RAND()&lt;CondGood,_xlfn.LOGNORM.INV(RAND(),MV3,Sigma2),MIN(MaxMultiple,Xm/(1-RAND())^(1/Alpha)))))</f>
        <v>3.5190500873534996</v>
      </c>
      <c r="I37" s="19">
        <f ca="1">IF(RAND()&lt;P_Zero,0,IF(RAND()&lt;CondReturn,_xlfn.LOGNORM.INV(RAND(),MV2,Sigma1),IF(RAND()&lt;CondGood,_xlfn.LOGNORM.INV(RAND(),MV3,Sigma2),MIN(MaxMultiple,Xm/(1-RAND())^(1/Alpha)))))</f>
        <v>0</v>
      </c>
      <c r="J37" s="19">
        <f ca="1">IF(RAND()&lt;P_Zero,0,IF(RAND()&lt;CondReturn,_xlfn.LOGNORM.INV(RAND(),MV2,Sigma1),IF(RAND()&lt;CondGood,_xlfn.LOGNORM.INV(RAND(),MV3,Sigma2),MIN(MaxMultiple,Xm/(1-RAND())^(1/Alpha)))))</f>
        <v>0</v>
      </c>
      <c r="K37" s="19">
        <f ca="1">IF(RAND()&lt;P_Zero,0,IF(RAND()&lt;CondReturn,_xlfn.LOGNORM.INV(RAND(),MV2,Sigma1),IF(RAND()&lt;CondGood,_xlfn.LOGNORM.INV(RAND(),MV3,Sigma2),MIN(MaxMultiple,Xm/(1-RAND())^(1/Alpha)))))</f>
        <v>0.80707898394524447</v>
      </c>
      <c r="L37" s="19">
        <f ca="1">IF(RAND()&lt;P_Zero,0,IF(RAND()&lt;CondReturn,_xlfn.LOGNORM.INV(RAND(),MV2,Sigma1),IF(RAND()&lt;CondGood,_xlfn.LOGNORM.INV(RAND(),MV3,Sigma2),MIN(MaxMultiple,Xm/(1-RAND())^(1/Alpha)))))</f>
        <v>0</v>
      </c>
      <c r="M37" s="19">
        <f ca="1">IF(RAND()&lt;P_Zero,0,IF(RAND()&lt;CondReturn,_xlfn.LOGNORM.INV(RAND(),MV2,Sigma1),IF(RAND()&lt;CondGood,_xlfn.LOGNORM.INV(RAND(),MV3,Sigma2),MIN(MaxMultiple,Xm/(1-RAND())^(1/Alpha)))))</f>
        <v>0</v>
      </c>
      <c r="N37" s="19">
        <f ca="1">IF(RAND()&lt;P_Zero,0,IF(RAND()&lt;CondReturn,_xlfn.LOGNORM.INV(RAND(),MV2,Sigma1),IF(RAND()&lt;CondGood,_xlfn.LOGNORM.INV(RAND(),MV3,Sigma2),MIN(MaxMultiple,Xm/(1-RAND())^(1/Alpha)))))</f>
        <v>0.35901135577072057</v>
      </c>
      <c r="O37" s="19">
        <f ca="1">IF(RAND()&lt;P_Zero,0,IF(RAND()&lt;CondReturn,_xlfn.LOGNORM.INV(RAND(),MV2,Sigma1),IF(RAND()&lt;CondGood,_xlfn.LOGNORM.INV(RAND(),MV3,Sigma2),MIN(MaxMultiple,Xm/(1-RAND())^(1/Alpha)))))</f>
        <v>0.82262140521395766</v>
      </c>
      <c r="P37" s="19">
        <f ca="1">IF(RAND()&lt;P_Zero,0,IF(RAND()&lt;CondReturn,_xlfn.LOGNORM.INV(RAND(),MV2,Sigma1),IF(RAND()&lt;CondGood,_xlfn.LOGNORM.INV(RAND(),MV3,Sigma2),MIN(MaxMultiple,Xm/(1-RAND())^(1/Alpha)))))</f>
        <v>0.91485583044360186</v>
      </c>
      <c r="Q37" s="19">
        <f ca="1">IF(RAND()&lt;P_Zero,0,IF(RAND()&lt;CondReturn,_xlfn.LOGNORM.INV(RAND(),MV2,Sigma1),IF(RAND()&lt;CondGood,_xlfn.LOGNORM.INV(RAND(),MV3,Sigma2),MIN(MaxMultiple,Xm/(1-RAND())^(1/Alpha)))))</f>
        <v>0</v>
      </c>
      <c r="R37" s="19">
        <f ca="1">IF(RAND()&lt;P_Zero,0,IF(RAND()&lt;CondReturn,_xlfn.LOGNORM.INV(RAND(),MV2,Sigma1),IF(RAND()&lt;CondGood,_xlfn.LOGNORM.INV(RAND(),MV3,Sigma2),MIN(MaxMultiple,Xm/(1-RAND())^(1/Alpha)))))</f>
        <v>0.96073596000685413</v>
      </c>
      <c r="S37" s="19">
        <f ca="1">IF(RAND()&lt;P_Zero,0,IF(RAND()&lt;CondReturn,_xlfn.LOGNORM.INV(RAND(),MV2,Sigma1),IF(RAND()&lt;CondGood,_xlfn.LOGNORM.INV(RAND(),MV3,Sigma2),MIN(MaxMultiple,Xm/(1-RAND())^(1/Alpha)))))</f>
        <v>0</v>
      </c>
      <c r="T37" s="19">
        <f ca="1">IF(RAND()&lt;P_Zero,0,IF(RAND()&lt;CondReturn,_xlfn.LOGNORM.INV(RAND(),MV2,Sigma1),IF(RAND()&lt;CondGood,_xlfn.LOGNORM.INV(RAND(),MV3,Sigma2),MIN(MaxMultiple,Xm/(1-RAND())^(1/Alpha)))))</f>
        <v>38.998525422996657</v>
      </c>
      <c r="U37" s="19">
        <f ca="1">IF(RAND()&lt;P_Zero,0,IF(RAND()&lt;CondReturn,_xlfn.LOGNORM.INV(RAND(),MV2,Sigma1),IF(RAND()&lt;CondGood,_xlfn.LOGNORM.INV(RAND(),MV3,Sigma2),MIN(MaxMultiple,Xm/(1-RAND())^(1/Alpha)))))</f>
        <v>0.66279641425892544</v>
      </c>
      <c r="V37" s="19">
        <f ca="1">IF(RAND()&lt;P_Zero,0,IF(RAND()&lt;CondReturn,_xlfn.LOGNORM.INV(RAND(),MV2,Sigma1),IF(RAND()&lt;CondGood,_xlfn.LOGNORM.INV(RAND(),MV3,Sigma2),MIN(MaxMultiple,Xm/(1-RAND())^(1/Alpha)))))</f>
        <v>0</v>
      </c>
      <c r="W37" s="19">
        <f ca="1">IF(RAND()&lt;P_Zero,0,IF(RAND()&lt;CondReturn,_xlfn.LOGNORM.INV(RAND(),MV2,Sigma1),IF(RAND()&lt;CondGood,_xlfn.LOGNORM.INV(RAND(),MV3,Sigma2),MIN(MaxMultiple,Xm/(1-RAND())^(1/Alpha)))))</f>
        <v>29.062499598962503</v>
      </c>
      <c r="X37" s="19">
        <f ca="1">IF(RAND()&lt;P_Zero,0,IF(RAND()&lt;CondReturn,_xlfn.LOGNORM.INV(RAND(),MV2,Sigma1),IF(RAND()&lt;CondGood,_xlfn.LOGNORM.INV(RAND(),MV3,Sigma2),MIN(MaxMultiple,Xm/(1-RAND())^(1/Alpha)))))</f>
        <v>0.58272673597190972</v>
      </c>
      <c r="Y37" s="19">
        <f ca="1">IF(RAND()&lt;P_Zero,0,IF(RAND()&lt;CondReturn,_xlfn.LOGNORM.INV(RAND(),MV2,Sigma1),IF(RAND()&lt;CondGood,_xlfn.LOGNORM.INV(RAND(),MV3,Sigma2),MIN(MaxMultiple,Xm/(1-RAND())^(1/Alpha)))))</f>
        <v>100.93310326878557</v>
      </c>
      <c r="Z37" s="19">
        <f ca="1">IF(RAND()&lt;P_Zero,0,IF(RAND()&lt;CondReturn,_xlfn.LOGNORM.INV(RAND(),MV2,Sigma1),IF(RAND()&lt;CondGood,_xlfn.LOGNORM.INV(RAND(),MV3,Sigma2),MIN(MaxMultiple,Xm/(1-RAND())^(1/Alpha)))))</f>
        <v>0.91062410522337434</v>
      </c>
      <c r="AA37" s="19">
        <f ca="1">IF(RAND()&lt;P_Zero,0,IF(RAND()&lt;CondReturn,_xlfn.LOGNORM.INV(RAND(),MV2,Sigma1),IF(RAND()&lt;CondGood,_xlfn.LOGNORM.INV(RAND(),MV3,Sigma2),MIN(MaxMultiple,Xm/(1-RAND())^(1/Alpha)))))</f>
        <v>1.1448960061219382</v>
      </c>
      <c r="AB37" s="19">
        <f t="shared" ca="1" si="0"/>
        <v>8.7153020454442327</v>
      </c>
      <c r="AC37" s="14">
        <f t="shared" ca="1" si="1"/>
        <v>418334498.18132317</v>
      </c>
      <c r="AD37" s="14">
        <f t="shared" ca="1" si="2"/>
        <v>370334498.18132317</v>
      </c>
      <c r="AE37" s="14">
        <f t="shared" si="3"/>
        <v>55628399.869093813</v>
      </c>
      <c r="AF37" s="14">
        <f t="shared" ca="1" si="4"/>
        <v>314706098.31222934</v>
      </c>
      <c r="AG37" s="14">
        <f t="shared" ca="1" si="5"/>
        <v>62941219.662445873</v>
      </c>
      <c r="AH37" s="14">
        <f t="shared" ca="1" si="6"/>
        <v>355393278.51887727</v>
      </c>
      <c r="AI37" s="19">
        <f t="shared" ca="1" si="7"/>
        <v>5.9232213086479542</v>
      </c>
    </row>
    <row r="38" spans="2:35" x14ac:dyDescent="0.2">
      <c r="B38" s="1">
        <v>33</v>
      </c>
      <c r="C38" s="19">
        <f ca="1">IF(RAND()&lt;P_Zero,0,IF(RAND()&lt;CondReturn,_xlfn.LOGNORM.INV(RAND(),MV2,Sigma1),IF(RAND()&lt;CondGood,_xlfn.LOGNORM.INV(RAND(),MV3,Sigma2),MIN(MaxMultiple,Xm/(1-RAND())^(1/Alpha)))))</f>
        <v>0</v>
      </c>
      <c r="D38" s="19">
        <f ca="1">IF(RAND()&lt;P_Zero,0,IF(RAND()&lt;CondReturn,_xlfn.LOGNORM.INV(RAND(),MV2,Sigma1),IF(RAND()&lt;CondGood,_xlfn.LOGNORM.INV(RAND(),MV3,Sigma2),MIN(MaxMultiple,Xm/(1-RAND())^(1/Alpha)))))</f>
        <v>0.18630576142298003</v>
      </c>
      <c r="E38" s="19">
        <f ca="1">IF(RAND()&lt;P_Zero,0,IF(RAND()&lt;CondReturn,_xlfn.LOGNORM.INV(RAND(),MV2,Sigma1),IF(RAND()&lt;CondGood,_xlfn.LOGNORM.INV(RAND(),MV3,Sigma2),MIN(MaxMultiple,Xm/(1-RAND())^(1/Alpha)))))</f>
        <v>0</v>
      </c>
      <c r="F38" s="19">
        <f ca="1">IF(RAND()&lt;P_Zero,0,IF(RAND()&lt;CondReturn,_xlfn.LOGNORM.INV(RAND(),MV2,Sigma1),IF(RAND()&lt;CondGood,_xlfn.LOGNORM.INV(RAND(),MV3,Sigma2),MIN(MaxMultiple,Xm/(1-RAND())^(1/Alpha)))))</f>
        <v>0</v>
      </c>
      <c r="G38" s="19">
        <f ca="1">IF(RAND()&lt;P_Zero,0,IF(RAND()&lt;CondReturn,_xlfn.LOGNORM.INV(RAND(),MV2,Sigma1),IF(RAND()&lt;CondGood,_xlfn.LOGNORM.INV(RAND(),MV3,Sigma2),MIN(MaxMultiple,Xm/(1-RAND())^(1/Alpha)))))</f>
        <v>0.75715555915618715</v>
      </c>
      <c r="H38" s="19">
        <f ca="1">IF(RAND()&lt;P_Zero,0,IF(RAND()&lt;CondReturn,_xlfn.LOGNORM.INV(RAND(),MV2,Sigma1),IF(RAND()&lt;CondGood,_xlfn.LOGNORM.INV(RAND(),MV3,Sigma2),MIN(MaxMultiple,Xm/(1-RAND())^(1/Alpha)))))</f>
        <v>0</v>
      </c>
      <c r="I38" s="19">
        <f ca="1">IF(RAND()&lt;P_Zero,0,IF(RAND()&lt;CondReturn,_xlfn.LOGNORM.INV(RAND(),MV2,Sigma1),IF(RAND()&lt;CondGood,_xlfn.LOGNORM.INV(RAND(),MV3,Sigma2),MIN(MaxMultiple,Xm/(1-RAND())^(1/Alpha)))))</f>
        <v>0.87052130877927003</v>
      </c>
      <c r="J38" s="19">
        <f ca="1">IF(RAND()&lt;P_Zero,0,IF(RAND()&lt;CondReturn,_xlfn.LOGNORM.INV(RAND(),MV2,Sigma1),IF(RAND()&lt;CondGood,_xlfn.LOGNORM.INV(RAND(),MV3,Sigma2),MIN(MaxMultiple,Xm/(1-RAND())^(1/Alpha)))))</f>
        <v>0.85207489446172568</v>
      </c>
      <c r="K38" s="19">
        <f ca="1">IF(RAND()&lt;P_Zero,0,IF(RAND()&lt;CondReturn,_xlfn.LOGNORM.INV(RAND(),MV2,Sigma1),IF(RAND()&lt;CondGood,_xlfn.LOGNORM.INV(RAND(),MV3,Sigma2),MIN(MaxMultiple,Xm/(1-RAND())^(1/Alpha)))))</f>
        <v>1.1171418082529547</v>
      </c>
      <c r="L38" s="19">
        <f ca="1">IF(RAND()&lt;P_Zero,0,IF(RAND()&lt;CondReturn,_xlfn.LOGNORM.INV(RAND(),MV2,Sigma1),IF(RAND()&lt;CondGood,_xlfn.LOGNORM.INV(RAND(),MV3,Sigma2),MIN(MaxMultiple,Xm/(1-RAND())^(1/Alpha)))))</f>
        <v>0.82450129007971984</v>
      </c>
      <c r="M38" s="19">
        <f ca="1">IF(RAND()&lt;P_Zero,0,IF(RAND()&lt;CondReturn,_xlfn.LOGNORM.INV(RAND(),MV2,Sigma1),IF(RAND()&lt;CondGood,_xlfn.LOGNORM.INV(RAND(),MV3,Sigma2),MIN(MaxMultiple,Xm/(1-RAND())^(1/Alpha)))))</f>
        <v>0.41830433261851324</v>
      </c>
      <c r="N38" s="19">
        <f ca="1">IF(RAND()&lt;P_Zero,0,IF(RAND()&lt;CondReturn,_xlfn.LOGNORM.INV(RAND(),MV2,Sigma1),IF(RAND()&lt;CondGood,_xlfn.LOGNORM.INV(RAND(),MV3,Sigma2),MIN(MaxMultiple,Xm/(1-RAND())^(1/Alpha)))))</f>
        <v>0</v>
      </c>
      <c r="O38" s="19">
        <f ca="1">IF(RAND()&lt;P_Zero,0,IF(RAND()&lt;CondReturn,_xlfn.LOGNORM.INV(RAND(),MV2,Sigma1),IF(RAND()&lt;CondGood,_xlfn.LOGNORM.INV(RAND(),MV3,Sigma2),MIN(MaxMultiple,Xm/(1-RAND())^(1/Alpha)))))</f>
        <v>1.158307035838442</v>
      </c>
      <c r="P38" s="19">
        <f ca="1">IF(RAND()&lt;P_Zero,0,IF(RAND()&lt;CondReturn,_xlfn.LOGNORM.INV(RAND(),MV2,Sigma1),IF(RAND()&lt;CondGood,_xlfn.LOGNORM.INV(RAND(),MV3,Sigma2),MIN(MaxMultiple,Xm/(1-RAND())^(1/Alpha)))))</f>
        <v>1.5295084578484481</v>
      </c>
      <c r="Q38" s="19">
        <f ca="1">IF(RAND()&lt;P_Zero,0,IF(RAND()&lt;CondReturn,_xlfn.LOGNORM.INV(RAND(),MV2,Sigma1),IF(RAND()&lt;CondGood,_xlfn.LOGNORM.INV(RAND(),MV3,Sigma2),MIN(MaxMultiple,Xm/(1-RAND())^(1/Alpha)))))</f>
        <v>1.2510548892020175</v>
      </c>
      <c r="R38" s="19">
        <f ca="1">IF(RAND()&lt;P_Zero,0,IF(RAND()&lt;CondReturn,_xlfn.LOGNORM.INV(RAND(),MV2,Sigma1),IF(RAND()&lt;CondGood,_xlfn.LOGNORM.INV(RAND(),MV3,Sigma2),MIN(MaxMultiple,Xm/(1-RAND())^(1/Alpha)))))</f>
        <v>0.71143938230000758</v>
      </c>
      <c r="S38" s="19">
        <f ca="1">IF(RAND()&lt;P_Zero,0,IF(RAND()&lt;CondReturn,_xlfn.LOGNORM.INV(RAND(),MV2,Sigma1),IF(RAND()&lt;CondGood,_xlfn.LOGNORM.INV(RAND(),MV3,Sigma2),MIN(MaxMultiple,Xm/(1-RAND())^(1/Alpha)))))</f>
        <v>1.7745007116248461</v>
      </c>
      <c r="T38" s="19">
        <f ca="1">IF(RAND()&lt;P_Zero,0,IF(RAND()&lt;CondReturn,_xlfn.LOGNORM.INV(RAND(),MV2,Sigma1),IF(RAND()&lt;CondGood,_xlfn.LOGNORM.INV(RAND(),MV3,Sigma2),MIN(MaxMultiple,Xm/(1-RAND())^(1/Alpha)))))</f>
        <v>0</v>
      </c>
      <c r="U38" s="19">
        <f ca="1">IF(RAND()&lt;P_Zero,0,IF(RAND()&lt;CondReturn,_xlfn.LOGNORM.INV(RAND(),MV2,Sigma1),IF(RAND()&lt;CondGood,_xlfn.LOGNORM.INV(RAND(),MV3,Sigma2),MIN(MaxMultiple,Xm/(1-RAND())^(1/Alpha)))))</f>
        <v>0</v>
      </c>
      <c r="V38" s="19">
        <f ca="1">IF(RAND()&lt;P_Zero,0,IF(RAND()&lt;CondReturn,_xlfn.LOGNORM.INV(RAND(),MV2,Sigma1),IF(RAND()&lt;CondGood,_xlfn.LOGNORM.INV(RAND(),MV3,Sigma2),MIN(MaxMultiple,Xm/(1-RAND())^(1/Alpha)))))</f>
        <v>0.38982976337874198</v>
      </c>
      <c r="W38" s="19">
        <f ca="1">IF(RAND()&lt;P_Zero,0,IF(RAND()&lt;CondReturn,_xlfn.LOGNORM.INV(RAND(),MV2,Sigma1),IF(RAND()&lt;CondGood,_xlfn.LOGNORM.INV(RAND(),MV3,Sigma2),MIN(MaxMultiple,Xm/(1-RAND())^(1/Alpha)))))</f>
        <v>2.1169819085628587</v>
      </c>
      <c r="X38" s="19">
        <f ca="1">IF(RAND()&lt;P_Zero,0,IF(RAND()&lt;CondReturn,_xlfn.LOGNORM.INV(RAND(),MV2,Sigma1),IF(RAND()&lt;CondGood,_xlfn.LOGNORM.INV(RAND(),MV3,Sigma2),MIN(MaxMultiple,Xm/(1-RAND())^(1/Alpha)))))</f>
        <v>0</v>
      </c>
      <c r="Y38" s="19">
        <f ca="1">IF(RAND()&lt;P_Zero,0,IF(RAND()&lt;CondReturn,_xlfn.LOGNORM.INV(RAND(),MV2,Sigma1),IF(RAND()&lt;CondGood,_xlfn.LOGNORM.INV(RAND(),MV3,Sigma2),MIN(MaxMultiple,Xm/(1-RAND())^(1/Alpha)))))</f>
        <v>0</v>
      </c>
      <c r="Z38" s="19">
        <f ca="1">IF(RAND()&lt;P_Zero,0,IF(RAND()&lt;CondReturn,_xlfn.LOGNORM.INV(RAND(),MV2,Sigma1),IF(RAND()&lt;CondGood,_xlfn.LOGNORM.INV(RAND(),MV3,Sigma2),MIN(MaxMultiple,Xm/(1-RAND())^(1/Alpha)))))</f>
        <v>0.31732705246505516</v>
      </c>
      <c r="AA38" s="19">
        <f ca="1">IF(RAND()&lt;P_Zero,0,IF(RAND()&lt;CondReturn,_xlfn.LOGNORM.INV(RAND(),MV2,Sigma1),IF(RAND()&lt;CondGood,_xlfn.LOGNORM.INV(RAND(),MV3,Sigma2),MIN(MaxMultiple,Xm/(1-RAND())^(1/Alpha)))))</f>
        <v>0</v>
      </c>
      <c r="AB38" s="19">
        <f t="shared" ca="1" si="0"/>
        <v>0.5709981662396707</v>
      </c>
      <c r="AC38" s="14">
        <f t="shared" ca="1" si="1"/>
        <v>27407911.979504194</v>
      </c>
      <c r="AD38" s="14">
        <f t="shared" ca="1" si="2"/>
        <v>-20592088.020495806</v>
      </c>
      <c r="AE38" s="14">
        <f t="shared" si="3"/>
        <v>55628399.869093813</v>
      </c>
      <c r="AF38" s="14">
        <f t="shared" ca="1" si="4"/>
        <v>0</v>
      </c>
      <c r="AG38" s="14">
        <f t="shared" ca="1" si="5"/>
        <v>0</v>
      </c>
      <c r="AH38" s="14">
        <f t="shared" ca="1" si="6"/>
        <v>27407911.979504194</v>
      </c>
      <c r="AI38" s="19">
        <f t="shared" ca="1" si="7"/>
        <v>0.45679853299173656</v>
      </c>
    </row>
    <row r="39" spans="2:35" x14ac:dyDescent="0.2">
      <c r="B39" s="1">
        <v>34</v>
      </c>
      <c r="C39" s="19">
        <f ca="1">IF(RAND()&lt;P_Zero,0,IF(RAND()&lt;CondReturn,_xlfn.LOGNORM.INV(RAND(),MV2,Sigma1),IF(RAND()&lt;CondGood,_xlfn.LOGNORM.INV(RAND(),MV3,Sigma2),MIN(MaxMultiple,Xm/(1-RAND())^(1/Alpha)))))</f>
        <v>0</v>
      </c>
      <c r="D39" s="19">
        <f ca="1">IF(RAND()&lt;P_Zero,0,IF(RAND()&lt;CondReturn,_xlfn.LOGNORM.INV(RAND(),MV2,Sigma1),IF(RAND()&lt;CondGood,_xlfn.LOGNORM.INV(RAND(),MV3,Sigma2),MIN(MaxMultiple,Xm/(1-RAND())^(1/Alpha)))))</f>
        <v>0.32677765152763055</v>
      </c>
      <c r="E39" s="19">
        <f ca="1">IF(RAND()&lt;P_Zero,0,IF(RAND()&lt;CondReturn,_xlfn.LOGNORM.INV(RAND(),MV2,Sigma1),IF(RAND()&lt;CondGood,_xlfn.LOGNORM.INV(RAND(),MV3,Sigma2),MIN(MaxMultiple,Xm/(1-RAND())^(1/Alpha)))))</f>
        <v>0.95156475983704447</v>
      </c>
      <c r="F39" s="19">
        <f ca="1">IF(RAND()&lt;P_Zero,0,IF(RAND()&lt;CondReturn,_xlfn.LOGNORM.INV(RAND(),MV2,Sigma1),IF(RAND()&lt;CondGood,_xlfn.LOGNORM.INV(RAND(),MV3,Sigma2),MIN(MaxMultiple,Xm/(1-RAND())^(1/Alpha)))))</f>
        <v>0</v>
      </c>
      <c r="G39" s="19">
        <f ca="1">IF(RAND()&lt;P_Zero,0,IF(RAND()&lt;CondReturn,_xlfn.LOGNORM.INV(RAND(),MV2,Sigma1),IF(RAND()&lt;CondGood,_xlfn.LOGNORM.INV(RAND(),MV3,Sigma2),MIN(MaxMultiple,Xm/(1-RAND())^(1/Alpha)))))</f>
        <v>1.102382019787594</v>
      </c>
      <c r="H39" s="19">
        <f ca="1">IF(RAND()&lt;P_Zero,0,IF(RAND()&lt;CondReturn,_xlfn.LOGNORM.INV(RAND(),MV2,Sigma1),IF(RAND()&lt;CondGood,_xlfn.LOGNORM.INV(RAND(),MV3,Sigma2),MIN(MaxMultiple,Xm/(1-RAND())^(1/Alpha)))))</f>
        <v>1.8145279944436419</v>
      </c>
      <c r="I39" s="19">
        <f ca="1">IF(RAND()&lt;P_Zero,0,IF(RAND()&lt;CondReturn,_xlfn.LOGNORM.INV(RAND(),MV2,Sigma1),IF(RAND()&lt;CondGood,_xlfn.LOGNORM.INV(RAND(),MV3,Sigma2),MIN(MaxMultiple,Xm/(1-RAND())^(1/Alpha)))))</f>
        <v>0</v>
      </c>
      <c r="J39" s="19">
        <f ca="1">IF(RAND()&lt;P_Zero,0,IF(RAND()&lt;CondReturn,_xlfn.LOGNORM.INV(RAND(),MV2,Sigma1),IF(RAND()&lt;CondGood,_xlfn.LOGNORM.INV(RAND(),MV3,Sigma2),MIN(MaxMultiple,Xm/(1-RAND())^(1/Alpha)))))</f>
        <v>0.81468596808349047</v>
      </c>
      <c r="K39" s="19">
        <f ca="1">IF(RAND()&lt;P_Zero,0,IF(RAND()&lt;CondReturn,_xlfn.LOGNORM.INV(RAND(),MV2,Sigma1),IF(RAND()&lt;CondGood,_xlfn.LOGNORM.INV(RAND(),MV3,Sigma2),MIN(MaxMultiple,Xm/(1-RAND())^(1/Alpha)))))</f>
        <v>3.0755471832485095</v>
      </c>
      <c r="L39" s="19">
        <f ca="1">IF(RAND()&lt;P_Zero,0,IF(RAND()&lt;CondReturn,_xlfn.LOGNORM.INV(RAND(),MV2,Sigma1),IF(RAND()&lt;CondGood,_xlfn.LOGNORM.INV(RAND(),MV3,Sigma2),MIN(MaxMultiple,Xm/(1-RAND())^(1/Alpha)))))</f>
        <v>1.2430719250074926</v>
      </c>
      <c r="M39" s="19">
        <f ca="1">IF(RAND()&lt;P_Zero,0,IF(RAND()&lt;CondReturn,_xlfn.LOGNORM.INV(RAND(),MV2,Sigma1),IF(RAND()&lt;CondGood,_xlfn.LOGNORM.INV(RAND(),MV3,Sigma2),MIN(MaxMultiple,Xm/(1-RAND())^(1/Alpha)))))</f>
        <v>1.6466831329918357</v>
      </c>
      <c r="N39" s="19">
        <f ca="1">IF(RAND()&lt;P_Zero,0,IF(RAND()&lt;CondReturn,_xlfn.LOGNORM.INV(RAND(),MV2,Sigma1),IF(RAND()&lt;CondGood,_xlfn.LOGNORM.INV(RAND(),MV3,Sigma2),MIN(MaxMultiple,Xm/(1-RAND())^(1/Alpha)))))</f>
        <v>0.95786382644941948</v>
      </c>
      <c r="O39" s="19">
        <f ca="1">IF(RAND()&lt;P_Zero,0,IF(RAND()&lt;CondReturn,_xlfn.LOGNORM.INV(RAND(),MV2,Sigma1),IF(RAND()&lt;CondGood,_xlfn.LOGNORM.INV(RAND(),MV3,Sigma2),MIN(MaxMultiple,Xm/(1-RAND())^(1/Alpha)))))</f>
        <v>0.5972284222688371</v>
      </c>
      <c r="P39" s="19">
        <f ca="1">IF(RAND()&lt;P_Zero,0,IF(RAND()&lt;CondReturn,_xlfn.LOGNORM.INV(RAND(),MV2,Sigma1),IF(RAND()&lt;CondGood,_xlfn.LOGNORM.INV(RAND(),MV3,Sigma2),MIN(MaxMultiple,Xm/(1-RAND())^(1/Alpha)))))</f>
        <v>1.4285452695026792</v>
      </c>
      <c r="Q39" s="19">
        <f ca="1">IF(RAND()&lt;P_Zero,0,IF(RAND()&lt;CondReturn,_xlfn.LOGNORM.INV(RAND(),MV2,Sigma1),IF(RAND()&lt;CondGood,_xlfn.LOGNORM.INV(RAND(),MV3,Sigma2),MIN(MaxMultiple,Xm/(1-RAND())^(1/Alpha)))))</f>
        <v>0</v>
      </c>
      <c r="R39" s="19">
        <f ca="1">IF(RAND()&lt;P_Zero,0,IF(RAND()&lt;CondReturn,_xlfn.LOGNORM.INV(RAND(),MV2,Sigma1),IF(RAND()&lt;CondGood,_xlfn.LOGNORM.INV(RAND(),MV3,Sigma2),MIN(MaxMultiple,Xm/(1-RAND())^(1/Alpha)))))</f>
        <v>1.0963441761855997</v>
      </c>
      <c r="S39" s="19">
        <f ca="1">IF(RAND()&lt;P_Zero,0,IF(RAND()&lt;CondReturn,_xlfn.LOGNORM.INV(RAND(),MV2,Sigma1),IF(RAND()&lt;CondGood,_xlfn.LOGNORM.INV(RAND(),MV3,Sigma2),MIN(MaxMultiple,Xm/(1-RAND())^(1/Alpha)))))</f>
        <v>1.7479960639480201</v>
      </c>
      <c r="T39" s="19">
        <f ca="1">IF(RAND()&lt;P_Zero,0,IF(RAND()&lt;CondReturn,_xlfn.LOGNORM.INV(RAND(),MV2,Sigma1),IF(RAND()&lt;CondGood,_xlfn.LOGNORM.INV(RAND(),MV3,Sigma2),MIN(MaxMultiple,Xm/(1-RAND())^(1/Alpha)))))</f>
        <v>0</v>
      </c>
      <c r="U39" s="19">
        <f ca="1">IF(RAND()&lt;P_Zero,0,IF(RAND()&lt;CondReturn,_xlfn.LOGNORM.INV(RAND(),MV2,Sigma1),IF(RAND()&lt;CondGood,_xlfn.LOGNORM.INV(RAND(),MV3,Sigma2),MIN(MaxMultiple,Xm/(1-RAND())^(1/Alpha)))))</f>
        <v>0</v>
      </c>
      <c r="V39" s="19">
        <f ca="1">IF(RAND()&lt;P_Zero,0,IF(RAND()&lt;CondReturn,_xlfn.LOGNORM.INV(RAND(),MV2,Sigma1),IF(RAND()&lt;CondGood,_xlfn.LOGNORM.INV(RAND(),MV3,Sigma2),MIN(MaxMultiple,Xm/(1-RAND())^(1/Alpha)))))</f>
        <v>0.53586905928955963</v>
      </c>
      <c r="W39" s="19">
        <f ca="1">IF(RAND()&lt;P_Zero,0,IF(RAND()&lt;CondReturn,_xlfn.LOGNORM.INV(RAND(),MV2,Sigma1),IF(RAND()&lt;CondGood,_xlfn.LOGNORM.INV(RAND(),MV3,Sigma2),MIN(MaxMultiple,Xm/(1-RAND())^(1/Alpha)))))</f>
        <v>0.95199889819846661</v>
      </c>
      <c r="X39" s="19">
        <f ca="1">IF(RAND()&lt;P_Zero,0,IF(RAND()&lt;CondReturn,_xlfn.LOGNORM.INV(RAND(),MV2,Sigma1),IF(RAND()&lt;CondGood,_xlfn.LOGNORM.INV(RAND(),MV3,Sigma2),MIN(MaxMultiple,Xm/(1-RAND())^(1/Alpha)))))</f>
        <v>1.2703658676805651</v>
      </c>
      <c r="Y39" s="19">
        <f ca="1">IF(RAND()&lt;P_Zero,0,IF(RAND()&lt;CondReturn,_xlfn.LOGNORM.INV(RAND(),MV2,Sigma1),IF(RAND()&lt;CondGood,_xlfn.LOGNORM.INV(RAND(),MV3,Sigma2),MIN(MaxMultiple,Xm/(1-RAND())^(1/Alpha)))))</f>
        <v>13.657334042015302</v>
      </c>
      <c r="Z39" s="19">
        <f ca="1">IF(RAND()&lt;P_Zero,0,IF(RAND()&lt;CondReturn,_xlfn.LOGNORM.INV(RAND(),MV2,Sigma1),IF(RAND()&lt;CondGood,_xlfn.LOGNORM.INV(RAND(),MV3,Sigma2),MIN(MaxMultiple,Xm/(1-RAND())^(1/Alpha)))))</f>
        <v>1.1385458087625491</v>
      </c>
      <c r="AA39" s="19">
        <f ca="1">IF(RAND()&lt;P_Zero,0,IF(RAND()&lt;CondReturn,_xlfn.LOGNORM.INV(RAND(),MV2,Sigma1),IF(RAND()&lt;CondGood,_xlfn.LOGNORM.INV(RAND(),MV3,Sigma2),MIN(MaxMultiple,Xm/(1-RAND())^(1/Alpha)))))</f>
        <v>11.827396845706428</v>
      </c>
      <c r="AB39" s="19">
        <f t="shared" ca="1" si="0"/>
        <v>1.8473891565973866</v>
      </c>
      <c r="AC39" s="14">
        <f t="shared" ca="1" si="1"/>
        <v>88674679.516674548</v>
      </c>
      <c r="AD39" s="14">
        <f t="shared" ca="1" si="2"/>
        <v>40674679.516674548</v>
      </c>
      <c r="AE39" s="14">
        <f t="shared" si="3"/>
        <v>55628399.869093813</v>
      </c>
      <c r="AF39" s="14">
        <f t="shared" ca="1" si="4"/>
        <v>0</v>
      </c>
      <c r="AG39" s="14">
        <f t="shared" ca="1" si="5"/>
        <v>0</v>
      </c>
      <c r="AH39" s="14">
        <f t="shared" ca="1" si="6"/>
        <v>88674679.516674548</v>
      </c>
      <c r="AI39" s="19">
        <f t="shared" ca="1" si="7"/>
        <v>1.4779113252779092</v>
      </c>
    </row>
    <row r="40" spans="2:35" x14ac:dyDescent="0.2">
      <c r="B40" s="1">
        <v>35</v>
      </c>
      <c r="C40" s="19">
        <f ca="1">IF(RAND()&lt;P_Zero,0,IF(RAND()&lt;CondReturn,_xlfn.LOGNORM.INV(RAND(),MV2,Sigma1),IF(RAND()&lt;CondGood,_xlfn.LOGNORM.INV(RAND(),MV3,Sigma2),MIN(MaxMultiple,Xm/(1-RAND())^(1/Alpha)))))</f>
        <v>22.4001699700625</v>
      </c>
      <c r="D40" s="19">
        <f ca="1">IF(RAND()&lt;P_Zero,0,IF(RAND()&lt;CondReturn,_xlfn.LOGNORM.INV(RAND(),MV2,Sigma1),IF(RAND()&lt;CondGood,_xlfn.LOGNORM.INV(RAND(),MV3,Sigma2),MIN(MaxMultiple,Xm/(1-RAND())^(1/Alpha)))))</f>
        <v>0</v>
      </c>
      <c r="E40" s="19">
        <f ca="1">IF(RAND()&lt;P_Zero,0,IF(RAND()&lt;CondReturn,_xlfn.LOGNORM.INV(RAND(),MV2,Sigma1),IF(RAND()&lt;CondGood,_xlfn.LOGNORM.INV(RAND(),MV3,Sigma2),MIN(MaxMultiple,Xm/(1-RAND())^(1/Alpha)))))</f>
        <v>0</v>
      </c>
      <c r="F40" s="19">
        <f ca="1">IF(RAND()&lt;P_Zero,0,IF(RAND()&lt;CondReturn,_xlfn.LOGNORM.INV(RAND(),MV2,Sigma1),IF(RAND()&lt;CondGood,_xlfn.LOGNORM.INV(RAND(),MV3,Sigma2),MIN(MaxMultiple,Xm/(1-RAND())^(1/Alpha)))))</f>
        <v>0.59618402474983656</v>
      </c>
      <c r="G40" s="19">
        <f ca="1">IF(RAND()&lt;P_Zero,0,IF(RAND()&lt;CondReturn,_xlfn.LOGNORM.INV(RAND(),MV2,Sigma1),IF(RAND()&lt;CondGood,_xlfn.LOGNORM.INV(RAND(),MV3,Sigma2),MIN(MaxMultiple,Xm/(1-RAND())^(1/Alpha)))))</f>
        <v>0.50658341383546579</v>
      </c>
      <c r="H40" s="19">
        <f ca="1">IF(RAND()&lt;P_Zero,0,IF(RAND()&lt;CondReturn,_xlfn.LOGNORM.INV(RAND(),MV2,Sigma1),IF(RAND()&lt;CondGood,_xlfn.LOGNORM.INV(RAND(),MV3,Sigma2),MIN(MaxMultiple,Xm/(1-RAND())^(1/Alpha)))))</f>
        <v>0</v>
      </c>
      <c r="I40" s="19">
        <f ca="1">IF(RAND()&lt;P_Zero,0,IF(RAND()&lt;CondReturn,_xlfn.LOGNORM.INV(RAND(),MV2,Sigma1),IF(RAND()&lt;CondGood,_xlfn.LOGNORM.INV(RAND(),MV3,Sigma2),MIN(MaxMultiple,Xm/(1-RAND())^(1/Alpha)))))</f>
        <v>0</v>
      </c>
      <c r="J40" s="19">
        <f ca="1">IF(RAND()&lt;P_Zero,0,IF(RAND()&lt;CondReturn,_xlfn.LOGNORM.INV(RAND(),MV2,Sigma1),IF(RAND()&lt;CondGood,_xlfn.LOGNORM.INV(RAND(),MV3,Sigma2),MIN(MaxMultiple,Xm/(1-RAND())^(1/Alpha)))))</f>
        <v>1.0740989168353652</v>
      </c>
      <c r="K40" s="19">
        <f ca="1">IF(RAND()&lt;P_Zero,0,IF(RAND()&lt;CondReturn,_xlfn.LOGNORM.INV(RAND(),MV2,Sigma1),IF(RAND()&lt;CondGood,_xlfn.LOGNORM.INV(RAND(),MV3,Sigma2),MIN(MaxMultiple,Xm/(1-RAND())^(1/Alpha)))))</f>
        <v>0.3821858098231895</v>
      </c>
      <c r="L40" s="19">
        <f ca="1">IF(RAND()&lt;P_Zero,0,IF(RAND()&lt;CondReturn,_xlfn.LOGNORM.INV(RAND(),MV2,Sigma1),IF(RAND()&lt;CondGood,_xlfn.LOGNORM.INV(RAND(),MV3,Sigma2),MIN(MaxMultiple,Xm/(1-RAND())^(1/Alpha)))))</f>
        <v>2.5030514460349949</v>
      </c>
      <c r="M40" s="19">
        <f ca="1">IF(RAND()&lt;P_Zero,0,IF(RAND()&lt;CondReturn,_xlfn.LOGNORM.INV(RAND(),MV2,Sigma1),IF(RAND()&lt;CondGood,_xlfn.LOGNORM.INV(RAND(),MV3,Sigma2),MIN(MaxMultiple,Xm/(1-RAND())^(1/Alpha)))))</f>
        <v>1.2049010097632376</v>
      </c>
      <c r="N40" s="19">
        <f ca="1">IF(RAND()&lt;P_Zero,0,IF(RAND()&lt;CondReturn,_xlfn.LOGNORM.INV(RAND(),MV2,Sigma1),IF(RAND()&lt;CondGood,_xlfn.LOGNORM.INV(RAND(),MV3,Sigma2),MIN(MaxMultiple,Xm/(1-RAND())^(1/Alpha)))))</f>
        <v>1.0800774901810626</v>
      </c>
      <c r="O40" s="19">
        <f ca="1">IF(RAND()&lt;P_Zero,0,IF(RAND()&lt;CondReturn,_xlfn.LOGNORM.INV(RAND(),MV2,Sigma1),IF(RAND()&lt;CondGood,_xlfn.LOGNORM.INV(RAND(),MV3,Sigma2),MIN(MaxMultiple,Xm/(1-RAND())^(1/Alpha)))))</f>
        <v>0</v>
      </c>
      <c r="P40" s="19">
        <f ca="1">IF(RAND()&lt;P_Zero,0,IF(RAND()&lt;CondReturn,_xlfn.LOGNORM.INV(RAND(),MV2,Sigma1),IF(RAND()&lt;CondGood,_xlfn.LOGNORM.INV(RAND(),MV3,Sigma2),MIN(MaxMultiple,Xm/(1-RAND())^(1/Alpha)))))</f>
        <v>0.98551647667880315</v>
      </c>
      <c r="Q40" s="19">
        <f ca="1">IF(RAND()&lt;P_Zero,0,IF(RAND()&lt;CondReturn,_xlfn.LOGNORM.INV(RAND(),MV2,Sigma1),IF(RAND()&lt;CondGood,_xlfn.LOGNORM.INV(RAND(),MV3,Sigma2),MIN(MaxMultiple,Xm/(1-RAND())^(1/Alpha)))))</f>
        <v>0</v>
      </c>
      <c r="R40" s="19">
        <f ca="1">IF(RAND()&lt;P_Zero,0,IF(RAND()&lt;CondReturn,_xlfn.LOGNORM.INV(RAND(),MV2,Sigma1),IF(RAND()&lt;CondGood,_xlfn.LOGNORM.INV(RAND(),MV3,Sigma2),MIN(MaxMultiple,Xm/(1-RAND())^(1/Alpha)))))</f>
        <v>20.263258848109643</v>
      </c>
      <c r="S40" s="19">
        <f ca="1">IF(RAND()&lt;P_Zero,0,IF(RAND()&lt;CondReturn,_xlfn.LOGNORM.INV(RAND(),MV2,Sigma1),IF(RAND()&lt;CondGood,_xlfn.LOGNORM.INV(RAND(),MV3,Sigma2),MIN(MaxMultiple,Xm/(1-RAND())^(1/Alpha)))))</f>
        <v>0.93605651911147736</v>
      </c>
      <c r="T40" s="19">
        <f ca="1">IF(RAND()&lt;P_Zero,0,IF(RAND()&lt;CondReturn,_xlfn.LOGNORM.INV(RAND(),MV2,Sigma1),IF(RAND()&lt;CondGood,_xlfn.LOGNORM.INV(RAND(),MV3,Sigma2),MIN(MaxMultiple,Xm/(1-RAND())^(1/Alpha)))))</f>
        <v>0.95029485041017581</v>
      </c>
      <c r="U40" s="19">
        <f ca="1">IF(RAND()&lt;P_Zero,0,IF(RAND()&lt;CondReturn,_xlfn.LOGNORM.INV(RAND(),MV2,Sigma1),IF(RAND()&lt;CondGood,_xlfn.LOGNORM.INV(RAND(),MV3,Sigma2),MIN(MaxMultiple,Xm/(1-RAND())^(1/Alpha)))))</f>
        <v>0</v>
      </c>
      <c r="V40" s="19">
        <f ca="1">IF(RAND()&lt;P_Zero,0,IF(RAND()&lt;CondReturn,_xlfn.LOGNORM.INV(RAND(),MV2,Sigma1),IF(RAND()&lt;CondGood,_xlfn.LOGNORM.INV(RAND(),MV3,Sigma2),MIN(MaxMultiple,Xm/(1-RAND())^(1/Alpha)))))</f>
        <v>0.87616944667064223</v>
      </c>
      <c r="W40" s="19">
        <f ca="1">IF(RAND()&lt;P_Zero,0,IF(RAND()&lt;CondReturn,_xlfn.LOGNORM.INV(RAND(),MV2,Sigma1),IF(RAND()&lt;CondGood,_xlfn.LOGNORM.INV(RAND(),MV3,Sigma2),MIN(MaxMultiple,Xm/(1-RAND())^(1/Alpha)))))</f>
        <v>0.63039640028729382</v>
      </c>
      <c r="X40" s="19">
        <f ca="1">IF(RAND()&lt;P_Zero,0,IF(RAND()&lt;CondReturn,_xlfn.LOGNORM.INV(RAND(),MV2,Sigma1),IF(RAND()&lt;CondGood,_xlfn.LOGNORM.INV(RAND(),MV3,Sigma2),MIN(MaxMultiple,Xm/(1-RAND())^(1/Alpha)))))</f>
        <v>0.74585804249897258</v>
      </c>
      <c r="Y40" s="19">
        <f ca="1">IF(RAND()&lt;P_Zero,0,IF(RAND()&lt;CondReturn,_xlfn.LOGNORM.INV(RAND(),MV2,Sigma1),IF(RAND()&lt;CondGood,_xlfn.LOGNORM.INV(RAND(),MV3,Sigma2),MIN(MaxMultiple,Xm/(1-RAND())^(1/Alpha)))))</f>
        <v>1.5655484801424564</v>
      </c>
      <c r="Z40" s="19">
        <f ca="1">IF(RAND()&lt;P_Zero,0,IF(RAND()&lt;CondReturn,_xlfn.LOGNORM.INV(RAND(),MV2,Sigma1),IF(RAND()&lt;CondGood,_xlfn.LOGNORM.INV(RAND(),MV3,Sigma2),MIN(MaxMultiple,Xm/(1-RAND())^(1/Alpha)))))</f>
        <v>63.641082762380996</v>
      </c>
      <c r="AA40" s="19">
        <f ca="1">IF(RAND()&lt;P_Zero,0,IF(RAND()&lt;CondReturn,_xlfn.LOGNORM.INV(RAND(),MV2,Sigma1),IF(RAND()&lt;CondGood,_xlfn.LOGNORM.INV(RAND(),MV3,Sigma2),MIN(MaxMultiple,Xm/(1-RAND())^(1/Alpha)))))</f>
        <v>0</v>
      </c>
      <c r="AB40" s="19">
        <f t="shared" ca="1" si="0"/>
        <v>4.813657356303044</v>
      </c>
      <c r="AC40" s="14">
        <f t="shared" ca="1" si="1"/>
        <v>231055553.10254613</v>
      </c>
      <c r="AD40" s="14">
        <f t="shared" ca="1" si="2"/>
        <v>183055553.10254613</v>
      </c>
      <c r="AE40" s="14">
        <f t="shared" si="3"/>
        <v>55628399.869093813</v>
      </c>
      <c r="AF40" s="14">
        <f t="shared" ca="1" si="4"/>
        <v>127427153.23345232</v>
      </c>
      <c r="AG40" s="14">
        <f t="shared" ca="1" si="5"/>
        <v>25485430.646690466</v>
      </c>
      <c r="AH40" s="14">
        <f t="shared" ca="1" si="6"/>
        <v>205570122.45585567</v>
      </c>
      <c r="AI40" s="19">
        <f t="shared" ca="1" si="7"/>
        <v>3.4261687075975944</v>
      </c>
    </row>
    <row r="41" spans="2:35" x14ac:dyDescent="0.2">
      <c r="B41" s="1">
        <v>36</v>
      </c>
      <c r="C41" s="19">
        <f ca="1">IF(RAND()&lt;P_Zero,0,IF(RAND()&lt;CondReturn,_xlfn.LOGNORM.INV(RAND(),MV2,Sigma1),IF(RAND()&lt;CondGood,_xlfn.LOGNORM.INV(RAND(),MV3,Sigma2),MIN(MaxMultiple,Xm/(1-RAND())^(1/Alpha)))))</f>
        <v>1.0792657327356678</v>
      </c>
      <c r="D41" s="19">
        <f ca="1">IF(RAND()&lt;P_Zero,0,IF(RAND()&lt;CondReturn,_xlfn.LOGNORM.INV(RAND(),MV2,Sigma1),IF(RAND()&lt;CondGood,_xlfn.LOGNORM.INV(RAND(),MV3,Sigma2),MIN(MaxMultiple,Xm/(1-RAND())^(1/Alpha)))))</f>
        <v>0.84357542606084412</v>
      </c>
      <c r="E41" s="19">
        <f ca="1">IF(RAND()&lt;P_Zero,0,IF(RAND()&lt;CondReturn,_xlfn.LOGNORM.INV(RAND(),MV2,Sigma1),IF(RAND()&lt;CondGood,_xlfn.LOGNORM.INV(RAND(),MV3,Sigma2),MIN(MaxMultiple,Xm/(1-RAND())^(1/Alpha)))))</f>
        <v>0.82572789660587032</v>
      </c>
      <c r="F41" s="19">
        <f ca="1">IF(RAND()&lt;P_Zero,0,IF(RAND()&lt;CondReturn,_xlfn.LOGNORM.INV(RAND(),MV2,Sigma1),IF(RAND()&lt;CondGood,_xlfn.LOGNORM.INV(RAND(),MV3,Sigma2),MIN(MaxMultiple,Xm/(1-RAND())^(1/Alpha)))))</f>
        <v>0</v>
      </c>
      <c r="G41" s="19">
        <f ca="1">IF(RAND()&lt;P_Zero,0,IF(RAND()&lt;CondReturn,_xlfn.LOGNORM.INV(RAND(),MV2,Sigma1),IF(RAND()&lt;CondGood,_xlfn.LOGNORM.INV(RAND(),MV3,Sigma2),MIN(MaxMultiple,Xm/(1-RAND())^(1/Alpha)))))</f>
        <v>0</v>
      </c>
      <c r="H41" s="19">
        <f ca="1">IF(RAND()&lt;P_Zero,0,IF(RAND()&lt;CondReturn,_xlfn.LOGNORM.INV(RAND(),MV2,Sigma1),IF(RAND()&lt;CondGood,_xlfn.LOGNORM.INV(RAND(),MV3,Sigma2),MIN(MaxMultiple,Xm/(1-RAND())^(1/Alpha)))))</f>
        <v>1.1142695998004124</v>
      </c>
      <c r="I41" s="19">
        <f ca="1">IF(RAND()&lt;P_Zero,0,IF(RAND()&lt;CondReturn,_xlfn.LOGNORM.INV(RAND(),MV2,Sigma1),IF(RAND()&lt;CondGood,_xlfn.LOGNORM.INV(RAND(),MV3,Sigma2),MIN(MaxMultiple,Xm/(1-RAND())^(1/Alpha)))))</f>
        <v>0.6216320537304979</v>
      </c>
      <c r="J41" s="19">
        <f ca="1">IF(RAND()&lt;P_Zero,0,IF(RAND()&lt;CondReturn,_xlfn.LOGNORM.INV(RAND(),MV2,Sigma1),IF(RAND()&lt;CondGood,_xlfn.LOGNORM.INV(RAND(),MV3,Sigma2),MIN(MaxMultiple,Xm/(1-RAND())^(1/Alpha)))))</f>
        <v>0</v>
      </c>
      <c r="K41" s="19">
        <f ca="1">IF(RAND()&lt;P_Zero,0,IF(RAND()&lt;CondReturn,_xlfn.LOGNORM.INV(RAND(),MV2,Sigma1),IF(RAND()&lt;CondGood,_xlfn.LOGNORM.INV(RAND(),MV3,Sigma2),MIN(MaxMultiple,Xm/(1-RAND())^(1/Alpha)))))</f>
        <v>0</v>
      </c>
      <c r="L41" s="19">
        <f ca="1">IF(RAND()&lt;P_Zero,0,IF(RAND()&lt;CondReturn,_xlfn.LOGNORM.INV(RAND(),MV2,Sigma1),IF(RAND()&lt;CondGood,_xlfn.LOGNORM.INV(RAND(),MV3,Sigma2),MIN(MaxMultiple,Xm/(1-RAND())^(1/Alpha)))))</f>
        <v>0.9481465986729305</v>
      </c>
      <c r="M41" s="19">
        <f ca="1">IF(RAND()&lt;P_Zero,0,IF(RAND()&lt;CondReturn,_xlfn.LOGNORM.INV(RAND(),MV2,Sigma1),IF(RAND()&lt;CondGood,_xlfn.LOGNORM.INV(RAND(),MV3,Sigma2),MIN(MaxMultiple,Xm/(1-RAND())^(1/Alpha)))))</f>
        <v>0</v>
      </c>
      <c r="N41" s="19">
        <f ca="1">IF(RAND()&lt;P_Zero,0,IF(RAND()&lt;CondReturn,_xlfn.LOGNORM.INV(RAND(),MV2,Sigma1),IF(RAND()&lt;CondGood,_xlfn.LOGNORM.INV(RAND(),MV3,Sigma2),MIN(MaxMultiple,Xm/(1-RAND())^(1/Alpha)))))</f>
        <v>1.1082295071641919</v>
      </c>
      <c r="O41" s="19">
        <f ca="1">IF(RAND()&lt;P_Zero,0,IF(RAND()&lt;CondReturn,_xlfn.LOGNORM.INV(RAND(),MV2,Sigma1),IF(RAND()&lt;CondGood,_xlfn.LOGNORM.INV(RAND(),MV3,Sigma2),MIN(MaxMultiple,Xm/(1-RAND())^(1/Alpha)))))</f>
        <v>0.62834292697688499</v>
      </c>
      <c r="P41" s="19">
        <f ca="1">IF(RAND()&lt;P_Zero,0,IF(RAND()&lt;CondReturn,_xlfn.LOGNORM.INV(RAND(),MV2,Sigma1),IF(RAND()&lt;CondGood,_xlfn.LOGNORM.INV(RAND(),MV3,Sigma2),MIN(MaxMultiple,Xm/(1-RAND())^(1/Alpha)))))</f>
        <v>1.0029500253372254</v>
      </c>
      <c r="Q41" s="19">
        <f ca="1">IF(RAND()&lt;P_Zero,0,IF(RAND()&lt;CondReturn,_xlfn.LOGNORM.INV(RAND(),MV2,Sigma1),IF(RAND()&lt;CondGood,_xlfn.LOGNORM.INV(RAND(),MV3,Sigma2),MIN(MaxMultiple,Xm/(1-RAND())^(1/Alpha)))))</f>
        <v>0</v>
      </c>
      <c r="R41" s="19">
        <f ca="1">IF(RAND()&lt;P_Zero,0,IF(RAND()&lt;CondReturn,_xlfn.LOGNORM.INV(RAND(),MV2,Sigma1),IF(RAND()&lt;CondGood,_xlfn.LOGNORM.INV(RAND(),MV3,Sigma2),MIN(MaxMultiple,Xm/(1-RAND())^(1/Alpha)))))</f>
        <v>0</v>
      </c>
      <c r="S41" s="19">
        <f ca="1">IF(RAND()&lt;P_Zero,0,IF(RAND()&lt;CondReturn,_xlfn.LOGNORM.INV(RAND(),MV2,Sigma1),IF(RAND()&lt;CondGood,_xlfn.LOGNORM.INV(RAND(),MV3,Sigma2),MIN(MaxMultiple,Xm/(1-RAND())^(1/Alpha)))))</f>
        <v>0.95539723957288825</v>
      </c>
      <c r="T41" s="19">
        <f ca="1">IF(RAND()&lt;P_Zero,0,IF(RAND()&lt;CondReturn,_xlfn.LOGNORM.INV(RAND(),MV2,Sigma1),IF(RAND()&lt;CondGood,_xlfn.LOGNORM.INV(RAND(),MV3,Sigma2),MIN(MaxMultiple,Xm/(1-RAND())^(1/Alpha)))))</f>
        <v>0</v>
      </c>
      <c r="U41" s="19">
        <f ca="1">IF(RAND()&lt;P_Zero,0,IF(RAND()&lt;CondReturn,_xlfn.LOGNORM.INV(RAND(),MV2,Sigma1),IF(RAND()&lt;CondGood,_xlfn.LOGNORM.INV(RAND(),MV3,Sigma2),MIN(MaxMultiple,Xm/(1-RAND())^(1/Alpha)))))</f>
        <v>0.88291062113146379</v>
      </c>
      <c r="V41" s="19">
        <f ca="1">IF(RAND()&lt;P_Zero,0,IF(RAND()&lt;CondReturn,_xlfn.LOGNORM.INV(RAND(),MV2,Sigma1),IF(RAND()&lt;CondGood,_xlfn.LOGNORM.INV(RAND(),MV3,Sigma2),MIN(MaxMultiple,Xm/(1-RAND())^(1/Alpha)))))</f>
        <v>2.6703587052939954</v>
      </c>
      <c r="W41" s="19">
        <f ca="1">IF(RAND()&lt;P_Zero,0,IF(RAND()&lt;CondReturn,_xlfn.LOGNORM.INV(RAND(),MV2,Sigma1),IF(RAND()&lt;CondGood,_xlfn.LOGNORM.INV(RAND(),MV3,Sigma2),MIN(MaxMultiple,Xm/(1-RAND())^(1/Alpha)))))</f>
        <v>0</v>
      </c>
      <c r="X41" s="19">
        <f ca="1">IF(RAND()&lt;P_Zero,0,IF(RAND()&lt;CondReturn,_xlfn.LOGNORM.INV(RAND(),MV2,Sigma1),IF(RAND()&lt;CondGood,_xlfn.LOGNORM.INV(RAND(),MV3,Sigma2),MIN(MaxMultiple,Xm/(1-RAND())^(1/Alpha)))))</f>
        <v>0.50180328355022041</v>
      </c>
      <c r="Y41" s="19">
        <f ca="1">IF(RAND()&lt;P_Zero,0,IF(RAND()&lt;CondReturn,_xlfn.LOGNORM.INV(RAND(),MV2,Sigma1),IF(RAND()&lt;CondGood,_xlfn.LOGNORM.INV(RAND(),MV3,Sigma2),MIN(MaxMultiple,Xm/(1-RAND())^(1/Alpha)))))</f>
        <v>0.6343447753030157</v>
      </c>
      <c r="Z41" s="19">
        <f ca="1">IF(RAND()&lt;P_Zero,0,IF(RAND()&lt;CondReturn,_xlfn.LOGNORM.INV(RAND(),MV2,Sigma1),IF(RAND()&lt;CondGood,_xlfn.LOGNORM.INV(RAND(),MV3,Sigma2),MIN(MaxMultiple,Xm/(1-RAND())^(1/Alpha)))))</f>
        <v>0.90701510800714413</v>
      </c>
      <c r="AA41" s="19">
        <f ca="1">IF(RAND()&lt;P_Zero,0,IF(RAND()&lt;CondReturn,_xlfn.LOGNORM.INV(RAND(),MV2,Sigma1),IF(RAND()&lt;CondGood,_xlfn.LOGNORM.INV(RAND(),MV3,Sigma2),MIN(MaxMultiple,Xm/(1-RAND())^(1/Alpha)))))</f>
        <v>0</v>
      </c>
      <c r="AB41" s="19">
        <f t="shared" ca="1" si="0"/>
        <v>0.58895877999773005</v>
      </c>
      <c r="AC41" s="14">
        <f t="shared" ca="1" si="1"/>
        <v>28270021.439891044</v>
      </c>
      <c r="AD41" s="14">
        <f t="shared" ca="1" si="2"/>
        <v>-19729978.560108956</v>
      </c>
      <c r="AE41" s="14">
        <f t="shared" si="3"/>
        <v>55628399.869093813</v>
      </c>
      <c r="AF41" s="14">
        <f t="shared" ca="1" si="4"/>
        <v>0</v>
      </c>
      <c r="AG41" s="14">
        <f t="shared" ca="1" si="5"/>
        <v>0</v>
      </c>
      <c r="AH41" s="14">
        <f t="shared" ca="1" si="6"/>
        <v>28270021.439891044</v>
      </c>
      <c r="AI41" s="19">
        <f t="shared" ca="1" si="7"/>
        <v>0.47116702399818405</v>
      </c>
    </row>
    <row r="42" spans="2:35" x14ac:dyDescent="0.2">
      <c r="B42" s="1">
        <v>37</v>
      </c>
      <c r="C42" s="19">
        <f ca="1">IF(RAND()&lt;P_Zero,0,IF(RAND()&lt;CondReturn,_xlfn.LOGNORM.INV(RAND(),MV2,Sigma1),IF(RAND()&lt;CondGood,_xlfn.LOGNORM.INV(RAND(),MV3,Sigma2),MIN(MaxMultiple,Xm/(1-RAND())^(1/Alpha)))))</f>
        <v>0</v>
      </c>
      <c r="D42" s="19">
        <f ca="1">IF(RAND()&lt;P_Zero,0,IF(RAND()&lt;CondReturn,_xlfn.LOGNORM.INV(RAND(),MV2,Sigma1),IF(RAND()&lt;CondGood,_xlfn.LOGNORM.INV(RAND(),MV3,Sigma2),MIN(MaxMultiple,Xm/(1-RAND())^(1/Alpha)))))</f>
        <v>0.69244026726371066</v>
      </c>
      <c r="E42" s="19">
        <f ca="1">IF(RAND()&lt;P_Zero,0,IF(RAND()&lt;CondReturn,_xlfn.LOGNORM.INV(RAND(),MV2,Sigma1),IF(RAND()&lt;CondGood,_xlfn.LOGNORM.INV(RAND(),MV3,Sigma2),MIN(MaxMultiple,Xm/(1-RAND())^(1/Alpha)))))</f>
        <v>0</v>
      </c>
      <c r="F42" s="19">
        <f ca="1">IF(RAND()&lt;P_Zero,0,IF(RAND()&lt;CondReturn,_xlfn.LOGNORM.INV(RAND(),MV2,Sigma1),IF(RAND()&lt;CondGood,_xlfn.LOGNORM.INV(RAND(),MV3,Sigma2),MIN(MaxMultiple,Xm/(1-RAND())^(1/Alpha)))))</f>
        <v>0</v>
      </c>
      <c r="G42" s="19">
        <f ca="1">IF(RAND()&lt;P_Zero,0,IF(RAND()&lt;CondReturn,_xlfn.LOGNORM.INV(RAND(),MV2,Sigma1),IF(RAND()&lt;CondGood,_xlfn.LOGNORM.INV(RAND(),MV3,Sigma2),MIN(MaxMultiple,Xm/(1-RAND())^(1/Alpha)))))</f>
        <v>0</v>
      </c>
      <c r="H42" s="19">
        <f ca="1">IF(RAND()&lt;P_Zero,0,IF(RAND()&lt;CondReturn,_xlfn.LOGNORM.INV(RAND(),MV2,Sigma1),IF(RAND()&lt;CondGood,_xlfn.LOGNORM.INV(RAND(),MV3,Sigma2),MIN(MaxMultiple,Xm/(1-RAND())^(1/Alpha)))))</f>
        <v>0</v>
      </c>
      <c r="I42" s="19">
        <f ca="1">IF(RAND()&lt;P_Zero,0,IF(RAND()&lt;CondReturn,_xlfn.LOGNORM.INV(RAND(),MV2,Sigma1),IF(RAND()&lt;CondGood,_xlfn.LOGNORM.INV(RAND(),MV3,Sigma2),MIN(MaxMultiple,Xm/(1-RAND())^(1/Alpha)))))</f>
        <v>2.4520514008933412</v>
      </c>
      <c r="J42" s="19">
        <f ca="1">IF(RAND()&lt;P_Zero,0,IF(RAND()&lt;CondReturn,_xlfn.LOGNORM.INV(RAND(),MV2,Sigma1),IF(RAND()&lt;CondGood,_xlfn.LOGNORM.INV(RAND(),MV3,Sigma2),MIN(MaxMultiple,Xm/(1-RAND())^(1/Alpha)))))</f>
        <v>0</v>
      </c>
      <c r="K42" s="19">
        <f ca="1">IF(RAND()&lt;P_Zero,0,IF(RAND()&lt;CondReturn,_xlfn.LOGNORM.INV(RAND(),MV2,Sigma1),IF(RAND()&lt;CondGood,_xlfn.LOGNORM.INV(RAND(),MV3,Sigma2),MIN(MaxMultiple,Xm/(1-RAND())^(1/Alpha)))))</f>
        <v>0.62610600341909839</v>
      </c>
      <c r="L42" s="19">
        <f ca="1">IF(RAND()&lt;P_Zero,0,IF(RAND()&lt;CondReturn,_xlfn.LOGNORM.INV(RAND(),MV2,Sigma1),IF(RAND()&lt;CondGood,_xlfn.LOGNORM.INV(RAND(),MV3,Sigma2),MIN(MaxMultiple,Xm/(1-RAND())^(1/Alpha)))))</f>
        <v>2.091576442423194</v>
      </c>
      <c r="M42" s="19">
        <f ca="1">IF(RAND()&lt;P_Zero,0,IF(RAND()&lt;CondReturn,_xlfn.LOGNORM.INV(RAND(),MV2,Sigma1),IF(RAND()&lt;CondGood,_xlfn.LOGNORM.INV(RAND(),MV3,Sigma2),MIN(MaxMultiple,Xm/(1-RAND())^(1/Alpha)))))</f>
        <v>0</v>
      </c>
      <c r="N42" s="19">
        <f ca="1">IF(RAND()&lt;P_Zero,0,IF(RAND()&lt;CondReturn,_xlfn.LOGNORM.INV(RAND(),MV2,Sigma1),IF(RAND()&lt;CondGood,_xlfn.LOGNORM.INV(RAND(),MV3,Sigma2),MIN(MaxMultiple,Xm/(1-RAND())^(1/Alpha)))))</f>
        <v>0.71692122766607869</v>
      </c>
      <c r="O42" s="19">
        <f ca="1">IF(RAND()&lt;P_Zero,0,IF(RAND()&lt;CondReturn,_xlfn.LOGNORM.INV(RAND(),MV2,Sigma1),IF(RAND()&lt;CondGood,_xlfn.LOGNORM.INV(RAND(),MV3,Sigma2),MIN(MaxMultiple,Xm/(1-RAND())^(1/Alpha)))))</f>
        <v>0.5612713351636498</v>
      </c>
      <c r="P42" s="19">
        <f ca="1">IF(RAND()&lt;P_Zero,0,IF(RAND()&lt;CondReturn,_xlfn.LOGNORM.INV(RAND(),MV2,Sigma1),IF(RAND()&lt;CondGood,_xlfn.LOGNORM.INV(RAND(),MV3,Sigma2),MIN(MaxMultiple,Xm/(1-RAND())^(1/Alpha)))))</f>
        <v>2.2972241277793817</v>
      </c>
      <c r="Q42" s="19">
        <f ca="1">IF(RAND()&lt;P_Zero,0,IF(RAND()&lt;CondReturn,_xlfn.LOGNORM.INV(RAND(),MV2,Sigma1),IF(RAND()&lt;CondGood,_xlfn.LOGNORM.INV(RAND(),MV3,Sigma2),MIN(MaxMultiple,Xm/(1-RAND())^(1/Alpha)))))</f>
        <v>0</v>
      </c>
      <c r="R42" s="19">
        <f ca="1">IF(RAND()&lt;P_Zero,0,IF(RAND()&lt;CondReturn,_xlfn.LOGNORM.INV(RAND(),MV2,Sigma1),IF(RAND()&lt;CondGood,_xlfn.LOGNORM.INV(RAND(),MV3,Sigma2),MIN(MaxMultiple,Xm/(1-RAND())^(1/Alpha)))))</f>
        <v>0.57736307937789944</v>
      </c>
      <c r="S42" s="19">
        <f ca="1">IF(RAND()&lt;P_Zero,0,IF(RAND()&lt;CondReturn,_xlfn.LOGNORM.INV(RAND(),MV2,Sigma1),IF(RAND()&lt;CondGood,_xlfn.LOGNORM.INV(RAND(),MV3,Sigma2),MIN(MaxMultiple,Xm/(1-RAND())^(1/Alpha)))))</f>
        <v>0.55223509769956247</v>
      </c>
      <c r="T42" s="19">
        <f ca="1">IF(RAND()&lt;P_Zero,0,IF(RAND()&lt;CondReturn,_xlfn.LOGNORM.INV(RAND(),MV2,Sigma1),IF(RAND()&lt;CondGood,_xlfn.LOGNORM.INV(RAND(),MV3,Sigma2),MIN(MaxMultiple,Xm/(1-RAND())^(1/Alpha)))))</f>
        <v>0.81637735464699657</v>
      </c>
      <c r="U42" s="19">
        <f ca="1">IF(RAND()&lt;P_Zero,0,IF(RAND()&lt;CondReturn,_xlfn.LOGNORM.INV(RAND(),MV2,Sigma1),IF(RAND()&lt;CondGood,_xlfn.LOGNORM.INV(RAND(),MV3,Sigma2),MIN(MaxMultiple,Xm/(1-RAND())^(1/Alpha)))))</f>
        <v>0.87672263138479645</v>
      </c>
      <c r="V42" s="19">
        <f ca="1">IF(RAND()&lt;P_Zero,0,IF(RAND()&lt;CondReturn,_xlfn.LOGNORM.INV(RAND(),MV2,Sigma1),IF(RAND()&lt;CondGood,_xlfn.LOGNORM.INV(RAND(),MV3,Sigma2),MIN(MaxMultiple,Xm/(1-RAND())^(1/Alpha)))))</f>
        <v>0.50083643040924442</v>
      </c>
      <c r="W42" s="19">
        <f ca="1">IF(RAND()&lt;P_Zero,0,IF(RAND()&lt;CondReturn,_xlfn.LOGNORM.INV(RAND(),MV2,Sigma1),IF(RAND()&lt;CondGood,_xlfn.LOGNORM.INV(RAND(),MV3,Sigma2),MIN(MaxMultiple,Xm/(1-RAND())^(1/Alpha)))))</f>
        <v>0</v>
      </c>
      <c r="X42" s="19">
        <f ca="1">IF(RAND()&lt;P_Zero,0,IF(RAND()&lt;CondReturn,_xlfn.LOGNORM.INV(RAND(),MV2,Sigma1),IF(RAND()&lt;CondGood,_xlfn.LOGNORM.INV(RAND(),MV3,Sigma2),MIN(MaxMultiple,Xm/(1-RAND())^(1/Alpha)))))</f>
        <v>0.6240714255680484</v>
      </c>
      <c r="Y42" s="19">
        <f ca="1">IF(RAND()&lt;P_Zero,0,IF(RAND()&lt;CondReturn,_xlfn.LOGNORM.INV(RAND(),MV2,Sigma1),IF(RAND()&lt;CondGood,_xlfn.LOGNORM.INV(RAND(),MV3,Sigma2),MIN(MaxMultiple,Xm/(1-RAND())^(1/Alpha)))))</f>
        <v>0</v>
      </c>
      <c r="Z42" s="19">
        <f ca="1">IF(RAND()&lt;P_Zero,0,IF(RAND()&lt;CondReturn,_xlfn.LOGNORM.INV(RAND(),MV2,Sigma1),IF(RAND()&lt;CondGood,_xlfn.LOGNORM.INV(RAND(),MV3,Sigma2),MIN(MaxMultiple,Xm/(1-RAND())^(1/Alpha)))))</f>
        <v>0</v>
      </c>
      <c r="AA42" s="19">
        <f ca="1">IF(RAND()&lt;P_Zero,0,IF(RAND()&lt;CondReturn,_xlfn.LOGNORM.INV(RAND(),MV2,Sigma1),IF(RAND()&lt;CondGood,_xlfn.LOGNORM.INV(RAND(),MV3,Sigma2),MIN(MaxMultiple,Xm/(1-RAND())^(1/Alpha)))))</f>
        <v>0.49930745145979333</v>
      </c>
      <c r="AB42" s="19">
        <f t="shared" ca="1" si="0"/>
        <v>0.55538017100619186</v>
      </c>
      <c r="AC42" s="14">
        <f t="shared" ca="1" si="1"/>
        <v>26658248.208297208</v>
      </c>
      <c r="AD42" s="14">
        <f t="shared" ca="1" si="2"/>
        <v>-21341751.791702792</v>
      </c>
      <c r="AE42" s="14">
        <f t="shared" si="3"/>
        <v>55628399.869093813</v>
      </c>
      <c r="AF42" s="14">
        <f t="shared" ca="1" si="4"/>
        <v>0</v>
      </c>
      <c r="AG42" s="14">
        <f t="shared" ca="1" si="5"/>
        <v>0</v>
      </c>
      <c r="AH42" s="14">
        <f t="shared" ca="1" si="6"/>
        <v>26658248.208297208</v>
      </c>
      <c r="AI42" s="19">
        <f t="shared" ca="1" si="7"/>
        <v>0.44430413680495345</v>
      </c>
    </row>
    <row r="43" spans="2:35" x14ac:dyDescent="0.2">
      <c r="B43" s="1">
        <v>38</v>
      </c>
      <c r="C43" s="19">
        <f ca="1">IF(RAND()&lt;P_Zero,0,IF(RAND()&lt;CondReturn,_xlfn.LOGNORM.INV(RAND(),MV2,Sigma1),IF(RAND()&lt;CondGood,_xlfn.LOGNORM.INV(RAND(),MV3,Sigma2),MIN(MaxMultiple,Xm/(1-RAND())^(1/Alpha)))))</f>
        <v>1.6875359425840051</v>
      </c>
      <c r="D43" s="19">
        <f ca="1">IF(RAND()&lt;P_Zero,0,IF(RAND()&lt;CondReturn,_xlfn.LOGNORM.INV(RAND(),MV2,Sigma1),IF(RAND()&lt;CondGood,_xlfn.LOGNORM.INV(RAND(),MV3,Sigma2),MIN(MaxMultiple,Xm/(1-RAND())^(1/Alpha)))))</f>
        <v>1.0302064637743109</v>
      </c>
      <c r="E43" s="19">
        <f ca="1">IF(RAND()&lt;P_Zero,0,IF(RAND()&lt;CondReturn,_xlfn.LOGNORM.INV(RAND(),MV2,Sigma1),IF(RAND()&lt;CondGood,_xlfn.LOGNORM.INV(RAND(),MV3,Sigma2),MIN(MaxMultiple,Xm/(1-RAND())^(1/Alpha)))))</f>
        <v>0</v>
      </c>
      <c r="F43" s="19">
        <f ca="1">IF(RAND()&lt;P_Zero,0,IF(RAND()&lt;CondReturn,_xlfn.LOGNORM.INV(RAND(),MV2,Sigma1),IF(RAND()&lt;CondGood,_xlfn.LOGNORM.INV(RAND(),MV3,Sigma2),MIN(MaxMultiple,Xm/(1-RAND())^(1/Alpha)))))</f>
        <v>0</v>
      </c>
      <c r="G43" s="19">
        <f ca="1">IF(RAND()&lt;P_Zero,0,IF(RAND()&lt;CondReturn,_xlfn.LOGNORM.INV(RAND(),MV2,Sigma1),IF(RAND()&lt;CondGood,_xlfn.LOGNORM.INV(RAND(),MV3,Sigma2),MIN(MaxMultiple,Xm/(1-RAND())^(1/Alpha)))))</f>
        <v>0</v>
      </c>
      <c r="H43" s="19">
        <f ca="1">IF(RAND()&lt;P_Zero,0,IF(RAND()&lt;CondReturn,_xlfn.LOGNORM.INV(RAND(),MV2,Sigma1),IF(RAND()&lt;CondGood,_xlfn.LOGNORM.INV(RAND(),MV3,Sigma2),MIN(MaxMultiple,Xm/(1-RAND())^(1/Alpha)))))</f>
        <v>0</v>
      </c>
      <c r="I43" s="19">
        <f ca="1">IF(RAND()&lt;P_Zero,0,IF(RAND()&lt;CondReturn,_xlfn.LOGNORM.INV(RAND(),MV2,Sigma1),IF(RAND()&lt;CondGood,_xlfn.LOGNORM.INV(RAND(),MV3,Sigma2),MIN(MaxMultiple,Xm/(1-RAND())^(1/Alpha)))))</f>
        <v>0.56403476669512587</v>
      </c>
      <c r="J43" s="19">
        <f ca="1">IF(RAND()&lt;P_Zero,0,IF(RAND()&lt;CondReturn,_xlfn.LOGNORM.INV(RAND(),MV2,Sigma1),IF(RAND()&lt;CondGood,_xlfn.LOGNORM.INV(RAND(),MV3,Sigma2),MIN(MaxMultiple,Xm/(1-RAND())^(1/Alpha)))))</f>
        <v>0</v>
      </c>
      <c r="K43" s="19">
        <f ca="1">IF(RAND()&lt;P_Zero,0,IF(RAND()&lt;CondReturn,_xlfn.LOGNORM.INV(RAND(),MV2,Sigma1),IF(RAND()&lt;CondGood,_xlfn.LOGNORM.INV(RAND(),MV3,Sigma2),MIN(MaxMultiple,Xm/(1-RAND())^(1/Alpha)))))</f>
        <v>0.49776971537907072</v>
      </c>
      <c r="L43" s="19">
        <f ca="1">IF(RAND()&lt;P_Zero,0,IF(RAND()&lt;CondReturn,_xlfn.LOGNORM.INV(RAND(),MV2,Sigma1),IF(RAND()&lt;CondGood,_xlfn.LOGNORM.INV(RAND(),MV3,Sigma2),MIN(MaxMultiple,Xm/(1-RAND())^(1/Alpha)))))</f>
        <v>0</v>
      </c>
      <c r="M43" s="19">
        <f ca="1">IF(RAND()&lt;P_Zero,0,IF(RAND()&lt;CondReturn,_xlfn.LOGNORM.INV(RAND(),MV2,Sigma1),IF(RAND()&lt;CondGood,_xlfn.LOGNORM.INV(RAND(),MV3,Sigma2),MIN(MaxMultiple,Xm/(1-RAND())^(1/Alpha)))))</f>
        <v>0</v>
      </c>
      <c r="N43" s="19">
        <f ca="1">IF(RAND()&lt;P_Zero,0,IF(RAND()&lt;CondReturn,_xlfn.LOGNORM.INV(RAND(),MV2,Sigma1),IF(RAND()&lt;CondGood,_xlfn.LOGNORM.INV(RAND(),MV3,Sigma2),MIN(MaxMultiple,Xm/(1-RAND())^(1/Alpha)))))</f>
        <v>0</v>
      </c>
      <c r="O43" s="19">
        <f ca="1">IF(RAND()&lt;P_Zero,0,IF(RAND()&lt;CondReturn,_xlfn.LOGNORM.INV(RAND(),MV2,Sigma1),IF(RAND()&lt;CondGood,_xlfn.LOGNORM.INV(RAND(),MV3,Sigma2),MIN(MaxMultiple,Xm/(1-RAND())^(1/Alpha)))))</f>
        <v>0.53671890564067193</v>
      </c>
      <c r="P43" s="19">
        <f ca="1">IF(RAND()&lt;P_Zero,0,IF(RAND()&lt;CondReturn,_xlfn.LOGNORM.INV(RAND(),MV2,Sigma1),IF(RAND()&lt;CondGood,_xlfn.LOGNORM.INV(RAND(),MV3,Sigma2),MIN(MaxMultiple,Xm/(1-RAND())^(1/Alpha)))))</f>
        <v>0.26250930972294917</v>
      </c>
      <c r="Q43" s="19">
        <f ca="1">IF(RAND()&lt;P_Zero,0,IF(RAND()&lt;CondReturn,_xlfn.LOGNORM.INV(RAND(),MV2,Sigma1),IF(RAND()&lt;CondGood,_xlfn.LOGNORM.INV(RAND(),MV3,Sigma2),MIN(MaxMultiple,Xm/(1-RAND())^(1/Alpha)))))</f>
        <v>2.1453523837269852</v>
      </c>
      <c r="R43" s="19">
        <f ca="1">IF(RAND()&lt;P_Zero,0,IF(RAND()&lt;CondReturn,_xlfn.LOGNORM.INV(RAND(),MV2,Sigma1),IF(RAND()&lt;CondGood,_xlfn.LOGNORM.INV(RAND(),MV3,Sigma2),MIN(MaxMultiple,Xm/(1-RAND())^(1/Alpha)))))</f>
        <v>0.69090140280508983</v>
      </c>
      <c r="S43" s="19">
        <f ca="1">IF(RAND()&lt;P_Zero,0,IF(RAND()&lt;CondReturn,_xlfn.LOGNORM.INV(RAND(),MV2,Sigma1),IF(RAND()&lt;CondGood,_xlfn.LOGNORM.INV(RAND(),MV3,Sigma2),MIN(MaxMultiple,Xm/(1-RAND())^(1/Alpha)))))</f>
        <v>0.68898870123429801</v>
      </c>
      <c r="T43" s="19">
        <f ca="1">IF(RAND()&lt;P_Zero,0,IF(RAND()&lt;CondReturn,_xlfn.LOGNORM.INV(RAND(),MV2,Sigma1),IF(RAND()&lt;CondGood,_xlfn.LOGNORM.INV(RAND(),MV3,Sigma2),MIN(MaxMultiple,Xm/(1-RAND())^(1/Alpha)))))</f>
        <v>0</v>
      </c>
      <c r="U43" s="19">
        <f ca="1">IF(RAND()&lt;P_Zero,0,IF(RAND()&lt;CondReturn,_xlfn.LOGNORM.INV(RAND(),MV2,Sigma1),IF(RAND()&lt;CondGood,_xlfn.LOGNORM.INV(RAND(),MV3,Sigma2),MIN(MaxMultiple,Xm/(1-RAND())^(1/Alpha)))))</f>
        <v>1.0353549530774626</v>
      </c>
      <c r="V43" s="19">
        <f ca="1">IF(RAND()&lt;P_Zero,0,IF(RAND()&lt;CondReturn,_xlfn.LOGNORM.INV(RAND(),MV2,Sigma1),IF(RAND()&lt;CondGood,_xlfn.LOGNORM.INV(RAND(),MV3,Sigma2),MIN(MaxMultiple,Xm/(1-RAND())^(1/Alpha)))))</f>
        <v>0</v>
      </c>
      <c r="W43" s="19">
        <f ca="1">IF(RAND()&lt;P_Zero,0,IF(RAND()&lt;CondReturn,_xlfn.LOGNORM.INV(RAND(),MV2,Sigma1),IF(RAND()&lt;CondGood,_xlfn.LOGNORM.INV(RAND(),MV3,Sigma2),MIN(MaxMultiple,Xm/(1-RAND())^(1/Alpha)))))</f>
        <v>0</v>
      </c>
      <c r="X43" s="19">
        <f ca="1">IF(RAND()&lt;P_Zero,0,IF(RAND()&lt;CondReturn,_xlfn.LOGNORM.INV(RAND(),MV2,Sigma1),IF(RAND()&lt;CondGood,_xlfn.LOGNORM.INV(RAND(),MV3,Sigma2),MIN(MaxMultiple,Xm/(1-RAND())^(1/Alpha)))))</f>
        <v>0</v>
      </c>
      <c r="Y43" s="19">
        <f ca="1">IF(RAND()&lt;P_Zero,0,IF(RAND()&lt;CondReturn,_xlfn.LOGNORM.INV(RAND(),MV2,Sigma1),IF(RAND()&lt;CondGood,_xlfn.LOGNORM.INV(RAND(),MV3,Sigma2),MIN(MaxMultiple,Xm/(1-RAND())^(1/Alpha)))))</f>
        <v>0.74409030414798705</v>
      </c>
      <c r="Z43" s="19">
        <f ca="1">IF(RAND()&lt;P_Zero,0,IF(RAND()&lt;CondReturn,_xlfn.LOGNORM.INV(RAND(),MV2,Sigma1),IF(RAND()&lt;CondGood,_xlfn.LOGNORM.INV(RAND(),MV3,Sigma2),MIN(MaxMultiple,Xm/(1-RAND())^(1/Alpha)))))</f>
        <v>0.39530780341537775</v>
      </c>
      <c r="AA43" s="19">
        <f ca="1">IF(RAND()&lt;P_Zero,0,IF(RAND()&lt;CondReturn,_xlfn.LOGNORM.INV(RAND(),MV2,Sigma1),IF(RAND()&lt;CondGood,_xlfn.LOGNORM.INV(RAND(),MV3,Sigma2),MIN(MaxMultiple,Xm/(1-RAND())^(1/Alpha)))))</f>
        <v>1.1507409673798648</v>
      </c>
      <c r="AB43" s="19">
        <f t="shared" ca="1" si="0"/>
        <v>0.45718046478332786</v>
      </c>
      <c r="AC43" s="14">
        <f t="shared" ca="1" si="1"/>
        <v>21944662.309599739</v>
      </c>
      <c r="AD43" s="14">
        <f t="shared" ca="1" si="2"/>
        <v>-26055337.690400261</v>
      </c>
      <c r="AE43" s="14">
        <f t="shared" si="3"/>
        <v>55628399.869093813</v>
      </c>
      <c r="AF43" s="14">
        <f t="shared" ca="1" si="4"/>
        <v>0</v>
      </c>
      <c r="AG43" s="14">
        <f t="shared" ca="1" si="5"/>
        <v>0</v>
      </c>
      <c r="AH43" s="14">
        <f t="shared" ca="1" si="6"/>
        <v>21944662.309599739</v>
      </c>
      <c r="AI43" s="19">
        <f t="shared" ca="1" si="7"/>
        <v>0.36574437182666231</v>
      </c>
    </row>
    <row r="44" spans="2:35" x14ac:dyDescent="0.2">
      <c r="B44" s="1">
        <v>39</v>
      </c>
      <c r="C44" s="19">
        <f ca="1">IF(RAND()&lt;P_Zero,0,IF(RAND()&lt;CondReturn,_xlfn.LOGNORM.INV(RAND(),MV2,Sigma1),IF(RAND()&lt;CondGood,_xlfn.LOGNORM.INV(RAND(),MV3,Sigma2),MIN(MaxMultiple,Xm/(1-RAND())^(1/Alpha)))))</f>
        <v>0</v>
      </c>
      <c r="D44" s="19">
        <f ca="1">IF(RAND()&lt;P_Zero,0,IF(RAND()&lt;CondReturn,_xlfn.LOGNORM.INV(RAND(),MV2,Sigma1),IF(RAND()&lt;CondGood,_xlfn.LOGNORM.INV(RAND(),MV3,Sigma2),MIN(MaxMultiple,Xm/(1-RAND())^(1/Alpha)))))</f>
        <v>0.89018257986989113</v>
      </c>
      <c r="E44" s="19">
        <f ca="1">IF(RAND()&lt;P_Zero,0,IF(RAND()&lt;CondReturn,_xlfn.LOGNORM.INV(RAND(),MV2,Sigma1),IF(RAND()&lt;CondGood,_xlfn.LOGNORM.INV(RAND(),MV3,Sigma2),MIN(MaxMultiple,Xm/(1-RAND())^(1/Alpha)))))</f>
        <v>24.205174984249869</v>
      </c>
      <c r="F44" s="19">
        <f ca="1">IF(RAND()&lt;P_Zero,0,IF(RAND()&lt;CondReturn,_xlfn.LOGNORM.INV(RAND(),MV2,Sigma1),IF(RAND()&lt;CondGood,_xlfn.LOGNORM.INV(RAND(),MV3,Sigma2),MIN(MaxMultiple,Xm/(1-RAND())^(1/Alpha)))))</f>
        <v>13.504206724391109</v>
      </c>
      <c r="G44" s="19">
        <f ca="1">IF(RAND()&lt;P_Zero,0,IF(RAND()&lt;CondReturn,_xlfn.LOGNORM.INV(RAND(),MV2,Sigma1),IF(RAND()&lt;CondGood,_xlfn.LOGNORM.INV(RAND(),MV3,Sigma2),MIN(MaxMultiple,Xm/(1-RAND())^(1/Alpha)))))</f>
        <v>1.676353861134938</v>
      </c>
      <c r="H44" s="19">
        <f ca="1">IF(RAND()&lt;P_Zero,0,IF(RAND()&lt;CondReturn,_xlfn.LOGNORM.INV(RAND(),MV2,Sigma1),IF(RAND()&lt;CondGood,_xlfn.LOGNORM.INV(RAND(),MV3,Sigma2),MIN(MaxMultiple,Xm/(1-RAND())^(1/Alpha)))))</f>
        <v>0</v>
      </c>
      <c r="I44" s="19">
        <f ca="1">IF(RAND()&lt;P_Zero,0,IF(RAND()&lt;CondReturn,_xlfn.LOGNORM.INV(RAND(),MV2,Sigma1),IF(RAND()&lt;CondGood,_xlfn.LOGNORM.INV(RAND(),MV3,Sigma2),MIN(MaxMultiple,Xm/(1-RAND())^(1/Alpha)))))</f>
        <v>0</v>
      </c>
      <c r="J44" s="19">
        <f ca="1">IF(RAND()&lt;P_Zero,0,IF(RAND()&lt;CondReturn,_xlfn.LOGNORM.INV(RAND(),MV2,Sigma1),IF(RAND()&lt;CondGood,_xlfn.LOGNORM.INV(RAND(),MV3,Sigma2),MIN(MaxMultiple,Xm/(1-RAND())^(1/Alpha)))))</f>
        <v>0</v>
      </c>
      <c r="K44" s="19">
        <f ca="1">IF(RAND()&lt;P_Zero,0,IF(RAND()&lt;CondReturn,_xlfn.LOGNORM.INV(RAND(),MV2,Sigma1),IF(RAND()&lt;CondGood,_xlfn.LOGNORM.INV(RAND(),MV3,Sigma2),MIN(MaxMultiple,Xm/(1-RAND())^(1/Alpha)))))</f>
        <v>0</v>
      </c>
      <c r="L44" s="19">
        <f ca="1">IF(RAND()&lt;P_Zero,0,IF(RAND()&lt;CondReturn,_xlfn.LOGNORM.INV(RAND(),MV2,Sigma1),IF(RAND()&lt;CondGood,_xlfn.LOGNORM.INV(RAND(),MV3,Sigma2),MIN(MaxMultiple,Xm/(1-RAND())^(1/Alpha)))))</f>
        <v>0.77330746083305513</v>
      </c>
      <c r="M44" s="19">
        <f ca="1">IF(RAND()&lt;P_Zero,0,IF(RAND()&lt;CondReturn,_xlfn.LOGNORM.INV(RAND(),MV2,Sigma1),IF(RAND()&lt;CondGood,_xlfn.LOGNORM.INV(RAND(),MV3,Sigma2),MIN(MaxMultiple,Xm/(1-RAND())^(1/Alpha)))))</f>
        <v>0</v>
      </c>
      <c r="N44" s="19">
        <f ca="1">IF(RAND()&lt;P_Zero,0,IF(RAND()&lt;CondReturn,_xlfn.LOGNORM.INV(RAND(),MV2,Sigma1),IF(RAND()&lt;CondGood,_xlfn.LOGNORM.INV(RAND(),MV3,Sigma2),MIN(MaxMultiple,Xm/(1-RAND())^(1/Alpha)))))</f>
        <v>1.4408656926286332</v>
      </c>
      <c r="O44" s="19">
        <f ca="1">IF(RAND()&lt;P_Zero,0,IF(RAND()&lt;CondReturn,_xlfn.LOGNORM.INV(RAND(),MV2,Sigma1),IF(RAND()&lt;CondGood,_xlfn.LOGNORM.INV(RAND(),MV3,Sigma2),MIN(MaxMultiple,Xm/(1-RAND())^(1/Alpha)))))</f>
        <v>12.266881827872247</v>
      </c>
      <c r="P44" s="19">
        <f ca="1">IF(RAND()&lt;P_Zero,0,IF(RAND()&lt;CondReturn,_xlfn.LOGNORM.INV(RAND(),MV2,Sigma1),IF(RAND()&lt;CondGood,_xlfn.LOGNORM.INV(RAND(),MV3,Sigma2),MIN(MaxMultiple,Xm/(1-RAND())^(1/Alpha)))))</f>
        <v>1.2764492294018066</v>
      </c>
      <c r="Q44" s="19">
        <f ca="1">IF(RAND()&lt;P_Zero,0,IF(RAND()&lt;CondReturn,_xlfn.LOGNORM.INV(RAND(),MV2,Sigma1),IF(RAND()&lt;CondGood,_xlfn.LOGNORM.INV(RAND(),MV3,Sigma2),MIN(MaxMultiple,Xm/(1-RAND())^(1/Alpha)))))</f>
        <v>0</v>
      </c>
      <c r="R44" s="19">
        <f ca="1">IF(RAND()&lt;P_Zero,0,IF(RAND()&lt;CondReturn,_xlfn.LOGNORM.INV(RAND(),MV2,Sigma1),IF(RAND()&lt;CondGood,_xlfn.LOGNORM.INV(RAND(),MV3,Sigma2),MIN(MaxMultiple,Xm/(1-RAND())^(1/Alpha)))))</f>
        <v>21.354438876499515</v>
      </c>
      <c r="S44" s="19">
        <f ca="1">IF(RAND()&lt;P_Zero,0,IF(RAND()&lt;CondReturn,_xlfn.LOGNORM.INV(RAND(),MV2,Sigma1),IF(RAND()&lt;CondGood,_xlfn.LOGNORM.INV(RAND(),MV3,Sigma2),MIN(MaxMultiple,Xm/(1-RAND())^(1/Alpha)))))</f>
        <v>1.2393059474090262</v>
      </c>
      <c r="T44" s="19">
        <f ca="1">IF(RAND()&lt;P_Zero,0,IF(RAND()&lt;CondReturn,_xlfn.LOGNORM.INV(RAND(),MV2,Sigma1),IF(RAND()&lt;CondGood,_xlfn.LOGNORM.INV(RAND(),MV3,Sigma2),MIN(MaxMultiple,Xm/(1-RAND())^(1/Alpha)))))</f>
        <v>0</v>
      </c>
      <c r="U44" s="19">
        <f ca="1">IF(RAND()&lt;P_Zero,0,IF(RAND()&lt;CondReturn,_xlfn.LOGNORM.INV(RAND(),MV2,Sigma1),IF(RAND()&lt;CondGood,_xlfn.LOGNORM.INV(RAND(),MV3,Sigma2),MIN(MaxMultiple,Xm/(1-RAND())^(1/Alpha)))))</f>
        <v>0.55694679316858842</v>
      </c>
      <c r="V44" s="19">
        <f ca="1">IF(RAND()&lt;P_Zero,0,IF(RAND()&lt;CondReturn,_xlfn.LOGNORM.INV(RAND(),MV2,Sigma1),IF(RAND()&lt;CondGood,_xlfn.LOGNORM.INV(RAND(),MV3,Sigma2),MIN(MaxMultiple,Xm/(1-RAND())^(1/Alpha)))))</f>
        <v>0</v>
      </c>
      <c r="W44" s="19">
        <f ca="1">IF(RAND()&lt;P_Zero,0,IF(RAND()&lt;CondReturn,_xlfn.LOGNORM.INV(RAND(),MV2,Sigma1),IF(RAND()&lt;CondGood,_xlfn.LOGNORM.INV(RAND(),MV3,Sigma2),MIN(MaxMultiple,Xm/(1-RAND())^(1/Alpha)))))</f>
        <v>0</v>
      </c>
      <c r="X44" s="19">
        <f ca="1">IF(RAND()&lt;P_Zero,0,IF(RAND()&lt;CondReturn,_xlfn.LOGNORM.INV(RAND(),MV2,Sigma1),IF(RAND()&lt;CondGood,_xlfn.LOGNORM.INV(RAND(),MV3,Sigma2),MIN(MaxMultiple,Xm/(1-RAND())^(1/Alpha)))))</f>
        <v>25.402621033692729</v>
      </c>
      <c r="Y44" s="19">
        <f ca="1">IF(RAND()&lt;P_Zero,0,IF(RAND()&lt;CondReturn,_xlfn.LOGNORM.INV(RAND(),MV2,Sigma1),IF(RAND()&lt;CondGood,_xlfn.LOGNORM.INV(RAND(),MV3,Sigma2),MIN(MaxMultiple,Xm/(1-RAND())^(1/Alpha)))))</f>
        <v>0</v>
      </c>
      <c r="Z44" s="19">
        <f ca="1">IF(RAND()&lt;P_Zero,0,IF(RAND()&lt;CondReturn,_xlfn.LOGNORM.INV(RAND(),MV2,Sigma1),IF(RAND()&lt;CondGood,_xlfn.LOGNORM.INV(RAND(),MV3,Sigma2),MIN(MaxMultiple,Xm/(1-RAND())^(1/Alpha)))))</f>
        <v>0</v>
      </c>
      <c r="AA44" s="19">
        <f ca="1">IF(RAND()&lt;P_Zero,0,IF(RAND()&lt;CondReturn,_xlfn.LOGNORM.INV(RAND(),MV2,Sigma1),IF(RAND()&lt;CondGood,_xlfn.LOGNORM.INV(RAND(),MV3,Sigma2),MIN(MaxMultiple,Xm/(1-RAND())^(1/Alpha)))))</f>
        <v>1.8356307517052528</v>
      </c>
      <c r="AB44" s="19">
        <f t="shared" ca="1" si="0"/>
        <v>4.2568946305142665</v>
      </c>
      <c r="AC44" s="14">
        <f t="shared" ca="1" si="1"/>
        <v>204330942.2646848</v>
      </c>
      <c r="AD44" s="14">
        <f t="shared" ca="1" si="2"/>
        <v>156330942.2646848</v>
      </c>
      <c r="AE44" s="14">
        <f t="shared" si="3"/>
        <v>55628399.869093813</v>
      </c>
      <c r="AF44" s="14">
        <f t="shared" ca="1" si="4"/>
        <v>100702542.39559099</v>
      </c>
      <c r="AG44" s="14">
        <f t="shared" ca="1" si="5"/>
        <v>20140508.479118198</v>
      </c>
      <c r="AH44" s="14">
        <f t="shared" ca="1" si="6"/>
        <v>184190433.7855666</v>
      </c>
      <c r="AI44" s="19">
        <f t="shared" ca="1" si="7"/>
        <v>3.0698405630927765</v>
      </c>
    </row>
    <row r="45" spans="2:35" x14ac:dyDescent="0.2">
      <c r="B45" s="1">
        <v>40</v>
      </c>
      <c r="C45" s="19">
        <f ca="1">IF(RAND()&lt;P_Zero,0,IF(RAND()&lt;CondReturn,_xlfn.LOGNORM.INV(RAND(),MV2,Sigma1),IF(RAND()&lt;CondGood,_xlfn.LOGNORM.INV(RAND(),MV3,Sigma2),MIN(MaxMultiple,Xm/(1-RAND())^(1/Alpha)))))</f>
        <v>0.60517394240898892</v>
      </c>
      <c r="D45" s="19">
        <f ca="1">IF(RAND()&lt;P_Zero,0,IF(RAND()&lt;CondReturn,_xlfn.LOGNORM.INV(RAND(),MV2,Sigma1),IF(RAND()&lt;CondGood,_xlfn.LOGNORM.INV(RAND(),MV3,Sigma2),MIN(MaxMultiple,Xm/(1-RAND())^(1/Alpha)))))</f>
        <v>1.0771795161054527</v>
      </c>
      <c r="E45" s="19">
        <f ca="1">IF(RAND()&lt;P_Zero,0,IF(RAND()&lt;CondReturn,_xlfn.LOGNORM.INV(RAND(),MV2,Sigma1),IF(RAND()&lt;CondGood,_xlfn.LOGNORM.INV(RAND(),MV3,Sigma2),MIN(MaxMultiple,Xm/(1-RAND())^(1/Alpha)))))</f>
        <v>0</v>
      </c>
      <c r="F45" s="19">
        <f ca="1">IF(RAND()&lt;P_Zero,0,IF(RAND()&lt;CondReturn,_xlfn.LOGNORM.INV(RAND(),MV2,Sigma1),IF(RAND()&lt;CondGood,_xlfn.LOGNORM.INV(RAND(),MV3,Sigma2),MIN(MaxMultiple,Xm/(1-RAND())^(1/Alpha)))))</f>
        <v>2.0532719570887523</v>
      </c>
      <c r="G45" s="19">
        <f ca="1">IF(RAND()&lt;P_Zero,0,IF(RAND()&lt;CondReturn,_xlfn.LOGNORM.INV(RAND(),MV2,Sigma1),IF(RAND()&lt;CondGood,_xlfn.LOGNORM.INV(RAND(),MV3,Sigma2),MIN(MaxMultiple,Xm/(1-RAND())^(1/Alpha)))))</f>
        <v>0.97381418895067007</v>
      </c>
      <c r="H45" s="19">
        <f ca="1">IF(RAND()&lt;P_Zero,0,IF(RAND()&lt;CondReturn,_xlfn.LOGNORM.INV(RAND(),MV2,Sigma1),IF(RAND()&lt;CondGood,_xlfn.LOGNORM.INV(RAND(),MV3,Sigma2),MIN(MaxMultiple,Xm/(1-RAND())^(1/Alpha)))))</f>
        <v>0</v>
      </c>
      <c r="I45" s="19">
        <f ca="1">IF(RAND()&lt;P_Zero,0,IF(RAND()&lt;CondReturn,_xlfn.LOGNORM.INV(RAND(),MV2,Sigma1),IF(RAND()&lt;CondGood,_xlfn.LOGNORM.INV(RAND(),MV3,Sigma2),MIN(MaxMultiple,Xm/(1-RAND())^(1/Alpha)))))</f>
        <v>0</v>
      </c>
      <c r="J45" s="19">
        <f ca="1">IF(RAND()&lt;P_Zero,0,IF(RAND()&lt;CondReturn,_xlfn.LOGNORM.INV(RAND(),MV2,Sigma1),IF(RAND()&lt;CondGood,_xlfn.LOGNORM.INV(RAND(),MV3,Sigma2),MIN(MaxMultiple,Xm/(1-RAND())^(1/Alpha)))))</f>
        <v>0.74731549743782699</v>
      </c>
      <c r="K45" s="19">
        <f ca="1">IF(RAND()&lt;P_Zero,0,IF(RAND()&lt;CondReturn,_xlfn.LOGNORM.INV(RAND(),MV2,Sigma1),IF(RAND()&lt;CondGood,_xlfn.LOGNORM.INV(RAND(),MV3,Sigma2),MIN(MaxMultiple,Xm/(1-RAND())^(1/Alpha)))))</f>
        <v>0</v>
      </c>
      <c r="L45" s="19">
        <f ca="1">IF(RAND()&lt;P_Zero,0,IF(RAND()&lt;CondReturn,_xlfn.LOGNORM.INV(RAND(),MV2,Sigma1),IF(RAND()&lt;CondGood,_xlfn.LOGNORM.INV(RAND(),MV3,Sigma2),MIN(MaxMultiple,Xm/(1-RAND())^(1/Alpha)))))</f>
        <v>4.6186817609012394</v>
      </c>
      <c r="M45" s="19">
        <f ca="1">IF(RAND()&lt;P_Zero,0,IF(RAND()&lt;CondReturn,_xlfn.LOGNORM.INV(RAND(),MV2,Sigma1),IF(RAND()&lt;CondGood,_xlfn.LOGNORM.INV(RAND(),MV3,Sigma2),MIN(MaxMultiple,Xm/(1-RAND())^(1/Alpha)))))</f>
        <v>0</v>
      </c>
      <c r="N45" s="19">
        <f ca="1">IF(RAND()&lt;P_Zero,0,IF(RAND()&lt;CondReturn,_xlfn.LOGNORM.INV(RAND(),MV2,Sigma1),IF(RAND()&lt;CondGood,_xlfn.LOGNORM.INV(RAND(),MV3,Sigma2),MIN(MaxMultiple,Xm/(1-RAND())^(1/Alpha)))))</f>
        <v>2.2252748441250283</v>
      </c>
      <c r="O45" s="19">
        <f ca="1">IF(RAND()&lt;P_Zero,0,IF(RAND()&lt;CondReturn,_xlfn.LOGNORM.INV(RAND(),MV2,Sigma1),IF(RAND()&lt;CondGood,_xlfn.LOGNORM.INV(RAND(),MV3,Sigma2),MIN(MaxMultiple,Xm/(1-RAND())^(1/Alpha)))))</f>
        <v>15.618166921524818</v>
      </c>
      <c r="P45" s="19">
        <f ca="1">IF(RAND()&lt;P_Zero,0,IF(RAND()&lt;CondReturn,_xlfn.LOGNORM.INV(RAND(),MV2,Sigma1),IF(RAND()&lt;CondGood,_xlfn.LOGNORM.INV(RAND(),MV3,Sigma2),MIN(MaxMultiple,Xm/(1-RAND())^(1/Alpha)))))</f>
        <v>1.2703409096542104</v>
      </c>
      <c r="Q45" s="19">
        <f ca="1">IF(RAND()&lt;P_Zero,0,IF(RAND()&lt;CondReturn,_xlfn.LOGNORM.INV(RAND(),MV2,Sigma1),IF(RAND()&lt;CondGood,_xlfn.LOGNORM.INV(RAND(),MV3,Sigma2),MIN(MaxMultiple,Xm/(1-RAND())^(1/Alpha)))))</f>
        <v>0</v>
      </c>
      <c r="R45" s="19">
        <f ca="1">IF(RAND()&lt;P_Zero,0,IF(RAND()&lt;CondReturn,_xlfn.LOGNORM.INV(RAND(),MV2,Sigma1),IF(RAND()&lt;CondGood,_xlfn.LOGNORM.INV(RAND(),MV3,Sigma2),MIN(MaxMultiple,Xm/(1-RAND())^(1/Alpha)))))</f>
        <v>0</v>
      </c>
      <c r="S45" s="19">
        <f ca="1">IF(RAND()&lt;P_Zero,0,IF(RAND()&lt;CondReturn,_xlfn.LOGNORM.INV(RAND(),MV2,Sigma1),IF(RAND()&lt;CondGood,_xlfn.LOGNORM.INV(RAND(),MV3,Sigma2),MIN(MaxMultiple,Xm/(1-RAND())^(1/Alpha)))))</f>
        <v>3.4662290993977631</v>
      </c>
      <c r="T45" s="19">
        <f ca="1">IF(RAND()&lt;P_Zero,0,IF(RAND()&lt;CondReturn,_xlfn.LOGNORM.INV(RAND(),MV2,Sigma1),IF(RAND()&lt;CondGood,_xlfn.LOGNORM.INV(RAND(),MV3,Sigma2),MIN(MaxMultiple,Xm/(1-RAND())^(1/Alpha)))))</f>
        <v>1.5513311073168596</v>
      </c>
      <c r="U45" s="19">
        <f ca="1">IF(RAND()&lt;P_Zero,0,IF(RAND()&lt;CondReturn,_xlfn.LOGNORM.INV(RAND(),MV2,Sigma1),IF(RAND()&lt;CondGood,_xlfn.LOGNORM.INV(RAND(),MV3,Sigma2),MIN(MaxMultiple,Xm/(1-RAND())^(1/Alpha)))))</f>
        <v>0.26279005349572132</v>
      </c>
      <c r="V45" s="19">
        <f ca="1">IF(RAND()&lt;P_Zero,0,IF(RAND()&lt;CondReturn,_xlfn.LOGNORM.INV(RAND(),MV2,Sigma1),IF(RAND()&lt;CondGood,_xlfn.LOGNORM.INV(RAND(),MV3,Sigma2),MIN(MaxMultiple,Xm/(1-RAND())^(1/Alpha)))))</f>
        <v>1.8322674455204526</v>
      </c>
      <c r="W45" s="19">
        <f ca="1">IF(RAND()&lt;P_Zero,0,IF(RAND()&lt;CondReturn,_xlfn.LOGNORM.INV(RAND(),MV2,Sigma1),IF(RAND()&lt;CondGood,_xlfn.LOGNORM.INV(RAND(),MV3,Sigma2),MIN(MaxMultiple,Xm/(1-RAND())^(1/Alpha)))))</f>
        <v>0</v>
      </c>
      <c r="X45" s="19">
        <f ca="1">IF(RAND()&lt;P_Zero,0,IF(RAND()&lt;CondReturn,_xlfn.LOGNORM.INV(RAND(),MV2,Sigma1),IF(RAND()&lt;CondGood,_xlfn.LOGNORM.INV(RAND(),MV3,Sigma2),MIN(MaxMultiple,Xm/(1-RAND())^(1/Alpha)))))</f>
        <v>0</v>
      </c>
      <c r="Y45" s="19">
        <f ca="1">IF(RAND()&lt;P_Zero,0,IF(RAND()&lt;CondReturn,_xlfn.LOGNORM.INV(RAND(),MV2,Sigma1),IF(RAND()&lt;CondGood,_xlfn.LOGNORM.INV(RAND(),MV3,Sigma2),MIN(MaxMultiple,Xm/(1-RAND())^(1/Alpha)))))</f>
        <v>0</v>
      </c>
      <c r="Z45" s="19">
        <f ca="1">IF(RAND()&lt;P_Zero,0,IF(RAND()&lt;CondReturn,_xlfn.LOGNORM.INV(RAND(),MV2,Sigma1),IF(RAND()&lt;CondGood,_xlfn.LOGNORM.INV(RAND(),MV3,Sigma2),MIN(MaxMultiple,Xm/(1-RAND())^(1/Alpha)))))</f>
        <v>0</v>
      </c>
      <c r="AA45" s="19">
        <f ca="1">IF(RAND()&lt;P_Zero,0,IF(RAND()&lt;CondReturn,_xlfn.LOGNORM.INV(RAND(),MV2,Sigma1),IF(RAND()&lt;CondGood,_xlfn.LOGNORM.INV(RAND(),MV3,Sigma2),MIN(MaxMultiple,Xm/(1-RAND())^(1/Alpha)))))</f>
        <v>0.84590736771535247</v>
      </c>
      <c r="AB45" s="19">
        <f t="shared" ca="1" si="0"/>
        <v>1.4859097844657256</v>
      </c>
      <c r="AC45" s="14">
        <f t="shared" ca="1" si="1"/>
        <v>71323669.654354826</v>
      </c>
      <c r="AD45" s="14">
        <f t="shared" ca="1" si="2"/>
        <v>23323669.654354826</v>
      </c>
      <c r="AE45" s="14">
        <f t="shared" si="3"/>
        <v>55628399.869093813</v>
      </c>
      <c r="AF45" s="14">
        <f t="shared" ca="1" si="4"/>
        <v>0</v>
      </c>
      <c r="AG45" s="14">
        <f t="shared" ca="1" si="5"/>
        <v>0</v>
      </c>
      <c r="AH45" s="14">
        <f t="shared" ca="1" si="6"/>
        <v>71323669.654354826</v>
      </c>
      <c r="AI45" s="19">
        <f t="shared" ca="1" si="7"/>
        <v>1.1887278275725803</v>
      </c>
    </row>
    <row r="46" spans="2:35" x14ac:dyDescent="0.2">
      <c r="B46" s="1">
        <v>41</v>
      </c>
      <c r="C46" s="19">
        <f ca="1">IF(RAND()&lt;P_Zero,0,IF(RAND()&lt;CondReturn,_xlfn.LOGNORM.INV(RAND(),MV2,Sigma1),IF(RAND()&lt;CondGood,_xlfn.LOGNORM.INV(RAND(),MV3,Sigma2),MIN(MaxMultiple,Xm/(1-RAND())^(1/Alpha)))))</f>
        <v>1.893483821177691</v>
      </c>
      <c r="D46" s="19">
        <f ca="1">IF(RAND()&lt;P_Zero,0,IF(RAND()&lt;CondReturn,_xlfn.LOGNORM.INV(RAND(),MV2,Sigma1),IF(RAND()&lt;CondGood,_xlfn.LOGNORM.INV(RAND(),MV3,Sigma2),MIN(MaxMultiple,Xm/(1-RAND())^(1/Alpha)))))</f>
        <v>0.26158325018014572</v>
      </c>
      <c r="E46" s="19">
        <f ca="1">IF(RAND()&lt;P_Zero,0,IF(RAND()&lt;CondReturn,_xlfn.LOGNORM.INV(RAND(),MV2,Sigma1),IF(RAND()&lt;CondGood,_xlfn.LOGNORM.INV(RAND(),MV3,Sigma2),MIN(MaxMultiple,Xm/(1-RAND())^(1/Alpha)))))</f>
        <v>20.681115833148848</v>
      </c>
      <c r="F46" s="19">
        <f ca="1">IF(RAND()&lt;P_Zero,0,IF(RAND()&lt;CondReturn,_xlfn.LOGNORM.INV(RAND(),MV2,Sigma1),IF(RAND()&lt;CondGood,_xlfn.LOGNORM.INV(RAND(),MV3,Sigma2),MIN(MaxMultiple,Xm/(1-RAND())^(1/Alpha)))))</f>
        <v>0.60372184157914677</v>
      </c>
      <c r="G46" s="19">
        <f ca="1">IF(RAND()&lt;P_Zero,0,IF(RAND()&lt;CondReturn,_xlfn.LOGNORM.INV(RAND(),MV2,Sigma1),IF(RAND()&lt;CondGood,_xlfn.LOGNORM.INV(RAND(),MV3,Sigma2),MIN(MaxMultiple,Xm/(1-RAND())^(1/Alpha)))))</f>
        <v>0</v>
      </c>
      <c r="H46" s="19">
        <f ca="1">IF(RAND()&lt;P_Zero,0,IF(RAND()&lt;CondReturn,_xlfn.LOGNORM.INV(RAND(),MV2,Sigma1),IF(RAND()&lt;CondGood,_xlfn.LOGNORM.INV(RAND(),MV3,Sigma2),MIN(MaxMultiple,Xm/(1-RAND())^(1/Alpha)))))</f>
        <v>1.0100853885964196</v>
      </c>
      <c r="I46" s="19">
        <f ca="1">IF(RAND()&lt;P_Zero,0,IF(RAND()&lt;CondReturn,_xlfn.LOGNORM.INV(RAND(),MV2,Sigma1),IF(RAND()&lt;CondGood,_xlfn.LOGNORM.INV(RAND(),MV3,Sigma2),MIN(MaxMultiple,Xm/(1-RAND())^(1/Alpha)))))</f>
        <v>0</v>
      </c>
      <c r="J46" s="19">
        <f ca="1">IF(RAND()&lt;P_Zero,0,IF(RAND()&lt;CondReturn,_xlfn.LOGNORM.INV(RAND(),MV2,Sigma1),IF(RAND()&lt;CondGood,_xlfn.LOGNORM.INV(RAND(),MV3,Sigma2),MIN(MaxMultiple,Xm/(1-RAND())^(1/Alpha)))))</f>
        <v>0</v>
      </c>
      <c r="K46" s="19">
        <f ca="1">IF(RAND()&lt;P_Zero,0,IF(RAND()&lt;CondReturn,_xlfn.LOGNORM.INV(RAND(),MV2,Sigma1),IF(RAND()&lt;CondGood,_xlfn.LOGNORM.INV(RAND(),MV3,Sigma2),MIN(MaxMultiple,Xm/(1-RAND())^(1/Alpha)))))</f>
        <v>0.71568468050111789</v>
      </c>
      <c r="L46" s="19">
        <f ca="1">IF(RAND()&lt;P_Zero,0,IF(RAND()&lt;CondReturn,_xlfn.LOGNORM.INV(RAND(),MV2,Sigma1),IF(RAND()&lt;CondGood,_xlfn.LOGNORM.INV(RAND(),MV3,Sigma2),MIN(MaxMultiple,Xm/(1-RAND())^(1/Alpha)))))</f>
        <v>0</v>
      </c>
      <c r="M46" s="19">
        <f ca="1">IF(RAND()&lt;P_Zero,0,IF(RAND()&lt;CondReturn,_xlfn.LOGNORM.INV(RAND(),MV2,Sigma1),IF(RAND()&lt;CondGood,_xlfn.LOGNORM.INV(RAND(),MV3,Sigma2),MIN(MaxMultiple,Xm/(1-RAND())^(1/Alpha)))))</f>
        <v>1.561115193605273</v>
      </c>
      <c r="N46" s="19">
        <f ca="1">IF(RAND()&lt;P_Zero,0,IF(RAND()&lt;CondReturn,_xlfn.LOGNORM.INV(RAND(),MV2,Sigma1),IF(RAND()&lt;CondGood,_xlfn.LOGNORM.INV(RAND(),MV3,Sigma2),MIN(MaxMultiple,Xm/(1-RAND())^(1/Alpha)))))</f>
        <v>2.4533009089314102</v>
      </c>
      <c r="O46" s="19">
        <f ca="1">IF(RAND()&lt;P_Zero,0,IF(RAND()&lt;CondReturn,_xlfn.LOGNORM.INV(RAND(),MV2,Sigma1),IF(RAND()&lt;CondGood,_xlfn.LOGNORM.INV(RAND(),MV3,Sigma2),MIN(MaxMultiple,Xm/(1-RAND())^(1/Alpha)))))</f>
        <v>3.5446736980936233</v>
      </c>
      <c r="P46" s="19">
        <f ca="1">IF(RAND()&lt;P_Zero,0,IF(RAND()&lt;CondReturn,_xlfn.LOGNORM.INV(RAND(),MV2,Sigma1),IF(RAND()&lt;CondGood,_xlfn.LOGNORM.INV(RAND(),MV3,Sigma2),MIN(MaxMultiple,Xm/(1-RAND())^(1/Alpha)))))</f>
        <v>0</v>
      </c>
      <c r="Q46" s="19">
        <f ca="1">IF(RAND()&lt;P_Zero,0,IF(RAND()&lt;CondReturn,_xlfn.LOGNORM.INV(RAND(),MV2,Sigma1),IF(RAND()&lt;CondGood,_xlfn.LOGNORM.INV(RAND(),MV3,Sigma2),MIN(MaxMultiple,Xm/(1-RAND())^(1/Alpha)))))</f>
        <v>11.167555040108462</v>
      </c>
      <c r="R46" s="19">
        <f ca="1">IF(RAND()&lt;P_Zero,0,IF(RAND()&lt;CondReturn,_xlfn.LOGNORM.INV(RAND(),MV2,Sigma1),IF(RAND()&lt;CondGood,_xlfn.LOGNORM.INV(RAND(),MV3,Sigma2),MIN(MaxMultiple,Xm/(1-RAND())^(1/Alpha)))))</f>
        <v>1.6090157481763749</v>
      </c>
      <c r="S46" s="19">
        <f ca="1">IF(RAND()&lt;P_Zero,0,IF(RAND()&lt;CondReturn,_xlfn.LOGNORM.INV(RAND(),MV2,Sigma1),IF(RAND()&lt;CondGood,_xlfn.LOGNORM.INV(RAND(),MV3,Sigma2),MIN(MaxMultiple,Xm/(1-RAND())^(1/Alpha)))))</f>
        <v>1.4936578732947581</v>
      </c>
      <c r="T46" s="19">
        <f ca="1">IF(RAND()&lt;P_Zero,0,IF(RAND()&lt;CondReturn,_xlfn.LOGNORM.INV(RAND(),MV2,Sigma1),IF(RAND()&lt;CondGood,_xlfn.LOGNORM.INV(RAND(),MV3,Sigma2),MIN(MaxMultiple,Xm/(1-RAND())^(1/Alpha)))))</f>
        <v>0</v>
      </c>
      <c r="U46" s="19">
        <f ca="1">IF(RAND()&lt;P_Zero,0,IF(RAND()&lt;CondReturn,_xlfn.LOGNORM.INV(RAND(),MV2,Sigma1),IF(RAND()&lt;CondGood,_xlfn.LOGNORM.INV(RAND(),MV3,Sigma2),MIN(MaxMultiple,Xm/(1-RAND())^(1/Alpha)))))</f>
        <v>1.5853660914390713</v>
      </c>
      <c r="V46" s="19">
        <f ca="1">IF(RAND()&lt;P_Zero,0,IF(RAND()&lt;CondReturn,_xlfn.LOGNORM.INV(RAND(),MV2,Sigma1),IF(RAND()&lt;CondGood,_xlfn.LOGNORM.INV(RAND(),MV3,Sigma2),MIN(MaxMultiple,Xm/(1-RAND())^(1/Alpha)))))</f>
        <v>1.1623680398989813</v>
      </c>
      <c r="W46" s="19">
        <f ca="1">IF(RAND()&lt;P_Zero,0,IF(RAND()&lt;CondReturn,_xlfn.LOGNORM.INV(RAND(),MV2,Sigma1),IF(RAND()&lt;CondGood,_xlfn.LOGNORM.INV(RAND(),MV3,Sigma2),MIN(MaxMultiple,Xm/(1-RAND())^(1/Alpha)))))</f>
        <v>1.1171045308092624</v>
      </c>
      <c r="X46" s="19">
        <f ca="1">IF(RAND()&lt;P_Zero,0,IF(RAND()&lt;CondReturn,_xlfn.LOGNORM.INV(RAND(),MV2,Sigma1),IF(RAND()&lt;CondGood,_xlfn.LOGNORM.INV(RAND(),MV3,Sigma2),MIN(MaxMultiple,Xm/(1-RAND())^(1/Alpha)))))</f>
        <v>2.5355271018283507</v>
      </c>
      <c r="Y46" s="19">
        <f ca="1">IF(RAND()&lt;P_Zero,0,IF(RAND()&lt;CondReturn,_xlfn.LOGNORM.INV(RAND(),MV2,Sigma1),IF(RAND()&lt;CondGood,_xlfn.LOGNORM.INV(RAND(),MV3,Sigma2),MIN(MaxMultiple,Xm/(1-RAND())^(1/Alpha)))))</f>
        <v>0</v>
      </c>
      <c r="Z46" s="19">
        <f ca="1">IF(RAND()&lt;P_Zero,0,IF(RAND()&lt;CondReturn,_xlfn.LOGNORM.INV(RAND(),MV2,Sigma1),IF(RAND()&lt;CondGood,_xlfn.LOGNORM.INV(RAND(),MV3,Sigma2),MIN(MaxMultiple,Xm/(1-RAND())^(1/Alpha)))))</f>
        <v>1.9973289559198695</v>
      </c>
      <c r="AA46" s="19">
        <f ca="1">IF(RAND()&lt;P_Zero,0,IF(RAND()&lt;CondReturn,_xlfn.LOGNORM.INV(RAND(),MV2,Sigma1),IF(RAND()&lt;CondGood,_xlfn.LOGNORM.INV(RAND(),MV3,Sigma2),MIN(MaxMultiple,Xm/(1-RAND())^(1/Alpha)))))</f>
        <v>0</v>
      </c>
      <c r="AB46" s="19">
        <f t="shared" ca="1" si="0"/>
        <v>2.2157075198915521</v>
      </c>
      <c r="AC46" s="14">
        <f t="shared" ca="1" si="1"/>
        <v>106353960.9547945</v>
      </c>
      <c r="AD46" s="14">
        <f t="shared" ca="1" si="2"/>
        <v>58353960.954794496</v>
      </c>
      <c r="AE46" s="14">
        <f t="shared" si="3"/>
        <v>55628399.869093813</v>
      </c>
      <c r="AF46" s="14">
        <f t="shared" ca="1" si="4"/>
        <v>2725561.0857006833</v>
      </c>
      <c r="AG46" s="14">
        <f t="shared" ca="1" si="5"/>
        <v>545112.21714013664</v>
      </c>
      <c r="AH46" s="14">
        <f t="shared" ca="1" si="6"/>
        <v>105808848.73765436</v>
      </c>
      <c r="AI46" s="19">
        <f t="shared" ca="1" si="7"/>
        <v>1.7634808122942394</v>
      </c>
    </row>
    <row r="47" spans="2:35" x14ac:dyDescent="0.2">
      <c r="B47" s="1">
        <v>42</v>
      </c>
      <c r="C47" s="19">
        <f ca="1">IF(RAND()&lt;P_Zero,0,IF(RAND()&lt;CondReturn,_xlfn.LOGNORM.INV(RAND(),MV2,Sigma1),IF(RAND()&lt;CondGood,_xlfn.LOGNORM.INV(RAND(),MV3,Sigma2),MIN(MaxMultiple,Xm/(1-RAND())^(1/Alpha)))))</f>
        <v>1.180887019113144</v>
      </c>
      <c r="D47" s="19">
        <f ca="1">IF(RAND()&lt;P_Zero,0,IF(RAND()&lt;CondReturn,_xlfn.LOGNORM.INV(RAND(),MV2,Sigma1),IF(RAND()&lt;CondGood,_xlfn.LOGNORM.INV(RAND(),MV3,Sigma2),MIN(MaxMultiple,Xm/(1-RAND())^(1/Alpha)))))</f>
        <v>0.84080887312790553</v>
      </c>
      <c r="E47" s="19">
        <f ca="1">IF(RAND()&lt;P_Zero,0,IF(RAND()&lt;CondReturn,_xlfn.LOGNORM.INV(RAND(),MV2,Sigma1),IF(RAND()&lt;CondGood,_xlfn.LOGNORM.INV(RAND(),MV3,Sigma2),MIN(MaxMultiple,Xm/(1-RAND())^(1/Alpha)))))</f>
        <v>0</v>
      </c>
      <c r="F47" s="19">
        <f ca="1">IF(RAND()&lt;P_Zero,0,IF(RAND()&lt;CondReturn,_xlfn.LOGNORM.INV(RAND(),MV2,Sigma1),IF(RAND()&lt;CondGood,_xlfn.LOGNORM.INV(RAND(),MV3,Sigma2),MIN(MaxMultiple,Xm/(1-RAND())^(1/Alpha)))))</f>
        <v>0</v>
      </c>
      <c r="G47" s="19">
        <f ca="1">IF(RAND()&lt;P_Zero,0,IF(RAND()&lt;CondReturn,_xlfn.LOGNORM.INV(RAND(),MV2,Sigma1),IF(RAND()&lt;CondGood,_xlfn.LOGNORM.INV(RAND(),MV3,Sigma2),MIN(MaxMultiple,Xm/(1-RAND())^(1/Alpha)))))</f>
        <v>0</v>
      </c>
      <c r="H47" s="19">
        <f ca="1">IF(RAND()&lt;P_Zero,0,IF(RAND()&lt;CondReturn,_xlfn.LOGNORM.INV(RAND(),MV2,Sigma1),IF(RAND()&lt;CondGood,_xlfn.LOGNORM.INV(RAND(),MV3,Sigma2),MIN(MaxMultiple,Xm/(1-RAND())^(1/Alpha)))))</f>
        <v>1.7158619058067746</v>
      </c>
      <c r="I47" s="19">
        <f ca="1">IF(RAND()&lt;P_Zero,0,IF(RAND()&lt;CondReturn,_xlfn.LOGNORM.INV(RAND(),MV2,Sigma1),IF(RAND()&lt;CondGood,_xlfn.LOGNORM.INV(RAND(),MV3,Sigma2),MIN(MaxMultiple,Xm/(1-RAND())^(1/Alpha)))))</f>
        <v>0.39088604989910153</v>
      </c>
      <c r="J47" s="19">
        <f ca="1">IF(RAND()&lt;P_Zero,0,IF(RAND()&lt;CondReturn,_xlfn.LOGNORM.INV(RAND(),MV2,Sigma1),IF(RAND()&lt;CondGood,_xlfn.LOGNORM.INV(RAND(),MV3,Sigma2),MIN(MaxMultiple,Xm/(1-RAND())^(1/Alpha)))))</f>
        <v>0.37007040436488847</v>
      </c>
      <c r="K47" s="19">
        <f ca="1">IF(RAND()&lt;P_Zero,0,IF(RAND()&lt;CondReturn,_xlfn.LOGNORM.INV(RAND(),MV2,Sigma1),IF(RAND()&lt;CondGood,_xlfn.LOGNORM.INV(RAND(),MV3,Sigma2),MIN(MaxMultiple,Xm/(1-RAND())^(1/Alpha)))))</f>
        <v>2.0971608860672242</v>
      </c>
      <c r="L47" s="19">
        <f ca="1">IF(RAND()&lt;P_Zero,0,IF(RAND()&lt;CondReturn,_xlfn.LOGNORM.INV(RAND(),MV2,Sigma1),IF(RAND()&lt;CondGood,_xlfn.LOGNORM.INV(RAND(),MV3,Sigma2),MIN(MaxMultiple,Xm/(1-RAND())^(1/Alpha)))))</f>
        <v>0.92367900104890033</v>
      </c>
      <c r="M47" s="19">
        <f ca="1">IF(RAND()&lt;P_Zero,0,IF(RAND()&lt;CondReturn,_xlfn.LOGNORM.INV(RAND(),MV2,Sigma1),IF(RAND()&lt;CondGood,_xlfn.LOGNORM.INV(RAND(),MV3,Sigma2),MIN(MaxMultiple,Xm/(1-RAND())^(1/Alpha)))))</f>
        <v>0.85645469707562372</v>
      </c>
      <c r="N47" s="19">
        <f ca="1">IF(RAND()&lt;P_Zero,0,IF(RAND()&lt;CondReturn,_xlfn.LOGNORM.INV(RAND(),MV2,Sigma1),IF(RAND()&lt;CondGood,_xlfn.LOGNORM.INV(RAND(),MV3,Sigma2),MIN(MaxMultiple,Xm/(1-RAND())^(1/Alpha)))))</f>
        <v>0</v>
      </c>
      <c r="O47" s="19">
        <f ca="1">IF(RAND()&lt;P_Zero,0,IF(RAND()&lt;CondReturn,_xlfn.LOGNORM.INV(RAND(),MV2,Sigma1),IF(RAND()&lt;CondGood,_xlfn.LOGNORM.INV(RAND(),MV3,Sigma2),MIN(MaxMultiple,Xm/(1-RAND())^(1/Alpha)))))</f>
        <v>0.53994169796073255</v>
      </c>
      <c r="P47" s="19">
        <f ca="1">IF(RAND()&lt;P_Zero,0,IF(RAND()&lt;CondReturn,_xlfn.LOGNORM.INV(RAND(),MV2,Sigma1),IF(RAND()&lt;CondGood,_xlfn.LOGNORM.INV(RAND(),MV3,Sigma2),MIN(MaxMultiple,Xm/(1-RAND())^(1/Alpha)))))</f>
        <v>0</v>
      </c>
      <c r="Q47" s="19">
        <f ca="1">IF(RAND()&lt;P_Zero,0,IF(RAND()&lt;CondReturn,_xlfn.LOGNORM.INV(RAND(),MV2,Sigma1),IF(RAND()&lt;CondGood,_xlfn.LOGNORM.INV(RAND(),MV3,Sigma2),MIN(MaxMultiple,Xm/(1-RAND())^(1/Alpha)))))</f>
        <v>0.55575820524299091</v>
      </c>
      <c r="R47" s="19">
        <f ca="1">IF(RAND()&lt;P_Zero,0,IF(RAND()&lt;CondReturn,_xlfn.LOGNORM.INV(RAND(),MV2,Sigma1),IF(RAND()&lt;CondGood,_xlfn.LOGNORM.INV(RAND(),MV3,Sigma2),MIN(MaxMultiple,Xm/(1-RAND())^(1/Alpha)))))</f>
        <v>0</v>
      </c>
      <c r="S47" s="19">
        <f ca="1">IF(RAND()&lt;P_Zero,0,IF(RAND()&lt;CondReturn,_xlfn.LOGNORM.INV(RAND(),MV2,Sigma1),IF(RAND()&lt;CondGood,_xlfn.LOGNORM.INV(RAND(),MV3,Sigma2),MIN(MaxMultiple,Xm/(1-RAND())^(1/Alpha)))))</f>
        <v>72.407946483869608</v>
      </c>
      <c r="T47" s="19">
        <f ca="1">IF(RAND()&lt;P_Zero,0,IF(RAND()&lt;CondReturn,_xlfn.LOGNORM.INV(RAND(),MV2,Sigma1),IF(RAND()&lt;CondGood,_xlfn.LOGNORM.INV(RAND(),MV3,Sigma2),MIN(MaxMultiple,Xm/(1-RAND())^(1/Alpha)))))</f>
        <v>36.716457757972428</v>
      </c>
      <c r="U47" s="19">
        <f ca="1">IF(RAND()&lt;P_Zero,0,IF(RAND()&lt;CondReturn,_xlfn.LOGNORM.INV(RAND(),MV2,Sigma1),IF(RAND()&lt;CondGood,_xlfn.LOGNORM.INV(RAND(),MV3,Sigma2),MIN(MaxMultiple,Xm/(1-RAND())^(1/Alpha)))))</f>
        <v>0.59804604832610475</v>
      </c>
      <c r="V47" s="19">
        <f ca="1">IF(RAND()&lt;P_Zero,0,IF(RAND()&lt;CondReturn,_xlfn.LOGNORM.INV(RAND(),MV2,Sigma1),IF(RAND()&lt;CondGood,_xlfn.LOGNORM.INV(RAND(),MV3,Sigma2),MIN(MaxMultiple,Xm/(1-RAND())^(1/Alpha)))))</f>
        <v>0</v>
      </c>
      <c r="W47" s="19">
        <f ca="1">IF(RAND()&lt;P_Zero,0,IF(RAND()&lt;CondReturn,_xlfn.LOGNORM.INV(RAND(),MV2,Sigma1),IF(RAND()&lt;CondGood,_xlfn.LOGNORM.INV(RAND(),MV3,Sigma2),MIN(MaxMultiple,Xm/(1-RAND())^(1/Alpha)))))</f>
        <v>1.4475616232958954</v>
      </c>
      <c r="X47" s="19">
        <f ca="1">IF(RAND()&lt;P_Zero,0,IF(RAND()&lt;CondReturn,_xlfn.LOGNORM.INV(RAND(),MV2,Sigma1),IF(RAND()&lt;CondGood,_xlfn.LOGNORM.INV(RAND(),MV3,Sigma2),MIN(MaxMultiple,Xm/(1-RAND())^(1/Alpha)))))</f>
        <v>1.0109596922707567</v>
      </c>
      <c r="Y47" s="19">
        <f ca="1">IF(RAND()&lt;P_Zero,0,IF(RAND()&lt;CondReturn,_xlfn.LOGNORM.INV(RAND(),MV2,Sigma1),IF(RAND()&lt;CondGood,_xlfn.LOGNORM.INV(RAND(),MV3,Sigma2),MIN(MaxMultiple,Xm/(1-RAND())^(1/Alpha)))))</f>
        <v>0</v>
      </c>
      <c r="Z47" s="19">
        <f ca="1">IF(RAND()&lt;P_Zero,0,IF(RAND()&lt;CondReturn,_xlfn.LOGNORM.INV(RAND(),MV2,Sigma1),IF(RAND()&lt;CondGood,_xlfn.LOGNORM.INV(RAND(),MV3,Sigma2),MIN(MaxMultiple,Xm/(1-RAND())^(1/Alpha)))))</f>
        <v>0</v>
      </c>
      <c r="AA47" s="19">
        <f ca="1">IF(RAND()&lt;P_Zero,0,IF(RAND()&lt;CondReturn,_xlfn.LOGNORM.INV(RAND(),MV2,Sigma1),IF(RAND()&lt;CondGood,_xlfn.LOGNORM.INV(RAND(),MV3,Sigma2),MIN(MaxMultiple,Xm/(1-RAND())^(1/Alpha)))))</f>
        <v>1.0426366144839141</v>
      </c>
      <c r="AB47" s="19">
        <f t="shared" ca="1" si="0"/>
        <v>4.9078046783970404</v>
      </c>
      <c r="AC47" s="14">
        <f t="shared" ca="1" si="1"/>
        <v>235574624.56305793</v>
      </c>
      <c r="AD47" s="14">
        <f t="shared" ca="1" si="2"/>
        <v>187574624.56305793</v>
      </c>
      <c r="AE47" s="14">
        <f t="shared" si="3"/>
        <v>55628399.869093813</v>
      </c>
      <c r="AF47" s="14">
        <f t="shared" ca="1" si="4"/>
        <v>131946224.69396412</v>
      </c>
      <c r="AG47" s="14">
        <f t="shared" ca="1" si="5"/>
        <v>26389244.938792825</v>
      </c>
      <c r="AH47" s="14">
        <f t="shared" ca="1" si="6"/>
        <v>209185379.6242651</v>
      </c>
      <c r="AI47" s="19">
        <f t="shared" ca="1" si="7"/>
        <v>3.4864229937377518</v>
      </c>
    </row>
    <row r="48" spans="2:35" x14ac:dyDescent="0.2">
      <c r="B48" s="1">
        <v>43</v>
      </c>
      <c r="C48" s="19">
        <f ca="1">IF(RAND()&lt;P_Zero,0,IF(RAND()&lt;CondReturn,_xlfn.LOGNORM.INV(RAND(),MV2,Sigma1),IF(RAND()&lt;CondGood,_xlfn.LOGNORM.INV(RAND(),MV3,Sigma2),MIN(MaxMultiple,Xm/(1-RAND())^(1/Alpha)))))</f>
        <v>0</v>
      </c>
      <c r="D48" s="19">
        <f ca="1">IF(RAND()&lt;P_Zero,0,IF(RAND()&lt;CondReturn,_xlfn.LOGNORM.INV(RAND(),MV2,Sigma1),IF(RAND()&lt;CondGood,_xlfn.LOGNORM.INV(RAND(),MV3,Sigma2),MIN(MaxMultiple,Xm/(1-RAND())^(1/Alpha)))))</f>
        <v>1.1459682731074208</v>
      </c>
      <c r="E48" s="19">
        <f ca="1">IF(RAND()&lt;P_Zero,0,IF(RAND()&lt;CondReturn,_xlfn.LOGNORM.INV(RAND(),MV2,Sigma1),IF(RAND()&lt;CondGood,_xlfn.LOGNORM.INV(RAND(),MV3,Sigma2),MIN(MaxMultiple,Xm/(1-RAND())^(1/Alpha)))))</f>
        <v>0</v>
      </c>
      <c r="F48" s="19">
        <f ca="1">IF(RAND()&lt;P_Zero,0,IF(RAND()&lt;CondReturn,_xlfn.LOGNORM.INV(RAND(),MV2,Sigma1),IF(RAND()&lt;CondGood,_xlfn.LOGNORM.INV(RAND(),MV3,Sigma2),MIN(MaxMultiple,Xm/(1-RAND())^(1/Alpha)))))</f>
        <v>0</v>
      </c>
      <c r="G48" s="19">
        <f ca="1">IF(RAND()&lt;P_Zero,0,IF(RAND()&lt;CondReturn,_xlfn.LOGNORM.INV(RAND(),MV2,Sigma1),IF(RAND()&lt;CondGood,_xlfn.LOGNORM.INV(RAND(),MV3,Sigma2),MIN(MaxMultiple,Xm/(1-RAND())^(1/Alpha)))))</f>
        <v>0</v>
      </c>
      <c r="H48" s="19">
        <f ca="1">IF(RAND()&lt;P_Zero,0,IF(RAND()&lt;CondReturn,_xlfn.LOGNORM.INV(RAND(),MV2,Sigma1),IF(RAND()&lt;CondGood,_xlfn.LOGNORM.INV(RAND(),MV3,Sigma2),MIN(MaxMultiple,Xm/(1-RAND())^(1/Alpha)))))</f>
        <v>0</v>
      </c>
      <c r="I48" s="19">
        <f ca="1">IF(RAND()&lt;P_Zero,0,IF(RAND()&lt;CondReturn,_xlfn.LOGNORM.INV(RAND(),MV2,Sigma1),IF(RAND()&lt;CondGood,_xlfn.LOGNORM.INV(RAND(),MV3,Sigma2),MIN(MaxMultiple,Xm/(1-RAND())^(1/Alpha)))))</f>
        <v>0</v>
      </c>
      <c r="J48" s="19">
        <f ca="1">IF(RAND()&lt;P_Zero,0,IF(RAND()&lt;CondReturn,_xlfn.LOGNORM.INV(RAND(),MV2,Sigma1),IF(RAND()&lt;CondGood,_xlfn.LOGNORM.INV(RAND(),MV3,Sigma2),MIN(MaxMultiple,Xm/(1-RAND())^(1/Alpha)))))</f>
        <v>0</v>
      </c>
      <c r="K48" s="19">
        <f ca="1">IF(RAND()&lt;P_Zero,0,IF(RAND()&lt;CondReturn,_xlfn.LOGNORM.INV(RAND(),MV2,Sigma1),IF(RAND()&lt;CondGood,_xlfn.LOGNORM.INV(RAND(),MV3,Sigma2),MIN(MaxMultiple,Xm/(1-RAND())^(1/Alpha)))))</f>
        <v>0</v>
      </c>
      <c r="L48" s="19">
        <f ca="1">IF(RAND()&lt;P_Zero,0,IF(RAND()&lt;CondReturn,_xlfn.LOGNORM.INV(RAND(),MV2,Sigma1),IF(RAND()&lt;CondGood,_xlfn.LOGNORM.INV(RAND(),MV3,Sigma2),MIN(MaxMultiple,Xm/(1-RAND())^(1/Alpha)))))</f>
        <v>0.74922555504406796</v>
      </c>
      <c r="M48" s="19">
        <f ca="1">IF(RAND()&lt;P_Zero,0,IF(RAND()&lt;CondReturn,_xlfn.LOGNORM.INV(RAND(),MV2,Sigma1),IF(RAND()&lt;CondGood,_xlfn.LOGNORM.INV(RAND(),MV3,Sigma2),MIN(MaxMultiple,Xm/(1-RAND())^(1/Alpha)))))</f>
        <v>1.2086377325478339</v>
      </c>
      <c r="N48" s="19">
        <f ca="1">IF(RAND()&lt;P_Zero,0,IF(RAND()&lt;CondReturn,_xlfn.LOGNORM.INV(RAND(),MV2,Sigma1),IF(RAND()&lt;CondGood,_xlfn.LOGNORM.INV(RAND(),MV3,Sigma2),MIN(MaxMultiple,Xm/(1-RAND())^(1/Alpha)))))</f>
        <v>0.76929065423065679</v>
      </c>
      <c r="O48" s="19">
        <f ca="1">IF(RAND()&lt;P_Zero,0,IF(RAND()&lt;CondReturn,_xlfn.LOGNORM.INV(RAND(),MV2,Sigma1),IF(RAND()&lt;CondGood,_xlfn.LOGNORM.INV(RAND(),MV3,Sigma2),MIN(MaxMultiple,Xm/(1-RAND())^(1/Alpha)))))</f>
        <v>0</v>
      </c>
      <c r="P48" s="19">
        <f ca="1">IF(RAND()&lt;P_Zero,0,IF(RAND()&lt;CondReturn,_xlfn.LOGNORM.INV(RAND(),MV2,Sigma1),IF(RAND()&lt;CondGood,_xlfn.LOGNORM.INV(RAND(),MV3,Sigma2),MIN(MaxMultiple,Xm/(1-RAND())^(1/Alpha)))))</f>
        <v>0.5027078541735972</v>
      </c>
      <c r="Q48" s="19">
        <f ca="1">IF(RAND()&lt;P_Zero,0,IF(RAND()&lt;CondReturn,_xlfn.LOGNORM.INV(RAND(),MV2,Sigma1),IF(RAND()&lt;CondGood,_xlfn.LOGNORM.INV(RAND(),MV3,Sigma2),MIN(MaxMultiple,Xm/(1-RAND())^(1/Alpha)))))</f>
        <v>1.4064689013477119</v>
      </c>
      <c r="R48" s="19">
        <f ca="1">IF(RAND()&lt;P_Zero,0,IF(RAND()&lt;CondReturn,_xlfn.LOGNORM.INV(RAND(),MV2,Sigma1),IF(RAND()&lt;CondGood,_xlfn.LOGNORM.INV(RAND(),MV3,Sigma2),MIN(MaxMultiple,Xm/(1-RAND())^(1/Alpha)))))</f>
        <v>0</v>
      </c>
      <c r="S48" s="19">
        <f ca="1">IF(RAND()&lt;P_Zero,0,IF(RAND()&lt;CondReturn,_xlfn.LOGNORM.INV(RAND(),MV2,Sigma1),IF(RAND()&lt;CondGood,_xlfn.LOGNORM.INV(RAND(),MV3,Sigma2),MIN(MaxMultiple,Xm/(1-RAND())^(1/Alpha)))))</f>
        <v>0</v>
      </c>
      <c r="T48" s="19">
        <f ca="1">IF(RAND()&lt;P_Zero,0,IF(RAND()&lt;CondReturn,_xlfn.LOGNORM.INV(RAND(),MV2,Sigma1),IF(RAND()&lt;CondGood,_xlfn.LOGNORM.INV(RAND(),MV3,Sigma2),MIN(MaxMultiple,Xm/(1-RAND())^(1/Alpha)))))</f>
        <v>1.7221566170975637</v>
      </c>
      <c r="U48" s="19">
        <f ca="1">IF(RAND()&lt;P_Zero,0,IF(RAND()&lt;CondReturn,_xlfn.LOGNORM.INV(RAND(),MV2,Sigma1),IF(RAND()&lt;CondGood,_xlfn.LOGNORM.INV(RAND(),MV3,Sigma2),MIN(MaxMultiple,Xm/(1-RAND())^(1/Alpha)))))</f>
        <v>2.9858433734861851</v>
      </c>
      <c r="V48" s="19">
        <f ca="1">IF(RAND()&lt;P_Zero,0,IF(RAND()&lt;CondReturn,_xlfn.LOGNORM.INV(RAND(),MV2,Sigma1),IF(RAND()&lt;CondGood,_xlfn.LOGNORM.INV(RAND(),MV3,Sigma2),MIN(MaxMultiple,Xm/(1-RAND())^(1/Alpha)))))</f>
        <v>0</v>
      </c>
      <c r="W48" s="19">
        <f ca="1">IF(RAND()&lt;P_Zero,0,IF(RAND()&lt;CondReturn,_xlfn.LOGNORM.INV(RAND(),MV2,Sigma1),IF(RAND()&lt;CondGood,_xlfn.LOGNORM.INV(RAND(),MV3,Sigma2),MIN(MaxMultiple,Xm/(1-RAND())^(1/Alpha)))))</f>
        <v>1.3246222820984281</v>
      </c>
      <c r="X48" s="19">
        <f ca="1">IF(RAND()&lt;P_Zero,0,IF(RAND()&lt;CondReturn,_xlfn.LOGNORM.INV(RAND(),MV2,Sigma1),IF(RAND()&lt;CondGood,_xlfn.LOGNORM.INV(RAND(),MV3,Sigma2),MIN(MaxMultiple,Xm/(1-RAND())^(1/Alpha)))))</f>
        <v>0</v>
      </c>
      <c r="Y48" s="19">
        <f ca="1">IF(RAND()&lt;P_Zero,0,IF(RAND()&lt;CondReturn,_xlfn.LOGNORM.INV(RAND(),MV2,Sigma1),IF(RAND()&lt;CondGood,_xlfn.LOGNORM.INV(RAND(),MV3,Sigma2),MIN(MaxMultiple,Xm/(1-RAND())^(1/Alpha)))))</f>
        <v>0.87539810080638358</v>
      </c>
      <c r="Z48" s="19">
        <f ca="1">IF(RAND()&lt;P_Zero,0,IF(RAND()&lt;CondReturn,_xlfn.LOGNORM.INV(RAND(),MV2,Sigma1),IF(RAND()&lt;CondGood,_xlfn.LOGNORM.INV(RAND(),MV3,Sigma2),MIN(MaxMultiple,Xm/(1-RAND())^(1/Alpha)))))</f>
        <v>1.2784376053340165</v>
      </c>
      <c r="AA48" s="19">
        <f ca="1">IF(RAND()&lt;P_Zero,0,IF(RAND()&lt;CondReturn,_xlfn.LOGNORM.INV(RAND(),MV2,Sigma1),IF(RAND()&lt;CondGood,_xlfn.LOGNORM.INV(RAND(),MV3,Sigma2),MIN(MaxMultiple,Xm/(1-RAND())^(1/Alpha)))))</f>
        <v>0.73418770723068627</v>
      </c>
      <c r="AB48" s="19">
        <f t="shared" ca="1" si="0"/>
        <v>0.58811778626018207</v>
      </c>
      <c r="AC48" s="14">
        <f t="shared" ca="1" si="1"/>
        <v>28229653.740488738</v>
      </c>
      <c r="AD48" s="14">
        <f t="shared" ca="1" si="2"/>
        <v>-19770346.259511262</v>
      </c>
      <c r="AE48" s="14">
        <f t="shared" si="3"/>
        <v>55628399.869093813</v>
      </c>
      <c r="AF48" s="14">
        <f t="shared" ca="1" si="4"/>
        <v>0</v>
      </c>
      <c r="AG48" s="14">
        <f t="shared" ca="1" si="5"/>
        <v>0</v>
      </c>
      <c r="AH48" s="14">
        <f t="shared" ca="1" si="6"/>
        <v>28229653.740488738</v>
      </c>
      <c r="AI48" s="19">
        <f t="shared" ca="1" si="7"/>
        <v>0.47049422900814564</v>
      </c>
    </row>
    <row r="49" spans="2:35" x14ac:dyDescent="0.2">
      <c r="B49" s="1">
        <v>44</v>
      </c>
      <c r="C49" s="19">
        <f ca="1">IF(RAND()&lt;P_Zero,0,IF(RAND()&lt;CondReturn,_xlfn.LOGNORM.INV(RAND(),MV2,Sigma1),IF(RAND()&lt;CondGood,_xlfn.LOGNORM.INV(RAND(),MV3,Sigma2),MIN(MaxMultiple,Xm/(1-RAND())^(1/Alpha)))))</f>
        <v>0.77975542677384035</v>
      </c>
      <c r="D49" s="19">
        <f ca="1">IF(RAND()&lt;P_Zero,0,IF(RAND()&lt;CondReturn,_xlfn.LOGNORM.INV(RAND(),MV2,Sigma1),IF(RAND()&lt;CondGood,_xlfn.LOGNORM.INV(RAND(),MV3,Sigma2),MIN(MaxMultiple,Xm/(1-RAND())^(1/Alpha)))))</f>
        <v>0</v>
      </c>
      <c r="E49" s="19">
        <f ca="1">IF(RAND()&lt;P_Zero,0,IF(RAND()&lt;CondReturn,_xlfn.LOGNORM.INV(RAND(),MV2,Sigma1),IF(RAND()&lt;CondGood,_xlfn.LOGNORM.INV(RAND(),MV3,Sigma2),MIN(MaxMultiple,Xm/(1-RAND())^(1/Alpha)))))</f>
        <v>0</v>
      </c>
      <c r="F49" s="19">
        <f ca="1">IF(RAND()&lt;P_Zero,0,IF(RAND()&lt;CondReturn,_xlfn.LOGNORM.INV(RAND(),MV2,Sigma1),IF(RAND()&lt;CondGood,_xlfn.LOGNORM.INV(RAND(),MV3,Sigma2),MIN(MaxMultiple,Xm/(1-RAND())^(1/Alpha)))))</f>
        <v>1.2996569051355005</v>
      </c>
      <c r="G49" s="19">
        <f ca="1">IF(RAND()&lt;P_Zero,0,IF(RAND()&lt;CondReturn,_xlfn.LOGNORM.INV(RAND(),MV2,Sigma1),IF(RAND()&lt;CondGood,_xlfn.LOGNORM.INV(RAND(),MV3,Sigma2),MIN(MaxMultiple,Xm/(1-RAND())^(1/Alpha)))))</f>
        <v>0</v>
      </c>
      <c r="H49" s="19">
        <f ca="1">IF(RAND()&lt;P_Zero,0,IF(RAND()&lt;CondReturn,_xlfn.LOGNORM.INV(RAND(),MV2,Sigma1),IF(RAND()&lt;CondGood,_xlfn.LOGNORM.INV(RAND(),MV3,Sigma2),MIN(MaxMultiple,Xm/(1-RAND())^(1/Alpha)))))</f>
        <v>1.4971438188249484</v>
      </c>
      <c r="I49" s="19">
        <f ca="1">IF(RAND()&lt;P_Zero,0,IF(RAND()&lt;CondReturn,_xlfn.LOGNORM.INV(RAND(),MV2,Sigma1),IF(RAND()&lt;CondGood,_xlfn.LOGNORM.INV(RAND(),MV3,Sigma2),MIN(MaxMultiple,Xm/(1-RAND())^(1/Alpha)))))</f>
        <v>0</v>
      </c>
      <c r="J49" s="19">
        <f ca="1">IF(RAND()&lt;P_Zero,0,IF(RAND()&lt;CondReturn,_xlfn.LOGNORM.INV(RAND(),MV2,Sigma1),IF(RAND()&lt;CondGood,_xlfn.LOGNORM.INV(RAND(),MV3,Sigma2),MIN(MaxMultiple,Xm/(1-RAND())^(1/Alpha)))))</f>
        <v>0</v>
      </c>
      <c r="K49" s="19">
        <f ca="1">IF(RAND()&lt;P_Zero,0,IF(RAND()&lt;CondReturn,_xlfn.LOGNORM.INV(RAND(),MV2,Sigma1),IF(RAND()&lt;CondGood,_xlfn.LOGNORM.INV(RAND(),MV3,Sigma2),MIN(MaxMultiple,Xm/(1-RAND())^(1/Alpha)))))</f>
        <v>1.0561056815731491</v>
      </c>
      <c r="L49" s="19">
        <f ca="1">IF(RAND()&lt;P_Zero,0,IF(RAND()&lt;CondReturn,_xlfn.LOGNORM.INV(RAND(),MV2,Sigma1),IF(RAND()&lt;CondGood,_xlfn.LOGNORM.INV(RAND(),MV3,Sigma2),MIN(MaxMultiple,Xm/(1-RAND())^(1/Alpha)))))</f>
        <v>2.0554567515327289</v>
      </c>
      <c r="M49" s="19">
        <f ca="1">IF(RAND()&lt;P_Zero,0,IF(RAND()&lt;CondReturn,_xlfn.LOGNORM.INV(RAND(),MV2,Sigma1),IF(RAND()&lt;CondGood,_xlfn.LOGNORM.INV(RAND(),MV3,Sigma2),MIN(MaxMultiple,Xm/(1-RAND())^(1/Alpha)))))</f>
        <v>1.7187181490560317</v>
      </c>
      <c r="N49" s="19">
        <f ca="1">IF(RAND()&lt;P_Zero,0,IF(RAND()&lt;CondReturn,_xlfn.LOGNORM.INV(RAND(),MV2,Sigma1),IF(RAND()&lt;CondGood,_xlfn.LOGNORM.INV(RAND(),MV3,Sigma2),MIN(MaxMultiple,Xm/(1-RAND())^(1/Alpha)))))</f>
        <v>19.159531085455928</v>
      </c>
      <c r="O49" s="19">
        <f ca="1">IF(RAND()&lt;P_Zero,0,IF(RAND()&lt;CondReturn,_xlfn.LOGNORM.INV(RAND(),MV2,Sigma1),IF(RAND()&lt;CondGood,_xlfn.LOGNORM.INV(RAND(),MV3,Sigma2),MIN(MaxMultiple,Xm/(1-RAND())^(1/Alpha)))))</f>
        <v>0</v>
      </c>
      <c r="P49" s="19">
        <f ca="1">IF(RAND()&lt;P_Zero,0,IF(RAND()&lt;CondReturn,_xlfn.LOGNORM.INV(RAND(),MV2,Sigma1),IF(RAND()&lt;CondGood,_xlfn.LOGNORM.INV(RAND(),MV3,Sigma2),MIN(MaxMultiple,Xm/(1-RAND())^(1/Alpha)))))</f>
        <v>0</v>
      </c>
      <c r="Q49" s="19">
        <f ca="1">IF(RAND()&lt;P_Zero,0,IF(RAND()&lt;CondReturn,_xlfn.LOGNORM.INV(RAND(),MV2,Sigma1),IF(RAND()&lt;CondGood,_xlfn.LOGNORM.INV(RAND(),MV3,Sigma2),MIN(MaxMultiple,Xm/(1-RAND())^(1/Alpha)))))</f>
        <v>0</v>
      </c>
      <c r="R49" s="19">
        <f ca="1">IF(RAND()&lt;P_Zero,0,IF(RAND()&lt;CondReturn,_xlfn.LOGNORM.INV(RAND(),MV2,Sigma1),IF(RAND()&lt;CondGood,_xlfn.LOGNORM.INV(RAND(),MV3,Sigma2),MIN(MaxMultiple,Xm/(1-RAND())^(1/Alpha)))))</f>
        <v>0.65372886838096544</v>
      </c>
      <c r="S49" s="19">
        <f ca="1">IF(RAND()&lt;P_Zero,0,IF(RAND()&lt;CondReturn,_xlfn.LOGNORM.INV(RAND(),MV2,Sigma1),IF(RAND()&lt;CondGood,_xlfn.LOGNORM.INV(RAND(),MV3,Sigma2),MIN(MaxMultiple,Xm/(1-RAND())^(1/Alpha)))))</f>
        <v>12.663274101626575</v>
      </c>
      <c r="T49" s="19">
        <f ca="1">IF(RAND()&lt;P_Zero,0,IF(RAND()&lt;CondReturn,_xlfn.LOGNORM.INV(RAND(),MV2,Sigma1),IF(RAND()&lt;CondGood,_xlfn.LOGNORM.INV(RAND(),MV3,Sigma2),MIN(MaxMultiple,Xm/(1-RAND())^(1/Alpha)))))</f>
        <v>0.97025585028404882</v>
      </c>
      <c r="U49" s="19">
        <f ca="1">IF(RAND()&lt;P_Zero,0,IF(RAND()&lt;CondReturn,_xlfn.LOGNORM.INV(RAND(),MV2,Sigma1),IF(RAND()&lt;CondGood,_xlfn.LOGNORM.INV(RAND(),MV3,Sigma2),MIN(MaxMultiple,Xm/(1-RAND())^(1/Alpha)))))</f>
        <v>1.1391896561929864</v>
      </c>
      <c r="V49" s="19">
        <f ca="1">IF(RAND()&lt;P_Zero,0,IF(RAND()&lt;CondReturn,_xlfn.LOGNORM.INV(RAND(),MV2,Sigma1),IF(RAND()&lt;CondGood,_xlfn.LOGNORM.INV(RAND(),MV3,Sigma2),MIN(MaxMultiple,Xm/(1-RAND())^(1/Alpha)))))</f>
        <v>0.74044410938936078</v>
      </c>
      <c r="W49" s="19">
        <f ca="1">IF(RAND()&lt;P_Zero,0,IF(RAND()&lt;CondReturn,_xlfn.LOGNORM.INV(RAND(),MV2,Sigma1),IF(RAND()&lt;CondGood,_xlfn.LOGNORM.INV(RAND(),MV3,Sigma2),MIN(MaxMultiple,Xm/(1-RAND())^(1/Alpha)))))</f>
        <v>0.83141268476745256</v>
      </c>
      <c r="X49" s="19">
        <f ca="1">IF(RAND()&lt;P_Zero,0,IF(RAND()&lt;CondReturn,_xlfn.LOGNORM.INV(RAND(),MV2,Sigma1),IF(RAND()&lt;CondGood,_xlfn.LOGNORM.INV(RAND(),MV3,Sigma2),MIN(MaxMultiple,Xm/(1-RAND())^(1/Alpha)))))</f>
        <v>1.1240745270395529</v>
      </c>
      <c r="Y49" s="19">
        <f ca="1">IF(RAND()&lt;P_Zero,0,IF(RAND()&lt;CondReturn,_xlfn.LOGNORM.INV(RAND(),MV2,Sigma1),IF(RAND()&lt;CondGood,_xlfn.LOGNORM.INV(RAND(),MV3,Sigma2),MIN(MaxMultiple,Xm/(1-RAND())^(1/Alpha)))))</f>
        <v>14.759804112024208</v>
      </c>
      <c r="Z49" s="19">
        <f ca="1">IF(RAND()&lt;P_Zero,0,IF(RAND()&lt;CondReturn,_xlfn.LOGNORM.INV(RAND(),MV2,Sigma1),IF(RAND()&lt;CondGood,_xlfn.LOGNORM.INV(RAND(),MV3,Sigma2),MIN(MaxMultiple,Xm/(1-RAND())^(1/Alpha)))))</f>
        <v>0.69221720078153626</v>
      </c>
      <c r="AA49" s="19">
        <f ca="1">IF(RAND()&lt;P_Zero,0,IF(RAND()&lt;CondReturn,_xlfn.LOGNORM.INV(RAND(),MV2,Sigma1),IF(RAND()&lt;CondGood,_xlfn.LOGNORM.INV(RAND(),MV3,Sigma2),MIN(MaxMultiple,Xm/(1-RAND())^(1/Alpha)))))</f>
        <v>1.1213143876306471</v>
      </c>
      <c r="AB49" s="19">
        <f t="shared" ca="1" si="0"/>
        <v>2.4904833326587781</v>
      </c>
      <c r="AC49" s="14">
        <f t="shared" ca="1" si="1"/>
        <v>119543199.96762134</v>
      </c>
      <c r="AD49" s="14">
        <f t="shared" ca="1" si="2"/>
        <v>71543199.967621341</v>
      </c>
      <c r="AE49" s="14">
        <f t="shared" si="3"/>
        <v>55628399.869093813</v>
      </c>
      <c r="AF49" s="14">
        <f t="shared" ca="1" si="4"/>
        <v>15914800.098527528</v>
      </c>
      <c r="AG49" s="14">
        <f t="shared" ca="1" si="5"/>
        <v>3182960.019705506</v>
      </c>
      <c r="AH49" s="14">
        <f t="shared" ca="1" si="6"/>
        <v>116360239.94791584</v>
      </c>
      <c r="AI49" s="19">
        <f t="shared" ca="1" si="7"/>
        <v>1.9393373324652639</v>
      </c>
    </row>
    <row r="50" spans="2:35" x14ac:dyDescent="0.2">
      <c r="B50" s="1">
        <v>45</v>
      </c>
      <c r="C50" s="19">
        <f ca="1">IF(RAND()&lt;P_Zero,0,IF(RAND()&lt;CondReturn,_xlfn.LOGNORM.INV(RAND(),MV2,Sigma1),IF(RAND()&lt;CondGood,_xlfn.LOGNORM.INV(RAND(),MV3,Sigma2),MIN(MaxMultiple,Xm/(1-RAND())^(1/Alpha)))))</f>
        <v>0</v>
      </c>
      <c r="D50" s="19">
        <f ca="1">IF(RAND()&lt;P_Zero,0,IF(RAND()&lt;CondReturn,_xlfn.LOGNORM.INV(RAND(),MV2,Sigma1),IF(RAND()&lt;CondGood,_xlfn.LOGNORM.INV(RAND(),MV3,Sigma2),MIN(MaxMultiple,Xm/(1-RAND())^(1/Alpha)))))</f>
        <v>1.1015753098363428</v>
      </c>
      <c r="E50" s="19">
        <f ca="1">IF(RAND()&lt;P_Zero,0,IF(RAND()&lt;CondReturn,_xlfn.LOGNORM.INV(RAND(),MV2,Sigma1),IF(RAND()&lt;CondGood,_xlfn.LOGNORM.INV(RAND(),MV3,Sigma2),MIN(MaxMultiple,Xm/(1-RAND())^(1/Alpha)))))</f>
        <v>1.075876627667488</v>
      </c>
      <c r="F50" s="19">
        <f ca="1">IF(RAND()&lt;P_Zero,0,IF(RAND()&lt;CondReturn,_xlfn.LOGNORM.INV(RAND(),MV2,Sigma1),IF(RAND()&lt;CondGood,_xlfn.LOGNORM.INV(RAND(),MV3,Sigma2),MIN(MaxMultiple,Xm/(1-RAND())^(1/Alpha)))))</f>
        <v>2.8870829125557975</v>
      </c>
      <c r="G50" s="19">
        <f ca="1">IF(RAND()&lt;P_Zero,0,IF(RAND()&lt;CondReturn,_xlfn.LOGNORM.INV(RAND(),MV2,Sigma1),IF(RAND()&lt;CondGood,_xlfn.LOGNORM.INV(RAND(),MV3,Sigma2),MIN(MaxMultiple,Xm/(1-RAND())^(1/Alpha)))))</f>
        <v>0</v>
      </c>
      <c r="H50" s="19">
        <f ca="1">IF(RAND()&lt;P_Zero,0,IF(RAND()&lt;CondReturn,_xlfn.LOGNORM.INV(RAND(),MV2,Sigma1),IF(RAND()&lt;CondGood,_xlfn.LOGNORM.INV(RAND(),MV3,Sigma2),MIN(MaxMultiple,Xm/(1-RAND())^(1/Alpha)))))</f>
        <v>0.73282553886526647</v>
      </c>
      <c r="I50" s="19">
        <f ca="1">IF(RAND()&lt;P_Zero,0,IF(RAND()&lt;CondReturn,_xlfn.LOGNORM.INV(RAND(),MV2,Sigma1),IF(RAND()&lt;CondGood,_xlfn.LOGNORM.INV(RAND(),MV3,Sigma2),MIN(MaxMultiple,Xm/(1-RAND())^(1/Alpha)))))</f>
        <v>0</v>
      </c>
      <c r="J50" s="19">
        <f ca="1">IF(RAND()&lt;P_Zero,0,IF(RAND()&lt;CondReturn,_xlfn.LOGNORM.INV(RAND(),MV2,Sigma1),IF(RAND()&lt;CondGood,_xlfn.LOGNORM.INV(RAND(),MV3,Sigma2),MIN(MaxMultiple,Xm/(1-RAND())^(1/Alpha)))))</f>
        <v>0.66813548629920505</v>
      </c>
      <c r="K50" s="19">
        <f ca="1">IF(RAND()&lt;P_Zero,0,IF(RAND()&lt;CondReturn,_xlfn.LOGNORM.INV(RAND(),MV2,Sigma1),IF(RAND()&lt;CondGood,_xlfn.LOGNORM.INV(RAND(),MV3,Sigma2),MIN(MaxMultiple,Xm/(1-RAND())^(1/Alpha)))))</f>
        <v>0</v>
      </c>
      <c r="L50" s="19">
        <f ca="1">IF(RAND()&lt;P_Zero,0,IF(RAND()&lt;CondReturn,_xlfn.LOGNORM.INV(RAND(),MV2,Sigma1),IF(RAND()&lt;CondGood,_xlfn.LOGNORM.INV(RAND(),MV3,Sigma2),MIN(MaxMultiple,Xm/(1-RAND())^(1/Alpha)))))</f>
        <v>0</v>
      </c>
      <c r="M50" s="19">
        <f ca="1">IF(RAND()&lt;P_Zero,0,IF(RAND()&lt;CondReturn,_xlfn.LOGNORM.INV(RAND(),MV2,Sigma1),IF(RAND()&lt;CondGood,_xlfn.LOGNORM.INV(RAND(),MV3,Sigma2),MIN(MaxMultiple,Xm/(1-RAND())^(1/Alpha)))))</f>
        <v>0</v>
      </c>
      <c r="N50" s="19">
        <f ca="1">IF(RAND()&lt;P_Zero,0,IF(RAND()&lt;CondReturn,_xlfn.LOGNORM.INV(RAND(),MV2,Sigma1),IF(RAND()&lt;CondGood,_xlfn.LOGNORM.INV(RAND(),MV3,Sigma2),MIN(MaxMultiple,Xm/(1-RAND())^(1/Alpha)))))</f>
        <v>0.62435191035752269</v>
      </c>
      <c r="O50" s="19">
        <f ca="1">IF(RAND()&lt;P_Zero,0,IF(RAND()&lt;CondReturn,_xlfn.LOGNORM.INV(RAND(),MV2,Sigma1),IF(RAND()&lt;CondGood,_xlfn.LOGNORM.INV(RAND(),MV3,Sigma2),MIN(MaxMultiple,Xm/(1-RAND())^(1/Alpha)))))</f>
        <v>1.2109278167368747</v>
      </c>
      <c r="P50" s="19">
        <f ca="1">IF(RAND()&lt;P_Zero,0,IF(RAND()&lt;CondReturn,_xlfn.LOGNORM.INV(RAND(),MV2,Sigma1),IF(RAND()&lt;CondGood,_xlfn.LOGNORM.INV(RAND(),MV3,Sigma2),MIN(MaxMultiple,Xm/(1-RAND())^(1/Alpha)))))</f>
        <v>0</v>
      </c>
      <c r="Q50" s="19">
        <f ca="1">IF(RAND()&lt;P_Zero,0,IF(RAND()&lt;CondReturn,_xlfn.LOGNORM.INV(RAND(),MV2,Sigma1),IF(RAND()&lt;CondGood,_xlfn.LOGNORM.INV(RAND(),MV3,Sigma2),MIN(MaxMultiple,Xm/(1-RAND())^(1/Alpha)))))</f>
        <v>0</v>
      </c>
      <c r="R50" s="19">
        <f ca="1">IF(RAND()&lt;P_Zero,0,IF(RAND()&lt;CondReturn,_xlfn.LOGNORM.INV(RAND(),MV2,Sigma1),IF(RAND()&lt;CondGood,_xlfn.LOGNORM.INV(RAND(),MV3,Sigma2),MIN(MaxMultiple,Xm/(1-RAND())^(1/Alpha)))))</f>
        <v>0</v>
      </c>
      <c r="S50" s="19">
        <f ca="1">IF(RAND()&lt;P_Zero,0,IF(RAND()&lt;CondReturn,_xlfn.LOGNORM.INV(RAND(),MV2,Sigma1),IF(RAND()&lt;CondGood,_xlfn.LOGNORM.INV(RAND(),MV3,Sigma2),MIN(MaxMultiple,Xm/(1-RAND())^(1/Alpha)))))</f>
        <v>2.5010458241519862</v>
      </c>
      <c r="T50" s="19">
        <f ca="1">IF(RAND()&lt;P_Zero,0,IF(RAND()&lt;CondReturn,_xlfn.LOGNORM.INV(RAND(),MV2,Sigma1),IF(RAND()&lt;CondGood,_xlfn.LOGNORM.INV(RAND(),MV3,Sigma2),MIN(MaxMultiple,Xm/(1-RAND())^(1/Alpha)))))</f>
        <v>0.95195353087286683</v>
      </c>
      <c r="U50" s="19">
        <f ca="1">IF(RAND()&lt;P_Zero,0,IF(RAND()&lt;CondReturn,_xlfn.LOGNORM.INV(RAND(),MV2,Sigma1),IF(RAND()&lt;CondGood,_xlfn.LOGNORM.INV(RAND(),MV3,Sigma2),MIN(MaxMultiple,Xm/(1-RAND())^(1/Alpha)))))</f>
        <v>0.9325810738833149</v>
      </c>
      <c r="V50" s="19">
        <f ca="1">IF(RAND()&lt;P_Zero,0,IF(RAND()&lt;CondReturn,_xlfn.LOGNORM.INV(RAND(),MV2,Sigma1),IF(RAND()&lt;CondGood,_xlfn.LOGNORM.INV(RAND(),MV3,Sigma2),MIN(MaxMultiple,Xm/(1-RAND())^(1/Alpha)))))</f>
        <v>0.44798183068473502</v>
      </c>
      <c r="W50" s="19">
        <f ca="1">IF(RAND()&lt;P_Zero,0,IF(RAND()&lt;CondReturn,_xlfn.LOGNORM.INV(RAND(),MV2,Sigma1),IF(RAND()&lt;CondGood,_xlfn.LOGNORM.INV(RAND(),MV3,Sigma2),MIN(MaxMultiple,Xm/(1-RAND())^(1/Alpha)))))</f>
        <v>0</v>
      </c>
      <c r="X50" s="19">
        <f ca="1">IF(RAND()&lt;P_Zero,0,IF(RAND()&lt;CondReturn,_xlfn.LOGNORM.INV(RAND(),MV2,Sigma1),IF(RAND()&lt;CondGood,_xlfn.LOGNORM.INV(RAND(),MV3,Sigma2),MIN(MaxMultiple,Xm/(1-RAND())^(1/Alpha)))))</f>
        <v>0</v>
      </c>
      <c r="Y50" s="19">
        <f ca="1">IF(RAND()&lt;P_Zero,0,IF(RAND()&lt;CondReturn,_xlfn.LOGNORM.INV(RAND(),MV2,Sigma1),IF(RAND()&lt;CondGood,_xlfn.LOGNORM.INV(RAND(),MV3,Sigma2),MIN(MaxMultiple,Xm/(1-RAND())^(1/Alpha)))))</f>
        <v>30.216447662720586</v>
      </c>
      <c r="Z50" s="19">
        <f ca="1">IF(RAND()&lt;P_Zero,0,IF(RAND()&lt;CondReturn,_xlfn.LOGNORM.INV(RAND(),MV2,Sigma1),IF(RAND()&lt;CondGood,_xlfn.LOGNORM.INV(RAND(),MV3,Sigma2),MIN(MaxMultiple,Xm/(1-RAND())^(1/Alpha)))))</f>
        <v>1.2192080348374681</v>
      </c>
      <c r="AA50" s="19">
        <f ca="1">IF(RAND()&lt;P_Zero,0,IF(RAND()&lt;CondReturn,_xlfn.LOGNORM.INV(RAND(),MV2,Sigma1),IF(RAND()&lt;CondGood,_xlfn.LOGNORM.INV(RAND(),MV3,Sigma2),MIN(MaxMultiple,Xm/(1-RAND())^(1/Alpha)))))</f>
        <v>1.9113385137120542</v>
      </c>
      <c r="AB50" s="19">
        <f t="shared" ca="1" si="0"/>
        <v>1.8592532829272601</v>
      </c>
      <c r="AC50" s="14">
        <f t="shared" ca="1" si="1"/>
        <v>89244157.580508485</v>
      </c>
      <c r="AD50" s="14">
        <f t="shared" ca="1" si="2"/>
        <v>41244157.580508485</v>
      </c>
      <c r="AE50" s="14">
        <f t="shared" si="3"/>
        <v>55628399.869093813</v>
      </c>
      <c r="AF50" s="14">
        <f t="shared" ca="1" si="4"/>
        <v>0</v>
      </c>
      <c r="AG50" s="14">
        <f t="shared" ca="1" si="5"/>
        <v>0</v>
      </c>
      <c r="AH50" s="14">
        <f t="shared" ca="1" si="6"/>
        <v>89244157.580508485</v>
      </c>
      <c r="AI50" s="19">
        <f t="shared" ca="1" si="7"/>
        <v>1.4874026263418081</v>
      </c>
    </row>
    <row r="51" spans="2:35" x14ac:dyDescent="0.2">
      <c r="B51" s="1">
        <v>46</v>
      </c>
      <c r="C51" s="19">
        <f ca="1">IF(RAND()&lt;P_Zero,0,IF(RAND()&lt;CondReturn,_xlfn.LOGNORM.INV(RAND(),MV2,Sigma1),IF(RAND()&lt;CondGood,_xlfn.LOGNORM.INV(RAND(),MV3,Sigma2),MIN(MaxMultiple,Xm/(1-RAND())^(1/Alpha)))))</f>
        <v>0.82428895819449877</v>
      </c>
      <c r="D51" s="19">
        <f ca="1">IF(RAND()&lt;P_Zero,0,IF(RAND()&lt;CondReturn,_xlfn.LOGNORM.INV(RAND(),MV2,Sigma1),IF(RAND()&lt;CondGood,_xlfn.LOGNORM.INV(RAND(),MV3,Sigma2),MIN(MaxMultiple,Xm/(1-RAND())^(1/Alpha)))))</f>
        <v>1.7493565789675856</v>
      </c>
      <c r="E51" s="19">
        <f ca="1">IF(RAND()&lt;P_Zero,0,IF(RAND()&lt;CondReturn,_xlfn.LOGNORM.INV(RAND(),MV2,Sigma1),IF(RAND()&lt;CondGood,_xlfn.LOGNORM.INV(RAND(),MV3,Sigma2),MIN(MaxMultiple,Xm/(1-RAND())^(1/Alpha)))))</f>
        <v>0.70805396631460205</v>
      </c>
      <c r="F51" s="19">
        <f ca="1">IF(RAND()&lt;P_Zero,0,IF(RAND()&lt;CondReturn,_xlfn.LOGNORM.INV(RAND(),MV2,Sigma1),IF(RAND()&lt;CondGood,_xlfn.LOGNORM.INV(RAND(),MV3,Sigma2),MIN(MaxMultiple,Xm/(1-RAND())^(1/Alpha)))))</f>
        <v>0</v>
      </c>
      <c r="G51" s="19">
        <f ca="1">IF(RAND()&lt;P_Zero,0,IF(RAND()&lt;CondReturn,_xlfn.LOGNORM.INV(RAND(),MV2,Sigma1),IF(RAND()&lt;CondGood,_xlfn.LOGNORM.INV(RAND(),MV3,Sigma2),MIN(MaxMultiple,Xm/(1-RAND())^(1/Alpha)))))</f>
        <v>0</v>
      </c>
      <c r="H51" s="19">
        <f ca="1">IF(RAND()&lt;P_Zero,0,IF(RAND()&lt;CondReturn,_xlfn.LOGNORM.INV(RAND(),MV2,Sigma1),IF(RAND()&lt;CondGood,_xlfn.LOGNORM.INV(RAND(),MV3,Sigma2),MIN(MaxMultiple,Xm/(1-RAND())^(1/Alpha)))))</f>
        <v>0</v>
      </c>
      <c r="I51" s="19">
        <f ca="1">IF(RAND()&lt;P_Zero,0,IF(RAND()&lt;CondReturn,_xlfn.LOGNORM.INV(RAND(),MV2,Sigma1),IF(RAND()&lt;CondGood,_xlfn.LOGNORM.INV(RAND(),MV3,Sigma2),MIN(MaxMultiple,Xm/(1-RAND())^(1/Alpha)))))</f>
        <v>15.830180803737411</v>
      </c>
      <c r="J51" s="19">
        <f ca="1">IF(RAND()&lt;P_Zero,0,IF(RAND()&lt;CondReturn,_xlfn.LOGNORM.INV(RAND(),MV2,Sigma1),IF(RAND()&lt;CondGood,_xlfn.LOGNORM.INV(RAND(),MV3,Sigma2),MIN(MaxMultiple,Xm/(1-RAND())^(1/Alpha)))))</f>
        <v>0.52586723694717863</v>
      </c>
      <c r="K51" s="19">
        <f ca="1">IF(RAND()&lt;P_Zero,0,IF(RAND()&lt;CondReturn,_xlfn.LOGNORM.INV(RAND(),MV2,Sigma1),IF(RAND()&lt;CondGood,_xlfn.LOGNORM.INV(RAND(),MV3,Sigma2),MIN(MaxMultiple,Xm/(1-RAND())^(1/Alpha)))))</f>
        <v>1.7628094354350194</v>
      </c>
      <c r="L51" s="19">
        <f ca="1">IF(RAND()&lt;P_Zero,0,IF(RAND()&lt;CondReturn,_xlfn.LOGNORM.INV(RAND(),MV2,Sigma1),IF(RAND()&lt;CondGood,_xlfn.LOGNORM.INV(RAND(),MV3,Sigma2),MIN(MaxMultiple,Xm/(1-RAND())^(1/Alpha)))))</f>
        <v>0</v>
      </c>
      <c r="M51" s="19">
        <f ca="1">IF(RAND()&lt;P_Zero,0,IF(RAND()&lt;CondReturn,_xlfn.LOGNORM.INV(RAND(),MV2,Sigma1),IF(RAND()&lt;CondGood,_xlfn.LOGNORM.INV(RAND(),MV3,Sigma2),MIN(MaxMultiple,Xm/(1-RAND())^(1/Alpha)))))</f>
        <v>0</v>
      </c>
      <c r="N51" s="19">
        <f ca="1">IF(RAND()&lt;P_Zero,0,IF(RAND()&lt;CondReturn,_xlfn.LOGNORM.INV(RAND(),MV2,Sigma1),IF(RAND()&lt;CondGood,_xlfn.LOGNORM.INV(RAND(),MV3,Sigma2),MIN(MaxMultiple,Xm/(1-RAND())^(1/Alpha)))))</f>
        <v>0</v>
      </c>
      <c r="O51" s="19">
        <f ca="1">IF(RAND()&lt;P_Zero,0,IF(RAND()&lt;CondReturn,_xlfn.LOGNORM.INV(RAND(),MV2,Sigma1),IF(RAND()&lt;CondGood,_xlfn.LOGNORM.INV(RAND(),MV3,Sigma2),MIN(MaxMultiple,Xm/(1-RAND())^(1/Alpha)))))</f>
        <v>0</v>
      </c>
      <c r="P51" s="19">
        <f ca="1">IF(RAND()&lt;P_Zero,0,IF(RAND()&lt;CondReturn,_xlfn.LOGNORM.INV(RAND(),MV2,Sigma1),IF(RAND()&lt;CondGood,_xlfn.LOGNORM.INV(RAND(),MV3,Sigma2),MIN(MaxMultiple,Xm/(1-RAND())^(1/Alpha)))))</f>
        <v>0.97040114976481262</v>
      </c>
      <c r="Q51" s="19">
        <f ca="1">IF(RAND()&lt;P_Zero,0,IF(RAND()&lt;CondReturn,_xlfn.LOGNORM.INV(RAND(),MV2,Sigma1),IF(RAND()&lt;CondGood,_xlfn.LOGNORM.INV(RAND(),MV3,Sigma2),MIN(MaxMultiple,Xm/(1-RAND())^(1/Alpha)))))</f>
        <v>0</v>
      </c>
      <c r="R51" s="19">
        <f ca="1">IF(RAND()&lt;P_Zero,0,IF(RAND()&lt;CondReturn,_xlfn.LOGNORM.INV(RAND(),MV2,Sigma1),IF(RAND()&lt;CondGood,_xlfn.LOGNORM.INV(RAND(),MV3,Sigma2),MIN(MaxMultiple,Xm/(1-RAND())^(1/Alpha)))))</f>
        <v>1.4671950853286579</v>
      </c>
      <c r="S51" s="19">
        <f ca="1">IF(RAND()&lt;P_Zero,0,IF(RAND()&lt;CondReturn,_xlfn.LOGNORM.INV(RAND(),MV2,Sigma1),IF(RAND()&lt;CondGood,_xlfn.LOGNORM.INV(RAND(),MV3,Sigma2),MIN(MaxMultiple,Xm/(1-RAND())^(1/Alpha)))))</f>
        <v>0.90211450597291309</v>
      </c>
      <c r="T51" s="19">
        <f ca="1">IF(RAND()&lt;P_Zero,0,IF(RAND()&lt;CondReturn,_xlfn.LOGNORM.INV(RAND(),MV2,Sigma1),IF(RAND()&lt;CondGood,_xlfn.LOGNORM.INV(RAND(),MV3,Sigma2),MIN(MaxMultiple,Xm/(1-RAND())^(1/Alpha)))))</f>
        <v>0.56849968962820241</v>
      </c>
      <c r="U51" s="19">
        <f ca="1">IF(RAND()&lt;P_Zero,0,IF(RAND()&lt;CondReturn,_xlfn.LOGNORM.INV(RAND(),MV2,Sigma1),IF(RAND()&lt;CondGood,_xlfn.LOGNORM.INV(RAND(),MV3,Sigma2),MIN(MaxMultiple,Xm/(1-RAND())^(1/Alpha)))))</f>
        <v>0</v>
      </c>
      <c r="V51" s="19">
        <f ca="1">IF(RAND()&lt;P_Zero,0,IF(RAND()&lt;CondReturn,_xlfn.LOGNORM.INV(RAND(),MV2,Sigma1),IF(RAND()&lt;CondGood,_xlfn.LOGNORM.INV(RAND(),MV3,Sigma2),MIN(MaxMultiple,Xm/(1-RAND())^(1/Alpha)))))</f>
        <v>20.70912303310201</v>
      </c>
      <c r="W51" s="19">
        <f ca="1">IF(RAND()&lt;P_Zero,0,IF(RAND()&lt;CondReturn,_xlfn.LOGNORM.INV(RAND(),MV2,Sigma1),IF(RAND()&lt;CondGood,_xlfn.LOGNORM.INV(RAND(),MV3,Sigma2),MIN(MaxMultiple,Xm/(1-RAND())^(1/Alpha)))))</f>
        <v>1.5524678135691545</v>
      </c>
      <c r="X51" s="19">
        <f ca="1">IF(RAND()&lt;P_Zero,0,IF(RAND()&lt;CondReturn,_xlfn.LOGNORM.INV(RAND(),MV2,Sigma1),IF(RAND()&lt;CondGood,_xlfn.LOGNORM.INV(RAND(),MV3,Sigma2),MIN(MaxMultiple,Xm/(1-RAND())^(1/Alpha)))))</f>
        <v>0</v>
      </c>
      <c r="Y51" s="19">
        <f ca="1">IF(RAND()&lt;P_Zero,0,IF(RAND()&lt;CondReturn,_xlfn.LOGNORM.INV(RAND(),MV2,Sigma1),IF(RAND()&lt;CondGood,_xlfn.LOGNORM.INV(RAND(),MV3,Sigma2),MIN(MaxMultiple,Xm/(1-RAND())^(1/Alpha)))))</f>
        <v>0.69205836612895599</v>
      </c>
      <c r="Z51" s="19">
        <f ca="1">IF(RAND()&lt;P_Zero,0,IF(RAND()&lt;CondReturn,_xlfn.LOGNORM.INV(RAND(),MV2,Sigma1),IF(RAND()&lt;CondGood,_xlfn.LOGNORM.INV(RAND(),MV3,Sigma2),MIN(MaxMultiple,Xm/(1-RAND())^(1/Alpha)))))</f>
        <v>0</v>
      </c>
      <c r="AA51" s="19">
        <f ca="1">IF(RAND()&lt;P_Zero,0,IF(RAND()&lt;CondReturn,_xlfn.LOGNORM.INV(RAND(),MV2,Sigma1),IF(RAND()&lt;CondGood,_xlfn.LOGNORM.INV(RAND(),MV3,Sigma2),MIN(MaxMultiple,Xm/(1-RAND())^(1/Alpha)))))</f>
        <v>0.63661012523750438</v>
      </c>
      <c r="AB51" s="19">
        <f t="shared" ca="1" si="0"/>
        <v>1.9559610699331398</v>
      </c>
      <c r="AC51" s="14">
        <f t="shared" ca="1" si="1"/>
        <v>93886131.356790707</v>
      </c>
      <c r="AD51" s="14">
        <f t="shared" ca="1" si="2"/>
        <v>45886131.356790707</v>
      </c>
      <c r="AE51" s="14">
        <f t="shared" si="3"/>
        <v>55628399.869093813</v>
      </c>
      <c r="AF51" s="14">
        <f t="shared" ca="1" si="4"/>
        <v>0</v>
      </c>
      <c r="AG51" s="14">
        <f t="shared" ca="1" si="5"/>
        <v>0</v>
      </c>
      <c r="AH51" s="14">
        <f t="shared" ca="1" si="6"/>
        <v>93886131.356790707</v>
      </c>
      <c r="AI51" s="19">
        <f t="shared" ca="1" si="7"/>
        <v>1.5647688559465118</v>
      </c>
    </row>
    <row r="52" spans="2:35" x14ac:dyDescent="0.2">
      <c r="B52" s="1">
        <v>47</v>
      </c>
      <c r="C52" s="19">
        <f ca="1">IF(RAND()&lt;P_Zero,0,IF(RAND()&lt;CondReturn,_xlfn.LOGNORM.INV(RAND(),MV2,Sigma1),IF(RAND()&lt;CondGood,_xlfn.LOGNORM.INV(RAND(),MV3,Sigma2),MIN(MaxMultiple,Xm/(1-RAND())^(1/Alpha)))))</f>
        <v>0</v>
      </c>
      <c r="D52" s="19">
        <f ca="1">IF(RAND()&lt;P_Zero,0,IF(RAND()&lt;CondReturn,_xlfn.LOGNORM.INV(RAND(),MV2,Sigma1),IF(RAND()&lt;CondGood,_xlfn.LOGNORM.INV(RAND(),MV3,Sigma2),MIN(MaxMultiple,Xm/(1-RAND())^(1/Alpha)))))</f>
        <v>1.4051028914252823</v>
      </c>
      <c r="E52" s="19">
        <f ca="1">IF(RAND()&lt;P_Zero,0,IF(RAND()&lt;CondReturn,_xlfn.LOGNORM.INV(RAND(),MV2,Sigma1),IF(RAND()&lt;CondGood,_xlfn.LOGNORM.INV(RAND(),MV3,Sigma2),MIN(MaxMultiple,Xm/(1-RAND())^(1/Alpha)))))</f>
        <v>37.912640766047758</v>
      </c>
      <c r="F52" s="19">
        <f ca="1">IF(RAND()&lt;P_Zero,0,IF(RAND()&lt;CondReturn,_xlfn.LOGNORM.INV(RAND(),MV2,Sigma1),IF(RAND()&lt;CondGood,_xlfn.LOGNORM.INV(RAND(),MV3,Sigma2),MIN(MaxMultiple,Xm/(1-RAND())^(1/Alpha)))))</f>
        <v>1.196055356522876</v>
      </c>
      <c r="G52" s="19">
        <f ca="1">IF(RAND()&lt;P_Zero,0,IF(RAND()&lt;CondReturn,_xlfn.LOGNORM.INV(RAND(),MV2,Sigma1),IF(RAND()&lt;CondGood,_xlfn.LOGNORM.INV(RAND(),MV3,Sigma2),MIN(MaxMultiple,Xm/(1-RAND())^(1/Alpha)))))</f>
        <v>0</v>
      </c>
      <c r="H52" s="19">
        <f ca="1">IF(RAND()&lt;P_Zero,0,IF(RAND()&lt;CondReturn,_xlfn.LOGNORM.INV(RAND(),MV2,Sigma1),IF(RAND()&lt;CondGood,_xlfn.LOGNORM.INV(RAND(),MV3,Sigma2),MIN(MaxMultiple,Xm/(1-RAND())^(1/Alpha)))))</f>
        <v>0.77626166869999869</v>
      </c>
      <c r="I52" s="19">
        <f ca="1">IF(RAND()&lt;P_Zero,0,IF(RAND()&lt;CondReturn,_xlfn.LOGNORM.INV(RAND(),MV2,Sigma1),IF(RAND()&lt;CondGood,_xlfn.LOGNORM.INV(RAND(),MV3,Sigma2),MIN(MaxMultiple,Xm/(1-RAND())^(1/Alpha)))))</f>
        <v>0</v>
      </c>
      <c r="J52" s="19">
        <f ca="1">IF(RAND()&lt;P_Zero,0,IF(RAND()&lt;CondReturn,_xlfn.LOGNORM.INV(RAND(),MV2,Sigma1),IF(RAND()&lt;CondGood,_xlfn.LOGNORM.INV(RAND(),MV3,Sigma2),MIN(MaxMultiple,Xm/(1-RAND())^(1/Alpha)))))</f>
        <v>0</v>
      </c>
      <c r="K52" s="19">
        <f ca="1">IF(RAND()&lt;P_Zero,0,IF(RAND()&lt;CondReturn,_xlfn.LOGNORM.INV(RAND(),MV2,Sigma1),IF(RAND()&lt;CondGood,_xlfn.LOGNORM.INV(RAND(),MV3,Sigma2),MIN(MaxMultiple,Xm/(1-RAND())^(1/Alpha)))))</f>
        <v>0</v>
      </c>
      <c r="L52" s="19">
        <f ca="1">IF(RAND()&lt;P_Zero,0,IF(RAND()&lt;CondReturn,_xlfn.LOGNORM.INV(RAND(),MV2,Sigma1),IF(RAND()&lt;CondGood,_xlfn.LOGNORM.INV(RAND(),MV3,Sigma2),MIN(MaxMultiple,Xm/(1-RAND())^(1/Alpha)))))</f>
        <v>0</v>
      </c>
      <c r="M52" s="19">
        <f ca="1">IF(RAND()&lt;P_Zero,0,IF(RAND()&lt;CondReturn,_xlfn.LOGNORM.INV(RAND(),MV2,Sigma1),IF(RAND()&lt;CondGood,_xlfn.LOGNORM.INV(RAND(),MV3,Sigma2),MIN(MaxMultiple,Xm/(1-RAND())^(1/Alpha)))))</f>
        <v>0</v>
      </c>
      <c r="N52" s="19">
        <f ca="1">IF(RAND()&lt;P_Zero,0,IF(RAND()&lt;CondReturn,_xlfn.LOGNORM.INV(RAND(),MV2,Sigma1),IF(RAND()&lt;CondGood,_xlfn.LOGNORM.INV(RAND(),MV3,Sigma2),MIN(MaxMultiple,Xm/(1-RAND())^(1/Alpha)))))</f>
        <v>0.94513059338987115</v>
      </c>
      <c r="O52" s="19">
        <f ca="1">IF(RAND()&lt;P_Zero,0,IF(RAND()&lt;CondReturn,_xlfn.LOGNORM.INV(RAND(),MV2,Sigma1),IF(RAND()&lt;CondGood,_xlfn.LOGNORM.INV(RAND(),MV3,Sigma2),MIN(MaxMultiple,Xm/(1-RAND())^(1/Alpha)))))</f>
        <v>0.72731142848304209</v>
      </c>
      <c r="P52" s="19">
        <f ca="1">IF(RAND()&lt;P_Zero,0,IF(RAND()&lt;CondReturn,_xlfn.LOGNORM.INV(RAND(),MV2,Sigma1),IF(RAND()&lt;CondGood,_xlfn.LOGNORM.INV(RAND(),MV3,Sigma2),MIN(MaxMultiple,Xm/(1-RAND())^(1/Alpha)))))</f>
        <v>0</v>
      </c>
      <c r="Q52" s="19">
        <f ca="1">IF(RAND()&lt;P_Zero,0,IF(RAND()&lt;CondReturn,_xlfn.LOGNORM.INV(RAND(),MV2,Sigma1),IF(RAND()&lt;CondGood,_xlfn.LOGNORM.INV(RAND(),MV3,Sigma2),MIN(MaxMultiple,Xm/(1-RAND())^(1/Alpha)))))</f>
        <v>0</v>
      </c>
      <c r="R52" s="19">
        <f ca="1">IF(RAND()&lt;P_Zero,0,IF(RAND()&lt;CondReturn,_xlfn.LOGNORM.INV(RAND(),MV2,Sigma1),IF(RAND()&lt;CondGood,_xlfn.LOGNORM.INV(RAND(),MV3,Sigma2),MIN(MaxMultiple,Xm/(1-RAND())^(1/Alpha)))))</f>
        <v>0.94535209212716687</v>
      </c>
      <c r="S52" s="19">
        <f ca="1">IF(RAND()&lt;P_Zero,0,IF(RAND()&lt;CondReturn,_xlfn.LOGNORM.INV(RAND(),MV2,Sigma1),IF(RAND()&lt;CondGood,_xlfn.LOGNORM.INV(RAND(),MV3,Sigma2),MIN(MaxMultiple,Xm/(1-RAND())^(1/Alpha)))))</f>
        <v>1.0572178612286309</v>
      </c>
      <c r="T52" s="19">
        <f ca="1">IF(RAND()&lt;P_Zero,0,IF(RAND()&lt;CondReturn,_xlfn.LOGNORM.INV(RAND(),MV2,Sigma1),IF(RAND()&lt;CondGood,_xlfn.LOGNORM.INV(RAND(),MV3,Sigma2),MIN(MaxMultiple,Xm/(1-RAND())^(1/Alpha)))))</f>
        <v>1.083475928455673</v>
      </c>
      <c r="U52" s="19">
        <f ca="1">IF(RAND()&lt;P_Zero,0,IF(RAND()&lt;CondReturn,_xlfn.LOGNORM.INV(RAND(),MV2,Sigma1),IF(RAND()&lt;CondGood,_xlfn.LOGNORM.INV(RAND(),MV3,Sigma2),MIN(MaxMultiple,Xm/(1-RAND())^(1/Alpha)))))</f>
        <v>0</v>
      </c>
      <c r="V52" s="19">
        <f ca="1">IF(RAND()&lt;P_Zero,0,IF(RAND()&lt;CondReturn,_xlfn.LOGNORM.INV(RAND(),MV2,Sigma1),IF(RAND()&lt;CondGood,_xlfn.LOGNORM.INV(RAND(),MV3,Sigma2),MIN(MaxMultiple,Xm/(1-RAND())^(1/Alpha)))))</f>
        <v>1.008030010640625</v>
      </c>
      <c r="W52" s="19">
        <f ca="1">IF(RAND()&lt;P_Zero,0,IF(RAND()&lt;CondReturn,_xlfn.LOGNORM.INV(RAND(),MV2,Sigma1),IF(RAND()&lt;CondGood,_xlfn.LOGNORM.INV(RAND(),MV3,Sigma2),MIN(MaxMultiple,Xm/(1-RAND())^(1/Alpha)))))</f>
        <v>0.53532003851818788</v>
      </c>
      <c r="X52" s="19">
        <f ca="1">IF(RAND()&lt;P_Zero,0,IF(RAND()&lt;CondReturn,_xlfn.LOGNORM.INV(RAND(),MV2,Sigma1),IF(RAND()&lt;CondGood,_xlfn.LOGNORM.INV(RAND(),MV3,Sigma2),MIN(MaxMultiple,Xm/(1-RAND())^(1/Alpha)))))</f>
        <v>1.6738762940997749</v>
      </c>
      <c r="Y52" s="19">
        <f ca="1">IF(RAND()&lt;P_Zero,0,IF(RAND()&lt;CondReturn,_xlfn.LOGNORM.INV(RAND(),MV2,Sigma1),IF(RAND()&lt;CondGood,_xlfn.LOGNORM.INV(RAND(),MV3,Sigma2),MIN(MaxMultiple,Xm/(1-RAND())^(1/Alpha)))))</f>
        <v>1.0058397530075112</v>
      </c>
      <c r="Z52" s="19">
        <f ca="1">IF(RAND()&lt;P_Zero,0,IF(RAND()&lt;CondReturn,_xlfn.LOGNORM.INV(RAND(),MV2,Sigma1),IF(RAND()&lt;CondGood,_xlfn.LOGNORM.INV(RAND(),MV3,Sigma2),MIN(MaxMultiple,Xm/(1-RAND())^(1/Alpha)))))</f>
        <v>0</v>
      </c>
      <c r="AA52" s="19">
        <f ca="1">IF(RAND()&lt;P_Zero,0,IF(RAND()&lt;CondReturn,_xlfn.LOGNORM.INV(RAND(),MV2,Sigma1),IF(RAND()&lt;CondGood,_xlfn.LOGNORM.INV(RAND(),MV3,Sigma2),MIN(MaxMultiple,Xm/(1-RAND())^(1/Alpha)))))</f>
        <v>0</v>
      </c>
      <c r="AB52" s="19">
        <f t="shared" ca="1" si="0"/>
        <v>2.0108645873058557</v>
      </c>
      <c r="AC52" s="14">
        <f t="shared" ca="1" si="1"/>
        <v>96521500.19068107</v>
      </c>
      <c r="AD52" s="14">
        <f t="shared" ca="1" si="2"/>
        <v>48521500.19068107</v>
      </c>
      <c r="AE52" s="14">
        <f t="shared" si="3"/>
        <v>55628399.869093813</v>
      </c>
      <c r="AF52" s="14">
        <f t="shared" ca="1" si="4"/>
        <v>0</v>
      </c>
      <c r="AG52" s="14">
        <f t="shared" ca="1" si="5"/>
        <v>0</v>
      </c>
      <c r="AH52" s="14">
        <f t="shared" ca="1" si="6"/>
        <v>96521500.19068107</v>
      </c>
      <c r="AI52" s="19">
        <f t="shared" ca="1" si="7"/>
        <v>1.6086916698446845</v>
      </c>
    </row>
    <row r="53" spans="2:35" x14ac:dyDescent="0.2">
      <c r="B53" s="1">
        <v>48</v>
      </c>
      <c r="C53" s="19">
        <f ca="1">IF(RAND()&lt;P_Zero,0,IF(RAND()&lt;CondReturn,_xlfn.LOGNORM.INV(RAND(),MV2,Sigma1),IF(RAND()&lt;CondGood,_xlfn.LOGNORM.INV(RAND(),MV3,Sigma2),MIN(MaxMultiple,Xm/(1-RAND())^(1/Alpha)))))</f>
        <v>0.73840144817553044</v>
      </c>
      <c r="D53" s="19">
        <f ca="1">IF(RAND()&lt;P_Zero,0,IF(RAND()&lt;CondReturn,_xlfn.LOGNORM.INV(RAND(),MV2,Sigma1),IF(RAND()&lt;CondGood,_xlfn.LOGNORM.INV(RAND(),MV3,Sigma2),MIN(MaxMultiple,Xm/(1-RAND())^(1/Alpha)))))</f>
        <v>0.52827355820933064</v>
      </c>
      <c r="E53" s="19">
        <f ca="1">IF(RAND()&lt;P_Zero,0,IF(RAND()&lt;CondReturn,_xlfn.LOGNORM.INV(RAND(),MV2,Sigma1),IF(RAND()&lt;CondGood,_xlfn.LOGNORM.INV(RAND(),MV3,Sigma2),MIN(MaxMultiple,Xm/(1-RAND())^(1/Alpha)))))</f>
        <v>0.47855695359498501</v>
      </c>
      <c r="F53" s="19">
        <f ca="1">IF(RAND()&lt;P_Zero,0,IF(RAND()&lt;CondReturn,_xlfn.LOGNORM.INV(RAND(),MV2,Sigma1),IF(RAND()&lt;CondGood,_xlfn.LOGNORM.INV(RAND(),MV3,Sigma2),MIN(MaxMultiple,Xm/(1-RAND())^(1/Alpha)))))</f>
        <v>0.72532605441912756</v>
      </c>
      <c r="G53" s="19">
        <f ca="1">IF(RAND()&lt;P_Zero,0,IF(RAND()&lt;CondReturn,_xlfn.LOGNORM.INV(RAND(),MV2,Sigma1),IF(RAND()&lt;CondGood,_xlfn.LOGNORM.INV(RAND(),MV3,Sigma2),MIN(MaxMultiple,Xm/(1-RAND())^(1/Alpha)))))</f>
        <v>0</v>
      </c>
      <c r="H53" s="19">
        <f ca="1">IF(RAND()&lt;P_Zero,0,IF(RAND()&lt;CondReturn,_xlfn.LOGNORM.INV(RAND(),MV2,Sigma1),IF(RAND()&lt;CondGood,_xlfn.LOGNORM.INV(RAND(),MV3,Sigma2),MIN(MaxMultiple,Xm/(1-RAND())^(1/Alpha)))))</f>
        <v>0</v>
      </c>
      <c r="I53" s="19">
        <f ca="1">IF(RAND()&lt;P_Zero,0,IF(RAND()&lt;CondReturn,_xlfn.LOGNORM.INV(RAND(),MV2,Sigma1),IF(RAND()&lt;CondGood,_xlfn.LOGNORM.INV(RAND(),MV3,Sigma2),MIN(MaxMultiple,Xm/(1-RAND())^(1/Alpha)))))</f>
        <v>0.85540344977415772</v>
      </c>
      <c r="J53" s="19">
        <f ca="1">IF(RAND()&lt;P_Zero,0,IF(RAND()&lt;CondReturn,_xlfn.LOGNORM.INV(RAND(),MV2,Sigma1),IF(RAND()&lt;CondGood,_xlfn.LOGNORM.INV(RAND(),MV3,Sigma2),MIN(MaxMultiple,Xm/(1-RAND())^(1/Alpha)))))</f>
        <v>0</v>
      </c>
      <c r="K53" s="19">
        <f ca="1">IF(RAND()&lt;P_Zero,0,IF(RAND()&lt;CondReturn,_xlfn.LOGNORM.INV(RAND(),MV2,Sigma1),IF(RAND()&lt;CondGood,_xlfn.LOGNORM.INV(RAND(),MV3,Sigma2),MIN(MaxMultiple,Xm/(1-RAND())^(1/Alpha)))))</f>
        <v>1.8197266384883262</v>
      </c>
      <c r="L53" s="19">
        <f ca="1">IF(RAND()&lt;P_Zero,0,IF(RAND()&lt;CondReturn,_xlfn.LOGNORM.INV(RAND(),MV2,Sigma1),IF(RAND()&lt;CondGood,_xlfn.LOGNORM.INV(RAND(),MV3,Sigma2),MIN(MaxMultiple,Xm/(1-RAND())^(1/Alpha)))))</f>
        <v>1.6442043888406637</v>
      </c>
      <c r="M53" s="19">
        <f ca="1">IF(RAND()&lt;P_Zero,0,IF(RAND()&lt;CondReturn,_xlfn.LOGNORM.INV(RAND(),MV2,Sigma1),IF(RAND()&lt;CondGood,_xlfn.LOGNORM.INV(RAND(),MV3,Sigma2),MIN(MaxMultiple,Xm/(1-RAND())^(1/Alpha)))))</f>
        <v>0</v>
      </c>
      <c r="N53" s="19">
        <f ca="1">IF(RAND()&lt;P_Zero,0,IF(RAND()&lt;CondReturn,_xlfn.LOGNORM.INV(RAND(),MV2,Sigma1),IF(RAND()&lt;CondGood,_xlfn.LOGNORM.INV(RAND(),MV3,Sigma2),MIN(MaxMultiple,Xm/(1-RAND())^(1/Alpha)))))</f>
        <v>0</v>
      </c>
      <c r="O53" s="19">
        <f ca="1">IF(RAND()&lt;P_Zero,0,IF(RAND()&lt;CondReturn,_xlfn.LOGNORM.INV(RAND(),MV2,Sigma1),IF(RAND()&lt;CondGood,_xlfn.LOGNORM.INV(RAND(),MV3,Sigma2),MIN(MaxMultiple,Xm/(1-RAND())^(1/Alpha)))))</f>
        <v>0.64163020796023984</v>
      </c>
      <c r="P53" s="19">
        <f ca="1">IF(RAND()&lt;P_Zero,0,IF(RAND()&lt;CondReturn,_xlfn.LOGNORM.INV(RAND(),MV2,Sigma1),IF(RAND()&lt;CondGood,_xlfn.LOGNORM.INV(RAND(),MV3,Sigma2),MIN(MaxMultiple,Xm/(1-RAND())^(1/Alpha)))))</f>
        <v>0</v>
      </c>
      <c r="Q53" s="19">
        <f ca="1">IF(RAND()&lt;P_Zero,0,IF(RAND()&lt;CondReturn,_xlfn.LOGNORM.INV(RAND(),MV2,Sigma1),IF(RAND()&lt;CondGood,_xlfn.LOGNORM.INV(RAND(),MV3,Sigma2),MIN(MaxMultiple,Xm/(1-RAND())^(1/Alpha)))))</f>
        <v>1.1096828324413612</v>
      </c>
      <c r="R53" s="19">
        <f ca="1">IF(RAND()&lt;P_Zero,0,IF(RAND()&lt;CondReturn,_xlfn.LOGNORM.INV(RAND(),MV2,Sigma1),IF(RAND()&lt;CondGood,_xlfn.LOGNORM.INV(RAND(),MV3,Sigma2),MIN(MaxMultiple,Xm/(1-RAND())^(1/Alpha)))))</f>
        <v>0</v>
      </c>
      <c r="S53" s="19">
        <f ca="1">IF(RAND()&lt;P_Zero,0,IF(RAND()&lt;CondReturn,_xlfn.LOGNORM.INV(RAND(),MV2,Sigma1),IF(RAND()&lt;CondGood,_xlfn.LOGNORM.INV(RAND(),MV3,Sigma2),MIN(MaxMultiple,Xm/(1-RAND())^(1/Alpha)))))</f>
        <v>0</v>
      </c>
      <c r="T53" s="19">
        <f ca="1">IF(RAND()&lt;P_Zero,0,IF(RAND()&lt;CondReturn,_xlfn.LOGNORM.INV(RAND(),MV2,Sigma1),IF(RAND()&lt;CondGood,_xlfn.LOGNORM.INV(RAND(),MV3,Sigma2),MIN(MaxMultiple,Xm/(1-RAND())^(1/Alpha)))))</f>
        <v>0</v>
      </c>
      <c r="U53" s="19">
        <f ca="1">IF(RAND()&lt;P_Zero,0,IF(RAND()&lt;CondReturn,_xlfn.LOGNORM.INV(RAND(),MV2,Sigma1),IF(RAND()&lt;CondGood,_xlfn.LOGNORM.INV(RAND(),MV3,Sigma2),MIN(MaxMultiple,Xm/(1-RAND())^(1/Alpha)))))</f>
        <v>0</v>
      </c>
      <c r="V53" s="19">
        <f ca="1">IF(RAND()&lt;P_Zero,0,IF(RAND()&lt;CondReturn,_xlfn.LOGNORM.INV(RAND(),MV2,Sigma1),IF(RAND()&lt;CondGood,_xlfn.LOGNORM.INV(RAND(),MV3,Sigma2),MIN(MaxMultiple,Xm/(1-RAND())^(1/Alpha)))))</f>
        <v>0.78721688904650855</v>
      </c>
      <c r="W53" s="19">
        <f ca="1">IF(RAND()&lt;P_Zero,0,IF(RAND()&lt;CondReturn,_xlfn.LOGNORM.INV(RAND(),MV2,Sigma1),IF(RAND()&lt;CondGood,_xlfn.LOGNORM.INV(RAND(),MV3,Sigma2),MIN(MaxMultiple,Xm/(1-RAND())^(1/Alpha)))))</f>
        <v>0.99630372115093069</v>
      </c>
      <c r="X53" s="19">
        <f ca="1">IF(RAND()&lt;P_Zero,0,IF(RAND()&lt;CondReturn,_xlfn.LOGNORM.INV(RAND(),MV2,Sigma1),IF(RAND()&lt;CondGood,_xlfn.LOGNORM.INV(RAND(),MV3,Sigma2),MIN(MaxMultiple,Xm/(1-RAND())^(1/Alpha)))))</f>
        <v>0</v>
      </c>
      <c r="Y53" s="19">
        <f ca="1">IF(RAND()&lt;P_Zero,0,IF(RAND()&lt;CondReturn,_xlfn.LOGNORM.INV(RAND(),MV2,Sigma1),IF(RAND()&lt;CondGood,_xlfn.LOGNORM.INV(RAND(),MV3,Sigma2),MIN(MaxMultiple,Xm/(1-RAND())^(1/Alpha)))))</f>
        <v>0</v>
      </c>
      <c r="Z53" s="19">
        <f ca="1">IF(RAND()&lt;P_Zero,0,IF(RAND()&lt;CondReturn,_xlfn.LOGNORM.INV(RAND(),MV2,Sigma1),IF(RAND()&lt;CondGood,_xlfn.LOGNORM.INV(RAND(),MV3,Sigma2),MIN(MaxMultiple,Xm/(1-RAND())^(1/Alpha)))))</f>
        <v>2.2745285252273604</v>
      </c>
      <c r="AA53" s="19">
        <f ca="1">IF(RAND()&lt;P_Zero,0,IF(RAND()&lt;CondReturn,_xlfn.LOGNORM.INV(RAND(),MV2,Sigma1),IF(RAND()&lt;CondGood,_xlfn.LOGNORM.INV(RAND(),MV3,Sigma2),MIN(MaxMultiple,Xm/(1-RAND())^(1/Alpha)))))</f>
        <v>0</v>
      </c>
      <c r="AB53" s="19">
        <f t="shared" ca="1" si="0"/>
        <v>0.50397018669314086</v>
      </c>
      <c r="AC53" s="14">
        <f t="shared" ca="1" si="1"/>
        <v>24190568.961270761</v>
      </c>
      <c r="AD53" s="14">
        <f t="shared" ca="1" si="2"/>
        <v>-23809431.038729239</v>
      </c>
      <c r="AE53" s="14">
        <f t="shared" si="3"/>
        <v>55628399.869093813</v>
      </c>
      <c r="AF53" s="14">
        <f t="shared" ca="1" si="4"/>
        <v>0</v>
      </c>
      <c r="AG53" s="14">
        <f t="shared" ca="1" si="5"/>
        <v>0</v>
      </c>
      <c r="AH53" s="14">
        <f t="shared" ca="1" si="6"/>
        <v>24190568.961270761</v>
      </c>
      <c r="AI53" s="19">
        <f t="shared" ca="1" si="7"/>
        <v>0.40317614935451268</v>
      </c>
    </row>
    <row r="54" spans="2:35" x14ac:dyDescent="0.2">
      <c r="B54" s="1">
        <v>49</v>
      </c>
      <c r="C54" s="19">
        <f ca="1">IF(RAND()&lt;P_Zero,0,IF(RAND()&lt;CondReturn,_xlfn.LOGNORM.INV(RAND(),MV2,Sigma1),IF(RAND()&lt;CondGood,_xlfn.LOGNORM.INV(RAND(),MV3,Sigma2),MIN(MaxMultiple,Xm/(1-RAND())^(1/Alpha)))))</f>
        <v>0</v>
      </c>
      <c r="D54" s="19">
        <f ca="1">IF(RAND()&lt;P_Zero,0,IF(RAND()&lt;CondReturn,_xlfn.LOGNORM.INV(RAND(),MV2,Sigma1),IF(RAND()&lt;CondGood,_xlfn.LOGNORM.INV(RAND(),MV3,Sigma2),MIN(MaxMultiple,Xm/(1-RAND())^(1/Alpha)))))</f>
        <v>0.60069810062784235</v>
      </c>
      <c r="E54" s="19">
        <f ca="1">IF(RAND()&lt;P_Zero,0,IF(RAND()&lt;CondReturn,_xlfn.LOGNORM.INV(RAND(),MV2,Sigma1),IF(RAND()&lt;CondGood,_xlfn.LOGNORM.INV(RAND(),MV3,Sigma2),MIN(MaxMultiple,Xm/(1-RAND())^(1/Alpha)))))</f>
        <v>10.584601591300961</v>
      </c>
      <c r="F54" s="19">
        <f ca="1">IF(RAND()&lt;P_Zero,0,IF(RAND()&lt;CondReturn,_xlfn.LOGNORM.INV(RAND(),MV2,Sigma1),IF(RAND()&lt;CondGood,_xlfn.LOGNORM.INV(RAND(),MV3,Sigma2),MIN(MaxMultiple,Xm/(1-RAND())^(1/Alpha)))))</f>
        <v>0</v>
      </c>
      <c r="G54" s="19">
        <f ca="1">IF(RAND()&lt;P_Zero,0,IF(RAND()&lt;CondReturn,_xlfn.LOGNORM.INV(RAND(),MV2,Sigma1),IF(RAND()&lt;CondGood,_xlfn.LOGNORM.INV(RAND(),MV3,Sigma2),MIN(MaxMultiple,Xm/(1-RAND())^(1/Alpha)))))</f>
        <v>0.55537155575648633</v>
      </c>
      <c r="H54" s="19">
        <f ca="1">IF(RAND()&lt;P_Zero,0,IF(RAND()&lt;CondReturn,_xlfn.LOGNORM.INV(RAND(),MV2,Sigma1),IF(RAND()&lt;CondGood,_xlfn.LOGNORM.INV(RAND(),MV3,Sigma2),MIN(MaxMultiple,Xm/(1-RAND())^(1/Alpha)))))</f>
        <v>0.84943928120469891</v>
      </c>
      <c r="I54" s="19">
        <f ca="1">IF(RAND()&lt;P_Zero,0,IF(RAND()&lt;CondReturn,_xlfn.LOGNORM.INV(RAND(),MV2,Sigma1),IF(RAND()&lt;CondGood,_xlfn.LOGNORM.INV(RAND(),MV3,Sigma2),MIN(MaxMultiple,Xm/(1-RAND())^(1/Alpha)))))</f>
        <v>12.233079128663348</v>
      </c>
      <c r="J54" s="19">
        <f ca="1">IF(RAND()&lt;P_Zero,0,IF(RAND()&lt;CondReturn,_xlfn.LOGNORM.INV(RAND(),MV2,Sigma1),IF(RAND()&lt;CondGood,_xlfn.LOGNORM.INV(RAND(),MV3,Sigma2),MIN(MaxMultiple,Xm/(1-RAND())^(1/Alpha)))))</f>
        <v>0</v>
      </c>
      <c r="K54" s="19">
        <f ca="1">IF(RAND()&lt;P_Zero,0,IF(RAND()&lt;CondReturn,_xlfn.LOGNORM.INV(RAND(),MV2,Sigma1),IF(RAND()&lt;CondGood,_xlfn.LOGNORM.INV(RAND(),MV3,Sigma2),MIN(MaxMultiple,Xm/(1-RAND())^(1/Alpha)))))</f>
        <v>0</v>
      </c>
      <c r="L54" s="19">
        <f ca="1">IF(RAND()&lt;P_Zero,0,IF(RAND()&lt;CondReturn,_xlfn.LOGNORM.INV(RAND(),MV2,Sigma1),IF(RAND()&lt;CondGood,_xlfn.LOGNORM.INV(RAND(),MV3,Sigma2),MIN(MaxMultiple,Xm/(1-RAND())^(1/Alpha)))))</f>
        <v>1.659385188695679</v>
      </c>
      <c r="M54" s="19">
        <f ca="1">IF(RAND()&lt;P_Zero,0,IF(RAND()&lt;CondReturn,_xlfn.LOGNORM.INV(RAND(),MV2,Sigma1),IF(RAND()&lt;CondGood,_xlfn.LOGNORM.INV(RAND(),MV3,Sigma2),MIN(MaxMultiple,Xm/(1-RAND())^(1/Alpha)))))</f>
        <v>0</v>
      </c>
      <c r="N54" s="19">
        <f ca="1">IF(RAND()&lt;P_Zero,0,IF(RAND()&lt;CondReturn,_xlfn.LOGNORM.INV(RAND(),MV2,Sigma1),IF(RAND()&lt;CondGood,_xlfn.LOGNORM.INV(RAND(),MV3,Sigma2),MIN(MaxMultiple,Xm/(1-RAND())^(1/Alpha)))))</f>
        <v>0.74077662685583512</v>
      </c>
      <c r="O54" s="19">
        <f ca="1">IF(RAND()&lt;P_Zero,0,IF(RAND()&lt;CondReturn,_xlfn.LOGNORM.INV(RAND(),MV2,Sigma1),IF(RAND()&lt;CondGood,_xlfn.LOGNORM.INV(RAND(),MV3,Sigma2),MIN(MaxMultiple,Xm/(1-RAND())^(1/Alpha)))))</f>
        <v>0.9213583728326008</v>
      </c>
      <c r="P54" s="19">
        <f ca="1">IF(RAND()&lt;P_Zero,0,IF(RAND()&lt;CondReturn,_xlfn.LOGNORM.INV(RAND(),MV2,Sigma1),IF(RAND()&lt;CondGood,_xlfn.LOGNORM.INV(RAND(),MV3,Sigma2),MIN(MaxMultiple,Xm/(1-RAND())^(1/Alpha)))))</f>
        <v>0.4173513509500219</v>
      </c>
      <c r="Q54" s="19">
        <f ca="1">IF(RAND()&lt;P_Zero,0,IF(RAND()&lt;CondReturn,_xlfn.LOGNORM.INV(RAND(),MV2,Sigma1),IF(RAND()&lt;CondGood,_xlfn.LOGNORM.INV(RAND(),MV3,Sigma2),MIN(MaxMultiple,Xm/(1-RAND())^(1/Alpha)))))</f>
        <v>0</v>
      </c>
      <c r="R54" s="19">
        <f ca="1">IF(RAND()&lt;P_Zero,0,IF(RAND()&lt;CondReturn,_xlfn.LOGNORM.INV(RAND(),MV2,Sigma1),IF(RAND()&lt;CondGood,_xlfn.LOGNORM.INV(RAND(),MV3,Sigma2),MIN(MaxMultiple,Xm/(1-RAND())^(1/Alpha)))))</f>
        <v>0</v>
      </c>
      <c r="S54" s="19">
        <f ca="1">IF(RAND()&lt;P_Zero,0,IF(RAND()&lt;CondReturn,_xlfn.LOGNORM.INV(RAND(),MV2,Sigma1),IF(RAND()&lt;CondGood,_xlfn.LOGNORM.INV(RAND(),MV3,Sigma2),MIN(MaxMultiple,Xm/(1-RAND())^(1/Alpha)))))</f>
        <v>0.67912271403757318</v>
      </c>
      <c r="T54" s="19">
        <f ca="1">IF(RAND()&lt;P_Zero,0,IF(RAND()&lt;CondReturn,_xlfn.LOGNORM.INV(RAND(),MV2,Sigma1),IF(RAND()&lt;CondGood,_xlfn.LOGNORM.INV(RAND(),MV3,Sigma2),MIN(MaxMultiple,Xm/(1-RAND())^(1/Alpha)))))</f>
        <v>0</v>
      </c>
      <c r="U54" s="19">
        <f ca="1">IF(RAND()&lt;P_Zero,0,IF(RAND()&lt;CondReturn,_xlfn.LOGNORM.INV(RAND(),MV2,Sigma1),IF(RAND()&lt;CondGood,_xlfn.LOGNORM.INV(RAND(),MV3,Sigma2),MIN(MaxMultiple,Xm/(1-RAND())^(1/Alpha)))))</f>
        <v>0</v>
      </c>
      <c r="V54" s="19">
        <f ca="1">IF(RAND()&lt;P_Zero,0,IF(RAND()&lt;CondReturn,_xlfn.LOGNORM.INV(RAND(),MV2,Sigma1),IF(RAND()&lt;CondGood,_xlfn.LOGNORM.INV(RAND(),MV3,Sigma2),MIN(MaxMultiple,Xm/(1-RAND())^(1/Alpha)))))</f>
        <v>0</v>
      </c>
      <c r="W54" s="19">
        <f ca="1">IF(RAND()&lt;P_Zero,0,IF(RAND()&lt;CondReturn,_xlfn.LOGNORM.INV(RAND(),MV2,Sigma1),IF(RAND()&lt;CondGood,_xlfn.LOGNORM.INV(RAND(),MV3,Sigma2),MIN(MaxMultiple,Xm/(1-RAND())^(1/Alpha)))))</f>
        <v>0</v>
      </c>
      <c r="X54" s="19">
        <f ca="1">IF(RAND()&lt;P_Zero,0,IF(RAND()&lt;CondReturn,_xlfn.LOGNORM.INV(RAND(),MV2,Sigma1),IF(RAND()&lt;CondGood,_xlfn.LOGNORM.INV(RAND(),MV3,Sigma2),MIN(MaxMultiple,Xm/(1-RAND())^(1/Alpha)))))</f>
        <v>0.79166583430604187</v>
      </c>
      <c r="Y54" s="19">
        <f ca="1">IF(RAND()&lt;P_Zero,0,IF(RAND()&lt;CondReturn,_xlfn.LOGNORM.INV(RAND(),MV2,Sigma1),IF(RAND()&lt;CondGood,_xlfn.LOGNORM.INV(RAND(),MV3,Sigma2),MIN(MaxMultiple,Xm/(1-RAND())^(1/Alpha)))))</f>
        <v>0</v>
      </c>
      <c r="Z54" s="19">
        <f ca="1">IF(RAND()&lt;P_Zero,0,IF(RAND()&lt;CondReturn,_xlfn.LOGNORM.INV(RAND(),MV2,Sigma1),IF(RAND()&lt;CondGood,_xlfn.LOGNORM.INV(RAND(),MV3,Sigma2),MIN(MaxMultiple,Xm/(1-RAND())^(1/Alpha)))))</f>
        <v>0.89178567745538184</v>
      </c>
      <c r="AA54" s="19">
        <f ca="1">IF(RAND()&lt;P_Zero,0,IF(RAND()&lt;CondReturn,_xlfn.LOGNORM.INV(RAND(),MV2,Sigma1),IF(RAND()&lt;CondGood,_xlfn.LOGNORM.INV(RAND(),MV3,Sigma2),MIN(MaxMultiple,Xm/(1-RAND())^(1/Alpha)))))</f>
        <v>0</v>
      </c>
      <c r="AB54" s="19">
        <f t="shared" ca="1" si="0"/>
        <v>1.2369854169074586</v>
      </c>
      <c r="AC54" s="14">
        <f t="shared" ca="1" si="1"/>
        <v>59375300.011558011</v>
      </c>
      <c r="AD54" s="14">
        <f t="shared" ca="1" si="2"/>
        <v>11375300.011558011</v>
      </c>
      <c r="AE54" s="14">
        <f t="shared" si="3"/>
        <v>55628399.869093813</v>
      </c>
      <c r="AF54" s="14">
        <f t="shared" ca="1" si="4"/>
        <v>0</v>
      </c>
      <c r="AG54" s="14">
        <f t="shared" ca="1" si="5"/>
        <v>0</v>
      </c>
      <c r="AH54" s="14">
        <f t="shared" ca="1" si="6"/>
        <v>59375300.011558011</v>
      </c>
      <c r="AI54" s="19">
        <f t="shared" ca="1" si="7"/>
        <v>0.98958833352596687</v>
      </c>
    </row>
    <row r="55" spans="2:35" x14ac:dyDescent="0.2">
      <c r="B55" s="1">
        <v>50</v>
      </c>
      <c r="C55" s="19">
        <f ca="1">IF(RAND()&lt;P_Zero,0,IF(RAND()&lt;CondReturn,_xlfn.LOGNORM.INV(RAND(),MV2,Sigma1),IF(RAND()&lt;CondGood,_xlfn.LOGNORM.INV(RAND(),MV3,Sigma2),MIN(MaxMultiple,Xm/(1-RAND())^(1/Alpha)))))</f>
        <v>0.89966369462718121</v>
      </c>
      <c r="D55" s="19">
        <f ca="1">IF(RAND()&lt;P_Zero,0,IF(RAND()&lt;CondReturn,_xlfn.LOGNORM.INV(RAND(),MV2,Sigma1),IF(RAND()&lt;CondGood,_xlfn.LOGNORM.INV(RAND(),MV3,Sigma2),MIN(MaxMultiple,Xm/(1-RAND())^(1/Alpha)))))</f>
        <v>0</v>
      </c>
      <c r="E55" s="19">
        <f ca="1">IF(RAND()&lt;P_Zero,0,IF(RAND()&lt;CondReturn,_xlfn.LOGNORM.INV(RAND(),MV2,Sigma1),IF(RAND()&lt;CondGood,_xlfn.LOGNORM.INV(RAND(),MV3,Sigma2),MIN(MaxMultiple,Xm/(1-RAND())^(1/Alpha)))))</f>
        <v>0</v>
      </c>
      <c r="F55" s="19">
        <f ca="1">IF(RAND()&lt;P_Zero,0,IF(RAND()&lt;CondReturn,_xlfn.LOGNORM.INV(RAND(),MV2,Sigma1),IF(RAND()&lt;CondGood,_xlfn.LOGNORM.INV(RAND(),MV3,Sigma2),MIN(MaxMultiple,Xm/(1-RAND())^(1/Alpha)))))</f>
        <v>0</v>
      </c>
      <c r="G55" s="19">
        <f ca="1">IF(RAND()&lt;P_Zero,0,IF(RAND()&lt;CondReturn,_xlfn.LOGNORM.INV(RAND(),MV2,Sigma1),IF(RAND()&lt;CondGood,_xlfn.LOGNORM.INV(RAND(),MV3,Sigma2),MIN(MaxMultiple,Xm/(1-RAND())^(1/Alpha)))))</f>
        <v>0</v>
      </c>
      <c r="H55" s="19">
        <f ca="1">IF(RAND()&lt;P_Zero,0,IF(RAND()&lt;CondReturn,_xlfn.LOGNORM.INV(RAND(),MV2,Sigma1),IF(RAND()&lt;CondGood,_xlfn.LOGNORM.INV(RAND(),MV3,Sigma2),MIN(MaxMultiple,Xm/(1-RAND())^(1/Alpha)))))</f>
        <v>1.3173097892330978</v>
      </c>
      <c r="I55" s="19">
        <f ca="1">IF(RAND()&lt;P_Zero,0,IF(RAND()&lt;CondReturn,_xlfn.LOGNORM.INV(RAND(),MV2,Sigma1),IF(RAND()&lt;CondGood,_xlfn.LOGNORM.INV(RAND(),MV3,Sigma2),MIN(MaxMultiple,Xm/(1-RAND())^(1/Alpha)))))</f>
        <v>1.0469761211764492</v>
      </c>
      <c r="J55" s="19">
        <f ca="1">IF(RAND()&lt;P_Zero,0,IF(RAND()&lt;CondReturn,_xlfn.LOGNORM.INV(RAND(),MV2,Sigma1),IF(RAND()&lt;CondGood,_xlfn.LOGNORM.INV(RAND(),MV3,Sigma2),MIN(MaxMultiple,Xm/(1-RAND())^(1/Alpha)))))</f>
        <v>1.3616453712234908</v>
      </c>
      <c r="K55" s="19">
        <f ca="1">IF(RAND()&lt;P_Zero,0,IF(RAND()&lt;CondReturn,_xlfn.LOGNORM.INV(RAND(),MV2,Sigma1),IF(RAND()&lt;CondGood,_xlfn.LOGNORM.INV(RAND(),MV3,Sigma2),MIN(MaxMultiple,Xm/(1-RAND())^(1/Alpha)))))</f>
        <v>2.7098751813532083</v>
      </c>
      <c r="L55" s="19">
        <f ca="1">IF(RAND()&lt;P_Zero,0,IF(RAND()&lt;CondReturn,_xlfn.LOGNORM.INV(RAND(),MV2,Sigma1),IF(RAND()&lt;CondGood,_xlfn.LOGNORM.INV(RAND(),MV3,Sigma2),MIN(MaxMultiple,Xm/(1-RAND())^(1/Alpha)))))</f>
        <v>0</v>
      </c>
      <c r="M55" s="19">
        <f ca="1">IF(RAND()&lt;P_Zero,0,IF(RAND()&lt;CondReturn,_xlfn.LOGNORM.INV(RAND(),MV2,Sigma1),IF(RAND()&lt;CondGood,_xlfn.LOGNORM.INV(RAND(),MV3,Sigma2),MIN(MaxMultiple,Xm/(1-RAND())^(1/Alpha)))))</f>
        <v>72.701657288890701</v>
      </c>
      <c r="N55" s="19">
        <f ca="1">IF(RAND()&lt;P_Zero,0,IF(RAND()&lt;CondReturn,_xlfn.LOGNORM.INV(RAND(),MV2,Sigma1),IF(RAND()&lt;CondGood,_xlfn.LOGNORM.INV(RAND(),MV3,Sigma2),MIN(MaxMultiple,Xm/(1-RAND())^(1/Alpha)))))</f>
        <v>0</v>
      </c>
      <c r="O55" s="19">
        <f ca="1">IF(RAND()&lt;P_Zero,0,IF(RAND()&lt;CondReturn,_xlfn.LOGNORM.INV(RAND(),MV2,Sigma1),IF(RAND()&lt;CondGood,_xlfn.LOGNORM.INV(RAND(),MV3,Sigma2),MIN(MaxMultiple,Xm/(1-RAND())^(1/Alpha)))))</f>
        <v>0.93261070450422456</v>
      </c>
      <c r="P55" s="19">
        <f ca="1">IF(RAND()&lt;P_Zero,0,IF(RAND()&lt;CondReturn,_xlfn.LOGNORM.INV(RAND(),MV2,Sigma1),IF(RAND()&lt;CondGood,_xlfn.LOGNORM.INV(RAND(),MV3,Sigma2),MIN(MaxMultiple,Xm/(1-RAND())^(1/Alpha)))))</f>
        <v>0</v>
      </c>
      <c r="Q55" s="19">
        <f ca="1">IF(RAND()&lt;P_Zero,0,IF(RAND()&lt;CondReturn,_xlfn.LOGNORM.INV(RAND(),MV2,Sigma1),IF(RAND()&lt;CondGood,_xlfn.LOGNORM.INV(RAND(),MV3,Sigma2),MIN(MaxMultiple,Xm/(1-RAND())^(1/Alpha)))))</f>
        <v>0</v>
      </c>
      <c r="R55" s="19">
        <f ca="1">IF(RAND()&lt;P_Zero,0,IF(RAND()&lt;CondReturn,_xlfn.LOGNORM.INV(RAND(),MV2,Sigma1),IF(RAND()&lt;CondGood,_xlfn.LOGNORM.INV(RAND(),MV3,Sigma2),MIN(MaxMultiple,Xm/(1-RAND())^(1/Alpha)))))</f>
        <v>0</v>
      </c>
      <c r="S55" s="19">
        <f ca="1">IF(RAND()&lt;P_Zero,0,IF(RAND()&lt;CondReturn,_xlfn.LOGNORM.INV(RAND(),MV2,Sigma1),IF(RAND()&lt;CondGood,_xlfn.LOGNORM.INV(RAND(),MV3,Sigma2),MIN(MaxMultiple,Xm/(1-RAND())^(1/Alpha)))))</f>
        <v>0.61917118881188526</v>
      </c>
      <c r="T55" s="19">
        <f ca="1">IF(RAND()&lt;P_Zero,0,IF(RAND()&lt;CondReturn,_xlfn.LOGNORM.INV(RAND(),MV2,Sigma1),IF(RAND()&lt;CondGood,_xlfn.LOGNORM.INV(RAND(),MV3,Sigma2),MIN(MaxMultiple,Xm/(1-RAND())^(1/Alpha)))))</f>
        <v>0</v>
      </c>
      <c r="U55" s="19">
        <f ca="1">IF(RAND()&lt;P_Zero,0,IF(RAND()&lt;CondReturn,_xlfn.LOGNORM.INV(RAND(),MV2,Sigma1),IF(RAND()&lt;CondGood,_xlfn.LOGNORM.INV(RAND(),MV3,Sigma2),MIN(MaxMultiple,Xm/(1-RAND())^(1/Alpha)))))</f>
        <v>0.52088440064364172</v>
      </c>
      <c r="V55" s="19">
        <f ca="1">IF(RAND()&lt;P_Zero,0,IF(RAND()&lt;CondReturn,_xlfn.LOGNORM.INV(RAND(),MV2,Sigma1),IF(RAND()&lt;CondGood,_xlfn.LOGNORM.INV(RAND(),MV3,Sigma2),MIN(MaxMultiple,Xm/(1-RAND())^(1/Alpha)))))</f>
        <v>0.55385211828030412</v>
      </c>
      <c r="W55" s="19">
        <f ca="1">IF(RAND()&lt;P_Zero,0,IF(RAND()&lt;CondReturn,_xlfn.LOGNORM.INV(RAND(),MV2,Sigma1),IF(RAND()&lt;CondGood,_xlfn.LOGNORM.INV(RAND(),MV3,Sigma2),MIN(MaxMultiple,Xm/(1-RAND())^(1/Alpha)))))</f>
        <v>0</v>
      </c>
      <c r="X55" s="19">
        <f ca="1">IF(RAND()&lt;P_Zero,0,IF(RAND()&lt;CondReturn,_xlfn.LOGNORM.INV(RAND(),MV2,Sigma1),IF(RAND()&lt;CondGood,_xlfn.LOGNORM.INV(RAND(),MV3,Sigma2),MIN(MaxMultiple,Xm/(1-RAND())^(1/Alpha)))))</f>
        <v>0</v>
      </c>
      <c r="Y55" s="19">
        <f ca="1">IF(RAND()&lt;P_Zero,0,IF(RAND()&lt;CondReturn,_xlfn.LOGNORM.INV(RAND(),MV2,Sigma1),IF(RAND()&lt;CondGood,_xlfn.LOGNORM.INV(RAND(),MV3,Sigma2),MIN(MaxMultiple,Xm/(1-RAND())^(1/Alpha)))))</f>
        <v>0</v>
      </c>
      <c r="Z55" s="19">
        <f ca="1">IF(RAND()&lt;P_Zero,0,IF(RAND()&lt;CondReturn,_xlfn.LOGNORM.INV(RAND(),MV2,Sigma1),IF(RAND()&lt;CondGood,_xlfn.LOGNORM.INV(RAND(),MV3,Sigma2),MIN(MaxMultiple,Xm/(1-RAND())^(1/Alpha)))))</f>
        <v>1.0384428050380139</v>
      </c>
      <c r="AA55" s="19">
        <f ca="1">IF(RAND()&lt;P_Zero,0,IF(RAND()&lt;CondReturn,_xlfn.LOGNORM.INV(RAND(),MV2,Sigma1),IF(RAND()&lt;CondGood,_xlfn.LOGNORM.INV(RAND(),MV3,Sigma2),MIN(MaxMultiple,Xm/(1-RAND())^(1/Alpha)))))</f>
        <v>0.89479768741128574</v>
      </c>
      <c r="AB55" s="19">
        <f t="shared" ca="1" si="0"/>
        <v>3.3838754540477396</v>
      </c>
      <c r="AC55" s="14">
        <f t="shared" ca="1" si="1"/>
        <v>162426021.7942915</v>
      </c>
      <c r="AD55" s="14">
        <f t="shared" ca="1" si="2"/>
        <v>114426021.7942915</v>
      </c>
      <c r="AE55" s="14">
        <f t="shared" si="3"/>
        <v>55628399.869093813</v>
      </c>
      <c r="AF55" s="14">
        <f t="shared" ca="1" si="4"/>
        <v>58797621.925197683</v>
      </c>
      <c r="AG55" s="14">
        <f t="shared" ca="1" si="5"/>
        <v>11759524.385039538</v>
      </c>
      <c r="AH55" s="14">
        <f t="shared" ca="1" si="6"/>
        <v>150666497.40925196</v>
      </c>
      <c r="AI55" s="19">
        <f t="shared" ca="1" si="7"/>
        <v>2.5111082901541995</v>
      </c>
    </row>
    <row r="56" spans="2:35" x14ac:dyDescent="0.2">
      <c r="B56" s="1">
        <v>51</v>
      </c>
      <c r="C56" s="19">
        <f ca="1">IF(RAND()&lt;P_Zero,0,IF(RAND()&lt;CondReturn,_xlfn.LOGNORM.INV(RAND(),MV2,Sigma1),IF(RAND()&lt;CondGood,_xlfn.LOGNORM.INV(RAND(),MV3,Sigma2),MIN(MaxMultiple,Xm/(1-RAND())^(1/Alpha)))))</f>
        <v>2.9049403688683211</v>
      </c>
      <c r="D56" s="19">
        <f ca="1">IF(RAND()&lt;P_Zero,0,IF(RAND()&lt;CondReturn,_xlfn.LOGNORM.INV(RAND(),MV2,Sigma1),IF(RAND()&lt;CondGood,_xlfn.LOGNORM.INV(RAND(),MV3,Sigma2),MIN(MaxMultiple,Xm/(1-RAND())^(1/Alpha)))))</f>
        <v>0</v>
      </c>
      <c r="E56" s="19">
        <f ca="1">IF(RAND()&lt;P_Zero,0,IF(RAND()&lt;CondReturn,_xlfn.LOGNORM.INV(RAND(),MV2,Sigma1),IF(RAND()&lt;CondGood,_xlfn.LOGNORM.INV(RAND(),MV3,Sigma2),MIN(MaxMultiple,Xm/(1-RAND())^(1/Alpha)))))</f>
        <v>1.2395993321494863</v>
      </c>
      <c r="F56" s="19">
        <f ca="1">IF(RAND()&lt;P_Zero,0,IF(RAND()&lt;CondReturn,_xlfn.LOGNORM.INV(RAND(),MV2,Sigma1),IF(RAND()&lt;CondGood,_xlfn.LOGNORM.INV(RAND(),MV3,Sigma2),MIN(MaxMultiple,Xm/(1-RAND())^(1/Alpha)))))</f>
        <v>0.81803219657358217</v>
      </c>
      <c r="G56" s="19">
        <f ca="1">IF(RAND()&lt;P_Zero,0,IF(RAND()&lt;CondReturn,_xlfn.LOGNORM.INV(RAND(),MV2,Sigma1),IF(RAND()&lt;CondGood,_xlfn.LOGNORM.INV(RAND(),MV3,Sigma2),MIN(MaxMultiple,Xm/(1-RAND())^(1/Alpha)))))</f>
        <v>0</v>
      </c>
      <c r="H56" s="19">
        <f ca="1">IF(RAND()&lt;P_Zero,0,IF(RAND()&lt;CondReturn,_xlfn.LOGNORM.INV(RAND(),MV2,Sigma1),IF(RAND()&lt;CondGood,_xlfn.LOGNORM.INV(RAND(),MV3,Sigma2),MIN(MaxMultiple,Xm/(1-RAND())^(1/Alpha)))))</f>
        <v>0</v>
      </c>
      <c r="I56" s="19">
        <f ca="1">IF(RAND()&lt;P_Zero,0,IF(RAND()&lt;CondReturn,_xlfn.LOGNORM.INV(RAND(),MV2,Sigma1),IF(RAND()&lt;CondGood,_xlfn.LOGNORM.INV(RAND(),MV3,Sigma2),MIN(MaxMultiple,Xm/(1-RAND())^(1/Alpha)))))</f>
        <v>0.87288736895880781</v>
      </c>
      <c r="J56" s="19">
        <f ca="1">IF(RAND()&lt;P_Zero,0,IF(RAND()&lt;CondReturn,_xlfn.LOGNORM.INV(RAND(),MV2,Sigma1),IF(RAND()&lt;CondGood,_xlfn.LOGNORM.INV(RAND(),MV3,Sigma2),MIN(MaxMultiple,Xm/(1-RAND())^(1/Alpha)))))</f>
        <v>0</v>
      </c>
      <c r="K56" s="19">
        <f ca="1">IF(RAND()&lt;P_Zero,0,IF(RAND()&lt;CondReturn,_xlfn.LOGNORM.INV(RAND(),MV2,Sigma1),IF(RAND()&lt;CondGood,_xlfn.LOGNORM.INV(RAND(),MV3,Sigma2),MIN(MaxMultiple,Xm/(1-RAND())^(1/Alpha)))))</f>
        <v>1.0659846425535906</v>
      </c>
      <c r="L56" s="19">
        <f ca="1">IF(RAND()&lt;P_Zero,0,IF(RAND()&lt;CondReturn,_xlfn.LOGNORM.INV(RAND(),MV2,Sigma1),IF(RAND()&lt;CondGood,_xlfn.LOGNORM.INV(RAND(),MV3,Sigma2),MIN(MaxMultiple,Xm/(1-RAND())^(1/Alpha)))))</f>
        <v>1.1467606007689102</v>
      </c>
      <c r="M56" s="19">
        <f ca="1">IF(RAND()&lt;P_Zero,0,IF(RAND()&lt;CondReturn,_xlfn.LOGNORM.INV(RAND(),MV2,Sigma1),IF(RAND()&lt;CondGood,_xlfn.LOGNORM.INV(RAND(),MV3,Sigma2),MIN(MaxMultiple,Xm/(1-RAND())^(1/Alpha)))))</f>
        <v>0.42501048625022847</v>
      </c>
      <c r="N56" s="19">
        <f ca="1">IF(RAND()&lt;P_Zero,0,IF(RAND()&lt;CondReturn,_xlfn.LOGNORM.INV(RAND(),MV2,Sigma1),IF(RAND()&lt;CondGood,_xlfn.LOGNORM.INV(RAND(),MV3,Sigma2),MIN(MaxMultiple,Xm/(1-RAND())^(1/Alpha)))))</f>
        <v>0</v>
      </c>
      <c r="O56" s="19">
        <f ca="1">IF(RAND()&lt;P_Zero,0,IF(RAND()&lt;CondReturn,_xlfn.LOGNORM.INV(RAND(),MV2,Sigma1),IF(RAND()&lt;CondGood,_xlfn.LOGNORM.INV(RAND(),MV3,Sigma2),MIN(MaxMultiple,Xm/(1-RAND())^(1/Alpha)))))</f>
        <v>1.4252676291123505</v>
      </c>
      <c r="P56" s="19">
        <f ca="1">IF(RAND()&lt;P_Zero,0,IF(RAND()&lt;CondReturn,_xlfn.LOGNORM.INV(RAND(),MV2,Sigma1),IF(RAND()&lt;CondGood,_xlfn.LOGNORM.INV(RAND(),MV3,Sigma2),MIN(MaxMultiple,Xm/(1-RAND())^(1/Alpha)))))</f>
        <v>0.67625390155940979</v>
      </c>
      <c r="Q56" s="19">
        <f ca="1">IF(RAND()&lt;P_Zero,0,IF(RAND()&lt;CondReturn,_xlfn.LOGNORM.INV(RAND(),MV2,Sigma1),IF(RAND()&lt;CondGood,_xlfn.LOGNORM.INV(RAND(),MV3,Sigma2),MIN(MaxMultiple,Xm/(1-RAND())^(1/Alpha)))))</f>
        <v>0</v>
      </c>
      <c r="R56" s="19">
        <f ca="1">IF(RAND()&lt;P_Zero,0,IF(RAND()&lt;CondReturn,_xlfn.LOGNORM.INV(RAND(),MV2,Sigma1),IF(RAND()&lt;CondGood,_xlfn.LOGNORM.INV(RAND(),MV3,Sigma2),MIN(MaxMultiple,Xm/(1-RAND())^(1/Alpha)))))</f>
        <v>0.77029913592861077</v>
      </c>
      <c r="S56" s="19">
        <f ca="1">IF(RAND()&lt;P_Zero,0,IF(RAND()&lt;CondReturn,_xlfn.LOGNORM.INV(RAND(),MV2,Sigma1),IF(RAND()&lt;CondGood,_xlfn.LOGNORM.INV(RAND(),MV3,Sigma2),MIN(MaxMultiple,Xm/(1-RAND())^(1/Alpha)))))</f>
        <v>0</v>
      </c>
      <c r="T56" s="19">
        <f ca="1">IF(RAND()&lt;P_Zero,0,IF(RAND()&lt;CondReturn,_xlfn.LOGNORM.INV(RAND(),MV2,Sigma1),IF(RAND()&lt;CondGood,_xlfn.LOGNORM.INV(RAND(),MV3,Sigma2),MIN(MaxMultiple,Xm/(1-RAND())^(1/Alpha)))))</f>
        <v>1.1368202446572166</v>
      </c>
      <c r="U56" s="19">
        <f ca="1">IF(RAND()&lt;P_Zero,0,IF(RAND()&lt;CondReturn,_xlfn.LOGNORM.INV(RAND(),MV2,Sigma1),IF(RAND()&lt;CondGood,_xlfn.LOGNORM.INV(RAND(),MV3,Sigma2),MIN(MaxMultiple,Xm/(1-RAND())^(1/Alpha)))))</f>
        <v>0</v>
      </c>
      <c r="V56" s="19">
        <f ca="1">IF(RAND()&lt;P_Zero,0,IF(RAND()&lt;CondReturn,_xlfn.LOGNORM.INV(RAND(),MV2,Sigma1),IF(RAND()&lt;CondGood,_xlfn.LOGNORM.INV(RAND(),MV3,Sigma2),MIN(MaxMultiple,Xm/(1-RAND())^(1/Alpha)))))</f>
        <v>0</v>
      </c>
      <c r="W56" s="19">
        <f ca="1">IF(RAND()&lt;P_Zero,0,IF(RAND()&lt;CondReturn,_xlfn.LOGNORM.INV(RAND(),MV2,Sigma1),IF(RAND()&lt;CondGood,_xlfn.LOGNORM.INV(RAND(),MV3,Sigma2),MIN(MaxMultiple,Xm/(1-RAND())^(1/Alpha)))))</f>
        <v>0</v>
      </c>
      <c r="X56" s="19">
        <f ca="1">IF(RAND()&lt;P_Zero,0,IF(RAND()&lt;CondReturn,_xlfn.LOGNORM.INV(RAND(),MV2,Sigma1),IF(RAND()&lt;CondGood,_xlfn.LOGNORM.INV(RAND(),MV3,Sigma2),MIN(MaxMultiple,Xm/(1-RAND())^(1/Alpha)))))</f>
        <v>0</v>
      </c>
      <c r="Y56" s="19">
        <f ca="1">IF(RAND()&lt;P_Zero,0,IF(RAND()&lt;CondReturn,_xlfn.LOGNORM.INV(RAND(),MV2,Sigma1),IF(RAND()&lt;CondGood,_xlfn.LOGNORM.INV(RAND(),MV3,Sigma2),MIN(MaxMultiple,Xm/(1-RAND())^(1/Alpha)))))</f>
        <v>1.2885390768584466</v>
      </c>
      <c r="Z56" s="19">
        <f ca="1">IF(RAND()&lt;P_Zero,0,IF(RAND()&lt;CondReturn,_xlfn.LOGNORM.INV(RAND(),MV2,Sigma1),IF(RAND()&lt;CondGood,_xlfn.LOGNORM.INV(RAND(),MV3,Sigma2),MIN(MaxMultiple,Xm/(1-RAND())^(1/Alpha)))))</f>
        <v>0</v>
      </c>
      <c r="AA56" s="19">
        <f ca="1">IF(RAND()&lt;P_Zero,0,IF(RAND()&lt;CondReturn,_xlfn.LOGNORM.INV(RAND(),MV2,Sigma1),IF(RAND()&lt;CondGood,_xlfn.LOGNORM.INV(RAND(),MV3,Sigma2),MIN(MaxMultiple,Xm/(1-RAND())^(1/Alpha)))))</f>
        <v>1.0352044646330898</v>
      </c>
      <c r="AB56" s="19">
        <f t="shared" ca="1" si="0"/>
        <v>0.59222397795488202</v>
      </c>
      <c r="AC56" s="14">
        <f t="shared" ca="1" si="1"/>
        <v>28426750.941834338</v>
      </c>
      <c r="AD56" s="14">
        <f t="shared" ca="1" si="2"/>
        <v>-19573249.058165662</v>
      </c>
      <c r="AE56" s="14">
        <f t="shared" si="3"/>
        <v>55628399.869093813</v>
      </c>
      <c r="AF56" s="14">
        <f t="shared" ca="1" si="4"/>
        <v>0</v>
      </c>
      <c r="AG56" s="14">
        <f t="shared" ca="1" si="5"/>
        <v>0</v>
      </c>
      <c r="AH56" s="14">
        <f t="shared" ca="1" si="6"/>
        <v>28426750.941834338</v>
      </c>
      <c r="AI56" s="19">
        <f t="shared" ca="1" si="7"/>
        <v>0.47377918236390565</v>
      </c>
    </row>
    <row r="57" spans="2:35" x14ac:dyDescent="0.2">
      <c r="B57" s="1">
        <v>52</v>
      </c>
      <c r="C57" s="19">
        <f ca="1">IF(RAND()&lt;P_Zero,0,IF(RAND()&lt;CondReturn,_xlfn.LOGNORM.INV(RAND(),MV2,Sigma1),IF(RAND()&lt;CondGood,_xlfn.LOGNORM.INV(RAND(),MV3,Sigma2),MIN(MaxMultiple,Xm/(1-RAND())^(1/Alpha)))))</f>
        <v>0.53264312265056213</v>
      </c>
      <c r="D57" s="19">
        <f ca="1">IF(RAND()&lt;P_Zero,0,IF(RAND()&lt;CondReturn,_xlfn.LOGNORM.INV(RAND(),MV2,Sigma1),IF(RAND()&lt;CondGood,_xlfn.LOGNORM.INV(RAND(),MV3,Sigma2),MIN(MaxMultiple,Xm/(1-RAND())^(1/Alpha)))))</f>
        <v>1.7041531162085606</v>
      </c>
      <c r="E57" s="19">
        <f ca="1">IF(RAND()&lt;P_Zero,0,IF(RAND()&lt;CondReturn,_xlfn.LOGNORM.INV(RAND(),MV2,Sigma1),IF(RAND()&lt;CondGood,_xlfn.LOGNORM.INV(RAND(),MV3,Sigma2),MIN(MaxMultiple,Xm/(1-RAND())^(1/Alpha)))))</f>
        <v>0.55064924011974414</v>
      </c>
      <c r="F57" s="19">
        <f ca="1">IF(RAND()&lt;P_Zero,0,IF(RAND()&lt;CondReturn,_xlfn.LOGNORM.INV(RAND(),MV2,Sigma1),IF(RAND()&lt;CondGood,_xlfn.LOGNORM.INV(RAND(),MV3,Sigma2),MIN(MaxMultiple,Xm/(1-RAND())^(1/Alpha)))))</f>
        <v>0.5485927815943441</v>
      </c>
      <c r="G57" s="19">
        <f ca="1">IF(RAND()&lt;P_Zero,0,IF(RAND()&lt;CondReturn,_xlfn.LOGNORM.INV(RAND(),MV2,Sigma1),IF(RAND()&lt;CondGood,_xlfn.LOGNORM.INV(RAND(),MV3,Sigma2),MIN(MaxMultiple,Xm/(1-RAND())^(1/Alpha)))))</f>
        <v>1.2120053875485375</v>
      </c>
      <c r="H57" s="19">
        <f ca="1">IF(RAND()&lt;P_Zero,0,IF(RAND()&lt;CondReturn,_xlfn.LOGNORM.INV(RAND(),MV2,Sigma1),IF(RAND()&lt;CondGood,_xlfn.LOGNORM.INV(RAND(),MV3,Sigma2),MIN(MaxMultiple,Xm/(1-RAND())^(1/Alpha)))))</f>
        <v>0</v>
      </c>
      <c r="I57" s="19">
        <f ca="1">IF(RAND()&lt;P_Zero,0,IF(RAND()&lt;CondReturn,_xlfn.LOGNORM.INV(RAND(),MV2,Sigma1),IF(RAND()&lt;CondGood,_xlfn.LOGNORM.INV(RAND(),MV3,Sigma2),MIN(MaxMultiple,Xm/(1-RAND())^(1/Alpha)))))</f>
        <v>0.76060703619241998</v>
      </c>
      <c r="J57" s="19">
        <f ca="1">IF(RAND()&lt;P_Zero,0,IF(RAND()&lt;CondReturn,_xlfn.LOGNORM.INV(RAND(),MV2,Sigma1),IF(RAND()&lt;CondGood,_xlfn.LOGNORM.INV(RAND(),MV3,Sigma2),MIN(MaxMultiple,Xm/(1-RAND())^(1/Alpha)))))</f>
        <v>0</v>
      </c>
      <c r="K57" s="19">
        <f ca="1">IF(RAND()&lt;P_Zero,0,IF(RAND()&lt;CondReturn,_xlfn.LOGNORM.INV(RAND(),MV2,Sigma1),IF(RAND()&lt;CondGood,_xlfn.LOGNORM.INV(RAND(),MV3,Sigma2),MIN(MaxMultiple,Xm/(1-RAND())^(1/Alpha)))))</f>
        <v>0.55999517923058739</v>
      </c>
      <c r="L57" s="19">
        <f ca="1">IF(RAND()&lt;P_Zero,0,IF(RAND()&lt;CondReturn,_xlfn.LOGNORM.INV(RAND(),MV2,Sigma1),IF(RAND()&lt;CondGood,_xlfn.LOGNORM.INV(RAND(),MV3,Sigma2),MIN(MaxMultiple,Xm/(1-RAND())^(1/Alpha)))))</f>
        <v>0</v>
      </c>
      <c r="M57" s="19">
        <f ca="1">IF(RAND()&lt;P_Zero,0,IF(RAND()&lt;CondReturn,_xlfn.LOGNORM.INV(RAND(),MV2,Sigma1),IF(RAND()&lt;CondGood,_xlfn.LOGNORM.INV(RAND(),MV3,Sigma2),MIN(MaxMultiple,Xm/(1-RAND())^(1/Alpha)))))</f>
        <v>10.472070858282033</v>
      </c>
      <c r="N57" s="19">
        <f ca="1">IF(RAND()&lt;P_Zero,0,IF(RAND()&lt;CondReturn,_xlfn.LOGNORM.INV(RAND(),MV2,Sigma1),IF(RAND()&lt;CondGood,_xlfn.LOGNORM.INV(RAND(),MV3,Sigma2),MIN(MaxMultiple,Xm/(1-RAND())^(1/Alpha)))))</f>
        <v>1.7380636523687478</v>
      </c>
      <c r="O57" s="19">
        <f ca="1">IF(RAND()&lt;P_Zero,0,IF(RAND()&lt;CondReturn,_xlfn.LOGNORM.INV(RAND(),MV2,Sigma1),IF(RAND()&lt;CondGood,_xlfn.LOGNORM.INV(RAND(),MV3,Sigma2),MIN(MaxMultiple,Xm/(1-RAND())^(1/Alpha)))))</f>
        <v>0</v>
      </c>
      <c r="P57" s="19">
        <f ca="1">IF(RAND()&lt;P_Zero,0,IF(RAND()&lt;CondReturn,_xlfn.LOGNORM.INV(RAND(),MV2,Sigma1),IF(RAND()&lt;CondGood,_xlfn.LOGNORM.INV(RAND(),MV3,Sigma2),MIN(MaxMultiple,Xm/(1-RAND())^(1/Alpha)))))</f>
        <v>1.1470677580405524</v>
      </c>
      <c r="Q57" s="19">
        <f ca="1">IF(RAND()&lt;P_Zero,0,IF(RAND()&lt;CondReturn,_xlfn.LOGNORM.INV(RAND(),MV2,Sigma1),IF(RAND()&lt;CondGood,_xlfn.LOGNORM.INV(RAND(),MV3,Sigma2),MIN(MaxMultiple,Xm/(1-RAND())^(1/Alpha)))))</f>
        <v>0.75883064199291295</v>
      </c>
      <c r="R57" s="19">
        <f ca="1">IF(RAND()&lt;P_Zero,0,IF(RAND()&lt;CondReturn,_xlfn.LOGNORM.INV(RAND(),MV2,Sigma1),IF(RAND()&lt;CondGood,_xlfn.LOGNORM.INV(RAND(),MV3,Sigma2),MIN(MaxMultiple,Xm/(1-RAND())^(1/Alpha)))))</f>
        <v>0</v>
      </c>
      <c r="S57" s="19">
        <f ca="1">IF(RAND()&lt;P_Zero,0,IF(RAND()&lt;CondReturn,_xlfn.LOGNORM.INV(RAND(),MV2,Sigma1),IF(RAND()&lt;CondGood,_xlfn.LOGNORM.INV(RAND(),MV3,Sigma2),MIN(MaxMultiple,Xm/(1-RAND())^(1/Alpha)))))</f>
        <v>2.5998539265985179</v>
      </c>
      <c r="T57" s="19">
        <f ca="1">IF(RAND()&lt;P_Zero,0,IF(RAND()&lt;CondReturn,_xlfn.LOGNORM.INV(RAND(),MV2,Sigma1),IF(RAND()&lt;CondGood,_xlfn.LOGNORM.INV(RAND(),MV3,Sigma2),MIN(MaxMultiple,Xm/(1-RAND())^(1/Alpha)))))</f>
        <v>0.75113076780905785</v>
      </c>
      <c r="U57" s="19">
        <f ca="1">IF(RAND()&lt;P_Zero,0,IF(RAND()&lt;CondReturn,_xlfn.LOGNORM.INV(RAND(),MV2,Sigma1),IF(RAND()&lt;CondGood,_xlfn.LOGNORM.INV(RAND(),MV3,Sigma2),MIN(MaxMultiple,Xm/(1-RAND())^(1/Alpha)))))</f>
        <v>31.962478303639791</v>
      </c>
      <c r="V57" s="19">
        <f ca="1">IF(RAND()&lt;P_Zero,0,IF(RAND()&lt;CondReturn,_xlfn.LOGNORM.INV(RAND(),MV2,Sigma1),IF(RAND()&lt;CondGood,_xlfn.LOGNORM.INV(RAND(),MV3,Sigma2),MIN(MaxMultiple,Xm/(1-RAND())^(1/Alpha)))))</f>
        <v>1.4098050003871447</v>
      </c>
      <c r="W57" s="19">
        <f ca="1">IF(RAND()&lt;P_Zero,0,IF(RAND()&lt;CondReturn,_xlfn.LOGNORM.INV(RAND(),MV2,Sigma1),IF(RAND()&lt;CondGood,_xlfn.LOGNORM.INV(RAND(),MV3,Sigma2),MIN(MaxMultiple,Xm/(1-RAND())^(1/Alpha)))))</f>
        <v>1.7577174313156454</v>
      </c>
      <c r="X57" s="19">
        <f ca="1">IF(RAND()&lt;P_Zero,0,IF(RAND()&lt;CondReturn,_xlfn.LOGNORM.INV(RAND(),MV2,Sigma1),IF(RAND()&lt;CondGood,_xlfn.LOGNORM.INV(RAND(),MV3,Sigma2),MIN(MaxMultiple,Xm/(1-RAND())^(1/Alpha)))))</f>
        <v>0</v>
      </c>
      <c r="Y57" s="19">
        <f ca="1">IF(RAND()&lt;P_Zero,0,IF(RAND()&lt;CondReturn,_xlfn.LOGNORM.INV(RAND(),MV2,Sigma1),IF(RAND()&lt;CondGood,_xlfn.LOGNORM.INV(RAND(),MV3,Sigma2),MIN(MaxMultiple,Xm/(1-RAND())^(1/Alpha)))))</f>
        <v>0.81121946856039306</v>
      </c>
      <c r="Z57" s="19">
        <f ca="1">IF(RAND()&lt;P_Zero,0,IF(RAND()&lt;CondReturn,_xlfn.LOGNORM.INV(RAND(),MV2,Sigma1),IF(RAND()&lt;CondGood,_xlfn.LOGNORM.INV(RAND(),MV3,Sigma2),MIN(MaxMultiple,Xm/(1-RAND())^(1/Alpha)))))</f>
        <v>2.2252232742107521</v>
      </c>
      <c r="AA57" s="19">
        <f ca="1">IF(RAND()&lt;P_Zero,0,IF(RAND()&lt;CondReturn,_xlfn.LOGNORM.INV(RAND(),MV2,Sigma1),IF(RAND()&lt;CondGood,_xlfn.LOGNORM.INV(RAND(),MV3,Sigma2),MIN(MaxMultiple,Xm/(1-RAND())^(1/Alpha)))))</f>
        <v>13.466353760764029</v>
      </c>
      <c r="AB57" s="19">
        <f t="shared" ca="1" si="0"/>
        <v>2.9987384283005736</v>
      </c>
      <c r="AC57" s="14">
        <f t="shared" ca="1" si="1"/>
        <v>143939444.55842754</v>
      </c>
      <c r="AD57" s="14">
        <f t="shared" ca="1" si="2"/>
        <v>95939444.558427542</v>
      </c>
      <c r="AE57" s="14">
        <f t="shared" si="3"/>
        <v>55628399.869093813</v>
      </c>
      <c r="AF57" s="14">
        <f t="shared" ca="1" si="4"/>
        <v>40311044.689333729</v>
      </c>
      <c r="AG57" s="14">
        <f t="shared" ca="1" si="5"/>
        <v>8062208.9378667464</v>
      </c>
      <c r="AH57" s="14">
        <f t="shared" ca="1" si="6"/>
        <v>135877235.6205608</v>
      </c>
      <c r="AI57" s="19">
        <f t="shared" ca="1" si="7"/>
        <v>2.2646205936760131</v>
      </c>
    </row>
    <row r="58" spans="2:35" x14ac:dyDescent="0.2">
      <c r="B58" s="1">
        <v>53</v>
      </c>
      <c r="C58" s="19">
        <f ca="1">IF(RAND()&lt;P_Zero,0,IF(RAND()&lt;CondReturn,_xlfn.LOGNORM.INV(RAND(),MV2,Sigma1),IF(RAND()&lt;CondGood,_xlfn.LOGNORM.INV(RAND(),MV3,Sigma2),MIN(MaxMultiple,Xm/(1-RAND())^(1/Alpha)))))</f>
        <v>0</v>
      </c>
      <c r="D58" s="19">
        <f ca="1">IF(RAND()&lt;P_Zero,0,IF(RAND()&lt;CondReturn,_xlfn.LOGNORM.INV(RAND(),MV2,Sigma1),IF(RAND()&lt;CondGood,_xlfn.LOGNORM.INV(RAND(),MV3,Sigma2),MIN(MaxMultiple,Xm/(1-RAND())^(1/Alpha)))))</f>
        <v>0</v>
      </c>
      <c r="E58" s="19">
        <f ca="1">IF(RAND()&lt;P_Zero,0,IF(RAND()&lt;CondReturn,_xlfn.LOGNORM.INV(RAND(),MV2,Sigma1),IF(RAND()&lt;CondGood,_xlfn.LOGNORM.INV(RAND(),MV3,Sigma2),MIN(MaxMultiple,Xm/(1-RAND())^(1/Alpha)))))</f>
        <v>1.3085604835954543</v>
      </c>
      <c r="F58" s="19">
        <f ca="1">IF(RAND()&lt;P_Zero,0,IF(RAND()&lt;CondReturn,_xlfn.LOGNORM.INV(RAND(),MV2,Sigma1),IF(RAND()&lt;CondGood,_xlfn.LOGNORM.INV(RAND(),MV3,Sigma2),MIN(MaxMultiple,Xm/(1-RAND())^(1/Alpha)))))</f>
        <v>0</v>
      </c>
      <c r="G58" s="19">
        <f ca="1">IF(RAND()&lt;P_Zero,0,IF(RAND()&lt;CondReturn,_xlfn.LOGNORM.INV(RAND(),MV2,Sigma1),IF(RAND()&lt;CondGood,_xlfn.LOGNORM.INV(RAND(),MV3,Sigma2),MIN(MaxMultiple,Xm/(1-RAND())^(1/Alpha)))))</f>
        <v>0.5388195025153556</v>
      </c>
      <c r="H58" s="19">
        <f ca="1">IF(RAND()&lt;P_Zero,0,IF(RAND()&lt;CondReturn,_xlfn.LOGNORM.INV(RAND(),MV2,Sigma1),IF(RAND()&lt;CondGood,_xlfn.LOGNORM.INV(RAND(),MV3,Sigma2),MIN(MaxMultiple,Xm/(1-RAND())^(1/Alpha)))))</f>
        <v>0</v>
      </c>
      <c r="I58" s="19">
        <f ca="1">IF(RAND()&lt;P_Zero,0,IF(RAND()&lt;CondReturn,_xlfn.LOGNORM.INV(RAND(),MV2,Sigma1),IF(RAND()&lt;CondGood,_xlfn.LOGNORM.INV(RAND(),MV3,Sigma2),MIN(MaxMultiple,Xm/(1-RAND())^(1/Alpha)))))</f>
        <v>1.7173490635681392</v>
      </c>
      <c r="J58" s="19">
        <f ca="1">IF(RAND()&lt;P_Zero,0,IF(RAND()&lt;CondReturn,_xlfn.LOGNORM.INV(RAND(),MV2,Sigma1),IF(RAND()&lt;CondGood,_xlfn.LOGNORM.INV(RAND(),MV3,Sigma2),MIN(MaxMultiple,Xm/(1-RAND())^(1/Alpha)))))</f>
        <v>0</v>
      </c>
      <c r="K58" s="19">
        <f ca="1">IF(RAND()&lt;P_Zero,0,IF(RAND()&lt;CondReturn,_xlfn.LOGNORM.INV(RAND(),MV2,Sigma1),IF(RAND()&lt;CondGood,_xlfn.LOGNORM.INV(RAND(),MV3,Sigma2),MIN(MaxMultiple,Xm/(1-RAND())^(1/Alpha)))))</f>
        <v>1.2231021802406015</v>
      </c>
      <c r="L58" s="19">
        <f ca="1">IF(RAND()&lt;P_Zero,0,IF(RAND()&lt;CondReturn,_xlfn.LOGNORM.INV(RAND(),MV2,Sigma1),IF(RAND()&lt;CondGood,_xlfn.LOGNORM.INV(RAND(),MV3,Sigma2),MIN(MaxMultiple,Xm/(1-RAND())^(1/Alpha)))))</f>
        <v>1.8647572492102482</v>
      </c>
      <c r="M58" s="19">
        <f ca="1">IF(RAND()&lt;P_Zero,0,IF(RAND()&lt;CondReturn,_xlfn.LOGNORM.INV(RAND(),MV2,Sigma1),IF(RAND()&lt;CondGood,_xlfn.LOGNORM.INV(RAND(),MV3,Sigma2),MIN(MaxMultiple,Xm/(1-RAND())^(1/Alpha)))))</f>
        <v>0.46279924651936571</v>
      </c>
      <c r="N58" s="19">
        <f ca="1">IF(RAND()&lt;P_Zero,0,IF(RAND()&lt;CondReturn,_xlfn.LOGNORM.INV(RAND(),MV2,Sigma1),IF(RAND()&lt;CondGood,_xlfn.LOGNORM.INV(RAND(),MV3,Sigma2),MIN(MaxMultiple,Xm/(1-RAND())^(1/Alpha)))))</f>
        <v>0</v>
      </c>
      <c r="O58" s="19">
        <f ca="1">IF(RAND()&lt;P_Zero,0,IF(RAND()&lt;CondReturn,_xlfn.LOGNORM.INV(RAND(),MV2,Sigma1),IF(RAND()&lt;CondGood,_xlfn.LOGNORM.INV(RAND(),MV3,Sigma2),MIN(MaxMultiple,Xm/(1-RAND())^(1/Alpha)))))</f>
        <v>0</v>
      </c>
      <c r="P58" s="19">
        <f ca="1">IF(RAND()&lt;P_Zero,0,IF(RAND()&lt;CondReturn,_xlfn.LOGNORM.INV(RAND(),MV2,Sigma1),IF(RAND()&lt;CondGood,_xlfn.LOGNORM.INV(RAND(),MV3,Sigma2),MIN(MaxMultiple,Xm/(1-RAND())^(1/Alpha)))))</f>
        <v>0.82192502412122592</v>
      </c>
      <c r="Q58" s="19">
        <f ca="1">IF(RAND()&lt;P_Zero,0,IF(RAND()&lt;CondReturn,_xlfn.LOGNORM.INV(RAND(),MV2,Sigma1),IF(RAND()&lt;CondGood,_xlfn.LOGNORM.INV(RAND(),MV3,Sigma2),MIN(MaxMultiple,Xm/(1-RAND())^(1/Alpha)))))</f>
        <v>0.46752783207283949</v>
      </c>
      <c r="R58" s="19">
        <f ca="1">IF(RAND()&lt;P_Zero,0,IF(RAND()&lt;CondReturn,_xlfn.LOGNORM.INV(RAND(),MV2,Sigma1),IF(RAND()&lt;CondGood,_xlfn.LOGNORM.INV(RAND(),MV3,Sigma2),MIN(MaxMultiple,Xm/(1-RAND())^(1/Alpha)))))</f>
        <v>0</v>
      </c>
      <c r="S58" s="19">
        <f ca="1">IF(RAND()&lt;P_Zero,0,IF(RAND()&lt;CondReturn,_xlfn.LOGNORM.INV(RAND(),MV2,Sigma1),IF(RAND()&lt;CondGood,_xlfn.LOGNORM.INV(RAND(),MV3,Sigma2),MIN(MaxMultiple,Xm/(1-RAND())^(1/Alpha)))))</f>
        <v>1.9282002361583395</v>
      </c>
      <c r="T58" s="19">
        <f ca="1">IF(RAND()&lt;P_Zero,0,IF(RAND()&lt;CondReturn,_xlfn.LOGNORM.INV(RAND(),MV2,Sigma1),IF(RAND()&lt;CondGood,_xlfn.LOGNORM.INV(RAND(),MV3,Sigma2),MIN(MaxMultiple,Xm/(1-RAND())^(1/Alpha)))))</f>
        <v>0</v>
      </c>
      <c r="U58" s="19">
        <f ca="1">IF(RAND()&lt;P_Zero,0,IF(RAND()&lt;CondReturn,_xlfn.LOGNORM.INV(RAND(),MV2,Sigma1),IF(RAND()&lt;CondGood,_xlfn.LOGNORM.INV(RAND(),MV3,Sigma2),MIN(MaxMultiple,Xm/(1-RAND())^(1/Alpha)))))</f>
        <v>10.751926081216695</v>
      </c>
      <c r="V58" s="19">
        <f ca="1">IF(RAND()&lt;P_Zero,0,IF(RAND()&lt;CondReturn,_xlfn.LOGNORM.INV(RAND(),MV2,Sigma1),IF(RAND()&lt;CondGood,_xlfn.LOGNORM.INV(RAND(),MV3,Sigma2),MIN(MaxMultiple,Xm/(1-RAND())^(1/Alpha)))))</f>
        <v>0.55691423399439133</v>
      </c>
      <c r="W58" s="19">
        <f ca="1">IF(RAND()&lt;P_Zero,0,IF(RAND()&lt;CondReturn,_xlfn.LOGNORM.INV(RAND(),MV2,Sigma1),IF(RAND()&lt;CondGood,_xlfn.LOGNORM.INV(RAND(),MV3,Sigma2),MIN(MaxMultiple,Xm/(1-RAND())^(1/Alpha)))))</f>
        <v>1.3238492954068064</v>
      </c>
      <c r="X58" s="19">
        <f ca="1">IF(RAND()&lt;P_Zero,0,IF(RAND()&lt;CondReturn,_xlfn.LOGNORM.INV(RAND(),MV2,Sigma1),IF(RAND()&lt;CondGood,_xlfn.LOGNORM.INV(RAND(),MV3,Sigma2),MIN(MaxMultiple,Xm/(1-RAND())^(1/Alpha)))))</f>
        <v>0</v>
      </c>
      <c r="Y58" s="19">
        <f ca="1">IF(RAND()&lt;P_Zero,0,IF(RAND()&lt;CondReturn,_xlfn.LOGNORM.INV(RAND(),MV2,Sigma1),IF(RAND()&lt;CondGood,_xlfn.LOGNORM.INV(RAND(),MV3,Sigma2),MIN(MaxMultiple,Xm/(1-RAND())^(1/Alpha)))))</f>
        <v>0</v>
      </c>
      <c r="Z58" s="19">
        <f ca="1">IF(RAND()&lt;P_Zero,0,IF(RAND()&lt;CondReturn,_xlfn.LOGNORM.INV(RAND(),MV2,Sigma1),IF(RAND()&lt;CondGood,_xlfn.LOGNORM.INV(RAND(),MV3,Sigma2),MIN(MaxMultiple,Xm/(1-RAND())^(1/Alpha)))))</f>
        <v>62.089641820275673</v>
      </c>
      <c r="AA58" s="19">
        <f ca="1">IF(RAND()&lt;P_Zero,0,IF(RAND()&lt;CondReturn,_xlfn.LOGNORM.INV(RAND(),MV2,Sigma1),IF(RAND()&lt;CondGood,_xlfn.LOGNORM.INV(RAND(),MV3,Sigma2),MIN(MaxMultiple,Xm/(1-RAND())^(1/Alpha)))))</f>
        <v>0</v>
      </c>
      <c r="AB58" s="19">
        <f t="shared" ca="1" si="0"/>
        <v>3.4022148899558058</v>
      </c>
      <c r="AC58" s="14">
        <f t="shared" ca="1" si="1"/>
        <v>163306314.71787867</v>
      </c>
      <c r="AD58" s="14">
        <f t="shared" ca="1" si="2"/>
        <v>115306314.71787867</v>
      </c>
      <c r="AE58" s="14">
        <f t="shared" si="3"/>
        <v>55628399.869093813</v>
      </c>
      <c r="AF58" s="14">
        <f t="shared" ca="1" si="4"/>
        <v>59677914.848784856</v>
      </c>
      <c r="AG58" s="14">
        <f t="shared" ca="1" si="5"/>
        <v>11935582.969756972</v>
      </c>
      <c r="AH58" s="14">
        <f t="shared" ca="1" si="6"/>
        <v>151370731.74812171</v>
      </c>
      <c r="AI58" s="19">
        <f t="shared" ca="1" si="7"/>
        <v>2.522845529135362</v>
      </c>
    </row>
    <row r="59" spans="2:35" x14ac:dyDescent="0.2">
      <c r="B59" s="1">
        <v>54</v>
      </c>
      <c r="C59" s="19">
        <f ca="1">IF(RAND()&lt;P_Zero,0,IF(RAND()&lt;CondReturn,_xlfn.LOGNORM.INV(RAND(),MV2,Sigma1),IF(RAND()&lt;CondGood,_xlfn.LOGNORM.INV(RAND(),MV3,Sigma2),MIN(MaxMultiple,Xm/(1-RAND())^(1/Alpha)))))</f>
        <v>0</v>
      </c>
      <c r="D59" s="19">
        <f ca="1">IF(RAND()&lt;P_Zero,0,IF(RAND()&lt;CondReturn,_xlfn.LOGNORM.INV(RAND(),MV2,Sigma1),IF(RAND()&lt;CondGood,_xlfn.LOGNORM.INV(RAND(),MV3,Sigma2),MIN(MaxMultiple,Xm/(1-RAND())^(1/Alpha)))))</f>
        <v>0.82524864520878638</v>
      </c>
      <c r="E59" s="19">
        <f ca="1">IF(RAND()&lt;P_Zero,0,IF(RAND()&lt;CondReturn,_xlfn.LOGNORM.INV(RAND(),MV2,Sigma1),IF(RAND()&lt;CondGood,_xlfn.LOGNORM.INV(RAND(),MV3,Sigma2),MIN(MaxMultiple,Xm/(1-RAND())^(1/Alpha)))))</f>
        <v>0</v>
      </c>
      <c r="F59" s="19">
        <f ca="1">IF(RAND()&lt;P_Zero,0,IF(RAND()&lt;CondReturn,_xlfn.LOGNORM.INV(RAND(),MV2,Sigma1),IF(RAND()&lt;CondGood,_xlfn.LOGNORM.INV(RAND(),MV3,Sigma2),MIN(MaxMultiple,Xm/(1-RAND())^(1/Alpha)))))</f>
        <v>0</v>
      </c>
      <c r="G59" s="19">
        <f ca="1">IF(RAND()&lt;P_Zero,0,IF(RAND()&lt;CondReturn,_xlfn.LOGNORM.INV(RAND(),MV2,Sigma1),IF(RAND()&lt;CondGood,_xlfn.LOGNORM.INV(RAND(),MV3,Sigma2),MIN(MaxMultiple,Xm/(1-RAND())^(1/Alpha)))))</f>
        <v>0</v>
      </c>
      <c r="H59" s="19">
        <f ca="1">IF(RAND()&lt;P_Zero,0,IF(RAND()&lt;CondReturn,_xlfn.LOGNORM.INV(RAND(),MV2,Sigma1),IF(RAND()&lt;CondGood,_xlfn.LOGNORM.INV(RAND(),MV3,Sigma2),MIN(MaxMultiple,Xm/(1-RAND())^(1/Alpha)))))</f>
        <v>12.854376123163537</v>
      </c>
      <c r="I59" s="19">
        <f ca="1">IF(RAND()&lt;P_Zero,0,IF(RAND()&lt;CondReturn,_xlfn.LOGNORM.INV(RAND(),MV2,Sigma1),IF(RAND()&lt;CondGood,_xlfn.LOGNORM.INV(RAND(),MV3,Sigma2),MIN(MaxMultiple,Xm/(1-RAND())^(1/Alpha)))))</f>
        <v>0.89423106507780359</v>
      </c>
      <c r="J59" s="19">
        <f ca="1">IF(RAND()&lt;P_Zero,0,IF(RAND()&lt;CondReturn,_xlfn.LOGNORM.INV(RAND(),MV2,Sigma1),IF(RAND()&lt;CondGood,_xlfn.LOGNORM.INV(RAND(),MV3,Sigma2),MIN(MaxMultiple,Xm/(1-RAND())^(1/Alpha)))))</f>
        <v>0.87386713620894185</v>
      </c>
      <c r="K59" s="19">
        <f ca="1">IF(RAND()&lt;P_Zero,0,IF(RAND()&lt;CondReturn,_xlfn.LOGNORM.INV(RAND(),MV2,Sigma1),IF(RAND()&lt;CondGood,_xlfn.LOGNORM.INV(RAND(),MV3,Sigma2),MIN(MaxMultiple,Xm/(1-RAND())^(1/Alpha)))))</f>
        <v>1.1093580704825361</v>
      </c>
      <c r="L59" s="19">
        <f ca="1">IF(RAND()&lt;P_Zero,0,IF(RAND()&lt;CondReturn,_xlfn.LOGNORM.INV(RAND(),MV2,Sigma1),IF(RAND()&lt;CondGood,_xlfn.LOGNORM.INV(RAND(),MV3,Sigma2),MIN(MaxMultiple,Xm/(1-RAND())^(1/Alpha)))))</f>
        <v>1.1288538140072377</v>
      </c>
      <c r="M59" s="19">
        <f ca="1">IF(RAND()&lt;P_Zero,0,IF(RAND()&lt;CondReturn,_xlfn.LOGNORM.INV(RAND(),MV2,Sigma1),IF(RAND()&lt;CondGood,_xlfn.LOGNORM.INV(RAND(),MV3,Sigma2),MIN(MaxMultiple,Xm/(1-RAND())^(1/Alpha)))))</f>
        <v>0</v>
      </c>
      <c r="N59" s="19">
        <f ca="1">IF(RAND()&lt;P_Zero,0,IF(RAND()&lt;CondReturn,_xlfn.LOGNORM.INV(RAND(),MV2,Sigma1),IF(RAND()&lt;CondGood,_xlfn.LOGNORM.INV(RAND(),MV3,Sigma2),MIN(MaxMultiple,Xm/(1-RAND())^(1/Alpha)))))</f>
        <v>2.3724986531790608</v>
      </c>
      <c r="O59" s="19">
        <f ca="1">IF(RAND()&lt;P_Zero,0,IF(RAND()&lt;CondReturn,_xlfn.LOGNORM.INV(RAND(),MV2,Sigma1),IF(RAND()&lt;CondGood,_xlfn.LOGNORM.INV(RAND(),MV3,Sigma2),MIN(MaxMultiple,Xm/(1-RAND())^(1/Alpha)))))</f>
        <v>0</v>
      </c>
      <c r="P59" s="19">
        <f ca="1">IF(RAND()&lt;P_Zero,0,IF(RAND()&lt;CondReturn,_xlfn.LOGNORM.INV(RAND(),MV2,Sigma1),IF(RAND()&lt;CondGood,_xlfn.LOGNORM.INV(RAND(),MV3,Sigma2),MIN(MaxMultiple,Xm/(1-RAND())^(1/Alpha)))))</f>
        <v>0</v>
      </c>
      <c r="Q59" s="19">
        <f ca="1">IF(RAND()&lt;P_Zero,0,IF(RAND()&lt;CondReturn,_xlfn.LOGNORM.INV(RAND(),MV2,Sigma1),IF(RAND()&lt;CondGood,_xlfn.LOGNORM.INV(RAND(),MV3,Sigma2),MIN(MaxMultiple,Xm/(1-RAND())^(1/Alpha)))))</f>
        <v>0</v>
      </c>
      <c r="R59" s="19">
        <f ca="1">IF(RAND()&lt;P_Zero,0,IF(RAND()&lt;CondReturn,_xlfn.LOGNORM.INV(RAND(),MV2,Sigma1),IF(RAND()&lt;CondGood,_xlfn.LOGNORM.INV(RAND(),MV3,Sigma2),MIN(MaxMultiple,Xm/(1-RAND())^(1/Alpha)))))</f>
        <v>0</v>
      </c>
      <c r="S59" s="19">
        <f ca="1">IF(RAND()&lt;P_Zero,0,IF(RAND()&lt;CondReturn,_xlfn.LOGNORM.INV(RAND(),MV2,Sigma1),IF(RAND()&lt;CondGood,_xlfn.LOGNORM.INV(RAND(),MV3,Sigma2),MIN(MaxMultiple,Xm/(1-RAND())^(1/Alpha)))))</f>
        <v>0</v>
      </c>
      <c r="T59" s="19">
        <f ca="1">IF(RAND()&lt;P_Zero,0,IF(RAND()&lt;CondReturn,_xlfn.LOGNORM.INV(RAND(),MV2,Sigma1),IF(RAND()&lt;CondGood,_xlfn.LOGNORM.INV(RAND(),MV3,Sigma2),MIN(MaxMultiple,Xm/(1-RAND())^(1/Alpha)))))</f>
        <v>2.0796696549511591</v>
      </c>
      <c r="U59" s="19">
        <f ca="1">IF(RAND()&lt;P_Zero,0,IF(RAND()&lt;CondReturn,_xlfn.LOGNORM.INV(RAND(),MV2,Sigma1),IF(RAND()&lt;CondGood,_xlfn.LOGNORM.INV(RAND(),MV3,Sigma2),MIN(MaxMultiple,Xm/(1-RAND())^(1/Alpha)))))</f>
        <v>0.91127345568480878</v>
      </c>
      <c r="V59" s="19">
        <f ca="1">IF(RAND()&lt;P_Zero,0,IF(RAND()&lt;CondReturn,_xlfn.LOGNORM.INV(RAND(),MV2,Sigma1),IF(RAND()&lt;CondGood,_xlfn.LOGNORM.INV(RAND(),MV3,Sigma2),MIN(MaxMultiple,Xm/(1-RAND())^(1/Alpha)))))</f>
        <v>1.005663172411869</v>
      </c>
      <c r="W59" s="19">
        <f ca="1">IF(RAND()&lt;P_Zero,0,IF(RAND()&lt;CondReturn,_xlfn.LOGNORM.INV(RAND(),MV2,Sigma1),IF(RAND()&lt;CondGood,_xlfn.LOGNORM.INV(RAND(),MV3,Sigma2),MIN(MaxMultiple,Xm/(1-RAND())^(1/Alpha)))))</f>
        <v>3.0094379518376897</v>
      </c>
      <c r="X59" s="19">
        <f ca="1">IF(RAND()&lt;P_Zero,0,IF(RAND()&lt;CondReturn,_xlfn.LOGNORM.INV(RAND(),MV2,Sigma1),IF(RAND()&lt;CondGood,_xlfn.LOGNORM.INV(RAND(),MV3,Sigma2),MIN(MaxMultiple,Xm/(1-RAND())^(1/Alpha)))))</f>
        <v>1.160516494853882</v>
      </c>
      <c r="Y59" s="19">
        <f ca="1">IF(RAND()&lt;P_Zero,0,IF(RAND()&lt;CondReturn,_xlfn.LOGNORM.INV(RAND(),MV2,Sigma1),IF(RAND()&lt;CondGood,_xlfn.LOGNORM.INV(RAND(),MV3,Sigma2),MIN(MaxMultiple,Xm/(1-RAND())^(1/Alpha)))))</f>
        <v>0</v>
      </c>
      <c r="Z59" s="19">
        <f ca="1">IF(RAND()&lt;P_Zero,0,IF(RAND()&lt;CondReturn,_xlfn.LOGNORM.INV(RAND(),MV2,Sigma1),IF(RAND()&lt;CondGood,_xlfn.LOGNORM.INV(RAND(),MV3,Sigma2),MIN(MaxMultiple,Xm/(1-RAND())^(1/Alpha)))))</f>
        <v>0</v>
      </c>
      <c r="AA59" s="19">
        <f ca="1">IF(RAND()&lt;P_Zero,0,IF(RAND()&lt;CondReturn,_xlfn.LOGNORM.INV(RAND(),MV2,Sigma1),IF(RAND()&lt;CondGood,_xlfn.LOGNORM.INV(RAND(),MV3,Sigma2),MIN(MaxMultiple,Xm/(1-RAND())^(1/Alpha)))))</f>
        <v>10.712825096175878</v>
      </c>
      <c r="AB59" s="19">
        <f t="shared" ca="1" si="0"/>
        <v>1.5575127733297276</v>
      </c>
      <c r="AC59" s="14">
        <f t="shared" ca="1" si="1"/>
        <v>74760613.119826928</v>
      </c>
      <c r="AD59" s="14">
        <f t="shared" ca="1" si="2"/>
        <v>26760613.119826928</v>
      </c>
      <c r="AE59" s="14">
        <f t="shared" si="3"/>
        <v>55628399.869093813</v>
      </c>
      <c r="AF59" s="14">
        <f t="shared" ca="1" si="4"/>
        <v>0</v>
      </c>
      <c r="AG59" s="14">
        <f t="shared" ca="1" si="5"/>
        <v>0</v>
      </c>
      <c r="AH59" s="14">
        <f t="shared" ca="1" si="6"/>
        <v>74760613.119826928</v>
      </c>
      <c r="AI59" s="19">
        <f t="shared" ca="1" si="7"/>
        <v>1.246010218663782</v>
      </c>
    </row>
    <row r="60" spans="2:35" x14ac:dyDescent="0.2">
      <c r="B60" s="1">
        <v>55</v>
      </c>
      <c r="C60" s="19">
        <f ca="1">IF(RAND()&lt;P_Zero,0,IF(RAND()&lt;CondReturn,_xlfn.LOGNORM.INV(RAND(),MV2,Sigma1),IF(RAND()&lt;CondGood,_xlfn.LOGNORM.INV(RAND(),MV3,Sigma2),MIN(MaxMultiple,Xm/(1-RAND())^(1/Alpha)))))</f>
        <v>34.92157855646856</v>
      </c>
      <c r="D60" s="19">
        <f ca="1">IF(RAND()&lt;P_Zero,0,IF(RAND()&lt;CondReturn,_xlfn.LOGNORM.INV(RAND(),MV2,Sigma1),IF(RAND()&lt;CondGood,_xlfn.LOGNORM.INV(RAND(),MV3,Sigma2),MIN(MaxMultiple,Xm/(1-RAND())^(1/Alpha)))))</f>
        <v>0.6324222795089538</v>
      </c>
      <c r="E60" s="19">
        <f ca="1">IF(RAND()&lt;P_Zero,0,IF(RAND()&lt;CondReturn,_xlfn.LOGNORM.INV(RAND(),MV2,Sigma1),IF(RAND()&lt;CondGood,_xlfn.LOGNORM.INV(RAND(),MV3,Sigma2),MIN(MaxMultiple,Xm/(1-RAND())^(1/Alpha)))))</f>
        <v>0</v>
      </c>
      <c r="F60" s="19">
        <f ca="1">IF(RAND()&lt;P_Zero,0,IF(RAND()&lt;CondReturn,_xlfn.LOGNORM.INV(RAND(),MV2,Sigma1),IF(RAND()&lt;CondGood,_xlfn.LOGNORM.INV(RAND(),MV3,Sigma2),MIN(MaxMultiple,Xm/(1-RAND())^(1/Alpha)))))</f>
        <v>1.4093119509209986</v>
      </c>
      <c r="G60" s="19">
        <f ca="1">IF(RAND()&lt;P_Zero,0,IF(RAND()&lt;CondReturn,_xlfn.LOGNORM.INV(RAND(),MV2,Sigma1),IF(RAND()&lt;CondGood,_xlfn.LOGNORM.INV(RAND(),MV3,Sigma2),MIN(MaxMultiple,Xm/(1-RAND())^(1/Alpha)))))</f>
        <v>1.2552724254251115</v>
      </c>
      <c r="H60" s="19">
        <f ca="1">IF(RAND()&lt;P_Zero,0,IF(RAND()&lt;CondReturn,_xlfn.LOGNORM.INV(RAND(),MV2,Sigma1),IF(RAND()&lt;CondGood,_xlfn.LOGNORM.INV(RAND(),MV3,Sigma2),MIN(MaxMultiple,Xm/(1-RAND())^(1/Alpha)))))</f>
        <v>1.1030225475879745</v>
      </c>
      <c r="I60" s="19">
        <f ca="1">IF(RAND()&lt;P_Zero,0,IF(RAND()&lt;CondReturn,_xlfn.LOGNORM.INV(RAND(),MV2,Sigma1),IF(RAND()&lt;CondGood,_xlfn.LOGNORM.INV(RAND(),MV3,Sigma2),MIN(MaxMultiple,Xm/(1-RAND())^(1/Alpha)))))</f>
        <v>0</v>
      </c>
      <c r="J60" s="19">
        <f ca="1">IF(RAND()&lt;P_Zero,0,IF(RAND()&lt;CondReturn,_xlfn.LOGNORM.INV(RAND(),MV2,Sigma1),IF(RAND()&lt;CondGood,_xlfn.LOGNORM.INV(RAND(),MV3,Sigma2),MIN(MaxMultiple,Xm/(1-RAND())^(1/Alpha)))))</f>
        <v>3.5473962159709602</v>
      </c>
      <c r="K60" s="19">
        <f ca="1">IF(RAND()&lt;P_Zero,0,IF(RAND()&lt;CondReturn,_xlfn.LOGNORM.INV(RAND(),MV2,Sigma1),IF(RAND()&lt;CondGood,_xlfn.LOGNORM.INV(RAND(),MV3,Sigma2),MIN(MaxMultiple,Xm/(1-RAND())^(1/Alpha)))))</f>
        <v>0</v>
      </c>
      <c r="L60" s="19">
        <f ca="1">IF(RAND()&lt;P_Zero,0,IF(RAND()&lt;CondReturn,_xlfn.LOGNORM.INV(RAND(),MV2,Sigma1),IF(RAND()&lt;CondGood,_xlfn.LOGNORM.INV(RAND(),MV3,Sigma2),MIN(MaxMultiple,Xm/(1-RAND())^(1/Alpha)))))</f>
        <v>0</v>
      </c>
      <c r="M60" s="19">
        <f ca="1">IF(RAND()&lt;P_Zero,0,IF(RAND()&lt;CondReturn,_xlfn.LOGNORM.INV(RAND(),MV2,Sigma1),IF(RAND()&lt;CondGood,_xlfn.LOGNORM.INV(RAND(),MV3,Sigma2),MIN(MaxMultiple,Xm/(1-RAND())^(1/Alpha)))))</f>
        <v>0.9767352789065753</v>
      </c>
      <c r="N60" s="19">
        <f ca="1">IF(RAND()&lt;P_Zero,0,IF(RAND()&lt;CondReturn,_xlfn.LOGNORM.INV(RAND(),MV2,Sigma1),IF(RAND()&lt;CondGood,_xlfn.LOGNORM.INV(RAND(),MV3,Sigma2),MIN(MaxMultiple,Xm/(1-RAND())^(1/Alpha)))))</f>
        <v>0</v>
      </c>
      <c r="O60" s="19">
        <f ca="1">IF(RAND()&lt;P_Zero,0,IF(RAND()&lt;CondReturn,_xlfn.LOGNORM.INV(RAND(),MV2,Sigma1),IF(RAND()&lt;CondGood,_xlfn.LOGNORM.INV(RAND(),MV3,Sigma2),MIN(MaxMultiple,Xm/(1-RAND())^(1/Alpha)))))</f>
        <v>0</v>
      </c>
      <c r="P60" s="19">
        <f ca="1">IF(RAND()&lt;P_Zero,0,IF(RAND()&lt;CondReturn,_xlfn.LOGNORM.INV(RAND(),MV2,Sigma1),IF(RAND()&lt;CondGood,_xlfn.LOGNORM.INV(RAND(),MV3,Sigma2),MIN(MaxMultiple,Xm/(1-RAND())^(1/Alpha)))))</f>
        <v>0</v>
      </c>
      <c r="Q60" s="19">
        <f ca="1">IF(RAND()&lt;P_Zero,0,IF(RAND()&lt;CondReturn,_xlfn.LOGNORM.INV(RAND(),MV2,Sigma1),IF(RAND()&lt;CondGood,_xlfn.LOGNORM.INV(RAND(),MV3,Sigma2),MIN(MaxMultiple,Xm/(1-RAND())^(1/Alpha)))))</f>
        <v>0.76331180420090028</v>
      </c>
      <c r="R60" s="19">
        <f ca="1">IF(RAND()&lt;P_Zero,0,IF(RAND()&lt;CondReturn,_xlfn.LOGNORM.INV(RAND(),MV2,Sigma1),IF(RAND()&lt;CondGood,_xlfn.LOGNORM.INV(RAND(),MV3,Sigma2),MIN(MaxMultiple,Xm/(1-RAND())^(1/Alpha)))))</f>
        <v>0.93657566475756038</v>
      </c>
      <c r="S60" s="19">
        <f ca="1">IF(RAND()&lt;P_Zero,0,IF(RAND()&lt;CondReturn,_xlfn.LOGNORM.INV(RAND(),MV2,Sigma1),IF(RAND()&lt;CondGood,_xlfn.LOGNORM.INV(RAND(),MV3,Sigma2),MIN(MaxMultiple,Xm/(1-RAND())^(1/Alpha)))))</f>
        <v>0</v>
      </c>
      <c r="T60" s="19">
        <f ca="1">IF(RAND()&lt;P_Zero,0,IF(RAND()&lt;CondReturn,_xlfn.LOGNORM.INV(RAND(),MV2,Sigma1),IF(RAND()&lt;CondGood,_xlfn.LOGNORM.INV(RAND(),MV3,Sigma2),MIN(MaxMultiple,Xm/(1-RAND())^(1/Alpha)))))</f>
        <v>0.88642695110312286</v>
      </c>
      <c r="U60" s="19">
        <f ca="1">IF(RAND()&lt;P_Zero,0,IF(RAND()&lt;CondReturn,_xlfn.LOGNORM.INV(RAND(),MV2,Sigma1),IF(RAND()&lt;CondGood,_xlfn.LOGNORM.INV(RAND(),MV3,Sigma2),MIN(MaxMultiple,Xm/(1-RAND())^(1/Alpha)))))</f>
        <v>0.61826611701097167</v>
      </c>
      <c r="V60" s="19">
        <f ca="1">IF(RAND()&lt;P_Zero,0,IF(RAND()&lt;CondReturn,_xlfn.LOGNORM.INV(RAND(),MV2,Sigma1),IF(RAND()&lt;CondGood,_xlfn.LOGNORM.INV(RAND(),MV3,Sigma2),MIN(MaxMultiple,Xm/(1-RAND())^(1/Alpha)))))</f>
        <v>0.72569780944513529</v>
      </c>
      <c r="W60" s="19">
        <f ca="1">IF(RAND()&lt;P_Zero,0,IF(RAND()&lt;CondReturn,_xlfn.LOGNORM.INV(RAND(),MV2,Sigma1),IF(RAND()&lt;CondGood,_xlfn.LOGNORM.INV(RAND(),MV3,Sigma2),MIN(MaxMultiple,Xm/(1-RAND())^(1/Alpha)))))</f>
        <v>1.360262386634183</v>
      </c>
      <c r="X60" s="19">
        <f ca="1">IF(RAND()&lt;P_Zero,0,IF(RAND()&lt;CondReturn,_xlfn.LOGNORM.INV(RAND(),MV2,Sigma1),IF(RAND()&lt;CondGood,_xlfn.LOGNORM.INV(RAND(),MV3,Sigma2),MIN(MaxMultiple,Xm/(1-RAND())^(1/Alpha)))))</f>
        <v>0.89884904038926905</v>
      </c>
      <c r="Y60" s="19">
        <f ca="1">IF(RAND()&lt;P_Zero,0,IF(RAND()&lt;CondReturn,_xlfn.LOGNORM.INV(RAND(),MV2,Sigma1),IF(RAND()&lt;CondGood,_xlfn.LOGNORM.INV(RAND(),MV3,Sigma2),MIN(MaxMultiple,Xm/(1-RAND())^(1/Alpha)))))</f>
        <v>0</v>
      </c>
      <c r="Z60" s="19">
        <f ca="1">IF(RAND()&lt;P_Zero,0,IF(RAND()&lt;CondReturn,_xlfn.LOGNORM.INV(RAND(),MV2,Sigma1),IF(RAND()&lt;CondGood,_xlfn.LOGNORM.INV(RAND(),MV3,Sigma2),MIN(MaxMultiple,Xm/(1-RAND())^(1/Alpha)))))</f>
        <v>29.896697866440675</v>
      </c>
      <c r="AA60" s="19">
        <f ca="1">IF(RAND()&lt;P_Zero,0,IF(RAND()&lt;CondReturn,_xlfn.LOGNORM.INV(RAND(),MV2,Sigma1),IF(RAND()&lt;CondGood,_xlfn.LOGNORM.INV(RAND(),MV3,Sigma2),MIN(MaxMultiple,Xm/(1-RAND())^(1/Alpha)))))</f>
        <v>3.0578871170581152</v>
      </c>
      <c r="AB60" s="19">
        <f t="shared" ca="1" si="0"/>
        <v>3.319588560473163</v>
      </c>
      <c r="AC60" s="14">
        <f t="shared" ca="1" si="1"/>
        <v>159340250.90271181</v>
      </c>
      <c r="AD60" s="14">
        <f t="shared" ca="1" si="2"/>
        <v>111340250.90271181</v>
      </c>
      <c r="AE60" s="14">
        <f t="shared" si="3"/>
        <v>55628399.869093813</v>
      </c>
      <c r="AF60" s="14">
        <f t="shared" ca="1" si="4"/>
        <v>55711851.033617996</v>
      </c>
      <c r="AG60" s="14">
        <f t="shared" ca="1" si="5"/>
        <v>11142370.206723601</v>
      </c>
      <c r="AH60" s="14">
        <f t="shared" ca="1" si="6"/>
        <v>148197880.69598821</v>
      </c>
      <c r="AI60" s="19">
        <f t="shared" ca="1" si="7"/>
        <v>2.4699646782664701</v>
      </c>
    </row>
    <row r="61" spans="2:35" x14ac:dyDescent="0.2">
      <c r="B61" s="1">
        <v>56</v>
      </c>
      <c r="C61" s="19">
        <f ca="1">IF(RAND()&lt;P_Zero,0,IF(RAND()&lt;CondReturn,_xlfn.LOGNORM.INV(RAND(),MV2,Sigma1),IF(RAND()&lt;CondGood,_xlfn.LOGNORM.INV(RAND(),MV3,Sigma2),MIN(MaxMultiple,Xm/(1-RAND())^(1/Alpha)))))</f>
        <v>0.87144648825625881</v>
      </c>
      <c r="D61" s="19">
        <f ca="1">IF(RAND()&lt;P_Zero,0,IF(RAND()&lt;CondReturn,_xlfn.LOGNORM.INV(RAND(),MV2,Sigma1),IF(RAND()&lt;CondGood,_xlfn.LOGNORM.INV(RAND(),MV3,Sigma2),MIN(MaxMultiple,Xm/(1-RAND())^(1/Alpha)))))</f>
        <v>0</v>
      </c>
      <c r="E61" s="19">
        <f ca="1">IF(RAND()&lt;P_Zero,0,IF(RAND()&lt;CondReturn,_xlfn.LOGNORM.INV(RAND(),MV2,Sigma1),IF(RAND()&lt;CondGood,_xlfn.LOGNORM.INV(RAND(),MV3,Sigma2),MIN(MaxMultiple,Xm/(1-RAND())^(1/Alpha)))))</f>
        <v>1.6697983983769793</v>
      </c>
      <c r="F61" s="19">
        <f ca="1">IF(RAND()&lt;P_Zero,0,IF(RAND()&lt;CondReturn,_xlfn.LOGNORM.INV(RAND(),MV2,Sigma1),IF(RAND()&lt;CondGood,_xlfn.LOGNORM.INV(RAND(),MV3,Sigma2),MIN(MaxMultiple,Xm/(1-RAND())^(1/Alpha)))))</f>
        <v>0</v>
      </c>
      <c r="G61" s="19">
        <f ca="1">IF(RAND()&lt;P_Zero,0,IF(RAND()&lt;CondReturn,_xlfn.LOGNORM.INV(RAND(),MV2,Sigma1),IF(RAND()&lt;CondGood,_xlfn.LOGNORM.INV(RAND(),MV3,Sigma2),MIN(MaxMultiple,Xm/(1-RAND())^(1/Alpha)))))</f>
        <v>0.87183391958357304</v>
      </c>
      <c r="H61" s="19">
        <f ca="1">IF(RAND()&lt;P_Zero,0,IF(RAND()&lt;CondReturn,_xlfn.LOGNORM.INV(RAND(),MV2,Sigma1),IF(RAND()&lt;CondGood,_xlfn.LOGNORM.INV(RAND(),MV3,Sigma2),MIN(MaxMultiple,Xm/(1-RAND())^(1/Alpha)))))</f>
        <v>0</v>
      </c>
      <c r="I61" s="19">
        <f ca="1">IF(RAND()&lt;P_Zero,0,IF(RAND()&lt;CondReturn,_xlfn.LOGNORM.INV(RAND(),MV2,Sigma1),IF(RAND()&lt;CondGood,_xlfn.LOGNORM.INV(RAND(),MV3,Sigma2),MIN(MaxMultiple,Xm/(1-RAND())^(1/Alpha)))))</f>
        <v>0</v>
      </c>
      <c r="J61" s="19">
        <f ca="1">IF(RAND()&lt;P_Zero,0,IF(RAND()&lt;CondReturn,_xlfn.LOGNORM.INV(RAND(),MV2,Sigma1),IF(RAND()&lt;CondGood,_xlfn.LOGNORM.INV(RAND(),MV3,Sigma2),MIN(MaxMultiple,Xm/(1-RAND())^(1/Alpha)))))</f>
        <v>0</v>
      </c>
      <c r="K61" s="19">
        <f ca="1">IF(RAND()&lt;P_Zero,0,IF(RAND()&lt;CondReturn,_xlfn.LOGNORM.INV(RAND(),MV2,Sigma1),IF(RAND()&lt;CondGood,_xlfn.LOGNORM.INV(RAND(),MV3,Sigma2),MIN(MaxMultiple,Xm/(1-RAND())^(1/Alpha)))))</f>
        <v>1.8722339687601317</v>
      </c>
      <c r="L61" s="19">
        <f ca="1">IF(RAND()&lt;P_Zero,0,IF(RAND()&lt;CondReturn,_xlfn.LOGNORM.INV(RAND(),MV2,Sigma1),IF(RAND()&lt;CondGood,_xlfn.LOGNORM.INV(RAND(),MV3,Sigma2),MIN(MaxMultiple,Xm/(1-RAND())^(1/Alpha)))))</f>
        <v>0</v>
      </c>
      <c r="M61" s="19">
        <f ca="1">IF(RAND()&lt;P_Zero,0,IF(RAND()&lt;CondReturn,_xlfn.LOGNORM.INV(RAND(),MV2,Sigma1),IF(RAND()&lt;CondGood,_xlfn.LOGNORM.INV(RAND(),MV3,Sigma2),MIN(MaxMultiple,Xm/(1-RAND())^(1/Alpha)))))</f>
        <v>1.0957409230076611</v>
      </c>
      <c r="N61" s="19">
        <f ca="1">IF(RAND()&lt;P_Zero,0,IF(RAND()&lt;CondReturn,_xlfn.LOGNORM.INV(RAND(),MV2,Sigma1),IF(RAND()&lt;CondGood,_xlfn.LOGNORM.INV(RAND(),MV3,Sigma2),MIN(MaxMultiple,Xm/(1-RAND())^(1/Alpha)))))</f>
        <v>1.2823472243876723</v>
      </c>
      <c r="O61" s="19">
        <f ca="1">IF(RAND()&lt;P_Zero,0,IF(RAND()&lt;CondReturn,_xlfn.LOGNORM.INV(RAND(),MV2,Sigma1),IF(RAND()&lt;CondGood,_xlfn.LOGNORM.INV(RAND(),MV3,Sigma2),MIN(MaxMultiple,Xm/(1-RAND())^(1/Alpha)))))</f>
        <v>0.49915179547077626</v>
      </c>
      <c r="P61" s="19">
        <f ca="1">IF(RAND()&lt;P_Zero,0,IF(RAND()&lt;CondReturn,_xlfn.LOGNORM.INV(RAND(),MV2,Sigma1),IF(RAND()&lt;CondGood,_xlfn.LOGNORM.INV(RAND(),MV3,Sigma2),MIN(MaxMultiple,Xm/(1-RAND())^(1/Alpha)))))</f>
        <v>3.2115684231145605</v>
      </c>
      <c r="Q61" s="19">
        <f ca="1">IF(RAND()&lt;P_Zero,0,IF(RAND()&lt;CondReturn,_xlfn.LOGNORM.INV(RAND(),MV2,Sigma1),IF(RAND()&lt;CondGood,_xlfn.LOGNORM.INV(RAND(),MV3,Sigma2),MIN(MaxMultiple,Xm/(1-RAND())^(1/Alpha)))))</f>
        <v>0</v>
      </c>
      <c r="R61" s="19">
        <f ca="1">IF(RAND()&lt;P_Zero,0,IF(RAND()&lt;CondReturn,_xlfn.LOGNORM.INV(RAND(),MV2,Sigma1),IF(RAND()&lt;CondGood,_xlfn.LOGNORM.INV(RAND(),MV3,Sigma2),MIN(MaxMultiple,Xm/(1-RAND())^(1/Alpha)))))</f>
        <v>1.1742176933723731</v>
      </c>
      <c r="S61" s="19">
        <f ca="1">IF(RAND()&lt;P_Zero,0,IF(RAND()&lt;CondReturn,_xlfn.LOGNORM.INV(RAND(),MV2,Sigma1),IF(RAND()&lt;CondGood,_xlfn.LOGNORM.INV(RAND(),MV3,Sigma2),MIN(MaxMultiple,Xm/(1-RAND())^(1/Alpha)))))</f>
        <v>0</v>
      </c>
      <c r="T61" s="19">
        <f ca="1">IF(RAND()&lt;P_Zero,0,IF(RAND()&lt;CondReturn,_xlfn.LOGNORM.INV(RAND(),MV2,Sigma1),IF(RAND()&lt;CondGood,_xlfn.LOGNORM.INV(RAND(),MV3,Sigma2),MIN(MaxMultiple,Xm/(1-RAND())^(1/Alpha)))))</f>
        <v>0</v>
      </c>
      <c r="U61" s="19">
        <f ca="1">IF(RAND()&lt;P_Zero,0,IF(RAND()&lt;CondReturn,_xlfn.LOGNORM.INV(RAND(),MV2,Sigma1),IF(RAND()&lt;CondGood,_xlfn.LOGNORM.INV(RAND(),MV3,Sigma2),MIN(MaxMultiple,Xm/(1-RAND())^(1/Alpha)))))</f>
        <v>0.75516464580825116</v>
      </c>
      <c r="V61" s="19">
        <f ca="1">IF(RAND()&lt;P_Zero,0,IF(RAND()&lt;CondReturn,_xlfn.LOGNORM.INV(RAND(),MV2,Sigma1),IF(RAND()&lt;CondGood,_xlfn.LOGNORM.INV(RAND(),MV3,Sigma2),MIN(MaxMultiple,Xm/(1-RAND())^(1/Alpha)))))</f>
        <v>3.1557124238549927</v>
      </c>
      <c r="W61" s="19">
        <f ca="1">IF(RAND()&lt;P_Zero,0,IF(RAND()&lt;CondReturn,_xlfn.LOGNORM.INV(RAND(),MV2,Sigma1),IF(RAND()&lt;CondGood,_xlfn.LOGNORM.INV(RAND(),MV3,Sigma2),MIN(MaxMultiple,Xm/(1-RAND())^(1/Alpha)))))</f>
        <v>1.0856870402202954</v>
      </c>
      <c r="X61" s="19">
        <f ca="1">IF(RAND()&lt;P_Zero,0,IF(RAND()&lt;CondReturn,_xlfn.LOGNORM.INV(RAND(),MV2,Sigma1),IF(RAND()&lt;CondGood,_xlfn.LOGNORM.INV(RAND(),MV3,Sigma2),MIN(MaxMultiple,Xm/(1-RAND())^(1/Alpha)))))</f>
        <v>0</v>
      </c>
      <c r="Y61" s="19">
        <f ca="1">IF(RAND()&lt;P_Zero,0,IF(RAND()&lt;CondReturn,_xlfn.LOGNORM.INV(RAND(),MV2,Sigma1),IF(RAND()&lt;CondGood,_xlfn.LOGNORM.INV(RAND(),MV3,Sigma2),MIN(MaxMultiple,Xm/(1-RAND())^(1/Alpha)))))</f>
        <v>0</v>
      </c>
      <c r="Z61" s="19">
        <f ca="1">IF(RAND()&lt;P_Zero,0,IF(RAND()&lt;CondReturn,_xlfn.LOGNORM.INV(RAND(),MV2,Sigma1),IF(RAND()&lt;CondGood,_xlfn.LOGNORM.INV(RAND(),MV3,Sigma2),MIN(MaxMultiple,Xm/(1-RAND())^(1/Alpha)))))</f>
        <v>37.163030642655485</v>
      </c>
      <c r="AA61" s="19">
        <f ca="1">IF(RAND()&lt;P_Zero,0,IF(RAND()&lt;CondReturn,_xlfn.LOGNORM.INV(RAND(),MV2,Sigma1),IF(RAND()&lt;CondGood,_xlfn.LOGNORM.INV(RAND(),MV3,Sigma2),MIN(MaxMultiple,Xm/(1-RAND())^(1/Alpha)))))</f>
        <v>0.79633705475885641</v>
      </c>
      <c r="AB61" s="19">
        <f t="shared" ca="1" si="0"/>
        <v>2.2201708256651149</v>
      </c>
      <c r="AC61" s="14">
        <f t="shared" ca="1" si="1"/>
        <v>106568199.63192552</v>
      </c>
      <c r="AD61" s="14">
        <f t="shared" ca="1" si="2"/>
        <v>58568199.631925523</v>
      </c>
      <c r="AE61" s="14">
        <f t="shared" si="3"/>
        <v>55628399.869093813</v>
      </c>
      <c r="AF61" s="14">
        <f t="shared" ca="1" si="4"/>
        <v>2939799.7628317103</v>
      </c>
      <c r="AG61" s="14">
        <f t="shared" ca="1" si="5"/>
        <v>587959.95256634208</v>
      </c>
      <c r="AH61" s="14">
        <f t="shared" ca="1" si="6"/>
        <v>105980239.67935918</v>
      </c>
      <c r="AI61" s="19">
        <f t="shared" ca="1" si="7"/>
        <v>1.7663373279893197</v>
      </c>
    </row>
    <row r="62" spans="2:35" x14ac:dyDescent="0.2">
      <c r="B62" s="1">
        <v>57</v>
      </c>
      <c r="C62" s="19">
        <f ca="1">IF(RAND()&lt;P_Zero,0,IF(RAND()&lt;CondReturn,_xlfn.LOGNORM.INV(RAND(),MV2,Sigma1),IF(RAND()&lt;CondGood,_xlfn.LOGNORM.INV(RAND(),MV3,Sigma2),MIN(MaxMultiple,Xm/(1-RAND())^(1/Alpha)))))</f>
        <v>0.55036984642955911</v>
      </c>
      <c r="D62" s="19">
        <f ca="1">IF(RAND()&lt;P_Zero,0,IF(RAND()&lt;CondReturn,_xlfn.LOGNORM.INV(RAND(),MV2,Sigma1),IF(RAND()&lt;CondGood,_xlfn.LOGNORM.INV(RAND(),MV3,Sigma2),MIN(MaxMultiple,Xm/(1-RAND())^(1/Alpha)))))</f>
        <v>2.4253804829741545</v>
      </c>
      <c r="E62" s="19">
        <f ca="1">IF(RAND()&lt;P_Zero,0,IF(RAND()&lt;CondReturn,_xlfn.LOGNORM.INV(RAND(),MV2,Sigma1),IF(RAND()&lt;CondGood,_xlfn.LOGNORM.INV(RAND(),MV3,Sigma2),MIN(MaxMultiple,Xm/(1-RAND())^(1/Alpha)))))</f>
        <v>0.94914126571670521</v>
      </c>
      <c r="F62" s="19">
        <f ca="1">IF(RAND()&lt;P_Zero,0,IF(RAND()&lt;CondReturn,_xlfn.LOGNORM.INV(RAND(),MV2,Sigma1),IF(RAND()&lt;CondGood,_xlfn.LOGNORM.INV(RAND(),MV3,Sigma2),MIN(MaxMultiple,Xm/(1-RAND())^(1/Alpha)))))</f>
        <v>0.65403860595475549</v>
      </c>
      <c r="G62" s="19">
        <f ca="1">IF(RAND()&lt;P_Zero,0,IF(RAND()&lt;CondReturn,_xlfn.LOGNORM.INV(RAND(),MV2,Sigma1),IF(RAND()&lt;CondGood,_xlfn.LOGNORM.INV(RAND(),MV3,Sigma2),MIN(MaxMultiple,Xm/(1-RAND())^(1/Alpha)))))</f>
        <v>0</v>
      </c>
      <c r="H62" s="19">
        <f ca="1">IF(RAND()&lt;P_Zero,0,IF(RAND()&lt;CondReturn,_xlfn.LOGNORM.INV(RAND(),MV2,Sigma1),IF(RAND()&lt;CondGood,_xlfn.LOGNORM.INV(RAND(),MV3,Sigma2),MIN(MaxMultiple,Xm/(1-RAND())^(1/Alpha)))))</f>
        <v>1.5601435892319973</v>
      </c>
      <c r="I62" s="19">
        <f ca="1">IF(RAND()&lt;P_Zero,0,IF(RAND()&lt;CondReturn,_xlfn.LOGNORM.INV(RAND(),MV2,Sigma1),IF(RAND()&lt;CondGood,_xlfn.LOGNORM.INV(RAND(),MV3,Sigma2),MIN(MaxMultiple,Xm/(1-RAND())^(1/Alpha)))))</f>
        <v>10.877933024213696</v>
      </c>
      <c r="J62" s="19">
        <f ca="1">IF(RAND()&lt;P_Zero,0,IF(RAND()&lt;CondReturn,_xlfn.LOGNORM.INV(RAND(),MV2,Sigma1),IF(RAND()&lt;CondGood,_xlfn.LOGNORM.INV(RAND(),MV3,Sigma2),MIN(MaxMultiple,Xm/(1-RAND())^(1/Alpha)))))</f>
        <v>0</v>
      </c>
      <c r="K62" s="19">
        <f ca="1">IF(RAND()&lt;P_Zero,0,IF(RAND()&lt;CondReturn,_xlfn.LOGNORM.INV(RAND(),MV2,Sigma1),IF(RAND()&lt;CondGood,_xlfn.LOGNORM.INV(RAND(),MV3,Sigma2),MIN(MaxMultiple,Xm/(1-RAND())^(1/Alpha)))))</f>
        <v>1.2822988670046409</v>
      </c>
      <c r="L62" s="19">
        <f ca="1">IF(RAND()&lt;P_Zero,0,IF(RAND()&lt;CondReturn,_xlfn.LOGNORM.INV(RAND(),MV2,Sigma1),IF(RAND()&lt;CondGood,_xlfn.LOGNORM.INV(RAND(),MV3,Sigma2),MIN(MaxMultiple,Xm/(1-RAND())^(1/Alpha)))))</f>
        <v>0</v>
      </c>
      <c r="M62" s="19">
        <f ca="1">IF(RAND()&lt;P_Zero,0,IF(RAND()&lt;CondReturn,_xlfn.LOGNORM.INV(RAND(),MV2,Sigma1),IF(RAND()&lt;CondGood,_xlfn.LOGNORM.INV(RAND(),MV3,Sigma2),MIN(MaxMultiple,Xm/(1-RAND())^(1/Alpha)))))</f>
        <v>0</v>
      </c>
      <c r="N62" s="19">
        <f ca="1">IF(RAND()&lt;P_Zero,0,IF(RAND()&lt;CondReturn,_xlfn.LOGNORM.INV(RAND(),MV2,Sigma1),IF(RAND()&lt;CondGood,_xlfn.LOGNORM.INV(RAND(),MV3,Sigma2),MIN(MaxMultiple,Xm/(1-RAND())^(1/Alpha)))))</f>
        <v>0</v>
      </c>
      <c r="O62" s="19">
        <f ca="1">IF(RAND()&lt;P_Zero,0,IF(RAND()&lt;CondReturn,_xlfn.LOGNORM.INV(RAND(),MV2,Sigma1),IF(RAND()&lt;CondGood,_xlfn.LOGNORM.INV(RAND(),MV3,Sigma2),MIN(MaxMultiple,Xm/(1-RAND())^(1/Alpha)))))</f>
        <v>1.0053422456019938</v>
      </c>
      <c r="P62" s="19">
        <f ca="1">IF(RAND()&lt;P_Zero,0,IF(RAND()&lt;CondReturn,_xlfn.LOGNORM.INV(RAND(),MV2,Sigma1),IF(RAND()&lt;CondGood,_xlfn.LOGNORM.INV(RAND(),MV3,Sigma2),MIN(MaxMultiple,Xm/(1-RAND())^(1/Alpha)))))</f>
        <v>0</v>
      </c>
      <c r="Q62" s="19">
        <f ca="1">IF(RAND()&lt;P_Zero,0,IF(RAND()&lt;CondReturn,_xlfn.LOGNORM.INV(RAND(),MV2,Sigma1),IF(RAND()&lt;CondGood,_xlfn.LOGNORM.INV(RAND(),MV3,Sigma2),MIN(MaxMultiple,Xm/(1-RAND())^(1/Alpha)))))</f>
        <v>0.38156826074579492</v>
      </c>
      <c r="R62" s="19">
        <f ca="1">IF(RAND()&lt;P_Zero,0,IF(RAND()&lt;CondReturn,_xlfn.LOGNORM.INV(RAND(),MV2,Sigma1),IF(RAND()&lt;CondGood,_xlfn.LOGNORM.INV(RAND(),MV3,Sigma2),MIN(MaxMultiple,Xm/(1-RAND())^(1/Alpha)))))</f>
        <v>0.60676615656277733</v>
      </c>
      <c r="S62" s="19">
        <f ca="1">IF(RAND()&lt;P_Zero,0,IF(RAND()&lt;CondReturn,_xlfn.LOGNORM.INV(RAND(),MV2,Sigma1),IF(RAND()&lt;CondGood,_xlfn.LOGNORM.INV(RAND(),MV3,Sigma2),MIN(MaxMultiple,Xm/(1-RAND())^(1/Alpha)))))</f>
        <v>0</v>
      </c>
      <c r="T62" s="19">
        <f ca="1">IF(RAND()&lt;P_Zero,0,IF(RAND()&lt;CondReturn,_xlfn.LOGNORM.INV(RAND(),MV2,Sigma1),IF(RAND()&lt;CondGood,_xlfn.LOGNORM.INV(RAND(),MV3,Sigma2),MIN(MaxMultiple,Xm/(1-RAND())^(1/Alpha)))))</f>
        <v>0.47505642824834554</v>
      </c>
      <c r="U62" s="19">
        <f ca="1">IF(RAND()&lt;P_Zero,0,IF(RAND()&lt;CondReturn,_xlfn.LOGNORM.INV(RAND(),MV2,Sigma1),IF(RAND()&lt;CondGood,_xlfn.LOGNORM.INV(RAND(),MV3,Sigma2),MIN(MaxMultiple,Xm/(1-RAND())^(1/Alpha)))))</f>
        <v>0</v>
      </c>
      <c r="V62" s="19">
        <f ca="1">IF(RAND()&lt;P_Zero,0,IF(RAND()&lt;CondReturn,_xlfn.LOGNORM.INV(RAND(),MV2,Sigma1),IF(RAND()&lt;CondGood,_xlfn.LOGNORM.INV(RAND(),MV3,Sigma2),MIN(MaxMultiple,Xm/(1-RAND())^(1/Alpha)))))</f>
        <v>0</v>
      </c>
      <c r="W62" s="19">
        <f ca="1">IF(RAND()&lt;P_Zero,0,IF(RAND()&lt;CondReturn,_xlfn.LOGNORM.INV(RAND(),MV2,Sigma1),IF(RAND()&lt;CondGood,_xlfn.LOGNORM.INV(RAND(),MV3,Sigma2),MIN(MaxMultiple,Xm/(1-RAND())^(1/Alpha)))))</f>
        <v>0.6350374956207876</v>
      </c>
      <c r="X62" s="19">
        <f ca="1">IF(RAND()&lt;P_Zero,0,IF(RAND()&lt;CondReturn,_xlfn.LOGNORM.INV(RAND(),MV2,Sigma1),IF(RAND()&lt;CondGood,_xlfn.LOGNORM.INV(RAND(),MV3,Sigma2),MIN(MaxMultiple,Xm/(1-RAND())^(1/Alpha)))))</f>
        <v>0</v>
      </c>
      <c r="Y62" s="19">
        <f ca="1">IF(RAND()&lt;P_Zero,0,IF(RAND()&lt;CondReturn,_xlfn.LOGNORM.INV(RAND(),MV2,Sigma1),IF(RAND()&lt;CondGood,_xlfn.LOGNORM.INV(RAND(),MV3,Sigma2),MIN(MaxMultiple,Xm/(1-RAND())^(1/Alpha)))))</f>
        <v>1.0169801724046885</v>
      </c>
      <c r="Z62" s="19">
        <f ca="1">IF(RAND()&lt;P_Zero,0,IF(RAND()&lt;CondReturn,_xlfn.LOGNORM.INV(RAND(),MV2,Sigma1),IF(RAND()&lt;CondGood,_xlfn.LOGNORM.INV(RAND(),MV3,Sigma2),MIN(MaxMultiple,Xm/(1-RAND())^(1/Alpha)))))</f>
        <v>0</v>
      </c>
      <c r="AA62" s="19">
        <f ca="1">IF(RAND()&lt;P_Zero,0,IF(RAND()&lt;CondReturn,_xlfn.LOGNORM.INV(RAND(),MV2,Sigma1),IF(RAND()&lt;CondGood,_xlfn.LOGNORM.INV(RAND(),MV3,Sigma2),MIN(MaxMultiple,Xm/(1-RAND())^(1/Alpha)))))</f>
        <v>0.70447070908827936</v>
      </c>
      <c r="AB62" s="19">
        <f t="shared" ca="1" si="0"/>
        <v>0.92498108599192708</v>
      </c>
      <c r="AC62" s="14">
        <f t="shared" ca="1" si="1"/>
        <v>44399092.127612501</v>
      </c>
      <c r="AD62" s="14">
        <f t="shared" ca="1" si="2"/>
        <v>-3600907.8723874986</v>
      </c>
      <c r="AE62" s="14">
        <f t="shared" si="3"/>
        <v>55628399.869093813</v>
      </c>
      <c r="AF62" s="14">
        <f t="shared" ca="1" si="4"/>
        <v>0</v>
      </c>
      <c r="AG62" s="14">
        <f t="shared" ca="1" si="5"/>
        <v>0</v>
      </c>
      <c r="AH62" s="14">
        <f t="shared" ca="1" si="6"/>
        <v>44399092.127612501</v>
      </c>
      <c r="AI62" s="19">
        <f t="shared" ca="1" si="7"/>
        <v>0.73998486879354164</v>
      </c>
    </row>
    <row r="63" spans="2:35" x14ac:dyDescent="0.2">
      <c r="B63" s="1">
        <v>58</v>
      </c>
      <c r="C63" s="19">
        <f ca="1">IF(RAND()&lt;P_Zero,0,IF(RAND()&lt;CondReturn,_xlfn.LOGNORM.INV(RAND(),MV2,Sigma1),IF(RAND()&lt;CondGood,_xlfn.LOGNORM.INV(RAND(),MV3,Sigma2),MIN(MaxMultiple,Xm/(1-RAND())^(1/Alpha)))))</f>
        <v>0.98386891045197511</v>
      </c>
      <c r="D63" s="19">
        <f ca="1">IF(RAND()&lt;P_Zero,0,IF(RAND()&lt;CondReturn,_xlfn.LOGNORM.INV(RAND(),MV2,Sigma1),IF(RAND()&lt;CondGood,_xlfn.LOGNORM.INV(RAND(),MV3,Sigma2),MIN(MaxMultiple,Xm/(1-RAND())^(1/Alpha)))))</f>
        <v>0.94872738712809113</v>
      </c>
      <c r="E63" s="19">
        <f ca="1">IF(RAND()&lt;P_Zero,0,IF(RAND()&lt;CondReturn,_xlfn.LOGNORM.INV(RAND(),MV2,Sigma1),IF(RAND()&lt;CondGood,_xlfn.LOGNORM.INV(RAND(),MV3,Sigma2),MIN(MaxMultiple,Xm/(1-RAND())^(1/Alpha)))))</f>
        <v>0.56350164933855917</v>
      </c>
      <c r="F63" s="19">
        <f ca="1">IF(RAND()&lt;P_Zero,0,IF(RAND()&lt;CondReturn,_xlfn.LOGNORM.INV(RAND(),MV2,Sigma1),IF(RAND()&lt;CondGood,_xlfn.LOGNORM.INV(RAND(),MV3,Sigma2),MIN(MaxMultiple,Xm/(1-RAND())^(1/Alpha)))))</f>
        <v>1.2706576560764931</v>
      </c>
      <c r="G63" s="19">
        <f ca="1">IF(RAND()&lt;P_Zero,0,IF(RAND()&lt;CondReturn,_xlfn.LOGNORM.INV(RAND(),MV2,Sigma1),IF(RAND()&lt;CondGood,_xlfn.LOGNORM.INV(RAND(),MV3,Sigma2),MIN(MaxMultiple,Xm/(1-RAND())^(1/Alpha)))))</f>
        <v>1.8034113770156193</v>
      </c>
      <c r="H63" s="19">
        <f ca="1">IF(RAND()&lt;P_Zero,0,IF(RAND()&lt;CondReturn,_xlfn.LOGNORM.INV(RAND(),MV2,Sigma1),IF(RAND()&lt;CondGood,_xlfn.LOGNORM.INV(RAND(),MV3,Sigma2),MIN(MaxMultiple,Xm/(1-RAND())^(1/Alpha)))))</f>
        <v>0</v>
      </c>
      <c r="I63" s="19">
        <f ca="1">IF(RAND()&lt;P_Zero,0,IF(RAND()&lt;CondReturn,_xlfn.LOGNORM.INV(RAND(),MV2,Sigma1),IF(RAND()&lt;CondGood,_xlfn.LOGNORM.INV(RAND(),MV3,Sigma2),MIN(MaxMultiple,Xm/(1-RAND())^(1/Alpha)))))</f>
        <v>33.208607980704471</v>
      </c>
      <c r="J63" s="19">
        <f ca="1">IF(RAND()&lt;P_Zero,0,IF(RAND()&lt;CondReturn,_xlfn.LOGNORM.INV(RAND(),MV2,Sigma1),IF(RAND()&lt;CondGood,_xlfn.LOGNORM.INV(RAND(),MV3,Sigma2),MIN(MaxMultiple,Xm/(1-RAND())^(1/Alpha)))))</f>
        <v>0</v>
      </c>
      <c r="K63" s="19">
        <f ca="1">IF(RAND()&lt;P_Zero,0,IF(RAND()&lt;CondReturn,_xlfn.LOGNORM.INV(RAND(),MV2,Sigma1),IF(RAND()&lt;CondGood,_xlfn.LOGNORM.INV(RAND(),MV3,Sigma2),MIN(MaxMultiple,Xm/(1-RAND())^(1/Alpha)))))</f>
        <v>1.081236622306708</v>
      </c>
      <c r="L63" s="19">
        <f ca="1">IF(RAND()&lt;P_Zero,0,IF(RAND()&lt;CondReturn,_xlfn.LOGNORM.INV(RAND(),MV2,Sigma1),IF(RAND()&lt;CondGood,_xlfn.LOGNORM.INV(RAND(),MV3,Sigma2),MIN(MaxMultiple,Xm/(1-RAND())^(1/Alpha)))))</f>
        <v>1.6801953206905818</v>
      </c>
      <c r="M63" s="19">
        <f ca="1">IF(RAND()&lt;P_Zero,0,IF(RAND()&lt;CondReturn,_xlfn.LOGNORM.INV(RAND(),MV2,Sigma1),IF(RAND()&lt;CondGood,_xlfn.LOGNORM.INV(RAND(),MV3,Sigma2),MIN(MaxMultiple,Xm/(1-RAND())^(1/Alpha)))))</f>
        <v>0</v>
      </c>
      <c r="N63" s="19">
        <f ca="1">IF(RAND()&lt;P_Zero,0,IF(RAND()&lt;CondReturn,_xlfn.LOGNORM.INV(RAND(),MV2,Sigma1),IF(RAND()&lt;CondGood,_xlfn.LOGNORM.INV(RAND(),MV3,Sigma2),MIN(MaxMultiple,Xm/(1-RAND())^(1/Alpha)))))</f>
        <v>0</v>
      </c>
      <c r="O63" s="19">
        <f ca="1">IF(RAND()&lt;P_Zero,0,IF(RAND()&lt;CondReturn,_xlfn.LOGNORM.INV(RAND(),MV2,Sigma1),IF(RAND()&lt;CondGood,_xlfn.LOGNORM.INV(RAND(),MV3,Sigma2),MIN(MaxMultiple,Xm/(1-RAND())^(1/Alpha)))))</f>
        <v>1.1026749158428417</v>
      </c>
      <c r="P63" s="19">
        <f ca="1">IF(RAND()&lt;P_Zero,0,IF(RAND()&lt;CondReturn,_xlfn.LOGNORM.INV(RAND(),MV2,Sigma1),IF(RAND()&lt;CondGood,_xlfn.LOGNORM.INV(RAND(),MV3,Sigma2),MIN(MaxMultiple,Xm/(1-RAND())^(1/Alpha)))))</f>
        <v>0.93790385403572429</v>
      </c>
      <c r="Q63" s="19">
        <f ca="1">IF(RAND()&lt;P_Zero,0,IF(RAND()&lt;CondReturn,_xlfn.LOGNORM.INV(RAND(),MV2,Sigma1),IF(RAND()&lt;CondGood,_xlfn.LOGNORM.INV(RAND(),MV3,Sigma2),MIN(MaxMultiple,Xm/(1-RAND())^(1/Alpha)))))</f>
        <v>1.6031415335970249</v>
      </c>
      <c r="R63" s="19">
        <f ca="1">IF(RAND()&lt;P_Zero,0,IF(RAND()&lt;CondReturn,_xlfn.LOGNORM.INV(RAND(),MV2,Sigma1),IF(RAND()&lt;CondGood,_xlfn.LOGNORM.INV(RAND(),MV3,Sigma2),MIN(MaxMultiple,Xm/(1-RAND())^(1/Alpha)))))</f>
        <v>0</v>
      </c>
      <c r="S63" s="19">
        <f ca="1">IF(RAND()&lt;P_Zero,0,IF(RAND()&lt;CondReturn,_xlfn.LOGNORM.INV(RAND(),MV2,Sigma1),IF(RAND()&lt;CondGood,_xlfn.LOGNORM.INV(RAND(),MV3,Sigma2),MIN(MaxMultiple,Xm/(1-RAND())^(1/Alpha)))))</f>
        <v>2.218468402621494</v>
      </c>
      <c r="T63" s="19">
        <f ca="1">IF(RAND()&lt;P_Zero,0,IF(RAND()&lt;CondReturn,_xlfn.LOGNORM.INV(RAND(),MV2,Sigma1),IF(RAND()&lt;CondGood,_xlfn.LOGNORM.INV(RAND(),MV3,Sigma2),MIN(MaxMultiple,Xm/(1-RAND())^(1/Alpha)))))</f>
        <v>0</v>
      </c>
      <c r="U63" s="19">
        <f ca="1">IF(RAND()&lt;P_Zero,0,IF(RAND()&lt;CondReturn,_xlfn.LOGNORM.INV(RAND(),MV2,Sigma1),IF(RAND()&lt;CondGood,_xlfn.LOGNORM.INV(RAND(),MV3,Sigma2),MIN(MaxMultiple,Xm/(1-RAND())^(1/Alpha)))))</f>
        <v>0.46092233151972684</v>
      </c>
      <c r="V63" s="19">
        <f ca="1">IF(RAND()&lt;P_Zero,0,IF(RAND()&lt;CondReturn,_xlfn.LOGNORM.INV(RAND(),MV2,Sigma1),IF(RAND()&lt;CondGood,_xlfn.LOGNORM.INV(RAND(),MV3,Sigma2),MIN(MaxMultiple,Xm/(1-RAND())^(1/Alpha)))))</f>
        <v>2.1334826721423679</v>
      </c>
      <c r="W63" s="19">
        <f ca="1">IF(RAND()&lt;P_Zero,0,IF(RAND()&lt;CondReturn,_xlfn.LOGNORM.INV(RAND(),MV2,Sigma1),IF(RAND()&lt;CondGood,_xlfn.LOGNORM.INV(RAND(),MV3,Sigma2),MIN(MaxMultiple,Xm/(1-RAND())^(1/Alpha)))))</f>
        <v>0.55340306242089887</v>
      </c>
      <c r="X63" s="19">
        <f ca="1">IF(RAND()&lt;P_Zero,0,IF(RAND()&lt;CondReturn,_xlfn.LOGNORM.INV(RAND(),MV2,Sigma1),IF(RAND()&lt;CondGood,_xlfn.LOGNORM.INV(RAND(),MV3,Sigma2),MIN(MaxMultiple,Xm/(1-RAND())^(1/Alpha)))))</f>
        <v>0</v>
      </c>
      <c r="Y63" s="19">
        <f ca="1">IF(RAND()&lt;P_Zero,0,IF(RAND()&lt;CondReturn,_xlfn.LOGNORM.INV(RAND(),MV2,Sigma1),IF(RAND()&lt;CondGood,_xlfn.LOGNORM.INV(RAND(),MV3,Sigma2),MIN(MaxMultiple,Xm/(1-RAND())^(1/Alpha)))))</f>
        <v>0.66810020160275252</v>
      </c>
      <c r="Z63" s="19">
        <f ca="1">IF(RAND()&lt;P_Zero,0,IF(RAND()&lt;CondReturn,_xlfn.LOGNORM.INV(RAND(),MV2,Sigma1),IF(RAND()&lt;CondGood,_xlfn.LOGNORM.INV(RAND(),MV3,Sigma2),MIN(MaxMultiple,Xm/(1-RAND())^(1/Alpha)))))</f>
        <v>0</v>
      </c>
      <c r="AA63" s="19">
        <f ca="1">IF(RAND()&lt;P_Zero,0,IF(RAND()&lt;CondReturn,_xlfn.LOGNORM.INV(RAND(),MV2,Sigma1),IF(RAND()&lt;CondGood,_xlfn.LOGNORM.INV(RAND(),MV3,Sigma2),MIN(MaxMultiple,Xm/(1-RAND())^(1/Alpha)))))</f>
        <v>1.6651002568821192</v>
      </c>
      <c r="AB63" s="19">
        <f t="shared" ca="1" si="0"/>
        <v>2.1153361653750982</v>
      </c>
      <c r="AC63" s="14">
        <f t="shared" ca="1" si="1"/>
        <v>101536135.93800472</v>
      </c>
      <c r="AD63" s="14">
        <f t="shared" ca="1" si="2"/>
        <v>53536135.938004717</v>
      </c>
      <c r="AE63" s="14">
        <f t="shared" si="3"/>
        <v>55628399.869093813</v>
      </c>
      <c r="AF63" s="14">
        <f t="shared" ca="1" si="4"/>
        <v>0</v>
      </c>
      <c r="AG63" s="14">
        <f t="shared" ca="1" si="5"/>
        <v>0</v>
      </c>
      <c r="AH63" s="14">
        <f t="shared" ca="1" si="6"/>
        <v>101536135.93800472</v>
      </c>
      <c r="AI63" s="19">
        <f t="shared" ca="1" si="7"/>
        <v>1.6922689323000786</v>
      </c>
    </row>
    <row r="64" spans="2:35" x14ac:dyDescent="0.2">
      <c r="B64" s="1">
        <v>59</v>
      </c>
      <c r="C64" s="19">
        <f ca="1">IF(RAND()&lt;P_Zero,0,IF(RAND()&lt;CondReturn,_xlfn.LOGNORM.INV(RAND(),MV2,Sigma1),IF(RAND()&lt;CondGood,_xlfn.LOGNORM.INV(RAND(),MV3,Sigma2),MIN(MaxMultiple,Xm/(1-RAND())^(1/Alpha)))))</f>
        <v>0</v>
      </c>
      <c r="D64" s="19">
        <f ca="1">IF(RAND()&lt;P_Zero,0,IF(RAND()&lt;CondReturn,_xlfn.LOGNORM.INV(RAND(),MV2,Sigma1),IF(RAND()&lt;CondGood,_xlfn.LOGNORM.INV(RAND(),MV3,Sigma2),MIN(MaxMultiple,Xm/(1-RAND())^(1/Alpha)))))</f>
        <v>0</v>
      </c>
      <c r="E64" s="19">
        <f ca="1">IF(RAND()&lt;P_Zero,0,IF(RAND()&lt;CondReturn,_xlfn.LOGNORM.INV(RAND(),MV2,Sigma1),IF(RAND()&lt;CondGood,_xlfn.LOGNORM.INV(RAND(),MV3,Sigma2),MIN(MaxMultiple,Xm/(1-RAND())^(1/Alpha)))))</f>
        <v>0</v>
      </c>
      <c r="F64" s="19">
        <f ca="1">IF(RAND()&lt;P_Zero,0,IF(RAND()&lt;CondReturn,_xlfn.LOGNORM.INV(RAND(),MV2,Sigma1),IF(RAND()&lt;CondGood,_xlfn.LOGNORM.INV(RAND(),MV3,Sigma2),MIN(MaxMultiple,Xm/(1-RAND())^(1/Alpha)))))</f>
        <v>0</v>
      </c>
      <c r="G64" s="19">
        <f ca="1">IF(RAND()&lt;P_Zero,0,IF(RAND()&lt;CondReturn,_xlfn.LOGNORM.INV(RAND(),MV2,Sigma1),IF(RAND()&lt;CondGood,_xlfn.LOGNORM.INV(RAND(),MV3,Sigma2),MIN(MaxMultiple,Xm/(1-RAND())^(1/Alpha)))))</f>
        <v>0.99190015350174399</v>
      </c>
      <c r="H64" s="19">
        <f ca="1">IF(RAND()&lt;P_Zero,0,IF(RAND()&lt;CondReturn,_xlfn.LOGNORM.INV(RAND(),MV2,Sigma1),IF(RAND()&lt;CondGood,_xlfn.LOGNORM.INV(RAND(),MV3,Sigma2),MIN(MaxMultiple,Xm/(1-RAND())^(1/Alpha)))))</f>
        <v>0.86259654122630725</v>
      </c>
      <c r="I64" s="19">
        <f ca="1">IF(RAND()&lt;P_Zero,0,IF(RAND()&lt;CondReturn,_xlfn.LOGNORM.INV(RAND(),MV2,Sigma1),IF(RAND()&lt;CondGood,_xlfn.LOGNORM.INV(RAND(),MV3,Sigma2),MIN(MaxMultiple,Xm/(1-RAND())^(1/Alpha)))))</f>
        <v>0</v>
      </c>
      <c r="J64" s="19">
        <f ca="1">IF(RAND()&lt;P_Zero,0,IF(RAND()&lt;CondReturn,_xlfn.LOGNORM.INV(RAND(),MV2,Sigma1),IF(RAND()&lt;CondGood,_xlfn.LOGNORM.INV(RAND(),MV3,Sigma2),MIN(MaxMultiple,Xm/(1-RAND())^(1/Alpha)))))</f>
        <v>0</v>
      </c>
      <c r="K64" s="19">
        <f ca="1">IF(RAND()&lt;P_Zero,0,IF(RAND()&lt;CondReturn,_xlfn.LOGNORM.INV(RAND(),MV2,Sigma1),IF(RAND()&lt;CondGood,_xlfn.LOGNORM.INV(RAND(),MV3,Sigma2),MIN(MaxMultiple,Xm/(1-RAND())^(1/Alpha)))))</f>
        <v>0</v>
      </c>
      <c r="L64" s="19">
        <f ca="1">IF(RAND()&lt;P_Zero,0,IF(RAND()&lt;CondReturn,_xlfn.LOGNORM.INV(RAND(),MV2,Sigma1),IF(RAND()&lt;CondGood,_xlfn.LOGNORM.INV(RAND(),MV3,Sigma2),MIN(MaxMultiple,Xm/(1-RAND())^(1/Alpha)))))</f>
        <v>0</v>
      </c>
      <c r="M64" s="19">
        <f ca="1">IF(RAND()&lt;P_Zero,0,IF(RAND()&lt;CondReturn,_xlfn.LOGNORM.INV(RAND(),MV2,Sigma1),IF(RAND()&lt;CondGood,_xlfn.LOGNORM.INV(RAND(),MV3,Sigma2),MIN(MaxMultiple,Xm/(1-RAND())^(1/Alpha)))))</f>
        <v>87.937413308037549</v>
      </c>
      <c r="N64" s="19">
        <f ca="1">IF(RAND()&lt;P_Zero,0,IF(RAND()&lt;CondReturn,_xlfn.LOGNORM.INV(RAND(),MV2,Sigma1),IF(RAND()&lt;CondGood,_xlfn.LOGNORM.INV(RAND(),MV3,Sigma2),MIN(MaxMultiple,Xm/(1-RAND())^(1/Alpha)))))</f>
        <v>0.78643233128280232</v>
      </c>
      <c r="O64" s="19">
        <f ca="1">IF(RAND()&lt;P_Zero,0,IF(RAND()&lt;CondReturn,_xlfn.LOGNORM.INV(RAND(),MV2,Sigma1),IF(RAND()&lt;CondGood,_xlfn.LOGNORM.INV(RAND(),MV3,Sigma2),MIN(MaxMultiple,Xm/(1-RAND())^(1/Alpha)))))</f>
        <v>0.89729882804112271</v>
      </c>
      <c r="P64" s="19">
        <f ca="1">IF(RAND()&lt;P_Zero,0,IF(RAND()&lt;CondReturn,_xlfn.LOGNORM.INV(RAND(),MV2,Sigma1),IF(RAND()&lt;CondGood,_xlfn.LOGNORM.INV(RAND(),MV3,Sigma2),MIN(MaxMultiple,Xm/(1-RAND())^(1/Alpha)))))</f>
        <v>1.7151739575434035</v>
      </c>
      <c r="Q64" s="19">
        <f ca="1">IF(RAND()&lt;P_Zero,0,IF(RAND()&lt;CondReturn,_xlfn.LOGNORM.INV(RAND(),MV2,Sigma1),IF(RAND()&lt;CondGood,_xlfn.LOGNORM.INV(RAND(),MV3,Sigma2),MIN(MaxMultiple,Xm/(1-RAND())^(1/Alpha)))))</f>
        <v>1.1693908362760403</v>
      </c>
      <c r="R64" s="19">
        <f ca="1">IF(RAND()&lt;P_Zero,0,IF(RAND()&lt;CondReturn,_xlfn.LOGNORM.INV(RAND(),MV2,Sigma1),IF(RAND()&lt;CondGood,_xlfn.LOGNORM.INV(RAND(),MV3,Sigma2),MIN(MaxMultiple,Xm/(1-RAND())^(1/Alpha)))))</f>
        <v>0</v>
      </c>
      <c r="S64" s="19">
        <f ca="1">IF(RAND()&lt;P_Zero,0,IF(RAND()&lt;CondReturn,_xlfn.LOGNORM.INV(RAND(),MV2,Sigma1),IF(RAND()&lt;CondGood,_xlfn.LOGNORM.INV(RAND(),MV3,Sigma2),MIN(MaxMultiple,Xm/(1-RAND())^(1/Alpha)))))</f>
        <v>0.4922224862758367</v>
      </c>
      <c r="T64" s="19">
        <f ca="1">IF(RAND()&lt;P_Zero,0,IF(RAND()&lt;CondReturn,_xlfn.LOGNORM.INV(RAND(),MV2,Sigma1),IF(RAND()&lt;CondGood,_xlfn.LOGNORM.INV(RAND(),MV3,Sigma2),MIN(MaxMultiple,Xm/(1-RAND())^(1/Alpha)))))</f>
        <v>1.6631194610267039</v>
      </c>
      <c r="U64" s="19">
        <f ca="1">IF(RAND()&lt;P_Zero,0,IF(RAND()&lt;CondReturn,_xlfn.LOGNORM.INV(RAND(),MV2,Sigma1),IF(RAND()&lt;CondGood,_xlfn.LOGNORM.INV(RAND(),MV3,Sigma2),MIN(MaxMultiple,Xm/(1-RAND())^(1/Alpha)))))</f>
        <v>300</v>
      </c>
      <c r="V64" s="19">
        <f ca="1">IF(RAND()&lt;P_Zero,0,IF(RAND()&lt;CondReturn,_xlfn.LOGNORM.INV(RAND(),MV2,Sigma1),IF(RAND()&lt;CondGood,_xlfn.LOGNORM.INV(RAND(),MV3,Sigma2),MIN(MaxMultiple,Xm/(1-RAND())^(1/Alpha)))))</f>
        <v>0</v>
      </c>
      <c r="W64" s="19">
        <f ca="1">IF(RAND()&lt;P_Zero,0,IF(RAND()&lt;CondReturn,_xlfn.LOGNORM.INV(RAND(),MV2,Sigma1),IF(RAND()&lt;CondGood,_xlfn.LOGNORM.INV(RAND(),MV3,Sigma2),MIN(MaxMultiple,Xm/(1-RAND())^(1/Alpha)))))</f>
        <v>0</v>
      </c>
      <c r="X64" s="19">
        <f ca="1">IF(RAND()&lt;P_Zero,0,IF(RAND()&lt;CondReturn,_xlfn.LOGNORM.INV(RAND(),MV2,Sigma1),IF(RAND()&lt;CondGood,_xlfn.LOGNORM.INV(RAND(),MV3,Sigma2),MIN(MaxMultiple,Xm/(1-RAND())^(1/Alpha)))))</f>
        <v>0.72475691931869868</v>
      </c>
      <c r="Y64" s="19">
        <f ca="1">IF(RAND()&lt;P_Zero,0,IF(RAND()&lt;CondReturn,_xlfn.LOGNORM.INV(RAND(),MV2,Sigma1),IF(RAND()&lt;CondGood,_xlfn.LOGNORM.INV(RAND(),MV3,Sigma2),MIN(MaxMultiple,Xm/(1-RAND())^(1/Alpha)))))</f>
        <v>0</v>
      </c>
      <c r="Z64" s="19">
        <f ca="1">IF(RAND()&lt;P_Zero,0,IF(RAND()&lt;CondReturn,_xlfn.LOGNORM.INV(RAND(),MV2,Sigma1),IF(RAND()&lt;CondGood,_xlfn.LOGNORM.INV(RAND(),MV3,Sigma2),MIN(MaxMultiple,Xm/(1-RAND())^(1/Alpha)))))</f>
        <v>0</v>
      </c>
      <c r="AA64" s="19">
        <f ca="1">IF(RAND()&lt;P_Zero,0,IF(RAND()&lt;CondReturn,_xlfn.LOGNORM.INV(RAND(),MV2,Sigma1),IF(RAND()&lt;CondGood,_xlfn.LOGNORM.INV(RAND(),MV3,Sigma2),MIN(MaxMultiple,Xm/(1-RAND())^(1/Alpha)))))</f>
        <v>0.74642410901283318</v>
      </c>
      <c r="AB64" s="19">
        <f t="shared" ca="1" si="0"/>
        <v>15.91946915726172</v>
      </c>
      <c r="AC64" s="14">
        <f t="shared" ca="1" si="1"/>
        <v>764134519.54856253</v>
      </c>
      <c r="AD64" s="14">
        <f t="shared" ca="1" si="2"/>
        <v>716134519.54856253</v>
      </c>
      <c r="AE64" s="14">
        <f t="shared" si="3"/>
        <v>55628399.869093813</v>
      </c>
      <c r="AF64" s="14">
        <f t="shared" ca="1" si="4"/>
        <v>660506119.67946875</v>
      </c>
      <c r="AG64" s="14">
        <f t="shared" ca="1" si="5"/>
        <v>132101223.93589376</v>
      </c>
      <c r="AH64" s="14">
        <f t="shared" ca="1" si="6"/>
        <v>632033295.61266875</v>
      </c>
      <c r="AI64" s="19">
        <f t="shared" ca="1" si="7"/>
        <v>10.533888260211146</v>
      </c>
    </row>
    <row r="65" spans="2:35" x14ac:dyDescent="0.2">
      <c r="B65" s="1">
        <v>60</v>
      </c>
      <c r="C65" s="19">
        <f ca="1">IF(RAND()&lt;P_Zero,0,IF(RAND()&lt;CondReturn,_xlfn.LOGNORM.INV(RAND(),MV2,Sigma1),IF(RAND()&lt;CondGood,_xlfn.LOGNORM.INV(RAND(),MV3,Sigma2),MIN(MaxMultiple,Xm/(1-RAND())^(1/Alpha)))))</f>
        <v>0</v>
      </c>
      <c r="D65" s="19">
        <f ca="1">IF(RAND()&lt;P_Zero,0,IF(RAND()&lt;CondReturn,_xlfn.LOGNORM.INV(RAND(),MV2,Sigma1),IF(RAND()&lt;CondGood,_xlfn.LOGNORM.INV(RAND(),MV3,Sigma2),MIN(MaxMultiple,Xm/(1-RAND())^(1/Alpha)))))</f>
        <v>0</v>
      </c>
      <c r="E65" s="19">
        <f ca="1">IF(RAND()&lt;P_Zero,0,IF(RAND()&lt;CondReturn,_xlfn.LOGNORM.INV(RAND(),MV2,Sigma1),IF(RAND()&lt;CondGood,_xlfn.LOGNORM.INV(RAND(),MV3,Sigma2),MIN(MaxMultiple,Xm/(1-RAND())^(1/Alpha)))))</f>
        <v>0.61394871600006118</v>
      </c>
      <c r="F65" s="19">
        <f ca="1">IF(RAND()&lt;P_Zero,0,IF(RAND()&lt;CondReturn,_xlfn.LOGNORM.INV(RAND(),MV2,Sigma1),IF(RAND()&lt;CondGood,_xlfn.LOGNORM.INV(RAND(),MV3,Sigma2),MIN(MaxMultiple,Xm/(1-RAND())^(1/Alpha)))))</f>
        <v>0.87386923177224829</v>
      </c>
      <c r="G65" s="19">
        <f ca="1">IF(RAND()&lt;P_Zero,0,IF(RAND()&lt;CondReturn,_xlfn.LOGNORM.INV(RAND(),MV2,Sigma1),IF(RAND()&lt;CondGood,_xlfn.LOGNORM.INV(RAND(),MV3,Sigma2),MIN(MaxMultiple,Xm/(1-RAND())^(1/Alpha)))))</f>
        <v>0.59073024367803217</v>
      </c>
      <c r="H65" s="19">
        <f ca="1">IF(RAND()&lt;P_Zero,0,IF(RAND()&lt;CondReturn,_xlfn.LOGNORM.INV(RAND(),MV2,Sigma1),IF(RAND()&lt;CondGood,_xlfn.LOGNORM.INV(RAND(),MV3,Sigma2),MIN(MaxMultiple,Xm/(1-RAND())^(1/Alpha)))))</f>
        <v>0</v>
      </c>
      <c r="I65" s="19">
        <f ca="1">IF(RAND()&lt;P_Zero,0,IF(RAND()&lt;CondReturn,_xlfn.LOGNORM.INV(RAND(),MV2,Sigma1),IF(RAND()&lt;CondGood,_xlfn.LOGNORM.INV(RAND(),MV3,Sigma2),MIN(MaxMultiple,Xm/(1-RAND())^(1/Alpha)))))</f>
        <v>0</v>
      </c>
      <c r="J65" s="19">
        <f ca="1">IF(RAND()&lt;P_Zero,0,IF(RAND()&lt;CondReturn,_xlfn.LOGNORM.INV(RAND(),MV2,Sigma1),IF(RAND()&lt;CondGood,_xlfn.LOGNORM.INV(RAND(),MV3,Sigma2),MIN(MaxMultiple,Xm/(1-RAND())^(1/Alpha)))))</f>
        <v>0</v>
      </c>
      <c r="K65" s="19">
        <f ca="1">IF(RAND()&lt;P_Zero,0,IF(RAND()&lt;CondReturn,_xlfn.LOGNORM.INV(RAND(),MV2,Sigma1),IF(RAND()&lt;CondGood,_xlfn.LOGNORM.INV(RAND(),MV3,Sigma2),MIN(MaxMultiple,Xm/(1-RAND())^(1/Alpha)))))</f>
        <v>2.0086378487886702</v>
      </c>
      <c r="L65" s="19">
        <f ca="1">IF(RAND()&lt;P_Zero,0,IF(RAND()&lt;CondReturn,_xlfn.LOGNORM.INV(RAND(),MV2,Sigma1),IF(RAND()&lt;CondGood,_xlfn.LOGNORM.INV(RAND(),MV3,Sigma2),MIN(MaxMultiple,Xm/(1-RAND())^(1/Alpha)))))</f>
        <v>0</v>
      </c>
      <c r="M65" s="19">
        <f ca="1">IF(RAND()&lt;P_Zero,0,IF(RAND()&lt;CondReturn,_xlfn.LOGNORM.INV(RAND(),MV2,Sigma1),IF(RAND()&lt;CondGood,_xlfn.LOGNORM.INV(RAND(),MV3,Sigma2),MIN(MaxMultiple,Xm/(1-RAND())^(1/Alpha)))))</f>
        <v>0</v>
      </c>
      <c r="N65" s="19">
        <f ca="1">IF(RAND()&lt;P_Zero,0,IF(RAND()&lt;CondReturn,_xlfn.LOGNORM.INV(RAND(),MV2,Sigma1),IF(RAND()&lt;CondGood,_xlfn.LOGNORM.INV(RAND(),MV3,Sigma2),MIN(MaxMultiple,Xm/(1-RAND())^(1/Alpha)))))</f>
        <v>1.204490469386867</v>
      </c>
      <c r="O65" s="19">
        <f ca="1">IF(RAND()&lt;P_Zero,0,IF(RAND()&lt;CondReturn,_xlfn.LOGNORM.INV(RAND(),MV2,Sigma1),IF(RAND()&lt;CondGood,_xlfn.LOGNORM.INV(RAND(),MV3,Sigma2),MIN(MaxMultiple,Xm/(1-RAND())^(1/Alpha)))))</f>
        <v>1.082254154153099</v>
      </c>
      <c r="P65" s="19">
        <f ca="1">IF(RAND()&lt;P_Zero,0,IF(RAND()&lt;CondReturn,_xlfn.LOGNORM.INV(RAND(),MV2,Sigma1),IF(RAND()&lt;CondGood,_xlfn.LOGNORM.INV(RAND(),MV3,Sigma2),MIN(MaxMultiple,Xm/(1-RAND())^(1/Alpha)))))</f>
        <v>0.65562328788338464</v>
      </c>
      <c r="Q65" s="19">
        <f ca="1">IF(RAND()&lt;P_Zero,0,IF(RAND()&lt;CondReturn,_xlfn.LOGNORM.INV(RAND(),MV2,Sigma1),IF(RAND()&lt;CondGood,_xlfn.LOGNORM.INV(RAND(),MV3,Sigma2),MIN(MaxMultiple,Xm/(1-RAND())^(1/Alpha)))))</f>
        <v>0</v>
      </c>
      <c r="R65" s="19">
        <f ca="1">IF(RAND()&lt;P_Zero,0,IF(RAND()&lt;CondReturn,_xlfn.LOGNORM.INV(RAND(),MV2,Sigma1),IF(RAND()&lt;CondGood,_xlfn.LOGNORM.INV(RAND(),MV3,Sigma2),MIN(MaxMultiple,Xm/(1-RAND())^(1/Alpha)))))</f>
        <v>0.42174372166634805</v>
      </c>
      <c r="S65" s="19">
        <f ca="1">IF(RAND()&lt;P_Zero,0,IF(RAND()&lt;CondReturn,_xlfn.LOGNORM.INV(RAND(),MV2,Sigma1),IF(RAND()&lt;CondGood,_xlfn.LOGNORM.INV(RAND(),MV3,Sigma2),MIN(MaxMultiple,Xm/(1-RAND())^(1/Alpha)))))</f>
        <v>2.766442312613024</v>
      </c>
      <c r="T65" s="19">
        <f ca="1">IF(RAND()&lt;P_Zero,0,IF(RAND()&lt;CondReturn,_xlfn.LOGNORM.INV(RAND(),MV2,Sigma1),IF(RAND()&lt;CondGood,_xlfn.LOGNORM.INV(RAND(),MV3,Sigma2),MIN(MaxMultiple,Xm/(1-RAND())^(1/Alpha)))))</f>
        <v>0.84579766184617844</v>
      </c>
      <c r="U65" s="19">
        <f ca="1">IF(RAND()&lt;P_Zero,0,IF(RAND()&lt;CondReturn,_xlfn.LOGNORM.INV(RAND(),MV2,Sigma1),IF(RAND()&lt;CondGood,_xlfn.LOGNORM.INV(RAND(),MV3,Sigma2),MIN(MaxMultiple,Xm/(1-RAND())^(1/Alpha)))))</f>
        <v>0</v>
      </c>
      <c r="V65" s="19">
        <f ca="1">IF(RAND()&lt;P_Zero,0,IF(RAND()&lt;CondReturn,_xlfn.LOGNORM.INV(RAND(),MV2,Sigma1),IF(RAND()&lt;CondGood,_xlfn.LOGNORM.INV(RAND(),MV3,Sigma2),MIN(MaxMultiple,Xm/(1-RAND())^(1/Alpha)))))</f>
        <v>2.7462097402306695</v>
      </c>
      <c r="W65" s="19">
        <f ca="1">IF(RAND()&lt;P_Zero,0,IF(RAND()&lt;CondReturn,_xlfn.LOGNORM.INV(RAND(),MV2,Sigma1),IF(RAND()&lt;CondGood,_xlfn.LOGNORM.INV(RAND(),MV3,Sigma2),MIN(MaxMultiple,Xm/(1-RAND())^(1/Alpha)))))</f>
        <v>0.69169552199762852</v>
      </c>
      <c r="X65" s="19">
        <f ca="1">IF(RAND()&lt;P_Zero,0,IF(RAND()&lt;CondReturn,_xlfn.LOGNORM.INV(RAND(),MV2,Sigma1),IF(RAND()&lt;CondGood,_xlfn.LOGNORM.INV(RAND(),MV3,Sigma2),MIN(MaxMultiple,Xm/(1-RAND())^(1/Alpha)))))</f>
        <v>1.4548845218028594</v>
      </c>
      <c r="Y65" s="19">
        <f ca="1">IF(RAND()&lt;P_Zero,0,IF(RAND()&lt;CondReturn,_xlfn.LOGNORM.INV(RAND(),MV2,Sigma1),IF(RAND()&lt;CondGood,_xlfn.LOGNORM.INV(RAND(),MV3,Sigma2),MIN(MaxMultiple,Xm/(1-RAND())^(1/Alpha)))))</f>
        <v>0</v>
      </c>
      <c r="Z65" s="19">
        <f ca="1">IF(RAND()&lt;P_Zero,0,IF(RAND()&lt;CondReturn,_xlfn.LOGNORM.INV(RAND(),MV2,Sigma1),IF(RAND()&lt;CondGood,_xlfn.LOGNORM.INV(RAND(),MV3,Sigma2),MIN(MaxMultiple,Xm/(1-RAND())^(1/Alpha)))))</f>
        <v>1.1206675129142563</v>
      </c>
      <c r="AA65" s="19">
        <f ca="1">IF(RAND()&lt;P_Zero,0,IF(RAND()&lt;CondReturn,_xlfn.LOGNORM.INV(RAND(),MV2,Sigma1),IF(RAND()&lt;CondGood,_xlfn.LOGNORM.INV(RAND(),MV3,Sigma2),MIN(MaxMultiple,Xm/(1-RAND())^(1/Alpha)))))</f>
        <v>0</v>
      </c>
      <c r="AB65" s="19">
        <f t="shared" ca="1" si="0"/>
        <v>0.68307979778933303</v>
      </c>
      <c r="AC65" s="14">
        <f t="shared" ca="1" si="1"/>
        <v>32787830.293887984</v>
      </c>
      <c r="AD65" s="14">
        <f t="shared" ca="1" si="2"/>
        <v>-15212169.706112016</v>
      </c>
      <c r="AE65" s="14">
        <f t="shared" si="3"/>
        <v>55628399.869093813</v>
      </c>
      <c r="AF65" s="14">
        <f t="shared" ca="1" si="4"/>
        <v>0</v>
      </c>
      <c r="AG65" s="14">
        <f t="shared" ca="1" si="5"/>
        <v>0</v>
      </c>
      <c r="AH65" s="14">
        <f t="shared" ca="1" si="6"/>
        <v>32787830.293887984</v>
      </c>
      <c r="AI65" s="19">
        <f t="shared" ca="1" si="7"/>
        <v>0.54646383823146638</v>
      </c>
    </row>
    <row r="66" spans="2:35" x14ac:dyDescent="0.2">
      <c r="B66" s="1">
        <v>61</v>
      </c>
      <c r="C66" s="19">
        <f ca="1">IF(RAND()&lt;P_Zero,0,IF(RAND()&lt;CondReturn,_xlfn.LOGNORM.INV(RAND(),MV2,Sigma1),IF(RAND()&lt;CondGood,_xlfn.LOGNORM.INV(RAND(),MV3,Sigma2),MIN(MaxMultiple,Xm/(1-RAND())^(1/Alpha)))))</f>
        <v>0</v>
      </c>
      <c r="D66" s="19">
        <f ca="1">IF(RAND()&lt;P_Zero,0,IF(RAND()&lt;CondReturn,_xlfn.LOGNORM.INV(RAND(),MV2,Sigma1),IF(RAND()&lt;CondGood,_xlfn.LOGNORM.INV(RAND(),MV3,Sigma2),MIN(MaxMultiple,Xm/(1-RAND())^(1/Alpha)))))</f>
        <v>0</v>
      </c>
      <c r="E66" s="19">
        <f ca="1">IF(RAND()&lt;P_Zero,0,IF(RAND()&lt;CondReturn,_xlfn.LOGNORM.INV(RAND(),MV2,Sigma1),IF(RAND()&lt;CondGood,_xlfn.LOGNORM.INV(RAND(),MV3,Sigma2),MIN(MaxMultiple,Xm/(1-RAND())^(1/Alpha)))))</f>
        <v>0</v>
      </c>
      <c r="F66" s="19">
        <f ca="1">IF(RAND()&lt;P_Zero,0,IF(RAND()&lt;CondReturn,_xlfn.LOGNORM.INV(RAND(),MV2,Sigma1),IF(RAND()&lt;CondGood,_xlfn.LOGNORM.INV(RAND(),MV3,Sigma2),MIN(MaxMultiple,Xm/(1-RAND())^(1/Alpha)))))</f>
        <v>0</v>
      </c>
      <c r="G66" s="19">
        <f ca="1">IF(RAND()&lt;P_Zero,0,IF(RAND()&lt;CondReturn,_xlfn.LOGNORM.INV(RAND(),MV2,Sigma1),IF(RAND()&lt;CondGood,_xlfn.LOGNORM.INV(RAND(),MV3,Sigma2),MIN(MaxMultiple,Xm/(1-RAND())^(1/Alpha)))))</f>
        <v>0</v>
      </c>
      <c r="H66" s="19">
        <f ca="1">IF(RAND()&lt;P_Zero,0,IF(RAND()&lt;CondReturn,_xlfn.LOGNORM.INV(RAND(),MV2,Sigma1),IF(RAND()&lt;CondGood,_xlfn.LOGNORM.INV(RAND(),MV3,Sigma2),MIN(MaxMultiple,Xm/(1-RAND())^(1/Alpha)))))</f>
        <v>23.513884834929705</v>
      </c>
      <c r="I66" s="19">
        <f ca="1">IF(RAND()&lt;P_Zero,0,IF(RAND()&lt;CondReturn,_xlfn.LOGNORM.INV(RAND(),MV2,Sigma1),IF(RAND()&lt;CondGood,_xlfn.LOGNORM.INV(RAND(),MV3,Sigma2),MIN(MaxMultiple,Xm/(1-RAND())^(1/Alpha)))))</f>
        <v>0</v>
      </c>
      <c r="J66" s="19">
        <f ca="1">IF(RAND()&lt;P_Zero,0,IF(RAND()&lt;CondReturn,_xlfn.LOGNORM.INV(RAND(),MV2,Sigma1),IF(RAND()&lt;CondGood,_xlfn.LOGNORM.INV(RAND(),MV3,Sigma2),MIN(MaxMultiple,Xm/(1-RAND())^(1/Alpha)))))</f>
        <v>0</v>
      </c>
      <c r="K66" s="19">
        <f ca="1">IF(RAND()&lt;P_Zero,0,IF(RAND()&lt;CondReturn,_xlfn.LOGNORM.INV(RAND(),MV2,Sigma1),IF(RAND()&lt;CondGood,_xlfn.LOGNORM.INV(RAND(),MV3,Sigma2),MIN(MaxMultiple,Xm/(1-RAND())^(1/Alpha)))))</f>
        <v>0</v>
      </c>
      <c r="L66" s="19">
        <f ca="1">IF(RAND()&lt;P_Zero,0,IF(RAND()&lt;CondReturn,_xlfn.LOGNORM.INV(RAND(),MV2,Sigma1),IF(RAND()&lt;CondGood,_xlfn.LOGNORM.INV(RAND(),MV3,Sigma2),MIN(MaxMultiple,Xm/(1-RAND())^(1/Alpha)))))</f>
        <v>2.387943576358972</v>
      </c>
      <c r="M66" s="19">
        <f ca="1">IF(RAND()&lt;P_Zero,0,IF(RAND()&lt;CondReturn,_xlfn.LOGNORM.INV(RAND(),MV2,Sigma1),IF(RAND()&lt;CondGood,_xlfn.LOGNORM.INV(RAND(),MV3,Sigma2),MIN(MaxMultiple,Xm/(1-RAND())^(1/Alpha)))))</f>
        <v>0.61224991158688424</v>
      </c>
      <c r="N66" s="19">
        <f ca="1">IF(RAND()&lt;P_Zero,0,IF(RAND()&lt;CondReturn,_xlfn.LOGNORM.INV(RAND(),MV2,Sigma1),IF(RAND()&lt;CondGood,_xlfn.LOGNORM.INV(RAND(),MV3,Sigma2),MIN(MaxMultiple,Xm/(1-RAND())^(1/Alpha)))))</f>
        <v>18.601713295878767</v>
      </c>
      <c r="O66" s="19">
        <f ca="1">IF(RAND()&lt;P_Zero,0,IF(RAND()&lt;CondReturn,_xlfn.LOGNORM.INV(RAND(),MV2,Sigma1),IF(RAND()&lt;CondGood,_xlfn.LOGNORM.INV(RAND(),MV3,Sigma2),MIN(MaxMultiple,Xm/(1-RAND())^(1/Alpha)))))</f>
        <v>2.4660898241026965</v>
      </c>
      <c r="P66" s="19">
        <f ca="1">IF(RAND()&lt;P_Zero,0,IF(RAND()&lt;CondReturn,_xlfn.LOGNORM.INV(RAND(),MV2,Sigma1),IF(RAND()&lt;CondGood,_xlfn.LOGNORM.INV(RAND(),MV3,Sigma2),MIN(MaxMultiple,Xm/(1-RAND())^(1/Alpha)))))</f>
        <v>0</v>
      </c>
      <c r="Q66" s="19">
        <f ca="1">IF(RAND()&lt;P_Zero,0,IF(RAND()&lt;CondReturn,_xlfn.LOGNORM.INV(RAND(),MV2,Sigma1),IF(RAND()&lt;CondGood,_xlfn.LOGNORM.INV(RAND(),MV3,Sigma2),MIN(MaxMultiple,Xm/(1-RAND())^(1/Alpha)))))</f>
        <v>0</v>
      </c>
      <c r="R66" s="19">
        <f ca="1">IF(RAND()&lt;P_Zero,0,IF(RAND()&lt;CondReturn,_xlfn.LOGNORM.INV(RAND(),MV2,Sigma1),IF(RAND()&lt;CondGood,_xlfn.LOGNORM.INV(RAND(),MV3,Sigma2),MIN(MaxMultiple,Xm/(1-RAND())^(1/Alpha)))))</f>
        <v>0</v>
      </c>
      <c r="S66" s="19">
        <f ca="1">IF(RAND()&lt;P_Zero,0,IF(RAND()&lt;CondReturn,_xlfn.LOGNORM.INV(RAND(),MV2,Sigma1),IF(RAND()&lt;CondGood,_xlfn.LOGNORM.INV(RAND(),MV3,Sigma2),MIN(MaxMultiple,Xm/(1-RAND())^(1/Alpha)))))</f>
        <v>0.48667348682887118</v>
      </c>
      <c r="T66" s="19">
        <f ca="1">IF(RAND()&lt;P_Zero,0,IF(RAND()&lt;CondReturn,_xlfn.LOGNORM.INV(RAND(),MV2,Sigma1),IF(RAND()&lt;CondGood,_xlfn.LOGNORM.INV(RAND(),MV3,Sigma2),MIN(MaxMultiple,Xm/(1-RAND())^(1/Alpha)))))</f>
        <v>0</v>
      </c>
      <c r="U66" s="19">
        <f ca="1">IF(RAND()&lt;P_Zero,0,IF(RAND()&lt;CondReturn,_xlfn.LOGNORM.INV(RAND(),MV2,Sigma1),IF(RAND()&lt;CondGood,_xlfn.LOGNORM.INV(RAND(),MV3,Sigma2),MIN(MaxMultiple,Xm/(1-RAND())^(1/Alpha)))))</f>
        <v>0</v>
      </c>
      <c r="V66" s="19">
        <f ca="1">IF(RAND()&lt;P_Zero,0,IF(RAND()&lt;CondReturn,_xlfn.LOGNORM.INV(RAND(),MV2,Sigma1),IF(RAND()&lt;CondGood,_xlfn.LOGNORM.INV(RAND(),MV3,Sigma2),MIN(MaxMultiple,Xm/(1-RAND())^(1/Alpha)))))</f>
        <v>1.1113958137424251</v>
      </c>
      <c r="W66" s="19">
        <f ca="1">IF(RAND()&lt;P_Zero,0,IF(RAND()&lt;CondReturn,_xlfn.LOGNORM.INV(RAND(),MV2,Sigma1),IF(RAND()&lt;CondGood,_xlfn.LOGNORM.INV(RAND(),MV3,Sigma2),MIN(MaxMultiple,Xm/(1-RAND())^(1/Alpha)))))</f>
        <v>10.447286855245968</v>
      </c>
      <c r="X66" s="19">
        <f ca="1">IF(RAND()&lt;P_Zero,0,IF(RAND()&lt;CondReturn,_xlfn.LOGNORM.INV(RAND(),MV2,Sigma1),IF(RAND()&lt;CondGood,_xlfn.LOGNORM.INV(RAND(),MV3,Sigma2),MIN(MaxMultiple,Xm/(1-RAND())^(1/Alpha)))))</f>
        <v>0</v>
      </c>
      <c r="Y66" s="19">
        <f ca="1">IF(RAND()&lt;P_Zero,0,IF(RAND()&lt;CondReturn,_xlfn.LOGNORM.INV(RAND(),MV2,Sigma1),IF(RAND()&lt;CondGood,_xlfn.LOGNORM.INV(RAND(),MV3,Sigma2),MIN(MaxMultiple,Xm/(1-RAND())^(1/Alpha)))))</f>
        <v>0.68557547109829087</v>
      </c>
      <c r="Z66" s="19">
        <f ca="1">IF(RAND()&lt;P_Zero,0,IF(RAND()&lt;CondReturn,_xlfn.LOGNORM.INV(RAND(),MV2,Sigma1),IF(RAND()&lt;CondGood,_xlfn.LOGNORM.INV(RAND(),MV3,Sigma2),MIN(MaxMultiple,Xm/(1-RAND())^(1/Alpha)))))</f>
        <v>0.43816318098931323</v>
      </c>
      <c r="AA66" s="19">
        <f ca="1">IF(RAND()&lt;P_Zero,0,IF(RAND()&lt;CondReturn,_xlfn.LOGNORM.INV(RAND(),MV2,Sigma1),IF(RAND()&lt;CondGood,_xlfn.LOGNORM.INV(RAND(),MV3,Sigma2),MIN(MaxMultiple,Xm/(1-RAND())^(1/Alpha)))))</f>
        <v>0.91108394830431505</v>
      </c>
      <c r="AB66" s="19">
        <f t="shared" ca="1" si="0"/>
        <v>2.4664824079626486</v>
      </c>
      <c r="AC66" s="14">
        <f t="shared" ca="1" si="1"/>
        <v>118391155.58220713</v>
      </c>
      <c r="AD66" s="14">
        <f t="shared" ca="1" si="2"/>
        <v>70391155.582207128</v>
      </c>
      <c r="AE66" s="14">
        <f t="shared" si="3"/>
        <v>55628399.869093813</v>
      </c>
      <c r="AF66" s="14">
        <f t="shared" ca="1" si="4"/>
        <v>14762755.713113315</v>
      </c>
      <c r="AG66" s="14">
        <f t="shared" ca="1" si="5"/>
        <v>2952551.1426226632</v>
      </c>
      <c r="AH66" s="14">
        <f t="shared" ca="1" si="6"/>
        <v>115438604.43958446</v>
      </c>
      <c r="AI66" s="19">
        <f t="shared" ca="1" si="7"/>
        <v>1.923976740659741</v>
      </c>
    </row>
    <row r="67" spans="2:35" x14ac:dyDescent="0.2">
      <c r="B67" s="1">
        <v>62</v>
      </c>
      <c r="C67" s="19">
        <f ca="1">IF(RAND()&lt;P_Zero,0,IF(RAND()&lt;CondReturn,_xlfn.LOGNORM.INV(RAND(),MV2,Sigma1),IF(RAND()&lt;CondGood,_xlfn.LOGNORM.INV(RAND(),MV3,Sigma2),MIN(MaxMultiple,Xm/(1-RAND())^(1/Alpha)))))</f>
        <v>0</v>
      </c>
      <c r="D67" s="19">
        <f ca="1">IF(RAND()&lt;P_Zero,0,IF(RAND()&lt;CondReturn,_xlfn.LOGNORM.INV(RAND(),MV2,Sigma1),IF(RAND()&lt;CondGood,_xlfn.LOGNORM.INV(RAND(),MV3,Sigma2),MIN(MaxMultiple,Xm/(1-RAND())^(1/Alpha)))))</f>
        <v>0</v>
      </c>
      <c r="E67" s="19">
        <f ca="1">IF(RAND()&lt;P_Zero,0,IF(RAND()&lt;CondReturn,_xlfn.LOGNORM.INV(RAND(),MV2,Sigma1),IF(RAND()&lt;CondGood,_xlfn.LOGNORM.INV(RAND(),MV3,Sigma2),MIN(MaxMultiple,Xm/(1-RAND())^(1/Alpha)))))</f>
        <v>0</v>
      </c>
      <c r="F67" s="19">
        <f ca="1">IF(RAND()&lt;P_Zero,0,IF(RAND()&lt;CondReturn,_xlfn.LOGNORM.INV(RAND(),MV2,Sigma1),IF(RAND()&lt;CondGood,_xlfn.LOGNORM.INV(RAND(),MV3,Sigma2),MIN(MaxMultiple,Xm/(1-RAND())^(1/Alpha)))))</f>
        <v>33.434306341351459</v>
      </c>
      <c r="G67" s="19">
        <f ca="1">IF(RAND()&lt;P_Zero,0,IF(RAND()&lt;CondReturn,_xlfn.LOGNORM.INV(RAND(),MV2,Sigma1),IF(RAND()&lt;CondGood,_xlfn.LOGNORM.INV(RAND(),MV3,Sigma2),MIN(MaxMultiple,Xm/(1-RAND())^(1/Alpha)))))</f>
        <v>0</v>
      </c>
      <c r="H67" s="19">
        <f ca="1">IF(RAND()&lt;P_Zero,0,IF(RAND()&lt;CondReturn,_xlfn.LOGNORM.INV(RAND(),MV2,Sigma1),IF(RAND()&lt;CondGood,_xlfn.LOGNORM.INV(RAND(),MV3,Sigma2),MIN(MaxMultiple,Xm/(1-RAND())^(1/Alpha)))))</f>
        <v>0</v>
      </c>
      <c r="I67" s="19">
        <f ca="1">IF(RAND()&lt;P_Zero,0,IF(RAND()&lt;CondReturn,_xlfn.LOGNORM.INV(RAND(),MV2,Sigma1),IF(RAND()&lt;CondGood,_xlfn.LOGNORM.INV(RAND(),MV3,Sigma2),MIN(MaxMultiple,Xm/(1-RAND())^(1/Alpha)))))</f>
        <v>0.41011062178061602</v>
      </c>
      <c r="J67" s="19">
        <f ca="1">IF(RAND()&lt;P_Zero,0,IF(RAND()&lt;CondReturn,_xlfn.LOGNORM.INV(RAND(),MV2,Sigma1),IF(RAND()&lt;CondGood,_xlfn.LOGNORM.INV(RAND(),MV3,Sigma2),MIN(MaxMultiple,Xm/(1-RAND())^(1/Alpha)))))</f>
        <v>0</v>
      </c>
      <c r="K67" s="19">
        <f ca="1">IF(RAND()&lt;P_Zero,0,IF(RAND()&lt;CondReturn,_xlfn.LOGNORM.INV(RAND(),MV2,Sigma1),IF(RAND()&lt;CondGood,_xlfn.LOGNORM.INV(RAND(),MV3,Sigma2),MIN(MaxMultiple,Xm/(1-RAND())^(1/Alpha)))))</f>
        <v>0.69184874730452051</v>
      </c>
      <c r="L67" s="19">
        <f ca="1">IF(RAND()&lt;P_Zero,0,IF(RAND()&lt;CondReturn,_xlfn.LOGNORM.INV(RAND(),MV2,Sigma1),IF(RAND()&lt;CondGood,_xlfn.LOGNORM.INV(RAND(),MV3,Sigma2),MIN(MaxMultiple,Xm/(1-RAND())^(1/Alpha)))))</f>
        <v>0.75641715227780482</v>
      </c>
      <c r="M67" s="19">
        <f ca="1">IF(RAND()&lt;P_Zero,0,IF(RAND()&lt;CondReturn,_xlfn.LOGNORM.INV(RAND(),MV2,Sigma1),IF(RAND()&lt;CondGood,_xlfn.LOGNORM.INV(RAND(),MV3,Sigma2),MIN(MaxMultiple,Xm/(1-RAND())^(1/Alpha)))))</f>
        <v>0.97541121377249151</v>
      </c>
      <c r="N67" s="19">
        <f ca="1">IF(RAND()&lt;P_Zero,0,IF(RAND()&lt;CondReturn,_xlfn.LOGNORM.INV(RAND(),MV2,Sigma1),IF(RAND()&lt;CondGood,_xlfn.LOGNORM.INV(RAND(),MV3,Sigma2),MIN(MaxMultiple,Xm/(1-RAND())^(1/Alpha)))))</f>
        <v>0.65655564377789033</v>
      </c>
      <c r="O67" s="19">
        <f ca="1">IF(RAND()&lt;P_Zero,0,IF(RAND()&lt;CondReturn,_xlfn.LOGNORM.INV(RAND(),MV2,Sigma1),IF(RAND()&lt;CondGood,_xlfn.LOGNORM.INV(RAND(),MV3,Sigma2),MIN(MaxMultiple,Xm/(1-RAND())^(1/Alpha)))))</f>
        <v>0</v>
      </c>
      <c r="P67" s="19">
        <f ca="1">IF(RAND()&lt;P_Zero,0,IF(RAND()&lt;CondReturn,_xlfn.LOGNORM.INV(RAND(),MV2,Sigma1),IF(RAND()&lt;CondGood,_xlfn.LOGNORM.INV(RAND(),MV3,Sigma2),MIN(MaxMultiple,Xm/(1-RAND())^(1/Alpha)))))</f>
        <v>38.477405673307587</v>
      </c>
      <c r="Q67" s="19">
        <f ca="1">IF(RAND()&lt;P_Zero,0,IF(RAND()&lt;CondReturn,_xlfn.LOGNORM.INV(RAND(),MV2,Sigma1),IF(RAND()&lt;CondGood,_xlfn.LOGNORM.INV(RAND(),MV3,Sigma2),MIN(MaxMultiple,Xm/(1-RAND())^(1/Alpha)))))</f>
        <v>122.95789530729266</v>
      </c>
      <c r="R67" s="19">
        <f ca="1">IF(RAND()&lt;P_Zero,0,IF(RAND()&lt;CondReturn,_xlfn.LOGNORM.INV(RAND(),MV2,Sigma1),IF(RAND()&lt;CondGood,_xlfn.LOGNORM.INV(RAND(),MV3,Sigma2),MIN(MaxMultiple,Xm/(1-RAND())^(1/Alpha)))))</f>
        <v>0</v>
      </c>
      <c r="S67" s="19">
        <f ca="1">IF(RAND()&lt;P_Zero,0,IF(RAND()&lt;CondReturn,_xlfn.LOGNORM.INV(RAND(),MV2,Sigma1),IF(RAND()&lt;CondGood,_xlfn.LOGNORM.INV(RAND(),MV3,Sigma2),MIN(MaxMultiple,Xm/(1-RAND())^(1/Alpha)))))</f>
        <v>0</v>
      </c>
      <c r="T67" s="19">
        <f ca="1">IF(RAND()&lt;P_Zero,0,IF(RAND()&lt;CondReturn,_xlfn.LOGNORM.INV(RAND(),MV2,Sigma1),IF(RAND()&lt;CondGood,_xlfn.LOGNORM.INV(RAND(),MV3,Sigma2),MIN(MaxMultiple,Xm/(1-RAND())^(1/Alpha)))))</f>
        <v>2.2788169223206136</v>
      </c>
      <c r="U67" s="19">
        <f ca="1">IF(RAND()&lt;P_Zero,0,IF(RAND()&lt;CondReturn,_xlfn.LOGNORM.INV(RAND(),MV2,Sigma1),IF(RAND()&lt;CondGood,_xlfn.LOGNORM.INV(RAND(),MV3,Sigma2),MIN(MaxMultiple,Xm/(1-RAND())^(1/Alpha)))))</f>
        <v>0</v>
      </c>
      <c r="V67" s="19">
        <f ca="1">IF(RAND()&lt;P_Zero,0,IF(RAND()&lt;CondReturn,_xlfn.LOGNORM.INV(RAND(),MV2,Sigma1),IF(RAND()&lt;CondGood,_xlfn.LOGNORM.INV(RAND(),MV3,Sigma2),MIN(MaxMultiple,Xm/(1-RAND())^(1/Alpha)))))</f>
        <v>23.49445787162065</v>
      </c>
      <c r="W67" s="19">
        <f ca="1">IF(RAND()&lt;P_Zero,0,IF(RAND()&lt;CondReturn,_xlfn.LOGNORM.INV(RAND(),MV2,Sigma1),IF(RAND()&lt;CondGood,_xlfn.LOGNORM.INV(RAND(),MV3,Sigma2),MIN(MaxMultiple,Xm/(1-RAND())^(1/Alpha)))))</f>
        <v>1.0365176142650028</v>
      </c>
      <c r="X67" s="19">
        <f ca="1">IF(RAND()&lt;P_Zero,0,IF(RAND()&lt;CondReturn,_xlfn.LOGNORM.INV(RAND(),MV2,Sigma1),IF(RAND()&lt;CondGood,_xlfn.LOGNORM.INV(RAND(),MV3,Sigma2),MIN(MaxMultiple,Xm/(1-RAND())^(1/Alpha)))))</f>
        <v>0</v>
      </c>
      <c r="Y67" s="19">
        <f ca="1">IF(RAND()&lt;P_Zero,0,IF(RAND()&lt;CondReturn,_xlfn.LOGNORM.INV(RAND(),MV2,Sigma1),IF(RAND()&lt;CondGood,_xlfn.LOGNORM.INV(RAND(),MV3,Sigma2),MIN(MaxMultiple,Xm/(1-RAND())^(1/Alpha)))))</f>
        <v>0.85903880895156681</v>
      </c>
      <c r="Z67" s="19">
        <f ca="1">IF(RAND()&lt;P_Zero,0,IF(RAND()&lt;CondReturn,_xlfn.LOGNORM.INV(RAND(),MV2,Sigma1),IF(RAND()&lt;CondGood,_xlfn.LOGNORM.INV(RAND(),MV3,Sigma2),MIN(MaxMultiple,Xm/(1-RAND())^(1/Alpha)))))</f>
        <v>0</v>
      </c>
      <c r="AA67" s="19">
        <f ca="1">IF(RAND()&lt;P_Zero,0,IF(RAND()&lt;CondReturn,_xlfn.LOGNORM.INV(RAND(),MV2,Sigma1),IF(RAND()&lt;CondGood,_xlfn.LOGNORM.INV(RAND(),MV3,Sigma2),MIN(MaxMultiple,Xm/(1-RAND())^(1/Alpha)))))</f>
        <v>26.841334024585851</v>
      </c>
      <c r="AB67" s="19">
        <f t="shared" ca="1" si="0"/>
        <v>10.114804637704347</v>
      </c>
      <c r="AC67" s="14">
        <f t="shared" ca="1" si="1"/>
        <v>485510622.60980868</v>
      </c>
      <c r="AD67" s="14">
        <f t="shared" ca="1" si="2"/>
        <v>437510622.60980868</v>
      </c>
      <c r="AE67" s="14">
        <f t="shared" si="3"/>
        <v>55628399.869093813</v>
      </c>
      <c r="AF67" s="14">
        <f t="shared" ca="1" si="4"/>
        <v>381882222.74071485</v>
      </c>
      <c r="AG67" s="14">
        <f t="shared" ca="1" si="5"/>
        <v>76376444.54814297</v>
      </c>
      <c r="AH67" s="14">
        <f t="shared" ca="1" si="6"/>
        <v>409134178.06166571</v>
      </c>
      <c r="AI67" s="19">
        <f t="shared" ca="1" si="7"/>
        <v>6.8189029676944282</v>
      </c>
    </row>
    <row r="68" spans="2:35" x14ac:dyDescent="0.2">
      <c r="B68" s="1">
        <v>63</v>
      </c>
      <c r="C68" s="19">
        <f ca="1">IF(RAND()&lt;P_Zero,0,IF(RAND()&lt;CondReturn,_xlfn.LOGNORM.INV(RAND(),MV2,Sigma1),IF(RAND()&lt;CondGood,_xlfn.LOGNORM.INV(RAND(),MV3,Sigma2),MIN(MaxMultiple,Xm/(1-RAND())^(1/Alpha)))))</f>
        <v>1.5306480628382859</v>
      </c>
      <c r="D68" s="19">
        <f ca="1">IF(RAND()&lt;P_Zero,0,IF(RAND()&lt;CondReturn,_xlfn.LOGNORM.INV(RAND(),MV2,Sigma1),IF(RAND()&lt;CondGood,_xlfn.LOGNORM.INV(RAND(),MV3,Sigma2),MIN(MaxMultiple,Xm/(1-RAND())^(1/Alpha)))))</f>
        <v>0.76704829231434102</v>
      </c>
      <c r="E68" s="19">
        <f ca="1">IF(RAND()&lt;P_Zero,0,IF(RAND()&lt;CondReturn,_xlfn.LOGNORM.INV(RAND(),MV2,Sigma1),IF(RAND()&lt;CondGood,_xlfn.LOGNORM.INV(RAND(),MV3,Sigma2),MIN(MaxMultiple,Xm/(1-RAND())^(1/Alpha)))))</f>
        <v>0.61795540708707752</v>
      </c>
      <c r="F68" s="19">
        <f ca="1">IF(RAND()&lt;P_Zero,0,IF(RAND()&lt;CondReturn,_xlfn.LOGNORM.INV(RAND(),MV2,Sigma1),IF(RAND()&lt;CondGood,_xlfn.LOGNORM.INV(RAND(),MV3,Sigma2),MIN(MaxMultiple,Xm/(1-RAND())^(1/Alpha)))))</f>
        <v>0.47524977781614774</v>
      </c>
      <c r="G68" s="19">
        <f ca="1">IF(RAND()&lt;P_Zero,0,IF(RAND()&lt;CondReturn,_xlfn.LOGNORM.INV(RAND(),MV2,Sigma1),IF(RAND()&lt;CondGood,_xlfn.LOGNORM.INV(RAND(),MV3,Sigma2),MIN(MaxMultiple,Xm/(1-RAND())^(1/Alpha)))))</f>
        <v>24.842251026553672</v>
      </c>
      <c r="H68" s="19">
        <f ca="1">IF(RAND()&lt;P_Zero,0,IF(RAND()&lt;CondReturn,_xlfn.LOGNORM.INV(RAND(),MV2,Sigma1),IF(RAND()&lt;CondGood,_xlfn.LOGNORM.INV(RAND(),MV3,Sigma2),MIN(MaxMultiple,Xm/(1-RAND())^(1/Alpha)))))</f>
        <v>2.2401530063357549</v>
      </c>
      <c r="I68" s="19">
        <f ca="1">IF(RAND()&lt;P_Zero,0,IF(RAND()&lt;CondReturn,_xlfn.LOGNORM.INV(RAND(),MV2,Sigma1),IF(RAND()&lt;CondGood,_xlfn.LOGNORM.INV(RAND(),MV3,Sigma2),MIN(MaxMultiple,Xm/(1-RAND())^(1/Alpha)))))</f>
        <v>1.0830042415720769</v>
      </c>
      <c r="J68" s="19">
        <f ca="1">IF(RAND()&lt;P_Zero,0,IF(RAND()&lt;CondReturn,_xlfn.LOGNORM.INV(RAND(),MV2,Sigma1),IF(RAND()&lt;CondGood,_xlfn.LOGNORM.INV(RAND(),MV3,Sigma2),MIN(MaxMultiple,Xm/(1-RAND())^(1/Alpha)))))</f>
        <v>0</v>
      </c>
      <c r="K68" s="19">
        <f ca="1">IF(RAND()&lt;P_Zero,0,IF(RAND()&lt;CondReturn,_xlfn.LOGNORM.INV(RAND(),MV2,Sigma1),IF(RAND()&lt;CondGood,_xlfn.LOGNORM.INV(RAND(),MV3,Sigma2),MIN(MaxMultiple,Xm/(1-RAND())^(1/Alpha)))))</f>
        <v>0</v>
      </c>
      <c r="L68" s="19">
        <f ca="1">IF(RAND()&lt;P_Zero,0,IF(RAND()&lt;CondReturn,_xlfn.LOGNORM.INV(RAND(),MV2,Sigma1),IF(RAND()&lt;CondGood,_xlfn.LOGNORM.INV(RAND(),MV3,Sigma2),MIN(MaxMultiple,Xm/(1-RAND())^(1/Alpha)))))</f>
        <v>0.82089332757207523</v>
      </c>
      <c r="M68" s="19">
        <f ca="1">IF(RAND()&lt;P_Zero,0,IF(RAND()&lt;CondReturn,_xlfn.LOGNORM.INV(RAND(),MV2,Sigma1),IF(RAND()&lt;CondGood,_xlfn.LOGNORM.INV(RAND(),MV3,Sigma2),MIN(MaxMultiple,Xm/(1-RAND())^(1/Alpha)))))</f>
        <v>0.86505192678046017</v>
      </c>
      <c r="N68" s="19">
        <f ca="1">IF(RAND()&lt;P_Zero,0,IF(RAND()&lt;CondReturn,_xlfn.LOGNORM.INV(RAND(),MV2,Sigma1),IF(RAND()&lt;CondGood,_xlfn.LOGNORM.INV(RAND(),MV3,Sigma2),MIN(MaxMultiple,Xm/(1-RAND())^(1/Alpha)))))</f>
        <v>0.83575309441203238</v>
      </c>
      <c r="O68" s="19">
        <f ca="1">IF(RAND()&lt;P_Zero,0,IF(RAND()&lt;CondReturn,_xlfn.LOGNORM.INV(RAND(),MV2,Sigma1),IF(RAND()&lt;CondGood,_xlfn.LOGNORM.INV(RAND(),MV3,Sigma2),MIN(MaxMultiple,Xm/(1-RAND())^(1/Alpha)))))</f>
        <v>16.549914351288145</v>
      </c>
      <c r="P68" s="19">
        <f ca="1">IF(RAND()&lt;P_Zero,0,IF(RAND()&lt;CondReturn,_xlfn.LOGNORM.INV(RAND(),MV2,Sigma1),IF(RAND()&lt;CondGood,_xlfn.LOGNORM.INV(RAND(),MV3,Sigma2),MIN(MaxMultiple,Xm/(1-RAND())^(1/Alpha)))))</f>
        <v>0.7515424759272894</v>
      </c>
      <c r="Q68" s="19">
        <f ca="1">IF(RAND()&lt;P_Zero,0,IF(RAND()&lt;CondReturn,_xlfn.LOGNORM.INV(RAND(),MV2,Sigma1),IF(RAND()&lt;CondGood,_xlfn.LOGNORM.INV(RAND(),MV3,Sigma2),MIN(MaxMultiple,Xm/(1-RAND())^(1/Alpha)))))</f>
        <v>0.40155813904213133</v>
      </c>
      <c r="R68" s="19">
        <f ca="1">IF(RAND()&lt;P_Zero,0,IF(RAND()&lt;CondReturn,_xlfn.LOGNORM.INV(RAND(),MV2,Sigma1),IF(RAND()&lt;CondGood,_xlfn.LOGNORM.INV(RAND(),MV3,Sigma2),MIN(MaxMultiple,Xm/(1-RAND())^(1/Alpha)))))</f>
        <v>0</v>
      </c>
      <c r="S68" s="19">
        <f ca="1">IF(RAND()&lt;P_Zero,0,IF(RAND()&lt;CondReturn,_xlfn.LOGNORM.INV(RAND(),MV2,Sigma1),IF(RAND()&lt;CondGood,_xlfn.LOGNORM.INV(RAND(),MV3,Sigma2),MIN(MaxMultiple,Xm/(1-RAND())^(1/Alpha)))))</f>
        <v>1.4141545774946847</v>
      </c>
      <c r="T68" s="19">
        <f ca="1">IF(RAND()&lt;P_Zero,0,IF(RAND()&lt;CondReturn,_xlfn.LOGNORM.INV(RAND(),MV2,Sigma1),IF(RAND()&lt;CondGood,_xlfn.LOGNORM.INV(RAND(),MV3,Sigma2),MIN(MaxMultiple,Xm/(1-RAND())^(1/Alpha)))))</f>
        <v>47.807645144950122</v>
      </c>
      <c r="U68" s="19">
        <f ca="1">IF(RAND()&lt;P_Zero,0,IF(RAND()&lt;CondReturn,_xlfn.LOGNORM.INV(RAND(),MV2,Sigma1),IF(RAND()&lt;CondGood,_xlfn.LOGNORM.INV(RAND(),MV3,Sigma2),MIN(MaxMultiple,Xm/(1-RAND())^(1/Alpha)))))</f>
        <v>0</v>
      </c>
      <c r="V68" s="19">
        <f ca="1">IF(RAND()&lt;P_Zero,0,IF(RAND()&lt;CondReturn,_xlfn.LOGNORM.INV(RAND(),MV2,Sigma1),IF(RAND()&lt;CondGood,_xlfn.LOGNORM.INV(RAND(),MV3,Sigma2),MIN(MaxMultiple,Xm/(1-RAND())^(1/Alpha)))))</f>
        <v>1.3006180997080592</v>
      </c>
      <c r="W68" s="19">
        <f ca="1">IF(RAND()&lt;P_Zero,0,IF(RAND()&lt;CondReturn,_xlfn.LOGNORM.INV(RAND(),MV2,Sigma1),IF(RAND()&lt;CondGood,_xlfn.LOGNORM.INV(RAND(),MV3,Sigma2),MIN(MaxMultiple,Xm/(1-RAND())^(1/Alpha)))))</f>
        <v>0.94918255408019869</v>
      </c>
      <c r="X68" s="19">
        <f ca="1">IF(RAND()&lt;P_Zero,0,IF(RAND()&lt;CondReturn,_xlfn.LOGNORM.INV(RAND(),MV2,Sigma1),IF(RAND()&lt;CondGood,_xlfn.LOGNORM.INV(RAND(),MV3,Sigma2),MIN(MaxMultiple,Xm/(1-RAND())^(1/Alpha)))))</f>
        <v>3.062400572683865</v>
      </c>
      <c r="Y68" s="19">
        <f ca="1">IF(RAND()&lt;P_Zero,0,IF(RAND()&lt;CondReturn,_xlfn.LOGNORM.INV(RAND(),MV2,Sigma1),IF(RAND()&lt;CondGood,_xlfn.LOGNORM.INV(RAND(),MV3,Sigma2),MIN(MaxMultiple,Xm/(1-RAND())^(1/Alpha)))))</f>
        <v>2.1872897903032071</v>
      </c>
      <c r="Z68" s="19">
        <f ca="1">IF(RAND()&lt;P_Zero,0,IF(RAND()&lt;CondReturn,_xlfn.LOGNORM.INV(RAND(),MV2,Sigma1),IF(RAND()&lt;CondGood,_xlfn.LOGNORM.INV(RAND(),MV3,Sigma2),MIN(MaxMultiple,Xm/(1-RAND())^(1/Alpha)))))</f>
        <v>16.514998595362904</v>
      </c>
      <c r="AA68" s="19">
        <f ca="1">IF(RAND()&lt;P_Zero,0,IF(RAND()&lt;CondReturn,_xlfn.LOGNORM.INV(RAND(),MV2,Sigma1),IF(RAND()&lt;CondGood,_xlfn.LOGNORM.INV(RAND(),MV3,Sigma2),MIN(MaxMultiple,Xm/(1-RAND())^(1/Alpha)))))</f>
        <v>0</v>
      </c>
      <c r="AB68" s="19">
        <f t="shared" ca="1" si="0"/>
        <v>5.0006924985649013</v>
      </c>
      <c r="AC68" s="14">
        <f t="shared" ca="1" si="1"/>
        <v>240033239.93111527</v>
      </c>
      <c r="AD68" s="14">
        <f t="shared" ca="1" si="2"/>
        <v>192033239.93111527</v>
      </c>
      <c r="AE68" s="14">
        <f t="shared" si="3"/>
        <v>55628399.869093813</v>
      </c>
      <c r="AF68" s="14">
        <f t="shared" ca="1" si="4"/>
        <v>136404840.06202146</v>
      </c>
      <c r="AG68" s="14">
        <f t="shared" ca="1" si="5"/>
        <v>27280968.012404293</v>
      </c>
      <c r="AH68" s="14">
        <f t="shared" ca="1" si="6"/>
        <v>212752271.91871098</v>
      </c>
      <c r="AI68" s="19">
        <f t="shared" ca="1" si="7"/>
        <v>3.545871198645183</v>
      </c>
    </row>
    <row r="69" spans="2:35" x14ac:dyDescent="0.2">
      <c r="B69" s="1">
        <v>64</v>
      </c>
      <c r="C69" s="19">
        <f ca="1">IF(RAND()&lt;P_Zero,0,IF(RAND()&lt;CondReturn,_xlfn.LOGNORM.INV(RAND(),MV2,Sigma1),IF(RAND()&lt;CondGood,_xlfn.LOGNORM.INV(RAND(),MV3,Sigma2),MIN(MaxMultiple,Xm/(1-RAND())^(1/Alpha)))))</f>
        <v>0.9015295516061308</v>
      </c>
      <c r="D69" s="19">
        <f ca="1">IF(RAND()&lt;P_Zero,0,IF(RAND()&lt;CondReturn,_xlfn.LOGNORM.INV(RAND(),MV2,Sigma1),IF(RAND()&lt;CondGood,_xlfn.LOGNORM.INV(RAND(),MV3,Sigma2),MIN(MaxMultiple,Xm/(1-RAND())^(1/Alpha)))))</f>
        <v>0.73028952281576764</v>
      </c>
      <c r="E69" s="19">
        <f ca="1">IF(RAND()&lt;P_Zero,0,IF(RAND()&lt;CondReturn,_xlfn.LOGNORM.INV(RAND(),MV2,Sigma1),IF(RAND()&lt;CondGood,_xlfn.LOGNORM.INV(RAND(),MV3,Sigma2),MIN(MaxMultiple,Xm/(1-RAND())^(1/Alpha)))))</f>
        <v>0</v>
      </c>
      <c r="F69" s="19">
        <f ca="1">IF(RAND()&lt;P_Zero,0,IF(RAND()&lt;CondReturn,_xlfn.LOGNORM.INV(RAND(),MV2,Sigma1),IF(RAND()&lt;CondGood,_xlfn.LOGNORM.INV(RAND(),MV3,Sigma2),MIN(MaxMultiple,Xm/(1-RAND())^(1/Alpha)))))</f>
        <v>0</v>
      </c>
      <c r="G69" s="19">
        <f ca="1">IF(RAND()&lt;P_Zero,0,IF(RAND()&lt;CondReturn,_xlfn.LOGNORM.INV(RAND(),MV2,Sigma1),IF(RAND()&lt;CondGood,_xlfn.LOGNORM.INV(RAND(),MV3,Sigma2),MIN(MaxMultiple,Xm/(1-RAND())^(1/Alpha)))))</f>
        <v>0.46503063437208769</v>
      </c>
      <c r="H69" s="19">
        <f ca="1">IF(RAND()&lt;P_Zero,0,IF(RAND()&lt;CondReturn,_xlfn.LOGNORM.INV(RAND(),MV2,Sigma1),IF(RAND()&lt;CondGood,_xlfn.LOGNORM.INV(RAND(),MV3,Sigma2),MIN(MaxMultiple,Xm/(1-RAND())^(1/Alpha)))))</f>
        <v>0</v>
      </c>
      <c r="I69" s="19">
        <f ca="1">IF(RAND()&lt;P_Zero,0,IF(RAND()&lt;CondReturn,_xlfn.LOGNORM.INV(RAND(),MV2,Sigma1),IF(RAND()&lt;CondGood,_xlfn.LOGNORM.INV(RAND(),MV3,Sigma2),MIN(MaxMultiple,Xm/(1-RAND())^(1/Alpha)))))</f>
        <v>0</v>
      </c>
      <c r="J69" s="19">
        <f ca="1">IF(RAND()&lt;P_Zero,0,IF(RAND()&lt;CondReturn,_xlfn.LOGNORM.INV(RAND(),MV2,Sigma1),IF(RAND()&lt;CondGood,_xlfn.LOGNORM.INV(RAND(),MV3,Sigma2),MIN(MaxMultiple,Xm/(1-RAND())^(1/Alpha)))))</f>
        <v>0</v>
      </c>
      <c r="K69" s="19">
        <f ca="1">IF(RAND()&lt;P_Zero,0,IF(RAND()&lt;CondReturn,_xlfn.LOGNORM.INV(RAND(),MV2,Sigma1),IF(RAND()&lt;CondGood,_xlfn.LOGNORM.INV(RAND(),MV3,Sigma2),MIN(MaxMultiple,Xm/(1-RAND())^(1/Alpha)))))</f>
        <v>0</v>
      </c>
      <c r="L69" s="19">
        <f ca="1">IF(RAND()&lt;P_Zero,0,IF(RAND()&lt;CondReturn,_xlfn.LOGNORM.INV(RAND(),MV2,Sigma1),IF(RAND()&lt;CondGood,_xlfn.LOGNORM.INV(RAND(),MV3,Sigma2),MIN(MaxMultiple,Xm/(1-RAND())^(1/Alpha)))))</f>
        <v>1.6640243555702614</v>
      </c>
      <c r="M69" s="19">
        <f ca="1">IF(RAND()&lt;P_Zero,0,IF(RAND()&lt;CondReturn,_xlfn.LOGNORM.INV(RAND(),MV2,Sigma1),IF(RAND()&lt;CondGood,_xlfn.LOGNORM.INV(RAND(),MV3,Sigma2),MIN(MaxMultiple,Xm/(1-RAND())^(1/Alpha)))))</f>
        <v>0.78081394980968322</v>
      </c>
      <c r="N69" s="19">
        <f ca="1">IF(RAND()&lt;P_Zero,0,IF(RAND()&lt;CondReturn,_xlfn.LOGNORM.INV(RAND(),MV2,Sigma1),IF(RAND()&lt;CondGood,_xlfn.LOGNORM.INV(RAND(),MV3,Sigma2),MIN(MaxMultiple,Xm/(1-RAND())^(1/Alpha)))))</f>
        <v>3.1163526013038751</v>
      </c>
      <c r="O69" s="19">
        <f ca="1">IF(RAND()&lt;P_Zero,0,IF(RAND()&lt;CondReturn,_xlfn.LOGNORM.INV(RAND(),MV2,Sigma1),IF(RAND()&lt;CondGood,_xlfn.LOGNORM.INV(RAND(),MV3,Sigma2),MIN(MaxMultiple,Xm/(1-RAND())^(1/Alpha)))))</f>
        <v>2.7063277868086688</v>
      </c>
      <c r="P69" s="19">
        <f ca="1">IF(RAND()&lt;P_Zero,0,IF(RAND()&lt;CondReturn,_xlfn.LOGNORM.INV(RAND(),MV2,Sigma1),IF(RAND()&lt;CondGood,_xlfn.LOGNORM.INV(RAND(),MV3,Sigma2),MIN(MaxMultiple,Xm/(1-RAND())^(1/Alpha)))))</f>
        <v>0</v>
      </c>
      <c r="Q69" s="19">
        <f ca="1">IF(RAND()&lt;P_Zero,0,IF(RAND()&lt;CondReturn,_xlfn.LOGNORM.INV(RAND(),MV2,Sigma1),IF(RAND()&lt;CondGood,_xlfn.LOGNORM.INV(RAND(),MV3,Sigma2),MIN(MaxMultiple,Xm/(1-RAND())^(1/Alpha)))))</f>
        <v>0</v>
      </c>
      <c r="R69" s="19">
        <f ca="1">IF(RAND()&lt;P_Zero,0,IF(RAND()&lt;CondReturn,_xlfn.LOGNORM.INV(RAND(),MV2,Sigma1),IF(RAND()&lt;CondGood,_xlfn.LOGNORM.INV(RAND(),MV3,Sigma2),MIN(MaxMultiple,Xm/(1-RAND())^(1/Alpha)))))</f>
        <v>0</v>
      </c>
      <c r="S69" s="19">
        <f ca="1">IF(RAND()&lt;P_Zero,0,IF(RAND()&lt;CondReturn,_xlfn.LOGNORM.INV(RAND(),MV2,Sigma1),IF(RAND()&lt;CondGood,_xlfn.LOGNORM.INV(RAND(),MV3,Sigma2),MIN(MaxMultiple,Xm/(1-RAND())^(1/Alpha)))))</f>
        <v>0</v>
      </c>
      <c r="T69" s="19">
        <f ca="1">IF(RAND()&lt;P_Zero,0,IF(RAND()&lt;CondReturn,_xlfn.LOGNORM.INV(RAND(),MV2,Sigma1),IF(RAND()&lt;CondGood,_xlfn.LOGNORM.INV(RAND(),MV3,Sigma2),MIN(MaxMultiple,Xm/(1-RAND())^(1/Alpha)))))</f>
        <v>1.3933599030813568</v>
      </c>
      <c r="U69" s="19">
        <f ca="1">IF(RAND()&lt;P_Zero,0,IF(RAND()&lt;CondReturn,_xlfn.LOGNORM.INV(RAND(),MV2,Sigma1),IF(RAND()&lt;CondGood,_xlfn.LOGNORM.INV(RAND(),MV3,Sigma2),MIN(MaxMultiple,Xm/(1-RAND())^(1/Alpha)))))</f>
        <v>0</v>
      </c>
      <c r="V69" s="19">
        <f ca="1">IF(RAND()&lt;P_Zero,0,IF(RAND()&lt;CondReturn,_xlfn.LOGNORM.INV(RAND(),MV2,Sigma1),IF(RAND()&lt;CondGood,_xlfn.LOGNORM.INV(RAND(),MV3,Sigma2),MIN(MaxMultiple,Xm/(1-RAND())^(1/Alpha)))))</f>
        <v>1.7198231776143205</v>
      </c>
      <c r="W69" s="19">
        <f ca="1">IF(RAND()&lt;P_Zero,0,IF(RAND()&lt;CondReturn,_xlfn.LOGNORM.INV(RAND(),MV2,Sigma1),IF(RAND()&lt;CondGood,_xlfn.LOGNORM.INV(RAND(),MV3,Sigma2),MIN(MaxMultiple,Xm/(1-RAND())^(1/Alpha)))))</f>
        <v>0.95885324253916993</v>
      </c>
      <c r="X69" s="19">
        <f ca="1">IF(RAND()&lt;P_Zero,0,IF(RAND()&lt;CondReturn,_xlfn.LOGNORM.INV(RAND(),MV2,Sigma1),IF(RAND()&lt;CondGood,_xlfn.LOGNORM.INV(RAND(),MV3,Sigma2),MIN(MaxMultiple,Xm/(1-RAND())^(1/Alpha)))))</f>
        <v>27.756746245590406</v>
      </c>
      <c r="Y69" s="19">
        <f ca="1">IF(RAND()&lt;P_Zero,0,IF(RAND()&lt;CondReturn,_xlfn.LOGNORM.INV(RAND(),MV2,Sigma1),IF(RAND()&lt;CondGood,_xlfn.LOGNORM.INV(RAND(),MV3,Sigma2),MIN(MaxMultiple,Xm/(1-RAND())^(1/Alpha)))))</f>
        <v>0</v>
      </c>
      <c r="Z69" s="19">
        <f ca="1">IF(RAND()&lt;P_Zero,0,IF(RAND()&lt;CondReturn,_xlfn.LOGNORM.INV(RAND(),MV2,Sigma1),IF(RAND()&lt;CondGood,_xlfn.LOGNORM.INV(RAND(),MV3,Sigma2),MIN(MaxMultiple,Xm/(1-RAND())^(1/Alpha)))))</f>
        <v>84.346724269758298</v>
      </c>
      <c r="AA69" s="19">
        <f ca="1">IF(RAND()&lt;P_Zero,0,IF(RAND()&lt;CondReturn,_xlfn.LOGNORM.INV(RAND(),MV2,Sigma1),IF(RAND()&lt;CondGood,_xlfn.LOGNORM.INV(RAND(),MV3,Sigma2),MIN(MaxMultiple,Xm/(1-RAND())^(1/Alpha)))))</f>
        <v>0</v>
      </c>
      <c r="AB69" s="19">
        <f t="shared" ca="1" si="0"/>
        <v>5.061595009634801</v>
      </c>
      <c r="AC69" s="14">
        <f t="shared" ca="1" si="1"/>
        <v>242956560.46247044</v>
      </c>
      <c r="AD69" s="14">
        <f t="shared" ca="1" si="2"/>
        <v>194956560.46247044</v>
      </c>
      <c r="AE69" s="14">
        <f t="shared" si="3"/>
        <v>55628399.869093813</v>
      </c>
      <c r="AF69" s="14">
        <f t="shared" ca="1" si="4"/>
        <v>139328160.59337664</v>
      </c>
      <c r="AG69" s="14">
        <f t="shared" ca="1" si="5"/>
        <v>27865632.118675329</v>
      </c>
      <c r="AH69" s="14">
        <f t="shared" ca="1" si="6"/>
        <v>215090928.34379512</v>
      </c>
      <c r="AI69" s="19">
        <f t="shared" ca="1" si="7"/>
        <v>3.5848488057299188</v>
      </c>
    </row>
    <row r="70" spans="2:35" x14ac:dyDescent="0.2">
      <c r="B70" s="1">
        <v>65</v>
      </c>
      <c r="C70" s="19">
        <f ca="1">IF(RAND()&lt;P_Zero,0,IF(RAND()&lt;CondReturn,_xlfn.LOGNORM.INV(RAND(),MV2,Sigma1),IF(RAND()&lt;CondGood,_xlfn.LOGNORM.INV(RAND(),MV3,Sigma2),MIN(MaxMultiple,Xm/(1-RAND())^(1/Alpha)))))</f>
        <v>18.762475496045067</v>
      </c>
      <c r="D70" s="19">
        <f ca="1">IF(RAND()&lt;P_Zero,0,IF(RAND()&lt;CondReturn,_xlfn.LOGNORM.INV(RAND(),MV2,Sigma1),IF(RAND()&lt;CondGood,_xlfn.LOGNORM.INV(RAND(),MV3,Sigma2),MIN(MaxMultiple,Xm/(1-RAND())^(1/Alpha)))))</f>
        <v>0</v>
      </c>
      <c r="E70" s="19">
        <f ca="1">IF(RAND()&lt;P_Zero,0,IF(RAND()&lt;CondReturn,_xlfn.LOGNORM.INV(RAND(),MV2,Sigma1),IF(RAND()&lt;CondGood,_xlfn.LOGNORM.INV(RAND(),MV3,Sigma2),MIN(MaxMultiple,Xm/(1-RAND())^(1/Alpha)))))</f>
        <v>1.2985980937417834</v>
      </c>
      <c r="F70" s="19">
        <f ca="1">IF(RAND()&lt;P_Zero,0,IF(RAND()&lt;CondReturn,_xlfn.LOGNORM.INV(RAND(),MV2,Sigma1),IF(RAND()&lt;CondGood,_xlfn.LOGNORM.INV(RAND(),MV3,Sigma2),MIN(MaxMultiple,Xm/(1-RAND())^(1/Alpha)))))</f>
        <v>0</v>
      </c>
      <c r="G70" s="19">
        <f ca="1">IF(RAND()&lt;P_Zero,0,IF(RAND()&lt;CondReturn,_xlfn.LOGNORM.INV(RAND(),MV2,Sigma1),IF(RAND()&lt;CondGood,_xlfn.LOGNORM.INV(RAND(),MV3,Sigma2),MIN(MaxMultiple,Xm/(1-RAND())^(1/Alpha)))))</f>
        <v>3.0427634113193429</v>
      </c>
      <c r="H70" s="19">
        <f ca="1">IF(RAND()&lt;P_Zero,0,IF(RAND()&lt;CondReturn,_xlfn.LOGNORM.INV(RAND(),MV2,Sigma1),IF(RAND()&lt;CondGood,_xlfn.LOGNORM.INV(RAND(),MV3,Sigma2),MIN(MaxMultiple,Xm/(1-RAND())^(1/Alpha)))))</f>
        <v>0.54630760553723867</v>
      </c>
      <c r="I70" s="19">
        <f ca="1">IF(RAND()&lt;P_Zero,0,IF(RAND()&lt;CondReturn,_xlfn.LOGNORM.INV(RAND(),MV2,Sigma1),IF(RAND()&lt;CondGood,_xlfn.LOGNORM.INV(RAND(),MV3,Sigma2),MIN(MaxMultiple,Xm/(1-RAND())^(1/Alpha)))))</f>
        <v>0.37700493721667622</v>
      </c>
      <c r="J70" s="19">
        <f ca="1">IF(RAND()&lt;P_Zero,0,IF(RAND()&lt;CondReturn,_xlfn.LOGNORM.INV(RAND(),MV2,Sigma1),IF(RAND()&lt;CondGood,_xlfn.LOGNORM.INV(RAND(),MV3,Sigma2),MIN(MaxMultiple,Xm/(1-RAND())^(1/Alpha)))))</f>
        <v>1.8807858144227294</v>
      </c>
      <c r="K70" s="19">
        <f ca="1">IF(RAND()&lt;P_Zero,0,IF(RAND()&lt;CondReturn,_xlfn.LOGNORM.INV(RAND(),MV2,Sigma1),IF(RAND()&lt;CondGood,_xlfn.LOGNORM.INV(RAND(),MV3,Sigma2),MIN(MaxMultiple,Xm/(1-RAND())^(1/Alpha)))))</f>
        <v>1.2261971898166799</v>
      </c>
      <c r="L70" s="19">
        <f ca="1">IF(RAND()&lt;P_Zero,0,IF(RAND()&lt;CondReturn,_xlfn.LOGNORM.INV(RAND(),MV2,Sigma1),IF(RAND()&lt;CondGood,_xlfn.LOGNORM.INV(RAND(),MV3,Sigma2),MIN(MaxMultiple,Xm/(1-RAND())^(1/Alpha)))))</f>
        <v>0</v>
      </c>
      <c r="M70" s="19">
        <f ca="1">IF(RAND()&lt;P_Zero,0,IF(RAND()&lt;CondReturn,_xlfn.LOGNORM.INV(RAND(),MV2,Sigma1),IF(RAND()&lt;CondGood,_xlfn.LOGNORM.INV(RAND(),MV3,Sigma2),MIN(MaxMultiple,Xm/(1-RAND())^(1/Alpha)))))</f>
        <v>0.67298331069589612</v>
      </c>
      <c r="N70" s="19">
        <f ca="1">IF(RAND()&lt;P_Zero,0,IF(RAND()&lt;CondReturn,_xlfn.LOGNORM.INV(RAND(),MV2,Sigma1),IF(RAND()&lt;CondGood,_xlfn.LOGNORM.INV(RAND(),MV3,Sigma2),MIN(MaxMultiple,Xm/(1-RAND())^(1/Alpha)))))</f>
        <v>1.4900123441977777</v>
      </c>
      <c r="O70" s="19">
        <f ca="1">IF(RAND()&lt;P_Zero,0,IF(RAND()&lt;CondReturn,_xlfn.LOGNORM.INV(RAND(),MV2,Sigma1),IF(RAND()&lt;CondGood,_xlfn.LOGNORM.INV(RAND(),MV3,Sigma2),MIN(MaxMultiple,Xm/(1-RAND())^(1/Alpha)))))</f>
        <v>0</v>
      </c>
      <c r="P70" s="19">
        <f ca="1">IF(RAND()&lt;P_Zero,0,IF(RAND()&lt;CondReturn,_xlfn.LOGNORM.INV(RAND(),MV2,Sigma1),IF(RAND()&lt;CondGood,_xlfn.LOGNORM.INV(RAND(),MV3,Sigma2),MIN(MaxMultiple,Xm/(1-RAND())^(1/Alpha)))))</f>
        <v>0.55298666621209858</v>
      </c>
      <c r="Q70" s="19">
        <f ca="1">IF(RAND()&lt;P_Zero,0,IF(RAND()&lt;CondReturn,_xlfn.LOGNORM.INV(RAND(),MV2,Sigma1),IF(RAND()&lt;CondGood,_xlfn.LOGNORM.INV(RAND(),MV3,Sigma2),MIN(MaxMultiple,Xm/(1-RAND())^(1/Alpha)))))</f>
        <v>0.34253894654478878</v>
      </c>
      <c r="R70" s="19">
        <f ca="1">IF(RAND()&lt;P_Zero,0,IF(RAND()&lt;CondReturn,_xlfn.LOGNORM.INV(RAND(),MV2,Sigma1),IF(RAND()&lt;CondGood,_xlfn.LOGNORM.INV(RAND(),MV3,Sigma2),MIN(MaxMultiple,Xm/(1-RAND())^(1/Alpha)))))</f>
        <v>0</v>
      </c>
      <c r="S70" s="19">
        <f ca="1">IF(RAND()&lt;P_Zero,0,IF(RAND()&lt;CondReturn,_xlfn.LOGNORM.INV(RAND(),MV2,Sigma1),IF(RAND()&lt;CondGood,_xlfn.LOGNORM.INV(RAND(),MV3,Sigma2),MIN(MaxMultiple,Xm/(1-RAND())^(1/Alpha)))))</f>
        <v>0.66546638430146465</v>
      </c>
      <c r="T70" s="19">
        <f ca="1">IF(RAND()&lt;P_Zero,0,IF(RAND()&lt;CondReturn,_xlfn.LOGNORM.INV(RAND(),MV2,Sigma1),IF(RAND()&lt;CondGood,_xlfn.LOGNORM.INV(RAND(),MV3,Sigma2),MIN(MaxMultiple,Xm/(1-RAND())^(1/Alpha)))))</f>
        <v>1.1912509221446543</v>
      </c>
      <c r="U70" s="19">
        <f ca="1">IF(RAND()&lt;P_Zero,0,IF(RAND()&lt;CondReturn,_xlfn.LOGNORM.INV(RAND(),MV2,Sigma1),IF(RAND()&lt;CondGood,_xlfn.LOGNORM.INV(RAND(),MV3,Sigma2),MIN(MaxMultiple,Xm/(1-RAND())^(1/Alpha)))))</f>
        <v>0</v>
      </c>
      <c r="V70" s="19">
        <f ca="1">IF(RAND()&lt;P_Zero,0,IF(RAND()&lt;CondReturn,_xlfn.LOGNORM.INV(RAND(),MV2,Sigma1),IF(RAND()&lt;CondGood,_xlfn.LOGNORM.INV(RAND(),MV3,Sigma2),MIN(MaxMultiple,Xm/(1-RAND())^(1/Alpha)))))</f>
        <v>0</v>
      </c>
      <c r="W70" s="19">
        <f ca="1">IF(RAND()&lt;P_Zero,0,IF(RAND()&lt;CondReturn,_xlfn.LOGNORM.INV(RAND(),MV2,Sigma1),IF(RAND()&lt;CondGood,_xlfn.LOGNORM.INV(RAND(),MV3,Sigma2),MIN(MaxMultiple,Xm/(1-RAND())^(1/Alpha)))))</f>
        <v>0.57939055736082812</v>
      </c>
      <c r="X70" s="19">
        <f ca="1">IF(RAND()&lt;P_Zero,0,IF(RAND()&lt;CondReturn,_xlfn.LOGNORM.INV(RAND(),MV2,Sigma1),IF(RAND()&lt;CondGood,_xlfn.LOGNORM.INV(RAND(),MV3,Sigma2),MIN(MaxMultiple,Xm/(1-RAND())^(1/Alpha)))))</f>
        <v>1.6445844945048171</v>
      </c>
      <c r="Y70" s="19">
        <f ca="1">IF(RAND()&lt;P_Zero,0,IF(RAND()&lt;CondReturn,_xlfn.LOGNORM.INV(RAND(),MV2,Sigma1),IF(RAND()&lt;CondGood,_xlfn.LOGNORM.INV(RAND(),MV3,Sigma2),MIN(MaxMultiple,Xm/(1-RAND())^(1/Alpha)))))</f>
        <v>1.0647182721394763</v>
      </c>
      <c r="Z70" s="19">
        <f ca="1">IF(RAND()&lt;P_Zero,0,IF(RAND()&lt;CondReturn,_xlfn.LOGNORM.INV(RAND(),MV2,Sigma1),IF(RAND()&lt;CondGood,_xlfn.LOGNORM.INV(RAND(),MV3,Sigma2),MIN(MaxMultiple,Xm/(1-RAND())^(1/Alpha)))))</f>
        <v>0</v>
      </c>
      <c r="AA70" s="19">
        <f ca="1">IF(RAND()&lt;P_Zero,0,IF(RAND()&lt;CondReturn,_xlfn.LOGNORM.INV(RAND(),MV2,Sigma1),IF(RAND()&lt;CondGood,_xlfn.LOGNORM.INV(RAND(),MV3,Sigma2),MIN(MaxMultiple,Xm/(1-RAND())^(1/Alpha)))))</f>
        <v>2.2675935070742934</v>
      </c>
      <c r="AB70" s="19">
        <f t="shared" ref="AB70:AB133" ca="1" si="8">AVERAGE(C70:AA70)</f>
        <v>1.5042263181310249</v>
      </c>
      <c r="AC70" s="14">
        <f t="shared" ref="AC70:AC133" ca="1" si="9">AB70*InvestableCapital</f>
        <v>72202863.270289198</v>
      </c>
      <c r="AD70" s="14">
        <f t="shared" ref="AD70:AD133" ca="1" si="10">AC70-InvestableCapital</f>
        <v>24202863.270289198</v>
      </c>
      <c r="AE70" s="14">
        <f t="shared" ref="AE70:AE133" si="11">HurdleToggle*InvestableCapital*((1+HurdleRate)^FeeYears-1)</f>
        <v>55628399.869093813</v>
      </c>
      <c r="AF70" s="14">
        <f t="shared" ref="AF70:AF133" ca="1" si="12">MAX(0,AD70-AE70)</f>
        <v>0</v>
      </c>
      <c r="AG70" s="14">
        <f t="shared" ref="AG70:AG133" ca="1" si="13">CarryRate*AF70</f>
        <v>0</v>
      </c>
      <c r="AH70" s="14">
        <f t="shared" ref="AH70:AH133" ca="1" si="14">AC70-AG70</f>
        <v>72202863.270289198</v>
      </c>
      <c r="AI70" s="19">
        <f t="shared" ref="AI70:AI133" ca="1" si="15">AH70/FundSize</f>
        <v>1.20338105450482</v>
      </c>
    </row>
    <row r="71" spans="2:35" x14ac:dyDescent="0.2">
      <c r="B71" s="1">
        <v>66</v>
      </c>
      <c r="C71" s="19">
        <f ca="1">IF(RAND()&lt;P_Zero,0,IF(RAND()&lt;CondReturn,_xlfn.LOGNORM.INV(RAND(),MV2,Sigma1),IF(RAND()&lt;CondGood,_xlfn.LOGNORM.INV(RAND(),MV3,Sigma2),MIN(MaxMultiple,Xm/(1-RAND())^(1/Alpha)))))</f>
        <v>0.9213379120617613</v>
      </c>
      <c r="D71" s="19">
        <f ca="1">IF(RAND()&lt;P_Zero,0,IF(RAND()&lt;CondReturn,_xlfn.LOGNORM.INV(RAND(),MV2,Sigma1),IF(RAND()&lt;CondGood,_xlfn.LOGNORM.INV(RAND(),MV3,Sigma2),MIN(MaxMultiple,Xm/(1-RAND())^(1/Alpha)))))</f>
        <v>0.62503566261671484</v>
      </c>
      <c r="E71" s="19">
        <f ca="1">IF(RAND()&lt;P_Zero,0,IF(RAND()&lt;CondReturn,_xlfn.LOGNORM.INV(RAND(),MV2,Sigma1),IF(RAND()&lt;CondGood,_xlfn.LOGNORM.INV(RAND(),MV3,Sigma2),MIN(MaxMultiple,Xm/(1-RAND())^(1/Alpha)))))</f>
        <v>1.336678478029276</v>
      </c>
      <c r="F71" s="19">
        <f ca="1">IF(RAND()&lt;P_Zero,0,IF(RAND()&lt;CondReturn,_xlfn.LOGNORM.INV(RAND(),MV2,Sigma1),IF(RAND()&lt;CondGood,_xlfn.LOGNORM.INV(RAND(),MV3,Sigma2),MIN(MaxMultiple,Xm/(1-RAND())^(1/Alpha)))))</f>
        <v>0</v>
      </c>
      <c r="G71" s="19">
        <f ca="1">IF(RAND()&lt;P_Zero,0,IF(RAND()&lt;CondReturn,_xlfn.LOGNORM.INV(RAND(),MV2,Sigma1),IF(RAND()&lt;CondGood,_xlfn.LOGNORM.INV(RAND(),MV3,Sigma2),MIN(MaxMultiple,Xm/(1-RAND())^(1/Alpha)))))</f>
        <v>1.2452355925488234</v>
      </c>
      <c r="H71" s="19">
        <f ca="1">IF(RAND()&lt;P_Zero,0,IF(RAND()&lt;CondReturn,_xlfn.LOGNORM.INV(RAND(),MV2,Sigma1),IF(RAND()&lt;CondGood,_xlfn.LOGNORM.INV(RAND(),MV3,Sigma2),MIN(MaxMultiple,Xm/(1-RAND())^(1/Alpha)))))</f>
        <v>0</v>
      </c>
      <c r="I71" s="19">
        <f ca="1">IF(RAND()&lt;P_Zero,0,IF(RAND()&lt;CondReturn,_xlfn.LOGNORM.INV(RAND(),MV2,Sigma1),IF(RAND()&lt;CondGood,_xlfn.LOGNORM.INV(RAND(),MV3,Sigma2),MIN(MaxMultiple,Xm/(1-RAND())^(1/Alpha)))))</f>
        <v>1.6911040115118572</v>
      </c>
      <c r="J71" s="19">
        <f ca="1">IF(RAND()&lt;P_Zero,0,IF(RAND()&lt;CondReturn,_xlfn.LOGNORM.INV(RAND(),MV2,Sigma1),IF(RAND()&lt;CondGood,_xlfn.LOGNORM.INV(RAND(),MV3,Sigma2),MIN(MaxMultiple,Xm/(1-RAND())^(1/Alpha)))))</f>
        <v>0</v>
      </c>
      <c r="K71" s="19">
        <f ca="1">IF(RAND()&lt;P_Zero,0,IF(RAND()&lt;CondReturn,_xlfn.LOGNORM.INV(RAND(),MV2,Sigma1),IF(RAND()&lt;CondGood,_xlfn.LOGNORM.INV(RAND(),MV3,Sigma2),MIN(MaxMultiple,Xm/(1-RAND())^(1/Alpha)))))</f>
        <v>2.0926293137327114</v>
      </c>
      <c r="L71" s="19">
        <f ca="1">IF(RAND()&lt;P_Zero,0,IF(RAND()&lt;CondReturn,_xlfn.LOGNORM.INV(RAND(),MV2,Sigma1),IF(RAND()&lt;CondGood,_xlfn.LOGNORM.INV(RAND(),MV3,Sigma2),MIN(MaxMultiple,Xm/(1-RAND())^(1/Alpha)))))</f>
        <v>0</v>
      </c>
      <c r="M71" s="19">
        <f ca="1">IF(RAND()&lt;P_Zero,0,IF(RAND()&lt;CondReturn,_xlfn.LOGNORM.INV(RAND(),MV2,Sigma1),IF(RAND()&lt;CondGood,_xlfn.LOGNORM.INV(RAND(),MV3,Sigma2),MIN(MaxMultiple,Xm/(1-RAND())^(1/Alpha)))))</f>
        <v>19.204150851295548</v>
      </c>
      <c r="N71" s="19">
        <f ca="1">IF(RAND()&lt;P_Zero,0,IF(RAND()&lt;CondReturn,_xlfn.LOGNORM.INV(RAND(),MV2,Sigma1),IF(RAND()&lt;CondGood,_xlfn.LOGNORM.INV(RAND(),MV3,Sigma2),MIN(MaxMultiple,Xm/(1-RAND())^(1/Alpha)))))</f>
        <v>0</v>
      </c>
      <c r="O71" s="19">
        <f ca="1">IF(RAND()&lt;P_Zero,0,IF(RAND()&lt;CondReturn,_xlfn.LOGNORM.INV(RAND(),MV2,Sigma1),IF(RAND()&lt;CondGood,_xlfn.LOGNORM.INV(RAND(),MV3,Sigma2),MIN(MaxMultiple,Xm/(1-RAND())^(1/Alpha)))))</f>
        <v>0</v>
      </c>
      <c r="P71" s="19">
        <f ca="1">IF(RAND()&lt;P_Zero,0,IF(RAND()&lt;CondReturn,_xlfn.LOGNORM.INV(RAND(),MV2,Sigma1),IF(RAND()&lt;CondGood,_xlfn.LOGNORM.INV(RAND(),MV3,Sigma2),MIN(MaxMultiple,Xm/(1-RAND())^(1/Alpha)))))</f>
        <v>0</v>
      </c>
      <c r="Q71" s="19">
        <f ca="1">IF(RAND()&lt;P_Zero,0,IF(RAND()&lt;CondReturn,_xlfn.LOGNORM.INV(RAND(),MV2,Sigma1),IF(RAND()&lt;CondGood,_xlfn.LOGNORM.INV(RAND(),MV3,Sigma2),MIN(MaxMultiple,Xm/(1-RAND())^(1/Alpha)))))</f>
        <v>12.286207691494605</v>
      </c>
      <c r="R71" s="19">
        <f ca="1">IF(RAND()&lt;P_Zero,0,IF(RAND()&lt;CondReturn,_xlfn.LOGNORM.INV(RAND(),MV2,Sigma1),IF(RAND()&lt;CondGood,_xlfn.LOGNORM.INV(RAND(),MV3,Sigma2),MIN(MaxMultiple,Xm/(1-RAND())^(1/Alpha)))))</f>
        <v>1.5009267016948933</v>
      </c>
      <c r="S71" s="19">
        <f ca="1">IF(RAND()&lt;P_Zero,0,IF(RAND()&lt;CondReturn,_xlfn.LOGNORM.INV(RAND(),MV2,Sigma1),IF(RAND()&lt;CondGood,_xlfn.LOGNORM.INV(RAND(),MV3,Sigma2),MIN(MaxMultiple,Xm/(1-RAND())^(1/Alpha)))))</f>
        <v>0</v>
      </c>
      <c r="T71" s="19">
        <f ca="1">IF(RAND()&lt;P_Zero,0,IF(RAND()&lt;CondReturn,_xlfn.LOGNORM.INV(RAND(),MV2,Sigma1),IF(RAND()&lt;CondGood,_xlfn.LOGNORM.INV(RAND(),MV3,Sigma2),MIN(MaxMultiple,Xm/(1-RAND())^(1/Alpha)))))</f>
        <v>0</v>
      </c>
      <c r="U71" s="19">
        <f ca="1">IF(RAND()&lt;P_Zero,0,IF(RAND()&lt;CondReturn,_xlfn.LOGNORM.INV(RAND(),MV2,Sigma1),IF(RAND()&lt;CondGood,_xlfn.LOGNORM.INV(RAND(),MV3,Sigma2),MIN(MaxMultiple,Xm/(1-RAND())^(1/Alpha)))))</f>
        <v>0</v>
      </c>
      <c r="V71" s="19">
        <f ca="1">IF(RAND()&lt;P_Zero,0,IF(RAND()&lt;CondReturn,_xlfn.LOGNORM.INV(RAND(),MV2,Sigma1),IF(RAND()&lt;CondGood,_xlfn.LOGNORM.INV(RAND(),MV3,Sigma2),MIN(MaxMultiple,Xm/(1-RAND())^(1/Alpha)))))</f>
        <v>1.0430664534828336</v>
      </c>
      <c r="W71" s="19">
        <f ca="1">IF(RAND()&lt;P_Zero,0,IF(RAND()&lt;CondReturn,_xlfn.LOGNORM.INV(RAND(),MV2,Sigma1),IF(RAND()&lt;CondGood,_xlfn.LOGNORM.INV(RAND(),MV3,Sigma2),MIN(MaxMultiple,Xm/(1-RAND())^(1/Alpha)))))</f>
        <v>0</v>
      </c>
      <c r="X71" s="19">
        <f ca="1">IF(RAND()&lt;P_Zero,0,IF(RAND()&lt;CondReturn,_xlfn.LOGNORM.INV(RAND(),MV2,Sigma1),IF(RAND()&lt;CondGood,_xlfn.LOGNORM.INV(RAND(),MV3,Sigma2),MIN(MaxMultiple,Xm/(1-RAND())^(1/Alpha)))))</f>
        <v>1.1718441333977292</v>
      </c>
      <c r="Y71" s="19">
        <f ca="1">IF(RAND()&lt;P_Zero,0,IF(RAND()&lt;CondReturn,_xlfn.LOGNORM.INV(RAND(),MV2,Sigma1),IF(RAND()&lt;CondGood,_xlfn.LOGNORM.INV(RAND(),MV3,Sigma2),MIN(MaxMultiple,Xm/(1-RAND())^(1/Alpha)))))</f>
        <v>0.54417456773899575</v>
      </c>
      <c r="Z71" s="19">
        <f ca="1">IF(RAND()&lt;P_Zero,0,IF(RAND()&lt;CondReturn,_xlfn.LOGNORM.INV(RAND(),MV2,Sigma1),IF(RAND()&lt;CondGood,_xlfn.LOGNORM.INV(RAND(),MV3,Sigma2),MIN(MaxMultiple,Xm/(1-RAND())^(1/Alpha)))))</f>
        <v>17.436884221151981</v>
      </c>
      <c r="AA71" s="19">
        <f ca="1">IF(RAND()&lt;P_Zero,0,IF(RAND()&lt;CondReturn,_xlfn.LOGNORM.INV(RAND(),MV2,Sigma1),IF(RAND()&lt;CondGood,_xlfn.LOGNORM.INV(RAND(),MV3,Sigma2),MIN(MaxMultiple,Xm/(1-RAND())^(1/Alpha)))))</f>
        <v>0.36924639723276309</v>
      </c>
      <c r="AB71" s="19">
        <f t="shared" ca="1" si="8"/>
        <v>2.4587408795196195</v>
      </c>
      <c r="AC71" s="14">
        <f t="shared" ca="1" si="9"/>
        <v>118019562.21694173</v>
      </c>
      <c r="AD71" s="14">
        <f t="shared" ca="1" si="10"/>
        <v>70019562.216941729</v>
      </c>
      <c r="AE71" s="14">
        <f t="shared" si="11"/>
        <v>55628399.869093813</v>
      </c>
      <c r="AF71" s="14">
        <f t="shared" ca="1" si="12"/>
        <v>14391162.347847916</v>
      </c>
      <c r="AG71" s="14">
        <f t="shared" ca="1" si="13"/>
        <v>2878232.4695695834</v>
      </c>
      <c r="AH71" s="14">
        <f t="shared" ca="1" si="14"/>
        <v>115141329.74737215</v>
      </c>
      <c r="AI71" s="19">
        <f t="shared" ca="1" si="15"/>
        <v>1.9190221624562025</v>
      </c>
    </row>
    <row r="72" spans="2:35" x14ac:dyDescent="0.2">
      <c r="B72" s="1">
        <v>67</v>
      </c>
      <c r="C72" s="19">
        <f ca="1">IF(RAND()&lt;P_Zero,0,IF(RAND()&lt;CondReturn,_xlfn.LOGNORM.INV(RAND(),MV2,Sigma1),IF(RAND()&lt;CondGood,_xlfn.LOGNORM.INV(RAND(),MV3,Sigma2),MIN(MaxMultiple,Xm/(1-RAND())^(1/Alpha)))))</f>
        <v>0</v>
      </c>
      <c r="D72" s="19">
        <f ca="1">IF(RAND()&lt;P_Zero,0,IF(RAND()&lt;CondReturn,_xlfn.LOGNORM.INV(RAND(),MV2,Sigma1),IF(RAND()&lt;CondGood,_xlfn.LOGNORM.INV(RAND(),MV3,Sigma2),MIN(MaxMultiple,Xm/(1-RAND())^(1/Alpha)))))</f>
        <v>0.80697751429800124</v>
      </c>
      <c r="E72" s="19">
        <f ca="1">IF(RAND()&lt;P_Zero,0,IF(RAND()&lt;CondReturn,_xlfn.LOGNORM.INV(RAND(),MV2,Sigma1),IF(RAND()&lt;CondGood,_xlfn.LOGNORM.INV(RAND(),MV3,Sigma2),MIN(MaxMultiple,Xm/(1-RAND())^(1/Alpha)))))</f>
        <v>0</v>
      </c>
      <c r="F72" s="19">
        <f ca="1">IF(RAND()&lt;P_Zero,0,IF(RAND()&lt;CondReturn,_xlfn.LOGNORM.INV(RAND(),MV2,Sigma1),IF(RAND()&lt;CondGood,_xlfn.LOGNORM.INV(RAND(),MV3,Sigma2),MIN(MaxMultiple,Xm/(1-RAND())^(1/Alpha)))))</f>
        <v>0</v>
      </c>
      <c r="G72" s="19">
        <f ca="1">IF(RAND()&lt;P_Zero,0,IF(RAND()&lt;CondReturn,_xlfn.LOGNORM.INV(RAND(),MV2,Sigma1),IF(RAND()&lt;CondGood,_xlfn.LOGNORM.INV(RAND(),MV3,Sigma2),MIN(MaxMultiple,Xm/(1-RAND())^(1/Alpha)))))</f>
        <v>1.0431612636589136</v>
      </c>
      <c r="H72" s="19">
        <f ca="1">IF(RAND()&lt;P_Zero,0,IF(RAND()&lt;CondReturn,_xlfn.LOGNORM.INV(RAND(),MV2,Sigma1),IF(RAND()&lt;CondGood,_xlfn.LOGNORM.INV(RAND(),MV3,Sigma2),MIN(MaxMultiple,Xm/(1-RAND())^(1/Alpha)))))</f>
        <v>0</v>
      </c>
      <c r="I72" s="19">
        <f ca="1">IF(RAND()&lt;P_Zero,0,IF(RAND()&lt;CondReturn,_xlfn.LOGNORM.INV(RAND(),MV2,Sigma1),IF(RAND()&lt;CondGood,_xlfn.LOGNORM.INV(RAND(),MV3,Sigma2),MIN(MaxMultiple,Xm/(1-RAND())^(1/Alpha)))))</f>
        <v>0</v>
      </c>
      <c r="J72" s="19">
        <f ca="1">IF(RAND()&lt;P_Zero,0,IF(RAND()&lt;CondReturn,_xlfn.LOGNORM.INV(RAND(),MV2,Sigma1),IF(RAND()&lt;CondGood,_xlfn.LOGNORM.INV(RAND(),MV3,Sigma2),MIN(MaxMultiple,Xm/(1-RAND())^(1/Alpha)))))</f>
        <v>0</v>
      </c>
      <c r="K72" s="19">
        <f ca="1">IF(RAND()&lt;P_Zero,0,IF(RAND()&lt;CondReturn,_xlfn.LOGNORM.INV(RAND(),MV2,Sigma1),IF(RAND()&lt;CondGood,_xlfn.LOGNORM.INV(RAND(),MV3,Sigma2),MIN(MaxMultiple,Xm/(1-RAND())^(1/Alpha)))))</f>
        <v>0.98760622277857135</v>
      </c>
      <c r="L72" s="19">
        <f ca="1">IF(RAND()&lt;P_Zero,0,IF(RAND()&lt;CondReturn,_xlfn.LOGNORM.INV(RAND(),MV2,Sigma1),IF(RAND()&lt;CondGood,_xlfn.LOGNORM.INV(RAND(),MV3,Sigma2),MIN(MaxMultiple,Xm/(1-RAND())^(1/Alpha)))))</f>
        <v>1.4847795389256284</v>
      </c>
      <c r="M72" s="19">
        <f ca="1">IF(RAND()&lt;P_Zero,0,IF(RAND()&lt;CondReturn,_xlfn.LOGNORM.INV(RAND(),MV2,Sigma1),IF(RAND()&lt;CondGood,_xlfn.LOGNORM.INV(RAND(),MV3,Sigma2),MIN(MaxMultiple,Xm/(1-RAND())^(1/Alpha)))))</f>
        <v>0</v>
      </c>
      <c r="N72" s="19">
        <f ca="1">IF(RAND()&lt;P_Zero,0,IF(RAND()&lt;CondReturn,_xlfn.LOGNORM.INV(RAND(),MV2,Sigma1),IF(RAND()&lt;CondGood,_xlfn.LOGNORM.INV(RAND(),MV3,Sigma2),MIN(MaxMultiple,Xm/(1-RAND())^(1/Alpha)))))</f>
        <v>0</v>
      </c>
      <c r="O72" s="19">
        <f ca="1">IF(RAND()&lt;P_Zero,0,IF(RAND()&lt;CondReturn,_xlfn.LOGNORM.INV(RAND(),MV2,Sigma1),IF(RAND()&lt;CondGood,_xlfn.LOGNORM.INV(RAND(),MV3,Sigma2),MIN(MaxMultiple,Xm/(1-RAND())^(1/Alpha)))))</f>
        <v>1.0369477456821252</v>
      </c>
      <c r="P72" s="19">
        <f ca="1">IF(RAND()&lt;P_Zero,0,IF(RAND()&lt;CondReturn,_xlfn.LOGNORM.INV(RAND(),MV2,Sigma1),IF(RAND()&lt;CondGood,_xlfn.LOGNORM.INV(RAND(),MV3,Sigma2),MIN(MaxMultiple,Xm/(1-RAND())^(1/Alpha)))))</f>
        <v>0</v>
      </c>
      <c r="Q72" s="19">
        <f ca="1">IF(RAND()&lt;P_Zero,0,IF(RAND()&lt;CondReturn,_xlfn.LOGNORM.INV(RAND(),MV2,Sigma1),IF(RAND()&lt;CondGood,_xlfn.LOGNORM.INV(RAND(),MV3,Sigma2),MIN(MaxMultiple,Xm/(1-RAND())^(1/Alpha)))))</f>
        <v>1.4133005145123461</v>
      </c>
      <c r="R72" s="19">
        <f ca="1">IF(RAND()&lt;P_Zero,0,IF(RAND()&lt;CondReturn,_xlfn.LOGNORM.INV(RAND(),MV2,Sigma1),IF(RAND()&lt;CondGood,_xlfn.LOGNORM.INV(RAND(),MV3,Sigma2),MIN(MaxMultiple,Xm/(1-RAND())^(1/Alpha)))))</f>
        <v>0</v>
      </c>
      <c r="S72" s="19">
        <f ca="1">IF(RAND()&lt;P_Zero,0,IF(RAND()&lt;CondReturn,_xlfn.LOGNORM.INV(RAND(),MV2,Sigma1),IF(RAND()&lt;CondGood,_xlfn.LOGNORM.INV(RAND(),MV3,Sigma2),MIN(MaxMultiple,Xm/(1-RAND())^(1/Alpha)))))</f>
        <v>0.77729497566525396</v>
      </c>
      <c r="T72" s="19">
        <f ca="1">IF(RAND()&lt;P_Zero,0,IF(RAND()&lt;CondReturn,_xlfn.LOGNORM.INV(RAND(),MV2,Sigma1),IF(RAND()&lt;CondGood,_xlfn.LOGNORM.INV(RAND(),MV3,Sigma2),MIN(MaxMultiple,Xm/(1-RAND())^(1/Alpha)))))</f>
        <v>1.4901445402057343</v>
      </c>
      <c r="U72" s="19">
        <f ca="1">IF(RAND()&lt;P_Zero,0,IF(RAND()&lt;CondReturn,_xlfn.LOGNORM.INV(RAND(),MV2,Sigma1),IF(RAND()&lt;CondGood,_xlfn.LOGNORM.INV(RAND(),MV3,Sigma2),MIN(MaxMultiple,Xm/(1-RAND())^(1/Alpha)))))</f>
        <v>1.1621692194120421</v>
      </c>
      <c r="V72" s="19">
        <f ca="1">IF(RAND()&lt;P_Zero,0,IF(RAND()&lt;CondReturn,_xlfn.LOGNORM.INV(RAND(),MV2,Sigma1),IF(RAND()&lt;CondGood,_xlfn.LOGNORM.INV(RAND(),MV3,Sigma2),MIN(MaxMultiple,Xm/(1-RAND())^(1/Alpha)))))</f>
        <v>2.2376665257297255</v>
      </c>
      <c r="W72" s="19">
        <f ca="1">IF(RAND()&lt;P_Zero,0,IF(RAND()&lt;CondReturn,_xlfn.LOGNORM.INV(RAND(),MV2,Sigma1),IF(RAND()&lt;CondGood,_xlfn.LOGNORM.INV(RAND(),MV3,Sigma2),MIN(MaxMultiple,Xm/(1-RAND())^(1/Alpha)))))</f>
        <v>0.64841846035702777</v>
      </c>
      <c r="X72" s="19">
        <f ca="1">IF(RAND()&lt;P_Zero,0,IF(RAND()&lt;CondReturn,_xlfn.LOGNORM.INV(RAND(),MV2,Sigma1),IF(RAND()&lt;CondGood,_xlfn.LOGNORM.INV(RAND(),MV3,Sigma2),MIN(MaxMultiple,Xm/(1-RAND())^(1/Alpha)))))</f>
        <v>0</v>
      </c>
      <c r="Y72" s="19">
        <f ca="1">IF(RAND()&lt;P_Zero,0,IF(RAND()&lt;CondReturn,_xlfn.LOGNORM.INV(RAND(),MV2,Sigma1),IF(RAND()&lt;CondGood,_xlfn.LOGNORM.INV(RAND(),MV3,Sigma2),MIN(MaxMultiple,Xm/(1-RAND())^(1/Alpha)))))</f>
        <v>1.1508355521385154</v>
      </c>
      <c r="Z72" s="19">
        <f ca="1">IF(RAND()&lt;P_Zero,0,IF(RAND()&lt;CondReturn,_xlfn.LOGNORM.INV(RAND(),MV2,Sigma1),IF(RAND()&lt;CondGood,_xlfn.LOGNORM.INV(RAND(),MV3,Sigma2),MIN(MaxMultiple,Xm/(1-RAND())^(1/Alpha)))))</f>
        <v>0.51678004140613465</v>
      </c>
      <c r="AA72" s="19">
        <f ca="1">IF(RAND()&lt;P_Zero,0,IF(RAND()&lt;CondReturn,_xlfn.LOGNORM.INV(RAND(),MV2,Sigma1),IF(RAND()&lt;CondGood,_xlfn.LOGNORM.INV(RAND(),MV3,Sigma2),MIN(MaxMultiple,Xm/(1-RAND())^(1/Alpha)))))</f>
        <v>0</v>
      </c>
      <c r="AB72" s="19">
        <f t="shared" ca="1" si="8"/>
        <v>0.59024328459080078</v>
      </c>
      <c r="AC72" s="14">
        <f t="shared" ca="1" si="9"/>
        <v>28331677.660358436</v>
      </c>
      <c r="AD72" s="14">
        <f t="shared" ca="1" si="10"/>
        <v>-19668322.339641564</v>
      </c>
      <c r="AE72" s="14">
        <f t="shared" si="11"/>
        <v>55628399.869093813</v>
      </c>
      <c r="AF72" s="14">
        <f t="shared" ca="1" si="12"/>
        <v>0</v>
      </c>
      <c r="AG72" s="14">
        <f t="shared" ca="1" si="13"/>
        <v>0</v>
      </c>
      <c r="AH72" s="14">
        <f t="shared" ca="1" si="14"/>
        <v>28331677.660358436</v>
      </c>
      <c r="AI72" s="19">
        <f t="shared" ca="1" si="15"/>
        <v>0.47219462767264059</v>
      </c>
    </row>
    <row r="73" spans="2:35" x14ac:dyDescent="0.2">
      <c r="B73" s="1">
        <v>68</v>
      </c>
      <c r="C73" s="19">
        <f ca="1">IF(RAND()&lt;P_Zero,0,IF(RAND()&lt;CondReturn,_xlfn.LOGNORM.INV(RAND(),MV2,Sigma1),IF(RAND()&lt;CondGood,_xlfn.LOGNORM.INV(RAND(),MV3,Sigma2),MIN(MaxMultiple,Xm/(1-RAND())^(1/Alpha)))))</f>
        <v>1.343309634191048</v>
      </c>
      <c r="D73" s="19">
        <f ca="1">IF(RAND()&lt;P_Zero,0,IF(RAND()&lt;CondReturn,_xlfn.LOGNORM.INV(RAND(),MV2,Sigma1),IF(RAND()&lt;CondGood,_xlfn.LOGNORM.INV(RAND(),MV3,Sigma2),MIN(MaxMultiple,Xm/(1-RAND())^(1/Alpha)))))</f>
        <v>0.70790410235045365</v>
      </c>
      <c r="E73" s="19">
        <f ca="1">IF(RAND()&lt;P_Zero,0,IF(RAND()&lt;CondReturn,_xlfn.LOGNORM.INV(RAND(),MV2,Sigma1),IF(RAND()&lt;CondGood,_xlfn.LOGNORM.INV(RAND(),MV3,Sigma2),MIN(MaxMultiple,Xm/(1-RAND())^(1/Alpha)))))</f>
        <v>0</v>
      </c>
      <c r="F73" s="19">
        <f ca="1">IF(RAND()&lt;P_Zero,0,IF(RAND()&lt;CondReturn,_xlfn.LOGNORM.INV(RAND(),MV2,Sigma1),IF(RAND()&lt;CondGood,_xlfn.LOGNORM.INV(RAND(),MV3,Sigma2),MIN(MaxMultiple,Xm/(1-RAND())^(1/Alpha)))))</f>
        <v>0</v>
      </c>
      <c r="G73" s="19">
        <f ca="1">IF(RAND()&lt;P_Zero,0,IF(RAND()&lt;CondReturn,_xlfn.LOGNORM.INV(RAND(),MV2,Sigma1),IF(RAND()&lt;CondGood,_xlfn.LOGNORM.INV(RAND(),MV3,Sigma2),MIN(MaxMultiple,Xm/(1-RAND())^(1/Alpha)))))</f>
        <v>0</v>
      </c>
      <c r="H73" s="19">
        <f ca="1">IF(RAND()&lt;P_Zero,0,IF(RAND()&lt;CondReturn,_xlfn.LOGNORM.INV(RAND(),MV2,Sigma1),IF(RAND()&lt;CondGood,_xlfn.LOGNORM.INV(RAND(),MV3,Sigma2),MIN(MaxMultiple,Xm/(1-RAND())^(1/Alpha)))))</f>
        <v>2.4773591763138896</v>
      </c>
      <c r="I73" s="19">
        <f ca="1">IF(RAND()&lt;P_Zero,0,IF(RAND()&lt;CondReturn,_xlfn.LOGNORM.INV(RAND(),MV2,Sigma1),IF(RAND()&lt;CondGood,_xlfn.LOGNORM.INV(RAND(),MV3,Sigma2),MIN(MaxMultiple,Xm/(1-RAND())^(1/Alpha)))))</f>
        <v>0</v>
      </c>
      <c r="J73" s="19">
        <f ca="1">IF(RAND()&lt;P_Zero,0,IF(RAND()&lt;CondReturn,_xlfn.LOGNORM.INV(RAND(),MV2,Sigma1),IF(RAND()&lt;CondGood,_xlfn.LOGNORM.INV(RAND(),MV3,Sigma2),MIN(MaxMultiple,Xm/(1-RAND())^(1/Alpha)))))</f>
        <v>1.9549166552811414</v>
      </c>
      <c r="K73" s="19">
        <f ca="1">IF(RAND()&lt;P_Zero,0,IF(RAND()&lt;CondReturn,_xlfn.LOGNORM.INV(RAND(),MV2,Sigma1),IF(RAND()&lt;CondGood,_xlfn.LOGNORM.INV(RAND(),MV3,Sigma2),MIN(MaxMultiple,Xm/(1-RAND())^(1/Alpha)))))</f>
        <v>1.7708042999923406</v>
      </c>
      <c r="L73" s="19">
        <f ca="1">IF(RAND()&lt;P_Zero,0,IF(RAND()&lt;CondReturn,_xlfn.LOGNORM.INV(RAND(),MV2,Sigma1),IF(RAND()&lt;CondGood,_xlfn.LOGNORM.INV(RAND(),MV3,Sigma2),MIN(MaxMultiple,Xm/(1-RAND())^(1/Alpha)))))</f>
        <v>0</v>
      </c>
      <c r="M73" s="19">
        <f ca="1">IF(RAND()&lt;P_Zero,0,IF(RAND()&lt;CondReturn,_xlfn.LOGNORM.INV(RAND(),MV2,Sigma1),IF(RAND()&lt;CondGood,_xlfn.LOGNORM.INV(RAND(),MV3,Sigma2),MIN(MaxMultiple,Xm/(1-RAND())^(1/Alpha)))))</f>
        <v>1.9740017737241888</v>
      </c>
      <c r="N73" s="19">
        <f ca="1">IF(RAND()&lt;P_Zero,0,IF(RAND()&lt;CondReturn,_xlfn.LOGNORM.INV(RAND(),MV2,Sigma1),IF(RAND()&lt;CondGood,_xlfn.LOGNORM.INV(RAND(),MV3,Sigma2),MIN(MaxMultiple,Xm/(1-RAND())^(1/Alpha)))))</f>
        <v>0</v>
      </c>
      <c r="O73" s="19">
        <f ca="1">IF(RAND()&lt;P_Zero,0,IF(RAND()&lt;CondReturn,_xlfn.LOGNORM.INV(RAND(),MV2,Sigma1),IF(RAND()&lt;CondGood,_xlfn.LOGNORM.INV(RAND(),MV3,Sigma2),MIN(MaxMultiple,Xm/(1-RAND())^(1/Alpha)))))</f>
        <v>0</v>
      </c>
      <c r="P73" s="19">
        <f ca="1">IF(RAND()&lt;P_Zero,0,IF(RAND()&lt;CondReturn,_xlfn.LOGNORM.INV(RAND(),MV2,Sigma1),IF(RAND()&lt;CondGood,_xlfn.LOGNORM.INV(RAND(),MV3,Sigma2),MIN(MaxMultiple,Xm/(1-RAND())^(1/Alpha)))))</f>
        <v>0</v>
      </c>
      <c r="Q73" s="19">
        <f ca="1">IF(RAND()&lt;P_Zero,0,IF(RAND()&lt;CondReturn,_xlfn.LOGNORM.INV(RAND(),MV2,Sigma1),IF(RAND()&lt;CondGood,_xlfn.LOGNORM.INV(RAND(),MV3,Sigma2),MIN(MaxMultiple,Xm/(1-RAND())^(1/Alpha)))))</f>
        <v>0.33953155821409547</v>
      </c>
      <c r="R73" s="19">
        <f ca="1">IF(RAND()&lt;P_Zero,0,IF(RAND()&lt;CondReturn,_xlfn.LOGNORM.INV(RAND(),MV2,Sigma1),IF(RAND()&lt;CondGood,_xlfn.LOGNORM.INV(RAND(),MV3,Sigma2),MIN(MaxMultiple,Xm/(1-RAND())^(1/Alpha)))))</f>
        <v>0.95855564543553295</v>
      </c>
      <c r="S73" s="19">
        <f ca="1">IF(RAND()&lt;P_Zero,0,IF(RAND()&lt;CondReturn,_xlfn.LOGNORM.INV(RAND(),MV2,Sigma1),IF(RAND()&lt;CondGood,_xlfn.LOGNORM.INV(RAND(),MV3,Sigma2),MIN(MaxMultiple,Xm/(1-RAND())^(1/Alpha)))))</f>
        <v>12.344257088662697</v>
      </c>
      <c r="T73" s="19">
        <f ca="1">IF(RAND()&lt;P_Zero,0,IF(RAND()&lt;CondReturn,_xlfn.LOGNORM.INV(RAND(),MV2,Sigma1),IF(RAND()&lt;CondGood,_xlfn.LOGNORM.INV(RAND(),MV3,Sigma2),MIN(MaxMultiple,Xm/(1-RAND())^(1/Alpha)))))</f>
        <v>0</v>
      </c>
      <c r="U73" s="19">
        <f ca="1">IF(RAND()&lt;P_Zero,0,IF(RAND()&lt;CondReturn,_xlfn.LOGNORM.INV(RAND(),MV2,Sigma1),IF(RAND()&lt;CondGood,_xlfn.LOGNORM.INV(RAND(),MV3,Sigma2),MIN(MaxMultiple,Xm/(1-RAND())^(1/Alpha)))))</f>
        <v>41.81232683418817</v>
      </c>
      <c r="V73" s="19">
        <f ca="1">IF(RAND()&lt;P_Zero,0,IF(RAND()&lt;CondReturn,_xlfn.LOGNORM.INV(RAND(),MV2,Sigma1),IF(RAND()&lt;CondGood,_xlfn.LOGNORM.INV(RAND(),MV3,Sigma2),MIN(MaxMultiple,Xm/(1-RAND())^(1/Alpha)))))</f>
        <v>0</v>
      </c>
      <c r="W73" s="19">
        <f ca="1">IF(RAND()&lt;P_Zero,0,IF(RAND()&lt;CondReturn,_xlfn.LOGNORM.INV(RAND(),MV2,Sigma1),IF(RAND()&lt;CondGood,_xlfn.LOGNORM.INV(RAND(),MV3,Sigma2),MIN(MaxMultiple,Xm/(1-RAND())^(1/Alpha)))))</f>
        <v>0</v>
      </c>
      <c r="X73" s="19">
        <f ca="1">IF(RAND()&lt;P_Zero,0,IF(RAND()&lt;CondReturn,_xlfn.LOGNORM.INV(RAND(),MV2,Sigma1),IF(RAND()&lt;CondGood,_xlfn.LOGNORM.INV(RAND(),MV3,Sigma2),MIN(MaxMultiple,Xm/(1-RAND())^(1/Alpha)))))</f>
        <v>1.4968304501827221</v>
      </c>
      <c r="Y73" s="19">
        <f ca="1">IF(RAND()&lt;P_Zero,0,IF(RAND()&lt;CondReturn,_xlfn.LOGNORM.INV(RAND(),MV2,Sigma1),IF(RAND()&lt;CondGood,_xlfn.LOGNORM.INV(RAND(),MV3,Sigma2),MIN(MaxMultiple,Xm/(1-RAND())^(1/Alpha)))))</f>
        <v>0.54806582372642865</v>
      </c>
      <c r="Z73" s="19">
        <f ca="1">IF(RAND()&lt;P_Zero,0,IF(RAND()&lt;CondReturn,_xlfn.LOGNORM.INV(RAND(),MV2,Sigma1),IF(RAND()&lt;CondGood,_xlfn.LOGNORM.INV(RAND(),MV3,Sigma2),MIN(MaxMultiple,Xm/(1-RAND())^(1/Alpha)))))</f>
        <v>164.41658627679709</v>
      </c>
      <c r="AA73" s="19">
        <f ca="1">IF(RAND()&lt;P_Zero,0,IF(RAND()&lt;CondReturn,_xlfn.LOGNORM.INV(RAND(),MV2,Sigma1),IF(RAND()&lt;CondGood,_xlfn.LOGNORM.INV(RAND(),MV3,Sigma2),MIN(MaxMultiple,Xm/(1-RAND())^(1/Alpha)))))</f>
        <v>1.0227903498182453</v>
      </c>
      <c r="AB73" s="19">
        <f t="shared" ca="1" si="8"/>
        <v>9.3266895867551227</v>
      </c>
      <c r="AC73" s="14">
        <f t="shared" ca="1" si="9"/>
        <v>447681100.1642459</v>
      </c>
      <c r="AD73" s="14">
        <f t="shared" ca="1" si="10"/>
        <v>399681100.1642459</v>
      </c>
      <c r="AE73" s="14">
        <f t="shared" si="11"/>
        <v>55628399.869093813</v>
      </c>
      <c r="AF73" s="14">
        <f t="shared" ca="1" si="12"/>
        <v>344052700.29515207</v>
      </c>
      <c r="AG73" s="14">
        <f t="shared" ca="1" si="13"/>
        <v>68810540.059030414</v>
      </c>
      <c r="AH73" s="14">
        <f t="shared" ca="1" si="14"/>
        <v>378870560.10521549</v>
      </c>
      <c r="AI73" s="19">
        <f t="shared" ca="1" si="15"/>
        <v>6.3145093350869246</v>
      </c>
    </row>
    <row r="74" spans="2:35" x14ac:dyDescent="0.2">
      <c r="B74" s="1">
        <v>69</v>
      </c>
      <c r="C74" s="19">
        <f ca="1">IF(RAND()&lt;P_Zero,0,IF(RAND()&lt;CondReturn,_xlfn.LOGNORM.INV(RAND(),MV2,Sigma1),IF(RAND()&lt;CondGood,_xlfn.LOGNORM.INV(RAND(),MV3,Sigma2),MIN(MaxMultiple,Xm/(1-RAND())^(1/Alpha)))))</f>
        <v>0</v>
      </c>
      <c r="D74" s="19">
        <f ca="1">IF(RAND()&lt;P_Zero,0,IF(RAND()&lt;CondReturn,_xlfn.LOGNORM.INV(RAND(),MV2,Sigma1),IF(RAND()&lt;CondGood,_xlfn.LOGNORM.INV(RAND(),MV3,Sigma2),MIN(MaxMultiple,Xm/(1-RAND())^(1/Alpha)))))</f>
        <v>1.0890572400029273</v>
      </c>
      <c r="E74" s="19">
        <f ca="1">IF(RAND()&lt;P_Zero,0,IF(RAND()&lt;CondReturn,_xlfn.LOGNORM.INV(RAND(),MV2,Sigma1),IF(RAND()&lt;CondGood,_xlfn.LOGNORM.INV(RAND(),MV3,Sigma2),MIN(MaxMultiple,Xm/(1-RAND())^(1/Alpha)))))</f>
        <v>1.5633302097133492</v>
      </c>
      <c r="F74" s="19">
        <f ca="1">IF(RAND()&lt;P_Zero,0,IF(RAND()&lt;CondReturn,_xlfn.LOGNORM.INV(RAND(),MV2,Sigma1),IF(RAND()&lt;CondGood,_xlfn.LOGNORM.INV(RAND(),MV3,Sigma2),MIN(MaxMultiple,Xm/(1-RAND())^(1/Alpha)))))</f>
        <v>0</v>
      </c>
      <c r="G74" s="19">
        <f ca="1">IF(RAND()&lt;P_Zero,0,IF(RAND()&lt;CondReturn,_xlfn.LOGNORM.INV(RAND(),MV2,Sigma1),IF(RAND()&lt;CondGood,_xlfn.LOGNORM.INV(RAND(),MV3,Sigma2),MIN(MaxMultiple,Xm/(1-RAND())^(1/Alpha)))))</f>
        <v>0.45365908557282919</v>
      </c>
      <c r="H74" s="19">
        <f ca="1">IF(RAND()&lt;P_Zero,0,IF(RAND()&lt;CondReturn,_xlfn.LOGNORM.INV(RAND(),MV2,Sigma1),IF(RAND()&lt;CondGood,_xlfn.LOGNORM.INV(RAND(),MV3,Sigma2),MIN(MaxMultiple,Xm/(1-RAND())^(1/Alpha)))))</f>
        <v>0.51104942140496612</v>
      </c>
      <c r="I74" s="19">
        <f ca="1">IF(RAND()&lt;P_Zero,0,IF(RAND()&lt;CondReturn,_xlfn.LOGNORM.INV(RAND(),MV2,Sigma1),IF(RAND()&lt;CondGood,_xlfn.LOGNORM.INV(RAND(),MV3,Sigma2),MIN(MaxMultiple,Xm/(1-RAND())^(1/Alpha)))))</f>
        <v>0</v>
      </c>
      <c r="J74" s="19">
        <f ca="1">IF(RAND()&lt;P_Zero,0,IF(RAND()&lt;CondReturn,_xlfn.LOGNORM.INV(RAND(),MV2,Sigma1),IF(RAND()&lt;CondGood,_xlfn.LOGNORM.INV(RAND(),MV3,Sigma2),MIN(MaxMultiple,Xm/(1-RAND())^(1/Alpha)))))</f>
        <v>0.71361811906513306</v>
      </c>
      <c r="K74" s="19">
        <f ca="1">IF(RAND()&lt;P_Zero,0,IF(RAND()&lt;CondReturn,_xlfn.LOGNORM.INV(RAND(),MV2,Sigma1),IF(RAND()&lt;CondGood,_xlfn.LOGNORM.INV(RAND(),MV3,Sigma2),MIN(MaxMultiple,Xm/(1-RAND())^(1/Alpha)))))</f>
        <v>0</v>
      </c>
      <c r="L74" s="19">
        <f ca="1">IF(RAND()&lt;P_Zero,0,IF(RAND()&lt;CondReturn,_xlfn.LOGNORM.INV(RAND(),MV2,Sigma1),IF(RAND()&lt;CondGood,_xlfn.LOGNORM.INV(RAND(),MV3,Sigma2),MIN(MaxMultiple,Xm/(1-RAND())^(1/Alpha)))))</f>
        <v>0</v>
      </c>
      <c r="M74" s="19">
        <f ca="1">IF(RAND()&lt;P_Zero,0,IF(RAND()&lt;CondReturn,_xlfn.LOGNORM.INV(RAND(),MV2,Sigma1),IF(RAND()&lt;CondGood,_xlfn.LOGNORM.INV(RAND(),MV3,Sigma2),MIN(MaxMultiple,Xm/(1-RAND())^(1/Alpha)))))</f>
        <v>1.0611809638225889</v>
      </c>
      <c r="N74" s="19">
        <f ca="1">IF(RAND()&lt;P_Zero,0,IF(RAND()&lt;CondReturn,_xlfn.LOGNORM.INV(RAND(),MV2,Sigma1),IF(RAND()&lt;CondGood,_xlfn.LOGNORM.INV(RAND(),MV3,Sigma2),MIN(MaxMultiple,Xm/(1-RAND())^(1/Alpha)))))</f>
        <v>0</v>
      </c>
      <c r="O74" s="19">
        <f ca="1">IF(RAND()&lt;P_Zero,0,IF(RAND()&lt;CondReturn,_xlfn.LOGNORM.INV(RAND(),MV2,Sigma1),IF(RAND()&lt;CondGood,_xlfn.LOGNORM.INV(RAND(),MV3,Sigma2),MIN(MaxMultiple,Xm/(1-RAND())^(1/Alpha)))))</f>
        <v>124.76351049553648</v>
      </c>
      <c r="P74" s="19">
        <f ca="1">IF(RAND()&lt;P_Zero,0,IF(RAND()&lt;CondReturn,_xlfn.LOGNORM.INV(RAND(),MV2,Sigma1),IF(RAND()&lt;CondGood,_xlfn.LOGNORM.INV(RAND(),MV3,Sigma2),MIN(MaxMultiple,Xm/(1-RAND())^(1/Alpha)))))</f>
        <v>0</v>
      </c>
      <c r="Q74" s="19">
        <f ca="1">IF(RAND()&lt;P_Zero,0,IF(RAND()&lt;CondReturn,_xlfn.LOGNORM.INV(RAND(),MV2,Sigma1),IF(RAND()&lt;CondGood,_xlfn.LOGNORM.INV(RAND(),MV3,Sigma2),MIN(MaxMultiple,Xm/(1-RAND())^(1/Alpha)))))</f>
        <v>0.94900438700162182</v>
      </c>
      <c r="R74" s="19">
        <f ca="1">IF(RAND()&lt;P_Zero,0,IF(RAND()&lt;CondReturn,_xlfn.LOGNORM.INV(RAND(),MV2,Sigma1),IF(RAND()&lt;CondGood,_xlfn.LOGNORM.INV(RAND(),MV3,Sigma2),MIN(MaxMultiple,Xm/(1-RAND())^(1/Alpha)))))</f>
        <v>1.0280587605565601</v>
      </c>
      <c r="S74" s="19">
        <f ca="1">IF(RAND()&lt;P_Zero,0,IF(RAND()&lt;CondReturn,_xlfn.LOGNORM.INV(RAND(),MV2,Sigma1),IF(RAND()&lt;CondGood,_xlfn.LOGNORM.INV(RAND(),MV3,Sigma2),MIN(MaxMultiple,Xm/(1-RAND())^(1/Alpha)))))</f>
        <v>0.91665739456311435</v>
      </c>
      <c r="T74" s="19">
        <f ca="1">IF(RAND()&lt;P_Zero,0,IF(RAND()&lt;CondReturn,_xlfn.LOGNORM.INV(RAND(),MV2,Sigma1),IF(RAND()&lt;CondGood,_xlfn.LOGNORM.INV(RAND(),MV3,Sigma2),MIN(MaxMultiple,Xm/(1-RAND())^(1/Alpha)))))</f>
        <v>0</v>
      </c>
      <c r="U74" s="19">
        <f ca="1">IF(RAND()&lt;P_Zero,0,IF(RAND()&lt;CondReturn,_xlfn.LOGNORM.INV(RAND(),MV2,Sigma1),IF(RAND()&lt;CondGood,_xlfn.LOGNORM.INV(RAND(),MV3,Sigma2),MIN(MaxMultiple,Xm/(1-RAND())^(1/Alpha)))))</f>
        <v>0</v>
      </c>
      <c r="V74" s="19">
        <f ca="1">IF(RAND()&lt;P_Zero,0,IF(RAND()&lt;CondReturn,_xlfn.LOGNORM.INV(RAND(),MV2,Sigma1),IF(RAND()&lt;CondGood,_xlfn.LOGNORM.INV(RAND(),MV3,Sigma2),MIN(MaxMultiple,Xm/(1-RAND())^(1/Alpha)))))</f>
        <v>0.72810690077649809</v>
      </c>
      <c r="W74" s="19">
        <f ca="1">IF(RAND()&lt;P_Zero,0,IF(RAND()&lt;CondReturn,_xlfn.LOGNORM.INV(RAND(),MV2,Sigma1),IF(RAND()&lt;CondGood,_xlfn.LOGNORM.INV(RAND(),MV3,Sigma2),MIN(MaxMultiple,Xm/(1-RAND())^(1/Alpha)))))</f>
        <v>10.035567611049377</v>
      </c>
      <c r="X74" s="19">
        <f ca="1">IF(RAND()&lt;P_Zero,0,IF(RAND()&lt;CondReturn,_xlfn.LOGNORM.INV(RAND(),MV2,Sigma1),IF(RAND()&lt;CondGood,_xlfn.LOGNORM.INV(RAND(),MV3,Sigma2),MIN(MaxMultiple,Xm/(1-RAND())^(1/Alpha)))))</f>
        <v>0</v>
      </c>
      <c r="Y74" s="19">
        <f ca="1">IF(RAND()&lt;P_Zero,0,IF(RAND()&lt;CondReturn,_xlfn.LOGNORM.INV(RAND(),MV2,Sigma1),IF(RAND()&lt;CondGood,_xlfn.LOGNORM.INV(RAND(),MV3,Sigma2),MIN(MaxMultiple,Xm/(1-RAND())^(1/Alpha)))))</f>
        <v>1.5449026681341844</v>
      </c>
      <c r="Z74" s="19">
        <f ca="1">IF(RAND()&lt;P_Zero,0,IF(RAND()&lt;CondReturn,_xlfn.LOGNORM.INV(RAND(),MV2,Sigma1),IF(RAND()&lt;CondGood,_xlfn.LOGNORM.INV(RAND(),MV3,Sigma2),MIN(MaxMultiple,Xm/(1-RAND())^(1/Alpha)))))</f>
        <v>20.959288881996294</v>
      </c>
      <c r="AA74" s="19">
        <f ca="1">IF(RAND()&lt;P_Zero,0,IF(RAND()&lt;CondReturn,_xlfn.LOGNORM.INV(RAND(),MV2,Sigma1),IF(RAND()&lt;CondGood,_xlfn.LOGNORM.INV(RAND(),MV3,Sigma2),MIN(MaxMultiple,Xm/(1-RAND())^(1/Alpha)))))</f>
        <v>0.82254302455029493</v>
      </c>
      <c r="AB74" s="19">
        <f t="shared" ca="1" si="8"/>
        <v>6.6855814065498471</v>
      </c>
      <c r="AC74" s="14">
        <f t="shared" ca="1" si="9"/>
        <v>320907907.51439267</v>
      </c>
      <c r="AD74" s="14">
        <f t="shared" ca="1" si="10"/>
        <v>272907907.51439267</v>
      </c>
      <c r="AE74" s="14">
        <f t="shared" si="11"/>
        <v>55628399.869093813</v>
      </c>
      <c r="AF74" s="14">
        <f t="shared" ca="1" si="12"/>
        <v>217279507.64529887</v>
      </c>
      <c r="AG74" s="14">
        <f t="shared" ca="1" si="13"/>
        <v>43455901.529059775</v>
      </c>
      <c r="AH74" s="14">
        <f t="shared" ca="1" si="14"/>
        <v>277452005.98533291</v>
      </c>
      <c r="AI74" s="19">
        <f t="shared" ca="1" si="15"/>
        <v>4.6242000997555488</v>
      </c>
    </row>
    <row r="75" spans="2:35" x14ac:dyDescent="0.2">
      <c r="B75" s="1">
        <v>70</v>
      </c>
      <c r="C75" s="19">
        <f ca="1">IF(RAND()&lt;P_Zero,0,IF(RAND()&lt;CondReturn,_xlfn.LOGNORM.INV(RAND(),MV2,Sigma1),IF(RAND()&lt;CondGood,_xlfn.LOGNORM.INV(RAND(),MV3,Sigma2),MIN(MaxMultiple,Xm/(1-RAND())^(1/Alpha)))))</f>
        <v>1.3653998889077608</v>
      </c>
      <c r="D75" s="19">
        <f ca="1">IF(RAND()&lt;P_Zero,0,IF(RAND()&lt;CondReturn,_xlfn.LOGNORM.INV(RAND(),MV2,Sigma1),IF(RAND()&lt;CondGood,_xlfn.LOGNORM.INV(RAND(),MV3,Sigma2),MIN(MaxMultiple,Xm/(1-RAND())^(1/Alpha)))))</f>
        <v>0</v>
      </c>
      <c r="E75" s="19">
        <f ca="1">IF(RAND()&lt;P_Zero,0,IF(RAND()&lt;CondReturn,_xlfn.LOGNORM.INV(RAND(),MV2,Sigma1),IF(RAND()&lt;CondGood,_xlfn.LOGNORM.INV(RAND(),MV3,Sigma2),MIN(MaxMultiple,Xm/(1-RAND())^(1/Alpha)))))</f>
        <v>0</v>
      </c>
      <c r="F75" s="19">
        <f ca="1">IF(RAND()&lt;P_Zero,0,IF(RAND()&lt;CondReturn,_xlfn.LOGNORM.INV(RAND(),MV2,Sigma1),IF(RAND()&lt;CondGood,_xlfn.LOGNORM.INV(RAND(),MV3,Sigma2),MIN(MaxMultiple,Xm/(1-RAND())^(1/Alpha)))))</f>
        <v>0</v>
      </c>
      <c r="G75" s="19">
        <f ca="1">IF(RAND()&lt;P_Zero,0,IF(RAND()&lt;CondReturn,_xlfn.LOGNORM.INV(RAND(),MV2,Sigma1),IF(RAND()&lt;CondGood,_xlfn.LOGNORM.INV(RAND(),MV3,Sigma2),MIN(MaxMultiple,Xm/(1-RAND())^(1/Alpha)))))</f>
        <v>11.029259033210518</v>
      </c>
      <c r="H75" s="19">
        <f ca="1">IF(RAND()&lt;P_Zero,0,IF(RAND()&lt;CondReturn,_xlfn.LOGNORM.INV(RAND(),MV2,Sigma1),IF(RAND()&lt;CondGood,_xlfn.LOGNORM.INV(RAND(),MV3,Sigma2),MIN(MaxMultiple,Xm/(1-RAND())^(1/Alpha)))))</f>
        <v>1.2075772799469819</v>
      </c>
      <c r="I75" s="19">
        <f ca="1">IF(RAND()&lt;P_Zero,0,IF(RAND()&lt;CondReturn,_xlfn.LOGNORM.INV(RAND(),MV2,Sigma1),IF(RAND()&lt;CondGood,_xlfn.LOGNORM.INV(RAND(),MV3,Sigma2),MIN(MaxMultiple,Xm/(1-RAND())^(1/Alpha)))))</f>
        <v>0</v>
      </c>
      <c r="J75" s="19">
        <f ca="1">IF(RAND()&lt;P_Zero,0,IF(RAND()&lt;CondReturn,_xlfn.LOGNORM.INV(RAND(),MV2,Sigma1),IF(RAND()&lt;CondGood,_xlfn.LOGNORM.INV(RAND(),MV3,Sigma2),MIN(MaxMultiple,Xm/(1-RAND())^(1/Alpha)))))</f>
        <v>0</v>
      </c>
      <c r="K75" s="19">
        <f ca="1">IF(RAND()&lt;P_Zero,0,IF(RAND()&lt;CondReturn,_xlfn.LOGNORM.INV(RAND(),MV2,Sigma1),IF(RAND()&lt;CondGood,_xlfn.LOGNORM.INV(RAND(),MV3,Sigma2),MIN(MaxMultiple,Xm/(1-RAND())^(1/Alpha)))))</f>
        <v>17.947406651052415</v>
      </c>
      <c r="L75" s="19">
        <f ca="1">IF(RAND()&lt;P_Zero,0,IF(RAND()&lt;CondReturn,_xlfn.LOGNORM.INV(RAND(),MV2,Sigma1),IF(RAND()&lt;CondGood,_xlfn.LOGNORM.INV(RAND(),MV3,Sigma2),MIN(MaxMultiple,Xm/(1-RAND())^(1/Alpha)))))</f>
        <v>2.026213357713913</v>
      </c>
      <c r="M75" s="19">
        <f ca="1">IF(RAND()&lt;P_Zero,0,IF(RAND()&lt;CondReturn,_xlfn.LOGNORM.INV(RAND(),MV2,Sigma1),IF(RAND()&lt;CondGood,_xlfn.LOGNORM.INV(RAND(),MV3,Sigma2),MIN(MaxMultiple,Xm/(1-RAND())^(1/Alpha)))))</f>
        <v>1.1465943970489765</v>
      </c>
      <c r="N75" s="19">
        <f ca="1">IF(RAND()&lt;P_Zero,0,IF(RAND()&lt;CondReturn,_xlfn.LOGNORM.INV(RAND(),MV2,Sigma1),IF(RAND()&lt;CondGood,_xlfn.LOGNORM.INV(RAND(),MV3,Sigma2),MIN(MaxMultiple,Xm/(1-RAND())^(1/Alpha)))))</f>
        <v>0</v>
      </c>
      <c r="O75" s="19">
        <f ca="1">IF(RAND()&lt;P_Zero,0,IF(RAND()&lt;CondReturn,_xlfn.LOGNORM.INV(RAND(),MV2,Sigma1),IF(RAND()&lt;CondGood,_xlfn.LOGNORM.INV(RAND(),MV3,Sigma2),MIN(MaxMultiple,Xm/(1-RAND())^(1/Alpha)))))</f>
        <v>0</v>
      </c>
      <c r="P75" s="19">
        <f ca="1">IF(RAND()&lt;P_Zero,0,IF(RAND()&lt;CondReturn,_xlfn.LOGNORM.INV(RAND(),MV2,Sigma1),IF(RAND()&lt;CondGood,_xlfn.LOGNORM.INV(RAND(),MV3,Sigma2),MIN(MaxMultiple,Xm/(1-RAND())^(1/Alpha)))))</f>
        <v>0.72964560148646207</v>
      </c>
      <c r="Q75" s="19">
        <f ca="1">IF(RAND()&lt;P_Zero,0,IF(RAND()&lt;CondReturn,_xlfn.LOGNORM.INV(RAND(),MV2,Sigma1),IF(RAND()&lt;CondGood,_xlfn.LOGNORM.INV(RAND(),MV3,Sigma2),MIN(MaxMultiple,Xm/(1-RAND())^(1/Alpha)))))</f>
        <v>0</v>
      </c>
      <c r="R75" s="19">
        <f ca="1">IF(RAND()&lt;P_Zero,0,IF(RAND()&lt;CondReturn,_xlfn.LOGNORM.INV(RAND(),MV2,Sigma1),IF(RAND()&lt;CondGood,_xlfn.LOGNORM.INV(RAND(),MV3,Sigma2),MIN(MaxMultiple,Xm/(1-RAND())^(1/Alpha)))))</f>
        <v>0</v>
      </c>
      <c r="S75" s="19">
        <f ca="1">IF(RAND()&lt;P_Zero,0,IF(RAND()&lt;CondReturn,_xlfn.LOGNORM.INV(RAND(),MV2,Sigma1),IF(RAND()&lt;CondGood,_xlfn.LOGNORM.INV(RAND(),MV3,Sigma2),MIN(MaxMultiple,Xm/(1-RAND())^(1/Alpha)))))</f>
        <v>0.63935648119271793</v>
      </c>
      <c r="T75" s="19">
        <f ca="1">IF(RAND()&lt;P_Zero,0,IF(RAND()&lt;CondReturn,_xlfn.LOGNORM.INV(RAND(),MV2,Sigma1),IF(RAND()&lt;CondGood,_xlfn.LOGNORM.INV(RAND(),MV3,Sigma2),MIN(MaxMultiple,Xm/(1-RAND())^(1/Alpha)))))</f>
        <v>0.92093173323695154</v>
      </c>
      <c r="U75" s="19">
        <f ca="1">IF(RAND()&lt;P_Zero,0,IF(RAND()&lt;CondReturn,_xlfn.LOGNORM.INV(RAND(),MV2,Sigma1),IF(RAND()&lt;CondGood,_xlfn.LOGNORM.INV(RAND(),MV3,Sigma2),MIN(MaxMultiple,Xm/(1-RAND())^(1/Alpha)))))</f>
        <v>0.86448824308977978</v>
      </c>
      <c r="V75" s="19">
        <f ca="1">IF(RAND()&lt;P_Zero,0,IF(RAND()&lt;CondReturn,_xlfn.LOGNORM.INV(RAND(),MV2,Sigma1),IF(RAND()&lt;CondGood,_xlfn.LOGNORM.INV(RAND(),MV3,Sigma2),MIN(MaxMultiple,Xm/(1-RAND())^(1/Alpha)))))</f>
        <v>0.91080979467185907</v>
      </c>
      <c r="W75" s="19">
        <f ca="1">IF(RAND()&lt;P_Zero,0,IF(RAND()&lt;CondReturn,_xlfn.LOGNORM.INV(RAND(),MV2,Sigma1),IF(RAND()&lt;CondGood,_xlfn.LOGNORM.INV(RAND(),MV3,Sigma2),MIN(MaxMultiple,Xm/(1-RAND())^(1/Alpha)))))</f>
        <v>0.54189505299923912</v>
      </c>
      <c r="X75" s="19">
        <f ca="1">IF(RAND()&lt;P_Zero,0,IF(RAND()&lt;CondReturn,_xlfn.LOGNORM.INV(RAND(),MV2,Sigma1),IF(RAND()&lt;CondGood,_xlfn.LOGNORM.INV(RAND(),MV3,Sigma2),MIN(MaxMultiple,Xm/(1-RAND())^(1/Alpha)))))</f>
        <v>0.79574672311214489</v>
      </c>
      <c r="Y75" s="19">
        <f ca="1">IF(RAND()&lt;P_Zero,0,IF(RAND()&lt;CondReturn,_xlfn.LOGNORM.INV(RAND(),MV2,Sigma1),IF(RAND()&lt;CondGood,_xlfn.LOGNORM.INV(RAND(),MV3,Sigma2),MIN(MaxMultiple,Xm/(1-RAND())^(1/Alpha)))))</f>
        <v>1.1000645086631575</v>
      </c>
      <c r="Z75" s="19">
        <f ca="1">IF(RAND()&lt;P_Zero,0,IF(RAND()&lt;CondReturn,_xlfn.LOGNORM.INV(RAND(),MV2,Sigma1),IF(RAND()&lt;CondGood,_xlfn.LOGNORM.INV(RAND(),MV3,Sigma2),MIN(MaxMultiple,Xm/(1-RAND())^(1/Alpha)))))</f>
        <v>0.86413712770764106</v>
      </c>
      <c r="AA75" s="19">
        <f ca="1">IF(RAND()&lt;P_Zero,0,IF(RAND()&lt;CondReturn,_xlfn.LOGNORM.INV(RAND(),MV2,Sigma1),IF(RAND()&lt;CondGood,_xlfn.LOGNORM.INV(RAND(),MV3,Sigma2),MIN(MaxMultiple,Xm/(1-RAND())^(1/Alpha)))))</f>
        <v>1.2363839755964248</v>
      </c>
      <c r="AB75" s="19">
        <f t="shared" ca="1" si="8"/>
        <v>1.733036393985478</v>
      </c>
      <c r="AC75" s="14">
        <f t="shared" ca="1" si="9"/>
        <v>83185746.911302939</v>
      </c>
      <c r="AD75" s="14">
        <f t="shared" ca="1" si="10"/>
        <v>35185746.911302939</v>
      </c>
      <c r="AE75" s="14">
        <f t="shared" si="11"/>
        <v>55628399.869093813</v>
      </c>
      <c r="AF75" s="14">
        <f t="shared" ca="1" si="12"/>
        <v>0</v>
      </c>
      <c r="AG75" s="14">
        <f t="shared" ca="1" si="13"/>
        <v>0</v>
      </c>
      <c r="AH75" s="14">
        <f t="shared" ca="1" si="14"/>
        <v>83185746.911302939</v>
      </c>
      <c r="AI75" s="19">
        <f t="shared" ca="1" si="15"/>
        <v>1.3864291151883823</v>
      </c>
    </row>
    <row r="76" spans="2:35" x14ac:dyDescent="0.2">
      <c r="B76" s="1">
        <v>71</v>
      </c>
      <c r="C76" s="19">
        <f ca="1">IF(RAND()&lt;P_Zero,0,IF(RAND()&lt;CondReturn,_xlfn.LOGNORM.INV(RAND(),MV2,Sigma1),IF(RAND()&lt;CondGood,_xlfn.LOGNORM.INV(RAND(),MV3,Sigma2),MIN(MaxMultiple,Xm/(1-RAND())^(1/Alpha)))))</f>
        <v>0.83138640183114765</v>
      </c>
      <c r="D76" s="19">
        <f ca="1">IF(RAND()&lt;P_Zero,0,IF(RAND()&lt;CondReturn,_xlfn.LOGNORM.INV(RAND(),MV2,Sigma1),IF(RAND()&lt;CondGood,_xlfn.LOGNORM.INV(RAND(),MV3,Sigma2),MIN(MaxMultiple,Xm/(1-RAND())^(1/Alpha)))))</f>
        <v>1.2155770104279711</v>
      </c>
      <c r="E76" s="19">
        <f ca="1">IF(RAND()&lt;P_Zero,0,IF(RAND()&lt;CondReturn,_xlfn.LOGNORM.INV(RAND(),MV2,Sigma1),IF(RAND()&lt;CondGood,_xlfn.LOGNORM.INV(RAND(),MV3,Sigma2),MIN(MaxMultiple,Xm/(1-RAND())^(1/Alpha)))))</f>
        <v>0.99074924213627658</v>
      </c>
      <c r="F76" s="19">
        <f ca="1">IF(RAND()&lt;P_Zero,0,IF(RAND()&lt;CondReturn,_xlfn.LOGNORM.INV(RAND(),MV2,Sigma1),IF(RAND()&lt;CondGood,_xlfn.LOGNORM.INV(RAND(),MV3,Sigma2),MIN(MaxMultiple,Xm/(1-RAND())^(1/Alpha)))))</f>
        <v>1.8090423969980267</v>
      </c>
      <c r="G76" s="19">
        <f ca="1">IF(RAND()&lt;P_Zero,0,IF(RAND()&lt;CondReturn,_xlfn.LOGNORM.INV(RAND(),MV2,Sigma1),IF(RAND()&lt;CondGood,_xlfn.LOGNORM.INV(RAND(),MV3,Sigma2),MIN(MaxMultiple,Xm/(1-RAND())^(1/Alpha)))))</f>
        <v>2.2264206860954565</v>
      </c>
      <c r="H76" s="19">
        <f ca="1">IF(RAND()&lt;P_Zero,0,IF(RAND()&lt;CondReturn,_xlfn.LOGNORM.INV(RAND(),MV2,Sigma1),IF(RAND()&lt;CondGood,_xlfn.LOGNORM.INV(RAND(),MV3,Sigma2),MIN(MaxMultiple,Xm/(1-RAND())^(1/Alpha)))))</f>
        <v>15.196705032976894</v>
      </c>
      <c r="I76" s="19">
        <f ca="1">IF(RAND()&lt;P_Zero,0,IF(RAND()&lt;CondReturn,_xlfn.LOGNORM.INV(RAND(),MV2,Sigma1),IF(RAND()&lt;CondGood,_xlfn.LOGNORM.INV(RAND(),MV3,Sigma2),MIN(MaxMultiple,Xm/(1-RAND())^(1/Alpha)))))</f>
        <v>0</v>
      </c>
      <c r="J76" s="19">
        <f ca="1">IF(RAND()&lt;P_Zero,0,IF(RAND()&lt;CondReturn,_xlfn.LOGNORM.INV(RAND(),MV2,Sigma1),IF(RAND()&lt;CondGood,_xlfn.LOGNORM.INV(RAND(),MV3,Sigma2),MIN(MaxMultiple,Xm/(1-RAND())^(1/Alpha)))))</f>
        <v>0</v>
      </c>
      <c r="K76" s="19">
        <f ca="1">IF(RAND()&lt;P_Zero,0,IF(RAND()&lt;CondReturn,_xlfn.LOGNORM.INV(RAND(),MV2,Sigma1),IF(RAND()&lt;CondGood,_xlfn.LOGNORM.INV(RAND(),MV3,Sigma2),MIN(MaxMultiple,Xm/(1-RAND())^(1/Alpha)))))</f>
        <v>0.50921558786584864</v>
      </c>
      <c r="L76" s="19">
        <f ca="1">IF(RAND()&lt;P_Zero,0,IF(RAND()&lt;CondReturn,_xlfn.LOGNORM.INV(RAND(),MV2,Sigma1),IF(RAND()&lt;CondGood,_xlfn.LOGNORM.INV(RAND(),MV3,Sigma2),MIN(MaxMultiple,Xm/(1-RAND())^(1/Alpha)))))</f>
        <v>0</v>
      </c>
      <c r="M76" s="19">
        <f ca="1">IF(RAND()&lt;P_Zero,0,IF(RAND()&lt;CondReturn,_xlfn.LOGNORM.INV(RAND(),MV2,Sigma1),IF(RAND()&lt;CondGood,_xlfn.LOGNORM.INV(RAND(),MV3,Sigma2),MIN(MaxMultiple,Xm/(1-RAND())^(1/Alpha)))))</f>
        <v>5.831696987792669</v>
      </c>
      <c r="N76" s="19">
        <f ca="1">IF(RAND()&lt;P_Zero,0,IF(RAND()&lt;CondReturn,_xlfn.LOGNORM.INV(RAND(),MV2,Sigma1),IF(RAND()&lt;CondGood,_xlfn.LOGNORM.INV(RAND(),MV3,Sigma2),MIN(MaxMultiple,Xm/(1-RAND())^(1/Alpha)))))</f>
        <v>1.0370259055036251</v>
      </c>
      <c r="O76" s="19">
        <f ca="1">IF(RAND()&lt;P_Zero,0,IF(RAND()&lt;CondReturn,_xlfn.LOGNORM.INV(RAND(),MV2,Sigma1),IF(RAND()&lt;CondGood,_xlfn.LOGNORM.INV(RAND(),MV3,Sigma2),MIN(MaxMultiple,Xm/(1-RAND())^(1/Alpha)))))</f>
        <v>1.2607230679121202</v>
      </c>
      <c r="P76" s="19">
        <f ca="1">IF(RAND()&lt;P_Zero,0,IF(RAND()&lt;CondReturn,_xlfn.LOGNORM.INV(RAND(),MV2,Sigma1),IF(RAND()&lt;CondGood,_xlfn.LOGNORM.INV(RAND(),MV3,Sigma2),MIN(MaxMultiple,Xm/(1-RAND())^(1/Alpha)))))</f>
        <v>0</v>
      </c>
      <c r="Q76" s="19">
        <f ca="1">IF(RAND()&lt;P_Zero,0,IF(RAND()&lt;CondReturn,_xlfn.LOGNORM.INV(RAND(),MV2,Sigma1),IF(RAND()&lt;CondGood,_xlfn.LOGNORM.INV(RAND(),MV3,Sigma2),MIN(MaxMultiple,Xm/(1-RAND())^(1/Alpha)))))</f>
        <v>0</v>
      </c>
      <c r="R76" s="19">
        <f ca="1">IF(RAND()&lt;P_Zero,0,IF(RAND()&lt;CondReturn,_xlfn.LOGNORM.INV(RAND(),MV2,Sigma1),IF(RAND()&lt;CondGood,_xlfn.LOGNORM.INV(RAND(),MV3,Sigma2),MIN(MaxMultiple,Xm/(1-RAND())^(1/Alpha)))))</f>
        <v>0</v>
      </c>
      <c r="S76" s="19">
        <f ca="1">IF(RAND()&lt;P_Zero,0,IF(RAND()&lt;CondReturn,_xlfn.LOGNORM.INV(RAND(),MV2,Sigma1),IF(RAND()&lt;CondGood,_xlfn.LOGNORM.INV(RAND(),MV3,Sigma2),MIN(MaxMultiple,Xm/(1-RAND())^(1/Alpha)))))</f>
        <v>0</v>
      </c>
      <c r="T76" s="19">
        <f ca="1">IF(RAND()&lt;P_Zero,0,IF(RAND()&lt;CondReturn,_xlfn.LOGNORM.INV(RAND(),MV2,Sigma1),IF(RAND()&lt;CondGood,_xlfn.LOGNORM.INV(RAND(),MV3,Sigma2),MIN(MaxMultiple,Xm/(1-RAND())^(1/Alpha)))))</f>
        <v>0</v>
      </c>
      <c r="U76" s="19">
        <f ca="1">IF(RAND()&lt;P_Zero,0,IF(RAND()&lt;CondReturn,_xlfn.LOGNORM.INV(RAND(),MV2,Sigma1),IF(RAND()&lt;CondGood,_xlfn.LOGNORM.INV(RAND(),MV3,Sigma2),MIN(MaxMultiple,Xm/(1-RAND())^(1/Alpha)))))</f>
        <v>0.44059119266445512</v>
      </c>
      <c r="V76" s="19">
        <f ca="1">IF(RAND()&lt;P_Zero,0,IF(RAND()&lt;CondReturn,_xlfn.LOGNORM.INV(RAND(),MV2,Sigma1),IF(RAND()&lt;CondGood,_xlfn.LOGNORM.INV(RAND(),MV3,Sigma2),MIN(MaxMultiple,Xm/(1-RAND())^(1/Alpha)))))</f>
        <v>0.77255188007343745</v>
      </c>
      <c r="W76" s="19">
        <f ca="1">IF(RAND()&lt;P_Zero,0,IF(RAND()&lt;CondReturn,_xlfn.LOGNORM.INV(RAND(),MV2,Sigma1),IF(RAND()&lt;CondGood,_xlfn.LOGNORM.INV(RAND(),MV3,Sigma2),MIN(MaxMultiple,Xm/(1-RAND())^(1/Alpha)))))</f>
        <v>1.5395779439357771</v>
      </c>
      <c r="X76" s="19">
        <f ca="1">IF(RAND()&lt;P_Zero,0,IF(RAND()&lt;CondReturn,_xlfn.LOGNORM.INV(RAND(),MV2,Sigma1),IF(RAND()&lt;CondGood,_xlfn.LOGNORM.INV(RAND(),MV3,Sigma2),MIN(MaxMultiple,Xm/(1-RAND())^(1/Alpha)))))</f>
        <v>0.40822829618213557</v>
      </c>
      <c r="Y76" s="19">
        <f ca="1">IF(RAND()&lt;P_Zero,0,IF(RAND()&lt;CondReturn,_xlfn.LOGNORM.INV(RAND(),MV2,Sigma1),IF(RAND()&lt;CondGood,_xlfn.LOGNORM.INV(RAND(),MV3,Sigma2),MIN(MaxMultiple,Xm/(1-RAND())^(1/Alpha)))))</f>
        <v>13.676845779391394</v>
      </c>
      <c r="Z76" s="19">
        <f ca="1">IF(RAND()&lt;P_Zero,0,IF(RAND()&lt;CondReturn,_xlfn.LOGNORM.INV(RAND(),MV2,Sigma1),IF(RAND()&lt;CondGood,_xlfn.LOGNORM.INV(RAND(),MV3,Sigma2),MIN(MaxMultiple,Xm/(1-RAND())^(1/Alpha)))))</f>
        <v>0.42897485267689622</v>
      </c>
      <c r="AA76" s="19">
        <f ca="1">IF(RAND()&lt;P_Zero,0,IF(RAND()&lt;CondReturn,_xlfn.LOGNORM.INV(RAND(),MV2,Sigma1),IF(RAND()&lt;CondGood,_xlfn.LOGNORM.INV(RAND(),MV3,Sigma2),MIN(MaxMultiple,Xm/(1-RAND())^(1/Alpha)))))</f>
        <v>0</v>
      </c>
      <c r="AB76" s="19">
        <f t="shared" ca="1" si="8"/>
        <v>1.9270124905785653</v>
      </c>
      <c r="AC76" s="14">
        <f t="shared" ca="1" si="9"/>
        <v>92496599.547771126</v>
      </c>
      <c r="AD76" s="14">
        <f t="shared" ca="1" si="10"/>
        <v>44496599.547771126</v>
      </c>
      <c r="AE76" s="14">
        <f t="shared" si="11"/>
        <v>55628399.869093813</v>
      </c>
      <c r="AF76" s="14">
        <f t="shared" ca="1" si="12"/>
        <v>0</v>
      </c>
      <c r="AG76" s="14">
        <f t="shared" ca="1" si="13"/>
        <v>0</v>
      </c>
      <c r="AH76" s="14">
        <f t="shared" ca="1" si="14"/>
        <v>92496599.547771126</v>
      </c>
      <c r="AI76" s="19">
        <f t="shared" ca="1" si="15"/>
        <v>1.5416099924628521</v>
      </c>
    </row>
    <row r="77" spans="2:35" x14ac:dyDescent="0.2">
      <c r="B77" s="1">
        <v>72</v>
      </c>
      <c r="C77" s="19">
        <f ca="1">IF(RAND()&lt;P_Zero,0,IF(RAND()&lt;CondReturn,_xlfn.LOGNORM.INV(RAND(),MV2,Sigma1),IF(RAND()&lt;CondGood,_xlfn.LOGNORM.INV(RAND(),MV3,Sigma2),MIN(MaxMultiple,Xm/(1-RAND())^(1/Alpha)))))</f>
        <v>1.3004944407613066</v>
      </c>
      <c r="D77" s="19">
        <f ca="1">IF(RAND()&lt;P_Zero,0,IF(RAND()&lt;CondReturn,_xlfn.LOGNORM.INV(RAND(),MV2,Sigma1),IF(RAND()&lt;CondGood,_xlfn.LOGNORM.INV(RAND(),MV3,Sigma2),MIN(MaxMultiple,Xm/(1-RAND())^(1/Alpha)))))</f>
        <v>0</v>
      </c>
      <c r="E77" s="19">
        <f ca="1">IF(RAND()&lt;P_Zero,0,IF(RAND()&lt;CondReturn,_xlfn.LOGNORM.INV(RAND(),MV2,Sigma1),IF(RAND()&lt;CondGood,_xlfn.LOGNORM.INV(RAND(),MV3,Sigma2),MIN(MaxMultiple,Xm/(1-RAND())^(1/Alpha)))))</f>
        <v>1.3124088107155167</v>
      </c>
      <c r="F77" s="19">
        <f ca="1">IF(RAND()&lt;P_Zero,0,IF(RAND()&lt;CondReturn,_xlfn.LOGNORM.INV(RAND(),MV2,Sigma1),IF(RAND()&lt;CondGood,_xlfn.LOGNORM.INV(RAND(),MV3,Sigma2),MIN(MaxMultiple,Xm/(1-RAND())^(1/Alpha)))))</f>
        <v>0.77061033706222404</v>
      </c>
      <c r="G77" s="19">
        <f ca="1">IF(RAND()&lt;P_Zero,0,IF(RAND()&lt;CondReturn,_xlfn.LOGNORM.INV(RAND(),MV2,Sigma1),IF(RAND()&lt;CondGood,_xlfn.LOGNORM.INV(RAND(),MV3,Sigma2),MIN(MaxMultiple,Xm/(1-RAND())^(1/Alpha)))))</f>
        <v>0.58920759023568214</v>
      </c>
      <c r="H77" s="19">
        <f ca="1">IF(RAND()&lt;P_Zero,0,IF(RAND()&lt;CondReturn,_xlfn.LOGNORM.INV(RAND(),MV2,Sigma1),IF(RAND()&lt;CondGood,_xlfn.LOGNORM.INV(RAND(),MV3,Sigma2),MIN(MaxMultiple,Xm/(1-RAND())^(1/Alpha)))))</f>
        <v>0</v>
      </c>
      <c r="I77" s="19">
        <f ca="1">IF(RAND()&lt;P_Zero,0,IF(RAND()&lt;CondReturn,_xlfn.LOGNORM.INV(RAND(),MV2,Sigma1),IF(RAND()&lt;CondGood,_xlfn.LOGNORM.INV(RAND(),MV3,Sigma2),MIN(MaxMultiple,Xm/(1-RAND())^(1/Alpha)))))</f>
        <v>1.588805125074346</v>
      </c>
      <c r="J77" s="19">
        <f ca="1">IF(RAND()&lt;P_Zero,0,IF(RAND()&lt;CondReturn,_xlfn.LOGNORM.INV(RAND(),MV2,Sigma1),IF(RAND()&lt;CondGood,_xlfn.LOGNORM.INV(RAND(),MV3,Sigma2),MIN(MaxMultiple,Xm/(1-RAND())^(1/Alpha)))))</f>
        <v>0.98451892551218223</v>
      </c>
      <c r="K77" s="19">
        <f ca="1">IF(RAND()&lt;P_Zero,0,IF(RAND()&lt;CondReturn,_xlfn.LOGNORM.INV(RAND(),MV2,Sigma1),IF(RAND()&lt;CondGood,_xlfn.LOGNORM.INV(RAND(),MV3,Sigma2),MIN(MaxMultiple,Xm/(1-RAND())^(1/Alpha)))))</f>
        <v>0</v>
      </c>
      <c r="L77" s="19">
        <f ca="1">IF(RAND()&lt;P_Zero,0,IF(RAND()&lt;CondReturn,_xlfn.LOGNORM.INV(RAND(),MV2,Sigma1),IF(RAND()&lt;CondGood,_xlfn.LOGNORM.INV(RAND(),MV3,Sigma2),MIN(MaxMultiple,Xm/(1-RAND())^(1/Alpha)))))</f>
        <v>0</v>
      </c>
      <c r="M77" s="19">
        <f ca="1">IF(RAND()&lt;P_Zero,0,IF(RAND()&lt;CondReturn,_xlfn.LOGNORM.INV(RAND(),MV2,Sigma1),IF(RAND()&lt;CondGood,_xlfn.LOGNORM.INV(RAND(),MV3,Sigma2),MIN(MaxMultiple,Xm/(1-RAND())^(1/Alpha)))))</f>
        <v>0</v>
      </c>
      <c r="N77" s="19">
        <f ca="1">IF(RAND()&lt;P_Zero,0,IF(RAND()&lt;CondReturn,_xlfn.LOGNORM.INV(RAND(),MV2,Sigma1),IF(RAND()&lt;CondGood,_xlfn.LOGNORM.INV(RAND(),MV3,Sigma2),MIN(MaxMultiple,Xm/(1-RAND())^(1/Alpha)))))</f>
        <v>0.55681557881337251</v>
      </c>
      <c r="O77" s="19">
        <f ca="1">IF(RAND()&lt;P_Zero,0,IF(RAND()&lt;CondReturn,_xlfn.LOGNORM.INV(RAND(),MV2,Sigma1),IF(RAND()&lt;CondGood,_xlfn.LOGNORM.INV(RAND(),MV3,Sigma2),MIN(MaxMultiple,Xm/(1-RAND())^(1/Alpha)))))</f>
        <v>2.7940841398702583</v>
      </c>
      <c r="P77" s="19">
        <f ca="1">IF(RAND()&lt;P_Zero,0,IF(RAND()&lt;CondReturn,_xlfn.LOGNORM.INV(RAND(),MV2,Sigma1),IF(RAND()&lt;CondGood,_xlfn.LOGNORM.INV(RAND(),MV3,Sigma2),MIN(MaxMultiple,Xm/(1-RAND())^(1/Alpha)))))</f>
        <v>1.5551494952874783</v>
      </c>
      <c r="Q77" s="19">
        <f ca="1">IF(RAND()&lt;P_Zero,0,IF(RAND()&lt;CondReturn,_xlfn.LOGNORM.INV(RAND(),MV2,Sigma1),IF(RAND()&lt;CondGood,_xlfn.LOGNORM.INV(RAND(),MV3,Sigma2),MIN(MaxMultiple,Xm/(1-RAND())^(1/Alpha)))))</f>
        <v>0.85882739701146305</v>
      </c>
      <c r="R77" s="19">
        <f ca="1">IF(RAND()&lt;P_Zero,0,IF(RAND()&lt;CondReturn,_xlfn.LOGNORM.INV(RAND(),MV2,Sigma1),IF(RAND()&lt;CondGood,_xlfn.LOGNORM.INV(RAND(),MV3,Sigma2),MIN(MaxMultiple,Xm/(1-RAND())^(1/Alpha)))))</f>
        <v>0</v>
      </c>
      <c r="S77" s="19">
        <f ca="1">IF(RAND()&lt;P_Zero,0,IF(RAND()&lt;CondReturn,_xlfn.LOGNORM.INV(RAND(),MV2,Sigma1),IF(RAND()&lt;CondGood,_xlfn.LOGNORM.INV(RAND(),MV3,Sigma2),MIN(MaxMultiple,Xm/(1-RAND())^(1/Alpha)))))</f>
        <v>0.93594201027205315</v>
      </c>
      <c r="T77" s="19">
        <f ca="1">IF(RAND()&lt;P_Zero,0,IF(RAND()&lt;CondReturn,_xlfn.LOGNORM.INV(RAND(),MV2,Sigma1),IF(RAND()&lt;CondGood,_xlfn.LOGNORM.INV(RAND(),MV3,Sigma2),MIN(MaxMultiple,Xm/(1-RAND())^(1/Alpha)))))</f>
        <v>1.6390982193563011</v>
      </c>
      <c r="U77" s="19">
        <f ca="1">IF(RAND()&lt;P_Zero,0,IF(RAND()&lt;CondReturn,_xlfn.LOGNORM.INV(RAND(),MV2,Sigma1),IF(RAND()&lt;CondGood,_xlfn.LOGNORM.INV(RAND(),MV3,Sigma2),MIN(MaxMultiple,Xm/(1-RAND())^(1/Alpha)))))</f>
        <v>0.50968606109996517</v>
      </c>
      <c r="V77" s="19">
        <f ca="1">IF(RAND()&lt;P_Zero,0,IF(RAND()&lt;CondReturn,_xlfn.LOGNORM.INV(RAND(),MV2,Sigma1),IF(RAND()&lt;CondGood,_xlfn.LOGNORM.INV(RAND(),MV3,Sigma2),MIN(MaxMultiple,Xm/(1-RAND())^(1/Alpha)))))</f>
        <v>1.0726058675629486</v>
      </c>
      <c r="W77" s="19">
        <f ca="1">IF(RAND()&lt;P_Zero,0,IF(RAND()&lt;CondReturn,_xlfn.LOGNORM.INV(RAND(),MV2,Sigma1),IF(RAND()&lt;CondGood,_xlfn.LOGNORM.INV(RAND(),MV3,Sigma2),MIN(MaxMultiple,Xm/(1-RAND())^(1/Alpha)))))</f>
        <v>16.766088878744796</v>
      </c>
      <c r="X77" s="19">
        <f ca="1">IF(RAND()&lt;P_Zero,0,IF(RAND()&lt;CondReturn,_xlfn.LOGNORM.INV(RAND(),MV2,Sigma1),IF(RAND()&lt;CondGood,_xlfn.LOGNORM.INV(RAND(),MV3,Sigma2),MIN(MaxMultiple,Xm/(1-RAND())^(1/Alpha)))))</f>
        <v>0</v>
      </c>
      <c r="Y77" s="19">
        <f ca="1">IF(RAND()&lt;P_Zero,0,IF(RAND()&lt;CondReturn,_xlfn.LOGNORM.INV(RAND(),MV2,Sigma1),IF(RAND()&lt;CondGood,_xlfn.LOGNORM.INV(RAND(),MV3,Sigma2),MIN(MaxMultiple,Xm/(1-RAND())^(1/Alpha)))))</f>
        <v>0.82236152405585505</v>
      </c>
      <c r="Z77" s="19">
        <f ca="1">IF(RAND()&lt;P_Zero,0,IF(RAND()&lt;CondReturn,_xlfn.LOGNORM.INV(RAND(),MV2,Sigma1),IF(RAND()&lt;CondGood,_xlfn.LOGNORM.INV(RAND(),MV3,Sigma2),MIN(MaxMultiple,Xm/(1-RAND())^(1/Alpha)))))</f>
        <v>1.7644108155859406</v>
      </c>
      <c r="AA77" s="19">
        <f ca="1">IF(RAND()&lt;P_Zero,0,IF(RAND()&lt;CondReturn,_xlfn.LOGNORM.INV(RAND(),MV2,Sigma1),IF(RAND()&lt;CondGood,_xlfn.LOGNORM.INV(RAND(),MV3,Sigma2),MIN(MaxMultiple,Xm/(1-RAND())^(1/Alpha)))))</f>
        <v>10.101313715214603</v>
      </c>
      <c r="AB77" s="19">
        <f t="shared" ca="1" si="8"/>
        <v>1.8368971572894515</v>
      </c>
      <c r="AC77" s="14">
        <f t="shared" ca="1" si="9"/>
        <v>88171063.549893677</v>
      </c>
      <c r="AD77" s="14">
        <f t="shared" ca="1" si="10"/>
        <v>40171063.549893677</v>
      </c>
      <c r="AE77" s="14">
        <f t="shared" si="11"/>
        <v>55628399.869093813</v>
      </c>
      <c r="AF77" s="14">
        <f t="shared" ca="1" si="12"/>
        <v>0</v>
      </c>
      <c r="AG77" s="14">
        <f t="shared" ca="1" si="13"/>
        <v>0</v>
      </c>
      <c r="AH77" s="14">
        <f t="shared" ca="1" si="14"/>
        <v>88171063.549893677</v>
      </c>
      <c r="AI77" s="19">
        <f t="shared" ca="1" si="15"/>
        <v>1.4695177258315613</v>
      </c>
    </row>
    <row r="78" spans="2:35" x14ac:dyDescent="0.2">
      <c r="B78" s="1">
        <v>73</v>
      </c>
      <c r="C78" s="19">
        <f ca="1">IF(RAND()&lt;P_Zero,0,IF(RAND()&lt;CondReturn,_xlfn.LOGNORM.INV(RAND(),MV2,Sigma1),IF(RAND()&lt;CondGood,_xlfn.LOGNORM.INV(RAND(),MV3,Sigma2),MIN(MaxMultiple,Xm/(1-RAND())^(1/Alpha)))))</f>
        <v>0.64978978155768663</v>
      </c>
      <c r="D78" s="19">
        <f ca="1">IF(RAND()&lt;P_Zero,0,IF(RAND()&lt;CondReturn,_xlfn.LOGNORM.INV(RAND(),MV2,Sigma1),IF(RAND()&lt;CondGood,_xlfn.LOGNORM.INV(RAND(),MV3,Sigma2),MIN(MaxMultiple,Xm/(1-RAND())^(1/Alpha)))))</f>
        <v>0</v>
      </c>
      <c r="E78" s="19">
        <f ca="1">IF(RAND()&lt;P_Zero,0,IF(RAND()&lt;CondReturn,_xlfn.LOGNORM.INV(RAND(),MV2,Sigma1),IF(RAND()&lt;CondGood,_xlfn.LOGNORM.INV(RAND(),MV3,Sigma2),MIN(MaxMultiple,Xm/(1-RAND())^(1/Alpha)))))</f>
        <v>0</v>
      </c>
      <c r="F78" s="19">
        <f ca="1">IF(RAND()&lt;P_Zero,0,IF(RAND()&lt;CondReturn,_xlfn.LOGNORM.INV(RAND(),MV2,Sigma1),IF(RAND()&lt;CondGood,_xlfn.LOGNORM.INV(RAND(),MV3,Sigma2),MIN(MaxMultiple,Xm/(1-RAND())^(1/Alpha)))))</f>
        <v>0.9207810705449011</v>
      </c>
      <c r="G78" s="19">
        <f ca="1">IF(RAND()&lt;P_Zero,0,IF(RAND()&lt;CondReturn,_xlfn.LOGNORM.INV(RAND(),MV2,Sigma1),IF(RAND()&lt;CondGood,_xlfn.LOGNORM.INV(RAND(),MV3,Sigma2),MIN(MaxMultiple,Xm/(1-RAND())^(1/Alpha)))))</f>
        <v>1.0260653940776605</v>
      </c>
      <c r="H78" s="19">
        <f ca="1">IF(RAND()&lt;P_Zero,0,IF(RAND()&lt;CondReturn,_xlfn.LOGNORM.INV(RAND(),MV2,Sigma1),IF(RAND()&lt;CondGood,_xlfn.LOGNORM.INV(RAND(),MV3,Sigma2),MIN(MaxMultiple,Xm/(1-RAND())^(1/Alpha)))))</f>
        <v>1.3112299281427533</v>
      </c>
      <c r="I78" s="19">
        <f ca="1">IF(RAND()&lt;P_Zero,0,IF(RAND()&lt;CondReturn,_xlfn.LOGNORM.INV(RAND(),MV2,Sigma1),IF(RAND()&lt;CondGood,_xlfn.LOGNORM.INV(RAND(),MV3,Sigma2),MIN(MaxMultiple,Xm/(1-RAND())^(1/Alpha)))))</f>
        <v>0</v>
      </c>
      <c r="J78" s="19">
        <f ca="1">IF(RAND()&lt;P_Zero,0,IF(RAND()&lt;CondReturn,_xlfn.LOGNORM.INV(RAND(),MV2,Sigma1),IF(RAND()&lt;CondGood,_xlfn.LOGNORM.INV(RAND(),MV3,Sigma2),MIN(MaxMultiple,Xm/(1-RAND())^(1/Alpha)))))</f>
        <v>1.3846785186680046</v>
      </c>
      <c r="K78" s="19">
        <f ca="1">IF(RAND()&lt;P_Zero,0,IF(RAND()&lt;CondReturn,_xlfn.LOGNORM.INV(RAND(),MV2,Sigma1),IF(RAND()&lt;CondGood,_xlfn.LOGNORM.INV(RAND(),MV3,Sigma2),MIN(MaxMultiple,Xm/(1-RAND())^(1/Alpha)))))</f>
        <v>0</v>
      </c>
      <c r="L78" s="19">
        <f ca="1">IF(RAND()&lt;P_Zero,0,IF(RAND()&lt;CondReturn,_xlfn.LOGNORM.INV(RAND(),MV2,Sigma1),IF(RAND()&lt;CondGood,_xlfn.LOGNORM.INV(RAND(),MV3,Sigma2),MIN(MaxMultiple,Xm/(1-RAND())^(1/Alpha)))))</f>
        <v>0</v>
      </c>
      <c r="M78" s="19">
        <f ca="1">IF(RAND()&lt;P_Zero,0,IF(RAND()&lt;CondReturn,_xlfn.LOGNORM.INV(RAND(),MV2,Sigma1),IF(RAND()&lt;CondGood,_xlfn.LOGNORM.INV(RAND(),MV3,Sigma2),MIN(MaxMultiple,Xm/(1-RAND())^(1/Alpha)))))</f>
        <v>0</v>
      </c>
      <c r="N78" s="19">
        <f ca="1">IF(RAND()&lt;P_Zero,0,IF(RAND()&lt;CondReturn,_xlfn.LOGNORM.INV(RAND(),MV2,Sigma1),IF(RAND()&lt;CondGood,_xlfn.LOGNORM.INV(RAND(),MV3,Sigma2),MIN(MaxMultiple,Xm/(1-RAND())^(1/Alpha)))))</f>
        <v>0.6271779902038942</v>
      </c>
      <c r="O78" s="19">
        <f ca="1">IF(RAND()&lt;P_Zero,0,IF(RAND()&lt;CondReturn,_xlfn.LOGNORM.INV(RAND(),MV2,Sigma1),IF(RAND()&lt;CondGood,_xlfn.LOGNORM.INV(RAND(),MV3,Sigma2),MIN(MaxMultiple,Xm/(1-RAND())^(1/Alpha)))))</f>
        <v>0</v>
      </c>
      <c r="P78" s="19">
        <f ca="1">IF(RAND()&lt;P_Zero,0,IF(RAND()&lt;CondReturn,_xlfn.LOGNORM.INV(RAND(),MV2,Sigma1),IF(RAND()&lt;CondGood,_xlfn.LOGNORM.INV(RAND(),MV3,Sigma2),MIN(MaxMultiple,Xm/(1-RAND())^(1/Alpha)))))</f>
        <v>1.0558695936607818</v>
      </c>
      <c r="Q78" s="19">
        <f ca="1">IF(RAND()&lt;P_Zero,0,IF(RAND()&lt;CondReturn,_xlfn.LOGNORM.INV(RAND(),MV2,Sigma1),IF(RAND()&lt;CondGood,_xlfn.LOGNORM.INV(RAND(),MV3,Sigma2),MIN(MaxMultiple,Xm/(1-RAND())^(1/Alpha)))))</f>
        <v>0</v>
      </c>
      <c r="R78" s="19">
        <f ca="1">IF(RAND()&lt;P_Zero,0,IF(RAND()&lt;CondReturn,_xlfn.LOGNORM.INV(RAND(),MV2,Sigma1),IF(RAND()&lt;CondGood,_xlfn.LOGNORM.INV(RAND(),MV3,Sigma2),MIN(MaxMultiple,Xm/(1-RAND())^(1/Alpha)))))</f>
        <v>0</v>
      </c>
      <c r="S78" s="19">
        <f ca="1">IF(RAND()&lt;P_Zero,0,IF(RAND()&lt;CondReturn,_xlfn.LOGNORM.INV(RAND(),MV2,Sigma1),IF(RAND()&lt;CondGood,_xlfn.LOGNORM.INV(RAND(),MV3,Sigma2),MIN(MaxMultiple,Xm/(1-RAND())^(1/Alpha)))))</f>
        <v>0</v>
      </c>
      <c r="T78" s="19">
        <f ca="1">IF(RAND()&lt;P_Zero,0,IF(RAND()&lt;CondReturn,_xlfn.LOGNORM.INV(RAND(),MV2,Sigma1),IF(RAND()&lt;CondGood,_xlfn.LOGNORM.INV(RAND(),MV3,Sigma2),MIN(MaxMultiple,Xm/(1-RAND())^(1/Alpha)))))</f>
        <v>0</v>
      </c>
      <c r="U78" s="19">
        <f ca="1">IF(RAND()&lt;P_Zero,0,IF(RAND()&lt;CondReturn,_xlfn.LOGNORM.INV(RAND(),MV2,Sigma1),IF(RAND()&lt;CondGood,_xlfn.LOGNORM.INV(RAND(),MV3,Sigma2),MIN(MaxMultiple,Xm/(1-RAND())^(1/Alpha)))))</f>
        <v>0</v>
      </c>
      <c r="V78" s="19">
        <f ca="1">IF(RAND()&lt;P_Zero,0,IF(RAND()&lt;CondReturn,_xlfn.LOGNORM.INV(RAND(),MV2,Sigma1),IF(RAND()&lt;CondGood,_xlfn.LOGNORM.INV(RAND(),MV3,Sigma2),MIN(MaxMultiple,Xm/(1-RAND())^(1/Alpha)))))</f>
        <v>1.4337751373991234</v>
      </c>
      <c r="W78" s="19">
        <f ca="1">IF(RAND()&lt;P_Zero,0,IF(RAND()&lt;CondReturn,_xlfn.LOGNORM.INV(RAND(),MV2,Sigma1),IF(RAND()&lt;CondGood,_xlfn.LOGNORM.INV(RAND(),MV3,Sigma2),MIN(MaxMultiple,Xm/(1-RAND())^(1/Alpha)))))</f>
        <v>0</v>
      </c>
      <c r="X78" s="19">
        <f ca="1">IF(RAND()&lt;P_Zero,0,IF(RAND()&lt;CondReturn,_xlfn.LOGNORM.INV(RAND(),MV2,Sigma1),IF(RAND()&lt;CondGood,_xlfn.LOGNORM.INV(RAND(),MV3,Sigma2),MIN(MaxMultiple,Xm/(1-RAND())^(1/Alpha)))))</f>
        <v>1.2516388068935769</v>
      </c>
      <c r="Y78" s="19">
        <f ca="1">IF(RAND()&lt;P_Zero,0,IF(RAND()&lt;CondReturn,_xlfn.LOGNORM.INV(RAND(),MV2,Sigma1),IF(RAND()&lt;CondGood,_xlfn.LOGNORM.INV(RAND(),MV3,Sigma2),MIN(MaxMultiple,Xm/(1-RAND())^(1/Alpha)))))</f>
        <v>0</v>
      </c>
      <c r="Z78" s="19">
        <f ca="1">IF(RAND()&lt;P_Zero,0,IF(RAND()&lt;CondReturn,_xlfn.LOGNORM.INV(RAND(),MV2,Sigma1),IF(RAND()&lt;CondGood,_xlfn.LOGNORM.INV(RAND(),MV3,Sigma2),MIN(MaxMultiple,Xm/(1-RAND())^(1/Alpha)))))</f>
        <v>0.78037349703309444</v>
      </c>
      <c r="AA78" s="19">
        <f ca="1">IF(RAND()&lt;P_Zero,0,IF(RAND()&lt;CondReturn,_xlfn.LOGNORM.INV(RAND(),MV2,Sigma1),IF(RAND()&lt;CondGood,_xlfn.LOGNORM.INV(RAND(),MV3,Sigma2),MIN(MaxMultiple,Xm/(1-RAND())^(1/Alpha)))))</f>
        <v>0</v>
      </c>
      <c r="AB78" s="19">
        <f t="shared" ca="1" si="8"/>
        <v>0.41765518872725915</v>
      </c>
      <c r="AC78" s="14">
        <f t="shared" ca="1" si="9"/>
        <v>20047449.05890844</v>
      </c>
      <c r="AD78" s="14">
        <f t="shared" ca="1" si="10"/>
        <v>-27952550.94109156</v>
      </c>
      <c r="AE78" s="14">
        <f t="shared" si="11"/>
        <v>55628399.869093813</v>
      </c>
      <c r="AF78" s="14">
        <f t="shared" ca="1" si="12"/>
        <v>0</v>
      </c>
      <c r="AG78" s="14">
        <f t="shared" ca="1" si="13"/>
        <v>0</v>
      </c>
      <c r="AH78" s="14">
        <f t="shared" ca="1" si="14"/>
        <v>20047449.05890844</v>
      </c>
      <c r="AI78" s="19">
        <f t="shared" ca="1" si="15"/>
        <v>0.33412415098180731</v>
      </c>
    </row>
    <row r="79" spans="2:35" x14ac:dyDescent="0.2">
      <c r="B79" s="1">
        <v>74</v>
      </c>
      <c r="C79" s="19">
        <f ca="1">IF(RAND()&lt;P_Zero,0,IF(RAND()&lt;CondReturn,_xlfn.LOGNORM.INV(RAND(),MV2,Sigma1),IF(RAND()&lt;CondGood,_xlfn.LOGNORM.INV(RAND(),MV3,Sigma2),MIN(MaxMultiple,Xm/(1-RAND())^(1/Alpha)))))</f>
        <v>0</v>
      </c>
      <c r="D79" s="19">
        <f ca="1">IF(RAND()&lt;P_Zero,0,IF(RAND()&lt;CondReturn,_xlfn.LOGNORM.INV(RAND(),MV2,Sigma1),IF(RAND()&lt;CondGood,_xlfn.LOGNORM.INV(RAND(),MV3,Sigma2),MIN(MaxMultiple,Xm/(1-RAND())^(1/Alpha)))))</f>
        <v>0.61577386577524573</v>
      </c>
      <c r="E79" s="19">
        <f ca="1">IF(RAND()&lt;P_Zero,0,IF(RAND()&lt;CondReturn,_xlfn.LOGNORM.INV(RAND(),MV2,Sigma1),IF(RAND()&lt;CondGood,_xlfn.LOGNORM.INV(RAND(),MV3,Sigma2),MIN(MaxMultiple,Xm/(1-RAND())^(1/Alpha)))))</f>
        <v>0</v>
      </c>
      <c r="F79" s="19">
        <f ca="1">IF(RAND()&lt;P_Zero,0,IF(RAND()&lt;CondReturn,_xlfn.LOGNORM.INV(RAND(),MV2,Sigma1),IF(RAND()&lt;CondGood,_xlfn.LOGNORM.INV(RAND(),MV3,Sigma2),MIN(MaxMultiple,Xm/(1-RAND())^(1/Alpha)))))</f>
        <v>0.655025899491679</v>
      </c>
      <c r="G79" s="19">
        <f ca="1">IF(RAND()&lt;P_Zero,0,IF(RAND()&lt;CondReturn,_xlfn.LOGNORM.INV(RAND(),MV2,Sigma1),IF(RAND()&lt;CondGood,_xlfn.LOGNORM.INV(RAND(),MV3,Sigma2),MIN(MaxMultiple,Xm/(1-RAND())^(1/Alpha)))))</f>
        <v>1.0623954520024315</v>
      </c>
      <c r="H79" s="19">
        <f ca="1">IF(RAND()&lt;P_Zero,0,IF(RAND()&lt;CondReturn,_xlfn.LOGNORM.INV(RAND(),MV2,Sigma1),IF(RAND()&lt;CondGood,_xlfn.LOGNORM.INV(RAND(),MV3,Sigma2),MIN(MaxMultiple,Xm/(1-RAND())^(1/Alpha)))))</f>
        <v>0</v>
      </c>
      <c r="I79" s="19">
        <f ca="1">IF(RAND()&lt;P_Zero,0,IF(RAND()&lt;CondReturn,_xlfn.LOGNORM.INV(RAND(),MV2,Sigma1),IF(RAND()&lt;CondGood,_xlfn.LOGNORM.INV(RAND(),MV3,Sigma2),MIN(MaxMultiple,Xm/(1-RAND())^(1/Alpha)))))</f>
        <v>0</v>
      </c>
      <c r="J79" s="19">
        <f ca="1">IF(RAND()&lt;P_Zero,0,IF(RAND()&lt;CondReturn,_xlfn.LOGNORM.INV(RAND(),MV2,Sigma1),IF(RAND()&lt;CondGood,_xlfn.LOGNORM.INV(RAND(),MV3,Sigma2),MIN(MaxMultiple,Xm/(1-RAND())^(1/Alpha)))))</f>
        <v>1.6431965971882032</v>
      </c>
      <c r="K79" s="19">
        <f ca="1">IF(RAND()&lt;P_Zero,0,IF(RAND()&lt;CondReturn,_xlfn.LOGNORM.INV(RAND(),MV2,Sigma1),IF(RAND()&lt;CondGood,_xlfn.LOGNORM.INV(RAND(),MV3,Sigma2),MIN(MaxMultiple,Xm/(1-RAND())^(1/Alpha)))))</f>
        <v>1.0229876661794954</v>
      </c>
      <c r="L79" s="19">
        <f ca="1">IF(RAND()&lt;P_Zero,0,IF(RAND()&lt;CondReturn,_xlfn.LOGNORM.INV(RAND(),MV2,Sigma1),IF(RAND()&lt;CondGood,_xlfn.LOGNORM.INV(RAND(),MV3,Sigma2),MIN(MaxMultiple,Xm/(1-RAND())^(1/Alpha)))))</f>
        <v>0</v>
      </c>
      <c r="M79" s="19">
        <f ca="1">IF(RAND()&lt;P_Zero,0,IF(RAND()&lt;CondReturn,_xlfn.LOGNORM.INV(RAND(),MV2,Sigma1),IF(RAND()&lt;CondGood,_xlfn.LOGNORM.INV(RAND(),MV3,Sigma2),MIN(MaxMultiple,Xm/(1-RAND())^(1/Alpha)))))</f>
        <v>0</v>
      </c>
      <c r="N79" s="19">
        <f ca="1">IF(RAND()&lt;P_Zero,0,IF(RAND()&lt;CondReturn,_xlfn.LOGNORM.INV(RAND(),MV2,Sigma1),IF(RAND()&lt;CondGood,_xlfn.LOGNORM.INV(RAND(),MV3,Sigma2),MIN(MaxMultiple,Xm/(1-RAND())^(1/Alpha)))))</f>
        <v>0.96114444691892298</v>
      </c>
      <c r="O79" s="19">
        <f ca="1">IF(RAND()&lt;P_Zero,0,IF(RAND()&lt;CondReturn,_xlfn.LOGNORM.INV(RAND(),MV2,Sigma1),IF(RAND()&lt;CondGood,_xlfn.LOGNORM.INV(RAND(),MV3,Sigma2),MIN(MaxMultiple,Xm/(1-RAND())^(1/Alpha)))))</f>
        <v>0</v>
      </c>
      <c r="P79" s="19">
        <f ca="1">IF(RAND()&lt;P_Zero,0,IF(RAND()&lt;CondReturn,_xlfn.LOGNORM.INV(RAND(),MV2,Sigma1),IF(RAND()&lt;CondGood,_xlfn.LOGNORM.INV(RAND(),MV3,Sigma2),MIN(MaxMultiple,Xm/(1-RAND())^(1/Alpha)))))</f>
        <v>1.3937399564038098</v>
      </c>
      <c r="Q79" s="19">
        <f ca="1">IF(RAND()&lt;P_Zero,0,IF(RAND()&lt;CondReturn,_xlfn.LOGNORM.INV(RAND(),MV2,Sigma1),IF(RAND()&lt;CondGood,_xlfn.LOGNORM.INV(RAND(),MV3,Sigma2),MIN(MaxMultiple,Xm/(1-RAND())^(1/Alpha)))))</f>
        <v>0</v>
      </c>
      <c r="R79" s="19">
        <f ca="1">IF(RAND()&lt;P_Zero,0,IF(RAND()&lt;CondReturn,_xlfn.LOGNORM.INV(RAND(),MV2,Sigma1),IF(RAND()&lt;CondGood,_xlfn.LOGNORM.INV(RAND(),MV3,Sigma2),MIN(MaxMultiple,Xm/(1-RAND())^(1/Alpha)))))</f>
        <v>0</v>
      </c>
      <c r="S79" s="19">
        <f ca="1">IF(RAND()&lt;P_Zero,0,IF(RAND()&lt;CondReturn,_xlfn.LOGNORM.INV(RAND(),MV2,Sigma1),IF(RAND()&lt;CondGood,_xlfn.LOGNORM.INV(RAND(),MV3,Sigma2),MIN(MaxMultiple,Xm/(1-RAND())^(1/Alpha)))))</f>
        <v>0.45577879218199702</v>
      </c>
      <c r="T79" s="19">
        <f ca="1">IF(RAND()&lt;P_Zero,0,IF(RAND()&lt;CondReturn,_xlfn.LOGNORM.INV(RAND(),MV2,Sigma1),IF(RAND()&lt;CondGood,_xlfn.LOGNORM.INV(RAND(),MV3,Sigma2),MIN(MaxMultiple,Xm/(1-RAND())^(1/Alpha)))))</f>
        <v>1.6119452760424013</v>
      </c>
      <c r="U79" s="19">
        <f ca="1">IF(RAND()&lt;P_Zero,0,IF(RAND()&lt;CondReturn,_xlfn.LOGNORM.INV(RAND(),MV2,Sigma1),IF(RAND()&lt;CondGood,_xlfn.LOGNORM.INV(RAND(),MV3,Sigma2),MIN(MaxMultiple,Xm/(1-RAND())^(1/Alpha)))))</f>
        <v>1.2626121146501454</v>
      </c>
      <c r="V79" s="19">
        <f ca="1">IF(RAND()&lt;P_Zero,0,IF(RAND()&lt;CondReturn,_xlfn.LOGNORM.INV(RAND(),MV2,Sigma1),IF(RAND()&lt;CondGood,_xlfn.LOGNORM.INV(RAND(),MV3,Sigma2),MIN(MaxMultiple,Xm/(1-RAND())^(1/Alpha)))))</f>
        <v>0</v>
      </c>
      <c r="W79" s="19">
        <f ca="1">IF(RAND()&lt;P_Zero,0,IF(RAND()&lt;CondReturn,_xlfn.LOGNORM.INV(RAND(),MV2,Sigma1),IF(RAND()&lt;CondGood,_xlfn.LOGNORM.INV(RAND(),MV3,Sigma2),MIN(MaxMultiple,Xm/(1-RAND())^(1/Alpha)))))</f>
        <v>1.5474563414051905</v>
      </c>
      <c r="X79" s="19">
        <f ca="1">IF(RAND()&lt;P_Zero,0,IF(RAND()&lt;CondReturn,_xlfn.LOGNORM.INV(RAND(),MV2,Sigma1),IF(RAND()&lt;CondGood,_xlfn.LOGNORM.INV(RAND(),MV3,Sigma2),MIN(MaxMultiple,Xm/(1-RAND())^(1/Alpha)))))</f>
        <v>0.69290070882648469</v>
      </c>
      <c r="Y79" s="19">
        <f ca="1">IF(RAND()&lt;P_Zero,0,IF(RAND()&lt;CondReturn,_xlfn.LOGNORM.INV(RAND(),MV2,Sigma1),IF(RAND()&lt;CondGood,_xlfn.LOGNORM.INV(RAND(),MV3,Sigma2),MIN(MaxMultiple,Xm/(1-RAND())^(1/Alpha)))))</f>
        <v>0</v>
      </c>
      <c r="Z79" s="19">
        <f ca="1">IF(RAND()&lt;P_Zero,0,IF(RAND()&lt;CondReturn,_xlfn.LOGNORM.INV(RAND(),MV2,Sigma1),IF(RAND()&lt;CondGood,_xlfn.LOGNORM.INV(RAND(),MV3,Sigma2),MIN(MaxMultiple,Xm/(1-RAND())^(1/Alpha)))))</f>
        <v>1.4973596912732063</v>
      </c>
      <c r="AA79" s="19">
        <f ca="1">IF(RAND()&lt;P_Zero,0,IF(RAND()&lt;CondReturn,_xlfn.LOGNORM.INV(RAND(),MV2,Sigma1),IF(RAND()&lt;CondGood,_xlfn.LOGNORM.INV(RAND(),MV3,Sigma2),MIN(MaxMultiple,Xm/(1-RAND())^(1/Alpha)))))</f>
        <v>0</v>
      </c>
      <c r="AB79" s="19">
        <f t="shared" ca="1" si="8"/>
        <v>0.57689267233356856</v>
      </c>
      <c r="AC79" s="14">
        <f t="shared" ca="1" si="9"/>
        <v>27690848.272011291</v>
      </c>
      <c r="AD79" s="14">
        <f t="shared" ca="1" si="10"/>
        <v>-20309151.727988709</v>
      </c>
      <c r="AE79" s="14">
        <f t="shared" si="11"/>
        <v>55628399.869093813</v>
      </c>
      <c r="AF79" s="14">
        <f t="shared" ca="1" si="12"/>
        <v>0</v>
      </c>
      <c r="AG79" s="14">
        <f t="shared" ca="1" si="13"/>
        <v>0</v>
      </c>
      <c r="AH79" s="14">
        <f t="shared" ca="1" si="14"/>
        <v>27690848.272011291</v>
      </c>
      <c r="AI79" s="19">
        <f t="shared" ca="1" si="15"/>
        <v>0.46151413786685486</v>
      </c>
    </row>
    <row r="80" spans="2:35" x14ac:dyDescent="0.2">
      <c r="B80" s="1">
        <v>75</v>
      </c>
      <c r="C80" s="19">
        <f ca="1">IF(RAND()&lt;P_Zero,0,IF(RAND()&lt;CondReturn,_xlfn.LOGNORM.INV(RAND(),MV2,Sigma1),IF(RAND()&lt;CondGood,_xlfn.LOGNORM.INV(RAND(),MV3,Sigma2),MIN(MaxMultiple,Xm/(1-RAND())^(1/Alpha)))))</f>
        <v>1.144389797648822</v>
      </c>
      <c r="D80" s="19">
        <f ca="1">IF(RAND()&lt;P_Zero,0,IF(RAND()&lt;CondReturn,_xlfn.LOGNORM.INV(RAND(),MV2,Sigma1),IF(RAND()&lt;CondGood,_xlfn.LOGNORM.INV(RAND(),MV3,Sigma2),MIN(MaxMultiple,Xm/(1-RAND())^(1/Alpha)))))</f>
        <v>0</v>
      </c>
      <c r="E80" s="19">
        <f ca="1">IF(RAND()&lt;P_Zero,0,IF(RAND()&lt;CondReturn,_xlfn.LOGNORM.INV(RAND(),MV2,Sigma1),IF(RAND()&lt;CondGood,_xlfn.LOGNORM.INV(RAND(),MV3,Sigma2),MIN(MaxMultiple,Xm/(1-RAND())^(1/Alpha)))))</f>
        <v>0</v>
      </c>
      <c r="F80" s="19">
        <f ca="1">IF(RAND()&lt;P_Zero,0,IF(RAND()&lt;CondReturn,_xlfn.LOGNORM.INV(RAND(),MV2,Sigma1),IF(RAND()&lt;CondGood,_xlfn.LOGNORM.INV(RAND(),MV3,Sigma2),MIN(MaxMultiple,Xm/(1-RAND())^(1/Alpha)))))</f>
        <v>0</v>
      </c>
      <c r="G80" s="19">
        <f ca="1">IF(RAND()&lt;P_Zero,0,IF(RAND()&lt;CondReturn,_xlfn.LOGNORM.INV(RAND(),MV2,Sigma1),IF(RAND()&lt;CondGood,_xlfn.LOGNORM.INV(RAND(),MV3,Sigma2),MIN(MaxMultiple,Xm/(1-RAND())^(1/Alpha)))))</f>
        <v>0</v>
      </c>
      <c r="H80" s="19">
        <f ca="1">IF(RAND()&lt;P_Zero,0,IF(RAND()&lt;CondReturn,_xlfn.LOGNORM.INV(RAND(),MV2,Sigma1),IF(RAND()&lt;CondGood,_xlfn.LOGNORM.INV(RAND(),MV3,Sigma2),MIN(MaxMultiple,Xm/(1-RAND())^(1/Alpha)))))</f>
        <v>0.63514442051747722</v>
      </c>
      <c r="I80" s="19">
        <f ca="1">IF(RAND()&lt;P_Zero,0,IF(RAND()&lt;CondReturn,_xlfn.LOGNORM.INV(RAND(),MV2,Sigma1),IF(RAND()&lt;CondGood,_xlfn.LOGNORM.INV(RAND(),MV3,Sigma2),MIN(MaxMultiple,Xm/(1-RAND())^(1/Alpha)))))</f>
        <v>10.737824514393628</v>
      </c>
      <c r="J80" s="19">
        <f ca="1">IF(RAND()&lt;P_Zero,0,IF(RAND()&lt;CondReturn,_xlfn.LOGNORM.INV(RAND(),MV2,Sigma1),IF(RAND()&lt;CondGood,_xlfn.LOGNORM.INV(RAND(),MV3,Sigma2),MIN(MaxMultiple,Xm/(1-RAND())^(1/Alpha)))))</f>
        <v>0</v>
      </c>
      <c r="K80" s="19">
        <f ca="1">IF(RAND()&lt;P_Zero,0,IF(RAND()&lt;CondReturn,_xlfn.LOGNORM.INV(RAND(),MV2,Sigma1),IF(RAND()&lt;CondGood,_xlfn.LOGNORM.INV(RAND(),MV3,Sigma2),MIN(MaxMultiple,Xm/(1-RAND())^(1/Alpha)))))</f>
        <v>0</v>
      </c>
      <c r="L80" s="19">
        <f ca="1">IF(RAND()&lt;P_Zero,0,IF(RAND()&lt;CondReturn,_xlfn.LOGNORM.INV(RAND(),MV2,Sigma1),IF(RAND()&lt;CondGood,_xlfn.LOGNORM.INV(RAND(),MV3,Sigma2),MIN(MaxMultiple,Xm/(1-RAND())^(1/Alpha)))))</f>
        <v>0.72838493227268064</v>
      </c>
      <c r="M80" s="19">
        <f ca="1">IF(RAND()&lt;P_Zero,0,IF(RAND()&lt;CondReturn,_xlfn.LOGNORM.INV(RAND(),MV2,Sigma1),IF(RAND()&lt;CondGood,_xlfn.LOGNORM.INV(RAND(),MV3,Sigma2),MIN(MaxMultiple,Xm/(1-RAND())^(1/Alpha)))))</f>
        <v>1.6971613532777174</v>
      </c>
      <c r="N80" s="19">
        <f ca="1">IF(RAND()&lt;P_Zero,0,IF(RAND()&lt;CondReturn,_xlfn.LOGNORM.INV(RAND(),MV2,Sigma1),IF(RAND()&lt;CondGood,_xlfn.LOGNORM.INV(RAND(),MV3,Sigma2),MIN(MaxMultiple,Xm/(1-RAND())^(1/Alpha)))))</f>
        <v>1.3002499303744197</v>
      </c>
      <c r="O80" s="19">
        <f ca="1">IF(RAND()&lt;P_Zero,0,IF(RAND()&lt;CondReturn,_xlfn.LOGNORM.INV(RAND(),MV2,Sigma1),IF(RAND()&lt;CondGood,_xlfn.LOGNORM.INV(RAND(),MV3,Sigma2),MIN(MaxMultiple,Xm/(1-RAND())^(1/Alpha)))))</f>
        <v>0</v>
      </c>
      <c r="P80" s="19">
        <f ca="1">IF(RAND()&lt;P_Zero,0,IF(RAND()&lt;CondReturn,_xlfn.LOGNORM.INV(RAND(),MV2,Sigma1),IF(RAND()&lt;CondGood,_xlfn.LOGNORM.INV(RAND(),MV3,Sigma2),MIN(MaxMultiple,Xm/(1-RAND())^(1/Alpha)))))</f>
        <v>0.50274089138957134</v>
      </c>
      <c r="Q80" s="19">
        <f ca="1">IF(RAND()&lt;P_Zero,0,IF(RAND()&lt;CondReturn,_xlfn.LOGNORM.INV(RAND(),MV2,Sigma1),IF(RAND()&lt;CondGood,_xlfn.LOGNORM.INV(RAND(),MV3,Sigma2),MIN(MaxMultiple,Xm/(1-RAND())^(1/Alpha)))))</f>
        <v>2.2899029282709065</v>
      </c>
      <c r="R80" s="19">
        <f ca="1">IF(RAND()&lt;P_Zero,0,IF(RAND()&lt;CondReturn,_xlfn.LOGNORM.INV(RAND(),MV2,Sigma1),IF(RAND()&lt;CondGood,_xlfn.LOGNORM.INV(RAND(),MV3,Sigma2),MIN(MaxMultiple,Xm/(1-RAND())^(1/Alpha)))))</f>
        <v>0</v>
      </c>
      <c r="S80" s="19">
        <f ca="1">IF(RAND()&lt;P_Zero,0,IF(RAND()&lt;CondReturn,_xlfn.LOGNORM.INV(RAND(),MV2,Sigma1),IF(RAND()&lt;CondGood,_xlfn.LOGNORM.INV(RAND(),MV3,Sigma2),MIN(MaxMultiple,Xm/(1-RAND())^(1/Alpha)))))</f>
        <v>0</v>
      </c>
      <c r="T80" s="19">
        <f ca="1">IF(RAND()&lt;P_Zero,0,IF(RAND()&lt;CondReturn,_xlfn.LOGNORM.INV(RAND(),MV2,Sigma1),IF(RAND()&lt;CondGood,_xlfn.LOGNORM.INV(RAND(),MV3,Sigma2),MIN(MaxMultiple,Xm/(1-RAND())^(1/Alpha)))))</f>
        <v>0.99723434931992172</v>
      </c>
      <c r="U80" s="19">
        <f ca="1">IF(RAND()&lt;P_Zero,0,IF(RAND()&lt;CondReturn,_xlfn.LOGNORM.INV(RAND(),MV2,Sigma1),IF(RAND()&lt;CondGood,_xlfn.LOGNORM.INV(RAND(),MV3,Sigma2),MIN(MaxMultiple,Xm/(1-RAND())^(1/Alpha)))))</f>
        <v>0</v>
      </c>
      <c r="V80" s="19">
        <f ca="1">IF(RAND()&lt;P_Zero,0,IF(RAND()&lt;CondReturn,_xlfn.LOGNORM.INV(RAND(),MV2,Sigma1),IF(RAND()&lt;CondGood,_xlfn.LOGNORM.INV(RAND(),MV3,Sigma2),MIN(MaxMultiple,Xm/(1-RAND())^(1/Alpha)))))</f>
        <v>1.0042736965969941</v>
      </c>
      <c r="W80" s="19">
        <f ca="1">IF(RAND()&lt;P_Zero,0,IF(RAND()&lt;CondReturn,_xlfn.LOGNORM.INV(RAND(),MV2,Sigma1),IF(RAND()&lt;CondGood,_xlfn.LOGNORM.INV(RAND(),MV3,Sigma2),MIN(MaxMultiple,Xm/(1-RAND())^(1/Alpha)))))</f>
        <v>0.94942007755840629</v>
      </c>
      <c r="X80" s="19">
        <f ca="1">IF(RAND()&lt;P_Zero,0,IF(RAND()&lt;CondReturn,_xlfn.LOGNORM.INV(RAND(),MV2,Sigma1),IF(RAND()&lt;CondGood,_xlfn.LOGNORM.INV(RAND(),MV3,Sigma2),MIN(MaxMultiple,Xm/(1-RAND())^(1/Alpha)))))</f>
        <v>0.68219573501976238</v>
      </c>
      <c r="Y80" s="19">
        <f ca="1">IF(RAND()&lt;P_Zero,0,IF(RAND()&lt;CondReturn,_xlfn.LOGNORM.INV(RAND(),MV2,Sigma1),IF(RAND()&lt;CondGood,_xlfn.LOGNORM.INV(RAND(),MV3,Sigma2),MIN(MaxMultiple,Xm/(1-RAND())^(1/Alpha)))))</f>
        <v>0.46180208128769723</v>
      </c>
      <c r="Z80" s="19">
        <f ca="1">IF(RAND()&lt;P_Zero,0,IF(RAND()&lt;CondReturn,_xlfn.LOGNORM.INV(RAND(),MV2,Sigma1),IF(RAND()&lt;CondGood,_xlfn.LOGNORM.INV(RAND(),MV3,Sigma2),MIN(MaxMultiple,Xm/(1-RAND())^(1/Alpha)))))</f>
        <v>0.90340024312323064</v>
      </c>
      <c r="AA80" s="19">
        <f ca="1">IF(RAND()&lt;P_Zero,0,IF(RAND()&lt;CondReturn,_xlfn.LOGNORM.INV(RAND(),MV2,Sigma1),IF(RAND()&lt;CondGood,_xlfn.LOGNORM.INV(RAND(),MV3,Sigma2),MIN(MaxMultiple,Xm/(1-RAND())^(1/Alpha)))))</f>
        <v>1.143896250560563</v>
      </c>
      <c r="AB80" s="19">
        <f t="shared" ca="1" si="8"/>
        <v>1.0071208480644716</v>
      </c>
      <c r="AC80" s="14">
        <f t="shared" ca="1" si="9"/>
        <v>48341800.707094632</v>
      </c>
      <c r="AD80" s="14">
        <f t="shared" ca="1" si="10"/>
        <v>341800.70709463209</v>
      </c>
      <c r="AE80" s="14">
        <f t="shared" si="11"/>
        <v>55628399.869093813</v>
      </c>
      <c r="AF80" s="14">
        <f t="shared" ca="1" si="12"/>
        <v>0</v>
      </c>
      <c r="AG80" s="14">
        <f t="shared" ca="1" si="13"/>
        <v>0</v>
      </c>
      <c r="AH80" s="14">
        <f t="shared" ca="1" si="14"/>
        <v>48341800.707094632</v>
      </c>
      <c r="AI80" s="19">
        <f t="shared" ca="1" si="15"/>
        <v>0.80569667845157722</v>
      </c>
    </row>
    <row r="81" spans="2:35" x14ac:dyDescent="0.2">
      <c r="B81" s="1">
        <v>76</v>
      </c>
      <c r="C81" s="19">
        <f ca="1">IF(RAND()&lt;P_Zero,0,IF(RAND()&lt;CondReturn,_xlfn.LOGNORM.INV(RAND(),MV2,Sigma1),IF(RAND()&lt;CondGood,_xlfn.LOGNORM.INV(RAND(),MV3,Sigma2),MIN(MaxMultiple,Xm/(1-RAND())^(1/Alpha)))))</f>
        <v>0.49344995405512265</v>
      </c>
      <c r="D81" s="19">
        <f ca="1">IF(RAND()&lt;P_Zero,0,IF(RAND()&lt;CondReturn,_xlfn.LOGNORM.INV(RAND(),MV2,Sigma1),IF(RAND()&lt;CondGood,_xlfn.LOGNORM.INV(RAND(),MV3,Sigma2),MIN(MaxMultiple,Xm/(1-RAND())^(1/Alpha)))))</f>
        <v>16.518349944411732</v>
      </c>
      <c r="E81" s="19">
        <f ca="1">IF(RAND()&lt;P_Zero,0,IF(RAND()&lt;CondReturn,_xlfn.LOGNORM.INV(RAND(),MV2,Sigma1),IF(RAND()&lt;CondGood,_xlfn.LOGNORM.INV(RAND(),MV3,Sigma2),MIN(MaxMultiple,Xm/(1-RAND())^(1/Alpha)))))</f>
        <v>0.62600914665178653</v>
      </c>
      <c r="F81" s="19">
        <f ca="1">IF(RAND()&lt;P_Zero,0,IF(RAND()&lt;CondReturn,_xlfn.LOGNORM.INV(RAND(),MV2,Sigma1),IF(RAND()&lt;CondGood,_xlfn.LOGNORM.INV(RAND(),MV3,Sigma2),MIN(MaxMultiple,Xm/(1-RAND())^(1/Alpha)))))</f>
        <v>0</v>
      </c>
      <c r="G81" s="19">
        <f ca="1">IF(RAND()&lt;P_Zero,0,IF(RAND()&lt;CondReturn,_xlfn.LOGNORM.INV(RAND(),MV2,Sigma1),IF(RAND()&lt;CondGood,_xlfn.LOGNORM.INV(RAND(),MV3,Sigma2),MIN(MaxMultiple,Xm/(1-RAND())^(1/Alpha)))))</f>
        <v>0.72685056899425049</v>
      </c>
      <c r="H81" s="19">
        <f ca="1">IF(RAND()&lt;P_Zero,0,IF(RAND()&lt;CondReturn,_xlfn.LOGNORM.INV(RAND(),MV2,Sigma1),IF(RAND()&lt;CondGood,_xlfn.LOGNORM.INV(RAND(),MV3,Sigma2),MIN(MaxMultiple,Xm/(1-RAND())^(1/Alpha)))))</f>
        <v>1.9151423695344039</v>
      </c>
      <c r="I81" s="19">
        <f ca="1">IF(RAND()&lt;P_Zero,0,IF(RAND()&lt;CondReturn,_xlfn.LOGNORM.INV(RAND(),MV2,Sigma1),IF(RAND()&lt;CondGood,_xlfn.LOGNORM.INV(RAND(),MV3,Sigma2),MIN(MaxMultiple,Xm/(1-RAND())^(1/Alpha)))))</f>
        <v>0</v>
      </c>
      <c r="J81" s="19">
        <f ca="1">IF(RAND()&lt;P_Zero,0,IF(RAND()&lt;CondReturn,_xlfn.LOGNORM.INV(RAND(),MV2,Sigma1),IF(RAND()&lt;CondGood,_xlfn.LOGNORM.INV(RAND(),MV3,Sigma2),MIN(MaxMultiple,Xm/(1-RAND())^(1/Alpha)))))</f>
        <v>0</v>
      </c>
      <c r="K81" s="19">
        <f ca="1">IF(RAND()&lt;P_Zero,0,IF(RAND()&lt;CondReturn,_xlfn.LOGNORM.INV(RAND(),MV2,Sigma1),IF(RAND()&lt;CondGood,_xlfn.LOGNORM.INV(RAND(),MV3,Sigma2),MIN(MaxMultiple,Xm/(1-RAND())^(1/Alpha)))))</f>
        <v>12.178688804152371</v>
      </c>
      <c r="L81" s="19">
        <f ca="1">IF(RAND()&lt;P_Zero,0,IF(RAND()&lt;CondReturn,_xlfn.LOGNORM.INV(RAND(),MV2,Sigma1),IF(RAND()&lt;CondGood,_xlfn.LOGNORM.INV(RAND(),MV3,Sigma2),MIN(MaxMultiple,Xm/(1-RAND())^(1/Alpha)))))</f>
        <v>11.278124460040239</v>
      </c>
      <c r="M81" s="19">
        <f ca="1">IF(RAND()&lt;P_Zero,0,IF(RAND()&lt;CondReturn,_xlfn.LOGNORM.INV(RAND(),MV2,Sigma1),IF(RAND()&lt;CondGood,_xlfn.LOGNORM.INV(RAND(),MV3,Sigma2),MIN(MaxMultiple,Xm/(1-RAND())^(1/Alpha)))))</f>
        <v>1.3826603915573383</v>
      </c>
      <c r="N81" s="19">
        <f ca="1">IF(RAND()&lt;P_Zero,0,IF(RAND()&lt;CondReturn,_xlfn.LOGNORM.INV(RAND(),MV2,Sigma1),IF(RAND()&lt;CondGood,_xlfn.LOGNORM.INV(RAND(),MV3,Sigma2),MIN(MaxMultiple,Xm/(1-RAND())^(1/Alpha)))))</f>
        <v>0</v>
      </c>
      <c r="O81" s="19">
        <f ca="1">IF(RAND()&lt;P_Zero,0,IF(RAND()&lt;CondReturn,_xlfn.LOGNORM.INV(RAND(),MV2,Sigma1),IF(RAND()&lt;CondGood,_xlfn.LOGNORM.INV(RAND(),MV3,Sigma2),MIN(MaxMultiple,Xm/(1-RAND())^(1/Alpha)))))</f>
        <v>0</v>
      </c>
      <c r="P81" s="19">
        <f ca="1">IF(RAND()&lt;P_Zero,0,IF(RAND()&lt;CondReturn,_xlfn.LOGNORM.INV(RAND(),MV2,Sigma1),IF(RAND()&lt;CondGood,_xlfn.LOGNORM.INV(RAND(),MV3,Sigma2),MIN(MaxMultiple,Xm/(1-RAND())^(1/Alpha)))))</f>
        <v>0.94211966083094068</v>
      </c>
      <c r="Q81" s="19">
        <f ca="1">IF(RAND()&lt;P_Zero,0,IF(RAND()&lt;CondReturn,_xlfn.LOGNORM.INV(RAND(),MV2,Sigma1),IF(RAND()&lt;CondGood,_xlfn.LOGNORM.INV(RAND(),MV3,Sigma2),MIN(MaxMultiple,Xm/(1-RAND())^(1/Alpha)))))</f>
        <v>1.3956774218008865</v>
      </c>
      <c r="R81" s="19">
        <f ca="1">IF(RAND()&lt;P_Zero,0,IF(RAND()&lt;CondReturn,_xlfn.LOGNORM.INV(RAND(),MV2,Sigma1),IF(RAND()&lt;CondGood,_xlfn.LOGNORM.INV(RAND(),MV3,Sigma2),MIN(MaxMultiple,Xm/(1-RAND())^(1/Alpha)))))</f>
        <v>0.59632172136462247</v>
      </c>
      <c r="S81" s="19">
        <f ca="1">IF(RAND()&lt;P_Zero,0,IF(RAND()&lt;CondReturn,_xlfn.LOGNORM.INV(RAND(),MV2,Sigma1),IF(RAND()&lt;CondGood,_xlfn.LOGNORM.INV(RAND(),MV3,Sigma2),MIN(MaxMultiple,Xm/(1-RAND())^(1/Alpha)))))</f>
        <v>1.1770281944671308</v>
      </c>
      <c r="T81" s="19">
        <f ca="1">IF(RAND()&lt;P_Zero,0,IF(RAND()&lt;CondReturn,_xlfn.LOGNORM.INV(RAND(),MV2,Sigma1),IF(RAND()&lt;CondGood,_xlfn.LOGNORM.INV(RAND(),MV3,Sigma2),MIN(MaxMultiple,Xm/(1-RAND())^(1/Alpha)))))</f>
        <v>0</v>
      </c>
      <c r="U81" s="19">
        <f ca="1">IF(RAND()&lt;P_Zero,0,IF(RAND()&lt;CondReturn,_xlfn.LOGNORM.INV(RAND(),MV2,Sigma1),IF(RAND()&lt;CondGood,_xlfn.LOGNORM.INV(RAND(),MV3,Sigma2),MIN(MaxMultiple,Xm/(1-RAND())^(1/Alpha)))))</f>
        <v>24.862157772930249</v>
      </c>
      <c r="V81" s="19">
        <f ca="1">IF(RAND()&lt;P_Zero,0,IF(RAND()&lt;CondReturn,_xlfn.LOGNORM.INV(RAND(),MV2,Sigma1),IF(RAND()&lt;CondGood,_xlfn.LOGNORM.INV(RAND(),MV3,Sigma2),MIN(MaxMultiple,Xm/(1-RAND())^(1/Alpha)))))</f>
        <v>1.2583821151846304</v>
      </c>
      <c r="W81" s="19">
        <f ca="1">IF(RAND()&lt;P_Zero,0,IF(RAND()&lt;CondReturn,_xlfn.LOGNORM.INV(RAND(),MV2,Sigma1),IF(RAND()&lt;CondGood,_xlfn.LOGNORM.INV(RAND(),MV3,Sigma2),MIN(MaxMultiple,Xm/(1-RAND())^(1/Alpha)))))</f>
        <v>0.95222013137611683</v>
      </c>
      <c r="X81" s="19">
        <f ca="1">IF(RAND()&lt;P_Zero,0,IF(RAND()&lt;CondReturn,_xlfn.LOGNORM.INV(RAND(),MV2,Sigma1),IF(RAND()&lt;CondGood,_xlfn.LOGNORM.INV(RAND(),MV3,Sigma2),MIN(MaxMultiple,Xm/(1-RAND())^(1/Alpha)))))</f>
        <v>1.1434534417817643</v>
      </c>
      <c r="Y81" s="19">
        <f ca="1">IF(RAND()&lt;P_Zero,0,IF(RAND()&lt;CondReturn,_xlfn.LOGNORM.INV(RAND(),MV2,Sigma1),IF(RAND()&lt;CondGood,_xlfn.LOGNORM.INV(RAND(),MV3,Sigma2),MIN(MaxMultiple,Xm/(1-RAND())^(1/Alpha)))))</f>
        <v>1.3200671550309744</v>
      </c>
      <c r="Z81" s="19">
        <f ca="1">IF(RAND()&lt;P_Zero,0,IF(RAND()&lt;CondReturn,_xlfn.LOGNORM.INV(RAND(),MV2,Sigma1),IF(RAND()&lt;CondGood,_xlfn.LOGNORM.INV(RAND(),MV3,Sigma2),MIN(MaxMultiple,Xm/(1-RAND())^(1/Alpha)))))</f>
        <v>1.599250471942302</v>
      </c>
      <c r="AA81" s="19">
        <f ca="1">IF(RAND()&lt;P_Zero,0,IF(RAND()&lt;CondReturn,_xlfn.LOGNORM.INV(RAND(),MV2,Sigma1),IF(RAND()&lt;CondGood,_xlfn.LOGNORM.INV(RAND(),MV3,Sigma2),MIN(MaxMultiple,Xm/(1-RAND())^(1/Alpha)))))</f>
        <v>1.5793711687617682</v>
      </c>
      <c r="AB81" s="19">
        <f t="shared" ca="1" si="8"/>
        <v>3.2778129957947448</v>
      </c>
      <c r="AC81" s="14">
        <f t="shared" ca="1" si="9"/>
        <v>157335023.79814774</v>
      </c>
      <c r="AD81" s="14">
        <f t="shared" ca="1" si="10"/>
        <v>109335023.79814774</v>
      </c>
      <c r="AE81" s="14">
        <f t="shared" si="11"/>
        <v>55628399.869093813</v>
      </c>
      <c r="AF81" s="14">
        <f t="shared" ca="1" si="12"/>
        <v>53706623.929053925</v>
      </c>
      <c r="AG81" s="14">
        <f t="shared" ca="1" si="13"/>
        <v>10741324.785810785</v>
      </c>
      <c r="AH81" s="14">
        <f t="shared" ca="1" si="14"/>
        <v>146593699.01233694</v>
      </c>
      <c r="AI81" s="19">
        <f t="shared" ca="1" si="15"/>
        <v>2.4432283168722821</v>
      </c>
    </row>
    <row r="82" spans="2:35" x14ac:dyDescent="0.2">
      <c r="B82" s="1">
        <v>77</v>
      </c>
      <c r="C82" s="19">
        <f ca="1">IF(RAND()&lt;P_Zero,0,IF(RAND()&lt;CondReturn,_xlfn.LOGNORM.INV(RAND(),MV2,Sigma1),IF(RAND()&lt;CondGood,_xlfn.LOGNORM.INV(RAND(),MV3,Sigma2),MIN(MaxMultiple,Xm/(1-RAND())^(1/Alpha)))))</f>
        <v>0</v>
      </c>
      <c r="D82" s="19">
        <f ca="1">IF(RAND()&lt;P_Zero,0,IF(RAND()&lt;CondReturn,_xlfn.LOGNORM.INV(RAND(),MV2,Sigma1),IF(RAND()&lt;CondGood,_xlfn.LOGNORM.INV(RAND(),MV3,Sigma2),MIN(MaxMultiple,Xm/(1-RAND())^(1/Alpha)))))</f>
        <v>0</v>
      </c>
      <c r="E82" s="19">
        <f ca="1">IF(RAND()&lt;P_Zero,0,IF(RAND()&lt;CondReturn,_xlfn.LOGNORM.INV(RAND(),MV2,Sigma1),IF(RAND()&lt;CondGood,_xlfn.LOGNORM.INV(RAND(),MV3,Sigma2),MIN(MaxMultiple,Xm/(1-RAND())^(1/Alpha)))))</f>
        <v>0.92266573221452131</v>
      </c>
      <c r="F82" s="19">
        <f ca="1">IF(RAND()&lt;P_Zero,0,IF(RAND()&lt;CondReturn,_xlfn.LOGNORM.INV(RAND(),MV2,Sigma1),IF(RAND()&lt;CondGood,_xlfn.LOGNORM.INV(RAND(),MV3,Sigma2),MIN(MaxMultiple,Xm/(1-RAND())^(1/Alpha)))))</f>
        <v>1.0404264238932142</v>
      </c>
      <c r="G82" s="19">
        <f ca="1">IF(RAND()&lt;P_Zero,0,IF(RAND()&lt;CondReturn,_xlfn.LOGNORM.INV(RAND(),MV2,Sigma1),IF(RAND()&lt;CondGood,_xlfn.LOGNORM.INV(RAND(),MV3,Sigma2),MIN(MaxMultiple,Xm/(1-RAND())^(1/Alpha)))))</f>
        <v>0</v>
      </c>
      <c r="H82" s="19">
        <f ca="1">IF(RAND()&lt;P_Zero,0,IF(RAND()&lt;CondReturn,_xlfn.LOGNORM.INV(RAND(),MV2,Sigma1),IF(RAND()&lt;CondGood,_xlfn.LOGNORM.INV(RAND(),MV3,Sigma2),MIN(MaxMultiple,Xm/(1-RAND())^(1/Alpha)))))</f>
        <v>0</v>
      </c>
      <c r="I82" s="19">
        <f ca="1">IF(RAND()&lt;P_Zero,0,IF(RAND()&lt;CondReturn,_xlfn.LOGNORM.INV(RAND(),MV2,Sigma1),IF(RAND()&lt;CondGood,_xlfn.LOGNORM.INV(RAND(),MV3,Sigma2),MIN(MaxMultiple,Xm/(1-RAND())^(1/Alpha)))))</f>
        <v>0.98810662824502116</v>
      </c>
      <c r="J82" s="19">
        <f ca="1">IF(RAND()&lt;P_Zero,0,IF(RAND()&lt;CondReturn,_xlfn.LOGNORM.INV(RAND(),MV2,Sigma1),IF(RAND()&lt;CondGood,_xlfn.LOGNORM.INV(RAND(),MV3,Sigma2),MIN(MaxMultiple,Xm/(1-RAND())^(1/Alpha)))))</f>
        <v>1.5414129612237322</v>
      </c>
      <c r="K82" s="19">
        <f ca="1">IF(RAND()&lt;P_Zero,0,IF(RAND()&lt;CondReturn,_xlfn.LOGNORM.INV(RAND(),MV2,Sigma1),IF(RAND()&lt;CondGood,_xlfn.LOGNORM.INV(RAND(),MV3,Sigma2),MIN(MaxMultiple,Xm/(1-RAND())^(1/Alpha)))))</f>
        <v>2.3806282251283308</v>
      </c>
      <c r="L82" s="19">
        <f ca="1">IF(RAND()&lt;P_Zero,0,IF(RAND()&lt;CondReturn,_xlfn.LOGNORM.INV(RAND(),MV2,Sigma1),IF(RAND()&lt;CondGood,_xlfn.LOGNORM.INV(RAND(),MV3,Sigma2),MIN(MaxMultiple,Xm/(1-RAND())^(1/Alpha)))))</f>
        <v>2.0032794144886705</v>
      </c>
      <c r="M82" s="19">
        <f ca="1">IF(RAND()&lt;P_Zero,0,IF(RAND()&lt;CondReturn,_xlfn.LOGNORM.INV(RAND(),MV2,Sigma1),IF(RAND()&lt;CondGood,_xlfn.LOGNORM.INV(RAND(),MV3,Sigma2),MIN(MaxMultiple,Xm/(1-RAND())^(1/Alpha)))))</f>
        <v>0</v>
      </c>
      <c r="N82" s="19">
        <f ca="1">IF(RAND()&lt;P_Zero,0,IF(RAND()&lt;CondReturn,_xlfn.LOGNORM.INV(RAND(),MV2,Sigma1),IF(RAND()&lt;CondGood,_xlfn.LOGNORM.INV(RAND(),MV3,Sigma2),MIN(MaxMultiple,Xm/(1-RAND())^(1/Alpha)))))</f>
        <v>2.5423372701560614</v>
      </c>
      <c r="O82" s="19">
        <f ca="1">IF(RAND()&lt;P_Zero,0,IF(RAND()&lt;CondReturn,_xlfn.LOGNORM.INV(RAND(),MV2,Sigma1),IF(RAND()&lt;CondGood,_xlfn.LOGNORM.INV(RAND(),MV3,Sigma2),MIN(MaxMultiple,Xm/(1-RAND())^(1/Alpha)))))</f>
        <v>0</v>
      </c>
      <c r="P82" s="19">
        <f ca="1">IF(RAND()&lt;P_Zero,0,IF(RAND()&lt;CondReturn,_xlfn.LOGNORM.INV(RAND(),MV2,Sigma1),IF(RAND()&lt;CondGood,_xlfn.LOGNORM.INV(RAND(),MV3,Sigma2),MIN(MaxMultiple,Xm/(1-RAND())^(1/Alpha)))))</f>
        <v>0.67273857806153237</v>
      </c>
      <c r="Q82" s="19">
        <f ca="1">IF(RAND()&lt;P_Zero,0,IF(RAND()&lt;CondReturn,_xlfn.LOGNORM.INV(RAND(),MV2,Sigma1),IF(RAND()&lt;CondGood,_xlfn.LOGNORM.INV(RAND(),MV3,Sigma2),MIN(MaxMultiple,Xm/(1-RAND())^(1/Alpha)))))</f>
        <v>1.1512833637795938</v>
      </c>
      <c r="R82" s="19">
        <f ca="1">IF(RAND()&lt;P_Zero,0,IF(RAND()&lt;CondReturn,_xlfn.LOGNORM.INV(RAND(),MV2,Sigma1),IF(RAND()&lt;CondGood,_xlfn.LOGNORM.INV(RAND(),MV3,Sigma2),MIN(MaxMultiple,Xm/(1-RAND())^(1/Alpha)))))</f>
        <v>0.40537535150798676</v>
      </c>
      <c r="S82" s="19">
        <f ca="1">IF(RAND()&lt;P_Zero,0,IF(RAND()&lt;CondReturn,_xlfn.LOGNORM.INV(RAND(),MV2,Sigma1),IF(RAND()&lt;CondGood,_xlfn.LOGNORM.INV(RAND(),MV3,Sigma2),MIN(MaxMultiple,Xm/(1-RAND())^(1/Alpha)))))</f>
        <v>0</v>
      </c>
      <c r="T82" s="19">
        <f ca="1">IF(RAND()&lt;P_Zero,0,IF(RAND()&lt;CondReturn,_xlfn.LOGNORM.INV(RAND(),MV2,Sigma1),IF(RAND()&lt;CondGood,_xlfn.LOGNORM.INV(RAND(),MV3,Sigma2),MIN(MaxMultiple,Xm/(1-RAND())^(1/Alpha)))))</f>
        <v>1.3518520856689571</v>
      </c>
      <c r="U82" s="19">
        <f ca="1">IF(RAND()&lt;P_Zero,0,IF(RAND()&lt;CondReturn,_xlfn.LOGNORM.INV(RAND(),MV2,Sigma1),IF(RAND()&lt;CondGood,_xlfn.LOGNORM.INV(RAND(),MV3,Sigma2),MIN(MaxMultiple,Xm/(1-RAND())^(1/Alpha)))))</f>
        <v>0</v>
      </c>
      <c r="V82" s="19">
        <f ca="1">IF(RAND()&lt;P_Zero,0,IF(RAND()&lt;CondReturn,_xlfn.LOGNORM.INV(RAND(),MV2,Sigma1),IF(RAND()&lt;CondGood,_xlfn.LOGNORM.INV(RAND(),MV3,Sigma2),MIN(MaxMultiple,Xm/(1-RAND())^(1/Alpha)))))</f>
        <v>44.091040170213603</v>
      </c>
      <c r="W82" s="19">
        <f ca="1">IF(RAND()&lt;P_Zero,0,IF(RAND()&lt;CondReturn,_xlfn.LOGNORM.INV(RAND(),MV2,Sigma1),IF(RAND()&lt;CondGood,_xlfn.LOGNORM.INV(RAND(),MV3,Sigma2),MIN(MaxMultiple,Xm/(1-RAND())^(1/Alpha)))))</f>
        <v>0.85013128534209725</v>
      </c>
      <c r="X82" s="19">
        <f ca="1">IF(RAND()&lt;P_Zero,0,IF(RAND()&lt;CondReturn,_xlfn.LOGNORM.INV(RAND(),MV2,Sigma1),IF(RAND()&lt;CondGood,_xlfn.LOGNORM.INV(RAND(),MV3,Sigma2),MIN(MaxMultiple,Xm/(1-RAND())^(1/Alpha)))))</f>
        <v>0</v>
      </c>
      <c r="Y82" s="19">
        <f ca="1">IF(RAND()&lt;P_Zero,0,IF(RAND()&lt;CondReturn,_xlfn.LOGNORM.INV(RAND(),MV2,Sigma1),IF(RAND()&lt;CondGood,_xlfn.LOGNORM.INV(RAND(),MV3,Sigma2),MIN(MaxMultiple,Xm/(1-RAND())^(1/Alpha)))))</f>
        <v>0.43108850731887993</v>
      </c>
      <c r="Z82" s="19">
        <f ca="1">IF(RAND()&lt;P_Zero,0,IF(RAND()&lt;CondReturn,_xlfn.LOGNORM.INV(RAND(),MV2,Sigma1),IF(RAND()&lt;CondGood,_xlfn.LOGNORM.INV(RAND(),MV3,Sigma2),MIN(MaxMultiple,Xm/(1-RAND())^(1/Alpha)))))</f>
        <v>1.3726388787773967</v>
      </c>
      <c r="AA82" s="19">
        <f ca="1">IF(RAND()&lt;P_Zero,0,IF(RAND()&lt;CondReturn,_xlfn.LOGNORM.INV(RAND(),MV2,Sigma1),IF(RAND()&lt;CondGood,_xlfn.LOGNORM.INV(RAND(),MV3,Sigma2),MIN(MaxMultiple,Xm/(1-RAND())^(1/Alpha)))))</f>
        <v>0</v>
      </c>
      <c r="AB82" s="19">
        <f t="shared" ca="1" si="8"/>
        <v>2.4698001950407837</v>
      </c>
      <c r="AC82" s="14">
        <f t="shared" ca="1" si="9"/>
        <v>118550409.36195762</v>
      </c>
      <c r="AD82" s="14">
        <f t="shared" ca="1" si="10"/>
        <v>70550409.361957625</v>
      </c>
      <c r="AE82" s="14">
        <f t="shared" si="11"/>
        <v>55628399.869093813</v>
      </c>
      <c r="AF82" s="14">
        <f t="shared" ca="1" si="12"/>
        <v>14922009.492863812</v>
      </c>
      <c r="AG82" s="14">
        <f t="shared" ca="1" si="13"/>
        <v>2984401.8985727625</v>
      </c>
      <c r="AH82" s="14">
        <f t="shared" ca="1" si="14"/>
        <v>115566007.46338487</v>
      </c>
      <c r="AI82" s="19">
        <f t="shared" ca="1" si="15"/>
        <v>1.9261001243897478</v>
      </c>
    </row>
    <row r="83" spans="2:35" x14ac:dyDescent="0.2">
      <c r="B83" s="1">
        <v>78</v>
      </c>
      <c r="C83" s="19">
        <f ca="1">IF(RAND()&lt;P_Zero,0,IF(RAND()&lt;CondReturn,_xlfn.LOGNORM.INV(RAND(),MV2,Sigma1),IF(RAND()&lt;CondGood,_xlfn.LOGNORM.INV(RAND(),MV3,Sigma2),MIN(MaxMultiple,Xm/(1-RAND())^(1/Alpha)))))</f>
        <v>2.7753807497349614</v>
      </c>
      <c r="D83" s="19">
        <f ca="1">IF(RAND()&lt;P_Zero,0,IF(RAND()&lt;CondReturn,_xlfn.LOGNORM.INV(RAND(),MV2,Sigma1),IF(RAND()&lt;CondGood,_xlfn.LOGNORM.INV(RAND(),MV3,Sigma2),MIN(MaxMultiple,Xm/(1-RAND())^(1/Alpha)))))</f>
        <v>1.2424584537029659</v>
      </c>
      <c r="E83" s="19">
        <f ca="1">IF(RAND()&lt;P_Zero,0,IF(RAND()&lt;CondReturn,_xlfn.LOGNORM.INV(RAND(),MV2,Sigma1),IF(RAND()&lt;CondGood,_xlfn.LOGNORM.INV(RAND(),MV3,Sigma2),MIN(MaxMultiple,Xm/(1-RAND())^(1/Alpha)))))</f>
        <v>0.82893985134843773</v>
      </c>
      <c r="F83" s="19">
        <f ca="1">IF(RAND()&lt;P_Zero,0,IF(RAND()&lt;CondReturn,_xlfn.LOGNORM.INV(RAND(),MV2,Sigma1),IF(RAND()&lt;CondGood,_xlfn.LOGNORM.INV(RAND(),MV3,Sigma2),MIN(MaxMultiple,Xm/(1-RAND())^(1/Alpha)))))</f>
        <v>0.92894482495987873</v>
      </c>
      <c r="G83" s="19">
        <f ca="1">IF(RAND()&lt;P_Zero,0,IF(RAND()&lt;CondReturn,_xlfn.LOGNORM.INV(RAND(),MV2,Sigma1),IF(RAND()&lt;CondGood,_xlfn.LOGNORM.INV(RAND(),MV3,Sigma2),MIN(MaxMultiple,Xm/(1-RAND())^(1/Alpha)))))</f>
        <v>0</v>
      </c>
      <c r="H83" s="19">
        <f ca="1">IF(RAND()&lt;P_Zero,0,IF(RAND()&lt;CondReturn,_xlfn.LOGNORM.INV(RAND(),MV2,Sigma1),IF(RAND()&lt;CondGood,_xlfn.LOGNORM.INV(RAND(),MV3,Sigma2),MIN(MaxMultiple,Xm/(1-RAND())^(1/Alpha)))))</f>
        <v>0</v>
      </c>
      <c r="I83" s="19">
        <f ca="1">IF(RAND()&lt;P_Zero,0,IF(RAND()&lt;CondReturn,_xlfn.LOGNORM.INV(RAND(),MV2,Sigma1),IF(RAND()&lt;CondGood,_xlfn.LOGNORM.INV(RAND(),MV3,Sigma2),MIN(MaxMultiple,Xm/(1-RAND())^(1/Alpha)))))</f>
        <v>92.352895435599066</v>
      </c>
      <c r="J83" s="19">
        <f ca="1">IF(RAND()&lt;P_Zero,0,IF(RAND()&lt;CondReturn,_xlfn.LOGNORM.INV(RAND(),MV2,Sigma1),IF(RAND()&lt;CondGood,_xlfn.LOGNORM.INV(RAND(),MV3,Sigma2),MIN(MaxMultiple,Xm/(1-RAND())^(1/Alpha)))))</f>
        <v>0</v>
      </c>
      <c r="K83" s="19">
        <f ca="1">IF(RAND()&lt;P_Zero,0,IF(RAND()&lt;CondReturn,_xlfn.LOGNORM.INV(RAND(),MV2,Sigma1),IF(RAND()&lt;CondGood,_xlfn.LOGNORM.INV(RAND(),MV3,Sigma2),MIN(MaxMultiple,Xm/(1-RAND())^(1/Alpha)))))</f>
        <v>0.94743589606815448</v>
      </c>
      <c r="L83" s="19">
        <f ca="1">IF(RAND()&lt;P_Zero,0,IF(RAND()&lt;CondReturn,_xlfn.LOGNORM.INV(RAND(),MV2,Sigma1),IF(RAND()&lt;CondGood,_xlfn.LOGNORM.INV(RAND(),MV3,Sigma2),MIN(MaxMultiple,Xm/(1-RAND())^(1/Alpha)))))</f>
        <v>0.78541749907659619</v>
      </c>
      <c r="M83" s="19">
        <f ca="1">IF(RAND()&lt;P_Zero,0,IF(RAND()&lt;CondReturn,_xlfn.LOGNORM.INV(RAND(),MV2,Sigma1),IF(RAND()&lt;CondGood,_xlfn.LOGNORM.INV(RAND(),MV3,Sigma2),MIN(MaxMultiple,Xm/(1-RAND())^(1/Alpha)))))</f>
        <v>0</v>
      </c>
      <c r="N83" s="19">
        <f ca="1">IF(RAND()&lt;P_Zero,0,IF(RAND()&lt;CondReturn,_xlfn.LOGNORM.INV(RAND(),MV2,Sigma1),IF(RAND()&lt;CondGood,_xlfn.LOGNORM.INV(RAND(),MV3,Sigma2),MIN(MaxMultiple,Xm/(1-RAND())^(1/Alpha)))))</f>
        <v>1.54245641024945</v>
      </c>
      <c r="O83" s="19">
        <f ca="1">IF(RAND()&lt;P_Zero,0,IF(RAND()&lt;CondReturn,_xlfn.LOGNORM.INV(RAND(),MV2,Sigma1),IF(RAND()&lt;CondGood,_xlfn.LOGNORM.INV(RAND(),MV3,Sigma2),MIN(MaxMultiple,Xm/(1-RAND())^(1/Alpha)))))</f>
        <v>0.5203741447098531</v>
      </c>
      <c r="P83" s="19">
        <f ca="1">IF(RAND()&lt;P_Zero,0,IF(RAND()&lt;CondReturn,_xlfn.LOGNORM.INV(RAND(),MV2,Sigma1),IF(RAND()&lt;CondGood,_xlfn.LOGNORM.INV(RAND(),MV3,Sigma2),MIN(MaxMultiple,Xm/(1-RAND())^(1/Alpha)))))</f>
        <v>0</v>
      </c>
      <c r="Q83" s="19">
        <f ca="1">IF(RAND()&lt;P_Zero,0,IF(RAND()&lt;CondReturn,_xlfn.LOGNORM.INV(RAND(),MV2,Sigma1),IF(RAND()&lt;CondGood,_xlfn.LOGNORM.INV(RAND(),MV3,Sigma2),MIN(MaxMultiple,Xm/(1-RAND())^(1/Alpha)))))</f>
        <v>0.91881264283341946</v>
      </c>
      <c r="R83" s="19">
        <f ca="1">IF(RAND()&lt;P_Zero,0,IF(RAND()&lt;CondReturn,_xlfn.LOGNORM.INV(RAND(),MV2,Sigma1),IF(RAND()&lt;CondGood,_xlfn.LOGNORM.INV(RAND(),MV3,Sigma2),MIN(MaxMultiple,Xm/(1-RAND())^(1/Alpha)))))</f>
        <v>0</v>
      </c>
      <c r="S83" s="19">
        <f ca="1">IF(RAND()&lt;P_Zero,0,IF(RAND()&lt;CondReturn,_xlfn.LOGNORM.INV(RAND(),MV2,Sigma1),IF(RAND()&lt;CondGood,_xlfn.LOGNORM.INV(RAND(),MV3,Sigma2),MIN(MaxMultiple,Xm/(1-RAND())^(1/Alpha)))))</f>
        <v>0</v>
      </c>
      <c r="T83" s="19">
        <f ca="1">IF(RAND()&lt;P_Zero,0,IF(RAND()&lt;CondReturn,_xlfn.LOGNORM.INV(RAND(),MV2,Sigma1),IF(RAND()&lt;CondGood,_xlfn.LOGNORM.INV(RAND(),MV3,Sigma2),MIN(MaxMultiple,Xm/(1-RAND())^(1/Alpha)))))</f>
        <v>0.66597352116453135</v>
      </c>
      <c r="U83" s="19">
        <f ca="1">IF(RAND()&lt;P_Zero,0,IF(RAND()&lt;CondReturn,_xlfn.LOGNORM.INV(RAND(),MV2,Sigma1),IF(RAND()&lt;CondGood,_xlfn.LOGNORM.INV(RAND(),MV3,Sigma2),MIN(MaxMultiple,Xm/(1-RAND())^(1/Alpha)))))</f>
        <v>10.657776052211121</v>
      </c>
      <c r="V83" s="19">
        <f ca="1">IF(RAND()&lt;P_Zero,0,IF(RAND()&lt;CondReturn,_xlfn.LOGNORM.INV(RAND(),MV2,Sigma1),IF(RAND()&lt;CondGood,_xlfn.LOGNORM.INV(RAND(),MV3,Sigma2),MIN(MaxMultiple,Xm/(1-RAND())^(1/Alpha)))))</f>
        <v>0</v>
      </c>
      <c r="W83" s="19">
        <f ca="1">IF(RAND()&lt;P_Zero,0,IF(RAND()&lt;CondReturn,_xlfn.LOGNORM.INV(RAND(),MV2,Sigma1),IF(RAND()&lt;CondGood,_xlfn.LOGNORM.INV(RAND(),MV3,Sigma2),MIN(MaxMultiple,Xm/(1-RAND())^(1/Alpha)))))</f>
        <v>1.144889313323485</v>
      </c>
      <c r="X83" s="19">
        <f ca="1">IF(RAND()&lt;P_Zero,0,IF(RAND()&lt;CondReturn,_xlfn.LOGNORM.INV(RAND(),MV2,Sigma1),IF(RAND()&lt;CondGood,_xlfn.LOGNORM.INV(RAND(),MV3,Sigma2),MIN(MaxMultiple,Xm/(1-RAND())^(1/Alpha)))))</f>
        <v>1.2253237387637641</v>
      </c>
      <c r="Y83" s="19">
        <f ca="1">IF(RAND()&lt;P_Zero,0,IF(RAND()&lt;CondReturn,_xlfn.LOGNORM.INV(RAND(),MV2,Sigma1),IF(RAND()&lt;CondGood,_xlfn.LOGNORM.INV(RAND(),MV3,Sigma2),MIN(MaxMultiple,Xm/(1-RAND())^(1/Alpha)))))</f>
        <v>0</v>
      </c>
      <c r="Z83" s="19">
        <f ca="1">IF(RAND()&lt;P_Zero,0,IF(RAND()&lt;CondReturn,_xlfn.LOGNORM.INV(RAND(),MV2,Sigma1),IF(RAND()&lt;CondGood,_xlfn.LOGNORM.INV(RAND(),MV3,Sigma2),MIN(MaxMultiple,Xm/(1-RAND())^(1/Alpha)))))</f>
        <v>0.64784859781365345</v>
      </c>
      <c r="AA83" s="19">
        <f ca="1">IF(RAND()&lt;P_Zero,0,IF(RAND()&lt;CondReturn,_xlfn.LOGNORM.INV(RAND(),MV2,Sigma1),IF(RAND()&lt;CondGood,_xlfn.LOGNORM.INV(RAND(),MV3,Sigma2),MIN(MaxMultiple,Xm/(1-RAND())^(1/Alpha)))))</f>
        <v>0.91345341367232991</v>
      </c>
      <c r="AB83" s="19">
        <f t="shared" ca="1" si="8"/>
        <v>4.7239352218092669</v>
      </c>
      <c r="AC83" s="14">
        <f t="shared" ca="1" si="9"/>
        <v>226748890.6468448</v>
      </c>
      <c r="AD83" s="14">
        <f t="shared" ca="1" si="10"/>
        <v>178748890.6468448</v>
      </c>
      <c r="AE83" s="14">
        <f t="shared" si="11"/>
        <v>55628399.869093813</v>
      </c>
      <c r="AF83" s="14">
        <f t="shared" ca="1" si="12"/>
        <v>123120490.777751</v>
      </c>
      <c r="AG83" s="14">
        <f t="shared" ca="1" si="13"/>
        <v>24624098.1555502</v>
      </c>
      <c r="AH83" s="14">
        <f t="shared" ca="1" si="14"/>
        <v>202124792.49129459</v>
      </c>
      <c r="AI83" s="19">
        <f t="shared" ca="1" si="15"/>
        <v>3.3687465415215767</v>
      </c>
    </row>
    <row r="84" spans="2:35" x14ac:dyDescent="0.2">
      <c r="B84" s="1">
        <v>79</v>
      </c>
      <c r="C84" s="19">
        <f ca="1">IF(RAND()&lt;P_Zero,0,IF(RAND()&lt;CondReturn,_xlfn.LOGNORM.INV(RAND(),MV2,Sigma1),IF(RAND()&lt;CondGood,_xlfn.LOGNORM.INV(RAND(),MV3,Sigma2),MIN(MaxMultiple,Xm/(1-RAND())^(1/Alpha)))))</f>
        <v>0</v>
      </c>
      <c r="D84" s="19">
        <f ca="1">IF(RAND()&lt;P_Zero,0,IF(RAND()&lt;CondReturn,_xlfn.LOGNORM.INV(RAND(),MV2,Sigma1),IF(RAND()&lt;CondGood,_xlfn.LOGNORM.INV(RAND(),MV3,Sigma2),MIN(MaxMultiple,Xm/(1-RAND())^(1/Alpha)))))</f>
        <v>0.60597074861478772</v>
      </c>
      <c r="E84" s="19">
        <f ca="1">IF(RAND()&lt;P_Zero,0,IF(RAND()&lt;CondReturn,_xlfn.LOGNORM.INV(RAND(),MV2,Sigma1),IF(RAND()&lt;CondGood,_xlfn.LOGNORM.INV(RAND(),MV3,Sigma2),MIN(MaxMultiple,Xm/(1-RAND())^(1/Alpha)))))</f>
        <v>0.68874457681560863</v>
      </c>
      <c r="F84" s="19">
        <f ca="1">IF(RAND()&lt;P_Zero,0,IF(RAND()&lt;CondReturn,_xlfn.LOGNORM.INV(RAND(),MV2,Sigma1),IF(RAND()&lt;CondGood,_xlfn.LOGNORM.INV(RAND(),MV3,Sigma2),MIN(MaxMultiple,Xm/(1-RAND())^(1/Alpha)))))</f>
        <v>0</v>
      </c>
      <c r="G84" s="19">
        <f ca="1">IF(RAND()&lt;P_Zero,0,IF(RAND()&lt;CondReturn,_xlfn.LOGNORM.INV(RAND(),MV2,Sigma1),IF(RAND()&lt;CondGood,_xlfn.LOGNORM.INV(RAND(),MV3,Sigma2),MIN(MaxMultiple,Xm/(1-RAND())^(1/Alpha)))))</f>
        <v>0.86869027781213926</v>
      </c>
      <c r="H84" s="19">
        <f ca="1">IF(RAND()&lt;P_Zero,0,IF(RAND()&lt;CondReturn,_xlfn.LOGNORM.INV(RAND(),MV2,Sigma1),IF(RAND()&lt;CondGood,_xlfn.LOGNORM.INV(RAND(),MV3,Sigma2),MIN(MaxMultiple,Xm/(1-RAND())^(1/Alpha)))))</f>
        <v>0.49339039912137828</v>
      </c>
      <c r="I84" s="19">
        <f ca="1">IF(RAND()&lt;P_Zero,0,IF(RAND()&lt;CondReturn,_xlfn.LOGNORM.INV(RAND(),MV2,Sigma1),IF(RAND()&lt;CondGood,_xlfn.LOGNORM.INV(RAND(),MV3,Sigma2),MIN(MaxMultiple,Xm/(1-RAND())^(1/Alpha)))))</f>
        <v>16.274989443335869</v>
      </c>
      <c r="J84" s="19">
        <f ca="1">IF(RAND()&lt;P_Zero,0,IF(RAND()&lt;CondReturn,_xlfn.LOGNORM.INV(RAND(),MV2,Sigma1),IF(RAND()&lt;CondGood,_xlfn.LOGNORM.INV(RAND(),MV3,Sigma2),MIN(MaxMultiple,Xm/(1-RAND())^(1/Alpha)))))</f>
        <v>118.42592256134432</v>
      </c>
      <c r="K84" s="19">
        <f ca="1">IF(RAND()&lt;P_Zero,0,IF(RAND()&lt;CondReturn,_xlfn.LOGNORM.INV(RAND(),MV2,Sigma1),IF(RAND()&lt;CondGood,_xlfn.LOGNORM.INV(RAND(),MV3,Sigma2),MIN(MaxMultiple,Xm/(1-RAND())^(1/Alpha)))))</f>
        <v>0</v>
      </c>
      <c r="L84" s="19">
        <f ca="1">IF(RAND()&lt;P_Zero,0,IF(RAND()&lt;CondReturn,_xlfn.LOGNORM.INV(RAND(),MV2,Sigma1),IF(RAND()&lt;CondGood,_xlfn.LOGNORM.INV(RAND(),MV3,Sigma2),MIN(MaxMultiple,Xm/(1-RAND())^(1/Alpha)))))</f>
        <v>0.75201691237108237</v>
      </c>
      <c r="M84" s="19">
        <f ca="1">IF(RAND()&lt;P_Zero,0,IF(RAND()&lt;CondReturn,_xlfn.LOGNORM.INV(RAND(),MV2,Sigma1),IF(RAND()&lt;CondGood,_xlfn.LOGNORM.INV(RAND(),MV3,Sigma2),MIN(MaxMultiple,Xm/(1-RAND())^(1/Alpha)))))</f>
        <v>1.0546165877132485</v>
      </c>
      <c r="N84" s="19">
        <f ca="1">IF(RAND()&lt;P_Zero,0,IF(RAND()&lt;CondReturn,_xlfn.LOGNORM.INV(RAND(),MV2,Sigma1),IF(RAND()&lt;CondGood,_xlfn.LOGNORM.INV(RAND(),MV3,Sigma2),MIN(MaxMultiple,Xm/(1-RAND())^(1/Alpha)))))</f>
        <v>1.4917677420162112</v>
      </c>
      <c r="O84" s="19">
        <f ca="1">IF(RAND()&lt;P_Zero,0,IF(RAND()&lt;CondReturn,_xlfn.LOGNORM.INV(RAND(),MV2,Sigma1),IF(RAND()&lt;CondGood,_xlfn.LOGNORM.INV(RAND(),MV3,Sigma2),MIN(MaxMultiple,Xm/(1-RAND())^(1/Alpha)))))</f>
        <v>0.63928667012907936</v>
      </c>
      <c r="P84" s="19">
        <f ca="1">IF(RAND()&lt;P_Zero,0,IF(RAND()&lt;CondReturn,_xlfn.LOGNORM.INV(RAND(),MV2,Sigma1),IF(RAND()&lt;CondGood,_xlfn.LOGNORM.INV(RAND(),MV3,Sigma2),MIN(MaxMultiple,Xm/(1-RAND())^(1/Alpha)))))</f>
        <v>0</v>
      </c>
      <c r="Q84" s="19">
        <f ca="1">IF(RAND()&lt;P_Zero,0,IF(RAND()&lt;CondReturn,_xlfn.LOGNORM.INV(RAND(),MV2,Sigma1),IF(RAND()&lt;CondGood,_xlfn.LOGNORM.INV(RAND(),MV3,Sigma2),MIN(MaxMultiple,Xm/(1-RAND())^(1/Alpha)))))</f>
        <v>0</v>
      </c>
      <c r="R84" s="19">
        <f ca="1">IF(RAND()&lt;P_Zero,0,IF(RAND()&lt;CondReturn,_xlfn.LOGNORM.INV(RAND(),MV2,Sigma1),IF(RAND()&lt;CondGood,_xlfn.LOGNORM.INV(RAND(),MV3,Sigma2),MIN(MaxMultiple,Xm/(1-RAND())^(1/Alpha)))))</f>
        <v>0</v>
      </c>
      <c r="S84" s="19">
        <f ca="1">IF(RAND()&lt;P_Zero,0,IF(RAND()&lt;CondReturn,_xlfn.LOGNORM.INV(RAND(),MV2,Sigma1),IF(RAND()&lt;CondGood,_xlfn.LOGNORM.INV(RAND(),MV3,Sigma2),MIN(MaxMultiple,Xm/(1-RAND())^(1/Alpha)))))</f>
        <v>0.60036379555717034</v>
      </c>
      <c r="T84" s="19">
        <f ca="1">IF(RAND()&lt;P_Zero,0,IF(RAND()&lt;CondReturn,_xlfn.LOGNORM.INV(RAND(),MV2,Sigma1),IF(RAND()&lt;CondGood,_xlfn.LOGNORM.INV(RAND(),MV3,Sigma2),MIN(MaxMultiple,Xm/(1-RAND())^(1/Alpha)))))</f>
        <v>0.27854843451261063</v>
      </c>
      <c r="U84" s="19">
        <f ca="1">IF(RAND()&lt;P_Zero,0,IF(RAND()&lt;CondReturn,_xlfn.LOGNORM.INV(RAND(),MV2,Sigma1),IF(RAND()&lt;CondGood,_xlfn.LOGNORM.INV(RAND(),MV3,Sigma2),MIN(MaxMultiple,Xm/(1-RAND())^(1/Alpha)))))</f>
        <v>0.91044763228411463</v>
      </c>
      <c r="V84" s="19">
        <f ca="1">IF(RAND()&lt;P_Zero,0,IF(RAND()&lt;CondReturn,_xlfn.LOGNORM.INV(RAND(),MV2,Sigma1),IF(RAND()&lt;CondGood,_xlfn.LOGNORM.INV(RAND(),MV3,Sigma2),MIN(MaxMultiple,Xm/(1-RAND())^(1/Alpha)))))</f>
        <v>0</v>
      </c>
      <c r="W84" s="19">
        <f ca="1">IF(RAND()&lt;P_Zero,0,IF(RAND()&lt;CondReturn,_xlfn.LOGNORM.INV(RAND(),MV2,Sigma1),IF(RAND()&lt;CondGood,_xlfn.LOGNORM.INV(RAND(),MV3,Sigma2),MIN(MaxMultiple,Xm/(1-RAND())^(1/Alpha)))))</f>
        <v>0</v>
      </c>
      <c r="X84" s="19">
        <f ca="1">IF(RAND()&lt;P_Zero,0,IF(RAND()&lt;CondReturn,_xlfn.LOGNORM.INV(RAND(),MV2,Sigma1),IF(RAND()&lt;CondGood,_xlfn.LOGNORM.INV(RAND(),MV3,Sigma2),MIN(MaxMultiple,Xm/(1-RAND())^(1/Alpha)))))</f>
        <v>1.2983147301150526</v>
      </c>
      <c r="Y84" s="19">
        <f ca="1">IF(RAND()&lt;P_Zero,0,IF(RAND()&lt;CondReturn,_xlfn.LOGNORM.INV(RAND(),MV2,Sigma1),IF(RAND()&lt;CondGood,_xlfn.LOGNORM.INV(RAND(),MV3,Sigma2),MIN(MaxMultiple,Xm/(1-RAND())^(1/Alpha)))))</f>
        <v>0.53103731236025409</v>
      </c>
      <c r="Z84" s="19">
        <f ca="1">IF(RAND()&lt;P_Zero,0,IF(RAND()&lt;CondReturn,_xlfn.LOGNORM.INV(RAND(),MV2,Sigma1),IF(RAND()&lt;CondGood,_xlfn.LOGNORM.INV(RAND(),MV3,Sigma2),MIN(MaxMultiple,Xm/(1-RAND())^(1/Alpha)))))</f>
        <v>0</v>
      </c>
      <c r="AA84" s="19">
        <f ca="1">IF(RAND()&lt;P_Zero,0,IF(RAND()&lt;CondReturn,_xlfn.LOGNORM.INV(RAND(),MV2,Sigma1),IF(RAND()&lt;CondGood,_xlfn.LOGNORM.INV(RAND(),MV3,Sigma2),MIN(MaxMultiple,Xm/(1-RAND())^(1/Alpha)))))</f>
        <v>1.9557300509031412</v>
      </c>
      <c r="AB84" s="19">
        <f t="shared" ca="1" si="8"/>
        <v>5.8747935150002411</v>
      </c>
      <c r="AC84" s="14">
        <f t="shared" ca="1" si="9"/>
        <v>281990088.72001159</v>
      </c>
      <c r="AD84" s="14">
        <f t="shared" ca="1" si="10"/>
        <v>233990088.72001159</v>
      </c>
      <c r="AE84" s="14">
        <f t="shared" si="11"/>
        <v>55628399.869093813</v>
      </c>
      <c r="AF84" s="14">
        <f t="shared" ca="1" si="12"/>
        <v>178361688.85091779</v>
      </c>
      <c r="AG84" s="14">
        <f t="shared" ca="1" si="13"/>
        <v>35672337.770183556</v>
      </c>
      <c r="AH84" s="14">
        <f t="shared" ca="1" si="14"/>
        <v>246317750.94982803</v>
      </c>
      <c r="AI84" s="19">
        <f t="shared" ca="1" si="15"/>
        <v>4.1052958491638005</v>
      </c>
    </row>
    <row r="85" spans="2:35" x14ac:dyDescent="0.2">
      <c r="B85" s="1">
        <v>80</v>
      </c>
      <c r="C85" s="19">
        <f ca="1">IF(RAND()&lt;P_Zero,0,IF(RAND()&lt;CondReturn,_xlfn.LOGNORM.INV(RAND(),MV2,Sigma1),IF(RAND()&lt;CondGood,_xlfn.LOGNORM.INV(RAND(),MV3,Sigma2),MIN(MaxMultiple,Xm/(1-RAND())^(1/Alpha)))))</f>
        <v>0</v>
      </c>
      <c r="D85" s="19">
        <f ca="1">IF(RAND()&lt;P_Zero,0,IF(RAND()&lt;CondReturn,_xlfn.LOGNORM.INV(RAND(),MV2,Sigma1),IF(RAND()&lt;CondGood,_xlfn.LOGNORM.INV(RAND(),MV3,Sigma2),MIN(MaxMultiple,Xm/(1-RAND())^(1/Alpha)))))</f>
        <v>0</v>
      </c>
      <c r="E85" s="19">
        <f ca="1">IF(RAND()&lt;P_Zero,0,IF(RAND()&lt;CondReturn,_xlfn.LOGNORM.INV(RAND(),MV2,Sigma1),IF(RAND()&lt;CondGood,_xlfn.LOGNORM.INV(RAND(),MV3,Sigma2),MIN(MaxMultiple,Xm/(1-RAND())^(1/Alpha)))))</f>
        <v>1.9264104806726134</v>
      </c>
      <c r="F85" s="19">
        <f ca="1">IF(RAND()&lt;P_Zero,0,IF(RAND()&lt;CondReturn,_xlfn.LOGNORM.INV(RAND(),MV2,Sigma1),IF(RAND()&lt;CondGood,_xlfn.LOGNORM.INV(RAND(),MV3,Sigma2),MIN(MaxMultiple,Xm/(1-RAND())^(1/Alpha)))))</f>
        <v>0</v>
      </c>
      <c r="G85" s="19">
        <f ca="1">IF(RAND()&lt;P_Zero,0,IF(RAND()&lt;CondReturn,_xlfn.LOGNORM.INV(RAND(),MV2,Sigma1),IF(RAND()&lt;CondGood,_xlfn.LOGNORM.INV(RAND(),MV3,Sigma2),MIN(MaxMultiple,Xm/(1-RAND())^(1/Alpha)))))</f>
        <v>0</v>
      </c>
      <c r="H85" s="19">
        <f ca="1">IF(RAND()&lt;P_Zero,0,IF(RAND()&lt;CondReturn,_xlfn.LOGNORM.INV(RAND(),MV2,Sigma1),IF(RAND()&lt;CondGood,_xlfn.LOGNORM.INV(RAND(),MV3,Sigma2),MIN(MaxMultiple,Xm/(1-RAND())^(1/Alpha)))))</f>
        <v>26.307929832281832</v>
      </c>
      <c r="I85" s="19">
        <f ca="1">IF(RAND()&lt;P_Zero,0,IF(RAND()&lt;CondReturn,_xlfn.LOGNORM.INV(RAND(),MV2,Sigma1),IF(RAND()&lt;CondGood,_xlfn.LOGNORM.INV(RAND(),MV3,Sigma2),MIN(MaxMultiple,Xm/(1-RAND())^(1/Alpha)))))</f>
        <v>51.062478945658121</v>
      </c>
      <c r="J85" s="19">
        <f ca="1">IF(RAND()&lt;P_Zero,0,IF(RAND()&lt;CondReturn,_xlfn.LOGNORM.INV(RAND(),MV2,Sigma1),IF(RAND()&lt;CondGood,_xlfn.LOGNORM.INV(RAND(),MV3,Sigma2),MIN(MaxMultiple,Xm/(1-RAND())^(1/Alpha)))))</f>
        <v>0</v>
      </c>
      <c r="K85" s="19">
        <f ca="1">IF(RAND()&lt;P_Zero,0,IF(RAND()&lt;CondReturn,_xlfn.LOGNORM.INV(RAND(),MV2,Sigma1),IF(RAND()&lt;CondGood,_xlfn.LOGNORM.INV(RAND(),MV3,Sigma2),MIN(MaxMultiple,Xm/(1-RAND())^(1/Alpha)))))</f>
        <v>0</v>
      </c>
      <c r="L85" s="19">
        <f ca="1">IF(RAND()&lt;P_Zero,0,IF(RAND()&lt;CondReturn,_xlfn.LOGNORM.INV(RAND(),MV2,Sigma1),IF(RAND()&lt;CondGood,_xlfn.LOGNORM.INV(RAND(),MV3,Sigma2),MIN(MaxMultiple,Xm/(1-RAND())^(1/Alpha)))))</f>
        <v>12.514453007837856</v>
      </c>
      <c r="M85" s="19">
        <f ca="1">IF(RAND()&lt;P_Zero,0,IF(RAND()&lt;CondReturn,_xlfn.LOGNORM.INV(RAND(),MV2,Sigma1),IF(RAND()&lt;CondGood,_xlfn.LOGNORM.INV(RAND(),MV3,Sigma2),MIN(MaxMultiple,Xm/(1-RAND())^(1/Alpha)))))</f>
        <v>1.1304453170005124</v>
      </c>
      <c r="N85" s="19">
        <f ca="1">IF(RAND()&lt;P_Zero,0,IF(RAND()&lt;CondReturn,_xlfn.LOGNORM.INV(RAND(),MV2,Sigma1),IF(RAND()&lt;CondGood,_xlfn.LOGNORM.INV(RAND(),MV3,Sigma2),MIN(MaxMultiple,Xm/(1-RAND())^(1/Alpha)))))</f>
        <v>22.413994930810819</v>
      </c>
      <c r="O85" s="19">
        <f ca="1">IF(RAND()&lt;P_Zero,0,IF(RAND()&lt;CondReturn,_xlfn.LOGNORM.INV(RAND(),MV2,Sigma1),IF(RAND()&lt;CondGood,_xlfn.LOGNORM.INV(RAND(),MV3,Sigma2),MIN(MaxMultiple,Xm/(1-RAND())^(1/Alpha)))))</f>
        <v>0</v>
      </c>
      <c r="P85" s="19">
        <f ca="1">IF(RAND()&lt;P_Zero,0,IF(RAND()&lt;CondReturn,_xlfn.LOGNORM.INV(RAND(),MV2,Sigma1),IF(RAND()&lt;CondGood,_xlfn.LOGNORM.INV(RAND(),MV3,Sigma2),MIN(MaxMultiple,Xm/(1-RAND())^(1/Alpha)))))</f>
        <v>0.89783739296865861</v>
      </c>
      <c r="Q85" s="19">
        <f ca="1">IF(RAND()&lt;P_Zero,0,IF(RAND()&lt;CondReturn,_xlfn.LOGNORM.INV(RAND(),MV2,Sigma1),IF(RAND()&lt;CondGood,_xlfn.LOGNORM.INV(RAND(),MV3,Sigma2),MIN(MaxMultiple,Xm/(1-RAND())^(1/Alpha)))))</f>
        <v>2.1384728023849573</v>
      </c>
      <c r="R85" s="19">
        <f ca="1">IF(RAND()&lt;P_Zero,0,IF(RAND()&lt;CondReturn,_xlfn.LOGNORM.INV(RAND(),MV2,Sigma1),IF(RAND()&lt;CondGood,_xlfn.LOGNORM.INV(RAND(),MV3,Sigma2),MIN(MaxMultiple,Xm/(1-RAND())^(1/Alpha)))))</f>
        <v>0</v>
      </c>
      <c r="S85" s="19">
        <f ca="1">IF(RAND()&lt;P_Zero,0,IF(RAND()&lt;CondReturn,_xlfn.LOGNORM.INV(RAND(),MV2,Sigma1),IF(RAND()&lt;CondGood,_xlfn.LOGNORM.INV(RAND(),MV3,Sigma2),MIN(MaxMultiple,Xm/(1-RAND())^(1/Alpha)))))</f>
        <v>49.758971921712927</v>
      </c>
      <c r="T85" s="19">
        <f ca="1">IF(RAND()&lt;P_Zero,0,IF(RAND()&lt;CondReturn,_xlfn.LOGNORM.INV(RAND(),MV2,Sigma1),IF(RAND()&lt;CondGood,_xlfn.LOGNORM.INV(RAND(),MV3,Sigma2),MIN(MaxMultiple,Xm/(1-RAND())^(1/Alpha)))))</f>
        <v>0.71813210597903665</v>
      </c>
      <c r="U85" s="19">
        <f ca="1">IF(RAND()&lt;P_Zero,0,IF(RAND()&lt;CondReturn,_xlfn.LOGNORM.INV(RAND(),MV2,Sigma1),IF(RAND()&lt;CondGood,_xlfn.LOGNORM.INV(RAND(),MV3,Sigma2),MIN(MaxMultiple,Xm/(1-RAND())^(1/Alpha)))))</f>
        <v>1.6901072231306802</v>
      </c>
      <c r="V85" s="19">
        <f ca="1">IF(RAND()&lt;P_Zero,0,IF(RAND()&lt;CondReturn,_xlfn.LOGNORM.INV(RAND(),MV2,Sigma1),IF(RAND()&lt;CondGood,_xlfn.LOGNORM.INV(RAND(),MV3,Sigma2),MIN(MaxMultiple,Xm/(1-RAND())^(1/Alpha)))))</f>
        <v>0.64850857262415185</v>
      </c>
      <c r="W85" s="19">
        <f ca="1">IF(RAND()&lt;P_Zero,0,IF(RAND()&lt;CondReturn,_xlfn.LOGNORM.INV(RAND(),MV2,Sigma1),IF(RAND()&lt;CondGood,_xlfn.LOGNORM.INV(RAND(),MV3,Sigma2),MIN(MaxMultiple,Xm/(1-RAND())^(1/Alpha)))))</f>
        <v>0</v>
      </c>
      <c r="X85" s="19">
        <f ca="1">IF(RAND()&lt;P_Zero,0,IF(RAND()&lt;CondReturn,_xlfn.LOGNORM.INV(RAND(),MV2,Sigma1),IF(RAND()&lt;CondGood,_xlfn.LOGNORM.INV(RAND(),MV3,Sigma2),MIN(MaxMultiple,Xm/(1-RAND())^(1/Alpha)))))</f>
        <v>0</v>
      </c>
      <c r="Y85" s="19">
        <f ca="1">IF(RAND()&lt;P_Zero,0,IF(RAND()&lt;CondReturn,_xlfn.LOGNORM.INV(RAND(),MV2,Sigma1),IF(RAND()&lt;CondGood,_xlfn.LOGNORM.INV(RAND(),MV3,Sigma2),MIN(MaxMultiple,Xm/(1-RAND())^(1/Alpha)))))</f>
        <v>0</v>
      </c>
      <c r="Z85" s="19">
        <f ca="1">IF(RAND()&lt;P_Zero,0,IF(RAND()&lt;CondReturn,_xlfn.LOGNORM.INV(RAND(),MV2,Sigma1),IF(RAND()&lt;CondGood,_xlfn.LOGNORM.INV(RAND(),MV3,Sigma2),MIN(MaxMultiple,Xm/(1-RAND())^(1/Alpha)))))</f>
        <v>0.67352956136260778</v>
      </c>
      <c r="AA85" s="19">
        <f ca="1">IF(RAND()&lt;P_Zero,0,IF(RAND()&lt;CondReturn,_xlfn.LOGNORM.INV(RAND(),MV2,Sigma1),IF(RAND()&lt;CondGood,_xlfn.LOGNORM.INV(RAND(),MV3,Sigma2),MIN(MaxMultiple,Xm/(1-RAND())^(1/Alpha)))))</f>
        <v>0.48006611808254895</v>
      </c>
      <c r="AB85" s="19">
        <f t="shared" ca="1" si="8"/>
        <v>6.8944535285002919</v>
      </c>
      <c r="AC85" s="14">
        <f t="shared" ca="1" si="9"/>
        <v>330933769.36801404</v>
      </c>
      <c r="AD85" s="14">
        <f t="shared" ca="1" si="10"/>
        <v>282933769.36801404</v>
      </c>
      <c r="AE85" s="14">
        <f t="shared" si="11"/>
        <v>55628399.869093813</v>
      </c>
      <c r="AF85" s="14">
        <f t="shared" ca="1" si="12"/>
        <v>227305369.49892023</v>
      </c>
      <c r="AG85" s="14">
        <f t="shared" ca="1" si="13"/>
        <v>45461073.899784051</v>
      </c>
      <c r="AH85" s="14">
        <f t="shared" ca="1" si="14"/>
        <v>285472695.46823001</v>
      </c>
      <c r="AI85" s="19">
        <f t="shared" ca="1" si="15"/>
        <v>4.7578782578038332</v>
      </c>
    </row>
    <row r="86" spans="2:35" x14ac:dyDescent="0.2">
      <c r="B86" s="1">
        <v>81</v>
      </c>
      <c r="C86" s="19">
        <f ca="1">IF(RAND()&lt;P_Zero,0,IF(RAND()&lt;CondReturn,_xlfn.LOGNORM.INV(RAND(),MV2,Sigma1),IF(RAND()&lt;CondGood,_xlfn.LOGNORM.INV(RAND(),MV3,Sigma2),MIN(MaxMultiple,Xm/(1-RAND())^(1/Alpha)))))</f>
        <v>0.83913873175382203</v>
      </c>
      <c r="D86" s="19">
        <f ca="1">IF(RAND()&lt;P_Zero,0,IF(RAND()&lt;CondReturn,_xlfn.LOGNORM.INV(RAND(),MV2,Sigma1),IF(RAND()&lt;CondGood,_xlfn.LOGNORM.INV(RAND(),MV3,Sigma2),MIN(MaxMultiple,Xm/(1-RAND())^(1/Alpha)))))</f>
        <v>15.169856137882785</v>
      </c>
      <c r="E86" s="19">
        <f ca="1">IF(RAND()&lt;P_Zero,0,IF(RAND()&lt;CondReturn,_xlfn.LOGNORM.INV(RAND(),MV2,Sigma1),IF(RAND()&lt;CondGood,_xlfn.LOGNORM.INV(RAND(),MV3,Sigma2),MIN(MaxMultiple,Xm/(1-RAND())^(1/Alpha)))))</f>
        <v>0</v>
      </c>
      <c r="F86" s="19">
        <f ca="1">IF(RAND()&lt;P_Zero,0,IF(RAND()&lt;CondReturn,_xlfn.LOGNORM.INV(RAND(),MV2,Sigma1),IF(RAND()&lt;CondGood,_xlfn.LOGNORM.INV(RAND(),MV3,Sigma2),MIN(MaxMultiple,Xm/(1-RAND())^(1/Alpha)))))</f>
        <v>1.8260926015406527</v>
      </c>
      <c r="G86" s="19">
        <f ca="1">IF(RAND()&lt;P_Zero,0,IF(RAND()&lt;CondReturn,_xlfn.LOGNORM.INV(RAND(),MV2,Sigma1),IF(RAND()&lt;CondGood,_xlfn.LOGNORM.INV(RAND(),MV3,Sigma2),MIN(MaxMultiple,Xm/(1-RAND())^(1/Alpha)))))</f>
        <v>0.8881797687394053</v>
      </c>
      <c r="H86" s="19">
        <f ca="1">IF(RAND()&lt;P_Zero,0,IF(RAND()&lt;CondReturn,_xlfn.LOGNORM.INV(RAND(),MV2,Sigma1),IF(RAND()&lt;CondGood,_xlfn.LOGNORM.INV(RAND(),MV3,Sigma2),MIN(MaxMultiple,Xm/(1-RAND())^(1/Alpha)))))</f>
        <v>0.51982774102345308</v>
      </c>
      <c r="I86" s="19">
        <f ca="1">IF(RAND()&lt;P_Zero,0,IF(RAND()&lt;CondReturn,_xlfn.LOGNORM.INV(RAND(),MV2,Sigma1),IF(RAND()&lt;CondGood,_xlfn.LOGNORM.INV(RAND(),MV3,Sigma2),MIN(MaxMultiple,Xm/(1-RAND())^(1/Alpha)))))</f>
        <v>0.81669450807406241</v>
      </c>
      <c r="J86" s="19">
        <f ca="1">IF(RAND()&lt;P_Zero,0,IF(RAND()&lt;CondReturn,_xlfn.LOGNORM.INV(RAND(),MV2,Sigma1),IF(RAND()&lt;CondGood,_xlfn.LOGNORM.INV(RAND(),MV3,Sigma2),MIN(MaxMultiple,Xm/(1-RAND())^(1/Alpha)))))</f>
        <v>1.7092127643806425</v>
      </c>
      <c r="K86" s="19">
        <f ca="1">IF(RAND()&lt;P_Zero,0,IF(RAND()&lt;CondReturn,_xlfn.LOGNORM.INV(RAND(),MV2,Sigma1),IF(RAND()&lt;CondGood,_xlfn.LOGNORM.INV(RAND(),MV3,Sigma2),MIN(MaxMultiple,Xm/(1-RAND())^(1/Alpha)))))</f>
        <v>0</v>
      </c>
      <c r="L86" s="19">
        <f ca="1">IF(RAND()&lt;P_Zero,0,IF(RAND()&lt;CondReturn,_xlfn.LOGNORM.INV(RAND(),MV2,Sigma1),IF(RAND()&lt;CondGood,_xlfn.LOGNORM.INV(RAND(),MV3,Sigma2),MIN(MaxMultiple,Xm/(1-RAND())^(1/Alpha)))))</f>
        <v>11.365415826208995</v>
      </c>
      <c r="M86" s="19">
        <f ca="1">IF(RAND()&lt;P_Zero,0,IF(RAND()&lt;CondReturn,_xlfn.LOGNORM.INV(RAND(),MV2,Sigma1),IF(RAND()&lt;CondGood,_xlfn.LOGNORM.INV(RAND(),MV3,Sigma2),MIN(MaxMultiple,Xm/(1-RAND())^(1/Alpha)))))</f>
        <v>0.87307074702605514</v>
      </c>
      <c r="N86" s="19">
        <f ca="1">IF(RAND()&lt;P_Zero,0,IF(RAND()&lt;CondReturn,_xlfn.LOGNORM.INV(RAND(),MV2,Sigma1),IF(RAND()&lt;CondGood,_xlfn.LOGNORM.INV(RAND(),MV3,Sigma2),MIN(MaxMultiple,Xm/(1-RAND())^(1/Alpha)))))</f>
        <v>0</v>
      </c>
      <c r="O86" s="19">
        <f ca="1">IF(RAND()&lt;P_Zero,0,IF(RAND()&lt;CondReturn,_xlfn.LOGNORM.INV(RAND(),MV2,Sigma1),IF(RAND()&lt;CondGood,_xlfn.LOGNORM.INV(RAND(),MV3,Sigma2),MIN(MaxMultiple,Xm/(1-RAND())^(1/Alpha)))))</f>
        <v>1.5549204813555193</v>
      </c>
      <c r="P86" s="19">
        <f ca="1">IF(RAND()&lt;P_Zero,0,IF(RAND()&lt;CondReturn,_xlfn.LOGNORM.INV(RAND(),MV2,Sigma1),IF(RAND()&lt;CondGood,_xlfn.LOGNORM.INV(RAND(),MV3,Sigma2),MIN(MaxMultiple,Xm/(1-RAND())^(1/Alpha)))))</f>
        <v>0</v>
      </c>
      <c r="Q86" s="19">
        <f ca="1">IF(RAND()&lt;P_Zero,0,IF(RAND()&lt;CondReturn,_xlfn.LOGNORM.INV(RAND(),MV2,Sigma1),IF(RAND()&lt;CondGood,_xlfn.LOGNORM.INV(RAND(),MV3,Sigma2),MIN(MaxMultiple,Xm/(1-RAND())^(1/Alpha)))))</f>
        <v>17.612937812447903</v>
      </c>
      <c r="R86" s="19">
        <f ca="1">IF(RAND()&lt;P_Zero,0,IF(RAND()&lt;CondReturn,_xlfn.LOGNORM.INV(RAND(),MV2,Sigma1),IF(RAND()&lt;CondGood,_xlfn.LOGNORM.INV(RAND(),MV3,Sigma2),MIN(MaxMultiple,Xm/(1-RAND())^(1/Alpha)))))</f>
        <v>1.4240775466622044</v>
      </c>
      <c r="S86" s="19">
        <f ca="1">IF(RAND()&lt;P_Zero,0,IF(RAND()&lt;CondReturn,_xlfn.LOGNORM.INV(RAND(),MV2,Sigma1),IF(RAND()&lt;CondGood,_xlfn.LOGNORM.INV(RAND(),MV3,Sigma2),MIN(MaxMultiple,Xm/(1-RAND())^(1/Alpha)))))</f>
        <v>0</v>
      </c>
      <c r="T86" s="19">
        <f ca="1">IF(RAND()&lt;P_Zero,0,IF(RAND()&lt;CondReturn,_xlfn.LOGNORM.INV(RAND(),MV2,Sigma1),IF(RAND()&lt;CondGood,_xlfn.LOGNORM.INV(RAND(),MV3,Sigma2),MIN(MaxMultiple,Xm/(1-RAND())^(1/Alpha)))))</f>
        <v>0</v>
      </c>
      <c r="U86" s="19">
        <f ca="1">IF(RAND()&lt;P_Zero,0,IF(RAND()&lt;CondReturn,_xlfn.LOGNORM.INV(RAND(),MV2,Sigma1),IF(RAND()&lt;CondGood,_xlfn.LOGNORM.INV(RAND(),MV3,Sigma2),MIN(MaxMultiple,Xm/(1-RAND())^(1/Alpha)))))</f>
        <v>1.080728639812921</v>
      </c>
      <c r="V86" s="19">
        <f ca="1">IF(RAND()&lt;P_Zero,0,IF(RAND()&lt;CondReturn,_xlfn.LOGNORM.INV(RAND(),MV2,Sigma1),IF(RAND()&lt;CondGood,_xlfn.LOGNORM.INV(RAND(),MV3,Sigma2),MIN(MaxMultiple,Xm/(1-RAND())^(1/Alpha)))))</f>
        <v>0</v>
      </c>
      <c r="W86" s="19">
        <f ca="1">IF(RAND()&lt;P_Zero,0,IF(RAND()&lt;CondReturn,_xlfn.LOGNORM.INV(RAND(),MV2,Sigma1),IF(RAND()&lt;CondGood,_xlfn.LOGNORM.INV(RAND(),MV3,Sigma2),MIN(MaxMultiple,Xm/(1-RAND())^(1/Alpha)))))</f>
        <v>32.759307269489042</v>
      </c>
      <c r="X86" s="19">
        <f ca="1">IF(RAND()&lt;P_Zero,0,IF(RAND()&lt;CondReturn,_xlfn.LOGNORM.INV(RAND(),MV2,Sigma1),IF(RAND()&lt;CondGood,_xlfn.LOGNORM.INV(RAND(),MV3,Sigma2),MIN(MaxMultiple,Xm/(1-RAND())^(1/Alpha)))))</f>
        <v>0</v>
      </c>
      <c r="Y86" s="19">
        <f ca="1">IF(RAND()&lt;P_Zero,0,IF(RAND()&lt;CondReturn,_xlfn.LOGNORM.INV(RAND(),MV2,Sigma1),IF(RAND()&lt;CondGood,_xlfn.LOGNORM.INV(RAND(),MV3,Sigma2),MIN(MaxMultiple,Xm/(1-RAND())^(1/Alpha)))))</f>
        <v>3.1505433620104024</v>
      </c>
      <c r="Z86" s="19">
        <f ca="1">IF(RAND()&lt;P_Zero,0,IF(RAND()&lt;CondReturn,_xlfn.LOGNORM.INV(RAND(),MV2,Sigma1),IF(RAND()&lt;CondGood,_xlfn.LOGNORM.INV(RAND(),MV3,Sigma2),MIN(MaxMultiple,Xm/(1-RAND())^(1/Alpha)))))</f>
        <v>1.2483423036512498</v>
      </c>
      <c r="AA86" s="19">
        <f ca="1">IF(RAND()&lt;P_Zero,0,IF(RAND()&lt;CondReturn,_xlfn.LOGNORM.INV(RAND(),MV2,Sigma1),IF(RAND()&lt;CondGood,_xlfn.LOGNORM.INV(RAND(),MV3,Sigma2),MIN(MaxMultiple,Xm/(1-RAND())^(1/Alpha)))))</f>
        <v>1.061305972235032</v>
      </c>
      <c r="AB86" s="19">
        <f t="shared" ca="1" si="8"/>
        <v>3.7559860885717655</v>
      </c>
      <c r="AC86" s="14">
        <f t="shared" ca="1" si="9"/>
        <v>180287332.25144476</v>
      </c>
      <c r="AD86" s="14">
        <f t="shared" ca="1" si="10"/>
        <v>132287332.25144476</v>
      </c>
      <c r="AE86" s="14">
        <f t="shared" si="11"/>
        <v>55628399.869093813</v>
      </c>
      <c r="AF86" s="14">
        <f t="shared" ca="1" si="12"/>
        <v>76658932.382350951</v>
      </c>
      <c r="AG86" s="14">
        <f t="shared" ca="1" si="13"/>
        <v>15331786.476470191</v>
      </c>
      <c r="AH86" s="14">
        <f t="shared" ca="1" si="14"/>
        <v>164955545.77497455</v>
      </c>
      <c r="AI86" s="19">
        <f t="shared" ca="1" si="15"/>
        <v>2.7492590962495758</v>
      </c>
    </row>
    <row r="87" spans="2:35" x14ac:dyDescent="0.2">
      <c r="B87" s="1">
        <v>82</v>
      </c>
      <c r="C87" s="19">
        <f ca="1">IF(RAND()&lt;P_Zero,0,IF(RAND()&lt;CondReturn,_xlfn.LOGNORM.INV(RAND(),MV2,Sigma1),IF(RAND()&lt;CondGood,_xlfn.LOGNORM.INV(RAND(),MV3,Sigma2),MIN(MaxMultiple,Xm/(1-RAND())^(1/Alpha)))))</f>
        <v>0</v>
      </c>
      <c r="D87" s="19">
        <f ca="1">IF(RAND()&lt;P_Zero,0,IF(RAND()&lt;CondReturn,_xlfn.LOGNORM.INV(RAND(),MV2,Sigma1),IF(RAND()&lt;CondGood,_xlfn.LOGNORM.INV(RAND(),MV3,Sigma2),MIN(MaxMultiple,Xm/(1-RAND())^(1/Alpha)))))</f>
        <v>0</v>
      </c>
      <c r="E87" s="19">
        <f ca="1">IF(RAND()&lt;P_Zero,0,IF(RAND()&lt;CondReturn,_xlfn.LOGNORM.INV(RAND(),MV2,Sigma1),IF(RAND()&lt;CondGood,_xlfn.LOGNORM.INV(RAND(),MV3,Sigma2),MIN(MaxMultiple,Xm/(1-RAND())^(1/Alpha)))))</f>
        <v>1.4173738526234589</v>
      </c>
      <c r="F87" s="19">
        <f ca="1">IF(RAND()&lt;P_Zero,0,IF(RAND()&lt;CondReturn,_xlfn.LOGNORM.INV(RAND(),MV2,Sigma1),IF(RAND()&lt;CondGood,_xlfn.LOGNORM.INV(RAND(),MV3,Sigma2),MIN(MaxMultiple,Xm/(1-RAND())^(1/Alpha)))))</f>
        <v>0.7134610447310259</v>
      </c>
      <c r="G87" s="19">
        <f ca="1">IF(RAND()&lt;P_Zero,0,IF(RAND()&lt;CondReturn,_xlfn.LOGNORM.INV(RAND(),MV2,Sigma1),IF(RAND()&lt;CondGood,_xlfn.LOGNORM.INV(RAND(),MV3,Sigma2),MIN(MaxMultiple,Xm/(1-RAND())^(1/Alpha)))))</f>
        <v>0</v>
      </c>
      <c r="H87" s="19">
        <f ca="1">IF(RAND()&lt;P_Zero,0,IF(RAND()&lt;CondReturn,_xlfn.LOGNORM.INV(RAND(),MV2,Sigma1),IF(RAND()&lt;CondGood,_xlfn.LOGNORM.INV(RAND(),MV3,Sigma2),MIN(MaxMultiple,Xm/(1-RAND())^(1/Alpha)))))</f>
        <v>0</v>
      </c>
      <c r="I87" s="19">
        <f ca="1">IF(RAND()&lt;P_Zero,0,IF(RAND()&lt;CondReturn,_xlfn.LOGNORM.INV(RAND(),MV2,Sigma1),IF(RAND()&lt;CondGood,_xlfn.LOGNORM.INV(RAND(),MV3,Sigma2),MIN(MaxMultiple,Xm/(1-RAND())^(1/Alpha)))))</f>
        <v>0.98957007859574009</v>
      </c>
      <c r="J87" s="19">
        <f ca="1">IF(RAND()&lt;P_Zero,0,IF(RAND()&lt;CondReturn,_xlfn.LOGNORM.INV(RAND(),MV2,Sigma1),IF(RAND()&lt;CondGood,_xlfn.LOGNORM.INV(RAND(),MV3,Sigma2),MIN(MaxMultiple,Xm/(1-RAND())^(1/Alpha)))))</f>
        <v>0.55950110700697686</v>
      </c>
      <c r="K87" s="19">
        <f ca="1">IF(RAND()&lt;P_Zero,0,IF(RAND()&lt;CondReturn,_xlfn.LOGNORM.INV(RAND(),MV2,Sigma1),IF(RAND()&lt;CondGood,_xlfn.LOGNORM.INV(RAND(),MV3,Sigma2),MIN(MaxMultiple,Xm/(1-RAND())^(1/Alpha)))))</f>
        <v>0.66622842994801701</v>
      </c>
      <c r="L87" s="19">
        <f ca="1">IF(RAND()&lt;P_Zero,0,IF(RAND()&lt;CondReturn,_xlfn.LOGNORM.INV(RAND(),MV2,Sigma1),IF(RAND()&lt;CondGood,_xlfn.LOGNORM.INV(RAND(),MV3,Sigma2),MIN(MaxMultiple,Xm/(1-RAND())^(1/Alpha)))))</f>
        <v>0.67735874947219543</v>
      </c>
      <c r="M87" s="19">
        <f ca="1">IF(RAND()&lt;P_Zero,0,IF(RAND()&lt;CondReturn,_xlfn.LOGNORM.INV(RAND(),MV2,Sigma1),IF(RAND()&lt;CondGood,_xlfn.LOGNORM.INV(RAND(),MV3,Sigma2),MIN(MaxMultiple,Xm/(1-RAND())^(1/Alpha)))))</f>
        <v>0.99354917574351342</v>
      </c>
      <c r="N87" s="19">
        <f ca="1">IF(RAND()&lt;P_Zero,0,IF(RAND()&lt;CondReturn,_xlfn.LOGNORM.INV(RAND(),MV2,Sigma1),IF(RAND()&lt;CondGood,_xlfn.LOGNORM.INV(RAND(),MV3,Sigma2),MIN(MaxMultiple,Xm/(1-RAND())^(1/Alpha)))))</f>
        <v>0</v>
      </c>
      <c r="O87" s="19">
        <f ca="1">IF(RAND()&lt;P_Zero,0,IF(RAND()&lt;CondReturn,_xlfn.LOGNORM.INV(RAND(),MV2,Sigma1),IF(RAND()&lt;CondGood,_xlfn.LOGNORM.INV(RAND(),MV3,Sigma2),MIN(MaxMultiple,Xm/(1-RAND())^(1/Alpha)))))</f>
        <v>1.1726177085536289</v>
      </c>
      <c r="P87" s="19">
        <f ca="1">IF(RAND()&lt;P_Zero,0,IF(RAND()&lt;CondReturn,_xlfn.LOGNORM.INV(RAND(),MV2,Sigma1),IF(RAND()&lt;CondGood,_xlfn.LOGNORM.INV(RAND(),MV3,Sigma2),MIN(MaxMultiple,Xm/(1-RAND())^(1/Alpha)))))</f>
        <v>0</v>
      </c>
      <c r="Q87" s="19">
        <f ca="1">IF(RAND()&lt;P_Zero,0,IF(RAND()&lt;CondReturn,_xlfn.LOGNORM.INV(RAND(),MV2,Sigma1),IF(RAND()&lt;CondGood,_xlfn.LOGNORM.INV(RAND(),MV3,Sigma2),MIN(MaxMultiple,Xm/(1-RAND())^(1/Alpha)))))</f>
        <v>61.209858064204461</v>
      </c>
      <c r="R87" s="19">
        <f ca="1">IF(RAND()&lt;P_Zero,0,IF(RAND()&lt;CondReturn,_xlfn.LOGNORM.INV(RAND(),MV2,Sigma1),IF(RAND()&lt;CondGood,_xlfn.LOGNORM.INV(RAND(),MV3,Sigma2),MIN(MaxMultiple,Xm/(1-RAND())^(1/Alpha)))))</f>
        <v>75.762042718353584</v>
      </c>
      <c r="S87" s="19">
        <f ca="1">IF(RAND()&lt;P_Zero,0,IF(RAND()&lt;CondReturn,_xlfn.LOGNORM.INV(RAND(),MV2,Sigma1),IF(RAND()&lt;CondGood,_xlfn.LOGNORM.INV(RAND(),MV3,Sigma2),MIN(MaxMultiple,Xm/(1-RAND())^(1/Alpha)))))</f>
        <v>1.723375345905215</v>
      </c>
      <c r="T87" s="19">
        <f ca="1">IF(RAND()&lt;P_Zero,0,IF(RAND()&lt;CondReturn,_xlfn.LOGNORM.INV(RAND(),MV2,Sigma1),IF(RAND()&lt;CondGood,_xlfn.LOGNORM.INV(RAND(),MV3,Sigma2),MIN(MaxMultiple,Xm/(1-RAND())^(1/Alpha)))))</f>
        <v>1.0984296641991484</v>
      </c>
      <c r="U87" s="19">
        <f ca="1">IF(RAND()&lt;P_Zero,0,IF(RAND()&lt;CondReturn,_xlfn.LOGNORM.INV(RAND(),MV2,Sigma1),IF(RAND()&lt;CondGood,_xlfn.LOGNORM.INV(RAND(),MV3,Sigma2),MIN(MaxMultiple,Xm/(1-RAND())^(1/Alpha)))))</f>
        <v>0</v>
      </c>
      <c r="V87" s="19">
        <f ca="1">IF(RAND()&lt;P_Zero,0,IF(RAND()&lt;CondReturn,_xlfn.LOGNORM.INV(RAND(),MV2,Sigma1),IF(RAND()&lt;CondGood,_xlfn.LOGNORM.INV(RAND(),MV3,Sigma2),MIN(MaxMultiple,Xm/(1-RAND())^(1/Alpha)))))</f>
        <v>0</v>
      </c>
      <c r="W87" s="19">
        <f ca="1">IF(RAND()&lt;P_Zero,0,IF(RAND()&lt;CondReturn,_xlfn.LOGNORM.INV(RAND(),MV2,Sigma1),IF(RAND()&lt;CondGood,_xlfn.LOGNORM.INV(RAND(),MV3,Sigma2),MIN(MaxMultiple,Xm/(1-RAND())^(1/Alpha)))))</f>
        <v>17.213479670216397</v>
      </c>
      <c r="X87" s="19">
        <f ca="1">IF(RAND()&lt;P_Zero,0,IF(RAND()&lt;CondReturn,_xlfn.LOGNORM.INV(RAND(),MV2,Sigma1),IF(RAND()&lt;CondGood,_xlfn.LOGNORM.INV(RAND(),MV3,Sigma2),MIN(MaxMultiple,Xm/(1-RAND())^(1/Alpha)))))</f>
        <v>0.53588005730964594</v>
      </c>
      <c r="Y87" s="19">
        <f ca="1">IF(RAND()&lt;P_Zero,0,IF(RAND()&lt;CondReturn,_xlfn.LOGNORM.INV(RAND(),MV2,Sigma1),IF(RAND()&lt;CondGood,_xlfn.LOGNORM.INV(RAND(),MV3,Sigma2),MIN(MaxMultiple,Xm/(1-RAND())^(1/Alpha)))))</f>
        <v>0.73736561846991155</v>
      </c>
      <c r="Z87" s="19">
        <f ca="1">IF(RAND()&lt;P_Zero,0,IF(RAND()&lt;CondReturn,_xlfn.LOGNORM.INV(RAND(),MV2,Sigma1),IF(RAND()&lt;CondGood,_xlfn.LOGNORM.INV(RAND(),MV3,Sigma2),MIN(MaxMultiple,Xm/(1-RAND())^(1/Alpha)))))</f>
        <v>0</v>
      </c>
      <c r="AA87" s="19">
        <f ca="1">IF(RAND()&lt;P_Zero,0,IF(RAND()&lt;CondReturn,_xlfn.LOGNORM.INV(RAND(),MV2,Sigma1),IF(RAND()&lt;CondGood,_xlfn.LOGNORM.INV(RAND(),MV3,Sigma2),MIN(MaxMultiple,Xm/(1-RAND())^(1/Alpha)))))</f>
        <v>0.44568748605615077</v>
      </c>
      <c r="AB87" s="19">
        <f t="shared" ca="1" si="8"/>
        <v>6.6366311508555649</v>
      </c>
      <c r="AC87" s="14">
        <f t="shared" ca="1" si="9"/>
        <v>318558295.24106711</v>
      </c>
      <c r="AD87" s="14">
        <f t="shared" ca="1" si="10"/>
        <v>270558295.24106711</v>
      </c>
      <c r="AE87" s="14">
        <f t="shared" si="11"/>
        <v>55628399.869093813</v>
      </c>
      <c r="AF87" s="14">
        <f t="shared" ca="1" si="12"/>
        <v>214929895.37197331</v>
      </c>
      <c r="AG87" s="14">
        <f t="shared" ca="1" si="13"/>
        <v>42985979.074394666</v>
      </c>
      <c r="AH87" s="14">
        <f t="shared" ca="1" si="14"/>
        <v>275572316.16667247</v>
      </c>
      <c r="AI87" s="19">
        <f t="shared" ca="1" si="15"/>
        <v>4.5928719361112078</v>
      </c>
    </row>
    <row r="88" spans="2:35" x14ac:dyDescent="0.2">
      <c r="B88" s="1">
        <v>83</v>
      </c>
      <c r="C88" s="19">
        <f ca="1">IF(RAND()&lt;P_Zero,0,IF(RAND()&lt;CondReturn,_xlfn.LOGNORM.INV(RAND(),MV2,Sigma1),IF(RAND()&lt;CondGood,_xlfn.LOGNORM.INV(RAND(),MV3,Sigma2),MIN(MaxMultiple,Xm/(1-RAND())^(1/Alpha)))))</f>
        <v>0</v>
      </c>
      <c r="D88" s="19">
        <f ca="1">IF(RAND()&lt;P_Zero,0,IF(RAND()&lt;CondReturn,_xlfn.LOGNORM.INV(RAND(),MV2,Sigma1),IF(RAND()&lt;CondGood,_xlfn.LOGNORM.INV(RAND(),MV3,Sigma2),MIN(MaxMultiple,Xm/(1-RAND())^(1/Alpha)))))</f>
        <v>0</v>
      </c>
      <c r="E88" s="19">
        <f ca="1">IF(RAND()&lt;P_Zero,0,IF(RAND()&lt;CondReturn,_xlfn.LOGNORM.INV(RAND(),MV2,Sigma1),IF(RAND()&lt;CondGood,_xlfn.LOGNORM.INV(RAND(),MV3,Sigma2),MIN(MaxMultiple,Xm/(1-RAND())^(1/Alpha)))))</f>
        <v>0</v>
      </c>
      <c r="F88" s="19">
        <f ca="1">IF(RAND()&lt;P_Zero,0,IF(RAND()&lt;CondReturn,_xlfn.LOGNORM.INV(RAND(),MV2,Sigma1),IF(RAND()&lt;CondGood,_xlfn.LOGNORM.INV(RAND(),MV3,Sigma2),MIN(MaxMultiple,Xm/(1-RAND())^(1/Alpha)))))</f>
        <v>0.67887787885384554</v>
      </c>
      <c r="G88" s="19">
        <f ca="1">IF(RAND()&lt;P_Zero,0,IF(RAND()&lt;CondReturn,_xlfn.LOGNORM.INV(RAND(),MV2,Sigma1),IF(RAND()&lt;CondGood,_xlfn.LOGNORM.INV(RAND(),MV3,Sigma2),MIN(MaxMultiple,Xm/(1-RAND())^(1/Alpha)))))</f>
        <v>0</v>
      </c>
      <c r="H88" s="19">
        <f ca="1">IF(RAND()&lt;P_Zero,0,IF(RAND()&lt;CondReturn,_xlfn.LOGNORM.INV(RAND(),MV2,Sigma1),IF(RAND()&lt;CondGood,_xlfn.LOGNORM.INV(RAND(),MV3,Sigma2),MIN(MaxMultiple,Xm/(1-RAND())^(1/Alpha)))))</f>
        <v>1.0743278607704236</v>
      </c>
      <c r="I88" s="19">
        <f ca="1">IF(RAND()&lt;P_Zero,0,IF(RAND()&lt;CondReturn,_xlfn.LOGNORM.INV(RAND(),MV2,Sigma1),IF(RAND()&lt;CondGood,_xlfn.LOGNORM.INV(RAND(),MV3,Sigma2),MIN(MaxMultiple,Xm/(1-RAND())^(1/Alpha)))))</f>
        <v>0</v>
      </c>
      <c r="J88" s="19">
        <f ca="1">IF(RAND()&lt;P_Zero,0,IF(RAND()&lt;CondReturn,_xlfn.LOGNORM.INV(RAND(),MV2,Sigma1),IF(RAND()&lt;CondGood,_xlfn.LOGNORM.INV(RAND(),MV3,Sigma2),MIN(MaxMultiple,Xm/(1-RAND())^(1/Alpha)))))</f>
        <v>0</v>
      </c>
      <c r="K88" s="19">
        <f ca="1">IF(RAND()&lt;P_Zero,0,IF(RAND()&lt;CondReturn,_xlfn.LOGNORM.INV(RAND(),MV2,Sigma1),IF(RAND()&lt;CondGood,_xlfn.LOGNORM.INV(RAND(),MV3,Sigma2),MIN(MaxMultiple,Xm/(1-RAND())^(1/Alpha)))))</f>
        <v>1.0112834035121965</v>
      </c>
      <c r="L88" s="19">
        <f ca="1">IF(RAND()&lt;P_Zero,0,IF(RAND()&lt;CondReturn,_xlfn.LOGNORM.INV(RAND(),MV2,Sigma1),IF(RAND()&lt;CondGood,_xlfn.LOGNORM.INV(RAND(),MV3,Sigma2),MIN(MaxMultiple,Xm/(1-RAND())^(1/Alpha)))))</f>
        <v>11.133144009140048</v>
      </c>
      <c r="M88" s="19">
        <f ca="1">IF(RAND()&lt;P_Zero,0,IF(RAND()&lt;CondReturn,_xlfn.LOGNORM.INV(RAND(),MV2,Sigma1),IF(RAND()&lt;CondGood,_xlfn.LOGNORM.INV(RAND(),MV3,Sigma2),MIN(MaxMultiple,Xm/(1-RAND())^(1/Alpha)))))</f>
        <v>0.63003658731054846</v>
      </c>
      <c r="N88" s="19">
        <f ca="1">IF(RAND()&lt;P_Zero,0,IF(RAND()&lt;CondReturn,_xlfn.LOGNORM.INV(RAND(),MV2,Sigma1),IF(RAND()&lt;CondGood,_xlfn.LOGNORM.INV(RAND(),MV3,Sigma2),MIN(MaxMultiple,Xm/(1-RAND())^(1/Alpha)))))</f>
        <v>1.7420690549492053</v>
      </c>
      <c r="O88" s="19">
        <f ca="1">IF(RAND()&lt;P_Zero,0,IF(RAND()&lt;CondReturn,_xlfn.LOGNORM.INV(RAND(),MV2,Sigma1),IF(RAND()&lt;CondGood,_xlfn.LOGNORM.INV(RAND(),MV3,Sigma2),MIN(MaxMultiple,Xm/(1-RAND())^(1/Alpha)))))</f>
        <v>1.4385427184059114</v>
      </c>
      <c r="P88" s="19">
        <f ca="1">IF(RAND()&lt;P_Zero,0,IF(RAND()&lt;CondReturn,_xlfn.LOGNORM.INV(RAND(),MV2,Sigma1),IF(RAND()&lt;CondGood,_xlfn.LOGNORM.INV(RAND(),MV3,Sigma2),MIN(MaxMultiple,Xm/(1-RAND())^(1/Alpha)))))</f>
        <v>0.87332555710538728</v>
      </c>
      <c r="Q88" s="19">
        <f ca="1">IF(RAND()&lt;P_Zero,0,IF(RAND()&lt;CondReturn,_xlfn.LOGNORM.INV(RAND(),MV2,Sigma1),IF(RAND()&lt;CondGood,_xlfn.LOGNORM.INV(RAND(),MV3,Sigma2),MIN(MaxMultiple,Xm/(1-RAND())^(1/Alpha)))))</f>
        <v>2.8119290272994824</v>
      </c>
      <c r="R88" s="19">
        <f ca="1">IF(RAND()&lt;P_Zero,0,IF(RAND()&lt;CondReturn,_xlfn.LOGNORM.INV(RAND(),MV2,Sigma1),IF(RAND()&lt;CondGood,_xlfn.LOGNORM.INV(RAND(),MV3,Sigma2),MIN(MaxMultiple,Xm/(1-RAND())^(1/Alpha)))))</f>
        <v>0</v>
      </c>
      <c r="S88" s="19">
        <f ca="1">IF(RAND()&lt;P_Zero,0,IF(RAND()&lt;CondReturn,_xlfn.LOGNORM.INV(RAND(),MV2,Sigma1),IF(RAND()&lt;CondGood,_xlfn.LOGNORM.INV(RAND(),MV3,Sigma2),MIN(MaxMultiple,Xm/(1-RAND())^(1/Alpha)))))</f>
        <v>0</v>
      </c>
      <c r="T88" s="19">
        <f ca="1">IF(RAND()&lt;P_Zero,0,IF(RAND()&lt;CondReturn,_xlfn.LOGNORM.INV(RAND(),MV2,Sigma1),IF(RAND()&lt;CondGood,_xlfn.LOGNORM.INV(RAND(),MV3,Sigma2),MIN(MaxMultiple,Xm/(1-RAND())^(1/Alpha)))))</f>
        <v>0</v>
      </c>
      <c r="U88" s="19">
        <f ca="1">IF(RAND()&lt;P_Zero,0,IF(RAND()&lt;CondReturn,_xlfn.LOGNORM.INV(RAND(),MV2,Sigma1),IF(RAND()&lt;CondGood,_xlfn.LOGNORM.INV(RAND(),MV3,Sigma2),MIN(MaxMultiple,Xm/(1-RAND())^(1/Alpha)))))</f>
        <v>0.81077652553393376</v>
      </c>
      <c r="V88" s="19">
        <f ca="1">IF(RAND()&lt;P_Zero,0,IF(RAND()&lt;CondReturn,_xlfn.LOGNORM.INV(RAND(),MV2,Sigma1),IF(RAND()&lt;CondGood,_xlfn.LOGNORM.INV(RAND(),MV3,Sigma2),MIN(MaxMultiple,Xm/(1-RAND())^(1/Alpha)))))</f>
        <v>0</v>
      </c>
      <c r="W88" s="19">
        <f ca="1">IF(RAND()&lt;P_Zero,0,IF(RAND()&lt;CondReturn,_xlfn.LOGNORM.INV(RAND(),MV2,Sigma1),IF(RAND()&lt;CondGood,_xlfn.LOGNORM.INV(RAND(),MV3,Sigma2),MIN(MaxMultiple,Xm/(1-RAND())^(1/Alpha)))))</f>
        <v>201.04783747078591</v>
      </c>
      <c r="X88" s="19">
        <f ca="1">IF(RAND()&lt;P_Zero,0,IF(RAND()&lt;CondReturn,_xlfn.LOGNORM.INV(RAND(),MV2,Sigma1),IF(RAND()&lt;CondGood,_xlfn.LOGNORM.INV(RAND(),MV3,Sigma2),MIN(MaxMultiple,Xm/(1-RAND())^(1/Alpha)))))</f>
        <v>0</v>
      </c>
      <c r="Y88" s="19">
        <f ca="1">IF(RAND()&lt;P_Zero,0,IF(RAND()&lt;CondReturn,_xlfn.LOGNORM.INV(RAND(),MV2,Sigma1),IF(RAND()&lt;CondGood,_xlfn.LOGNORM.INV(RAND(),MV3,Sigma2),MIN(MaxMultiple,Xm/(1-RAND())^(1/Alpha)))))</f>
        <v>1.7226361010528155</v>
      </c>
      <c r="Z88" s="19">
        <f ca="1">IF(RAND()&lt;P_Zero,0,IF(RAND()&lt;CondReturn,_xlfn.LOGNORM.INV(RAND(),MV2,Sigma1),IF(RAND()&lt;CondGood,_xlfn.LOGNORM.INV(RAND(),MV3,Sigma2),MIN(MaxMultiple,Xm/(1-RAND())^(1/Alpha)))))</f>
        <v>0</v>
      </c>
      <c r="AA88" s="19">
        <f ca="1">IF(RAND()&lt;P_Zero,0,IF(RAND()&lt;CondReturn,_xlfn.LOGNORM.INV(RAND(),MV2,Sigma1),IF(RAND()&lt;CondGood,_xlfn.LOGNORM.INV(RAND(),MV3,Sigma2),MIN(MaxMultiple,Xm/(1-RAND())^(1/Alpha)))))</f>
        <v>1.0123086061595064</v>
      </c>
      <c r="AB88" s="19">
        <f t="shared" ca="1" si="8"/>
        <v>9.0394837920351687</v>
      </c>
      <c r="AC88" s="14">
        <f t="shared" ca="1" si="9"/>
        <v>433895222.0176881</v>
      </c>
      <c r="AD88" s="14">
        <f t="shared" ca="1" si="10"/>
        <v>385895222.0176881</v>
      </c>
      <c r="AE88" s="14">
        <f t="shared" si="11"/>
        <v>55628399.869093813</v>
      </c>
      <c r="AF88" s="14">
        <f t="shared" ca="1" si="12"/>
        <v>330266822.14859426</v>
      </c>
      <c r="AG88" s="14">
        <f t="shared" ca="1" si="13"/>
        <v>66053364.429718852</v>
      </c>
      <c r="AH88" s="14">
        <f t="shared" ca="1" si="14"/>
        <v>367841857.58796924</v>
      </c>
      <c r="AI88" s="19">
        <f t="shared" ca="1" si="15"/>
        <v>6.1306976264661541</v>
      </c>
    </row>
    <row r="89" spans="2:35" x14ac:dyDescent="0.2">
      <c r="B89" s="1">
        <v>84</v>
      </c>
      <c r="C89" s="19">
        <f ca="1">IF(RAND()&lt;P_Zero,0,IF(RAND()&lt;CondReturn,_xlfn.LOGNORM.INV(RAND(),MV2,Sigma1),IF(RAND()&lt;CondGood,_xlfn.LOGNORM.INV(RAND(),MV3,Sigma2),MIN(MaxMultiple,Xm/(1-RAND())^(1/Alpha)))))</f>
        <v>0.93139907024323942</v>
      </c>
      <c r="D89" s="19">
        <f ca="1">IF(RAND()&lt;P_Zero,0,IF(RAND()&lt;CondReturn,_xlfn.LOGNORM.INV(RAND(),MV2,Sigma1),IF(RAND()&lt;CondGood,_xlfn.LOGNORM.INV(RAND(),MV3,Sigma2),MIN(MaxMultiple,Xm/(1-RAND())^(1/Alpha)))))</f>
        <v>0</v>
      </c>
      <c r="E89" s="19">
        <f ca="1">IF(RAND()&lt;P_Zero,0,IF(RAND()&lt;CondReturn,_xlfn.LOGNORM.INV(RAND(),MV2,Sigma1),IF(RAND()&lt;CondGood,_xlfn.LOGNORM.INV(RAND(),MV3,Sigma2),MIN(MaxMultiple,Xm/(1-RAND())^(1/Alpha)))))</f>
        <v>0</v>
      </c>
      <c r="F89" s="19">
        <f ca="1">IF(RAND()&lt;P_Zero,0,IF(RAND()&lt;CondReturn,_xlfn.LOGNORM.INV(RAND(),MV2,Sigma1),IF(RAND()&lt;CondGood,_xlfn.LOGNORM.INV(RAND(),MV3,Sigma2),MIN(MaxMultiple,Xm/(1-RAND())^(1/Alpha)))))</f>
        <v>0.54501326359487445</v>
      </c>
      <c r="G89" s="19">
        <f ca="1">IF(RAND()&lt;P_Zero,0,IF(RAND()&lt;CondReturn,_xlfn.LOGNORM.INV(RAND(),MV2,Sigma1),IF(RAND()&lt;CondGood,_xlfn.LOGNORM.INV(RAND(),MV3,Sigma2),MIN(MaxMultiple,Xm/(1-RAND())^(1/Alpha)))))</f>
        <v>1.6612835952677187</v>
      </c>
      <c r="H89" s="19">
        <f ca="1">IF(RAND()&lt;P_Zero,0,IF(RAND()&lt;CondReturn,_xlfn.LOGNORM.INV(RAND(),MV2,Sigma1),IF(RAND()&lt;CondGood,_xlfn.LOGNORM.INV(RAND(),MV3,Sigma2),MIN(MaxMultiple,Xm/(1-RAND())^(1/Alpha)))))</f>
        <v>23.479119286091013</v>
      </c>
      <c r="I89" s="19">
        <f ca="1">IF(RAND()&lt;P_Zero,0,IF(RAND()&lt;CondReturn,_xlfn.LOGNORM.INV(RAND(),MV2,Sigma1),IF(RAND()&lt;CondGood,_xlfn.LOGNORM.INV(RAND(),MV3,Sigma2),MIN(MaxMultiple,Xm/(1-RAND())^(1/Alpha)))))</f>
        <v>0.96761716311694579</v>
      </c>
      <c r="J89" s="19">
        <f ca="1">IF(RAND()&lt;P_Zero,0,IF(RAND()&lt;CondReturn,_xlfn.LOGNORM.INV(RAND(),MV2,Sigma1),IF(RAND()&lt;CondGood,_xlfn.LOGNORM.INV(RAND(),MV3,Sigma2),MIN(MaxMultiple,Xm/(1-RAND())^(1/Alpha)))))</f>
        <v>0</v>
      </c>
      <c r="K89" s="19">
        <f ca="1">IF(RAND()&lt;P_Zero,0,IF(RAND()&lt;CondReturn,_xlfn.LOGNORM.INV(RAND(),MV2,Sigma1),IF(RAND()&lt;CondGood,_xlfn.LOGNORM.INV(RAND(),MV3,Sigma2),MIN(MaxMultiple,Xm/(1-RAND())^(1/Alpha)))))</f>
        <v>0.52119514890440932</v>
      </c>
      <c r="L89" s="19">
        <f ca="1">IF(RAND()&lt;P_Zero,0,IF(RAND()&lt;CondReturn,_xlfn.LOGNORM.INV(RAND(),MV2,Sigma1),IF(RAND()&lt;CondGood,_xlfn.LOGNORM.INV(RAND(),MV3,Sigma2),MIN(MaxMultiple,Xm/(1-RAND())^(1/Alpha)))))</f>
        <v>0.79578064945003402</v>
      </c>
      <c r="M89" s="19">
        <f ca="1">IF(RAND()&lt;P_Zero,0,IF(RAND()&lt;CondReturn,_xlfn.LOGNORM.INV(RAND(),MV2,Sigma1),IF(RAND()&lt;CondGood,_xlfn.LOGNORM.INV(RAND(),MV3,Sigma2),MIN(MaxMultiple,Xm/(1-RAND())^(1/Alpha)))))</f>
        <v>0</v>
      </c>
      <c r="N89" s="19">
        <f ca="1">IF(RAND()&lt;P_Zero,0,IF(RAND()&lt;CondReturn,_xlfn.LOGNORM.INV(RAND(),MV2,Sigma1),IF(RAND()&lt;CondGood,_xlfn.LOGNORM.INV(RAND(),MV3,Sigma2),MIN(MaxMultiple,Xm/(1-RAND())^(1/Alpha)))))</f>
        <v>0</v>
      </c>
      <c r="O89" s="19">
        <f ca="1">IF(RAND()&lt;P_Zero,0,IF(RAND()&lt;CondReturn,_xlfn.LOGNORM.INV(RAND(),MV2,Sigma1),IF(RAND()&lt;CondGood,_xlfn.LOGNORM.INV(RAND(),MV3,Sigma2),MIN(MaxMultiple,Xm/(1-RAND())^(1/Alpha)))))</f>
        <v>1.6148385835661265</v>
      </c>
      <c r="P89" s="19">
        <f ca="1">IF(RAND()&lt;P_Zero,0,IF(RAND()&lt;CondReturn,_xlfn.LOGNORM.INV(RAND(),MV2,Sigma1),IF(RAND()&lt;CondGood,_xlfn.LOGNORM.INV(RAND(),MV3,Sigma2),MIN(MaxMultiple,Xm/(1-RAND())^(1/Alpha)))))</f>
        <v>1.7868752320461387</v>
      </c>
      <c r="Q89" s="19">
        <f ca="1">IF(RAND()&lt;P_Zero,0,IF(RAND()&lt;CondReturn,_xlfn.LOGNORM.INV(RAND(),MV2,Sigma1),IF(RAND()&lt;CondGood,_xlfn.LOGNORM.INV(RAND(),MV3,Sigma2),MIN(MaxMultiple,Xm/(1-RAND())^(1/Alpha)))))</f>
        <v>1.7231202703477464</v>
      </c>
      <c r="R89" s="19">
        <f ca="1">IF(RAND()&lt;P_Zero,0,IF(RAND()&lt;CondReturn,_xlfn.LOGNORM.INV(RAND(),MV2,Sigma1),IF(RAND()&lt;CondGood,_xlfn.LOGNORM.INV(RAND(),MV3,Sigma2),MIN(MaxMultiple,Xm/(1-RAND())^(1/Alpha)))))</f>
        <v>0.96897640599773227</v>
      </c>
      <c r="S89" s="19">
        <f ca="1">IF(RAND()&lt;P_Zero,0,IF(RAND()&lt;CondReturn,_xlfn.LOGNORM.INV(RAND(),MV2,Sigma1),IF(RAND()&lt;CondGood,_xlfn.LOGNORM.INV(RAND(),MV3,Sigma2),MIN(MaxMultiple,Xm/(1-RAND())^(1/Alpha)))))</f>
        <v>1.1193303477738241</v>
      </c>
      <c r="T89" s="19">
        <f ca="1">IF(RAND()&lt;P_Zero,0,IF(RAND()&lt;CondReturn,_xlfn.LOGNORM.INV(RAND(),MV2,Sigma1),IF(RAND()&lt;CondGood,_xlfn.LOGNORM.INV(RAND(),MV3,Sigma2),MIN(MaxMultiple,Xm/(1-RAND())^(1/Alpha)))))</f>
        <v>0.71991347084421031</v>
      </c>
      <c r="U89" s="19">
        <f ca="1">IF(RAND()&lt;P_Zero,0,IF(RAND()&lt;CondReturn,_xlfn.LOGNORM.INV(RAND(),MV2,Sigma1),IF(RAND()&lt;CondGood,_xlfn.LOGNORM.INV(RAND(),MV3,Sigma2),MIN(MaxMultiple,Xm/(1-RAND())^(1/Alpha)))))</f>
        <v>0.54881570856537643</v>
      </c>
      <c r="V89" s="19">
        <f ca="1">IF(RAND()&lt;P_Zero,0,IF(RAND()&lt;CondReturn,_xlfn.LOGNORM.INV(RAND(),MV2,Sigma1),IF(RAND()&lt;CondGood,_xlfn.LOGNORM.INV(RAND(),MV3,Sigma2),MIN(MaxMultiple,Xm/(1-RAND())^(1/Alpha)))))</f>
        <v>0</v>
      </c>
      <c r="W89" s="19">
        <f ca="1">IF(RAND()&lt;P_Zero,0,IF(RAND()&lt;CondReturn,_xlfn.LOGNORM.INV(RAND(),MV2,Sigma1),IF(RAND()&lt;CondGood,_xlfn.LOGNORM.INV(RAND(),MV3,Sigma2),MIN(MaxMultiple,Xm/(1-RAND())^(1/Alpha)))))</f>
        <v>0.65047772410622695</v>
      </c>
      <c r="X89" s="19">
        <f ca="1">IF(RAND()&lt;P_Zero,0,IF(RAND()&lt;CondReturn,_xlfn.LOGNORM.INV(RAND(),MV2,Sigma1),IF(RAND()&lt;CondGood,_xlfn.LOGNORM.INV(RAND(),MV3,Sigma2),MIN(MaxMultiple,Xm/(1-RAND())^(1/Alpha)))))</f>
        <v>1.7379982715839917</v>
      </c>
      <c r="Y89" s="19">
        <f ca="1">IF(RAND()&lt;P_Zero,0,IF(RAND()&lt;CondReturn,_xlfn.LOGNORM.INV(RAND(),MV2,Sigma1),IF(RAND()&lt;CondGood,_xlfn.LOGNORM.INV(RAND(),MV3,Sigma2),MIN(MaxMultiple,Xm/(1-RAND())^(1/Alpha)))))</f>
        <v>0</v>
      </c>
      <c r="Z89" s="19">
        <f ca="1">IF(RAND()&lt;P_Zero,0,IF(RAND()&lt;CondReturn,_xlfn.LOGNORM.INV(RAND(),MV2,Sigma1),IF(RAND()&lt;CondGood,_xlfn.LOGNORM.INV(RAND(),MV3,Sigma2),MIN(MaxMultiple,Xm/(1-RAND())^(1/Alpha)))))</f>
        <v>1.2741812230590368</v>
      </c>
      <c r="AA89" s="19">
        <f ca="1">IF(RAND()&lt;P_Zero,0,IF(RAND()&lt;CondReturn,_xlfn.LOGNORM.INV(RAND(),MV2,Sigma1),IF(RAND()&lt;CondGood,_xlfn.LOGNORM.INV(RAND(),MV3,Sigma2),MIN(MaxMultiple,Xm/(1-RAND())^(1/Alpha)))))</f>
        <v>0.51037480602078722</v>
      </c>
      <c r="AB89" s="19">
        <f t="shared" ca="1" si="8"/>
        <v>1.6622524088231772</v>
      </c>
      <c r="AC89" s="14">
        <f t="shared" ca="1" si="9"/>
        <v>79788115.623512506</v>
      </c>
      <c r="AD89" s="14">
        <f t="shared" ca="1" si="10"/>
        <v>31788115.623512506</v>
      </c>
      <c r="AE89" s="14">
        <f t="shared" si="11"/>
        <v>55628399.869093813</v>
      </c>
      <c r="AF89" s="14">
        <f t="shared" ca="1" si="12"/>
        <v>0</v>
      </c>
      <c r="AG89" s="14">
        <f t="shared" ca="1" si="13"/>
        <v>0</v>
      </c>
      <c r="AH89" s="14">
        <f t="shared" ca="1" si="14"/>
        <v>79788115.623512506</v>
      </c>
      <c r="AI89" s="19">
        <f t="shared" ca="1" si="15"/>
        <v>1.3298019270585417</v>
      </c>
    </row>
    <row r="90" spans="2:35" x14ac:dyDescent="0.2">
      <c r="B90" s="1">
        <v>85</v>
      </c>
      <c r="C90" s="19">
        <f ca="1">IF(RAND()&lt;P_Zero,0,IF(RAND()&lt;CondReturn,_xlfn.LOGNORM.INV(RAND(),MV2,Sigma1),IF(RAND()&lt;CondGood,_xlfn.LOGNORM.INV(RAND(),MV3,Sigma2),MIN(MaxMultiple,Xm/(1-RAND())^(1/Alpha)))))</f>
        <v>0</v>
      </c>
      <c r="D90" s="19">
        <f ca="1">IF(RAND()&lt;P_Zero,0,IF(RAND()&lt;CondReturn,_xlfn.LOGNORM.INV(RAND(),MV2,Sigma1),IF(RAND()&lt;CondGood,_xlfn.LOGNORM.INV(RAND(),MV3,Sigma2),MIN(MaxMultiple,Xm/(1-RAND())^(1/Alpha)))))</f>
        <v>0</v>
      </c>
      <c r="E90" s="19">
        <f ca="1">IF(RAND()&lt;P_Zero,0,IF(RAND()&lt;CondReturn,_xlfn.LOGNORM.INV(RAND(),MV2,Sigma1),IF(RAND()&lt;CondGood,_xlfn.LOGNORM.INV(RAND(),MV3,Sigma2),MIN(MaxMultiple,Xm/(1-RAND())^(1/Alpha)))))</f>
        <v>0</v>
      </c>
      <c r="F90" s="19">
        <f ca="1">IF(RAND()&lt;P_Zero,0,IF(RAND()&lt;CondReturn,_xlfn.LOGNORM.INV(RAND(),MV2,Sigma1),IF(RAND()&lt;CondGood,_xlfn.LOGNORM.INV(RAND(),MV3,Sigma2),MIN(MaxMultiple,Xm/(1-RAND())^(1/Alpha)))))</f>
        <v>0</v>
      </c>
      <c r="G90" s="19">
        <f ca="1">IF(RAND()&lt;P_Zero,0,IF(RAND()&lt;CondReturn,_xlfn.LOGNORM.INV(RAND(),MV2,Sigma1),IF(RAND()&lt;CondGood,_xlfn.LOGNORM.INV(RAND(),MV3,Sigma2),MIN(MaxMultiple,Xm/(1-RAND())^(1/Alpha)))))</f>
        <v>0.96366019886795951</v>
      </c>
      <c r="H90" s="19">
        <f ca="1">IF(RAND()&lt;P_Zero,0,IF(RAND()&lt;CondReturn,_xlfn.LOGNORM.INV(RAND(),MV2,Sigma1),IF(RAND()&lt;CondGood,_xlfn.LOGNORM.INV(RAND(),MV3,Sigma2),MIN(MaxMultiple,Xm/(1-RAND())^(1/Alpha)))))</f>
        <v>0.9653004702606115</v>
      </c>
      <c r="I90" s="19">
        <f ca="1">IF(RAND()&lt;P_Zero,0,IF(RAND()&lt;CondReturn,_xlfn.LOGNORM.INV(RAND(),MV2,Sigma1),IF(RAND()&lt;CondGood,_xlfn.LOGNORM.INV(RAND(),MV3,Sigma2),MIN(MaxMultiple,Xm/(1-RAND())^(1/Alpha)))))</f>
        <v>0</v>
      </c>
      <c r="J90" s="19">
        <f ca="1">IF(RAND()&lt;P_Zero,0,IF(RAND()&lt;CondReturn,_xlfn.LOGNORM.INV(RAND(),MV2,Sigma1),IF(RAND()&lt;CondGood,_xlfn.LOGNORM.INV(RAND(),MV3,Sigma2),MIN(MaxMultiple,Xm/(1-RAND())^(1/Alpha)))))</f>
        <v>0</v>
      </c>
      <c r="K90" s="19">
        <f ca="1">IF(RAND()&lt;P_Zero,0,IF(RAND()&lt;CondReturn,_xlfn.LOGNORM.INV(RAND(),MV2,Sigma1),IF(RAND()&lt;CondGood,_xlfn.LOGNORM.INV(RAND(),MV3,Sigma2),MIN(MaxMultiple,Xm/(1-RAND())^(1/Alpha)))))</f>
        <v>0</v>
      </c>
      <c r="L90" s="19">
        <f ca="1">IF(RAND()&lt;P_Zero,0,IF(RAND()&lt;CondReturn,_xlfn.LOGNORM.INV(RAND(),MV2,Sigma1),IF(RAND()&lt;CondGood,_xlfn.LOGNORM.INV(RAND(),MV3,Sigma2),MIN(MaxMultiple,Xm/(1-RAND())^(1/Alpha)))))</f>
        <v>0</v>
      </c>
      <c r="M90" s="19">
        <f ca="1">IF(RAND()&lt;P_Zero,0,IF(RAND()&lt;CondReturn,_xlfn.LOGNORM.INV(RAND(),MV2,Sigma1),IF(RAND()&lt;CondGood,_xlfn.LOGNORM.INV(RAND(),MV3,Sigma2),MIN(MaxMultiple,Xm/(1-RAND())^(1/Alpha)))))</f>
        <v>0.90147131463245833</v>
      </c>
      <c r="N90" s="19">
        <f ca="1">IF(RAND()&lt;P_Zero,0,IF(RAND()&lt;CondReturn,_xlfn.LOGNORM.INV(RAND(),MV2,Sigma1),IF(RAND()&lt;CondGood,_xlfn.LOGNORM.INV(RAND(),MV3,Sigma2),MIN(MaxMultiple,Xm/(1-RAND())^(1/Alpha)))))</f>
        <v>0.45873320813130575</v>
      </c>
      <c r="O90" s="19">
        <f ca="1">IF(RAND()&lt;P_Zero,0,IF(RAND()&lt;CondReturn,_xlfn.LOGNORM.INV(RAND(),MV2,Sigma1),IF(RAND()&lt;CondGood,_xlfn.LOGNORM.INV(RAND(),MV3,Sigma2),MIN(MaxMultiple,Xm/(1-RAND())^(1/Alpha)))))</f>
        <v>0</v>
      </c>
      <c r="P90" s="19">
        <f ca="1">IF(RAND()&lt;P_Zero,0,IF(RAND()&lt;CondReturn,_xlfn.LOGNORM.INV(RAND(),MV2,Sigma1),IF(RAND()&lt;CondGood,_xlfn.LOGNORM.INV(RAND(),MV3,Sigma2),MIN(MaxMultiple,Xm/(1-RAND())^(1/Alpha)))))</f>
        <v>0</v>
      </c>
      <c r="Q90" s="19">
        <f ca="1">IF(RAND()&lt;P_Zero,0,IF(RAND()&lt;CondReturn,_xlfn.LOGNORM.INV(RAND(),MV2,Sigma1),IF(RAND()&lt;CondGood,_xlfn.LOGNORM.INV(RAND(),MV3,Sigma2),MIN(MaxMultiple,Xm/(1-RAND())^(1/Alpha)))))</f>
        <v>0</v>
      </c>
      <c r="R90" s="19">
        <f ca="1">IF(RAND()&lt;P_Zero,0,IF(RAND()&lt;CondReturn,_xlfn.LOGNORM.INV(RAND(),MV2,Sigma1),IF(RAND()&lt;CondGood,_xlfn.LOGNORM.INV(RAND(),MV3,Sigma2),MIN(MaxMultiple,Xm/(1-RAND())^(1/Alpha)))))</f>
        <v>0</v>
      </c>
      <c r="S90" s="19">
        <f ca="1">IF(RAND()&lt;P_Zero,0,IF(RAND()&lt;CondReturn,_xlfn.LOGNORM.INV(RAND(),MV2,Sigma1),IF(RAND()&lt;CondGood,_xlfn.LOGNORM.INV(RAND(),MV3,Sigma2),MIN(MaxMultiple,Xm/(1-RAND())^(1/Alpha)))))</f>
        <v>0</v>
      </c>
      <c r="T90" s="19">
        <f ca="1">IF(RAND()&lt;P_Zero,0,IF(RAND()&lt;CondReturn,_xlfn.LOGNORM.INV(RAND(),MV2,Sigma1),IF(RAND()&lt;CondGood,_xlfn.LOGNORM.INV(RAND(),MV3,Sigma2),MIN(MaxMultiple,Xm/(1-RAND())^(1/Alpha)))))</f>
        <v>0</v>
      </c>
      <c r="U90" s="19">
        <f ca="1">IF(RAND()&lt;P_Zero,0,IF(RAND()&lt;CondReturn,_xlfn.LOGNORM.INV(RAND(),MV2,Sigma1),IF(RAND()&lt;CondGood,_xlfn.LOGNORM.INV(RAND(),MV3,Sigma2),MIN(MaxMultiple,Xm/(1-RAND())^(1/Alpha)))))</f>
        <v>0</v>
      </c>
      <c r="V90" s="19">
        <f ca="1">IF(RAND()&lt;P_Zero,0,IF(RAND()&lt;CondReturn,_xlfn.LOGNORM.INV(RAND(),MV2,Sigma1),IF(RAND()&lt;CondGood,_xlfn.LOGNORM.INV(RAND(),MV3,Sigma2),MIN(MaxMultiple,Xm/(1-RAND())^(1/Alpha)))))</f>
        <v>14.407153415917518</v>
      </c>
      <c r="W90" s="19">
        <f ca="1">IF(RAND()&lt;P_Zero,0,IF(RAND()&lt;CondReturn,_xlfn.LOGNORM.INV(RAND(),MV2,Sigma1),IF(RAND()&lt;CondGood,_xlfn.LOGNORM.INV(RAND(),MV3,Sigma2),MIN(MaxMultiple,Xm/(1-RAND())^(1/Alpha)))))</f>
        <v>0</v>
      </c>
      <c r="X90" s="19">
        <f ca="1">IF(RAND()&lt;P_Zero,0,IF(RAND()&lt;CondReturn,_xlfn.LOGNORM.INV(RAND(),MV2,Sigma1),IF(RAND()&lt;CondGood,_xlfn.LOGNORM.INV(RAND(),MV3,Sigma2),MIN(MaxMultiple,Xm/(1-RAND())^(1/Alpha)))))</f>
        <v>0</v>
      </c>
      <c r="Y90" s="19">
        <f ca="1">IF(RAND()&lt;P_Zero,0,IF(RAND()&lt;CondReturn,_xlfn.LOGNORM.INV(RAND(),MV2,Sigma1),IF(RAND()&lt;CondGood,_xlfn.LOGNORM.INV(RAND(),MV3,Sigma2),MIN(MaxMultiple,Xm/(1-RAND())^(1/Alpha)))))</f>
        <v>0</v>
      </c>
      <c r="Z90" s="19">
        <f ca="1">IF(RAND()&lt;P_Zero,0,IF(RAND()&lt;CondReturn,_xlfn.LOGNORM.INV(RAND(),MV2,Sigma1),IF(RAND()&lt;CondGood,_xlfn.LOGNORM.INV(RAND(),MV3,Sigma2),MIN(MaxMultiple,Xm/(1-RAND())^(1/Alpha)))))</f>
        <v>0.92247290251665459</v>
      </c>
      <c r="AA90" s="19">
        <f ca="1">IF(RAND()&lt;P_Zero,0,IF(RAND()&lt;CondReturn,_xlfn.LOGNORM.INV(RAND(),MV2,Sigma1),IF(RAND()&lt;CondGood,_xlfn.LOGNORM.INV(RAND(),MV3,Sigma2),MIN(MaxMultiple,Xm/(1-RAND())^(1/Alpha)))))</f>
        <v>0.72621061294936962</v>
      </c>
      <c r="AB90" s="19">
        <f t="shared" ca="1" si="8"/>
        <v>0.77380008493103514</v>
      </c>
      <c r="AC90" s="14">
        <f t="shared" ca="1" si="9"/>
        <v>37142404.076689683</v>
      </c>
      <c r="AD90" s="14">
        <f t="shared" ca="1" si="10"/>
        <v>-10857595.923310317</v>
      </c>
      <c r="AE90" s="14">
        <f t="shared" si="11"/>
        <v>55628399.869093813</v>
      </c>
      <c r="AF90" s="14">
        <f t="shared" ca="1" si="12"/>
        <v>0</v>
      </c>
      <c r="AG90" s="14">
        <f t="shared" ca="1" si="13"/>
        <v>0</v>
      </c>
      <c r="AH90" s="14">
        <f t="shared" ca="1" si="14"/>
        <v>37142404.076689683</v>
      </c>
      <c r="AI90" s="19">
        <f t="shared" ca="1" si="15"/>
        <v>0.61904006794482802</v>
      </c>
    </row>
    <row r="91" spans="2:35" x14ac:dyDescent="0.2">
      <c r="B91" s="1">
        <v>86</v>
      </c>
      <c r="C91" s="19">
        <f ca="1">IF(RAND()&lt;P_Zero,0,IF(RAND()&lt;CondReturn,_xlfn.LOGNORM.INV(RAND(),MV2,Sigma1),IF(RAND()&lt;CondGood,_xlfn.LOGNORM.INV(RAND(),MV3,Sigma2),MIN(MaxMultiple,Xm/(1-RAND())^(1/Alpha)))))</f>
        <v>1.2832622176011319</v>
      </c>
      <c r="D91" s="19">
        <f ca="1">IF(RAND()&lt;P_Zero,0,IF(RAND()&lt;CondReturn,_xlfn.LOGNORM.INV(RAND(),MV2,Sigma1),IF(RAND()&lt;CondGood,_xlfn.LOGNORM.INV(RAND(),MV3,Sigma2),MIN(MaxMultiple,Xm/(1-RAND())^(1/Alpha)))))</f>
        <v>0</v>
      </c>
      <c r="E91" s="19">
        <f ca="1">IF(RAND()&lt;P_Zero,0,IF(RAND()&lt;CondReturn,_xlfn.LOGNORM.INV(RAND(),MV2,Sigma1),IF(RAND()&lt;CondGood,_xlfn.LOGNORM.INV(RAND(),MV3,Sigma2),MIN(MaxMultiple,Xm/(1-RAND())^(1/Alpha)))))</f>
        <v>0</v>
      </c>
      <c r="F91" s="19">
        <f ca="1">IF(RAND()&lt;P_Zero,0,IF(RAND()&lt;CondReturn,_xlfn.LOGNORM.INV(RAND(),MV2,Sigma1),IF(RAND()&lt;CondGood,_xlfn.LOGNORM.INV(RAND(),MV3,Sigma2),MIN(MaxMultiple,Xm/(1-RAND())^(1/Alpha)))))</f>
        <v>0</v>
      </c>
      <c r="G91" s="19">
        <f ca="1">IF(RAND()&lt;P_Zero,0,IF(RAND()&lt;CondReturn,_xlfn.LOGNORM.INV(RAND(),MV2,Sigma1),IF(RAND()&lt;CondGood,_xlfn.LOGNORM.INV(RAND(),MV3,Sigma2),MIN(MaxMultiple,Xm/(1-RAND())^(1/Alpha)))))</f>
        <v>2.0250324043913288</v>
      </c>
      <c r="H91" s="19">
        <f ca="1">IF(RAND()&lt;P_Zero,0,IF(RAND()&lt;CondReturn,_xlfn.LOGNORM.INV(RAND(),MV2,Sigma1),IF(RAND()&lt;CondGood,_xlfn.LOGNORM.INV(RAND(),MV3,Sigma2),MIN(MaxMultiple,Xm/(1-RAND())^(1/Alpha)))))</f>
        <v>0.98331756461862474</v>
      </c>
      <c r="I91" s="19">
        <f ca="1">IF(RAND()&lt;P_Zero,0,IF(RAND()&lt;CondReturn,_xlfn.LOGNORM.INV(RAND(),MV2,Sigma1),IF(RAND()&lt;CondGood,_xlfn.LOGNORM.INV(RAND(),MV3,Sigma2),MIN(MaxMultiple,Xm/(1-RAND())^(1/Alpha)))))</f>
        <v>0.21601499723312836</v>
      </c>
      <c r="J91" s="19">
        <f ca="1">IF(RAND()&lt;P_Zero,0,IF(RAND()&lt;CondReturn,_xlfn.LOGNORM.INV(RAND(),MV2,Sigma1),IF(RAND()&lt;CondGood,_xlfn.LOGNORM.INV(RAND(),MV3,Sigma2),MIN(MaxMultiple,Xm/(1-RAND())^(1/Alpha)))))</f>
        <v>0</v>
      </c>
      <c r="K91" s="19">
        <f ca="1">IF(RAND()&lt;P_Zero,0,IF(RAND()&lt;CondReturn,_xlfn.LOGNORM.INV(RAND(),MV2,Sigma1),IF(RAND()&lt;CondGood,_xlfn.LOGNORM.INV(RAND(),MV3,Sigma2),MIN(MaxMultiple,Xm/(1-RAND())^(1/Alpha)))))</f>
        <v>0</v>
      </c>
      <c r="L91" s="19">
        <f ca="1">IF(RAND()&lt;P_Zero,0,IF(RAND()&lt;CondReturn,_xlfn.LOGNORM.INV(RAND(),MV2,Sigma1),IF(RAND()&lt;CondGood,_xlfn.LOGNORM.INV(RAND(),MV3,Sigma2),MIN(MaxMultiple,Xm/(1-RAND())^(1/Alpha)))))</f>
        <v>0</v>
      </c>
      <c r="M91" s="19">
        <f ca="1">IF(RAND()&lt;P_Zero,0,IF(RAND()&lt;CondReturn,_xlfn.LOGNORM.INV(RAND(),MV2,Sigma1),IF(RAND()&lt;CondGood,_xlfn.LOGNORM.INV(RAND(),MV3,Sigma2),MIN(MaxMultiple,Xm/(1-RAND())^(1/Alpha)))))</f>
        <v>0.54492577553765487</v>
      </c>
      <c r="N91" s="19">
        <f ca="1">IF(RAND()&lt;P_Zero,0,IF(RAND()&lt;CondReturn,_xlfn.LOGNORM.INV(RAND(),MV2,Sigma1),IF(RAND()&lt;CondGood,_xlfn.LOGNORM.INV(RAND(),MV3,Sigma2),MIN(MaxMultiple,Xm/(1-RAND())^(1/Alpha)))))</f>
        <v>0</v>
      </c>
      <c r="O91" s="19">
        <f ca="1">IF(RAND()&lt;P_Zero,0,IF(RAND()&lt;CondReturn,_xlfn.LOGNORM.INV(RAND(),MV2,Sigma1),IF(RAND()&lt;CondGood,_xlfn.LOGNORM.INV(RAND(),MV3,Sigma2),MIN(MaxMultiple,Xm/(1-RAND())^(1/Alpha)))))</f>
        <v>0.57389511053121034</v>
      </c>
      <c r="P91" s="19">
        <f ca="1">IF(RAND()&lt;P_Zero,0,IF(RAND()&lt;CondReturn,_xlfn.LOGNORM.INV(RAND(),MV2,Sigma1),IF(RAND()&lt;CondGood,_xlfn.LOGNORM.INV(RAND(),MV3,Sigma2),MIN(MaxMultiple,Xm/(1-RAND())^(1/Alpha)))))</f>
        <v>0.83003537579488995</v>
      </c>
      <c r="Q91" s="19">
        <f ca="1">IF(RAND()&lt;P_Zero,0,IF(RAND()&lt;CondReturn,_xlfn.LOGNORM.INV(RAND(),MV2,Sigma1),IF(RAND()&lt;CondGood,_xlfn.LOGNORM.INV(RAND(),MV3,Sigma2),MIN(MaxMultiple,Xm/(1-RAND())^(1/Alpha)))))</f>
        <v>0.53813109191311026</v>
      </c>
      <c r="R91" s="19">
        <f ca="1">IF(RAND()&lt;P_Zero,0,IF(RAND()&lt;CondReturn,_xlfn.LOGNORM.INV(RAND(),MV2,Sigma1),IF(RAND()&lt;CondGood,_xlfn.LOGNORM.INV(RAND(),MV3,Sigma2),MIN(MaxMultiple,Xm/(1-RAND())^(1/Alpha)))))</f>
        <v>0</v>
      </c>
      <c r="S91" s="19">
        <f ca="1">IF(RAND()&lt;P_Zero,0,IF(RAND()&lt;CondReturn,_xlfn.LOGNORM.INV(RAND(),MV2,Sigma1),IF(RAND()&lt;CondGood,_xlfn.LOGNORM.INV(RAND(),MV3,Sigma2),MIN(MaxMultiple,Xm/(1-RAND())^(1/Alpha)))))</f>
        <v>0</v>
      </c>
      <c r="T91" s="19">
        <f ca="1">IF(RAND()&lt;P_Zero,0,IF(RAND()&lt;CondReturn,_xlfn.LOGNORM.INV(RAND(),MV2,Sigma1),IF(RAND()&lt;CondGood,_xlfn.LOGNORM.INV(RAND(),MV3,Sigma2),MIN(MaxMultiple,Xm/(1-RAND())^(1/Alpha)))))</f>
        <v>0</v>
      </c>
      <c r="U91" s="19">
        <f ca="1">IF(RAND()&lt;P_Zero,0,IF(RAND()&lt;CondReturn,_xlfn.LOGNORM.INV(RAND(),MV2,Sigma1),IF(RAND()&lt;CondGood,_xlfn.LOGNORM.INV(RAND(),MV3,Sigma2),MIN(MaxMultiple,Xm/(1-RAND())^(1/Alpha)))))</f>
        <v>0.67223740673465171</v>
      </c>
      <c r="V91" s="19">
        <f ca="1">IF(RAND()&lt;P_Zero,0,IF(RAND()&lt;CondReturn,_xlfn.LOGNORM.INV(RAND(),MV2,Sigma1),IF(RAND()&lt;CondGood,_xlfn.LOGNORM.INV(RAND(),MV3,Sigma2),MIN(MaxMultiple,Xm/(1-RAND())^(1/Alpha)))))</f>
        <v>1.0028009938911611</v>
      </c>
      <c r="W91" s="19">
        <f ca="1">IF(RAND()&lt;P_Zero,0,IF(RAND()&lt;CondReturn,_xlfn.LOGNORM.INV(RAND(),MV2,Sigma1),IF(RAND()&lt;CondGood,_xlfn.LOGNORM.INV(RAND(),MV3,Sigma2),MIN(MaxMultiple,Xm/(1-RAND())^(1/Alpha)))))</f>
        <v>0.98076781669906921</v>
      </c>
      <c r="X91" s="19">
        <f ca="1">IF(RAND()&lt;P_Zero,0,IF(RAND()&lt;CondReturn,_xlfn.LOGNORM.INV(RAND(),MV2,Sigma1),IF(RAND()&lt;CondGood,_xlfn.LOGNORM.INV(RAND(),MV3,Sigma2),MIN(MaxMultiple,Xm/(1-RAND())^(1/Alpha)))))</f>
        <v>1.7113537837041806</v>
      </c>
      <c r="Y91" s="19">
        <f ca="1">IF(RAND()&lt;P_Zero,0,IF(RAND()&lt;CondReturn,_xlfn.LOGNORM.INV(RAND(),MV2,Sigma1),IF(RAND()&lt;CondGood,_xlfn.LOGNORM.INV(RAND(),MV3,Sigma2),MIN(MaxMultiple,Xm/(1-RAND())^(1/Alpha)))))</f>
        <v>29.258577615410605</v>
      </c>
      <c r="Z91" s="19">
        <f ca="1">IF(RAND()&lt;P_Zero,0,IF(RAND()&lt;CondReturn,_xlfn.LOGNORM.INV(RAND(),MV2,Sigma1),IF(RAND()&lt;CondGood,_xlfn.LOGNORM.INV(RAND(),MV3,Sigma2),MIN(MaxMultiple,Xm/(1-RAND())^(1/Alpha)))))</f>
        <v>0.86722470834002729</v>
      </c>
      <c r="AA91" s="19">
        <f ca="1">IF(RAND()&lt;P_Zero,0,IF(RAND()&lt;CondReturn,_xlfn.LOGNORM.INV(RAND(),MV2,Sigma1),IF(RAND()&lt;CondGood,_xlfn.LOGNORM.INV(RAND(),MV3,Sigma2),MIN(MaxMultiple,Xm/(1-RAND())^(1/Alpha)))))</f>
        <v>0</v>
      </c>
      <c r="AB91" s="19">
        <f t="shared" ca="1" si="8"/>
        <v>1.6595030744960308</v>
      </c>
      <c r="AC91" s="14">
        <f t="shared" ca="1" si="9"/>
        <v>79656147.575809479</v>
      </c>
      <c r="AD91" s="14">
        <f t="shared" ca="1" si="10"/>
        <v>31656147.575809479</v>
      </c>
      <c r="AE91" s="14">
        <f t="shared" si="11"/>
        <v>55628399.869093813</v>
      </c>
      <c r="AF91" s="14">
        <f t="shared" ca="1" si="12"/>
        <v>0</v>
      </c>
      <c r="AG91" s="14">
        <f t="shared" ca="1" si="13"/>
        <v>0</v>
      </c>
      <c r="AH91" s="14">
        <f t="shared" ca="1" si="14"/>
        <v>79656147.575809479</v>
      </c>
      <c r="AI91" s="19">
        <f t="shared" ca="1" si="15"/>
        <v>1.3276024595968245</v>
      </c>
    </row>
    <row r="92" spans="2:35" x14ac:dyDescent="0.2">
      <c r="B92" s="1">
        <v>87</v>
      </c>
      <c r="C92" s="19">
        <f ca="1">IF(RAND()&lt;P_Zero,0,IF(RAND()&lt;CondReturn,_xlfn.LOGNORM.INV(RAND(),MV2,Sigma1),IF(RAND()&lt;CondGood,_xlfn.LOGNORM.INV(RAND(),MV3,Sigma2),MIN(MaxMultiple,Xm/(1-RAND())^(1/Alpha)))))</f>
        <v>0.6311787976821629</v>
      </c>
      <c r="D92" s="19">
        <f ca="1">IF(RAND()&lt;P_Zero,0,IF(RAND()&lt;CondReturn,_xlfn.LOGNORM.INV(RAND(),MV2,Sigma1),IF(RAND()&lt;CondGood,_xlfn.LOGNORM.INV(RAND(),MV3,Sigma2),MIN(MaxMultiple,Xm/(1-RAND())^(1/Alpha)))))</f>
        <v>0</v>
      </c>
      <c r="E92" s="19">
        <f ca="1">IF(RAND()&lt;P_Zero,0,IF(RAND()&lt;CondReturn,_xlfn.LOGNORM.INV(RAND(),MV2,Sigma1),IF(RAND()&lt;CondGood,_xlfn.LOGNORM.INV(RAND(),MV3,Sigma2),MIN(MaxMultiple,Xm/(1-RAND())^(1/Alpha)))))</f>
        <v>1.6997031502441344</v>
      </c>
      <c r="F92" s="19">
        <f ca="1">IF(RAND()&lt;P_Zero,0,IF(RAND()&lt;CondReturn,_xlfn.LOGNORM.INV(RAND(),MV2,Sigma1),IF(RAND()&lt;CondGood,_xlfn.LOGNORM.INV(RAND(),MV3,Sigma2),MIN(MaxMultiple,Xm/(1-RAND())^(1/Alpha)))))</f>
        <v>1.8348081448029232</v>
      </c>
      <c r="G92" s="19">
        <f ca="1">IF(RAND()&lt;P_Zero,0,IF(RAND()&lt;CondReturn,_xlfn.LOGNORM.INV(RAND(),MV2,Sigma1),IF(RAND()&lt;CondGood,_xlfn.LOGNORM.INV(RAND(),MV3,Sigma2),MIN(MaxMultiple,Xm/(1-RAND())^(1/Alpha)))))</f>
        <v>0</v>
      </c>
      <c r="H92" s="19">
        <f ca="1">IF(RAND()&lt;P_Zero,0,IF(RAND()&lt;CondReturn,_xlfn.LOGNORM.INV(RAND(),MV2,Sigma1),IF(RAND()&lt;CondGood,_xlfn.LOGNORM.INV(RAND(),MV3,Sigma2),MIN(MaxMultiple,Xm/(1-RAND())^(1/Alpha)))))</f>
        <v>1.0347644175768698</v>
      </c>
      <c r="I92" s="19">
        <f ca="1">IF(RAND()&lt;P_Zero,0,IF(RAND()&lt;CondReturn,_xlfn.LOGNORM.INV(RAND(),MV2,Sigma1),IF(RAND()&lt;CondGood,_xlfn.LOGNORM.INV(RAND(),MV3,Sigma2),MIN(MaxMultiple,Xm/(1-RAND())^(1/Alpha)))))</f>
        <v>1.7481573895984726</v>
      </c>
      <c r="J92" s="19">
        <f ca="1">IF(RAND()&lt;P_Zero,0,IF(RAND()&lt;CondReturn,_xlfn.LOGNORM.INV(RAND(),MV2,Sigma1),IF(RAND()&lt;CondGood,_xlfn.LOGNORM.INV(RAND(),MV3,Sigma2),MIN(MaxMultiple,Xm/(1-RAND())^(1/Alpha)))))</f>
        <v>0.63623748404117408</v>
      </c>
      <c r="K92" s="19">
        <f ca="1">IF(RAND()&lt;P_Zero,0,IF(RAND()&lt;CondReturn,_xlfn.LOGNORM.INV(RAND(),MV2,Sigma1),IF(RAND()&lt;CondGood,_xlfn.LOGNORM.INV(RAND(),MV3,Sigma2),MIN(MaxMultiple,Xm/(1-RAND())^(1/Alpha)))))</f>
        <v>1.4293927564846074</v>
      </c>
      <c r="L92" s="19">
        <f ca="1">IF(RAND()&lt;P_Zero,0,IF(RAND()&lt;CondReturn,_xlfn.LOGNORM.INV(RAND(),MV2,Sigma1),IF(RAND()&lt;CondGood,_xlfn.LOGNORM.INV(RAND(),MV3,Sigma2),MIN(MaxMultiple,Xm/(1-RAND())^(1/Alpha)))))</f>
        <v>0</v>
      </c>
      <c r="M92" s="19">
        <f ca="1">IF(RAND()&lt;P_Zero,0,IF(RAND()&lt;CondReturn,_xlfn.LOGNORM.INV(RAND(),MV2,Sigma1),IF(RAND()&lt;CondGood,_xlfn.LOGNORM.INV(RAND(),MV3,Sigma2),MIN(MaxMultiple,Xm/(1-RAND())^(1/Alpha)))))</f>
        <v>0</v>
      </c>
      <c r="N92" s="19">
        <f ca="1">IF(RAND()&lt;P_Zero,0,IF(RAND()&lt;CondReturn,_xlfn.LOGNORM.INV(RAND(),MV2,Sigma1),IF(RAND()&lt;CondGood,_xlfn.LOGNORM.INV(RAND(),MV3,Sigma2),MIN(MaxMultiple,Xm/(1-RAND())^(1/Alpha)))))</f>
        <v>0.77495834423060961</v>
      </c>
      <c r="O92" s="19">
        <f ca="1">IF(RAND()&lt;P_Zero,0,IF(RAND()&lt;CondReturn,_xlfn.LOGNORM.INV(RAND(),MV2,Sigma1),IF(RAND()&lt;CondGood,_xlfn.LOGNORM.INV(RAND(),MV3,Sigma2),MIN(MaxMultiple,Xm/(1-RAND())^(1/Alpha)))))</f>
        <v>0.95263134663965587</v>
      </c>
      <c r="P92" s="19">
        <f ca="1">IF(RAND()&lt;P_Zero,0,IF(RAND()&lt;CondReturn,_xlfn.LOGNORM.INV(RAND(),MV2,Sigma1),IF(RAND()&lt;CondGood,_xlfn.LOGNORM.INV(RAND(),MV3,Sigma2),MIN(MaxMultiple,Xm/(1-RAND())^(1/Alpha)))))</f>
        <v>1.3424954695365559</v>
      </c>
      <c r="Q92" s="19">
        <f ca="1">IF(RAND()&lt;P_Zero,0,IF(RAND()&lt;CondReturn,_xlfn.LOGNORM.INV(RAND(),MV2,Sigma1),IF(RAND()&lt;CondGood,_xlfn.LOGNORM.INV(RAND(),MV3,Sigma2),MIN(MaxMultiple,Xm/(1-RAND())^(1/Alpha)))))</f>
        <v>0</v>
      </c>
      <c r="R92" s="19">
        <f ca="1">IF(RAND()&lt;P_Zero,0,IF(RAND()&lt;CondReturn,_xlfn.LOGNORM.INV(RAND(),MV2,Sigma1),IF(RAND()&lt;CondGood,_xlfn.LOGNORM.INV(RAND(),MV3,Sigma2),MIN(MaxMultiple,Xm/(1-RAND())^(1/Alpha)))))</f>
        <v>0</v>
      </c>
      <c r="S92" s="19">
        <f ca="1">IF(RAND()&lt;P_Zero,0,IF(RAND()&lt;CondReturn,_xlfn.LOGNORM.INV(RAND(),MV2,Sigma1),IF(RAND()&lt;CondGood,_xlfn.LOGNORM.INV(RAND(),MV3,Sigma2),MIN(MaxMultiple,Xm/(1-RAND())^(1/Alpha)))))</f>
        <v>0</v>
      </c>
      <c r="T92" s="19">
        <f ca="1">IF(RAND()&lt;P_Zero,0,IF(RAND()&lt;CondReturn,_xlfn.LOGNORM.INV(RAND(),MV2,Sigma1),IF(RAND()&lt;CondGood,_xlfn.LOGNORM.INV(RAND(),MV3,Sigma2),MIN(MaxMultiple,Xm/(1-RAND())^(1/Alpha)))))</f>
        <v>0</v>
      </c>
      <c r="U92" s="19">
        <f ca="1">IF(RAND()&lt;P_Zero,0,IF(RAND()&lt;CondReturn,_xlfn.LOGNORM.INV(RAND(),MV2,Sigma1),IF(RAND()&lt;CondGood,_xlfn.LOGNORM.INV(RAND(),MV3,Sigma2),MIN(MaxMultiple,Xm/(1-RAND())^(1/Alpha)))))</f>
        <v>0</v>
      </c>
      <c r="V92" s="19">
        <f ca="1">IF(RAND()&lt;P_Zero,0,IF(RAND()&lt;CondReturn,_xlfn.LOGNORM.INV(RAND(),MV2,Sigma1),IF(RAND()&lt;CondGood,_xlfn.LOGNORM.INV(RAND(),MV3,Sigma2),MIN(MaxMultiple,Xm/(1-RAND())^(1/Alpha)))))</f>
        <v>0.42824216272087501</v>
      </c>
      <c r="W92" s="19">
        <f ca="1">IF(RAND()&lt;P_Zero,0,IF(RAND()&lt;CondReturn,_xlfn.LOGNORM.INV(RAND(),MV2,Sigma1),IF(RAND()&lt;CondGood,_xlfn.LOGNORM.INV(RAND(),MV3,Sigma2),MIN(MaxMultiple,Xm/(1-RAND())^(1/Alpha)))))</f>
        <v>74.405235689467958</v>
      </c>
      <c r="X92" s="19">
        <f ca="1">IF(RAND()&lt;P_Zero,0,IF(RAND()&lt;CondReturn,_xlfn.LOGNORM.INV(RAND(),MV2,Sigma1),IF(RAND()&lt;CondGood,_xlfn.LOGNORM.INV(RAND(),MV3,Sigma2),MIN(MaxMultiple,Xm/(1-RAND())^(1/Alpha)))))</f>
        <v>0.75896702292630547</v>
      </c>
      <c r="Y92" s="19">
        <f ca="1">IF(RAND()&lt;P_Zero,0,IF(RAND()&lt;CondReturn,_xlfn.LOGNORM.INV(RAND(),MV2,Sigma1),IF(RAND()&lt;CondGood,_xlfn.LOGNORM.INV(RAND(),MV3,Sigma2),MIN(MaxMultiple,Xm/(1-RAND())^(1/Alpha)))))</f>
        <v>0.98857357998243611</v>
      </c>
      <c r="Z92" s="19">
        <f ca="1">IF(RAND()&lt;P_Zero,0,IF(RAND()&lt;CondReturn,_xlfn.LOGNORM.INV(RAND(),MV2,Sigma1),IF(RAND()&lt;CondGood,_xlfn.LOGNORM.INV(RAND(),MV3,Sigma2),MIN(MaxMultiple,Xm/(1-RAND())^(1/Alpha)))))</f>
        <v>2.3682924034052357</v>
      </c>
      <c r="AA92" s="19">
        <f ca="1">IF(RAND()&lt;P_Zero,0,IF(RAND()&lt;CondReturn,_xlfn.LOGNORM.INV(RAND(),MV2,Sigma1),IF(RAND()&lt;CondGood,_xlfn.LOGNORM.INV(RAND(),MV3,Sigma2),MIN(MaxMultiple,Xm/(1-RAND())^(1/Alpha)))))</f>
        <v>0</v>
      </c>
      <c r="AB92" s="19">
        <f t="shared" ca="1" si="8"/>
        <v>3.6413455263735988</v>
      </c>
      <c r="AC92" s="14">
        <f t="shared" ca="1" si="9"/>
        <v>174784585.26593274</v>
      </c>
      <c r="AD92" s="14">
        <f t="shared" ca="1" si="10"/>
        <v>126784585.26593274</v>
      </c>
      <c r="AE92" s="14">
        <f t="shared" si="11"/>
        <v>55628399.869093813</v>
      </c>
      <c r="AF92" s="14">
        <f t="shared" ca="1" si="12"/>
        <v>71156185.396838933</v>
      </c>
      <c r="AG92" s="14">
        <f t="shared" ca="1" si="13"/>
        <v>14231237.079367787</v>
      </c>
      <c r="AH92" s="14">
        <f t="shared" ca="1" si="14"/>
        <v>160553348.18656495</v>
      </c>
      <c r="AI92" s="19">
        <f t="shared" ca="1" si="15"/>
        <v>2.6758891364427493</v>
      </c>
    </row>
    <row r="93" spans="2:35" x14ac:dyDescent="0.2">
      <c r="B93" s="1">
        <v>88</v>
      </c>
      <c r="C93" s="19">
        <f ca="1">IF(RAND()&lt;P_Zero,0,IF(RAND()&lt;CondReturn,_xlfn.LOGNORM.INV(RAND(),MV2,Sigma1),IF(RAND()&lt;CondGood,_xlfn.LOGNORM.INV(RAND(),MV3,Sigma2),MIN(MaxMultiple,Xm/(1-RAND())^(1/Alpha)))))</f>
        <v>1.3035602439252896</v>
      </c>
      <c r="D93" s="19">
        <f ca="1">IF(RAND()&lt;P_Zero,0,IF(RAND()&lt;CondReturn,_xlfn.LOGNORM.INV(RAND(),MV2,Sigma1),IF(RAND()&lt;CondGood,_xlfn.LOGNORM.INV(RAND(),MV3,Sigma2),MIN(MaxMultiple,Xm/(1-RAND())^(1/Alpha)))))</f>
        <v>0.65186228535104629</v>
      </c>
      <c r="E93" s="19">
        <f ca="1">IF(RAND()&lt;P_Zero,0,IF(RAND()&lt;CondReturn,_xlfn.LOGNORM.INV(RAND(),MV2,Sigma1),IF(RAND()&lt;CondGood,_xlfn.LOGNORM.INV(RAND(),MV3,Sigma2),MIN(MaxMultiple,Xm/(1-RAND())^(1/Alpha)))))</f>
        <v>0</v>
      </c>
      <c r="F93" s="19">
        <f ca="1">IF(RAND()&lt;P_Zero,0,IF(RAND()&lt;CondReturn,_xlfn.LOGNORM.INV(RAND(),MV2,Sigma1),IF(RAND()&lt;CondGood,_xlfn.LOGNORM.INV(RAND(),MV3,Sigma2),MIN(MaxMultiple,Xm/(1-RAND())^(1/Alpha)))))</f>
        <v>0</v>
      </c>
      <c r="G93" s="19">
        <f ca="1">IF(RAND()&lt;P_Zero,0,IF(RAND()&lt;CondReturn,_xlfn.LOGNORM.INV(RAND(),MV2,Sigma1),IF(RAND()&lt;CondGood,_xlfn.LOGNORM.INV(RAND(),MV3,Sigma2),MIN(MaxMultiple,Xm/(1-RAND())^(1/Alpha)))))</f>
        <v>0</v>
      </c>
      <c r="H93" s="19">
        <f ca="1">IF(RAND()&lt;P_Zero,0,IF(RAND()&lt;CondReturn,_xlfn.LOGNORM.INV(RAND(),MV2,Sigma1),IF(RAND()&lt;CondGood,_xlfn.LOGNORM.INV(RAND(),MV3,Sigma2),MIN(MaxMultiple,Xm/(1-RAND())^(1/Alpha)))))</f>
        <v>0</v>
      </c>
      <c r="I93" s="19">
        <f ca="1">IF(RAND()&lt;P_Zero,0,IF(RAND()&lt;CondReturn,_xlfn.LOGNORM.INV(RAND(),MV2,Sigma1),IF(RAND()&lt;CondGood,_xlfn.LOGNORM.INV(RAND(),MV3,Sigma2),MIN(MaxMultiple,Xm/(1-RAND())^(1/Alpha)))))</f>
        <v>0</v>
      </c>
      <c r="J93" s="19">
        <f ca="1">IF(RAND()&lt;P_Zero,0,IF(RAND()&lt;CondReturn,_xlfn.LOGNORM.INV(RAND(),MV2,Sigma1),IF(RAND()&lt;CondGood,_xlfn.LOGNORM.INV(RAND(),MV3,Sigma2),MIN(MaxMultiple,Xm/(1-RAND())^(1/Alpha)))))</f>
        <v>0</v>
      </c>
      <c r="K93" s="19">
        <f ca="1">IF(RAND()&lt;P_Zero,0,IF(RAND()&lt;CondReturn,_xlfn.LOGNORM.INV(RAND(),MV2,Sigma1),IF(RAND()&lt;CondGood,_xlfn.LOGNORM.INV(RAND(),MV3,Sigma2),MIN(MaxMultiple,Xm/(1-RAND())^(1/Alpha)))))</f>
        <v>0</v>
      </c>
      <c r="L93" s="19">
        <f ca="1">IF(RAND()&lt;P_Zero,0,IF(RAND()&lt;CondReturn,_xlfn.LOGNORM.INV(RAND(),MV2,Sigma1),IF(RAND()&lt;CondGood,_xlfn.LOGNORM.INV(RAND(),MV3,Sigma2),MIN(MaxMultiple,Xm/(1-RAND())^(1/Alpha)))))</f>
        <v>0.96514953575229345</v>
      </c>
      <c r="M93" s="19">
        <f ca="1">IF(RAND()&lt;P_Zero,0,IF(RAND()&lt;CondReturn,_xlfn.LOGNORM.INV(RAND(),MV2,Sigma1),IF(RAND()&lt;CondGood,_xlfn.LOGNORM.INV(RAND(),MV3,Sigma2),MIN(MaxMultiple,Xm/(1-RAND())^(1/Alpha)))))</f>
        <v>0.8349833167627585</v>
      </c>
      <c r="N93" s="19">
        <f ca="1">IF(RAND()&lt;P_Zero,0,IF(RAND()&lt;CondReturn,_xlfn.LOGNORM.INV(RAND(),MV2,Sigma1),IF(RAND()&lt;CondGood,_xlfn.LOGNORM.INV(RAND(),MV3,Sigma2),MIN(MaxMultiple,Xm/(1-RAND())^(1/Alpha)))))</f>
        <v>3.4372979201792155</v>
      </c>
      <c r="O93" s="19">
        <f ca="1">IF(RAND()&lt;P_Zero,0,IF(RAND()&lt;CondReturn,_xlfn.LOGNORM.INV(RAND(),MV2,Sigma1),IF(RAND()&lt;CondGood,_xlfn.LOGNORM.INV(RAND(),MV3,Sigma2),MIN(MaxMultiple,Xm/(1-RAND())^(1/Alpha)))))</f>
        <v>0</v>
      </c>
      <c r="P93" s="19">
        <f ca="1">IF(RAND()&lt;P_Zero,0,IF(RAND()&lt;CondReturn,_xlfn.LOGNORM.INV(RAND(),MV2,Sigma1),IF(RAND()&lt;CondGood,_xlfn.LOGNORM.INV(RAND(),MV3,Sigma2),MIN(MaxMultiple,Xm/(1-RAND())^(1/Alpha)))))</f>
        <v>1.6532527245227313</v>
      </c>
      <c r="Q93" s="19">
        <f ca="1">IF(RAND()&lt;P_Zero,0,IF(RAND()&lt;CondReturn,_xlfn.LOGNORM.INV(RAND(),MV2,Sigma1),IF(RAND()&lt;CondGood,_xlfn.LOGNORM.INV(RAND(),MV3,Sigma2),MIN(MaxMultiple,Xm/(1-RAND())^(1/Alpha)))))</f>
        <v>1.1039312382993143</v>
      </c>
      <c r="R93" s="19">
        <f ca="1">IF(RAND()&lt;P_Zero,0,IF(RAND()&lt;CondReturn,_xlfn.LOGNORM.INV(RAND(),MV2,Sigma1),IF(RAND()&lt;CondGood,_xlfn.LOGNORM.INV(RAND(),MV3,Sigma2),MIN(MaxMultiple,Xm/(1-RAND())^(1/Alpha)))))</f>
        <v>0</v>
      </c>
      <c r="S93" s="19">
        <f ca="1">IF(RAND()&lt;P_Zero,0,IF(RAND()&lt;CondReturn,_xlfn.LOGNORM.INV(RAND(),MV2,Sigma1),IF(RAND()&lt;CondGood,_xlfn.LOGNORM.INV(RAND(),MV3,Sigma2),MIN(MaxMultiple,Xm/(1-RAND())^(1/Alpha)))))</f>
        <v>0</v>
      </c>
      <c r="T93" s="19">
        <f ca="1">IF(RAND()&lt;P_Zero,0,IF(RAND()&lt;CondReturn,_xlfn.LOGNORM.INV(RAND(),MV2,Sigma1),IF(RAND()&lt;CondGood,_xlfn.LOGNORM.INV(RAND(),MV3,Sigma2),MIN(MaxMultiple,Xm/(1-RAND())^(1/Alpha)))))</f>
        <v>1.0917266810936002</v>
      </c>
      <c r="U93" s="19">
        <f ca="1">IF(RAND()&lt;P_Zero,0,IF(RAND()&lt;CondReturn,_xlfn.LOGNORM.INV(RAND(),MV2,Sigma1),IF(RAND()&lt;CondGood,_xlfn.LOGNORM.INV(RAND(),MV3,Sigma2),MIN(MaxMultiple,Xm/(1-RAND())^(1/Alpha)))))</f>
        <v>0</v>
      </c>
      <c r="V93" s="19">
        <f ca="1">IF(RAND()&lt;P_Zero,0,IF(RAND()&lt;CondReturn,_xlfn.LOGNORM.INV(RAND(),MV2,Sigma1),IF(RAND()&lt;CondGood,_xlfn.LOGNORM.INV(RAND(),MV3,Sigma2),MIN(MaxMultiple,Xm/(1-RAND())^(1/Alpha)))))</f>
        <v>0.97825666025582514</v>
      </c>
      <c r="W93" s="19">
        <f ca="1">IF(RAND()&lt;P_Zero,0,IF(RAND()&lt;CondReturn,_xlfn.LOGNORM.INV(RAND(),MV2,Sigma1),IF(RAND()&lt;CondGood,_xlfn.LOGNORM.INV(RAND(),MV3,Sigma2),MIN(MaxMultiple,Xm/(1-RAND())^(1/Alpha)))))</f>
        <v>1.2030143707248677</v>
      </c>
      <c r="X93" s="19">
        <f ca="1">IF(RAND()&lt;P_Zero,0,IF(RAND()&lt;CondReturn,_xlfn.LOGNORM.INV(RAND(),MV2,Sigma1),IF(RAND()&lt;CondGood,_xlfn.LOGNORM.INV(RAND(),MV3,Sigma2),MIN(MaxMultiple,Xm/(1-RAND())^(1/Alpha)))))</f>
        <v>0.56718192695605874</v>
      </c>
      <c r="Y93" s="19">
        <f ca="1">IF(RAND()&lt;P_Zero,0,IF(RAND()&lt;CondReturn,_xlfn.LOGNORM.INV(RAND(),MV2,Sigma1),IF(RAND()&lt;CondGood,_xlfn.LOGNORM.INV(RAND(),MV3,Sigma2),MIN(MaxMultiple,Xm/(1-RAND())^(1/Alpha)))))</f>
        <v>0</v>
      </c>
      <c r="Z93" s="19">
        <f ca="1">IF(RAND()&lt;P_Zero,0,IF(RAND()&lt;CondReturn,_xlfn.LOGNORM.INV(RAND(),MV2,Sigma1),IF(RAND()&lt;CondGood,_xlfn.LOGNORM.INV(RAND(),MV3,Sigma2),MIN(MaxMultiple,Xm/(1-RAND())^(1/Alpha)))))</f>
        <v>72.370645748087512</v>
      </c>
      <c r="AA93" s="19">
        <f ca="1">IF(RAND()&lt;P_Zero,0,IF(RAND()&lt;CondReturn,_xlfn.LOGNORM.INV(RAND(),MV2,Sigma1),IF(RAND()&lt;CondGood,_xlfn.LOGNORM.INV(RAND(),MV3,Sigma2),MIN(MaxMultiple,Xm/(1-RAND())^(1/Alpha)))))</f>
        <v>1.6715126370744213</v>
      </c>
      <c r="AB93" s="19">
        <f t="shared" ca="1" si="8"/>
        <v>3.5132950115593968</v>
      </c>
      <c r="AC93" s="14">
        <f t="shared" ca="1" si="9"/>
        <v>168638160.55485106</v>
      </c>
      <c r="AD93" s="14">
        <f t="shared" ca="1" si="10"/>
        <v>120638160.55485106</v>
      </c>
      <c r="AE93" s="14">
        <f t="shared" si="11"/>
        <v>55628399.869093813</v>
      </c>
      <c r="AF93" s="14">
        <f t="shared" ca="1" si="12"/>
        <v>65009760.685757242</v>
      </c>
      <c r="AG93" s="14">
        <f t="shared" ca="1" si="13"/>
        <v>13001952.13715145</v>
      </c>
      <c r="AH93" s="14">
        <f t="shared" ca="1" si="14"/>
        <v>155636208.41769961</v>
      </c>
      <c r="AI93" s="19">
        <f t="shared" ca="1" si="15"/>
        <v>2.59393680696166</v>
      </c>
    </row>
    <row r="94" spans="2:35" x14ac:dyDescent="0.2">
      <c r="B94" s="1">
        <v>89</v>
      </c>
      <c r="C94" s="19">
        <f ca="1">IF(RAND()&lt;P_Zero,0,IF(RAND()&lt;CondReturn,_xlfn.LOGNORM.INV(RAND(),MV2,Sigma1),IF(RAND()&lt;CondGood,_xlfn.LOGNORM.INV(RAND(),MV3,Sigma2),MIN(MaxMultiple,Xm/(1-RAND())^(1/Alpha)))))</f>
        <v>0.78595182150747567</v>
      </c>
      <c r="D94" s="19">
        <f ca="1">IF(RAND()&lt;P_Zero,0,IF(RAND()&lt;CondReturn,_xlfn.LOGNORM.INV(RAND(),MV2,Sigma1),IF(RAND()&lt;CondGood,_xlfn.LOGNORM.INV(RAND(),MV3,Sigma2),MIN(MaxMultiple,Xm/(1-RAND())^(1/Alpha)))))</f>
        <v>0.86997669379301212</v>
      </c>
      <c r="E94" s="19">
        <f ca="1">IF(RAND()&lt;P_Zero,0,IF(RAND()&lt;CondReturn,_xlfn.LOGNORM.INV(RAND(),MV2,Sigma1),IF(RAND()&lt;CondGood,_xlfn.LOGNORM.INV(RAND(),MV3,Sigma2),MIN(MaxMultiple,Xm/(1-RAND())^(1/Alpha)))))</f>
        <v>0.84015691957269956</v>
      </c>
      <c r="F94" s="19">
        <f ca="1">IF(RAND()&lt;P_Zero,0,IF(RAND()&lt;CondReturn,_xlfn.LOGNORM.INV(RAND(),MV2,Sigma1),IF(RAND()&lt;CondGood,_xlfn.LOGNORM.INV(RAND(),MV3,Sigma2),MIN(MaxMultiple,Xm/(1-RAND())^(1/Alpha)))))</f>
        <v>0</v>
      </c>
      <c r="G94" s="19">
        <f ca="1">IF(RAND()&lt;P_Zero,0,IF(RAND()&lt;CondReturn,_xlfn.LOGNORM.INV(RAND(),MV2,Sigma1),IF(RAND()&lt;CondGood,_xlfn.LOGNORM.INV(RAND(),MV3,Sigma2),MIN(MaxMultiple,Xm/(1-RAND())^(1/Alpha)))))</f>
        <v>0.78274574774543337</v>
      </c>
      <c r="H94" s="19">
        <f ca="1">IF(RAND()&lt;P_Zero,0,IF(RAND()&lt;CondReturn,_xlfn.LOGNORM.INV(RAND(),MV2,Sigma1),IF(RAND()&lt;CondGood,_xlfn.LOGNORM.INV(RAND(),MV3,Sigma2),MIN(MaxMultiple,Xm/(1-RAND())^(1/Alpha)))))</f>
        <v>0</v>
      </c>
      <c r="I94" s="19">
        <f ca="1">IF(RAND()&lt;P_Zero,0,IF(RAND()&lt;CondReturn,_xlfn.LOGNORM.INV(RAND(),MV2,Sigma1),IF(RAND()&lt;CondGood,_xlfn.LOGNORM.INV(RAND(),MV3,Sigma2),MIN(MaxMultiple,Xm/(1-RAND())^(1/Alpha)))))</f>
        <v>0</v>
      </c>
      <c r="J94" s="19">
        <f ca="1">IF(RAND()&lt;P_Zero,0,IF(RAND()&lt;CondReturn,_xlfn.LOGNORM.INV(RAND(),MV2,Sigma1),IF(RAND()&lt;CondGood,_xlfn.LOGNORM.INV(RAND(),MV3,Sigma2),MIN(MaxMultiple,Xm/(1-RAND())^(1/Alpha)))))</f>
        <v>1.4092589088482324</v>
      </c>
      <c r="K94" s="19">
        <f ca="1">IF(RAND()&lt;P_Zero,0,IF(RAND()&lt;CondReturn,_xlfn.LOGNORM.INV(RAND(),MV2,Sigma1),IF(RAND()&lt;CondGood,_xlfn.LOGNORM.INV(RAND(),MV3,Sigma2),MIN(MaxMultiple,Xm/(1-RAND())^(1/Alpha)))))</f>
        <v>11.994868595467159</v>
      </c>
      <c r="L94" s="19">
        <f ca="1">IF(RAND()&lt;P_Zero,0,IF(RAND()&lt;CondReturn,_xlfn.LOGNORM.INV(RAND(),MV2,Sigma1),IF(RAND()&lt;CondGood,_xlfn.LOGNORM.INV(RAND(),MV3,Sigma2),MIN(MaxMultiple,Xm/(1-RAND())^(1/Alpha)))))</f>
        <v>1.0345211476177716</v>
      </c>
      <c r="M94" s="19">
        <f ca="1">IF(RAND()&lt;P_Zero,0,IF(RAND()&lt;CondReturn,_xlfn.LOGNORM.INV(RAND(),MV2,Sigma1),IF(RAND()&lt;CondGood,_xlfn.LOGNORM.INV(RAND(),MV3,Sigma2),MIN(MaxMultiple,Xm/(1-RAND())^(1/Alpha)))))</f>
        <v>1.0624627992499385</v>
      </c>
      <c r="N94" s="19">
        <f ca="1">IF(RAND()&lt;P_Zero,0,IF(RAND()&lt;CondReturn,_xlfn.LOGNORM.INV(RAND(),MV2,Sigma1),IF(RAND()&lt;CondGood,_xlfn.LOGNORM.INV(RAND(),MV3,Sigma2),MIN(MaxMultiple,Xm/(1-RAND())^(1/Alpha)))))</f>
        <v>0</v>
      </c>
      <c r="O94" s="19">
        <f ca="1">IF(RAND()&lt;P_Zero,0,IF(RAND()&lt;CondReturn,_xlfn.LOGNORM.INV(RAND(),MV2,Sigma1),IF(RAND()&lt;CondGood,_xlfn.LOGNORM.INV(RAND(),MV3,Sigma2),MIN(MaxMultiple,Xm/(1-RAND())^(1/Alpha)))))</f>
        <v>3.5573687925053483</v>
      </c>
      <c r="P94" s="19">
        <f ca="1">IF(RAND()&lt;P_Zero,0,IF(RAND()&lt;CondReturn,_xlfn.LOGNORM.INV(RAND(),MV2,Sigma1),IF(RAND()&lt;CondGood,_xlfn.LOGNORM.INV(RAND(),MV3,Sigma2),MIN(MaxMultiple,Xm/(1-RAND())^(1/Alpha)))))</f>
        <v>2.1776770746527547</v>
      </c>
      <c r="Q94" s="19">
        <f ca="1">IF(RAND()&lt;P_Zero,0,IF(RAND()&lt;CondReturn,_xlfn.LOGNORM.INV(RAND(),MV2,Sigma1),IF(RAND()&lt;CondGood,_xlfn.LOGNORM.INV(RAND(),MV3,Sigma2),MIN(MaxMultiple,Xm/(1-RAND())^(1/Alpha)))))</f>
        <v>1.3969287001226072</v>
      </c>
      <c r="R94" s="19">
        <f ca="1">IF(RAND()&lt;P_Zero,0,IF(RAND()&lt;CondReturn,_xlfn.LOGNORM.INV(RAND(),MV2,Sigma1),IF(RAND()&lt;CondGood,_xlfn.LOGNORM.INV(RAND(),MV3,Sigma2),MIN(MaxMultiple,Xm/(1-RAND())^(1/Alpha)))))</f>
        <v>1.8987451926152594</v>
      </c>
      <c r="S94" s="19">
        <f ca="1">IF(RAND()&lt;P_Zero,0,IF(RAND()&lt;CondReturn,_xlfn.LOGNORM.INV(RAND(),MV2,Sigma1),IF(RAND()&lt;CondGood,_xlfn.LOGNORM.INV(RAND(),MV3,Sigma2),MIN(MaxMultiple,Xm/(1-RAND())^(1/Alpha)))))</f>
        <v>1.543382859101714</v>
      </c>
      <c r="T94" s="19">
        <f ca="1">IF(RAND()&lt;P_Zero,0,IF(RAND()&lt;CondReturn,_xlfn.LOGNORM.INV(RAND(),MV2,Sigma1),IF(RAND()&lt;CondGood,_xlfn.LOGNORM.INV(RAND(),MV3,Sigma2),MIN(MaxMultiple,Xm/(1-RAND())^(1/Alpha)))))</f>
        <v>0</v>
      </c>
      <c r="U94" s="19">
        <f ca="1">IF(RAND()&lt;P_Zero,0,IF(RAND()&lt;CondReturn,_xlfn.LOGNORM.INV(RAND(),MV2,Sigma1),IF(RAND()&lt;CondGood,_xlfn.LOGNORM.INV(RAND(),MV3,Sigma2),MIN(MaxMultiple,Xm/(1-RAND())^(1/Alpha)))))</f>
        <v>0</v>
      </c>
      <c r="V94" s="19">
        <f ca="1">IF(RAND()&lt;P_Zero,0,IF(RAND()&lt;CondReturn,_xlfn.LOGNORM.INV(RAND(),MV2,Sigma1),IF(RAND()&lt;CondGood,_xlfn.LOGNORM.INV(RAND(),MV3,Sigma2),MIN(MaxMultiple,Xm/(1-RAND())^(1/Alpha)))))</f>
        <v>0</v>
      </c>
      <c r="W94" s="19">
        <f ca="1">IF(RAND()&lt;P_Zero,0,IF(RAND()&lt;CondReturn,_xlfn.LOGNORM.INV(RAND(),MV2,Sigma1),IF(RAND()&lt;CondGood,_xlfn.LOGNORM.INV(RAND(),MV3,Sigma2),MIN(MaxMultiple,Xm/(1-RAND())^(1/Alpha)))))</f>
        <v>0.49857956000561082</v>
      </c>
      <c r="X94" s="19">
        <f ca="1">IF(RAND()&lt;P_Zero,0,IF(RAND()&lt;CondReturn,_xlfn.LOGNORM.INV(RAND(),MV2,Sigma1),IF(RAND()&lt;CondGood,_xlfn.LOGNORM.INV(RAND(),MV3,Sigma2),MIN(MaxMultiple,Xm/(1-RAND())^(1/Alpha)))))</f>
        <v>0</v>
      </c>
      <c r="Y94" s="19">
        <f ca="1">IF(RAND()&lt;P_Zero,0,IF(RAND()&lt;CondReturn,_xlfn.LOGNORM.INV(RAND(),MV2,Sigma1),IF(RAND()&lt;CondGood,_xlfn.LOGNORM.INV(RAND(),MV3,Sigma2),MIN(MaxMultiple,Xm/(1-RAND())^(1/Alpha)))))</f>
        <v>1.1564245019119053</v>
      </c>
      <c r="Z94" s="19">
        <f ca="1">IF(RAND()&lt;P_Zero,0,IF(RAND()&lt;CondReturn,_xlfn.LOGNORM.INV(RAND(),MV2,Sigma1),IF(RAND()&lt;CondGood,_xlfn.LOGNORM.INV(RAND(),MV3,Sigma2),MIN(MaxMultiple,Xm/(1-RAND())^(1/Alpha)))))</f>
        <v>0</v>
      </c>
      <c r="AA94" s="19">
        <f ca="1">IF(RAND()&lt;P_Zero,0,IF(RAND()&lt;CondReturn,_xlfn.LOGNORM.INV(RAND(),MV2,Sigma1),IF(RAND()&lt;CondGood,_xlfn.LOGNORM.INV(RAND(),MV3,Sigma2),MIN(MaxMultiple,Xm/(1-RAND())^(1/Alpha)))))</f>
        <v>0.66500923487853769</v>
      </c>
      <c r="AB94" s="19">
        <f t="shared" ca="1" si="8"/>
        <v>1.2669623419838183</v>
      </c>
      <c r="AC94" s="14">
        <f t="shared" ca="1" si="9"/>
        <v>60814192.415223278</v>
      </c>
      <c r="AD94" s="14">
        <f t="shared" ca="1" si="10"/>
        <v>12814192.415223278</v>
      </c>
      <c r="AE94" s="14">
        <f t="shared" si="11"/>
        <v>55628399.869093813</v>
      </c>
      <c r="AF94" s="14">
        <f t="shared" ca="1" si="12"/>
        <v>0</v>
      </c>
      <c r="AG94" s="14">
        <f t="shared" ca="1" si="13"/>
        <v>0</v>
      </c>
      <c r="AH94" s="14">
        <f t="shared" ca="1" si="14"/>
        <v>60814192.415223278</v>
      </c>
      <c r="AI94" s="19">
        <f t="shared" ca="1" si="15"/>
        <v>1.0135698735870546</v>
      </c>
    </row>
    <row r="95" spans="2:35" x14ac:dyDescent="0.2">
      <c r="B95" s="1">
        <v>90</v>
      </c>
      <c r="C95" s="19">
        <f ca="1">IF(RAND()&lt;P_Zero,0,IF(RAND()&lt;CondReturn,_xlfn.LOGNORM.INV(RAND(),MV2,Sigma1),IF(RAND()&lt;CondGood,_xlfn.LOGNORM.INV(RAND(),MV3,Sigma2),MIN(MaxMultiple,Xm/(1-RAND())^(1/Alpha)))))</f>
        <v>0</v>
      </c>
      <c r="D95" s="19">
        <f ca="1">IF(RAND()&lt;P_Zero,0,IF(RAND()&lt;CondReturn,_xlfn.LOGNORM.INV(RAND(),MV2,Sigma1),IF(RAND()&lt;CondGood,_xlfn.LOGNORM.INV(RAND(),MV3,Sigma2),MIN(MaxMultiple,Xm/(1-RAND())^(1/Alpha)))))</f>
        <v>1.1738337657357722</v>
      </c>
      <c r="E95" s="19">
        <f ca="1">IF(RAND()&lt;P_Zero,0,IF(RAND()&lt;CondReturn,_xlfn.LOGNORM.INV(RAND(),MV2,Sigma1),IF(RAND()&lt;CondGood,_xlfn.LOGNORM.INV(RAND(),MV3,Sigma2),MIN(MaxMultiple,Xm/(1-RAND())^(1/Alpha)))))</f>
        <v>0</v>
      </c>
      <c r="F95" s="19">
        <f ca="1">IF(RAND()&lt;P_Zero,0,IF(RAND()&lt;CondReturn,_xlfn.LOGNORM.INV(RAND(),MV2,Sigma1),IF(RAND()&lt;CondGood,_xlfn.LOGNORM.INV(RAND(),MV3,Sigma2),MIN(MaxMultiple,Xm/(1-RAND())^(1/Alpha)))))</f>
        <v>3.1756324473935722</v>
      </c>
      <c r="G95" s="19">
        <f ca="1">IF(RAND()&lt;P_Zero,0,IF(RAND()&lt;CondReturn,_xlfn.LOGNORM.INV(RAND(),MV2,Sigma1),IF(RAND()&lt;CondGood,_xlfn.LOGNORM.INV(RAND(),MV3,Sigma2),MIN(MaxMultiple,Xm/(1-RAND())^(1/Alpha)))))</f>
        <v>0.7883049747743287</v>
      </c>
      <c r="H95" s="19">
        <f ca="1">IF(RAND()&lt;P_Zero,0,IF(RAND()&lt;CondReturn,_xlfn.LOGNORM.INV(RAND(),MV2,Sigma1),IF(RAND()&lt;CondGood,_xlfn.LOGNORM.INV(RAND(),MV3,Sigma2),MIN(MaxMultiple,Xm/(1-RAND())^(1/Alpha)))))</f>
        <v>24.890570016981421</v>
      </c>
      <c r="I95" s="19">
        <f ca="1">IF(RAND()&lt;P_Zero,0,IF(RAND()&lt;CondReturn,_xlfn.LOGNORM.INV(RAND(),MV2,Sigma1),IF(RAND()&lt;CondGood,_xlfn.LOGNORM.INV(RAND(),MV3,Sigma2),MIN(MaxMultiple,Xm/(1-RAND())^(1/Alpha)))))</f>
        <v>1.2893519818367154</v>
      </c>
      <c r="J95" s="19">
        <f ca="1">IF(RAND()&lt;P_Zero,0,IF(RAND()&lt;CondReturn,_xlfn.LOGNORM.INV(RAND(),MV2,Sigma1),IF(RAND()&lt;CondGood,_xlfn.LOGNORM.INV(RAND(),MV3,Sigma2),MIN(MaxMultiple,Xm/(1-RAND())^(1/Alpha)))))</f>
        <v>0.46049859126403453</v>
      </c>
      <c r="K95" s="19">
        <f ca="1">IF(RAND()&lt;P_Zero,0,IF(RAND()&lt;CondReturn,_xlfn.LOGNORM.INV(RAND(),MV2,Sigma1),IF(RAND()&lt;CondGood,_xlfn.LOGNORM.INV(RAND(),MV3,Sigma2),MIN(MaxMultiple,Xm/(1-RAND())^(1/Alpha)))))</f>
        <v>0</v>
      </c>
      <c r="L95" s="19">
        <f ca="1">IF(RAND()&lt;P_Zero,0,IF(RAND()&lt;CondReturn,_xlfn.LOGNORM.INV(RAND(),MV2,Sigma1),IF(RAND()&lt;CondGood,_xlfn.LOGNORM.INV(RAND(),MV3,Sigma2),MIN(MaxMultiple,Xm/(1-RAND())^(1/Alpha)))))</f>
        <v>0</v>
      </c>
      <c r="M95" s="19">
        <f ca="1">IF(RAND()&lt;P_Zero,0,IF(RAND()&lt;CondReturn,_xlfn.LOGNORM.INV(RAND(),MV2,Sigma1),IF(RAND()&lt;CondGood,_xlfn.LOGNORM.INV(RAND(),MV3,Sigma2),MIN(MaxMultiple,Xm/(1-RAND())^(1/Alpha)))))</f>
        <v>0.76067141221979595</v>
      </c>
      <c r="N95" s="19">
        <f ca="1">IF(RAND()&lt;P_Zero,0,IF(RAND()&lt;CondReturn,_xlfn.LOGNORM.INV(RAND(),MV2,Sigma1),IF(RAND()&lt;CondGood,_xlfn.LOGNORM.INV(RAND(),MV3,Sigma2),MIN(MaxMultiple,Xm/(1-RAND())^(1/Alpha)))))</f>
        <v>0.7753259433503763</v>
      </c>
      <c r="O95" s="19">
        <f ca="1">IF(RAND()&lt;P_Zero,0,IF(RAND()&lt;CondReturn,_xlfn.LOGNORM.INV(RAND(),MV2,Sigma1),IF(RAND()&lt;CondGood,_xlfn.LOGNORM.INV(RAND(),MV3,Sigma2),MIN(MaxMultiple,Xm/(1-RAND())^(1/Alpha)))))</f>
        <v>0.57159507562605627</v>
      </c>
      <c r="P95" s="19">
        <f ca="1">IF(RAND()&lt;P_Zero,0,IF(RAND()&lt;CondReturn,_xlfn.LOGNORM.INV(RAND(),MV2,Sigma1),IF(RAND()&lt;CondGood,_xlfn.LOGNORM.INV(RAND(),MV3,Sigma2),MIN(MaxMultiple,Xm/(1-RAND())^(1/Alpha)))))</f>
        <v>3.4300027620569238</v>
      </c>
      <c r="Q95" s="19">
        <f ca="1">IF(RAND()&lt;P_Zero,0,IF(RAND()&lt;CondReturn,_xlfn.LOGNORM.INV(RAND(),MV2,Sigma1),IF(RAND()&lt;CondGood,_xlfn.LOGNORM.INV(RAND(),MV3,Sigma2),MIN(MaxMultiple,Xm/(1-RAND())^(1/Alpha)))))</f>
        <v>0</v>
      </c>
      <c r="R95" s="19">
        <f ca="1">IF(RAND()&lt;P_Zero,0,IF(RAND()&lt;CondReturn,_xlfn.LOGNORM.INV(RAND(),MV2,Sigma1),IF(RAND()&lt;CondGood,_xlfn.LOGNORM.INV(RAND(),MV3,Sigma2),MIN(MaxMultiple,Xm/(1-RAND())^(1/Alpha)))))</f>
        <v>0.7710642191641881</v>
      </c>
      <c r="S95" s="19">
        <f ca="1">IF(RAND()&lt;P_Zero,0,IF(RAND()&lt;CondReturn,_xlfn.LOGNORM.INV(RAND(),MV2,Sigma1),IF(RAND()&lt;CondGood,_xlfn.LOGNORM.INV(RAND(),MV3,Sigma2),MIN(MaxMultiple,Xm/(1-RAND())^(1/Alpha)))))</f>
        <v>2.8665939831690319</v>
      </c>
      <c r="T95" s="19">
        <f ca="1">IF(RAND()&lt;P_Zero,0,IF(RAND()&lt;CondReturn,_xlfn.LOGNORM.INV(RAND(),MV2,Sigma1),IF(RAND()&lt;CondGood,_xlfn.LOGNORM.INV(RAND(),MV3,Sigma2),MIN(MaxMultiple,Xm/(1-RAND())^(1/Alpha)))))</f>
        <v>1.3959422813358786</v>
      </c>
      <c r="U95" s="19">
        <f ca="1">IF(RAND()&lt;P_Zero,0,IF(RAND()&lt;CondReturn,_xlfn.LOGNORM.INV(RAND(),MV2,Sigma1),IF(RAND()&lt;CondGood,_xlfn.LOGNORM.INV(RAND(),MV3,Sigma2),MIN(MaxMultiple,Xm/(1-RAND())^(1/Alpha)))))</f>
        <v>0.79750624239482548</v>
      </c>
      <c r="V95" s="19">
        <f ca="1">IF(RAND()&lt;P_Zero,0,IF(RAND()&lt;CondReturn,_xlfn.LOGNORM.INV(RAND(),MV2,Sigma1),IF(RAND()&lt;CondGood,_xlfn.LOGNORM.INV(RAND(),MV3,Sigma2),MIN(MaxMultiple,Xm/(1-RAND())^(1/Alpha)))))</f>
        <v>1.2965066382725507</v>
      </c>
      <c r="W95" s="19">
        <f ca="1">IF(RAND()&lt;P_Zero,0,IF(RAND()&lt;CondReturn,_xlfn.LOGNORM.INV(RAND(),MV2,Sigma1),IF(RAND()&lt;CondGood,_xlfn.LOGNORM.INV(RAND(),MV3,Sigma2),MIN(MaxMultiple,Xm/(1-RAND())^(1/Alpha)))))</f>
        <v>1.4437798692988</v>
      </c>
      <c r="X95" s="19">
        <f ca="1">IF(RAND()&lt;P_Zero,0,IF(RAND()&lt;CondReturn,_xlfn.LOGNORM.INV(RAND(),MV2,Sigma1),IF(RAND()&lt;CondGood,_xlfn.LOGNORM.INV(RAND(),MV3,Sigma2),MIN(MaxMultiple,Xm/(1-RAND())^(1/Alpha)))))</f>
        <v>11.87832254174385</v>
      </c>
      <c r="Y95" s="19">
        <f ca="1">IF(RAND()&lt;P_Zero,0,IF(RAND()&lt;CondReturn,_xlfn.LOGNORM.INV(RAND(),MV2,Sigma1),IF(RAND()&lt;CondGood,_xlfn.LOGNORM.INV(RAND(),MV3,Sigma2),MIN(MaxMultiple,Xm/(1-RAND())^(1/Alpha)))))</f>
        <v>1.5278455399544644</v>
      </c>
      <c r="Z95" s="19">
        <f ca="1">IF(RAND()&lt;P_Zero,0,IF(RAND()&lt;CondReturn,_xlfn.LOGNORM.INV(RAND(),MV2,Sigma1),IF(RAND()&lt;CondGood,_xlfn.LOGNORM.INV(RAND(),MV3,Sigma2),MIN(MaxMultiple,Xm/(1-RAND())^(1/Alpha)))))</f>
        <v>0</v>
      </c>
      <c r="AA95" s="19">
        <f ca="1">IF(RAND()&lt;P_Zero,0,IF(RAND()&lt;CondReturn,_xlfn.LOGNORM.INV(RAND(),MV2,Sigma1),IF(RAND()&lt;CondGood,_xlfn.LOGNORM.INV(RAND(),MV3,Sigma2),MIN(MaxMultiple,Xm/(1-RAND())^(1/Alpha)))))</f>
        <v>1.628023424027371</v>
      </c>
      <c r="AB95" s="19">
        <f t="shared" ca="1" si="8"/>
        <v>2.4368548684239979</v>
      </c>
      <c r="AC95" s="14">
        <f t="shared" ca="1" si="9"/>
        <v>116969033.68435191</v>
      </c>
      <c r="AD95" s="14">
        <f t="shared" ca="1" si="10"/>
        <v>68969033.684351906</v>
      </c>
      <c r="AE95" s="14">
        <f t="shared" si="11"/>
        <v>55628399.869093813</v>
      </c>
      <c r="AF95" s="14">
        <f t="shared" ca="1" si="12"/>
        <v>13340633.815258093</v>
      </c>
      <c r="AG95" s="14">
        <f t="shared" ca="1" si="13"/>
        <v>2668126.7630516188</v>
      </c>
      <c r="AH95" s="14">
        <f t="shared" ca="1" si="14"/>
        <v>114300906.92130029</v>
      </c>
      <c r="AI95" s="19">
        <f t="shared" ca="1" si="15"/>
        <v>1.9050151153550048</v>
      </c>
    </row>
    <row r="96" spans="2:35" x14ac:dyDescent="0.2">
      <c r="B96" s="1">
        <v>91</v>
      </c>
      <c r="C96" s="19">
        <f ca="1">IF(RAND()&lt;P_Zero,0,IF(RAND()&lt;CondReturn,_xlfn.LOGNORM.INV(RAND(),MV2,Sigma1),IF(RAND()&lt;CondGood,_xlfn.LOGNORM.INV(RAND(),MV3,Sigma2),MIN(MaxMultiple,Xm/(1-RAND())^(1/Alpha)))))</f>
        <v>0</v>
      </c>
      <c r="D96" s="19">
        <f ca="1">IF(RAND()&lt;P_Zero,0,IF(RAND()&lt;CondReturn,_xlfn.LOGNORM.INV(RAND(),MV2,Sigma1),IF(RAND()&lt;CondGood,_xlfn.LOGNORM.INV(RAND(),MV3,Sigma2),MIN(MaxMultiple,Xm/(1-RAND())^(1/Alpha)))))</f>
        <v>0.94352436813562979</v>
      </c>
      <c r="E96" s="19">
        <f ca="1">IF(RAND()&lt;P_Zero,0,IF(RAND()&lt;CondReturn,_xlfn.LOGNORM.INV(RAND(),MV2,Sigma1),IF(RAND()&lt;CondGood,_xlfn.LOGNORM.INV(RAND(),MV3,Sigma2),MIN(MaxMultiple,Xm/(1-RAND())^(1/Alpha)))))</f>
        <v>0</v>
      </c>
      <c r="F96" s="19">
        <f ca="1">IF(RAND()&lt;P_Zero,0,IF(RAND()&lt;CondReturn,_xlfn.LOGNORM.INV(RAND(),MV2,Sigma1),IF(RAND()&lt;CondGood,_xlfn.LOGNORM.INV(RAND(),MV3,Sigma2),MIN(MaxMultiple,Xm/(1-RAND())^(1/Alpha)))))</f>
        <v>0.91529373365641475</v>
      </c>
      <c r="G96" s="19">
        <f ca="1">IF(RAND()&lt;P_Zero,0,IF(RAND()&lt;CondReturn,_xlfn.LOGNORM.INV(RAND(),MV2,Sigma1),IF(RAND()&lt;CondGood,_xlfn.LOGNORM.INV(RAND(),MV3,Sigma2),MIN(MaxMultiple,Xm/(1-RAND())^(1/Alpha)))))</f>
        <v>1.559987187117841</v>
      </c>
      <c r="H96" s="19">
        <f ca="1">IF(RAND()&lt;P_Zero,0,IF(RAND()&lt;CondReturn,_xlfn.LOGNORM.INV(RAND(),MV2,Sigma1),IF(RAND()&lt;CondGood,_xlfn.LOGNORM.INV(RAND(),MV3,Sigma2),MIN(MaxMultiple,Xm/(1-RAND())^(1/Alpha)))))</f>
        <v>0</v>
      </c>
      <c r="I96" s="19">
        <f ca="1">IF(RAND()&lt;P_Zero,0,IF(RAND()&lt;CondReturn,_xlfn.LOGNORM.INV(RAND(),MV2,Sigma1),IF(RAND()&lt;CondGood,_xlfn.LOGNORM.INV(RAND(),MV3,Sigma2),MIN(MaxMultiple,Xm/(1-RAND())^(1/Alpha)))))</f>
        <v>1.2840549713035296</v>
      </c>
      <c r="J96" s="19">
        <f ca="1">IF(RAND()&lt;P_Zero,0,IF(RAND()&lt;CondReturn,_xlfn.LOGNORM.INV(RAND(),MV2,Sigma1),IF(RAND()&lt;CondGood,_xlfn.LOGNORM.INV(RAND(),MV3,Sigma2),MIN(MaxMultiple,Xm/(1-RAND())^(1/Alpha)))))</f>
        <v>0</v>
      </c>
      <c r="K96" s="19">
        <f ca="1">IF(RAND()&lt;P_Zero,0,IF(RAND()&lt;CondReturn,_xlfn.LOGNORM.INV(RAND(),MV2,Sigma1),IF(RAND()&lt;CondGood,_xlfn.LOGNORM.INV(RAND(),MV3,Sigma2),MIN(MaxMultiple,Xm/(1-RAND())^(1/Alpha)))))</f>
        <v>0.51419124874424438</v>
      </c>
      <c r="L96" s="19">
        <f ca="1">IF(RAND()&lt;P_Zero,0,IF(RAND()&lt;CondReturn,_xlfn.LOGNORM.INV(RAND(),MV2,Sigma1),IF(RAND()&lt;CondGood,_xlfn.LOGNORM.INV(RAND(),MV3,Sigma2),MIN(MaxMultiple,Xm/(1-RAND())^(1/Alpha)))))</f>
        <v>18.927747173278675</v>
      </c>
      <c r="M96" s="19">
        <f ca="1">IF(RAND()&lt;P_Zero,0,IF(RAND()&lt;CondReturn,_xlfn.LOGNORM.INV(RAND(),MV2,Sigma1),IF(RAND()&lt;CondGood,_xlfn.LOGNORM.INV(RAND(),MV3,Sigma2),MIN(MaxMultiple,Xm/(1-RAND())^(1/Alpha)))))</f>
        <v>0.80416377291901497</v>
      </c>
      <c r="N96" s="19">
        <f ca="1">IF(RAND()&lt;P_Zero,0,IF(RAND()&lt;CondReturn,_xlfn.LOGNORM.INV(RAND(),MV2,Sigma1),IF(RAND()&lt;CondGood,_xlfn.LOGNORM.INV(RAND(),MV3,Sigma2),MIN(MaxMultiple,Xm/(1-RAND())^(1/Alpha)))))</f>
        <v>0.76338936484623765</v>
      </c>
      <c r="O96" s="19">
        <f ca="1">IF(RAND()&lt;P_Zero,0,IF(RAND()&lt;CondReturn,_xlfn.LOGNORM.INV(RAND(),MV2,Sigma1),IF(RAND()&lt;CondGood,_xlfn.LOGNORM.INV(RAND(),MV3,Sigma2),MIN(MaxMultiple,Xm/(1-RAND())^(1/Alpha)))))</f>
        <v>0</v>
      </c>
      <c r="P96" s="19">
        <f ca="1">IF(RAND()&lt;P_Zero,0,IF(RAND()&lt;CondReturn,_xlfn.LOGNORM.INV(RAND(),MV2,Sigma1),IF(RAND()&lt;CondGood,_xlfn.LOGNORM.INV(RAND(),MV3,Sigma2),MIN(MaxMultiple,Xm/(1-RAND())^(1/Alpha)))))</f>
        <v>0</v>
      </c>
      <c r="Q96" s="19">
        <f ca="1">IF(RAND()&lt;P_Zero,0,IF(RAND()&lt;CondReturn,_xlfn.LOGNORM.INV(RAND(),MV2,Sigma1),IF(RAND()&lt;CondGood,_xlfn.LOGNORM.INV(RAND(),MV3,Sigma2),MIN(MaxMultiple,Xm/(1-RAND())^(1/Alpha)))))</f>
        <v>0</v>
      </c>
      <c r="R96" s="19">
        <f ca="1">IF(RAND()&lt;P_Zero,0,IF(RAND()&lt;CondReturn,_xlfn.LOGNORM.INV(RAND(),MV2,Sigma1),IF(RAND()&lt;CondGood,_xlfn.LOGNORM.INV(RAND(),MV3,Sigma2),MIN(MaxMultiple,Xm/(1-RAND())^(1/Alpha)))))</f>
        <v>0.6491188074245533</v>
      </c>
      <c r="S96" s="19">
        <f ca="1">IF(RAND()&lt;P_Zero,0,IF(RAND()&lt;CondReturn,_xlfn.LOGNORM.INV(RAND(),MV2,Sigma1),IF(RAND()&lt;CondGood,_xlfn.LOGNORM.INV(RAND(),MV3,Sigma2),MIN(MaxMultiple,Xm/(1-RAND())^(1/Alpha)))))</f>
        <v>1.2129540133616468</v>
      </c>
      <c r="T96" s="19">
        <f ca="1">IF(RAND()&lt;P_Zero,0,IF(RAND()&lt;CondReturn,_xlfn.LOGNORM.INV(RAND(),MV2,Sigma1),IF(RAND()&lt;CondGood,_xlfn.LOGNORM.INV(RAND(),MV3,Sigma2),MIN(MaxMultiple,Xm/(1-RAND())^(1/Alpha)))))</f>
        <v>0</v>
      </c>
      <c r="U96" s="19">
        <f ca="1">IF(RAND()&lt;P_Zero,0,IF(RAND()&lt;CondReturn,_xlfn.LOGNORM.INV(RAND(),MV2,Sigma1),IF(RAND()&lt;CondGood,_xlfn.LOGNORM.INV(RAND(),MV3,Sigma2),MIN(MaxMultiple,Xm/(1-RAND())^(1/Alpha)))))</f>
        <v>0</v>
      </c>
      <c r="V96" s="19">
        <f ca="1">IF(RAND()&lt;P_Zero,0,IF(RAND()&lt;CondReturn,_xlfn.LOGNORM.INV(RAND(),MV2,Sigma1),IF(RAND()&lt;CondGood,_xlfn.LOGNORM.INV(RAND(),MV3,Sigma2),MIN(MaxMultiple,Xm/(1-RAND())^(1/Alpha)))))</f>
        <v>0</v>
      </c>
      <c r="W96" s="19">
        <f ca="1">IF(RAND()&lt;P_Zero,0,IF(RAND()&lt;CondReturn,_xlfn.LOGNORM.INV(RAND(),MV2,Sigma1),IF(RAND()&lt;CondGood,_xlfn.LOGNORM.INV(RAND(),MV3,Sigma2),MIN(MaxMultiple,Xm/(1-RAND())^(1/Alpha)))))</f>
        <v>0.73693033516676465</v>
      </c>
      <c r="X96" s="19">
        <f ca="1">IF(RAND()&lt;P_Zero,0,IF(RAND()&lt;CondReturn,_xlfn.LOGNORM.INV(RAND(),MV2,Sigma1),IF(RAND()&lt;CondGood,_xlfn.LOGNORM.INV(RAND(),MV3,Sigma2),MIN(MaxMultiple,Xm/(1-RAND())^(1/Alpha)))))</f>
        <v>1.7556536981613684</v>
      </c>
      <c r="Y96" s="19">
        <f ca="1">IF(RAND()&lt;P_Zero,0,IF(RAND()&lt;CondReturn,_xlfn.LOGNORM.INV(RAND(),MV2,Sigma1),IF(RAND()&lt;CondGood,_xlfn.LOGNORM.INV(RAND(),MV3,Sigma2),MIN(MaxMultiple,Xm/(1-RAND())^(1/Alpha)))))</f>
        <v>0</v>
      </c>
      <c r="Z96" s="19">
        <f ca="1">IF(RAND()&lt;P_Zero,0,IF(RAND()&lt;CondReturn,_xlfn.LOGNORM.INV(RAND(),MV2,Sigma1),IF(RAND()&lt;CondGood,_xlfn.LOGNORM.INV(RAND(),MV3,Sigma2),MIN(MaxMultiple,Xm/(1-RAND())^(1/Alpha)))))</f>
        <v>0.61067588521848803</v>
      </c>
      <c r="AA96" s="19">
        <f ca="1">IF(RAND()&lt;P_Zero,0,IF(RAND()&lt;CondReturn,_xlfn.LOGNORM.INV(RAND(),MV2,Sigma1),IF(RAND()&lt;CondGood,_xlfn.LOGNORM.INV(RAND(),MV3,Sigma2),MIN(MaxMultiple,Xm/(1-RAND())^(1/Alpha)))))</f>
        <v>0</v>
      </c>
      <c r="AB96" s="19">
        <f t="shared" ca="1" si="8"/>
        <v>1.2271073823733762</v>
      </c>
      <c r="AC96" s="14">
        <f t="shared" ca="1" si="9"/>
        <v>58901154.353922062</v>
      </c>
      <c r="AD96" s="14">
        <f t="shared" ca="1" si="10"/>
        <v>10901154.353922062</v>
      </c>
      <c r="AE96" s="14">
        <f t="shared" si="11"/>
        <v>55628399.869093813</v>
      </c>
      <c r="AF96" s="14">
        <f t="shared" ca="1" si="12"/>
        <v>0</v>
      </c>
      <c r="AG96" s="14">
        <f t="shared" ca="1" si="13"/>
        <v>0</v>
      </c>
      <c r="AH96" s="14">
        <f t="shared" ca="1" si="14"/>
        <v>58901154.353922062</v>
      </c>
      <c r="AI96" s="19">
        <f t="shared" ca="1" si="15"/>
        <v>0.98168590589870097</v>
      </c>
    </row>
    <row r="97" spans="2:35" x14ac:dyDescent="0.2">
      <c r="B97" s="1">
        <v>92</v>
      </c>
      <c r="C97" s="19">
        <f ca="1">IF(RAND()&lt;P_Zero,0,IF(RAND()&lt;CondReturn,_xlfn.LOGNORM.INV(RAND(),MV2,Sigma1),IF(RAND()&lt;CondGood,_xlfn.LOGNORM.INV(RAND(),MV3,Sigma2),MIN(MaxMultiple,Xm/(1-RAND())^(1/Alpha)))))</f>
        <v>0</v>
      </c>
      <c r="D97" s="19">
        <f ca="1">IF(RAND()&lt;P_Zero,0,IF(RAND()&lt;CondReturn,_xlfn.LOGNORM.INV(RAND(),MV2,Sigma1),IF(RAND()&lt;CondGood,_xlfn.LOGNORM.INV(RAND(),MV3,Sigma2),MIN(MaxMultiple,Xm/(1-RAND())^(1/Alpha)))))</f>
        <v>0.61019207652099461</v>
      </c>
      <c r="E97" s="19">
        <f ca="1">IF(RAND()&lt;P_Zero,0,IF(RAND()&lt;CondReturn,_xlfn.LOGNORM.INV(RAND(),MV2,Sigma1),IF(RAND()&lt;CondGood,_xlfn.LOGNORM.INV(RAND(),MV3,Sigma2),MIN(MaxMultiple,Xm/(1-RAND())^(1/Alpha)))))</f>
        <v>0.44485422299483873</v>
      </c>
      <c r="F97" s="19">
        <f ca="1">IF(RAND()&lt;P_Zero,0,IF(RAND()&lt;CondReturn,_xlfn.LOGNORM.INV(RAND(),MV2,Sigma1),IF(RAND()&lt;CondGood,_xlfn.LOGNORM.INV(RAND(),MV3,Sigma2),MIN(MaxMultiple,Xm/(1-RAND())^(1/Alpha)))))</f>
        <v>0.54212976846926586</v>
      </c>
      <c r="G97" s="19">
        <f ca="1">IF(RAND()&lt;P_Zero,0,IF(RAND()&lt;CondReturn,_xlfn.LOGNORM.INV(RAND(),MV2,Sigma1),IF(RAND()&lt;CondGood,_xlfn.LOGNORM.INV(RAND(),MV3,Sigma2),MIN(MaxMultiple,Xm/(1-RAND())^(1/Alpha)))))</f>
        <v>0.51941762098986088</v>
      </c>
      <c r="H97" s="19">
        <f ca="1">IF(RAND()&lt;P_Zero,0,IF(RAND()&lt;CondReturn,_xlfn.LOGNORM.INV(RAND(),MV2,Sigma1),IF(RAND()&lt;CondGood,_xlfn.LOGNORM.INV(RAND(),MV3,Sigma2),MIN(MaxMultiple,Xm/(1-RAND())^(1/Alpha)))))</f>
        <v>1.0392878221352744</v>
      </c>
      <c r="I97" s="19">
        <f ca="1">IF(RAND()&lt;P_Zero,0,IF(RAND()&lt;CondReturn,_xlfn.LOGNORM.INV(RAND(),MV2,Sigma1),IF(RAND()&lt;CondGood,_xlfn.LOGNORM.INV(RAND(),MV3,Sigma2),MIN(MaxMultiple,Xm/(1-RAND())^(1/Alpha)))))</f>
        <v>0</v>
      </c>
      <c r="J97" s="19">
        <f ca="1">IF(RAND()&lt;P_Zero,0,IF(RAND()&lt;CondReturn,_xlfn.LOGNORM.INV(RAND(),MV2,Sigma1),IF(RAND()&lt;CondGood,_xlfn.LOGNORM.INV(RAND(),MV3,Sigma2),MIN(MaxMultiple,Xm/(1-RAND())^(1/Alpha)))))</f>
        <v>0</v>
      </c>
      <c r="K97" s="19">
        <f ca="1">IF(RAND()&lt;P_Zero,0,IF(RAND()&lt;CondReturn,_xlfn.LOGNORM.INV(RAND(),MV2,Sigma1),IF(RAND()&lt;CondGood,_xlfn.LOGNORM.INV(RAND(),MV3,Sigma2),MIN(MaxMultiple,Xm/(1-RAND())^(1/Alpha)))))</f>
        <v>0</v>
      </c>
      <c r="L97" s="19">
        <f ca="1">IF(RAND()&lt;P_Zero,0,IF(RAND()&lt;CondReturn,_xlfn.LOGNORM.INV(RAND(),MV2,Sigma1),IF(RAND()&lt;CondGood,_xlfn.LOGNORM.INV(RAND(),MV3,Sigma2),MIN(MaxMultiple,Xm/(1-RAND())^(1/Alpha)))))</f>
        <v>0.43766200727009164</v>
      </c>
      <c r="M97" s="19">
        <f ca="1">IF(RAND()&lt;P_Zero,0,IF(RAND()&lt;CondReturn,_xlfn.LOGNORM.INV(RAND(),MV2,Sigma1),IF(RAND()&lt;CondGood,_xlfn.LOGNORM.INV(RAND(),MV3,Sigma2),MIN(MaxMultiple,Xm/(1-RAND())^(1/Alpha)))))</f>
        <v>0</v>
      </c>
      <c r="N97" s="19">
        <f ca="1">IF(RAND()&lt;P_Zero,0,IF(RAND()&lt;CondReturn,_xlfn.LOGNORM.INV(RAND(),MV2,Sigma1),IF(RAND()&lt;CondGood,_xlfn.LOGNORM.INV(RAND(),MV3,Sigma2),MIN(MaxMultiple,Xm/(1-RAND())^(1/Alpha)))))</f>
        <v>0.81538772163821338</v>
      </c>
      <c r="O97" s="19">
        <f ca="1">IF(RAND()&lt;P_Zero,0,IF(RAND()&lt;CondReturn,_xlfn.LOGNORM.INV(RAND(),MV2,Sigma1),IF(RAND()&lt;CondGood,_xlfn.LOGNORM.INV(RAND(),MV3,Sigma2),MIN(MaxMultiple,Xm/(1-RAND())^(1/Alpha)))))</f>
        <v>0</v>
      </c>
      <c r="P97" s="19">
        <f ca="1">IF(RAND()&lt;P_Zero,0,IF(RAND()&lt;CondReturn,_xlfn.LOGNORM.INV(RAND(),MV2,Sigma1),IF(RAND()&lt;CondGood,_xlfn.LOGNORM.INV(RAND(),MV3,Sigma2),MIN(MaxMultiple,Xm/(1-RAND())^(1/Alpha)))))</f>
        <v>0.85547062296122089</v>
      </c>
      <c r="Q97" s="19">
        <f ca="1">IF(RAND()&lt;P_Zero,0,IF(RAND()&lt;CondReturn,_xlfn.LOGNORM.INV(RAND(),MV2,Sigma1),IF(RAND()&lt;CondGood,_xlfn.LOGNORM.INV(RAND(),MV3,Sigma2),MIN(MaxMultiple,Xm/(1-RAND())^(1/Alpha)))))</f>
        <v>1.2350442513589617</v>
      </c>
      <c r="R97" s="19">
        <f ca="1">IF(RAND()&lt;P_Zero,0,IF(RAND()&lt;CondReturn,_xlfn.LOGNORM.INV(RAND(),MV2,Sigma1),IF(RAND()&lt;CondGood,_xlfn.LOGNORM.INV(RAND(),MV3,Sigma2),MIN(MaxMultiple,Xm/(1-RAND())^(1/Alpha)))))</f>
        <v>36.451517885348878</v>
      </c>
      <c r="S97" s="19">
        <f ca="1">IF(RAND()&lt;P_Zero,0,IF(RAND()&lt;CondReturn,_xlfn.LOGNORM.INV(RAND(),MV2,Sigma1),IF(RAND()&lt;CondGood,_xlfn.LOGNORM.INV(RAND(),MV3,Sigma2),MIN(MaxMultiple,Xm/(1-RAND())^(1/Alpha)))))</f>
        <v>1.6242585974083656</v>
      </c>
      <c r="T97" s="19">
        <f ca="1">IF(RAND()&lt;P_Zero,0,IF(RAND()&lt;CondReturn,_xlfn.LOGNORM.INV(RAND(),MV2,Sigma1),IF(RAND()&lt;CondGood,_xlfn.LOGNORM.INV(RAND(),MV3,Sigma2),MIN(MaxMultiple,Xm/(1-RAND())^(1/Alpha)))))</f>
        <v>0</v>
      </c>
      <c r="U97" s="19">
        <f ca="1">IF(RAND()&lt;P_Zero,0,IF(RAND()&lt;CondReturn,_xlfn.LOGNORM.INV(RAND(),MV2,Sigma1),IF(RAND()&lt;CondGood,_xlfn.LOGNORM.INV(RAND(),MV3,Sigma2),MIN(MaxMultiple,Xm/(1-RAND())^(1/Alpha)))))</f>
        <v>0.4928855672832706</v>
      </c>
      <c r="V97" s="19">
        <f ca="1">IF(RAND()&lt;P_Zero,0,IF(RAND()&lt;CondReturn,_xlfn.LOGNORM.INV(RAND(),MV2,Sigma1),IF(RAND()&lt;CondGood,_xlfn.LOGNORM.INV(RAND(),MV3,Sigma2),MIN(MaxMultiple,Xm/(1-RAND())^(1/Alpha)))))</f>
        <v>0.69678274860259659</v>
      </c>
      <c r="W97" s="19">
        <f ca="1">IF(RAND()&lt;P_Zero,0,IF(RAND()&lt;CondReturn,_xlfn.LOGNORM.INV(RAND(),MV2,Sigma1),IF(RAND()&lt;CondGood,_xlfn.LOGNORM.INV(RAND(),MV3,Sigma2),MIN(MaxMultiple,Xm/(1-RAND())^(1/Alpha)))))</f>
        <v>1.4857272292497452</v>
      </c>
      <c r="X97" s="19">
        <f ca="1">IF(RAND()&lt;P_Zero,0,IF(RAND()&lt;CondReturn,_xlfn.LOGNORM.INV(RAND(),MV2,Sigma1),IF(RAND()&lt;CondGood,_xlfn.LOGNORM.INV(RAND(),MV3,Sigma2),MIN(MaxMultiple,Xm/(1-RAND())^(1/Alpha)))))</f>
        <v>0.93580204527993183</v>
      </c>
      <c r="Y97" s="19">
        <f ca="1">IF(RAND()&lt;P_Zero,0,IF(RAND()&lt;CondReturn,_xlfn.LOGNORM.INV(RAND(),MV2,Sigma1),IF(RAND()&lt;CondGood,_xlfn.LOGNORM.INV(RAND(),MV3,Sigma2),MIN(MaxMultiple,Xm/(1-RAND())^(1/Alpha)))))</f>
        <v>1.2470792638269605</v>
      </c>
      <c r="Z97" s="19">
        <f ca="1">IF(RAND()&lt;P_Zero,0,IF(RAND()&lt;CondReturn,_xlfn.LOGNORM.INV(RAND(),MV2,Sigma1),IF(RAND()&lt;CondGood,_xlfn.LOGNORM.INV(RAND(),MV3,Sigma2),MIN(MaxMultiple,Xm/(1-RAND())^(1/Alpha)))))</f>
        <v>1.1770840860152718</v>
      </c>
      <c r="AA97" s="19">
        <f ca="1">IF(RAND()&lt;P_Zero,0,IF(RAND()&lt;CondReturn,_xlfn.LOGNORM.INV(RAND(),MV2,Sigma1),IF(RAND()&lt;CondGood,_xlfn.LOGNORM.INV(RAND(),MV3,Sigma2),MIN(MaxMultiple,Xm/(1-RAND())^(1/Alpha)))))</f>
        <v>0.66589641173740322</v>
      </c>
      <c r="AB97" s="19">
        <f t="shared" ca="1" si="8"/>
        <v>2.0510591979636459</v>
      </c>
      <c r="AC97" s="14">
        <f t="shared" ca="1" si="9"/>
        <v>98450841.502255008</v>
      </c>
      <c r="AD97" s="14">
        <f t="shared" ca="1" si="10"/>
        <v>50450841.502255008</v>
      </c>
      <c r="AE97" s="14">
        <f t="shared" si="11"/>
        <v>55628399.869093813</v>
      </c>
      <c r="AF97" s="14">
        <f t="shared" ca="1" si="12"/>
        <v>0</v>
      </c>
      <c r="AG97" s="14">
        <f t="shared" ca="1" si="13"/>
        <v>0</v>
      </c>
      <c r="AH97" s="14">
        <f t="shared" ca="1" si="14"/>
        <v>98450841.502255008</v>
      </c>
      <c r="AI97" s="19">
        <f t="shared" ca="1" si="15"/>
        <v>1.6408473583709169</v>
      </c>
    </row>
    <row r="98" spans="2:35" x14ac:dyDescent="0.2">
      <c r="B98" s="1">
        <v>93</v>
      </c>
      <c r="C98" s="19">
        <f ca="1">IF(RAND()&lt;P_Zero,0,IF(RAND()&lt;CondReturn,_xlfn.LOGNORM.INV(RAND(),MV2,Sigma1),IF(RAND()&lt;CondGood,_xlfn.LOGNORM.INV(RAND(),MV3,Sigma2),MIN(MaxMultiple,Xm/(1-RAND())^(1/Alpha)))))</f>
        <v>0.60725201043665056</v>
      </c>
      <c r="D98" s="19">
        <f ca="1">IF(RAND()&lt;P_Zero,0,IF(RAND()&lt;CondReturn,_xlfn.LOGNORM.INV(RAND(),MV2,Sigma1),IF(RAND()&lt;CondGood,_xlfn.LOGNORM.INV(RAND(),MV3,Sigma2),MIN(MaxMultiple,Xm/(1-RAND())^(1/Alpha)))))</f>
        <v>0</v>
      </c>
      <c r="E98" s="19">
        <f ca="1">IF(RAND()&lt;P_Zero,0,IF(RAND()&lt;CondReturn,_xlfn.LOGNORM.INV(RAND(),MV2,Sigma1),IF(RAND()&lt;CondGood,_xlfn.LOGNORM.INV(RAND(),MV3,Sigma2),MIN(MaxMultiple,Xm/(1-RAND())^(1/Alpha)))))</f>
        <v>1.055716697167965</v>
      </c>
      <c r="F98" s="19">
        <f ca="1">IF(RAND()&lt;P_Zero,0,IF(RAND()&lt;CondReturn,_xlfn.LOGNORM.INV(RAND(),MV2,Sigma1),IF(RAND()&lt;CondGood,_xlfn.LOGNORM.INV(RAND(),MV3,Sigma2),MIN(MaxMultiple,Xm/(1-RAND())^(1/Alpha)))))</f>
        <v>0</v>
      </c>
      <c r="G98" s="19">
        <f ca="1">IF(RAND()&lt;P_Zero,0,IF(RAND()&lt;CondReturn,_xlfn.LOGNORM.INV(RAND(),MV2,Sigma1),IF(RAND()&lt;CondGood,_xlfn.LOGNORM.INV(RAND(),MV3,Sigma2),MIN(MaxMultiple,Xm/(1-RAND())^(1/Alpha)))))</f>
        <v>0</v>
      </c>
      <c r="H98" s="19">
        <f ca="1">IF(RAND()&lt;P_Zero,0,IF(RAND()&lt;CondReturn,_xlfn.LOGNORM.INV(RAND(),MV2,Sigma1),IF(RAND()&lt;CondGood,_xlfn.LOGNORM.INV(RAND(),MV3,Sigma2),MIN(MaxMultiple,Xm/(1-RAND())^(1/Alpha)))))</f>
        <v>0.68549239470051804</v>
      </c>
      <c r="I98" s="19">
        <f ca="1">IF(RAND()&lt;P_Zero,0,IF(RAND()&lt;CondReturn,_xlfn.LOGNORM.INV(RAND(),MV2,Sigma1),IF(RAND()&lt;CondGood,_xlfn.LOGNORM.INV(RAND(),MV3,Sigma2),MIN(MaxMultiple,Xm/(1-RAND())^(1/Alpha)))))</f>
        <v>0</v>
      </c>
      <c r="J98" s="19">
        <f ca="1">IF(RAND()&lt;P_Zero,0,IF(RAND()&lt;CondReturn,_xlfn.LOGNORM.INV(RAND(),MV2,Sigma1),IF(RAND()&lt;CondGood,_xlfn.LOGNORM.INV(RAND(),MV3,Sigma2),MIN(MaxMultiple,Xm/(1-RAND())^(1/Alpha)))))</f>
        <v>0</v>
      </c>
      <c r="K98" s="19">
        <f ca="1">IF(RAND()&lt;P_Zero,0,IF(RAND()&lt;CondReturn,_xlfn.LOGNORM.INV(RAND(),MV2,Sigma1),IF(RAND()&lt;CondGood,_xlfn.LOGNORM.INV(RAND(),MV3,Sigma2),MIN(MaxMultiple,Xm/(1-RAND())^(1/Alpha)))))</f>
        <v>0.64063712157954633</v>
      </c>
      <c r="L98" s="19">
        <f ca="1">IF(RAND()&lt;P_Zero,0,IF(RAND()&lt;CondReturn,_xlfn.LOGNORM.INV(RAND(),MV2,Sigma1),IF(RAND()&lt;CondGood,_xlfn.LOGNORM.INV(RAND(),MV3,Sigma2),MIN(MaxMultiple,Xm/(1-RAND())^(1/Alpha)))))</f>
        <v>0.87186070375217972</v>
      </c>
      <c r="M98" s="19">
        <f ca="1">IF(RAND()&lt;P_Zero,0,IF(RAND()&lt;CondReturn,_xlfn.LOGNORM.INV(RAND(),MV2,Sigma1),IF(RAND()&lt;CondGood,_xlfn.LOGNORM.INV(RAND(),MV3,Sigma2),MIN(MaxMultiple,Xm/(1-RAND())^(1/Alpha)))))</f>
        <v>0</v>
      </c>
      <c r="N98" s="19">
        <f ca="1">IF(RAND()&lt;P_Zero,0,IF(RAND()&lt;CondReturn,_xlfn.LOGNORM.INV(RAND(),MV2,Sigma1),IF(RAND()&lt;CondGood,_xlfn.LOGNORM.INV(RAND(),MV3,Sigma2),MIN(MaxMultiple,Xm/(1-RAND())^(1/Alpha)))))</f>
        <v>0</v>
      </c>
      <c r="O98" s="19">
        <f ca="1">IF(RAND()&lt;P_Zero,0,IF(RAND()&lt;CondReturn,_xlfn.LOGNORM.INV(RAND(),MV2,Sigma1),IF(RAND()&lt;CondGood,_xlfn.LOGNORM.INV(RAND(),MV3,Sigma2),MIN(MaxMultiple,Xm/(1-RAND())^(1/Alpha)))))</f>
        <v>0</v>
      </c>
      <c r="P98" s="19">
        <f ca="1">IF(RAND()&lt;P_Zero,0,IF(RAND()&lt;CondReturn,_xlfn.LOGNORM.INV(RAND(),MV2,Sigma1),IF(RAND()&lt;CondGood,_xlfn.LOGNORM.INV(RAND(),MV3,Sigma2),MIN(MaxMultiple,Xm/(1-RAND())^(1/Alpha)))))</f>
        <v>0</v>
      </c>
      <c r="Q98" s="19">
        <f ca="1">IF(RAND()&lt;P_Zero,0,IF(RAND()&lt;CondReturn,_xlfn.LOGNORM.INV(RAND(),MV2,Sigma1),IF(RAND()&lt;CondGood,_xlfn.LOGNORM.INV(RAND(),MV3,Sigma2),MIN(MaxMultiple,Xm/(1-RAND())^(1/Alpha)))))</f>
        <v>1.4422966575965264</v>
      </c>
      <c r="R98" s="19">
        <f ca="1">IF(RAND()&lt;P_Zero,0,IF(RAND()&lt;CondReturn,_xlfn.LOGNORM.INV(RAND(),MV2,Sigma1),IF(RAND()&lt;CondGood,_xlfn.LOGNORM.INV(RAND(),MV3,Sigma2),MIN(MaxMultiple,Xm/(1-RAND())^(1/Alpha)))))</f>
        <v>0.42693569290992384</v>
      </c>
      <c r="S98" s="19">
        <f ca="1">IF(RAND()&lt;P_Zero,0,IF(RAND()&lt;CondReturn,_xlfn.LOGNORM.INV(RAND(),MV2,Sigma1),IF(RAND()&lt;CondGood,_xlfn.LOGNORM.INV(RAND(),MV3,Sigma2),MIN(MaxMultiple,Xm/(1-RAND())^(1/Alpha)))))</f>
        <v>1.009806065357</v>
      </c>
      <c r="T98" s="19">
        <f ca="1">IF(RAND()&lt;P_Zero,0,IF(RAND()&lt;CondReturn,_xlfn.LOGNORM.INV(RAND(),MV2,Sigma1),IF(RAND()&lt;CondGood,_xlfn.LOGNORM.INV(RAND(),MV3,Sigma2),MIN(MaxMultiple,Xm/(1-RAND())^(1/Alpha)))))</f>
        <v>0</v>
      </c>
      <c r="U98" s="19">
        <f ca="1">IF(RAND()&lt;P_Zero,0,IF(RAND()&lt;CondReturn,_xlfn.LOGNORM.INV(RAND(),MV2,Sigma1),IF(RAND()&lt;CondGood,_xlfn.LOGNORM.INV(RAND(),MV3,Sigma2),MIN(MaxMultiple,Xm/(1-RAND())^(1/Alpha)))))</f>
        <v>1.464958911548583</v>
      </c>
      <c r="V98" s="19">
        <f ca="1">IF(RAND()&lt;P_Zero,0,IF(RAND()&lt;CondReturn,_xlfn.LOGNORM.INV(RAND(),MV2,Sigma1),IF(RAND()&lt;CondGood,_xlfn.LOGNORM.INV(RAND(),MV3,Sigma2),MIN(MaxMultiple,Xm/(1-RAND())^(1/Alpha)))))</f>
        <v>0</v>
      </c>
      <c r="W98" s="19">
        <f ca="1">IF(RAND()&lt;P_Zero,0,IF(RAND()&lt;CondReturn,_xlfn.LOGNORM.INV(RAND(),MV2,Sigma1),IF(RAND()&lt;CondGood,_xlfn.LOGNORM.INV(RAND(),MV3,Sigma2),MIN(MaxMultiple,Xm/(1-RAND())^(1/Alpha)))))</f>
        <v>0.96673957889855533</v>
      </c>
      <c r="X98" s="19">
        <f ca="1">IF(RAND()&lt;P_Zero,0,IF(RAND()&lt;CondReturn,_xlfn.LOGNORM.INV(RAND(),MV2,Sigma1),IF(RAND()&lt;CondGood,_xlfn.LOGNORM.INV(RAND(),MV3,Sigma2),MIN(MaxMultiple,Xm/(1-RAND())^(1/Alpha)))))</f>
        <v>1.3238522474446723</v>
      </c>
      <c r="Y98" s="19">
        <f ca="1">IF(RAND()&lt;P_Zero,0,IF(RAND()&lt;CondReturn,_xlfn.LOGNORM.INV(RAND(),MV2,Sigma1),IF(RAND()&lt;CondGood,_xlfn.LOGNORM.INV(RAND(),MV3,Sigma2),MIN(MaxMultiple,Xm/(1-RAND())^(1/Alpha)))))</f>
        <v>0</v>
      </c>
      <c r="Z98" s="19">
        <f ca="1">IF(RAND()&lt;P_Zero,0,IF(RAND()&lt;CondReturn,_xlfn.LOGNORM.INV(RAND(),MV2,Sigma1),IF(RAND()&lt;CondGood,_xlfn.LOGNORM.INV(RAND(),MV3,Sigma2),MIN(MaxMultiple,Xm/(1-RAND())^(1/Alpha)))))</f>
        <v>0</v>
      </c>
      <c r="AA98" s="19">
        <f ca="1">IF(RAND()&lt;P_Zero,0,IF(RAND()&lt;CondReturn,_xlfn.LOGNORM.INV(RAND(),MV2,Sigma1),IF(RAND()&lt;CondGood,_xlfn.LOGNORM.INV(RAND(),MV3,Sigma2),MIN(MaxMultiple,Xm/(1-RAND())^(1/Alpha)))))</f>
        <v>0</v>
      </c>
      <c r="AB98" s="19">
        <f t="shared" ca="1" si="8"/>
        <v>0.4198219232556849</v>
      </c>
      <c r="AC98" s="14">
        <f t="shared" ca="1" si="9"/>
        <v>20151452.316272877</v>
      </c>
      <c r="AD98" s="14">
        <f t="shared" ca="1" si="10"/>
        <v>-27848547.683727123</v>
      </c>
      <c r="AE98" s="14">
        <f t="shared" si="11"/>
        <v>55628399.869093813</v>
      </c>
      <c r="AF98" s="14">
        <f t="shared" ca="1" si="12"/>
        <v>0</v>
      </c>
      <c r="AG98" s="14">
        <f t="shared" ca="1" si="13"/>
        <v>0</v>
      </c>
      <c r="AH98" s="14">
        <f t="shared" ca="1" si="14"/>
        <v>20151452.316272877</v>
      </c>
      <c r="AI98" s="19">
        <f t="shared" ca="1" si="15"/>
        <v>0.33585753860454798</v>
      </c>
    </row>
    <row r="99" spans="2:35" x14ac:dyDescent="0.2">
      <c r="B99" s="1">
        <v>94</v>
      </c>
      <c r="C99" s="19">
        <f ca="1">IF(RAND()&lt;P_Zero,0,IF(RAND()&lt;CondReturn,_xlfn.LOGNORM.INV(RAND(),MV2,Sigma1),IF(RAND()&lt;CondGood,_xlfn.LOGNORM.INV(RAND(),MV3,Sigma2),MIN(MaxMultiple,Xm/(1-RAND())^(1/Alpha)))))</f>
        <v>1.039379609302453</v>
      </c>
      <c r="D99" s="19">
        <f ca="1">IF(RAND()&lt;P_Zero,0,IF(RAND()&lt;CondReturn,_xlfn.LOGNORM.INV(RAND(),MV2,Sigma1),IF(RAND()&lt;CondGood,_xlfn.LOGNORM.INV(RAND(),MV3,Sigma2),MIN(MaxMultiple,Xm/(1-RAND())^(1/Alpha)))))</f>
        <v>2.979708294988058</v>
      </c>
      <c r="E99" s="19">
        <f ca="1">IF(RAND()&lt;P_Zero,0,IF(RAND()&lt;CondReturn,_xlfn.LOGNORM.INV(RAND(),MV2,Sigma1),IF(RAND()&lt;CondGood,_xlfn.LOGNORM.INV(RAND(),MV3,Sigma2),MIN(MaxMultiple,Xm/(1-RAND())^(1/Alpha)))))</f>
        <v>1.4491120655216647</v>
      </c>
      <c r="F99" s="19">
        <f ca="1">IF(RAND()&lt;P_Zero,0,IF(RAND()&lt;CondReturn,_xlfn.LOGNORM.INV(RAND(),MV2,Sigma1),IF(RAND()&lt;CondGood,_xlfn.LOGNORM.INV(RAND(),MV3,Sigma2),MIN(MaxMultiple,Xm/(1-RAND())^(1/Alpha)))))</f>
        <v>0</v>
      </c>
      <c r="G99" s="19">
        <f ca="1">IF(RAND()&lt;P_Zero,0,IF(RAND()&lt;CondReturn,_xlfn.LOGNORM.INV(RAND(),MV2,Sigma1),IF(RAND()&lt;CondGood,_xlfn.LOGNORM.INV(RAND(),MV3,Sigma2),MIN(MaxMultiple,Xm/(1-RAND())^(1/Alpha)))))</f>
        <v>0.48251343030613092</v>
      </c>
      <c r="H99" s="19">
        <f ca="1">IF(RAND()&lt;P_Zero,0,IF(RAND()&lt;CondReturn,_xlfn.LOGNORM.INV(RAND(),MV2,Sigma1),IF(RAND()&lt;CondGood,_xlfn.LOGNORM.INV(RAND(),MV3,Sigma2),MIN(MaxMultiple,Xm/(1-RAND())^(1/Alpha)))))</f>
        <v>1.2785311071037784</v>
      </c>
      <c r="I99" s="19">
        <f ca="1">IF(RAND()&lt;P_Zero,0,IF(RAND()&lt;CondReturn,_xlfn.LOGNORM.INV(RAND(),MV2,Sigma1),IF(RAND()&lt;CondGood,_xlfn.LOGNORM.INV(RAND(),MV3,Sigma2),MIN(MaxMultiple,Xm/(1-RAND())^(1/Alpha)))))</f>
        <v>0</v>
      </c>
      <c r="J99" s="19">
        <f ca="1">IF(RAND()&lt;P_Zero,0,IF(RAND()&lt;CondReturn,_xlfn.LOGNORM.INV(RAND(),MV2,Sigma1),IF(RAND()&lt;CondGood,_xlfn.LOGNORM.INV(RAND(),MV3,Sigma2),MIN(MaxMultiple,Xm/(1-RAND())^(1/Alpha)))))</f>
        <v>0</v>
      </c>
      <c r="K99" s="19">
        <f ca="1">IF(RAND()&lt;P_Zero,0,IF(RAND()&lt;CondReturn,_xlfn.LOGNORM.INV(RAND(),MV2,Sigma1),IF(RAND()&lt;CondGood,_xlfn.LOGNORM.INV(RAND(),MV3,Sigma2),MIN(MaxMultiple,Xm/(1-RAND())^(1/Alpha)))))</f>
        <v>0.85655789271762384</v>
      </c>
      <c r="L99" s="19">
        <f ca="1">IF(RAND()&lt;P_Zero,0,IF(RAND()&lt;CondReturn,_xlfn.LOGNORM.INV(RAND(),MV2,Sigma1),IF(RAND()&lt;CondGood,_xlfn.LOGNORM.INV(RAND(),MV3,Sigma2),MIN(MaxMultiple,Xm/(1-RAND())^(1/Alpha)))))</f>
        <v>0</v>
      </c>
      <c r="M99" s="19">
        <f ca="1">IF(RAND()&lt;P_Zero,0,IF(RAND()&lt;CondReturn,_xlfn.LOGNORM.INV(RAND(),MV2,Sigma1),IF(RAND()&lt;CondGood,_xlfn.LOGNORM.INV(RAND(),MV3,Sigma2),MIN(MaxMultiple,Xm/(1-RAND())^(1/Alpha)))))</f>
        <v>0</v>
      </c>
      <c r="N99" s="19">
        <f ca="1">IF(RAND()&lt;P_Zero,0,IF(RAND()&lt;CondReturn,_xlfn.LOGNORM.INV(RAND(),MV2,Sigma1),IF(RAND()&lt;CondGood,_xlfn.LOGNORM.INV(RAND(),MV3,Sigma2),MIN(MaxMultiple,Xm/(1-RAND())^(1/Alpha)))))</f>
        <v>0</v>
      </c>
      <c r="O99" s="19">
        <f ca="1">IF(RAND()&lt;P_Zero,0,IF(RAND()&lt;CondReturn,_xlfn.LOGNORM.INV(RAND(),MV2,Sigma1),IF(RAND()&lt;CondGood,_xlfn.LOGNORM.INV(RAND(),MV3,Sigma2),MIN(MaxMultiple,Xm/(1-RAND())^(1/Alpha)))))</f>
        <v>14.296159541283714</v>
      </c>
      <c r="P99" s="19">
        <f ca="1">IF(RAND()&lt;P_Zero,0,IF(RAND()&lt;CondReturn,_xlfn.LOGNORM.INV(RAND(),MV2,Sigma1),IF(RAND()&lt;CondGood,_xlfn.LOGNORM.INV(RAND(),MV3,Sigma2),MIN(MaxMultiple,Xm/(1-RAND())^(1/Alpha)))))</f>
        <v>0.75593693919856464</v>
      </c>
      <c r="Q99" s="19">
        <f ca="1">IF(RAND()&lt;P_Zero,0,IF(RAND()&lt;CondReturn,_xlfn.LOGNORM.INV(RAND(),MV2,Sigma1),IF(RAND()&lt;CondGood,_xlfn.LOGNORM.INV(RAND(),MV3,Sigma2),MIN(MaxMultiple,Xm/(1-RAND())^(1/Alpha)))))</f>
        <v>0</v>
      </c>
      <c r="R99" s="19">
        <f ca="1">IF(RAND()&lt;P_Zero,0,IF(RAND()&lt;CondReturn,_xlfn.LOGNORM.INV(RAND(),MV2,Sigma1),IF(RAND()&lt;CondGood,_xlfn.LOGNORM.INV(RAND(),MV3,Sigma2),MIN(MaxMultiple,Xm/(1-RAND())^(1/Alpha)))))</f>
        <v>0.85140865671116817</v>
      </c>
      <c r="S99" s="19">
        <f ca="1">IF(RAND()&lt;P_Zero,0,IF(RAND()&lt;CondReturn,_xlfn.LOGNORM.INV(RAND(),MV2,Sigma1),IF(RAND()&lt;CondGood,_xlfn.LOGNORM.INV(RAND(),MV3,Sigma2),MIN(MaxMultiple,Xm/(1-RAND())^(1/Alpha)))))</f>
        <v>0.80000266415549792</v>
      </c>
      <c r="T99" s="19">
        <f ca="1">IF(RAND()&lt;P_Zero,0,IF(RAND()&lt;CondReturn,_xlfn.LOGNORM.INV(RAND(),MV2,Sigma1),IF(RAND()&lt;CondGood,_xlfn.LOGNORM.INV(RAND(),MV3,Sigma2),MIN(MaxMultiple,Xm/(1-RAND())^(1/Alpha)))))</f>
        <v>0</v>
      </c>
      <c r="U99" s="19">
        <f ca="1">IF(RAND()&lt;P_Zero,0,IF(RAND()&lt;CondReturn,_xlfn.LOGNORM.INV(RAND(),MV2,Sigma1),IF(RAND()&lt;CondGood,_xlfn.LOGNORM.INV(RAND(),MV3,Sigma2),MIN(MaxMultiple,Xm/(1-RAND())^(1/Alpha)))))</f>
        <v>0</v>
      </c>
      <c r="V99" s="19">
        <f ca="1">IF(RAND()&lt;P_Zero,0,IF(RAND()&lt;CondReturn,_xlfn.LOGNORM.INV(RAND(),MV2,Sigma1),IF(RAND()&lt;CondGood,_xlfn.LOGNORM.INV(RAND(),MV3,Sigma2),MIN(MaxMultiple,Xm/(1-RAND())^(1/Alpha)))))</f>
        <v>0</v>
      </c>
      <c r="W99" s="19">
        <f ca="1">IF(RAND()&lt;P_Zero,0,IF(RAND()&lt;CondReturn,_xlfn.LOGNORM.INV(RAND(),MV2,Sigma1),IF(RAND()&lt;CondGood,_xlfn.LOGNORM.INV(RAND(),MV3,Sigma2),MIN(MaxMultiple,Xm/(1-RAND())^(1/Alpha)))))</f>
        <v>1.1235436448822875</v>
      </c>
      <c r="X99" s="19">
        <f ca="1">IF(RAND()&lt;P_Zero,0,IF(RAND()&lt;CondReturn,_xlfn.LOGNORM.INV(RAND(),MV2,Sigma1),IF(RAND()&lt;CondGood,_xlfn.LOGNORM.INV(RAND(),MV3,Sigma2),MIN(MaxMultiple,Xm/(1-RAND())^(1/Alpha)))))</f>
        <v>0</v>
      </c>
      <c r="Y99" s="19">
        <f ca="1">IF(RAND()&lt;P_Zero,0,IF(RAND()&lt;CondReturn,_xlfn.LOGNORM.INV(RAND(),MV2,Sigma1),IF(RAND()&lt;CondGood,_xlfn.LOGNORM.INV(RAND(),MV3,Sigma2),MIN(MaxMultiple,Xm/(1-RAND())^(1/Alpha)))))</f>
        <v>0</v>
      </c>
      <c r="Z99" s="19">
        <f ca="1">IF(RAND()&lt;P_Zero,0,IF(RAND()&lt;CondReturn,_xlfn.LOGNORM.INV(RAND(),MV2,Sigma1),IF(RAND()&lt;CondGood,_xlfn.LOGNORM.INV(RAND(),MV3,Sigma2),MIN(MaxMultiple,Xm/(1-RAND())^(1/Alpha)))))</f>
        <v>0.58950682409313748</v>
      </c>
      <c r="AA99" s="19">
        <f ca="1">IF(RAND()&lt;P_Zero,0,IF(RAND()&lt;CondReturn,_xlfn.LOGNORM.INV(RAND(),MV2,Sigma1),IF(RAND()&lt;CondGood,_xlfn.LOGNORM.INV(RAND(),MV3,Sigma2),MIN(MaxMultiple,Xm/(1-RAND())^(1/Alpha)))))</f>
        <v>52.0700227219453</v>
      </c>
      <c r="AB99" s="19">
        <f t="shared" ca="1" si="8"/>
        <v>3.1428953356883755</v>
      </c>
      <c r="AC99" s="14">
        <f t="shared" ca="1" si="9"/>
        <v>150858976.11304203</v>
      </c>
      <c r="AD99" s="14">
        <f t="shared" ca="1" si="10"/>
        <v>102858976.11304203</v>
      </c>
      <c r="AE99" s="14">
        <f t="shared" si="11"/>
        <v>55628399.869093813</v>
      </c>
      <c r="AF99" s="14">
        <f t="shared" ca="1" si="12"/>
        <v>47230576.243948214</v>
      </c>
      <c r="AG99" s="14">
        <f t="shared" ca="1" si="13"/>
        <v>9446115.2487896439</v>
      </c>
      <c r="AH99" s="14">
        <f t="shared" ca="1" si="14"/>
        <v>141412860.86425239</v>
      </c>
      <c r="AI99" s="19">
        <f t="shared" ca="1" si="15"/>
        <v>2.3568810144042063</v>
      </c>
    </row>
    <row r="100" spans="2:35" x14ac:dyDescent="0.2">
      <c r="B100" s="1">
        <v>95</v>
      </c>
      <c r="C100" s="19">
        <f ca="1">IF(RAND()&lt;P_Zero,0,IF(RAND()&lt;CondReturn,_xlfn.LOGNORM.INV(RAND(),MV2,Sigma1),IF(RAND()&lt;CondGood,_xlfn.LOGNORM.INV(RAND(),MV3,Sigma2),MIN(MaxMultiple,Xm/(1-RAND())^(1/Alpha)))))</f>
        <v>0</v>
      </c>
      <c r="D100" s="19">
        <f ca="1">IF(RAND()&lt;P_Zero,0,IF(RAND()&lt;CondReturn,_xlfn.LOGNORM.INV(RAND(),MV2,Sigma1),IF(RAND()&lt;CondGood,_xlfn.LOGNORM.INV(RAND(),MV3,Sigma2),MIN(MaxMultiple,Xm/(1-RAND())^(1/Alpha)))))</f>
        <v>0</v>
      </c>
      <c r="E100" s="19">
        <f ca="1">IF(RAND()&lt;P_Zero,0,IF(RAND()&lt;CondReturn,_xlfn.LOGNORM.INV(RAND(),MV2,Sigma1),IF(RAND()&lt;CondGood,_xlfn.LOGNORM.INV(RAND(),MV3,Sigma2),MIN(MaxMultiple,Xm/(1-RAND())^(1/Alpha)))))</f>
        <v>0</v>
      </c>
      <c r="F100" s="19">
        <f ca="1">IF(RAND()&lt;P_Zero,0,IF(RAND()&lt;CondReturn,_xlfn.LOGNORM.INV(RAND(),MV2,Sigma1),IF(RAND()&lt;CondGood,_xlfn.LOGNORM.INV(RAND(),MV3,Sigma2),MIN(MaxMultiple,Xm/(1-RAND())^(1/Alpha)))))</f>
        <v>0</v>
      </c>
      <c r="G100" s="19">
        <f ca="1">IF(RAND()&lt;P_Zero,0,IF(RAND()&lt;CondReturn,_xlfn.LOGNORM.INV(RAND(),MV2,Sigma1),IF(RAND()&lt;CondGood,_xlfn.LOGNORM.INV(RAND(),MV3,Sigma2),MIN(MaxMultiple,Xm/(1-RAND())^(1/Alpha)))))</f>
        <v>0</v>
      </c>
      <c r="H100" s="19">
        <f ca="1">IF(RAND()&lt;P_Zero,0,IF(RAND()&lt;CondReturn,_xlfn.LOGNORM.INV(RAND(),MV2,Sigma1),IF(RAND()&lt;CondGood,_xlfn.LOGNORM.INV(RAND(),MV3,Sigma2),MIN(MaxMultiple,Xm/(1-RAND())^(1/Alpha)))))</f>
        <v>0.98836147281262621</v>
      </c>
      <c r="I100" s="19">
        <f ca="1">IF(RAND()&lt;P_Zero,0,IF(RAND()&lt;CondReturn,_xlfn.LOGNORM.INV(RAND(),MV2,Sigma1),IF(RAND()&lt;CondGood,_xlfn.LOGNORM.INV(RAND(),MV3,Sigma2),MIN(MaxMultiple,Xm/(1-RAND())^(1/Alpha)))))</f>
        <v>0</v>
      </c>
      <c r="J100" s="19">
        <f ca="1">IF(RAND()&lt;P_Zero,0,IF(RAND()&lt;CondReturn,_xlfn.LOGNORM.INV(RAND(),MV2,Sigma1),IF(RAND()&lt;CondGood,_xlfn.LOGNORM.INV(RAND(),MV3,Sigma2),MIN(MaxMultiple,Xm/(1-RAND())^(1/Alpha)))))</f>
        <v>0</v>
      </c>
      <c r="K100" s="19">
        <f ca="1">IF(RAND()&lt;P_Zero,0,IF(RAND()&lt;CondReturn,_xlfn.LOGNORM.INV(RAND(),MV2,Sigma1),IF(RAND()&lt;CondGood,_xlfn.LOGNORM.INV(RAND(),MV3,Sigma2),MIN(MaxMultiple,Xm/(1-RAND())^(1/Alpha)))))</f>
        <v>0</v>
      </c>
      <c r="L100" s="19">
        <f ca="1">IF(RAND()&lt;P_Zero,0,IF(RAND()&lt;CondReturn,_xlfn.LOGNORM.INV(RAND(),MV2,Sigma1),IF(RAND()&lt;CondGood,_xlfn.LOGNORM.INV(RAND(),MV3,Sigma2),MIN(MaxMultiple,Xm/(1-RAND())^(1/Alpha)))))</f>
        <v>0</v>
      </c>
      <c r="M100" s="19">
        <f ca="1">IF(RAND()&lt;P_Zero,0,IF(RAND()&lt;CondReturn,_xlfn.LOGNORM.INV(RAND(),MV2,Sigma1),IF(RAND()&lt;CondGood,_xlfn.LOGNORM.INV(RAND(),MV3,Sigma2),MIN(MaxMultiple,Xm/(1-RAND())^(1/Alpha)))))</f>
        <v>13.965362448800208</v>
      </c>
      <c r="N100" s="19">
        <f ca="1">IF(RAND()&lt;P_Zero,0,IF(RAND()&lt;CondReturn,_xlfn.LOGNORM.INV(RAND(),MV2,Sigma1),IF(RAND()&lt;CondGood,_xlfn.LOGNORM.INV(RAND(),MV3,Sigma2),MIN(MaxMultiple,Xm/(1-RAND())^(1/Alpha)))))</f>
        <v>0</v>
      </c>
      <c r="O100" s="19">
        <f ca="1">IF(RAND()&lt;P_Zero,0,IF(RAND()&lt;CondReturn,_xlfn.LOGNORM.INV(RAND(),MV2,Sigma1),IF(RAND()&lt;CondGood,_xlfn.LOGNORM.INV(RAND(),MV3,Sigma2),MIN(MaxMultiple,Xm/(1-RAND())^(1/Alpha)))))</f>
        <v>12.919876332999088</v>
      </c>
      <c r="P100" s="19">
        <f ca="1">IF(RAND()&lt;P_Zero,0,IF(RAND()&lt;CondReturn,_xlfn.LOGNORM.INV(RAND(),MV2,Sigma1),IF(RAND()&lt;CondGood,_xlfn.LOGNORM.INV(RAND(),MV3,Sigma2),MIN(MaxMultiple,Xm/(1-RAND())^(1/Alpha)))))</f>
        <v>1.503834734026712</v>
      </c>
      <c r="Q100" s="19">
        <f ca="1">IF(RAND()&lt;P_Zero,0,IF(RAND()&lt;CondReturn,_xlfn.LOGNORM.INV(RAND(),MV2,Sigma1),IF(RAND()&lt;CondGood,_xlfn.LOGNORM.INV(RAND(),MV3,Sigma2),MIN(MaxMultiple,Xm/(1-RAND())^(1/Alpha)))))</f>
        <v>0.34646930258027953</v>
      </c>
      <c r="R100" s="19">
        <f ca="1">IF(RAND()&lt;P_Zero,0,IF(RAND()&lt;CondReturn,_xlfn.LOGNORM.INV(RAND(),MV2,Sigma1),IF(RAND()&lt;CondGood,_xlfn.LOGNORM.INV(RAND(),MV3,Sigma2),MIN(MaxMultiple,Xm/(1-RAND())^(1/Alpha)))))</f>
        <v>0</v>
      </c>
      <c r="S100" s="19">
        <f ca="1">IF(RAND()&lt;P_Zero,0,IF(RAND()&lt;CondReturn,_xlfn.LOGNORM.INV(RAND(),MV2,Sigma1),IF(RAND()&lt;CondGood,_xlfn.LOGNORM.INV(RAND(),MV3,Sigma2),MIN(MaxMultiple,Xm/(1-RAND())^(1/Alpha)))))</f>
        <v>2.2591844114519</v>
      </c>
      <c r="T100" s="19">
        <f ca="1">IF(RAND()&lt;P_Zero,0,IF(RAND()&lt;CondReturn,_xlfn.LOGNORM.INV(RAND(),MV2,Sigma1),IF(RAND()&lt;CondGood,_xlfn.LOGNORM.INV(RAND(),MV3,Sigma2),MIN(MaxMultiple,Xm/(1-RAND())^(1/Alpha)))))</f>
        <v>0</v>
      </c>
      <c r="U100" s="19">
        <f ca="1">IF(RAND()&lt;P_Zero,0,IF(RAND()&lt;CondReturn,_xlfn.LOGNORM.INV(RAND(),MV2,Sigma1),IF(RAND()&lt;CondGood,_xlfn.LOGNORM.INV(RAND(),MV3,Sigma2),MIN(MaxMultiple,Xm/(1-RAND())^(1/Alpha)))))</f>
        <v>0.97883414611496111</v>
      </c>
      <c r="V100" s="19">
        <f ca="1">IF(RAND()&lt;P_Zero,0,IF(RAND()&lt;CondReturn,_xlfn.LOGNORM.INV(RAND(),MV2,Sigma1),IF(RAND()&lt;CondGood,_xlfn.LOGNORM.INV(RAND(),MV3,Sigma2),MIN(MaxMultiple,Xm/(1-RAND())^(1/Alpha)))))</f>
        <v>0.71972986568058805</v>
      </c>
      <c r="W100" s="19">
        <f ca="1">IF(RAND()&lt;P_Zero,0,IF(RAND()&lt;CondReturn,_xlfn.LOGNORM.INV(RAND(),MV2,Sigma1),IF(RAND()&lt;CondGood,_xlfn.LOGNORM.INV(RAND(),MV3,Sigma2),MIN(MaxMultiple,Xm/(1-RAND())^(1/Alpha)))))</f>
        <v>0</v>
      </c>
      <c r="X100" s="19">
        <f ca="1">IF(RAND()&lt;P_Zero,0,IF(RAND()&lt;CondReturn,_xlfn.LOGNORM.INV(RAND(),MV2,Sigma1),IF(RAND()&lt;CondGood,_xlfn.LOGNORM.INV(RAND(),MV3,Sigma2),MIN(MaxMultiple,Xm/(1-RAND())^(1/Alpha)))))</f>
        <v>0</v>
      </c>
      <c r="Y100" s="19">
        <f ca="1">IF(RAND()&lt;P_Zero,0,IF(RAND()&lt;CondReturn,_xlfn.LOGNORM.INV(RAND(),MV2,Sigma1),IF(RAND()&lt;CondGood,_xlfn.LOGNORM.INV(RAND(),MV3,Sigma2),MIN(MaxMultiple,Xm/(1-RAND())^(1/Alpha)))))</f>
        <v>0.83732235250651732</v>
      </c>
      <c r="Z100" s="19">
        <f ca="1">IF(RAND()&lt;P_Zero,0,IF(RAND()&lt;CondReturn,_xlfn.LOGNORM.INV(RAND(),MV2,Sigma1),IF(RAND()&lt;CondGood,_xlfn.LOGNORM.INV(RAND(),MV3,Sigma2),MIN(MaxMultiple,Xm/(1-RAND())^(1/Alpha)))))</f>
        <v>0</v>
      </c>
      <c r="AA100" s="19">
        <f ca="1">IF(RAND()&lt;P_Zero,0,IF(RAND()&lt;CondReturn,_xlfn.LOGNORM.INV(RAND(),MV2,Sigma1),IF(RAND()&lt;CondGood,_xlfn.LOGNORM.INV(RAND(),MV3,Sigma2),MIN(MaxMultiple,Xm/(1-RAND())^(1/Alpha)))))</f>
        <v>0</v>
      </c>
      <c r="AB100" s="19">
        <f t="shared" ca="1" si="8"/>
        <v>1.3807590026789154</v>
      </c>
      <c r="AC100" s="14">
        <f t="shared" ca="1" si="9"/>
        <v>66276432.128587939</v>
      </c>
      <c r="AD100" s="14">
        <f t="shared" ca="1" si="10"/>
        <v>18276432.128587939</v>
      </c>
      <c r="AE100" s="14">
        <f t="shared" si="11"/>
        <v>55628399.869093813</v>
      </c>
      <c r="AF100" s="14">
        <f t="shared" ca="1" si="12"/>
        <v>0</v>
      </c>
      <c r="AG100" s="14">
        <f t="shared" ca="1" si="13"/>
        <v>0</v>
      </c>
      <c r="AH100" s="14">
        <f t="shared" ca="1" si="14"/>
        <v>66276432.128587939</v>
      </c>
      <c r="AI100" s="19">
        <f t="shared" ca="1" si="15"/>
        <v>1.1046072021431323</v>
      </c>
    </row>
    <row r="101" spans="2:35" x14ac:dyDescent="0.2">
      <c r="B101" s="1">
        <v>96</v>
      </c>
      <c r="C101" s="19">
        <f ca="1">IF(RAND()&lt;P_Zero,0,IF(RAND()&lt;CondReturn,_xlfn.LOGNORM.INV(RAND(),MV2,Sigma1),IF(RAND()&lt;CondGood,_xlfn.LOGNORM.INV(RAND(),MV3,Sigma2),MIN(MaxMultiple,Xm/(1-RAND())^(1/Alpha)))))</f>
        <v>0.85669908119480587</v>
      </c>
      <c r="D101" s="19">
        <f ca="1">IF(RAND()&lt;P_Zero,0,IF(RAND()&lt;CondReturn,_xlfn.LOGNORM.INV(RAND(),MV2,Sigma1),IF(RAND()&lt;CondGood,_xlfn.LOGNORM.INV(RAND(),MV3,Sigma2),MIN(MaxMultiple,Xm/(1-RAND())^(1/Alpha)))))</f>
        <v>0</v>
      </c>
      <c r="E101" s="19">
        <f ca="1">IF(RAND()&lt;P_Zero,0,IF(RAND()&lt;CondReturn,_xlfn.LOGNORM.INV(RAND(),MV2,Sigma1),IF(RAND()&lt;CondGood,_xlfn.LOGNORM.INV(RAND(),MV3,Sigma2),MIN(MaxMultiple,Xm/(1-RAND())^(1/Alpha)))))</f>
        <v>0</v>
      </c>
      <c r="F101" s="19">
        <f ca="1">IF(RAND()&lt;P_Zero,0,IF(RAND()&lt;CondReturn,_xlfn.LOGNORM.INV(RAND(),MV2,Sigma1),IF(RAND()&lt;CondGood,_xlfn.LOGNORM.INV(RAND(),MV3,Sigma2),MIN(MaxMultiple,Xm/(1-RAND())^(1/Alpha)))))</f>
        <v>0.88287137438661167</v>
      </c>
      <c r="G101" s="19">
        <f ca="1">IF(RAND()&lt;P_Zero,0,IF(RAND()&lt;CondReturn,_xlfn.LOGNORM.INV(RAND(),MV2,Sigma1),IF(RAND()&lt;CondGood,_xlfn.LOGNORM.INV(RAND(),MV3,Sigma2),MIN(MaxMultiple,Xm/(1-RAND())^(1/Alpha)))))</f>
        <v>1.3997471659473679</v>
      </c>
      <c r="H101" s="19">
        <f ca="1">IF(RAND()&lt;P_Zero,0,IF(RAND()&lt;CondReturn,_xlfn.LOGNORM.INV(RAND(),MV2,Sigma1),IF(RAND()&lt;CondGood,_xlfn.LOGNORM.INV(RAND(),MV3,Sigma2),MIN(MaxMultiple,Xm/(1-RAND())^(1/Alpha)))))</f>
        <v>1.6104977657082664</v>
      </c>
      <c r="I101" s="19">
        <f ca="1">IF(RAND()&lt;P_Zero,0,IF(RAND()&lt;CondReturn,_xlfn.LOGNORM.INV(RAND(),MV2,Sigma1),IF(RAND()&lt;CondGood,_xlfn.LOGNORM.INV(RAND(),MV3,Sigma2),MIN(MaxMultiple,Xm/(1-RAND())^(1/Alpha)))))</f>
        <v>0</v>
      </c>
      <c r="J101" s="19">
        <f ca="1">IF(RAND()&lt;P_Zero,0,IF(RAND()&lt;CondReturn,_xlfn.LOGNORM.INV(RAND(),MV2,Sigma1),IF(RAND()&lt;CondGood,_xlfn.LOGNORM.INV(RAND(),MV3,Sigma2),MIN(MaxMultiple,Xm/(1-RAND())^(1/Alpha)))))</f>
        <v>1.7744604842654081</v>
      </c>
      <c r="K101" s="19">
        <f ca="1">IF(RAND()&lt;P_Zero,0,IF(RAND()&lt;CondReturn,_xlfn.LOGNORM.INV(RAND(),MV2,Sigma1),IF(RAND()&lt;CondGood,_xlfn.LOGNORM.INV(RAND(),MV3,Sigma2),MIN(MaxMultiple,Xm/(1-RAND())^(1/Alpha)))))</f>
        <v>0.99317509321744979</v>
      </c>
      <c r="L101" s="19">
        <f ca="1">IF(RAND()&lt;P_Zero,0,IF(RAND()&lt;CondReturn,_xlfn.LOGNORM.INV(RAND(),MV2,Sigma1),IF(RAND()&lt;CondGood,_xlfn.LOGNORM.INV(RAND(),MV3,Sigma2),MIN(MaxMultiple,Xm/(1-RAND())^(1/Alpha)))))</f>
        <v>1.5319014902536956</v>
      </c>
      <c r="M101" s="19">
        <f ca="1">IF(RAND()&lt;P_Zero,0,IF(RAND()&lt;CondReturn,_xlfn.LOGNORM.INV(RAND(),MV2,Sigma1),IF(RAND()&lt;CondGood,_xlfn.LOGNORM.INV(RAND(),MV3,Sigma2),MIN(MaxMultiple,Xm/(1-RAND())^(1/Alpha)))))</f>
        <v>2.3293261996277295</v>
      </c>
      <c r="N101" s="19">
        <f ca="1">IF(RAND()&lt;P_Zero,0,IF(RAND()&lt;CondReturn,_xlfn.LOGNORM.INV(RAND(),MV2,Sigma1),IF(RAND()&lt;CondGood,_xlfn.LOGNORM.INV(RAND(),MV3,Sigma2),MIN(MaxMultiple,Xm/(1-RAND())^(1/Alpha)))))</f>
        <v>0.58675597222185671</v>
      </c>
      <c r="O101" s="19">
        <f ca="1">IF(RAND()&lt;P_Zero,0,IF(RAND()&lt;CondReturn,_xlfn.LOGNORM.INV(RAND(),MV2,Sigma1),IF(RAND()&lt;CondGood,_xlfn.LOGNORM.INV(RAND(),MV3,Sigma2),MIN(MaxMultiple,Xm/(1-RAND())^(1/Alpha)))))</f>
        <v>0.9004208730388843</v>
      </c>
      <c r="P101" s="19">
        <f ca="1">IF(RAND()&lt;P_Zero,0,IF(RAND()&lt;CondReturn,_xlfn.LOGNORM.INV(RAND(),MV2,Sigma1),IF(RAND()&lt;CondGood,_xlfn.LOGNORM.INV(RAND(),MV3,Sigma2),MIN(MaxMultiple,Xm/(1-RAND())^(1/Alpha)))))</f>
        <v>2.2513491327115176</v>
      </c>
      <c r="Q101" s="19">
        <f ca="1">IF(RAND()&lt;P_Zero,0,IF(RAND()&lt;CondReturn,_xlfn.LOGNORM.INV(RAND(),MV2,Sigma1),IF(RAND()&lt;CondGood,_xlfn.LOGNORM.INV(RAND(),MV3,Sigma2),MIN(MaxMultiple,Xm/(1-RAND())^(1/Alpha)))))</f>
        <v>0.95466985675169536</v>
      </c>
      <c r="R101" s="19">
        <f ca="1">IF(RAND()&lt;P_Zero,0,IF(RAND()&lt;CondReturn,_xlfn.LOGNORM.INV(RAND(),MV2,Sigma1),IF(RAND()&lt;CondGood,_xlfn.LOGNORM.INV(RAND(),MV3,Sigma2),MIN(MaxMultiple,Xm/(1-RAND())^(1/Alpha)))))</f>
        <v>1.2603258244593865</v>
      </c>
      <c r="S101" s="19">
        <f ca="1">IF(RAND()&lt;P_Zero,0,IF(RAND()&lt;CondReturn,_xlfn.LOGNORM.INV(RAND(),MV2,Sigma1),IF(RAND()&lt;CondGood,_xlfn.LOGNORM.INV(RAND(),MV3,Sigma2),MIN(MaxMultiple,Xm/(1-RAND())^(1/Alpha)))))</f>
        <v>1.0052462824917048</v>
      </c>
      <c r="T101" s="19">
        <f ca="1">IF(RAND()&lt;P_Zero,0,IF(RAND()&lt;CondReturn,_xlfn.LOGNORM.INV(RAND(),MV2,Sigma1),IF(RAND()&lt;CondGood,_xlfn.LOGNORM.INV(RAND(),MV3,Sigma2),MIN(MaxMultiple,Xm/(1-RAND())^(1/Alpha)))))</f>
        <v>0.92697934317018815</v>
      </c>
      <c r="U101" s="19">
        <f ca="1">IF(RAND()&lt;P_Zero,0,IF(RAND()&lt;CondReturn,_xlfn.LOGNORM.INV(RAND(),MV2,Sigma1),IF(RAND()&lt;CondGood,_xlfn.LOGNORM.INV(RAND(),MV3,Sigma2),MIN(MaxMultiple,Xm/(1-RAND())^(1/Alpha)))))</f>
        <v>1.8401663118740408</v>
      </c>
      <c r="V101" s="19">
        <f ca="1">IF(RAND()&lt;P_Zero,0,IF(RAND()&lt;CondReturn,_xlfn.LOGNORM.INV(RAND(),MV2,Sigma1),IF(RAND()&lt;CondGood,_xlfn.LOGNORM.INV(RAND(),MV3,Sigma2),MIN(MaxMultiple,Xm/(1-RAND())^(1/Alpha)))))</f>
        <v>0.59647728908952202</v>
      </c>
      <c r="W101" s="19">
        <f ca="1">IF(RAND()&lt;P_Zero,0,IF(RAND()&lt;CondReturn,_xlfn.LOGNORM.INV(RAND(),MV2,Sigma1),IF(RAND()&lt;CondGood,_xlfn.LOGNORM.INV(RAND(),MV3,Sigma2),MIN(MaxMultiple,Xm/(1-RAND())^(1/Alpha)))))</f>
        <v>0</v>
      </c>
      <c r="X101" s="19">
        <f ca="1">IF(RAND()&lt;P_Zero,0,IF(RAND()&lt;CondReturn,_xlfn.LOGNORM.INV(RAND(),MV2,Sigma1),IF(RAND()&lt;CondGood,_xlfn.LOGNORM.INV(RAND(),MV3,Sigma2),MIN(MaxMultiple,Xm/(1-RAND())^(1/Alpha)))))</f>
        <v>1.188636617724832</v>
      </c>
      <c r="Y101" s="19">
        <f ca="1">IF(RAND()&lt;P_Zero,0,IF(RAND()&lt;CondReturn,_xlfn.LOGNORM.INV(RAND(),MV2,Sigma1),IF(RAND()&lt;CondGood,_xlfn.LOGNORM.INV(RAND(),MV3,Sigma2),MIN(MaxMultiple,Xm/(1-RAND())^(1/Alpha)))))</f>
        <v>1.0298975633467622</v>
      </c>
      <c r="Z101" s="19">
        <f ca="1">IF(RAND()&lt;P_Zero,0,IF(RAND()&lt;CondReturn,_xlfn.LOGNORM.INV(RAND(),MV2,Sigma1),IF(RAND()&lt;CondGood,_xlfn.LOGNORM.INV(RAND(),MV3,Sigma2),MIN(MaxMultiple,Xm/(1-RAND())^(1/Alpha)))))</f>
        <v>2.927302581824569</v>
      </c>
      <c r="AA101" s="19">
        <f ca="1">IF(RAND()&lt;P_Zero,0,IF(RAND()&lt;CondReturn,_xlfn.LOGNORM.INV(RAND(),MV2,Sigma1),IF(RAND()&lt;CondGood,_xlfn.LOGNORM.INV(RAND(),MV3,Sigma2),MIN(MaxMultiple,Xm/(1-RAND())^(1/Alpha)))))</f>
        <v>0.57910523441569828</v>
      </c>
      <c r="AB101" s="19">
        <f t="shared" ca="1" si="8"/>
        <v>1.0970404615088796</v>
      </c>
      <c r="AC101" s="14">
        <f t="shared" ca="1" si="9"/>
        <v>52657942.15242622</v>
      </c>
      <c r="AD101" s="14">
        <f t="shared" ca="1" si="10"/>
        <v>4657942.1524262205</v>
      </c>
      <c r="AE101" s="14">
        <f t="shared" si="11"/>
        <v>55628399.869093813</v>
      </c>
      <c r="AF101" s="14">
        <f t="shared" ca="1" si="12"/>
        <v>0</v>
      </c>
      <c r="AG101" s="14">
        <f t="shared" ca="1" si="13"/>
        <v>0</v>
      </c>
      <c r="AH101" s="14">
        <f t="shared" ca="1" si="14"/>
        <v>52657942.15242622</v>
      </c>
      <c r="AI101" s="19">
        <f t="shared" ca="1" si="15"/>
        <v>0.87763236920710364</v>
      </c>
    </row>
    <row r="102" spans="2:35" x14ac:dyDescent="0.2">
      <c r="B102" s="1">
        <v>97</v>
      </c>
      <c r="C102" s="19">
        <f ca="1">IF(RAND()&lt;P_Zero,0,IF(RAND()&lt;CondReturn,_xlfn.LOGNORM.INV(RAND(),MV2,Sigma1),IF(RAND()&lt;CondGood,_xlfn.LOGNORM.INV(RAND(),MV3,Sigma2),MIN(MaxMultiple,Xm/(1-RAND())^(1/Alpha)))))</f>
        <v>0</v>
      </c>
      <c r="D102" s="19">
        <f ca="1">IF(RAND()&lt;P_Zero,0,IF(RAND()&lt;CondReturn,_xlfn.LOGNORM.INV(RAND(),MV2,Sigma1),IF(RAND()&lt;CondGood,_xlfn.LOGNORM.INV(RAND(),MV3,Sigma2),MIN(MaxMultiple,Xm/(1-RAND())^(1/Alpha)))))</f>
        <v>0</v>
      </c>
      <c r="E102" s="19">
        <f ca="1">IF(RAND()&lt;P_Zero,0,IF(RAND()&lt;CondReturn,_xlfn.LOGNORM.INV(RAND(),MV2,Sigma1),IF(RAND()&lt;CondGood,_xlfn.LOGNORM.INV(RAND(),MV3,Sigma2),MIN(MaxMultiple,Xm/(1-RAND())^(1/Alpha)))))</f>
        <v>0</v>
      </c>
      <c r="F102" s="19">
        <f ca="1">IF(RAND()&lt;P_Zero,0,IF(RAND()&lt;CondReturn,_xlfn.LOGNORM.INV(RAND(),MV2,Sigma1),IF(RAND()&lt;CondGood,_xlfn.LOGNORM.INV(RAND(),MV3,Sigma2),MIN(MaxMultiple,Xm/(1-RAND())^(1/Alpha)))))</f>
        <v>1.504752088268293</v>
      </c>
      <c r="G102" s="19">
        <f ca="1">IF(RAND()&lt;P_Zero,0,IF(RAND()&lt;CondReturn,_xlfn.LOGNORM.INV(RAND(),MV2,Sigma1),IF(RAND()&lt;CondGood,_xlfn.LOGNORM.INV(RAND(),MV3,Sigma2),MIN(MaxMultiple,Xm/(1-RAND())^(1/Alpha)))))</f>
        <v>0.57483723370946083</v>
      </c>
      <c r="H102" s="19">
        <f ca="1">IF(RAND()&lt;P_Zero,0,IF(RAND()&lt;CondReturn,_xlfn.LOGNORM.INV(RAND(),MV2,Sigma1),IF(RAND()&lt;CondGood,_xlfn.LOGNORM.INV(RAND(),MV3,Sigma2),MIN(MaxMultiple,Xm/(1-RAND())^(1/Alpha)))))</f>
        <v>21.85957499043996</v>
      </c>
      <c r="I102" s="19">
        <f ca="1">IF(RAND()&lt;P_Zero,0,IF(RAND()&lt;CondReturn,_xlfn.LOGNORM.INV(RAND(),MV2,Sigma1),IF(RAND()&lt;CondGood,_xlfn.LOGNORM.INV(RAND(),MV3,Sigma2),MIN(MaxMultiple,Xm/(1-RAND())^(1/Alpha)))))</f>
        <v>17.945413246960154</v>
      </c>
      <c r="J102" s="19">
        <f ca="1">IF(RAND()&lt;P_Zero,0,IF(RAND()&lt;CondReturn,_xlfn.LOGNORM.INV(RAND(),MV2,Sigma1),IF(RAND()&lt;CondGood,_xlfn.LOGNORM.INV(RAND(),MV3,Sigma2),MIN(MaxMultiple,Xm/(1-RAND())^(1/Alpha)))))</f>
        <v>1.293642460332868</v>
      </c>
      <c r="K102" s="19">
        <f ca="1">IF(RAND()&lt;P_Zero,0,IF(RAND()&lt;CondReturn,_xlfn.LOGNORM.INV(RAND(),MV2,Sigma1),IF(RAND()&lt;CondGood,_xlfn.LOGNORM.INV(RAND(),MV3,Sigma2),MIN(MaxMultiple,Xm/(1-RAND())^(1/Alpha)))))</f>
        <v>26.585537943988005</v>
      </c>
      <c r="L102" s="19">
        <f ca="1">IF(RAND()&lt;P_Zero,0,IF(RAND()&lt;CondReturn,_xlfn.LOGNORM.INV(RAND(),MV2,Sigma1),IF(RAND()&lt;CondGood,_xlfn.LOGNORM.INV(RAND(),MV3,Sigma2),MIN(MaxMultiple,Xm/(1-RAND())^(1/Alpha)))))</f>
        <v>1.7171004668041672</v>
      </c>
      <c r="M102" s="19">
        <f ca="1">IF(RAND()&lt;P_Zero,0,IF(RAND()&lt;CondReturn,_xlfn.LOGNORM.INV(RAND(),MV2,Sigma1),IF(RAND()&lt;CondGood,_xlfn.LOGNORM.INV(RAND(),MV3,Sigma2),MIN(MaxMultiple,Xm/(1-RAND())^(1/Alpha)))))</f>
        <v>0</v>
      </c>
      <c r="N102" s="19">
        <f ca="1">IF(RAND()&lt;P_Zero,0,IF(RAND()&lt;CondReturn,_xlfn.LOGNORM.INV(RAND(),MV2,Sigma1),IF(RAND()&lt;CondGood,_xlfn.LOGNORM.INV(RAND(),MV3,Sigma2),MIN(MaxMultiple,Xm/(1-RAND())^(1/Alpha)))))</f>
        <v>0</v>
      </c>
      <c r="O102" s="19">
        <f ca="1">IF(RAND()&lt;P_Zero,0,IF(RAND()&lt;CondReturn,_xlfn.LOGNORM.INV(RAND(),MV2,Sigma1),IF(RAND()&lt;CondGood,_xlfn.LOGNORM.INV(RAND(),MV3,Sigma2),MIN(MaxMultiple,Xm/(1-RAND())^(1/Alpha)))))</f>
        <v>0</v>
      </c>
      <c r="P102" s="19">
        <f ca="1">IF(RAND()&lt;P_Zero,0,IF(RAND()&lt;CondReturn,_xlfn.LOGNORM.INV(RAND(),MV2,Sigma1),IF(RAND()&lt;CondGood,_xlfn.LOGNORM.INV(RAND(),MV3,Sigma2),MIN(MaxMultiple,Xm/(1-RAND())^(1/Alpha)))))</f>
        <v>0</v>
      </c>
      <c r="Q102" s="19">
        <f ca="1">IF(RAND()&lt;P_Zero,0,IF(RAND()&lt;CondReturn,_xlfn.LOGNORM.INV(RAND(),MV2,Sigma1),IF(RAND()&lt;CondGood,_xlfn.LOGNORM.INV(RAND(),MV3,Sigma2),MIN(MaxMultiple,Xm/(1-RAND())^(1/Alpha)))))</f>
        <v>0.81563048764615287</v>
      </c>
      <c r="R102" s="19">
        <f ca="1">IF(RAND()&lt;P_Zero,0,IF(RAND()&lt;CondReturn,_xlfn.LOGNORM.INV(RAND(),MV2,Sigma1),IF(RAND()&lt;CondGood,_xlfn.LOGNORM.INV(RAND(),MV3,Sigma2),MIN(MaxMultiple,Xm/(1-RAND())^(1/Alpha)))))</f>
        <v>0</v>
      </c>
      <c r="S102" s="19">
        <f ca="1">IF(RAND()&lt;P_Zero,0,IF(RAND()&lt;CondReturn,_xlfn.LOGNORM.INV(RAND(),MV2,Sigma1),IF(RAND()&lt;CondGood,_xlfn.LOGNORM.INV(RAND(),MV3,Sigma2),MIN(MaxMultiple,Xm/(1-RAND())^(1/Alpha)))))</f>
        <v>1.0426910417413215</v>
      </c>
      <c r="T102" s="19">
        <f ca="1">IF(RAND()&lt;P_Zero,0,IF(RAND()&lt;CondReturn,_xlfn.LOGNORM.INV(RAND(),MV2,Sigma1),IF(RAND()&lt;CondGood,_xlfn.LOGNORM.INV(RAND(),MV3,Sigma2),MIN(MaxMultiple,Xm/(1-RAND())^(1/Alpha)))))</f>
        <v>0</v>
      </c>
      <c r="U102" s="19">
        <f ca="1">IF(RAND()&lt;P_Zero,0,IF(RAND()&lt;CondReturn,_xlfn.LOGNORM.INV(RAND(),MV2,Sigma1),IF(RAND()&lt;CondGood,_xlfn.LOGNORM.INV(RAND(),MV3,Sigma2),MIN(MaxMultiple,Xm/(1-RAND())^(1/Alpha)))))</f>
        <v>0</v>
      </c>
      <c r="V102" s="19">
        <f ca="1">IF(RAND()&lt;P_Zero,0,IF(RAND()&lt;CondReturn,_xlfn.LOGNORM.INV(RAND(),MV2,Sigma1),IF(RAND()&lt;CondGood,_xlfn.LOGNORM.INV(RAND(),MV3,Sigma2),MIN(MaxMultiple,Xm/(1-RAND())^(1/Alpha)))))</f>
        <v>0.89408684888673029</v>
      </c>
      <c r="W102" s="19">
        <f ca="1">IF(RAND()&lt;P_Zero,0,IF(RAND()&lt;CondReturn,_xlfn.LOGNORM.INV(RAND(),MV2,Sigma1),IF(RAND()&lt;CondGood,_xlfn.LOGNORM.INV(RAND(),MV3,Sigma2),MIN(MaxMultiple,Xm/(1-RAND())^(1/Alpha)))))</f>
        <v>0.65916599597997028</v>
      </c>
      <c r="X102" s="19">
        <f ca="1">IF(RAND()&lt;P_Zero,0,IF(RAND()&lt;CondReturn,_xlfn.LOGNORM.INV(RAND(),MV2,Sigma1),IF(RAND()&lt;CondGood,_xlfn.LOGNORM.INV(RAND(),MV3,Sigma2),MIN(MaxMultiple,Xm/(1-RAND())^(1/Alpha)))))</f>
        <v>0</v>
      </c>
      <c r="Y102" s="19">
        <f ca="1">IF(RAND()&lt;P_Zero,0,IF(RAND()&lt;CondReturn,_xlfn.LOGNORM.INV(RAND(),MV2,Sigma1),IF(RAND()&lt;CondGood,_xlfn.LOGNORM.INV(RAND(),MV3,Sigma2),MIN(MaxMultiple,Xm/(1-RAND())^(1/Alpha)))))</f>
        <v>0.72060151999881839</v>
      </c>
      <c r="Z102" s="19">
        <f ca="1">IF(RAND()&lt;P_Zero,0,IF(RAND()&lt;CondReturn,_xlfn.LOGNORM.INV(RAND(),MV2,Sigma1),IF(RAND()&lt;CondGood,_xlfn.LOGNORM.INV(RAND(),MV3,Sigma2),MIN(MaxMultiple,Xm/(1-RAND())^(1/Alpha)))))</f>
        <v>0</v>
      </c>
      <c r="AA102" s="19">
        <f ca="1">IF(RAND()&lt;P_Zero,0,IF(RAND()&lt;CondReturn,_xlfn.LOGNORM.INV(RAND(),MV2,Sigma1),IF(RAND()&lt;CondGood,_xlfn.LOGNORM.INV(RAND(),MV3,Sigma2),MIN(MaxMultiple,Xm/(1-RAND())^(1/Alpha)))))</f>
        <v>0</v>
      </c>
      <c r="AB102" s="19">
        <f t="shared" ca="1" si="8"/>
        <v>3.024521372990236</v>
      </c>
      <c r="AC102" s="14">
        <f t="shared" ca="1" si="9"/>
        <v>145177025.90353134</v>
      </c>
      <c r="AD102" s="14">
        <f t="shared" ca="1" si="10"/>
        <v>97177025.903531343</v>
      </c>
      <c r="AE102" s="14">
        <f t="shared" si="11"/>
        <v>55628399.869093813</v>
      </c>
      <c r="AF102" s="14">
        <f t="shared" ca="1" si="12"/>
        <v>41548626.03443753</v>
      </c>
      <c r="AG102" s="14">
        <f t="shared" ca="1" si="13"/>
        <v>8309725.2068875059</v>
      </c>
      <c r="AH102" s="14">
        <f t="shared" ca="1" si="14"/>
        <v>136867300.69664383</v>
      </c>
      <c r="AI102" s="19">
        <f t="shared" ca="1" si="15"/>
        <v>2.2811216782773971</v>
      </c>
    </row>
    <row r="103" spans="2:35" x14ac:dyDescent="0.2">
      <c r="B103" s="1">
        <v>98</v>
      </c>
      <c r="C103" s="19">
        <f ca="1">IF(RAND()&lt;P_Zero,0,IF(RAND()&lt;CondReturn,_xlfn.LOGNORM.INV(RAND(),MV2,Sigma1),IF(RAND()&lt;CondGood,_xlfn.LOGNORM.INV(RAND(),MV3,Sigma2),MIN(MaxMultiple,Xm/(1-RAND())^(1/Alpha)))))</f>
        <v>0</v>
      </c>
      <c r="D103" s="19">
        <f ca="1">IF(RAND()&lt;P_Zero,0,IF(RAND()&lt;CondReturn,_xlfn.LOGNORM.INV(RAND(),MV2,Sigma1),IF(RAND()&lt;CondGood,_xlfn.LOGNORM.INV(RAND(),MV3,Sigma2),MIN(MaxMultiple,Xm/(1-RAND())^(1/Alpha)))))</f>
        <v>0</v>
      </c>
      <c r="E103" s="19">
        <f ca="1">IF(RAND()&lt;P_Zero,0,IF(RAND()&lt;CondReturn,_xlfn.LOGNORM.INV(RAND(),MV2,Sigma1),IF(RAND()&lt;CondGood,_xlfn.LOGNORM.INV(RAND(),MV3,Sigma2),MIN(MaxMultiple,Xm/(1-RAND())^(1/Alpha)))))</f>
        <v>0.46850994859333367</v>
      </c>
      <c r="F103" s="19">
        <f ca="1">IF(RAND()&lt;P_Zero,0,IF(RAND()&lt;CondReturn,_xlfn.LOGNORM.INV(RAND(),MV2,Sigma1),IF(RAND()&lt;CondGood,_xlfn.LOGNORM.INV(RAND(),MV3,Sigma2),MIN(MaxMultiple,Xm/(1-RAND())^(1/Alpha)))))</f>
        <v>0.44605298691599149</v>
      </c>
      <c r="G103" s="19">
        <f ca="1">IF(RAND()&lt;P_Zero,0,IF(RAND()&lt;CondReturn,_xlfn.LOGNORM.INV(RAND(),MV2,Sigma1),IF(RAND()&lt;CondGood,_xlfn.LOGNORM.INV(RAND(),MV3,Sigma2),MIN(MaxMultiple,Xm/(1-RAND())^(1/Alpha)))))</f>
        <v>0.53389513199767324</v>
      </c>
      <c r="H103" s="19">
        <f ca="1">IF(RAND()&lt;P_Zero,0,IF(RAND()&lt;CondReturn,_xlfn.LOGNORM.INV(RAND(),MV2,Sigma1),IF(RAND()&lt;CondGood,_xlfn.LOGNORM.INV(RAND(),MV3,Sigma2),MIN(MaxMultiple,Xm/(1-RAND())^(1/Alpha)))))</f>
        <v>0</v>
      </c>
      <c r="I103" s="19">
        <f ca="1">IF(RAND()&lt;P_Zero,0,IF(RAND()&lt;CondReturn,_xlfn.LOGNORM.INV(RAND(),MV2,Sigma1),IF(RAND()&lt;CondGood,_xlfn.LOGNORM.INV(RAND(),MV3,Sigma2),MIN(MaxMultiple,Xm/(1-RAND())^(1/Alpha)))))</f>
        <v>0</v>
      </c>
      <c r="J103" s="19">
        <f ca="1">IF(RAND()&lt;P_Zero,0,IF(RAND()&lt;CondReturn,_xlfn.LOGNORM.INV(RAND(),MV2,Sigma1),IF(RAND()&lt;CondGood,_xlfn.LOGNORM.INV(RAND(),MV3,Sigma2),MIN(MaxMultiple,Xm/(1-RAND())^(1/Alpha)))))</f>
        <v>2.3401218693084691</v>
      </c>
      <c r="K103" s="19">
        <f ca="1">IF(RAND()&lt;P_Zero,0,IF(RAND()&lt;CondReturn,_xlfn.LOGNORM.INV(RAND(),MV2,Sigma1),IF(RAND()&lt;CondGood,_xlfn.LOGNORM.INV(RAND(),MV3,Sigma2),MIN(MaxMultiple,Xm/(1-RAND())^(1/Alpha)))))</f>
        <v>0.35908493612013409</v>
      </c>
      <c r="L103" s="19">
        <f ca="1">IF(RAND()&lt;P_Zero,0,IF(RAND()&lt;CondReturn,_xlfn.LOGNORM.INV(RAND(),MV2,Sigma1),IF(RAND()&lt;CondGood,_xlfn.LOGNORM.INV(RAND(),MV3,Sigma2),MIN(MaxMultiple,Xm/(1-RAND())^(1/Alpha)))))</f>
        <v>1.1372257653282165</v>
      </c>
      <c r="M103" s="19">
        <f ca="1">IF(RAND()&lt;P_Zero,0,IF(RAND()&lt;CondReturn,_xlfn.LOGNORM.INV(RAND(),MV2,Sigma1),IF(RAND()&lt;CondGood,_xlfn.LOGNORM.INV(RAND(),MV3,Sigma2),MIN(MaxMultiple,Xm/(1-RAND())^(1/Alpha)))))</f>
        <v>0</v>
      </c>
      <c r="N103" s="19">
        <f ca="1">IF(RAND()&lt;P_Zero,0,IF(RAND()&lt;CondReturn,_xlfn.LOGNORM.INV(RAND(),MV2,Sigma1),IF(RAND()&lt;CondGood,_xlfn.LOGNORM.INV(RAND(),MV3,Sigma2),MIN(MaxMultiple,Xm/(1-RAND())^(1/Alpha)))))</f>
        <v>26.734979400550991</v>
      </c>
      <c r="O103" s="19">
        <f ca="1">IF(RAND()&lt;P_Zero,0,IF(RAND()&lt;CondReturn,_xlfn.LOGNORM.INV(RAND(),MV2,Sigma1),IF(RAND()&lt;CondGood,_xlfn.LOGNORM.INV(RAND(),MV3,Sigma2),MIN(MaxMultiple,Xm/(1-RAND())^(1/Alpha)))))</f>
        <v>20.774157517293467</v>
      </c>
      <c r="P103" s="19">
        <f ca="1">IF(RAND()&lt;P_Zero,0,IF(RAND()&lt;CondReturn,_xlfn.LOGNORM.INV(RAND(),MV2,Sigma1),IF(RAND()&lt;CondGood,_xlfn.LOGNORM.INV(RAND(),MV3,Sigma2),MIN(MaxMultiple,Xm/(1-RAND())^(1/Alpha)))))</f>
        <v>0</v>
      </c>
      <c r="Q103" s="19">
        <f ca="1">IF(RAND()&lt;P_Zero,0,IF(RAND()&lt;CondReturn,_xlfn.LOGNORM.INV(RAND(),MV2,Sigma1),IF(RAND()&lt;CondGood,_xlfn.LOGNORM.INV(RAND(),MV3,Sigma2),MIN(MaxMultiple,Xm/(1-RAND())^(1/Alpha)))))</f>
        <v>1.5717224611541569</v>
      </c>
      <c r="R103" s="19">
        <f ca="1">IF(RAND()&lt;P_Zero,0,IF(RAND()&lt;CondReturn,_xlfn.LOGNORM.INV(RAND(),MV2,Sigma1),IF(RAND()&lt;CondGood,_xlfn.LOGNORM.INV(RAND(),MV3,Sigma2),MIN(MaxMultiple,Xm/(1-RAND())^(1/Alpha)))))</f>
        <v>1.4041854812858228</v>
      </c>
      <c r="S103" s="19">
        <f ca="1">IF(RAND()&lt;P_Zero,0,IF(RAND()&lt;CondReturn,_xlfn.LOGNORM.INV(RAND(),MV2,Sigma1),IF(RAND()&lt;CondGood,_xlfn.LOGNORM.INV(RAND(),MV3,Sigma2),MIN(MaxMultiple,Xm/(1-RAND())^(1/Alpha)))))</f>
        <v>1.2737802448340561</v>
      </c>
      <c r="T103" s="19">
        <f ca="1">IF(RAND()&lt;P_Zero,0,IF(RAND()&lt;CondReturn,_xlfn.LOGNORM.INV(RAND(),MV2,Sigma1),IF(RAND()&lt;CondGood,_xlfn.LOGNORM.INV(RAND(),MV3,Sigma2),MIN(MaxMultiple,Xm/(1-RAND())^(1/Alpha)))))</f>
        <v>0</v>
      </c>
      <c r="U103" s="19">
        <f ca="1">IF(RAND()&lt;P_Zero,0,IF(RAND()&lt;CondReturn,_xlfn.LOGNORM.INV(RAND(),MV2,Sigma1),IF(RAND()&lt;CondGood,_xlfn.LOGNORM.INV(RAND(),MV3,Sigma2),MIN(MaxMultiple,Xm/(1-RAND())^(1/Alpha)))))</f>
        <v>1.5391090239819769</v>
      </c>
      <c r="V103" s="19">
        <f ca="1">IF(RAND()&lt;P_Zero,0,IF(RAND()&lt;CondReturn,_xlfn.LOGNORM.INV(RAND(),MV2,Sigma1),IF(RAND()&lt;CondGood,_xlfn.LOGNORM.INV(RAND(),MV3,Sigma2),MIN(MaxMultiple,Xm/(1-RAND())^(1/Alpha)))))</f>
        <v>0.66214042198399548</v>
      </c>
      <c r="W103" s="19">
        <f ca="1">IF(RAND()&lt;P_Zero,0,IF(RAND()&lt;CondReturn,_xlfn.LOGNORM.INV(RAND(),MV2,Sigma1),IF(RAND()&lt;CondGood,_xlfn.LOGNORM.INV(RAND(),MV3,Sigma2),MIN(MaxMultiple,Xm/(1-RAND())^(1/Alpha)))))</f>
        <v>0</v>
      </c>
      <c r="X103" s="19">
        <f ca="1">IF(RAND()&lt;P_Zero,0,IF(RAND()&lt;CondReturn,_xlfn.LOGNORM.INV(RAND(),MV2,Sigma1),IF(RAND()&lt;CondGood,_xlfn.LOGNORM.INV(RAND(),MV3,Sigma2),MIN(MaxMultiple,Xm/(1-RAND())^(1/Alpha)))))</f>
        <v>10.014529268336851</v>
      </c>
      <c r="Y103" s="19">
        <f ca="1">IF(RAND()&lt;P_Zero,0,IF(RAND()&lt;CondReturn,_xlfn.LOGNORM.INV(RAND(),MV2,Sigma1),IF(RAND()&lt;CondGood,_xlfn.LOGNORM.INV(RAND(),MV3,Sigma2),MIN(MaxMultiple,Xm/(1-RAND())^(1/Alpha)))))</f>
        <v>0.96678027689487478</v>
      </c>
      <c r="Z103" s="19">
        <f ca="1">IF(RAND()&lt;P_Zero,0,IF(RAND()&lt;CondReturn,_xlfn.LOGNORM.INV(RAND(),MV2,Sigma1),IF(RAND()&lt;CondGood,_xlfn.LOGNORM.INV(RAND(),MV3,Sigma2),MIN(MaxMultiple,Xm/(1-RAND())^(1/Alpha)))))</f>
        <v>0.31601413694729991</v>
      </c>
      <c r="AA103" s="19">
        <f ca="1">IF(RAND()&lt;P_Zero,0,IF(RAND()&lt;CondReturn,_xlfn.LOGNORM.INV(RAND(),MV2,Sigma1),IF(RAND()&lt;CondGood,_xlfn.LOGNORM.INV(RAND(),MV3,Sigma2),MIN(MaxMultiple,Xm/(1-RAND())^(1/Alpha)))))</f>
        <v>0</v>
      </c>
      <c r="AB103" s="19">
        <f t="shared" ca="1" si="8"/>
        <v>2.8216915548610935</v>
      </c>
      <c r="AC103" s="14">
        <f t="shared" ca="1" si="9"/>
        <v>135441194.63333249</v>
      </c>
      <c r="AD103" s="14">
        <f t="shared" ca="1" si="10"/>
        <v>87441194.633332491</v>
      </c>
      <c r="AE103" s="14">
        <f t="shared" si="11"/>
        <v>55628399.869093813</v>
      </c>
      <c r="AF103" s="14">
        <f t="shared" ca="1" si="12"/>
        <v>31812794.764238678</v>
      </c>
      <c r="AG103" s="14">
        <f t="shared" ca="1" si="13"/>
        <v>6362558.952847736</v>
      </c>
      <c r="AH103" s="14">
        <f t="shared" ca="1" si="14"/>
        <v>129078635.68048476</v>
      </c>
      <c r="AI103" s="19">
        <f t="shared" ca="1" si="15"/>
        <v>2.1513105946747459</v>
      </c>
    </row>
    <row r="104" spans="2:35" x14ac:dyDescent="0.2">
      <c r="B104" s="1">
        <v>99</v>
      </c>
      <c r="C104" s="19">
        <f ca="1">IF(RAND()&lt;P_Zero,0,IF(RAND()&lt;CondReturn,_xlfn.LOGNORM.INV(RAND(),MV2,Sigma1),IF(RAND()&lt;CondGood,_xlfn.LOGNORM.INV(RAND(),MV3,Sigma2),MIN(MaxMultiple,Xm/(1-RAND())^(1/Alpha)))))</f>
        <v>0.90467324142088712</v>
      </c>
      <c r="D104" s="19">
        <f ca="1">IF(RAND()&lt;P_Zero,0,IF(RAND()&lt;CondReturn,_xlfn.LOGNORM.INV(RAND(),MV2,Sigma1),IF(RAND()&lt;CondGood,_xlfn.LOGNORM.INV(RAND(),MV3,Sigma2),MIN(MaxMultiple,Xm/(1-RAND())^(1/Alpha)))))</f>
        <v>0</v>
      </c>
      <c r="E104" s="19">
        <f ca="1">IF(RAND()&lt;P_Zero,0,IF(RAND()&lt;CondReturn,_xlfn.LOGNORM.INV(RAND(),MV2,Sigma1),IF(RAND()&lt;CondGood,_xlfn.LOGNORM.INV(RAND(),MV3,Sigma2),MIN(MaxMultiple,Xm/(1-RAND())^(1/Alpha)))))</f>
        <v>0.67605581453408103</v>
      </c>
      <c r="F104" s="19">
        <f ca="1">IF(RAND()&lt;P_Zero,0,IF(RAND()&lt;CondReturn,_xlfn.LOGNORM.INV(RAND(),MV2,Sigma1),IF(RAND()&lt;CondGood,_xlfn.LOGNORM.INV(RAND(),MV3,Sigma2),MIN(MaxMultiple,Xm/(1-RAND())^(1/Alpha)))))</f>
        <v>0</v>
      </c>
      <c r="G104" s="19">
        <f ca="1">IF(RAND()&lt;P_Zero,0,IF(RAND()&lt;CondReturn,_xlfn.LOGNORM.INV(RAND(),MV2,Sigma1),IF(RAND()&lt;CondGood,_xlfn.LOGNORM.INV(RAND(),MV3,Sigma2),MIN(MaxMultiple,Xm/(1-RAND())^(1/Alpha)))))</f>
        <v>0</v>
      </c>
      <c r="H104" s="19">
        <f ca="1">IF(RAND()&lt;P_Zero,0,IF(RAND()&lt;CondReturn,_xlfn.LOGNORM.INV(RAND(),MV2,Sigma1),IF(RAND()&lt;CondGood,_xlfn.LOGNORM.INV(RAND(),MV3,Sigma2),MIN(MaxMultiple,Xm/(1-RAND())^(1/Alpha)))))</f>
        <v>0</v>
      </c>
      <c r="I104" s="19">
        <f ca="1">IF(RAND()&lt;P_Zero,0,IF(RAND()&lt;CondReturn,_xlfn.LOGNORM.INV(RAND(),MV2,Sigma1),IF(RAND()&lt;CondGood,_xlfn.LOGNORM.INV(RAND(),MV3,Sigma2),MIN(MaxMultiple,Xm/(1-RAND())^(1/Alpha)))))</f>
        <v>13.433290729600433</v>
      </c>
      <c r="J104" s="19">
        <f ca="1">IF(RAND()&lt;P_Zero,0,IF(RAND()&lt;CondReturn,_xlfn.LOGNORM.INV(RAND(),MV2,Sigma1),IF(RAND()&lt;CondGood,_xlfn.LOGNORM.INV(RAND(),MV3,Sigma2),MIN(MaxMultiple,Xm/(1-RAND())^(1/Alpha)))))</f>
        <v>0</v>
      </c>
      <c r="K104" s="19">
        <f ca="1">IF(RAND()&lt;P_Zero,0,IF(RAND()&lt;CondReturn,_xlfn.LOGNORM.INV(RAND(),MV2,Sigma1),IF(RAND()&lt;CondGood,_xlfn.LOGNORM.INV(RAND(),MV3,Sigma2),MIN(MaxMultiple,Xm/(1-RAND())^(1/Alpha)))))</f>
        <v>0.8672277562637023</v>
      </c>
      <c r="L104" s="19">
        <f ca="1">IF(RAND()&lt;P_Zero,0,IF(RAND()&lt;CondReturn,_xlfn.LOGNORM.INV(RAND(),MV2,Sigma1),IF(RAND()&lt;CondGood,_xlfn.LOGNORM.INV(RAND(),MV3,Sigma2),MIN(MaxMultiple,Xm/(1-RAND())^(1/Alpha)))))</f>
        <v>0</v>
      </c>
      <c r="M104" s="19">
        <f ca="1">IF(RAND()&lt;P_Zero,0,IF(RAND()&lt;CondReturn,_xlfn.LOGNORM.INV(RAND(),MV2,Sigma1),IF(RAND()&lt;CondGood,_xlfn.LOGNORM.INV(RAND(),MV3,Sigma2),MIN(MaxMultiple,Xm/(1-RAND())^(1/Alpha)))))</f>
        <v>0.64140618917608738</v>
      </c>
      <c r="N104" s="19">
        <f ca="1">IF(RAND()&lt;P_Zero,0,IF(RAND()&lt;CondReturn,_xlfn.LOGNORM.INV(RAND(),MV2,Sigma1),IF(RAND()&lt;CondGood,_xlfn.LOGNORM.INV(RAND(),MV3,Sigma2),MIN(MaxMultiple,Xm/(1-RAND())^(1/Alpha)))))</f>
        <v>0</v>
      </c>
      <c r="O104" s="19">
        <f ca="1">IF(RAND()&lt;P_Zero,0,IF(RAND()&lt;CondReturn,_xlfn.LOGNORM.INV(RAND(),MV2,Sigma1),IF(RAND()&lt;CondGood,_xlfn.LOGNORM.INV(RAND(),MV3,Sigma2),MIN(MaxMultiple,Xm/(1-RAND())^(1/Alpha)))))</f>
        <v>1.7415013012672194</v>
      </c>
      <c r="P104" s="19">
        <f ca="1">IF(RAND()&lt;P_Zero,0,IF(RAND()&lt;CondReturn,_xlfn.LOGNORM.INV(RAND(),MV2,Sigma1),IF(RAND()&lt;CondGood,_xlfn.LOGNORM.INV(RAND(),MV3,Sigma2),MIN(MaxMultiple,Xm/(1-RAND())^(1/Alpha)))))</f>
        <v>0</v>
      </c>
      <c r="Q104" s="19">
        <f ca="1">IF(RAND()&lt;P_Zero,0,IF(RAND()&lt;CondReturn,_xlfn.LOGNORM.INV(RAND(),MV2,Sigma1),IF(RAND()&lt;CondGood,_xlfn.LOGNORM.INV(RAND(),MV3,Sigma2),MIN(MaxMultiple,Xm/(1-RAND())^(1/Alpha)))))</f>
        <v>2.3303220785299805</v>
      </c>
      <c r="R104" s="19">
        <f ca="1">IF(RAND()&lt;P_Zero,0,IF(RAND()&lt;CondReturn,_xlfn.LOGNORM.INV(RAND(),MV2,Sigma1),IF(RAND()&lt;CondGood,_xlfn.LOGNORM.INV(RAND(),MV3,Sigma2),MIN(MaxMultiple,Xm/(1-RAND())^(1/Alpha)))))</f>
        <v>22.854172405640714</v>
      </c>
      <c r="S104" s="19">
        <f ca="1">IF(RAND()&lt;P_Zero,0,IF(RAND()&lt;CondReturn,_xlfn.LOGNORM.INV(RAND(),MV2,Sigma1),IF(RAND()&lt;CondGood,_xlfn.LOGNORM.INV(RAND(),MV3,Sigma2),MIN(MaxMultiple,Xm/(1-RAND())^(1/Alpha)))))</f>
        <v>0</v>
      </c>
      <c r="T104" s="19">
        <f ca="1">IF(RAND()&lt;P_Zero,0,IF(RAND()&lt;CondReturn,_xlfn.LOGNORM.INV(RAND(),MV2,Sigma1),IF(RAND()&lt;CondGood,_xlfn.LOGNORM.INV(RAND(),MV3,Sigma2),MIN(MaxMultiple,Xm/(1-RAND())^(1/Alpha)))))</f>
        <v>0</v>
      </c>
      <c r="U104" s="19">
        <f ca="1">IF(RAND()&lt;P_Zero,0,IF(RAND()&lt;CondReturn,_xlfn.LOGNORM.INV(RAND(),MV2,Sigma1),IF(RAND()&lt;CondGood,_xlfn.LOGNORM.INV(RAND(),MV3,Sigma2),MIN(MaxMultiple,Xm/(1-RAND())^(1/Alpha)))))</f>
        <v>10.828539720806011</v>
      </c>
      <c r="V104" s="19">
        <f ca="1">IF(RAND()&lt;P_Zero,0,IF(RAND()&lt;CondReturn,_xlfn.LOGNORM.INV(RAND(),MV2,Sigma1),IF(RAND()&lt;CondGood,_xlfn.LOGNORM.INV(RAND(),MV3,Sigma2),MIN(MaxMultiple,Xm/(1-RAND())^(1/Alpha)))))</f>
        <v>0.80778080220433268</v>
      </c>
      <c r="W104" s="19">
        <f ca="1">IF(RAND()&lt;P_Zero,0,IF(RAND()&lt;CondReturn,_xlfn.LOGNORM.INV(RAND(),MV2,Sigma1),IF(RAND()&lt;CondGood,_xlfn.LOGNORM.INV(RAND(),MV3,Sigma2),MIN(MaxMultiple,Xm/(1-RAND())^(1/Alpha)))))</f>
        <v>1.502778092677749</v>
      </c>
      <c r="X104" s="19">
        <f ca="1">IF(RAND()&lt;P_Zero,0,IF(RAND()&lt;CondReturn,_xlfn.LOGNORM.INV(RAND(),MV2,Sigma1),IF(RAND()&lt;CondGood,_xlfn.LOGNORM.INV(RAND(),MV3,Sigma2),MIN(MaxMultiple,Xm/(1-RAND())^(1/Alpha)))))</f>
        <v>0</v>
      </c>
      <c r="Y104" s="19">
        <f ca="1">IF(RAND()&lt;P_Zero,0,IF(RAND()&lt;CondReturn,_xlfn.LOGNORM.INV(RAND(),MV2,Sigma1),IF(RAND()&lt;CondGood,_xlfn.LOGNORM.INV(RAND(),MV3,Sigma2),MIN(MaxMultiple,Xm/(1-RAND())^(1/Alpha)))))</f>
        <v>0</v>
      </c>
      <c r="Z104" s="19">
        <f ca="1">IF(RAND()&lt;P_Zero,0,IF(RAND()&lt;CondReturn,_xlfn.LOGNORM.INV(RAND(),MV2,Sigma1),IF(RAND()&lt;CondGood,_xlfn.LOGNORM.INV(RAND(),MV3,Sigma2),MIN(MaxMultiple,Xm/(1-RAND())^(1/Alpha)))))</f>
        <v>0</v>
      </c>
      <c r="AA104" s="19">
        <f ca="1">IF(RAND()&lt;P_Zero,0,IF(RAND()&lt;CondReturn,_xlfn.LOGNORM.INV(RAND(),MV2,Sigma1),IF(RAND()&lt;CondGood,_xlfn.LOGNORM.INV(RAND(),MV3,Sigma2),MIN(MaxMultiple,Xm/(1-RAND())^(1/Alpha)))))</f>
        <v>0</v>
      </c>
      <c r="AB104" s="19">
        <f t="shared" ca="1" si="8"/>
        <v>2.2635099252848483</v>
      </c>
      <c r="AC104" s="14">
        <f t="shared" ca="1" si="9"/>
        <v>108648476.41367272</v>
      </c>
      <c r="AD104" s="14">
        <f t="shared" ca="1" si="10"/>
        <v>60648476.413672715</v>
      </c>
      <c r="AE104" s="14">
        <f t="shared" si="11"/>
        <v>55628399.869093813</v>
      </c>
      <c r="AF104" s="14">
        <f t="shared" ca="1" si="12"/>
        <v>5020076.5445789024</v>
      </c>
      <c r="AG104" s="14">
        <f t="shared" ca="1" si="13"/>
        <v>1004015.3089157805</v>
      </c>
      <c r="AH104" s="14">
        <f t="shared" ca="1" si="14"/>
        <v>107644461.10475694</v>
      </c>
      <c r="AI104" s="19">
        <f t="shared" ca="1" si="15"/>
        <v>1.794074351745949</v>
      </c>
    </row>
    <row r="105" spans="2:35" x14ac:dyDescent="0.2">
      <c r="B105" s="1">
        <v>100</v>
      </c>
      <c r="C105" s="19">
        <f ca="1">IF(RAND()&lt;P_Zero,0,IF(RAND()&lt;CondReturn,_xlfn.LOGNORM.INV(RAND(),MV2,Sigma1),IF(RAND()&lt;CondGood,_xlfn.LOGNORM.INV(RAND(),MV3,Sigma2),MIN(MaxMultiple,Xm/(1-RAND())^(1/Alpha)))))</f>
        <v>10.135129932129445</v>
      </c>
      <c r="D105" s="19">
        <f ca="1">IF(RAND()&lt;P_Zero,0,IF(RAND()&lt;CondReturn,_xlfn.LOGNORM.INV(RAND(),MV2,Sigma1),IF(RAND()&lt;CondGood,_xlfn.LOGNORM.INV(RAND(),MV3,Sigma2),MIN(MaxMultiple,Xm/(1-RAND())^(1/Alpha)))))</f>
        <v>10.746685699392188</v>
      </c>
      <c r="E105" s="19">
        <f ca="1">IF(RAND()&lt;P_Zero,0,IF(RAND()&lt;CondReturn,_xlfn.LOGNORM.INV(RAND(),MV2,Sigma1),IF(RAND()&lt;CondGood,_xlfn.LOGNORM.INV(RAND(),MV3,Sigma2),MIN(MaxMultiple,Xm/(1-RAND())^(1/Alpha)))))</f>
        <v>0</v>
      </c>
      <c r="F105" s="19">
        <f ca="1">IF(RAND()&lt;P_Zero,0,IF(RAND()&lt;CondReturn,_xlfn.LOGNORM.INV(RAND(),MV2,Sigma1),IF(RAND()&lt;CondGood,_xlfn.LOGNORM.INV(RAND(),MV3,Sigma2),MIN(MaxMultiple,Xm/(1-RAND())^(1/Alpha)))))</f>
        <v>0.72158884917272892</v>
      </c>
      <c r="G105" s="19">
        <f ca="1">IF(RAND()&lt;P_Zero,0,IF(RAND()&lt;CondReturn,_xlfn.LOGNORM.INV(RAND(),MV2,Sigma1),IF(RAND()&lt;CondGood,_xlfn.LOGNORM.INV(RAND(),MV3,Sigma2),MIN(MaxMultiple,Xm/(1-RAND())^(1/Alpha)))))</f>
        <v>10.336383808019765</v>
      </c>
      <c r="H105" s="19">
        <f ca="1">IF(RAND()&lt;P_Zero,0,IF(RAND()&lt;CondReturn,_xlfn.LOGNORM.INV(RAND(),MV2,Sigma1),IF(RAND()&lt;CondGood,_xlfn.LOGNORM.INV(RAND(),MV3,Sigma2),MIN(MaxMultiple,Xm/(1-RAND())^(1/Alpha)))))</f>
        <v>0.75243562460371516</v>
      </c>
      <c r="I105" s="19">
        <f ca="1">IF(RAND()&lt;P_Zero,0,IF(RAND()&lt;CondReturn,_xlfn.LOGNORM.INV(RAND(),MV2,Sigma1),IF(RAND()&lt;CondGood,_xlfn.LOGNORM.INV(RAND(),MV3,Sigma2),MIN(MaxMultiple,Xm/(1-RAND())^(1/Alpha)))))</f>
        <v>0</v>
      </c>
      <c r="J105" s="19">
        <f ca="1">IF(RAND()&lt;P_Zero,0,IF(RAND()&lt;CondReturn,_xlfn.LOGNORM.INV(RAND(),MV2,Sigma1),IF(RAND()&lt;CondGood,_xlfn.LOGNORM.INV(RAND(),MV3,Sigma2),MIN(MaxMultiple,Xm/(1-RAND())^(1/Alpha)))))</f>
        <v>1.9126413356529579</v>
      </c>
      <c r="K105" s="19">
        <f ca="1">IF(RAND()&lt;P_Zero,0,IF(RAND()&lt;CondReturn,_xlfn.LOGNORM.INV(RAND(),MV2,Sigma1),IF(RAND()&lt;CondGood,_xlfn.LOGNORM.INV(RAND(),MV3,Sigma2),MIN(MaxMultiple,Xm/(1-RAND())^(1/Alpha)))))</f>
        <v>0</v>
      </c>
      <c r="L105" s="19">
        <f ca="1">IF(RAND()&lt;P_Zero,0,IF(RAND()&lt;CondReturn,_xlfn.LOGNORM.INV(RAND(),MV2,Sigma1),IF(RAND()&lt;CondGood,_xlfn.LOGNORM.INV(RAND(),MV3,Sigma2),MIN(MaxMultiple,Xm/(1-RAND())^(1/Alpha)))))</f>
        <v>0</v>
      </c>
      <c r="M105" s="19">
        <f ca="1">IF(RAND()&lt;P_Zero,0,IF(RAND()&lt;CondReturn,_xlfn.LOGNORM.INV(RAND(),MV2,Sigma1),IF(RAND()&lt;CondGood,_xlfn.LOGNORM.INV(RAND(),MV3,Sigma2),MIN(MaxMultiple,Xm/(1-RAND())^(1/Alpha)))))</f>
        <v>0.88826922918002227</v>
      </c>
      <c r="N105" s="19">
        <f ca="1">IF(RAND()&lt;P_Zero,0,IF(RAND()&lt;CondReturn,_xlfn.LOGNORM.INV(RAND(),MV2,Sigma1),IF(RAND()&lt;CondGood,_xlfn.LOGNORM.INV(RAND(),MV3,Sigma2),MIN(MaxMultiple,Xm/(1-RAND())^(1/Alpha)))))</f>
        <v>0.6636863419773662</v>
      </c>
      <c r="O105" s="19">
        <f ca="1">IF(RAND()&lt;P_Zero,0,IF(RAND()&lt;CondReturn,_xlfn.LOGNORM.INV(RAND(),MV2,Sigma1),IF(RAND()&lt;CondGood,_xlfn.LOGNORM.INV(RAND(),MV3,Sigma2),MIN(MaxMultiple,Xm/(1-RAND())^(1/Alpha)))))</f>
        <v>0</v>
      </c>
      <c r="P105" s="19">
        <f ca="1">IF(RAND()&lt;P_Zero,0,IF(RAND()&lt;CondReturn,_xlfn.LOGNORM.INV(RAND(),MV2,Sigma1),IF(RAND()&lt;CondGood,_xlfn.LOGNORM.INV(RAND(),MV3,Sigma2),MIN(MaxMultiple,Xm/(1-RAND())^(1/Alpha)))))</f>
        <v>0</v>
      </c>
      <c r="Q105" s="19">
        <f ca="1">IF(RAND()&lt;P_Zero,0,IF(RAND()&lt;CondReturn,_xlfn.LOGNORM.INV(RAND(),MV2,Sigma1),IF(RAND()&lt;CondGood,_xlfn.LOGNORM.INV(RAND(),MV3,Sigma2),MIN(MaxMultiple,Xm/(1-RAND())^(1/Alpha)))))</f>
        <v>2.1141887673522417</v>
      </c>
      <c r="R105" s="19">
        <f ca="1">IF(RAND()&lt;P_Zero,0,IF(RAND()&lt;CondReturn,_xlfn.LOGNORM.INV(RAND(),MV2,Sigma1),IF(RAND()&lt;CondGood,_xlfn.LOGNORM.INV(RAND(),MV3,Sigma2),MIN(MaxMultiple,Xm/(1-RAND())^(1/Alpha)))))</f>
        <v>0</v>
      </c>
      <c r="S105" s="19">
        <f ca="1">IF(RAND()&lt;P_Zero,0,IF(RAND()&lt;CondReturn,_xlfn.LOGNORM.INV(RAND(),MV2,Sigma1),IF(RAND()&lt;CondGood,_xlfn.LOGNORM.INV(RAND(),MV3,Sigma2),MIN(MaxMultiple,Xm/(1-RAND())^(1/Alpha)))))</f>
        <v>0</v>
      </c>
      <c r="T105" s="19">
        <f ca="1">IF(RAND()&lt;P_Zero,0,IF(RAND()&lt;CondReturn,_xlfn.LOGNORM.INV(RAND(),MV2,Sigma1),IF(RAND()&lt;CondGood,_xlfn.LOGNORM.INV(RAND(),MV3,Sigma2),MIN(MaxMultiple,Xm/(1-RAND())^(1/Alpha)))))</f>
        <v>0.37517510713056768</v>
      </c>
      <c r="U105" s="19">
        <f ca="1">IF(RAND()&lt;P_Zero,0,IF(RAND()&lt;CondReturn,_xlfn.LOGNORM.INV(RAND(),MV2,Sigma1),IF(RAND()&lt;CondGood,_xlfn.LOGNORM.INV(RAND(),MV3,Sigma2),MIN(MaxMultiple,Xm/(1-RAND())^(1/Alpha)))))</f>
        <v>2.2129179205484313</v>
      </c>
      <c r="V105" s="19">
        <f ca="1">IF(RAND()&lt;P_Zero,0,IF(RAND()&lt;CondReturn,_xlfn.LOGNORM.INV(RAND(),MV2,Sigma1),IF(RAND()&lt;CondGood,_xlfn.LOGNORM.INV(RAND(),MV3,Sigma2),MIN(MaxMultiple,Xm/(1-RAND())^(1/Alpha)))))</f>
        <v>0.74709867663526064</v>
      </c>
      <c r="W105" s="19">
        <f ca="1">IF(RAND()&lt;P_Zero,0,IF(RAND()&lt;CondReturn,_xlfn.LOGNORM.INV(RAND(),MV2,Sigma1),IF(RAND()&lt;CondGood,_xlfn.LOGNORM.INV(RAND(),MV3,Sigma2),MIN(MaxMultiple,Xm/(1-RAND())^(1/Alpha)))))</f>
        <v>0</v>
      </c>
      <c r="X105" s="19">
        <f ca="1">IF(RAND()&lt;P_Zero,0,IF(RAND()&lt;CondReturn,_xlfn.LOGNORM.INV(RAND(),MV2,Sigma1),IF(RAND()&lt;CondGood,_xlfn.LOGNORM.INV(RAND(),MV3,Sigma2),MIN(MaxMultiple,Xm/(1-RAND())^(1/Alpha)))))</f>
        <v>0.53620823535994278</v>
      </c>
      <c r="Y105" s="19">
        <f ca="1">IF(RAND()&lt;P_Zero,0,IF(RAND()&lt;CondReturn,_xlfn.LOGNORM.INV(RAND(),MV2,Sigma1),IF(RAND()&lt;CondGood,_xlfn.LOGNORM.INV(RAND(),MV3,Sigma2),MIN(MaxMultiple,Xm/(1-RAND())^(1/Alpha)))))</f>
        <v>0</v>
      </c>
      <c r="Z105" s="19">
        <f ca="1">IF(RAND()&lt;P_Zero,0,IF(RAND()&lt;CondReturn,_xlfn.LOGNORM.INV(RAND(),MV2,Sigma1),IF(RAND()&lt;CondGood,_xlfn.LOGNORM.INV(RAND(),MV3,Sigma2),MIN(MaxMultiple,Xm/(1-RAND())^(1/Alpha)))))</f>
        <v>0.46063695801761212</v>
      </c>
      <c r="AA105" s="19">
        <f ca="1">IF(RAND()&lt;P_Zero,0,IF(RAND()&lt;CondReturn,_xlfn.LOGNORM.INV(RAND(),MV2,Sigma1),IF(RAND()&lt;CondGood,_xlfn.LOGNORM.INV(RAND(),MV3,Sigma2),MIN(MaxMultiple,Xm/(1-RAND())^(1/Alpha)))))</f>
        <v>0</v>
      </c>
      <c r="AB105" s="19">
        <f t="shared" ca="1" si="8"/>
        <v>1.7041218594068896</v>
      </c>
      <c r="AC105" s="14">
        <f t="shared" ca="1" si="9"/>
        <v>81797849.251530707</v>
      </c>
      <c r="AD105" s="14">
        <f t="shared" ca="1" si="10"/>
        <v>33797849.251530707</v>
      </c>
      <c r="AE105" s="14">
        <f t="shared" si="11"/>
        <v>55628399.869093813</v>
      </c>
      <c r="AF105" s="14">
        <f t="shared" ca="1" si="12"/>
        <v>0</v>
      </c>
      <c r="AG105" s="14">
        <f t="shared" ca="1" si="13"/>
        <v>0</v>
      </c>
      <c r="AH105" s="14">
        <f t="shared" ca="1" si="14"/>
        <v>81797849.251530707</v>
      </c>
      <c r="AI105" s="19">
        <f t="shared" ca="1" si="15"/>
        <v>1.3632974875255117</v>
      </c>
    </row>
    <row r="106" spans="2:35" x14ac:dyDescent="0.2">
      <c r="B106" s="1">
        <v>101</v>
      </c>
      <c r="C106" s="19">
        <f ca="1">IF(RAND()&lt;P_Zero,0,IF(RAND()&lt;CondReturn,_xlfn.LOGNORM.INV(RAND(),MV2,Sigma1),IF(RAND()&lt;CondGood,_xlfn.LOGNORM.INV(RAND(),MV3,Sigma2),MIN(MaxMultiple,Xm/(1-RAND())^(1/Alpha)))))</f>
        <v>0</v>
      </c>
      <c r="D106" s="19">
        <f ca="1">IF(RAND()&lt;P_Zero,0,IF(RAND()&lt;CondReturn,_xlfn.LOGNORM.INV(RAND(),MV2,Sigma1),IF(RAND()&lt;CondGood,_xlfn.LOGNORM.INV(RAND(),MV3,Sigma2),MIN(MaxMultiple,Xm/(1-RAND())^(1/Alpha)))))</f>
        <v>0.98132470913385361</v>
      </c>
      <c r="E106" s="19">
        <f ca="1">IF(RAND()&lt;P_Zero,0,IF(RAND()&lt;CondReturn,_xlfn.LOGNORM.INV(RAND(),MV2,Sigma1),IF(RAND()&lt;CondGood,_xlfn.LOGNORM.INV(RAND(),MV3,Sigma2),MIN(MaxMultiple,Xm/(1-RAND())^(1/Alpha)))))</f>
        <v>3.08437679589515</v>
      </c>
      <c r="F106" s="19">
        <f ca="1">IF(RAND()&lt;P_Zero,0,IF(RAND()&lt;CondReturn,_xlfn.LOGNORM.INV(RAND(),MV2,Sigma1),IF(RAND()&lt;CondGood,_xlfn.LOGNORM.INV(RAND(),MV3,Sigma2),MIN(MaxMultiple,Xm/(1-RAND())^(1/Alpha)))))</f>
        <v>0</v>
      </c>
      <c r="G106" s="19">
        <f ca="1">IF(RAND()&lt;P_Zero,0,IF(RAND()&lt;CondReturn,_xlfn.LOGNORM.INV(RAND(),MV2,Sigma1),IF(RAND()&lt;CondGood,_xlfn.LOGNORM.INV(RAND(),MV3,Sigma2),MIN(MaxMultiple,Xm/(1-RAND())^(1/Alpha)))))</f>
        <v>12.668065168584615</v>
      </c>
      <c r="H106" s="19">
        <f ca="1">IF(RAND()&lt;P_Zero,0,IF(RAND()&lt;CondReturn,_xlfn.LOGNORM.INV(RAND(),MV2,Sigma1),IF(RAND()&lt;CondGood,_xlfn.LOGNORM.INV(RAND(),MV3,Sigma2),MIN(MaxMultiple,Xm/(1-RAND())^(1/Alpha)))))</f>
        <v>0</v>
      </c>
      <c r="I106" s="19">
        <f ca="1">IF(RAND()&lt;P_Zero,0,IF(RAND()&lt;CondReturn,_xlfn.LOGNORM.INV(RAND(),MV2,Sigma1),IF(RAND()&lt;CondGood,_xlfn.LOGNORM.INV(RAND(),MV3,Sigma2),MIN(MaxMultiple,Xm/(1-RAND())^(1/Alpha)))))</f>
        <v>0.88402193552780284</v>
      </c>
      <c r="J106" s="19">
        <f ca="1">IF(RAND()&lt;P_Zero,0,IF(RAND()&lt;CondReturn,_xlfn.LOGNORM.INV(RAND(),MV2,Sigma1),IF(RAND()&lt;CondGood,_xlfn.LOGNORM.INV(RAND(),MV3,Sigma2),MIN(MaxMultiple,Xm/(1-RAND())^(1/Alpha)))))</f>
        <v>0</v>
      </c>
      <c r="K106" s="19">
        <f ca="1">IF(RAND()&lt;P_Zero,0,IF(RAND()&lt;CondReturn,_xlfn.LOGNORM.INV(RAND(),MV2,Sigma1),IF(RAND()&lt;CondGood,_xlfn.LOGNORM.INV(RAND(),MV3,Sigma2),MIN(MaxMultiple,Xm/(1-RAND())^(1/Alpha)))))</f>
        <v>1.5308456495592695</v>
      </c>
      <c r="L106" s="19">
        <f ca="1">IF(RAND()&lt;P_Zero,0,IF(RAND()&lt;CondReturn,_xlfn.LOGNORM.INV(RAND(),MV2,Sigma1),IF(RAND()&lt;CondGood,_xlfn.LOGNORM.INV(RAND(),MV3,Sigma2),MIN(MaxMultiple,Xm/(1-RAND())^(1/Alpha)))))</f>
        <v>1.3112339213211281</v>
      </c>
      <c r="M106" s="19">
        <f ca="1">IF(RAND()&lt;P_Zero,0,IF(RAND()&lt;CondReturn,_xlfn.LOGNORM.INV(RAND(),MV2,Sigma1),IF(RAND()&lt;CondGood,_xlfn.LOGNORM.INV(RAND(),MV3,Sigma2),MIN(MaxMultiple,Xm/(1-RAND())^(1/Alpha)))))</f>
        <v>0</v>
      </c>
      <c r="N106" s="19">
        <f ca="1">IF(RAND()&lt;P_Zero,0,IF(RAND()&lt;CondReturn,_xlfn.LOGNORM.INV(RAND(),MV2,Sigma1),IF(RAND()&lt;CondGood,_xlfn.LOGNORM.INV(RAND(),MV3,Sigma2),MIN(MaxMultiple,Xm/(1-RAND())^(1/Alpha)))))</f>
        <v>0.71534213064028795</v>
      </c>
      <c r="O106" s="19">
        <f ca="1">IF(RAND()&lt;P_Zero,0,IF(RAND()&lt;CondReturn,_xlfn.LOGNORM.INV(RAND(),MV2,Sigma1),IF(RAND()&lt;CondGood,_xlfn.LOGNORM.INV(RAND(),MV3,Sigma2),MIN(MaxMultiple,Xm/(1-RAND())^(1/Alpha)))))</f>
        <v>0.82399321562686434</v>
      </c>
      <c r="P106" s="19">
        <f ca="1">IF(RAND()&lt;P_Zero,0,IF(RAND()&lt;CondReturn,_xlfn.LOGNORM.INV(RAND(),MV2,Sigma1),IF(RAND()&lt;CondGood,_xlfn.LOGNORM.INV(RAND(),MV3,Sigma2),MIN(MaxMultiple,Xm/(1-RAND())^(1/Alpha)))))</f>
        <v>0</v>
      </c>
      <c r="Q106" s="19">
        <f ca="1">IF(RAND()&lt;P_Zero,0,IF(RAND()&lt;CondReturn,_xlfn.LOGNORM.INV(RAND(),MV2,Sigma1),IF(RAND()&lt;CondGood,_xlfn.LOGNORM.INV(RAND(),MV3,Sigma2),MIN(MaxMultiple,Xm/(1-RAND())^(1/Alpha)))))</f>
        <v>16.931357997078116</v>
      </c>
      <c r="R106" s="19">
        <f ca="1">IF(RAND()&lt;P_Zero,0,IF(RAND()&lt;CondReturn,_xlfn.LOGNORM.INV(RAND(),MV2,Sigma1),IF(RAND()&lt;CondGood,_xlfn.LOGNORM.INV(RAND(),MV3,Sigma2),MIN(MaxMultiple,Xm/(1-RAND())^(1/Alpha)))))</f>
        <v>0</v>
      </c>
      <c r="S106" s="19">
        <f ca="1">IF(RAND()&lt;P_Zero,0,IF(RAND()&lt;CondReturn,_xlfn.LOGNORM.INV(RAND(),MV2,Sigma1),IF(RAND()&lt;CondGood,_xlfn.LOGNORM.INV(RAND(),MV3,Sigma2),MIN(MaxMultiple,Xm/(1-RAND())^(1/Alpha)))))</f>
        <v>0</v>
      </c>
      <c r="T106" s="19">
        <f ca="1">IF(RAND()&lt;P_Zero,0,IF(RAND()&lt;CondReturn,_xlfn.LOGNORM.INV(RAND(),MV2,Sigma1),IF(RAND()&lt;CondGood,_xlfn.LOGNORM.INV(RAND(),MV3,Sigma2),MIN(MaxMultiple,Xm/(1-RAND())^(1/Alpha)))))</f>
        <v>0</v>
      </c>
      <c r="U106" s="19">
        <f ca="1">IF(RAND()&lt;P_Zero,0,IF(RAND()&lt;CondReturn,_xlfn.LOGNORM.INV(RAND(),MV2,Sigma1),IF(RAND()&lt;CondGood,_xlfn.LOGNORM.INV(RAND(),MV3,Sigma2),MIN(MaxMultiple,Xm/(1-RAND())^(1/Alpha)))))</f>
        <v>1.3183833976511485</v>
      </c>
      <c r="V106" s="19">
        <f ca="1">IF(RAND()&lt;P_Zero,0,IF(RAND()&lt;CondReturn,_xlfn.LOGNORM.INV(RAND(),MV2,Sigma1),IF(RAND()&lt;CondGood,_xlfn.LOGNORM.INV(RAND(),MV3,Sigma2),MIN(MaxMultiple,Xm/(1-RAND())^(1/Alpha)))))</f>
        <v>0</v>
      </c>
      <c r="W106" s="19">
        <f ca="1">IF(RAND()&lt;P_Zero,0,IF(RAND()&lt;CondReturn,_xlfn.LOGNORM.INV(RAND(),MV2,Sigma1),IF(RAND()&lt;CondGood,_xlfn.LOGNORM.INV(RAND(),MV3,Sigma2),MIN(MaxMultiple,Xm/(1-RAND())^(1/Alpha)))))</f>
        <v>1.1373904274046156</v>
      </c>
      <c r="X106" s="19">
        <f ca="1">IF(RAND()&lt;P_Zero,0,IF(RAND()&lt;CondReturn,_xlfn.LOGNORM.INV(RAND(),MV2,Sigma1),IF(RAND()&lt;CondGood,_xlfn.LOGNORM.INV(RAND(),MV3,Sigma2),MIN(MaxMultiple,Xm/(1-RAND())^(1/Alpha)))))</f>
        <v>0.78559312792813707</v>
      </c>
      <c r="Y106" s="19">
        <f ca="1">IF(RAND()&lt;P_Zero,0,IF(RAND()&lt;CondReturn,_xlfn.LOGNORM.INV(RAND(),MV2,Sigma1),IF(RAND()&lt;CondGood,_xlfn.LOGNORM.INV(RAND(),MV3,Sigma2),MIN(MaxMultiple,Xm/(1-RAND())^(1/Alpha)))))</f>
        <v>0</v>
      </c>
      <c r="Z106" s="19">
        <f ca="1">IF(RAND()&lt;P_Zero,0,IF(RAND()&lt;CondReturn,_xlfn.LOGNORM.INV(RAND(),MV2,Sigma1),IF(RAND()&lt;CondGood,_xlfn.LOGNORM.INV(RAND(),MV3,Sigma2),MIN(MaxMultiple,Xm/(1-RAND())^(1/Alpha)))))</f>
        <v>0</v>
      </c>
      <c r="AA106" s="19">
        <f ca="1">IF(RAND()&lt;P_Zero,0,IF(RAND()&lt;CondReturn,_xlfn.LOGNORM.INV(RAND(),MV2,Sigma1),IF(RAND()&lt;CondGood,_xlfn.LOGNORM.INV(RAND(),MV3,Sigma2),MIN(MaxMultiple,Xm/(1-RAND())^(1/Alpha)))))</f>
        <v>18.758926848388736</v>
      </c>
      <c r="AB106" s="19">
        <f t="shared" ca="1" si="8"/>
        <v>2.4372342129895888</v>
      </c>
      <c r="AC106" s="14">
        <f t="shared" ca="1" si="9"/>
        <v>116987242.22350027</v>
      </c>
      <c r="AD106" s="14">
        <f t="shared" ca="1" si="10"/>
        <v>68987242.223500267</v>
      </c>
      <c r="AE106" s="14">
        <f t="shared" si="11"/>
        <v>55628399.869093813</v>
      </c>
      <c r="AF106" s="14">
        <f t="shared" ca="1" si="12"/>
        <v>13358842.354406454</v>
      </c>
      <c r="AG106" s="14">
        <f t="shared" ca="1" si="13"/>
        <v>2671768.4708812907</v>
      </c>
      <c r="AH106" s="14">
        <f t="shared" ca="1" si="14"/>
        <v>114315473.75261897</v>
      </c>
      <c r="AI106" s="19">
        <f t="shared" ca="1" si="15"/>
        <v>1.9052578958769828</v>
      </c>
    </row>
    <row r="107" spans="2:35" x14ac:dyDescent="0.2">
      <c r="B107" s="1">
        <v>102</v>
      </c>
      <c r="C107" s="19">
        <f ca="1">IF(RAND()&lt;P_Zero,0,IF(RAND()&lt;CondReturn,_xlfn.LOGNORM.INV(RAND(),MV2,Sigma1),IF(RAND()&lt;CondGood,_xlfn.LOGNORM.INV(RAND(),MV3,Sigma2),MIN(MaxMultiple,Xm/(1-RAND())^(1/Alpha)))))</f>
        <v>0</v>
      </c>
      <c r="D107" s="19">
        <f ca="1">IF(RAND()&lt;P_Zero,0,IF(RAND()&lt;CondReturn,_xlfn.LOGNORM.INV(RAND(),MV2,Sigma1),IF(RAND()&lt;CondGood,_xlfn.LOGNORM.INV(RAND(),MV3,Sigma2),MIN(MaxMultiple,Xm/(1-RAND())^(1/Alpha)))))</f>
        <v>21.497504225968108</v>
      </c>
      <c r="E107" s="19">
        <f ca="1">IF(RAND()&lt;P_Zero,0,IF(RAND()&lt;CondReturn,_xlfn.LOGNORM.INV(RAND(),MV2,Sigma1),IF(RAND()&lt;CondGood,_xlfn.LOGNORM.INV(RAND(),MV3,Sigma2),MIN(MaxMultiple,Xm/(1-RAND())^(1/Alpha)))))</f>
        <v>1.6334548583718296</v>
      </c>
      <c r="F107" s="19">
        <f ca="1">IF(RAND()&lt;P_Zero,0,IF(RAND()&lt;CondReturn,_xlfn.LOGNORM.INV(RAND(),MV2,Sigma1),IF(RAND()&lt;CondGood,_xlfn.LOGNORM.INV(RAND(),MV3,Sigma2),MIN(MaxMultiple,Xm/(1-RAND())^(1/Alpha)))))</f>
        <v>12.954285609375514</v>
      </c>
      <c r="G107" s="19">
        <f ca="1">IF(RAND()&lt;P_Zero,0,IF(RAND()&lt;CondReturn,_xlfn.LOGNORM.INV(RAND(),MV2,Sigma1),IF(RAND()&lt;CondGood,_xlfn.LOGNORM.INV(RAND(),MV3,Sigma2),MIN(MaxMultiple,Xm/(1-RAND())^(1/Alpha)))))</f>
        <v>0.55623030598360235</v>
      </c>
      <c r="H107" s="19">
        <f ca="1">IF(RAND()&lt;P_Zero,0,IF(RAND()&lt;CondReturn,_xlfn.LOGNORM.INV(RAND(),MV2,Sigma1),IF(RAND()&lt;CondGood,_xlfn.LOGNORM.INV(RAND(),MV3,Sigma2),MIN(MaxMultiple,Xm/(1-RAND())^(1/Alpha)))))</f>
        <v>0.88118456492154007</v>
      </c>
      <c r="I107" s="19">
        <f ca="1">IF(RAND()&lt;P_Zero,0,IF(RAND()&lt;CondReturn,_xlfn.LOGNORM.INV(RAND(),MV2,Sigma1),IF(RAND()&lt;CondGood,_xlfn.LOGNORM.INV(RAND(),MV3,Sigma2),MIN(MaxMultiple,Xm/(1-RAND())^(1/Alpha)))))</f>
        <v>1.3267579373853406</v>
      </c>
      <c r="J107" s="19">
        <f ca="1">IF(RAND()&lt;P_Zero,0,IF(RAND()&lt;CondReturn,_xlfn.LOGNORM.INV(RAND(),MV2,Sigma1),IF(RAND()&lt;CondGood,_xlfn.LOGNORM.INV(RAND(),MV3,Sigma2),MIN(MaxMultiple,Xm/(1-RAND())^(1/Alpha)))))</f>
        <v>0.42700209416395329</v>
      </c>
      <c r="K107" s="19">
        <f ca="1">IF(RAND()&lt;P_Zero,0,IF(RAND()&lt;CondReturn,_xlfn.LOGNORM.INV(RAND(),MV2,Sigma1),IF(RAND()&lt;CondGood,_xlfn.LOGNORM.INV(RAND(),MV3,Sigma2),MIN(MaxMultiple,Xm/(1-RAND())^(1/Alpha)))))</f>
        <v>0</v>
      </c>
      <c r="L107" s="19">
        <f ca="1">IF(RAND()&lt;P_Zero,0,IF(RAND()&lt;CondReturn,_xlfn.LOGNORM.INV(RAND(),MV2,Sigma1),IF(RAND()&lt;CondGood,_xlfn.LOGNORM.INV(RAND(),MV3,Sigma2),MIN(MaxMultiple,Xm/(1-RAND())^(1/Alpha)))))</f>
        <v>1.3574568533921245</v>
      </c>
      <c r="M107" s="19">
        <f ca="1">IF(RAND()&lt;P_Zero,0,IF(RAND()&lt;CondReturn,_xlfn.LOGNORM.INV(RAND(),MV2,Sigma1),IF(RAND()&lt;CondGood,_xlfn.LOGNORM.INV(RAND(),MV3,Sigma2),MIN(MaxMultiple,Xm/(1-RAND())^(1/Alpha)))))</f>
        <v>1.116490021804786</v>
      </c>
      <c r="N107" s="19">
        <f ca="1">IF(RAND()&lt;P_Zero,0,IF(RAND()&lt;CondReturn,_xlfn.LOGNORM.INV(RAND(),MV2,Sigma1),IF(RAND()&lt;CondGood,_xlfn.LOGNORM.INV(RAND(),MV3,Sigma2),MIN(MaxMultiple,Xm/(1-RAND())^(1/Alpha)))))</f>
        <v>0</v>
      </c>
      <c r="O107" s="19">
        <f ca="1">IF(RAND()&lt;P_Zero,0,IF(RAND()&lt;CondReturn,_xlfn.LOGNORM.INV(RAND(),MV2,Sigma1),IF(RAND()&lt;CondGood,_xlfn.LOGNORM.INV(RAND(),MV3,Sigma2),MIN(MaxMultiple,Xm/(1-RAND())^(1/Alpha)))))</f>
        <v>0</v>
      </c>
      <c r="P107" s="19">
        <f ca="1">IF(RAND()&lt;P_Zero,0,IF(RAND()&lt;CondReturn,_xlfn.LOGNORM.INV(RAND(),MV2,Sigma1),IF(RAND()&lt;CondGood,_xlfn.LOGNORM.INV(RAND(),MV3,Sigma2),MIN(MaxMultiple,Xm/(1-RAND())^(1/Alpha)))))</f>
        <v>0</v>
      </c>
      <c r="Q107" s="19">
        <f ca="1">IF(RAND()&lt;P_Zero,0,IF(RAND()&lt;CondReturn,_xlfn.LOGNORM.INV(RAND(),MV2,Sigma1),IF(RAND()&lt;CondGood,_xlfn.LOGNORM.INV(RAND(),MV3,Sigma2),MIN(MaxMultiple,Xm/(1-RAND())^(1/Alpha)))))</f>
        <v>0</v>
      </c>
      <c r="R107" s="19">
        <f ca="1">IF(RAND()&lt;P_Zero,0,IF(RAND()&lt;CondReturn,_xlfn.LOGNORM.INV(RAND(),MV2,Sigma1),IF(RAND()&lt;CondGood,_xlfn.LOGNORM.INV(RAND(),MV3,Sigma2),MIN(MaxMultiple,Xm/(1-RAND())^(1/Alpha)))))</f>
        <v>0.98632288190492379</v>
      </c>
      <c r="S107" s="19">
        <f ca="1">IF(RAND()&lt;P_Zero,0,IF(RAND()&lt;CondReturn,_xlfn.LOGNORM.INV(RAND(),MV2,Sigma1),IF(RAND()&lt;CondGood,_xlfn.LOGNORM.INV(RAND(),MV3,Sigma2),MIN(MaxMultiple,Xm/(1-RAND())^(1/Alpha)))))</f>
        <v>0.56577323455353634</v>
      </c>
      <c r="T107" s="19">
        <f ca="1">IF(RAND()&lt;P_Zero,0,IF(RAND()&lt;CondReturn,_xlfn.LOGNORM.INV(RAND(),MV2,Sigma1),IF(RAND()&lt;CondGood,_xlfn.LOGNORM.INV(RAND(),MV3,Sigma2),MIN(MaxMultiple,Xm/(1-RAND())^(1/Alpha)))))</f>
        <v>0</v>
      </c>
      <c r="U107" s="19">
        <f ca="1">IF(RAND()&lt;P_Zero,0,IF(RAND()&lt;CondReturn,_xlfn.LOGNORM.INV(RAND(),MV2,Sigma1),IF(RAND()&lt;CondGood,_xlfn.LOGNORM.INV(RAND(),MV3,Sigma2),MIN(MaxMultiple,Xm/(1-RAND())^(1/Alpha)))))</f>
        <v>13.120658877061981</v>
      </c>
      <c r="V107" s="19">
        <f ca="1">IF(RAND()&lt;P_Zero,0,IF(RAND()&lt;CondReturn,_xlfn.LOGNORM.INV(RAND(),MV2,Sigma1),IF(RAND()&lt;CondGood,_xlfn.LOGNORM.INV(RAND(),MV3,Sigma2),MIN(MaxMultiple,Xm/(1-RAND())^(1/Alpha)))))</f>
        <v>0.57607165405047311</v>
      </c>
      <c r="W107" s="19">
        <f ca="1">IF(RAND()&lt;P_Zero,0,IF(RAND()&lt;CondReturn,_xlfn.LOGNORM.INV(RAND(),MV2,Sigma1),IF(RAND()&lt;CondGood,_xlfn.LOGNORM.INV(RAND(),MV3,Sigma2),MIN(MaxMultiple,Xm/(1-RAND())^(1/Alpha)))))</f>
        <v>0.89331874240064801</v>
      </c>
      <c r="X107" s="19">
        <f ca="1">IF(RAND()&lt;P_Zero,0,IF(RAND()&lt;CondReturn,_xlfn.LOGNORM.INV(RAND(),MV2,Sigma1),IF(RAND()&lt;CondGood,_xlfn.LOGNORM.INV(RAND(),MV3,Sigma2),MIN(MaxMultiple,Xm/(1-RAND())^(1/Alpha)))))</f>
        <v>0</v>
      </c>
      <c r="Y107" s="19">
        <f ca="1">IF(RAND()&lt;P_Zero,0,IF(RAND()&lt;CondReturn,_xlfn.LOGNORM.INV(RAND(),MV2,Sigma1),IF(RAND()&lt;CondGood,_xlfn.LOGNORM.INV(RAND(),MV3,Sigma2),MIN(MaxMultiple,Xm/(1-RAND())^(1/Alpha)))))</f>
        <v>1.2454677140406749</v>
      </c>
      <c r="Z107" s="19">
        <f ca="1">IF(RAND()&lt;P_Zero,0,IF(RAND()&lt;CondReturn,_xlfn.LOGNORM.INV(RAND(),MV2,Sigma1),IF(RAND()&lt;CondGood,_xlfn.LOGNORM.INV(RAND(),MV3,Sigma2),MIN(MaxMultiple,Xm/(1-RAND())^(1/Alpha)))))</f>
        <v>20.644849232775851</v>
      </c>
      <c r="AA107" s="19">
        <f ca="1">IF(RAND()&lt;P_Zero,0,IF(RAND()&lt;CondReturn,_xlfn.LOGNORM.INV(RAND(),MV2,Sigma1),IF(RAND()&lt;CondGood,_xlfn.LOGNORM.INV(RAND(),MV3,Sigma2),MIN(MaxMultiple,Xm/(1-RAND())^(1/Alpha)))))</f>
        <v>0.95862895892689881</v>
      </c>
      <c r="AB107" s="19">
        <f t="shared" ca="1" si="8"/>
        <v>3.2296583106832712</v>
      </c>
      <c r="AC107" s="14">
        <f t="shared" ca="1" si="9"/>
        <v>155023598.91279703</v>
      </c>
      <c r="AD107" s="14">
        <f t="shared" ca="1" si="10"/>
        <v>107023598.91279703</v>
      </c>
      <c r="AE107" s="14">
        <f t="shared" si="11"/>
        <v>55628399.869093813</v>
      </c>
      <c r="AF107" s="14">
        <f t="shared" ca="1" si="12"/>
        <v>51395199.043703221</v>
      </c>
      <c r="AG107" s="14">
        <f t="shared" ca="1" si="13"/>
        <v>10279039.808740646</v>
      </c>
      <c r="AH107" s="14">
        <f t="shared" ca="1" si="14"/>
        <v>144744559.10405639</v>
      </c>
      <c r="AI107" s="19">
        <f t="shared" ca="1" si="15"/>
        <v>2.4124093184009396</v>
      </c>
    </row>
    <row r="108" spans="2:35" x14ac:dyDescent="0.2">
      <c r="B108" s="1">
        <v>103</v>
      </c>
      <c r="C108" s="19">
        <f ca="1">IF(RAND()&lt;P_Zero,0,IF(RAND()&lt;CondReturn,_xlfn.LOGNORM.INV(RAND(),MV2,Sigma1),IF(RAND()&lt;CondGood,_xlfn.LOGNORM.INV(RAND(),MV3,Sigma2),MIN(MaxMultiple,Xm/(1-RAND())^(1/Alpha)))))</f>
        <v>1.6114051369685229</v>
      </c>
      <c r="D108" s="19">
        <f ca="1">IF(RAND()&lt;P_Zero,0,IF(RAND()&lt;CondReturn,_xlfn.LOGNORM.INV(RAND(),MV2,Sigma1),IF(RAND()&lt;CondGood,_xlfn.LOGNORM.INV(RAND(),MV3,Sigma2),MIN(MaxMultiple,Xm/(1-RAND())^(1/Alpha)))))</f>
        <v>0.63803923764610437</v>
      </c>
      <c r="E108" s="19">
        <f ca="1">IF(RAND()&lt;P_Zero,0,IF(RAND()&lt;CondReturn,_xlfn.LOGNORM.INV(RAND(),MV2,Sigma1),IF(RAND()&lt;CondGood,_xlfn.LOGNORM.INV(RAND(),MV3,Sigma2),MIN(MaxMultiple,Xm/(1-RAND())^(1/Alpha)))))</f>
        <v>0.90335391155857581</v>
      </c>
      <c r="F108" s="19">
        <f ca="1">IF(RAND()&lt;P_Zero,0,IF(RAND()&lt;CondReturn,_xlfn.LOGNORM.INV(RAND(),MV2,Sigma1),IF(RAND()&lt;CondGood,_xlfn.LOGNORM.INV(RAND(),MV3,Sigma2),MIN(MaxMultiple,Xm/(1-RAND())^(1/Alpha)))))</f>
        <v>0.65379065244081747</v>
      </c>
      <c r="G108" s="19">
        <f ca="1">IF(RAND()&lt;P_Zero,0,IF(RAND()&lt;CondReturn,_xlfn.LOGNORM.INV(RAND(),MV2,Sigma1),IF(RAND()&lt;CondGood,_xlfn.LOGNORM.INV(RAND(),MV3,Sigma2),MIN(MaxMultiple,Xm/(1-RAND())^(1/Alpha)))))</f>
        <v>1.0067384722087769</v>
      </c>
      <c r="H108" s="19">
        <f ca="1">IF(RAND()&lt;P_Zero,0,IF(RAND()&lt;CondReturn,_xlfn.LOGNORM.INV(RAND(),MV2,Sigma1),IF(RAND()&lt;CondGood,_xlfn.LOGNORM.INV(RAND(),MV3,Sigma2),MIN(MaxMultiple,Xm/(1-RAND())^(1/Alpha)))))</f>
        <v>1.3987982298051502</v>
      </c>
      <c r="I108" s="19">
        <f ca="1">IF(RAND()&lt;P_Zero,0,IF(RAND()&lt;CondReturn,_xlfn.LOGNORM.INV(RAND(),MV2,Sigma1),IF(RAND()&lt;CondGood,_xlfn.LOGNORM.INV(RAND(),MV3,Sigma2),MIN(MaxMultiple,Xm/(1-RAND())^(1/Alpha)))))</f>
        <v>0</v>
      </c>
      <c r="J108" s="19">
        <f ca="1">IF(RAND()&lt;P_Zero,0,IF(RAND()&lt;CondReturn,_xlfn.LOGNORM.INV(RAND(),MV2,Sigma1),IF(RAND()&lt;CondGood,_xlfn.LOGNORM.INV(RAND(),MV3,Sigma2),MIN(MaxMultiple,Xm/(1-RAND())^(1/Alpha)))))</f>
        <v>1.2718432232211103</v>
      </c>
      <c r="K108" s="19">
        <f ca="1">IF(RAND()&lt;P_Zero,0,IF(RAND()&lt;CondReturn,_xlfn.LOGNORM.INV(RAND(),MV2,Sigma1),IF(RAND()&lt;CondGood,_xlfn.LOGNORM.INV(RAND(),MV3,Sigma2),MIN(MaxMultiple,Xm/(1-RAND())^(1/Alpha)))))</f>
        <v>0.76881925758168823</v>
      </c>
      <c r="L108" s="19">
        <f ca="1">IF(RAND()&lt;P_Zero,0,IF(RAND()&lt;CondReturn,_xlfn.LOGNORM.INV(RAND(),MV2,Sigma1),IF(RAND()&lt;CondGood,_xlfn.LOGNORM.INV(RAND(),MV3,Sigma2),MIN(MaxMultiple,Xm/(1-RAND())^(1/Alpha)))))</f>
        <v>0</v>
      </c>
      <c r="M108" s="19">
        <f ca="1">IF(RAND()&lt;P_Zero,0,IF(RAND()&lt;CondReturn,_xlfn.LOGNORM.INV(RAND(),MV2,Sigma1),IF(RAND()&lt;CondGood,_xlfn.LOGNORM.INV(RAND(),MV3,Sigma2),MIN(MaxMultiple,Xm/(1-RAND())^(1/Alpha)))))</f>
        <v>1.8128234424170331</v>
      </c>
      <c r="N108" s="19">
        <f ca="1">IF(RAND()&lt;P_Zero,0,IF(RAND()&lt;CondReturn,_xlfn.LOGNORM.INV(RAND(),MV2,Sigma1),IF(RAND()&lt;CondGood,_xlfn.LOGNORM.INV(RAND(),MV3,Sigma2),MIN(MaxMultiple,Xm/(1-RAND())^(1/Alpha)))))</f>
        <v>0</v>
      </c>
      <c r="O108" s="19">
        <f ca="1">IF(RAND()&lt;P_Zero,0,IF(RAND()&lt;CondReturn,_xlfn.LOGNORM.INV(RAND(),MV2,Sigma1),IF(RAND()&lt;CondGood,_xlfn.LOGNORM.INV(RAND(),MV3,Sigma2),MIN(MaxMultiple,Xm/(1-RAND())^(1/Alpha)))))</f>
        <v>0.73765915474036892</v>
      </c>
      <c r="P108" s="19">
        <f ca="1">IF(RAND()&lt;P_Zero,0,IF(RAND()&lt;CondReturn,_xlfn.LOGNORM.INV(RAND(),MV2,Sigma1),IF(RAND()&lt;CondGood,_xlfn.LOGNORM.INV(RAND(),MV3,Sigma2),MIN(MaxMultiple,Xm/(1-RAND())^(1/Alpha)))))</f>
        <v>0</v>
      </c>
      <c r="Q108" s="19">
        <f ca="1">IF(RAND()&lt;P_Zero,0,IF(RAND()&lt;CondReturn,_xlfn.LOGNORM.INV(RAND(),MV2,Sigma1),IF(RAND()&lt;CondGood,_xlfn.LOGNORM.INV(RAND(),MV3,Sigma2),MIN(MaxMultiple,Xm/(1-RAND())^(1/Alpha)))))</f>
        <v>0.96203002047440922</v>
      </c>
      <c r="R108" s="19">
        <f ca="1">IF(RAND()&lt;P_Zero,0,IF(RAND()&lt;CondReturn,_xlfn.LOGNORM.INV(RAND(),MV2,Sigma1),IF(RAND()&lt;CondGood,_xlfn.LOGNORM.INV(RAND(),MV3,Sigma2),MIN(MaxMultiple,Xm/(1-RAND())^(1/Alpha)))))</f>
        <v>1.8323051081526276</v>
      </c>
      <c r="S108" s="19">
        <f ca="1">IF(RAND()&lt;P_Zero,0,IF(RAND()&lt;CondReturn,_xlfn.LOGNORM.INV(RAND(),MV2,Sigma1),IF(RAND()&lt;CondGood,_xlfn.LOGNORM.INV(RAND(),MV3,Sigma2),MIN(MaxMultiple,Xm/(1-RAND())^(1/Alpha)))))</f>
        <v>0.15330404009376494</v>
      </c>
      <c r="T108" s="19">
        <f ca="1">IF(RAND()&lt;P_Zero,0,IF(RAND()&lt;CondReturn,_xlfn.LOGNORM.INV(RAND(),MV2,Sigma1),IF(RAND()&lt;CondGood,_xlfn.LOGNORM.INV(RAND(),MV3,Sigma2),MIN(MaxMultiple,Xm/(1-RAND())^(1/Alpha)))))</f>
        <v>0</v>
      </c>
      <c r="U108" s="19">
        <f ca="1">IF(RAND()&lt;P_Zero,0,IF(RAND()&lt;CondReturn,_xlfn.LOGNORM.INV(RAND(),MV2,Sigma1),IF(RAND()&lt;CondGood,_xlfn.LOGNORM.INV(RAND(),MV3,Sigma2),MIN(MaxMultiple,Xm/(1-RAND())^(1/Alpha)))))</f>
        <v>1.1089069548349475</v>
      </c>
      <c r="V108" s="19">
        <f ca="1">IF(RAND()&lt;P_Zero,0,IF(RAND()&lt;CondReturn,_xlfn.LOGNORM.INV(RAND(),MV2,Sigma1),IF(RAND()&lt;CondGood,_xlfn.LOGNORM.INV(RAND(),MV3,Sigma2),MIN(MaxMultiple,Xm/(1-RAND())^(1/Alpha)))))</f>
        <v>0</v>
      </c>
      <c r="W108" s="19">
        <f ca="1">IF(RAND()&lt;P_Zero,0,IF(RAND()&lt;CondReturn,_xlfn.LOGNORM.INV(RAND(),MV2,Sigma1),IF(RAND()&lt;CondGood,_xlfn.LOGNORM.INV(RAND(),MV3,Sigma2),MIN(MaxMultiple,Xm/(1-RAND())^(1/Alpha)))))</f>
        <v>0</v>
      </c>
      <c r="X108" s="19">
        <f ca="1">IF(RAND()&lt;P_Zero,0,IF(RAND()&lt;CondReturn,_xlfn.LOGNORM.INV(RAND(),MV2,Sigma1),IF(RAND()&lt;CondGood,_xlfn.LOGNORM.INV(RAND(),MV3,Sigma2),MIN(MaxMultiple,Xm/(1-RAND())^(1/Alpha)))))</f>
        <v>1.7754254569147652</v>
      </c>
      <c r="Y108" s="19">
        <f ca="1">IF(RAND()&lt;P_Zero,0,IF(RAND()&lt;CondReturn,_xlfn.LOGNORM.INV(RAND(),MV2,Sigma1),IF(RAND()&lt;CondGood,_xlfn.LOGNORM.INV(RAND(),MV3,Sigma2),MIN(MaxMultiple,Xm/(1-RAND())^(1/Alpha)))))</f>
        <v>1.9975338275249064</v>
      </c>
      <c r="Z108" s="19">
        <f ca="1">IF(RAND()&lt;P_Zero,0,IF(RAND()&lt;CondReturn,_xlfn.LOGNORM.INV(RAND(),MV2,Sigma1),IF(RAND()&lt;CondGood,_xlfn.LOGNORM.INV(RAND(),MV3,Sigma2),MIN(MaxMultiple,Xm/(1-RAND())^(1/Alpha)))))</f>
        <v>1.3928594885212449</v>
      </c>
      <c r="AA108" s="19">
        <f ca="1">IF(RAND()&lt;P_Zero,0,IF(RAND()&lt;CondReturn,_xlfn.LOGNORM.INV(RAND(),MV2,Sigma1),IF(RAND()&lt;CondGood,_xlfn.LOGNORM.INV(RAND(),MV3,Sigma2),MIN(MaxMultiple,Xm/(1-RAND())^(1/Alpha)))))</f>
        <v>2.1365249669823774</v>
      </c>
      <c r="AB108" s="19">
        <f t="shared" ca="1" si="8"/>
        <v>0.88648642328348781</v>
      </c>
      <c r="AC108" s="14">
        <f t="shared" ca="1" si="9"/>
        <v>42551348.317607418</v>
      </c>
      <c r="AD108" s="14">
        <f t="shared" ca="1" si="10"/>
        <v>-5448651.6823925823</v>
      </c>
      <c r="AE108" s="14">
        <f t="shared" si="11"/>
        <v>55628399.869093813</v>
      </c>
      <c r="AF108" s="14">
        <f t="shared" ca="1" si="12"/>
        <v>0</v>
      </c>
      <c r="AG108" s="14">
        <f t="shared" ca="1" si="13"/>
        <v>0</v>
      </c>
      <c r="AH108" s="14">
        <f t="shared" ca="1" si="14"/>
        <v>42551348.317607418</v>
      </c>
      <c r="AI108" s="19">
        <f t="shared" ca="1" si="15"/>
        <v>0.70918913862679034</v>
      </c>
    </row>
    <row r="109" spans="2:35" x14ac:dyDescent="0.2">
      <c r="B109" s="1">
        <v>104</v>
      </c>
      <c r="C109" s="19">
        <f ca="1">IF(RAND()&lt;P_Zero,0,IF(RAND()&lt;CondReturn,_xlfn.LOGNORM.INV(RAND(),MV2,Sigma1),IF(RAND()&lt;CondGood,_xlfn.LOGNORM.INV(RAND(),MV3,Sigma2),MIN(MaxMultiple,Xm/(1-RAND())^(1/Alpha)))))</f>
        <v>0</v>
      </c>
      <c r="D109" s="19">
        <f ca="1">IF(RAND()&lt;P_Zero,0,IF(RAND()&lt;CondReturn,_xlfn.LOGNORM.INV(RAND(),MV2,Sigma1),IF(RAND()&lt;CondGood,_xlfn.LOGNORM.INV(RAND(),MV3,Sigma2),MIN(MaxMultiple,Xm/(1-RAND())^(1/Alpha)))))</f>
        <v>0</v>
      </c>
      <c r="E109" s="19">
        <f ca="1">IF(RAND()&lt;P_Zero,0,IF(RAND()&lt;CondReturn,_xlfn.LOGNORM.INV(RAND(),MV2,Sigma1),IF(RAND()&lt;CondGood,_xlfn.LOGNORM.INV(RAND(),MV3,Sigma2),MIN(MaxMultiple,Xm/(1-RAND())^(1/Alpha)))))</f>
        <v>0.71500654587181001</v>
      </c>
      <c r="F109" s="19">
        <f ca="1">IF(RAND()&lt;P_Zero,0,IF(RAND()&lt;CondReturn,_xlfn.LOGNORM.INV(RAND(),MV2,Sigma1),IF(RAND()&lt;CondGood,_xlfn.LOGNORM.INV(RAND(),MV3,Sigma2),MIN(MaxMultiple,Xm/(1-RAND())^(1/Alpha)))))</f>
        <v>0.98999705202048127</v>
      </c>
      <c r="G109" s="19">
        <f ca="1">IF(RAND()&lt;P_Zero,0,IF(RAND()&lt;CondReturn,_xlfn.LOGNORM.INV(RAND(),MV2,Sigma1),IF(RAND()&lt;CondGood,_xlfn.LOGNORM.INV(RAND(),MV3,Sigma2),MIN(MaxMultiple,Xm/(1-RAND())^(1/Alpha)))))</f>
        <v>13.790502114558215</v>
      </c>
      <c r="H109" s="19">
        <f ca="1">IF(RAND()&lt;P_Zero,0,IF(RAND()&lt;CondReturn,_xlfn.LOGNORM.INV(RAND(),MV2,Sigma1),IF(RAND()&lt;CondGood,_xlfn.LOGNORM.INV(RAND(),MV3,Sigma2),MIN(MaxMultiple,Xm/(1-RAND())^(1/Alpha)))))</f>
        <v>1.7588694628501982</v>
      </c>
      <c r="I109" s="19">
        <f ca="1">IF(RAND()&lt;P_Zero,0,IF(RAND()&lt;CondReturn,_xlfn.LOGNORM.INV(RAND(),MV2,Sigma1),IF(RAND()&lt;CondGood,_xlfn.LOGNORM.INV(RAND(),MV3,Sigma2),MIN(MaxMultiple,Xm/(1-RAND())^(1/Alpha)))))</f>
        <v>0.47421188237114936</v>
      </c>
      <c r="J109" s="19">
        <f ca="1">IF(RAND()&lt;P_Zero,0,IF(RAND()&lt;CondReturn,_xlfn.LOGNORM.INV(RAND(),MV2,Sigma1),IF(RAND()&lt;CondGood,_xlfn.LOGNORM.INV(RAND(),MV3,Sigma2),MIN(MaxMultiple,Xm/(1-RAND())^(1/Alpha)))))</f>
        <v>0</v>
      </c>
      <c r="K109" s="19">
        <f ca="1">IF(RAND()&lt;P_Zero,0,IF(RAND()&lt;CondReturn,_xlfn.LOGNORM.INV(RAND(),MV2,Sigma1),IF(RAND()&lt;CondGood,_xlfn.LOGNORM.INV(RAND(),MV3,Sigma2),MIN(MaxMultiple,Xm/(1-RAND())^(1/Alpha)))))</f>
        <v>0.87038095668394633</v>
      </c>
      <c r="L109" s="19">
        <f ca="1">IF(RAND()&lt;P_Zero,0,IF(RAND()&lt;CondReturn,_xlfn.LOGNORM.INV(RAND(),MV2,Sigma1),IF(RAND()&lt;CondGood,_xlfn.LOGNORM.INV(RAND(),MV3,Sigma2),MIN(MaxMultiple,Xm/(1-RAND())^(1/Alpha)))))</f>
        <v>0</v>
      </c>
      <c r="M109" s="19">
        <f ca="1">IF(RAND()&lt;P_Zero,0,IF(RAND()&lt;CondReturn,_xlfn.LOGNORM.INV(RAND(),MV2,Sigma1),IF(RAND()&lt;CondGood,_xlfn.LOGNORM.INV(RAND(),MV3,Sigma2),MIN(MaxMultiple,Xm/(1-RAND())^(1/Alpha)))))</f>
        <v>0</v>
      </c>
      <c r="N109" s="19">
        <f ca="1">IF(RAND()&lt;P_Zero,0,IF(RAND()&lt;CondReturn,_xlfn.LOGNORM.INV(RAND(),MV2,Sigma1),IF(RAND()&lt;CondGood,_xlfn.LOGNORM.INV(RAND(),MV3,Sigma2),MIN(MaxMultiple,Xm/(1-RAND())^(1/Alpha)))))</f>
        <v>0</v>
      </c>
      <c r="O109" s="19">
        <f ca="1">IF(RAND()&lt;P_Zero,0,IF(RAND()&lt;CondReturn,_xlfn.LOGNORM.INV(RAND(),MV2,Sigma1),IF(RAND()&lt;CondGood,_xlfn.LOGNORM.INV(RAND(),MV3,Sigma2),MIN(MaxMultiple,Xm/(1-RAND())^(1/Alpha)))))</f>
        <v>0.87979580687910874</v>
      </c>
      <c r="P109" s="19">
        <f ca="1">IF(RAND()&lt;P_Zero,0,IF(RAND()&lt;CondReturn,_xlfn.LOGNORM.INV(RAND(),MV2,Sigma1),IF(RAND()&lt;CondGood,_xlfn.LOGNORM.INV(RAND(),MV3,Sigma2),MIN(MaxMultiple,Xm/(1-RAND())^(1/Alpha)))))</f>
        <v>0.72841846847493397</v>
      </c>
      <c r="Q109" s="19">
        <f ca="1">IF(RAND()&lt;P_Zero,0,IF(RAND()&lt;CondReturn,_xlfn.LOGNORM.INV(RAND(),MV2,Sigma1),IF(RAND()&lt;CondGood,_xlfn.LOGNORM.INV(RAND(),MV3,Sigma2),MIN(MaxMultiple,Xm/(1-RAND())^(1/Alpha)))))</f>
        <v>0</v>
      </c>
      <c r="R109" s="19">
        <f ca="1">IF(RAND()&lt;P_Zero,0,IF(RAND()&lt;CondReturn,_xlfn.LOGNORM.INV(RAND(),MV2,Sigma1),IF(RAND()&lt;CondGood,_xlfn.LOGNORM.INV(RAND(),MV3,Sigma2),MIN(MaxMultiple,Xm/(1-RAND())^(1/Alpha)))))</f>
        <v>1.1854170174792498</v>
      </c>
      <c r="S109" s="19">
        <f ca="1">IF(RAND()&lt;P_Zero,0,IF(RAND()&lt;CondReturn,_xlfn.LOGNORM.INV(RAND(),MV2,Sigma1),IF(RAND()&lt;CondGood,_xlfn.LOGNORM.INV(RAND(),MV3,Sigma2),MIN(MaxMultiple,Xm/(1-RAND())^(1/Alpha)))))</f>
        <v>0</v>
      </c>
      <c r="T109" s="19">
        <f ca="1">IF(RAND()&lt;P_Zero,0,IF(RAND()&lt;CondReturn,_xlfn.LOGNORM.INV(RAND(),MV2,Sigma1),IF(RAND()&lt;CondGood,_xlfn.LOGNORM.INV(RAND(),MV3,Sigma2),MIN(MaxMultiple,Xm/(1-RAND())^(1/Alpha)))))</f>
        <v>0</v>
      </c>
      <c r="U109" s="19">
        <f ca="1">IF(RAND()&lt;P_Zero,0,IF(RAND()&lt;CondReturn,_xlfn.LOGNORM.INV(RAND(),MV2,Sigma1),IF(RAND()&lt;CondGood,_xlfn.LOGNORM.INV(RAND(),MV3,Sigma2),MIN(MaxMultiple,Xm/(1-RAND())^(1/Alpha)))))</f>
        <v>0</v>
      </c>
      <c r="V109" s="19">
        <f ca="1">IF(RAND()&lt;P_Zero,0,IF(RAND()&lt;CondReturn,_xlfn.LOGNORM.INV(RAND(),MV2,Sigma1),IF(RAND()&lt;CondGood,_xlfn.LOGNORM.INV(RAND(),MV3,Sigma2),MIN(MaxMultiple,Xm/(1-RAND())^(1/Alpha)))))</f>
        <v>0.90129249773502884</v>
      </c>
      <c r="W109" s="19">
        <f ca="1">IF(RAND()&lt;P_Zero,0,IF(RAND()&lt;CondReturn,_xlfn.LOGNORM.INV(RAND(),MV2,Sigma1),IF(RAND()&lt;CondGood,_xlfn.LOGNORM.INV(RAND(),MV3,Sigma2),MIN(MaxMultiple,Xm/(1-RAND())^(1/Alpha)))))</f>
        <v>0.48020625963710717</v>
      </c>
      <c r="X109" s="19">
        <f ca="1">IF(RAND()&lt;P_Zero,0,IF(RAND()&lt;CondReturn,_xlfn.LOGNORM.INV(RAND(),MV2,Sigma1),IF(RAND()&lt;CondGood,_xlfn.LOGNORM.INV(RAND(),MV3,Sigma2),MIN(MaxMultiple,Xm/(1-RAND())^(1/Alpha)))))</f>
        <v>10.870745089644618</v>
      </c>
      <c r="Y109" s="19">
        <f ca="1">IF(RAND()&lt;P_Zero,0,IF(RAND()&lt;CondReturn,_xlfn.LOGNORM.INV(RAND(),MV2,Sigma1),IF(RAND()&lt;CondGood,_xlfn.LOGNORM.INV(RAND(),MV3,Sigma2),MIN(MaxMultiple,Xm/(1-RAND())^(1/Alpha)))))</f>
        <v>0</v>
      </c>
      <c r="Z109" s="19">
        <f ca="1">IF(RAND()&lt;P_Zero,0,IF(RAND()&lt;CondReturn,_xlfn.LOGNORM.INV(RAND(),MV2,Sigma1),IF(RAND()&lt;CondGood,_xlfn.LOGNORM.INV(RAND(),MV3,Sigma2),MIN(MaxMultiple,Xm/(1-RAND())^(1/Alpha)))))</f>
        <v>0.61079507564752977</v>
      </c>
      <c r="AA109" s="19">
        <f ca="1">IF(RAND()&lt;P_Zero,0,IF(RAND()&lt;CondReturn,_xlfn.LOGNORM.INV(RAND(),MV2,Sigma1),IF(RAND()&lt;CondGood,_xlfn.LOGNORM.INV(RAND(),MV3,Sigma2),MIN(MaxMultiple,Xm/(1-RAND())^(1/Alpha)))))</f>
        <v>1.758748111747106</v>
      </c>
      <c r="AB109" s="19">
        <f t="shared" ca="1" si="8"/>
        <v>1.4405754536640192</v>
      </c>
      <c r="AC109" s="14">
        <f t="shared" ca="1" si="9"/>
        <v>69147621.775872916</v>
      </c>
      <c r="AD109" s="14">
        <f t="shared" ca="1" si="10"/>
        <v>21147621.775872916</v>
      </c>
      <c r="AE109" s="14">
        <f t="shared" si="11"/>
        <v>55628399.869093813</v>
      </c>
      <c r="AF109" s="14">
        <f t="shared" ca="1" si="12"/>
        <v>0</v>
      </c>
      <c r="AG109" s="14">
        <f t="shared" ca="1" si="13"/>
        <v>0</v>
      </c>
      <c r="AH109" s="14">
        <f t="shared" ca="1" si="14"/>
        <v>69147621.775872916</v>
      </c>
      <c r="AI109" s="19">
        <f t="shared" ca="1" si="15"/>
        <v>1.1524603629312153</v>
      </c>
    </row>
    <row r="110" spans="2:35" x14ac:dyDescent="0.2">
      <c r="B110" s="1">
        <v>105</v>
      </c>
      <c r="C110" s="19">
        <f ca="1">IF(RAND()&lt;P_Zero,0,IF(RAND()&lt;CondReturn,_xlfn.LOGNORM.INV(RAND(),MV2,Sigma1),IF(RAND()&lt;CondGood,_xlfn.LOGNORM.INV(RAND(),MV3,Sigma2),MIN(MaxMultiple,Xm/(1-RAND())^(1/Alpha)))))</f>
        <v>0.56215938108155272</v>
      </c>
      <c r="D110" s="19">
        <f ca="1">IF(RAND()&lt;P_Zero,0,IF(RAND()&lt;CondReturn,_xlfn.LOGNORM.INV(RAND(),MV2,Sigma1),IF(RAND()&lt;CondGood,_xlfn.LOGNORM.INV(RAND(),MV3,Sigma2),MIN(MaxMultiple,Xm/(1-RAND())^(1/Alpha)))))</f>
        <v>0</v>
      </c>
      <c r="E110" s="19">
        <f ca="1">IF(RAND()&lt;P_Zero,0,IF(RAND()&lt;CondReturn,_xlfn.LOGNORM.INV(RAND(),MV2,Sigma1),IF(RAND()&lt;CondGood,_xlfn.LOGNORM.INV(RAND(),MV3,Sigma2),MIN(MaxMultiple,Xm/(1-RAND())^(1/Alpha)))))</f>
        <v>0</v>
      </c>
      <c r="F110" s="19">
        <f ca="1">IF(RAND()&lt;P_Zero,0,IF(RAND()&lt;CondReturn,_xlfn.LOGNORM.INV(RAND(),MV2,Sigma1),IF(RAND()&lt;CondGood,_xlfn.LOGNORM.INV(RAND(),MV3,Sigma2),MIN(MaxMultiple,Xm/(1-RAND())^(1/Alpha)))))</f>
        <v>0.94814777910852444</v>
      </c>
      <c r="G110" s="19">
        <f ca="1">IF(RAND()&lt;P_Zero,0,IF(RAND()&lt;CondReturn,_xlfn.LOGNORM.INV(RAND(),MV2,Sigma1),IF(RAND()&lt;CondGood,_xlfn.LOGNORM.INV(RAND(),MV3,Sigma2),MIN(MaxMultiple,Xm/(1-RAND())^(1/Alpha)))))</f>
        <v>1.2169674994607094</v>
      </c>
      <c r="H110" s="19">
        <f ca="1">IF(RAND()&lt;P_Zero,0,IF(RAND()&lt;CondReturn,_xlfn.LOGNORM.INV(RAND(),MV2,Sigma1),IF(RAND()&lt;CondGood,_xlfn.LOGNORM.INV(RAND(),MV3,Sigma2),MIN(MaxMultiple,Xm/(1-RAND())^(1/Alpha)))))</f>
        <v>1.1035618032958621</v>
      </c>
      <c r="I110" s="19">
        <f ca="1">IF(RAND()&lt;P_Zero,0,IF(RAND()&lt;CondReturn,_xlfn.LOGNORM.INV(RAND(),MV2,Sigma1),IF(RAND()&lt;CondGood,_xlfn.LOGNORM.INV(RAND(),MV3,Sigma2),MIN(MaxMultiple,Xm/(1-RAND())^(1/Alpha)))))</f>
        <v>0.95283814910118692</v>
      </c>
      <c r="J110" s="19">
        <f ca="1">IF(RAND()&lt;P_Zero,0,IF(RAND()&lt;CondReturn,_xlfn.LOGNORM.INV(RAND(),MV2,Sigma1),IF(RAND()&lt;CondGood,_xlfn.LOGNORM.INV(RAND(),MV3,Sigma2),MIN(MaxMultiple,Xm/(1-RAND())^(1/Alpha)))))</f>
        <v>0</v>
      </c>
      <c r="K110" s="19">
        <f ca="1">IF(RAND()&lt;P_Zero,0,IF(RAND()&lt;CondReturn,_xlfn.LOGNORM.INV(RAND(),MV2,Sigma1),IF(RAND()&lt;CondGood,_xlfn.LOGNORM.INV(RAND(),MV3,Sigma2),MIN(MaxMultiple,Xm/(1-RAND())^(1/Alpha)))))</f>
        <v>1.3144271202355364</v>
      </c>
      <c r="L110" s="19">
        <f ca="1">IF(RAND()&lt;P_Zero,0,IF(RAND()&lt;CondReturn,_xlfn.LOGNORM.INV(RAND(),MV2,Sigma1),IF(RAND()&lt;CondGood,_xlfn.LOGNORM.INV(RAND(),MV3,Sigma2),MIN(MaxMultiple,Xm/(1-RAND())^(1/Alpha)))))</f>
        <v>0.59673888612556925</v>
      </c>
      <c r="M110" s="19">
        <f ca="1">IF(RAND()&lt;P_Zero,0,IF(RAND()&lt;CondReturn,_xlfn.LOGNORM.INV(RAND(),MV2,Sigma1),IF(RAND()&lt;CondGood,_xlfn.LOGNORM.INV(RAND(),MV3,Sigma2),MIN(MaxMultiple,Xm/(1-RAND())^(1/Alpha)))))</f>
        <v>17.718821577863288</v>
      </c>
      <c r="N110" s="19">
        <f ca="1">IF(RAND()&lt;P_Zero,0,IF(RAND()&lt;CondReturn,_xlfn.LOGNORM.INV(RAND(),MV2,Sigma1),IF(RAND()&lt;CondGood,_xlfn.LOGNORM.INV(RAND(),MV3,Sigma2),MIN(MaxMultiple,Xm/(1-RAND())^(1/Alpha)))))</f>
        <v>0</v>
      </c>
      <c r="O110" s="19">
        <f ca="1">IF(RAND()&lt;P_Zero,0,IF(RAND()&lt;CondReturn,_xlfn.LOGNORM.INV(RAND(),MV2,Sigma1),IF(RAND()&lt;CondGood,_xlfn.LOGNORM.INV(RAND(),MV3,Sigma2),MIN(MaxMultiple,Xm/(1-RAND())^(1/Alpha)))))</f>
        <v>0.96135996953939307</v>
      </c>
      <c r="P110" s="19">
        <f ca="1">IF(RAND()&lt;P_Zero,0,IF(RAND()&lt;CondReturn,_xlfn.LOGNORM.INV(RAND(),MV2,Sigma1),IF(RAND()&lt;CondGood,_xlfn.LOGNORM.INV(RAND(),MV3,Sigma2),MIN(MaxMultiple,Xm/(1-RAND())^(1/Alpha)))))</f>
        <v>0</v>
      </c>
      <c r="Q110" s="19">
        <f ca="1">IF(RAND()&lt;P_Zero,0,IF(RAND()&lt;CondReturn,_xlfn.LOGNORM.INV(RAND(),MV2,Sigma1),IF(RAND()&lt;CondGood,_xlfn.LOGNORM.INV(RAND(),MV3,Sigma2),MIN(MaxMultiple,Xm/(1-RAND())^(1/Alpha)))))</f>
        <v>2.0466341455539969</v>
      </c>
      <c r="R110" s="19">
        <f ca="1">IF(RAND()&lt;P_Zero,0,IF(RAND()&lt;CondReturn,_xlfn.LOGNORM.INV(RAND(),MV2,Sigma1),IF(RAND()&lt;CondGood,_xlfn.LOGNORM.INV(RAND(),MV3,Sigma2),MIN(MaxMultiple,Xm/(1-RAND())^(1/Alpha)))))</f>
        <v>1.0964692645167329</v>
      </c>
      <c r="S110" s="19">
        <f ca="1">IF(RAND()&lt;P_Zero,0,IF(RAND()&lt;CondReturn,_xlfn.LOGNORM.INV(RAND(),MV2,Sigma1),IF(RAND()&lt;CondGood,_xlfn.LOGNORM.INV(RAND(),MV3,Sigma2),MIN(MaxMultiple,Xm/(1-RAND())^(1/Alpha)))))</f>
        <v>0</v>
      </c>
      <c r="T110" s="19">
        <f ca="1">IF(RAND()&lt;P_Zero,0,IF(RAND()&lt;CondReturn,_xlfn.LOGNORM.INV(RAND(),MV2,Sigma1),IF(RAND()&lt;CondGood,_xlfn.LOGNORM.INV(RAND(),MV3,Sigma2),MIN(MaxMultiple,Xm/(1-RAND())^(1/Alpha)))))</f>
        <v>1.6570156755296952</v>
      </c>
      <c r="U110" s="19">
        <f ca="1">IF(RAND()&lt;P_Zero,0,IF(RAND()&lt;CondReturn,_xlfn.LOGNORM.INV(RAND(),MV2,Sigma1),IF(RAND()&lt;CondGood,_xlfn.LOGNORM.INV(RAND(),MV3,Sigma2),MIN(MaxMultiple,Xm/(1-RAND())^(1/Alpha)))))</f>
        <v>0</v>
      </c>
      <c r="V110" s="19">
        <f ca="1">IF(RAND()&lt;P_Zero,0,IF(RAND()&lt;CondReturn,_xlfn.LOGNORM.INV(RAND(),MV2,Sigma1),IF(RAND()&lt;CondGood,_xlfn.LOGNORM.INV(RAND(),MV3,Sigma2),MIN(MaxMultiple,Xm/(1-RAND())^(1/Alpha)))))</f>
        <v>0.67482632223589945</v>
      </c>
      <c r="W110" s="19">
        <f ca="1">IF(RAND()&lt;P_Zero,0,IF(RAND()&lt;CondReturn,_xlfn.LOGNORM.INV(RAND(),MV2,Sigma1),IF(RAND()&lt;CondGood,_xlfn.LOGNORM.INV(RAND(),MV3,Sigma2),MIN(MaxMultiple,Xm/(1-RAND())^(1/Alpha)))))</f>
        <v>0</v>
      </c>
      <c r="X110" s="19">
        <f ca="1">IF(RAND()&lt;P_Zero,0,IF(RAND()&lt;CondReturn,_xlfn.LOGNORM.INV(RAND(),MV2,Sigma1),IF(RAND()&lt;CondGood,_xlfn.LOGNORM.INV(RAND(),MV3,Sigma2),MIN(MaxMultiple,Xm/(1-RAND())^(1/Alpha)))))</f>
        <v>0</v>
      </c>
      <c r="Y110" s="19">
        <f ca="1">IF(RAND()&lt;P_Zero,0,IF(RAND()&lt;CondReturn,_xlfn.LOGNORM.INV(RAND(),MV2,Sigma1),IF(RAND()&lt;CondGood,_xlfn.LOGNORM.INV(RAND(),MV3,Sigma2),MIN(MaxMultiple,Xm/(1-RAND())^(1/Alpha)))))</f>
        <v>0.52496117359528882</v>
      </c>
      <c r="Z110" s="19">
        <f ca="1">IF(RAND()&lt;P_Zero,0,IF(RAND()&lt;CondReturn,_xlfn.LOGNORM.INV(RAND(),MV2,Sigma1),IF(RAND()&lt;CondGood,_xlfn.LOGNORM.INV(RAND(),MV3,Sigma2),MIN(MaxMultiple,Xm/(1-RAND())^(1/Alpha)))))</f>
        <v>0</v>
      </c>
      <c r="AA110" s="19">
        <f ca="1">IF(RAND()&lt;P_Zero,0,IF(RAND()&lt;CondReturn,_xlfn.LOGNORM.INV(RAND(),MV2,Sigma1),IF(RAND()&lt;CondGood,_xlfn.LOGNORM.INV(RAND(),MV3,Sigma2),MIN(MaxMultiple,Xm/(1-RAND())^(1/Alpha)))))</f>
        <v>0.72085202340080068</v>
      </c>
      <c r="AB110" s="19">
        <f t="shared" ca="1" si="8"/>
        <v>1.2838312308257616</v>
      </c>
      <c r="AC110" s="14">
        <f t="shared" ca="1" si="9"/>
        <v>61623899.079636551</v>
      </c>
      <c r="AD110" s="14">
        <f t="shared" ca="1" si="10"/>
        <v>13623899.079636551</v>
      </c>
      <c r="AE110" s="14">
        <f t="shared" si="11"/>
        <v>55628399.869093813</v>
      </c>
      <c r="AF110" s="14">
        <f t="shared" ca="1" si="12"/>
        <v>0</v>
      </c>
      <c r="AG110" s="14">
        <f t="shared" ca="1" si="13"/>
        <v>0</v>
      </c>
      <c r="AH110" s="14">
        <f t="shared" ca="1" si="14"/>
        <v>61623899.079636551</v>
      </c>
      <c r="AI110" s="19">
        <f t="shared" ca="1" si="15"/>
        <v>1.0270649846606092</v>
      </c>
    </row>
    <row r="111" spans="2:35" x14ac:dyDescent="0.2">
      <c r="B111" s="1">
        <v>106</v>
      </c>
      <c r="C111" s="19">
        <f ca="1">IF(RAND()&lt;P_Zero,0,IF(RAND()&lt;CondReturn,_xlfn.LOGNORM.INV(RAND(),MV2,Sigma1),IF(RAND()&lt;CondGood,_xlfn.LOGNORM.INV(RAND(),MV3,Sigma2),MIN(MaxMultiple,Xm/(1-RAND())^(1/Alpha)))))</f>
        <v>29.258728190709451</v>
      </c>
      <c r="D111" s="19">
        <f ca="1">IF(RAND()&lt;P_Zero,0,IF(RAND()&lt;CondReturn,_xlfn.LOGNORM.INV(RAND(),MV2,Sigma1),IF(RAND()&lt;CondGood,_xlfn.LOGNORM.INV(RAND(),MV3,Sigma2),MIN(MaxMultiple,Xm/(1-RAND())^(1/Alpha)))))</f>
        <v>1.0981628350738926</v>
      </c>
      <c r="E111" s="19">
        <f ca="1">IF(RAND()&lt;P_Zero,0,IF(RAND()&lt;CondReturn,_xlfn.LOGNORM.INV(RAND(),MV2,Sigma1),IF(RAND()&lt;CondGood,_xlfn.LOGNORM.INV(RAND(),MV3,Sigma2),MIN(MaxMultiple,Xm/(1-RAND())^(1/Alpha)))))</f>
        <v>0.84055431194840058</v>
      </c>
      <c r="F111" s="19">
        <f ca="1">IF(RAND()&lt;P_Zero,0,IF(RAND()&lt;CondReturn,_xlfn.LOGNORM.INV(RAND(),MV2,Sigma1),IF(RAND()&lt;CondGood,_xlfn.LOGNORM.INV(RAND(),MV3,Sigma2),MIN(MaxMultiple,Xm/(1-RAND())^(1/Alpha)))))</f>
        <v>0</v>
      </c>
      <c r="G111" s="19">
        <f ca="1">IF(RAND()&lt;P_Zero,0,IF(RAND()&lt;CondReturn,_xlfn.LOGNORM.INV(RAND(),MV2,Sigma1),IF(RAND()&lt;CondGood,_xlfn.LOGNORM.INV(RAND(),MV3,Sigma2),MIN(MaxMultiple,Xm/(1-RAND())^(1/Alpha)))))</f>
        <v>1.0791816097638312</v>
      </c>
      <c r="H111" s="19">
        <f ca="1">IF(RAND()&lt;P_Zero,0,IF(RAND()&lt;CondReturn,_xlfn.LOGNORM.INV(RAND(),MV2,Sigma1),IF(RAND()&lt;CondGood,_xlfn.LOGNORM.INV(RAND(),MV3,Sigma2),MIN(MaxMultiple,Xm/(1-RAND())^(1/Alpha)))))</f>
        <v>0.82172143797595132</v>
      </c>
      <c r="I111" s="19">
        <f ca="1">IF(RAND()&lt;P_Zero,0,IF(RAND()&lt;CondReturn,_xlfn.LOGNORM.INV(RAND(),MV2,Sigma1),IF(RAND()&lt;CondGood,_xlfn.LOGNORM.INV(RAND(),MV3,Sigma2),MIN(MaxMultiple,Xm/(1-RAND())^(1/Alpha)))))</f>
        <v>0.55336601588560907</v>
      </c>
      <c r="J111" s="19">
        <f ca="1">IF(RAND()&lt;P_Zero,0,IF(RAND()&lt;CondReturn,_xlfn.LOGNORM.INV(RAND(),MV2,Sigma1),IF(RAND()&lt;CondGood,_xlfn.LOGNORM.INV(RAND(),MV3,Sigma2),MIN(MaxMultiple,Xm/(1-RAND())^(1/Alpha)))))</f>
        <v>0.33268170976704725</v>
      </c>
      <c r="K111" s="19">
        <f ca="1">IF(RAND()&lt;P_Zero,0,IF(RAND()&lt;CondReturn,_xlfn.LOGNORM.INV(RAND(),MV2,Sigma1),IF(RAND()&lt;CondGood,_xlfn.LOGNORM.INV(RAND(),MV3,Sigma2),MIN(MaxMultiple,Xm/(1-RAND())^(1/Alpha)))))</f>
        <v>0</v>
      </c>
      <c r="L111" s="19">
        <f ca="1">IF(RAND()&lt;P_Zero,0,IF(RAND()&lt;CondReturn,_xlfn.LOGNORM.INV(RAND(),MV2,Sigma1),IF(RAND()&lt;CondGood,_xlfn.LOGNORM.INV(RAND(),MV3,Sigma2),MIN(MaxMultiple,Xm/(1-RAND())^(1/Alpha)))))</f>
        <v>0</v>
      </c>
      <c r="M111" s="19">
        <f ca="1">IF(RAND()&lt;P_Zero,0,IF(RAND()&lt;CondReturn,_xlfn.LOGNORM.INV(RAND(),MV2,Sigma1),IF(RAND()&lt;CondGood,_xlfn.LOGNORM.INV(RAND(),MV3,Sigma2),MIN(MaxMultiple,Xm/(1-RAND())^(1/Alpha)))))</f>
        <v>0</v>
      </c>
      <c r="N111" s="19">
        <f ca="1">IF(RAND()&lt;P_Zero,0,IF(RAND()&lt;CondReturn,_xlfn.LOGNORM.INV(RAND(),MV2,Sigma1),IF(RAND()&lt;CondGood,_xlfn.LOGNORM.INV(RAND(),MV3,Sigma2),MIN(MaxMultiple,Xm/(1-RAND())^(1/Alpha)))))</f>
        <v>1.1373197209874626</v>
      </c>
      <c r="O111" s="19">
        <f ca="1">IF(RAND()&lt;P_Zero,0,IF(RAND()&lt;CondReturn,_xlfn.LOGNORM.INV(RAND(),MV2,Sigma1),IF(RAND()&lt;CondGood,_xlfn.LOGNORM.INV(RAND(),MV3,Sigma2),MIN(MaxMultiple,Xm/(1-RAND())^(1/Alpha)))))</f>
        <v>1.743306389646746</v>
      </c>
      <c r="P111" s="19">
        <f ca="1">IF(RAND()&lt;P_Zero,0,IF(RAND()&lt;CondReturn,_xlfn.LOGNORM.INV(RAND(),MV2,Sigma1),IF(RAND()&lt;CondGood,_xlfn.LOGNORM.INV(RAND(),MV3,Sigma2),MIN(MaxMultiple,Xm/(1-RAND())^(1/Alpha)))))</f>
        <v>0.63959091130202628</v>
      </c>
      <c r="Q111" s="19">
        <f ca="1">IF(RAND()&lt;P_Zero,0,IF(RAND()&lt;CondReturn,_xlfn.LOGNORM.INV(RAND(),MV2,Sigma1),IF(RAND()&lt;CondGood,_xlfn.LOGNORM.INV(RAND(),MV3,Sigma2),MIN(MaxMultiple,Xm/(1-RAND())^(1/Alpha)))))</f>
        <v>0</v>
      </c>
      <c r="R111" s="19">
        <f ca="1">IF(RAND()&lt;P_Zero,0,IF(RAND()&lt;CondReturn,_xlfn.LOGNORM.INV(RAND(),MV2,Sigma1),IF(RAND()&lt;CondGood,_xlfn.LOGNORM.INV(RAND(),MV3,Sigma2),MIN(MaxMultiple,Xm/(1-RAND())^(1/Alpha)))))</f>
        <v>0</v>
      </c>
      <c r="S111" s="19">
        <f ca="1">IF(RAND()&lt;P_Zero,0,IF(RAND()&lt;CondReturn,_xlfn.LOGNORM.INV(RAND(),MV2,Sigma1),IF(RAND()&lt;CondGood,_xlfn.LOGNORM.INV(RAND(),MV3,Sigma2),MIN(MaxMultiple,Xm/(1-RAND())^(1/Alpha)))))</f>
        <v>18.489772110232849</v>
      </c>
      <c r="T111" s="19">
        <f ca="1">IF(RAND()&lt;P_Zero,0,IF(RAND()&lt;CondReturn,_xlfn.LOGNORM.INV(RAND(),MV2,Sigma1),IF(RAND()&lt;CondGood,_xlfn.LOGNORM.INV(RAND(),MV3,Sigma2),MIN(MaxMultiple,Xm/(1-RAND())^(1/Alpha)))))</f>
        <v>1.5028071638241631</v>
      </c>
      <c r="U111" s="19">
        <f ca="1">IF(RAND()&lt;P_Zero,0,IF(RAND()&lt;CondReturn,_xlfn.LOGNORM.INV(RAND(),MV2,Sigma1),IF(RAND()&lt;CondGood,_xlfn.LOGNORM.INV(RAND(),MV3,Sigma2),MIN(MaxMultiple,Xm/(1-RAND())^(1/Alpha)))))</f>
        <v>0</v>
      </c>
      <c r="V111" s="19">
        <f ca="1">IF(RAND()&lt;P_Zero,0,IF(RAND()&lt;CondReturn,_xlfn.LOGNORM.INV(RAND(),MV2,Sigma1),IF(RAND()&lt;CondGood,_xlfn.LOGNORM.INV(RAND(),MV3,Sigma2),MIN(MaxMultiple,Xm/(1-RAND())^(1/Alpha)))))</f>
        <v>17.154960008211077</v>
      </c>
      <c r="W111" s="19">
        <f ca="1">IF(RAND()&lt;P_Zero,0,IF(RAND()&lt;CondReturn,_xlfn.LOGNORM.INV(RAND(),MV2,Sigma1),IF(RAND()&lt;CondGood,_xlfn.LOGNORM.INV(RAND(),MV3,Sigma2),MIN(MaxMultiple,Xm/(1-RAND())^(1/Alpha)))))</f>
        <v>1.4008624513976229</v>
      </c>
      <c r="X111" s="19">
        <f ca="1">IF(RAND()&lt;P_Zero,0,IF(RAND()&lt;CondReturn,_xlfn.LOGNORM.INV(RAND(),MV2,Sigma1),IF(RAND()&lt;CondGood,_xlfn.LOGNORM.INV(RAND(),MV3,Sigma2),MIN(MaxMultiple,Xm/(1-RAND())^(1/Alpha)))))</f>
        <v>0</v>
      </c>
      <c r="Y111" s="19">
        <f ca="1">IF(RAND()&lt;P_Zero,0,IF(RAND()&lt;CondReturn,_xlfn.LOGNORM.INV(RAND(),MV2,Sigma1),IF(RAND()&lt;CondGood,_xlfn.LOGNORM.INV(RAND(),MV3,Sigma2),MIN(MaxMultiple,Xm/(1-RAND())^(1/Alpha)))))</f>
        <v>1.7644563166076739</v>
      </c>
      <c r="Z111" s="19">
        <f ca="1">IF(RAND()&lt;P_Zero,0,IF(RAND()&lt;CondReturn,_xlfn.LOGNORM.INV(RAND(),MV2,Sigma1),IF(RAND()&lt;CondGood,_xlfn.LOGNORM.INV(RAND(),MV3,Sigma2),MIN(MaxMultiple,Xm/(1-RAND())^(1/Alpha)))))</f>
        <v>0.43457012350262697</v>
      </c>
      <c r="AA111" s="19">
        <f ca="1">IF(RAND()&lt;P_Zero,0,IF(RAND()&lt;CondReturn,_xlfn.LOGNORM.INV(RAND(),MV2,Sigma1),IF(RAND()&lt;CondGood,_xlfn.LOGNORM.INV(RAND(),MV3,Sigma2),MIN(MaxMultiple,Xm/(1-RAND())^(1/Alpha)))))</f>
        <v>0</v>
      </c>
      <c r="AB111" s="19">
        <f t="shared" ca="1" si="8"/>
        <v>3.130081652273458</v>
      </c>
      <c r="AC111" s="14">
        <f t="shared" ca="1" si="9"/>
        <v>150243919.30912599</v>
      </c>
      <c r="AD111" s="14">
        <f t="shared" ca="1" si="10"/>
        <v>102243919.30912599</v>
      </c>
      <c r="AE111" s="14">
        <f t="shared" si="11"/>
        <v>55628399.869093813</v>
      </c>
      <c r="AF111" s="14">
        <f t="shared" ca="1" si="12"/>
        <v>46615519.440032177</v>
      </c>
      <c r="AG111" s="14">
        <f t="shared" ca="1" si="13"/>
        <v>9323103.8880064357</v>
      </c>
      <c r="AH111" s="14">
        <f t="shared" ca="1" si="14"/>
        <v>140920815.42111954</v>
      </c>
      <c r="AI111" s="19">
        <f t="shared" ca="1" si="15"/>
        <v>2.3486802570186591</v>
      </c>
    </row>
    <row r="112" spans="2:35" x14ac:dyDescent="0.2">
      <c r="B112" s="1">
        <v>107</v>
      </c>
      <c r="C112" s="19">
        <f ca="1">IF(RAND()&lt;P_Zero,0,IF(RAND()&lt;CondReturn,_xlfn.LOGNORM.INV(RAND(),MV2,Sigma1),IF(RAND()&lt;CondGood,_xlfn.LOGNORM.INV(RAND(),MV3,Sigma2),MIN(MaxMultiple,Xm/(1-RAND())^(1/Alpha)))))</f>
        <v>1.2308468099901975</v>
      </c>
      <c r="D112" s="19">
        <f ca="1">IF(RAND()&lt;P_Zero,0,IF(RAND()&lt;CondReturn,_xlfn.LOGNORM.INV(RAND(),MV2,Sigma1),IF(RAND()&lt;CondGood,_xlfn.LOGNORM.INV(RAND(),MV3,Sigma2),MIN(MaxMultiple,Xm/(1-RAND())^(1/Alpha)))))</f>
        <v>0</v>
      </c>
      <c r="E112" s="19">
        <f ca="1">IF(RAND()&lt;P_Zero,0,IF(RAND()&lt;CondReturn,_xlfn.LOGNORM.INV(RAND(),MV2,Sigma1),IF(RAND()&lt;CondGood,_xlfn.LOGNORM.INV(RAND(),MV3,Sigma2),MIN(MaxMultiple,Xm/(1-RAND())^(1/Alpha)))))</f>
        <v>0</v>
      </c>
      <c r="F112" s="19">
        <f ca="1">IF(RAND()&lt;P_Zero,0,IF(RAND()&lt;CondReturn,_xlfn.LOGNORM.INV(RAND(),MV2,Sigma1),IF(RAND()&lt;CondGood,_xlfn.LOGNORM.INV(RAND(),MV3,Sigma2),MIN(MaxMultiple,Xm/(1-RAND())^(1/Alpha)))))</f>
        <v>0.9286711493328389</v>
      </c>
      <c r="G112" s="19">
        <f ca="1">IF(RAND()&lt;P_Zero,0,IF(RAND()&lt;CondReturn,_xlfn.LOGNORM.INV(RAND(),MV2,Sigma1),IF(RAND()&lt;CondGood,_xlfn.LOGNORM.INV(RAND(),MV3,Sigma2),MIN(MaxMultiple,Xm/(1-RAND())^(1/Alpha)))))</f>
        <v>0.35915203407185198</v>
      </c>
      <c r="H112" s="19">
        <f ca="1">IF(RAND()&lt;P_Zero,0,IF(RAND()&lt;CondReturn,_xlfn.LOGNORM.INV(RAND(),MV2,Sigma1),IF(RAND()&lt;CondGood,_xlfn.LOGNORM.INV(RAND(),MV3,Sigma2),MIN(MaxMultiple,Xm/(1-RAND())^(1/Alpha)))))</f>
        <v>0</v>
      </c>
      <c r="I112" s="19">
        <f ca="1">IF(RAND()&lt;P_Zero,0,IF(RAND()&lt;CondReturn,_xlfn.LOGNORM.INV(RAND(),MV2,Sigma1),IF(RAND()&lt;CondGood,_xlfn.LOGNORM.INV(RAND(),MV3,Sigma2),MIN(MaxMultiple,Xm/(1-RAND())^(1/Alpha)))))</f>
        <v>0.62755527100955766</v>
      </c>
      <c r="J112" s="19">
        <f ca="1">IF(RAND()&lt;P_Zero,0,IF(RAND()&lt;CondReturn,_xlfn.LOGNORM.INV(RAND(),MV2,Sigma1),IF(RAND()&lt;CondGood,_xlfn.LOGNORM.INV(RAND(),MV3,Sigma2),MIN(MaxMultiple,Xm/(1-RAND())^(1/Alpha)))))</f>
        <v>0</v>
      </c>
      <c r="K112" s="19">
        <f ca="1">IF(RAND()&lt;P_Zero,0,IF(RAND()&lt;CondReturn,_xlfn.LOGNORM.INV(RAND(),MV2,Sigma1),IF(RAND()&lt;CondGood,_xlfn.LOGNORM.INV(RAND(),MV3,Sigma2),MIN(MaxMultiple,Xm/(1-RAND())^(1/Alpha)))))</f>
        <v>2.9431316922453385</v>
      </c>
      <c r="L112" s="19">
        <f ca="1">IF(RAND()&lt;P_Zero,0,IF(RAND()&lt;CondReturn,_xlfn.LOGNORM.INV(RAND(),MV2,Sigma1),IF(RAND()&lt;CondGood,_xlfn.LOGNORM.INV(RAND(),MV3,Sigma2),MIN(MaxMultiple,Xm/(1-RAND())^(1/Alpha)))))</f>
        <v>0</v>
      </c>
      <c r="M112" s="19">
        <f ca="1">IF(RAND()&lt;P_Zero,0,IF(RAND()&lt;CondReturn,_xlfn.LOGNORM.INV(RAND(),MV2,Sigma1),IF(RAND()&lt;CondGood,_xlfn.LOGNORM.INV(RAND(),MV3,Sigma2),MIN(MaxMultiple,Xm/(1-RAND())^(1/Alpha)))))</f>
        <v>0</v>
      </c>
      <c r="N112" s="19">
        <f ca="1">IF(RAND()&lt;P_Zero,0,IF(RAND()&lt;CondReturn,_xlfn.LOGNORM.INV(RAND(),MV2,Sigma1),IF(RAND()&lt;CondGood,_xlfn.LOGNORM.INV(RAND(),MV3,Sigma2),MIN(MaxMultiple,Xm/(1-RAND())^(1/Alpha)))))</f>
        <v>0</v>
      </c>
      <c r="O112" s="19">
        <f ca="1">IF(RAND()&lt;P_Zero,0,IF(RAND()&lt;CondReturn,_xlfn.LOGNORM.INV(RAND(),MV2,Sigma1),IF(RAND()&lt;CondGood,_xlfn.LOGNORM.INV(RAND(),MV3,Sigma2),MIN(MaxMultiple,Xm/(1-RAND())^(1/Alpha)))))</f>
        <v>0</v>
      </c>
      <c r="P112" s="19">
        <f ca="1">IF(RAND()&lt;P_Zero,0,IF(RAND()&lt;CondReturn,_xlfn.LOGNORM.INV(RAND(),MV2,Sigma1),IF(RAND()&lt;CondGood,_xlfn.LOGNORM.INV(RAND(),MV3,Sigma2),MIN(MaxMultiple,Xm/(1-RAND())^(1/Alpha)))))</f>
        <v>0.92987634821592724</v>
      </c>
      <c r="Q112" s="19">
        <f ca="1">IF(RAND()&lt;P_Zero,0,IF(RAND()&lt;CondReturn,_xlfn.LOGNORM.INV(RAND(),MV2,Sigma1),IF(RAND()&lt;CondGood,_xlfn.LOGNORM.INV(RAND(),MV3,Sigma2),MIN(MaxMultiple,Xm/(1-RAND())^(1/Alpha)))))</f>
        <v>0</v>
      </c>
      <c r="R112" s="19">
        <f ca="1">IF(RAND()&lt;P_Zero,0,IF(RAND()&lt;CondReturn,_xlfn.LOGNORM.INV(RAND(),MV2,Sigma1),IF(RAND()&lt;CondGood,_xlfn.LOGNORM.INV(RAND(),MV3,Sigma2),MIN(MaxMultiple,Xm/(1-RAND())^(1/Alpha)))))</f>
        <v>0</v>
      </c>
      <c r="S112" s="19">
        <f ca="1">IF(RAND()&lt;P_Zero,0,IF(RAND()&lt;CondReturn,_xlfn.LOGNORM.INV(RAND(),MV2,Sigma1),IF(RAND()&lt;CondGood,_xlfn.LOGNORM.INV(RAND(),MV3,Sigma2),MIN(MaxMultiple,Xm/(1-RAND())^(1/Alpha)))))</f>
        <v>1.9292315581567914</v>
      </c>
      <c r="T112" s="19">
        <f ca="1">IF(RAND()&lt;P_Zero,0,IF(RAND()&lt;CondReturn,_xlfn.LOGNORM.INV(RAND(),MV2,Sigma1),IF(RAND()&lt;CondGood,_xlfn.LOGNORM.INV(RAND(),MV3,Sigma2),MIN(MaxMultiple,Xm/(1-RAND())^(1/Alpha)))))</f>
        <v>0</v>
      </c>
      <c r="U112" s="19">
        <f ca="1">IF(RAND()&lt;P_Zero,0,IF(RAND()&lt;CondReturn,_xlfn.LOGNORM.INV(RAND(),MV2,Sigma1),IF(RAND()&lt;CondGood,_xlfn.LOGNORM.INV(RAND(),MV3,Sigma2),MIN(MaxMultiple,Xm/(1-RAND())^(1/Alpha)))))</f>
        <v>0</v>
      </c>
      <c r="V112" s="19">
        <f ca="1">IF(RAND()&lt;P_Zero,0,IF(RAND()&lt;CondReturn,_xlfn.LOGNORM.INV(RAND(),MV2,Sigma1),IF(RAND()&lt;CondGood,_xlfn.LOGNORM.INV(RAND(),MV3,Sigma2),MIN(MaxMultiple,Xm/(1-RAND())^(1/Alpha)))))</f>
        <v>0</v>
      </c>
      <c r="W112" s="19">
        <f ca="1">IF(RAND()&lt;P_Zero,0,IF(RAND()&lt;CondReturn,_xlfn.LOGNORM.INV(RAND(),MV2,Sigma1),IF(RAND()&lt;CondGood,_xlfn.LOGNORM.INV(RAND(),MV3,Sigma2),MIN(MaxMultiple,Xm/(1-RAND())^(1/Alpha)))))</f>
        <v>0</v>
      </c>
      <c r="X112" s="19">
        <f ca="1">IF(RAND()&lt;P_Zero,0,IF(RAND()&lt;CondReturn,_xlfn.LOGNORM.INV(RAND(),MV2,Sigma1),IF(RAND()&lt;CondGood,_xlfn.LOGNORM.INV(RAND(),MV3,Sigma2),MIN(MaxMultiple,Xm/(1-RAND())^(1/Alpha)))))</f>
        <v>1.0022791053754041</v>
      </c>
      <c r="Y112" s="19">
        <f ca="1">IF(RAND()&lt;P_Zero,0,IF(RAND()&lt;CondReturn,_xlfn.LOGNORM.INV(RAND(),MV2,Sigma1),IF(RAND()&lt;CondGood,_xlfn.LOGNORM.INV(RAND(),MV3,Sigma2),MIN(MaxMultiple,Xm/(1-RAND())^(1/Alpha)))))</f>
        <v>0</v>
      </c>
      <c r="Z112" s="19">
        <f ca="1">IF(RAND()&lt;P_Zero,0,IF(RAND()&lt;CondReturn,_xlfn.LOGNORM.INV(RAND(),MV2,Sigma1),IF(RAND()&lt;CondGood,_xlfn.LOGNORM.INV(RAND(),MV3,Sigma2),MIN(MaxMultiple,Xm/(1-RAND())^(1/Alpha)))))</f>
        <v>0.40117121104337677</v>
      </c>
      <c r="AA112" s="19">
        <f ca="1">IF(RAND()&lt;P_Zero,0,IF(RAND()&lt;CondReturn,_xlfn.LOGNORM.INV(RAND(),MV2,Sigma1),IF(RAND()&lt;CondGood,_xlfn.LOGNORM.INV(RAND(),MV3,Sigma2),MIN(MaxMultiple,Xm/(1-RAND())^(1/Alpha)))))</f>
        <v>0</v>
      </c>
      <c r="AB112" s="19">
        <f t="shared" ca="1" si="8"/>
        <v>0.41407660717765132</v>
      </c>
      <c r="AC112" s="14">
        <f t="shared" ca="1" si="9"/>
        <v>19875677.144527264</v>
      </c>
      <c r="AD112" s="14">
        <f t="shared" ca="1" si="10"/>
        <v>-28124322.855472736</v>
      </c>
      <c r="AE112" s="14">
        <f t="shared" si="11"/>
        <v>55628399.869093813</v>
      </c>
      <c r="AF112" s="14">
        <f t="shared" ca="1" si="12"/>
        <v>0</v>
      </c>
      <c r="AG112" s="14">
        <f t="shared" ca="1" si="13"/>
        <v>0</v>
      </c>
      <c r="AH112" s="14">
        <f t="shared" ca="1" si="14"/>
        <v>19875677.144527264</v>
      </c>
      <c r="AI112" s="19">
        <f t="shared" ca="1" si="15"/>
        <v>0.33126128574212105</v>
      </c>
    </row>
    <row r="113" spans="2:35" x14ac:dyDescent="0.2">
      <c r="B113" s="1">
        <v>108</v>
      </c>
      <c r="C113" s="19">
        <f ca="1">IF(RAND()&lt;P_Zero,0,IF(RAND()&lt;CondReturn,_xlfn.LOGNORM.INV(RAND(),MV2,Sigma1),IF(RAND()&lt;CondGood,_xlfn.LOGNORM.INV(RAND(),MV3,Sigma2),MIN(MaxMultiple,Xm/(1-RAND())^(1/Alpha)))))</f>
        <v>0.79907244743767702</v>
      </c>
      <c r="D113" s="19">
        <f ca="1">IF(RAND()&lt;P_Zero,0,IF(RAND()&lt;CondReturn,_xlfn.LOGNORM.INV(RAND(),MV2,Sigma1),IF(RAND()&lt;CondGood,_xlfn.LOGNORM.INV(RAND(),MV3,Sigma2),MIN(MaxMultiple,Xm/(1-RAND())^(1/Alpha)))))</f>
        <v>0</v>
      </c>
      <c r="E113" s="19">
        <f ca="1">IF(RAND()&lt;P_Zero,0,IF(RAND()&lt;CondReturn,_xlfn.LOGNORM.INV(RAND(),MV2,Sigma1),IF(RAND()&lt;CondGood,_xlfn.LOGNORM.INV(RAND(),MV3,Sigma2),MIN(MaxMultiple,Xm/(1-RAND())^(1/Alpha)))))</f>
        <v>1.2097040363336249</v>
      </c>
      <c r="F113" s="19">
        <f ca="1">IF(RAND()&lt;P_Zero,0,IF(RAND()&lt;CondReturn,_xlfn.LOGNORM.INV(RAND(),MV2,Sigma1),IF(RAND()&lt;CondGood,_xlfn.LOGNORM.INV(RAND(),MV3,Sigma2),MIN(MaxMultiple,Xm/(1-RAND())^(1/Alpha)))))</f>
        <v>2.1403358206055882</v>
      </c>
      <c r="G113" s="19">
        <f ca="1">IF(RAND()&lt;P_Zero,0,IF(RAND()&lt;CondReturn,_xlfn.LOGNORM.INV(RAND(),MV2,Sigma1),IF(RAND()&lt;CondGood,_xlfn.LOGNORM.INV(RAND(),MV3,Sigma2),MIN(MaxMultiple,Xm/(1-RAND())^(1/Alpha)))))</f>
        <v>0</v>
      </c>
      <c r="H113" s="19">
        <f ca="1">IF(RAND()&lt;P_Zero,0,IF(RAND()&lt;CondReturn,_xlfn.LOGNORM.INV(RAND(),MV2,Sigma1),IF(RAND()&lt;CondGood,_xlfn.LOGNORM.INV(RAND(),MV3,Sigma2),MIN(MaxMultiple,Xm/(1-RAND())^(1/Alpha)))))</f>
        <v>0</v>
      </c>
      <c r="I113" s="19">
        <f ca="1">IF(RAND()&lt;P_Zero,0,IF(RAND()&lt;CondReturn,_xlfn.LOGNORM.INV(RAND(),MV2,Sigma1),IF(RAND()&lt;CondGood,_xlfn.LOGNORM.INV(RAND(),MV3,Sigma2),MIN(MaxMultiple,Xm/(1-RAND())^(1/Alpha)))))</f>
        <v>0.44572715023636583</v>
      </c>
      <c r="J113" s="19">
        <f ca="1">IF(RAND()&lt;P_Zero,0,IF(RAND()&lt;CondReturn,_xlfn.LOGNORM.INV(RAND(),MV2,Sigma1),IF(RAND()&lt;CondGood,_xlfn.LOGNORM.INV(RAND(),MV3,Sigma2),MIN(MaxMultiple,Xm/(1-RAND())^(1/Alpha)))))</f>
        <v>0.97350075126540125</v>
      </c>
      <c r="K113" s="19">
        <f ca="1">IF(RAND()&lt;P_Zero,0,IF(RAND()&lt;CondReturn,_xlfn.LOGNORM.INV(RAND(),MV2,Sigma1),IF(RAND()&lt;CondGood,_xlfn.LOGNORM.INV(RAND(),MV3,Sigma2),MIN(MaxMultiple,Xm/(1-RAND())^(1/Alpha)))))</f>
        <v>1.7678919635518671</v>
      </c>
      <c r="L113" s="19">
        <f ca="1">IF(RAND()&lt;P_Zero,0,IF(RAND()&lt;CondReturn,_xlfn.LOGNORM.INV(RAND(),MV2,Sigma1),IF(RAND()&lt;CondGood,_xlfn.LOGNORM.INV(RAND(),MV3,Sigma2),MIN(MaxMultiple,Xm/(1-RAND())^(1/Alpha)))))</f>
        <v>0</v>
      </c>
      <c r="M113" s="19">
        <f ca="1">IF(RAND()&lt;P_Zero,0,IF(RAND()&lt;CondReturn,_xlfn.LOGNORM.INV(RAND(),MV2,Sigma1),IF(RAND()&lt;CondGood,_xlfn.LOGNORM.INV(RAND(),MV3,Sigma2),MIN(MaxMultiple,Xm/(1-RAND())^(1/Alpha)))))</f>
        <v>0</v>
      </c>
      <c r="N113" s="19">
        <f ca="1">IF(RAND()&lt;P_Zero,0,IF(RAND()&lt;CondReturn,_xlfn.LOGNORM.INV(RAND(),MV2,Sigma1),IF(RAND()&lt;CondGood,_xlfn.LOGNORM.INV(RAND(),MV3,Sigma2),MIN(MaxMultiple,Xm/(1-RAND())^(1/Alpha)))))</f>
        <v>1.1698615774477652</v>
      </c>
      <c r="O113" s="19">
        <f ca="1">IF(RAND()&lt;P_Zero,0,IF(RAND()&lt;CondReturn,_xlfn.LOGNORM.INV(RAND(),MV2,Sigma1),IF(RAND()&lt;CondGood,_xlfn.LOGNORM.INV(RAND(),MV3,Sigma2),MIN(MaxMultiple,Xm/(1-RAND())^(1/Alpha)))))</f>
        <v>0.86626961923436119</v>
      </c>
      <c r="P113" s="19">
        <f ca="1">IF(RAND()&lt;P_Zero,0,IF(RAND()&lt;CondReturn,_xlfn.LOGNORM.INV(RAND(),MV2,Sigma1),IF(RAND()&lt;CondGood,_xlfn.LOGNORM.INV(RAND(),MV3,Sigma2),MIN(MaxMultiple,Xm/(1-RAND())^(1/Alpha)))))</f>
        <v>0</v>
      </c>
      <c r="Q113" s="19">
        <f ca="1">IF(RAND()&lt;P_Zero,0,IF(RAND()&lt;CondReturn,_xlfn.LOGNORM.INV(RAND(),MV2,Sigma1),IF(RAND()&lt;CondGood,_xlfn.LOGNORM.INV(RAND(),MV3,Sigma2),MIN(MaxMultiple,Xm/(1-RAND())^(1/Alpha)))))</f>
        <v>0</v>
      </c>
      <c r="R113" s="19">
        <f ca="1">IF(RAND()&lt;P_Zero,0,IF(RAND()&lt;CondReturn,_xlfn.LOGNORM.INV(RAND(),MV2,Sigma1),IF(RAND()&lt;CondGood,_xlfn.LOGNORM.INV(RAND(),MV3,Sigma2),MIN(MaxMultiple,Xm/(1-RAND())^(1/Alpha)))))</f>
        <v>15.90427848002131</v>
      </c>
      <c r="S113" s="19">
        <f ca="1">IF(RAND()&lt;P_Zero,0,IF(RAND()&lt;CondReturn,_xlfn.LOGNORM.INV(RAND(),MV2,Sigma1),IF(RAND()&lt;CondGood,_xlfn.LOGNORM.INV(RAND(),MV3,Sigma2),MIN(MaxMultiple,Xm/(1-RAND())^(1/Alpha)))))</f>
        <v>0.97577498271685326</v>
      </c>
      <c r="T113" s="19">
        <f ca="1">IF(RAND()&lt;P_Zero,0,IF(RAND()&lt;CondReturn,_xlfn.LOGNORM.INV(RAND(),MV2,Sigma1),IF(RAND()&lt;CondGood,_xlfn.LOGNORM.INV(RAND(),MV3,Sigma2),MIN(MaxMultiple,Xm/(1-RAND())^(1/Alpha)))))</f>
        <v>23.497524870666446</v>
      </c>
      <c r="U113" s="19">
        <f ca="1">IF(RAND()&lt;P_Zero,0,IF(RAND()&lt;CondReturn,_xlfn.LOGNORM.INV(RAND(),MV2,Sigma1),IF(RAND()&lt;CondGood,_xlfn.LOGNORM.INV(RAND(),MV3,Sigma2),MIN(MaxMultiple,Xm/(1-RAND())^(1/Alpha)))))</f>
        <v>0</v>
      </c>
      <c r="V113" s="19">
        <f ca="1">IF(RAND()&lt;P_Zero,0,IF(RAND()&lt;CondReturn,_xlfn.LOGNORM.INV(RAND(),MV2,Sigma1),IF(RAND()&lt;CondGood,_xlfn.LOGNORM.INV(RAND(),MV3,Sigma2),MIN(MaxMultiple,Xm/(1-RAND())^(1/Alpha)))))</f>
        <v>0.78474752392168989</v>
      </c>
      <c r="W113" s="19">
        <f ca="1">IF(RAND()&lt;P_Zero,0,IF(RAND()&lt;CondReturn,_xlfn.LOGNORM.INV(RAND(),MV2,Sigma1),IF(RAND()&lt;CondGood,_xlfn.LOGNORM.INV(RAND(),MV3,Sigma2),MIN(MaxMultiple,Xm/(1-RAND())^(1/Alpha)))))</f>
        <v>117.28597757799625</v>
      </c>
      <c r="X113" s="19">
        <f ca="1">IF(RAND()&lt;P_Zero,0,IF(RAND()&lt;CondReturn,_xlfn.LOGNORM.INV(RAND(),MV2,Sigma1),IF(RAND()&lt;CondGood,_xlfn.LOGNORM.INV(RAND(),MV3,Sigma2),MIN(MaxMultiple,Xm/(1-RAND())^(1/Alpha)))))</f>
        <v>0</v>
      </c>
      <c r="Y113" s="19">
        <f ca="1">IF(RAND()&lt;P_Zero,0,IF(RAND()&lt;CondReturn,_xlfn.LOGNORM.INV(RAND(),MV2,Sigma1),IF(RAND()&lt;CondGood,_xlfn.LOGNORM.INV(RAND(),MV3,Sigma2),MIN(MaxMultiple,Xm/(1-RAND())^(1/Alpha)))))</f>
        <v>0</v>
      </c>
      <c r="Z113" s="19">
        <f ca="1">IF(RAND()&lt;P_Zero,0,IF(RAND()&lt;CondReturn,_xlfn.LOGNORM.INV(RAND(),MV2,Sigma1),IF(RAND()&lt;CondGood,_xlfn.LOGNORM.INV(RAND(),MV3,Sigma2),MIN(MaxMultiple,Xm/(1-RAND())^(1/Alpha)))))</f>
        <v>0</v>
      </c>
      <c r="AA113" s="19">
        <f ca="1">IF(RAND()&lt;P_Zero,0,IF(RAND()&lt;CondReturn,_xlfn.LOGNORM.INV(RAND(),MV2,Sigma1),IF(RAND()&lt;CondGood,_xlfn.LOGNORM.INV(RAND(),MV3,Sigma2),MIN(MaxMultiple,Xm/(1-RAND())^(1/Alpha)))))</f>
        <v>0</v>
      </c>
      <c r="AB113" s="19">
        <f t="shared" ca="1" si="8"/>
        <v>6.7128266720574086</v>
      </c>
      <c r="AC113" s="14">
        <f t="shared" ca="1" si="9"/>
        <v>322215680.25875562</v>
      </c>
      <c r="AD113" s="14">
        <f t="shared" ca="1" si="10"/>
        <v>274215680.25875562</v>
      </c>
      <c r="AE113" s="14">
        <f t="shared" si="11"/>
        <v>55628399.869093813</v>
      </c>
      <c r="AF113" s="14">
        <f t="shared" ca="1" si="12"/>
        <v>218587280.38966182</v>
      </c>
      <c r="AG113" s="14">
        <f t="shared" ca="1" si="13"/>
        <v>43717456.077932365</v>
      </c>
      <c r="AH113" s="14">
        <f t="shared" ca="1" si="14"/>
        <v>278498224.18082327</v>
      </c>
      <c r="AI113" s="19">
        <f t="shared" ca="1" si="15"/>
        <v>4.6416370696803879</v>
      </c>
    </row>
    <row r="114" spans="2:35" x14ac:dyDescent="0.2">
      <c r="B114" s="1">
        <v>109</v>
      </c>
      <c r="C114" s="19">
        <f ca="1">IF(RAND()&lt;P_Zero,0,IF(RAND()&lt;CondReturn,_xlfn.LOGNORM.INV(RAND(),MV2,Sigma1),IF(RAND()&lt;CondGood,_xlfn.LOGNORM.INV(RAND(),MV3,Sigma2),MIN(MaxMultiple,Xm/(1-RAND())^(1/Alpha)))))</f>
        <v>0.99147062131092534</v>
      </c>
      <c r="D114" s="19">
        <f ca="1">IF(RAND()&lt;P_Zero,0,IF(RAND()&lt;CondReturn,_xlfn.LOGNORM.INV(RAND(),MV2,Sigma1),IF(RAND()&lt;CondGood,_xlfn.LOGNORM.INV(RAND(),MV3,Sigma2),MIN(MaxMultiple,Xm/(1-RAND())^(1/Alpha)))))</f>
        <v>0.67017778946587181</v>
      </c>
      <c r="E114" s="19">
        <f ca="1">IF(RAND()&lt;P_Zero,0,IF(RAND()&lt;CondReturn,_xlfn.LOGNORM.INV(RAND(),MV2,Sigma1),IF(RAND()&lt;CondGood,_xlfn.LOGNORM.INV(RAND(),MV3,Sigma2),MIN(MaxMultiple,Xm/(1-RAND())^(1/Alpha)))))</f>
        <v>1.2466079451500314</v>
      </c>
      <c r="F114" s="19">
        <f ca="1">IF(RAND()&lt;P_Zero,0,IF(RAND()&lt;CondReturn,_xlfn.LOGNORM.INV(RAND(),MV2,Sigma1),IF(RAND()&lt;CondGood,_xlfn.LOGNORM.INV(RAND(),MV3,Sigma2),MIN(MaxMultiple,Xm/(1-RAND())^(1/Alpha)))))</f>
        <v>0</v>
      </c>
      <c r="G114" s="19">
        <f ca="1">IF(RAND()&lt;P_Zero,0,IF(RAND()&lt;CondReturn,_xlfn.LOGNORM.INV(RAND(),MV2,Sigma1),IF(RAND()&lt;CondGood,_xlfn.LOGNORM.INV(RAND(),MV3,Sigma2),MIN(MaxMultiple,Xm/(1-RAND())^(1/Alpha)))))</f>
        <v>1.7662941081185992</v>
      </c>
      <c r="H114" s="19">
        <f ca="1">IF(RAND()&lt;P_Zero,0,IF(RAND()&lt;CondReturn,_xlfn.LOGNORM.INV(RAND(),MV2,Sigma1),IF(RAND()&lt;CondGood,_xlfn.LOGNORM.INV(RAND(),MV3,Sigma2),MIN(MaxMultiple,Xm/(1-RAND())^(1/Alpha)))))</f>
        <v>11.387272270423891</v>
      </c>
      <c r="I114" s="19">
        <f ca="1">IF(RAND()&lt;P_Zero,0,IF(RAND()&lt;CondReturn,_xlfn.LOGNORM.INV(RAND(),MV2,Sigma1),IF(RAND()&lt;CondGood,_xlfn.LOGNORM.INV(RAND(),MV3,Sigma2),MIN(MaxMultiple,Xm/(1-RAND())^(1/Alpha)))))</f>
        <v>0</v>
      </c>
      <c r="J114" s="19">
        <f ca="1">IF(RAND()&lt;P_Zero,0,IF(RAND()&lt;CondReturn,_xlfn.LOGNORM.INV(RAND(),MV2,Sigma1),IF(RAND()&lt;CondGood,_xlfn.LOGNORM.INV(RAND(),MV3,Sigma2),MIN(MaxMultiple,Xm/(1-RAND())^(1/Alpha)))))</f>
        <v>0.52971387559854488</v>
      </c>
      <c r="K114" s="19">
        <f ca="1">IF(RAND()&lt;P_Zero,0,IF(RAND()&lt;CondReturn,_xlfn.LOGNORM.INV(RAND(),MV2,Sigma1),IF(RAND()&lt;CondGood,_xlfn.LOGNORM.INV(RAND(),MV3,Sigma2),MIN(MaxMultiple,Xm/(1-RAND())^(1/Alpha)))))</f>
        <v>0</v>
      </c>
      <c r="L114" s="19">
        <f ca="1">IF(RAND()&lt;P_Zero,0,IF(RAND()&lt;CondReturn,_xlfn.LOGNORM.INV(RAND(),MV2,Sigma1),IF(RAND()&lt;CondGood,_xlfn.LOGNORM.INV(RAND(),MV3,Sigma2),MIN(MaxMultiple,Xm/(1-RAND())^(1/Alpha)))))</f>
        <v>0</v>
      </c>
      <c r="M114" s="19">
        <f ca="1">IF(RAND()&lt;P_Zero,0,IF(RAND()&lt;CondReturn,_xlfn.LOGNORM.INV(RAND(),MV2,Sigma1),IF(RAND()&lt;CondGood,_xlfn.LOGNORM.INV(RAND(),MV3,Sigma2),MIN(MaxMultiple,Xm/(1-RAND())^(1/Alpha)))))</f>
        <v>1.9546518078854638</v>
      </c>
      <c r="N114" s="19">
        <f ca="1">IF(RAND()&lt;P_Zero,0,IF(RAND()&lt;CondReturn,_xlfn.LOGNORM.INV(RAND(),MV2,Sigma1),IF(RAND()&lt;CondGood,_xlfn.LOGNORM.INV(RAND(),MV3,Sigma2),MIN(MaxMultiple,Xm/(1-RAND())^(1/Alpha)))))</f>
        <v>0.49339315417769009</v>
      </c>
      <c r="O114" s="19">
        <f ca="1">IF(RAND()&lt;P_Zero,0,IF(RAND()&lt;CondReturn,_xlfn.LOGNORM.INV(RAND(),MV2,Sigma1),IF(RAND()&lt;CondGood,_xlfn.LOGNORM.INV(RAND(),MV3,Sigma2),MIN(MaxMultiple,Xm/(1-RAND())^(1/Alpha)))))</f>
        <v>0</v>
      </c>
      <c r="P114" s="19">
        <f ca="1">IF(RAND()&lt;P_Zero,0,IF(RAND()&lt;CondReturn,_xlfn.LOGNORM.INV(RAND(),MV2,Sigma1),IF(RAND()&lt;CondGood,_xlfn.LOGNORM.INV(RAND(),MV3,Sigma2),MIN(MaxMultiple,Xm/(1-RAND())^(1/Alpha)))))</f>
        <v>0</v>
      </c>
      <c r="Q114" s="19">
        <f ca="1">IF(RAND()&lt;P_Zero,0,IF(RAND()&lt;CondReturn,_xlfn.LOGNORM.INV(RAND(),MV2,Sigma1),IF(RAND()&lt;CondGood,_xlfn.LOGNORM.INV(RAND(),MV3,Sigma2),MIN(MaxMultiple,Xm/(1-RAND())^(1/Alpha)))))</f>
        <v>0.41312275596522935</v>
      </c>
      <c r="R114" s="19">
        <f ca="1">IF(RAND()&lt;P_Zero,0,IF(RAND()&lt;CondReturn,_xlfn.LOGNORM.INV(RAND(),MV2,Sigma1),IF(RAND()&lt;CondGood,_xlfn.LOGNORM.INV(RAND(),MV3,Sigma2),MIN(MaxMultiple,Xm/(1-RAND())^(1/Alpha)))))</f>
        <v>0</v>
      </c>
      <c r="S114" s="19">
        <f ca="1">IF(RAND()&lt;P_Zero,0,IF(RAND()&lt;CondReturn,_xlfn.LOGNORM.INV(RAND(),MV2,Sigma1),IF(RAND()&lt;CondGood,_xlfn.LOGNORM.INV(RAND(),MV3,Sigma2),MIN(MaxMultiple,Xm/(1-RAND())^(1/Alpha)))))</f>
        <v>0.56615847517180617</v>
      </c>
      <c r="T114" s="19">
        <f ca="1">IF(RAND()&lt;P_Zero,0,IF(RAND()&lt;CondReturn,_xlfn.LOGNORM.INV(RAND(),MV2,Sigma1),IF(RAND()&lt;CondGood,_xlfn.LOGNORM.INV(RAND(),MV3,Sigma2),MIN(MaxMultiple,Xm/(1-RAND())^(1/Alpha)))))</f>
        <v>0</v>
      </c>
      <c r="U114" s="19">
        <f ca="1">IF(RAND()&lt;P_Zero,0,IF(RAND()&lt;CondReturn,_xlfn.LOGNORM.INV(RAND(),MV2,Sigma1),IF(RAND()&lt;CondGood,_xlfn.LOGNORM.INV(RAND(),MV3,Sigma2),MIN(MaxMultiple,Xm/(1-RAND())^(1/Alpha)))))</f>
        <v>2.2609134550316075</v>
      </c>
      <c r="V114" s="19">
        <f ca="1">IF(RAND()&lt;P_Zero,0,IF(RAND()&lt;CondReturn,_xlfn.LOGNORM.INV(RAND(),MV2,Sigma1),IF(RAND()&lt;CondGood,_xlfn.LOGNORM.INV(RAND(),MV3,Sigma2),MIN(MaxMultiple,Xm/(1-RAND())^(1/Alpha)))))</f>
        <v>0.98606474527690391</v>
      </c>
      <c r="W114" s="19">
        <f ca="1">IF(RAND()&lt;P_Zero,0,IF(RAND()&lt;CondReturn,_xlfn.LOGNORM.INV(RAND(),MV2,Sigma1),IF(RAND()&lt;CondGood,_xlfn.LOGNORM.INV(RAND(),MV3,Sigma2),MIN(MaxMultiple,Xm/(1-RAND())^(1/Alpha)))))</f>
        <v>0</v>
      </c>
      <c r="X114" s="19">
        <f ca="1">IF(RAND()&lt;P_Zero,0,IF(RAND()&lt;CondReturn,_xlfn.LOGNORM.INV(RAND(),MV2,Sigma1),IF(RAND()&lt;CondGood,_xlfn.LOGNORM.INV(RAND(),MV3,Sigma2),MIN(MaxMultiple,Xm/(1-RAND())^(1/Alpha)))))</f>
        <v>0.84836193451239805</v>
      </c>
      <c r="Y114" s="19">
        <f ca="1">IF(RAND()&lt;P_Zero,0,IF(RAND()&lt;CondReturn,_xlfn.LOGNORM.INV(RAND(),MV2,Sigma1),IF(RAND()&lt;CondGood,_xlfn.LOGNORM.INV(RAND(),MV3,Sigma2),MIN(MaxMultiple,Xm/(1-RAND())^(1/Alpha)))))</f>
        <v>0</v>
      </c>
      <c r="Z114" s="19">
        <f ca="1">IF(RAND()&lt;P_Zero,0,IF(RAND()&lt;CondReturn,_xlfn.LOGNORM.INV(RAND(),MV2,Sigma1),IF(RAND()&lt;CondGood,_xlfn.LOGNORM.INV(RAND(),MV3,Sigma2),MIN(MaxMultiple,Xm/(1-RAND())^(1/Alpha)))))</f>
        <v>0.59091401055997983</v>
      </c>
      <c r="AA114" s="19">
        <f ca="1">IF(RAND()&lt;P_Zero,0,IF(RAND()&lt;CondReturn,_xlfn.LOGNORM.INV(RAND(),MV2,Sigma1),IF(RAND()&lt;CondGood,_xlfn.LOGNORM.INV(RAND(),MV3,Sigma2),MIN(MaxMultiple,Xm/(1-RAND())^(1/Alpha)))))</f>
        <v>1.0041664829911949</v>
      </c>
      <c r="AB114" s="19">
        <f t="shared" ca="1" si="8"/>
        <v>1.0283713372656056</v>
      </c>
      <c r="AC114" s="14">
        <f t="shared" ca="1" si="9"/>
        <v>49361824.188749067</v>
      </c>
      <c r="AD114" s="14">
        <f t="shared" ca="1" si="10"/>
        <v>1361824.1887490675</v>
      </c>
      <c r="AE114" s="14">
        <f t="shared" si="11"/>
        <v>55628399.869093813</v>
      </c>
      <c r="AF114" s="14">
        <f t="shared" ca="1" si="12"/>
        <v>0</v>
      </c>
      <c r="AG114" s="14">
        <f t="shared" ca="1" si="13"/>
        <v>0</v>
      </c>
      <c r="AH114" s="14">
        <f t="shared" ca="1" si="14"/>
        <v>49361824.188749067</v>
      </c>
      <c r="AI114" s="19">
        <f t="shared" ca="1" si="15"/>
        <v>0.82269706981248447</v>
      </c>
    </row>
    <row r="115" spans="2:35" x14ac:dyDescent="0.2">
      <c r="B115" s="1">
        <v>110</v>
      </c>
      <c r="C115" s="19">
        <f ca="1">IF(RAND()&lt;P_Zero,0,IF(RAND()&lt;CondReturn,_xlfn.LOGNORM.INV(RAND(),MV2,Sigma1),IF(RAND()&lt;CondGood,_xlfn.LOGNORM.INV(RAND(),MV3,Sigma2),MIN(MaxMultiple,Xm/(1-RAND())^(1/Alpha)))))</f>
        <v>0.7975995708553183</v>
      </c>
      <c r="D115" s="19">
        <f ca="1">IF(RAND()&lt;P_Zero,0,IF(RAND()&lt;CondReturn,_xlfn.LOGNORM.INV(RAND(),MV2,Sigma1),IF(RAND()&lt;CondGood,_xlfn.LOGNORM.INV(RAND(),MV3,Sigma2),MIN(MaxMultiple,Xm/(1-RAND())^(1/Alpha)))))</f>
        <v>0.50721076305336554</v>
      </c>
      <c r="E115" s="19">
        <f ca="1">IF(RAND()&lt;P_Zero,0,IF(RAND()&lt;CondReturn,_xlfn.LOGNORM.INV(RAND(),MV2,Sigma1),IF(RAND()&lt;CondGood,_xlfn.LOGNORM.INV(RAND(),MV3,Sigma2),MIN(MaxMultiple,Xm/(1-RAND())^(1/Alpha)))))</f>
        <v>1.6957746751520688</v>
      </c>
      <c r="F115" s="19">
        <f ca="1">IF(RAND()&lt;P_Zero,0,IF(RAND()&lt;CondReturn,_xlfn.LOGNORM.INV(RAND(),MV2,Sigma1),IF(RAND()&lt;CondGood,_xlfn.LOGNORM.INV(RAND(),MV3,Sigma2),MIN(MaxMultiple,Xm/(1-RAND())^(1/Alpha)))))</f>
        <v>0.89097024654821955</v>
      </c>
      <c r="G115" s="19">
        <f ca="1">IF(RAND()&lt;P_Zero,0,IF(RAND()&lt;CondReturn,_xlfn.LOGNORM.INV(RAND(),MV2,Sigma1),IF(RAND()&lt;CondGood,_xlfn.LOGNORM.INV(RAND(),MV3,Sigma2),MIN(MaxMultiple,Xm/(1-RAND())^(1/Alpha)))))</f>
        <v>0</v>
      </c>
      <c r="H115" s="19">
        <f ca="1">IF(RAND()&lt;P_Zero,0,IF(RAND()&lt;CondReturn,_xlfn.LOGNORM.INV(RAND(),MV2,Sigma1),IF(RAND()&lt;CondGood,_xlfn.LOGNORM.INV(RAND(),MV3,Sigma2),MIN(MaxMultiple,Xm/(1-RAND())^(1/Alpha)))))</f>
        <v>0</v>
      </c>
      <c r="I115" s="19">
        <f ca="1">IF(RAND()&lt;P_Zero,0,IF(RAND()&lt;CondReturn,_xlfn.LOGNORM.INV(RAND(),MV2,Sigma1),IF(RAND()&lt;CondGood,_xlfn.LOGNORM.INV(RAND(),MV3,Sigma2),MIN(MaxMultiple,Xm/(1-RAND())^(1/Alpha)))))</f>
        <v>181.89542701649248</v>
      </c>
      <c r="J115" s="19">
        <f ca="1">IF(RAND()&lt;P_Zero,0,IF(RAND()&lt;CondReturn,_xlfn.LOGNORM.INV(RAND(),MV2,Sigma1),IF(RAND()&lt;CondGood,_xlfn.LOGNORM.INV(RAND(),MV3,Sigma2),MIN(MaxMultiple,Xm/(1-RAND())^(1/Alpha)))))</f>
        <v>0.81115755526201627</v>
      </c>
      <c r="K115" s="19">
        <f ca="1">IF(RAND()&lt;P_Zero,0,IF(RAND()&lt;CondReturn,_xlfn.LOGNORM.INV(RAND(),MV2,Sigma1),IF(RAND()&lt;CondGood,_xlfn.LOGNORM.INV(RAND(),MV3,Sigma2),MIN(MaxMultiple,Xm/(1-RAND())^(1/Alpha)))))</f>
        <v>2.1869720355760291</v>
      </c>
      <c r="L115" s="19">
        <f ca="1">IF(RAND()&lt;P_Zero,0,IF(RAND()&lt;CondReturn,_xlfn.LOGNORM.INV(RAND(),MV2,Sigma1),IF(RAND()&lt;CondGood,_xlfn.LOGNORM.INV(RAND(),MV3,Sigma2),MIN(MaxMultiple,Xm/(1-RAND())^(1/Alpha)))))</f>
        <v>1.3239685960047844</v>
      </c>
      <c r="M115" s="19">
        <f ca="1">IF(RAND()&lt;P_Zero,0,IF(RAND()&lt;CondReturn,_xlfn.LOGNORM.INV(RAND(),MV2,Sigma1),IF(RAND()&lt;CondGood,_xlfn.LOGNORM.INV(RAND(),MV3,Sigma2),MIN(MaxMultiple,Xm/(1-RAND())^(1/Alpha)))))</f>
        <v>0.66959765731504128</v>
      </c>
      <c r="N115" s="19">
        <f ca="1">IF(RAND()&lt;P_Zero,0,IF(RAND()&lt;CondReturn,_xlfn.LOGNORM.INV(RAND(),MV2,Sigma1),IF(RAND()&lt;CondGood,_xlfn.LOGNORM.INV(RAND(),MV3,Sigma2),MIN(MaxMultiple,Xm/(1-RAND())^(1/Alpha)))))</f>
        <v>1.4672479567425407</v>
      </c>
      <c r="O115" s="19">
        <f ca="1">IF(RAND()&lt;P_Zero,0,IF(RAND()&lt;CondReturn,_xlfn.LOGNORM.INV(RAND(),MV2,Sigma1),IF(RAND()&lt;CondGood,_xlfn.LOGNORM.INV(RAND(),MV3,Sigma2),MIN(MaxMultiple,Xm/(1-RAND())^(1/Alpha)))))</f>
        <v>0.68004086707067002</v>
      </c>
      <c r="P115" s="19">
        <f ca="1">IF(RAND()&lt;P_Zero,0,IF(RAND()&lt;CondReturn,_xlfn.LOGNORM.INV(RAND(),MV2,Sigma1),IF(RAND()&lt;CondGood,_xlfn.LOGNORM.INV(RAND(),MV3,Sigma2),MIN(MaxMultiple,Xm/(1-RAND())^(1/Alpha)))))</f>
        <v>0</v>
      </c>
      <c r="Q115" s="19">
        <f ca="1">IF(RAND()&lt;P_Zero,0,IF(RAND()&lt;CondReturn,_xlfn.LOGNORM.INV(RAND(),MV2,Sigma1),IF(RAND()&lt;CondGood,_xlfn.LOGNORM.INV(RAND(),MV3,Sigma2),MIN(MaxMultiple,Xm/(1-RAND())^(1/Alpha)))))</f>
        <v>0</v>
      </c>
      <c r="R115" s="19">
        <f ca="1">IF(RAND()&lt;P_Zero,0,IF(RAND()&lt;CondReturn,_xlfn.LOGNORM.INV(RAND(),MV2,Sigma1),IF(RAND()&lt;CondGood,_xlfn.LOGNORM.INV(RAND(),MV3,Sigma2),MIN(MaxMultiple,Xm/(1-RAND())^(1/Alpha)))))</f>
        <v>0.79863603177508524</v>
      </c>
      <c r="S115" s="19">
        <f ca="1">IF(RAND()&lt;P_Zero,0,IF(RAND()&lt;CondReturn,_xlfn.LOGNORM.INV(RAND(),MV2,Sigma1),IF(RAND()&lt;CondGood,_xlfn.LOGNORM.INV(RAND(),MV3,Sigma2),MIN(MaxMultiple,Xm/(1-RAND())^(1/Alpha)))))</f>
        <v>0.51545580000896074</v>
      </c>
      <c r="T115" s="19">
        <f ca="1">IF(RAND()&lt;P_Zero,0,IF(RAND()&lt;CondReturn,_xlfn.LOGNORM.INV(RAND(),MV2,Sigma1),IF(RAND()&lt;CondGood,_xlfn.LOGNORM.INV(RAND(),MV3,Sigma2),MIN(MaxMultiple,Xm/(1-RAND())^(1/Alpha)))))</f>
        <v>0.61760447012809461</v>
      </c>
      <c r="U115" s="19">
        <f ca="1">IF(RAND()&lt;P_Zero,0,IF(RAND()&lt;CondReturn,_xlfn.LOGNORM.INV(RAND(),MV2,Sigma1),IF(RAND()&lt;CondGood,_xlfn.LOGNORM.INV(RAND(),MV3,Sigma2),MIN(MaxMultiple,Xm/(1-RAND())^(1/Alpha)))))</f>
        <v>0</v>
      </c>
      <c r="V115" s="19">
        <f ca="1">IF(RAND()&lt;P_Zero,0,IF(RAND()&lt;CondReturn,_xlfn.LOGNORM.INV(RAND(),MV2,Sigma1),IF(RAND()&lt;CondGood,_xlfn.LOGNORM.INV(RAND(),MV3,Sigma2),MIN(MaxMultiple,Xm/(1-RAND())^(1/Alpha)))))</f>
        <v>1.0074201112939363</v>
      </c>
      <c r="W115" s="19">
        <f ca="1">IF(RAND()&lt;P_Zero,0,IF(RAND()&lt;CondReturn,_xlfn.LOGNORM.INV(RAND(),MV2,Sigma1),IF(RAND()&lt;CondGood,_xlfn.LOGNORM.INV(RAND(),MV3,Sigma2),MIN(MaxMultiple,Xm/(1-RAND())^(1/Alpha)))))</f>
        <v>0</v>
      </c>
      <c r="X115" s="19">
        <f ca="1">IF(RAND()&lt;P_Zero,0,IF(RAND()&lt;CondReturn,_xlfn.LOGNORM.INV(RAND(),MV2,Sigma1),IF(RAND()&lt;CondGood,_xlfn.LOGNORM.INV(RAND(),MV3,Sigma2),MIN(MaxMultiple,Xm/(1-RAND())^(1/Alpha)))))</f>
        <v>0</v>
      </c>
      <c r="Y115" s="19">
        <f ca="1">IF(RAND()&lt;P_Zero,0,IF(RAND()&lt;CondReturn,_xlfn.LOGNORM.INV(RAND(),MV2,Sigma1),IF(RAND()&lt;CondGood,_xlfn.LOGNORM.INV(RAND(),MV3,Sigma2),MIN(MaxMultiple,Xm/(1-RAND())^(1/Alpha)))))</f>
        <v>1.1247911968320714</v>
      </c>
      <c r="Z115" s="19">
        <f ca="1">IF(RAND()&lt;P_Zero,0,IF(RAND()&lt;CondReturn,_xlfn.LOGNORM.INV(RAND(),MV2,Sigma1),IF(RAND()&lt;CondGood,_xlfn.LOGNORM.INV(RAND(),MV3,Sigma2),MIN(MaxMultiple,Xm/(1-RAND())^(1/Alpha)))))</f>
        <v>16.514260440607764</v>
      </c>
      <c r="AA115" s="19">
        <f ca="1">IF(RAND()&lt;P_Zero,0,IF(RAND()&lt;CondReturn,_xlfn.LOGNORM.INV(RAND(),MV2,Sigma1),IF(RAND()&lt;CondGood,_xlfn.LOGNORM.INV(RAND(),MV3,Sigma2),MIN(MaxMultiple,Xm/(1-RAND())^(1/Alpha)))))</f>
        <v>1.4712597022473806</v>
      </c>
      <c r="AB115" s="19">
        <f t="shared" ca="1" si="8"/>
        <v>8.5990157877186331</v>
      </c>
      <c r="AC115" s="14">
        <f t="shared" ca="1" si="9"/>
        <v>412752757.81049436</v>
      </c>
      <c r="AD115" s="14">
        <f t="shared" ca="1" si="10"/>
        <v>364752757.81049436</v>
      </c>
      <c r="AE115" s="14">
        <f t="shared" si="11"/>
        <v>55628399.869093813</v>
      </c>
      <c r="AF115" s="14">
        <f t="shared" ca="1" si="12"/>
        <v>309124357.94140053</v>
      </c>
      <c r="AG115" s="14">
        <f t="shared" ca="1" si="13"/>
        <v>61824871.588280112</v>
      </c>
      <c r="AH115" s="14">
        <f t="shared" ca="1" si="14"/>
        <v>350927886.22221422</v>
      </c>
      <c r="AI115" s="19">
        <f t="shared" ca="1" si="15"/>
        <v>5.8487981037035706</v>
      </c>
    </row>
    <row r="116" spans="2:35" x14ac:dyDescent="0.2">
      <c r="B116" s="1">
        <v>111</v>
      </c>
      <c r="C116" s="19">
        <f ca="1">IF(RAND()&lt;P_Zero,0,IF(RAND()&lt;CondReturn,_xlfn.LOGNORM.INV(RAND(),MV2,Sigma1),IF(RAND()&lt;CondGood,_xlfn.LOGNORM.INV(RAND(),MV3,Sigma2),MIN(MaxMultiple,Xm/(1-RAND())^(1/Alpha)))))</f>
        <v>0</v>
      </c>
      <c r="D116" s="19">
        <f ca="1">IF(RAND()&lt;P_Zero,0,IF(RAND()&lt;CondReturn,_xlfn.LOGNORM.INV(RAND(),MV2,Sigma1),IF(RAND()&lt;CondGood,_xlfn.LOGNORM.INV(RAND(),MV3,Sigma2),MIN(MaxMultiple,Xm/(1-RAND())^(1/Alpha)))))</f>
        <v>0</v>
      </c>
      <c r="E116" s="19">
        <f ca="1">IF(RAND()&lt;P_Zero,0,IF(RAND()&lt;CondReturn,_xlfn.LOGNORM.INV(RAND(),MV2,Sigma1),IF(RAND()&lt;CondGood,_xlfn.LOGNORM.INV(RAND(),MV3,Sigma2),MIN(MaxMultiple,Xm/(1-RAND())^(1/Alpha)))))</f>
        <v>1.3124315691306536</v>
      </c>
      <c r="F116" s="19">
        <f ca="1">IF(RAND()&lt;P_Zero,0,IF(RAND()&lt;CondReturn,_xlfn.LOGNORM.INV(RAND(),MV2,Sigma1),IF(RAND()&lt;CondGood,_xlfn.LOGNORM.INV(RAND(),MV3,Sigma2),MIN(MaxMultiple,Xm/(1-RAND())^(1/Alpha)))))</f>
        <v>0</v>
      </c>
      <c r="G116" s="19">
        <f ca="1">IF(RAND()&lt;P_Zero,0,IF(RAND()&lt;CondReturn,_xlfn.LOGNORM.INV(RAND(),MV2,Sigma1),IF(RAND()&lt;CondGood,_xlfn.LOGNORM.INV(RAND(),MV3,Sigma2),MIN(MaxMultiple,Xm/(1-RAND())^(1/Alpha)))))</f>
        <v>0</v>
      </c>
      <c r="H116" s="19">
        <f ca="1">IF(RAND()&lt;P_Zero,0,IF(RAND()&lt;CondReturn,_xlfn.LOGNORM.INV(RAND(),MV2,Sigma1),IF(RAND()&lt;CondGood,_xlfn.LOGNORM.INV(RAND(),MV3,Sigma2),MIN(MaxMultiple,Xm/(1-RAND())^(1/Alpha)))))</f>
        <v>0</v>
      </c>
      <c r="I116" s="19">
        <f ca="1">IF(RAND()&lt;P_Zero,0,IF(RAND()&lt;CondReturn,_xlfn.LOGNORM.INV(RAND(),MV2,Sigma1),IF(RAND()&lt;CondGood,_xlfn.LOGNORM.INV(RAND(),MV3,Sigma2),MIN(MaxMultiple,Xm/(1-RAND())^(1/Alpha)))))</f>
        <v>0.6937254151319372</v>
      </c>
      <c r="J116" s="19">
        <f ca="1">IF(RAND()&lt;P_Zero,0,IF(RAND()&lt;CondReturn,_xlfn.LOGNORM.INV(RAND(),MV2,Sigma1),IF(RAND()&lt;CondGood,_xlfn.LOGNORM.INV(RAND(),MV3,Sigma2),MIN(MaxMultiple,Xm/(1-RAND())^(1/Alpha)))))</f>
        <v>0</v>
      </c>
      <c r="K116" s="19">
        <f ca="1">IF(RAND()&lt;P_Zero,0,IF(RAND()&lt;CondReturn,_xlfn.LOGNORM.INV(RAND(),MV2,Sigma1),IF(RAND()&lt;CondGood,_xlfn.LOGNORM.INV(RAND(),MV3,Sigma2),MIN(MaxMultiple,Xm/(1-RAND())^(1/Alpha)))))</f>
        <v>0</v>
      </c>
      <c r="L116" s="19">
        <f ca="1">IF(RAND()&lt;P_Zero,0,IF(RAND()&lt;CondReturn,_xlfn.LOGNORM.INV(RAND(),MV2,Sigma1),IF(RAND()&lt;CondGood,_xlfn.LOGNORM.INV(RAND(),MV3,Sigma2),MIN(MaxMultiple,Xm/(1-RAND())^(1/Alpha)))))</f>
        <v>0</v>
      </c>
      <c r="M116" s="19">
        <f ca="1">IF(RAND()&lt;P_Zero,0,IF(RAND()&lt;CondReturn,_xlfn.LOGNORM.INV(RAND(),MV2,Sigma1),IF(RAND()&lt;CondGood,_xlfn.LOGNORM.INV(RAND(),MV3,Sigma2),MIN(MaxMultiple,Xm/(1-RAND())^(1/Alpha)))))</f>
        <v>18.600815212632128</v>
      </c>
      <c r="N116" s="19">
        <f ca="1">IF(RAND()&lt;P_Zero,0,IF(RAND()&lt;CondReturn,_xlfn.LOGNORM.INV(RAND(),MV2,Sigma1),IF(RAND()&lt;CondGood,_xlfn.LOGNORM.INV(RAND(),MV3,Sigma2),MIN(MaxMultiple,Xm/(1-RAND())^(1/Alpha)))))</f>
        <v>1.4119150048703595</v>
      </c>
      <c r="O116" s="19">
        <f ca="1">IF(RAND()&lt;P_Zero,0,IF(RAND()&lt;CondReturn,_xlfn.LOGNORM.INV(RAND(),MV2,Sigma1),IF(RAND()&lt;CondGood,_xlfn.LOGNORM.INV(RAND(),MV3,Sigma2),MIN(MaxMultiple,Xm/(1-RAND())^(1/Alpha)))))</f>
        <v>0.48639759267901517</v>
      </c>
      <c r="P116" s="19">
        <f ca="1">IF(RAND()&lt;P_Zero,0,IF(RAND()&lt;CondReturn,_xlfn.LOGNORM.INV(RAND(),MV2,Sigma1),IF(RAND()&lt;CondGood,_xlfn.LOGNORM.INV(RAND(),MV3,Sigma2),MIN(MaxMultiple,Xm/(1-RAND())^(1/Alpha)))))</f>
        <v>0</v>
      </c>
      <c r="Q116" s="19">
        <f ca="1">IF(RAND()&lt;P_Zero,0,IF(RAND()&lt;CondReturn,_xlfn.LOGNORM.INV(RAND(),MV2,Sigma1),IF(RAND()&lt;CondGood,_xlfn.LOGNORM.INV(RAND(),MV3,Sigma2),MIN(MaxMultiple,Xm/(1-RAND())^(1/Alpha)))))</f>
        <v>1.0357802180662752</v>
      </c>
      <c r="R116" s="19">
        <f ca="1">IF(RAND()&lt;P_Zero,0,IF(RAND()&lt;CondReturn,_xlfn.LOGNORM.INV(RAND(),MV2,Sigma1),IF(RAND()&lt;CondGood,_xlfn.LOGNORM.INV(RAND(),MV3,Sigma2),MIN(MaxMultiple,Xm/(1-RAND())^(1/Alpha)))))</f>
        <v>11.352479417779028</v>
      </c>
      <c r="S116" s="19">
        <f ca="1">IF(RAND()&lt;P_Zero,0,IF(RAND()&lt;CondReturn,_xlfn.LOGNORM.INV(RAND(),MV2,Sigma1),IF(RAND()&lt;CondGood,_xlfn.LOGNORM.INV(RAND(),MV3,Sigma2),MIN(MaxMultiple,Xm/(1-RAND())^(1/Alpha)))))</f>
        <v>1.4361348860526135</v>
      </c>
      <c r="T116" s="19">
        <f ca="1">IF(RAND()&lt;P_Zero,0,IF(RAND()&lt;CondReturn,_xlfn.LOGNORM.INV(RAND(),MV2,Sigma1),IF(RAND()&lt;CondGood,_xlfn.LOGNORM.INV(RAND(),MV3,Sigma2),MIN(MaxMultiple,Xm/(1-RAND())^(1/Alpha)))))</f>
        <v>0</v>
      </c>
      <c r="U116" s="19">
        <f ca="1">IF(RAND()&lt;P_Zero,0,IF(RAND()&lt;CondReturn,_xlfn.LOGNORM.INV(RAND(),MV2,Sigma1),IF(RAND()&lt;CondGood,_xlfn.LOGNORM.INV(RAND(),MV3,Sigma2),MIN(MaxMultiple,Xm/(1-RAND())^(1/Alpha)))))</f>
        <v>0.92156114900826924</v>
      </c>
      <c r="V116" s="19">
        <f ca="1">IF(RAND()&lt;P_Zero,0,IF(RAND()&lt;CondReturn,_xlfn.LOGNORM.INV(RAND(),MV2,Sigma1),IF(RAND()&lt;CondGood,_xlfn.LOGNORM.INV(RAND(),MV3,Sigma2),MIN(MaxMultiple,Xm/(1-RAND())^(1/Alpha)))))</f>
        <v>0.35377428429427382</v>
      </c>
      <c r="W116" s="19">
        <f ca="1">IF(RAND()&lt;P_Zero,0,IF(RAND()&lt;CondReturn,_xlfn.LOGNORM.INV(RAND(),MV2,Sigma1),IF(RAND()&lt;CondGood,_xlfn.LOGNORM.INV(RAND(),MV3,Sigma2),MIN(MaxMultiple,Xm/(1-RAND())^(1/Alpha)))))</f>
        <v>91.414191619430611</v>
      </c>
      <c r="X116" s="19">
        <f ca="1">IF(RAND()&lt;P_Zero,0,IF(RAND()&lt;CondReturn,_xlfn.LOGNORM.INV(RAND(),MV2,Sigma1),IF(RAND()&lt;CondGood,_xlfn.LOGNORM.INV(RAND(),MV3,Sigma2),MIN(MaxMultiple,Xm/(1-RAND())^(1/Alpha)))))</f>
        <v>0.46184161657623762</v>
      </c>
      <c r="Y116" s="19">
        <f ca="1">IF(RAND()&lt;P_Zero,0,IF(RAND()&lt;CondReturn,_xlfn.LOGNORM.INV(RAND(),MV2,Sigma1),IF(RAND()&lt;CondGood,_xlfn.LOGNORM.INV(RAND(),MV3,Sigma2),MIN(MaxMultiple,Xm/(1-RAND())^(1/Alpha)))))</f>
        <v>0</v>
      </c>
      <c r="Z116" s="19">
        <f ca="1">IF(RAND()&lt;P_Zero,0,IF(RAND()&lt;CondReturn,_xlfn.LOGNORM.INV(RAND(),MV2,Sigma1),IF(RAND()&lt;CondGood,_xlfn.LOGNORM.INV(RAND(),MV3,Sigma2),MIN(MaxMultiple,Xm/(1-RAND())^(1/Alpha)))))</f>
        <v>0.34296526197836241</v>
      </c>
      <c r="AA116" s="19">
        <f ca="1">IF(RAND()&lt;P_Zero,0,IF(RAND()&lt;CondReturn,_xlfn.LOGNORM.INV(RAND(),MV2,Sigma1),IF(RAND()&lt;CondGood,_xlfn.LOGNORM.INV(RAND(),MV3,Sigma2),MIN(MaxMultiple,Xm/(1-RAND())^(1/Alpha)))))</f>
        <v>0</v>
      </c>
      <c r="AB116" s="19">
        <f t="shared" ca="1" si="8"/>
        <v>5.1929605299051902</v>
      </c>
      <c r="AC116" s="14">
        <f t="shared" ca="1" si="9"/>
        <v>249262105.43544912</v>
      </c>
      <c r="AD116" s="14">
        <f t="shared" ca="1" si="10"/>
        <v>201262105.43544912</v>
      </c>
      <c r="AE116" s="14">
        <f t="shared" si="11"/>
        <v>55628399.869093813</v>
      </c>
      <c r="AF116" s="14">
        <f t="shared" ca="1" si="12"/>
        <v>145633705.56635532</v>
      </c>
      <c r="AG116" s="14">
        <f t="shared" ca="1" si="13"/>
        <v>29126741.113271065</v>
      </c>
      <c r="AH116" s="14">
        <f t="shared" ca="1" si="14"/>
        <v>220135364.32217807</v>
      </c>
      <c r="AI116" s="19">
        <f t="shared" ca="1" si="15"/>
        <v>3.6689227387029679</v>
      </c>
    </row>
    <row r="117" spans="2:35" x14ac:dyDescent="0.2">
      <c r="B117" s="1">
        <v>112</v>
      </c>
      <c r="C117" s="19">
        <f ca="1">IF(RAND()&lt;P_Zero,0,IF(RAND()&lt;CondReturn,_xlfn.LOGNORM.INV(RAND(),MV2,Sigma1),IF(RAND()&lt;CondGood,_xlfn.LOGNORM.INV(RAND(),MV3,Sigma2),MIN(MaxMultiple,Xm/(1-RAND())^(1/Alpha)))))</f>
        <v>0.51026100804430541</v>
      </c>
      <c r="D117" s="19">
        <f ca="1">IF(RAND()&lt;P_Zero,0,IF(RAND()&lt;CondReturn,_xlfn.LOGNORM.INV(RAND(),MV2,Sigma1),IF(RAND()&lt;CondGood,_xlfn.LOGNORM.INV(RAND(),MV3,Sigma2),MIN(MaxMultiple,Xm/(1-RAND())^(1/Alpha)))))</f>
        <v>0</v>
      </c>
      <c r="E117" s="19">
        <f ca="1">IF(RAND()&lt;P_Zero,0,IF(RAND()&lt;CondReturn,_xlfn.LOGNORM.INV(RAND(),MV2,Sigma1),IF(RAND()&lt;CondGood,_xlfn.LOGNORM.INV(RAND(),MV3,Sigma2),MIN(MaxMultiple,Xm/(1-RAND())^(1/Alpha)))))</f>
        <v>0</v>
      </c>
      <c r="F117" s="19">
        <f ca="1">IF(RAND()&lt;P_Zero,0,IF(RAND()&lt;CondReturn,_xlfn.LOGNORM.INV(RAND(),MV2,Sigma1),IF(RAND()&lt;CondGood,_xlfn.LOGNORM.INV(RAND(),MV3,Sigma2),MIN(MaxMultiple,Xm/(1-RAND())^(1/Alpha)))))</f>
        <v>14.024081434717294</v>
      </c>
      <c r="G117" s="19">
        <f ca="1">IF(RAND()&lt;P_Zero,0,IF(RAND()&lt;CondReturn,_xlfn.LOGNORM.INV(RAND(),MV2,Sigma1),IF(RAND()&lt;CondGood,_xlfn.LOGNORM.INV(RAND(),MV3,Sigma2),MIN(MaxMultiple,Xm/(1-RAND())^(1/Alpha)))))</f>
        <v>1.6351984080388891</v>
      </c>
      <c r="H117" s="19">
        <f ca="1">IF(RAND()&lt;P_Zero,0,IF(RAND()&lt;CondReturn,_xlfn.LOGNORM.INV(RAND(),MV2,Sigma1),IF(RAND()&lt;CondGood,_xlfn.LOGNORM.INV(RAND(),MV3,Sigma2),MIN(MaxMultiple,Xm/(1-RAND())^(1/Alpha)))))</f>
        <v>0.91218010223248824</v>
      </c>
      <c r="I117" s="19">
        <f ca="1">IF(RAND()&lt;P_Zero,0,IF(RAND()&lt;CondReturn,_xlfn.LOGNORM.INV(RAND(),MV2,Sigma1),IF(RAND()&lt;CondGood,_xlfn.LOGNORM.INV(RAND(),MV3,Sigma2),MIN(MaxMultiple,Xm/(1-RAND())^(1/Alpha)))))</f>
        <v>0.59938310757801661</v>
      </c>
      <c r="J117" s="19">
        <f ca="1">IF(RAND()&lt;P_Zero,0,IF(RAND()&lt;CondReturn,_xlfn.LOGNORM.INV(RAND(),MV2,Sigma1),IF(RAND()&lt;CondGood,_xlfn.LOGNORM.INV(RAND(),MV3,Sigma2),MIN(MaxMultiple,Xm/(1-RAND())^(1/Alpha)))))</f>
        <v>0</v>
      </c>
      <c r="K117" s="19">
        <f ca="1">IF(RAND()&lt;P_Zero,0,IF(RAND()&lt;CondReturn,_xlfn.LOGNORM.INV(RAND(),MV2,Sigma1),IF(RAND()&lt;CondGood,_xlfn.LOGNORM.INV(RAND(),MV3,Sigma2),MIN(MaxMultiple,Xm/(1-RAND())^(1/Alpha)))))</f>
        <v>0.87719529168639754</v>
      </c>
      <c r="L117" s="19">
        <f ca="1">IF(RAND()&lt;P_Zero,0,IF(RAND()&lt;CondReturn,_xlfn.LOGNORM.INV(RAND(),MV2,Sigma1),IF(RAND()&lt;CondGood,_xlfn.LOGNORM.INV(RAND(),MV3,Sigma2),MIN(MaxMultiple,Xm/(1-RAND())^(1/Alpha)))))</f>
        <v>0</v>
      </c>
      <c r="M117" s="19">
        <f ca="1">IF(RAND()&lt;P_Zero,0,IF(RAND()&lt;CondReturn,_xlfn.LOGNORM.INV(RAND(),MV2,Sigma1),IF(RAND()&lt;CondGood,_xlfn.LOGNORM.INV(RAND(),MV3,Sigma2),MIN(MaxMultiple,Xm/(1-RAND())^(1/Alpha)))))</f>
        <v>1.5056211859561976</v>
      </c>
      <c r="N117" s="19">
        <f ca="1">IF(RAND()&lt;P_Zero,0,IF(RAND()&lt;CondReturn,_xlfn.LOGNORM.INV(RAND(),MV2,Sigma1),IF(RAND()&lt;CondGood,_xlfn.LOGNORM.INV(RAND(),MV3,Sigma2),MIN(MaxMultiple,Xm/(1-RAND())^(1/Alpha)))))</f>
        <v>0.5869571029509173</v>
      </c>
      <c r="O117" s="19">
        <f ca="1">IF(RAND()&lt;P_Zero,0,IF(RAND()&lt;CondReturn,_xlfn.LOGNORM.INV(RAND(),MV2,Sigma1),IF(RAND()&lt;CondGood,_xlfn.LOGNORM.INV(RAND(),MV3,Sigma2),MIN(MaxMultiple,Xm/(1-RAND())^(1/Alpha)))))</f>
        <v>0</v>
      </c>
      <c r="P117" s="19">
        <f ca="1">IF(RAND()&lt;P_Zero,0,IF(RAND()&lt;CondReturn,_xlfn.LOGNORM.INV(RAND(),MV2,Sigma1),IF(RAND()&lt;CondGood,_xlfn.LOGNORM.INV(RAND(),MV3,Sigma2),MIN(MaxMultiple,Xm/(1-RAND())^(1/Alpha)))))</f>
        <v>0.57398625480936927</v>
      </c>
      <c r="Q117" s="19">
        <f ca="1">IF(RAND()&lt;P_Zero,0,IF(RAND()&lt;CondReturn,_xlfn.LOGNORM.INV(RAND(),MV2,Sigma1),IF(RAND()&lt;CondGood,_xlfn.LOGNORM.INV(RAND(),MV3,Sigma2),MIN(MaxMultiple,Xm/(1-RAND())^(1/Alpha)))))</f>
        <v>1.0533961452572369</v>
      </c>
      <c r="R117" s="19">
        <f ca="1">IF(RAND()&lt;P_Zero,0,IF(RAND()&lt;CondReturn,_xlfn.LOGNORM.INV(RAND(),MV2,Sigma1),IF(RAND()&lt;CondGood,_xlfn.LOGNORM.INV(RAND(),MV3,Sigma2),MIN(MaxMultiple,Xm/(1-RAND())^(1/Alpha)))))</f>
        <v>0.77732680204066984</v>
      </c>
      <c r="S117" s="19">
        <f ca="1">IF(RAND()&lt;P_Zero,0,IF(RAND()&lt;CondReturn,_xlfn.LOGNORM.INV(RAND(),MV2,Sigma1),IF(RAND()&lt;CondGood,_xlfn.LOGNORM.INV(RAND(),MV3,Sigma2),MIN(MaxMultiple,Xm/(1-RAND())^(1/Alpha)))))</f>
        <v>0</v>
      </c>
      <c r="T117" s="19">
        <f ca="1">IF(RAND()&lt;P_Zero,0,IF(RAND()&lt;CondReturn,_xlfn.LOGNORM.INV(RAND(),MV2,Sigma1),IF(RAND()&lt;CondGood,_xlfn.LOGNORM.INV(RAND(),MV3,Sigma2),MIN(MaxMultiple,Xm/(1-RAND())^(1/Alpha)))))</f>
        <v>0.84946409512795129</v>
      </c>
      <c r="U117" s="19">
        <f ca="1">IF(RAND()&lt;P_Zero,0,IF(RAND()&lt;CondReturn,_xlfn.LOGNORM.INV(RAND(),MV2,Sigma1),IF(RAND()&lt;CondGood,_xlfn.LOGNORM.INV(RAND(),MV3,Sigma2),MIN(MaxMultiple,Xm/(1-RAND())^(1/Alpha)))))</f>
        <v>0.85522257515543854</v>
      </c>
      <c r="V117" s="19">
        <f ca="1">IF(RAND()&lt;P_Zero,0,IF(RAND()&lt;CondReturn,_xlfn.LOGNORM.INV(RAND(),MV2,Sigma1),IF(RAND()&lt;CondGood,_xlfn.LOGNORM.INV(RAND(),MV3,Sigma2),MIN(MaxMultiple,Xm/(1-RAND())^(1/Alpha)))))</f>
        <v>0</v>
      </c>
      <c r="W117" s="19">
        <f ca="1">IF(RAND()&lt;P_Zero,0,IF(RAND()&lt;CondReturn,_xlfn.LOGNORM.INV(RAND(),MV2,Sigma1),IF(RAND()&lt;CondGood,_xlfn.LOGNORM.INV(RAND(),MV3,Sigma2),MIN(MaxMultiple,Xm/(1-RAND())^(1/Alpha)))))</f>
        <v>1.7028385508858916</v>
      </c>
      <c r="X117" s="19">
        <f ca="1">IF(RAND()&lt;P_Zero,0,IF(RAND()&lt;CondReturn,_xlfn.LOGNORM.INV(RAND(),MV2,Sigma1),IF(RAND()&lt;CondGood,_xlfn.LOGNORM.INV(RAND(),MV3,Sigma2),MIN(MaxMultiple,Xm/(1-RAND())^(1/Alpha)))))</f>
        <v>0</v>
      </c>
      <c r="Y117" s="19">
        <f ca="1">IF(RAND()&lt;P_Zero,0,IF(RAND()&lt;CondReturn,_xlfn.LOGNORM.INV(RAND(),MV2,Sigma1),IF(RAND()&lt;CondGood,_xlfn.LOGNORM.INV(RAND(),MV3,Sigma2),MIN(MaxMultiple,Xm/(1-RAND())^(1/Alpha)))))</f>
        <v>12.506694250800544</v>
      </c>
      <c r="Z117" s="19">
        <f ca="1">IF(RAND()&lt;P_Zero,0,IF(RAND()&lt;CondReturn,_xlfn.LOGNORM.INV(RAND(),MV2,Sigma1),IF(RAND()&lt;CondGood,_xlfn.LOGNORM.INV(RAND(),MV3,Sigma2),MIN(MaxMultiple,Xm/(1-RAND())^(1/Alpha)))))</f>
        <v>1.3801096608391199</v>
      </c>
      <c r="AA117" s="19">
        <f ca="1">IF(RAND()&lt;P_Zero,0,IF(RAND()&lt;CondReturn,_xlfn.LOGNORM.INV(RAND(),MV2,Sigma1),IF(RAND()&lt;CondGood,_xlfn.LOGNORM.INV(RAND(),MV3,Sigma2),MIN(MaxMultiple,Xm/(1-RAND())^(1/Alpha)))))</f>
        <v>1.0614721849842983</v>
      </c>
      <c r="AB117" s="19">
        <f t="shared" ca="1" si="8"/>
        <v>1.6564555264442009</v>
      </c>
      <c r="AC117" s="14">
        <f t="shared" ca="1" si="9"/>
        <v>79509865.26932165</v>
      </c>
      <c r="AD117" s="14">
        <f t="shared" ca="1" si="10"/>
        <v>31509865.26932165</v>
      </c>
      <c r="AE117" s="14">
        <f t="shared" si="11"/>
        <v>55628399.869093813</v>
      </c>
      <c r="AF117" s="14">
        <f t="shared" ca="1" si="12"/>
        <v>0</v>
      </c>
      <c r="AG117" s="14">
        <f t="shared" ca="1" si="13"/>
        <v>0</v>
      </c>
      <c r="AH117" s="14">
        <f t="shared" ca="1" si="14"/>
        <v>79509865.26932165</v>
      </c>
      <c r="AI117" s="19">
        <f t="shared" ca="1" si="15"/>
        <v>1.3251644211553608</v>
      </c>
    </row>
    <row r="118" spans="2:35" x14ac:dyDescent="0.2">
      <c r="B118" s="1">
        <v>113</v>
      </c>
      <c r="C118" s="19">
        <f ca="1">IF(RAND()&lt;P_Zero,0,IF(RAND()&lt;CondReturn,_xlfn.LOGNORM.INV(RAND(),MV2,Sigma1),IF(RAND()&lt;CondGood,_xlfn.LOGNORM.INV(RAND(),MV3,Sigma2),MIN(MaxMultiple,Xm/(1-RAND())^(1/Alpha)))))</f>
        <v>0.60028049385770588</v>
      </c>
      <c r="D118" s="19">
        <f ca="1">IF(RAND()&lt;P_Zero,0,IF(RAND()&lt;CondReturn,_xlfn.LOGNORM.INV(RAND(),MV2,Sigma1),IF(RAND()&lt;CondGood,_xlfn.LOGNORM.INV(RAND(),MV3,Sigma2),MIN(MaxMultiple,Xm/(1-RAND())^(1/Alpha)))))</f>
        <v>2.470213290013163</v>
      </c>
      <c r="E118" s="19">
        <f ca="1">IF(RAND()&lt;P_Zero,0,IF(RAND()&lt;CondReturn,_xlfn.LOGNORM.INV(RAND(),MV2,Sigma1),IF(RAND()&lt;CondGood,_xlfn.LOGNORM.INV(RAND(),MV3,Sigma2),MIN(MaxMultiple,Xm/(1-RAND())^(1/Alpha)))))</f>
        <v>1.7601425131298052</v>
      </c>
      <c r="F118" s="19">
        <f ca="1">IF(RAND()&lt;P_Zero,0,IF(RAND()&lt;CondReturn,_xlfn.LOGNORM.INV(RAND(),MV2,Sigma1),IF(RAND()&lt;CondGood,_xlfn.LOGNORM.INV(RAND(),MV3,Sigma2),MIN(MaxMultiple,Xm/(1-RAND())^(1/Alpha)))))</f>
        <v>0.93895400998089418</v>
      </c>
      <c r="G118" s="19">
        <f ca="1">IF(RAND()&lt;P_Zero,0,IF(RAND()&lt;CondReturn,_xlfn.LOGNORM.INV(RAND(),MV2,Sigma1),IF(RAND()&lt;CondGood,_xlfn.LOGNORM.INV(RAND(),MV3,Sigma2),MIN(MaxMultiple,Xm/(1-RAND())^(1/Alpha)))))</f>
        <v>0.77294549799915335</v>
      </c>
      <c r="H118" s="19">
        <f ca="1">IF(RAND()&lt;P_Zero,0,IF(RAND()&lt;CondReturn,_xlfn.LOGNORM.INV(RAND(),MV2,Sigma1),IF(RAND()&lt;CondGood,_xlfn.LOGNORM.INV(RAND(),MV3,Sigma2),MIN(MaxMultiple,Xm/(1-RAND())^(1/Alpha)))))</f>
        <v>1.2319050523354385</v>
      </c>
      <c r="I118" s="19">
        <f ca="1">IF(RAND()&lt;P_Zero,0,IF(RAND()&lt;CondReturn,_xlfn.LOGNORM.INV(RAND(),MV2,Sigma1),IF(RAND()&lt;CondGood,_xlfn.LOGNORM.INV(RAND(),MV3,Sigma2),MIN(MaxMultiple,Xm/(1-RAND())^(1/Alpha)))))</f>
        <v>2.4777244162076104</v>
      </c>
      <c r="J118" s="19">
        <f ca="1">IF(RAND()&lt;P_Zero,0,IF(RAND()&lt;CondReturn,_xlfn.LOGNORM.INV(RAND(),MV2,Sigma1),IF(RAND()&lt;CondGood,_xlfn.LOGNORM.INV(RAND(),MV3,Sigma2),MIN(MaxMultiple,Xm/(1-RAND())^(1/Alpha)))))</f>
        <v>0</v>
      </c>
      <c r="K118" s="19">
        <f ca="1">IF(RAND()&lt;P_Zero,0,IF(RAND()&lt;CondReturn,_xlfn.LOGNORM.INV(RAND(),MV2,Sigma1),IF(RAND()&lt;CondGood,_xlfn.LOGNORM.INV(RAND(),MV3,Sigma2),MIN(MaxMultiple,Xm/(1-RAND())^(1/Alpha)))))</f>
        <v>0.66469873643613875</v>
      </c>
      <c r="L118" s="19">
        <f ca="1">IF(RAND()&lt;P_Zero,0,IF(RAND()&lt;CondReturn,_xlfn.LOGNORM.INV(RAND(),MV2,Sigma1),IF(RAND()&lt;CondGood,_xlfn.LOGNORM.INV(RAND(),MV3,Sigma2),MIN(MaxMultiple,Xm/(1-RAND())^(1/Alpha)))))</f>
        <v>0.84088711490432411</v>
      </c>
      <c r="M118" s="19">
        <f ca="1">IF(RAND()&lt;P_Zero,0,IF(RAND()&lt;CondReturn,_xlfn.LOGNORM.INV(RAND(),MV2,Sigma1),IF(RAND()&lt;CondGood,_xlfn.LOGNORM.INV(RAND(),MV3,Sigma2),MIN(MaxMultiple,Xm/(1-RAND())^(1/Alpha)))))</f>
        <v>0</v>
      </c>
      <c r="N118" s="19">
        <f ca="1">IF(RAND()&lt;P_Zero,0,IF(RAND()&lt;CondReturn,_xlfn.LOGNORM.INV(RAND(),MV2,Sigma1),IF(RAND()&lt;CondGood,_xlfn.LOGNORM.INV(RAND(),MV3,Sigma2),MIN(MaxMultiple,Xm/(1-RAND())^(1/Alpha)))))</f>
        <v>0</v>
      </c>
      <c r="O118" s="19">
        <f ca="1">IF(RAND()&lt;P_Zero,0,IF(RAND()&lt;CondReturn,_xlfn.LOGNORM.INV(RAND(),MV2,Sigma1),IF(RAND()&lt;CondGood,_xlfn.LOGNORM.INV(RAND(),MV3,Sigma2),MIN(MaxMultiple,Xm/(1-RAND())^(1/Alpha)))))</f>
        <v>0.70766761650828081</v>
      </c>
      <c r="P118" s="19">
        <f ca="1">IF(RAND()&lt;P_Zero,0,IF(RAND()&lt;CondReturn,_xlfn.LOGNORM.INV(RAND(),MV2,Sigma1),IF(RAND()&lt;CondGood,_xlfn.LOGNORM.INV(RAND(),MV3,Sigma2),MIN(MaxMultiple,Xm/(1-RAND())^(1/Alpha)))))</f>
        <v>19.183320681286837</v>
      </c>
      <c r="Q118" s="19">
        <f ca="1">IF(RAND()&lt;P_Zero,0,IF(RAND()&lt;CondReturn,_xlfn.LOGNORM.INV(RAND(),MV2,Sigma1),IF(RAND()&lt;CondGood,_xlfn.LOGNORM.INV(RAND(),MV3,Sigma2),MIN(MaxMultiple,Xm/(1-RAND())^(1/Alpha)))))</f>
        <v>13.807058098895086</v>
      </c>
      <c r="R118" s="19">
        <f ca="1">IF(RAND()&lt;P_Zero,0,IF(RAND()&lt;CondReturn,_xlfn.LOGNORM.INV(RAND(),MV2,Sigma1),IF(RAND()&lt;CondGood,_xlfn.LOGNORM.INV(RAND(),MV3,Sigma2),MIN(MaxMultiple,Xm/(1-RAND())^(1/Alpha)))))</f>
        <v>0</v>
      </c>
      <c r="S118" s="19">
        <f ca="1">IF(RAND()&lt;P_Zero,0,IF(RAND()&lt;CondReturn,_xlfn.LOGNORM.INV(RAND(),MV2,Sigma1),IF(RAND()&lt;CondGood,_xlfn.LOGNORM.INV(RAND(),MV3,Sigma2),MIN(MaxMultiple,Xm/(1-RAND())^(1/Alpha)))))</f>
        <v>1.6331140918291571</v>
      </c>
      <c r="T118" s="19">
        <f ca="1">IF(RAND()&lt;P_Zero,0,IF(RAND()&lt;CondReturn,_xlfn.LOGNORM.INV(RAND(),MV2,Sigma1),IF(RAND()&lt;CondGood,_xlfn.LOGNORM.INV(RAND(),MV3,Sigma2),MIN(MaxMultiple,Xm/(1-RAND())^(1/Alpha)))))</f>
        <v>0.41935524176126487</v>
      </c>
      <c r="U118" s="19">
        <f ca="1">IF(RAND()&lt;P_Zero,0,IF(RAND()&lt;CondReturn,_xlfn.LOGNORM.INV(RAND(),MV2,Sigma1),IF(RAND()&lt;CondGood,_xlfn.LOGNORM.INV(RAND(),MV3,Sigma2),MIN(MaxMultiple,Xm/(1-RAND())^(1/Alpha)))))</f>
        <v>0.7150374229517783</v>
      </c>
      <c r="V118" s="19">
        <f ca="1">IF(RAND()&lt;P_Zero,0,IF(RAND()&lt;CondReturn,_xlfn.LOGNORM.INV(RAND(),MV2,Sigma1),IF(RAND()&lt;CondGood,_xlfn.LOGNORM.INV(RAND(),MV3,Sigma2),MIN(MaxMultiple,Xm/(1-RAND())^(1/Alpha)))))</f>
        <v>0.3853218359874005</v>
      </c>
      <c r="W118" s="19">
        <f ca="1">IF(RAND()&lt;P_Zero,0,IF(RAND()&lt;CondReturn,_xlfn.LOGNORM.INV(RAND(),MV2,Sigma1),IF(RAND()&lt;CondGood,_xlfn.LOGNORM.INV(RAND(),MV3,Sigma2),MIN(MaxMultiple,Xm/(1-RAND())^(1/Alpha)))))</f>
        <v>0</v>
      </c>
      <c r="X118" s="19">
        <f ca="1">IF(RAND()&lt;P_Zero,0,IF(RAND()&lt;CondReturn,_xlfn.LOGNORM.INV(RAND(),MV2,Sigma1),IF(RAND()&lt;CondGood,_xlfn.LOGNORM.INV(RAND(),MV3,Sigma2),MIN(MaxMultiple,Xm/(1-RAND())^(1/Alpha)))))</f>
        <v>1.1437668274559067</v>
      </c>
      <c r="Y118" s="19">
        <f ca="1">IF(RAND()&lt;P_Zero,0,IF(RAND()&lt;CondReturn,_xlfn.LOGNORM.INV(RAND(),MV2,Sigma1),IF(RAND()&lt;CondGood,_xlfn.LOGNORM.INV(RAND(),MV3,Sigma2),MIN(MaxMultiple,Xm/(1-RAND())^(1/Alpha)))))</f>
        <v>0.752712750644283</v>
      </c>
      <c r="Z118" s="19">
        <f ca="1">IF(RAND()&lt;P_Zero,0,IF(RAND()&lt;CondReturn,_xlfn.LOGNORM.INV(RAND(),MV2,Sigma1),IF(RAND()&lt;CondGood,_xlfn.LOGNORM.INV(RAND(),MV3,Sigma2),MIN(MaxMultiple,Xm/(1-RAND())^(1/Alpha)))))</f>
        <v>1.3690907635748817</v>
      </c>
      <c r="AA118" s="19">
        <f ca="1">IF(RAND()&lt;P_Zero,0,IF(RAND()&lt;CondReturn,_xlfn.LOGNORM.INV(RAND(),MV2,Sigma1),IF(RAND()&lt;CondGood,_xlfn.LOGNORM.INV(RAND(),MV3,Sigma2),MIN(MaxMultiple,Xm/(1-RAND())^(1/Alpha)))))</f>
        <v>0</v>
      </c>
      <c r="AB118" s="19">
        <f t="shared" ca="1" si="8"/>
        <v>2.0749678582303646</v>
      </c>
      <c r="AC118" s="14">
        <f t="shared" ca="1" si="9"/>
        <v>99598457.195057496</v>
      </c>
      <c r="AD118" s="14">
        <f t="shared" ca="1" si="10"/>
        <v>51598457.195057496</v>
      </c>
      <c r="AE118" s="14">
        <f t="shared" si="11"/>
        <v>55628399.869093813</v>
      </c>
      <c r="AF118" s="14">
        <f t="shared" ca="1" si="12"/>
        <v>0</v>
      </c>
      <c r="AG118" s="14">
        <f t="shared" ca="1" si="13"/>
        <v>0</v>
      </c>
      <c r="AH118" s="14">
        <f t="shared" ca="1" si="14"/>
        <v>99598457.195057496</v>
      </c>
      <c r="AI118" s="19">
        <f t="shared" ca="1" si="15"/>
        <v>1.6599742865842917</v>
      </c>
    </row>
    <row r="119" spans="2:35" x14ac:dyDescent="0.2">
      <c r="B119" s="1">
        <v>114</v>
      </c>
      <c r="C119" s="19">
        <f ca="1">IF(RAND()&lt;P_Zero,0,IF(RAND()&lt;CondReturn,_xlfn.LOGNORM.INV(RAND(),MV2,Sigma1),IF(RAND()&lt;CondGood,_xlfn.LOGNORM.INV(RAND(),MV3,Sigma2),MIN(MaxMultiple,Xm/(1-RAND())^(1/Alpha)))))</f>
        <v>0</v>
      </c>
      <c r="D119" s="19">
        <f ca="1">IF(RAND()&lt;P_Zero,0,IF(RAND()&lt;CondReturn,_xlfn.LOGNORM.INV(RAND(),MV2,Sigma1),IF(RAND()&lt;CondGood,_xlfn.LOGNORM.INV(RAND(),MV3,Sigma2),MIN(MaxMultiple,Xm/(1-RAND())^(1/Alpha)))))</f>
        <v>0</v>
      </c>
      <c r="E119" s="19">
        <f ca="1">IF(RAND()&lt;P_Zero,0,IF(RAND()&lt;CondReturn,_xlfn.LOGNORM.INV(RAND(),MV2,Sigma1),IF(RAND()&lt;CondGood,_xlfn.LOGNORM.INV(RAND(),MV3,Sigma2),MIN(MaxMultiple,Xm/(1-RAND())^(1/Alpha)))))</f>
        <v>10.399487044969627</v>
      </c>
      <c r="F119" s="19">
        <f ca="1">IF(RAND()&lt;P_Zero,0,IF(RAND()&lt;CondReturn,_xlfn.LOGNORM.INV(RAND(),MV2,Sigma1),IF(RAND()&lt;CondGood,_xlfn.LOGNORM.INV(RAND(),MV3,Sigma2),MIN(MaxMultiple,Xm/(1-RAND())^(1/Alpha)))))</f>
        <v>0.95210551890862294</v>
      </c>
      <c r="G119" s="19">
        <f ca="1">IF(RAND()&lt;P_Zero,0,IF(RAND()&lt;CondReturn,_xlfn.LOGNORM.INV(RAND(),MV2,Sigma1),IF(RAND()&lt;CondGood,_xlfn.LOGNORM.INV(RAND(),MV3,Sigma2),MIN(MaxMultiple,Xm/(1-RAND())^(1/Alpha)))))</f>
        <v>1.7228747387328232</v>
      </c>
      <c r="H119" s="19">
        <f ca="1">IF(RAND()&lt;P_Zero,0,IF(RAND()&lt;CondReturn,_xlfn.LOGNORM.INV(RAND(),MV2,Sigma1),IF(RAND()&lt;CondGood,_xlfn.LOGNORM.INV(RAND(),MV3,Sigma2),MIN(MaxMultiple,Xm/(1-RAND())^(1/Alpha)))))</f>
        <v>0</v>
      </c>
      <c r="I119" s="19">
        <f ca="1">IF(RAND()&lt;P_Zero,0,IF(RAND()&lt;CondReturn,_xlfn.LOGNORM.INV(RAND(),MV2,Sigma1),IF(RAND()&lt;CondGood,_xlfn.LOGNORM.INV(RAND(),MV3,Sigma2),MIN(MaxMultiple,Xm/(1-RAND())^(1/Alpha)))))</f>
        <v>3.186593913140872</v>
      </c>
      <c r="J119" s="19">
        <f ca="1">IF(RAND()&lt;P_Zero,0,IF(RAND()&lt;CondReturn,_xlfn.LOGNORM.INV(RAND(),MV2,Sigma1),IF(RAND()&lt;CondGood,_xlfn.LOGNORM.INV(RAND(),MV3,Sigma2),MIN(MaxMultiple,Xm/(1-RAND())^(1/Alpha)))))</f>
        <v>0.49600306306889586</v>
      </c>
      <c r="K119" s="19">
        <f ca="1">IF(RAND()&lt;P_Zero,0,IF(RAND()&lt;CondReturn,_xlfn.LOGNORM.INV(RAND(),MV2,Sigma1),IF(RAND()&lt;CondGood,_xlfn.LOGNORM.INV(RAND(),MV3,Sigma2),MIN(MaxMultiple,Xm/(1-RAND())^(1/Alpha)))))</f>
        <v>1.5759161248861484</v>
      </c>
      <c r="L119" s="19">
        <f ca="1">IF(RAND()&lt;P_Zero,0,IF(RAND()&lt;CondReturn,_xlfn.LOGNORM.INV(RAND(),MV2,Sigma1),IF(RAND()&lt;CondGood,_xlfn.LOGNORM.INV(RAND(),MV3,Sigma2),MIN(MaxMultiple,Xm/(1-RAND())^(1/Alpha)))))</f>
        <v>1.1125810153848139</v>
      </c>
      <c r="M119" s="19">
        <f ca="1">IF(RAND()&lt;P_Zero,0,IF(RAND()&lt;CondReturn,_xlfn.LOGNORM.INV(RAND(),MV2,Sigma1),IF(RAND()&lt;CondGood,_xlfn.LOGNORM.INV(RAND(),MV3,Sigma2),MIN(MaxMultiple,Xm/(1-RAND())^(1/Alpha)))))</f>
        <v>0.70528823672169716</v>
      </c>
      <c r="N119" s="19">
        <f ca="1">IF(RAND()&lt;P_Zero,0,IF(RAND()&lt;CondReturn,_xlfn.LOGNORM.INV(RAND(),MV2,Sigma1),IF(RAND()&lt;CondGood,_xlfn.LOGNORM.INV(RAND(),MV3,Sigma2),MIN(MaxMultiple,Xm/(1-RAND())^(1/Alpha)))))</f>
        <v>1.44926374538662</v>
      </c>
      <c r="O119" s="19">
        <f ca="1">IF(RAND()&lt;P_Zero,0,IF(RAND()&lt;CondReturn,_xlfn.LOGNORM.INV(RAND(),MV2,Sigma1),IF(RAND()&lt;CondGood,_xlfn.LOGNORM.INV(RAND(),MV3,Sigma2),MIN(MaxMultiple,Xm/(1-RAND())^(1/Alpha)))))</f>
        <v>0.47877521732722211</v>
      </c>
      <c r="P119" s="19">
        <f ca="1">IF(RAND()&lt;P_Zero,0,IF(RAND()&lt;CondReturn,_xlfn.LOGNORM.INV(RAND(),MV2,Sigma1),IF(RAND()&lt;CondGood,_xlfn.LOGNORM.INV(RAND(),MV3,Sigma2),MIN(MaxMultiple,Xm/(1-RAND())^(1/Alpha)))))</f>
        <v>0</v>
      </c>
      <c r="Q119" s="19">
        <f ca="1">IF(RAND()&lt;P_Zero,0,IF(RAND()&lt;CondReturn,_xlfn.LOGNORM.INV(RAND(),MV2,Sigma1),IF(RAND()&lt;CondGood,_xlfn.LOGNORM.INV(RAND(),MV3,Sigma2),MIN(MaxMultiple,Xm/(1-RAND())^(1/Alpha)))))</f>
        <v>12.459985456647052</v>
      </c>
      <c r="R119" s="19">
        <f ca="1">IF(RAND()&lt;P_Zero,0,IF(RAND()&lt;CondReturn,_xlfn.LOGNORM.INV(RAND(),MV2,Sigma1),IF(RAND()&lt;CondGood,_xlfn.LOGNORM.INV(RAND(),MV3,Sigma2),MIN(MaxMultiple,Xm/(1-RAND())^(1/Alpha)))))</f>
        <v>0</v>
      </c>
      <c r="S119" s="19">
        <f ca="1">IF(RAND()&lt;P_Zero,0,IF(RAND()&lt;CondReturn,_xlfn.LOGNORM.INV(RAND(),MV2,Sigma1),IF(RAND()&lt;CondGood,_xlfn.LOGNORM.INV(RAND(),MV3,Sigma2),MIN(MaxMultiple,Xm/(1-RAND())^(1/Alpha)))))</f>
        <v>1.797492699596378</v>
      </c>
      <c r="T119" s="19">
        <f ca="1">IF(RAND()&lt;P_Zero,0,IF(RAND()&lt;CondReturn,_xlfn.LOGNORM.INV(RAND(),MV2,Sigma1),IF(RAND()&lt;CondGood,_xlfn.LOGNORM.INV(RAND(),MV3,Sigma2),MIN(MaxMultiple,Xm/(1-RAND())^(1/Alpha)))))</f>
        <v>0.42290237206770442</v>
      </c>
      <c r="U119" s="19">
        <f ca="1">IF(RAND()&lt;P_Zero,0,IF(RAND()&lt;CondReturn,_xlfn.LOGNORM.INV(RAND(),MV2,Sigma1),IF(RAND()&lt;CondGood,_xlfn.LOGNORM.INV(RAND(),MV3,Sigma2),MIN(MaxMultiple,Xm/(1-RAND())^(1/Alpha)))))</f>
        <v>2.2555351241036439</v>
      </c>
      <c r="V119" s="19">
        <f ca="1">IF(RAND()&lt;P_Zero,0,IF(RAND()&lt;CondReturn,_xlfn.LOGNORM.INV(RAND(),MV2,Sigma1),IF(RAND()&lt;CondGood,_xlfn.LOGNORM.INV(RAND(),MV3,Sigma2),MIN(MaxMultiple,Xm/(1-RAND())^(1/Alpha)))))</f>
        <v>0</v>
      </c>
      <c r="W119" s="19">
        <f ca="1">IF(RAND()&lt;P_Zero,0,IF(RAND()&lt;CondReturn,_xlfn.LOGNORM.INV(RAND(),MV2,Sigma1),IF(RAND()&lt;CondGood,_xlfn.LOGNORM.INV(RAND(),MV3,Sigma2),MIN(MaxMultiple,Xm/(1-RAND())^(1/Alpha)))))</f>
        <v>0</v>
      </c>
      <c r="X119" s="19">
        <f ca="1">IF(RAND()&lt;P_Zero,0,IF(RAND()&lt;CondReturn,_xlfn.LOGNORM.INV(RAND(),MV2,Sigma1),IF(RAND()&lt;CondGood,_xlfn.LOGNORM.INV(RAND(),MV3,Sigma2),MIN(MaxMultiple,Xm/(1-RAND())^(1/Alpha)))))</f>
        <v>0.80063665036721154</v>
      </c>
      <c r="Y119" s="19">
        <f ca="1">IF(RAND()&lt;P_Zero,0,IF(RAND()&lt;CondReturn,_xlfn.LOGNORM.INV(RAND(),MV2,Sigma1),IF(RAND()&lt;CondGood,_xlfn.LOGNORM.INV(RAND(),MV3,Sigma2),MIN(MaxMultiple,Xm/(1-RAND())^(1/Alpha)))))</f>
        <v>10.339070667788222</v>
      </c>
      <c r="Z119" s="19">
        <f ca="1">IF(RAND()&lt;P_Zero,0,IF(RAND()&lt;CondReturn,_xlfn.LOGNORM.INV(RAND(),MV2,Sigma1),IF(RAND()&lt;CondGood,_xlfn.LOGNORM.INV(RAND(),MV3,Sigma2),MIN(MaxMultiple,Xm/(1-RAND())^(1/Alpha)))))</f>
        <v>0</v>
      </c>
      <c r="AA119" s="19">
        <f ca="1">IF(RAND()&lt;P_Zero,0,IF(RAND()&lt;CondReturn,_xlfn.LOGNORM.INV(RAND(),MV2,Sigma1),IF(RAND()&lt;CondGood,_xlfn.LOGNORM.INV(RAND(),MV3,Sigma2),MIN(MaxMultiple,Xm/(1-RAND())^(1/Alpha)))))</f>
        <v>0</v>
      </c>
      <c r="AB119" s="19">
        <f t="shared" ca="1" si="8"/>
        <v>2.006180463563902</v>
      </c>
      <c r="AC119" s="14">
        <f t="shared" ca="1" si="9"/>
        <v>96296662.251067296</v>
      </c>
      <c r="AD119" s="14">
        <f t="shared" ca="1" si="10"/>
        <v>48296662.251067296</v>
      </c>
      <c r="AE119" s="14">
        <f t="shared" si="11"/>
        <v>55628399.869093813</v>
      </c>
      <c r="AF119" s="14">
        <f t="shared" ca="1" si="12"/>
        <v>0</v>
      </c>
      <c r="AG119" s="14">
        <f t="shared" ca="1" si="13"/>
        <v>0</v>
      </c>
      <c r="AH119" s="14">
        <f t="shared" ca="1" si="14"/>
        <v>96296662.251067296</v>
      </c>
      <c r="AI119" s="19">
        <f t="shared" ca="1" si="15"/>
        <v>1.6049443708511215</v>
      </c>
    </row>
    <row r="120" spans="2:35" x14ac:dyDescent="0.2">
      <c r="B120" s="1">
        <v>115</v>
      </c>
      <c r="C120" s="19">
        <f ca="1">IF(RAND()&lt;P_Zero,0,IF(RAND()&lt;CondReturn,_xlfn.LOGNORM.INV(RAND(),MV2,Sigma1),IF(RAND()&lt;CondGood,_xlfn.LOGNORM.INV(RAND(),MV3,Sigma2),MIN(MaxMultiple,Xm/(1-RAND())^(1/Alpha)))))</f>
        <v>0.60321647394147249</v>
      </c>
      <c r="D120" s="19">
        <f ca="1">IF(RAND()&lt;P_Zero,0,IF(RAND()&lt;CondReturn,_xlfn.LOGNORM.INV(RAND(),MV2,Sigma1),IF(RAND()&lt;CondGood,_xlfn.LOGNORM.INV(RAND(),MV3,Sigma2),MIN(MaxMultiple,Xm/(1-RAND())^(1/Alpha)))))</f>
        <v>0.55228459591197043</v>
      </c>
      <c r="E120" s="19">
        <f ca="1">IF(RAND()&lt;P_Zero,0,IF(RAND()&lt;CondReturn,_xlfn.LOGNORM.INV(RAND(),MV2,Sigma1),IF(RAND()&lt;CondGood,_xlfn.LOGNORM.INV(RAND(),MV3,Sigma2),MIN(MaxMultiple,Xm/(1-RAND())^(1/Alpha)))))</f>
        <v>0</v>
      </c>
      <c r="F120" s="19">
        <f ca="1">IF(RAND()&lt;P_Zero,0,IF(RAND()&lt;CondReturn,_xlfn.LOGNORM.INV(RAND(),MV2,Sigma1),IF(RAND()&lt;CondGood,_xlfn.LOGNORM.INV(RAND(),MV3,Sigma2),MIN(MaxMultiple,Xm/(1-RAND())^(1/Alpha)))))</f>
        <v>13.344863830499646</v>
      </c>
      <c r="G120" s="19">
        <f ca="1">IF(RAND()&lt;P_Zero,0,IF(RAND()&lt;CondReturn,_xlfn.LOGNORM.INV(RAND(),MV2,Sigma1),IF(RAND()&lt;CondGood,_xlfn.LOGNORM.INV(RAND(),MV3,Sigma2),MIN(MaxMultiple,Xm/(1-RAND())^(1/Alpha)))))</f>
        <v>0.93980416423335711</v>
      </c>
      <c r="H120" s="19">
        <f ca="1">IF(RAND()&lt;P_Zero,0,IF(RAND()&lt;CondReturn,_xlfn.LOGNORM.INV(RAND(),MV2,Sigma1),IF(RAND()&lt;CondGood,_xlfn.LOGNORM.INV(RAND(),MV3,Sigma2),MIN(MaxMultiple,Xm/(1-RAND())^(1/Alpha)))))</f>
        <v>0.38311406068247256</v>
      </c>
      <c r="I120" s="19">
        <f ca="1">IF(RAND()&lt;P_Zero,0,IF(RAND()&lt;CondReturn,_xlfn.LOGNORM.INV(RAND(),MV2,Sigma1),IF(RAND()&lt;CondGood,_xlfn.LOGNORM.INV(RAND(),MV3,Sigma2),MIN(MaxMultiple,Xm/(1-RAND())^(1/Alpha)))))</f>
        <v>1.0357871000583458</v>
      </c>
      <c r="J120" s="19">
        <f ca="1">IF(RAND()&lt;P_Zero,0,IF(RAND()&lt;CondReturn,_xlfn.LOGNORM.INV(RAND(),MV2,Sigma1),IF(RAND()&lt;CondGood,_xlfn.LOGNORM.INV(RAND(),MV3,Sigma2),MIN(MaxMultiple,Xm/(1-RAND())^(1/Alpha)))))</f>
        <v>1.8287611585231816</v>
      </c>
      <c r="K120" s="19">
        <f ca="1">IF(RAND()&lt;P_Zero,0,IF(RAND()&lt;CondReturn,_xlfn.LOGNORM.INV(RAND(),MV2,Sigma1),IF(RAND()&lt;CondGood,_xlfn.LOGNORM.INV(RAND(),MV3,Sigma2),MIN(MaxMultiple,Xm/(1-RAND())^(1/Alpha)))))</f>
        <v>2.8949834108826238</v>
      </c>
      <c r="L120" s="19">
        <f ca="1">IF(RAND()&lt;P_Zero,0,IF(RAND()&lt;CondReturn,_xlfn.LOGNORM.INV(RAND(),MV2,Sigma1),IF(RAND()&lt;CondGood,_xlfn.LOGNORM.INV(RAND(),MV3,Sigma2),MIN(MaxMultiple,Xm/(1-RAND())^(1/Alpha)))))</f>
        <v>1.0047048284323115</v>
      </c>
      <c r="M120" s="19">
        <f ca="1">IF(RAND()&lt;P_Zero,0,IF(RAND()&lt;CondReturn,_xlfn.LOGNORM.INV(RAND(),MV2,Sigma1),IF(RAND()&lt;CondGood,_xlfn.LOGNORM.INV(RAND(),MV3,Sigma2),MIN(MaxMultiple,Xm/(1-RAND())^(1/Alpha)))))</f>
        <v>0</v>
      </c>
      <c r="N120" s="19">
        <f ca="1">IF(RAND()&lt;P_Zero,0,IF(RAND()&lt;CondReturn,_xlfn.LOGNORM.INV(RAND(),MV2,Sigma1),IF(RAND()&lt;CondGood,_xlfn.LOGNORM.INV(RAND(),MV3,Sigma2),MIN(MaxMultiple,Xm/(1-RAND())^(1/Alpha)))))</f>
        <v>14.101880406965904</v>
      </c>
      <c r="O120" s="19">
        <f ca="1">IF(RAND()&lt;P_Zero,0,IF(RAND()&lt;CondReturn,_xlfn.LOGNORM.INV(RAND(),MV2,Sigma1),IF(RAND()&lt;CondGood,_xlfn.LOGNORM.INV(RAND(),MV3,Sigma2),MIN(MaxMultiple,Xm/(1-RAND())^(1/Alpha)))))</f>
        <v>3.3301673979393351</v>
      </c>
      <c r="P120" s="19">
        <f ca="1">IF(RAND()&lt;P_Zero,0,IF(RAND()&lt;CondReturn,_xlfn.LOGNORM.INV(RAND(),MV2,Sigma1),IF(RAND()&lt;CondGood,_xlfn.LOGNORM.INV(RAND(),MV3,Sigma2),MIN(MaxMultiple,Xm/(1-RAND())^(1/Alpha)))))</f>
        <v>0.95566479697887829</v>
      </c>
      <c r="Q120" s="19">
        <f ca="1">IF(RAND()&lt;P_Zero,0,IF(RAND()&lt;CondReturn,_xlfn.LOGNORM.INV(RAND(),MV2,Sigma1),IF(RAND()&lt;CondGood,_xlfn.LOGNORM.INV(RAND(),MV3,Sigma2),MIN(MaxMultiple,Xm/(1-RAND())^(1/Alpha)))))</f>
        <v>1.0333519256935577</v>
      </c>
      <c r="R120" s="19">
        <f ca="1">IF(RAND()&lt;P_Zero,0,IF(RAND()&lt;CondReturn,_xlfn.LOGNORM.INV(RAND(),MV2,Sigma1),IF(RAND()&lt;CondGood,_xlfn.LOGNORM.INV(RAND(),MV3,Sigma2),MIN(MaxMultiple,Xm/(1-RAND())^(1/Alpha)))))</f>
        <v>1.5122708091442632</v>
      </c>
      <c r="S120" s="19">
        <f ca="1">IF(RAND()&lt;P_Zero,0,IF(RAND()&lt;CondReturn,_xlfn.LOGNORM.INV(RAND(),MV2,Sigma1),IF(RAND()&lt;CondGood,_xlfn.LOGNORM.INV(RAND(),MV3,Sigma2),MIN(MaxMultiple,Xm/(1-RAND())^(1/Alpha)))))</f>
        <v>0</v>
      </c>
      <c r="T120" s="19">
        <f ca="1">IF(RAND()&lt;P_Zero,0,IF(RAND()&lt;CondReturn,_xlfn.LOGNORM.INV(RAND(),MV2,Sigma1),IF(RAND()&lt;CondGood,_xlfn.LOGNORM.INV(RAND(),MV3,Sigma2),MIN(MaxMultiple,Xm/(1-RAND())^(1/Alpha)))))</f>
        <v>0.66982076890662012</v>
      </c>
      <c r="U120" s="19">
        <f ca="1">IF(RAND()&lt;P_Zero,0,IF(RAND()&lt;CondReturn,_xlfn.LOGNORM.INV(RAND(),MV2,Sigma1),IF(RAND()&lt;CondGood,_xlfn.LOGNORM.INV(RAND(),MV3,Sigma2),MIN(MaxMultiple,Xm/(1-RAND())^(1/Alpha)))))</f>
        <v>0</v>
      </c>
      <c r="V120" s="19">
        <f ca="1">IF(RAND()&lt;P_Zero,0,IF(RAND()&lt;CondReturn,_xlfn.LOGNORM.INV(RAND(),MV2,Sigma1),IF(RAND()&lt;CondGood,_xlfn.LOGNORM.INV(RAND(),MV3,Sigma2),MIN(MaxMultiple,Xm/(1-RAND())^(1/Alpha)))))</f>
        <v>1.2093847181102457</v>
      </c>
      <c r="W120" s="19">
        <f ca="1">IF(RAND()&lt;P_Zero,0,IF(RAND()&lt;CondReturn,_xlfn.LOGNORM.INV(RAND(),MV2,Sigma1),IF(RAND()&lt;CondGood,_xlfn.LOGNORM.INV(RAND(),MV3,Sigma2),MIN(MaxMultiple,Xm/(1-RAND())^(1/Alpha)))))</f>
        <v>0.74888790208188682</v>
      </c>
      <c r="X120" s="19">
        <f ca="1">IF(RAND()&lt;P_Zero,0,IF(RAND()&lt;CondReturn,_xlfn.LOGNORM.INV(RAND(),MV2,Sigma1),IF(RAND()&lt;CondGood,_xlfn.LOGNORM.INV(RAND(),MV3,Sigma2),MIN(MaxMultiple,Xm/(1-RAND())^(1/Alpha)))))</f>
        <v>1.8023120081888622</v>
      </c>
      <c r="Y120" s="19">
        <f ca="1">IF(RAND()&lt;P_Zero,0,IF(RAND()&lt;CondReturn,_xlfn.LOGNORM.INV(RAND(),MV2,Sigma1),IF(RAND()&lt;CondGood,_xlfn.LOGNORM.INV(RAND(),MV3,Sigma2),MIN(MaxMultiple,Xm/(1-RAND())^(1/Alpha)))))</f>
        <v>0</v>
      </c>
      <c r="Z120" s="19">
        <f ca="1">IF(RAND()&lt;P_Zero,0,IF(RAND()&lt;CondReturn,_xlfn.LOGNORM.INV(RAND(),MV2,Sigma1),IF(RAND()&lt;CondGood,_xlfn.LOGNORM.INV(RAND(),MV3,Sigma2),MIN(MaxMultiple,Xm/(1-RAND())^(1/Alpha)))))</f>
        <v>0.97449728364655275</v>
      </c>
      <c r="AA120" s="19">
        <f ca="1">IF(RAND()&lt;P_Zero,0,IF(RAND()&lt;CondReturn,_xlfn.LOGNORM.INV(RAND(),MV2,Sigma1),IF(RAND()&lt;CondGood,_xlfn.LOGNORM.INV(RAND(),MV3,Sigma2),MIN(MaxMultiple,Xm/(1-RAND())^(1/Alpha)))))</f>
        <v>0.53459913096709466</v>
      </c>
      <c r="AB120" s="19">
        <f t="shared" ca="1" si="8"/>
        <v>1.9784142708715433</v>
      </c>
      <c r="AC120" s="14">
        <f t="shared" ca="1" si="9"/>
        <v>94963885.00183408</v>
      </c>
      <c r="AD120" s="14">
        <f t="shared" ca="1" si="10"/>
        <v>46963885.00183408</v>
      </c>
      <c r="AE120" s="14">
        <f t="shared" si="11"/>
        <v>55628399.869093813</v>
      </c>
      <c r="AF120" s="14">
        <f t="shared" ca="1" si="12"/>
        <v>0</v>
      </c>
      <c r="AG120" s="14">
        <f t="shared" ca="1" si="13"/>
        <v>0</v>
      </c>
      <c r="AH120" s="14">
        <f t="shared" ca="1" si="14"/>
        <v>94963885.00183408</v>
      </c>
      <c r="AI120" s="19">
        <f t="shared" ca="1" si="15"/>
        <v>1.5827314166972346</v>
      </c>
    </row>
    <row r="121" spans="2:35" x14ac:dyDescent="0.2">
      <c r="B121" s="1">
        <v>116</v>
      </c>
      <c r="C121" s="19">
        <f ca="1">IF(RAND()&lt;P_Zero,0,IF(RAND()&lt;CondReturn,_xlfn.LOGNORM.INV(RAND(),MV2,Sigma1),IF(RAND()&lt;CondGood,_xlfn.LOGNORM.INV(RAND(),MV3,Sigma2),MIN(MaxMultiple,Xm/(1-RAND())^(1/Alpha)))))</f>
        <v>1.0860116662615473</v>
      </c>
      <c r="D121" s="19">
        <f ca="1">IF(RAND()&lt;P_Zero,0,IF(RAND()&lt;CondReturn,_xlfn.LOGNORM.INV(RAND(),MV2,Sigma1),IF(RAND()&lt;CondGood,_xlfn.LOGNORM.INV(RAND(),MV3,Sigma2),MIN(MaxMultiple,Xm/(1-RAND())^(1/Alpha)))))</f>
        <v>0.7527182612960176</v>
      </c>
      <c r="E121" s="19">
        <f ca="1">IF(RAND()&lt;P_Zero,0,IF(RAND()&lt;CondReturn,_xlfn.LOGNORM.INV(RAND(),MV2,Sigma1),IF(RAND()&lt;CondGood,_xlfn.LOGNORM.INV(RAND(),MV3,Sigma2),MIN(MaxMultiple,Xm/(1-RAND())^(1/Alpha)))))</f>
        <v>18.294313490767721</v>
      </c>
      <c r="F121" s="19">
        <f ca="1">IF(RAND()&lt;P_Zero,0,IF(RAND()&lt;CondReturn,_xlfn.LOGNORM.INV(RAND(),MV2,Sigma1),IF(RAND()&lt;CondGood,_xlfn.LOGNORM.INV(RAND(),MV3,Sigma2),MIN(MaxMultiple,Xm/(1-RAND())^(1/Alpha)))))</f>
        <v>0</v>
      </c>
      <c r="G121" s="19">
        <f ca="1">IF(RAND()&lt;P_Zero,0,IF(RAND()&lt;CondReturn,_xlfn.LOGNORM.INV(RAND(),MV2,Sigma1),IF(RAND()&lt;CondGood,_xlfn.LOGNORM.INV(RAND(),MV3,Sigma2),MIN(MaxMultiple,Xm/(1-RAND())^(1/Alpha)))))</f>
        <v>17.012727953579308</v>
      </c>
      <c r="H121" s="19">
        <f ca="1">IF(RAND()&lt;P_Zero,0,IF(RAND()&lt;CondReturn,_xlfn.LOGNORM.INV(RAND(),MV2,Sigma1),IF(RAND()&lt;CondGood,_xlfn.LOGNORM.INV(RAND(),MV3,Sigma2),MIN(MaxMultiple,Xm/(1-RAND())^(1/Alpha)))))</f>
        <v>0</v>
      </c>
      <c r="I121" s="19">
        <f ca="1">IF(RAND()&lt;P_Zero,0,IF(RAND()&lt;CondReturn,_xlfn.LOGNORM.INV(RAND(),MV2,Sigma1),IF(RAND()&lt;CondGood,_xlfn.LOGNORM.INV(RAND(),MV3,Sigma2),MIN(MaxMultiple,Xm/(1-RAND())^(1/Alpha)))))</f>
        <v>1.7797227746331086</v>
      </c>
      <c r="J121" s="19">
        <f ca="1">IF(RAND()&lt;P_Zero,0,IF(RAND()&lt;CondReturn,_xlfn.LOGNORM.INV(RAND(),MV2,Sigma1),IF(RAND()&lt;CondGood,_xlfn.LOGNORM.INV(RAND(),MV3,Sigma2),MIN(MaxMultiple,Xm/(1-RAND())^(1/Alpha)))))</f>
        <v>1.0000551355271499</v>
      </c>
      <c r="K121" s="19">
        <f ca="1">IF(RAND()&lt;P_Zero,0,IF(RAND()&lt;CondReturn,_xlfn.LOGNORM.INV(RAND(),MV2,Sigma1),IF(RAND()&lt;CondGood,_xlfn.LOGNORM.INV(RAND(),MV3,Sigma2),MIN(MaxMultiple,Xm/(1-RAND())^(1/Alpha)))))</f>
        <v>0</v>
      </c>
      <c r="L121" s="19">
        <f ca="1">IF(RAND()&lt;P_Zero,0,IF(RAND()&lt;CondReturn,_xlfn.LOGNORM.INV(RAND(),MV2,Sigma1),IF(RAND()&lt;CondGood,_xlfn.LOGNORM.INV(RAND(),MV3,Sigma2),MIN(MaxMultiple,Xm/(1-RAND())^(1/Alpha)))))</f>
        <v>0.72576621869749935</v>
      </c>
      <c r="M121" s="19">
        <f ca="1">IF(RAND()&lt;P_Zero,0,IF(RAND()&lt;CondReturn,_xlfn.LOGNORM.INV(RAND(),MV2,Sigma1),IF(RAND()&lt;CondGood,_xlfn.LOGNORM.INV(RAND(),MV3,Sigma2),MIN(MaxMultiple,Xm/(1-RAND())^(1/Alpha)))))</f>
        <v>1.5798345726358409</v>
      </c>
      <c r="N121" s="19">
        <f ca="1">IF(RAND()&lt;P_Zero,0,IF(RAND()&lt;CondReturn,_xlfn.LOGNORM.INV(RAND(),MV2,Sigma1),IF(RAND()&lt;CondGood,_xlfn.LOGNORM.INV(RAND(),MV3,Sigma2),MIN(MaxMultiple,Xm/(1-RAND())^(1/Alpha)))))</f>
        <v>0</v>
      </c>
      <c r="O121" s="19">
        <f ca="1">IF(RAND()&lt;P_Zero,0,IF(RAND()&lt;CondReturn,_xlfn.LOGNORM.INV(RAND(),MV2,Sigma1),IF(RAND()&lt;CondGood,_xlfn.LOGNORM.INV(RAND(),MV3,Sigma2),MIN(MaxMultiple,Xm/(1-RAND())^(1/Alpha)))))</f>
        <v>0</v>
      </c>
      <c r="P121" s="19">
        <f ca="1">IF(RAND()&lt;P_Zero,0,IF(RAND()&lt;CondReturn,_xlfn.LOGNORM.INV(RAND(),MV2,Sigma1),IF(RAND()&lt;CondGood,_xlfn.LOGNORM.INV(RAND(),MV3,Sigma2),MIN(MaxMultiple,Xm/(1-RAND())^(1/Alpha)))))</f>
        <v>1.9360388317084418</v>
      </c>
      <c r="Q121" s="19">
        <f ca="1">IF(RAND()&lt;P_Zero,0,IF(RAND()&lt;CondReturn,_xlfn.LOGNORM.INV(RAND(),MV2,Sigma1),IF(RAND()&lt;CondGood,_xlfn.LOGNORM.INV(RAND(),MV3,Sigma2),MIN(MaxMultiple,Xm/(1-RAND())^(1/Alpha)))))</f>
        <v>2.2074491225861483</v>
      </c>
      <c r="R121" s="19">
        <f ca="1">IF(RAND()&lt;P_Zero,0,IF(RAND()&lt;CondReturn,_xlfn.LOGNORM.INV(RAND(),MV2,Sigma1),IF(RAND()&lt;CondGood,_xlfn.LOGNORM.INV(RAND(),MV3,Sigma2),MIN(MaxMultiple,Xm/(1-RAND())^(1/Alpha)))))</f>
        <v>0</v>
      </c>
      <c r="S121" s="19">
        <f ca="1">IF(RAND()&lt;P_Zero,0,IF(RAND()&lt;CondReturn,_xlfn.LOGNORM.INV(RAND(),MV2,Sigma1),IF(RAND()&lt;CondGood,_xlfn.LOGNORM.INV(RAND(),MV3,Sigma2),MIN(MaxMultiple,Xm/(1-RAND())^(1/Alpha)))))</f>
        <v>0</v>
      </c>
      <c r="T121" s="19">
        <f ca="1">IF(RAND()&lt;P_Zero,0,IF(RAND()&lt;CondReturn,_xlfn.LOGNORM.INV(RAND(),MV2,Sigma1),IF(RAND()&lt;CondGood,_xlfn.LOGNORM.INV(RAND(),MV3,Sigma2),MIN(MaxMultiple,Xm/(1-RAND())^(1/Alpha)))))</f>
        <v>1.2657489947584504</v>
      </c>
      <c r="U121" s="19">
        <f ca="1">IF(RAND()&lt;P_Zero,0,IF(RAND()&lt;CondReturn,_xlfn.LOGNORM.INV(RAND(),MV2,Sigma1),IF(RAND()&lt;CondGood,_xlfn.LOGNORM.INV(RAND(),MV3,Sigma2),MIN(MaxMultiple,Xm/(1-RAND())^(1/Alpha)))))</f>
        <v>0</v>
      </c>
      <c r="V121" s="19">
        <f ca="1">IF(RAND()&lt;P_Zero,0,IF(RAND()&lt;CondReturn,_xlfn.LOGNORM.INV(RAND(),MV2,Sigma1),IF(RAND()&lt;CondGood,_xlfn.LOGNORM.INV(RAND(),MV3,Sigma2),MIN(MaxMultiple,Xm/(1-RAND())^(1/Alpha)))))</f>
        <v>0.64443747273864016</v>
      </c>
      <c r="W121" s="19">
        <f ca="1">IF(RAND()&lt;P_Zero,0,IF(RAND()&lt;CondReturn,_xlfn.LOGNORM.INV(RAND(),MV2,Sigma1),IF(RAND()&lt;CondGood,_xlfn.LOGNORM.INV(RAND(),MV3,Sigma2),MIN(MaxMultiple,Xm/(1-RAND())^(1/Alpha)))))</f>
        <v>0.65681882047087137</v>
      </c>
      <c r="X121" s="19">
        <f ca="1">IF(RAND()&lt;P_Zero,0,IF(RAND()&lt;CondReturn,_xlfn.LOGNORM.INV(RAND(),MV2,Sigma1),IF(RAND()&lt;CondGood,_xlfn.LOGNORM.INV(RAND(),MV3,Sigma2),MIN(MaxMultiple,Xm/(1-RAND())^(1/Alpha)))))</f>
        <v>0</v>
      </c>
      <c r="Y121" s="19">
        <f ca="1">IF(RAND()&lt;P_Zero,0,IF(RAND()&lt;CondReturn,_xlfn.LOGNORM.INV(RAND(),MV2,Sigma1),IF(RAND()&lt;CondGood,_xlfn.LOGNORM.INV(RAND(),MV3,Sigma2),MIN(MaxMultiple,Xm/(1-RAND())^(1/Alpha)))))</f>
        <v>0.28493981624753667</v>
      </c>
      <c r="Z121" s="19">
        <f ca="1">IF(RAND()&lt;P_Zero,0,IF(RAND()&lt;CondReturn,_xlfn.LOGNORM.INV(RAND(),MV2,Sigma1),IF(RAND()&lt;CondGood,_xlfn.LOGNORM.INV(RAND(),MV3,Sigma2),MIN(MaxMultiple,Xm/(1-RAND())^(1/Alpha)))))</f>
        <v>0</v>
      </c>
      <c r="AA121" s="19">
        <f ca="1">IF(RAND()&lt;P_Zero,0,IF(RAND()&lt;CondReturn,_xlfn.LOGNORM.INV(RAND(),MV2,Sigma1),IF(RAND()&lt;CondGood,_xlfn.LOGNORM.INV(RAND(),MV3,Sigma2),MIN(MaxMultiple,Xm/(1-RAND())^(1/Alpha)))))</f>
        <v>1.4740196782353305</v>
      </c>
      <c r="AB121" s="19">
        <f t="shared" ca="1" si="8"/>
        <v>2.0280241124057445</v>
      </c>
      <c r="AC121" s="14">
        <f t="shared" ca="1" si="9"/>
        <v>97345157.395475745</v>
      </c>
      <c r="AD121" s="14">
        <f t="shared" ca="1" si="10"/>
        <v>49345157.395475745</v>
      </c>
      <c r="AE121" s="14">
        <f t="shared" si="11"/>
        <v>55628399.869093813</v>
      </c>
      <c r="AF121" s="14">
        <f t="shared" ca="1" si="12"/>
        <v>0</v>
      </c>
      <c r="AG121" s="14">
        <f t="shared" ca="1" si="13"/>
        <v>0</v>
      </c>
      <c r="AH121" s="14">
        <f t="shared" ca="1" si="14"/>
        <v>97345157.395475745</v>
      </c>
      <c r="AI121" s="19">
        <f t="shared" ca="1" si="15"/>
        <v>1.6224192899245957</v>
      </c>
    </row>
    <row r="122" spans="2:35" x14ac:dyDescent="0.2">
      <c r="B122" s="1">
        <v>117</v>
      </c>
      <c r="C122" s="19">
        <f ca="1">IF(RAND()&lt;P_Zero,0,IF(RAND()&lt;CondReturn,_xlfn.LOGNORM.INV(RAND(),MV2,Sigma1),IF(RAND()&lt;CondGood,_xlfn.LOGNORM.INV(RAND(),MV3,Sigma2),MIN(MaxMultiple,Xm/(1-RAND())^(1/Alpha)))))</f>
        <v>0</v>
      </c>
      <c r="D122" s="19">
        <f ca="1">IF(RAND()&lt;P_Zero,0,IF(RAND()&lt;CondReturn,_xlfn.LOGNORM.INV(RAND(),MV2,Sigma1),IF(RAND()&lt;CondGood,_xlfn.LOGNORM.INV(RAND(),MV3,Sigma2),MIN(MaxMultiple,Xm/(1-RAND())^(1/Alpha)))))</f>
        <v>0.37740788713864121</v>
      </c>
      <c r="E122" s="19">
        <f ca="1">IF(RAND()&lt;P_Zero,0,IF(RAND()&lt;CondReturn,_xlfn.LOGNORM.INV(RAND(),MV2,Sigma1),IF(RAND()&lt;CondGood,_xlfn.LOGNORM.INV(RAND(),MV3,Sigma2),MIN(MaxMultiple,Xm/(1-RAND())^(1/Alpha)))))</f>
        <v>1.9923728306865811</v>
      </c>
      <c r="F122" s="19">
        <f ca="1">IF(RAND()&lt;P_Zero,0,IF(RAND()&lt;CondReturn,_xlfn.LOGNORM.INV(RAND(),MV2,Sigma1),IF(RAND()&lt;CondGood,_xlfn.LOGNORM.INV(RAND(),MV3,Sigma2),MIN(MaxMultiple,Xm/(1-RAND())^(1/Alpha)))))</f>
        <v>0</v>
      </c>
      <c r="G122" s="19">
        <f ca="1">IF(RAND()&lt;P_Zero,0,IF(RAND()&lt;CondReturn,_xlfn.LOGNORM.INV(RAND(),MV2,Sigma1),IF(RAND()&lt;CondGood,_xlfn.LOGNORM.INV(RAND(),MV3,Sigma2),MIN(MaxMultiple,Xm/(1-RAND())^(1/Alpha)))))</f>
        <v>0</v>
      </c>
      <c r="H122" s="19">
        <f ca="1">IF(RAND()&lt;P_Zero,0,IF(RAND()&lt;CondReturn,_xlfn.LOGNORM.INV(RAND(),MV2,Sigma1),IF(RAND()&lt;CondGood,_xlfn.LOGNORM.INV(RAND(),MV3,Sigma2),MIN(MaxMultiple,Xm/(1-RAND())^(1/Alpha)))))</f>
        <v>0</v>
      </c>
      <c r="I122" s="19">
        <f ca="1">IF(RAND()&lt;P_Zero,0,IF(RAND()&lt;CondReturn,_xlfn.LOGNORM.INV(RAND(),MV2,Sigma1),IF(RAND()&lt;CondGood,_xlfn.LOGNORM.INV(RAND(),MV3,Sigma2),MIN(MaxMultiple,Xm/(1-RAND())^(1/Alpha)))))</f>
        <v>0</v>
      </c>
      <c r="J122" s="19">
        <f ca="1">IF(RAND()&lt;P_Zero,0,IF(RAND()&lt;CondReturn,_xlfn.LOGNORM.INV(RAND(),MV2,Sigma1),IF(RAND()&lt;CondGood,_xlfn.LOGNORM.INV(RAND(),MV3,Sigma2),MIN(MaxMultiple,Xm/(1-RAND())^(1/Alpha)))))</f>
        <v>177.44234790887879</v>
      </c>
      <c r="K122" s="19">
        <f ca="1">IF(RAND()&lt;P_Zero,0,IF(RAND()&lt;CondReturn,_xlfn.LOGNORM.INV(RAND(),MV2,Sigma1),IF(RAND()&lt;CondGood,_xlfn.LOGNORM.INV(RAND(),MV3,Sigma2),MIN(MaxMultiple,Xm/(1-RAND())^(1/Alpha)))))</f>
        <v>0.93843353955430397</v>
      </c>
      <c r="L122" s="19">
        <f ca="1">IF(RAND()&lt;P_Zero,0,IF(RAND()&lt;CondReturn,_xlfn.LOGNORM.INV(RAND(),MV2,Sigma1),IF(RAND()&lt;CondGood,_xlfn.LOGNORM.INV(RAND(),MV3,Sigma2),MIN(MaxMultiple,Xm/(1-RAND())^(1/Alpha)))))</f>
        <v>1.0757315122160527</v>
      </c>
      <c r="M122" s="19">
        <f ca="1">IF(RAND()&lt;P_Zero,0,IF(RAND()&lt;CondReturn,_xlfn.LOGNORM.INV(RAND(),MV2,Sigma1),IF(RAND()&lt;CondGood,_xlfn.LOGNORM.INV(RAND(),MV3,Sigma2),MIN(MaxMultiple,Xm/(1-RAND())^(1/Alpha)))))</f>
        <v>0</v>
      </c>
      <c r="N122" s="19">
        <f ca="1">IF(RAND()&lt;P_Zero,0,IF(RAND()&lt;CondReturn,_xlfn.LOGNORM.INV(RAND(),MV2,Sigma1),IF(RAND()&lt;CondGood,_xlfn.LOGNORM.INV(RAND(),MV3,Sigma2),MIN(MaxMultiple,Xm/(1-RAND())^(1/Alpha)))))</f>
        <v>190.29012810461367</v>
      </c>
      <c r="O122" s="19">
        <f ca="1">IF(RAND()&lt;P_Zero,0,IF(RAND()&lt;CondReturn,_xlfn.LOGNORM.INV(RAND(),MV2,Sigma1),IF(RAND()&lt;CondGood,_xlfn.LOGNORM.INV(RAND(),MV3,Sigma2),MIN(MaxMultiple,Xm/(1-RAND())^(1/Alpha)))))</f>
        <v>0.72828720920476053</v>
      </c>
      <c r="P122" s="19">
        <f ca="1">IF(RAND()&lt;P_Zero,0,IF(RAND()&lt;CondReturn,_xlfn.LOGNORM.INV(RAND(),MV2,Sigma1),IF(RAND()&lt;CondGood,_xlfn.LOGNORM.INV(RAND(),MV3,Sigma2),MIN(MaxMultiple,Xm/(1-RAND())^(1/Alpha)))))</f>
        <v>0</v>
      </c>
      <c r="Q122" s="19">
        <f ca="1">IF(RAND()&lt;P_Zero,0,IF(RAND()&lt;CondReturn,_xlfn.LOGNORM.INV(RAND(),MV2,Sigma1),IF(RAND()&lt;CondGood,_xlfn.LOGNORM.INV(RAND(),MV3,Sigma2),MIN(MaxMultiple,Xm/(1-RAND())^(1/Alpha)))))</f>
        <v>0</v>
      </c>
      <c r="R122" s="19">
        <f ca="1">IF(RAND()&lt;P_Zero,0,IF(RAND()&lt;CondReturn,_xlfn.LOGNORM.INV(RAND(),MV2,Sigma1),IF(RAND()&lt;CondGood,_xlfn.LOGNORM.INV(RAND(),MV3,Sigma2),MIN(MaxMultiple,Xm/(1-RAND())^(1/Alpha)))))</f>
        <v>0</v>
      </c>
      <c r="S122" s="19">
        <f ca="1">IF(RAND()&lt;P_Zero,0,IF(RAND()&lt;CondReturn,_xlfn.LOGNORM.INV(RAND(),MV2,Sigma1),IF(RAND()&lt;CondGood,_xlfn.LOGNORM.INV(RAND(),MV3,Sigma2),MIN(MaxMultiple,Xm/(1-RAND())^(1/Alpha)))))</f>
        <v>0</v>
      </c>
      <c r="T122" s="19">
        <f ca="1">IF(RAND()&lt;P_Zero,0,IF(RAND()&lt;CondReturn,_xlfn.LOGNORM.INV(RAND(),MV2,Sigma1),IF(RAND()&lt;CondGood,_xlfn.LOGNORM.INV(RAND(),MV3,Sigma2),MIN(MaxMultiple,Xm/(1-RAND())^(1/Alpha)))))</f>
        <v>1.124961940197774</v>
      </c>
      <c r="U122" s="19">
        <f ca="1">IF(RAND()&lt;P_Zero,0,IF(RAND()&lt;CondReturn,_xlfn.LOGNORM.INV(RAND(),MV2,Sigma1),IF(RAND()&lt;CondGood,_xlfn.LOGNORM.INV(RAND(),MV3,Sigma2),MIN(MaxMultiple,Xm/(1-RAND())^(1/Alpha)))))</f>
        <v>0.80979601393281386</v>
      </c>
      <c r="V122" s="19">
        <f ca="1">IF(RAND()&lt;P_Zero,0,IF(RAND()&lt;CondReturn,_xlfn.LOGNORM.INV(RAND(),MV2,Sigma1),IF(RAND()&lt;CondGood,_xlfn.LOGNORM.INV(RAND(),MV3,Sigma2),MIN(MaxMultiple,Xm/(1-RAND())^(1/Alpha)))))</f>
        <v>0</v>
      </c>
      <c r="W122" s="19">
        <f ca="1">IF(RAND()&lt;P_Zero,0,IF(RAND()&lt;CondReturn,_xlfn.LOGNORM.INV(RAND(),MV2,Sigma1),IF(RAND()&lt;CondGood,_xlfn.LOGNORM.INV(RAND(),MV3,Sigma2),MIN(MaxMultiple,Xm/(1-RAND())^(1/Alpha)))))</f>
        <v>0</v>
      </c>
      <c r="X122" s="19">
        <f ca="1">IF(RAND()&lt;P_Zero,0,IF(RAND()&lt;CondReturn,_xlfn.LOGNORM.INV(RAND(),MV2,Sigma1),IF(RAND()&lt;CondGood,_xlfn.LOGNORM.INV(RAND(),MV3,Sigma2),MIN(MaxMultiple,Xm/(1-RAND())^(1/Alpha)))))</f>
        <v>0.92266410956149914</v>
      </c>
      <c r="Y122" s="19">
        <f ca="1">IF(RAND()&lt;P_Zero,0,IF(RAND()&lt;CondReturn,_xlfn.LOGNORM.INV(RAND(),MV2,Sigma1),IF(RAND()&lt;CondGood,_xlfn.LOGNORM.INV(RAND(),MV3,Sigma2),MIN(MaxMultiple,Xm/(1-RAND())^(1/Alpha)))))</f>
        <v>0</v>
      </c>
      <c r="Z122" s="19">
        <f ca="1">IF(RAND()&lt;P_Zero,0,IF(RAND()&lt;CondReturn,_xlfn.LOGNORM.INV(RAND(),MV2,Sigma1),IF(RAND()&lt;CondGood,_xlfn.LOGNORM.INV(RAND(),MV3,Sigma2),MIN(MaxMultiple,Xm/(1-RAND())^(1/Alpha)))))</f>
        <v>10.116903532188765</v>
      </c>
      <c r="AA122" s="19">
        <f ca="1">IF(RAND()&lt;P_Zero,0,IF(RAND()&lt;CondReturn,_xlfn.LOGNORM.INV(RAND(),MV2,Sigma1),IF(RAND()&lt;CondGood,_xlfn.LOGNORM.INV(RAND(),MV3,Sigma2),MIN(MaxMultiple,Xm/(1-RAND())^(1/Alpha)))))</f>
        <v>0.95045911308597797</v>
      </c>
      <c r="AB122" s="19">
        <f t="shared" ca="1" si="8"/>
        <v>15.470779748050386</v>
      </c>
      <c r="AC122" s="14">
        <f t="shared" ca="1" si="9"/>
        <v>742597427.90641856</v>
      </c>
      <c r="AD122" s="14">
        <f t="shared" ca="1" si="10"/>
        <v>694597427.90641856</v>
      </c>
      <c r="AE122" s="14">
        <f t="shared" si="11"/>
        <v>55628399.869093813</v>
      </c>
      <c r="AF122" s="14">
        <f t="shared" ca="1" si="12"/>
        <v>638969028.03732479</v>
      </c>
      <c r="AG122" s="14">
        <f t="shared" ca="1" si="13"/>
        <v>127793805.60746497</v>
      </c>
      <c r="AH122" s="14">
        <f t="shared" ca="1" si="14"/>
        <v>614803622.29895353</v>
      </c>
      <c r="AI122" s="19">
        <f t="shared" ca="1" si="15"/>
        <v>10.246727038315893</v>
      </c>
    </row>
    <row r="123" spans="2:35" x14ac:dyDescent="0.2">
      <c r="B123" s="1">
        <v>118</v>
      </c>
      <c r="C123" s="19">
        <f ca="1">IF(RAND()&lt;P_Zero,0,IF(RAND()&lt;CondReturn,_xlfn.LOGNORM.INV(RAND(),MV2,Sigma1),IF(RAND()&lt;CondGood,_xlfn.LOGNORM.INV(RAND(),MV3,Sigma2),MIN(MaxMultiple,Xm/(1-RAND())^(1/Alpha)))))</f>
        <v>13.352147410281004</v>
      </c>
      <c r="D123" s="19">
        <f ca="1">IF(RAND()&lt;P_Zero,0,IF(RAND()&lt;CondReturn,_xlfn.LOGNORM.INV(RAND(),MV2,Sigma1),IF(RAND()&lt;CondGood,_xlfn.LOGNORM.INV(RAND(),MV3,Sigma2),MIN(MaxMultiple,Xm/(1-RAND())^(1/Alpha)))))</f>
        <v>2.2891241705455441</v>
      </c>
      <c r="E123" s="19">
        <f ca="1">IF(RAND()&lt;P_Zero,0,IF(RAND()&lt;CondReturn,_xlfn.LOGNORM.INV(RAND(),MV2,Sigma1),IF(RAND()&lt;CondGood,_xlfn.LOGNORM.INV(RAND(),MV3,Sigma2),MIN(MaxMultiple,Xm/(1-RAND())^(1/Alpha)))))</f>
        <v>0</v>
      </c>
      <c r="F123" s="19">
        <f ca="1">IF(RAND()&lt;P_Zero,0,IF(RAND()&lt;CondReturn,_xlfn.LOGNORM.INV(RAND(),MV2,Sigma1),IF(RAND()&lt;CondGood,_xlfn.LOGNORM.INV(RAND(),MV3,Sigma2),MIN(MaxMultiple,Xm/(1-RAND())^(1/Alpha)))))</f>
        <v>0.91989630047698256</v>
      </c>
      <c r="G123" s="19">
        <f ca="1">IF(RAND()&lt;P_Zero,0,IF(RAND()&lt;CondReturn,_xlfn.LOGNORM.INV(RAND(),MV2,Sigma1),IF(RAND()&lt;CondGood,_xlfn.LOGNORM.INV(RAND(),MV3,Sigma2),MIN(MaxMultiple,Xm/(1-RAND())^(1/Alpha)))))</f>
        <v>0</v>
      </c>
      <c r="H123" s="19">
        <f ca="1">IF(RAND()&lt;P_Zero,0,IF(RAND()&lt;CondReturn,_xlfn.LOGNORM.INV(RAND(),MV2,Sigma1),IF(RAND()&lt;CondGood,_xlfn.LOGNORM.INV(RAND(),MV3,Sigma2),MIN(MaxMultiple,Xm/(1-RAND())^(1/Alpha)))))</f>
        <v>0</v>
      </c>
      <c r="I123" s="19">
        <f ca="1">IF(RAND()&lt;P_Zero,0,IF(RAND()&lt;CondReturn,_xlfn.LOGNORM.INV(RAND(),MV2,Sigma1),IF(RAND()&lt;CondGood,_xlfn.LOGNORM.INV(RAND(),MV3,Sigma2),MIN(MaxMultiple,Xm/(1-RAND())^(1/Alpha)))))</f>
        <v>0.38096901823627793</v>
      </c>
      <c r="J123" s="19">
        <f ca="1">IF(RAND()&lt;P_Zero,0,IF(RAND()&lt;CondReturn,_xlfn.LOGNORM.INV(RAND(),MV2,Sigma1),IF(RAND()&lt;CondGood,_xlfn.LOGNORM.INV(RAND(),MV3,Sigma2),MIN(MaxMultiple,Xm/(1-RAND())^(1/Alpha)))))</f>
        <v>0</v>
      </c>
      <c r="K123" s="19">
        <f ca="1">IF(RAND()&lt;P_Zero,0,IF(RAND()&lt;CondReturn,_xlfn.LOGNORM.INV(RAND(),MV2,Sigma1),IF(RAND()&lt;CondGood,_xlfn.LOGNORM.INV(RAND(),MV3,Sigma2),MIN(MaxMultiple,Xm/(1-RAND())^(1/Alpha)))))</f>
        <v>0.68182580299976148</v>
      </c>
      <c r="L123" s="19">
        <f ca="1">IF(RAND()&lt;P_Zero,0,IF(RAND()&lt;CondReturn,_xlfn.LOGNORM.INV(RAND(),MV2,Sigma1),IF(RAND()&lt;CondGood,_xlfn.LOGNORM.INV(RAND(),MV3,Sigma2),MIN(MaxMultiple,Xm/(1-RAND())^(1/Alpha)))))</f>
        <v>0.92630702439616075</v>
      </c>
      <c r="M123" s="19">
        <f ca="1">IF(RAND()&lt;P_Zero,0,IF(RAND()&lt;CondReturn,_xlfn.LOGNORM.INV(RAND(),MV2,Sigma1),IF(RAND()&lt;CondGood,_xlfn.LOGNORM.INV(RAND(),MV3,Sigma2),MIN(MaxMultiple,Xm/(1-RAND())^(1/Alpha)))))</f>
        <v>0.46407188970927893</v>
      </c>
      <c r="N123" s="19">
        <f ca="1">IF(RAND()&lt;P_Zero,0,IF(RAND()&lt;CondReturn,_xlfn.LOGNORM.INV(RAND(),MV2,Sigma1),IF(RAND()&lt;CondGood,_xlfn.LOGNORM.INV(RAND(),MV3,Sigma2),MIN(MaxMultiple,Xm/(1-RAND())^(1/Alpha)))))</f>
        <v>0.60380994008511202</v>
      </c>
      <c r="O123" s="19">
        <f ca="1">IF(RAND()&lt;P_Zero,0,IF(RAND()&lt;CondReturn,_xlfn.LOGNORM.INV(RAND(),MV2,Sigma1),IF(RAND()&lt;CondGood,_xlfn.LOGNORM.INV(RAND(),MV3,Sigma2),MIN(MaxMultiple,Xm/(1-RAND())^(1/Alpha)))))</f>
        <v>0.79409380269814445</v>
      </c>
      <c r="P123" s="19">
        <f ca="1">IF(RAND()&lt;P_Zero,0,IF(RAND()&lt;CondReturn,_xlfn.LOGNORM.INV(RAND(),MV2,Sigma1),IF(RAND()&lt;CondGood,_xlfn.LOGNORM.INV(RAND(),MV3,Sigma2),MIN(MaxMultiple,Xm/(1-RAND())^(1/Alpha)))))</f>
        <v>0</v>
      </c>
      <c r="Q123" s="19">
        <f ca="1">IF(RAND()&lt;P_Zero,0,IF(RAND()&lt;CondReturn,_xlfn.LOGNORM.INV(RAND(),MV2,Sigma1),IF(RAND()&lt;CondGood,_xlfn.LOGNORM.INV(RAND(),MV3,Sigma2),MIN(MaxMultiple,Xm/(1-RAND())^(1/Alpha)))))</f>
        <v>2.5513870093021871</v>
      </c>
      <c r="R123" s="19">
        <f ca="1">IF(RAND()&lt;P_Zero,0,IF(RAND()&lt;CondReturn,_xlfn.LOGNORM.INV(RAND(),MV2,Sigma1),IF(RAND()&lt;CondGood,_xlfn.LOGNORM.INV(RAND(),MV3,Sigma2),MIN(MaxMultiple,Xm/(1-RAND())^(1/Alpha)))))</f>
        <v>0.53079083525951021</v>
      </c>
      <c r="S123" s="19">
        <f ca="1">IF(RAND()&lt;P_Zero,0,IF(RAND()&lt;CondReturn,_xlfn.LOGNORM.INV(RAND(),MV2,Sigma1),IF(RAND()&lt;CondGood,_xlfn.LOGNORM.INV(RAND(),MV3,Sigma2),MIN(MaxMultiple,Xm/(1-RAND())^(1/Alpha)))))</f>
        <v>37.226484673679657</v>
      </c>
      <c r="T123" s="19">
        <f ca="1">IF(RAND()&lt;P_Zero,0,IF(RAND()&lt;CondReturn,_xlfn.LOGNORM.INV(RAND(),MV2,Sigma1),IF(RAND()&lt;CondGood,_xlfn.LOGNORM.INV(RAND(),MV3,Sigma2),MIN(MaxMultiple,Xm/(1-RAND())^(1/Alpha)))))</f>
        <v>2.0798963492010079</v>
      </c>
      <c r="U123" s="19">
        <f ca="1">IF(RAND()&lt;P_Zero,0,IF(RAND()&lt;CondReturn,_xlfn.LOGNORM.INV(RAND(),MV2,Sigma1),IF(RAND()&lt;CondGood,_xlfn.LOGNORM.INV(RAND(),MV3,Sigma2),MIN(MaxMultiple,Xm/(1-RAND())^(1/Alpha)))))</f>
        <v>1.5749773641538445</v>
      </c>
      <c r="V123" s="19">
        <f ca="1">IF(RAND()&lt;P_Zero,0,IF(RAND()&lt;CondReturn,_xlfn.LOGNORM.INV(RAND(),MV2,Sigma1),IF(RAND()&lt;CondGood,_xlfn.LOGNORM.INV(RAND(),MV3,Sigma2),MIN(MaxMultiple,Xm/(1-RAND())^(1/Alpha)))))</f>
        <v>1.0799954067270903</v>
      </c>
      <c r="W123" s="19">
        <f ca="1">IF(RAND()&lt;P_Zero,0,IF(RAND()&lt;CondReturn,_xlfn.LOGNORM.INV(RAND(),MV2,Sigma1),IF(RAND()&lt;CondGood,_xlfn.LOGNORM.INV(RAND(),MV3,Sigma2),MIN(MaxMultiple,Xm/(1-RAND())^(1/Alpha)))))</f>
        <v>17.884850501284106</v>
      </c>
      <c r="X123" s="19">
        <f ca="1">IF(RAND()&lt;P_Zero,0,IF(RAND()&lt;CondReturn,_xlfn.LOGNORM.INV(RAND(),MV2,Sigma1),IF(RAND()&lt;CondGood,_xlfn.LOGNORM.INV(RAND(),MV3,Sigma2),MIN(MaxMultiple,Xm/(1-RAND())^(1/Alpha)))))</f>
        <v>1.2014224465718892</v>
      </c>
      <c r="Y123" s="19">
        <f ca="1">IF(RAND()&lt;P_Zero,0,IF(RAND()&lt;CondReturn,_xlfn.LOGNORM.INV(RAND(),MV2,Sigma1),IF(RAND()&lt;CondGood,_xlfn.LOGNORM.INV(RAND(),MV3,Sigma2),MIN(MaxMultiple,Xm/(1-RAND())^(1/Alpha)))))</f>
        <v>0</v>
      </c>
      <c r="Z123" s="19">
        <f ca="1">IF(RAND()&lt;P_Zero,0,IF(RAND()&lt;CondReturn,_xlfn.LOGNORM.INV(RAND(),MV2,Sigma1),IF(RAND()&lt;CondGood,_xlfn.LOGNORM.INV(RAND(),MV3,Sigma2),MIN(MaxMultiple,Xm/(1-RAND())^(1/Alpha)))))</f>
        <v>0.65510683117700907</v>
      </c>
      <c r="AA123" s="19">
        <f ca="1">IF(RAND()&lt;P_Zero,0,IF(RAND()&lt;CondReturn,_xlfn.LOGNORM.INV(RAND(),MV2,Sigma1),IF(RAND()&lt;CondGood,_xlfn.LOGNORM.INV(RAND(),MV3,Sigma2),MIN(MaxMultiple,Xm/(1-RAND())^(1/Alpha)))))</f>
        <v>1.5396458822550447</v>
      </c>
      <c r="AB123" s="19">
        <f t="shared" ca="1" si="8"/>
        <v>3.4694721063615841</v>
      </c>
      <c r="AC123" s="14">
        <f t="shared" ca="1" si="9"/>
        <v>166534661.10535604</v>
      </c>
      <c r="AD123" s="14">
        <f t="shared" ca="1" si="10"/>
        <v>118534661.10535604</v>
      </c>
      <c r="AE123" s="14">
        <f t="shared" si="11"/>
        <v>55628399.869093813</v>
      </c>
      <c r="AF123" s="14">
        <f t="shared" ca="1" si="12"/>
        <v>62906261.236262225</v>
      </c>
      <c r="AG123" s="14">
        <f t="shared" ca="1" si="13"/>
        <v>12581252.247252446</v>
      </c>
      <c r="AH123" s="14">
        <f t="shared" ca="1" si="14"/>
        <v>153953408.8581036</v>
      </c>
      <c r="AI123" s="19">
        <f t="shared" ca="1" si="15"/>
        <v>2.5658901476350602</v>
      </c>
    </row>
    <row r="124" spans="2:35" x14ac:dyDescent="0.2">
      <c r="B124" s="1">
        <v>119</v>
      </c>
      <c r="C124" s="19">
        <f ca="1">IF(RAND()&lt;P_Zero,0,IF(RAND()&lt;CondReturn,_xlfn.LOGNORM.INV(RAND(),MV2,Sigma1),IF(RAND()&lt;CondGood,_xlfn.LOGNORM.INV(RAND(),MV3,Sigma2),MIN(MaxMultiple,Xm/(1-RAND())^(1/Alpha)))))</f>
        <v>0</v>
      </c>
      <c r="D124" s="19">
        <f ca="1">IF(RAND()&lt;P_Zero,0,IF(RAND()&lt;CondReturn,_xlfn.LOGNORM.INV(RAND(),MV2,Sigma1),IF(RAND()&lt;CondGood,_xlfn.LOGNORM.INV(RAND(),MV3,Sigma2),MIN(MaxMultiple,Xm/(1-RAND())^(1/Alpha)))))</f>
        <v>0</v>
      </c>
      <c r="E124" s="19">
        <f ca="1">IF(RAND()&lt;P_Zero,0,IF(RAND()&lt;CondReturn,_xlfn.LOGNORM.INV(RAND(),MV2,Sigma1),IF(RAND()&lt;CondGood,_xlfn.LOGNORM.INV(RAND(),MV3,Sigma2),MIN(MaxMultiple,Xm/(1-RAND())^(1/Alpha)))))</f>
        <v>0</v>
      </c>
      <c r="F124" s="19">
        <f ca="1">IF(RAND()&lt;P_Zero,0,IF(RAND()&lt;CondReturn,_xlfn.LOGNORM.INV(RAND(),MV2,Sigma1),IF(RAND()&lt;CondGood,_xlfn.LOGNORM.INV(RAND(),MV3,Sigma2),MIN(MaxMultiple,Xm/(1-RAND())^(1/Alpha)))))</f>
        <v>0.69320957541021266</v>
      </c>
      <c r="G124" s="19">
        <f ca="1">IF(RAND()&lt;P_Zero,0,IF(RAND()&lt;CondReturn,_xlfn.LOGNORM.INV(RAND(),MV2,Sigma1),IF(RAND()&lt;CondGood,_xlfn.LOGNORM.INV(RAND(),MV3,Sigma2),MIN(MaxMultiple,Xm/(1-RAND())^(1/Alpha)))))</f>
        <v>0</v>
      </c>
      <c r="H124" s="19">
        <f ca="1">IF(RAND()&lt;P_Zero,0,IF(RAND()&lt;CondReturn,_xlfn.LOGNORM.INV(RAND(),MV2,Sigma1),IF(RAND()&lt;CondGood,_xlfn.LOGNORM.INV(RAND(),MV3,Sigma2),MIN(MaxMultiple,Xm/(1-RAND())^(1/Alpha)))))</f>
        <v>0.32992602647278341</v>
      </c>
      <c r="I124" s="19">
        <f ca="1">IF(RAND()&lt;P_Zero,0,IF(RAND()&lt;CondReturn,_xlfn.LOGNORM.INV(RAND(),MV2,Sigma1),IF(RAND()&lt;CondGood,_xlfn.LOGNORM.INV(RAND(),MV3,Sigma2),MIN(MaxMultiple,Xm/(1-RAND())^(1/Alpha)))))</f>
        <v>0</v>
      </c>
      <c r="J124" s="19">
        <f ca="1">IF(RAND()&lt;P_Zero,0,IF(RAND()&lt;CondReturn,_xlfn.LOGNORM.INV(RAND(),MV2,Sigma1),IF(RAND()&lt;CondGood,_xlfn.LOGNORM.INV(RAND(),MV3,Sigma2),MIN(MaxMultiple,Xm/(1-RAND())^(1/Alpha)))))</f>
        <v>0</v>
      </c>
      <c r="K124" s="19">
        <f ca="1">IF(RAND()&lt;P_Zero,0,IF(RAND()&lt;CondReturn,_xlfn.LOGNORM.INV(RAND(),MV2,Sigma1),IF(RAND()&lt;CondGood,_xlfn.LOGNORM.INV(RAND(),MV3,Sigma2),MIN(MaxMultiple,Xm/(1-RAND())^(1/Alpha)))))</f>
        <v>27.052364469080516</v>
      </c>
      <c r="L124" s="19">
        <f ca="1">IF(RAND()&lt;P_Zero,0,IF(RAND()&lt;CondReturn,_xlfn.LOGNORM.INV(RAND(),MV2,Sigma1),IF(RAND()&lt;CondGood,_xlfn.LOGNORM.INV(RAND(),MV3,Sigma2),MIN(MaxMultiple,Xm/(1-RAND())^(1/Alpha)))))</f>
        <v>0.43276972227342919</v>
      </c>
      <c r="M124" s="19">
        <f ca="1">IF(RAND()&lt;P_Zero,0,IF(RAND()&lt;CondReturn,_xlfn.LOGNORM.INV(RAND(),MV2,Sigma1),IF(RAND()&lt;CondGood,_xlfn.LOGNORM.INV(RAND(),MV3,Sigma2),MIN(MaxMultiple,Xm/(1-RAND())^(1/Alpha)))))</f>
        <v>0</v>
      </c>
      <c r="N124" s="19">
        <f ca="1">IF(RAND()&lt;P_Zero,0,IF(RAND()&lt;CondReturn,_xlfn.LOGNORM.INV(RAND(),MV2,Sigma1),IF(RAND()&lt;CondGood,_xlfn.LOGNORM.INV(RAND(),MV3,Sigma2),MIN(MaxMultiple,Xm/(1-RAND())^(1/Alpha)))))</f>
        <v>0.93419972244851868</v>
      </c>
      <c r="O124" s="19">
        <f ca="1">IF(RAND()&lt;P_Zero,0,IF(RAND()&lt;CondReturn,_xlfn.LOGNORM.INV(RAND(),MV2,Sigma1),IF(RAND()&lt;CondGood,_xlfn.LOGNORM.INV(RAND(),MV3,Sigma2),MIN(MaxMultiple,Xm/(1-RAND())^(1/Alpha)))))</f>
        <v>1.2352852944777384</v>
      </c>
      <c r="P124" s="19">
        <f ca="1">IF(RAND()&lt;P_Zero,0,IF(RAND()&lt;CondReturn,_xlfn.LOGNORM.INV(RAND(),MV2,Sigma1),IF(RAND()&lt;CondGood,_xlfn.LOGNORM.INV(RAND(),MV3,Sigma2),MIN(MaxMultiple,Xm/(1-RAND())^(1/Alpha)))))</f>
        <v>0</v>
      </c>
      <c r="Q124" s="19">
        <f ca="1">IF(RAND()&lt;P_Zero,0,IF(RAND()&lt;CondReturn,_xlfn.LOGNORM.INV(RAND(),MV2,Sigma1),IF(RAND()&lt;CondGood,_xlfn.LOGNORM.INV(RAND(),MV3,Sigma2),MIN(MaxMultiple,Xm/(1-RAND())^(1/Alpha)))))</f>
        <v>0.83135674467733489</v>
      </c>
      <c r="R124" s="19">
        <f ca="1">IF(RAND()&lt;P_Zero,0,IF(RAND()&lt;CondReturn,_xlfn.LOGNORM.INV(RAND(),MV2,Sigma1),IF(RAND()&lt;CondGood,_xlfn.LOGNORM.INV(RAND(),MV3,Sigma2),MIN(MaxMultiple,Xm/(1-RAND())^(1/Alpha)))))</f>
        <v>0.81796282287164779</v>
      </c>
      <c r="S124" s="19">
        <f ca="1">IF(RAND()&lt;P_Zero,0,IF(RAND()&lt;CondReturn,_xlfn.LOGNORM.INV(RAND(),MV2,Sigma1),IF(RAND()&lt;CondGood,_xlfn.LOGNORM.INV(RAND(),MV3,Sigma2),MIN(MaxMultiple,Xm/(1-RAND())^(1/Alpha)))))</f>
        <v>0</v>
      </c>
      <c r="T124" s="19">
        <f ca="1">IF(RAND()&lt;P_Zero,0,IF(RAND()&lt;CondReturn,_xlfn.LOGNORM.INV(RAND(),MV2,Sigma1),IF(RAND()&lt;CondGood,_xlfn.LOGNORM.INV(RAND(),MV3,Sigma2),MIN(MaxMultiple,Xm/(1-RAND())^(1/Alpha)))))</f>
        <v>0</v>
      </c>
      <c r="U124" s="19">
        <f ca="1">IF(RAND()&lt;P_Zero,0,IF(RAND()&lt;CondReturn,_xlfn.LOGNORM.INV(RAND(),MV2,Sigma1),IF(RAND()&lt;CondGood,_xlfn.LOGNORM.INV(RAND(),MV3,Sigma2),MIN(MaxMultiple,Xm/(1-RAND())^(1/Alpha)))))</f>
        <v>0</v>
      </c>
      <c r="V124" s="19">
        <f ca="1">IF(RAND()&lt;P_Zero,0,IF(RAND()&lt;CondReturn,_xlfn.LOGNORM.INV(RAND(),MV2,Sigma1),IF(RAND()&lt;CondGood,_xlfn.LOGNORM.INV(RAND(),MV3,Sigma2),MIN(MaxMultiple,Xm/(1-RAND())^(1/Alpha)))))</f>
        <v>0</v>
      </c>
      <c r="W124" s="19">
        <f ca="1">IF(RAND()&lt;P_Zero,0,IF(RAND()&lt;CondReturn,_xlfn.LOGNORM.INV(RAND(),MV2,Sigma1),IF(RAND()&lt;CondGood,_xlfn.LOGNORM.INV(RAND(),MV3,Sigma2),MIN(MaxMultiple,Xm/(1-RAND())^(1/Alpha)))))</f>
        <v>0.82881326578676728</v>
      </c>
      <c r="X124" s="19">
        <f ca="1">IF(RAND()&lt;P_Zero,0,IF(RAND()&lt;CondReturn,_xlfn.LOGNORM.INV(RAND(),MV2,Sigma1),IF(RAND()&lt;CondGood,_xlfn.LOGNORM.INV(RAND(),MV3,Sigma2),MIN(MaxMultiple,Xm/(1-RAND())^(1/Alpha)))))</f>
        <v>0</v>
      </c>
      <c r="Y124" s="19">
        <f ca="1">IF(RAND()&lt;P_Zero,0,IF(RAND()&lt;CondReturn,_xlfn.LOGNORM.INV(RAND(),MV2,Sigma1),IF(RAND()&lt;CondGood,_xlfn.LOGNORM.INV(RAND(),MV3,Sigma2),MIN(MaxMultiple,Xm/(1-RAND())^(1/Alpha)))))</f>
        <v>1.5255155095141337</v>
      </c>
      <c r="Z124" s="19">
        <f ca="1">IF(RAND()&lt;P_Zero,0,IF(RAND()&lt;CondReturn,_xlfn.LOGNORM.INV(RAND(),MV2,Sigma1),IF(RAND()&lt;CondGood,_xlfn.LOGNORM.INV(RAND(),MV3,Sigma2),MIN(MaxMultiple,Xm/(1-RAND())^(1/Alpha)))))</f>
        <v>0</v>
      </c>
      <c r="AA124" s="19">
        <f ca="1">IF(RAND()&lt;P_Zero,0,IF(RAND()&lt;CondReturn,_xlfn.LOGNORM.INV(RAND(),MV2,Sigma1),IF(RAND()&lt;CondGood,_xlfn.LOGNORM.INV(RAND(),MV3,Sigma2),MIN(MaxMultiple,Xm/(1-RAND())^(1/Alpha)))))</f>
        <v>0</v>
      </c>
      <c r="AB124" s="19">
        <f t="shared" ca="1" si="8"/>
        <v>1.3872561261205234</v>
      </c>
      <c r="AC124" s="14">
        <f t="shared" ca="1" si="9"/>
        <v>66588294.053785123</v>
      </c>
      <c r="AD124" s="14">
        <f t="shared" ca="1" si="10"/>
        <v>18588294.053785123</v>
      </c>
      <c r="AE124" s="14">
        <f t="shared" si="11"/>
        <v>55628399.869093813</v>
      </c>
      <c r="AF124" s="14">
        <f t="shared" ca="1" si="12"/>
        <v>0</v>
      </c>
      <c r="AG124" s="14">
        <f t="shared" ca="1" si="13"/>
        <v>0</v>
      </c>
      <c r="AH124" s="14">
        <f t="shared" ca="1" si="14"/>
        <v>66588294.053785123</v>
      </c>
      <c r="AI124" s="19">
        <f t="shared" ca="1" si="15"/>
        <v>1.1098049008964188</v>
      </c>
    </row>
    <row r="125" spans="2:35" x14ac:dyDescent="0.2">
      <c r="B125" s="1">
        <v>120</v>
      </c>
      <c r="C125" s="19">
        <f ca="1">IF(RAND()&lt;P_Zero,0,IF(RAND()&lt;CondReturn,_xlfn.LOGNORM.INV(RAND(),MV2,Sigma1),IF(RAND()&lt;CondGood,_xlfn.LOGNORM.INV(RAND(),MV3,Sigma2),MIN(MaxMultiple,Xm/(1-RAND())^(1/Alpha)))))</f>
        <v>11.620943801152897</v>
      </c>
      <c r="D125" s="19">
        <f ca="1">IF(RAND()&lt;P_Zero,0,IF(RAND()&lt;CondReturn,_xlfn.LOGNORM.INV(RAND(),MV2,Sigma1),IF(RAND()&lt;CondGood,_xlfn.LOGNORM.INV(RAND(),MV3,Sigma2),MIN(MaxMultiple,Xm/(1-RAND())^(1/Alpha)))))</f>
        <v>0.991947162517824</v>
      </c>
      <c r="E125" s="19">
        <f ca="1">IF(RAND()&lt;P_Zero,0,IF(RAND()&lt;CondReturn,_xlfn.LOGNORM.INV(RAND(),MV2,Sigma1),IF(RAND()&lt;CondGood,_xlfn.LOGNORM.INV(RAND(),MV3,Sigma2),MIN(MaxMultiple,Xm/(1-RAND())^(1/Alpha)))))</f>
        <v>0</v>
      </c>
      <c r="F125" s="19">
        <f ca="1">IF(RAND()&lt;P_Zero,0,IF(RAND()&lt;CondReturn,_xlfn.LOGNORM.INV(RAND(),MV2,Sigma1),IF(RAND()&lt;CondGood,_xlfn.LOGNORM.INV(RAND(),MV3,Sigma2),MIN(MaxMultiple,Xm/(1-RAND())^(1/Alpha)))))</f>
        <v>0.95979792187096802</v>
      </c>
      <c r="G125" s="19">
        <f ca="1">IF(RAND()&lt;P_Zero,0,IF(RAND()&lt;CondReturn,_xlfn.LOGNORM.INV(RAND(),MV2,Sigma1),IF(RAND()&lt;CondGood,_xlfn.LOGNORM.INV(RAND(),MV3,Sigma2),MIN(MaxMultiple,Xm/(1-RAND())^(1/Alpha)))))</f>
        <v>0</v>
      </c>
      <c r="H125" s="19">
        <f ca="1">IF(RAND()&lt;P_Zero,0,IF(RAND()&lt;CondReturn,_xlfn.LOGNORM.INV(RAND(),MV2,Sigma1),IF(RAND()&lt;CondGood,_xlfn.LOGNORM.INV(RAND(),MV3,Sigma2),MIN(MaxMultiple,Xm/(1-RAND())^(1/Alpha)))))</f>
        <v>0.81869657807398144</v>
      </c>
      <c r="I125" s="19">
        <f ca="1">IF(RAND()&lt;P_Zero,0,IF(RAND()&lt;CondReturn,_xlfn.LOGNORM.INV(RAND(),MV2,Sigma1),IF(RAND()&lt;CondGood,_xlfn.LOGNORM.INV(RAND(),MV3,Sigma2),MIN(MaxMultiple,Xm/(1-RAND())^(1/Alpha)))))</f>
        <v>0</v>
      </c>
      <c r="J125" s="19">
        <f ca="1">IF(RAND()&lt;P_Zero,0,IF(RAND()&lt;CondReturn,_xlfn.LOGNORM.INV(RAND(),MV2,Sigma1),IF(RAND()&lt;CondGood,_xlfn.LOGNORM.INV(RAND(),MV3,Sigma2),MIN(MaxMultiple,Xm/(1-RAND())^(1/Alpha)))))</f>
        <v>0.84251446988700185</v>
      </c>
      <c r="K125" s="19">
        <f ca="1">IF(RAND()&lt;P_Zero,0,IF(RAND()&lt;CondReturn,_xlfn.LOGNORM.INV(RAND(),MV2,Sigma1),IF(RAND()&lt;CondGood,_xlfn.LOGNORM.INV(RAND(),MV3,Sigma2),MIN(MaxMultiple,Xm/(1-RAND())^(1/Alpha)))))</f>
        <v>0</v>
      </c>
      <c r="L125" s="19">
        <f ca="1">IF(RAND()&lt;P_Zero,0,IF(RAND()&lt;CondReturn,_xlfn.LOGNORM.INV(RAND(),MV2,Sigma1),IF(RAND()&lt;CondGood,_xlfn.LOGNORM.INV(RAND(),MV3,Sigma2),MIN(MaxMultiple,Xm/(1-RAND())^(1/Alpha)))))</f>
        <v>0.8485621017275321</v>
      </c>
      <c r="M125" s="19">
        <f ca="1">IF(RAND()&lt;P_Zero,0,IF(RAND()&lt;CondReturn,_xlfn.LOGNORM.INV(RAND(),MV2,Sigma1),IF(RAND()&lt;CondGood,_xlfn.LOGNORM.INV(RAND(),MV3,Sigma2),MIN(MaxMultiple,Xm/(1-RAND())^(1/Alpha)))))</f>
        <v>0</v>
      </c>
      <c r="N125" s="19">
        <f ca="1">IF(RAND()&lt;P_Zero,0,IF(RAND()&lt;CondReturn,_xlfn.LOGNORM.INV(RAND(),MV2,Sigma1),IF(RAND()&lt;CondGood,_xlfn.LOGNORM.INV(RAND(),MV3,Sigma2),MIN(MaxMultiple,Xm/(1-RAND())^(1/Alpha)))))</f>
        <v>1.7805146955223206</v>
      </c>
      <c r="O125" s="19">
        <f ca="1">IF(RAND()&lt;P_Zero,0,IF(RAND()&lt;CondReturn,_xlfn.LOGNORM.INV(RAND(),MV2,Sigma1),IF(RAND()&lt;CondGood,_xlfn.LOGNORM.INV(RAND(),MV3,Sigma2),MIN(MaxMultiple,Xm/(1-RAND())^(1/Alpha)))))</f>
        <v>0.86316738694794148</v>
      </c>
      <c r="P125" s="19">
        <f ca="1">IF(RAND()&lt;P_Zero,0,IF(RAND()&lt;CondReturn,_xlfn.LOGNORM.INV(RAND(),MV2,Sigma1),IF(RAND()&lt;CondGood,_xlfn.LOGNORM.INV(RAND(),MV3,Sigma2),MIN(MaxMultiple,Xm/(1-RAND())^(1/Alpha)))))</f>
        <v>4.3734763922268316</v>
      </c>
      <c r="Q125" s="19">
        <f ca="1">IF(RAND()&lt;P_Zero,0,IF(RAND()&lt;CondReturn,_xlfn.LOGNORM.INV(RAND(),MV2,Sigma1),IF(RAND()&lt;CondGood,_xlfn.LOGNORM.INV(RAND(),MV3,Sigma2),MIN(MaxMultiple,Xm/(1-RAND())^(1/Alpha)))))</f>
        <v>0</v>
      </c>
      <c r="R125" s="19">
        <f ca="1">IF(RAND()&lt;P_Zero,0,IF(RAND()&lt;CondReturn,_xlfn.LOGNORM.INV(RAND(),MV2,Sigma1),IF(RAND()&lt;CondGood,_xlfn.LOGNORM.INV(RAND(),MV3,Sigma2),MIN(MaxMultiple,Xm/(1-RAND())^(1/Alpha)))))</f>
        <v>1.2212157851174745</v>
      </c>
      <c r="S125" s="19">
        <f ca="1">IF(RAND()&lt;P_Zero,0,IF(RAND()&lt;CondReturn,_xlfn.LOGNORM.INV(RAND(),MV2,Sigma1),IF(RAND()&lt;CondGood,_xlfn.LOGNORM.INV(RAND(),MV3,Sigma2),MIN(MaxMultiple,Xm/(1-RAND())^(1/Alpha)))))</f>
        <v>0</v>
      </c>
      <c r="T125" s="19">
        <f ca="1">IF(RAND()&lt;P_Zero,0,IF(RAND()&lt;CondReturn,_xlfn.LOGNORM.INV(RAND(),MV2,Sigma1),IF(RAND()&lt;CondGood,_xlfn.LOGNORM.INV(RAND(),MV3,Sigma2),MIN(MaxMultiple,Xm/(1-RAND())^(1/Alpha)))))</f>
        <v>0</v>
      </c>
      <c r="U125" s="19">
        <f ca="1">IF(RAND()&lt;P_Zero,0,IF(RAND()&lt;CondReturn,_xlfn.LOGNORM.INV(RAND(),MV2,Sigma1),IF(RAND()&lt;CondGood,_xlfn.LOGNORM.INV(RAND(),MV3,Sigma2),MIN(MaxMultiple,Xm/(1-RAND())^(1/Alpha)))))</f>
        <v>0.50383604400903992</v>
      </c>
      <c r="V125" s="19">
        <f ca="1">IF(RAND()&lt;P_Zero,0,IF(RAND()&lt;CondReturn,_xlfn.LOGNORM.INV(RAND(),MV2,Sigma1),IF(RAND()&lt;CondGood,_xlfn.LOGNORM.INV(RAND(),MV3,Sigma2),MIN(MaxMultiple,Xm/(1-RAND())^(1/Alpha)))))</f>
        <v>1.4763398437479449</v>
      </c>
      <c r="W125" s="19">
        <f ca="1">IF(RAND()&lt;P_Zero,0,IF(RAND()&lt;CondReturn,_xlfn.LOGNORM.INV(RAND(),MV2,Sigma1),IF(RAND()&lt;CondGood,_xlfn.LOGNORM.INV(RAND(),MV3,Sigma2),MIN(MaxMultiple,Xm/(1-RAND())^(1/Alpha)))))</f>
        <v>1.0862055749042965</v>
      </c>
      <c r="X125" s="19">
        <f ca="1">IF(RAND()&lt;P_Zero,0,IF(RAND()&lt;CondReturn,_xlfn.LOGNORM.INV(RAND(),MV2,Sigma1),IF(RAND()&lt;CondGood,_xlfn.LOGNORM.INV(RAND(),MV3,Sigma2),MIN(MaxMultiple,Xm/(1-RAND())^(1/Alpha)))))</f>
        <v>0</v>
      </c>
      <c r="Y125" s="19">
        <f ca="1">IF(RAND()&lt;P_Zero,0,IF(RAND()&lt;CondReturn,_xlfn.LOGNORM.INV(RAND(),MV2,Sigma1),IF(RAND()&lt;CondGood,_xlfn.LOGNORM.INV(RAND(),MV3,Sigma2),MIN(MaxMultiple,Xm/(1-RAND())^(1/Alpha)))))</f>
        <v>0</v>
      </c>
      <c r="Z125" s="19">
        <f ca="1">IF(RAND()&lt;P_Zero,0,IF(RAND()&lt;CondReturn,_xlfn.LOGNORM.INV(RAND(),MV2,Sigma1),IF(RAND()&lt;CondGood,_xlfn.LOGNORM.INV(RAND(),MV3,Sigma2),MIN(MaxMultiple,Xm/(1-RAND())^(1/Alpha)))))</f>
        <v>0</v>
      </c>
      <c r="AA125" s="19">
        <f ca="1">IF(RAND()&lt;P_Zero,0,IF(RAND()&lt;CondReturn,_xlfn.LOGNORM.INV(RAND(),MV2,Sigma1),IF(RAND()&lt;CondGood,_xlfn.LOGNORM.INV(RAND(),MV3,Sigma2),MIN(MaxMultiple,Xm/(1-RAND())^(1/Alpha)))))</f>
        <v>0</v>
      </c>
      <c r="AB125" s="19">
        <f t="shared" ca="1" si="8"/>
        <v>1.0954887103082422</v>
      </c>
      <c r="AC125" s="14">
        <f t="shared" ca="1" si="9"/>
        <v>52583458.094795629</v>
      </c>
      <c r="AD125" s="14">
        <f t="shared" ca="1" si="10"/>
        <v>4583458.0947956294</v>
      </c>
      <c r="AE125" s="14">
        <f t="shared" si="11"/>
        <v>55628399.869093813</v>
      </c>
      <c r="AF125" s="14">
        <f t="shared" ca="1" si="12"/>
        <v>0</v>
      </c>
      <c r="AG125" s="14">
        <f t="shared" ca="1" si="13"/>
        <v>0</v>
      </c>
      <c r="AH125" s="14">
        <f t="shared" ca="1" si="14"/>
        <v>52583458.094795629</v>
      </c>
      <c r="AI125" s="19">
        <f t="shared" ca="1" si="15"/>
        <v>0.87639096824659379</v>
      </c>
    </row>
    <row r="126" spans="2:35" x14ac:dyDescent="0.2">
      <c r="B126" s="1">
        <v>121</v>
      </c>
      <c r="C126" s="19">
        <f ca="1">IF(RAND()&lt;P_Zero,0,IF(RAND()&lt;CondReturn,_xlfn.LOGNORM.INV(RAND(),MV2,Sigma1),IF(RAND()&lt;CondGood,_xlfn.LOGNORM.INV(RAND(),MV3,Sigma2),MIN(MaxMultiple,Xm/(1-RAND())^(1/Alpha)))))</f>
        <v>0</v>
      </c>
      <c r="D126" s="19">
        <f ca="1">IF(RAND()&lt;P_Zero,0,IF(RAND()&lt;CondReturn,_xlfn.LOGNORM.INV(RAND(),MV2,Sigma1),IF(RAND()&lt;CondGood,_xlfn.LOGNORM.INV(RAND(),MV3,Sigma2),MIN(MaxMultiple,Xm/(1-RAND())^(1/Alpha)))))</f>
        <v>0</v>
      </c>
      <c r="E126" s="19">
        <f ca="1">IF(RAND()&lt;P_Zero,0,IF(RAND()&lt;CondReturn,_xlfn.LOGNORM.INV(RAND(),MV2,Sigma1),IF(RAND()&lt;CondGood,_xlfn.LOGNORM.INV(RAND(),MV3,Sigma2),MIN(MaxMultiple,Xm/(1-RAND())^(1/Alpha)))))</f>
        <v>0</v>
      </c>
      <c r="F126" s="19">
        <f ca="1">IF(RAND()&lt;P_Zero,0,IF(RAND()&lt;CondReturn,_xlfn.LOGNORM.INV(RAND(),MV2,Sigma1),IF(RAND()&lt;CondGood,_xlfn.LOGNORM.INV(RAND(),MV3,Sigma2),MIN(MaxMultiple,Xm/(1-RAND())^(1/Alpha)))))</f>
        <v>14.267311440136858</v>
      </c>
      <c r="G126" s="19">
        <f ca="1">IF(RAND()&lt;P_Zero,0,IF(RAND()&lt;CondReturn,_xlfn.LOGNORM.INV(RAND(),MV2,Sigma1),IF(RAND()&lt;CondGood,_xlfn.LOGNORM.INV(RAND(),MV3,Sigma2),MIN(MaxMultiple,Xm/(1-RAND())^(1/Alpha)))))</f>
        <v>5.4389916834305456</v>
      </c>
      <c r="H126" s="19">
        <f ca="1">IF(RAND()&lt;P_Zero,0,IF(RAND()&lt;CondReturn,_xlfn.LOGNORM.INV(RAND(),MV2,Sigma1),IF(RAND()&lt;CondGood,_xlfn.LOGNORM.INV(RAND(),MV3,Sigma2),MIN(MaxMultiple,Xm/(1-RAND())^(1/Alpha)))))</f>
        <v>20.559866015524836</v>
      </c>
      <c r="I126" s="19">
        <f ca="1">IF(RAND()&lt;P_Zero,0,IF(RAND()&lt;CondReturn,_xlfn.LOGNORM.INV(RAND(),MV2,Sigma1),IF(RAND()&lt;CondGood,_xlfn.LOGNORM.INV(RAND(),MV3,Sigma2),MIN(MaxMultiple,Xm/(1-RAND())^(1/Alpha)))))</f>
        <v>2.2752089695474464</v>
      </c>
      <c r="J126" s="19">
        <f ca="1">IF(RAND()&lt;P_Zero,0,IF(RAND()&lt;CondReturn,_xlfn.LOGNORM.INV(RAND(),MV2,Sigma1),IF(RAND()&lt;CondGood,_xlfn.LOGNORM.INV(RAND(),MV3,Sigma2),MIN(MaxMultiple,Xm/(1-RAND())^(1/Alpha)))))</f>
        <v>2.5555335271662174</v>
      </c>
      <c r="K126" s="19">
        <f ca="1">IF(RAND()&lt;P_Zero,0,IF(RAND()&lt;CondReturn,_xlfn.LOGNORM.INV(RAND(),MV2,Sigma1),IF(RAND()&lt;CondGood,_xlfn.LOGNORM.INV(RAND(),MV3,Sigma2),MIN(MaxMultiple,Xm/(1-RAND())^(1/Alpha)))))</f>
        <v>0</v>
      </c>
      <c r="L126" s="19">
        <f ca="1">IF(RAND()&lt;P_Zero,0,IF(RAND()&lt;CondReturn,_xlfn.LOGNORM.INV(RAND(),MV2,Sigma1),IF(RAND()&lt;CondGood,_xlfn.LOGNORM.INV(RAND(),MV3,Sigma2),MIN(MaxMultiple,Xm/(1-RAND())^(1/Alpha)))))</f>
        <v>38.496663591930499</v>
      </c>
      <c r="M126" s="19">
        <f ca="1">IF(RAND()&lt;P_Zero,0,IF(RAND()&lt;CondReturn,_xlfn.LOGNORM.INV(RAND(),MV2,Sigma1),IF(RAND()&lt;CondGood,_xlfn.LOGNORM.INV(RAND(),MV3,Sigma2),MIN(MaxMultiple,Xm/(1-RAND())^(1/Alpha)))))</f>
        <v>0</v>
      </c>
      <c r="N126" s="19">
        <f ca="1">IF(RAND()&lt;P_Zero,0,IF(RAND()&lt;CondReturn,_xlfn.LOGNORM.INV(RAND(),MV2,Sigma1),IF(RAND()&lt;CondGood,_xlfn.LOGNORM.INV(RAND(),MV3,Sigma2),MIN(MaxMultiple,Xm/(1-RAND())^(1/Alpha)))))</f>
        <v>1.1269993476761995</v>
      </c>
      <c r="O126" s="19">
        <f ca="1">IF(RAND()&lt;P_Zero,0,IF(RAND()&lt;CondReturn,_xlfn.LOGNORM.INV(RAND(),MV2,Sigma1),IF(RAND()&lt;CondGood,_xlfn.LOGNORM.INV(RAND(),MV3,Sigma2),MIN(MaxMultiple,Xm/(1-RAND())^(1/Alpha)))))</f>
        <v>1.5060845554585323</v>
      </c>
      <c r="P126" s="19">
        <f ca="1">IF(RAND()&lt;P_Zero,0,IF(RAND()&lt;CondReturn,_xlfn.LOGNORM.INV(RAND(),MV2,Sigma1),IF(RAND()&lt;CondGood,_xlfn.LOGNORM.INV(RAND(),MV3,Sigma2),MIN(MaxMultiple,Xm/(1-RAND())^(1/Alpha)))))</f>
        <v>0</v>
      </c>
      <c r="Q126" s="19">
        <f ca="1">IF(RAND()&lt;P_Zero,0,IF(RAND()&lt;CondReturn,_xlfn.LOGNORM.INV(RAND(),MV2,Sigma1),IF(RAND()&lt;CondGood,_xlfn.LOGNORM.INV(RAND(),MV3,Sigma2),MIN(MaxMultiple,Xm/(1-RAND())^(1/Alpha)))))</f>
        <v>1.0126464012710783</v>
      </c>
      <c r="R126" s="19">
        <f ca="1">IF(RAND()&lt;P_Zero,0,IF(RAND()&lt;CondReturn,_xlfn.LOGNORM.INV(RAND(),MV2,Sigma1),IF(RAND()&lt;CondGood,_xlfn.LOGNORM.INV(RAND(),MV3,Sigma2),MIN(MaxMultiple,Xm/(1-RAND())^(1/Alpha)))))</f>
        <v>0.68909863067914989</v>
      </c>
      <c r="S126" s="19">
        <f ca="1">IF(RAND()&lt;P_Zero,0,IF(RAND()&lt;CondReturn,_xlfn.LOGNORM.INV(RAND(),MV2,Sigma1),IF(RAND()&lt;CondGood,_xlfn.LOGNORM.INV(RAND(),MV3,Sigma2),MIN(MaxMultiple,Xm/(1-RAND())^(1/Alpha)))))</f>
        <v>0.91600688280124209</v>
      </c>
      <c r="T126" s="19">
        <f ca="1">IF(RAND()&lt;P_Zero,0,IF(RAND()&lt;CondReturn,_xlfn.LOGNORM.INV(RAND(),MV2,Sigma1),IF(RAND()&lt;CondGood,_xlfn.LOGNORM.INV(RAND(),MV3,Sigma2),MIN(MaxMultiple,Xm/(1-RAND())^(1/Alpha)))))</f>
        <v>0</v>
      </c>
      <c r="U126" s="19">
        <f ca="1">IF(RAND()&lt;P_Zero,0,IF(RAND()&lt;CondReturn,_xlfn.LOGNORM.INV(RAND(),MV2,Sigma1),IF(RAND()&lt;CondGood,_xlfn.LOGNORM.INV(RAND(),MV3,Sigma2),MIN(MaxMultiple,Xm/(1-RAND())^(1/Alpha)))))</f>
        <v>12.012904332800705</v>
      </c>
      <c r="V126" s="19">
        <f ca="1">IF(RAND()&lt;P_Zero,0,IF(RAND()&lt;CondReturn,_xlfn.LOGNORM.INV(RAND(),MV2,Sigma1),IF(RAND()&lt;CondGood,_xlfn.LOGNORM.INV(RAND(),MV3,Sigma2),MIN(MaxMultiple,Xm/(1-RAND())^(1/Alpha)))))</f>
        <v>0</v>
      </c>
      <c r="W126" s="19">
        <f ca="1">IF(RAND()&lt;P_Zero,0,IF(RAND()&lt;CondReturn,_xlfn.LOGNORM.INV(RAND(),MV2,Sigma1),IF(RAND()&lt;CondGood,_xlfn.LOGNORM.INV(RAND(),MV3,Sigma2),MIN(MaxMultiple,Xm/(1-RAND())^(1/Alpha)))))</f>
        <v>0</v>
      </c>
      <c r="X126" s="19">
        <f ca="1">IF(RAND()&lt;P_Zero,0,IF(RAND()&lt;CondReturn,_xlfn.LOGNORM.INV(RAND(),MV2,Sigma1),IF(RAND()&lt;CondGood,_xlfn.LOGNORM.INV(RAND(),MV3,Sigma2),MIN(MaxMultiple,Xm/(1-RAND())^(1/Alpha)))))</f>
        <v>0</v>
      </c>
      <c r="Y126" s="19">
        <f ca="1">IF(RAND()&lt;P_Zero,0,IF(RAND()&lt;CondReturn,_xlfn.LOGNORM.INV(RAND(),MV2,Sigma1),IF(RAND()&lt;CondGood,_xlfn.LOGNORM.INV(RAND(),MV3,Sigma2),MIN(MaxMultiple,Xm/(1-RAND())^(1/Alpha)))))</f>
        <v>0.67257495623725938</v>
      </c>
      <c r="Z126" s="19">
        <f ca="1">IF(RAND()&lt;P_Zero,0,IF(RAND()&lt;CondReturn,_xlfn.LOGNORM.INV(RAND(),MV2,Sigma1),IF(RAND()&lt;CondGood,_xlfn.LOGNORM.INV(RAND(),MV3,Sigma2),MIN(MaxMultiple,Xm/(1-RAND())^(1/Alpha)))))</f>
        <v>2.288101483100105</v>
      </c>
      <c r="AA126" s="19">
        <f ca="1">IF(RAND()&lt;P_Zero,0,IF(RAND()&lt;CondReturn,_xlfn.LOGNORM.INV(RAND(),MV2,Sigma1),IF(RAND()&lt;CondGood,_xlfn.LOGNORM.INV(RAND(),MV3,Sigma2),MIN(MaxMultiple,Xm/(1-RAND())^(1/Alpha)))))</f>
        <v>0</v>
      </c>
      <c r="AB126" s="19">
        <f t="shared" ca="1" si="8"/>
        <v>4.1527196727104272</v>
      </c>
      <c r="AC126" s="14">
        <f t="shared" ca="1" si="9"/>
        <v>199330544.29010051</v>
      </c>
      <c r="AD126" s="14">
        <f t="shared" ca="1" si="10"/>
        <v>151330544.29010051</v>
      </c>
      <c r="AE126" s="14">
        <f t="shared" si="11"/>
        <v>55628399.869093813</v>
      </c>
      <c r="AF126" s="14">
        <f t="shared" ca="1" si="12"/>
        <v>95702144.421006709</v>
      </c>
      <c r="AG126" s="14">
        <f t="shared" ca="1" si="13"/>
        <v>19140428.884201344</v>
      </c>
      <c r="AH126" s="14">
        <f t="shared" ca="1" si="14"/>
        <v>180190115.40589917</v>
      </c>
      <c r="AI126" s="19">
        <f t="shared" ca="1" si="15"/>
        <v>3.0031685900983196</v>
      </c>
    </row>
    <row r="127" spans="2:35" x14ac:dyDescent="0.2">
      <c r="B127" s="1">
        <v>122</v>
      </c>
      <c r="C127" s="19">
        <f ca="1">IF(RAND()&lt;P_Zero,0,IF(RAND()&lt;CondReturn,_xlfn.LOGNORM.INV(RAND(),MV2,Sigma1),IF(RAND()&lt;CondGood,_xlfn.LOGNORM.INV(RAND(),MV3,Sigma2),MIN(MaxMultiple,Xm/(1-RAND())^(1/Alpha)))))</f>
        <v>0</v>
      </c>
      <c r="D127" s="19">
        <f ca="1">IF(RAND()&lt;P_Zero,0,IF(RAND()&lt;CondReturn,_xlfn.LOGNORM.INV(RAND(),MV2,Sigma1),IF(RAND()&lt;CondGood,_xlfn.LOGNORM.INV(RAND(),MV3,Sigma2),MIN(MaxMultiple,Xm/(1-RAND())^(1/Alpha)))))</f>
        <v>0</v>
      </c>
      <c r="E127" s="19">
        <f ca="1">IF(RAND()&lt;P_Zero,0,IF(RAND()&lt;CondReturn,_xlfn.LOGNORM.INV(RAND(),MV2,Sigma1),IF(RAND()&lt;CondGood,_xlfn.LOGNORM.INV(RAND(),MV3,Sigma2),MIN(MaxMultiple,Xm/(1-RAND())^(1/Alpha)))))</f>
        <v>0.62788112631985293</v>
      </c>
      <c r="F127" s="19">
        <f ca="1">IF(RAND()&lt;P_Zero,0,IF(RAND()&lt;CondReturn,_xlfn.LOGNORM.INV(RAND(),MV2,Sigma1),IF(RAND()&lt;CondGood,_xlfn.LOGNORM.INV(RAND(),MV3,Sigma2),MIN(MaxMultiple,Xm/(1-RAND())^(1/Alpha)))))</f>
        <v>0</v>
      </c>
      <c r="G127" s="19">
        <f ca="1">IF(RAND()&lt;P_Zero,0,IF(RAND()&lt;CondReturn,_xlfn.LOGNORM.INV(RAND(),MV2,Sigma1),IF(RAND()&lt;CondGood,_xlfn.LOGNORM.INV(RAND(),MV3,Sigma2),MIN(MaxMultiple,Xm/(1-RAND())^(1/Alpha)))))</f>
        <v>0</v>
      </c>
      <c r="H127" s="19">
        <f ca="1">IF(RAND()&lt;P_Zero,0,IF(RAND()&lt;CondReturn,_xlfn.LOGNORM.INV(RAND(),MV2,Sigma1),IF(RAND()&lt;CondGood,_xlfn.LOGNORM.INV(RAND(),MV3,Sigma2),MIN(MaxMultiple,Xm/(1-RAND())^(1/Alpha)))))</f>
        <v>1.2906098019061698</v>
      </c>
      <c r="I127" s="19">
        <f ca="1">IF(RAND()&lt;P_Zero,0,IF(RAND()&lt;CondReturn,_xlfn.LOGNORM.INV(RAND(),MV2,Sigma1),IF(RAND()&lt;CondGood,_xlfn.LOGNORM.INV(RAND(),MV3,Sigma2),MIN(MaxMultiple,Xm/(1-RAND())^(1/Alpha)))))</f>
        <v>0</v>
      </c>
      <c r="J127" s="19">
        <f ca="1">IF(RAND()&lt;P_Zero,0,IF(RAND()&lt;CondReturn,_xlfn.LOGNORM.INV(RAND(),MV2,Sigma1),IF(RAND()&lt;CondGood,_xlfn.LOGNORM.INV(RAND(),MV3,Sigma2),MIN(MaxMultiple,Xm/(1-RAND())^(1/Alpha)))))</f>
        <v>0</v>
      </c>
      <c r="K127" s="19">
        <f ca="1">IF(RAND()&lt;P_Zero,0,IF(RAND()&lt;CondReturn,_xlfn.LOGNORM.INV(RAND(),MV2,Sigma1),IF(RAND()&lt;CondGood,_xlfn.LOGNORM.INV(RAND(),MV3,Sigma2),MIN(MaxMultiple,Xm/(1-RAND())^(1/Alpha)))))</f>
        <v>0</v>
      </c>
      <c r="L127" s="19">
        <f ca="1">IF(RAND()&lt;P_Zero,0,IF(RAND()&lt;CondReturn,_xlfn.LOGNORM.INV(RAND(),MV2,Sigma1),IF(RAND()&lt;CondGood,_xlfn.LOGNORM.INV(RAND(),MV3,Sigma2),MIN(MaxMultiple,Xm/(1-RAND())^(1/Alpha)))))</f>
        <v>0</v>
      </c>
      <c r="M127" s="19">
        <f ca="1">IF(RAND()&lt;P_Zero,0,IF(RAND()&lt;CondReturn,_xlfn.LOGNORM.INV(RAND(),MV2,Sigma1),IF(RAND()&lt;CondGood,_xlfn.LOGNORM.INV(RAND(),MV3,Sigma2),MIN(MaxMultiple,Xm/(1-RAND())^(1/Alpha)))))</f>
        <v>1.6691180668005423</v>
      </c>
      <c r="N127" s="19">
        <f ca="1">IF(RAND()&lt;P_Zero,0,IF(RAND()&lt;CondReturn,_xlfn.LOGNORM.INV(RAND(),MV2,Sigma1),IF(RAND()&lt;CondGood,_xlfn.LOGNORM.INV(RAND(),MV3,Sigma2),MIN(MaxMultiple,Xm/(1-RAND())^(1/Alpha)))))</f>
        <v>1.2722104711266446</v>
      </c>
      <c r="O127" s="19">
        <f ca="1">IF(RAND()&lt;P_Zero,0,IF(RAND()&lt;CondReturn,_xlfn.LOGNORM.INV(RAND(),MV2,Sigma1),IF(RAND()&lt;CondGood,_xlfn.LOGNORM.INV(RAND(),MV3,Sigma2),MIN(MaxMultiple,Xm/(1-RAND())^(1/Alpha)))))</f>
        <v>0.9336210874430233</v>
      </c>
      <c r="P127" s="19">
        <f ca="1">IF(RAND()&lt;P_Zero,0,IF(RAND()&lt;CondReturn,_xlfn.LOGNORM.INV(RAND(),MV2,Sigma1),IF(RAND()&lt;CondGood,_xlfn.LOGNORM.INV(RAND(),MV3,Sigma2),MIN(MaxMultiple,Xm/(1-RAND())^(1/Alpha)))))</f>
        <v>0</v>
      </c>
      <c r="Q127" s="19">
        <f ca="1">IF(RAND()&lt;P_Zero,0,IF(RAND()&lt;CondReturn,_xlfn.LOGNORM.INV(RAND(),MV2,Sigma1),IF(RAND()&lt;CondGood,_xlfn.LOGNORM.INV(RAND(),MV3,Sigma2),MIN(MaxMultiple,Xm/(1-RAND())^(1/Alpha)))))</f>
        <v>0</v>
      </c>
      <c r="R127" s="19">
        <f ca="1">IF(RAND()&lt;P_Zero,0,IF(RAND()&lt;CondReturn,_xlfn.LOGNORM.INV(RAND(),MV2,Sigma1),IF(RAND()&lt;CondGood,_xlfn.LOGNORM.INV(RAND(),MV3,Sigma2),MIN(MaxMultiple,Xm/(1-RAND())^(1/Alpha)))))</f>
        <v>0</v>
      </c>
      <c r="S127" s="19">
        <f ca="1">IF(RAND()&lt;P_Zero,0,IF(RAND()&lt;CondReturn,_xlfn.LOGNORM.INV(RAND(),MV2,Sigma1),IF(RAND()&lt;CondGood,_xlfn.LOGNORM.INV(RAND(),MV3,Sigma2),MIN(MaxMultiple,Xm/(1-RAND())^(1/Alpha)))))</f>
        <v>0</v>
      </c>
      <c r="T127" s="19">
        <f ca="1">IF(RAND()&lt;P_Zero,0,IF(RAND()&lt;CondReturn,_xlfn.LOGNORM.INV(RAND(),MV2,Sigma1),IF(RAND()&lt;CondGood,_xlfn.LOGNORM.INV(RAND(),MV3,Sigma2),MIN(MaxMultiple,Xm/(1-RAND())^(1/Alpha)))))</f>
        <v>29.074590022398592</v>
      </c>
      <c r="U127" s="19">
        <f ca="1">IF(RAND()&lt;P_Zero,0,IF(RAND()&lt;CondReturn,_xlfn.LOGNORM.INV(RAND(),MV2,Sigma1),IF(RAND()&lt;CondGood,_xlfn.LOGNORM.INV(RAND(),MV3,Sigma2),MIN(MaxMultiple,Xm/(1-RAND())^(1/Alpha)))))</f>
        <v>2.3792511205143692</v>
      </c>
      <c r="V127" s="19">
        <f ca="1">IF(RAND()&lt;P_Zero,0,IF(RAND()&lt;CondReturn,_xlfn.LOGNORM.INV(RAND(),MV2,Sigma1),IF(RAND()&lt;CondGood,_xlfn.LOGNORM.INV(RAND(),MV3,Sigma2),MIN(MaxMultiple,Xm/(1-RAND())^(1/Alpha)))))</f>
        <v>0</v>
      </c>
      <c r="W127" s="19">
        <f ca="1">IF(RAND()&lt;P_Zero,0,IF(RAND()&lt;CondReturn,_xlfn.LOGNORM.INV(RAND(),MV2,Sigma1),IF(RAND()&lt;CondGood,_xlfn.LOGNORM.INV(RAND(),MV3,Sigma2),MIN(MaxMultiple,Xm/(1-RAND())^(1/Alpha)))))</f>
        <v>38.810569948502547</v>
      </c>
      <c r="X127" s="19">
        <f ca="1">IF(RAND()&lt;P_Zero,0,IF(RAND()&lt;CondReturn,_xlfn.LOGNORM.INV(RAND(),MV2,Sigma1),IF(RAND()&lt;CondGood,_xlfn.LOGNORM.INV(RAND(),MV3,Sigma2),MIN(MaxMultiple,Xm/(1-RAND())^(1/Alpha)))))</f>
        <v>26.801853129744131</v>
      </c>
      <c r="Y127" s="19">
        <f ca="1">IF(RAND()&lt;P_Zero,0,IF(RAND()&lt;CondReturn,_xlfn.LOGNORM.INV(RAND(),MV2,Sigma1),IF(RAND()&lt;CondGood,_xlfn.LOGNORM.INV(RAND(),MV3,Sigma2),MIN(MaxMultiple,Xm/(1-RAND())^(1/Alpha)))))</f>
        <v>0</v>
      </c>
      <c r="Z127" s="19">
        <f ca="1">IF(RAND()&lt;P_Zero,0,IF(RAND()&lt;CondReturn,_xlfn.LOGNORM.INV(RAND(),MV2,Sigma1),IF(RAND()&lt;CondGood,_xlfn.LOGNORM.INV(RAND(),MV3,Sigma2),MIN(MaxMultiple,Xm/(1-RAND())^(1/Alpha)))))</f>
        <v>0</v>
      </c>
      <c r="AA127" s="19">
        <f ca="1">IF(RAND()&lt;P_Zero,0,IF(RAND()&lt;CondReturn,_xlfn.LOGNORM.INV(RAND(),MV2,Sigma1),IF(RAND()&lt;CondGood,_xlfn.LOGNORM.INV(RAND(),MV3,Sigma2),MIN(MaxMultiple,Xm/(1-RAND())^(1/Alpha)))))</f>
        <v>0.6803008693604089</v>
      </c>
      <c r="AB127" s="19">
        <f t="shared" ca="1" si="8"/>
        <v>4.1416002257646509</v>
      </c>
      <c r="AC127" s="14">
        <f t="shared" ca="1" si="9"/>
        <v>198796810.83670324</v>
      </c>
      <c r="AD127" s="14">
        <f t="shared" ca="1" si="10"/>
        <v>150796810.83670324</v>
      </c>
      <c r="AE127" s="14">
        <f t="shared" si="11"/>
        <v>55628399.869093813</v>
      </c>
      <c r="AF127" s="14">
        <f t="shared" ca="1" si="12"/>
        <v>95168410.967609435</v>
      </c>
      <c r="AG127" s="14">
        <f t="shared" ca="1" si="13"/>
        <v>19033682.193521887</v>
      </c>
      <c r="AH127" s="14">
        <f t="shared" ca="1" si="14"/>
        <v>179763128.64318135</v>
      </c>
      <c r="AI127" s="19">
        <f t="shared" ca="1" si="15"/>
        <v>2.9960521440530226</v>
      </c>
    </row>
    <row r="128" spans="2:35" x14ac:dyDescent="0.2">
      <c r="B128" s="1">
        <v>123</v>
      </c>
      <c r="C128" s="19">
        <f ca="1">IF(RAND()&lt;P_Zero,0,IF(RAND()&lt;CondReturn,_xlfn.LOGNORM.INV(RAND(),MV2,Sigma1),IF(RAND()&lt;CondGood,_xlfn.LOGNORM.INV(RAND(),MV3,Sigma2),MIN(MaxMultiple,Xm/(1-RAND())^(1/Alpha)))))</f>
        <v>1.5069411468604745</v>
      </c>
      <c r="D128" s="19">
        <f ca="1">IF(RAND()&lt;P_Zero,0,IF(RAND()&lt;CondReturn,_xlfn.LOGNORM.INV(RAND(),MV2,Sigma1),IF(RAND()&lt;CondGood,_xlfn.LOGNORM.INV(RAND(),MV3,Sigma2),MIN(MaxMultiple,Xm/(1-RAND())^(1/Alpha)))))</f>
        <v>0.67198007476814414</v>
      </c>
      <c r="E128" s="19">
        <f ca="1">IF(RAND()&lt;P_Zero,0,IF(RAND()&lt;CondReturn,_xlfn.LOGNORM.INV(RAND(),MV2,Sigma1),IF(RAND()&lt;CondGood,_xlfn.LOGNORM.INV(RAND(),MV3,Sigma2),MIN(MaxMultiple,Xm/(1-RAND())^(1/Alpha)))))</f>
        <v>1.3766203091079567</v>
      </c>
      <c r="F128" s="19">
        <f ca="1">IF(RAND()&lt;P_Zero,0,IF(RAND()&lt;CondReturn,_xlfn.LOGNORM.INV(RAND(),MV2,Sigma1),IF(RAND()&lt;CondGood,_xlfn.LOGNORM.INV(RAND(),MV3,Sigma2),MIN(MaxMultiple,Xm/(1-RAND())^(1/Alpha)))))</f>
        <v>1.1344524079571809</v>
      </c>
      <c r="G128" s="19">
        <f ca="1">IF(RAND()&lt;P_Zero,0,IF(RAND()&lt;CondReturn,_xlfn.LOGNORM.INV(RAND(),MV2,Sigma1),IF(RAND()&lt;CondGood,_xlfn.LOGNORM.INV(RAND(),MV3,Sigma2),MIN(MaxMultiple,Xm/(1-RAND())^(1/Alpha)))))</f>
        <v>1.4484260459334393</v>
      </c>
      <c r="H128" s="19">
        <f ca="1">IF(RAND()&lt;P_Zero,0,IF(RAND()&lt;CondReturn,_xlfn.LOGNORM.INV(RAND(),MV2,Sigma1),IF(RAND()&lt;CondGood,_xlfn.LOGNORM.INV(RAND(),MV3,Sigma2),MIN(MaxMultiple,Xm/(1-RAND())^(1/Alpha)))))</f>
        <v>1.0592898941532245</v>
      </c>
      <c r="I128" s="19">
        <f ca="1">IF(RAND()&lt;P_Zero,0,IF(RAND()&lt;CondReturn,_xlfn.LOGNORM.INV(RAND(),MV2,Sigma1),IF(RAND()&lt;CondGood,_xlfn.LOGNORM.INV(RAND(),MV3,Sigma2),MIN(MaxMultiple,Xm/(1-RAND())^(1/Alpha)))))</f>
        <v>0.41876039425768458</v>
      </c>
      <c r="J128" s="19">
        <f ca="1">IF(RAND()&lt;P_Zero,0,IF(RAND()&lt;CondReturn,_xlfn.LOGNORM.INV(RAND(),MV2,Sigma1),IF(RAND()&lt;CondGood,_xlfn.LOGNORM.INV(RAND(),MV3,Sigma2),MIN(MaxMultiple,Xm/(1-RAND())^(1/Alpha)))))</f>
        <v>0.69087177617923845</v>
      </c>
      <c r="K128" s="19">
        <f ca="1">IF(RAND()&lt;P_Zero,0,IF(RAND()&lt;CondReturn,_xlfn.LOGNORM.INV(RAND(),MV2,Sigma1),IF(RAND()&lt;CondGood,_xlfn.LOGNORM.INV(RAND(),MV3,Sigma2),MIN(MaxMultiple,Xm/(1-RAND())^(1/Alpha)))))</f>
        <v>0</v>
      </c>
      <c r="L128" s="19">
        <f ca="1">IF(RAND()&lt;P_Zero,0,IF(RAND()&lt;CondReturn,_xlfn.LOGNORM.INV(RAND(),MV2,Sigma1),IF(RAND()&lt;CondGood,_xlfn.LOGNORM.INV(RAND(),MV3,Sigma2),MIN(MaxMultiple,Xm/(1-RAND())^(1/Alpha)))))</f>
        <v>0</v>
      </c>
      <c r="M128" s="19">
        <f ca="1">IF(RAND()&lt;P_Zero,0,IF(RAND()&lt;CondReturn,_xlfn.LOGNORM.INV(RAND(),MV2,Sigma1),IF(RAND()&lt;CondGood,_xlfn.LOGNORM.INV(RAND(),MV3,Sigma2),MIN(MaxMultiple,Xm/(1-RAND())^(1/Alpha)))))</f>
        <v>0.39559585000696657</v>
      </c>
      <c r="N128" s="19">
        <f ca="1">IF(RAND()&lt;P_Zero,0,IF(RAND()&lt;CondReturn,_xlfn.LOGNORM.INV(RAND(),MV2,Sigma1),IF(RAND()&lt;CondGood,_xlfn.LOGNORM.INV(RAND(),MV3,Sigma2),MIN(MaxMultiple,Xm/(1-RAND())^(1/Alpha)))))</f>
        <v>0.707527325765267</v>
      </c>
      <c r="O128" s="19">
        <f ca="1">IF(RAND()&lt;P_Zero,0,IF(RAND()&lt;CondReturn,_xlfn.LOGNORM.INV(RAND(),MV2,Sigma1),IF(RAND()&lt;CondGood,_xlfn.LOGNORM.INV(RAND(),MV3,Sigma2),MIN(MaxMultiple,Xm/(1-RAND())^(1/Alpha)))))</f>
        <v>0.71643297850106236</v>
      </c>
      <c r="P128" s="19">
        <f ca="1">IF(RAND()&lt;P_Zero,0,IF(RAND()&lt;CondReturn,_xlfn.LOGNORM.INV(RAND(),MV2,Sigma1),IF(RAND()&lt;CondGood,_xlfn.LOGNORM.INV(RAND(),MV3,Sigma2),MIN(MaxMultiple,Xm/(1-RAND())^(1/Alpha)))))</f>
        <v>39.173898201529653</v>
      </c>
      <c r="Q128" s="19">
        <f ca="1">IF(RAND()&lt;P_Zero,0,IF(RAND()&lt;CondReturn,_xlfn.LOGNORM.INV(RAND(),MV2,Sigma1),IF(RAND()&lt;CondGood,_xlfn.LOGNORM.INV(RAND(),MV3,Sigma2),MIN(MaxMultiple,Xm/(1-RAND())^(1/Alpha)))))</f>
        <v>1.7424942775459888</v>
      </c>
      <c r="R128" s="19">
        <f ca="1">IF(RAND()&lt;P_Zero,0,IF(RAND()&lt;CondReturn,_xlfn.LOGNORM.INV(RAND(),MV2,Sigma1),IF(RAND()&lt;CondGood,_xlfn.LOGNORM.INV(RAND(),MV3,Sigma2),MIN(MaxMultiple,Xm/(1-RAND())^(1/Alpha)))))</f>
        <v>0.60084156520123388</v>
      </c>
      <c r="S128" s="19">
        <f ca="1">IF(RAND()&lt;P_Zero,0,IF(RAND()&lt;CondReturn,_xlfn.LOGNORM.INV(RAND(),MV2,Sigma1),IF(RAND()&lt;CondGood,_xlfn.LOGNORM.INV(RAND(),MV3,Sigma2),MIN(MaxMultiple,Xm/(1-RAND())^(1/Alpha)))))</f>
        <v>1.4650893774308629</v>
      </c>
      <c r="T128" s="19">
        <f ca="1">IF(RAND()&lt;P_Zero,0,IF(RAND()&lt;CondReturn,_xlfn.LOGNORM.INV(RAND(),MV2,Sigma1),IF(RAND()&lt;CondGood,_xlfn.LOGNORM.INV(RAND(),MV3,Sigma2),MIN(MaxMultiple,Xm/(1-RAND())^(1/Alpha)))))</f>
        <v>0.43772261422315062</v>
      </c>
      <c r="U128" s="19">
        <f ca="1">IF(RAND()&lt;P_Zero,0,IF(RAND()&lt;CondReturn,_xlfn.LOGNORM.INV(RAND(),MV2,Sigma1),IF(RAND()&lt;CondGood,_xlfn.LOGNORM.INV(RAND(),MV3,Sigma2),MIN(MaxMultiple,Xm/(1-RAND())^(1/Alpha)))))</f>
        <v>0</v>
      </c>
      <c r="V128" s="19">
        <f ca="1">IF(RAND()&lt;P_Zero,0,IF(RAND()&lt;CondReturn,_xlfn.LOGNORM.INV(RAND(),MV2,Sigma1),IF(RAND()&lt;CondGood,_xlfn.LOGNORM.INV(RAND(),MV3,Sigma2),MIN(MaxMultiple,Xm/(1-RAND())^(1/Alpha)))))</f>
        <v>0</v>
      </c>
      <c r="W128" s="19">
        <f ca="1">IF(RAND()&lt;P_Zero,0,IF(RAND()&lt;CondReturn,_xlfn.LOGNORM.INV(RAND(),MV2,Sigma1),IF(RAND()&lt;CondGood,_xlfn.LOGNORM.INV(RAND(),MV3,Sigma2),MIN(MaxMultiple,Xm/(1-RAND())^(1/Alpha)))))</f>
        <v>0.57701281788246372</v>
      </c>
      <c r="X128" s="19">
        <f ca="1">IF(RAND()&lt;P_Zero,0,IF(RAND()&lt;CondReturn,_xlfn.LOGNORM.INV(RAND(),MV2,Sigma1),IF(RAND()&lt;CondGood,_xlfn.LOGNORM.INV(RAND(),MV3,Sigma2),MIN(MaxMultiple,Xm/(1-RAND())^(1/Alpha)))))</f>
        <v>0</v>
      </c>
      <c r="Y128" s="19">
        <f ca="1">IF(RAND()&lt;P_Zero,0,IF(RAND()&lt;CondReturn,_xlfn.LOGNORM.INV(RAND(),MV2,Sigma1),IF(RAND()&lt;CondGood,_xlfn.LOGNORM.INV(RAND(),MV3,Sigma2),MIN(MaxMultiple,Xm/(1-RAND())^(1/Alpha)))))</f>
        <v>0</v>
      </c>
      <c r="Z128" s="19">
        <f ca="1">IF(RAND()&lt;P_Zero,0,IF(RAND()&lt;CondReturn,_xlfn.LOGNORM.INV(RAND(),MV2,Sigma1),IF(RAND()&lt;CondGood,_xlfn.LOGNORM.INV(RAND(),MV3,Sigma2),MIN(MaxMultiple,Xm/(1-RAND())^(1/Alpha)))))</f>
        <v>0</v>
      </c>
      <c r="AA128" s="19">
        <f ca="1">IF(RAND()&lt;P_Zero,0,IF(RAND()&lt;CondReturn,_xlfn.LOGNORM.INV(RAND(),MV2,Sigma1),IF(RAND()&lt;CondGood,_xlfn.LOGNORM.INV(RAND(),MV3,Sigma2),MIN(MaxMultiple,Xm/(1-RAND())^(1/Alpha)))))</f>
        <v>0</v>
      </c>
      <c r="AB128" s="19">
        <f t="shared" ca="1" si="8"/>
        <v>2.1649582822921598</v>
      </c>
      <c r="AC128" s="14">
        <f t="shared" ca="1" si="9"/>
        <v>103917997.55002367</v>
      </c>
      <c r="AD128" s="14">
        <f t="shared" ca="1" si="10"/>
        <v>55917997.550023675</v>
      </c>
      <c r="AE128" s="14">
        <f t="shared" si="11"/>
        <v>55628399.869093813</v>
      </c>
      <c r="AF128" s="14">
        <f t="shared" ca="1" si="12"/>
        <v>289597.68092986196</v>
      </c>
      <c r="AG128" s="14">
        <f t="shared" ca="1" si="13"/>
        <v>57919.536185972393</v>
      </c>
      <c r="AH128" s="14">
        <f t="shared" ca="1" si="14"/>
        <v>103860078.0138377</v>
      </c>
      <c r="AI128" s="19">
        <f t="shared" ca="1" si="15"/>
        <v>1.7310013002306281</v>
      </c>
    </row>
    <row r="129" spans="2:35" x14ac:dyDescent="0.2">
      <c r="B129" s="1">
        <v>124</v>
      </c>
      <c r="C129" s="19">
        <f ca="1">IF(RAND()&lt;P_Zero,0,IF(RAND()&lt;CondReturn,_xlfn.LOGNORM.INV(RAND(),MV2,Sigma1),IF(RAND()&lt;CondGood,_xlfn.LOGNORM.INV(RAND(),MV3,Sigma2),MIN(MaxMultiple,Xm/(1-RAND())^(1/Alpha)))))</f>
        <v>0</v>
      </c>
      <c r="D129" s="19">
        <f ca="1">IF(RAND()&lt;P_Zero,0,IF(RAND()&lt;CondReturn,_xlfn.LOGNORM.INV(RAND(),MV2,Sigma1),IF(RAND()&lt;CondGood,_xlfn.LOGNORM.INV(RAND(),MV3,Sigma2),MIN(MaxMultiple,Xm/(1-RAND())^(1/Alpha)))))</f>
        <v>0</v>
      </c>
      <c r="E129" s="19">
        <f ca="1">IF(RAND()&lt;P_Zero,0,IF(RAND()&lt;CondReturn,_xlfn.LOGNORM.INV(RAND(),MV2,Sigma1),IF(RAND()&lt;CondGood,_xlfn.LOGNORM.INV(RAND(),MV3,Sigma2),MIN(MaxMultiple,Xm/(1-RAND())^(1/Alpha)))))</f>
        <v>0</v>
      </c>
      <c r="F129" s="19">
        <f ca="1">IF(RAND()&lt;P_Zero,0,IF(RAND()&lt;CondReturn,_xlfn.LOGNORM.INV(RAND(),MV2,Sigma1),IF(RAND()&lt;CondGood,_xlfn.LOGNORM.INV(RAND(),MV3,Sigma2),MIN(MaxMultiple,Xm/(1-RAND())^(1/Alpha)))))</f>
        <v>0.81042330636590787</v>
      </c>
      <c r="G129" s="19">
        <f ca="1">IF(RAND()&lt;P_Zero,0,IF(RAND()&lt;CondReturn,_xlfn.LOGNORM.INV(RAND(),MV2,Sigma1),IF(RAND()&lt;CondGood,_xlfn.LOGNORM.INV(RAND(),MV3,Sigma2),MIN(MaxMultiple,Xm/(1-RAND())^(1/Alpha)))))</f>
        <v>0</v>
      </c>
      <c r="H129" s="19">
        <f ca="1">IF(RAND()&lt;P_Zero,0,IF(RAND()&lt;CondReturn,_xlfn.LOGNORM.INV(RAND(),MV2,Sigma1),IF(RAND()&lt;CondGood,_xlfn.LOGNORM.INV(RAND(),MV3,Sigma2),MIN(MaxMultiple,Xm/(1-RAND())^(1/Alpha)))))</f>
        <v>0.98687983652463451</v>
      </c>
      <c r="I129" s="19">
        <f ca="1">IF(RAND()&lt;P_Zero,0,IF(RAND()&lt;CondReturn,_xlfn.LOGNORM.INV(RAND(),MV2,Sigma1),IF(RAND()&lt;CondGood,_xlfn.LOGNORM.INV(RAND(),MV3,Sigma2),MIN(MaxMultiple,Xm/(1-RAND())^(1/Alpha)))))</f>
        <v>0.47195544471611534</v>
      </c>
      <c r="J129" s="19">
        <f ca="1">IF(RAND()&lt;P_Zero,0,IF(RAND()&lt;CondReturn,_xlfn.LOGNORM.INV(RAND(),MV2,Sigma1),IF(RAND()&lt;CondGood,_xlfn.LOGNORM.INV(RAND(),MV3,Sigma2),MIN(MaxMultiple,Xm/(1-RAND())^(1/Alpha)))))</f>
        <v>0</v>
      </c>
      <c r="K129" s="19">
        <f ca="1">IF(RAND()&lt;P_Zero,0,IF(RAND()&lt;CondReturn,_xlfn.LOGNORM.INV(RAND(),MV2,Sigma1),IF(RAND()&lt;CondGood,_xlfn.LOGNORM.INV(RAND(),MV3,Sigma2),MIN(MaxMultiple,Xm/(1-RAND())^(1/Alpha)))))</f>
        <v>0</v>
      </c>
      <c r="L129" s="19">
        <f ca="1">IF(RAND()&lt;P_Zero,0,IF(RAND()&lt;CondReturn,_xlfn.LOGNORM.INV(RAND(),MV2,Sigma1),IF(RAND()&lt;CondGood,_xlfn.LOGNORM.INV(RAND(),MV3,Sigma2),MIN(MaxMultiple,Xm/(1-RAND())^(1/Alpha)))))</f>
        <v>0</v>
      </c>
      <c r="M129" s="19">
        <f ca="1">IF(RAND()&lt;P_Zero,0,IF(RAND()&lt;CondReturn,_xlfn.LOGNORM.INV(RAND(),MV2,Sigma1),IF(RAND()&lt;CondGood,_xlfn.LOGNORM.INV(RAND(),MV3,Sigma2),MIN(MaxMultiple,Xm/(1-RAND())^(1/Alpha)))))</f>
        <v>0.96014765353396281</v>
      </c>
      <c r="N129" s="19">
        <f ca="1">IF(RAND()&lt;P_Zero,0,IF(RAND()&lt;CondReturn,_xlfn.LOGNORM.INV(RAND(),MV2,Sigma1),IF(RAND()&lt;CondGood,_xlfn.LOGNORM.INV(RAND(),MV3,Sigma2),MIN(MaxMultiple,Xm/(1-RAND())^(1/Alpha)))))</f>
        <v>0.72089324752394102</v>
      </c>
      <c r="O129" s="19">
        <f ca="1">IF(RAND()&lt;P_Zero,0,IF(RAND()&lt;CondReturn,_xlfn.LOGNORM.INV(RAND(),MV2,Sigma1),IF(RAND()&lt;CondGood,_xlfn.LOGNORM.INV(RAND(),MV3,Sigma2),MIN(MaxMultiple,Xm/(1-RAND())^(1/Alpha)))))</f>
        <v>0.87732170772549789</v>
      </c>
      <c r="P129" s="19">
        <f ca="1">IF(RAND()&lt;P_Zero,0,IF(RAND()&lt;CondReturn,_xlfn.LOGNORM.INV(RAND(),MV2,Sigma1),IF(RAND()&lt;CondGood,_xlfn.LOGNORM.INV(RAND(),MV3,Sigma2),MIN(MaxMultiple,Xm/(1-RAND())^(1/Alpha)))))</f>
        <v>0.72013652214524138</v>
      </c>
      <c r="Q129" s="19">
        <f ca="1">IF(RAND()&lt;P_Zero,0,IF(RAND()&lt;CondReturn,_xlfn.LOGNORM.INV(RAND(),MV2,Sigma1),IF(RAND()&lt;CondGood,_xlfn.LOGNORM.INV(RAND(),MV3,Sigma2),MIN(MaxMultiple,Xm/(1-RAND())^(1/Alpha)))))</f>
        <v>0</v>
      </c>
      <c r="R129" s="19">
        <f ca="1">IF(RAND()&lt;P_Zero,0,IF(RAND()&lt;CondReturn,_xlfn.LOGNORM.INV(RAND(),MV2,Sigma1),IF(RAND()&lt;CondGood,_xlfn.LOGNORM.INV(RAND(),MV3,Sigma2),MIN(MaxMultiple,Xm/(1-RAND())^(1/Alpha)))))</f>
        <v>0</v>
      </c>
      <c r="S129" s="19">
        <f ca="1">IF(RAND()&lt;P_Zero,0,IF(RAND()&lt;CondReturn,_xlfn.LOGNORM.INV(RAND(),MV2,Sigma1),IF(RAND()&lt;CondGood,_xlfn.LOGNORM.INV(RAND(),MV3,Sigma2),MIN(MaxMultiple,Xm/(1-RAND())^(1/Alpha)))))</f>
        <v>0</v>
      </c>
      <c r="T129" s="19">
        <f ca="1">IF(RAND()&lt;P_Zero,0,IF(RAND()&lt;CondReturn,_xlfn.LOGNORM.INV(RAND(),MV2,Sigma1),IF(RAND()&lt;CondGood,_xlfn.LOGNORM.INV(RAND(),MV3,Sigma2),MIN(MaxMultiple,Xm/(1-RAND())^(1/Alpha)))))</f>
        <v>0.70578569609237807</v>
      </c>
      <c r="U129" s="19">
        <f ca="1">IF(RAND()&lt;P_Zero,0,IF(RAND()&lt;CondReturn,_xlfn.LOGNORM.INV(RAND(),MV2,Sigma1),IF(RAND()&lt;CondGood,_xlfn.LOGNORM.INV(RAND(),MV3,Sigma2),MIN(MaxMultiple,Xm/(1-RAND())^(1/Alpha)))))</f>
        <v>0</v>
      </c>
      <c r="V129" s="19">
        <f ca="1">IF(RAND()&lt;P_Zero,0,IF(RAND()&lt;CondReturn,_xlfn.LOGNORM.INV(RAND(),MV2,Sigma1),IF(RAND()&lt;CondGood,_xlfn.LOGNORM.INV(RAND(),MV3,Sigma2),MIN(MaxMultiple,Xm/(1-RAND())^(1/Alpha)))))</f>
        <v>0</v>
      </c>
      <c r="W129" s="19">
        <f ca="1">IF(RAND()&lt;P_Zero,0,IF(RAND()&lt;CondReturn,_xlfn.LOGNORM.INV(RAND(),MV2,Sigma1),IF(RAND()&lt;CondGood,_xlfn.LOGNORM.INV(RAND(),MV3,Sigma2),MIN(MaxMultiple,Xm/(1-RAND())^(1/Alpha)))))</f>
        <v>1.1231867094620067</v>
      </c>
      <c r="X129" s="19">
        <f ca="1">IF(RAND()&lt;P_Zero,0,IF(RAND()&lt;CondReturn,_xlfn.LOGNORM.INV(RAND(),MV2,Sigma1),IF(RAND()&lt;CondGood,_xlfn.LOGNORM.INV(RAND(),MV3,Sigma2),MIN(MaxMultiple,Xm/(1-RAND())^(1/Alpha)))))</f>
        <v>0.84053613644125191</v>
      </c>
      <c r="Y129" s="19">
        <f ca="1">IF(RAND()&lt;P_Zero,0,IF(RAND()&lt;CondReturn,_xlfn.LOGNORM.INV(RAND(),MV2,Sigma1),IF(RAND()&lt;CondGood,_xlfn.LOGNORM.INV(RAND(),MV3,Sigma2),MIN(MaxMultiple,Xm/(1-RAND())^(1/Alpha)))))</f>
        <v>0</v>
      </c>
      <c r="Z129" s="19">
        <f ca="1">IF(RAND()&lt;P_Zero,0,IF(RAND()&lt;CondReturn,_xlfn.LOGNORM.INV(RAND(),MV2,Sigma1),IF(RAND()&lt;CondGood,_xlfn.LOGNORM.INV(RAND(),MV3,Sigma2),MIN(MaxMultiple,Xm/(1-RAND())^(1/Alpha)))))</f>
        <v>0</v>
      </c>
      <c r="AA129" s="19">
        <f ca="1">IF(RAND()&lt;P_Zero,0,IF(RAND()&lt;CondReturn,_xlfn.LOGNORM.INV(RAND(),MV2,Sigma1),IF(RAND()&lt;CondGood,_xlfn.LOGNORM.INV(RAND(),MV3,Sigma2),MIN(MaxMultiple,Xm/(1-RAND())^(1/Alpha)))))</f>
        <v>0</v>
      </c>
      <c r="AB129" s="19">
        <f t="shared" ca="1" si="8"/>
        <v>0.32869065042123752</v>
      </c>
      <c r="AC129" s="14">
        <f t="shared" ca="1" si="9"/>
        <v>15777151.220219402</v>
      </c>
      <c r="AD129" s="14">
        <f t="shared" ca="1" si="10"/>
        <v>-32222848.779780596</v>
      </c>
      <c r="AE129" s="14">
        <f t="shared" si="11"/>
        <v>55628399.869093813</v>
      </c>
      <c r="AF129" s="14">
        <f t="shared" ca="1" si="12"/>
        <v>0</v>
      </c>
      <c r="AG129" s="14">
        <f t="shared" ca="1" si="13"/>
        <v>0</v>
      </c>
      <c r="AH129" s="14">
        <f t="shared" ca="1" si="14"/>
        <v>15777151.220219402</v>
      </c>
      <c r="AI129" s="19">
        <f t="shared" ca="1" si="15"/>
        <v>0.26295252033699001</v>
      </c>
    </row>
    <row r="130" spans="2:35" x14ac:dyDescent="0.2">
      <c r="B130" s="1">
        <v>125</v>
      </c>
      <c r="C130" s="19">
        <f ca="1">IF(RAND()&lt;P_Zero,0,IF(RAND()&lt;CondReturn,_xlfn.LOGNORM.INV(RAND(),MV2,Sigma1),IF(RAND()&lt;CondGood,_xlfn.LOGNORM.INV(RAND(),MV3,Sigma2),MIN(MaxMultiple,Xm/(1-RAND())^(1/Alpha)))))</f>
        <v>0</v>
      </c>
      <c r="D130" s="19">
        <f ca="1">IF(RAND()&lt;P_Zero,0,IF(RAND()&lt;CondReturn,_xlfn.LOGNORM.INV(RAND(),MV2,Sigma1),IF(RAND()&lt;CondGood,_xlfn.LOGNORM.INV(RAND(),MV3,Sigma2),MIN(MaxMultiple,Xm/(1-RAND())^(1/Alpha)))))</f>
        <v>12.607115187530878</v>
      </c>
      <c r="E130" s="19">
        <f ca="1">IF(RAND()&lt;P_Zero,0,IF(RAND()&lt;CondReturn,_xlfn.LOGNORM.INV(RAND(),MV2,Sigma1),IF(RAND()&lt;CondGood,_xlfn.LOGNORM.INV(RAND(),MV3,Sigma2),MIN(MaxMultiple,Xm/(1-RAND())^(1/Alpha)))))</f>
        <v>0.94600824854030863</v>
      </c>
      <c r="F130" s="19">
        <f ca="1">IF(RAND()&lt;P_Zero,0,IF(RAND()&lt;CondReturn,_xlfn.LOGNORM.INV(RAND(),MV2,Sigma1),IF(RAND()&lt;CondGood,_xlfn.LOGNORM.INV(RAND(),MV3,Sigma2),MIN(MaxMultiple,Xm/(1-RAND())^(1/Alpha)))))</f>
        <v>42.596954885319107</v>
      </c>
      <c r="G130" s="19">
        <f ca="1">IF(RAND()&lt;P_Zero,0,IF(RAND()&lt;CondReturn,_xlfn.LOGNORM.INV(RAND(),MV2,Sigma1),IF(RAND()&lt;CondGood,_xlfn.LOGNORM.INV(RAND(),MV3,Sigma2),MIN(MaxMultiple,Xm/(1-RAND())^(1/Alpha)))))</f>
        <v>0.89436444852655528</v>
      </c>
      <c r="H130" s="19">
        <f ca="1">IF(RAND()&lt;P_Zero,0,IF(RAND()&lt;CondReturn,_xlfn.LOGNORM.INV(RAND(),MV2,Sigma1),IF(RAND()&lt;CondGood,_xlfn.LOGNORM.INV(RAND(),MV3,Sigma2),MIN(MaxMultiple,Xm/(1-RAND())^(1/Alpha)))))</f>
        <v>0</v>
      </c>
      <c r="I130" s="19">
        <f ca="1">IF(RAND()&lt;P_Zero,0,IF(RAND()&lt;CondReturn,_xlfn.LOGNORM.INV(RAND(),MV2,Sigma1),IF(RAND()&lt;CondGood,_xlfn.LOGNORM.INV(RAND(),MV3,Sigma2),MIN(MaxMultiple,Xm/(1-RAND())^(1/Alpha)))))</f>
        <v>0.97502248257059621</v>
      </c>
      <c r="J130" s="19">
        <f ca="1">IF(RAND()&lt;P_Zero,0,IF(RAND()&lt;CondReturn,_xlfn.LOGNORM.INV(RAND(),MV2,Sigma1),IF(RAND()&lt;CondGood,_xlfn.LOGNORM.INV(RAND(),MV3,Sigma2),MIN(MaxMultiple,Xm/(1-RAND())^(1/Alpha)))))</f>
        <v>0.94111455547211198</v>
      </c>
      <c r="K130" s="19">
        <f ca="1">IF(RAND()&lt;P_Zero,0,IF(RAND()&lt;CondReturn,_xlfn.LOGNORM.INV(RAND(),MV2,Sigma1),IF(RAND()&lt;CondGood,_xlfn.LOGNORM.INV(RAND(),MV3,Sigma2),MIN(MaxMultiple,Xm/(1-RAND())^(1/Alpha)))))</f>
        <v>2.0422252350469545</v>
      </c>
      <c r="L130" s="19">
        <f ca="1">IF(RAND()&lt;P_Zero,0,IF(RAND()&lt;CondReturn,_xlfn.LOGNORM.INV(RAND(),MV2,Sigma1),IF(RAND()&lt;CondGood,_xlfn.LOGNORM.INV(RAND(),MV3,Sigma2),MIN(MaxMultiple,Xm/(1-RAND())^(1/Alpha)))))</f>
        <v>1.2147892012049286</v>
      </c>
      <c r="M130" s="19">
        <f ca="1">IF(RAND()&lt;P_Zero,0,IF(RAND()&lt;CondReturn,_xlfn.LOGNORM.INV(RAND(),MV2,Sigma1),IF(RAND()&lt;CondGood,_xlfn.LOGNORM.INV(RAND(),MV3,Sigma2),MIN(MaxMultiple,Xm/(1-RAND())^(1/Alpha)))))</f>
        <v>1.3301631525023578</v>
      </c>
      <c r="N130" s="19">
        <f ca="1">IF(RAND()&lt;P_Zero,0,IF(RAND()&lt;CondReturn,_xlfn.LOGNORM.INV(RAND(),MV2,Sigma1),IF(RAND()&lt;CondGood,_xlfn.LOGNORM.INV(RAND(),MV3,Sigma2),MIN(MaxMultiple,Xm/(1-RAND())^(1/Alpha)))))</f>
        <v>0</v>
      </c>
      <c r="O130" s="19">
        <f ca="1">IF(RAND()&lt;P_Zero,0,IF(RAND()&lt;CondReturn,_xlfn.LOGNORM.INV(RAND(),MV2,Sigma1),IF(RAND()&lt;CondGood,_xlfn.LOGNORM.INV(RAND(),MV3,Sigma2),MIN(MaxMultiple,Xm/(1-RAND())^(1/Alpha)))))</f>
        <v>0</v>
      </c>
      <c r="P130" s="19">
        <f ca="1">IF(RAND()&lt;P_Zero,0,IF(RAND()&lt;CondReturn,_xlfn.LOGNORM.INV(RAND(),MV2,Sigma1),IF(RAND()&lt;CondGood,_xlfn.LOGNORM.INV(RAND(),MV3,Sigma2),MIN(MaxMultiple,Xm/(1-RAND())^(1/Alpha)))))</f>
        <v>0.68947223801962909</v>
      </c>
      <c r="Q130" s="19">
        <f ca="1">IF(RAND()&lt;P_Zero,0,IF(RAND()&lt;CondReturn,_xlfn.LOGNORM.INV(RAND(),MV2,Sigma1),IF(RAND()&lt;CondGood,_xlfn.LOGNORM.INV(RAND(),MV3,Sigma2),MIN(MaxMultiple,Xm/(1-RAND())^(1/Alpha)))))</f>
        <v>1.6416533224206962</v>
      </c>
      <c r="R130" s="19">
        <f ca="1">IF(RAND()&lt;P_Zero,0,IF(RAND()&lt;CondReturn,_xlfn.LOGNORM.INV(RAND(),MV2,Sigma1),IF(RAND()&lt;CondGood,_xlfn.LOGNORM.INV(RAND(),MV3,Sigma2),MIN(MaxMultiple,Xm/(1-RAND())^(1/Alpha)))))</f>
        <v>0.46678018367930424</v>
      </c>
      <c r="S130" s="19">
        <f ca="1">IF(RAND()&lt;P_Zero,0,IF(RAND()&lt;CondReturn,_xlfn.LOGNORM.INV(RAND(),MV2,Sigma1),IF(RAND()&lt;CondGood,_xlfn.LOGNORM.INV(RAND(),MV3,Sigma2),MIN(MaxMultiple,Xm/(1-RAND())^(1/Alpha)))))</f>
        <v>1.0931043738975788</v>
      </c>
      <c r="T130" s="19">
        <f ca="1">IF(RAND()&lt;P_Zero,0,IF(RAND()&lt;CondReturn,_xlfn.LOGNORM.INV(RAND(),MV2,Sigma1),IF(RAND()&lt;CondGood,_xlfn.LOGNORM.INV(RAND(),MV3,Sigma2),MIN(MaxMultiple,Xm/(1-RAND())^(1/Alpha)))))</f>
        <v>0.71705334897880757</v>
      </c>
      <c r="U130" s="19">
        <f ca="1">IF(RAND()&lt;P_Zero,0,IF(RAND()&lt;CondReturn,_xlfn.LOGNORM.INV(RAND(),MV2,Sigma1),IF(RAND()&lt;CondGood,_xlfn.LOGNORM.INV(RAND(),MV3,Sigma2),MIN(MaxMultiple,Xm/(1-RAND())^(1/Alpha)))))</f>
        <v>1.4073316052069387</v>
      </c>
      <c r="V130" s="19">
        <f ca="1">IF(RAND()&lt;P_Zero,0,IF(RAND()&lt;CondReturn,_xlfn.LOGNORM.INV(RAND(),MV2,Sigma1),IF(RAND()&lt;CondGood,_xlfn.LOGNORM.INV(RAND(),MV3,Sigma2),MIN(MaxMultiple,Xm/(1-RAND())^(1/Alpha)))))</f>
        <v>0</v>
      </c>
      <c r="W130" s="19">
        <f ca="1">IF(RAND()&lt;P_Zero,0,IF(RAND()&lt;CondReturn,_xlfn.LOGNORM.INV(RAND(),MV2,Sigma1),IF(RAND()&lt;CondGood,_xlfn.LOGNORM.INV(RAND(),MV3,Sigma2),MIN(MaxMultiple,Xm/(1-RAND())^(1/Alpha)))))</f>
        <v>1.1337709009188712</v>
      </c>
      <c r="X130" s="19">
        <f ca="1">IF(RAND()&lt;P_Zero,0,IF(RAND()&lt;CondReturn,_xlfn.LOGNORM.INV(RAND(),MV2,Sigma1),IF(RAND()&lt;CondGood,_xlfn.LOGNORM.INV(RAND(),MV3,Sigma2),MIN(MaxMultiple,Xm/(1-RAND())^(1/Alpha)))))</f>
        <v>65.653079250489128</v>
      </c>
      <c r="Y130" s="19">
        <f ca="1">IF(RAND()&lt;P_Zero,0,IF(RAND()&lt;CondReturn,_xlfn.LOGNORM.INV(RAND(),MV2,Sigma1),IF(RAND()&lt;CondGood,_xlfn.LOGNORM.INV(RAND(),MV3,Sigma2),MIN(MaxMultiple,Xm/(1-RAND())^(1/Alpha)))))</f>
        <v>15.507990599119188</v>
      </c>
      <c r="Z130" s="19">
        <f ca="1">IF(RAND()&lt;P_Zero,0,IF(RAND()&lt;CondReturn,_xlfn.LOGNORM.INV(RAND(),MV2,Sigma1),IF(RAND()&lt;CondGood,_xlfn.LOGNORM.INV(RAND(),MV3,Sigma2),MIN(MaxMultiple,Xm/(1-RAND())^(1/Alpha)))))</f>
        <v>0</v>
      </c>
      <c r="AA130" s="19">
        <f ca="1">IF(RAND()&lt;P_Zero,0,IF(RAND()&lt;CondReturn,_xlfn.LOGNORM.INV(RAND(),MV2,Sigma1),IF(RAND()&lt;CondGood,_xlfn.LOGNORM.INV(RAND(),MV3,Sigma2),MIN(MaxMultiple,Xm/(1-RAND())^(1/Alpha)))))</f>
        <v>0</v>
      </c>
      <c r="AB130" s="19">
        <f t="shared" ca="1" si="8"/>
        <v>6.0743197287777573</v>
      </c>
      <c r="AC130" s="14">
        <f t="shared" ca="1" si="9"/>
        <v>291567346.98133236</v>
      </c>
      <c r="AD130" s="14">
        <f t="shared" ca="1" si="10"/>
        <v>243567346.98133236</v>
      </c>
      <c r="AE130" s="14">
        <f t="shared" si="11"/>
        <v>55628399.869093813</v>
      </c>
      <c r="AF130" s="14">
        <f t="shared" ca="1" si="12"/>
        <v>187938947.11223856</v>
      </c>
      <c r="AG130" s="14">
        <f t="shared" ca="1" si="13"/>
        <v>37587789.422447711</v>
      </c>
      <c r="AH130" s="14">
        <f t="shared" ca="1" si="14"/>
        <v>253979557.55888465</v>
      </c>
      <c r="AI130" s="19">
        <f t="shared" ca="1" si="15"/>
        <v>4.232992625981411</v>
      </c>
    </row>
    <row r="131" spans="2:35" x14ac:dyDescent="0.2">
      <c r="B131" s="1">
        <v>126</v>
      </c>
      <c r="C131" s="19">
        <f ca="1">IF(RAND()&lt;P_Zero,0,IF(RAND()&lt;CondReturn,_xlfn.LOGNORM.INV(RAND(),MV2,Sigma1),IF(RAND()&lt;CondGood,_xlfn.LOGNORM.INV(RAND(),MV3,Sigma2),MIN(MaxMultiple,Xm/(1-RAND())^(1/Alpha)))))</f>
        <v>0</v>
      </c>
      <c r="D131" s="19">
        <f ca="1">IF(RAND()&lt;P_Zero,0,IF(RAND()&lt;CondReturn,_xlfn.LOGNORM.INV(RAND(),MV2,Sigma1),IF(RAND()&lt;CondGood,_xlfn.LOGNORM.INV(RAND(),MV3,Sigma2),MIN(MaxMultiple,Xm/(1-RAND())^(1/Alpha)))))</f>
        <v>1.138435903283793</v>
      </c>
      <c r="E131" s="19">
        <f ca="1">IF(RAND()&lt;P_Zero,0,IF(RAND()&lt;CondReturn,_xlfn.LOGNORM.INV(RAND(),MV2,Sigma1),IF(RAND()&lt;CondGood,_xlfn.LOGNORM.INV(RAND(),MV3,Sigma2),MIN(MaxMultiple,Xm/(1-RAND())^(1/Alpha)))))</f>
        <v>0</v>
      </c>
      <c r="F131" s="19">
        <f ca="1">IF(RAND()&lt;P_Zero,0,IF(RAND()&lt;CondReturn,_xlfn.LOGNORM.INV(RAND(),MV2,Sigma1),IF(RAND()&lt;CondGood,_xlfn.LOGNORM.INV(RAND(),MV3,Sigma2),MIN(MaxMultiple,Xm/(1-RAND())^(1/Alpha)))))</f>
        <v>0</v>
      </c>
      <c r="G131" s="19">
        <f ca="1">IF(RAND()&lt;P_Zero,0,IF(RAND()&lt;CondReturn,_xlfn.LOGNORM.INV(RAND(),MV2,Sigma1),IF(RAND()&lt;CondGood,_xlfn.LOGNORM.INV(RAND(),MV3,Sigma2),MIN(MaxMultiple,Xm/(1-RAND())^(1/Alpha)))))</f>
        <v>0</v>
      </c>
      <c r="H131" s="19">
        <f ca="1">IF(RAND()&lt;P_Zero,0,IF(RAND()&lt;CondReturn,_xlfn.LOGNORM.INV(RAND(),MV2,Sigma1),IF(RAND()&lt;CondGood,_xlfn.LOGNORM.INV(RAND(),MV3,Sigma2),MIN(MaxMultiple,Xm/(1-RAND())^(1/Alpha)))))</f>
        <v>1.0943644148010965</v>
      </c>
      <c r="I131" s="19">
        <f ca="1">IF(RAND()&lt;P_Zero,0,IF(RAND()&lt;CondReturn,_xlfn.LOGNORM.INV(RAND(),MV2,Sigma1),IF(RAND()&lt;CondGood,_xlfn.LOGNORM.INV(RAND(),MV3,Sigma2),MIN(MaxMultiple,Xm/(1-RAND())^(1/Alpha)))))</f>
        <v>0</v>
      </c>
      <c r="J131" s="19">
        <f ca="1">IF(RAND()&lt;P_Zero,0,IF(RAND()&lt;CondReturn,_xlfn.LOGNORM.INV(RAND(),MV2,Sigma1),IF(RAND()&lt;CondGood,_xlfn.LOGNORM.INV(RAND(),MV3,Sigma2),MIN(MaxMultiple,Xm/(1-RAND())^(1/Alpha)))))</f>
        <v>0</v>
      </c>
      <c r="K131" s="19">
        <f ca="1">IF(RAND()&lt;P_Zero,0,IF(RAND()&lt;CondReturn,_xlfn.LOGNORM.INV(RAND(),MV2,Sigma1),IF(RAND()&lt;CondGood,_xlfn.LOGNORM.INV(RAND(),MV3,Sigma2),MIN(MaxMultiple,Xm/(1-RAND())^(1/Alpha)))))</f>
        <v>0</v>
      </c>
      <c r="L131" s="19">
        <f ca="1">IF(RAND()&lt;P_Zero,0,IF(RAND()&lt;CondReturn,_xlfn.LOGNORM.INV(RAND(),MV2,Sigma1),IF(RAND()&lt;CondGood,_xlfn.LOGNORM.INV(RAND(),MV3,Sigma2),MIN(MaxMultiple,Xm/(1-RAND())^(1/Alpha)))))</f>
        <v>0</v>
      </c>
      <c r="M131" s="19">
        <f ca="1">IF(RAND()&lt;P_Zero,0,IF(RAND()&lt;CondReturn,_xlfn.LOGNORM.INV(RAND(),MV2,Sigma1),IF(RAND()&lt;CondGood,_xlfn.LOGNORM.INV(RAND(),MV3,Sigma2),MIN(MaxMultiple,Xm/(1-RAND())^(1/Alpha)))))</f>
        <v>0.59105543065814248</v>
      </c>
      <c r="N131" s="19">
        <f ca="1">IF(RAND()&lt;P_Zero,0,IF(RAND()&lt;CondReturn,_xlfn.LOGNORM.INV(RAND(),MV2,Sigma1),IF(RAND()&lt;CondGood,_xlfn.LOGNORM.INV(RAND(),MV3,Sigma2),MIN(MaxMultiple,Xm/(1-RAND())^(1/Alpha)))))</f>
        <v>0.74440444313164134</v>
      </c>
      <c r="O131" s="19">
        <f ca="1">IF(RAND()&lt;P_Zero,0,IF(RAND()&lt;CondReturn,_xlfn.LOGNORM.INV(RAND(),MV2,Sigma1),IF(RAND()&lt;CondGood,_xlfn.LOGNORM.INV(RAND(),MV3,Sigma2),MIN(MaxMultiple,Xm/(1-RAND())^(1/Alpha)))))</f>
        <v>1.4391245259486589</v>
      </c>
      <c r="P131" s="19">
        <f ca="1">IF(RAND()&lt;P_Zero,0,IF(RAND()&lt;CondReturn,_xlfn.LOGNORM.INV(RAND(),MV2,Sigma1),IF(RAND()&lt;CondGood,_xlfn.LOGNORM.INV(RAND(),MV3,Sigma2),MIN(MaxMultiple,Xm/(1-RAND())^(1/Alpha)))))</f>
        <v>1.6117403715807768</v>
      </c>
      <c r="Q131" s="19">
        <f ca="1">IF(RAND()&lt;P_Zero,0,IF(RAND()&lt;CondReturn,_xlfn.LOGNORM.INV(RAND(),MV2,Sigma1),IF(RAND()&lt;CondGood,_xlfn.LOGNORM.INV(RAND(),MV3,Sigma2),MIN(MaxMultiple,Xm/(1-RAND())^(1/Alpha)))))</f>
        <v>0.72476411409564889</v>
      </c>
      <c r="R131" s="19">
        <f ca="1">IF(RAND()&lt;P_Zero,0,IF(RAND()&lt;CondReturn,_xlfn.LOGNORM.INV(RAND(),MV2,Sigma1),IF(RAND()&lt;CondGood,_xlfn.LOGNORM.INV(RAND(),MV3,Sigma2),MIN(MaxMultiple,Xm/(1-RAND())^(1/Alpha)))))</f>
        <v>2.2341044515285433</v>
      </c>
      <c r="S131" s="19">
        <f ca="1">IF(RAND()&lt;P_Zero,0,IF(RAND()&lt;CondReturn,_xlfn.LOGNORM.INV(RAND(),MV2,Sigma1),IF(RAND()&lt;CondGood,_xlfn.LOGNORM.INV(RAND(),MV3,Sigma2),MIN(MaxMultiple,Xm/(1-RAND())^(1/Alpha)))))</f>
        <v>3.2616399481629719</v>
      </c>
      <c r="T131" s="19">
        <f ca="1">IF(RAND()&lt;P_Zero,0,IF(RAND()&lt;CondReturn,_xlfn.LOGNORM.INV(RAND(),MV2,Sigma1),IF(RAND()&lt;CondGood,_xlfn.LOGNORM.INV(RAND(),MV3,Sigma2),MIN(MaxMultiple,Xm/(1-RAND())^(1/Alpha)))))</f>
        <v>0.7994177433521904</v>
      </c>
      <c r="U131" s="19">
        <f ca="1">IF(RAND()&lt;P_Zero,0,IF(RAND()&lt;CondReturn,_xlfn.LOGNORM.INV(RAND(),MV2,Sigma1),IF(RAND()&lt;CondGood,_xlfn.LOGNORM.INV(RAND(),MV3,Sigma2),MIN(MaxMultiple,Xm/(1-RAND())^(1/Alpha)))))</f>
        <v>0</v>
      </c>
      <c r="V131" s="19">
        <f ca="1">IF(RAND()&lt;P_Zero,0,IF(RAND()&lt;CondReturn,_xlfn.LOGNORM.INV(RAND(),MV2,Sigma1),IF(RAND()&lt;CondGood,_xlfn.LOGNORM.INV(RAND(),MV3,Sigma2),MIN(MaxMultiple,Xm/(1-RAND())^(1/Alpha)))))</f>
        <v>0</v>
      </c>
      <c r="W131" s="19">
        <f ca="1">IF(RAND()&lt;P_Zero,0,IF(RAND()&lt;CondReturn,_xlfn.LOGNORM.INV(RAND(),MV2,Sigma1),IF(RAND()&lt;CondGood,_xlfn.LOGNORM.INV(RAND(),MV3,Sigma2),MIN(MaxMultiple,Xm/(1-RAND())^(1/Alpha)))))</f>
        <v>2.1939664953920417</v>
      </c>
      <c r="X131" s="19">
        <f ca="1">IF(RAND()&lt;P_Zero,0,IF(RAND()&lt;CondReturn,_xlfn.LOGNORM.INV(RAND(),MV2,Sigma1),IF(RAND()&lt;CondGood,_xlfn.LOGNORM.INV(RAND(),MV3,Sigma2),MIN(MaxMultiple,Xm/(1-RAND())^(1/Alpha)))))</f>
        <v>11.319273004248789</v>
      </c>
      <c r="Y131" s="19">
        <f ca="1">IF(RAND()&lt;P_Zero,0,IF(RAND()&lt;CondReturn,_xlfn.LOGNORM.INV(RAND(),MV2,Sigma1),IF(RAND()&lt;CondGood,_xlfn.LOGNORM.INV(RAND(),MV3,Sigma2),MIN(MaxMultiple,Xm/(1-RAND())^(1/Alpha)))))</f>
        <v>0.98406174614452524</v>
      </c>
      <c r="Z131" s="19">
        <f ca="1">IF(RAND()&lt;P_Zero,0,IF(RAND()&lt;CondReturn,_xlfn.LOGNORM.INV(RAND(),MV2,Sigma1),IF(RAND()&lt;CondGood,_xlfn.LOGNORM.INV(RAND(),MV3,Sigma2),MIN(MaxMultiple,Xm/(1-RAND())^(1/Alpha)))))</f>
        <v>0.5366960095416512</v>
      </c>
      <c r="AA131" s="19">
        <f ca="1">IF(RAND()&lt;P_Zero,0,IF(RAND()&lt;CondReturn,_xlfn.LOGNORM.INV(RAND(),MV2,Sigma1),IF(RAND()&lt;CondGood,_xlfn.LOGNORM.INV(RAND(),MV3,Sigma2),MIN(MaxMultiple,Xm/(1-RAND())^(1/Alpha)))))</f>
        <v>0.81911216566672951</v>
      </c>
      <c r="AB131" s="19">
        <f t="shared" ca="1" si="8"/>
        <v>1.179686430701488</v>
      </c>
      <c r="AC131" s="14">
        <f t="shared" ca="1" si="9"/>
        <v>56624948.673671424</v>
      </c>
      <c r="AD131" s="14">
        <f t="shared" ca="1" si="10"/>
        <v>8624948.6736714244</v>
      </c>
      <c r="AE131" s="14">
        <f t="shared" si="11"/>
        <v>55628399.869093813</v>
      </c>
      <c r="AF131" s="14">
        <f t="shared" ca="1" si="12"/>
        <v>0</v>
      </c>
      <c r="AG131" s="14">
        <f t="shared" ca="1" si="13"/>
        <v>0</v>
      </c>
      <c r="AH131" s="14">
        <f t="shared" ca="1" si="14"/>
        <v>56624948.673671424</v>
      </c>
      <c r="AI131" s="19">
        <f t="shared" ca="1" si="15"/>
        <v>0.94374914456119041</v>
      </c>
    </row>
    <row r="132" spans="2:35" x14ac:dyDescent="0.2">
      <c r="B132" s="1">
        <v>127</v>
      </c>
      <c r="C132" s="19">
        <f ca="1">IF(RAND()&lt;P_Zero,0,IF(RAND()&lt;CondReturn,_xlfn.LOGNORM.INV(RAND(),MV2,Sigma1),IF(RAND()&lt;CondGood,_xlfn.LOGNORM.INV(RAND(),MV3,Sigma2),MIN(MaxMultiple,Xm/(1-RAND())^(1/Alpha)))))</f>
        <v>0</v>
      </c>
      <c r="D132" s="19">
        <f ca="1">IF(RAND()&lt;P_Zero,0,IF(RAND()&lt;CondReturn,_xlfn.LOGNORM.INV(RAND(),MV2,Sigma1),IF(RAND()&lt;CondGood,_xlfn.LOGNORM.INV(RAND(),MV3,Sigma2),MIN(MaxMultiple,Xm/(1-RAND())^(1/Alpha)))))</f>
        <v>1.5189657690299085</v>
      </c>
      <c r="E132" s="19">
        <f ca="1">IF(RAND()&lt;P_Zero,0,IF(RAND()&lt;CondReturn,_xlfn.LOGNORM.INV(RAND(),MV2,Sigma1),IF(RAND()&lt;CondGood,_xlfn.LOGNORM.INV(RAND(),MV3,Sigma2),MIN(MaxMultiple,Xm/(1-RAND())^(1/Alpha)))))</f>
        <v>0.55450825543209692</v>
      </c>
      <c r="F132" s="19">
        <f ca="1">IF(RAND()&lt;P_Zero,0,IF(RAND()&lt;CondReturn,_xlfn.LOGNORM.INV(RAND(),MV2,Sigma1),IF(RAND()&lt;CondGood,_xlfn.LOGNORM.INV(RAND(),MV3,Sigma2),MIN(MaxMultiple,Xm/(1-RAND())^(1/Alpha)))))</f>
        <v>0</v>
      </c>
      <c r="G132" s="19">
        <f ca="1">IF(RAND()&lt;P_Zero,0,IF(RAND()&lt;CondReturn,_xlfn.LOGNORM.INV(RAND(),MV2,Sigma1),IF(RAND()&lt;CondGood,_xlfn.LOGNORM.INV(RAND(),MV3,Sigma2),MIN(MaxMultiple,Xm/(1-RAND())^(1/Alpha)))))</f>
        <v>0.85752977235270433</v>
      </c>
      <c r="H132" s="19">
        <f ca="1">IF(RAND()&lt;P_Zero,0,IF(RAND()&lt;CondReturn,_xlfn.LOGNORM.INV(RAND(),MV2,Sigma1),IF(RAND()&lt;CondGood,_xlfn.LOGNORM.INV(RAND(),MV3,Sigma2),MIN(MaxMultiple,Xm/(1-RAND())^(1/Alpha)))))</f>
        <v>1.9291259275358152</v>
      </c>
      <c r="I132" s="19">
        <f ca="1">IF(RAND()&lt;P_Zero,0,IF(RAND()&lt;CondReturn,_xlfn.LOGNORM.INV(RAND(),MV2,Sigma1),IF(RAND()&lt;CondGood,_xlfn.LOGNORM.INV(RAND(),MV3,Sigma2),MIN(MaxMultiple,Xm/(1-RAND())^(1/Alpha)))))</f>
        <v>0.89043401595003435</v>
      </c>
      <c r="J132" s="19">
        <f ca="1">IF(RAND()&lt;P_Zero,0,IF(RAND()&lt;CondReturn,_xlfn.LOGNORM.INV(RAND(),MV2,Sigma1),IF(RAND()&lt;CondGood,_xlfn.LOGNORM.INV(RAND(),MV3,Sigma2),MIN(MaxMultiple,Xm/(1-RAND())^(1/Alpha)))))</f>
        <v>1.4141708764571868</v>
      </c>
      <c r="K132" s="19">
        <f ca="1">IF(RAND()&lt;P_Zero,0,IF(RAND()&lt;CondReturn,_xlfn.LOGNORM.INV(RAND(),MV2,Sigma1),IF(RAND()&lt;CondGood,_xlfn.LOGNORM.INV(RAND(),MV3,Sigma2),MIN(MaxMultiple,Xm/(1-RAND())^(1/Alpha)))))</f>
        <v>0.64534125473224668</v>
      </c>
      <c r="L132" s="19">
        <f ca="1">IF(RAND()&lt;P_Zero,0,IF(RAND()&lt;CondReturn,_xlfn.LOGNORM.INV(RAND(),MV2,Sigma1),IF(RAND()&lt;CondGood,_xlfn.LOGNORM.INV(RAND(),MV3,Sigma2),MIN(MaxMultiple,Xm/(1-RAND())^(1/Alpha)))))</f>
        <v>1.2399059834362898</v>
      </c>
      <c r="M132" s="19">
        <f ca="1">IF(RAND()&lt;P_Zero,0,IF(RAND()&lt;CondReturn,_xlfn.LOGNORM.INV(RAND(),MV2,Sigma1),IF(RAND()&lt;CondGood,_xlfn.LOGNORM.INV(RAND(),MV3,Sigma2),MIN(MaxMultiple,Xm/(1-RAND())^(1/Alpha)))))</f>
        <v>1.4754838650917674</v>
      </c>
      <c r="N132" s="19">
        <f ca="1">IF(RAND()&lt;P_Zero,0,IF(RAND()&lt;CondReturn,_xlfn.LOGNORM.INV(RAND(),MV2,Sigma1),IF(RAND()&lt;CondGood,_xlfn.LOGNORM.INV(RAND(),MV3,Sigma2),MIN(MaxMultiple,Xm/(1-RAND())^(1/Alpha)))))</f>
        <v>0</v>
      </c>
      <c r="O132" s="19">
        <f ca="1">IF(RAND()&lt;P_Zero,0,IF(RAND()&lt;CondReturn,_xlfn.LOGNORM.INV(RAND(),MV2,Sigma1),IF(RAND()&lt;CondGood,_xlfn.LOGNORM.INV(RAND(),MV3,Sigma2),MIN(MaxMultiple,Xm/(1-RAND())^(1/Alpha)))))</f>
        <v>0</v>
      </c>
      <c r="P132" s="19">
        <f ca="1">IF(RAND()&lt;P_Zero,0,IF(RAND()&lt;CondReturn,_xlfn.LOGNORM.INV(RAND(),MV2,Sigma1),IF(RAND()&lt;CondGood,_xlfn.LOGNORM.INV(RAND(),MV3,Sigma2),MIN(MaxMultiple,Xm/(1-RAND())^(1/Alpha)))))</f>
        <v>0.47934845293176476</v>
      </c>
      <c r="Q132" s="19">
        <f ca="1">IF(RAND()&lt;P_Zero,0,IF(RAND()&lt;CondReturn,_xlfn.LOGNORM.INV(RAND(),MV2,Sigma1),IF(RAND()&lt;CondGood,_xlfn.LOGNORM.INV(RAND(),MV3,Sigma2),MIN(MaxMultiple,Xm/(1-RAND())^(1/Alpha)))))</f>
        <v>0</v>
      </c>
      <c r="R132" s="19">
        <f ca="1">IF(RAND()&lt;P_Zero,0,IF(RAND()&lt;CondReturn,_xlfn.LOGNORM.INV(RAND(),MV2,Sigma1),IF(RAND()&lt;CondGood,_xlfn.LOGNORM.INV(RAND(),MV3,Sigma2),MIN(MaxMultiple,Xm/(1-RAND())^(1/Alpha)))))</f>
        <v>0</v>
      </c>
      <c r="S132" s="19">
        <f ca="1">IF(RAND()&lt;P_Zero,0,IF(RAND()&lt;CondReturn,_xlfn.LOGNORM.INV(RAND(),MV2,Sigma1),IF(RAND()&lt;CondGood,_xlfn.LOGNORM.INV(RAND(),MV3,Sigma2),MIN(MaxMultiple,Xm/(1-RAND())^(1/Alpha)))))</f>
        <v>1.0306332322233527</v>
      </c>
      <c r="T132" s="19">
        <f ca="1">IF(RAND()&lt;P_Zero,0,IF(RAND()&lt;CondReturn,_xlfn.LOGNORM.INV(RAND(),MV2,Sigma1),IF(RAND()&lt;CondGood,_xlfn.LOGNORM.INV(RAND(),MV3,Sigma2),MIN(MaxMultiple,Xm/(1-RAND())^(1/Alpha)))))</f>
        <v>1.1317215529252493</v>
      </c>
      <c r="U132" s="19">
        <f ca="1">IF(RAND()&lt;P_Zero,0,IF(RAND()&lt;CondReturn,_xlfn.LOGNORM.INV(RAND(),MV2,Sigma1),IF(RAND()&lt;CondGood,_xlfn.LOGNORM.INV(RAND(),MV3,Sigma2),MIN(MaxMultiple,Xm/(1-RAND())^(1/Alpha)))))</f>
        <v>0</v>
      </c>
      <c r="V132" s="19">
        <f ca="1">IF(RAND()&lt;P_Zero,0,IF(RAND()&lt;CondReturn,_xlfn.LOGNORM.INV(RAND(),MV2,Sigma1),IF(RAND()&lt;CondGood,_xlfn.LOGNORM.INV(RAND(),MV3,Sigma2),MIN(MaxMultiple,Xm/(1-RAND())^(1/Alpha)))))</f>
        <v>0</v>
      </c>
      <c r="W132" s="19">
        <f ca="1">IF(RAND()&lt;P_Zero,0,IF(RAND()&lt;CondReturn,_xlfn.LOGNORM.INV(RAND(),MV2,Sigma1),IF(RAND()&lt;CondGood,_xlfn.LOGNORM.INV(RAND(),MV3,Sigma2),MIN(MaxMultiple,Xm/(1-RAND())^(1/Alpha)))))</f>
        <v>10.392644760783073</v>
      </c>
      <c r="X132" s="19">
        <f ca="1">IF(RAND()&lt;P_Zero,0,IF(RAND()&lt;CondReturn,_xlfn.LOGNORM.INV(RAND(),MV2,Sigma1),IF(RAND()&lt;CondGood,_xlfn.LOGNORM.INV(RAND(),MV3,Sigma2),MIN(MaxMultiple,Xm/(1-RAND())^(1/Alpha)))))</f>
        <v>0.88245162176766723</v>
      </c>
      <c r="Y132" s="19">
        <f ca="1">IF(RAND()&lt;P_Zero,0,IF(RAND()&lt;CondReturn,_xlfn.LOGNORM.INV(RAND(),MV2,Sigma1),IF(RAND()&lt;CondGood,_xlfn.LOGNORM.INV(RAND(),MV3,Sigma2),MIN(MaxMultiple,Xm/(1-RAND())^(1/Alpha)))))</f>
        <v>1.2283250409515853</v>
      </c>
      <c r="Z132" s="19">
        <f ca="1">IF(RAND()&lt;P_Zero,0,IF(RAND()&lt;CondReturn,_xlfn.LOGNORM.INV(RAND(),MV2,Sigma1),IF(RAND()&lt;CondGood,_xlfn.LOGNORM.INV(RAND(),MV3,Sigma2),MIN(MaxMultiple,Xm/(1-RAND())^(1/Alpha)))))</f>
        <v>1.8544406739485286</v>
      </c>
      <c r="AA132" s="19">
        <f ca="1">IF(RAND()&lt;P_Zero,0,IF(RAND()&lt;CondReturn,_xlfn.LOGNORM.INV(RAND(),MV2,Sigma1),IF(RAND()&lt;CondGood,_xlfn.LOGNORM.INV(RAND(),MV3,Sigma2),MIN(MaxMultiple,Xm/(1-RAND())^(1/Alpha)))))</f>
        <v>0</v>
      </c>
      <c r="AB132" s="19">
        <f t="shared" ca="1" si="8"/>
        <v>1.101001242221971</v>
      </c>
      <c r="AC132" s="14">
        <f t="shared" ca="1" si="9"/>
        <v>52848059.62665461</v>
      </c>
      <c r="AD132" s="14">
        <f t="shared" ca="1" si="10"/>
        <v>4848059.62665461</v>
      </c>
      <c r="AE132" s="14">
        <f t="shared" si="11"/>
        <v>55628399.869093813</v>
      </c>
      <c r="AF132" s="14">
        <f t="shared" ca="1" si="12"/>
        <v>0</v>
      </c>
      <c r="AG132" s="14">
        <f t="shared" ca="1" si="13"/>
        <v>0</v>
      </c>
      <c r="AH132" s="14">
        <f t="shared" ca="1" si="14"/>
        <v>52848059.62665461</v>
      </c>
      <c r="AI132" s="19">
        <f t="shared" ca="1" si="15"/>
        <v>0.88080099377757681</v>
      </c>
    </row>
    <row r="133" spans="2:35" x14ac:dyDescent="0.2">
      <c r="B133" s="1">
        <v>128</v>
      </c>
      <c r="C133" s="19">
        <f ca="1">IF(RAND()&lt;P_Zero,0,IF(RAND()&lt;CondReturn,_xlfn.LOGNORM.INV(RAND(),MV2,Sigma1),IF(RAND()&lt;CondGood,_xlfn.LOGNORM.INV(RAND(),MV3,Sigma2),MIN(MaxMultiple,Xm/(1-RAND())^(1/Alpha)))))</f>
        <v>0</v>
      </c>
      <c r="D133" s="19">
        <f ca="1">IF(RAND()&lt;P_Zero,0,IF(RAND()&lt;CondReturn,_xlfn.LOGNORM.INV(RAND(),MV2,Sigma1),IF(RAND()&lt;CondGood,_xlfn.LOGNORM.INV(RAND(),MV3,Sigma2),MIN(MaxMultiple,Xm/(1-RAND())^(1/Alpha)))))</f>
        <v>17.590012817098497</v>
      </c>
      <c r="E133" s="19">
        <f ca="1">IF(RAND()&lt;P_Zero,0,IF(RAND()&lt;CondReturn,_xlfn.LOGNORM.INV(RAND(),MV2,Sigma1),IF(RAND()&lt;CondGood,_xlfn.LOGNORM.INV(RAND(),MV3,Sigma2),MIN(MaxMultiple,Xm/(1-RAND())^(1/Alpha)))))</f>
        <v>0.6722031588378149</v>
      </c>
      <c r="F133" s="19">
        <f ca="1">IF(RAND()&lt;P_Zero,0,IF(RAND()&lt;CondReturn,_xlfn.LOGNORM.INV(RAND(),MV2,Sigma1),IF(RAND()&lt;CondGood,_xlfn.LOGNORM.INV(RAND(),MV3,Sigma2),MIN(MaxMultiple,Xm/(1-RAND())^(1/Alpha)))))</f>
        <v>0.92795721584401969</v>
      </c>
      <c r="G133" s="19">
        <f ca="1">IF(RAND()&lt;P_Zero,0,IF(RAND()&lt;CondReturn,_xlfn.LOGNORM.INV(RAND(),MV2,Sigma1),IF(RAND()&lt;CondGood,_xlfn.LOGNORM.INV(RAND(),MV3,Sigma2),MIN(MaxMultiple,Xm/(1-RAND())^(1/Alpha)))))</f>
        <v>2.006834101878249</v>
      </c>
      <c r="H133" s="19">
        <f ca="1">IF(RAND()&lt;P_Zero,0,IF(RAND()&lt;CondReturn,_xlfn.LOGNORM.INV(RAND(),MV2,Sigma1),IF(RAND()&lt;CondGood,_xlfn.LOGNORM.INV(RAND(),MV3,Sigma2),MIN(MaxMultiple,Xm/(1-RAND())^(1/Alpha)))))</f>
        <v>1.8793976229226153</v>
      </c>
      <c r="I133" s="19">
        <f ca="1">IF(RAND()&lt;P_Zero,0,IF(RAND()&lt;CondReturn,_xlfn.LOGNORM.INV(RAND(),MV2,Sigma1),IF(RAND()&lt;CondGood,_xlfn.LOGNORM.INV(RAND(),MV3,Sigma2),MIN(MaxMultiple,Xm/(1-RAND())^(1/Alpha)))))</f>
        <v>1.0147706076130236</v>
      </c>
      <c r="J133" s="19">
        <f ca="1">IF(RAND()&lt;P_Zero,0,IF(RAND()&lt;CondReturn,_xlfn.LOGNORM.INV(RAND(),MV2,Sigma1),IF(RAND()&lt;CondGood,_xlfn.LOGNORM.INV(RAND(),MV3,Sigma2),MIN(MaxMultiple,Xm/(1-RAND())^(1/Alpha)))))</f>
        <v>0.79455437898560199</v>
      </c>
      <c r="K133" s="19">
        <f ca="1">IF(RAND()&lt;P_Zero,0,IF(RAND()&lt;CondReturn,_xlfn.LOGNORM.INV(RAND(),MV2,Sigma1),IF(RAND()&lt;CondGood,_xlfn.LOGNORM.INV(RAND(),MV3,Sigma2),MIN(MaxMultiple,Xm/(1-RAND())^(1/Alpha)))))</f>
        <v>1.7032916859534177</v>
      </c>
      <c r="L133" s="19">
        <f ca="1">IF(RAND()&lt;P_Zero,0,IF(RAND()&lt;CondReturn,_xlfn.LOGNORM.INV(RAND(),MV2,Sigma1),IF(RAND()&lt;CondGood,_xlfn.LOGNORM.INV(RAND(),MV3,Sigma2),MIN(MaxMultiple,Xm/(1-RAND())^(1/Alpha)))))</f>
        <v>0</v>
      </c>
      <c r="M133" s="19">
        <f ca="1">IF(RAND()&lt;P_Zero,0,IF(RAND()&lt;CondReturn,_xlfn.LOGNORM.INV(RAND(),MV2,Sigma1),IF(RAND()&lt;CondGood,_xlfn.LOGNORM.INV(RAND(),MV3,Sigma2),MIN(MaxMultiple,Xm/(1-RAND())^(1/Alpha)))))</f>
        <v>0.93080751185889243</v>
      </c>
      <c r="N133" s="19">
        <f ca="1">IF(RAND()&lt;P_Zero,0,IF(RAND()&lt;CondReturn,_xlfn.LOGNORM.INV(RAND(),MV2,Sigma1),IF(RAND()&lt;CondGood,_xlfn.LOGNORM.INV(RAND(),MV3,Sigma2),MIN(MaxMultiple,Xm/(1-RAND())^(1/Alpha)))))</f>
        <v>0.50775508507010902</v>
      </c>
      <c r="O133" s="19">
        <f ca="1">IF(RAND()&lt;P_Zero,0,IF(RAND()&lt;CondReturn,_xlfn.LOGNORM.INV(RAND(),MV2,Sigma1),IF(RAND()&lt;CondGood,_xlfn.LOGNORM.INV(RAND(),MV3,Sigma2),MIN(MaxMultiple,Xm/(1-RAND())^(1/Alpha)))))</f>
        <v>0.70681506568183394</v>
      </c>
      <c r="P133" s="19">
        <f ca="1">IF(RAND()&lt;P_Zero,0,IF(RAND()&lt;CondReturn,_xlfn.LOGNORM.INV(RAND(),MV2,Sigma1),IF(RAND()&lt;CondGood,_xlfn.LOGNORM.INV(RAND(),MV3,Sigma2),MIN(MaxMultiple,Xm/(1-RAND())^(1/Alpha)))))</f>
        <v>0</v>
      </c>
      <c r="Q133" s="19">
        <f ca="1">IF(RAND()&lt;P_Zero,0,IF(RAND()&lt;CondReturn,_xlfn.LOGNORM.INV(RAND(),MV2,Sigma1),IF(RAND()&lt;CondGood,_xlfn.LOGNORM.INV(RAND(),MV3,Sigma2),MIN(MaxMultiple,Xm/(1-RAND())^(1/Alpha)))))</f>
        <v>2.2699700327319663</v>
      </c>
      <c r="R133" s="19">
        <f ca="1">IF(RAND()&lt;P_Zero,0,IF(RAND()&lt;CondReturn,_xlfn.LOGNORM.INV(RAND(),MV2,Sigma1),IF(RAND()&lt;CondGood,_xlfn.LOGNORM.INV(RAND(),MV3,Sigma2),MIN(MaxMultiple,Xm/(1-RAND())^(1/Alpha)))))</f>
        <v>0.77682990955629683</v>
      </c>
      <c r="S133" s="19">
        <f ca="1">IF(RAND()&lt;P_Zero,0,IF(RAND()&lt;CondReturn,_xlfn.LOGNORM.INV(RAND(),MV2,Sigma1),IF(RAND()&lt;CondGood,_xlfn.LOGNORM.INV(RAND(),MV3,Sigma2),MIN(MaxMultiple,Xm/(1-RAND())^(1/Alpha)))))</f>
        <v>0</v>
      </c>
      <c r="T133" s="19">
        <f ca="1">IF(RAND()&lt;P_Zero,0,IF(RAND()&lt;CondReturn,_xlfn.LOGNORM.INV(RAND(),MV2,Sigma1),IF(RAND()&lt;CondGood,_xlfn.LOGNORM.INV(RAND(),MV3,Sigma2),MIN(MaxMultiple,Xm/(1-RAND())^(1/Alpha)))))</f>
        <v>0.72621389729894037</v>
      </c>
      <c r="U133" s="19">
        <f ca="1">IF(RAND()&lt;P_Zero,0,IF(RAND()&lt;CondReturn,_xlfn.LOGNORM.INV(RAND(),MV2,Sigma1),IF(RAND()&lt;CondGood,_xlfn.LOGNORM.INV(RAND(),MV3,Sigma2),MIN(MaxMultiple,Xm/(1-RAND())^(1/Alpha)))))</f>
        <v>0.52751984683766118</v>
      </c>
      <c r="V133" s="19">
        <f ca="1">IF(RAND()&lt;P_Zero,0,IF(RAND()&lt;CondReturn,_xlfn.LOGNORM.INV(RAND(),MV2,Sigma1),IF(RAND()&lt;CondGood,_xlfn.LOGNORM.INV(RAND(),MV3,Sigma2),MIN(MaxMultiple,Xm/(1-RAND())^(1/Alpha)))))</f>
        <v>1.2447675264601601</v>
      </c>
      <c r="W133" s="19">
        <f ca="1">IF(RAND()&lt;P_Zero,0,IF(RAND()&lt;CondReturn,_xlfn.LOGNORM.INV(RAND(),MV2,Sigma1),IF(RAND()&lt;CondGood,_xlfn.LOGNORM.INV(RAND(),MV3,Sigma2),MIN(MaxMultiple,Xm/(1-RAND())^(1/Alpha)))))</f>
        <v>1.1704707412387949</v>
      </c>
      <c r="X133" s="19">
        <f ca="1">IF(RAND()&lt;P_Zero,0,IF(RAND()&lt;CondReturn,_xlfn.LOGNORM.INV(RAND(),MV2,Sigma1),IF(RAND()&lt;CondGood,_xlfn.LOGNORM.INV(RAND(),MV3,Sigma2),MIN(MaxMultiple,Xm/(1-RAND())^(1/Alpha)))))</f>
        <v>0.47579409899124092</v>
      </c>
      <c r="Y133" s="19">
        <f ca="1">IF(RAND()&lt;P_Zero,0,IF(RAND()&lt;CondReturn,_xlfn.LOGNORM.INV(RAND(),MV2,Sigma1),IF(RAND()&lt;CondGood,_xlfn.LOGNORM.INV(RAND(),MV3,Sigma2),MIN(MaxMultiple,Xm/(1-RAND())^(1/Alpha)))))</f>
        <v>29.811786262879842</v>
      </c>
      <c r="Z133" s="19">
        <f ca="1">IF(RAND()&lt;P_Zero,0,IF(RAND()&lt;CondReturn,_xlfn.LOGNORM.INV(RAND(),MV2,Sigma1),IF(RAND()&lt;CondGood,_xlfn.LOGNORM.INV(RAND(),MV3,Sigma2),MIN(MaxMultiple,Xm/(1-RAND())^(1/Alpha)))))</f>
        <v>0.32557796694152702</v>
      </c>
      <c r="AA133" s="19">
        <f ca="1">IF(RAND()&lt;P_Zero,0,IF(RAND()&lt;CondReturn,_xlfn.LOGNORM.INV(RAND(),MV2,Sigma1),IF(RAND()&lt;CondGood,_xlfn.LOGNORM.INV(RAND(),MV3,Sigma2),MIN(MaxMultiple,Xm/(1-RAND())^(1/Alpha)))))</f>
        <v>1.0096312796484597</v>
      </c>
      <c r="AB133" s="19">
        <f t="shared" ca="1" si="8"/>
        <v>2.6829184325731581</v>
      </c>
      <c r="AC133" s="14">
        <f t="shared" ca="1" si="9"/>
        <v>128780084.76351158</v>
      </c>
      <c r="AD133" s="14">
        <f t="shared" ca="1" si="10"/>
        <v>80780084.763511583</v>
      </c>
      <c r="AE133" s="14">
        <f t="shared" si="11"/>
        <v>55628399.869093813</v>
      </c>
      <c r="AF133" s="14">
        <f t="shared" ca="1" si="12"/>
        <v>25151684.89441777</v>
      </c>
      <c r="AG133" s="14">
        <f t="shared" ca="1" si="13"/>
        <v>5030336.9788835542</v>
      </c>
      <c r="AH133" s="14">
        <f t="shared" ca="1" si="14"/>
        <v>123749747.78462803</v>
      </c>
      <c r="AI133" s="19">
        <f t="shared" ca="1" si="15"/>
        <v>2.0624957964104671</v>
      </c>
    </row>
    <row r="134" spans="2:35" x14ac:dyDescent="0.2">
      <c r="B134" s="1">
        <v>129</v>
      </c>
      <c r="C134" s="19">
        <f ca="1">IF(RAND()&lt;P_Zero,0,IF(RAND()&lt;CondReturn,_xlfn.LOGNORM.INV(RAND(),MV2,Sigma1),IF(RAND()&lt;CondGood,_xlfn.LOGNORM.INV(RAND(),MV3,Sigma2),MIN(MaxMultiple,Xm/(1-RAND())^(1/Alpha)))))</f>
        <v>14.920847436713167</v>
      </c>
      <c r="D134" s="19">
        <f ca="1">IF(RAND()&lt;P_Zero,0,IF(RAND()&lt;CondReturn,_xlfn.LOGNORM.INV(RAND(),MV2,Sigma1),IF(RAND()&lt;CondGood,_xlfn.LOGNORM.INV(RAND(),MV3,Sigma2),MIN(MaxMultiple,Xm/(1-RAND())^(1/Alpha)))))</f>
        <v>0</v>
      </c>
      <c r="E134" s="19">
        <f ca="1">IF(RAND()&lt;P_Zero,0,IF(RAND()&lt;CondReturn,_xlfn.LOGNORM.INV(RAND(),MV2,Sigma1),IF(RAND()&lt;CondGood,_xlfn.LOGNORM.INV(RAND(),MV3,Sigma2),MIN(MaxMultiple,Xm/(1-RAND())^(1/Alpha)))))</f>
        <v>10.445568876057438</v>
      </c>
      <c r="F134" s="19">
        <f ca="1">IF(RAND()&lt;P_Zero,0,IF(RAND()&lt;CondReturn,_xlfn.LOGNORM.INV(RAND(),MV2,Sigma1),IF(RAND()&lt;CondGood,_xlfn.LOGNORM.INV(RAND(),MV3,Sigma2),MIN(MaxMultiple,Xm/(1-RAND())^(1/Alpha)))))</f>
        <v>0</v>
      </c>
      <c r="G134" s="19">
        <f ca="1">IF(RAND()&lt;P_Zero,0,IF(RAND()&lt;CondReturn,_xlfn.LOGNORM.INV(RAND(),MV2,Sigma1),IF(RAND()&lt;CondGood,_xlfn.LOGNORM.INV(RAND(),MV3,Sigma2),MIN(MaxMultiple,Xm/(1-RAND())^(1/Alpha)))))</f>
        <v>1.298842459418645</v>
      </c>
      <c r="H134" s="19">
        <f ca="1">IF(RAND()&lt;P_Zero,0,IF(RAND()&lt;CondReturn,_xlfn.LOGNORM.INV(RAND(),MV2,Sigma1),IF(RAND()&lt;CondGood,_xlfn.LOGNORM.INV(RAND(),MV3,Sigma2),MIN(MaxMultiple,Xm/(1-RAND())^(1/Alpha)))))</f>
        <v>0</v>
      </c>
      <c r="I134" s="19">
        <f ca="1">IF(RAND()&lt;P_Zero,0,IF(RAND()&lt;CondReturn,_xlfn.LOGNORM.INV(RAND(),MV2,Sigma1),IF(RAND()&lt;CondGood,_xlfn.LOGNORM.INV(RAND(),MV3,Sigma2),MIN(MaxMultiple,Xm/(1-RAND())^(1/Alpha)))))</f>
        <v>1.5386027852665063</v>
      </c>
      <c r="J134" s="19">
        <f ca="1">IF(RAND()&lt;P_Zero,0,IF(RAND()&lt;CondReturn,_xlfn.LOGNORM.INV(RAND(),MV2,Sigma1),IF(RAND()&lt;CondGood,_xlfn.LOGNORM.INV(RAND(),MV3,Sigma2),MIN(MaxMultiple,Xm/(1-RAND())^(1/Alpha)))))</f>
        <v>0.76469860354590924</v>
      </c>
      <c r="K134" s="19">
        <f ca="1">IF(RAND()&lt;P_Zero,0,IF(RAND()&lt;CondReturn,_xlfn.LOGNORM.INV(RAND(),MV2,Sigma1),IF(RAND()&lt;CondGood,_xlfn.LOGNORM.INV(RAND(),MV3,Sigma2),MIN(MaxMultiple,Xm/(1-RAND())^(1/Alpha)))))</f>
        <v>0</v>
      </c>
      <c r="L134" s="19">
        <f ca="1">IF(RAND()&lt;P_Zero,0,IF(RAND()&lt;CondReturn,_xlfn.LOGNORM.INV(RAND(),MV2,Sigma1),IF(RAND()&lt;CondGood,_xlfn.LOGNORM.INV(RAND(),MV3,Sigma2),MIN(MaxMultiple,Xm/(1-RAND())^(1/Alpha)))))</f>
        <v>0</v>
      </c>
      <c r="M134" s="19">
        <f ca="1">IF(RAND()&lt;P_Zero,0,IF(RAND()&lt;CondReturn,_xlfn.LOGNORM.INV(RAND(),MV2,Sigma1),IF(RAND()&lt;CondGood,_xlfn.LOGNORM.INV(RAND(),MV3,Sigma2),MIN(MaxMultiple,Xm/(1-RAND())^(1/Alpha)))))</f>
        <v>11.387548615802181</v>
      </c>
      <c r="N134" s="19">
        <f ca="1">IF(RAND()&lt;P_Zero,0,IF(RAND()&lt;CondReturn,_xlfn.LOGNORM.INV(RAND(),MV2,Sigma1),IF(RAND()&lt;CondGood,_xlfn.LOGNORM.INV(RAND(),MV3,Sigma2),MIN(MaxMultiple,Xm/(1-RAND())^(1/Alpha)))))</f>
        <v>0</v>
      </c>
      <c r="O134" s="19">
        <f ca="1">IF(RAND()&lt;P_Zero,0,IF(RAND()&lt;CondReturn,_xlfn.LOGNORM.INV(RAND(),MV2,Sigma1),IF(RAND()&lt;CondGood,_xlfn.LOGNORM.INV(RAND(),MV3,Sigma2),MIN(MaxMultiple,Xm/(1-RAND())^(1/Alpha)))))</f>
        <v>0.56049178911805897</v>
      </c>
      <c r="P134" s="19">
        <f ca="1">IF(RAND()&lt;P_Zero,0,IF(RAND()&lt;CondReturn,_xlfn.LOGNORM.INV(RAND(),MV2,Sigma1),IF(RAND()&lt;CondGood,_xlfn.LOGNORM.INV(RAND(),MV3,Sigma2),MIN(MaxMultiple,Xm/(1-RAND())^(1/Alpha)))))</f>
        <v>0.91409633972343052</v>
      </c>
      <c r="Q134" s="19">
        <f ca="1">IF(RAND()&lt;P_Zero,0,IF(RAND()&lt;CondReturn,_xlfn.LOGNORM.INV(RAND(),MV2,Sigma1),IF(RAND()&lt;CondGood,_xlfn.LOGNORM.INV(RAND(),MV3,Sigma2),MIN(MaxMultiple,Xm/(1-RAND())^(1/Alpha)))))</f>
        <v>0</v>
      </c>
      <c r="R134" s="19">
        <f ca="1">IF(RAND()&lt;P_Zero,0,IF(RAND()&lt;CondReturn,_xlfn.LOGNORM.INV(RAND(),MV2,Sigma1),IF(RAND()&lt;CondGood,_xlfn.LOGNORM.INV(RAND(),MV3,Sigma2),MIN(MaxMultiple,Xm/(1-RAND())^(1/Alpha)))))</f>
        <v>0</v>
      </c>
      <c r="S134" s="19">
        <f ca="1">IF(RAND()&lt;P_Zero,0,IF(RAND()&lt;CondReturn,_xlfn.LOGNORM.INV(RAND(),MV2,Sigma1),IF(RAND()&lt;CondGood,_xlfn.LOGNORM.INV(RAND(),MV3,Sigma2),MIN(MaxMultiple,Xm/(1-RAND())^(1/Alpha)))))</f>
        <v>0.73334608782530097</v>
      </c>
      <c r="T134" s="19">
        <f ca="1">IF(RAND()&lt;P_Zero,0,IF(RAND()&lt;CondReturn,_xlfn.LOGNORM.INV(RAND(),MV2,Sigma1),IF(RAND()&lt;CondGood,_xlfn.LOGNORM.INV(RAND(),MV3,Sigma2),MIN(MaxMultiple,Xm/(1-RAND())^(1/Alpha)))))</f>
        <v>0.50272302090988275</v>
      </c>
      <c r="U134" s="19">
        <f ca="1">IF(RAND()&lt;P_Zero,0,IF(RAND()&lt;CondReturn,_xlfn.LOGNORM.INV(RAND(),MV2,Sigma1),IF(RAND()&lt;CondGood,_xlfn.LOGNORM.INV(RAND(),MV3,Sigma2),MIN(MaxMultiple,Xm/(1-RAND())^(1/Alpha)))))</f>
        <v>0.32301849790880066</v>
      </c>
      <c r="V134" s="19">
        <f ca="1">IF(RAND()&lt;P_Zero,0,IF(RAND()&lt;CondReturn,_xlfn.LOGNORM.INV(RAND(),MV2,Sigma1),IF(RAND()&lt;CondGood,_xlfn.LOGNORM.INV(RAND(),MV3,Sigma2),MIN(MaxMultiple,Xm/(1-RAND())^(1/Alpha)))))</f>
        <v>1.4790538526452683</v>
      </c>
      <c r="W134" s="19">
        <f ca="1">IF(RAND()&lt;P_Zero,0,IF(RAND()&lt;CondReturn,_xlfn.LOGNORM.INV(RAND(),MV2,Sigma1),IF(RAND()&lt;CondGood,_xlfn.LOGNORM.INV(RAND(),MV3,Sigma2),MIN(MaxMultiple,Xm/(1-RAND())^(1/Alpha)))))</f>
        <v>1.0479739494261362</v>
      </c>
      <c r="X134" s="19">
        <f ca="1">IF(RAND()&lt;P_Zero,0,IF(RAND()&lt;CondReturn,_xlfn.LOGNORM.INV(RAND(),MV2,Sigma1),IF(RAND()&lt;CondGood,_xlfn.LOGNORM.INV(RAND(),MV3,Sigma2),MIN(MaxMultiple,Xm/(1-RAND())^(1/Alpha)))))</f>
        <v>0</v>
      </c>
      <c r="Y134" s="19">
        <f ca="1">IF(RAND()&lt;P_Zero,0,IF(RAND()&lt;CondReturn,_xlfn.LOGNORM.INV(RAND(),MV2,Sigma1),IF(RAND()&lt;CondGood,_xlfn.LOGNORM.INV(RAND(),MV3,Sigma2),MIN(MaxMultiple,Xm/(1-RAND())^(1/Alpha)))))</f>
        <v>0.58912784913858651</v>
      </c>
      <c r="Z134" s="19">
        <f ca="1">IF(RAND()&lt;P_Zero,0,IF(RAND()&lt;CondReturn,_xlfn.LOGNORM.INV(RAND(),MV2,Sigma1),IF(RAND()&lt;CondGood,_xlfn.LOGNORM.INV(RAND(),MV3,Sigma2),MIN(MaxMultiple,Xm/(1-RAND())^(1/Alpha)))))</f>
        <v>0.78929864131369654</v>
      </c>
      <c r="AA134" s="19">
        <f ca="1">IF(RAND()&lt;P_Zero,0,IF(RAND()&lt;CondReturn,_xlfn.LOGNORM.INV(RAND(),MV2,Sigma1),IF(RAND()&lt;CondGood,_xlfn.LOGNORM.INV(RAND(),MV3,Sigma2),MIN(MaxMultiple,Xm/(1-RAND())^(1/Alpha)))))</f>
        <v>0</v>
      </c>
      <c r="AB134" s="19">
        <f t="shared" ref="AB134:AB197" ca="1" si="16">AVERAGE(C134:AA134)</f>
        <v>1.8918095521925202</v>
      </c>
      <c r="AC134" s="14">
        <f t="shared" ref="AC134:AC197" ca="1" si="17">AB134*InvestableCapital</f>
        <v>90806858.505240977</v>
      </c>
      <c r="AD134" s="14">
        <f t="shared" ref="AD134:AD197" ca="1" si="18">AC134-InvestableCapital</f>
        <v>42806858.505240977</v>
      </c>
      <c r="AE134" s="14">
        <f t="shared" ref="AE134:AE197" si="19">HurdleToggle*InvestableCapital*((1+HurdleRate)^FeeYears-1)</f>
        <v>55628399.869093813</v>
      </c>
      <c r="AF134" s="14">
        <f t="shared" ref="AF134:AF197" ca="1" si="20">MAX(0,AD134-AE134)</f>
        <v>0</v>
      </c>
      <c r="AG134" s="14">
        <f t="shared" ref="AG134:AG197" ca="1" si="21">CarryRate*AF134</f>
        <v>0</v>
      </c>
      <c r="AH134" s="14">
        <f t="shared" ref="AH134:AH197" ca="1" si="22">AC134-AG134</f>
        <v>90806858.505240977</v>
      </c>
      <c r="AI134" s="19">
        <f t="shared" ref="AI134:AI197" ca="1" si="23">AH134/FundSize</f>
        <v>1.5134476417540164</v>
      </c>
    </row>
    <row r="135" spans="2:35" x14ac:dyDescent="0.2">
      <c r="B135" s="1">
        <v>130</v>
      </c>
      <c r="C135" s="19">
        <f ca="1">IF(RAND()&lt;P_Zero,0,IF(RAND()&lt;CondReturn,_xlfn.LOGNORM.INV(RAND(),MV2,Sigma1),IF(RAND()&lt;CondGood,_xlfn.LOGNORM.INV(RAND(),MV3,Sigma2),MIN(MaxMultiple,Xm/(1-RAND())^(1/Alpha)))))</f>
        <v>0</v>
      </c>
      <c r="D135" s="19">
        <f ca="1">IF(RAND()&lt;P_Zero,0,IF(RAND()&lt;CondReturn,_xlfn.LOGNORM.INV(RAND(),MV2,Sigma1),IF(RAND()&lt;CondGood,_xlfn.LOGNORM.INV(RAND(),MV3,Sigma2),MIN(MaxMultiple,Xm/(1-RAND())^(1/Alpha)))))</f>
        <v>0</v>
      </c>
      <c r="E135" s="19">
        <f ca="1">IF(RAND()&lt;P_Zero,0,IF(RAND()&lt;CondReturn,_xlfn.LOGNORM.INV(RAND(),MV2,Sigma1),IF(RAND()&lt;CondGood,_xlfn.LOGNORM.INV(RAND(),MV3,Sigma2),MIN(MaxMultiple,Xm/(1-RAND())^(1/Alpha)))))</f>
        <v>0</v>
      </c>
      <c r="F135" s="19">
        <f ca="1">IF(RAND()&lt;P_Zero,0,IF(RAND()&lt;CondReturn,_xlfn.LOGNORM.INV(RAND(),MV2,Sigma1),IF(RAND()&lt;CondGood,_xlfn.LOGNORM.INV(RAND(),MV3,Sigma2),MIN(MaxMultiple,Xm/(1-RAND())^(1/Alpha)))))</f>
        <v>1.86290128203154</v>
      </c>
      <c r="G135" s="19">
        <f ca="1">IF(RAND()&lt;P_Zero,0,IF(RAND()&lt;CondReturn,_xlfn.LOGNORM.INV(RAND(),MV2,Sigma1),IF(RAND()&lt;CondGood,_xlfn.LOGNORM.INV(RAND(),MV3,Sigma2),MIN(MaxMultiple,Xm/(1-RAND())^(1/Alpha)))))</f>
        <v>1.831570181363257</v>
      </c>
      <c r="H135" s="19">
        <f ca="1">IF(RAND()&lt;P_Zero,0,IF(RAND()&lt;CondReturn,_xlfn.LOGNORM.INV(RAND(),MV2,Sigma1),IF(RAND()&lt;CondGood,_xlfn.LOGNORM.INV(RAND(),MV3,Sigma2),MIN(MaxMultiple,Xm/(1-RAND())^(1/Alpha)))))</f>
        <v>1.0547694733970154</v>
      </c>
      <c r="I135" s="19">
        <f ca="1">IF(RAND()&lt;P_Zero,0,IF(RAND()&lt;CondReturn,_xlfn.LOGNORM.INV(RAND(),MV2,Sigma1),IF(RAND()&lt;CondGood,_xlfn.LOGNORM.INV(RAND(),MV3,Sigma2),MIN(MaxMultiple,Xm/(1-RAND())^(1/Alpha)))))</f>
        <v>0</v>
      </c>
      <c r="J135" s="19">
        <f ca="1">IF(RAND()&lt;P_Zero,0,IF(RAND()&lt;CondReturn,_xlfn.LOGNORM.INV(RAND(),MV2,Sigma1),IF(RAND()&lt;CondGood,_xlfn.LOGNORM.INV(RAND(),MV3,Sigma2),MIN(MaxMultiple,Xm/(1-RAND())^(1/Alpha)))))</f>
        <v>23.856196665892124</v>
      </c>
      <c r="K135" s="19">
        <f ca="1">IF(RAND()&lt;P_Zero,0,IF(RAND()&lt;CondReturn,_xlfn.LOGNORM.INV(RAND(),MV2,Sigma1),IF(RAND()&lt;CondGood,_xlfn.LOGNORM.INV(RAND(),MV3,Sigma2),MIN(MaxMultiple,Xm/(1-RAND())^(1/Alpha)))))</f>
        <v>0</v>
      </c>
      <c r="L135" s="19">
        <f ca="1">IF(RAND()&lt;P_Zero,0,IF(RAND()&lt;CondReturn,_xlfn.LOGNORM.INV(RAND(),MV2,Sigma1),IF(RAND()&lt;CondGood,_xlfn.LOGNORM.INV(RAND(),MV3,Sigma2),MIN(MaxMultiple,Xm/(1-RAND())^(1/Alpha)))))</f>
        <v>0</v>
      </c>
      <c r="M135" s="19">
        <f ca="1">IF(RAND()&lt;P_Zero,0,IF(RAND()&lt;CondReturn,_xlfn.LOGNORM.INV(RAND(),MV2,Sigma1),IF(RAND()&lt;CondGood,_xlfn.LOGNORM.INV(RAND(),MV3,Sigma2),MIN(MaxMultiple,Xm/(1-RAND())^(1/Alpha)))))</f>
        <v>0.96694934170636526</v>
      </c>
      <c r="N135" s="19">
        <f ca="1">IF(RAND()&lt;P_Zero,0,IF(RAND()&lt;CondReturn,_xlfn.LOGNORM.INV(RAND(),MV2,Sigma1),IF(RAND()&lt;CondGood,_xlfn.LOGNORM.INV(RAND(),MV3,Sigma2),MIN(MaxMultiple,Xm/(1-RAND())^(1/Alpha)))))</f>
        <v>1.2794836271149697</v>
      </c>
      <c r="O135" s="19">
        <f ca="1">IF(RAND()&lt;P_Zero,0,IF(RAND()&lt;CondReturn,_xlfn.LOGNORM.INV(RAND(),MV2,Sigma1),IF(RAND()&lt;CondGood,_xlfn.LOGNORM.INV(RAND(),MV3,Sigma2),MIN(MaxMultiple,Xm/(1-RAND())^(1/Alpha)))))</f>
        <v>0</v>
      </c>
      <c r="P135" s="19">
        <f ca="1">IF(RAND()&lt;P_Zero,0,IF(RAND()&lt;CondReturn,_xlfn.LOGNORM.INV(RAND(),MV2,Sigma1),IF(RAND()&lt;CondGood,_xlfn.LOGNORM.INV(RAND(),MV3,Sigma2),MIN(MaxMultiple,Xm/(1-RAND())^(1/Alpha)))))</f>
        <v>0</v>
      </c>
      <c r="Q135" s="19">
        <f ca="1">IF(RAND()&lt;P_Zero,0,IF(RAND()&lt;CondReturn,_xlfn.LOGNORM.INV(RAND(),MV2,Sigma1),IF(RAND()&lt;CondGood,_xlfn.LOGNORM.INV(RAND(),MV3,Sigma2),MIN(MaxMultiple,Xm/(1-RAND())^(1/Alpha)))))</f>
        <v>1.2824135230260063</v>
      </c>
      <c r="R135" s="19">
        <f ca="1">IF(RAND()&lt;P_Zero,0,IF(RAND()&lt;CondReturn,_xlfn.LOGNORM.INV(RAND(),MV2,Sigma1),IF(RAND()&lt;CondGood,_xlfn.LOGNORM.INV(RAND(),MV3,Sigma2),MIN(MaxMultiple,Xm/(1-RAND())^(1/Alpha)))))</f>
        <v>1.7631816412970229</v>
      </c>
      <c r="S135" s="19">
        <f ca="1">IF(RAND()&lt;P_Zero,0,IF(RAND()&lt;CondReturn,_xlfn.LOGNORM.INV(RAND(),MV2,Sigma1),IF(RAND()&lt;CondGood,_xlfn.LOGNORM.INV(RAND(),MV3,Sigma2),MIN(MaxMultiple,Xm/(1-RAND())^(1/Alpha)))))</f>
        <v>0</v>
      </c>
      <c r="T135" s="19">
        <f ca="1">IF(RAND()&lt;P_Zero,0,IF(RAND()&lt;CondReturn,_xlfn.LOGNORM.INV(RAND(),MV2,Sigma1),IF(RAND()&lt;CondGood,_xlfn.LOGNORM.INV(RAND(),MV3,Sigma2),MIN(MaxMultiple,Xm/(1-RAND())^(1/Alpha)))))</f>
        <v>0.86592116767459992</v>
      </c>
      <c r="U135" s="19">
        <f ca="1">IF(RAND()&lt;P_Zero,0,IF(RAND()&lt;CondReturn,_xlfn.LOGNORM.INV(RAND(),MV2,Sigma1),IF(RAND()&lt;CondGood,_xlfn.LOGNORM.INV(RAND(),MV3,Sigma2),MIN(MaxMultiple,Xm/(1-RAND())^(1/Alpha)))))</f>
        <v>0</v>
      </c>
      <c r="V135" s="19">
        <f ca="1">IF(RAND()&lt;P_Zero,0,IF(RAND()&lt;CondReturn,_xlfn.LOGNORM.INV(RAND(),MV2,Sigma1),IF(RAND()&lt;CondGood,_xlfn.LOGNORM.INV(RAND(),MV3,Sigma2),MIN(MaxMultiple,Xm/(1-RAND())^(1/Alpha)))))</f>
        <v>0</v>
      </c>
      <c r="W135" s="19">
        <f ca="1">IF(RAND()&lt;P_Zero,0,IF(RAND()&lt;CondReturn,_xlfn.LOGNORM.INV(RAND(),MV2,Sigma1),IF(RAND()&lt;CondGood,_xlfn.LOGNORM.INV(RAND(),MV3,Sigma2),MIN(MaxMultiple,Xm/(1-RAND())^(1/Alpha)))))</f>
        <v>168.90403469796388</v>
      </c>
      <c r="X135" s="19">
        <f ca="1">IF(RAND()&lt;P_Zero,0,IF(RAND()&lt;CondReturn,_xlfn.LOGNORM.INV(RAND(),MV2,Sigma1),IF(RAND()&lt;CondGood,_xlfn.LOGNORM.INV(RAND(),MV3,Sigma2),MIN(MaxMultiple,Xm/(1-RAND())^(1/Alpha)))))</f>
        <v>0</v>
      </c>
      <c r="Y135" s="19">
        <f ca="1">IF(RAND()&lt;P_Zero,0,IF(RAND()&lt;CondReturn,_xlfn.LOGNORM.INV(RAND(),MV2,Sigma1),IF(RAND()&lt;CondGood,_xlfn.LOGNORM.INV(RAND(),MV3,Sigma2),MIN(MaxMultiple,Xm/(1-RAND())^(1/Alpha)))))</f>
        <v>10.124656600423494</v>
      </c>
      <c r="Z135" s="19">
        <f ca="1">IF(RAND()&lt;P_Zero,0,IF(RAND()&lt;CondReturn,_xlfn.LOGNORM.INV(RAND(),MV2,Sigma1),IF(RAND()&lt;CondGood,_xlfn.LOGNORM.INV(RAND(),MV3,Sigma2),MIN(MaxMultiple,Xm/(1-RAND())^(1/Alpha)))))</f>
        <v>1.705161274412389</v>
      </c>
      <c r="AA135" s="19">
        <f ca="1">IF(RAND()&lt;P_Zero,0,IF(RAND()&lt;CondReturn,_xlfn.LOGNORM.INV(RAND(),MV2,Sigma1),IF(RAND()&lt;CondGood,_xlfn.LOGNORM.INV(RAND(),MV3,Sigma2),MIN(MaxMultiple,Xm/(1-RAND())^(1/Alpha)))))</f>
        <v>66.303389427043612</v>
      </c>
      <c r="AB135" s="19">
        <f t="shared" ca="1" si="16"/>
        <v>11.27202515613385</v>
      </c>
      <c r="AC135" s="14">
        <f t="shared" ca="1" si="17"/>
        <v>541057207.49442482</v>
      </c>
      <c r="AD135" s="14">
        <f t="shared" ca="1" si="18"/>
        <v>493057207.49442482</v>
      </c>
      <c r="AE135" s="14">
        <f t="shared" si="19"/>
        <v>55628399.869093813</v>
      </c>
      <c r="AF135" s="14">
        <f t="shared" ca="1" si="20"/>
        <v>437428807.62533098</v>
      </c>
      <c r="AG135" s="14">
        <f t="shared" ca="1" si="21"/>
        <v>87485761.525066197</v>
      </c>
      <c r="AH135" s="14">
        <f t="shared" ca="1" si="22"/>
        <v>453571445.96935862</v>
      </c>
      <c r="AI135" s="19">
        <f t="shared" ca="1" si="23"/>
        <v>7.5595240994893107</v>
      </c>
    </row>
    <row r="136" spans="2:35" x14ac:dyDescent="0.2">
      <c r="B136" s="1">
        <v>131</v>
      </c>
      <c r="C136" s="19">
        <f ca="1">IF(RAND()&lt;P_Zero,0,IF(RAND()&lt;CondReturn,_xlfn.LOGNORM.INV(RAND(),MV2,Sigma1),IF(RAND()&lt;CondGood,_xlfn.LOGNORM.INV(RAND(),MV3,Sigma2),MIN(MaxMultiple,Xm/(1-RAND())^(1/Alpha)))))</f>
        <v>0</v>
      </c>
      <c r="D136" s="19">
        <f ca="1">IF(RAND()&lt;P_Zero,0,IF(RAND()&lt;CondReturn,_xlfn.LOGNORM.INV(RAND(),MV2,Sigma1),IF(RAND()&lt;CondGood,_xlfn.LOGNORM.INV(RAND(),MV3,Sigma2),MIN(MaxMultiple,Xm/(1-RAND())^(1/Alpha)))))</f>
        <v>0.6495689411474671</v>
      </c>
      <c r="E136" s="19">
        <f ca="1">IF(RAND()&lt;P_Zero,0,IF(RAND()&lt;CondReturn,_xlfn.LOGNORM.INV(RAND(),MV2,Sigma1),IF(RAND()&lt;CondGood,_xlfn.LOGNORM.INV(RAND(),MV3,Sigma2),MIN(MaxMultiple,Xm/(1-RAND())^(1/Alpha)))))</f>
        <v>0.6461016568805138</v>
      </c>
      <c r="F136" s="19">
        <f ca="1">IF(RAND()&lt;P_Zero,0,IF(RAND()&lt;CondReturn,_xlfn.LOGNORM.INV(RAND(),MV2,Sigma1),IF(RAND()&lt;CondGood,_xlfn.LOGNORM.INV(RAND(),MV3,Sigma2),MIN(MaxMultiple,Xm/(1-RAND())^(1/Alpha)))))</f>
        <v>0</v>
      </c>
      <c r="G136" s="19">
        <f ca="1">IF(RAND()&lt;P_Zero,0,IF(RAND()&lt;CondReturn,_xlfn.LOGNORM.INV(RAND(),MV2,Sigma1),IF(RAND()&lt;CondGood,_xlfn.LOGNORM.INV(RAND(),MV3,Sigma2),MIN(MaxMultiple,Xm/(1-RAND())^(1/Alpha)))))</f>
        <v>0.95014211884539568</v>
      </c>
      <c r="H136" s="19">
        <f ca="1">IF(RAND()&lt;P_Zero,0,IF(RAND()&lt;CondReturn,_xlfn.LOGNORM.INV(RAND(),MV2,Sigma1),IF(RAND()&lt;CondGood,_xlfn.LOGNORM.INV(RAND(),MV3,Sigma2),MIN(MaxMultiple,Xm/(1-RAND())^(1/Alpha)))))</f>
        <v>1.0253004666869807</v>
      </c>
      <c r="I136" s="19">
        <f ca="1">IF(RAND()&lt;P_Zero,0,IF(RAND()&lt;CondReturn,_xlfn.LOGNORM.INV(RAND(),MV2,Sigma1),IF(RAND()&lt;CondGood,_xlfn.LOGNORM.INV(RAND(),MV3,Sigma2),MIN(MaxMultiple,Xm/(1-RAND())^(1/Alpha)))))</f>
        <v>2.4723306523886524</v>
      </c>
      <c r="J136" s="19">
        <f ca="1">IF(RAND()&lt;P_Zero,0,IF(RAND()&lt;CondReturn,_xlfn.LOGNORM.INV(RAND(),MV2,Sigma1),IF(RAND()&lt;CondGood,_xlfn.LOGNORM.INV(RAND(),MV3,Sigma2),MIN(MaxMultiple,Xm/(1-RAND())^(1/Alpha)))))</f>
        <v>0</v>
      </c>
      <c r="K136" s="19">
        <f ca="1">IF(RAND()&lt;P_Zero,0,IF(RAND()&lt;CondReturn,_xlfn.LOGNORM.INV(RAND(),MV2,Sigma1),IF(RAND()&lt;CondGood,_xlfn.LOGNORM.INV(RAND(),MV3,Sigma2),MIN(MaxMultiple,Xm/(1-RAND())^(1/Alpha)))))</f>
        <v>0.64558170439413698</v>
      </c>
      <c r="L136" s="19">
        <f ca="1">IF(RAND()&lt;P_Zero,0,IF(RAND()&lt;CondReturn,_xlfn.LOGNORM.INV(RAND(),MV2,Sigma1),IF(RAND()&lt;CondGood,_xlfn.LOGNORM.INV(RAND(),MV3,Sigma2),MIN(MaxMultiple,Xm/(1-RAND())^(1/Alpha)))))</f>
        <v>0</v>
      </c>
      <c r="M136" s="19">
        <f ca="1">IF(RAND()&lt;P_Zero,0,IF(RAND()&lt;CondReturn,_xlfn.LOGNORM.INV(RAND(),MV2,Sigma1),IF(RAND()&lt;CondGood,_xlfn.LOGNORM.INV(RAND(),MV3,Sigma2),MIN(MaxMultiple,Xm/(1-RAND())^(1/Alpha)))))</f>
        <v>1.2724368029490509</v>
      </c>
      <c r="N136" s="19">
        <f ca="1">IF(RAND()&lt;P_Zero,0,IF(RAND()&lt;CondReturn,_xlfn.LOGNORM.INV(RAND(),MV2,Sigma1),IF(RAND()&lt;CondGood,_xlfn.LOGNORM.INV(RAND(),MV3,Sigma2),MIN(MaxMultiple,Xm/(1-RAND())^(1/Alpha)))))</f>
        <v>13.162021911241292</v>
      </c>
      <c r="O136" s="19">
        <f ca="1">IF(RAND()&lt;P_Zero,0,IF(RAND()&lt;CondReturn,_xlfn.LOGNORM.INV(RAND(),MV2,Sigma1),IF(RAND()&lt;CondGood,_xlfn.LOGNORM.INV(RAND(),MV3,Sigma2),MIN(MaxMultiple,Xm/(1-RAND())^(1/Alpha)))))</f>
        <v>0</v>
      </c>
      <c r="P136" s="19">
        <f ca="1">IF(RAND()&lt;P_Zero,0,IF(RAND()&lt;CondReturn,_xlfn.LOGNORM.INV(RAND(),MV2,Sigma1),IF(RAND()&lt;CondGood,_xlfn.LOGNORM.INV(RAND(),MV3,Sigma2),MIN(MaxMultiple,Xm/(1-RAND())^(1/Alpha)))))</f>
        <v>0.88753002753052757</v>
      </c>
      <c r="Q136" s="19">
        <f ca="1">IF(RAND()&lt;P_Zero,0,IF(RAND()&lt;CondReturn,_xlfn.LOGNORM.INV(RAND(),MV2,Sigma1),IF(RAND()&lt;CondGood,_xlfn.LOGNORM.INV(RAND(),MV3,Sigma2),MIN(MaxMultiple,Xm/(1-RAND())^(1/Alpha)))))</f>
        <v>2.213225029400022</v>
      </c>
      <c r="R136" s="19">
        <f ca="1">IF(RAND()&lt;P_Zero,0,IF(RAND()&lt;CondReturn,_xlfn.LOGNORM.INV(RAND(),MV2,Sigma1),IF(RAND()&lt;CondGood,_xlfn.LOGNORM.INV(RAND(),MV3,Sigma2),MIN(MaxMultiple,Xm/(1-RAND())^(1/Alpha)))))</f>
        <v>0</v>
      </c>
      <c r="S136" s="19">
        <f ca="1">IF(RAND()&lt;P_Zero,0,IF(RAND()&lt;CondReturn,_xlfn.LOGNORM.INV(RAND(),MV2,Sigma1),IF(RAND()&lt;CondGood,_xlfn.LOGNORM.INV(RAND(),MV3,Sigma2),MIN(MaxMultiple,Xm/(1-RAND())^(1/Alpha)))))</f>
        <v>0.96103586604835589</v>
      </c>
      <c r="T136" s="19">
        <f ca="1">IF(RAND()&lt;P_Zero,0,IF(RAND()&lt;CondReturn,_xlfn.LOGNORM.INV(RAND(),MV2,Sigma1),IF(RAND()&lt;CondGood,_xlfn.LOGNORM.INV(RAND(),MV3,Sigma2),MIN(MaxMultiple,Xm/(1-RAND())^(1/Alpha)))))</f>
        <v>0</v>
      </c>
      <c r="U136" s="19">
        <f ca="1">IF(RAND()&lt;P_Zero,0,IF(RAND()&lt;CondReturn,_xlfn.LOGNORM.INV(RAND(),MV2,Sigma1),IF(RAND()&lt;CondGood,_xlfn.LOGNORM.INV(RAND(),MV3,Sigma2),MIN(MaxMultiple,Xm/(1-RAND())^(1/Alpha)))))</f>
        <v>0</v>
      </c>
      <c r="V136" s="19">
        <f ca="1">IF(RAND()&lt;P_Zero,0,IF(RAND()&lt;CondReturn,_xlfn.LOGNORM.INV(RAND(),MV2,Sigma1),IF(RAND()&lt;CondGood,_xlfn.LOGNORM.INV(RAND(),MV3,Sigma2),MIN(MaxMultiple,Xm/(1-RAND())^(1/Alpha)))))</f>
        <v>0.45268131035831088</v>
      </c>
      <c r="W136" s="19">
        <f ca="1">IF(RAND()&lt;P_Zero,0,IF(RAND()&lt;CondReturn,_xlfn.LOGNORM.INV(RAND(),MV2,Sigma1),IF(RAND()&lt;CondGood,_xlfn.LOGNORM.INV(RAND(),MV3,Sigma2),MIN(MaxMultiple,Xm/(1-RAND())^(1/Alpha)))))</f>
        <v>0.6819413781983642</v>
      </c>
      <c r="X136" s="19">
        <f ca="1">IF(RAND()&lt;P_Zero,0,IF(RAND()&lt;CondReturn,_xlfn.LOGNORM.INV(RAND(),MV2,Sigma1),IF(RAND()&lt;CondGood,_xlfn.LOGNORM.INV(RAND(),MV3,Sigma2),MIN(MaxMultiple,Xm/(1-RAND())^(1/Alpha)))))</f>
        <v>0</v>
      </c>
      <c r="Y136" s="19">
        <f ca="1">IF(RAND()&lt;P_Zero,0,IF(RAND()&lt;CondReturn,_xlfn.LOGNORM.INV(RAND(),MV2,Sigma1),IF(RAND()&lt;CondGood,_xlfn.LOGNORM.INV(RAND(),MV3,Sigma2),MIN(MaxMultiple,Xm/(1-RAND())^(1/Alpha)))))</f>
        <v>0</v>
      </c>
      <c r="Z136" s="19">
        <f ca="1">IF(RAND()&lt;P_Zero,0,IF(RAND()&lt;CondReturn,_xlfn.LOGNORM.INV(RAND(),MV2,Sigma1),IF(RAND()&lt;CondGood,_xlfn.LOGNORM.INV(RAND(),MV3,Sigma2),MIN(MaxMultiple,Xm/(1-RAND())^(1/Alpha)))))</f>
        <v>24.4815534928623</v>
      </c>
      <c r="AA136" s="19">
        <f ca="1">IF(RAND()&lt;P_Zero,0,IF(RAND()&lt;CondReturn,_xlfn.LOGNORM.INV(RAND(),MV2,Sigma1),IF(RAND()&lt;CondGood,_xlfn.LOGNORM.INV(RAND(),MV3,Sigma2),MIN(MaxMultiple,Xm/(1-RAND())^(1/Alpha)))))</f>
        <v>0.9583795013435783</v>
      </c>
      <c r="AB136" s="19">
        <f t="shared" ca="1" si="16"/>
        <v>2.0583932344109979</v>
      </c>
      <c r="AC136" s="14">
        <f t="shared" ca="1" si="17"/>
        <v>98802875.251727894</v>
      </c>
      <c r="AD136" s="14">
        <f t="shared" ca="1" si="18"/>
        <v>50802875.251727894</v>
      </c>
      <c r="AE136" s="14">
        <f t="shared" si="19"/>
        <v>55628399.869093813</v>
      </c>
      <c r="AF136" s="14">
        <f t="shared" ca="1" si="20"/>
        <v>0</v>
      </c>
      <c r="AG136" s="14">
        <f t="shared" ca="1" si="21"/>
        <v>0</v>
      </c>
      <c r="AH136" s="14">
        <f t="shared" ca="1" si="22"/>
        <v>98802875.251727894</v>
      </c>
      <c r="AI136" s="19">
        <f t="shared" ca="1" si="23"/>
        <v>1.6467145875287983</v>
      </c>
    </row>
    <row r="137" spans="2:35" x14ac:dyDescent="0.2">
      <c r="B137" s="1">
        <v>132</v>
      </c>
      <c r="C137" s="19">
        <f ca="1">IF(RAND()&lt;P_Zero,0,IF(RAND()&lt;CondReturn,_xlfn.LOGNORM.INV(RAND(),MV2,Sigma1),IF(RAND()&lt;CondGood,_xlfn.LOGNORM.INV(RAND(),MV3,Sigma2),MIN(MaxMultiple,Xm/(1-RAND())^(1/Alpha)))))</f>
        <v>0.79669616865673965</v>
      </c>
      <c r="D137" s="19">
        <f ca="1">IF(RAND()&lt;P_Zero,0,IF(RAND()&lt;CondReturn,_xlfn.LOGNORM.INV(RAND(),MV2,Sigma1),IF(RAND()&lt;CondGood,_xlfn.LOGNORM.INV(RAND(),MV3,Sigma2),MIN(MaxMultiple,Xm/(1-RAND())^(1/Alpha)))))</f>
        <v>0.48010177495890677</v>
      </c>
      <c r="E137" s="19">
        <f ca="1">IF(RAND()&lt;P_Zero,0,IF(RAND()&lt;CondReturn,_xlfn.LOGNORM.INV(RAND(),MV2,Sigma1),IF(RAND()&lt;CondGood,_xlfn.LOGNORM.INV(RAND(),MV3,Sigma2),MIN(MaxMultiple,Xm/(1-RAND())^(1/Alpha)))))</f>
        <v>0</v>
      </c>
      <c r="F137" s="19">
        <f ca="1">IF(RAND()&lt;P_Zero,0,IF(RAND()&lt;CondReturn,_xlfn.LOGNORM.INV(RAND(),MV2,Sigma1),IF(RAND()&lt;CondGood,_xlfn.LOGNORM.INV(RAND(),MV3,Sigma2),MIN(MaxMultiple,Xm/(1-RAND())^(1/Alpha)))))</f>
        <v>0</v>
      </c>
      <c r="G137" s="19">
        <f ca="1">IF(RAND()&lt;P_Zero,0,IF(RAND()&lt;CondReturn,_xlfn.LOGNORM.INV(RAND(),MV2,Sigma1),IF(RAND()&lt;CondGood,_xlfn.LOGNORM.INV(RAND(),MV3,Sigma2),MIN(MaxMultiple,Xm/(1-RAND())^(1/Alpha)))))</f>
        <v>27.935520249291802</v>
      </c>
      <c r="H137" s="19">
        <f ca="1">IF(RAND()&lt;P_Zero,0,IF(RAND()&lt;CondReturn,_xlfn.LOGNORM.INV(RAND(),MV2,Sigma1),IF(RAND()&lt;CondGood,_xlfn.LOGNORM.INV(RAND(),MV3,Sigma2),MIN(MaxMultiple,Xm/(1-RAND())^(1/Alpha)))))</f>
        <v>0</v>
      </c>
      <c r="I137" s="19">
        <f ca="1">IF(RAND()&lt;P_Zero,0,IF(RAND()&lt;CondReturn,_xlfn.LOGNORM.INV(RAND(),MV2,Sigma1),IF(RAND()&lt;CondGood,_xlfn.LOGNORM.INV(RAND(),MV3,Sigma2),MIN(MaxMultiple,Xm/(1-RAND())^(1/Alpha)))))</f>
        <v>4.4085937709554921</v>
      </c>
      <c r="J137" s="19">
        <f ca="1">IF(RAND()&lt;P_Zero,0,IF(RAND()&lt;CondReturn,_xlfn.LOGNORM.INV(RAND(),MV2,Sigma1),IF(RAND()&lt;CondGood,_xlfn.LOGNORM.INV(RAND(),MV3,Sigma2),MIN(MaxMultiple,Xm/(1-RAND())^(1/Alpha)))))</f>
        <v>0.87936789868155862</v>
      </c>
      <c r="K137" s="19">
        <f ca="1">IF(RAND()&lt;P_Zero,0,IF(RAND()&lt;CondReturn,_xlfn.LOGNORM.INV(RAND(),MV2,Sigma1),IF(RAND()&lt;CondGood,_xlfn.LOGNORM.INV(RAND(),MV3,Sigma2),MIN(MaxMultiple,Xm/(1-RAND())^(1/Alpha)))))</f>
        <v>0</v>
      </c>
      <c r="L137" s="19">
        <f ca="1">IF(RAND()&lt;P_Zero,0,IF(RAND()&lt;CondReturn,_xlfn.LOGNORM.INV(RAND(),MV2,Sigma1),IF(RAND()&lt;CondGood,_xlfn.LOGNORM.INV(RAND(),MV3,Sigma2),MIN(MaxMultiple,Xm/(1-RAND())^(1/Alpha)))))</f>
        <v>0.38819619846935582</v>
      </c>
      <c r="M137" s="19">
        <f ca="1">IF(RAND()&lt;P_Zero,0,IF(RAND()&lt;CondReturn,_xlfn.LOGNORM.INV(RAND(),MV2,Sigma1),IF(RAND()&lt;CondGood,_xlfn.LOGNORM.INV(RAND(),MV3,Sigma2),MIN(MaxMultiple,Xm/(1-RAND())^(1/Alpha)))))</f>
        <v>0</v>
      </c>
      <c r="N137" s="19">
        <f ca="1">IF(RAND()&lt;P_Zero,0,IF(RAND()&lt;CondReturn,_xlfn.LOGNORM.INV(RAND(),MV2,Sigma1),IF(RAND()&lt;CondGood,_xlfn.LOGNORM.INV(RAND(),MV3,Sigma2),MIN(MaxMultiple,Xm/(1-RAND())^(1/Alpha)))))</f>
        <v>4.6197659413780485</v>
      </c>
      <c r="O137" s="19">
        <f ca="1">IF(RAND()&lt;P_Zero,0,IF(RAND()&lt;CondReturn,_xlfn.LOGNORM.INV(RAND(),MV2,Sigma1),IF(RAND()&lt;CondGood,_xlfn.LOGNORM.INV(RAND(),MV3,Sigma2),MIN(MaxMultiple,Xm/(1-RAND())^(1/Alpha)))))</f>
        <v>0.93144479644555511</v>
      </c>
      <c r="P137" s="19">
        <f ca="1">IF(RAND()&lt;P_Zero,0,IF(RAND()&lt;CondReturn,_xlfn.LOGNORM.INV(RAND(),MV2,Sigma1),IF(RAND()&lt;CondGood,_xlfn.LOGNORM.INV(RAND(),MV3,Sigma2),MIN(MaxMultiple,Xm/(1-RAND())^(1/Alpha)))))</f>
        <v>0</v>
      </c>
      <c r="Q137" s="19">
        <f ca="1">IF(RAND()&lt;P_Zero,0,IF(RAND()&lt;CondReturn,_xlfn.LOGNORM.INV(RAND(),MV2,Sigma1),IF(RAND()&lt;CondGood,_xlfn.LOGNORM.INV(RAND(),MV3,Sigma2),MIN(MaxMultiple,Xm/(1-RAND())^(1/Alpha)))))</f>
        <v>0</v>
      </c>
      <c r="R137" s="19">
        <f ca="1">IF(RAND()&lt;P_Zero,0,IF(RAND()&lt;CondReturn,_xlfn.LOGNORM.INV(RAND(),MV2,Sigma1),IF(RAND()&lt;CondGood,_xlfn.LOGNORM.INV(RAND(),MV3,Sigma2),MIN(MaxMultiple,Xm/(1-RAND())^(1/Alpha)))))</f>
        <v>3.4041049520193507</v>
      </c>
      <c r="S137" s="19">
        <f ca="1">IF(RAND()&lt;P_Zero,0,IF(RAND()&lt;CondReturn,_xlfn.LOGNORM.INV(RAND(),MV2,Sigma1),IF(RAND()&lt;CondGood,_xlfn.LOGNORM.INV(RAND(),MV3,Sigma2),MIN(MaxMultiple,Xm/(1-RAND())^(1/Alpha)))))</f>
        <v>1.115710524284963</v>
      </c>
      <c r="T137" s="19">
        <f ca="1">IF(RAND()&lt;P_Zero,0,IF(RAND()&lt;CondReturn,_xlfn.LOGNORM.INV(RAND(),MV2,Sigma1),IF(RAND()&lt;CondGood,_xlfn.LOGNORM.INV(RAND(),MV3,Sigma2),MIN(MaxMultiple,Xm/(1-RAND())^(1/Alpha)))))</f>
        <v>300</v>
      </c>
      <c r="U137" s="19">
        <f ca="1">IF(RAND()&lt;P_Zero,0,IF(RAND()&lt;CondReturn,_xlfn.LOGNORM.INV(RAND(),MV2,Sigma1),IF(RAND()&lt;CondGood,_xlfn.LOGNORM.INV(RAND(),MV3,Sigma2),MIN(MaxMultiple,Xm/(1-RAND())^(1/Alpha)))))</f>
        <v>1.7915853543365601</v>
      </c>
      <c r="V137" s="19">
        <f ca="1">IF(RAND()&lt;P_Zero,0,IF(RAND()&lt;CondReturn,_xlfn.LOGNORM.INV(RAND(),MV2,Sigma1),IF(RAND()&lt;CondGood,_xlfn.LOGNORM.INV(RAND(),MV3,Sigma2),MIN(MaxMultiple,Xm/(1-RAND())^(1/Alpha)))))</f>
        <v>13.145410560332344</v>
      </c>
      <c r="W137" s="19">
        <f ca="1">IF(RAND()&lt;P_Zero,0,IF(RAND()&lt;CondReturn,_xlfn.LOGNORM.INV(RAND(),MV2,Sigma1),IF(RAND()&lt;CondGood,_xlfn.LOGNORM.INV(RAND(),MV3,Sigma2),MIN(MaxMultiple,Xm/(1-RAND())^(1/Alpha)))))</f>
        <v>0</v>
      </c>
      <c r="X137" s="19">
        <f ca="1">IF(RAND()&lt;P_Zero,0,IF(RAND()&lt;CondReturn,_xlfn.LOGNORM.INV(RAND(),MV2,Sigma1),IF(RAND()&lt;CondGood,_xlfn.LOGNORM.INV(RAND(),MV3,Sigma2),MIN(MaxMultiple,Xm/(1-RAND())^(1/Alpha)))))</f>
        <v>1.0938839876172226</v>
      </c>
      <c r="Y137" s="19">
        <f ca="1">IF(RAND()&lt;P_Zero,0,IF(RAND()&lt;CondReturn,_xlfn.LOGNORM.INV(RAND(),MV2,Sigma1),IF(RAND()&lt;CondGood,_xlfn.LOGNORM.INV(RAND(),MV3,Sigma2),MIN(MaxMultiple,Xm/(1-RAND())^(1/Alpha)))))</f>
        <v>0</v>
      </c>
      <c r="Z137" s="19">
        <f ca="1">IF(RAND()&lt;P_Zero,0,IF(RAND()&lt;CondReturn,_xlfn.LOGNORM.INV(RAND(),MV2,Sigma1),IF(RAND()&lt;CondGood,_xlfn.LOGNORM.INV(RAND(),MV3,Sigma2),MIN(MaxMultiple,Xm/(1-RAND())^(1/Alpha)))))</f>
        <v>0</v>
      </c>
      <c r="AA137" s="19">
        <f ca="1">IF(RAND()&lt;P_Zero,0,IF(RAND()&lt;CondReturn,_xlfn.LOGNORM.INV(RAND(),MV2,Sigma1),IF(RAND()&lt;CondGood,_xlfn.LOGNORM.INV(RAND(),MV3,Sigma2),MIN(MaxMultiple,Xm/(1-RAND())^(1/Alpha)))))</f>
        <v>26.831423588866166</v>
      </c>
      <c r="AB137" s="19">
        <f t="shared" ca="1" si="16"/>
        <v>15.512872230651764</v>
      </c>
      <c r="AC137" s="14">
        <f t="shared" ca="1" si="17"/>
        <v>744617867.07128465</v>
      </c>
      <c r="AD137" s="14">
        <f t="shared" ca="1" si="18"/>
        <v>696617867.07128465</v>
      </c>
      <c r="AE137" s="14">
        <f t="shared" si="19"/>
        <v>55628399.869093813</v>
      </c>
      <c r="AF137" s="14">
        <f t="shared" ca="1" si="20"/>
        <v>640989467.20219088</v>
      </c>
      <c r="AG137" s="14">
        <f t="shared" ca="1" si="21"/>
        <v>128197893.44043818</v>
      </c>
      <c r="AH137" s="14">
        <f t="shared" ca="1" si="22"/>
        <v>616419973.6308465</v>
      </c>
      <c r="AI137" s="19">
        <f t="shared" ca="1" si="23"/>
        <v>10.273666227180774</v>
      </c>
    </row>
    <row r="138" spans="2:35" x14ac:dyDescent="0.2">
      <c r="B138" s="1">
        <v>133</v>
      </c>
      <c r="C138" s="19">
        <f ca="1">IF(RAND()&lt;P_Zero,0,IF(RAND()&lt;CondReturn,_xlfn.LOGNORM.INV(RAND(),MV2,Sigma1),IF(RAND()&lt;CondGood,_xlfn.LOGNORM.INV(RAND(),MV3,Sigma2),MIN(MaxMultiple,Xm/(1-RAND())^(1/Alpha)))))</f>
        <v>1.3962995173901644</v>
      </c>
      <c r="D138" s="19">
        <f ca="1">IF(RAND()&lt;P_Zero,0,IF(RAND()&lt;CondReturn,_xlfn.LOGNORM.INV(RAND(),MV2,Sigma1),IF(RAND()&lt;CondGood,_xlfn.LOGNORM.INV(RAND(),MV3,Sigma2),MIN(MaxMultiple,Xm/(1-RAND())^(1/Alpha)))))</f>
        <v>0</v>
      </c>
      <c r="E138" s="19">
        <f ca="1">IF(RAND()&lt;P_Zero,0,IF(RAND()&lt;CondReturn,_xlfn.LOGNORM.INV(RAND(),MV2,Sigma1),IF(RAND()&lt;CondGood,_xlfn.LOGNORM.INV(RAND(),MV3,Sigma2),MIN(MaxMultiple,Xm/(1-RAND())^(1/Alpha)))))</f>
        <v>2.0570384204791519</v>
      </c>
      <c r="F138" s="19">
        <f ca="1">IF(RAND()&lt;P_Zero,0,IF(RAND()&lt;CondReturn,_xlfn.LOGNORM.INV(RAND(),MV2,Sigma1),IF(RAND()&lt;CondGood,_xlfn.LOGNORM.INV(RAND(),MV3,Sigma2),MIN(MaxMultiple,Xm/(1-RAND())^(1/Alpha)))))</f>
        <v>0</v>
      </c>
      <c r="G138" s="19">
        <f ca="1">IF(RAND()&lt;P_Zero,0,IF(RAND()&lt;CondReturn,_xlfn.LOGNORM.INV(RAND(),MV2,Sigma1),IF(RAND()&lt;CondGood,_xlfn.LOGNORM.INV(RAND(),MV3,Sigma2),MIN(MaxMultiple,Xm/(1-RAND())^(1/Alpha)))))</f>
        <v>1.3424951905734501</v>
      </c>
      <c r="H138" s="19">
        <f ca="1">IF(RAND()&lt;P_Zero,0,IF(RAND()&lt;CondReturn,_xlfn.LOGNORM.INV(RAND(),MV2,Sigma1),IF(RAND()&lt;CondGood,_xlfn.LOGNORM.INV(RAND(),MV3,Sigma2),MIN(MaxMultiple,Xm/(1-RAND())^(1/Alpha)))))</f>
        <v>1.1729104005592121</v>
      </c>
      <c r="I138" s="19">
        <f ca="1">IF(RAND()&lt;P_Zero,0,IF(RAND()&lt;CondReturn,_xlfn.LOGNORM.INV(RAND(),MV2,Sigma1),IF(RAND()&lt;CondGood,_xlfn.LOGNORM.INV(RAND(),MV3,Sigma2),MIN(MaxMultiple,Xm/(1-RAND())^(1/Alpha)))))</f>
        <v>0</v>
      </c>
      <c r="J138" s="19">
        <f ca="1">IF(RAND()&lt;P_Zero,0,IF(RAND()&lt;CondReturn,_xlfn.LOGNORM.INV(RAND(),MV2,Sigma1),IF(RAND()&lt;CondGood,_xlfn.LOGNORM.INV(RAND(),MV3,Sigma2),MIN(MaxMultiple,Xm/(1-RAND())^(1/Alpha)))))</f>
        <v>0</v>
      </c>
      <c r="K138" s="19">
        <f ca="1">IF(RAND()&lt;P_Zero,0,IF(RAND()&lt;CondReturn,_xlfn.LOGNORM.INV(RAND(),MV2,Sigma1),IF(RAND()&lt;CondGood,_xlfn.LOGNORM.INV(RAND(),MV3,Sigma2),MIN(MaxMultiple,Xm/(1-RAND())^(1/Alpha)))))</f>
        <v>0.44996962011247249</v>
      </c>
      <c r="L138" s="19">
        <f ca="1">IF(RAND()&lt;P_Zero,0,IF(RAND()&lt;CondReturn,_xlfn.LOGNORM.INV(RAND(),MV2,Sigma1),IF(RAND()&lt;CondGood,_xlfn.LOGNORM.INV(RAND(),MV3,Sigma2),MIN(MaxMultiple,Xm/(1-RAND())^(1/Alpha)))))</f>
        <v>0</v>
      </c>
      <c r="M138" s="19">
        <f ca="1">IF(RAND()&lt;P_Zero,0,IF(RAND()&lt;CondReturn,_xlfn.LOGNORM.INV(RAND(),MV2,Sigma1),IF(RAND()&lt;CondGood,_xlfn.LOGNORM.INV(RAND(),MV3,Sigma2),MIN(MaxMultiple,Xm/(1-RAND())^(1/Alpha)))))</f>
        <v>1.2103136637057432</v>
      </c>
      <c r="N138" s="19">
        <f ca="1">IF(RAND()&lt;P_Zero,0,IF(RAND()&lt;CondReturn,_xlfn.LOGNORM.INV(RAND(),MV2,Sigma1),IF(RAND()&lt;CondGood,_xlfn.LOGNORM.INV(RAND(),MV3,Sigma2),MIN(MaxMultiple,Xm/(1-RAND())^(1/Alpha)))))</f>
        <v>0.82372784069167204</v>
      </c>
      <c r="O138" s="19">
        <f ca="1">IF(RAND()&lt;P_Zero,0,IF(RAND()&lt;CondReturn,_xlfn.LOGNORM.INV(RAND(),MV2,Sigma1),IF(RAND()&lt;CondGood,_xlfn.LOGNORM.INV(RAND(),MV3,Sigma2),MIN(MaxMultiple,Xm/(1-RAND())^(1/Alpha)))))</f>
        <v>0</v>
      </c>
      <c r="P138" s="19">
        <f ca="1">IF(RAND()&lt;P_Zero,0,IF(RAND()&lt;CondReturn,_xlfn.LOGNORM.INV(RAND(),MV2,Sigma1),IF(RAND()&lt;CondGood,_xlfn.LOGNORM.INV(RAND(),MV3,Sigma2),MIN(MaxMultiple,Xm/(1-RAND())^(1/Alpha)))))</f>
        <v>16.643360428363319</v>
      </c>
      <c r="Q138" s="19">
        <f ca="1">IF(RAND()&lt;P_Zero,0,IF(RAND()&lt;CondReturn,_xlfn.LOGNORM.INV(RAND(),MV2,Sigma1),IF(RAND()&lt;CondGood,_xlfn.LOGNORM.INV(RAND(),MV3,Sigma2),MIN(MaxMultiple,Xm/(1-RAND())^(1/Alpha)))))</f>
        <v>0.87254037225710213</v>
      </c>
      <c r="R138" s="19">
        <f ca="1">IF(RAND()&lt;P_Zero,0,IF(RAND()&lt;CondReturn,_xlfn.LOGNORM.INV(RAND(),MV2,Sigma1),IF(RAND()&lt;CondGood,_xlfn.LOGNORM.INV(RAND(),MV3,Sigma2),MIN(MaxMultiple,Xm/(1-RAND())^(1/Alpha)))))</f>
        <v>1.6722194024519033</v>
      </c>
      <c r="S138" s="19">
        <f ca="1">IF(RAND()&lt;P_Zero,0,IF(RAND()&lt;CondReturn,_xlfn.LOGNORM.INV(RAND(),MV2,Sigma1),IF(RAND()&lt;CondGood,_xlfn.LOGNORM.INV(RAND(),MV3,Sigma2),MIN(MaxMultiple,Xm/(1-RAND())^(1/Alpha)))))</f>
        <v>0.3240227939807736</v>
      </c>
      <c r="T138" s="19">
        <f ca="1">IF(RAND()&lt;P_Zero,0,IF(RAND()&lt;CondReturn,_xlfn.LOGNORM.INV(RAND(),MV2,Sigma1),IF(RAND()&lt;CondGood,_xlfn.LOGNORM.INV(RAND(),MV3,Sigma2),MIN(MaxMultiple,Xm/(1-RAND())^(1/Alpha)))))</f>
        <v>1.7129058590918964</v>
      </c>
      <c r="U138" s="19">
        <f ca="1">IF(RAND()&lt;P_Zero,0,IF(RAND()&lt;CondReturn,_xlfn.LOGNORM.INV(RAND(),MV2,Sigma1),IF(RAND()&lt;CondGood,_xlfn.LOGNORM.INV(RAND(),MV3,Sigma2),MIN(MaxMultiple,Xm/(1-RAND())^(1/Alpha)))))</f>
        <v>1.3640103244143704</v>
      </c>
      <c r="V138" s="19">
        <f ca="1">IF(RAND()&lt;P_Zero,0,IF(RAND()&lt;CondReturn,_xlfn.LOGNORM.INV(RAND(),MV2,Sigma1),IF(RAND()&lt;CondGood,_xlfn.LOGNORM.INV(RAND(),MV3,Sigma2),MIN(MaxMultiple,Xm/(1-RAND())^(1/Alpha)))))</f>
        <v>0</v>
      </c>
      <c r="W138" s="19">
        <f ca="1">IF(RAND()&lt;P_Zero,0,IF(RAND()&lt;CondReturn,_xlfn.LOGNORM.INV(RAND(),MV2,Sigma1),IF(RAND()&lt;CondGood,_xlfn.LOGNORM.INV(RAND(),MV3,Sigma2),MIN(MaxMultiple,Xm/(1-RAND())^(1/Alpha)))))</f>
        <v>0.77795657223750703</v>
      </c>
      <c r="X138" s="19">
        <f ca="1">IF(RAND()&lt;P_Zero,0,IF(RAND()&lt;CondReturn,_xlfn.LOGNORM.INV(RAND(),MV2,Sigma1),IF(RAND()&lt;CondGood,_xlfn.LOGNORM.INV(RAND(),MV3,Sigma2),MIN(MaxMultiple,Xm/(1-RAND())^(1/Alpha)))))</f>
        <v>0</v>
      </c>
      <c r="Y138" s="19">
        <f ca="1">IF(RAND()&lt;P_Zero,0,IF(RAND()&lt;CondReturn,_xlfn.LOGNORM.INV(RAND(),MV2,Sigma1),IF(RAND()&lt;CondGood,_xlfn.LOGNORM.INV(RAND(),MV3,Sigma2),MIN(MaxMultiple,Xm/(1-RAND())^(1/Alpha)))))</f>
        <v>0</v>
      </c>
      <c r="Z138" s="19">
        <f ca="1">IF(RAND()&lt;P_Zero,0,IF(RAND()&lt;CondReturn,_xlfn.LOGNORM.INV(RAND(),MV2,Sigma1),IF(RAND()&lt;CondGood,_xlfn.LOGNORM.INV(RAND(),MV3,Sigma2),MIN(MaxMultiple,Xm/(1-RAND())^(1/Alpha)))))</f>
        <v>1.3371997005155509</v>
      </c>
      <c r="AA138" s="19">
        <f ca="1">IF(RAND()&lt;P_Zero,0,IF(RAND()&lt;CondReturn,_xlfn.LOGNORM.INV(RAND(),MV2,Sigma1),IF(RAND()&lt;CondGood,_xlfn.LOGNORM.INV(RAND(),MV3,Sigma2),MIN(MaxMultiple,Xm/(1-RAND())^(1/Alpha)))))</f>
        <v>0.52284726744441001</v>
      </c>
      <c r="AB138" s="19">
        <f t="shared" ca="1" si="16"/>
        <v>1.347192694970748</v>
      </c>
      <c r="AC138" s="14">
        <f t="shared" ca="1" si="17"/>
        <v>64665249.358595908</v>
      </c>
      <c r="AD138" s="14">
        <f t="shared" ca="1" si="18"/>
        <v>16665249.358595908</v>
      </c>
      <c r="AE138" s="14">
        <f t="shared" si="19"/>
        <v>55628399.869093813</v>
      </c>
      <c r="AF138" s="14">
        <f t="shared" ca="1" si="20"/>
        <v>0</v>
      </c>
      <c r="AG138" s="14">
        <f t="shared" ca="1" si="21"/>
        <v>0</v>
      </c>
      <c r="AH138" s="14">
        <f t="shared" ca="1" si="22"/>
        <v>64665249.358595908</v>
      </c>
      <c r="AI138" s="19">
        <f t="shared" ca="1" si="23"/>
        <v>1.0777541559765984</v>
      </c>
    </row>
    <row r="139" spans="2:35" x14ac:dyDescent="0.2">
      <c r="B139" s="1">
        <v>134</v>
      </c>
      <c r="C139" s="19">
        <f ca="1">IF(RAND()&lt;P_Zero,0,IF(RAND()&lt;CondReturn,_xlfn.LOGNORM.INV(RAND(),MV2,Sigma1),IF(RAND()&lt;CondGood,_xlfn.LOGNORM.INV(RAND(),MV3,Sigma2),MIN(MaxMultiple,Xm/(1-RAND())^(1/Alpha)))))</f>
        <v>1.3932319418585311</v>
      </c>
      <c r="D139" s="19">
        <f ca="1">IF(RAND()&lt;P_Zero,0,IF(RAND()&lt;CondReturn,_xlfn.LOGNORM.INV(RAND(),MV2,Sigma1),IF(RAND()&lt;CondGood,_xlfn.LOGNORM.INV(RAND(),MV3,Sigma2),MIN(MaxMultiple,Xm/(1-RAND())^(1/Alpha)))))</f>
        <v>0</v>
      </c>
      <c r="E139" s="19">
        <f ca="1">IF(RAND()&lt;P_Zero,0,IF(RAND()&lt;CondReturn,_xlfn.LOGNORM.INV(RAND(),MV2,Sigma1),IF(RAND()&lt;CondGood,_xlfn.LOGNORM.INV(RAND(),MV3,Sigma2),MIN(MaxMultiple,Xm/(1-RAND())^(1/Alpha)))))</f>
        <v>0</v>
      </c>
      <c r="F139" s="19">
        <f ca="1">IF(RAND()&lt;P_Zero,0,IF(RAND()&lt;CondReturn,_xlfn.LOGNORM.INV(RAND(),MV2,Sigma1),IF(RAND()&lt;CondGood,_xlfn.LOGNORM.INV(RAND(),MV3,Sigma2),MIN(MaxMultiple,Xm/(1-RAND())^(1/Alpha)))))</f>
        <v>0</v>
      </c>
      <c r="G139" s="19">
        <f ca="1">IF(RAND()&lt;P_Zero,0,IF(RAND()&lt;CondReturn,_xlfn.LOGNORM.INV(RAND(),MV2,Sigma1),IF(RAND()&lt;CondGood,_xlfn.LOGNORM.INV(RAND(),MV3,Sigma2),MIN(MaxMultiple,Xm/(1-RAND())^(1/Alpha)))))</f>
        <v>0.71245811944010307</v>
      </c>
      <c r="H139" s="19">
        <f ca="1">IF(RAND()&lt;P_Zero,0,IF(RAND()&lt;CondReturn,_xlfn.LOGNORM.INV(RAND(),MV2,Sigma1),IF(RAND()&lt;CondGood,_xlfn.LOGNORM.INV(RAND(),MV3,Sigma2),MIN(MaxMultiple,Xm/(1-RAND())^(1/Alpha)))))</f>
        <v>1.0375602772779231</v>
      </c>
      <c r="I139" s="19">
        <f ca="1">IF(RAND()&lt;P_Zero,0,IF(RAND()&lt;CondReturn,_xlfn.LOGNORM.INV(RAND(),MV2,Sigma1),IF(RAND()&lt;CondGood,_xlfn.LOGNORM.INV(RAND(),MV3,Sigma2),MIN(MaxMultiple,Xm/(1-RAND())^(1/Alpha)))))</f>
        <v>10.505213596735478</v>
      </c>
      <c r="J139" s="19">
        <f ca="1">IF(RAND()&lt;P_Zero,0,IF(RAND()&lt;CondReturn,_xlfn.LOGNORM.INV(RAND(),MV2,Sigma1),IF(RAND()&lt;CondGood,_xlfn.LOGNORM.INV(RAND(),MV3,Sigma2),MIN(MaxMultiple,Xm/(1-RAND())^(1/Alpha)))))</f>
        <v>1.2399166915814541</v>
      </c>
      <c r="K139" s="19">
        <f ca="1">IF(RAND()&lt;P_Zero,0,IF(RAND()&lt;CondReturn,_xlfn.LOGNORM.INV(RAND(),MV2,Sigma1),IF(RAND()&lt;CondGood,_xlfn.LOGNORM.INV(RAND(),MV3,Sigma2),MIN(MaxMultiple,Xm/(1-RAND())^(1/Alpha)))))</f>
        <v>14.013389698499534</v>
      </c>
      <c r="L139" s="19">
        <f ca="1">IF(RAND()&lt;P_Zero,0,IF(RAND()&lt;CondReturn,_xlfn.LOGNORM.INV(RAND(),MV2,Sigma1),IF(RAND()&lt;CondGood,_xlfn.LOGNORM.INV(RAND(),MV3,Sigma2),MIN(MaxMultiple,Xm/(1-RAND())^(1/Alpha)))))</f>
        <v>0</v>
      </c>
      <c r="M139" s="19">
        <f ca="1">IF(RAND()&lt;P_Zero,0,IF(RAND()&lt;CondReturn,_xlfn.LOGNORM.INV(RAND(),MV2,Sigma1),IF(RAND()&lt;CondGood,_xlfn.LOGNORM.INV(RAND(),MV3,Sigma2),MIN(MaxMultiple,Xm/(1-RAND())^(1/Alpha)))))</f>
        <v>0</v>
      </c>
      <c r="N139" s="19">
        <f ca="1">IF(RAND()&lt;P_Zero,0,IF(RAND()&lt;CondReturn,_xlfn.LOGNORM.INV(RAND(),MV2,Sigma1),IF(RAND()&lt;CondGood,_xlfn.LOGNORM.INV(RAND(),MV3,Sigma2),MIN(MaxMultiple,Xm/(1-RAND())^(1/Alpha)))))</f>
        <v>0.61910926890260665</v>
      </c>
      <c r="O139" s="19">
        <f ca="1">IF(RAND()&lt;P_Zero,0,IF(RAND()&lt;CondReturn,_xlfn.LOGNORM.INV(RAND(),MV2,Sigma1),IF(RAND()&lt;CondGood,_xlfn.LOGNORM.INV(RAND(),MV3,Sigma2),MIN(MaxMultiple,Xm/(1-RAND())^(1/Alpha)))))</f>
        <v>119.90436130691846</v>
      </c>
      <c r="P139" s="19">
        <f ca="1">IF(RAND()&lt;P_Zero,0,IF(RAND()&lt;CondReturn,_xlfn.LOGNORM.INV(RAND(),MV2,Sigma1),IF(RAND()&lt;CondGood,_xlfn.LOGNORM.INV(RAND(),MV3,Sigma2),MIN(MaxMultiple,Xm/(1-RAND())^(1/Alpha)))))</f>
        <v>0.78941430396633516</v>
      </c>
      <c r="Q139" s="19">
        <f ca="1">IF(RAND()&lt;P_Zero,0,IF(RAND()&lt;CondReturn,_xlfn.LOGNORM.INV(RAND(),MV2,Sigma1),IF(RAND()&lt;CondGood,_xlfn.LOGNORM.INV(RAND(),MV3,Sigma2),MIN(MaxMultiple,Xm/(1-RAND())^(1/Alpha)))))</f>
        <v>1.3744375632248189</v>
      </c>
      <c r="R139" s="19">
        <f ca="1">IF(RAND()&lt;P_Zero,0,IF(RAND()&lt;CondReturn,_xlfn.LOGNORM.INV(RAND(),MV2,Sigma1),IF(RAND()&lt;CondGood,_xlfn.LOGNORM.INV(RAND(),MV3,Sigma2),MIN(MaxMultiple,Xm/(1-RAND())^(1/Alpha)))))</f>
        <v>0</v>
      </c>
      <c r="S139" s="19">
        <f ca="1">IF(RAND()&lt;P_Zero,0,IF(RAND()&lt;CondReturn,_xlfn.LOGNORM.INV(RAND(),MV2,Sigma1),IF(RAND()&lt;CondGood,_xlfn.LOGNORM.INV(RAND(),MV3,Sigma2),MIN(MaxMultiple,Xm/(1-RAND())^(1/Alpha)))))</f>
        <v>0.74012077382224317</v>
      </c>
      <c r="T139" s="19">
        <f ca="1">IF(RAND()&lt;P_Zero,0,IF(RAND()&lt;CondReturn,_xlfn.LOGNORM.INV(RAND(),MV2,Sigma1),IF(RAND()&lt;CondGood,_xlfn.LOGNORM.INV(RAND(),MV3,Sigma2),MIN(MaxMultiple,Xm/(1-RAND())^(1/Alpha)))))</f>
        <v>1.1059738553295206</v>
      </c>
      <c r="U139" s="19">
        <f ca="1">IF(RAND()&lt;P_Zero,0,IF(RAND()&lt;CondReturn,_xlfn.LOGNORM.INV(RAND(),MV2,Sigma1),IF(RAND()&lt;CondGood,_xlfn.LOGNORM.INV(RAND(),MV3,Sigma2),MIN(MaxMultiple,Xm/(1-RAND())^(1/Alpha)))))</f>
        <v>0.42062420221040642</v>
      </c>
      <c r="V139" s="19">
        <f ca="1">IF(RAND()&lt;P_Zero,0,IF(RAND()&lt;CondReturn,_xlfn.LOGNORM.INV(RAND(),MV2,Sigma1),IF(RAND()&lt;CondGood,_xlfn.LOGNORM.INV(RAND(),MV3,Sigma2),MIN(MaxMultiple,Xm/(1-RAND())^(1/Alpha)))))</f>
        <v>0</v>
      </c>
      <c r="W139" s="19">
        <f ca="1">IF(RAND()&lt;P_Zero,0,IF(RAND()&lt;CondReturn,_xlfn.LOGNORM.INV(RAND(),MV2,Sigma1),IF(RAND()&lt;CondGood,_xlfn.LOGNORM.INV(RAND(),MV3,Sigma2),MIN(MaxMultiple,Xm/(1-RAND())^(1/Alpha)))))</f>
        <v>0.7962823062590656</v>
      </c>
      <c r="X139" s="19">
        <f ca="1">IF(RAND()&lt;P_Zero,0,IF(RAND()&lt;CondReturn,_xlfn.LOGNORM.INV(RAND(),MV2,Sigma1),IF(RAND()&lt;CondGood,_xlfn.LOGNORM.INV(RAND(),MV3,Sigma2),MIN(MaxMultiple,Xm/(1-RAND())^(1/Alpha)))))</f>
        <v>0.37261637386849494</v>
      </c>
      <c r="Y139" s="19">
        <f ca="1">IF(RAND()&lt;P_Zero,0,IF(RAND()&lt;CondReturn,_xlfn.LOGNORM.INV(RAND(),MV2,Sigma1),IF(RAND()&lt;CondGood,_xlfn.LOGNORM.INV(RAND(),MV3,Sigma2),MIN(MaxMultiple,Xm/(1-RAND())^(1/Alpha)))))</f>
        <v>0</v>
      </c>
      <c r="Z139" s="19">
        <f ca="1">IF(RAND()&lt;P_Zero,0,IF(RAND()&lt;CondReturn,_xlfn.LOGNORM.INV(RAND(),MV2,Sigma1),IF(RAND()&lt;CondGood,_xlfn.LOGNORM.INV(RAND(),MV3,Sigma2),MIN(MaxMultiple,Xm/(1-RAND())^(1/Alpha)))))</f>
        <v>1.0930239133669715</v>
      </c>
      <c r="AA139" s="19">
        <f ca="1">IF(RAND()&lt;P_Zero,0,IF(RAND()&lt;CondReturn,_xlfn.LOGNORM.INV(RAND(),MV2,Sigma1),IF(RAND()&lt;CondGood,_xlfn.LOGNORM.INV(RAND(),MV3,Sigma2),MIN(MaxMultiple,Xm/(1-RAND())^(1/Alpha)))))</f>
        <v>0</v>
      </c>
      <c r="AB139" s="19">
        <f t="shared" ca="1" si="16"/>
        <v>6.2447093677304784</v>
      </c>
      <c r="AC139" s="14">
        <f t="shared" ca="1" si="17"/>
        <v>299746049.65106297</v>
      </c>
      <c r="AD139" s="14">
        <f t="shared" ca="1" si="18"/>
        <v>251746049.65106297</v>
      </c>
      <c r="AE139" s="14">
        <f t="shared" si="19"/>
        <v>55628399.869093813</v>
      </c>
      <c r="AF139" s="14">
        <f t="shared" ca="1" si="20"/>
        <v>196117649.78196916</v>
      </c>
      <c r="AG139" s="14">
        <f t="shared" ca="1" si="21"/>
        <v>39223529.95639383</v>
      </c>
      <c r="AH139" s="14">
        <f t="shared" ca="1" si="22"/>
        <v>260522519.69466913</v>
      </c>
      <c r="AI139" s="19">
        <f t="shared" ca="1" si="23"/>
        <v>4.3420419949111517</v>
      </c>
    </row>
    <row r="140" spans="2:35" x14ac:dyDescent="0.2">
      <c r="B140" s="1">
        <v>135</v>
      </c>
      <c r="C140" s="19">
        <f ca="1">IF(RAND()&lt;P_Zero,0,IF(RAND()&lt;CondReturn,_xlfn.LOGNORM.INV(RAND(),MV2,Sigma1),IF(RAND()&lt;CondGood,_xlfn.LOGNORM.INV(RAND(),MV3,Sigma2),MIN(MaxMultiple,Xm/(1-RAND())^(1/Alpha)))))</f>
        <v>1.0104981899553314</v>
      </c>
      <c r="D140" s="19">
        <f ca="1">IF(RAND()&lt;P_Zero,0,IF(RAND()&lt;CondReturn,_xlfn.LOGNORM.INV(RAND(),MV2,Sigma1),IF(RAND()&lt;CondGood,_xlfn.LOGNORM.INV(RAND(),MV3,Sigma2),MIN(MaxMultiple,Xm/(1-RAND())^(1/Alpha)))))</f>
        <v>0</v>
      </c>
      <c r="E140" s="19">
        <f ca="1">IF(RAND()&lt;P_Zero,0,IF(RAND()&lt;CondReturn,_xlfn.LOGNORM.INV(RAND(),MV2,Sigma1),IF(RAND()&lt;CondGood,_xlfn.LOGNORM.INV(RAND(),MV3,Sigma2),MIN(MaxMultiple,Xm/(1-RAND())^(1/Alpha)))))</f>
        <v>0.86324162878191923</v>
      </c>
      <c r="F140" s="19">
        <f ca="1">IF(RAND()&lt;P_Zero,0,IF(RAND()&lt;CondReturn,_xlfn.LOGNORM.INV(RAND(),MV2,Sigma1),IF(RAND()&lt;CondGood,_xlfn.LOGNORM.INV(RAND(),MV3,Sigma2),MIN(MaxMultiple,Xm/(1-RAND())^(1/Alpha)))))</f>
        <v>0.59338618241231489</v>
      </c>
      <c r="G140" s="19">
        <f ca="1">IF(RAND()&lt;P_Zero,0,IF(RAND()&lt;CondReturn,_xlfn.LOGNORM.INV(RAND(),MV2,Sigma1),IF(RAND()&lt;CondGood,_xlfn.LOGNORM.INV(RAND(),MV3,Sigma2),MIN(MaxMultiple,Xm/(1-RAND())^(1/Alpha)))))</f>
        <v>1.2453776514248611</v>
      </c>
      <c r="H140" s="19">
        <f ca="1">IF(RAND()&lt;P_Zero,0,IF(RAND()&lt;CondReturn,_xlfn.LOGNORM.INV(RAND(),MV2,Sigma1),IF(RAND()&lt;CondGood,_xlfn.LOGNORM.INV(RAND(),MV3,Sigma2),MIN(MaxMultiple,Xm/(1-RAND())^(1/Alpha)))))</f>
        <v>0</v>
      </c>
      <c r="I140" s="19">
        <f ca="1">IF(RAND()&lt;P_Zero,0,IF(RAND()&lt;CondReturn,_xlfn.LOGNORM.INV(RAND(),MV2,Sigma1),IF(RAND()&lt;CondGood,_xlfn.LOGNORM.INV(RAND(),MV3,Sigma2),MIN(MaxMultiple,Xm/(1-RAND())^(1/Alpha)))))</f>
        <v>1.1899714149640077</v>
      </c>
      <c r="J140" s="19">
        <f ca="1">IF(RAND()&lt;P_Zero,0,IF(RAND()&lt;CondReturn,_xlfn.LOGNORM.INV(RAND(),MV2,Sigma1),IF(RAND()&lt;CondGood,_xlfn.LOGNORM.INV(RAND(),MV3,Sigma2),MIN(MaxMultiple,Xm/(1-RAND())^(1/Alpha)))))</f>
        <v>0</v>
      </c>
      <c r="K140" s="19">
        <f ca="1">IF(RAND()&lt;P_Zero,0,IF(RAND()&lt;CondReturn,_xlfn.LOGNORM.INV(RAND(),MV2,Sigma1),IF(RAND()&lt;CondGood,_xlfn.LOGNORM.INV(RAND(),MV3,Sigma2),MIN(MaxMultiple,Xm/(1-RAND())^(1/Alpha)))))</f>
        <v>0</v>
      </c>
      <c r="L140" s="19">
        <f ca="1">IF(RAND()&lt;P_Zero,0,IF(RAND()&lt;CondReturn,_xlfn.LOGNORM.INV(RAND(),MV2,Sigma1),IF(RAND()&lt;CondGood,_xlfn.LOGNORM.INV(RAND(),MV3,Sigma2),MIN(MaxMultiple,Xm/(1-RAND())^(1/Alpha)))))</f>
        <v>0.90486213287186301</v>
      </c>
      <c r="M140" s="19">
        <f ca="1">IF(RAND()&lt;P_Zero,0,IF(RAND()&lt;CondReturn,_xlfn.LOGNORM.INV(RAND(),MV2,Sigma1),IF(RAND()&lt;CondGood,_xlfn.LOGNORM.INV(RAND(),MV3,Sigma2),MIN(MaxMultiple,Xm/(1-RAND())^(1/Alpha)))))</f>
        <v>0.96071937330973434</v>
      </c>
      <c r="N140" s="19">
        <f ca="1">IF(RAND()&lt;P_Zero,0,IF(RAND()&lt;CondReturn,_xlfn.LOGNORM.INV(RAND(),MV2,Sigma1),IF(RAND()&lt;CondGood,_xlfn.LOGNORM.INV(RAND(),MV3,Sigma2),MIN(MaxMultiple,Xm/(1-RAND())^(1/Alpha)))))</f>
        <v>0</v>
      </c>
      <c r="O140" s="19">
        <f ca="1">IF(RAND()&lt;P_Zero,0,IF(RAND()&lt;CondReturn,_xlfn.LOGNORM.INV(RAND(),MV2,Sigma1),IF(RAND()&lt;CondGood,_xlfn.LOGNORM.INV(RAND(),MV3,Sigma2),MIN(MaxMultiple,Xm/(1-RAND())^(1/Alpha)))))</f>
        <v>0.87751287609326767</v>
      </c>
      <c r="P140" s="19">
        <f ca="1">IF(RAND()&lt;P_Zero,0,IF(RAND()&lt;CondReturn,_xlfn.LOGNORM.INV(RAND(),MV2,Sigma1),IF(RAND()&lt;CondGood,_xlfn.LOGNORM.INV(RAND(),MV3,Sigma2),MIN(MaxMultiple,Xm/(1-RAND())^(1/Alpha)))))</f>
        <v>10.129778621444547</v>
      </c>
      <c r="Q140" s="19">
        <f ca="1">IF(RAND()&lt;P_Zero,0,IF(RAND()&lt;CondReturn,_xlfn.LOGNORM.INV(RAND(),MV2,Sigma1),IF(RAND()&lt;CondGood,_xlfn.LOGNORM.INV(RAND(),MV3,Sigma2),MIN(MaxMultiple,Xm/(1-RAND())^(1/Alpha)))))</f>
        <v>1.4476972372597599</v>
      </c>
      <c r="R140" s="19">
        <f ca="1">IF(RAND()&lt;P_Zero,0,IF(RAND()&lt;CondReturn,_xlfn.LOGNORM.INV(RAND(),MV2,Sigma1),IF(RAND()&lt;CondGood,_xlfn.LOGNORM.INV(RAND(),MV3,Sigma2),MIN(MaxMultiple,Xm/(1-RAND())^(1/Alpha)))))</f>
        <v>0.4746259506941008</v>
      </c>
      <c r="S140" s="19">
        <f ca="1">IF(RAND()&lt;P_Zero,0,IF(RAND()&lt;CondReturn,_xlfn.LOGNORM.INV(RAND(),MV2,Sigma1),IF(RAND()&lt;CondGood,_xlfn.LOGNORM.INV(RAND(),MV3,Sigma2),MIN(MaxMultiple,Xm/(1-RAND())^(1/Alpha)))))</f>
        <v>0</v>
      </c>
      <c r="T140" s="19">
        <f ca="1">IF(RAND()&lt;P_Zero,0,IF(RAND()&lt;CondReturn,_xlfn.LOGNORM.INV(RAND(),MV2,Sigma1),IF(RAND()&lt;CondGood,_xlfn.LOGNORM.INV(RAND(),MV3,Sigma2),MIN(MaxMultiple,Xm/(1-RAND())^(1/Alpha)))))</f>
        <v>0.57620782925802871</v>
      </c>
      <c r="U140" s="19">
        <f ca="1">IF(RAND()&lt;P_Zero,0,IF(RAND()&lt;CondReturn,_xlfn.LOGNORM.INV(RAND(),MV2,Sigma1),IF(RAND()&lt;CondGood,_xlfn.LOGNORM.INV(RAND(),MV3,Sigma2),MIN(MaxMultiple,Xm/(1-RAND())^(1/Alpha)))))</f>
        <v>0</v>
      </c>
      <c r="V140" s="19">
        <f ca="1">IF(RAND()&lt;P_Zero,0,IF(RAND()&lt;CondReturn,_xlfn.LOGNORM.INV(RAND(),MV2,Sigma1),IF(RAND()&lt;CondGood,_xlfn.LOGNORM.INV(RAND(),MV3,Sigma2),MIN(MaxMultiple,Xm/(1-RAND())^(1/Alpha)))))</f>
        <v>0</v>
      </c>
      <c r="W140" s="19">
        <f ca="1">IF(RAND()&lt;P_Zero,0,IF(RAND()&lt;CondReturn,_xlfn.LOGNORM.INV(RAND(),MV2,Sigma1),IF(RAND()&lt;CondGood,_xlfn.LOGNORM.INV(RAND(),MV3,Sigma2),MIN(MaxMultiple,Xm/(1-RAND())^(1/Alpha)))))</f>
        <v>0.96563068094124183</v>
      </c>
      <c r="X140" s="19">
        <f ca="1">IF(RAND()&lt;P_Zero,0,IF(RAND()&lt;CondReturn,_xlfn.LOGNORM.INV(RAND(),MV2,Sigma1),IF(RAND()&lt;CondGood,_xlfn.LOGNORM.INV(RAND(),MV3,Sigma2),MIN(MaxMultiple,Xm/(1-RAND())^(1/Alpha)))))</f>
        <v>1.4617858778707966</v>
      </c>
      <c r="Y140" s="19">
        <f ca="1">IF(RAND()&lt;P_Zero,0,IF(RAND()&lt;CondReturn,_xlfn.LOGNORM.INV(RAND(),MV2,Sigma1),IF(RAND()&lt;CondGood,_xlfn.LOGNORM.INV(RAND(),MV3,Sigma2),MIN(MaxMultiple,Xm/(1-RAND())^(1/Alpha)))))</f>
        <v>0</v>
      </c>
      <c r="Z140" s="19">
        <f ca="1">IF(RAND()&lt;P_Zero,0,IF(RAND()&lt;CondReturn,_xlfn.LOGNORM.INV(RAND(),MV2,Sigma1),IF(RAND()&lt;CondGood,_xlfn.LOGNORM.INV(RAND(),MV3,Sigma2),MIN(MaxMultiple,Xm/(1-RAND())^(1/Alpha)))))</f>
        <v>2.4918297316400806</v>
      </c>
      <c r="AA140" s="19">
        <f ca="1">IF(RAND()&lt;P_Zero,0,IF(RAND()&lt;CondReturn,_xlfn.LOGNORM.INV(RAND(),MV2,Sigma1),IF(RAND()&lt;CondGood,_xlfn.LOGNORM.INV(RAND(),MV3,Sigma2),MIN(MaxMultiple,Xm/(1-RAND())^(1/Alpha)))))</f>
        <v>0</v>
      </c>
      <c r="AB140" s="19">
        <f t="shared" ca="1" si="16"/>
        <v>1.0077250151568742</v>
      </c>
      <c r="AC140" s="14">
        <f t="shared" ca="1" si="17"/>
        <v>48370800.727529958</v>
      </c>
      <c r="AD140" s="14">
        <f t="shared" ca="1" si="18"/>
        <v>370800.72752995789</v>
      </c>
      <c r="AE140" s="14">
        <f t="shared" si="19"/>
        <v>55628399.869093813</v>
      </c>
      <c r="AF140" s="14">
        <f t="shared" ca="1" si="20"/>
        <v>0</v>
      </c>
      <c r="AG140" s="14">
        <f t="shared" ca="1" si="21"/>
        <v>0</v>
      </c>
      <c r="AH140" s="14">
        <f t="shared" ca="1" si="22"/>
        <v>48370800.727529958</v>
      </c>
      <c r="AI140" s="19">
        <f t="shared" ca="1" si="23"/>
        <v>0.80618001212549928</v>
      </c>
    </row>
    <row r="141" spans="2:35" x14ac:dyDescent="0.2">
      <c r="B141" s="1">
        <v>136</v>
      </c>
      <c r="C141" s="19">
        <f ca="1">IF(RAND()&lt;P_Zero,0,IF(RAND()&lt;CondReturn,_xlfn.LOGNORM.INV(RAND(),MV2,Sigma1),IF(RAND()&lt;CondGood,_xlfn.LOGNORM.INV(RAND(),MV3,Sigma2),MIN(MaxMultiple,Xm/(1-RAND())^(1/Alpha)))))</f>
        <v>0.97629025894281352</v>
      </c>
      <c r="D141" s="19">
        <f ca="1">IF(RAND()&lt;P_Zero,0,IF(RAND()&lt;CondReturn,_xlfn.LOGNORM.INV(RAND(),MV2,Sigma1),IF(RAND()&lt;CondGood,_xlfn.LOGNORM.INV(RAND(),MV3,Sigma2),MIN(MaxMultiple,Xm/(1-RAND())^(1/Alpha)))))</f>
        <v>0.83641389833307345</v>
      </c>
      <c r="E141" s="19">
        <f ca="1">IF(RAND()&lt;P_Zero,0,IF(RAND()&lt;CondReturn,_xlfn.LOGNORM.INV(RAND(),MV2,Sigma1),IF(RAND()&lt;CondGood,_xlfn.LOGNORM.INV(RAND(),MV3,Sigma2),MIN(MaxMultiple,Xm/(1-RAND())^(1/Alpha)))))</f>
        <v>0.3623566371822336</v>
      </c>
      <c r="F141" s="19">
        <f ca="1">IF(RAND()&lt;P_Zero,0,IF(RAND()&lt;CondReturn,_xlfn.LOGNORM.INV(RAND(),MV2,Sigma1),IF(RAND()&lt;CondGood,_xlfn.LOGNORM.INV(RAND(),MV3,Sigma2),MIN(MaxMultiple,Xm/(1-RAND())^(1/Alpha)))))</f>
        <v>0.37239568895941416</v>
      </c>
      <c r="G141" s="19">
        <f ca="1">IF(RAND()&lt;P_Zero,0,IF(RAND()&lt;CondReturn,_xlfn.LOGNORM.INV(RAND(),MV2,Sigma1),IF(RAND()&lt;CondGood,_xlfn.LOGNORM.INV(RAND(),MV3,Sigma2),MIN(MaxMultiple,Xm/(1-RAND())^(1/Alpha)))))</f>
        <v>0.8108185249597113</v>
      </c>
      <c r="H141" s="19">
        <f ca="1">IF(RAND()&lt;P_Zero,0,IF(RAND()&lt;CondReturn,_xlfn.LOGNORM.INV(RAND(),MV2,Sigma1),IF(RAND()&lt;CondGood,_xlfn.LOGNORM.INV(RAND(),MV3,Sigma2),MIN(MaxMultiple,Xm/(1-RAND())^(1/Alpha)))))</f>
        <v>1.6513032533348195</v>
      </c>
      <c r="I141" s="19">
        <f ca="1">IF(RAND()&lt;P_Zero,0,IF(RAND()&lt;CondReturn,_xlfn.LOGNORM.INV(RAND(),MV2,Sigma1),IF(RAND()&lt;CondGood,_xlfn.LOGNORM.INV(RAND(),MV3,Sigma2),MIN(MaxMultiple,Xm/(1-RAND())^(1/Alpha)))))</f>
        <v>0</v>
      </c>
      <c r="J141" s="19">
        <f ca="1">IF(RAND()&lt;P_Zero,0,IF(RAND()&lt;CondReturn,_xlfn.LOGNORM.INV(RAND(),MV2,Sigma1),IF(RAND()&lt;CondGood,_xlfn.LOGNORM.INV(RAND(),MV3,Sigma2),MIN(MaxMultiple,Xm/(1-RAND())^(1/Alpha)))))</f>
        <v>0</v>
      </c>
      <c r="K141" s="19">
        <f ca="1">IF(RAND()&lt;P_Zero,0,IF(RAND()&lt;CondReturn,_xlfn.LOGNORM.INV(RAND(),MV2,Sigma1),IF(RAND()&lt;CondGood,_xlfn.LOGNORM.INV(RAND(),MV3,Sigma2),MIN(MaxMultiple,Xm/(1-RAND())^(1/Alpha)))))</f>
        <v>1.4916018657833001</v>
      </c>
      <c r="L141" s="19">
        <f ca="1">IF(RAND()&lt;P_Zero,0,IF(RAND()&lt;CondReturn,_xlfn.LOGNORM.INV(RAND(),MV2,Sigma1),IF(RAND()&lt;CondGood,_xlfn.LOGNORM.INV(RAND(),MV3,Sigma2),MIN(MaxMultiple,Xm/(1-RAND())^(1/Alpha)))))</f>
        <v>0.92077895496073092</v>
      </c>
      <c r="M141" s="19">
        <f ca="1">IF(RAND()&lt;P_Zero,0,IF(RAND()&lt;CondReturn,_xlfn.LOGNORM.INV(RAND(),MV2,Sigma1),IF(RAND()&lt;CondGood,_xlfn.LOGNORM.INV(RAND(),MV3,Sigma2),MIN(MaxMultiple,Xm/(1-RAND())^(1/Alpha)))))</f>
        <v>0.61746511822178629</v>
      </c>
      <c r="N141" s="19">
        <f ca="1">IF(RAND()&lt;P_Zero,0,IF(RAND()&lt;CondReturn,_xlfn.LOGNORM.INV(RAND(),MV2,Sigma1),IF(RAND()&lt;CondGood,_xlfn.LOGNORM.INV(RAND(),MV3,Sigma2),MIN(MaxMultiple,Xm/(1-RAND())^(1/Alpha)))))</f>
        <v>0</v>
      </c>
      <c r="O141" s="19">
        <f ca="1">IF(RAND()&lt;P_Zero,0,IF(RAND()&lt;CondReturn,_xlfn.LOGNORM.INV(RAND(),MV2,Sigma1),IF(RAND()&lt;CondGood,_xlfn.LOGNORM.INV(RAND(),MV3,Sigma2),MIN(MaxMultiple,Xm/(1-RAND())^(1/Alpha)))))</f>
        <v>0</v>
      </c>
      <c r="P141" s="19">
        <f ca="1">IF(RAND()&lt;P_Zero,0,IF(RAND()&lt;CondReturn,_xlfn.LOGNORM.INV(RAND(),MV2,Sigma1),IF(RAND()&lt;CondGood,_xlfn.LOGNORM.INV(RAND(),MV3,Sigma2),MIN(MaxMultiple,Xm/(1-RAND())^(1/Alpha)))))</f>
        <v>10.110787406302403</v>
      </c>
      <c r="Q141" s="19">
        <f ca="1">IF(RAND()&lt;P_Zero,0,IF(RAND()&lt;CondReturn,_xlfn.LOGNORM.INV(RAND(),MV2,Sigma1),IF(RAND()&lt;CondGood,_xlfn.LOGNORM.INV(RAND(),MV3,Sigma2),MIN(MaxMultiple,Xm/(1-RAND())^(1/Alpha)))))</f>
        <v>1.2303208544983995</v>
      </c>
      <c r="R141" s="19">
        <f ca="1">IF(RAND()&lt;P_Zero,0,IF(RAND()&lt;CondReturn,_xlfn.LOGNORM.INV(RAND(),MV2,Sigma1),IF(RAND()&lt;CondGood,_xlfn.LOGNORM.INV(RAND(),MV3,Sigma2),MIN(MaxMultiple,Xm/(1-RAND())^(1/Alpha)))))</f>
        <v>0.70505498530565724</v>
      </c>
      <c r="S141" s="19">
        <f ca="1">IF(RAND()&lt;P_Zero,0,IF(RAND()&lt;CondReturn,_xlfn.LOGNORM.INV(RAND(),MV2,Sigma1),IF(RAND()&lt;CondGood,_xlfn.LOGNORM.INV(RAND(),MV3,Sigma2),MIN(MaxMultiple,Xm/(1-RAND())^(1/Alpha)))))</f>
        <v>1.8161869981144849</v>
      </c>
      <c r="T141" s="19">
        <f ca="1">IF(RAND()&lt;P_Zero,0,IF(RAND()&lt;CondReturn,_xlfn.LOGNORM.INV(RAND(),MV2,Sigma1),IF(RAND()&lt;CondGood,_xlfn.LOGNORM.INV(RAND(),MV3,Sigma2),MIN(MaxMultiple,Xm/(1-RAND())^(1/Alpha)))))</f>
        <v>0</v>
      </c>
      <c r="U141" s="19">
        <f ca="1">IF(RAND()&lt;P_Zero,0,IF(RAND()&lt;CondReturn,_xlfn.LOGNORM.INV(RAND(),MV2,Sigma1),IF(RAND()&lt;CondGood,_xlfn.LOGNORM.INV(RAND(),MV3,Sigma2),MIN(MaxMultiple,Xm/(1-RAND())^(1/Alpha)))))</f>
        <v>0.33013648130111445</v>
      </c>
      <c r="V141" s="19">
        <f ca="1">IF(RAND()&lt;P_Zero,0,IF(RAND()&lt;CondReturn,_xlfn.LOGNORM.INV(RAND(),MV2,Sigma1),IF(RAND()&lt;CondGood,_xlfn.LOGNORM.INV(RAND(),MV3,Sigma2),MIN(MaxMultiple,Xm/(1-RAND())^(1/Alpha)))))</f>
        <v>0</v>
      </c>
      <c r="W141" s="19">
        <f ca="1">IF(RAND()&lt;P_Zero,0,IF(RAND()&lt;CondReturn,_xlfn.LOGNORM.INV(RAND(),MV2,Sigma1),IF(RAND()&lt;CondGood,_xlfn.LOGNORM.INV(RAND(),MV3,Sigma2),MIN(MaxMultiple,Xm/(1-RAND())^(1/Alpha)))))</f>
        <v>0</v>
      </c>
      <c r="X141" s="19">
        <f ca="1">IF(RAND()&lt;P_Zero,0,IF(RAND()&lt;CondReturn,_xlfn.LOGNORM.INV(RAND(),MV2,Sigma1),IF(RAND()&lt;CondGood,_xlfn.LOGNORM.INV(RAND(),MV3,Sigma2),MIN(MaxMultiple,Xm/(1-RAND())^(1/Alpha)))))</f>
        <v>0</v>
      </c>
      <c r="Y141" s="19">
        <f ca="1">IF(RAND()&lt;P_Zero,0,IF(RAND()&lt;CondReturn,_xlfn.LOGNORM.INV(RAND(),MV2,Sigma1),IF(RAND()&lt;CondGood,_xlfn.LOGNORM.INV(RAND(),MV3,Sigma2),MIN(MaxMultiple,Xm/(1-RAND())^(1/Alpha)))))</f>
        <v>0</v>
      </c>
      <c r="Z141" s="19">
        <f ca="1">IF(RAND()&lt;P_Zero,0,IF(RAND()&lt;CondReturn,_xlfn.LOGNORM.INV(RAND(),MV2,Sigma1),IF(RAND()&lt;CondGood,_xlfn.LOGNORM.INV(RAND(),MV3,Sigma2),MIN(MaxMultiple,Xm/(1-RAND())^(1/Alpha)))))</f>
        <v>0.48277831979557723</v>
      </c>
      <c r="AA141" s="19">
        <f ca="1">IF(RAND()&lt;P_Zero,0,IF(RAND()&lt;CondReturn,_xlfn.LOGNORM.INV(RAND(),MV2,Sigma1),IF(RAND()&lt;CondGood,_xlfn.LOGNORM.INV(RAND(),MV3,Sigma2),MIN(MaxMultiple,Xm/(1-RAND())^(1/Alpha)))))</f>
        <v>17.664823973207579</v>
      </c>
      <c r="AB141" s="19">
        <f t="shared" ca="1" si="16"/>
        <v>1.615180528768124</v>
      </c>
      <c r="AC141" s="14">
        <f t="shared" ca="1" si="17"/>
        <v>77528665.380869955</v>
      </c>
      <c r="AD141" s="14">
        <f t="shared" ca="1" si="18"/>
        <v>29528665.380869955</v>
      </c>
      <c r="AE141" s="14">
        <f t="shared" si="19"/>
        <v>55628399.869093813</v>
      </c>
      <c r="AF141" s="14">
        <f t="shared" ca="1" si="20"/>
        <v>0</v>
      </c>
      <c r="AG141" s="14">
        <f t="shared" ca="1" si="21"/>
        <v>0</v>
      </c>
      <c r="AH141" s="14">
        <f t="shared" ca="1" si="22"/>
        <v>77528665.380869955</v>
      </c>
      <c r="AI141" s="19">
        <f t="shared" ca="1" si="23"/>
        <v>1.2921444230144992</v>
      </c>
    </row>
    <row r="142" spans="2:35" x14ac:dyDescent="0.2">
      <c r="B142" s="1">
        <v>137</v>
      </c>
      <c r="C142" s="19">
        <f ca="1">IF(RAND()&lt;P_Zero,0,IF(RAND()&lt;CondReturn,_xlfn.LOGNORM.INV(RAND(),MV2,Sigma1),IF(RAND()&lt;CondGood,_xlfn.LOGNORM.INV(RAND(),MV3,Sigma2),MIN(MaxMultiple,Xm/(1-RAND())^(1/Alpha)))))</f>
        <v>0.49741570517232814</v>
      </c>
      <c r="D142" s="19">
        <f ca="1">IF(RAND()&lt;P_Zero,0,IF(RAND()&lt;CondReturn,_xlfn.LOGNORM.INV(RAND(),MV2,Sigma1),IF(RAND()&lt;CondGood,_xlfn.LOGNORM.INV(RAND(),MV3,Sigma2),MIN(MaxMultiple,Xm/(1-RAND())^(1/Alpha)))))</f>
        <v>0.81983586371573736</v>
      </c>
      <c r="E142" s="19">
        <f ca="1">IF(RAND()&lt;P_Zero,0,IF(RAND()&lt;CondReturn,_xlfn.LOGNORM.INV(RAND(),MV2,Sigma1),IF(RAND()&lt;CondGood,_xlfn.LOGNORM.INV(RAND(),MV3,Sigma2),MIN(MaxMultiple,Xm/(1-RAND())^(1/Alpha)))))</f>
        <v>11.151502361632247</v>
      </c>
      <c r="F142" s="19">
        <f ca="1">IF(RAND()&lt;P_Zero,0,IF(RAND()&lt;CondReturn,_xlfn.LOGNORM.INV(RAND(),MV2,Sigma1),IF(RAND()&lt;CondGood,_xlfn.LOGNORM.INV(RAND(),MV3,Sigma2),MIN(MaxMultiple,Xm/(1-RAND())^(1/Alpha)))))</f>
        <v>0</v>
      </c>
      <c r="G142" s="19">
        <f ca="1">IF(RAND()&lt;P_Zero,0,IF(RAND()&lt;CondReturn,_xlfn.LOGNORM.INV(RAND(),MV2,Sigma1),IF(RAND()&lt;CondGood,_xlfn.LOGNORM.INV(RAND(),MV3,Sigma2),MIN(MaxMultiple,Xm/(1-RAND())^(1/Alpha)))))</f>
        <v>0.53451558056708792</v>
      </c>
      <c r="H142" s="19">
        <f ca="1">IF(RAND()&lt;P_Zero,0,IF(RAND()&lt;CondReturn,_xlfn.LOGNORM.INV(RAND(),MV2,Sigma1),IF(RAND()&lt;CondGood,_xlfn.LOGNORM.INV(RAND(),MV3,Sigma2),MIN(MaxMultiple,Xm/(1-RAND())^(1/Alpha)))))</f>
        <v>0</v>
      </c>
      <c r="I142" s="19">
        <f ca="1">IF(RAND()&lt;P_Zero,0,IF(RAND()&lt;CondReturn,_xlfn.LOGNORM.INV(RAND(),MV2,Sigma1),IF(RAND()&lt;CondGood,_xlfn.LOGNORM.INV(RAND(),MV3,Sigma2),MIN(MaxMultiple,Xm/(1-RAND())^(1/Alpha)))))</f>
        <v>18.770685823820404</v>
      </c>
      <c r="J142" s="19">
        <f ca="1">IF(RAND()&lt;P_Zero,0,IF(RAND()&lt;CondReturn,_xlfn.LOGNORM.INV(RAND(),MV2,Sigma1),IF(RAND()&lt;CondGood,_xlfn.LOGNORM.INV(RAND(),MV3,Sigma2),MIN(MaxMultiple,Xm/(1-RAND())^(1/Alpha)))))</f>
        <v>0.70627748865322382</v>
      </c>
      <c r="K142" s="19">
        <f ca="1">IF(RAND()&lt;P_Zero,0,IF(RAND()&lt;CondReturn,_xlfn.LOGNORM.INV(RAND(),MV2,Sigma1),IF(RAND()&lt;CondGood,_xlfn.LOGNORM.INV(RAND(),MV3,Sigma2),MIN(MaxMultiple,Xm/(1-RAND())^(1/Alpha)))))</f>
        <v>1.6717224578457881</v>
      </c>
      <c r="L142" s="19">
        <f ca="1">IF(RAND()&lt;P_Zero,0,IF(RAND()&lt;CondReturn,_xlfn.LOGNORM.INV(RAND(),MV2,Sigma1),IF(RAND()&lt;CondGood,_xlfn.LOGNORM.INV(RAND(),MV3,Sigma2),MIN(MaxMultiple,Xm/(1-RAND())^(1/Alpha)))))</f>
        <v>0</v>
      </c>
      <c r="M142" s="19">
        <f ca="1">IF(RAND()&lt;P_Zero,0,IF(RAND()&lt;CondReturn,_xlfn.LOGNORM.INV(RAND(),MV2,Sigma1),IF(RAND()&lt;CondGood,_xlfn.LOGNORM.INV(RAND(),MV3,Sigma2),MIN(MaxMultiple,Xm/(1-RAND())^(1/Alpha)))))</f>
        <v>0</v>
      </c>
      <c r="N142" s="19">
        <f ca="1">IF(RAND()&lt;P_Zero,0,IF(RAND()&lt;CondReturn,_xlfn.LOGNORM.INV(RAND(),MV2,Sigma1),IF(RAND()&lt;CondGood,_xlfn.LOGNORM.INV(RAND(),MV3,Sigma2),MIN(MaxMultiple,Xm/(1-RAND())^(1/Alpha)))))</f>
        <v>0</v>
      </c>
      <c r="O142" s="19">
        <f ca="1">IF(RAND()&lt;P_Zero,0,IF(RAND()&lt;CondReturn,_xlfn.LOGNORM.INV(RAND(),MV2,Sigma1),IF(RAND()&lt;CondGood,_xlfn.LOGNORM.INV(RAND(),MV3,Sigma2),MIN(MaxMultiple,Xm/(1-RAND())^(1/Alpha)))))</f>
        <v>1.0067767852009968</v>
      </c>
      <c r="P142" s="19">
        <f ca="1">IF(RAND()&lt;P_Zero,0,IF(RAND()&lt;CondReturn,_xlfn.LOGNORM.INV(RAND(),MV2,Sigma1),IF(RAND()&lt;CondGood,_xlfn.LOGNORM.INV(RAND(),MV3,Sigma2),MIN(MaxMultiple,Xm/(1-RAND())^(1/Alpha)))))</f>
        <v>0</v>
      </c>
      <c r="Q142" s="19">
        <f ca="1">IF(RAND()&lt;P_Zero,0,IF(RAND()&lt;CondReturn,_xlfn.LOGNORM.INV(RAND(),MV2,Sigma1),IF(RAND()&lt;CondGood,_xlfn.LOGNORM.INV(RAND(),MV3,Sigma2),MIN(MaxMultiple,Xm/(1-RAND())^(1/Alpha)))))</f>
        <v>1.2734062664876187</v>
      </c>
      <c r="R142" s="19">
        <f ca="1">IF(RAND()&lt;P_Zero,0,IF(RAND()&lt;CondReturn,_xlfn.LOGNORM.INV(RAND(),MV2,Sigma1),IF(RAND()&lt;CondGood,_xlfn.LOGNORM.INV(RAND(),MV3,Sigma2),MIN(MaxMultiple,Xm/(1-RAND())^(1/Alpha)))))</f>
        <v>2.1233568008755186</v>
      </c>
      <c r="S142" s="19">
        <f ca="1">IF(RAND()&lt;P_Zero,0,IF(RAND()&lt;CondReturn,_xlfn.LOGNORM.INV(RAND(),MV2,Sigma1),IF(RAND()&lt;CondGood,_xlfn.LOGNORM.INV(RAND(),MV3,Sigma2),MIN(MaxMultiple,Xm/(1-RAND())^(1/Alpha)))))</f>
        <v>0.68485046719350051</v>
      </c>
      <c r="T142" s="19">
        <f ca="1">IF(RAND()&lt;P_Zero,0,IF(RAND()&lt;CondReturn,_xlfn.LOGNORM.INV(RAND(),MV2,Sigma1),IF(RAND()&lt;CondGood,_xlfn.LOGNORM.INV(RAND(),MV3,Sigma2),MIN(MaxMultiple,Xm/(1-RAND())^(1/Alpha)))))</f>
        <v>1.0812215219922339</v>
      </c>
      <c r="U142" s="19">
        <f ca="1">IF(RAND()&lt;P_Zero,0,IF(RAND()&lt;CondReturn,_xlfn.LOGNORM.INV(RAND(),MV2,Sigma1),IF(RAND()&lt;CondGood,_xlfn.LOGNORM.INV(RAND(),MV3,Sigma2),MIN(MaxMultiple,Xm/(1-RAND())^(1/Alpha)))))</f>
        <v>0</v>
      </c>
      <c r="V142" s="19">
        <f ca="1">IF(RAND()&lt;P_Zero,0,IF(RAND()&lt;CondReturn,_xlfn.LOGNORM.INV(RAND(),MV2,Sigma1),IF(RAND()&lt;CondGood,_xlfn.LOGNORM.INV(RAND(),MV3,Sigma2),MIN(MaxMultiple,Xm/(1-RAND())^(1/Alpha)))))</f>
        <v>0</v>
      </c>
      <c r="W142" s="19">
        <f ca="1">IF(RAND()&lt;P_Zero,0,IF(RAND()&lt;CondReturn,_xlfn.LOGNORM.INV(RAND(),MV2,Sigma1),IF(RAND()&lt;CondGood,_xlfn.LOGNORM.INV(RAND(),MV3,Sigma2),MIN(MaxMultiple,Xm/(1-RAND())^(1/Alpha)))))</f>
        <v>0</v>
      </c>
      <c r="X142" s="19">
        <f ca="1">IF(RAND()&lt;P_Zero,0,IF(RAND()&lt;CondReturn,_xlfn.LOGNORM.INV(RAND(),MV2,Sigma1),IF(RAND()&lt;CondGood,_xlfn.LOGNORM.INV(RAND(),MV3,Sigma2),MIN(MaxMultiple,Xm/(1-RAND())^(1/Alpha)))))</f>
        <v>1.4559024027544236</v>
      </c>
      <c r="Y142" s="19">
        <f ca="1">IF(RAND()&lt;P_Zero,0,IF(RAND()&lt;CondReturn,_xlfn.LOGNORM.INV(RAND(),MV2,Sigma1),IF(RAND()&lt;CondGood,_xlfn.LOGNORM.INV(RAND(),MV3,Sigma2),MIN(MaxMultiple,Xm/(1-RAND())^(1/Alpha)))))</f>
        <v>2.3703772988417025</v>
      </c>
      <c r="Z142" s="19">
        <f ca="1">IF(RAND()&lt;P_Zero,0,IF(RAND()&lt;CondReturn,_xlfn.LOGNORM.INV(RAND(),MV2,Sigma1),IF(RAND()&lt;CondGood,_xlfn.LOGNORM.INV(RAND(),MV3,Sigma2),MIN(MaxMultiple,Xm/(1-RAND())^(1/Alpha)))))</f>
        <v>0.86860883870468064</v>
      </c>
      <c r="AA142" s="19">
        <f ca="1">IF(RAND()&lt;P_Zero,0,IF(RAND()&lt;CondReturn,_xlfn.LOGNORM.INV(RAND(),MV2,Sigma1),IF(RAND()&lt;CondGood,_xlfn.LOGNORM.INV(RAND(),MV3,Sigma2),MIN(MaxMultiple,Xm/(1-RAND())^(1/Alpha)))))</f>
        <v>0</v>
      </c>
      <c r="AB142" s="19">
        <f t="shared" ca="1" si="16"/>
        <v>1.8006582265382998</v>
      </c>
      <c r="AC142" s="14">
        <f t="shared" ca="1" si="17"/>
        <v>86431594.873838395</v>
      </c>
      <c r="AD142" s="14">
        <f t="shared" ca="1" si="18"/>
        <v>38431594.873838395</v>
      </c>
      <c r="AE142" s="14">
        <f t="shared" si="19"/>
        <v>55628399.869093813</v>
      </c>
      <c r="AF142" s="14">
        <f t="shared" ca="1" si="20"/>
        <v>0</v>
      </c>
      <c r="AG142" s="14">
        <f t="shared" ca="1" si="21"/>
        <v>0</v>
      </c>
      <c r="AH142" s="14">
        <f t="shared" ca="1" si="22"/>
        <v>86431594.873838395</v>
      </c>
      <c r="AI142" s="19">
        <f t="shared" ca="1" si="23"/>
        <v>1.4405265812306398</v>
      </c>
    </row>
    <row r="143" spans="2:35" x14ac:dyDescent="0.2">
      <c r="B143" s="1">
        <v>138</v>
      </c>
      <c r="C143" s="19">
        <f ca="1">IF(RAND()&lt;P_Zero,0,IF(RAND()&lt;CondReturn,_xlfn.LOGNORM.INV(RAND(),MV2,Sigma1),IF(RAND()&lt;CondGood,_xlfn.LOGNORM.INV(RAND(),MV3,Sigma2),MIN(MaxMultiple,Xm/(1-RAND())^(1/Alpha)))))</f>
        <v>1.3909368968026701</v>
      </c>
      <c r="D143" s="19">
        <f ca="1">IF(RAND()&lt;P_Zero,0,IF(RAND()&lt;CondReturn,_xlfn.LOGNORM.INV(RAND(),MV2,Sigma1),IF(RAND()&lt;CondGood,_xlfn.LOGNORM.INV(RAND(),MV3,Sigma2),MIN(MaxMultiple,Xm/(1-RAND())^(1/Alpha)))))</f>
        <v>0</v>
      </c>
      <c r="E143" s="19">
        <f ca="1">IF(RAND()&lt;P_Zero,0,IF(RAND()&lt;CondReturn,_xlfn.LOGNORM.INV(RAND(),MV2,Sigma1),IF(RAND()&lt;CondGood,_xlfn.LOGNORM.INV(RAND(),MV3,Sigma2),MIN(MaxMultiple,Xm/(1-RAND())^(1/Alpha)))))</f>
        <v>0</v>
      </c>
      <c r="F143" s="19">
        <f ca="1">IF(RAND()&lt;P_Zero,0,IF(RAND()&lt;CondReturn,_xlfn.LOGNORM.INV(RAND(),MV2,Sigma1),IF(RAND()&lt;CondGood,_xlfn.LOGNORM.INV(RAND(),MV3,Sigma2),MIN(MaxMultiple,Xm/(1-RAND())^(1/Alpha)))))</f>
        <v>0.79716626494440646</v>
      </c>
      <c r="G143" s="19">
        <f ca="1">IF(RAND()&lt;P_Zero,0,IF(RAND()&lt;CondReturn,_xlfn.LOGNORM.INV(RAND(),MV2,Sigma1),IF(RAND()&lt;CondGood,_xlfn.LOGNORM.INV(RAND(),MV3,Sigma2),MIN(MaxMultiple,Xm/(1-RAND())^(1/Alpha)))))</f>
        <v>1.2286875584822203</v>
      </c>
      <c r="H143" s="19">
        <f ca="1">IF(RAND()&lt;P_Zero,0,IF(RAND()&lt;CondReturn,_xlfn.LOGNORM.INV(RAND(),MV2,Sigma1),IF(RAND()&lt;CondGood,_xlfn.LOGNORM.INV(RAND(),MV3,Sigma2),MIN(MaxMultiple,Xm/(1-RAND())^(1/Alpha)))))</f>
        <v>0.98388632488238381</v>
      </c>
      <c r="I143" s="19">
        <f ca="1">IF(RAND()&lt;P_Zero,0,IF(RAND()&lt;CondReturn,_xlfn.LOGNORM.INV(RAND(),MV2,Sigma1),IF(RAND()&lt;CondGood,_xlfn.LOGNORM.INV(RAND(),MV3,Sigma2),MIN(MaxMultiple,Xm/(1-RAND())^(1/Alpha)))))</f>
        <v>0</v>
      </c>
      <c r="J143" s="19">
        <f ca="1">IF(RAND()&lt;P_Zero,0,IF(RAND()&lt;CondReturn,_xlfn.LOGNORM.INV(RAND(),MV2,Sigma1),IF(RAND()&lt;CondGood,_xlfn.LOGNORM.INV(RAND(),MV3,Sigma2),MIN(MaxMultiple,Xm/(1-RAND())^(1/Alpha)))))</f>
        <v>12.471513912127227</v>
      </c>
      <c r="K143" s="19">
        <f ca="1">IF(RAND()&lt;P_Zero,0,IF(RAND()&lt;CondReturn,_xlfn.LOGNORM.INV(RAND(),MV2,Sigma1),IF(RAND()&lt;CondGood,_xlfn.LOGNORM.INV(RAND(),MV3,Sigma2),MIN(MaxMultiple,Xm/(1-RAND())^(1/Alpha)))))</f>
        <v>0.8982696287183578</v>
      </c>
      <c r="L143" s="19">
        <f ca="1">IF(RAND()&lt;P_Zero,0,IF(RAND()&lt;CondReturn,_xlfn.LOGNORM.INV(RAND(),MV2,Sigma1),IF(RAND()&lt;CondGood,_xlfn.LOGNORM.INV(RAND(),MV3,Sigma2),MIN(MaxMultiple,Xm/(1-RAND())^(1/Alpha)))))</f>
        <v>0.8791010913089512</v>
      </c>
      <c r="M143" s="19">
        <f ca="1">IF(RAND()&lt;P_Zero,0,IF(RAND()&lt;CondReturn,_xlfn.LOGNORM.INV(RAND(),MV2,Sigma1),IF(RAND()&lt;CondGood,_xlfn.LOGNORM.INV(RAND(),MV3,Sigma2),MIN(MaxMultiple,Xm/(1-RAND())^(1/Alpha)))))</f>
        <v>1.0800137838014996</v>
      </c>
      <c r="N143" s="19">
        <f ca="1">IF(RAND()&lt;P_Zero,0,IF(RAND()&lt;CondReturn,_xlfn.LOGNORM.INV(RAND(),MV2,Sigma1),IF(RAND()&lt;CondGood,_xlfn.LOGNORM.INV(RAND(),MV3,Sigma2),MIN(MaxMultiple,Xm/(1-RAND())^(1/Alpha)))))</f>
        <v>0.46926228761717731</v>
      </c>
      <c r="O143" s="19">
        <f ca="1">IF(RAND()&lt;P_Zero,0,IF(RAND()&lt;CondReturn,_xlfn.LOGNORM.INV(RAND(),MV2,Sigma1),IF(RAND()&lt;CondGood,_xlfn.LOGNORM.INV(RAND(),MV3,Sigma2),MIN(MaxMultiple,Xm/(1-RAND())^(1/Alpha)))))</f>
        <v>2.7470407470407778</v>
      </c>
      <c r="P143" s="19">
        <f ca="1">IF(RAND()&lt;P_Zero,0,IF(RAND()&lt;CondReturn,_xlfn.LOGNORM.INV(RAND(),MV2,Sigma1),IF(RAND()&lt;CondGood,_xlfn.LOGNORM.INV(RAND(),MV3,Sigma2),MIN(MaxMultiple,Xm/(1-RAND())^(1/Alpha)))))</f>
        <v>0</v>
      </c>
      <c r="Q143" s="19">
        <f ca="1">IF(RAND()&lt;P_Zero,0,IF(RAND()&lt;CondReturn,_xlfn.LOGNORM.INV(RAND(),MV2,Sigma1),IF(RAND()&lt;CondGood,_xlfn.LOGNORM.INV(RAND(),MV3,Sigma2),MIN(MaxMultiple,Xm/(1-RAND())^(1/Alpha)))))</f>
        <v>0</v>
      </c>
      <c r="R143" s="19">
        <f ca="1">IF(RAND()&lt;P_Zero,0,IF(RAND()&lt;CondReturn,_xlfn.LOGNORM.INV(RAND(),MV2,Sigma1),IF(RAND()&lt;CondGood,_xlfn.LOGNORM.INV(RAND(),MV3,Sigma2),MIN(MaxMultiple,Xm/(1-RAND())^(1/Alpha)))))</f>
        <v>0</v>
      </c>
      <c r="S143" s="19">
        <f ca="1">IF(RAND()&lt;P_Zero,0,IF(RAND()&lt;CondReturn,_xlfn.LOGNORM.INV(RAND(),MV2,Sigma1),IF(RAND()&lt;CondGood,_xlfn.LOGNORM.INV(RAND(),MV3,Sigma2),MIN(MaxMultiple,Xm/(1-RAND())^(1/Alpha)))))</f>
        <v>0.5152072656329485</v>
      </c>
      <c r="T143" s="19">
        <f ca="1">IF(RAND()&lt;P_Zero,0,IF(RAND()&lt;CondReturn,_xlfn.LOGNORM.INV(RAND(),MV2,Sigma1),IF(RAND()&lt;CondGood,_xlfn.LOGNORM.INV(RAND(),MV3,Sigma2),MIN(MaxMultiple,Xm/(1-RAND())^(1/Alpha)))))</f>
        <v>2.2075169038979627</v>
      </c>
      <c r="U143" s="19">
        <f ca="1">IF(RAND()&lt;P_Zero,0,IF(RAND()&lt;CondReturn,_xlfn.LOGNORM.INV(RAND(),MV2,Sigma1),IF(RAND()&lt;CondGood,_xlfn.LOGNORM.INV(RAND(),MV3,Sigma2),MIN(MaxMultiple,Xm/(1-RAND())^(1/Alpha)))))</f>
        <v>1.0786546740496472</v>
      </c>
      <c r="V143" s="19">
        <f ca="1">IF(RAND()&lt;P_Zero,0,IF(RAND()&lt;CondReturn,_xlfn.LOGNORM.INV(RAND(),MV2,Sigma1),IF(RAND()&lt;CondGood,_xlfn.LOGNORM.INV(RAND(),MV3,Sigma2),MIN(MaxMultiple,Xm/(1-RAND())^(1/Alpha)))))</f>
        <v>2.9618188060017201</v>
      </c>
      <c r="W143" s="19">
        <f ca="1">IF(RAND()&lt;P_Zero,0,IF(RAND()&lt;CondReturn,_xlfn.LOGNORM.INV(RAND(),MV2,Sigma1),IF(RAND()&lt;CondGood,_xlfn.LOGNORM.INV(RAND(),MV3,Sigma2),MIN(MaxMultiple,Xm/(1-RAND())^(1/Alpha)))))</f>
        <v>0.87936224666820118</v>
      </c>
      <c r="X143" s="19">
        <f ca="1">IF(RAND()&lt;P_Zero,0,IF(RAND()&lt;CondReturn,_xlfn.LOGNORM.INV(RAND(),MV2,Sigma1),IF(RAND()&lt;CondGood,_xlfn.LOGNORM.INV(RAND(),MV3,Sigma2),MIN(MaxMultiple,Xm/(1-RAND())^(1/Alpha)))))</f>
        <v>1.2454078902042502</v>
      </c>
      <c r="Y143" s="19">
        <f ca="1">IF(RAND()&lt;P_Zero,0,IF(RAND()&lt;CondReturn,_xlfn.LOGNORM.INV(RAND(),MV2,Sigma1),IF(RAND()&lt;CondGood,_xlfn.LOGNORM.INV(RAND(),MV3,Sigma2),MIN(MaxMultiple,Xm/(1-RAND())^(1/Alpha)))))</f>
        <v>0</v>
      </c>
      <c r="Z143" s="19">
        <f ca="1">IF(RAND()&lt;P_Zero,0,IF(RAND()&lt;CondReturn,_xlfn.LOGNORM.INV(RAND(),MV2,Sigma1),IF(RAND()&lt;CondGood,_xlfn.LOGNORM.INV(RAND(),MV3,Sigma2),MIN(MaxMultiple,Xm/(1-RAND())^(1/Alpha)))))</f>
        <v>0</v>
      </c>
      <c r="AA143" s="19">
        <f ca="1">IF(RAND()&lt;P_Zero,0,IF(RAND()&lt;CondReturn,_xlfn.LOGNORM.INV(RAND(),MV2,Sigma1),IF(RAND()&lt;CondGood,_xlfn.LOGNORM.INV(RAND(),MV3,Sigma2),MIN(MaxMultiple,Xm/(1-RAND())^(1/Alpha)))))</f>
        <v>0.87024328915485938</v>
      </c>
      <c r="AB143" s="19">
        <f t="shared" ca="1" si="16"/>
        <v>1.3081635828534104</v>
      </c>
      <c r="AC143" s="14">
        <f t="shared" ca="1" si="17"/>
        <v>62791851.976963699</v>
      </c>
      <c r="AD143" s="14">
        <f t="shared" ca="1" si="18"/>
        <v>14791851.976963699</v>
      </c>
      <c r="AE143" s="14">
        <f t="shared" si="19"/>
        <v>55628399.869093813</v>
      </c>
      <c r="AF143" s="14">
        <f t="shared" ca="1" si="20"/>
        <v>0</v>
      </c>
      <c r="AG143" s="14">
        <f t="shared" ca="1" si="21"/>
        <v>0</v>
      </c>
      <c r="AH143" s="14">
        <f t="shared" ca="1" si="22"/>
        <v>62791851.976963699</v>
      </c>
      <c r="AI143" s="19">
        <f t="shared" ca="1" si="23"/>
        <v>1.0465308662827284</v>
      </c>
    </row>
    <row r="144" spans="2:35" x14ac:dyDescent="0.2">
      <c r="B144" s="1">
        <v>139</v>
      </c>
      <c r="C144" s="19">
        <f ca="1">IF(RAND()&lt;P_Zero,0,IF(RAND()&lt;CondReturn,_xlfn.LOGNORM.INV(RAND(),MV2,Sigma1),IF(RAND()&lt;CondGood,_xlfn.LOGNORM.INV(RAND(),MV3,Sigma2),MIN(MaxMultiple,Xm/(1-RAND())^(1/Alpha)))))</f>
        <v>13.038955665930875</v>
      </c>
      <c r="D144" s="19">
        <f ca="1">IF(RAND()&lt;P_Zero,0,IF(RAND()&lt;CondReturn,_xlfn.LOGNORM.INV(RAND(),MV2,Sigma1),IF(RAND()&lt;CondGood,_xlfn.LOGNORM.INV(RAND(),MV3,Sigma2),MIN(MaxMultiple,Xm/(1-RAND())^(1/Alpha)))))</f>
        <v>0.30393709042010641</v>
      </c>
      <c r="E144" s="19">
        <f ca="1">IF(RAND()&lt;P_Zero,0,IF(RAND()&lt;CondReturn,_xlfn.LOGNORM.INV(RAND(),MV2,Sigma1),IF(RAND()&lt;CondGood,_xlfn.LOGNORM.INV(RAND(),MV3,Sigma2),MIN(MaxMultiple,Xm/(1-RAND())^(1/Alpha)))))</f>
        <v>0</v>
      </c>
      <c r="F144" s="19">
        <f ca="1">IF(RAND()&lt;P_Zero,0,IF(RAND()&lt;CondReturn,_xlfn.LOGNORM.INV(RAND(),MV2,Sigma1),IF(RAND()&lt;CondGood,_xlfn.LOGNORM.INV(RAND(),MV3,Sigma2),MIN(MaxMultiple,Xm/(1-RAND())^(1/Alpha)))))</f>
        <v>0.97499626469941381</v>
      </c>
      <c r="G144" s="19">
        <f ca="1">IF(RAND()&lt;P_Zero,0,IF(RAND()&lt;CondReturn,_xlfn.LOGNORM.INV(RAND(),MV2,Sigma1),IF(RAND()&lt;CondGood,_xlfn.LOGNORM.INV(RAND(),MV3,Sigma2),MIN(MaxMultiple,Xm/(1-RAND())^(1/Alpha)))))</f>
        <v>1.5211535523060533</v>
      </c>
      <c r="H144" s="19">
        <f ca="1">IF(RAND()&lt;P_Zero,0,IF(RAND()&lt;CondReturn,_xlfn.LOGNORM.INV(RAND(),MV2,Sigma1),IF(RAND()&lt;CondGood,_xlfn.LOGNORM.INV(RAND(),MV3,Sigma2),MIN(MaxMultiple,Xm/(1-RAND())^(1/Alpha)))))</f>
        <v>0.93470879823702746</v>
      </c>
      <c r="I144" s="19">
        <f ca="1">IF(RAND()&lt;P_Zero,0,IF(RAND()&lt;CondReturn,_xlfn.LOGNORM.INV(RAND(),MV2,Sigma1),IF(RAND()&lt;CondGood,_xlfn.LOGNORM.INV(RAND(),MV3,Sigma2),MIN(MaxMultiple,Xm/(1-RAND())^(1/Alpha)))))</f>
        <v>10.748971991974228</v>
      </c>
      <c r="J144" s="19">
        <f ca="1">IF(RAND()&lt;P_Zero,0,IF(RAND()&lt;CondReturn,_xlfn.LOGNORM.INV(RAND(),MV2,Sigma1),IF(RAND()&lt;CondGood,_xlfn.LOGNORM.INV(RAND(),MV3,Sigma2),MIN(MaxMultiple,Xm/(1-RAND())^(1/Alpha)))))</f>
        <v>1.1585575048869363</v>
      </c>
      <c r="K144" s="19">
        <f ca="1">IF(RAND()&lt;P_Zero,0,IF(RAND()&lt;CondReturn,_xlfn.LOGNORM.INV(RAND(),MV2,Sigma1),IF(RAND()&lt;CondGood,_xlfn.LOGNORM.INV(RAND(),MV3,Sigma2),MIN(MaxMultiple,Xm/(1-RAND())^(1/Alpha)))))</f>
        <v>0.67088379057568592</v>
      </c>
      <c r="L144" s="19">
        <f ca="1">IF(RAND()&lt;P_Zero,0,IF(RAND()&lt;CondReturn,_xlfn.LOGNORM.INV(RAND(),MV2,Sigma1),IF(RAND()&lt;CondGood,_xlfn.LOGNORM.INV(RAND(),MV3,Sigma2),MIN(MaxMultiple,Xm/(1-RAND())^(1/Alpha)))))</f>
        <v>2.0966618641719719</v>
      </c>
      <c r="M144" s="19">
        <f ca="1">IF(RAND()&lt;P_Zero,0,IF(RAND()&lt;CondReturn,_xlfn.LOGNORM.INV(RAND(),MV2,Sigma1),IF(RAND()&lt;CondGood,_xlfn.LOGNORM.INV(RAND(),MV3,Sigma2),MIN(MaxMultiple,Xm/(1-RAND())^(1/Alpha)))))</f>
        <v>0</v>
      </c>
      <c r="N144" s="19">
        <f ca="1">IF(RAND()&lt;P_Zero,0,IF(RAND()&lt;CondReturn,_xlfn.LOGNORM.INV(RAND(),MV2,Sigma1),IF(RAND()&lt;CondGood,_xlfn.LOGNORM.INV(RAND(),MV3,Sigma2),MIN(MaxMultiple,Xm/(1-RAND())^(1/Alpha)))))</f>
        <v>0</v>
      </c>
      <c r="O144" s="19">
        <f ca="1">IF(RAND()&lt;P_Zero,0,IF(RAND()&lt;CondReturn,_xlfn.LOGNORM.INV(RAND(),MV2,Sigma1),IF(RAND()&lt;CondGood,_xlfn.LOGNORM.INV(RAND(),MV3,Sigma2),MIN(MaxMultiple,Xm/(1-RAND())^(1/Alpha)))))</f>
        <v>0</v>
      </c>
      <c r="P144" s="19">
        <f ca="1">IF(RAND()&lt;P_Zero,0,IF(RAND()&lt;CondReturn,_xlfn.LOGNORM.INV(RAND(),MV2,Sigma1),IF(RAND()&lt;CondGood,_xlfn.LOGNORM.INV(RAND(),MV3,Sigma2),MIN(MaxMultiple,Xm/(1-RAND())^(1/Alpha)))))</f>
        <v>0</v>
      </c>
      <c r="Q144" s="19">
        <f ca="1">IF(RAND()&lt;P_Zero,0,IF(RAND()&lt;CondReturn,_xlfn.LOGNORM.INV(RAND(),MV2,Sigma1),IF(RAND()&lt;CondGood,_xlfn.LOGNORM.INV(RAND(),MV3,Sigma2),MIN(MaxMultiple,Xm/(1-RAND())^(1/Alpha)))))</f>
        <v>0.58709601837835856</v>
      </c>
      <c r="R144" s="19">
        <f ca="1">IF(RAND()&lt;P_Zero,0,IF(RAND()&lt;CondReturn,_xlfn.LOGNORM.INV(RAND(),MV2,Sigma1),IF(RAND()&lt;CondGood,_xlfn.LOGNORM.INV(RAND(),MV3,Sigma2),MIN(MaxMultiple,Xm/(1-RAND())^(1/Alpha)))))</f>
        <v>0</v>
      </c>
      <c r="S144" s="19">
        <f ca="1">IF(RAND()&lt;P_Zero,0,IF(RAND()&lt;CondReturn,_xlfn.LOGNORM.INV(RAND(),MV2,Sigma1),IF(RAND()&lt;CondGood,_xlfn.LOGNORM.INV(RAND(),MV3,Sigma2),MIN(MaxMultiple,Xm/(1-RAND())^(1/Alpha)))))</f>
        <v>0</v>
      </c>
      <c r="T144" s="19">
        <f ca="1">IF(RAND()&lt;P_Zero,0,IF(RAND()&lt;CondReturn,_xlfn.LOGNORM.INV(RAND(),MV2,Sigma1),IF(RAND()&lt;CondGood,_xlfn.LOGNORM.INV(RAND(),MV3,Sigma2),MIN(MaxMultiple,Xm/(1-RAND())^(1/Alpha)))))</f>
        <v>2.1008534906246186</v>
      </c>
      <c r="U144" s="19">
        <f ca="1">IF(RAND()&lt;P_Zero,0,IF(RAND()&lt;CondReturn,_xlfn.LOGNORM.INV(RAND(),MV2,Sigma1),IF(RAND()&lt;CondGood,_xlfn.LOGNORM.INV(RAND(),MV3,Sigma2),MIN(MaxMultiple,Xm/(1-RAND())^(1/Alpha)))))</f>
        <v>0</v>
      </c>
      <c r="V144" s="19">
        <f ca="1">IF(RAND()&lt;P_Zero,0,IF(RAND()&lt;CondReturn,_xlfn.LOGNORM.INV(RAND(),MV2,Sigma1),IF(RAND()&lt;CondGood,_xlfn.LOGNORM.INV(RAND(),MV3,Sigma2),MIN(MaxMultiple,Xm/(1-RAND())^(1/Alpha)))))</f>
        <v>0.52768840493632996</v>
      </c>
      <c r="W144" s="19">
        <f ca="1">IF(RAND()&lt;P_Zero,0,IF(RAND()&lt;CondReturn,_xlfn.LOGNORM.INV(RAND(),MV2,Sigma1),IF(RAND()&lt;CondGood,_xlfn.LOGNORM.INV(RAND(),MV3,Sigma2),MIN(MaxMultiple,Xm/(1-RAND())^(1/Alpha)))))</f>
        <v>0.88771420494945696</v>
      </c>
      <c r="X144" s="19">
        <f ca="1">IF(RAND()&lt;P_Zero,0,IF(RAND()&lt;CondReturn,_xlfn.LOGNORM.INV(RAND(),MV2,Sigma1),IF(RAND()&lt;CondGood,_xlfn.LOGNORM.INV(RAND(),MV3,Sigma2),MIN(MaxMultiple,Xm/(1-RAND())^(1/Alpha)))))</f>
        <v>0.43706987251717727</v>
      </c>
      <c r="Y144" s="19">
        <f ca="1">IF(RAND()&lt;P_Zero,0,IF(RAND()&lt;CondReturn,_xlfn.LOGNORM.INV(RAND(),MV2,Sigma1),IF(RAND()&lt;CondGood,_xlfn.LOGNORM.INV(RAND(),MV3,Sigma2),MIN(MaxMultiple,Xm/(1-RAND())^(1/Alpha)))))</f>
        <v>0.9808054343782896</v>
      </c>
      <c r="Z144" s="19">
        <f ca="1">IF(RAND()&lt;P_Zero,0,IF(RAND()&lt;CondReturn,_xlfn.LOGNORM.INV(RAND(),MV2,Sigma1),IF(RAND()&lt;CondGood,_xlfn.LOGNORM.INV(RAND(),MV3,Sigma2),MIN(MaxMultiple,Xm/(1-RAND())^(1/Alpha)))))</f>
        <v>0</v>
      </c>
      <c r="AA144" s="19">
        <f ca="1">IF(RAND()&lt;P_Zero,0,IF(RAND()&lt;CondReturn,_xlfn.LOGNORM.INV(RAND(),MV2,Sigma1),IF(RAND()&lt;CondGood,_xlfn.LOGNORM.INV(RAND(),MV3,Sigma2),MIN(MaxMultiple,Xm/(1-RAND())^(1/Alpha)))))</f>
        <v>0.67982500065096674</v>
      </c>
      <c r="AB144" s="19">
        <f t="shared" ca="1" si="16"/>
        <v>1.5059951579854995</v>
      </c>
      <c r="AC144" s="14">
        <f t="shared" ca="1" si="17"/>
        <v>72287767.583303973</v>
      </c>
      <c r="AD144" s="14">
        <f t="shared" ca="1" si="18"/>
        <v>24287767.583303973</v>
      </c>
      <c r="AE144" s="14">
        <f t="shared" si="19"/>
        <v>55628399.869093813</v>
      </c>
      <c r="AF144" s="14">
        <f t="shared" ca="1" si="20"/>
        <v>0</v>
      </c>
      <c r="AG144" s="14">
        <f t="shared" ca="1" si="21"/>
        <v>0</v>
      </c>
      <c r="AH144" s="14">
        <f t="shared" ca="1" si="22"/>
        <v>72287767.583303973</v>
      </c>
      <c r="AI144" s="19">
        <f t="shared" ca="1" si="23"/>
        <v>1.2047961263883995</v>
      </c>
    </row>
    <row r="145" spans="2:35" x14ac:dyDescent="0.2">
      <c r="B145" s="1">
        <v>140</v>
      </c>
      <c r="C145" s="19">
        <f ca="1">IF(RAND()&lt;P_Zero,0,IF(RAND()&lt;CondReturn,_xlfn.LOGNORM.INV(RAND(),MV2,Sigma1),IF(RAND()&lt;CondGood,_xlfn.LOGNORM.INV(RAND(),MV3,Sigma2),MIN(MaxMultiple,Xm/(1-RAND())^(1/Alpha)))))</f>
        <v>1.7398471599140162</v>
      </c>
      <c r="D145" s="19">
        <f ca="1">IF(RAND()&lt;P_Zero,0,IF(RAND()&lt;CondReturn,_xlfn.LOGNORM.INV(RAND(),MV2,Sigma1),IF(RAND()&lt;CondGood,_xlfn.LOGNORM.INV(RAND(),MV3,Sigma2),MIN(MaxMultiple,Xm/(1-RAND())^(1/Alpha)))))</f>
        <v>0.41797857322986365</v>
      </c>
      <c r="E145" s="19">
        <f ca="1">IF(RAND()&lt;P_Zero,0,IF(RAND()&lt;CondReturn,_xlfn.LOGNORM.INV(RAND(),MV2,Sigma1),IF(RAND()&lt;CondGood,_xlfn.LOGNORM.INV(RAND(),MV3,Sigma2),MIN(MaxMultiple,Xm/(1-RAND())^(1/Alpha)))))</f>
        <v>0.74536009034956152</v>
      </c>
      <c r="F145" s="19">
        <f ca="1">IF(RAND()&lt;P_Zero,0,IF(RAND()&lt;CondReturn,_xlfn.LOGNORM.INV(RAND(),MV2,Sigma1),IF(RAND()&lt;CondGood,_xlfn.LOGNORM.INV(RAND(),MV3,Sigma2),MIN(MaxMultiple,Xm/(1-RAND())^(1/Alpha)))))</f>
        <v>0</v>
      </c>
      <c r="G145" s="19">
        <f ca="1">IF(RAND()&lt;P_Zero,0,IF(RAND()&lt;CondReturn,_xlfn.LOGNORM.INV(RAND(),MV2,Sigma1),IF(RAND()&lt;CondGood,_xlfn.LOGNORM.INV(RAND(),MV3,Sigma2),MIN(MaxMultiple,Xm/(1-RAND())^(1/Alpha)))))</f>
        <v>2.896817699441566</v>
      </c>
      <c r="H145" s="19">
        <f ca="1">IF(RAND()&lt;P_Zero,0,IF(RAND()&lt;CondReturn,_xlfn.LOGNORM.INV(RAND(),MV2,Sigma1),IF(RAND()&lt;CondGood,_xlfn.LOGNORM.INV(RAND(),MV3,Sigma2),MIN(MaxMultiple,Xm/(1-RAND())^(1/Alpha)))))</f>
        <v>0.5612254254959248</v>
      </c>
      <c r="I145" s="19">
        <f ca="1">IF(RAND()&lt;P_Zero,0,IF(RAND()&lt;CondReturn,_xlfn.LOGNORM.INV(RAND(),MV2,Sigma1),IF(RAND()&lt;CondGood,_xlfn.LOGNORM.INV(RAND(),MV3,Sigma2),MIN(MaxMultiple,Xm/(1-RAND())^(1/Alpha)))))</f>
        <v>58.031984588470266</v>
      </c>
      <c r="J145" s="19">
        <f ca="1">IF(RAND()&lt;P_Zero,0,IF(RAND()&lt;CondReturn,_xlfn.LOGNORM.INV(RAND(),MV2,Sigma1),IF(RAND()&lt;CondGood,_xlfn.LOGNORM.INV(RAND(),MV3,Sigma2),MIN(MaxMultiple,Xm/(1-RAND())^(1/Alpha)))))</f>
        <v>0.48937474889275862</v>
      </c>
      <c r="K145" s="19">
        <f ca="1">IF(RAND()&lt;P_Zero,0,IF(RAND()&lt;CondReturn,_xlfn.LOGNORM.INV(RAND(),MV2,Sigma1),IF(RAND()&lt;CondGood,_xlfn.LOGNORM.INV(RAND(),MV3,Sigma2),MIN(MaxMultiple,Xm/(1-RAND())^(1/Alpha)))))</f>
        <v>1.0127808418627049</v>
      </c>
      <c r="L145" s="19">
        <f ca="1">IF(RAND()&lt;P_Zero,0,IF(RAND()&lt;CondReturn,_xlfn.LOGNORM.INV(RAND(),MV2,Sigma1),IF(RAND()&lt;CondGood,_xlfn.LOGNORM.INV(RAND(),MV3,Sigma2),MIN(MaxMultiple,Xm/(1-RAND())^(1/Alpha)))))</f>
        <v>0.59556762284347142</v>
      </c>
      <c r="M145" s="19">
        <f ca="1">IF(RAND()&lt;P_Zero,0,IF(RAND()&lt;CondReturn,_xlfn.LOGNORM.INV(RAND(),MV2,Sigma1),IF(RAND()&lt;CondGood,_xlfn.LOGNORM.INV(RAND(),MV3,Sigma2),MIN(MaxMultiple,Xm/(1-RAND())^(1/Alpha)))))</f>
        <v>31.202807653076626</v>
      </c>
      <c r="N145" s="19">
        <f ca="1">IF(RAND()&lt;P_Zero,0,IF(RAND()&lt;CondReturn,_xlfn.LOGNORM.INV(RAND(),MV2,Sigma1),IF(RAND()&lt;CondGood,_xlfn.LOGNORM.INV(RAND(),MV3,Sigma2),MIN(MaxMultiple,Xm/(1-RAND())^(1/Alpha)))))</f>
        <v>11.060516846441478</v>
      </c>
      <c r="O145" s="19">
        <f ca="1">IF(RAND()&lt;P_Zero,0,IF(RAND()&lt;CondReturn,_xlfn.LOGNORM.INV(RAND(),MV2,Sigma1),IF(RAND()&lt;CondGood,_xlfn.LOGNORM.INV(RAND(),MV3,Sigma2),MIN(MaxMultiple,Xm/(1-RAND())^(1/Alpha)))))</f>
        <v>1.3236666071886765</v>
      </c>
      <c r="P145" s="19">
        <f ca="1">IF(RAND()&lt;P_Zero,0,IF(RAND()&lt;CondReturn,_xlfn.LOGNORM.INV(RAND(),MV2,Sigma1),IF(RAND()&lt;CondGood,_xlfn.LOGNORM.INV(RAND(),MV3,Sigma2),MIN(MaxMultiple,Xm/(1-RAND())^(1/Alpha)))))</f>
        <v>0</v>
      </c>
      <c r="Q145" s="19">
        <f ca="1">IF(RAND()&lt;P_Zero,0,IF(RAND()&lt;CondReturn,_xlfn.LOGNORM.INV(RAND(),MV2,Sigma1),IF(RAND()&lt;CondGood,_xlfn.LOGNORM.INV(RAND(),MV3,Sigma2),MIN(MaxMultiple,Xm/(1-RAND())^(1/Alpha)))))</f>
        <v>0</v>
      </c>
      <c r="R145" s="19">
        <f ca="1">IF(RAND()&lt;P_Zero,0,IF(RAND()&lt;CondReturn,_xlfn.LOGNORM.INV(RAND(),MV2,Sigma1),IF(RAND()&lt;CondGood,_xlfn.LOGNORM.INV(RAND(),MV3,Sigma2),MIN(MaxMultiple,Xm/(1-RAND())^(1/Alpha)))))</f>
        <v>0.71223949329913594</v>
      </c>
      <c r="S145" s="19">
        <f ca="1">IF(RAND()&lt;P_Zero,0,IF(RAND()&lt;CondReturn,_xlfn.LOGNORM.INV(RAND(),MV2,Sigma1),IF(RAND()&lt;CondGood,_xlfn.LOGNORM.INV(RAND(),MV3,Sigma2),MIN(MaxMultiple,Xm/(1-RAND())^(1/Alpha)))))</f>
        <v>0</v>
      </c>
      <c r="T145" s="19">
        <f ca="1">IF(RAND()&lt;P_Zero,0,IF(RAND()&lt;CondReturn,_xlfn.LOGNORM.INV(RAND(),MV2,Sigma1),IF(RAND()&lt;CondGood,_xlfn.LOGNORM.INV(RAND(),MV3,Sigma2),MIN(MaxMultiple,Xm/(1-RAND())^(1/Alpha)))))</f>
        <v>0.8226190001114646</v>
      </c>
      <c r="U145" s="19">
        <f ca="1">IF(RAND()&lt;P_Zero,0,IF(RAND()&lt;CondReturn,_xlfn.LOGNORM.INV(RAND(),MV2,Sigma1),IF(RAND()&lt;CondGood,_xlfn.LOGNORM.INV(RAND(),MV3,Sigma2),MIN(MaxMultiple,Xm/(1-RAND())^(1/Alpha)))))</f>
        <v>0.64103766137535434</v>
      </c>
      <c r="V145" s="19">
        <f ca="1">IF(RAND()&lt;P_Zero,0,IF(RAND()&lt;CondReturn,_xlfn.LOGNORM.INV(RAND(),MV2,Sigma1),IF(RAND()&lt;CondGood,_xlfn.LOGNORM.INV(RAND(),MV3,Sigma2),MIN(MaxMultiple,Xm/(1-RAND())^(1/Alpha)))))</f>
        <v>0</v>
      </c>
      <c r="W145" s="19">
        <f ca="1">IF(RAND()&lt;P_Zero,0,IF(RAND()&lt;CondReturn,_xlfn.LOGNORM.INV(RAND(),MV2,Sigma1),IF(RAND()&lt;CondGood,_xlfn.LOGNORM.INV(RAND(),MV3,Sigma2),MIN(MaxMultiple,Xm/(1-RAND())^(1/Alpha)))))</f>
        <v>1.2028493078975426</v>
      </c>
      <c r="X145" s="19">
        <f ca="1">IF(RAND()&lt;P_Zero,0,IF(RAND()&lt;CondReturn,_xlfn.LOGNORM.INV(RAND(),MV2,Sigma1),IF(RAND()&lt;CondGood,_xlfn.LOGNORM.INV(RAND(),MV3,Sigma2),MIN(MaxMultiple,Xm/(1-RAND())^(1/Alpha)))))</f>
        <v>0.69414809751766648</v>
      </c>
      <c r="Y145" s="19">
        <f ca="1">IF(RAND()&lt;P_Zero,0,IF(RAND()&lt;CondReturn,_xlfn.LOGNORM.INV(RAND(),MV2,Sigma1),IF(RAND()&lt;CondGood,_xlfn.LOGNORM.INV(RAND(),MV3,Sigma2),MIN(MaxMultiple,Xm/(1-RAND())^(1/Alpha)))))</f>
        <v>1.8487457724253922</v>
      </c>
      <c r="Z145" s="19">
        <f ca="1">IF(RAND()&lt;P_Zero,0,IF(RAND()&lt;CondReturn,_xlfn.LOGNORM.INV(RAND(),MV2,Sigma1),IF(RAND()&lt;CondGood,_xlfn.LOGNORM.INV(RAND(),MV3,Sigma2),MIN(MaxMultiple,Xm/(1-RAND())^(1/Alpha)))))</f>
        <v>0</v>
      </c>
      <c r="AA145" s="19">
        <f ca="1">IF(RAND()&lt;P_Zero,0,IF(RAND()&lt;CondReturn,_xlfn.LOGNORM.INV(RAND(),MV2,Sigma1),IF(RAND()&lt;CondGood,_xlfn.LOGNORM.INV(RAND(),MV3,Sigma2),MIN(MaxMultiple,Xm/(1-RAND())^(1/Alpha)))))</f>
        <v>0.75158049853668074</v>
      </c>
      <c r="AB145" s="19">
        <f t="shared" ca="1" si="16"/>
        <v>4.6700459075348055</v>
      </c>
      <c r="AC145" s="14">
        <f t="shared" ca="1" si="17"/>
        <v>224162203.56167066</v>
      </c>
      <c r="AD145" s="14">
        <f t="shared" ca="1" si="18"/>
        <v>176162203.56167066</v>
      </c>
      <c r="AE145" s="14">
        <f t="shared" si="19"/>
        <v>55628399.869093813</v>
      </c>
      <c r="AF145" s="14">
        <f t="shared" ca="1" si="20"/>
        <v>120533803.69257686</v>
      </c>
      <c r="AG145" s="14">
        <f t="shared" ca="1" si="21"/>
        <v>24106760.738515373</v>
      </c>
      <c r="AH145" s="14">
        <f t="shared" ca="1" si="22"/>
        <v>200055442.82315528</v>
      </c>
      <c r="AI145" s="19">
        <f t="shared" ca="1" si="23"/>
        <v>3.3342573803859215</v>
      </c>
    </row>
    <row r="146" spans="2:35" x14ac:dyDescent="0.2">
      <c r="B146" s="1">
        <v>141</v>
      </c>
      <c r="C146" s="19">
        <f ca="1">IF(RAND()&lt;P_Zero,0,IF(RAND()&lt;CondReturn,_xlfn.LOGNORM.INV(RAND(),MV2,Sigma1),IF(RAND()&lt;CondGood,_xlfn.LOGNORM.INV(RAND(),MV3,Sigma2),MIN(MaxMultiple,Xm/(1-RAND())^(1/Alpha)))))</f>
        <v>0</v>
      </c>
      <c r="D146" s="19">
        <f ca="1">IF(RAND()&lt;P_Zero,0,IF(RAND()&lt;CondReturn,_xlfn.LOGNORM.INV(RAND(),MV2,Sigma1),IF(RAND()&lt;CondGood,_xlfn.LOGNORM.INV(RAND(),MV3,Sigma2),MIN(MaxMultiple,Xm/(1-RAND())^(1/Alpha)))))</f>
        <v>1.2043222802194971</v>
      </c>
      <c r="E146" s="19">
        <f ca="1">IF(RAND()&lt;P_Zero,0,IF(RAND()&lt;CondReturn,_xlfn.LOGNORM.INV(RAND(),MV2,Sigma1),IF(RAND()&lt;CondGood,_xlfn.LOGNORM.INV(RAND(),MV3,Sigma2),MIN(MaxMultiple,Xm/(1-RAND())^(1/Alpha)))))</f>
        <v>0</v>
      </c>
      <c r="F146" s="19">
        <f ca="1">IF(RAND()&lt;P_Zero,0,IF(RAND()&lt;CondReturn,_xlfn.LOGNORM.INV(RAND(),MV2,Sigma1),IF(RAND()&lt;CondGood,_xlfn.LOGNORM.INV(RAND(),MV3,Sigma2),MIN(MaxMultiple,Xm/(1-RAND())^(1/Alpha)))))</f>
        <v>0</v>
      </c>
      <c r="G146" s="19">
        <f ca="1">IF(RAND()&lt;P_Zero,0,IF(RAND()&lt;CondReturn,_xlfn.LOGNORM.INV(RAND(),MV2,Sigma1),IF(RAND()&lt;CondGood,_xlfn.LOGNORM.INV(RAND(),MV3,Sigma2),MIN(MaxMultiple,Xm/(1-RAND())^(1/Alpha)))))</f>
        <v>0</v>
      </c>
      <c r="H146" s="19">
        <f ca="1">IF(RAND()&lt;P_Zero,0,IF(RAND()&lt;CondReturn,_xlfn.LOGNORM.INV(RAND(),MV2,Sigma1),IF(RAND()&lt;CondGood,_xlfn.LOGNORM.INV(RAND(),MV3,Sigma2),MIN(MaxMultiple,Xm/(1-RAND())^(1/Alpha)))))</f>
        <v>1.2843296865131786</v>
      </c>
      <c r="I146" s="19">
        <f ca="1">IF(RAND()&lt;P_Zero,0,IF(RAND()&lt;CondReturn,_xlfn.LOGNORM.INV(RAND(),MV2,Sigma1),IF(RAND()&lt;CondGood,_xlfn.LOGNORM.INV(RAND(),MV3,Sigma2),MIN(MaxMultiple,Xm/(1-RAND())^(1/Alpha)))))</f>
        <v>0</v>
      </c>
      <c r="J146" s="19">
        <f ca="1">IF(RAND()&lt;P_Zero,0,IF(RAND()&lt;CondReturn,_xlfn.LOGNORM.INV(RAND(),MV2,Sigma1),IF(RAND()&lt;CondGood,_xlfn.LOGNORM.INV(RAND(),MV3,Sigma2),MIN(MaxMultiple,Xm/(1-RAND())^(1/Alpha)))))</f>
        <v>0</v>
      </c>
      <c r="K146" s="19">
        <f ca="1">IF(RAND()&lt;P_Zero,0,IF(RAND()&lt;CondReturn,_xlfn.LOGNORM.INV(RAND(),MV2,Sigma1),IF(RAND()&lt;CondGood,_xlfn.LOGNORM.INV(RAND(),MV3,Sigma2),MIN(MaxMultiple,Xm/(1-RAND())^(1/Alpha)))))</f>
        <v>0.68520651795163146</v>
      </c>
      <c r="L146" s="19">
        <f ca="1">IF(RAND()&lt;P_Zero,0,IF(RAND()&lt;CondReturn,_xlfn.LOGNORM.INV(RAND(),MV2,Sigma1),IF(RAND()&lt;CondGood,_xlfn.LOGNORM.INV(RAND(),MV3,Sigma2),MIN(MaxMultiple,Xm/(1-RAND())^(1/Alpha)))))</f>
        <v>70.237474449224635</v>
      </c>
      <c r="M146" s="19">
        <f ca="1">IF(RAND()&lt;P_Zero,0,IF(RAND()&lt;CondReturn,_xlfn.LOGNORM.INV(RAND(),MV2,Sigma1),IF(RAND()&lt;CondGood,_xlfn.LOGNORM.INV(RAND(),MV3,Sigma2),MIN(MaxMultiple,Xm/(1-RAND())^(1/Alpha)))))</f>
        <v>0</v>
      </c>
      <c r="N146" s="19">
        <f ca="1">IF(RAND()&lt;P_Zero,0,IF(RAND()&lt;CondReturn,_xlfn.LOGNORM.INV(RAND(),MV2,Sigma1),IF(RAND()&lt;CondGood,_xlfn.LOGNORM.INV(RAND(),MV3,Sigma2),MIN(MaxMultiple,Xm/(1-RAND())^(1/Alpha)))))</f>
        <v>1.3540463459759875</v>
      </c>
      <c r="O146" s="19">
        <f ca="1">IF(RAND()&lt;P_Zero,0,IF(RAND()&lt;CondReturn,_xlfn.LOGNORM.INV(RAND(),MV2,Sigma1),IF(RAND()&lt;CondGood,_xlfn.LOGNORM.INV(RAND(),MV3,Sigma2),MIN(MaxMultiple,Xm/(1-RAND())^(1/Alpha)))))</f>
        <v>1.8634553615716594</v>
      </c>
      <c r="P146" s="19">
        <f ca="1">IF(RAND()&lt;P_Zero,0,IF(RAND()&lt;CondReturn,_xlfn.LOGNORM.INV(RAND(),MV2,Sigma1),IF(RAND()&lt;CondGood,_xlfn.LOGNORM.INV(RAND(),MV3,Sigma2),MIN(MaxMultiple,Xm/(1-RAND())^(1/Alpha)))))</f>
        <v>0</v>
      </c>
      <c r="Q146" s="19">
        <f ca="1">IF(RAND()&lt;P_Zero,0,IF(RAND()&lt;CondReturn,_xlfn.LOGNORM.INV(RAND(),MV2,Sigma1),IF(RAND()&lt;CondGood,_xlfn.LOGNORM.INV(RAND(),MV3,Sigma2),MIN(MaxMultiple,Xm/(1-RAND())^(1/Alpha)))))</f>
        <v>0.83414903533571416</v>
      </c>
      <c r="R146" s="19">
        <f ca="1">IF(RAND()&lt;P_Zero,0,IF(RAND()&lt;CondReturn,_xlfn.LOGNORM.INV(RAND(),MV2,Sigma1),IF(RAND()&lt;CondGood,_xlfn.LOGNORM.INV(RAND(),MV3,Sigma2),MIN(MaxMultiple,Xm/(1-RAND())^(1/Alpha)))))</f>
        <v>0</v>
      </c>
      <c r="S146" s="19">
        <f ca="1">IF(RAND()&lt;P_Zero,0,IF(RAND()&lt;CondReturn,_xlfn.LOGNORM.INV(RAND(),MV2,Sigma1),IF(RAND()&lt;CondGood,_xlfn.LOGNORM.INV(RAND(),MV3,Sigma2),MIN(MaxMultiple,Xm/(1-RAND())^(1/Alpha)))))</f>
        <v>0</v>
      </c>
      <c r="T146" s="19">
        <f ca="1">IF(RAND()&lt;P_Zero,0,IF(RAND()&lt;CondReturn,_xlfn.LOGNORM.INV(RAND(),MV2,Sigma1),IF(RAND()&lt;CondGood,_xlfn.LOGNORM.INV(RAND(),MV3,Sigma2),MIN(MaxMultiple,Xm/(1-RAND())^(1/Alpha)))))</f>
        <v>0.48565011404976277</v>
      </c>
      <c r="U146" s="19">
        <f ca="1">IF(RAND()&lt;P_Zero,0,IF(RAND()&lt;CondReturn,_xlfn.LOGNORM.INV(RAND(),MV2,Sigma1),IF(RAND()&lt;CondGood,_xlfn.LOGNORM.INV(RAND(),MV3,Sigma2),MIN(MaxMultiple,Xm/(1-RAND())^(1/Alpha)))))</f>
        <v>1.6244508993283282</v>
      </c>
      <c r="V146" s="19">
        <f ca="1">IF(RAND()&lt;P_Zero,0,IF(RAND()&lt;CondReturn,_xlfn.LOGNORM.INV(RAND(),MV2,Sigma1),IF(RAND()&lt;CondGood,_xlfn.LOGNORM.INV(RAND(),MV3,Sigma2),MIN(MaxMultiple,Xm/(1-RAND())^(1/Alpha)))))</f>
        <v>0.93778834191240468</v>
      </c>
      <c r="W146" s="19">
        <f ca="1">IF(RAND()&lt;P_Zero,0,IF(RAND()&lt;CondReturn,_xlfn.LOGNORM.INV(RAND(),MV2,Sigma1),IF(RAND()&lt;CondGood,_xlfn.LOGNORM.INV(RAND(),MV3,Sigma2),MIN(MaxMultiple,Xm/(1-RAND())^(1/Alpha)))))</f>
        <v>0</v>
      </c>
      <c r="X146" s="19">
        <f ca="1">IF(RAND()&lt;P_Zero,0,IF(RAND()&lt;CondReturn,_xlfn.LOGNORM.INV(RAND(),MV2,Sigma1),IF(RAND()&lt;CondGood,_xlfn.LOGNORM.INV(RAND(),MV3,Sigma2),MIN(MaxMultiple,Xm/(1-RAND())^(1/Alpha)))))</f>
        <v>0</v>
      </c>
      <c r="Y146" s="19">
        <f ca="1">IF(RAND()&lt;P_Zero,0,IF(RAND()&lt;CondReturn,_xlfn.LOGNORM.INV(RAND(),MV2,Sigma1),IF(RAND()&lt;CondGood,_xlfn.LOGNORM.INV(RAND(),MV3,Sigma2),MIN(MaxMultiple,Xm/(1-RAND())^(1/Alpha)))))</f>
        <v>0</v>
      </c>
      <c r="Z146" s="19">
        <f ca="1">IF(RAND()&lt;P_Zero,0,IF(RAND()&lt;CondReturn,_xlfn.LOGNORM.INV(RAND(),MV2,Sigma1),IF(RAND()&lt;CondGood,_xlfn.LOGNORM.INV(RAND(),MV3,Sigma2),MIN(MaxMultiple,Xm/(1-RAND())^(1/Alpha)))))</f>
        <v>0.95944730550113722</v>
      </c>
      <c r="AA146" s="19">
        <f ca="1">IF(RAND()&lt;P_Zero,0,IF(RAND()&lt;CondReturn,_xlfn.LOGNORM.INV(RAND(),MV2,Sigma1),IF(RAND()&lt;CondGood,_xlfn.LOGNORM.INV(RAND(),MV3,Sigma2),MIN(MaxMultiple,Xm/(1-RAND())^(1/Alpha)))))</f>
        <v>0.55272239120868083</v>
      </c>
      <c r="AB146" s="19">
        <f t="shared" ca="1" si="16"/>
        <v>3.2809217091517042</v>
      </c>
      <c r="AC146" s="14">
        <f t="shared" ca="1" si="17"/>
        <v>157484242.03928182</v>
      </c>
      <c r="AD146" s="14">
        <f t="shared" ca="1" si="18"/>
        <v>109484242.03928182</v>
      </c>
      <c r="AE146" s="14">
        <f t="shared" si="19"/>
        <v>55628399.869093813</v>
      </c>
      <c r="AF146" s="14">
        <f t="shared" ca="1" si="20"/>
        <v>53855842.170188002</v>
      </c>
      <c r="AG146" s="14">
        <f t="shared" ca="1" si="21"/>
        <v>10771168.434037602</v>
      </c>
      <c r="AH146" s="14">
        <f t="shared" ca="1" si="22"/>
        <v>146713073.60524422</v>
      </c>
      <c r="AI146" s="19">
        <f t="shared" ca="1" si="23"/>
        <v>2.4452178934207369</v>
      </c>
    </row>
    <row r="147" spans="2:35" x14ac:dyDescent="0.2">
      <c r="B147" s="1">
        <v>142</v>
      </c>
      <c r="C147" s="19">
        <f ca="1">IF(RAND()&lt;P_Zero,0,IF(RAND()&lt;CondReturn,_xlfn.LOGNORM.INV(RAND(),MV2,Sigma1),IF(RAND()&lt;CondGood,_xlfn.LOGNORM.INV(RAND(),MV3,Sigma2),MIN(MaxMultiple,Xm/(1-RAND())^(1/Alpha)))))</f>
        <v>0</v>
      </c>
      <c r="D147" s="19">
        <f ca="1">IF(RAND()&lt;P_Zero,0,IF(RAND()&lt;CondReturn,_xlfn.LOGNORM.INV(RAND(),MV2,Sigma1),IF(RAND()&lt;CondGood,_xlfn.LOGNORM.INV(RAND(),MV3,Sigma2),MIN(MaxMultiple,Xm/(1-RAND())^(1/Alpha)))))</f>
        <v>1.0585743162331707</v>
      </c>
      <c r="E147" s="19">
        <f ca="1">IF(RAND()&lt;P_Zero,0,IF(RAND()&lt;CondReturn,_xlfn.LOGNORM.INV(RAND(),MV2,Sigma1),IF(RAND()&lt;CondGood,_xlfn.LOGNORM.INV(RAND(),MV3,Sigma2),MIN(MaxMultiple,Xm/(1-RAND())^(1/Alpha)))))</f>
        <v>0.53754313958507083</v>
      </c>
      <c r="F147" s="19">
        <f ca="1">IF(RAND()&lt;P_Zero,0,IF(RAND()&lt;CondReturn,_xlfn.LOGNORM.INV(RAND(),MV2,Sigma1),IF(RAND()&lt;CondGood,_xlfn.LOGNORM.INV(RAND(),MV3,Sigma2),MIN(MaxMultiple,Xm/(1-RAND())^(1/Alpha)))))</f>
        <v>0</v>
      </c>
      <c r="G147" s="19">
        <f ca="1">IF(RAND()&lt;P_Zero,0,IF(RAND()&lt;CondReturn,_xlfn.LOGNORM.INV(RAND(),MV2,Sigma1),IF(RAND()&lt;CondGood,_xlfn.LOGNORM.INV(RAND(),MV3,Sigma2),MIN(MaxMultiple,Xm/(1-RAND())^(1/Alpha)))))</f>
        <v>1.0103534426265606</v>
      </c>
      <c r="H147" s="19">
        <f ca="1">IF(RAND()&lt;P_Zero,0,IF(RAND()&lt;CondReturn,_xlfn.LOGNORM.INV(RAND(),MV2,Sigma1),IF(RAND()&lt;CondGood,_xlfn.LOGNORM.INV(RAND(),MV3,Sigma2),MIN(MaxMultiple,Xm/(1-RAND())^(1/Alpha)))))</f>
        <v>0</v>
      </c>
      <c r="I147" s="19">
        <f ca="1">IF(RAND()&lt;P_Zero,0,IF(RAND()&lt;CondReturn,_xlfn.LOGNORM.INV(RAND(),MV2,Sigma1),IF(RAND()&lt;CondGood,_xlfn.LOGNORM.INV(RAND(),MV3,Sigma2),MIN(MaxMultiple,Xm/(1-RAND())^(1/Alpha)))))</f>
        <v>0</v>
      </c>
      <c r="J147" s="19">
        <f ca="1">IF(RAND()&lt;P_Zero,0,IF(RAND()&lt;CondReturn,_xlfn.LOGNORM.INV(RAND(),MV2,Sigma1),IF(RAND()&lt;CondGood,_xlfn.LOGNORM.INV(RAND(),MV3,Sigma2),MIN(MaxMultiple,Xm/(1-RAND())^(1/Alpha)))))</f>
        <v>0</v>
      </c>
      <c r="K147" s="19">
        <f ca="1">IF(RAND()&lt;P_Zero,0,IF(RAND()&lt;CondReturn,_xlfn.LOGNORM.INV(RAND(),MV2,Sigma1),IF(RAND()&lt;CondGood,_xlfn.LOGNORM.INV(RAND(),MV3,Sigma2),MIN(MaxMultiple,Xm/(1-RAND())^(1/Alpha)))))</f>
        <v>1.007986966573527</v>
      </c>
      <c r="L147" s="19">
        <f ca="1">IF(RAND()&lt;P_Zero,0,IF(RAND()&lt;CondReturn,_xlfn.LOGNORM.INV(RAND(),MV2,Sigma1),IF(RAND()&lt;CondGood,_xlfn.LOGNORM.INV(RAND(),MV3,Sigma2),MIN(MaxMultiple,Xm/(1-RAND())^(1/Alpha)))))</f>
        <v>0</v>
      </c>
      <c r="M147" s="19">
        <f ca="1">IF(RAND()&lt;P_Zero,0,IF(RAND()&lt;CondReturn,_xlfn.LOGNORM.INV(RAND(),MV2,Sigma1),IF(RAND()&lt;CondGood,_xlfn.LOGNORM.INV(RAND(),MV3,Sigma2),MIN(MaxMultiple,Xm/(1-RAND())^(1/Alpha)))))</f>
        <v>169.98864290455171</v>
      </c>
      <c r="N147" s="19">
        <f ca="1">IF(RAND()&lt;P_Zero,0,IF(RAND()&lt;CondReturn,_xlfn.LOGNORM.INV(RAND(),MV2,Sigma1),IF(RAND()&lt;CondGood,_xlfn.LOGNORM.INV(RAND(),MV3,Sigma2),MIN(MaxMultiple,Xm/(1-RAND())^(1/Alpha)))))</f>
        <v>0</v>
      </c>
      <c r="O147" s="19">
        <f ca="1">IF(RAND()&lt;P_Zero,0,IF(RAND()&lt;CondReturn,_xlfn.LOGNORM.INV(RAND(),MV2,Sigma1),IF(RAND()&lt;CondGood,_xlfn.LOGNORM.INV(RAND(),MV3,Sigma2),MIN(MaxMultiple,Xm/(1-RAND())^(1/Alpha)))))</f>
        <v>0</v>
      </c>
      <c r="P147" s="19">
        <f ca="1">IF(RAND()&lt;P_Zero,0,IF(RAND()&lt;CondReturn,_xlfn.LOGNORM.INV(RAND(),MV2,Sigma1),IF(RAND()&lt;CondGood,_xlfn.LOGNORM.INV(RAND(),MV3,Sigma2),MIN(MaxMultiple,Xm/(1-RAND())^(1/Alpha)))))</f>
        <v>3.0608042254532597</v>
      </c>
      <c r="Q147" s="19">
        <f ca="1">IF(RAND()&lt;P_Zero,0,IF(RAND()&lt;CondReturn,_xlfn.LOGNORM.INV(RAND(),MV2,Sigma1),IF(RAND()&lt;CondGood,_xlfn.LOGNORM.INV(RAND(),MV3,Sigma2),MIN(MaxMultiple,Xm/(1-RAND())^(1/Alpha)))))</f>
        <v>2.3164127548200368</v>
      </c>
      <c r="R147" s="19">
        <f ca="1">IF(RAND()&lt;P_Zero,0,IF(RAND()&lt;CondReturn,_xlfn.LOGNORM.INV(RAND(),MV2,Sigma1),IF(RAND()&lt;CondGood,_xlfn.LOGNORM.INV(RAND(),MV3,Sigma2),MIN(MaxMultiple,Xm/(1-RAND())^(1/Alpha)))))</f>
        <v>0.84607890586386814</v>
      </c>
      <c r="S147" s="19">
        <f ca="1">IF(RAND()&lt;P_Zero,0,IF(RAND()&lt;CondReturn,_xlfn.LOGNORM.INV(RAND(),MV2,Sigma1),IF(RAND()&lt;CondGood,_xlfn.LOGNORM.INV(RAND(),MV3,Sigma2),MIN(MaxMultiple,Xm/(1-RAND())^(1/Alpha)))))</f>
        <v>1.739372825485572</v>
      </c>
      <c r="T147" s="19">
        <f ca="1">IF(RAND()&lt;P_Zero,0,IF(RAND()&lt;CondReturn,_xlfn.LOGNORM.INV(RAND(),MV2,Sigma1),IF(RAND()&lt;CondGood,_xlfn.LOGNORM.INV(RAND(),MV3,Sigma2),MIN(MaxMultiple,Xm/(1-RAND())^(1/Alpha)))))</f>
        <v>0</v>
      </c>
      <c r="U147" s="19">
        <f ca="1">IF(RAND()&lt;P_Zero,0,IF(RAND()&lt;CondReturn,_xlfn.LOGNORM.INV(RAND(),MV2,Sigma1),IF(RAND()&lt;CondGood,_xlfn.LOGNORM.INV(RAND(),MV3,Sigma2),MIN(MaxMultiple,Xm/(1-RAND())^(1/Alpha)))))</f>
        <v>0</v>
      </c>
      <c r="V147" s="19">
        <f ca="1">IF(RAND()&lt;P_Zero,0,IF(RAND()&lt;CondReturn,_xlfn.LOGNORM.INV(RAND(),MV2,Sigma1),IF(RAND()&lt;CondGood,_xlfn.LOGNORM.INV(RAND(),MV3,Sigma2),MIN(MaxMultiple,Xm/(1-RAND())^(1/Alpha)))))</f>
        <v>1.1603719304288544</v>
      </c>
      <c r="W147" s="19">
        <f ca="1">IF(RAND()&lt;P_Zero,0,IF(RAND()&lt;CondReturn,_xlfn.LOGNORM.INV(RAND(),MV2,Sigma1),IF(RAND()&lt;CondGood,_xlfn.LOGNORM.INV(RAND(),MV3,Sigma2),MIN(MaxMultiple,Xm/(1-RAND())^(1/Alpha)))))</f>
        <v>0</v>
      </c>
      <c r="X147" s="19">
        <f ca="1">IF(RAND()&lt;P_Zero,0,IF(RAND()&lt;CondReturn,_xlfn.LOGNORM.INV(RAND(),MV2,Sigma1),IF(RAND()&lt;CondGood,_xlfn.LOGNORM.INV(RAND(),MV3,Sigma2),MIN(MaxMultiple,Xm/(1-RAND())^(1/Alpha)))))</f>
        <v>0</v>
      </c>
      <c r="Y147" s="19">
        <f ca="1">IF(RAND()&lt;P_Zero,0,IF(RAND()&lt;CondReturn,_xlfn.LOGNORM.INV(RAND(),MV2,Sigma1),IF(RAND()&lt;CondGood,_xlfn.LOGNORM.INV(RAND(),MV3,Sigma2),MIN(MaxMultiple,Xm/(1-RAND())^(1/Alpha)))))</f>
        <v>0</v>
      </c>
      <c r="Z147" s="19">
        <f ca="1">IF(RAND()&lt;P_Zero,0,IF(RAND()&lt;CondReturn,_xlfn.LOGNORM.INV(RAND(),MV2,Sigma1),IF(RAND()&lt;CondGood,_xlfn.LOGNORM.INV(RAND(),MV3,Sigma2),MIN(MaxMultiple,Xm/(1-RAND())^(1/Alpha)))))</f>
        <v>0</v>
      </c>
      <c r="AA147" s="19">
        <f ca="1">IF(RAND()&lt;P_Zero,0,IF(RAND()&lt;CondReturn,_xlfn.LOGNORM.INV(RAND(),MV2,Sigma1),IF(RAND()&lt;CondGood,_xlfn.LOGNORM.INV(RAND(),MV3,Sigma2),MIN(MaxMultiple,Xm/(1-RAND())^(1/Alpha)))))</f>
        <v>0.97175692721166729</v>
      </c>
      <c r="AB147" s="19">
        <f t="shared" ca="1" si="16"/>
        <v>7.3479159335533311</v>
      </c>
      <c r="AC147" s="14">
        <f t="shared" ca="1" si="17"/>
        <v>352699964.81055987</v>
      </c>
      <c r="AD147" s="14">
        <f t="shared" ca="1" si="18"/>
        <v>304699964.81055987</v>
      </c>
      <c r="AE147" s="14">
        <f t="shared" si="19"/>
        <v>55628399.869093813</v>
      </c>
      <c r="AF147" s="14">
        <f t="shared" ca="1" si="20"/>
        <v>249071564.94146606</v>
      </c>
      <c r="AG147" s="14">
        <f t="shared" ca="1" si="21"/>
        <v>49814312.988293216</v>
      </c>
      <c r="AH147" s="14">
        <f t="shared" ca="1" si="22"/>
        <v>302885651.82226664</v>
      </c>
      <c r="AI147" s="19">
        <f t="shared" ca="1" si="23"/>
        <v>5.0480941970377771</v>
      </c>
    </row>
    <row r="148" spans="2:35" x14ac:dyDescent="0.2">
      <c r="B148" s="1">
        <v>143</v>
      </c>
      <c r="C148" s="19">
        <f ca="1">IF(RAND()&lt;P_Zero,0,IF(RAND()&lt;CondReturn,_xlfn.LOGNORM.INV(RAND(),MV2,Sigma1),IF(RAND()&lt;CondGood,_xlfn.LOGNORM.INV(RAND(),MV3,Sigma2),MIN(MaxMultiple,Xm/(1-RAND())^(1/Alpha)))))</f>
        <v>0.80148455743890212</v>
      </c>
      <c r="D148" s="19">
        <f ca="1">IF(RAND()&lt;P_Zero,0,IF(RAND()&lt;CondReturn,_xlfn.LOGNORM.INV(RAND(),MV2,Sigma1),IF(RAND()&lt;CondGood,_xlfn.LOGNORM.INV(RAND(),MV3,Sigma2),MIN(MaxMultiple,Xm/(1-RAND())^(1/Alpha)))))</f>
        <v>15.854338328730716</v>
      </c>
      <c r="E148" s="19">
        <f ca="1">IF(RAND()&lt;P_Zero,0,IF(RAND()&lt;CondReturn,_xlfn.LOGNORM.INV(RAND(),MV2,Sigma1),IF(RAND()&lt;CondGood,_xlfn.LOGNORM.INV(RAND(),MV3,Sigma2),MIN(MaxMultiple,Xm/(1-RAND())^(1/Alpha)))))</f>
        <v>1.4572319443603576</v>
      </c>
      <c r="F148" s="19">
        <f ca="1">IF(RAND()&lt;P_Zero,0,IF(RAND()&lt;CondReturn,_xlfn.LOGNORM.INV(RAND(),MV2,Sigma1),IF(RAND()&lt;CondGood,_xlfn.LOGNORM.INV(RAND(),MV3,Sigma2),MIN(MaxMultiple,Xm/(1-RAND())^(1/Alpha)))))</f>
        <v>1.7445784945738332</v>
      </c>
      <c r="G148" s="19">
        <f ca="1">IF(RAND()&lt;P_Zero,0,IF(RAND()&lt;CondReturn,_xlfn.LOGNORM.INV(RAND(),MV2,Sigma1),IF(RAND()&lt;CondGood,_xlfn.LOGNORM.INV(RAND(),MV3,Sigma2),MIN(MaxMultiple,Xm/(1-RAND())^(1/Alpha)))))</f>
        <v>0</v>
      </c>
      <c r="H148" s="19">
        <f ca="1">IF(RAND()&lt;P_Zero,0,IF(RAND()&lt;CondReturn,_xlfn.LOGNORM.INV(RAND(),MV2,Sigma1),IF(RAND()&lt;CondGood,_xlfn.LOGNORM.INV(RAND(),MV3,Sigma2),MIN(MaxMultiple,Xm/(1-RAND())^(1/Alpha)))))</f>
        <v>37.961463876791498</v>
      </c>
      <c r="I148" s="19">
        <f ca="1">IF(RAND()&lt;P_Zero,0,IF(RAND()&lt;CondReturn,_xlfn.LOGNORM.INV(RAND(),MV2,Sigma1),IF(RAND()&lt;CondGood,_xlfn.LOGNORM.INV(RAND(),MV3,Sigma2),MIN(MaxMultiple,Xm/(1-RAND())^(1/Alpha)))))</f>
        <v>0</v>
      </c>
      <c r="J148" s="19">
        <f ca="1">IF(RAND()&lt;P_Zero,0,IF(RAND()&lt;CondReturn,_xlfn.LOGNORM.INV(RAND(),MV2,Sigma1),IF(RAND()&lt;CondGood,_xlfn.LOGNORM.INV(RAND(),MV3,Sigma2),MIN(MaxMultiple,Xm/(1-RAND())^(1/Alpha)))))</f>
        <v>0.8361689369280163</v>
      </c>
      <c r="K148" s="19">
        <f ca="1">IF(RAND()&lt;P_Zero,0,IF(RAND()&lt;CondReturn,_xlfn.LOGNORM.INV(RAND(),MV2,Sigma1),IF(RAND()&lt;CondGood,_xlfn.LOGNORM.INV(RAND(),MV3,Sigma2),MIN(MaxMultiple,Xm/(1-RAND())^(1/Alpha)))))</f>
        <v>0</v>
      </c>
      <c r="L148" s="19">
        <f ca="1">IF(RAND()&lt;P_Zero,0,IF(RAND()&lt;CondReturn,_xlfn.LOGNORM.INV(RAND(),MV2,Sigma1),IF(RAND()&lt;CondGood,_xlfn.LOGNORM.INV(RAND(),MV3,Sigma2),MIN(MaxMultiple,Xm/(1-RAND())^(1/Alpha)))))</f>
        <v>0.95698774060134628</v>
      </c>
      <c r="M148" s="19">
        <f ca="1">IF(RAND()&lt;P_Zero,0,IF(RAND()&lt;CondReturn,_xlfn.LOGNORM.INV(RAND(),MV2,Sigma1),IF(RAND()&lt;CondGood,_xlfn.LOGNORM.INV(RAND(),MV3,Sigma2),MIN(MaxMultiple,Xm/(1-RAND())^(1/Alpha)))))</f>
        <v>1.3078803347941195</v>
      </c>
      <c r="N148" s="19">
        <f ca="1">IF(RAND()&lt;P_Zero,0,IF(RAND()&lt;CondReturn,_xlfn.LOGNORM.INV(RAND(),MV2,Sigma1),IF(RAND()&lt;CondGood,_xlfn.LOGNORM.INV(RAND(),MV3,Sigma2),MIN(MaxMultiple,Xm/(1-RAND())^(1/Alpha)))))</f>
        <v>122.13624464385816</v>
      </c>
      <c r="O148" s="19">
        <f ca="1">IF(RAND()&lt;P_Zero,0,IF(RAND()&lt;CondReturn,_xlfn.LOGNORM.INV(RAND(),MV2,Sigma1),IF(RAND()&lt;CondGood,_xlfn.LOGNORM.INV(RAND(),MV3,Sigma2),MIN(MaxMultiple,Xm/(1-RAND())^(1/Alpha)))))</f>
        <v>0</v>
      </c>
      <c r="P148" s="19">
        <f ca="1">IF(RAND()&lt;P_Zero,0,IF(RAND()&lt;CondReturn,_xlfn.LOGNORM.INV(RAND(),MV2,Sigma1),IF(RAND()&lt;CondGood,_xlfn.LOGNORM.INV(RAND(),MV3,Sigma2),MIN(MaxMultiple,Xm/(1-RAND())^(1/Alpha)))))</f>
        <v>0</v>
      </c>
      <c r="Q148" s="19">
        <f ca="1">IF(RAND()&lt;P_Zero,0,IF(RAND()&lt;CondReturn,_xlfn.LOGNORM.INV(RAND(),MV2,Sigma1),IF(RAND()&lt;CondGood,_xlfn.LOGNORM.INV(RAND(),MV3,Sigma2),MIN(MaxMultiple,Xm/(1-RAND())^(1/Alpha)))))</f>
        <v>1.2397788700174341</v>
      </c>
      <c r="R148" s="19">
        <f ca="1">IF(RAND()&lt;P_Zero,0,IF(RAND()&lt;CondReturn,_xlfn.LOGNORM.INV(RAND(),MV2,Sigma1),IF(RAND()&lt;CondGood,_xlfn.LOGNORM.INV(RAND(),MV3,Sigma2),MIN(MaxMultiple,Xm/(1-RAND())^(1/Alpha)))))</f>
        <v>0</v>
      </c>
      <c r="S148" s="19">
        <f ca="1">IF(RAND()&lt;P_Zero,0,IF(RAND()&lt;CondReturn,_xlfn.LOGNORM.INV(RAND(),MV2,Sigma1),IF(RAND()&lt;CondGood,_xlfn.LOGNORM.INV(RAND(),MV3,Sigma2),MIN(MaxMultiple,Xm/(1-RAND())^(1/Alpha)))))</f>
        <v>0</v>
      </c>
      <c r="T148" s="19">
        <f ca="1">IF(RAND()&lt;P_Zero,0,IF(RAND()&lt;CondReturn,_xlfn.LOGNORM.INV(RAND(),MV2,Sigma1),IF(RAND()&lt;CondGood,_xlfn.LOGNORM.INV(RAND(),MV3,Sigma2),MIN(MaxMultiple,Xm/(1-RAND())^(1/Alpha)))))</f>
        <v>0.4102953602489337</v>
      </c>
      <c r="U148" s="19">
        <f ca="1">IF(RAND()&lt;P_Zero,0,IF(RAND()&lt;CondReturn,_xlfn.LOGNORM.INV(RAND(),MV2,Sigma1),IF(RAND()&lt;CondGood,_xlfn.LOGNORM.INV(RAND(),MV3,Sigma2),MIN(MaxMultiple,Xm/(1-RAND())^(1/Alpha)))))</f>
        <v>0</v>
      </c>
      <c r="V148" s="19">
        <f ca="1">IF(RAND()&lt;P_Zero,0,IF(RAND()&lt;CondReturn,_xlfn.LOGNORM.INV(RAND(),MV2,Sigma1),IF(RAND()&lt;CondGood,_xlfn.LOGNORM.INV(RAND(),MV3,Sigma2),MIN(MaxMultiple,Xm/(1-RAND())^(1/Alpha)))))</f>
        <v>0.54466377532008126</v>
      </c>
      <c r="W148" s="19">
        <f ca="1">IF(RAND()&lt;P_Zero,0,IF(RAND()&lt;CondReturn,_xlfn.LOGNORM.INV(RAND(),MV2,Sigma1),IF(RAND()&lt;CondGood,_xlfn.LOGNORM.INV(RAND(),MV3,Sigma2),MIN(MaxMultiple,Xm/(1-RAND())^(1/Alpha)))))</f>
        <v>0.7623567420917563</v>
      </c>
      <c r="X148" s="19">
        <f ca="1">IF(RAND()&lt;P_Zero,0,IF(RAND()&lt;CondReturn,_xlfn.LOGNORM.INV(RAND(),MV2,Sigma1),IF(RAND()&lt;CondGood,_xlfn.LOGNORM.INV(RAND(),MV3,Sigma2),MIN(MaxMultiple,Xm/(1-RAND())^(1/Alpha)))))</f>
        <v>1.1508850869040765</v>
      </c>
      <c r="Y148" s="19">
        <f ca="1">IF(RAND()&lt;P_Zero,0,IF(RAND()&lt;CondReturn,_xlfn.LOGNORM.INV(RAND(),MV2,Sigma1),IF(RAND()&lt;CondGood,_xlfn.LOGNORM.INV(RAND(),MV3,Sigma2),MIN(MaxMultiple,Xm/(1-RAND())^(1/Alpha)))))</f>
        <v>0</v>
      </c>
      <c r="Z148" s="19">
        <f ca="1">IF(RAND()&lt;P_Zero,0,IF(RAND()&lt;CondReturn,_xlfn.LOGNORM.INV(RAND(),MV2,Sigma1),IF(RAND()&lt;CondGood,_xlfn.LOGNORM.INV(RAND(),MV3,Sigma2),MIN(MaxMultiple,Xm/(1-RAND())^(1/Alpha)))))</f>
        <v>0</v>
      </c>
      <c r="AA148" s="19">
        <f ca="1">IF(RAND()&lt;P_Zero,0,IF(RAND()&lt;CondReturn,_xlfn.LOGNORM.INV(RAND(),MV2,Sigma1),IF(RAND()&lt;CondGood,_xlfn.LOGNORM.INV(RAND(),MV3,Sigma2),MIN(MaxMultiple,Xm/(1-RAND())^(1/Alpha)))))</f>
        <v>0</v>
      </c>
      <c r="AB148" s="19">
        <f t="shared" ca="1" si="16"/>
        <v>7.4865743477063695</v>
      </c>
      <c r="AC148" s="14">
        <f t="shared" ca="1" si="17"/>
        <v>359355568.68990576</v>
      </c>
      <c r="AD148" s="14">
        <f t="shared" ca="1" si="18"/>
        <v>311355568.68990576</v>
      </c>
      <c r="AE148" s="14">
        <f t="shared" si="19"/>
        <v>55628399.869093813</v>
      </c>
      <c r="AF148" s="14">
        <f t="shared" ca="1" si="20"/>
        <v>255727168.82081196</v>
      </c>
      <c r="AG148" s="14">
        <f t="shared" ca="1" si="21"/>
        <v>51145433.764162391</v>
      </c>
      <c r="AH148" s="14">
        <f t="shared" ca="1" si="22"/>
        <v>308210134.92574334</v>
      </c>
      <c r="AI148" s="19">
        <f t="shared" ca="1" si="23"/>
        <v>5.1368355820957223</v>
      </c>
    </row>
    <row r="149" spans="2:35" x14ac:dyDescent="0.2">
      <c r="B149" s="1">
        <v>144</v>
      </c>
      <c r="C149" s="19">
        <f ca="1">IF(RAND()&lt;P_Zero,0,IF(RAND()&lt;CondReturn,_xlfn.LOGNORM.INV(RAND(),MV2,Sigma1),IF(RAND()&lt;CondGood,_xlfn.LOGNORM.INV(RAND(),MV3,Sigma2),MIN(MaxMultiple,Xm/(1-RAND())^(1/Alpha)))))</f>
        <v>0</v>
      </c>
      <c r="D149" s="19">
        <f ca="1">IF(RAND()&lt;P_Zero,0,IF(RAND()&lt;CondReturn,_xlfn.LOGNORM.INV(RAND(),MV2,Sigma1),IF(RAND()&lt;CondGood,_xlfn.LOGNORM.INV(RAND(),MV3,Sigma2),MIN(MaxMultiple,Xm/(1-RAND())^(1/Alpha)))))</f>
        <v>0</v>
      </c>
      <c r="E149" s="19">
        <f ca="1">IF(RAND()&lt;P_Zero,0,IF(RAND()&lt;CondReturn,_xlfn.LOGNORM.INV(RAND(),MV2,Sigma1),IF(RAND()&lt;CondGood,_xlfn.LOGNORM.INV(RAND(),MV3,Sigma2),MIN(MaxMultiple,Xm/(1-RAND())^(1/Alpha)))))</f>
        <v>0</v>
      </c>
      <c r="F149" s="19">
        <f ca="1">IF(RAND()&lt;P_Zero,0,IF(RAND()&lt;CondReturn,_xlfn.LOGNORM.INV(RAND(),MV2,Sigma1),IF(RAND()&lt;CondGood,_xlfn.LOGNORM.INV(RAND(),MV3,Sigma2),MIN(MaxMultiple,Xm/(1-RAND())^(1/Alpha)))))</f>
        <v>1.1697823569260597</v>
      </c>
      <c r="G149" s="19">
        <f ca="1">IF(RAND()&lt;P_Zero,0,IF(RAND()&lt;CondReturn,_xlfn.LOGNORM.INV(RAND(),MV2,Sigma1),IF(RAND()&lt;CondGood,_xlfn.LOGNORM.INV(RAND(),MV3,Sigma2),MIN(MaxMultiple,Xm/(1-RAND())^(1/Alpha)))))</f>
        <v>0</v>
      </c>
      <c r="H149" s="19">
        <f ca="1">IF(RAND()&lt;P_Zero,0,IF(RAND()&lt;CondReturn,_xlfn.LOGNORM.INV(RAND(),MV2,Sigma1),IF(RAND()&lt;CondGood,_xlfn.LOGNORM.INV(RAND(),MV3,Sigma2),MIN(MaxMultiple,Xm/(1-RAND())^(1/Alpha)))))</f>
        <v>0</v>
      </c>
      <c r="I149" s="19">
        <f ca="1">IF(RAND()&lt;P_Zero,0,IF(RAND()&lt;CondReturn,_xlfn.LOGNORM.INV(RAND(),MV2,Sigma1),IF(RAND()&lt;CondGood,_xlfn.LOGNORM.INV(RAND(),MV3,Sigma2),MIN(MaxMultiple,Xm/(1-RAND())^(1/Alpha)))))</f>
        <v>0</v>
      </c>
      <c r="J149" s="19">
        <f ca="1">IF(RAND()&lt;P_Zero,0,IF(RAND()&lt;CondReturn,_xlfn.LOGNORM.INV(RAND(),MV2,Sigma1),IF(RAND()&lt;CondGood,_xlfn.LOGNORM.INV(RAND(),MV3,Sigma2),MIN(MaxMultiple,Xm/(1-RAND())^(1/Alpha)))))</f>
        <v>1.2243606971506569</v>
      </c>
      <c r="K149" s="19">
        <f ca="1">IF(RAND()&lt;P_Zero,0,IF(RAND()&lt;CondReturn,_xlfn.LOGNORM.INV(RAND(),MV2,Sigma1),IF(RAND()&lt;CondGood,_xlfn.LOGNORM.INV(RAND(),MV3,Sigma2),MIN(MaxMultiple,Xm/(1-RAND())^(1/Alpha)))))</f>
        <v>33.73502704475014</v>
      </c>
      <c r="L149" s="19">
        <f ca="1">IF(RAND()&lt;P_Zero,0,IF(RAND()&lt;CondReturn,_xlfn.LOGNORM.INV(RAND(),MV2,Sigma1),IF(RAND()&lt;CondGood,_xlfn.LOGNORM.INV(RAND(),MV3,Sigma2),MIN(MaxMultiple,Xm/(1-RAND())^(1/Alpha)))))</f>
        <v>0.5870361716424165</v>
      </c>
      <c r="M149" s="19">
        <f ca="1">IF(RAND()&lt;P_Zero,0,IF(RAND()&lt;CondReturn,_xlfn.LOGNORM.INV(RAND(),MV2,Sigma1),IF(RAND()&lt;CondGood,_xlfn.LOGNORM.INV(RAND(),MV3,Sigma2),MIN(MaxMultiple,Xm/(1-RAND())^(1/Alpha)))))</f>
        <v>1.0247938015586857</v>
      </c>
      <c r="N149" s="19">
        <f ca="1">IF(RAND()&lt;P_Zero,0,IF(RAND()&lt;CondReturn,_xlfn.LOGNORM.INV(RAND(),MV2,Sigma1),IF(RAND()&lt;CondGood,_xlfn.LOGNORM.INV(RAND(),MV3,Sigma2),MIN(MaxMultiple,Xm/(1-RAND())^(1/Alpha)))))</f>
        <v>26.635187245653924</v>
      </c>
      <c r="O149" s="19">
        <f ca="1">IF(RAND()&lt;P_Zero,0,IF(RAND()&lt;CondReturn,_xlfn.LOGNORM.INV(RAND(),MV2,Sigma1),IF(RAND()&lt;CondGood,_xlfn.LOGNORM.INV(RAND(),MV3,Sigma2),MIN(MaxMultiple,Xm/(1-RAND())^(1/Alpha)))))</f>
        <v>1.0315426513519428</v>
      </c>
      <c r="P149" s="19">
        <f ca="1">IF(RAND()&lt;P_Zero,0,IF(RAND()&lt;CondReturn,_xlfn.LOGNORM.INV(RAND(),MV2,Sigma1),IF(RAND()&lt;CondGood,_xlfn.LOGNORM.INV(RAND(),MV3,Sigma2),MIN(MaxMultiple,Xm/(1-RAND())^(1/Alpha)))))</f>
        <v>0.63552836624826836</v>
      </c>
      <c r="Q149" s="19">
        <f ca="1">IF(RAND()&lt;P_Zero,0,IF(RAND()&lt;CondReturn,_xlfn.LOGNORM.INV(RAND(),MV2,Sigma1),IF(RAND()&lt;CondGood,_xlfn.LOGNORM.INV(RAND(),MV3,Sigma2),MIN(MaxMultiple,Xm/(1-RAND())^(1/Alpha)))))</f>
        <v>2.6270204060977433</v>
      </c>
      <c r="R149" s="19">
        <f ca="1">IF(RAND()&lt;P_Zero,0,IF(RAND()&lt;CondReturn,_xlfn.LOGNORM.INV(RAND(),MV2,Sigma1),IF(RAND()&lt;CondGood,_xlfn.LOGNORM.INV(RAND(),MV3,Sigma2),MIN(MaxMultiple,Xm/(1-RAND())^(1/Alpha)))))</f>
        <v>2.9827639824028451</v>
      </c>
      <c r="S149" s="19">
        <f ca="1">IF(RAND()&lt;P_Zero,0,IF(RAND()&lt;CondReturn,_xlfn.LOGNORM.INV(RAND(),MV2,Sigma1),IF(RAND()&lt;CondGood,_xlfn.LOGNORM.INV(RAND(),MV3,Sigma2),MIN(MaxMultiple,Xm/(1-RAND())^(1/Alpha)))))</f>
        <v>0.60889670063024881</v>
      </c>
      <c r="T149" s="19">
        <f ca="1">IF(RAND()&lt;P_Zero,0,IF(RAND()&lt;CondReturn,_xlfn.LOGNORM.INV(RAND(),MV2,Sigma1),IF(RAND()&lt;CondGood,_xlfn.LOGNORM.INV(RAND(),MV3,Sigma2),MIN(MaxMultiple,Xm/(1-RAND())^(1/Alpha)))))</f>
        <v>0</v>
      </c>
      <c r="U149" s="19">
        <f ca="1">IF(RAND()&lt;P_Zero,0,IF(RAND()&lt;CondReturn,_xlfn.LOGNORM.INV(RAND(),MV2,Sigma1),IF(RAND()&lt;CondGood,_xlfn.LOGNORM.INV(RAND(),MV3,Sigma2),MIN(MaxMultiple,Xm/(1-RAND())^(1/Alpha)))))</f>
        <v>0.56766183862528463</v>
      </c>
      <c r="V149" s="19">
        <f ca="1">IF(RAND()&lt;P_Zero,0,IF(RAND()&lt;CondReturn,_xlfn.LOGNORM.INV(RAND(),MV2,Sigma1),IF(RAND()&lt;CondGood,_xlfn.LOGNORM.INV(RAND(),MV3,Sigma2),MIN(MaxMultiple,Xm/(1-RAND())^(1/Alpha)))))</f>
        <v>1.6498805084925681</v>
      </c>
      <c r="W149" s="19">
        <f ca="1">IF(RAND()&lt;P_Zero,0,IF(RAND()&lt;CondReturn,_xlfn.LOGNORM.INV(RAND(),MV2,Sigma1),IF(RAND()&lt;CondGood,_xlfn.LOGNORM.INV(RAND(),MV3,Sigma2),MIN(MaxMultiple,Xm/(1-RAND())^(1/Alpha)))))</f>
        <v>0</v>
      </c>
      <c r="X149" s="19">
        <f ca="1">IF(RAND()&lt;P_Zero,0,IF(RAND()&lt;CondReturn,_xlfn.LOGNORM.INV(RAND(),MV2,Sigma1),IF(RAND()&lt;CondGood,_xlfn.LOGNORM.INV(RAND(),MV3,Sigma2),MIN(MaxMultiple,Xm/(1-RAND())^(1/Alpha)))))</f>
        <v>1.487386070444225</v>
      </c>
      <c r="Y149" s="19">
        <f ca="1">IF(RAND()&lt;P_Zero,0,IF(RAND()&lt;CondReturn,_xlfn.LOGNORM.INV(RAND(),MV2,Sigma1),IF(RAND()&lt;CondGood,_xlfn.LOGNORM.INV(RAND(),MV3,Sigma2),MIN(MaxMultiple,Xm/(1-RAND())^(1/Alpha)))))</f>
        <v>0</v>
      </c>
      <c r="Z149" s="19">
        <f ca="1">IF(RAND()&lt;P_Zero,0,IF(RAND()&lt;CondReturn,_xlfn.LOGNORM.INV(RAND(),MV2,Sigma1),IF(RAND()&lt;CondGood,_xlfn.LOGNORM.INV(RAND(),MV3,Sigma2),MIN(MaxMultiple,Xm/(1-RAND())^(1/Alpha)))))</f>
        <v>0</v>
      </c>
      <c r="AA149" s="19">
        <f ca="1">IF(RAND()&lt;P_Zero,0,IF(RAND()&lt;CondReturn,_xlfn.LOGNORM.INV(RAND(),MV2,Sigma1),IF(RAND()&lt;CondGood,_xlfn.LOGNORM.INV(RAND(),MV3,Sigma2),MIN(MaxMultiple,Xm/(1-RAND())^(1/Alpha)))))</f>
        <v>0</v>
      </c>
      <c r="AB149" s="19">
        <f t="shared" ca="1" si="16"/>
        <v>3.0386747136790007</v>
      </c>
      <c r="AC149" s="14">
        <f t="shared" ca="1" si="17"/>
        <v>145856386.25659204</v>
      </c>
      <c r="AD149" s="14">
        <f t="shared" ca="1" si="18"/>
        <v>97856386.256592035</v>
      </c>
      <c r="AE149" s="14">
        <f t="shared" si="19"/>
        <v>55628399.869093813</v>
      </c>
      <c r="AF149" s="14">
        <f t="shared" ca="1" si="20"/>
        <v>42227986.387498222</v>
      </c>
      <c r="AG149" s="14">
        <f t="shared" ca="1" si="21"/>
        <v>8445597.2774996441</v>
      </c>
      <c r="AH149" s="14">
        <f t="shared" ca="1" si="22"/>
        <v>137410788.97909239</v>
      </c>
      <c r="AI149" s="19">
        <f t="shared" ca="1" si="23"/>
        <v>2.2901798163182066</v>
      </c>
    </row>
    <row r="150" spans="2:35" x14ac:dyDescent="0.2">
      <c r="B150" s="1">
        <v>145</v>
      </c>
      <c r="C150" s="19">
        <f ca="1">IF(RAND()&lt;P_Zero,0,IF(RAND()&lt;CondReturn,_xlfn.LOGNORM.INV(RAND(),MV2,Sigma1),IF(RAND()&lt;CondGood,_xlfn.LOGNORM.INV(RAND(),MV3,Sigma2),MIN(MaxMultiple,Xm/(1-RAND())^(1/Alpha)))))</f>
        <v>0.71252195141246011</v>
      </c>
      <c r="D150" s="19">
        <f ca="1">IF(RAND()&lt;P_Zero,0,IF(RAND()&lt;CondReturn,_xlfn.LOGNORM.INV(RAND(),MV2,Sigma1),IF(RAND()&lt;CondGood,_xlfn.LOGNORM.INV(RAND(),MV3,Sigma2),MIN(MaxMultiple,Xm/(1-RAND())^(1/Alpha)))))</f>
        <v>0.42686986321558879</v>
      </c>
      <c r="E150" s="19">
        <f ca="1">IF(RAND()&lt;P_Zero,0,IF(RAND()&lt;CondReturn,_xlfn.LOGNORM.INV(RAND(),MV2,Sigma1),IF(RAND()&lt;CondGood,_xlfn.LOGNORM.INV(RAND(),MV3,Sigma2),MIN(MaxMultiple,Xm/(1-RAND())^(1/Alpha)))))</f>
        <v>0</v>
      </c>
      <c r="F150" s="19">
        <f ca="1">IF(RAND()&lt;P_Zero,0,IF(RAND()&lt;CondReturn,_xlfn.LOGNORM.INV(RAND(),MV2,Sigma1),IF(RAND()&lt;CondGood,_xlfn.LOGNORM.INV(RAND(),MV3,Sigma2),MIN(MaxMultiple,Xm/(1-RAND())^(1/Alpha)))))</f>
        <v>1.3391049948477505</v>
      </c>
      <c r="G150" s="19">
        <f ca="1">IF(RAND()&lt;P_Zero,0,IF(RAND()&lt;CondReturn,_xlfn.LOGNORM.INV(RAND(),MV2,Sigma1),IF(RAND()&lt;CondGood,_xlfn.LOGNORM.INV(RAND(),MV3,Sigma2),MIN(MaxMultiple,Xm/(1-RAND())^(1/Alpha)))))</f>
        <v>0</v>
      </c>
      <c r="H150" s="19">
        <f ca="1">IF(RAND()&lt;P_Zero,0,IF(RAND()&lt;CondReturn,_xlfn.LOGNORM.INV(RAND(),MV2,Sigma1),IF(RAND()&lt;CondGood,_xlfn.LOGNORM.INV(RAND(),MV3,Sigma2),MIN(MaxMultiple,Xm/(1-RAND())^(1/Alpha)))))</f>
        <v>0</v>
      </c>
      <c r="I150" s="19">
        <f ca="1">IF(RAND()&lt;P_Zero,0,IF(RAND()&lt;CondReturn,_xlfn.LOGNORM.INV(RAND(),MV2,Sigma1),IF(RAND()&lt;CondGood,_xlfn.LOGNORM.INV(RAND(),MV3,Sigma2),MIN(MaxMultiple,Xm/(1-RAND())^(1/Alpha)))))</f>
        <v>0.9054325963356763</v>
      </c>
      <c r="J150" s="19">
        <f ca="1">IF(RAND()&lt;P_Zero,0,IF(RAND()&lt;CondReturn,_xlfn.LOGNORM.INV(RAND(),MV2,Sigma1),IF(RAND()&lt;CondGood,_xlfn.LOGNORM.INV(RAND(),MV3,Sigma2),MIN(MaxMultiple,Xm/(1-RAND())^(1/Alpha)))))</f>
        <v>0</v>
      </c>
      <c r="K150" s="19">
        <f ca="1">IF(RAND()&lt;P_Zero,0,IF(RAND()&lt;CondReturn,_xlfn.LOGNORM.INV(RAND(),MV2,Sigma1),IF(RAND()&lt;CondGood,_xlfn.LOGNORM.INV(RAND(),MV3,Sigma2),MIN(MaxMultiple,Xm/(1-RAND())^(1/Alpha)))))</f>
        <v>0</v>
      </c>
      <c r="L150" s="19">
        <f ca="1">IF(RAND()&lt;P_Zero,0,IF(RAND()&lt;CondReturn,_xlfn.LOGNORM.INV(RAND(),MV2,Sigma1),IF(RAND()&lt;CondGood,_xlfn.LOGNORM.INV(RAND(),MV3,Sigma2),MIN(MaxMultiple,Xm/(1-RAND())^(1/Alpha)))))</f>
        <v>17.782553950906514</v>
      </c>
      <c r="M150" s="19">
        <f ca="1">IF(RAND()&lt;P_Zero,0,IF(RAND()&lt;CondReturn,_xlfn.LOGNORM.INV(RAND(),MV2,Sigma1),IF(RAND()&lt;CondGood,_xlfn.LOGNORM.INV(RAND(),MV3,Sigma2),MIN(MaxMultiple,Xm/(1-RAND())^(1/Alpha)))))</f>
        <v>25.884752298721367</v>
      </c>
      <c r="N150" s="19">
        <f ca="1">IF(RAND()&lt;P_Zero,0,IF(RAND()&lt;CondReturn,_xlfn.LOGNORM.INV(RAND(),MV2,Sigma1),IF(RAND()&lt;CondGood,_xlfn.LOGNORM.INV(RAND(),MV3,Sigma2),MIN(MaxMultiple,Xm/(1-RAND())^(1/Alpha)))))</f>
        <v>4.2789240811292393</v>
      </c>
      <c r="O150" s="19">
        <f ca="1">IF(RAND()&lt;P_Zero,0,IF(RAND()&lt;CondReturn,_xlfn.LOGNORM.INV(RAND(),MV2,Sigma1),IF(RAND()&lt;CondGood,_xlfn.LOGNORM.INV(RAND(),MV3,Sigma2),MIN(MaxMultiple,Xm/(1-RAND())^(1/Alpha)))))</f>
        <v>0</v>
      </c>
      <c r="P150" s="19">
        <f ca="1">IF(RAND()&lt;P_Zero,0,IF(RAND()&lt;CondReturn,_xlfn.LOGNORM.INV(RAND(),MV2,Sigma1),IF(RAND()&lt;CondGood,_xlfn.LOGNORM.INV(RAND(),MV3,Sigma2),MIN(MaxMultiple,Xm/(1-RAND())^(1/Alpha)))))</f>
        <v>3.9994797759133101</v>
      </c>
      <c r="Q150" s="19">
        <f ca="1">IF(RAND()&lt;P_Zero,0,IF(RAND()&lt;CondReturn,_xlfn.LOGNORM.INV(RAND(),MV2,Sigma1),IF(RAND()&lt;CondGood,_xlfn.LOGNORM.INV(RAND(),MV3,Sigma2),MIN(MaxMultiple,Xm/(1-RAND())^(1/Alpha)))))</f>
        <v>0</v>
      </c>
      <c r="R150" s="19">
        <f ca="1">IF(RAND()&lt;P_Zero,0,IF(RAND()&lt;CondReturn,_xlfn.LOGNORM.INV(RAND(),MV2,Sigma1),IF(RAND()&lt;CondGood,_xlfn.LOGNORM.INV(RAND(),MV3,Sigma2),MIN(MaxMultiple,Xm/(1-RAND())^(1/Alpha)))))</f>
        <v>0</v>
      </c>
      <c r="S150" s="19">
        <f ca="1">IF(RAND()&lt;P_Zero,0,IF(RAND()&lt;CondReturn,_xlfn.LOGNORM.INV(RAND(),MV2,Sigma1),IF(RAND()&lt;CondGood,_xlfn.LOGNORM.INV(RAND(),MV3,Sigma2),MIN(MaxMultiple,Xm/(1-RAND())^(1/Alpha)))))</f>
        <v>0</v>
      </c>
      <c r="T150" s="19">
        <f ca="1">IF(RAND()&lt;P_Zero,0,IF(RAND()&lt;CondReturn,_xlfn.LOGNORM.INV(RAND(),MV2,Sigma1),IF(RAND()&lt;CondGood,_xlfn.LOGNORM.INV(RAND(),MV3,Sigma2),MIN(MaxMultiple,Xm/(1-RAND())^(1/Alpha)))))</f>
        <v>1.1415937028121523</v>
      </c>
      <c r="U150" s="19">
        <f ca="1">IF(RAND()&lt;P_Zero,0,IF(RAND()&lt;CondReturn,_xlfn.LOGNORM.INV(RAND(),MV2,Sigma1),IF(RAND()&lt;CondGood,_xlfn.LOGNORM.INV(RAND(),MV3,Sigma2),MIN(MaxMultiple,Xm/(1-RAND())^(1/Alpha)))))</f>
        <v>0</v>
      </c>
      <c r="V150" s="19">
        <f ca="1">IF(RAND()&lt;P_Zero,0,IF(RAND()&lt;CondReturn,_xlfn.LOGNORM.INV(RAND(),MV2,Sigma1),IF(RAND()&lt;CondGood,_xlfn.LOGNORM.INV(RAND(),MV3,Sigma2),MIN(MaxMultiple,Xm/(1-RAND())^(1/Alpha)))))</f>
        <v>0.42102375876474801</v>
      </c>
      <c r="W150" s="19">
        <f ca="1">IF(RAND()&lt;P_Zero,0,IF(RAND()&lt;CondReturn,_xlfn.LOGNORM.INV(RAND(),MV2,Sigma1),IF(RAND()&lt;CondGood,_xlfn.LOGNORM.INV(RAND(),MV3,Sigma2),MIN(MaxMultiple,Xm/(1-RAND())^(1/Alpha)))))</f>
        <v>117.94335326535656</v>
      </c>
      <c r="X150" s="19">
        <f ca="1">IF(RAND()&lt;P_Zero,0,IF(RAND()&lt;CondReturn,_xlfn.LOGNORM.INV(RAND(),MV2,Sigma1),IF(RAND()&lt;CondGood,_xlfn.LOGNORM.INV(RAND(),MV3,Sigma2),MIN(MaxMultiple,Xm/(1-RAND())^(1/Alpha)))))</f>
        <v>0.52161287253582578</v>
      </c>
      <c r="Y150" s="19">
        <f ca="1">IF(RAND()&lt;P_Zero,0,IF(RAND()&lt;CondReturn,_xlfn.LOGNORM.INV(RAND(),MV2,Sigma1),IF(RAND()&lt;CondGood,_xlfn.LOGNORM.INV(RAND(),MV3,Sigma2),MIN(MaxMultiple,Xm/(1-RAND())^(1/Alpha)))))</f>
        <v>1.2396902372195608</v>
      </c>
      <c r="Z150" s="19">
        <f ca="1">IF(RAND()&lt;P_Zero,0,IF(RAND()&lt;CondReturn,_xlfn.LOGNORM.INV(RAND(),MV2,Sigma1),IF(RAND()&lt;CondGood,_xlfn.LOGNORM.INV(RAND(),MV3,Sigma2),MIN(MaxMultiple,Xm/(1-RAND())^(1/Alpha)))))</f>
        <v>0</v>
      </c>
      <c r="AA150" s="19">
        <f ca="1">IF(RAND()&lt;P_Zero,0,IF(RAND()&lt;CondReturn,_xlfn.LOGNORM.INV(RAND(),MV2,Sigma1),IF(RAND()&lt;CondGood,_xlfn.LOGNORM.INV(RAND(),MV3,Sigma2),MIN(MaxMultiple,Xm/(1-RAND())^(1/Alpha)))))</f>
        <v>0.68844758397917882</v>
      </c>
      <c r="AB150" s="19">
        <f t="shared" ca="1" si="16"/>
        <v>7.0914144373259971</v>
      </c>
      <c r="AC150" s="14">
        <f t="shared" ca="1" si="17"/>
        <v>340387892.99164784</v>
      </c>
      <c r="AD150" s="14">
        <f t="shared" ca="1" si="18"/>
        <v>292387892.99164784</v>
      </c>
      <c r="AE150" s="14">
        <f t="shared" si="19"/>
        <v>55628399.869093813</v>
      </c>
      <c r="AF150" s="14">
        <f t="shared" ca="1" si="20"/>
        <v>236759493.12255403</v>
      </c>
      <c r="AG150" s="14">
        <f t="shared" ca="1" si="21"/>
        <v>47351898.62451081</v>
      </c>
      <c r="AH150" s="14">
        <f t="shared" ca="1" si="22"/>
        <v>293035994.36713701</v>
      </c>
      <c r="AI150" s="19">
        <f t="shared" ca="1" si="23"/>
        <v>4.8839332394522836</v>
      </c>
    </row>
    <row r="151" spans="2:35" x14ac:dyDescent="0.2">
      <c r="B151" s="1">
        <v>146</v>
      </c>
      <c r="C151" s="19">
        <f ca="1">IF(RAND()&lt;P_Zero,0,IF(RAND()&lt;CondReturn,_xlfn.LOGNORM.INV(RAND(),MV2,Sigma1),IF(RAND()&lt;CondGood,_xlfn.LOGNORM.INV(RAND(),MV3,Sigma2),MIN(MaxMultiple,Xm/(1-RAND())^(1/Alpha)))))</f>
        <v>0.57931525852641841</v>
      </c>
      <c r="D151" s="19">
        <f ca="1">IF(RAND()&lt;P_Zero,0,IF(RAND()&lt;CondReturn,_xlfn.LOGNORM.INV(RAND(),MV2,Sigma1),IF(RAND()&lt;CondGood,_xlfn.LOGNORM.INV(RAND(),MV3,Sigma2),MIN(MaxMultiple,Xm/(1-RAND())^(1/Alpha)))))</f>
        <v>0</v>
      </c>
      <c r="E151" s="19">
        <f ca="1">IF(RAND()&lt;P_Zero,0,IF(RAND()&lt;CondReturn,_xlfn.LOGNORM.INV(RAND(),MV2,Sigma1),IF(RAND()&lt;CondGood,_xlfn.LOGNORM.INV(RAND(),MV3,Sigma2),MIN(MaxMultiple,Xm/(1-RAND())^(1/Alpha)))))</f>
        <v>0</v>
      </c>
      <c r="F151" s="19">
        <f ca="1">IF(RAND()&lt;P_Zero,0,IF(RAND()&lt;CondReturn,_xlfn.LOGNORM.INV(RAND(),MV2,Sigma1),IF(RAND()&lt;CondGood,_xlfn.LOGNORM.INV(RAND(),MV3,Sigma2),MIN(MaxMultiple,Xm/(1-RAND())^(1/Alpha)))))</f>
        <v>0.5981871639394486</v>
      </c>
      <c r="G151" s="19">
        <f ca="1">IF(RAND()&lt;P_Zero,0,IF(RAND()&lt;CondReturn,_xlfn.LOGNORM.INV(RAND(),MV2,Sigma1),IF(RAND()&lt;CondGood,_xlfn.LOGNORM.INV(RAND(),MV3,Sigma2),MIN(MaxMultiple,Xm/(1-RAND())^(1/Alpha)))))</f>
        <v>1.1585965699194651</v>
      </c>
      <c r="H151" s="19">
        <f ca="1">IF(RAND()&lt;P_Zero,0,IF(RAND()&lt;CondReturn,_xlfn.LOGNORM.INV(RAND(),MV2,Sigma1),IF(RAND()&lt;CondGood,_xlfn.LOGNORM.INV(RAND(),MV3,Sigma2),MIN(MaxMultiple,Xm/(1-RAND())^(1/Alpha)))))</f>
        <v>0</v>
      </c>
      <c r="I151" s="19">
        <f ca="1">IF(RAND()&lt;P_Zero,0,IF(RAND()&lt;CondReturn,_xlfn.LOGNORM.INV(RAND(),MV2,Sigma1),IF(RAND()&lt;CondGood,_xlfn.LOGNORM.INV(RAND(),MV3,Sigma2),MIN(MaxMultiple,Xm/(1-RAND())^(1/Alpha)))))</f>
        <v>0</v>
      </c>
      <c r="J151" s="19">
        <f ca="1">IF(RAND()&lt;P_Zero,0,IF(RAND()&lt;CondReturn,_xlfn.LOGNORM.INV(RAND(),MV2,Sigma1),IF(RAND()&lt;CondGood,_xlfn.LOGNORM.INV(RAND(),MV3,Sigma2),MIN(MaxMultiple,Xm/(1-RAND())^(1/Alpha)))))</f>
        <v>1.8437063898078583</v>
      </c>
      <c r="K151" s="19">
        <f ca="1">IF(RAND()&lt;P_Zero,0,IF(RAND()&lt;CondReturn,_xlfn.LOGNORM.INV(RAND(),MV2,Sigma1),IF(RAND()&lt;CondGood,_xlfn.LOGNORM.INV(RAND(),MV3,Sigma2),MIN(MaxMultiple,Xm/(1-RAND())^(1/Alpha)))))</f>
        <v>0.88438380853206811</v>
      </c>
      <c r="L151" s="19">
        <f ca="1">IF(RAND()&lt;P_Zero,0,IF(RAND()&lt;CondReturn,_xlfn.LOGNORM.INV(RAND(),MV2,Sigma1),IF(RAND()&lt;CondGood,_xlfn.LOGNORM.INV(RAND(),MV3,Sigma2),MIN(MaxMultiple,Xm/(1-RAND())^(1/Alpha)))))</f>
        <v>0</v>
      </c>
      <c r="M151" s="19">
        <f ca="1">IF(RAND()&lt;P_Zero,0,IF(RAND()&lt;CondReturn,_xlfn.LOGNORM.INV(RAND(),MV2,Sigma1),IF(RAND()&lt;CondGood,_xlfn.LOGNORM.INV(RAND(),MV3,Sigma2),MIN(MaxMultiple,Xm/(1-RAND())^(1/Alpha)))))</f>
        <v>0.62543082450711018</v>
      </c>
      <c r="N151" s="19">
        <f ca="1">IF(RAND()&lt;P_Zero,0,IF(RAND()&lt;CondReturn,_xlfn.LOGNORM.INV(RAND(),MV2,Sigma1),IF(RAND()&lt;CondGood,_xlfn.LOGNORM.INV(RAND(),MV3,Sigma2),MIN(MaxMultiple,Xm/(1-RAND())^(1/Alpha)))))</f>
        <v>15.013298732664708</v>
      </c>
      <c r="O151" s="19">
        <f ca="1">IF(RAND()&lt;P_Zero,0,IF(RAND()&lt;CondReturn,_xlfn.LOGNORM.INV(RAND(),MV2,Sigma1),IF(RAND()&lt;CondGood,_xlfn.LOGNORM.INV(RAND(),MV3,Sigma2),MIN(MaxMultiple,Xm/(1-RAND())^(1/Alpha)))))</f>
        <v>0.88249044558481249</v>
      </c>
      <c r="P151" s="19">
        <f ca="1">IF(RAND()&lt;P_Zero,0,IF(RAND()&lt;CondReturn,_xlfn.LOGNORM.INV(RAND(),MV2,Sigma1),IF(RAND()&lt;CondGood,_xlfn.LOGNORM.INV(RAND(),MV3,Sigma2),MIN(MaxMultiple,Xm/(1-RAND())^(1/Alpha)))))</f>
        <v>0</v>
      </c>
      <c r="Q151" s="19">
        <f ca="1">IF(RAND()&lt;P_Zero,0,IF(RAND()&lt;CondReturn,_xlfn.LOGNORM.INV(RAND(),MV2,Sigma1),IF(RAND()&lt;CondGood,_xlfn.LOGNORM.INV(RAND(),MV3,Sigma2),MIN(MaxMultiple,Xm/(1-RAND())^(1/Alpha)))))</f>
        <v>1.26243415341763</v>
      </c>
      <c r="R151" s="19">
        <f ca="1">IF(RAND()&lt;P_Zero,0,IF(RAND()&lt;CondReturn,_xlfn.LOGNORM.INV(RAND(),MV2,Sigma1),IF(RAND()&lt;CondGood,_xlfn.LOGNORM.INV(RAND(),MV3,Sigma2),MIN(MaxMultiple,Xm/(1-RAND())^(1/Alpha)))))</f>
        <v>1.0660457757265549</v>
      </c>
      <c r="S151" s="19">
        <f ca="1">IF(RAND()&lt;P_Zero,0,IF(RAND()&lt;CondReturn,_xlfn.LOGNORM.INV(RAND(),MV2,Sigma1),IF(RAND()&lt;CondGood,_xlfn.LOGNORM.INV(RAND(),MV3,Sigma2),MIN(MaxMultiple,Xm/(1-RAND())^(1/Alpha)))))</f>
        <v>1.535847593942733</v>
      </c>
      <c r="T151" s="19">
        <f ca="1">IF(RAND()&lt;P_Zero,0,IF(RAND()&lt;CondReturn,_xlfn.LOGNORM.INV(RAND(),MV2,Sigma1),IF(RAND()&lt;CondGood,_xlfn.LOGNORM.INV(RAND(),MV3,Sigma2),MIN(MaxMultiple,Xm/(1-RAND())^(1/Alpha)))))</f>
        <v>13.257234070200386</v>
      </c>
      <c r="U151" s="19">
        <f ca="1">IF(RAND()&lt;P_Zero,0,IF(RAND()&lt;CondReturn,_xlfn.LOGNORM.INV(RAND(),MV2,Sigma1),IF(RAND()&lt;CondGood,_xlfn.LOGNORM.INV(RAND(),MV3,Sigma2),MIN(MaxMultiple,Xm/(1-RAND())^(1/Alpha)))))</f>
        <v>0</v>
      </c>
      <c r="V151" s="19">
        <f ca="1">IF(RAND()&lt;P_Zero,0,IF(RAND()&lt;CondReturn,_xlfn.LOGNORM.INV(RAND(),MV2,Sigma1),IF(RAND()&lt;CondGood,_xlfn.LOGNORM.INV(RAND(),MV3,Sigma2),MIN(MaxMultiple,Xm/(1-RAND())^(1/Alpha)))))</f>
        <v>0</v>
      </c>
      <c r="W151" s="19">
        <f ca="1">IF(RAND()&lt;P_Zero,0,IF(RAND()&lt;CondReturn,_xlfn.LOGNORM.INV(RAND(),MV2,Sigma1),IF(RAND()&lt;CondGood,_xlfn.LOGNORM.INV(RAND(),MV3,Sigma2),MIN(MaxMultiple,Xm/(1-RAND())^(1/Alpha)))))</f>
        <v>2.290992156519597</v>
      </c>
      <c r="X151" s="19">
        <f ca="1">IF(RAND()&lt;P_Zero,0,IF(RAND()&lt;CondReturn,_xlfn.LOGNORM.INV(RAND(),MV2,Sigma1),IF(RAND()&lt;CondGood,_xlfn.LOGNORM.INV(RAND(),MV3,Sigma2),MIN(MaxMultiple,Xm/(1-RAND())^(1/Alpha)))))</f>
        <v>0.34629299350741199</v>
      </c>
      <c r="Y151" s="19">
        <f ca="1">IF(RAND()&lt;P_Zero,0,IF(RAND()&lt;CondReturn,_xlfn.LOGNORM.INV(RAND(),MV2,Sigma1),IF(RAND()&lt;CondGood,_xlfn.LOGNORM.INV(RAND(),MV3,Sigma2),MIN(MaxMultiple,Xm/(1-RAND())^(1/Alpha)))))</f>
        <v>0.91916487659170976</v>
      </c>
      <c r="Z151" s="19">
        <f ca="1">IF(RAND()&lt;P_Zero,0,IF(RAND()&lt;CondReturn,_xlfn.LOGNORM.INV(RAND(),MV2,Sigma1),IF(RAND()&lt;CondGood,_xlfn.LOGNORM.INV(RAND(),MV3,Sigma2),MIN(MaxMultiple,Xm/(1-RAND())^(1/Alpha)))))</f>
        <v>0</v>
      </c>
      <c r="AA151" s="19">
        <f ca="1">IF(RAND()&lt;P_Zero,0,IF(RAND()&lt;CondReturn,_xlfn.LOGNORM.INV(RAND(),MV2,Sigma1),IF(RAND()&lt;CondGood,_xlfn.LOGNORM.INV(RAND(),MV3,Sigma2),MIN(MaxMultiple,Xm/(1-RAND())^(1/Alpha)))))</f>
        <v>0.84547509098155638</v>
      </c>
      <c r="AB151" s="19">
        <f t="shared" ca="1" si="16"/>
        <v>1.7243558361747788</v>
      </c>
      <c r="AC151" s="14">
        <f t="shared" ca="1" si="17"/>
        <v>82769080.13638939</v>
      </c>
      <c r="AD151" s="14">
        <f t="shared" ca="1" si="18"/>
        <v>34769080.13638939</v>
      </c>
      <c r="AE151" s="14">
        <f t="shared" si="19"/>
        <v>55628399.869093813</v>
      </c>
      <c r="AF151" s="14">
        <f t="shared" ca="1" si="20"/>
        <v>0</v>
      </c>
      <c r="AG151" s="14">
        <f t="shared" ca="1" si="21"/>
        <v>0</v>
      </c>
      <c r="AH151" s="14">
        <f t="shared" ca="1" si="22"/>
        <v>82769080.13638939</v>
      </c>
      <c r="AI151" s="19">
        <f t="shared" ca="1" si="23"/>
        <v>1.3794846689398232</v>
      </c>
    </row>
    <row r="152" spans="2:35" x14ac:dyDescent="0.2">
      <c r="B152" s="1">
        <v>147</v>
      </c>
      <c r="C152" s="19">
        <f ca="1">IF(RAND()&lt;P_Zero,0,IF(RAND()&lt;CondReturn,_xlfn.LOGNORM.INV(RAND(),MV2,Sigma1),IF(RAND()&lt;CondGood,_xlfn.LOGNORM.INV(RAND(),MV3,Sigma2),MIN(MaxMultiple,Xm/(1-RAND())^(1/Alpha)))))</f>
        <v>0.66381177943977876</v>
      </c>
      <c r="D152" s="19">
        <f ca="1">IF(RAND()&lt;P_Zero,0,IF(RAND()&lt;CondReturn,_xlfn.LOGNORM.INV(RAND(),MV2,Sigma1),IF(RAND()&lt;CondGood,_xlfn.LOGNORM.INV(RAND(),MV3,Sigma2),MIN(MaxMultiple,Xm/(1-RAND())^(1/Alpha)))))</f>
        <v>0</v>
      </c>
      <c r="E152" s="19">
        <f ca="1">IF(RAND()&lt;P_Zero,0,IF(RAND()&lt;CondReturn,_xlfn.LOGNORM.INV(RAND(),MV2,Sigma1),IF(RAND()&lt;CondGood,_xlfn.LOGNORM.INV(RAND(),MV3,Sigma2),MIN(MaxMultiple,Xm/(1-RAND())^(1/Alpha)))))</f>
        <v>1.1502017133578308</v>
      </c>
      <c r="F152" s="19">
        <f ca="1">IF(RAND()&lt;P_Zero,0,IF(RAND()&lt;CondReturn,_xlfn.LOGNORM.INV(RAND(),MV2,Sigma1),IF(RAND()&lt;CondGood,_xlfn.LOGNORM.INV(RAND(),MV3,Sigma2),MIN(MaxMultiple,Xm/(1-RAND())^(1/Alpha)))))</f>
        <v>0.73331358612771669</v>
      </c>
      <c r="G152" s="19">
        <f ca="1">IF(RAND()&lt;P_Zero,0,IF(RAND()&lt;CondReturn,_xlfn.LOGNORM.INV(RAND(),MV2,Sigma1),IF(RAND()&lt;CondGood,_xlfn.LOGNORM.INV(RAND(),MV3,Sigma2),MIN(MaxMultiple,Xm/(1-RAND())^(1/Alpha)))))</f>
        <v>0.95398161574928886</v>
      </c>
      <c r="H152" s="19">
        <f ca="1">IF(RAND()&lt;P_Zero,0,IF(RAND()&lt;CondReturn,_xlfn.LOGNORM.INV(RAND(),MV2,Sigma1),IF(RAND()&lt;CondGood,_xlfn.LOGNORM.INV(RAND(),MV3,Sigma2),MIN(MaxMultiple,Xm/(1-RAND())^(1/Alpha)))))</f>
        <v>1.7196899127258825</v>
      </c>
      <c r="I152" s="19">
        <f ca="1">IF(RAND()&lt;P_Zero,0,IF(RAND()&lt;CondReturn,_xlfn.LOGNORM.INV(RAND(),MV2,Sigma1),IF(RAND()&lt;CondGood,_xlfn.LOGNORM.INV(RAND(),MV3,Sigma2),MIN(MaxMultiple,Xm/(1-RAND())^(1/Alpha)))))</f>
        <v>1.0771961775903405</v>
      </c>
      <c r="J152" s="19">
        <f ca="1">IF(RAND()&lt;P_Zero,0,IF(RAND()&lt;CondReturn,_xlfn.LOGNORM.INV(RAND(),MV2,Sigma1),IF(RAND()&lt;CondGood,_xlfn.LOGNORM.INV(RAND(),MV3,Sigma2),MIN(MaxMultiple,Xm/(1-RAND())^(1/Alpha)))))</f>
        <v>0</v>
      </c>
      <c r="K152" s="19">
        <f ca="1">IF(RAND()&lt;P_Zero,0,IF(RAND()&lt;CondReturn,_xlfn.LOGNORM.INV(RAND(),MV2,Sigma1),IF(RAND()&lt;CondGood,_xlfn.LOGNORM.INV(RAND(),MV3,Sigma2),MIN(MaxMultiple,Xm/(1-RAND())^(1/Alpha)))))</f>
        <v>0.5433362637884771</v>
      </c>
      <c r="L152" s="19">
        <f ca="1">IF(RAND()&lt;P_Zero,0,IF(RAND()&lt;CondReturn,_xlfn.LOGNORM.INV(RAND(),MV2,Sigma1),IF(RAND()&lt;CondGood,_xlfn.LOGNORM.INV(RAND(),MV3,Sigma2),MIN(MaxMultiple,Xm/(1-RAND())^(1/Alpha)))))</f>
        <v>0.86328933709868139</v>
      </c>
      <c r="M152" s="19">
        <f ca="1">IF(RAND()&lt;P_Zero,0,IF(RAND()&lt;CondReturn,_xlfn.LOGNORM.INV(RAND(),MV2,Sigma1),IF(RAND()&lt;CondGood,_xlfn.LOGNORM.INV(RAND(),MV3,Sigma2),MIN(MaxMultiple,Xm/(1-RAND())^(1/Alpha)))))</f>
        <v>0</v>
      </c>
      <c r="N152" s="19">
        <f ca="1">IF(RAND()&lt;P_Zero,0,IF(RAND()&lt;CondReturn,_xlfn.LOGNORM.INV(RAND(),MV2,Sigma1),IF(RAND()&lt;CondGood,_xlfn.LOGNORM.INV(RAND(),MV3,Sigma2),MIN(MaxMultiple,Xm/(1-RAND())^(1/Alpha)))))</f>
        <v>1.2811372315843146</v>
      </c>
      <c r="O152" s="19">
        <f ca="1">IF(RAND()&lt;P_Zero,0,IF(RAND()&lt;CondReturn,_xlfn.LOGNORM.INV(RAND(),MV2,Sigma1),IF(RAND()&lt;CondGood,_xlfn.LOGNORM.INV(RAND(),MV3,Sigma2),MIN(MaxMultiple,Xm/(1-RAND())^(1/Alpha)))))</f>
        <v>0.99815742258862583</v>
      </c>
      <c r="P152" s="19">
        <f ca="1">IF(RAND()&lt;P_Zero,0,IF(RAND()&lt;CondReturn,_xlfn.LOGNORM.INV(RAND(),MV2,Sigma1),IF(RAND()&lt;CondGood,_xlfn.LOGNORM.INV(RAND(),MV3,Sigma2),MIN(MaxMultiple,Xm/(1-RAND())^(1/Alpha)))))</f>
        <v>0</v>
      </c>
      <c r="Q152" s="19">
        <f ca="1">IF(RAND()&lt;P_Zero,0,IF(RAND()&lt;CondReturn,_xlfn.LOGNORM.INV(RAND(),MV2,Sigma1),IF(RAND()&lt;CondGood,_xlfn.LOGNORM.INV(RAND(),MV3,Sigma2),MIN(MaxMultiple,Xm/(1-RAND())^(1/Alpha)))))</f>
        <v>245.00985790792075</v>
      </c>
      <c r="R152" s="19">
        <f ca="1">IF(RAND()&lt;P_Zero,0,IF(RAND()&lt;CondReturn,_xlfn.LOGNORM.INV(RAND(),MV2,Sigma1),IF(RAND()&lt;CondGood,_xlfn.LOGNORM.INV(RAND(),MV3,Sigma2),MIN(MaxMultiple,Xm/(1-RAND())^(1/Alpha)))))</f>
        <v>0.41989918093802969</v>
      </c>
      <c r="S152" s="19">
        <f ca="1">IF(RAND()&lt;P_Zero,0,IF(RAND()&lt;CondReturn,_xlfn.LOGNORM.INV(RAND(),MV2,Sigma1),IF(RAND()&lt;CondGood,_xlfn.LOGNORM.INV(RAND(),MV3,Sigma2),MIN(MaxMultiple,Xm/(1-RAND())^(1/Alpha)))))</f>
        <v>1.1422847546289527</v>
      </c>
      <c r="T152" s="19">
        <f ca="1">IF(RAND()&lt;P_Zero,0,IF(RAND()&lt;CondReturn,_xlfn.LOGNORM.INV(RAND(),MV2,Sigma1),IF(RAND()&lt;CondGood,_xlfn.LOGNORM.INV(RAND(),MV3,Sigma2),MIN(MaxMultiple,Xm/(1-RAND())^(1/Alpha)))))</f>
        <v>0.34803732738102261</v>
      </c>
      <c r="U152" s="19">
        <f ca="1">IF(RAND()&lt;P_Zero,0,IF(RAND()&lt;CondReturn,_xlfn.LOGNORM.INV(RAND(),MV2,Sigma1),IF(RAND()&lt;CondGood,_xlfn.LOGNORM.INV(RAND(),MV3,Sigma2),MIN(MaxMultiple,Xm/(1-RAND())^(1/Alpha)))))</f>
        <v>0</v>
      </c>
      <c r="V152" s="19">
        <f ca="1">IF(RAND()&lt;P_Zero,0,IF(RAND()&lt;CondReturn,_xlfn.LOGNORM.INV(RAND(),MV2,Sigma1),IF(RAND()&lt;CondGood,_xlfn.LOGNORM.INV(RAND(),MV3,Sigma2),MIN(MaxMultiple,Xm/(1-RAND())^(1/Alpha)))))</f>
        <v>0</v>
      </c>
      <c r="W152" s="19">
        <f ca="1">IF(RAND()&lt;P_Zero,0,IF(RAND()&lt;CondReturn,_xlfn.LOGNORM.INV(RAND(),MV2,Sigma1),IF(RAND()&lt;CondGood,_xlfn.LOGNORM.INV(RAND(),MV3,Sigma2),MIN(MaxMultiple,Xm/(1-RAND())^(1/Alpha)))))</f>
        <v>0</v>
      </c>
      <c r="X152" s="19">
        <f ca="1">IF(RAND()&lt;P_Zero,0,IF(RAND()&lt;CondReturn,_xlfn.LOGNORM.INV(RAND(),MV2,Sigma1),IF(RAND()&lt;CondGood,_xlfn.LOGNORM.INV(RAND(),MV3,Sigma2),MIN(MaxMultiple,Xm/(1-RAND())^(1/Alpha)))))</f>
        <v>1.0821011337950817</v>
      </c>
      <c r="Y152" s="19">
        <f ca="1">IF(RAND()&lt;P_Zero,0,IF(RAND()&lt;CondReturn,_xlfn.LOGNORM.INV(RAND(),MV2,Sigma1),IF(RAND()&lt;CondGood,_xlfn.LOGNORM.INV(RAND(),MV3,Sigma2),MIN(MaxMultiple,Xm/(1-RAND())^(1/Alpha)))))</f>
        <v>0</v>
      </c>
      <c r="Z152" s="19">
        <f ca="1">IF(RAND()&lt;P_Zero,0,IF(RAND()&lt;CondReturn,_xlfn.LOGNORM.INV(RAND(),MV2,Sigma1),IF(RAND()&lt;CondGood,_xlfn.LOGNORM.INV(RAND(),MV3,Sigma2),MIN(MaxMultiple,Xm/(1-RAND())^(1/Alpha)))))</f>
        <v>10.970671520530713</v>
      </c>
      <c r="AA152" s="19">
        <f ca="1">IF(RAND()&lt;P_Zero,0,IF(RAND()&lt;CondReturn,_xlfn.LOGNORM.INV(RAND(),MV2,Sigma1),IF(RAND()&lt;CondGood,_xlfn.LOGNORM.INV(RAND(),MV3,Sigma2),MIN(MaxMultiple,Xm/(1-RAND())^(1/Alpha)))))</f>
        <v>0</v>
      </c>
      <c r="AB152" s="19">
        <f t="shared" ca="1" si="16"/>
        <v>10.758278674609819</v>
      </c>
      <c r="AC152" s="14">
        <f t="shared" ca="1" si="17"/>
        <v>516397376.3812713</v>
      </c>
      <c r="AD152" s="14">
        <f t="shared" ca="1" si="18"/>
        <v>468397376.3812713</v>
      </c>
      <c r="AE152" s="14">
        <f t="shared" si="19"/>
        <v>55628399.869093813</v>
      </c>
      <c r="AF152" s="14">
        <f t="shared" ca="1" si="20"/>
        <v>412768976.51217747</v>
      </c>
      <c r="AG152" s="14">
        <f t="shared" ca="1" si="21"/>
        <v>82553795.302435502</v>
      </c>
      <c r="AH152" s="14">
        <f t="shared" ca="1" si="22"/>
        <v>433843581.07883579</v>
      </c>
      <c r="AI152" s="19">
        <f t="shared" ca="1" si="23"/>
        <v>7.2307263513139297</v>
      </c>
    </row>
    <row r="153" spans="2:35" x14ac:dyDescent="0.2">
      <c r="B153" s="1">
        <v>148</v>
      </c>
      <c r="C153" s="19">
        <f ca="1">IF(RAND()&lt;P_Zero,0,IF(RAND()&lt;CondReturn,_xlfn.LOGNORM.INV(RAND(),MV2,Sigma1),IF(RAND()&lt;CondGood,_xlfn.LOGNORM.INV(RAND(),MV3,Sigma2),MIN(MaxMultiple,Xm/(1-RAND())^(1/Alpha)))))</f>
        <v>0.73155118579101142</v>
      </c>
      <c r="D153" s="19">
        <f ca="1">IF(RAND()&lt;P_Zero,0,IF(RAND()&lt;CondReturn,_xlfn.LOGNORM.INV(RAND(),MV2,Sigma1),IF(RAND()&lt;CondGood,_xlfn.LOGNORM.INV(RAND(),MV3,Sigma2),MIN(MaxMultiple,Xm/(1-RAND())^(1/Alpha)))))</f>
        <v>0.62447152435109321</v>
      </c>
      <c r="E153" s="19">
        <f ca="1">IF(RAND()&lt;P_Zero,0,IF(RAND()&lt;CondReturn,_xlfn.LOGNORM.INV(RAND(),MV2,Sigma1),IF(RAND()&lt;CondGood,_xlfn.LOGNORM.INV(RAND(),MV3,Sigma2),MIN(MaxMultiple,Xm/(1-RAND())^(1/Alpha)))))</f>
        <v>0.52885568219442214</v>
      </c>
      <c r="F153" s="19">
        <f ca="1">IF(RAND()&lt;P_Zero,0,IF(RAND()&lt;CondReturn,_xlfn.LOGNORM.INV(RAND(),MV2,Sigma1),IF(RAND()&lt;CondGood,_xlfn.LOGNORM.INV(RAND(),MV3,Sigma2),MIN(MaxMultiple,Xm/(1-RAND())^(1/Alpha)))))</f>
        <v>1.4369483163609298</v>
      </c>
      <c r="G153" s="19">
        <f ca="1">IF(RAND()&lt;P_Zero,0,IF(RAND()&lt;CondReturn,_xlfn.LOGNORM.INV(RAND(),MV2,Sigma1),IF(RAND()&lt;CondGood,_xlfn.LOGNORM.INV(RAND(),MV3,Sigma2),MIN(MaxMultiple,Xm/(1-RAND())^(1/Alpha)))))</f>
        <v>1.5290632069001582</v>
      </c>
      <c r="H153" s="19">
        <f ca="1">IF(RAND()&lt;P_Zero,0,IF(RAND()&lt;CondReturn,_xlfn.LOGNORM.INV(RAND(),MV2,Sigma1),IF(RAND()&lt;CondGood,_xlfn.LOGNORM.INV(RAND(),MV3,Sigma2),MIN(MaxMultiple,Xm/(1-RAND())^(1/Alpha)))))</f>
        <v>0</v>
      </c>
      <c r="I153" s="19">
        <f ca="1">IF(RAND()&lt;P_Zero,0,IF(RAND()&lt;CondReturn,_xlfn.LOGNORM.INV(RAND(),MV2,Sigma1),IF(RAND()&lt;CondGood,_xlfn.LOGNORM.INV(RAND(),MV3,Sigma2),MIN(MaxMultiple,Xm/(1-RAND())^(1/Alpha)))))</f>
        <v>0.65263847490297633</v>
      </c>
      <c r="J153" s="19">
        <f ca="1">IF(RAND()&lt;P_Zero,0,IF(RAND()&lt;CondReturn,_xlfn.LOGNORM.INV(RAND(),MV2,Sigma1),IF(RAND()&lt;CondGood,_xlfn.LOGNORM.INV(RAND(),MV3,Sigma2),MIN(MaxMultiple,Xm/(1-RAND())^(1/Alpha)))))</f>
        <v>1.1266958316340705</v>
      </c>
      <c r="K153" s="19">
        <f ca="1">IF(RAND()&lt;P_Zero,0,IF(RAND()&lt;CondReturn,_xlfn.LOGNORM.INV(RAND(),MV2,Sigma1),IF(RAND()&lt;CondGood,_xlfn.LOGNORM.INV(RAND(),MV3,Sigma2),MIN(MaxMultiple,Xm/(1-RAND())^(1/Alpha)))))</f>
        <v>0</v>
      </c>
      <c r="L153" s="19">
        <f ca="1">IF(RAND()&lt;P_Zero,0,IF(RAND()&lt;CondReturn,_xlfn.LOGNORM.INV(RAND(),MV2,Sigma1),IF(RAND()&lt;CondGood,_xlfn.LOGNORM.INV(RAND(),MV3,Sigma2),MIN(MaxMultiple,Xm/(1-RAND())^(1/Alpha)))))</f>
        <v>0</v>
      </c>
      <c r="M153" s="19">
        <f ca="1">IF(RAND()&lt;P_Zero,0,IF(RAND()&lt;CondReturn,_xlfn.LOGNORM.INV(RAND(),MV2,Sigma1),IF(RAND()&lt;CondGood,_xlfn.LOGNORM.INV(RAND(),MV3,Sigma2),MIN(MaxMultiple,Xm/(1-RAND())^(1/Alpha)))))</f>
        <v>2.1093376036228593</v>
      </c>
      <c r="N153" s="19">
        <f ca="1">IF(RAND()&lt;P_Zero,0,IF(RAND()&lt;CondReturn,_xlfn.LOGNORM.INV(RAND(),MV2,Sigma1),IF(RAND()&lt;CondGood,_xlfn.LOGNORM.INV(RAND(),MV3,Sigma2),MIN(MaxMultiple,Xm/(1-RAND())^(1/Alpha)))))</f>
        <v>0.64063467290540799</v>
      </c>
      <c r="O153" s="19">
        <f ca="1">IF(RAND()&lt;P_Zero,0,IF(RAND()&lt;CondReturn,_xlfn.LOGNORM.INV(RAND(),MV2,Sigma1),IF(RAND()&lt;CondGood,_xlfn.LOGNORM.INV(RAND(),MV3,Sigma2),MIN(MaxMultiple,Xm/(1-RAND())^(1/Alpha)))))</f>
        <v>0</v>
      </c>
      <c r="P153" s="19">
        <f ca="1">IF(RAND()&lt;P_Zero,0,IF(RAND()&lt;CondReturn,_xlfn.LOGNORM.INV(RAND(),MV2,Sigma1),IF(RAND()&lt;CondGood,_xlfn.LOGNORM.INV(RAND(),MV3,Sigma2),MIN(MaxMultiple,Xm/(1-RAND())^(1/Alpha)))))</f>
        <v>0.56785957501940088</v>
      </c>
      <c r="Q153" s="19">
        <f ca="1">IF(RAND()&lt;P_Zero,0,IF(RAND()&lt;CondReturn,_xlfn.LOGNORM.INV(RAND(),MV2,Sigma1),IF(RAND()&lt;CondGood,_xlfn.LOGNORM.INV(RAND(),MV3,Sigma2),MIN(MaxMultiple,Xm/(1-RAND())^(1/Alpha)))))</f>
        <v>0</v>
      </c>
      <c r="R153" s="19">
        <f ca="1">IF(RAND()&lt;P_Zero,0,IF(RAND()&lt;CondReturn,_xlfn.LOGNORM.INV(RAND(),MV2,Sigma1),IF(RAND()&lt;CondGood,_xlfn.LOGNORM.INV(RAND(),MV3,Sigma2),MIN(MaxMultiple,Xm/(1-RAND())^(1/Alpha)))))</f>
        <v>0</v>
      </c>
      <c r="S153" s="19">
        <f ca="1">IF(RAND()&lt;P_Zero,0,IF(RAND()&lt;CondReturn,_xlfn.LOGNORM.INV(RAND(),MV2,Sigma1),IF(RAND()&lt;CondGood,_xlfn.LOGNORM.INV(RAND(),MV3,Sigma2),MIN(MaxMultiple,Xm/(1-RAND())^(1/Alpha)))))</f>
        <v>0</v>
      </c>
      <c r="T153" s="19">
        <f ca="1">IF(RAND()&lt;P_Zero,0,IF(RAND()&lt;CondReturn,_xlfn.LOGNORM.INV(RAND(),MV2,Sigma1),IF(RAND()&lt;CondGood,_xlfn.LOGNORM.INV(RAND(),MV3,Sigma2),MIN(MaxMultiple,Xm/(1-RAND())^(1/Alpha)))))</f>
        <v>0</v>
      </c>
      <c r="U153" s="19">
        <f ca="1">IF(RAND()&lt;P_Zero,0,IF(RAND()&lt;CondReturn,_xlfn.LOGNORM.INV(RAND(),MV2,Sigma1),IF(RAND()&lt;CondGood,_xlfn.LOGNORM.INV(RAND(),MV3,Sigma2),MIN(MaxMultiple,Xm/(1-RAND())^(1/Alpha)))))</f>
        <v>1.3821083634374669</v>
      </c>
      <c r="V153" s="19">
        <f ca="1">IF(RAND()&lt;P_Zero,0,IF(RAND()&lt;CondReturn,_xlfn.LOGNORM.INV(RAND(),MV2,Sigma1),IF(RAND()&lt;CondGood,_xlfn.LOGNORM.INV(RAND(),MV3,Sigma2),MIN(MaxMultiple,Xm/(1-RAND())^(1/Alpha)))))</f>
        <v>1.7642727934996993</v>
      </c>
      <c r="W153" s="19">
        <f ca="1">IF(RAND()&lt;P_Zero,0,IF(RAND()&lt;CondReturn,_xlfn.LOGNORM.INV(RAND(),MV2,Sigma1),IF(RAND()&lt;CondGood,_xlfn.LOGNORM.INV(RAND(),MV3,Sigma2),MIN(MaxMultiple,Xm/(1-RAND())^(1/Alpha)))))</f>
        <v>0.590073228282888</v>
      </c>
      <c r="X153" s="19">
        <f ca="1">IF(RAND()&lt;P_Zero,0,IF(RAND()&lt;CondReturn,_xlfn.LOGNORM.INV(RAND(),MV2,Sigma1),IF(RAND()&lt;CondGood,_xlfn.LOGNORM.INV(RAND(),MV3,Sigma2),MIN(MaxMultiple,Xm/(1-RAND())^(1/Alpha)))))</f>
        <v>0.94702750412201364</v>
      </c>
      <c r="Y153" s="19">
        <f ca="1">IF(RAND()&lt;P_Zero,0,IF(RAND()&lt;CondReturn,_xlfn.LOGNORM.INV(RAND(),MV2,Sigma1),IF(RAND()&lt;CondGood,_xlfn.LOGNORM.INV(RAND(),MV3,Sigma2),MIN(MaxMultiple,Xm/(1-RAND())^(1/Alpha)))))</f>
        <v>0</v>
      </c>
      <c r="Z153" s="19">
        <f ca="1">IF(RAND()&lt;P_Zero,0,IF(RAND()&lt;CondReturn,_xlfn.LOGNORM.INV(RAND(),MV2,Sigma1),IF(RAND()&lt;CondGood,_xlfn.LOGNORM.INV(RAND(),MV3,Sigma2),MIN(MaxMultiple,Xm/(1-RAND())^(1/Alpha)))))</f>
        <v>0</v>
      </c>
      <c r="AA153" s="19">
        <f ca="1">IF(RAND()&lt;P_Zero,0,IF(RAND()&lt;CondReturn,_xlfn.LOGNORM.INV(RAND(),MV2,Sigma1),IF(RAND()&lt;CondGood,_xlfn.LOGNORM.INV(RAND(),MV3,Sigma2),MIN(MaxMultiple,Xm/(1-RAND())^(1/Alpha)))))</f>
        <v>0</v>
      </c>
      <c r="AB153" s="19">
        <f t="shared" ca="1" si="16"/>
        <v>0.58526151852097597</v>
      </c>
      <c r="AC153" s="14">
        <f t="shared" ca="1" si="17"/>
        <v>28092552.889006846</v>
      </c>
      <c r="AD153" s="14">
        <f t="shared" ca="1" si="18"/>
        <v>-19907447.110993154</v>
      </c>
      <c r="AE153" s="14">
        <f t="shared" si="19"/>
        <v>55628399.869093813</v>
      </c>
      <c r="AF153" s="14">
        <f t="shared" ca="1" si="20"/>
        <v>0</v>
      </c>
      <c r="AG153" s="14">
        <f t="shared" ca="1" si="21"/>
        <v>0</v>
      </c>
      <c r="AH153" s="14">
        <f t="shared" ca="1" si="22"/>
        <v>28092552.889006846</v>
      </c>
      <c r="AI153" s="19">
        <f t="shared" ca="1" si="23"/>
        <v>0.46820921481678074</v>
      </c>
    </row>
    <row r="154" spans="2:35" x14ac:dyDescent="0.2">
      <c r="B154" s="1">
        <v>149</v>
      </c>
      <c r="C154" s="19">
        <f ca="1">IF(RAND()&lt;P_Zero,0,IF(RAND()&lt;CondReturn,_xlfn.LOGNORM.INV(RAND(),MV2,Sigma1),IF(RAND()&lt;CondGood,_xlfn.LOGNORM.INV(RAND(),MV3,Sigma2),MIN(MaxMultiple,Xm/(1-RAND())^(1/Alpha)))))</f>
        <v>0.51873129745043534</v>
      </c>
      <c r="D154" s="19">
        <f ca="1">IF(RAND()&lt;P_Zero,0,IF(RAND()&lt;CondReturn,_xlfn.LOGNORM.INV(RAND(),MV2,Sigma1),IF(RAND()&lt;CondGood,_xlfn.LOGNORM.INV(RAND(),MV3,Sigma2),MIN(MaxMultiple,Xm/(1-RAND())^(1/Alpha)))))</f>
        <v>0.87940099216212708</v>
      </c>
      <c r="E154" s="19">
        <f ca="1">IF(RAND()&lt;P_Zero,0,IF(RAND()&lt;CondReturn,_xlfn.LOGNORM.INV(RAND(),MV2,Sigma1),IF(RAND()&lt;CondGood,_xlfn.LOGNORM.INV(RAND(),MV3,Sigma2),MIN(MaxMultiple,Xm/(1-RAND())^(1/Alpha)))))</f>
        <v>0.78297367742205148</v>
      </c>
      <c r="F154" s="19">
        <f ca="1">IF(RAND()&lt;P_Zero,0,IF(RAND()&lt;CondReturn,_xlfn.LOGNORM.INV(RAND(),MV2,Sigma1),IF(RAND()&lt;CondGood,_xlfn.LOGNORM.INV(RAND(),MV3,Sigma2),MIN(MaxMultiple,Xm/(1-RAND())^(1/Alpha)))))</f>
        <v>0</v>
      </c>
      <c r="G154" s="19">
        <f ca="1">IF(RAND()&lt;P_Zero,0,IF(RAND()&lt;CondReturn,_xlfn.LOGNORM.INV(RAND(),MV2,Sigma1),IF(RAND()&lt;CondGood,_xlfn.LOGNORM.INV(RAND(),MV3,Sigma2),MIN(MaxMultiple,Xm/(1-RAND())^(1/Alpha)))))</f>
        <v>0.58649036643510988</v>
      </c>
      <c r="H154" s="19">
        <f ca="1">IF(RAND()&lt;P_Zero,0,IF(RAND()&lt;CondReturn,_xlfn.LOGNORM.INV(RAND(),MV2,Sigma1),IF(RAND()&lt;CondGood,_xlfn.LOGNORM.INV(RAND(),MV3,Sigma2),MIN(MaxMultiple,Xm/(1-RAND())^(1/Alpha)))))</f>
        <v>0.75978601611790708</v>
      </c>
      <c r="I154" s="19">
        <f ca="1">IF(RAND()&lt;P_Zero,0,IF(RAND()&lt;CondReturn,_xlfn.LOGNORM.INV(RAND(),MV2,Sigma1),IF(RAND()&lt;CondGood,_xlfn.LOGNORM.INV(RAND(),MV3,Sigma2),MIN(MaxMultiple,Xm/(1-RAND())^(1/Alpha)))))</f>
        <v>0</v>
      </c>
      <c r="J154" s="19">
        <f ca="1">IF(RAND()&lt;P_Zero,0,IF(RAND()&lt;CondReturn,_xlfn.LOGNORM.INV(RAND(),MV2,Sigma1),IF(RAND()&lt;CondGood,_xlfn.LOGNORM.INV(RAND(),MV3,Sigma2),MIN(MaxMultiple,Xm/(1-RAND())^(1/Alpha)))))</f>
        <v>1.2600267176209363</v>
      </c>
      <c r="K154" s="19">
        <f ca="1">IF(RAND()&lt;P_Zero,0,IF(RAND()&lt;CondReturn,_xlfn.LOGNORM.INV(RAND(),MV2,Sigma1),IF(RAND()&lt;CondGood,_xlfn.LOGNORM.INV(RAND(),MV3,Sigma2),MIN(MaxMultiple,Xm/(1-RAND())^(1/Alpha)))))</f>
        <v>1.333942109764173</v>
      </c>
      <c r="L154" s="19">
        <f ca="1">IF(RAND()&lt;P_Zero,0,IF(RAND()&lt;CondReturn,_xlfn.LOGNORM.INV(RAND(),MV2,Sigma1),IF(RAND()&lt;CondGood,_xlfn.LOGNORM.INV(RAND(),MV3,Sigma2),MIN(MaxMultiple,Xm/(1-RAND())^(1/Alpha)))))</f>
        <v>1.4088660116612803</v>
      </c>
      <c r="M154" s="19">
        <f ca="1">IF(RAND()&lt;P_Zero,0,IF(RAND()&lt;CondReturn,_xlfn.LOGNORM.INV(RAND(),MV2,Sigma1),IF(RAND()&lt;CondGood,_xlfn.LOGNORM.INV(RAND(),MV3,Sigma2),MIN(MaxMultiple,Xm/(1-RAND())^(1/Alpha)))))</f>
        <v>0.72180349214220174</v>
      </c>
      <c r="N154" s="19">
        <f ca="1">IF(RAND()&lt;P_Zero,0,IF(RAND()&lt;CondReturn,_xlfn.LOGNORM.INV(RAND(),MV2,Sigma1),IF(RAND()&lt;CondGood,_xlfn.LOGNORM.INV(RAND(),MV3,Sigma2),MIN(MaxMultiple,Xm/(1-RAND())^(1/Alpha)))))</f>
        <v>1.7755703997329149</v>
      </c>
      <c r="O154" s="19">
        <f ca="1">IF(RAND()&lt;P_Zero,0,IF(RAND()&lt;CondReturn,_xlfn.LOGNORM.INV(RAND(),MV2,Sigma1),IF(RAND()&lt;CondGood,_xlfn.LOGNORM.INV(RAND(),MV3,Sigma2),MIN(MaxMultiple,Xm/(1-RAND())^(1/Alpha)))))</f>
        <v>1.3107374610032703</v>
      </c>
      <c r="P154" s="19">
        <f ca="1">IF(RAND()&lt;P_Zero,0,IF(RAND()&lt;CondReturn,_xlfn.LOGNORM.INV(RAND(),MV2,Sigma1),IF(RAND()&lt;CondGood,_xlfn.LOGNORM.INV(RAND(),MV3,Sigma2),MIN(MaxMultiple,Xm/(1-RAND())^(1/Alpha)))))</f>
        <v>0</v>
      </c>
      <c r="Q154" s="19">
        <f ca="1">IF(RAND()&lt;P_Zero,0,IF(RAND()&lt;CondReturn,_xlfn.LOGNORM.INV(RAND(),MV2,Sigma1),IF(RAND()&lt;CondGood,_xlfn.LOGNORM.INV(RAND(),MV3,Sigma2),MIN(MaxMultiple,Xm/(1-RAND())^(1/Alpha)))))</f>
        <v>0</v>
      </c>
      <c r="R154" s="19">
        <f ca="1">IF(RAND()&lt;P_Zero,0,IF(RAND()&lt;CondReturn,_xlfn.LOGNORM.INV(RAND(),MV2,Sigma1),IF(RAND()&lt;CondGood,_xlfn.LOGNORM.INV(RAND(),MV3,Sigma2),MIN(MaxMultiple,Xm/(1-RAND())^(1/Alpha)))))</f>
        <v>0</v>
      </c>
      <c r="S154" s="19">
        <f ca="1">IF(RAND()&lt;P_Zero,0,IF(RAND()&lt;CondReturn,_xlfn.LOGNORM.INV(RAND(),MV2,Sigma1),IF(RAND()&lt;CondGood,_xlfn.LOGNORM.INV(RAND(),MV3,Sigma2),MIN(MaxMultiple,Xm/(1-RAND())^(1/Alpha)))))</f>
        <v>15.762744575181362</v>
      </c>
      <c r="T154" s="19">
        <f ca="1">IF(RAND()&lt;P_Zero,0,IF(RAND()&lt;CondReturn,_xlfn.LOGNORM.INV(RAND(),MV2,Sigma1),IF(RAND()&lt;CondGood,_xlfn.LOGNORM.INV(RAND(),MV3,Sigma2),MIN(MaxMultiple,Xm/(1-RAND())^(1/Alpha)))))</f>
        <v>0</v>
      </c>
      <c r="U154" s="19">
        <f ca="1">IF(RAND()&lt;P_Zero,0,IF(RAND()&lt;CondReturn,_xlfn.LOGNORM.INV(RAND(),MV2,Sigma1),IF(RAND()&lt;CondGood,_xlfn.LOGNORM.INV(RAND(),MV3,Sigma2),MIN(MaxMultiple,Xm/(1-RAND())^(1/Alpha)))))</f>
        <v>2.1826443288400528</v>
      </c>
      <c r="V154" s="19">
        <f ca="1">IF(RAND()&lt;P_Zero,0,IF(RAND()&lt;CondReturn,_xlfn.LOGNORM.INV(RAND(),MV2,Sigma1),IF(RAND()&lt;CondGood,_xlfn.LOGNORM.INV(RAND(),MV3,Sigma2),MIN(MaxMultiple,Xm/(1-RAND())^(1/Alpha)))))</f>
        <v>1.4312509476985529</v>
      </c>
      <c r="W154" s="19">
        <f ca="1">IF(RAND()&lt;P_Zero,0,IF(RAND()&lt;CondReturn,_xlfn.LOGNORM.INV(RAND(),MV2,Sigma1),IF(RAND()&lt;CondGood,_xlfn.LOGNORM.INV(RAND(),MV3,Sigma2),MIN(MaxMultiple,Xm/(1-RAND())^(1/Alpha)))))</f>
        <v>1.4792258644259471</v>
      </c>
      <c r="X154" s="19">
        <f ca="1">IF(RAND()&lt;P_Zero,0,IF(RAND()&lt;CondReturn,_xlfn.LOGNORM.INV(RAND(),MV2,Sigma1),IF(RAND()&lt;CondGood,_xlfn.LOGNORM.INV(RAND(),MV3,Sigma2),MIN(MaxMultiple,Xm/(1-RAND())^(1/Alpha)))))</f>
        <v>0.9389415711774548</v>
      </c>
      <c r="Y154" s="19">
        <f ca="1">IF(RAND()&lt;P_Zero,0,IF(RAND()&lt;CondReturn,_xlfn.LOGNORM.INV(RAND(),MV2,Sigma1),IF(RAND()&lt;CondGood,_xlfn.LOGNORM.INV(RAND(),MV3,Sigma2),MIN(MaxMultiple,Xm/(1-RAND())^(1/Alpha)))))</f>
        <v>1.1823141570870823</v>
      </c>
      <c r="Z154" s="19">
        <f ca="1">IF(RAND()&lt;P_Zero,0,IF(RAND()&lt;CondReturn,_xlfn.LOGNORM.INV(RAND(),MV2,Sigma1),IF(RAND()&lt;CondGood,_xlfn.LOGNORM.INV(RAND(),MV3,Sigma2),MIN(MaxMultiple,Xm/(1-RAND())^(1/Alpha)))))</f>
        <v>0</v>
      </c>
      <c r="AA154" s="19">
        <f ca="1">IF(RAND()&lt;P_Zero,0,IF(RAND()&lt;CondReturn,_xlfn.LOGNORM.INV(RAND(),MV2,Sigma1),IF(RAND()&lt;CondGood,_xlfn.LOGNORM.INV(RAND(),MV3,Sigma2),MIN(MaxMultiple,Xm/(1-RAND())^(1/Alpha)))))</f>
        <v>1.0344568871811499</v>
      </c>
      <c r="AB154" s="19">
        <f t="shared" ca="1" si="16"/>
        <v>1.4139962749241604</v>
      </c>
      <c r="AC154" s="14">
        <f t="shared" ca="1" si="17"/>
        <v>67871821.196359694</v>
      </c>
      <c r="AD154" s="14">
        <f t="shared" ca="1" si="18"/>
        <v>19871821.196359694</v>
      </c>
      <c r="AE154" s="14">
        <f t="shared" si="19"/>
        <v>55628399.869093813</v>
      </c>
      <c r="AF154" s="14">
        <f t="shared" ca="1" si="20"/>
        <v>0</v>
      </c>
      <c r="AG154" s="14">
        <f t="shared" ca="1" si="21"/>
        <v>0</v>
      </c>
      <c r="AH154" s="14">
        <f t="shared" ca="1" si="22"/>
        <v>67871821.196359694</v>
      </c>
      <c r="AI154" s="19">
        <f t="shared" ca="1" si="23"/>
        <v>1.1311970199393282</v>
      </c>
    </row>
    <row r="155" spans="2:35" x14ac:dyDescent="0.2">
      <c r="B155" s="1">
        <v>150</v>
      </c>
      <c r="C155" s="19">
        <f ca="1">IF(RAND()&lt;P_Zero,0,IF(RAND()&lt;CondReturn,_xlfn.LOGNORM.INV(RAND(),MV2,Sigma1),IF(RAND()&lt;CondGood,_xlfn.LOGNORM.INV(RAND(),MV3,Sigma2),MIN(MaxMultiple,Xm/(1-RAND())^(1/Alpha)))))</f>
        <v>0.81988774362487538</v>
      </c>
      <c r="D155" s="19">
        <f ca="1">IF(RAND()&lt;P_Zero,0,IF(RAND()&lt;CondReturn,_xlfn.LOGNORM.INV(RAND(),MV2,Sigma1),IF(RAND()&lt;CondGood,_xlfn.LOGNORM.INV(RAND(),MV3,Sigma2),MIN(MaxMultiple,Xm/(1-RAND())^(1/Alpha)))))</f>
        <v>0</v>
      </c>
      <c r="E155" s="19">
        <f ca="1">IF(RAND()&lt;P_Zero,0,IF(RAND()&lt;CondReturn,_xlfn.LOGNORM.INV(RAND(),MV2,Sigma1),IF(RAND()&lt;CondGood,_xlfn.LOGNORM.INV(RAND(),MV3,Sigma2),MIN(MaxMultiple,Xm/(1-RAND())^(1/Alpha)))))</f>
        <v>1.6565321516932239</v>
      </c>
      <c r="F155" s="19">
        <f ca="1">IF(RAND()&lt;P_Zero,0,IF(RAND()&lt;CondReturn,_xlfn.LOGNORM.INV(RAND(),MV2,Sigma1),IF(RAND()&lt;CondGood,_xlfn.LOGNORM.INV(RAND(),MV3,Sigma2),MIN(MaxMultiple,Xm/(1-RAND())^(1/Alpha)))))</f>
        <v>0.7637557890139457</v>
      </c>
      <c r="G155" s="19">
        <f ca="1">IF(RAND()&lt;P_Zero,0,IF(RAND()&lt;CondReturn,_xlfn.LOGNORM.INV(RAND(),MV2,Sigma1),IF(RAND()&lt;CondGood,_xlfn.LOGNORM.INV(RAND(),MV3,Sigma2),MIN(MaxMultiple,Xm/(1-RAND())^(1/Alpha)))))</f>
        <v>0.59196013166426942</v>
      </c>
      <c r="H155" s="19">
        <f ca="1">IF(RAND()&lt;P_Zero,0,IF(RAND()&lt;CondReturn,_xlfn.LOGNORM.INV(RAND(),MV2,Sigma1),IF(RAND()&lt;CondGood,_xlfn.LOGNORM.INV(RAND(),MV3,Sigma2),MIN(MaxMultiple,Xm/(1-RAND())^(1/Alpha)))))</f>
        <v>0.56599811075899309</v>
      </c>
      <c r="I155" s="19">
        <f ca="1">IF(RAND()&lt;P_Zero,0,IF(RAND()&lt;CondReturn,_xlfn.LOGNORM.INV(RAND(),MV2,Sigma1),IF(RAND()&lt;CondGood,_xlfn.LOGNORM.INV(RAND(),MV3,Sigma2),MIN(MaxMultiple,Xm/(1-RAND())^(1/Alpha)))))</f>
        <v>1.7613686889440261</v>
      </c>
      <c r="J155" s="19">
        <f ca="1">IF(RAND()&lt;P_Zero,0,IF(RAND()&lt;CondReturn,_xlfn.LOGNORM.INV(RAND(),MV2,Sigma1),IF(RAND()&lt;CondGood,_xlfn.LOGNORM.INV(RAND(),MV3,Sigma2),MIN(MaxMultiple,Xm/(1-RAND())^(1/Alpha)))))</f>
        <v>1.1533445011554677</v>
      </c>
      <c r="K155" s="19">
        <f ca="1">IF(RAND()&lt;P_Zero,0,IF(RAND()&lt;CondReturn,_xlfn.LOGNORM.INV(RAND(),MV2,Sigma1),IF(RAND()&lt;CondGood,_xlfn.LOGNORM.INV(RAND(),MV3,Sigma2),MIN(MaxMultiple,Xm/(1-RAND())^(1/Alpha)))))</f>
        <v>0</v>
      </c>
      <c r="L155" s="19">
        <f ca="1">IF(RAND()&lt;P_Zero,0,IF(RAND()&lt;CondReturn,_xlfn.LOGNORM.INV(RAND(),MV2,Sigma1),IF(RAND()&lt;CondGood,_xlfn.LOGNORM.INV(RAND(),MV3,Sigma2),MIN(MaxMultiple,Xm/(1-RAND())^(1/Alpha)))))</f>
        <v>2.8345019306049286</v>
      </c>
      <c r="M155" s="19">
        <f ca="1">IF(RAND()&lt;P_Zero,0,IF(RAND()&lt;CondReturn,_xlfn.LOGNORM.INV(RAND(),MV2,Sigma1),IF(RAND()&lt;CondGood,_xlfn.LOGNORM.INV(RAND(),MV3,Sigma2),MIN(MaxMultiple,Xm/(1-RAND())^(1/Alpha)))))</f>
        <v>0.87866497351440631</v>
      </c>
      <c r="N155" s="19">
        <f ca="1">IF(RAND()&lt;P_Zero,0,IF(RAND()&lt;CondReturn,_xlfn.LOGNORM.INV(RAND(),MV2,Sigma1),IF(RAND()&lt;CondGood,_xlfn.LOGNORM.INV(RAND(),MV3,Sigma2),MIN(MaxMultiple,Xm/(1-RAND())^(1/Alpha)))))</f>
        <v>22.844625781712125</v>
      </c>
      <c r="O155" s="19">
        <f ca="1">IF(RAND()&lt;P_Zero,0,IF(RAND()&lt;CondReturn,_xlfn.LOGNORM.INV(RAND(),MV2,Sigma1),IF(RAND()&lt;CondGood,_xlfn.LOGNORM.INV(RAND(),MV3,Sigma2),MIN(MaxMultiple,Xm/(1-RAND())^(1/Alpha)))))</f>
        <v>1.6907442804261952</v>
      </c>
      <c r="P155" s="19">
        <f ca="1">IF(RAND()&lt;P_Zero,0,IF(RAND()&lt;CondReturn,_xlfn.LOGNORM.INV(RAND(),MV2,Sigma1),IF(RAND()&lt;CondGood,_xlfn.LOGNORM.INV(RAND(),MV3,Sigma2),MIN(MaxMultiple,Xm/(1-RAND())^(1/Alpha)))))</f>
        <v>0.70161987639000289</v>
      </c>
      <c r="Q155" s="19">
        <f ca="1">IF(RAND()&lt;P_Zero,0,IF(RAND()&lt;CondReturn,_xlfn.LOGNORM.INV(RAND(),MV2,Sigma1),IF(RAND()&lt;CondGood,_xlfn.LOGNORM.INV(RAND(),MV3,Sigma2),MIN(MaxMultiple,Xm/(1-RAND())^(1/Alpha)))))</f>
        <v>0.84780163505677797</v>
      </c>
      <c r="R155" s="19">
        <f ca="1">IF(RAND()&lt;P_Zero,0,IF(RAND()&lt;CondReturn,_xlfn.LOGNORM.INV(RAND(),MV2,Sigma1),IF(RAND()&lt;CondGood,_xlfn.LOGNORM.INV(RAND(),MV3,Sigma2),MIN(MaxMultiple,Xm/(1-RAND())^(1/Alpha)))))</f>
        <v>0.75174601616335313</v>
      </c>
      <c r="S155" s="19">
        <f ca="1">IF(RAND()&lt;P_Zero,0,IF(RAND()&lt;CondReturn,_xlfn.LOGNORM.INV(RAND(),MV2,Sigma1),IF(RAND()&lt;CondGood,_xlfn.LOGNORM.INV(RAND(),MV3,Sigma2),MIN(MaxMultiple,Xm/(1-RAND())^(1/Alpha)))))</f>
        <v>0</v>
      </c>
      <c r="T155" s="19">
        <f ca="1">IF(RAND()&lt;P_Zero,0,IF(RAND()&lt;CondReturn,_xlfn.LOGNORM.INV(RAND(),MV2,Sigma1),IF(RAND()&lt;CondGood,_xlfn.LOGNORM.INV(RAND(),MV3,Sigma2),MIN(MaxMultiple,Xm/(1-RAND())^(1/Alpha)))))</f>
        <v>0.63522371262802113</v>
      </c>
      <c r="U155" s="19">
        <f ca="1">IF(RAND()&lt;P_Zero,0,IF(RAND()&lt;CondReturn,_xlfn.LOGNORM.INV(RAND(),MV2,Sigma1),IF(RAND()&lt;CondGood,_xlfn.LOGNORM.INV(RAND(),MV3,Sigma2),MIN(MaxMultiple,Xm/(1-RAND())^(1/Alpha)))))</f>
        <v>58.233327045406106</v>
      </c>
      <c r="V155" s="19">
        <f ca="1">IF(RAND()&lt;P_Zero,0,IF(RAND()&lt;CondReturn,_xlfn.LOGNORM.INV(RAND(),MV2,Sigma1),IF(RAND()&lt;CondGood,_xlfn.LOGNORM.INV(RAND(),MV3,Sigma2),MIN(MaxMultiple,Xm/(1-RAND())^(1/Alpha)))))</f>
        <v>0</v>
      </c>
      <c r="W155" s="19">
        <f ca="1">IF(RAND()&lt;P_Zero,0,IF(RAND()&lt;CondReturn,_xlfn.LOGNORM.INV(RAND(),MV2,Sigma1),IF(RAND()&lt;CondGood,_xlfn.LOGNORM.INV(RAND(),MV3,Sigma2),MIN(MaxMultiple,Xm/(1-RAND())^(1/Alpha)))))</f>
        <v>0.92109537695566324</v>
      </c>
      <c r="X155" s="19">
        <f ca="1">IF(RAND()&lt;P_Zero,0,IF(RAND()&lt;CondReturn,_xlfn.LOGNORM.INV(RAND(),MV2,Sigma1),IF(RAND()&lt;CondGood,_xlfn.LOGNORM.INV(RAND(),MV3,Sigma2),MIN(MaxMultiple,Xm/(1-RAND())^(1/Alpha)))))</f>
        <v>0</v>
      </c>
      <c r="Y155" s="19">
        <f ca="1">IF(RAND()&lt;P_Zero,0,IF(RAND()&lt;CondReturn,_xlfn.LOGNORM.INV(RAND(),MV2,Sigma1),IF(RAND()&lt;CondGood,_xlfn.LOGNORM.INV(RAND(),MV3,Sigma2),MIN(MaxMultiple,Xm/(1-RAND())^(1/Alpha)))))</f>
        <v>1.1901792742327284</v>
      </c>
      <c r="Z155" s="19">
        <f ca="1">IF(RAND()&lt;P_Zero,0,IF(RAND()&lt;CondReturn,_xlfn.LOGNORM.INV(RAND(),MV2,Sigma1),IF(RAND()&lt;CondGood,_xlfn.LOGNORM.INV(RAND(),MV3,Sigma2),MIN(MaxMultiple,Xm/(1-RAND())^(1/Alpha)))))</f>
        <v>1.094158728718108</v>
      </c>
      <c r="AA155" s="19">
        <f ca="1">IF(RAND()&lt;P_Zero,0,IF(RAND()&lt;CondReturn,_xlfn.LOGNORM.INV(RAND(),MV2,Sigma1),IF(RAND()&lt;CondGood,_xlfn.LOGNORM.INV(RAND(),MV3,Sigma2),MIN(MaxMultiple,Xm/(1-RAND())^(1/Alpha)))))</f>
        <v>0</v>
      </c>
      <c r="AB155" s="19">
        <f t="shared" ca="1" si="16"/>
        <v>3.9974614299465294</v>
      </c>
      <c r="AC155" s="14">
        <f t="shared" ca="1" si="17"/>
        <v>191878148.63743341</v>
      </c>
      <c r="AD155" s="14">
        <f t="shared" ca="1" si="18"/>
        <v>143878148.63743341</v>
      </c>
      <c r="AE155" s="14">
        <f t="shared" si="19"/>
        <v>55628399.869093813</v>
      </c>
      <c r="AF155" s="14">
        <f t="shared" ca="1" si="20"/>
        <v>88249748.768339604</v>
      </c>
      <c r="AG155" s="14">
        <f t="shared" ca="1" si="21"/>
        <v>17649949.753667921</v>
      </c>
      <c r="AH155" s="14">
        <f t="shared" ca="1" si="22"/>
        <v>174228198.88376549</v>
      </c>
      <c r="AI155" s="19">
        <f t="shared" ca="1" si="23"/>
        <v>2.9038033147294247</v>
      </c>
    </row>
    <row r="156" spans="2:35" x14ac:dyDescent="0.2">
      <c r="B156" s="1">
        <v>151</v>
      </c>
      <c r="C156" s="19">
        <f ca="1">IF(RAND()&lt;P_Zero,0,IF(RAND()&lt;CondReturn,_xlfn.LOGNORM.INV(RAND(),MV2,Sigma1),IF(RAND()&lt;CondGood,_xlfn.LOGNORM.INV(RAND(),MV3,Sigma2),MIN(MaxMultiple,Xm/(1-RAND())^(1/Alpha)))))</f>
        <v>0.75858600276797339</v>
      </c>
      <c r="D156" s="19">
        <f ca="1">IF(RAND()&lt;P_Zero,0,IF(RAND()&lt;CondReturn,_xlfn.LOGNORM.INV(RAND(),MV2,Sigma1),IF(RAND()&lt;CondGood,_xlfn.LOGNORM.INV(RAND(),MV3,Sigma2),MIN(MaxMultiple,Xm/(1-RAND())^(1/Alpha)))))</f>
        <v>0</v>
      </c>
      <c r="E156" s="19">
        <f ca="1">IF(RAND()&lt;P_Zero,0,IF(RAND()&lt;CondReturn,_xlfn.LOGNORM.INV(RAND(),MV2,Sigma1),IF(RAND()&lt;CondGood,_xlfn.LOGNORM.INV(RAND(),MV3,Sigma2),MIN(MaxMultiple,Xm/(1-RAND())^(1/Alpha)))))</f>
        <v>0.72372495952158333</v>
      </c>
      <c r="F156" s="19">
        <f ca="1">IF(RAND()&lt;P_Zero,0,IF(RAND()&lt;CondReturn,_xlfn.LOGNORM.INV(RAND(),MV2,Sigma1),IF(RAND()&lt;CondGood,_xlfn.LOGNORM.INV(RAND(),MV3,Sigma2),MIN(MaxMultiple,Xm/(1-RAND())^(1/Alpha)))))</f>
        <v>0</v>
      </c>
      <c r="G156" s="19">
        <f ca="1">IF(RAND()&lt;P_Zero,0,IF(RAND()&lt;CondReturn,_xlfn.LOGNORM.INV(RAND(),MV2,Sigma1),IF(RAND()&lt;CondGood,_xlfn.LOGNORM.INV(RAND(),MV3,Sigma2),MIN(MaxMultiple,Xm/(1-RAND())^(1/Alpha)))))</f>
        <v>0.81718772593756406</v>
      </c>
      <c r="H156" s="19">
        <f ca="1">IF(RAND()&lt;P_Zero,0,IF(RAND()&lt;CondReturn,_xlfn.LOGNORM.INV(RAND(),MV2,Sigma1),IF(RAND()&lt;CondGood,_xlfn.LOGNORM.INV(RAND(),MV3,Sigma2),MIN(MaxMultiple,Xm/(1-RAND())^(1/Alpha)))))</f>
        <v>0.61960172288944304</v>
      </c>
      <c r="I156" s="19">
        <f ca="1">IF(RAND()&lt;P_Zero,0,IF(RAND()&lt;CondReturn,_xlfn.LOGNORM.INV(RAND(),MV2,Sigma1),IF(RAND()&lt;CondGood,_xlfn.LOGNORM.INV(RAND(),MV3,Sigma2),MIN(MaxMultiple,Xm/(1-RAND())^(1/Alpha)))))</f>
        <v>0.71431689414623256</v>
      </c>
      <c r="J156" s="19">
        <f ca="1">IF(RAND()&lt;P_Zero,0,IF(RAND()&lt;CondReturn,_xlfn.LOGNORM.INV(RAND(),MV2,Sigma1),IF(RAND()&lt;CondGood,_xlfn.LOGNORM.INV(RAND(),MV3,Sigma2),MIN(MaxMultiple,Xm/(1-RAND())^(1/Alpha)))))</f>
        <v>0</v>
      </c>
      <c r="K156" s="19">
        <f ca="1">IF(RAND()&lt;P_Zero,0,IF(RAND()&lt;CondReturn,_xlfn.LOGNORM.INV(RAND(),MV2,Sigma1),IF(RAND()&lt;CondGood,_xlfn.LOGNORM.INV(RAND(),MV3,Sigma2),MIN(MaxMultiple,Xm/(1-RAND())^(1/Alpha)))))</f>
        <v>14.608905733480698</v>
      </c>
      <c r="L156" s="19">
        <f ca="1">IF(RAND()&lt;P_Zero,0,IF(RAND()&lt;CondReturn,_xlfn.LOGNORM.INV(RAND(),MV2,Sigma1),IF(RAND()&lt;CondGood,_xlfn.LOGNORM.INV(RAND(),MV3,Sigma2),MIN(MaxMultiple,Xm/(1-RAND())^(1/Alpha)))))</f>
        <v>1.0491666358781246</v>
      </c>
      <c r="M156" s="19">
        <f ca="1">IF(RAND()&lt;P_Zero,0,IF(RAND()&lt;CondReturn,_xlfn.LOGNORM.INV(RAND(),MV2,Sigma1),IF(RAND()&lt;CondGood,_xlfn.LOGNORM.INV(RAND(),MV3,Sigma2),MIN(MaxMultiple,Xm/(1-RAND())^(1/Alpha)))))</f>
        <v>0</v>
      </c>
      <c r="N156" s="19">
        <f ca="1">IF(RAND()&lt;P_Zero,0,IF(RAND()&lt;CondReturn,_xlfn.LOGNORM.INV(RAND(),MV2,Sigma1),IF(RAND()&lt;CondGood,_xlfn.LOGNORM.INV(RAND(),MV3,Sigma2),MIN(MaxMultiple,Xm/(1-RAND())^(1/Alpha)))))</f>
        <v>1.6005536759518602</v>
      </c>
      <c r="O156" s="19">
        <f ca="1">IF(RAND()&lt;P_Zero,0,IF(RAND()&lt;CondReturn,_xlfn.LOGNORM.INV(RAND(),MV2,Sigma1),IF(RAND()&lt;CondGood,_xlfn.LOGNORM.INV(RAND(),MV3,Sigma2),MIN(MaxMultiple,Xm/(1-RAND())^(1/Alpha)))))</f>
        <v>0</v>
      </c>
      <c r="P156" s="19">
        <f ca="1">IF(RAND()&lt;P_Zero,0,IF(RAND()&lt;CondReturn,_xlfn.LOGNORM.INV(RAND(),MV2,Sigma1),IF(RAND()&lt;CondGood,_xlfn.LOGNORM.INV(RAND(),MV3,Sigma2),MIN(MaxMultiple,Xm/(1-RAND())^(1/Alpha)))))</f>
        <v>11.686223539601537</v>
      </c>
      <c r="Q156" s="19">
        <f ca="1">IF(RAND()&lt;P_Zero,0,IF(RAND()&lt;CondReturn,_xlfn.LOGNORM.INV(RAND(),MV2,Sigma1),IF(RAND()&lt;CondGood,_xlfn.LOGNORM.INV(RAND(),MV3,Sigma2),MIN(MaxMultiple,Xm/(1-RAND())^(1/Alpha)))))</f>
        <v>0.59795570630808481</v>
      </c>
      <c r="R156" s="19">
        <f ca="1">IF(RAND()&lt;P_Zero,0,IF(RAND()&lt;CondReturn,_xlfn.LOGNORM.INV(RAND(),MV2,Sigma1),IF(RAND()&lt;CondGood,_xlfn.LOGNORM.INV(RAND(),MV3,Sigma2),MIN(MaxMultiple,Xm/(1-RAND())^(1/Alpha)))))</f>
        <v>0</v>
      </c>
      <c r="S156" s="19">
        <f ca="1">IF(RAND()&lt;P_Zero,0,IF(RAND()&lt;CondReturn,_xlfn.LOGNORM.INV(RAND(),MV2,Sigma1),IF(RAND()&lt;CondGood,_xlfn.LOGNORM.INV(RAND(),MV3,Sigma2),MIN(MaxMultiple,Xm/(1-RAND())^(1/Alpha)))))</f>
        <v>0</v>
      </c>
      <c r="T156" s="19">
        <f ca="1">IF(RAND()&lt;P_Zero,0,IF(RAND()&lt;CondReturn,_xlfn.LOGNORM.INV(RAND(),MV2,Sigma1),IF(RAND()&lt;CondGood,_xlfn.LOGNORM.INV(RAND(),MV3,Sigma2),MIN(MaxMultiple,Xm/(1-RAND())^(1/Alpha)))))</f>
        <v>1.6520317572455137</v>
      </c>
      <c r="U156" s="19">
        <f ca="1">IF(RAND()&lt;P_Zero,0,IF(RAND()&lt;CondReturn,_xlfn.LOGNORM.INV(RAND(),MV2,Sigma1),IF(RAND()&lt;CondGood,_xlfn.LOGNORM.INV(RAND(),MV3,Sigma2),MIN(MaxMultiple,Xm/(1-RAND())^(1/Alpha)))))</f>
        <v>1.1284618452186974</v>
      </c>
      <c r="V156" s="19">
        <f ca="1">IF(RAND()&lt;P_Zero,0,IF(RAND()&lt;CondReturn,_xlfn.LOGNORM.INV(RAND(),MV2,Sigma1),IF(RAND()&lt;CondGood,_xlfn.LOGNORM.INV(RAND(),MV3,Sigma2),MIN(MaxMultiple,Xm/(1-RAND())^(1/Alpha)))))</f>
        <v>1.2955126161104049</v>
      </c>
      <c r="W156" s="19">
        <f ca="1">IF(RAND()&lt;P_Zero,0,IF(RAND()&lt;CondReturn,_xlfn.LOGNORM.INV(RAND(),MV2,Sigma1),IF(RAND()&lt;CondGood,_xlfn.LOGNORM.INV(RAND(),MV3,Sigma2),MIN(MaxMultiple,Xm/(1-RAND())^(1/Alpha)))))</f>
        <v>2.0504242054142958</v>
      </c>
      <c r="X156" s="19">
        <f ca="1">IF(RAND()&lt;P_Zero,0,IF(RAND()&lt;CondReturn,_xlfn.LOGNORM.INV(RAND(),MV2,Sigma1),IF(RAND()&lt;CondGood,_xlfn.LOGNORM.INV(RAND(),MV3,Sigma2),MIN(MaxMultiple,Xm/(1-RAND())^(1/Alpha)))))</f>
        <v>0</v>
      </c>
      <c r="Y156" s="19">
        <f ca="1">IF(RAND()&lt;P_Zero,0,IF(RAND()&lt;CondReturn,_xlfn.LOGNORM.INV(RAND(),MV2,Sigma1),IF(RAND()&lt;CondGood,_xlfn.LOGNORM.INV(RAND(),MV3,Sigma2),MIN(MaxMultiple,Xm/(1-RAND())^(1/Alpha)))))</f>
        <v>0</v>
      </c>
      <c r="Z156" s="19">
        <f ca="1">IF(RAND()&lt;P_Zero,0,IF(RAND()&lt;CondReturn,_xlfn.LOGNORM.INV(RAND(),MV2,Sigma1),IF(RAND()&lt;CondGood,_xlfn.LOGNORM.INV(RAND(),MV3,Sigma2),MIN(MaxMultiple,Xm/(1-RAND())^(1/Alpha)))))</f>
        <v>1.261396418113617</v>
      </c>
      <c r="AA156" s="19">
        <f ca="1">IF(RAND()&lt;P_Zero,0,IF(RAND()&lt;CondReturn,_xlfn.LOGNORM.INV(RAND(),MV2,Sigma1),IF(RAND()&lt;CondGood,_xlfn.LOGNORM.INV(RAND(),MV3,Sigma2),MIN(MaxMultiple,Xm/(1-RAND())^(1/Alpha)))))</f>
        <v>0.45408068395544271</v>
      </c>
      <c r="AB156" s="19">
        <f t="shared" ca="1" si="16"/>
        <v>1.640725204901643</v>
      </c>
      <c r="AC156" s="14">
        <f t="shared" ca="1" si="17"/>
        <v>78754809.835278869</v>
      </c>
      <c r="AD156" s="14">
        <f t="shared" ca="1" si="18"/>
        <v>30754809.835278869</v>
      </c>
      <c r="AE156" s="14">
        <f t="shared" si="19"/>
        <v>55628399.869093813</v>
      </c>
      <c r="AF156" s="14">
        <f t="shared" ca="1" si="20"/>
        <v>0</v>
      </c>
      <c r="AG156" s="14">
        <f t="shared" ca="1" si="21"/>
        <v>0</v>
      </c>
      <c r="AH156" s="14">
        <f t="shared" ca="1" si="22"/>
        <v>78754809.835278869</v>
      </c>
      <c r="AI156" s="19">
        <f t="shared" ca="1" si="23"/>
        <v>1.3125801639213144</v>
      </c>
    </row>
    <row r="157" spans="2:35" x14ac:dyDescent="0.2">
      <c r="B157" s="1">
        <v>152</v>
      </c>
      <c r="C157" s="19">
        <f ca="1">IF(RAND()&lt;P_Zero,0,IF(RAND()&lt;CondReturn,_xlfn.LOGNORM.INV(RAND(),MV2,Sigma1),IF(RAND()&lt;CondGood,_xlfn.LOGNORM.INV(RAND(),MV3,Sigma2),MIN(MaxMultiple,Xm/(1-RAND())^(1/Alpha)))))</f>
        <v>0</v>
      </c>
      <c r="D157" s="19">
        <f ca="1">IF(RAND()&lt;P_Zero,0,IF(RAND()&lt;CondReturn,_xlfn.LOGNORM.INV(RAND(),MV2,Sigma1),IF(RAND()&lt;CondGood,_xlfn.LOGNORM.INV(RAND(),MV3,Sigma2),MIN(MaxMultiple,Xm/(1-RAND())^(1/Alpha)))))</f>
        <v>0</v>
      </c>
      <c r="E157" s="19">
        <f ca="1">IF(RAND()&lt;P_Zero,0,IF(RAND()&lt;CondReturn,_xlfn.LOGNORM.INV(RAND(),MV2,Sigma1),IF(RAND()&lt;CondGood,_xlfn.LOGNORM.INV(RAND(),MV3,Sigma2),MIN(MaxMultiple,Xm/(1-RAND())^(1/Alpha)))))</f>
        <v>0.83491610240871783</v>
      </c>
      <c r="F157" s="19">
        <f ca="1">IF(RAND()&lt;P_Zero,0,IF(RAND()&lt;CondReturn,_xlfn.LOGNORM.INV(RAND(),MV2,Sigma1),IF(RAND()&lt;CondGood,_xlfn.LOGNORM.INV(RAND(),MV3,Sigma2),MIN(MaxMultiple,Xm/(1-RAND())^(1/Alpha)))))</f>
        <v>0</v>
      </c>
      <c r="G157" s="19">
        <f ca="1">IF(RAND()&lt;P_Zero,0,IF(RAND()&lt;CondReturn,_xlfn.LOGNORM.INV(RAND(),MV2,Sigma1),IF(RAND()&lt;CondGood,_xlfn.LOGNORM.INV(RAND(),MV3,Sigma2),MIN(MaxMultiple,Xm/(1-RAND())^(1/Alpha)))))</f>
        <v>0</v>
      </c>
      <c r="H157" s="19">
        <f ca="1">IF(RAND()&lt;P_Zero,0,IF(RAND()&lt;CondReturn,_xlfn.LOGNORM.INV(RAND(),MV2,Sigma1),IF(RAND()&lt;CondGood,_xlfn.LOGNORM.INV(RAND(),MV3,Sigma2),MIN(MaxMultiple,Xm/(1-RAND())^(1/Alpha)))))</f>
        <v>1.412883848033899</v>
      </c>
      <c r="I157" s="19">
        <f ca="1">IF(RAND()&lt;P_Zero,0,IF(RAND()&lt;CondReturn,_xlfn.LOGNORM.INV(RAND(),MV2,Sigma1),IF(RAND()&lt;CondGood,_xlfn.LOGNORM.INV(RAND(),MV3,Sigma2),MIN(MaxMultiple,Xm/(1-RAND())^(1/Alpha)))))</f>
        <v>0.8024364205414346</v>
      </c>
      <c r="J157" s="19">
        <f ca="1">IF(RAND()&lt;P_Zero,0,IF(RAND()&lt;CondReturn,_xlfn.LOGNORM.INV(RAND(),MV2,Sigma1),IF(RAND()&lt;CondGood,_xlfn.LOGNORM.INV(RAND(),MV3,Sigma2),MIN(MaxMultiple,Xm/(1-RAND())^(1/Alpha)))))</f>
        <v>0</v>
      </c>
      <c r="K157" s="19">
        <f ca="1">IF(RAND()&lt;P_Zero,0,IF(RAND()&lt;CondReturn,_xlfn.LOGNORM.INV(RAND(),MV2,Sigma1),IF(RAND()&lt;CondGood,_xlfn.LOGNORM.INV(RAND(),MV3,Sigma2),MIN(MaxMultiple,Xm/(1-RAND())^(1/Alpha)))))</f>
        <v>15.806268609788029</v>
      </c>
      <c r="L157" s="19">
        <f ca="1">IF(RAND()&lt;P_Zero,0,IF(RAND()&lt;CondReturn,_xlfn.LOGNORM.INV(RAND(),MV2,Sigma1),IF(RAND()&lt;CondGood,_xlfn.LOGNORM.INV(RAND(),MV3,Sigma2),MIN(MaxMultiple,Xm/(1-RAND())^(1/Alpha)))))</f>
        <v>11.567523356600265</v>
      </c>
      <c r="M157" s="19">
        <f ca="1">IF(RAND()&lt;P_Zero,0,IF(RAND()&lt;CondReturn,_xlfn.LOGNORM.INV(RAND(),MV2,Sigma1),IF(RAND()&lt;CondGood,_xlfn.LOGNORM.INV(RAND(),MV3,Sigma2),MIN(MaxMultiple,Xm/(1-RAND())^(1/Alpha)))))</f>
        <v>1.6649521053892726</v>
      </c>
      <c r="N157" s="19">
        <f ca="1">IF(RAND()&lt;P_Zero,0,IF(RAND()&lt;CondReturn,_xlfn.LOGNORM.INV(RAND(),MV2,Sigma1),IF(RAND()&lt;CondGood,_xlfn.LOGNORM.INV(RAND(),MV3,Sigma2),MIN(MaxMultiple,Xm/(1-RAND())^(1/Alpha)))))</f>
        <v>0.89769842029308389</v>
      </c>
      <c r="O157" s="19">
        <f ca="1">IF(RAND()&lt;P_Zero,0,IF(RAND()&lt;CondReturn,_xlfn.LOGNORM.INV(RAND(),MV2,Sigma1),IF(RAND()&lt;CondGood,_xlfn.LOGNORM.INV(RAND(),MV3,Sigma2),MIN(MaxMultiple,Xm/(1-RAND())^(1/Alpha)))))</f>
        <v>1.6164052171212144</v>
      </c>
      <c r="P157" s="19">
        <f ca="1">IF(RAND()&lt;P_Zero,0,IF(RAND()&lt;CondReturn,_xlfn.LOGNORM.INV(RAND(),MV2,Sigma1),IF(RAND()&lt;CondGood,_xlfn.LOGNORM.INV(RAND(),MV3,Sigma2),MIN(MaxMultiple,Xm/(1-RAND())^(1/Alpha)))))</f>
        <v>0.80520468645982546</v>
      </c>
      <c r="Q157" s="19">
        <f ca="1">IF(RAND()&lt;P_Zero,0,IF(RAND()&lt;CondReturn,_xlfn.LOGNORM.INV(RAND(),MV2,Sigma1),IF(RAND()&lt;CondGood,_xlfn.LOGNORM.INV(RAND(),MV3,Sigma2),MIN(MaxMultiple,Xm/(1-RAND())^(1/Alpha)))))</f>
        <v>0</v>
      </c>
      <c r="R157" s="19">
        <f ca="1">IF(RAND()&lt;P_Zero,0,IF(RAND()&lt;CondReturn,_xlfn.LOGNORM.INV(RAND(),MV2,Sigma1),IF(RAND()&lt;CondGood,_xlfn.LOGNORM.INV(RAND(),MV3,Sigma2),MIN(MaxMultiple,Xm/(1-RAND())^(1/Alpha)))))</f>
        <v>1.0888914565834915</v>
      </c>
      <c r="S157" s="19">
        <f ca="1">IF(RAND()&lt;P_Zero,0,IF(RAND()&lt;CondReturn,_xlfn.LOGNORM.INV(RAND(),MV2,Sigma1),IF(RAND()&lt;CondGood,_xlfn.LOGNORM.INV(RAND(),MV3,Sigma2),MIN(MaxMultiple,Xm/(1-RAND())^(1/Alpha)))))</f>
        <v>31.407060834923456</v>
      </c>
      <c r="T157" s="19">
        <f ca="1">IF(RAND()&lt;P_Zero,0,IF(RAND()&lt;CondReturn,_xlfn.LOGNORM.INV(RAND(),MV2,Sigma1),IF(RAND()&lt;CondGood,_xlfn.LOGNORM.INV(RAND(),MV3,Sigma2),MIN(MaxMultiple,Xm/(1-RAND())^(1/Alpha)))))</f>
        <v>1.0725471971837859</v>
      </c>
      <c r="U157" s="19">
        <f ca="1">IF(RAND()&lt;P_Zero,0,IF(RAND()&lt;CondReturn,_xlfn.LOGNORM.INV(RAND(),MV2,Sigma1),IF(RAND()&lt;CondGood,_xlfn.LOGNORM.INV(RAND(),MV3,Sigma2),MIN(MaxMultiple,Xm/(1-RAND())^(1/Alpha)))))</f>
        <v>0</v>
      </c>
      <c r="V157" s="19">
        <f ca="1">IF(RAND()&lt;P_Zero,0,IF(RAND()&lt;CondReturn,_xlfn.LOGNORM.INV(RAND(),MV2,Sigma1),IF(RAND()&lt;CondGood,_xlfn.LOGNORM.INV(RAND(),MV3,Sigma2),MIN(MaxMultiple,Xm/(1-RAND())^(1/Alpha)))))</f>
        <v>1.6391726643095748</v>
      </c>
      <c r="W157" s="19">
        <f ca="1">IF(RAND()&lt;P_Zero,0,IF(RAND()&lt;CondReturn,_xlfn.LOGNORM.INV(RAND(),MV2,Sigma1),IF(RAND()&lt;CondGood,_xlfn.LOGNORM.INV(RAND(),MV3,Sigma2),MIN(MaxMultiple,Xm/(1-RAND())^(1/Alpha)))))</f>
        <v>18.456643924747386</v>
      </c>
      <c r="X157" s="19">
        <f ca="1">IF(RAND()&lt;P_Zero,0,IF(RAND()&lt;CondReturn,_xlfn.LOGNORM.INV(RAND(),MV2,Sigma1),IF(RAND()&lt;CondGood,_xlfn.LOGNORM.INV(RAND(),MV3,Sigma2),MIN(MaxMultiple,Xm/(1-RAND())^(1/Alpha)))))</f>
        <v>0</v>
      </c>
      <c r="Y157" s="19">
        <f ca="1">IF(RAND()&lt;P_Zero,0,IF(RAND()&lt;CondReturn,_xlfn.LOGNORM.INV(RAND(),MV2,Sigma1),IF(RAND()&lt;CondGood,_xlfn.LOGNORM.INV(RAND(),MV3,Sigma2),MIN(MaxMultiple,Xm/(1-RAND())^(1/Alpha)))))</f>
        <v>1.8513152017989924</v>
      </c>
      <c r="Z157" s="19">
        <f ca="1">IF(RAND()&lt;P_Zero,0,IF(RAND()&lt;CondReturn,_xlfn.LOGNORM.INV(RAND(),MV2,Sigma1),IF(RAND()&lt;CondGood,_xlfn.LOGNORM.INV(RAND(),MV3,Sigma2),MIN(MaxMultiple,Xm/(1-RAND())^(1/Alpha)))))</f>
        <v>1.8448974208085038</v>
      </c>
      <c r="AA157" s="19">
        <f ca="1">IF(RAND()&lt;P_Zero,0,IF(RAND()&lt;CondReturn,_xlfn.LOGNORM.INV(RAND(),MV2,Sigma1),IF(RAND()&lt;CondGood,_xlfn.LOGNORM.INV(RAND(),MV3,Sigma2),MIN(MaxMultiple,Xm/(1-RAND())^(1/Alpha)))))</f>
        <v>0</v>
      </c>
      <c r="AB157" s="19">
        <f t="shared" ca="1" si="16"/>
        <v>3.7107526986796362</v>
      </c>
      <c r="AC157" s="14">
        <f t="shared" ca="1" si="17"/>
        <v>178116129.53662252</v>
      </c>
      <c r="AD157" s="14">
        <f t="shared" ca="1" si="18"/>
        <v>130116129.53662252</v>
      </c>
      <c r="AE157" s="14">
        <f t="shared" si="19"/>
        <v>55628399.869093813</v>
      </c>
      <c r="AF157" s="14">
        <f t="shared" ca="1" si="20"/>
        <v>74487729.667528719</v>
      </c>
      <c r="AG157" s="14">
        <f t="shared" ca="1" si="21"/>
        <v>14897545.933505744</v>
      </c>
      <c r="AH157" s="14">
        <f t="shared" ca="1" si="22"/>
        <v>163218583.60311678</v>
      </c>
      <c r="AI157" s="19">
        <f t="shared" ca="1" si="23"/>
        <v>2.7203097267186132</v>
      </c>
    </row>
    <row r="158" spans="2:35" x14ac:dyDescent="0.2">
      <c r="B158" s="1">
        <v>153</v>
      </c>
      <c r="C158" s="19">
        <f ca="1">IF(RAND()&lt;P_Zero,0,IF(RAND()&lt;CondReturn,_xlfn.LOGNORM.INV(RAND(),MV2,Sigma1),IF(RAND()&lt;CondGood,_xlfn.LOGNORM.INV(RAND(),MV3,Sigma2),MIN(MaxMultiple,Xm/(1-RAND())^(1/Alpha)))))</f>
        <v>0</v>
      </c>
      <c r="D158" s="19">
        <f ca="1">IF(RAND()&lt;P_Zero,0,IF(RAND()&lt;CondReturn,_xlfn.LOGNORM.INV(RAND(),MV2,Sigma1),IF(RAND()&lt;CondGood,_xlfn.LOGNORM.INV(RAND(),MV3,Sigma2),MIN(MaxMultiple,Xm/(1-RAND())^(1/Alpha)))))</f>
        <v>0.42334292454568179</v>
      </c>
      <c r="E158" s="19">
        <f ca="1">IF(RAND()&lt;P_Zero,0,IF(RAND()&lt;CondReturn,_xlfn.LOGNORM.INV(RAND(),MV2,Sigma1),IF(RAND()&lt;CondGood,_xlfn.LOGNORM.INV(RAND(),MV3,Sigma2),MIN(MaxMultiple,Xm/(1-RAND())^(1/Alpha)))))</f>
        <v>0</v>
      </c>
      <c r="F158" s="19">
        <f ca="1">IF(RAND()&lt;P_Zero,0,IF(RAND()&lt;CondReturn,_xlfn.LOGNORM.INV(RAND(),MV2,Sigma1),IF(RAND()&lt;CondGood,_xlfn.LOGNORM.INV(RAND(),MV3,Sigma2),MIN(MaxMultiple,Xm/(1-RAND())^(1/Alpha)))))</f>
        <v>57.626781891909296</v>
      </c>
      <c r="G158" s="19">
        <f ca="1">IF(RAND()&lt;P_Zero,0,IF(RAND()&lt;CondReturn,_xlfn.LOGNORM.INV(RAND(),MV2,Sigma1),IF(RAND()&lt;CondGood,_xlfn.LOGNORM.INV(RAND(),MV3,Sigma2),MIN(MaxMultiple,Xm/(1-RAND())^(1/Alpha)))))</f>
        <v>27.309043534219953</v>
      </c>
      <c r="H158" s="19">
        <f ca="1">IF(RAND()&lt;P_Zero,0,IF(RAND()&lt;CondReturn,_xlfn.LOGNORM.INV(RAND(),MV2,Sigma1),IF(RAND()&lt;CondGood,_xlfn.LOGNORM.INV(RAND(),MV3,Sigma2),MIN(MaxMultiple,Xm/(1-RAND())^(1/Alpha)))))</f>
        <v>0</v>
      </c>
      <c r="I158" s="19">
        <f ca="1">IF(RAND()&lt;P_Zero,0,IF(RAND()&lt;CondReturn,_xlfn.LOGNORM.INV(RAND(),MV2,Sigma1),IF(RAND()&lt;CondGood,_xlfn.LOGNORM.INV(RAND(),MV3,Sigma2),MIN(MaxMultiple,Xm/(1-RAND())^(1/Alpha)))))</f>
        <v>1.9702096369721358</v>
      </c>
      <c r="J158" s="19">
        <f ca="1">IF(RAND()&lt;P_Zero,0,IF(RAND()&lt;CondReturn,_xlfn.LOGNORM.INV(RAND(),MV2,Sigma1),IF(RAND()&lt;CondGood,_xlfn.LOGNORM.INV(RAND(),MV3,Sigma2),MIN(MaxMultiple,Xm/(1-RAND())^(1/Alpha)))))</f>
        <v>1.0233028471433656</v>
      </c>
      <c r="K158" s="19">
        <f ca="1">IF(RAND()&lt;P_Zero,0,IF(RAND()&lt;CondReturn,_xlfn.LOGNORM.INV(RAND(),MV2,Sigma1),IF(RAND()&lt;CondGood,_xlfn.LOGNORM.INV(RAND(),MV3,Sigma2),MIN(MaxMultiple,Xm/(1-RAND())^(1/Alpha)))))</f>
        <v>0</v>
      </c>
      <c r="L158" s="19">
        <f ca="1">IF(RAND()&lt;P_Zero,0,IF(RAND()&lt;CondReturn,_xlfn.LOGNORM.INV(RAND(),MV2,Sigma1),IF(RAND()&lt;CondGood,_xlfn.LOGNORM.INV(RAND(),MV3,Sigma2),MIN(MaxMultiple,Xm/(1-RAND())^(1/Alpha)))))</f>
        <v>1.0998984360725494</v>
      </c>
      <c r="M158" s="19">
        <f ca="1">IF(RAND()&lt;P_Zero,0,IF(RAND()&lt;CondReturn,_xlfn.LOGNORM.INV(RAND(),MV2,Sigma1),IF(RAND()&lt;CondGood,_xlfn.LOGNORM.INV(RAND(),MV3,Sigma2),MIN(MaxMultiple,Xm/(1-RAND())^(1/Alpha)))))</f>
        <v>0</v>
      </c>
      <c r="N158" s="19">
        <f ca="1">IF(RAND()&lt;P_Zero,0,IF(RAND()&lt;CondReturn,_xlfn.LOGNORM.INV(RAND(),MV2,Sigma1),IF(RAND()&lt;CondGood,_xlfn.LOGNORM.INV(RAND(),MV3,Sigma2),MIN(MaxMultiple,Xm/(1-RAND())^(1/Alpha)))))</f>
        <v>0.43255815002875303</v>
      </c>
      <c r="O158" s="19">
        <f ca="1">IF(RAND()&lt;P_Zero,0,IF(RAND()&lt;CondReturn,_xlfn.LOGNORM.INV(RAND(),MV2,Sigma1),IF(RAND()&lt;CondGood,_xlfn.LOGNORM.INV(RAND(),MV3,Sigma2),MIN(MaxMultiple,Xm/(1-RAND())^(1/Alpha)))))</f>
        <v>0</v>
      </c>
      <c r="P158" s="19">
        <f ca="1">IF(RAND()&lt;P_Zero,0,IF(RAND()&lt;CondReturn,_xlfn.LOGNORM.INV(RAND(),MV2,Sigma1),IF(RAND()&lt;CondGood,_xlfn.LOGNORM.INV(RAND(),MV3,Sigma2),MIN(MaxMultiple,Xm/(1-RAND())^(1/Alpha)))))</f>
        <v>1.1872637363612581</v>
      </c>
      <c r="Q158" s="19">
        <f ca="1">IF(RAND()&lt;P_Zero,0,IF(RAND()&lt;CondReturn,_xlfn.LOGNORM.INV(RAND(),MV2,Sigma1),IF(RAND()&lt;CondGood,_xlfn.LOGNORM.INV(RAND(),MV3,Sigma2),MIN(MaxMultiple,Xm/(1-RAND())^(1/Alpha)))))</f>
        <v>0</v>
      </c>
      <c r="R158" s="19">
        <f ca="1">IF(RAND()&lt;P_Zero,0,IF(RAND()&lt;CondReturn,_xlfn.LOGNORM.INV(RAND(),MV2,Sigma1),IF(RAND()&lt;CondGood,_xlfn.LOGNORM.INV(RAND(),MV3,Sigma2),MIN(MaxMultiple,Xm/(1-RAND())^(1/Alpha)))))</f>
        <v>0</v>
      </c>
      <c r="S158" s="19">
        <f ca="1">IF(RAND()&lt;P_Zero,0,IF(RAND()&lt;CondReturn,_xlfn.LOGNORM.INV(RAND(),MV2,Sigma1),IF(RAND()&lt;CondGood,_xlfn.LOGNORM.INV(RAND(),MV3,Sigma2),MIN(MaxMultiple,Xm/(1-RAND())^(1/Alpha)))))</f>
        <v>14.411593078044897</v>
      </c>
      <c r="T158" s="19">
        <f ca="1">IF(RAND()&lt;P_Zero,0,IF(RAND()&lt;CondReturn,_xlfn.LOGNORM.INV(RAND(),MV2,Sigma1),IF(RAND()&lt;CondGood,_xlfn.LOGNORM.INV(RAND(),MV3,Sigma2),MIN(MaxMultiple,Xm/(1-RAND())^(1/Alpha)))))</f>
        <v>1.9176479276239919</v>
      </c>
      <c r="U158" s="19">
        <f ca="1">IF(RAND()&lt;P_Zero,0,IF(RAND()&lt;CondReturn,_xlfn.LOGNORM.INV(RAND(),MV2,Sigma1),IF(RAND()&lt;CondGood,_xlfn.LOGNORM.INV(RAND(),MV3,Sigma2),MIN(MaxMultiple,Xm/(1-RAND())^(1/Alpha)))))</f>
        <v>0.31637390213804184</v>
      </c>
      <c r="V158" s="19">
        <f ca="1">IF(RAND()&lt;P_Zero,0,IF(RAND()&lt;CondReturn,_xlfn.LOGNORM.INV(RAND(),MV2,Sigma1),IF(RAND()&lt;CondGood,_xlfn.LOGNORM.INV(RAND(),MV3,Sigma2),MIN(MaxMultiple,Xm/(1-RAND())^(1/Alpha)))))</f>
        <v>0</v>
      </c>
      <c r="W158" s="19">
        <f ca="1">IF(RAND()&lt;P_Zero,0,IF(RAND()&lt;CondReturn,_xlfn.LOGNORM.INV(RAND(),MV2,Sigma1),IF(RAND()&lt;CondGood,_xlfn.LOGNORM.INV(RAND(),MV3,Sigma2),MIN(MaxMultiple,Xm/(1-RAND())^(1/Alpha)))))</f>
        <v>0.83397445075013987</v>
      </c>
      <c r="X158" s="19">
        <f ca="1">IF(RAND()&lt;P_Zero,0,IF(RAND()&lt;CondReturn,_xlfn.LOGNORM.INV(RAND(),MV2,Sigma1),IF(RAND()&lt;CondGood,_xlfn.LOGNORM.INV(RAND(),MV3,Sigma2),MIN(MaxMultiple,Xm/(1-RAND())^(1/Alpha)))))</f>
        <v>1.7849886569202675</v>
      </c>
      <c r="Y158" s="19">
        <f ca="1">IF(RAND()&lt;P_Zero,0,IF(RAND()&lt;CondReturn,_xlfn.LOGNORM.INV(RAND(),MV2,Sigma1),IF(RAND()&lt;CondGood,_xlfn.LOGNORM.INV(RAND(),MV3,Sigma2),MIN(MaxMultiple,Xm/(1-RAND())^(1/Alpha)))))</f>
        <v>0.65088096594815448</v>
      </c>
      <c r="Z158" s="19">
        <f ca="1">IF(RAND()&lt;P_Zero,0,IF(RAND()&lt;CondReturn,_xlfn.LOGNORM.INV(RAND(),MV2,Sigma1),IF(RAND()&lt;CondGood,_xlfn.LOGNORM.INV(RAND(),MV3,Sigma2),MIN(MaxMultiple,Xm/(1-RAND())^(1/Alpha)))))</f>
        <v>0.96237912981225848</v>
      </c>
      <c r="AA158" s="19">
        <f ca="1">IF(RAND()&lt;P_Zero,0,IF(RAND()&lt;CondReturn,_xlfn.LOGNORM.INV(RAND(),MV2,Sigma1),IF(RAND()&lt;CondGood,_xlfn.LOGNORM.INV(RAND(),MV3,Sigma2),MIN(MaxMultiple,Xm/(1-RAND())^(1/Alpha)))))</f>
        <v>0</v>
      </c>
      <c r="AB158" s="19">
        <f t="shared" ca="1" si="16"/>
        <v>4.4780095707396299</v>
      </c>
      <c r="AC158" s="14">
        <f t="shared" ca="1" si="17"/>
        <v>214944459.39550224</v>
      </c>
      <c r="AD158" s="14">
        <f t="shared" ca="1" si="18"/>
        <v>166944459.39550224</v>
      </c>
      <c r="AE158" s="14">
        <f t="shared" si="19"/>
        <v>55628399.869093813</v>
      </c>
      <c r="AF158" s="14">
        <f t="shared" ca="1" si="20"/>
        <v>111316059.52640843</v>
      </c>
      <c r="AG158" s="14">
        <f t="shared" ca="1" si="21"/>
        <v>22263211.905281689</v>
      </c>
      <c r="AH158" s="14">
        <f t="shared" ca="1" si="22"/>
        <v>192681247.49022055</v>
      </c>
      <c r="AI158" s="19">
        <f t="shared" ca="1" si="23"/>
        <v>3.2113541248370092</v>
      </c>
    </row>
    <row r="159" spans="2:35" x14ac:dyDescent="0.2">
      <c r="B159" s="1">
        <v>154</v>
      </c>
      <c r="C159" s="19">
        <f ca="1">IF(RAND()&lt;P_Zero,0,IF(RAND()&lt;CondReturn,_xlfn.LOGNORM.INV(RAND(),MV2,Sigma1),IF(RAND()&lt;CondGood,_xlfn.LOGNORM.INV(RAND(),MV3,Sigma2),MIN(MaxMultiple,Xm/(1-RAND())^(1/Alpha)))))</f>
        <v>0</v>
      </c>
      <c r="D159" s="19">
        <f ca="1">IF(RAND()&lt;P_Zero,0,IF(RAND()&lt;CondReturn,_xlfn.LOGNORM.INV(RAND(),MV2,Sigma1),IF(RAND()&lt;CondGood,_xlfn.LOGNORM.INV(RAND(),MV3,Sigma2),MIN(MaxMultiple,Xm/(1-RAND())^(1/Alpha)))))</f>
        <v>1.1504849135387292</v>
      </c>
      <c r="E159" s="19">
        <f ca="1">IF(RAND()&lt;P_Zero,0,IF(RAND()&lt;CondReturn,_xlfn.LOGNORM.INV(RAND(),MV2,Sigma1),IF(RAND()&lt;CondGood,_xlfn.LOGNORM.INV(RAND(),MV3,Sigma2),MIN(MaxMultiple,Xm/(1-RAND())^(1/Alpha)))))</f>
        <v>1.0673355071420372</v>
      </c>
      <c r="F159" s="19">
        <f ca="1">IF(RAND()&lt;P_Zero,0,IF(RAND()&lt;CondReturn,_xlfn.LOGNORM.INV(RAND(),MV2,Sigma1),IF(RAND()&lt;CondGood,_xlfn.LOGNORM.INV(RAND(),MV3,Sigma2),MIN(MaxMultiple,Xm/(1-RAND())^(1/Alpha)))))</f>
        <v>0.7282479569446757</v>
      </c>
      <c r="G159" s="19">
        <f ca="1">IF(RAND()&lt;P_Zero,0,IF(RAND()&lt;CondReturn,_xlfn.LOGNORM.INV(RAND(),MV2,Sigma1),IF(RAND()&lt;CondGood,_xlfn.LOGNORM.INV(RAND(),MV3,Sigma2),MIN(MaxMultiple,Xm/(1-RAND())^(1/Alpha)))))</f>
        <v>0.75899637249641094</v>
      </c>
      <c r="H159" s="19">
        <f ca="1">IF(RAND()&lt;P_Zero,0,IF(RAND()&lt;CondReturn,_xlfn.LOGNORM.INV(RAND(),MV2,Sigma1),IF(RAND()&lt;CondGood,_xlfn.LOGNORM.INV(RAND(),MV3,Sigma2),MIN(MaxMultiple,Xm/(1-RAND())^(1/Alpha)))))</f>
        <v>0</v>
      </c>
      <c r="I159" s="19">
        <f ca="1">IF(RAND()&lt;P_Zero,0,IF(RAND()&lt;CondReturn,_xlfn.LOGNORM.INV(RAND(),MV2,Sigma1),IF(RAND()&lt;CondGood,_xlfn.LOGNORM.INV(RAND(),MV3,Sigma2),MIN(MaxMultiple,Xm/(1-RAND())^(1/Alpha)))))</f>
        <v>1.8647290993035071</v>
      </c>
      <c r="J159" s="19">
        <f ca="1">IF(RAND()&lt;P_Zero,0,IF(RAND()&lt;CondReturn,_xlfn.LOGNORM.INV(RAND(),MV2,Sigma1),IF(RAND()&lt;CondGood,_xlfn.LOGNORM.INV(RAND(),MV3,Sigma2),MIN(MaxMultiple,Xm/(1-RAND())^(1/Alpha)))))</f>
        <v>1.4733002168651288</v>
      </c>
      <c r="K159" s="19">
        <f ca="1">IF(RAND()&lt;P_Zero,0,IF(RAND()&lt;CondReturn,_xlfn.LOGNORM.INV(RAND(),MV2,Sigma1),IF(RAND()&lt;CondGood,_xlfn.LOGNORM.INV(RAND(),MV3,Sigma2),MIN(MaxMultiple,Xm/(1-RAND())^(1/Alpha)))))</f>
        <v>0</v>
      </c>
      <c r="L159" s="19">
        <f ca="1">IF(RAND()&lt;P_Zero,0,IF(RAND()&lt;CondReturn,_xlfn.LOGNORM.INV(RAND(),MV2,Sigma1),IF(RAND()&lt;CondGood,_xlfn.LOGNORM.INV(RAND(),MV3,Sigma2),MIN(MaxMultiple,Xm/(1-RAND())^(1/Alpha)))))</f>
        <v>0</v>
      </c>
      <c r="M159" s="19">
        <f ca="1">IF(RAND()&lt;P_Zero,0,IF(RAND()&lt;CondReturn,_xlfn.LOGNORM.INV(RAND(),MV2,Sigma1),IF(RAND()&lt;CondGood,_xlfn.LOGNORM.INV(RAND(),MV3,Sigma2),MIN(MaxMultiple,Xm/(1-RAND())^(1/Alpha)))))</f>
        <v>18.672234592900207</v>
      </c>
      <c r="N159" s="19">
        <f ca="1">IF(RAND()&lt;P_Zero,0,IF(RAND()&lt;CondReturn,_xlfn.LOGNORM.INV(RAND(),MV2,Sigma1),IF(RAND()&lt;CondGood,_xlfn.LOGNORM.INV(RAND(),MV3,Sigma2),MIN(MaxMultiple,Xm/(1-RAND())^(1/Alpha)))))</f>
        <v>1.1261607569082339</v>
      </c>
      <c r="O159" s="19">
        <f ca="1">IF(RAND()&lt;P_Zero,0,IF(RAND()&lt;CondReturn,_xlfn.LOGNORM.INV(RAND(),MV2,Sigma1),IF(RAND()&lt;CondGood,_xlfn.LOGNORM.INV(RAND(),MV3,Sigma2),MIN(MaxMultiple,Xm/(1-RAND())^(1/Alpha)))))</f>
        <v>0</v>
      </c>
      <c r="P159" s="19">
        <f ca="1">IF(RAND()&lt;P_Zero,0,IF(RAND()&lt;CondReturn,_xlfn.LOGNORM.INV(RAND(),MV2,Sigma1),IF(RAND()&lt;CondGood,_xlfn.LOGNORM.INV(RAND(),MV3,Sigma2),MIN(MaxMultiple,Xm/(1-RAND())^(1/Alpha)))))</f>
        <v>0.61648043969359012</v>
      </c>
      <c r="Q159" s="19">
        <f ca="1">IF(RAND()&lt;P_Zero,0,IF(RAND()&lt;CondReturn,_xlfn.LOGNORM.INV(RAND(),MV2,Sigma1),IF(RAND()&lt;CondGood,_xlfn.LOGNORM.INV(RAND(),MV3,Sigma2),MIN(MaxMultiple,Xm/(1-RAND())^(1/Alpha)))))</f>
        <v>1.2813117828294733</v>
      </c>
      <c r="R159" s="19">
        <f ca="1">IF(RAND()&lt;P_Zero,0,IF(RAND()&lt;CondReturn,_xlfn.LOGNORM.INV(RAND(),MV2,Sigma1),IF(RAND()&lt;CondGood,_xlfn.LOGNORM.INV(RAND(),MV3,Sigma2),MIN(MaxMultiple,Xm/(1-RAND())^(1/Alpha)))))</f>
        <v>1.2393740845680368</v>
      </c>
      <c r="S159" s="19">
        <f ca="1">IF(RAND()&lt;P_Zero,0,IF(RAND()&lt;CondReturn,_xlfn.LOGNORM.INV(RAND(),MV2,Sigma1),IF(RAND()&lt;CondGood,_xlfn.LOGNORM.INV(RAND(),MV3,Sigma2),MIN(MaxMultiple,Xm/(1-RAND())^(1/Alpha)))))</f>
        <v>0</v>
      </c>
      <c r="T159" s="19">
        <f ca="1">IF(RAND()&lt;P_Zero,0,IF(RAND()&lt;CondReturn,_xlfn.LOGNORM.INV(RAND(),MV2,Sigma1),IF(RAND()&lt;CondGood,_xlfn.LOGNORM.INV(RAND(),MV3,Sigma2),MIN(MaxMultiple,Xm/(1-RAND())^(1/Alpha)))))</f>
        <v>1.1835412483916756</v>
      </c>
      <c r="U159" s="19">
        <f ca="1">IF(RAND()&lt;P_Zero,0,IF(RAND()&lt;CondReturn,_xlfn.LOGNORM.INV(RAND(),MV2,Sigma1),IF(RAND()&lt;CondGood,_xlfn.LOGNORM.INV(RAND(),MV3,Sigma2),MIN(MaxMultiple,Xm/(1-RAND())^(1/Alpha)))))</f>
        <v>0</v>
      </c>
      <c r="V159" s="19">
        <f ca="1">IF(RAND()&lt;P_Zero,0,IF(RAND()&lt;CondReturn,_xlfn.LOGNORM.INV(RAND(),MV2,Sigma1),IF(RAND()&lt;CondGood,_xlfn.LOGNORM.INV(RAND(),MV3,Sigma2),MIN(MaxMultiple,Xm/(1-RAND())^(1/Alpha)))))</f>
        <v>114.56547086500431</v>
      </c>
      <c r="W159" s="19">
        <f ca="1">IF(RAND()&lt;P_Zero,0,IF(RAND()&lt;CondReturn,_xlfn.LOGNORM.INV(RAND(),MV2,Sigma1),IF(RAND()&lt;CondGood,_xlfn.LOGNORM.INV(RAND(),MV3,Sigma2),MIN(MaxMultiple,Xm/(1-RAND())^(1/Alpha)))))</f>
        <v>0</v>
      </c>
      <c r="X159" s="19">
        <f ca="1">IF(RAND()&lt;P_Zero,0,IF(RAND()&lt;CondReturn,_xlfn.LOGNORM.INV(RAND(),MV2,Sigma1),IF(RAND()&lt;CondGood,_xlfn.LOGNORM.INV(RAND(),MV3,Sigma2),MIN(MaxMultiple,Xm/(1-RAND())^(1/Alpha)))))</f>
        <v>0</v>
      </c>
      <c r="Y159" s="19">
        <f ca="1">IF(RAND()&lt;P_Zero,0,IF(RAND()&lt;CondReturn,_xlfn.LOGNORM.INV(RAND(),MV2,Sigma1),IF(RAND()&lt;CondGood,_xlfn.LOGNORM.INV(RAND(),MV3,Sigma2),MIN(MaxMultiple,Xm/(1-RAND())^(1/Alpha)))))</f>
        <v>1.3307585322156585</v>
      </c>
      <c r="Z159" s="19">
        <f ca="1">IF(RAND()&lt;P_Zero,0,IF(RAND()&lt;CondReturn,_xlfn.LOGNORM.INV(RAND(),MV2,Sigma1),IF(RAND()&lt;CondGood,_xlfn.LOGNORM.INV(RAND(),MV3,Sigma2),MIN(MaxMultiple,Xm/(1-RAND())^(1/Alpha)))))</f>
        <v>0</v>
      </c>
      <c r="AA159" s="19">
        <f ca="1">IF(RAND()&lt;P_Zero,0,IF(RAND()&lt;CondReturn,_xlfn.LOGNORM.INV(RAND(),MV2,Sigma1),IF(RAND()&lt;CondGood,_xlfn.LOGNORM.INV(RAND(),MV3,Sigma2),MIN(MaxMultiple,Xm/(1-RAND())^(1/Alpha)))))</f>
        <v>0.78205728790538431</v>
      </c>
      <c r="AB159" s="19">
        <f t="shared" ca="1" si="16"/>
        <v>5.9136193462682831</v>
      </c>
      <c r="AC159" s="14">
        <f t="shared" ca="1" si="17"/>
        <v>283853728.62087756</v>
      </c>
      <c r="AD159" s="14">
        <f t="shared" ca="1" si="18"/>
        <v>235853728.62087756</v>
      </c>
      <c r="AE159" s="14">
        <f t="shared" si="19"/>
        <v>55628399.869093813</v>
      </c>
      <c r="AF159" s="14">
        <f t="shared" ca="1" si="20"/>
        <v>180225328.75178376</v>
      </c>
      <c r="AG159" s="14">
        <f t="shared" ca="1" si="21"/>
        <v>36045065.750356756</v>
      </c>
      <c r="AH159" s="14">
        <f t="shared" ca="1" si="22"/>
        <v>247808662.8705208</v>
      </c>
      <c r="AI159" s="19">
        <f t="shared" ca="1" si="23"/>
        <v>4.1301443811753469</v>
      </c>
    </row>
    <row r="160" spans="2:35" x14ac:dyDescent="0.2">
      <c r="B160" s="1">
        <v>155</v>
      </c>
      <c r="C160" s="19">
        <f ca="1">IF(RAND()&lt;P_Zero,0,IF(RAND()&lt;CondReturn,_xlfn.LOGNORM.INV(RAND(),MV2,Sigma1),IF(RAND()&lt;CondGood,_xlfn.LOGNORM.INV(RAND(),MV3,Sigma2),MIN(MaxMultiple,Xm/(1-RAND())^(1/Alpha)))))</f>
        <v>0.96287537556996039</v>
      </c>
      <c r="D160" s="19">
        <f ca="1">IF(RAND()&lt;P_Zero,0,IF(RAND()&lt;CondReturn,_xlfn.LOGNORM.INV(RAND(),MV2,Sigma1),IF(RAND()&lt;CondGood,_xlfn.LOGNORM.INV(RAND(),MV3,Sigma2),MIN(MaxMultiple,Xm/(1-RAND())^(1/Alpha)))))</f>
        <v>0.77693407379751389</v>
      </c>
      <c r="E160" s="19">
        <f ca="1">IF(RAND()&lt;P_Zero,0,IF(RAND()&lt;CondReturn,_xlfn.LOGNORM.INV(RAND(),MV2,Sigma1),IF(RAND()&lt;CondGood,_xlfn.LOGNORM.INV(RAND(),MV3,Sigma2),MIN(MaxMultiple,Xm/(1-RAND())^(1/Alpha)))))</f>
        <v>32.997090934205474</v>
      </c>
      <c r="F160" s="19">
        <f ca="1">IF(RAND()&lt;P_Zero,0,IF(RAND()&lt;CondReturn,_xlfn.LOGNORM.INV(RAND(),MV2,Sigma1),IF(RAND()&lt;CondGood,_xlfn.LOGNORM.INV(RAND(),MV3,Sigma2),MIN(MaxMultiple,Xm/(1-RAND())^(1/Alpha)))))</f>
        <v>0.18404119877406128</v>
      </c>
      <c r="G160" s="19">
        <f ca="1">IF(RAND()&lt;P_Zero,0,IF(RAND()&lt;CondReturn,_xlfn.LOGNORM.INV(RAND(),MV2,Sigma1),IF(RAND()&lt;CondGood,_xlfn.LOGNORM.INV(RAND(),MV3,Sigma2),MIN(MaxMultiple,Xm/(1-RAND())^(1/Alpha)))))</f>
        <v>0.65748135315979617</v>
      </c>
      <c r="H160" s="19">
        <f ca="1">IF(RAND()&lt;P_Zero,0,IF(RAND()&lt;CondReturn,_xlfn.LOGNORM.INV(RAND(),MV2,Sigma1),IF(RAND()&lt;CondGood,_xlfn.LOGNORM.INV(RAND(),MV3,Sigma2),MIN(MaxMultiple,Xm/(1-RAND())^(1/Alpha)))))</f>
        <v>0</v>
      </c>
      <c r="I160" s="19">
        <f ca="1">IF(RAND()&lt;P_Zero,0,IF(RAND()&lt;CondReturn,_xlfn.LOGNORM.INV(RAND(),MV2,Sigma1),IF(RAND()&lt;CondGood,_xlfn.LOGNORM.INV(RAND(),MV3,Sigma2),MIN(MaxMultiple,Xm/(1-RAND())^(1/Alpha)))))</f>
        <v>0</v>
      </c>
      <c r="J160" s="19">
        <f ca="1">IF(RAND()&lt;P_Zero,0,IF(RAND()&lt;CondReturn,_xlfn.LOGNORM.INV(RAND(),MV2,Sigma1),IF(RAND()&lt;CondGood,_xlfn.LOGNORM.INV(RAND(),MV3,Sigma2),MIN(MaxMultiple,Xm/(1-RAND())^(1/Alpha)))))</f>
        <v>0.60710181869101876</v>
      </c>
      <c r="K160" s="19">
        <f ca="1">IF(RAND()&lt;P_Zero,0,IF(RAND()&lt;CondReturn,_xlfn.LOGNORM.INV(RAND(),MV2,Sigma1),IF(RAND()&lt;CondGood,_xlfn.LOGNORM.INV(RAND(),MV3,Sigma2),MIN(MaxMultiple,Xm/(1-RAND())^(1/Alpha)))))</f>
        <v>0</v>
      </c>
      <c r="L160" s="19">
        <f ca="1">IF(RAND()&lt;P_Zero,0,IF(RAND()&lt;CondReturn,_xlfn.LOGNORM.INV(RAND(),MV2,Sigma1),IF(RAND()&lt;CondGood,_xlfn.LOGNORM.INV(RAND(),MV3,Sigma2),MIN(MaxMultiple,Xm/(1-RAND())^(1/Alpha)))))</f>
        <v>1.0825546785915194</v>
      </c>
      <c r="M160" s="19">
        <f ca="1">IF(RAND()&lt;P_Zero,0,IF(RAND()&lt;CondReturn,_xlfn.LOGNORM.INV(RAND(),MV2,Sigma1),IF(RAND()&lt;CondGood,_xlfn.LOGNORM.INV(RAND(),MV3,Sigma2),MIN(MaxMultiple,Xm/(1-RAND())^(1/Alpha)))))</f>
        <v>87.528258057314204</v>
      </c>
      <c r="N160" s="19">
        <f ca="1">IF(RAND()&lt;P_Zero,0,IF(RAND()&lt;CondReturn,_xlfn.LOGNORM.INV(RAND(),MV2,Sigma1),IF(RAND()&lt;CondGood,_xlfn.LOGNORM.INV(RAND(),MV3,Sigma2),MIN(MaxMultiple,Xm/(1-RAND())^(1/Alpha)))))</f>
        <v>0.67007762706088703</v>
      </c>
      <c r="O160" s="19">
        <f ca="1">IF(RAND()&lt;P_Zero,0,IF(RAND()&lt;CondReturn,_xlfn.LOGNORM.INV(RAND(),MV2,Sigma1),IF(RAND()&lt;CondGood,_xlfn.LOGNORM.INV(RAND(),MV3,Sigma2),MIN(MaxMultiple,Xm/(1-RAND())^(1/Alpha)))))</f>
        <v>1.9657864644999701</v>
      </c>
      <c r="P160" s="19">
        <f ca="1">IF(RAND()&lt;P_Zero,0,IF(RAND()&lt;CondReturn,_xlfn.LOGNORM.INV(RAND(),MV2,Sigma1),IF(RAND()&lt;CondGood,_xlfn.LOGNORM.INV(RAND(),MV3,Sigma2),MIN(MaxMultiple,Xm/(1-RAND())^(1/Alpha)))))</f>
        <v>0</v>
      </c>
      <c r="Q160" s="19">
        <f ca="1">IF(RAND()&lt;P_Zero,0,IF(RAND()&lt;CondReturn,_xlfn.LOGNORM.INV(RAND(),MV2,Sigma1),IF(RAND()&lt;CondGood,_xlfn.LOGNORM.INV(RAND(),MV3,Sigma2),MIN(MaxMultiple,Xm/(1-RAND())^(1/Alpha)))))</f>
        <v>0</v>
      </c>
      <c r="R160" s="19">
        <f ca="1">IF(RAND()&lt;P_Zero,0,IF(RAND()&lt;CondReturn,_xlfn.LOGNORM.INV(RAND(),MV2,Sigma1),IF(RAND()&lt;CondGood,_xlfn.LOGNORM.INV(RAND(),MV3,Sigma2),MIN(MaxMultiple,Xm/(1-RAND())^(1/Alpha)))))</f>
        <v>0</v>
      </c>
      <c r="S160" s="19">
        <f ca="1">IF(RAND()&lt;P_Zero,0,IF(RAND()&lt;CondReturn,_xlfn.LOGNORM.INV(RAND(),MV2,Sigma1),IF(RAND()&lt;CondGood,_xlfn.LOGNORM.INV(RAND(),MV3,Sigma2),MIN(MaxMultiple,Xm/(1-RAND())^(1/Alpha)))))</f>
        <v>1.1125290102667273</v>
      </c>
      <c r="T160" s="19">
        <f ca="1">IF(RAND()&lt;P_Zero,0,IF(RAND()&lt;CondReturn,_xlfn.LOGNORM.INV(RAND(),MV2,Sigma1),IF(RAND()&lt;CondGood,_xlfn.LOGNORM.INV(RAND(),MV3,Sigma2),MIN(MaxMultiple,Xm/(1-RAND())^(1/Alpha)))))</f>
        <v>0.64353092448902727</v>
      </c>
      <c r="U160" s="19">
        <f ca="1">IF(RAND()&lt;P_Zero,0,IF(RAND()&lt;CondReturn,_xlfn.LOGNORM.INV(RAND(),MV2,Sigma1),IF(RAND()&lt;CondGood,_xlfn.LOGNORM.INV(RAND(),MV3,Sigma2),MIN(MaxMultiple,Xm/(1-RAND())^(1/Alpha)))))</f>
        <v>0.80143210946816301</v>
      </c>
      <c r="V160" s="19">
        <f ca="1">IF(RAND()&lt;P_Zero,0,IF(RAND()&lt;CondReturn,_xlfn.LOGNORM.INV(RAND(),MV2,Sigma1),IF(RAND()&lt;CondGood,_xlfn.LOGNORM.INV(RAND(),MV3,Sigma2),MIN(MaxMultiple,Xm/(1-RAND())^(1/Alpha)))))</f>
        <v>1.2157332004094803</v>
      </c>
      <c r="W160" s="19">
        <f ca="1">IF(RAND()&lt;P_Zero,0,IF(RAND()&lt;CondReturn,_xlfn.LOGNORM.INV(RAND(),MV2,Sigma1),IF(RAND()&lt;CondGood,_xlfn.LOGNORM.INV(RAND(),MV3,Sigma2),MIN(MaxMultiple,Xm/(1-RAND())^(1/Alpha)))))</f>
        <v>0.36757127576987519</v>
      </c>
      <c r="X160" s="19">
        <f ca="1">IF(RAND()&lt;P_Zero,0,IF(RAND()&lt;CondReturn,_xlfn.LOGNORM.INV(RAND(),MV2,Sigma1),IF(RAND()&lt;CondGood,_xlfn.LOGNORM.INV(RAND(),MV3,Sigma2),MIN(MaxMultiple,Xm/(1-RAND())^(1/Alpha)))))</f>
        <v>0</v>
      </c>
      <c r="Y160" s="19">
        <f ca="1">IF(RAND()&lt;P_Zero,0,IF(RAND()&lt;CondReturn,_xlfn.LOGNORM.INV(RAND(),MV2,Sigma1),IF(RAND()&lt;CondGood,_xlfn.LOGNORM.INV(RAND(),MV3,Sigma2),MIN(MaxMultiple,Xm/(1-RAND())^(1/Alpha)))))</f>
        <v>0.82855462217423037</v>
      </c>
      <c r="Z160" s="19">
        <f ca="1">IF(RAND()&lt;P_Zero,0,IF(RAND()&lt;CondReturn,_xlfn.LOGNORM.INV(RAND(),MV2,Sigma1),IF(RAND()&lt;CondGood,_xlfn.LOGNORM.INV(RAND(),MV3,Sigma2),MIN(MaxMultiple,Xm/(1-RAND())^(1/Alpha)))))</f>
        <v>61.677820388355116</v>
      </c>
      <c r="AA160" s="19">
        <f ca="1">IF(RAND()&lt;P_Zero,0,IF(RAND()&lt;CondReturn,_xlfn.LOGNORM.INV(RAND(),MV2,Sigma1),IF(RAND()&lt;CondGood,_xlfn.LOGNORM.INV(RAND(),MV3,Sigma2),MIN(MaxMultiple,Xm/(1-RAND())^(1/Alpha)))))</f>
        <v>0.68011679079923426</v>
      </c>
      <c r="AB160" s="19">
        <f t="shared" ca="1" si="16"/>
        <v>7.7903795961358515</v>
      </c>
      <c r="AC160" s="14">
        <f t="shared" ca="1" si="17"/>
        <v>373938220.61452085</v>
      </c>
      <c r="AD160" s="14">
        <f t="shared" ca="1" si="18"/>
        <v>325938220.61452085</v>
      </c>
      <c r="AE160" s="14">
        <f t="shared" si="19"/>
        <v>55628399.869093813</v>
      </c>
      <c r="AF160" s="14">
        <f t="shared" ca="1" si="20"/>
        <v>270309820.74542701</v>
      </c>
      <c r="AG160" s="14">
        <f t="shared" ca="1" si="21"/>
        <v>54061964.149085402</v>
      </c>
      <c r="AH160" s="14">
        <f t="shared" ca="1" si="22"/>
        <v>319876256.46543545</v>
      </c>
      <c r="AI160" s="19">
        <f t="shared" ca="1" si="23"/>
        <v>5.3312709410905912</v>
      </c>
    </row>
    <row r="161" spans="2:35" x14ac:dyDescent="0.2">
      <c r="B161" s="1">
        <v>156</v>
      </c>
      <c r="C161" s="19">
        <f ca="1">IF(RAND()&lt;P_Zero,0,IF(RAND()&lt;CondReturn,_xlfn.LOGNORM.INV(RAND(),MV2,Sigma1),IF(RAND()&lt;CondGood,_xlfn.LOGNORM.INV(RAND(),MV3,Sigma2),MIN(MaxMultiple,Xm/(1-RAND())^(1/Alpha)))))</f>
        <v>0.63467979904609206</v>
      </c>
      <c r="D161" s="19">
        <f ca="1">IF(RAND()&lt;P_Zero,0,IF(RAND()&lt;CondReturn,_xlfn.LOGNORM.INV(RAND(),MV2,Sigma1),IF(RAND()&lt;CondGood,_xlfn.LOGNORM.INV(RAND(),MV3,Sigma2),MIN(MaxMultiple,Xm/(1-RAND())^(1/Alpha)))))</f>
        <v>0</v>
      </c>
      <c r="E161" s="19">
        <f ca="1">IF(RAND()&lt;P_Zero,0,IF(RAND()&lt;CondReturn,_xlfn.LOGNORM.INV(RAND(),MV2,Sigma1),IF(RAND()&lt;CondGood,_xlfn.LOGNORM.INV(RAND(),MV3,Sigma2),MIN(MaxMultiple,Xm/(1-RAND())^(1/Alpha)))))</f>
        <v>0.92323207703523036</v>
      </c>
      <c r="F161" s="19">
        <f ca="1">IF(RAND()&lt;P_Zero,0,IF(RAND()&lt;CondReturn,_xlfn.LOGNORM.INV(RAND(),MV2,Sigma1),IF(RAND()&lt;CondGood,_xlfn.LOGNORM.INV(RAND(),MV3,Sigma2),MIN(MaxMultiple,Xm/(1-RAND())^(1/Alpha)))))</f>
        <v>1.6303817482470104</v>
      </c>
      <c r="G161" s="19">
        <f ca="1">IF(RAND()&lt;P_Zero,0,IF(RAND()&lt;CondReturn,_xlfn.LOGNORM.INV(RAND(),MV2,Sigma1),IF(RAND()&lt;CondGood,_xlfn.LOGNORM.INV(RAND(),MV3,Sigma2),MIN(MaxMultiple,Xm/(1-RAND())^(1/Alpha)))))</f>
        <v>0.85807554807238429</v>
      </c>
      <c r="H161" s="19">
        <f ca="1">IF(RAND()&lt;P_Zero,0,IF(RAND()&lt;CondReturn,_xlfn.LOGNORM.INV(RAND(),MV2,Sigma1),IF(RAND()&lt;CondGood,_xlfn.LOGNORM.INV(RAND(),MV3,Sigma2),MIN(MaxMultiple,Xm/(1-RAND())^(1/Alpha)))))</f>
        <v>0</v>
      </c>
      <c r="I161" s="19">
        <f ca="1">IF(RAND()&lt;P_Zero,0,IF(RAND()&lt;CondReturn,_xlfn.LOGNORM.INV(RAND(),MV2,Sigma1),IF(RAND()&lt;CondGood,_xlfn.LOGNORM.INV(RAND(),MV3,Sigma2),MIN(MaxMultiple,Xm/(1-RAND())^(1/Alpha)))))</f>
        <v>0.97297111223584309</v>
      </c>
      <c r="J161" s="19">
        <f ca="1">IF(RAND()&lt;P_Zero,0,IF(RAND()&lt;CondReturn,_xlfn.LOGNORM.INV(RAND(),MV2,Sigma1),IF(RAND()&lt;CondGood,_xlfn.LOGNORM.INV(RAND(),MV3,Sigma2),MIN(MaxMultiple,Xm/(1-RAND())^(1/Alpha)))))</f>
        <v>22.976660633796612</v>
      </c>
      <c r="K161" s="19">
        <f ca="1">IF(RAND()&lt;P_Zero,0,IF(RAND()&lt;CondReturn,_xlfn.LOGNORM.INV(RAND(),MV2,Sigma1),IF(RAND()&lt;CondGood,_xlfn.LOGNORM.INV(RAND(),MV3,Sigma2),MIN(MaxMultiple,Xm/(1-RAND())^(1/Alpha)))))</f>
        <v>0</v>
      </c>
      <c r="L161" s="19">
        <f ca="1">IF(RAND()&lt;P_Zero,0,IF(RAND()&lt;CondReturn,_xlfn.LOGNORM.INV(RAND(),MV2,Sigma1),IF(RAND()&lt;CondGood,_xlfn.LOGNORM.INV(RAND(),MV3,Sigma2),MIN(MaxMultiple,Xm/(1-RAND())^(1/Alpha)))))</f>
        <v>0</v>
      </c>
      <c r="M161" s="19">
        <f ca="1">IF(RAND()&lt;P_Zero,0,IF(RAND()&lt;CondReturn,_xlfn.LOGNORM.INV(RAND(),MV2,Sigma1),IF(RAND()&lt;CondGood,_xlfn.LOGNORM.INV(RAND(),MV3,Sigma2),MIN(MaxMultiple,Xm/(1-RAND())^(1/Alpha)))))</f>
        <v>0.80084071483638708</v>
      </c>
      <c r="N161" s="19">
        <f ca="1">IF(RAND()&lt;P_Zero,0,IF(RAND()&lt;CondReturn,_xlfn.LOGNORM.INV(RAND(),MV2,Sigma1),IF(RAND()&lt;CondGood,_xlfn.LOGNORM.INV(RAND(),MV3,Sigma2),MIN(MaxMultiple,Xm/(1-RAND())^(1/Alpha)))))</f>
        <v>0</v>
      </c>
      <c r="O161" s="19">
        <f ca="1">IF(RAND()&lt;P_Zero,0,IF(RAND()&lt;CondReturn,_xlfn.LOGNORM.INV(RAND(),MV2,Sigma1),IF(RAND()&lt;CondGood,_xlfn.LOGNORM.INV(RAND(),MV3,Sigma2),MIN(MaxMultiple,Xm/(1-RAND())^(1/Alpha)))))</f>
        <v>0</v>
      </c>
      <c r="P161" s="19">
        <f ca="1">IF(RAND()&lt;P_Zero,0,IF(RAND()&lt;CondReturn,_xlfn.LOGNORM.INV(RAND(),MV2,Sigma1),IF(RAND()&lt;CondGood,_xlfn.LOGNORM.INV(RAND(),MV3,Sigma2),MIN(MaxMultiple,Xm/(1-RAND())^(1/Alpha)))))</f>
        <v>1.0737021837798784</v>
      </c>
      <c r="Q161" s="19">
        <f ca="1">IF(RAND()&lt;P_Zero,0,IF(RAND()&lt;CondReturn,_xlfn.LOGNORM.INV(RAND(),MV2,Sigma1),IF(RAND()&lt;CondGood,_xlfn.LOGNORM.INV(RAND(),MV3,Sigma2),MIN(MaxMultiple,Xm/(1-RAND())^(1/Alpha)))))</f>
        <v>0.61599445619361171</v>
      </c>
      <c r="R161" s="19">
        <f ca="1">IF(RAND()&lt;P_Zero,0,IF(RAND()&lt;CondReturn,_xlfn.LOGNORM.INV(RAND(),MV2,Sigma1),IF(RAND()&lt;CondGood,_xlfn.LOGNORM.INV(RAND(),MV3,Sigma2),MIN(MaxMultiple,Xm/(1-RAND())^(1/Alpha)))))</f>
        <v>14.46005878336558</v>
      </c>
      <c r="S161" s="19">
        <f ca="1">IF(RAND()&lt;P_Zero,0,IF(RAND()&lt;CondReturn,_xlfn.LOGNORM.INV(RAND(),MV2,Sigma1),IF(RAND()&lt;CondGood,_xlfn.LOGNORM.INV(RAND(),MV3,Sigma2),MIN(MaxMultiple,Xm/(1-RAND())^(1/Alpha)))))</f>
        <v>0</v>
      </c>
      <c r="T161" s="19">
        <f ca="1">IF(RAND()&lt;P_Zero,0,IF(RAND()&lt;CondReturn,_xlfn.LOGNORM.INV(RAND(),MV2,Sigma1),IF(RAND()&lt;CondGood,_xlfn.LOGNORM.INV(RAND(),MV3,Sigma2),MIN(MaxMultiple,Xm/(1-RAND())^(1/Alpha)))))</f>
        <v>2.2173746584455816</v>
      </c>
      <c r="U161" s="19">
        <f ca="1">IF(RAND()&lt;P_Zero,0,IF(RAND()&lt;CondReturn,_xlfn.LOGNORM.INV(RAND(),MV2,Sigma1),IF(RAND()&lt;CondGood,_xlfn.LOGNORM.INV(RAND(),MV3,Sigma2),MIN(MaxMultiple,Xm/(1-RAND())^(1/Alpha)))))</f>
        <v>0</v>
      </c>
      <c r="V161" s="19">
        <f ca="1">IF(RAND()&lt;P_Zero,0,IF(RAND()&lt;CondReturn,_xlfn.LOGNORM.INV(RAND(),MV2,Sigma1),IF(RAND()&lt;CondGood,_xlfn.LOGNORM.INV(RAND(),MV3,Sigma2),MIN(MaxMultiple,Xm/(1-RAND())^(1/Alpha)))))</f>
        <v>0.93202907053497031</v>
      </c>
      <c r="W161" s="19">
        <f ca="1">IF(RAND()&lt;P_Zero,0,IF(RAND()&lt;CondReturn,_xlfn.LOGNORM.INV(RAND(),MV2,Sigma1),IF(RAND()&lt;CondGood,_xlfn.LOGNORM.INV(RAND(),MV3,Sigma2),MIN(MaxMultiple,Xm/(1-RAND())^(1/Alpha)))))</f>
        <v>0.91581968911245304</v>
      </c>
      <c r="X161" s="19">
        <f ca="1">IF(RAND()&lt;P_Zero,0,IF(RAND()&lt;CondReturn,_xlfn.LOGNORM.INV(RAND(),MV2,Sigma1),IF(RAND()&lt;CondGood,_xlfn.LOGNORM.INV(RAND(),MV3,Sigma2),MIN(MaxMultiple,Xm/(1-RAND())^(1/Alpha)))))</f>
        <v>2.1477905976097706</v>
      </c>
      <c r="Y161" s="19">
        <f ca="1">IF(RAND()&lt;P_Zero,0,IF(RAND()&lt;CondReturn,_xlfn.LOGNORM.INV(RAND(),MV2,Sigma1),IF(RAND()&lt;CondGood,_xlfn.LOGNORM.INV(RAND(),MV3,Sigma2),MIN(MaxMultiple,Xm/(1-RAND())^(1/Alpha)))))</f>
        <v>0.5790708081726158</v>
      </c>
      <c r="Z161" s="19">
        <f ca="1">IF(RAND()&lt;P_Zero,0,IF(RAND()&lt;CondReturn,_xlfn.LOGNORM.INV(RAND(),MV2,Sigma1),IF(RAND()&lt;CondGood,_xlfn.LOGNORM.INV(RAND(),MV3,Sigma2),MIN(MaxMultiple,Xm/(1-RAND())^(1/Alpha)))))</f>
        <v>0</v>
      </c>
      <c r="AA161" s="19">
        <f ca="1">IF(RAND()&lt;P_Zero,0,IF(RAND()&lt;CondReturn,_xlfn.LOGNORM.INV(RAND(),MV2,Sigma1),IF(RAND()&lt;CondGood,_xlfn.LOGNORM.INV(RAND(),MV3,Sigma2),MIN(MaxMultiple,Xm/(1-RAND())^(1/Alpha)))))</f>
        <v>1.2797126988289456</v>
      </c>
      <c r="AB161" s="19">
        <f t="shared" ca="1" si="16"/>
        <v>2.1207357831725187</v>
      </c>
      <c r="AC161" s="14">
        <f t="shared" ca="1" si="17"/>
        <v>101795317.59228089</v>
      </c>
      <c r="AD161" s="14">
        <f t="shared" ca="1" si="18"/>
        <v>53795317.592280895</v>
      </c>
      <c r="AE161" s="14">
        <f t="shared" si="19"/>
        <v>55628399.869093813</v>
      </c>
      <c r="AF161" s="14">
        <f t="shared" ca="1" si="20"/>
        <v>0</v>
      </c>
      <c r="AG161" s="14">
        <f t="shared" ca="1" si="21"/>
        <v>0</v>
      </c>
      <c r="AH161" s="14">
        <f t="shared" ca="1" si="22"/>
        <v>101795317.59228089</v>
      </c>
      <c r="AI161" s="19">
        <f t="shared" ca="1" si="23"/>
        <v>1.696588626538015</v>
      </c>
    </row>
    <row r="162" spans="2:35" x14ac:dyDescent="0.2">
      <c r="B162" s="1">
        <v>157</v>
      </c>
      <c r="C162" s="19">
        <f ca="1">IF(RAND()&lt;P_Zero,0,IF(RAND()&lt;CondReturn,_xlfn.LOGNORM.INV(RAND(),MV2,Sigma1),IF(RAND()&lt;CondGood,_xlfn.LOGNORM.INV(RAND(),MV3,Sigma2),MIN(MaxMultiple,Xm/(1-RAND())^(1/Alpha)))))</f>
        <v>0.4136972499690737</v>
      </c>
      <c r="D162" s="19">
        <f ca="1">IF(RAND()&lt;P_Zero,0,IF(RAND()&lt;CondReturn,_xlfn.LOGNORM.INV(RAND(),MV2,Sigma1),IF(RAND()&lt;CondGood,_xlfn.LOGNORM.INV(RAND(),MV3,Sigma2),MIN(MaxMultiple,Xm/(1-RAND())^(1/Alpha)))))</f>
        <v>0.71738028398671572</v>
      </c>
      <c r="E162" s="19">
        <f ca="1">IF(RAND()&lt;P_Zero,0,IF(RAND()&lt;CondReturn,_xlfn.LOGNORM.INV(RAND(),MV2,Sigma1),IF(RAND()&lt;CondGood,_xlfn.LOGNORM.INV(RAND(),MV3,Sigma2),MIN(MaxMultiple,Xm/(1-RAND())^(1/Alpha)))))</f>
        <v>0</v>
      </c>
      <c r="F162" s="19">
        <f ca="1">IF(RAND()&lt;P_Zero,0,IF(RAND()&lt;CondReturn,_xlfn.LOGNORM.INV(RAND(),MV2,Sigma1),IF(RAND()&lt;CondGood,_xlfn.LOGNORM.INV(RAND(),MV3,Sigma2),MIN(MaxMultiple,Xm/(1-RAND())^(1/Alpha)))))</f>
        <v>1.4997754415792772</v>
      </c>
      <c r="G162" s="19">
        <f ca="1">IF(RAND()&lt;P_Zero,0,IF(RAND()&lt;CondReturn,_xlfn.LOGNORM.INV(RAND(),MV2,Sigma1),IF(RAND()&lt;CondGood,_xlfn.LOGNORM.INV(RAND(),MV3,Sigma2),MIN(MaxMultiple,Xm/(1-RAND())^(1/Alpha)))))</f>
        <v>0.53140316918828034</v>
      </c>
      <c r="H162" s="19">
        <f ca="1">IF(RAND()&lt;P_Zero,0,IF(RAND()&lt;CondReturn,_xlfn.LOGNORM.INV(RAND(),MV2,Sigma1),IF(RAND()&lt;CondGood,_xlfn.LOGNORM.INV(RAND(),MV3,Sigma2),MIN(MaxMultiple,Xm/(1-RAND())^(1/Alpha)))))</f>
        <v>0.76740542698787051</v>
      </c>
      <c r="I162" s="19">
        <f ca="1">IF(RAND()&lt;P_Zero,0,IF(RAND()&lt;CondReturn,_xlfn.LOGNORM.INV(RAND(),MV2,Sigma1),IF(RAND()&lt;CondGood,_xlfn.LOGNORM.INV(RAND(),MV3,Sigma2),MIN(MaxMultiple,Xm/(1-RAND())^(1/Alpha)))))</f>
        <v>0.59613393486758515</v>
      </c>
      <c r="J162" s="19">
        <f ca="1">IF(RAND()&lt;P_Zero,0,IF(RAND()&lt;CondReturn,_xlfn.LOGNORM.INV(RAND(),MV2,Sigma1),IF(RAND()&lt;CondGood,_xlfn.LOGNORM.INV(RAND(),MV3,Sigma2),MIN(MaxMultiple,Xm/(1-RAND())^(1/Alpha)))))</f>
        <v>0</v>
      </c>
      <c r="K162" s="19">
        <f ca="1">IF(RAND()&lt;P_Zero,0,IF(RAND()&lt;CondReturn,_xlfn.LOGNORM.INV(RAND(),MV2,Sigma1),IF(RAND()&lt;CondGood,_xlfn.LOGNORM.INV(RAND(),MV3,Sigma2),MIN(MaxMultiple,Xm/(1-RAND())^(1/Alpha)))))</f>
        <v>1.1916678089407682</v>
      </c>
      <c r="L162" s="19">
        <f ca="1">IF(RAND()&lt;P_Zero,0,IF(RAND()&lt;CondReturn,_xlfn.LOGNORM.INV(RAND(),MV2,Sigma1),IF(RAND()&lt;CondGood,_xlfn.LOGNORM.INV(RAND(),MV3,Sigma2),MIN(MaxMultiple,Xm/(1-RAND())^(1/Alpha)))))</f>
        <v>0.86969899856488198</v>
      </c>
      <c r="M162" s="19">
        <f ca="1">IF(RAND()&lt;P_Zero,0,IF(RAND()&lt;CondReturn,_xlfn.LOGNORM.INV(RAND(),MV2,Sigma1),IF(RAND()&lt;CondGood,_xlfn.LOGNORM.INV(RAND(),MV3,Sigma2),MIN(MaxMultiple,Xm/(1-RAND())^(1/Alpha)))))</f>
        <v>0</v>
      </c>
      <c r="N162" s="19">
        <f ca="1">IF(RAND()&lt;P_Zero,0,IF(RAND()&lt;CondReturn,_xlfn.LOGNORM.INV(RAND(),MV2,Sigma1),IF(RAND()&lt;CondGood,_xlfn.LOGNORM.INV(RAND(),MV3,Sigma2),MIN(MaxMultiple,Xm/(1-RAND())^(1/Alpha)))))</f>
        <v>12.28480738425554</v>
      </c>
      <c r="O162" s="19">
        <f ca="1">IF(RAND()&lt;P_Zero,0,IF(RAND()&lt;CondReturn,_xlfn.LOGNORM.INV(RAND(),MV2,Sigma1),IF(RAND()&lt;CondGood,_xlfn.LOGNORM.INV(RAND(),MV3,Sigma2),MIN(MaxMultiple,Xm/(1-RAND())^(1/Alpha)))))</f>
        <v>0.78151910046257078</v>
      </c>
      <c r="P162" s="19">
        <f ca="1">IF(RAND()&lt;P_Zero,0,IF(RAND()&lt;CondReturn,_xlfn.LOGNORM.INV(RAND(),MV2,Sigma1),IF(RAND()&lt;CondGood,_xlfn.LOGNORM.INV(RAND(),MV3,Sigma2),MIN(MaxMultiple,Xm/(1-RAND())^(1/Alpha)))))</f>
        <v>0</v>
      </c>
      <c r="Q162" s="19">
        <f ca="1">IF(RAND()&lt;P_Zero,0,IF(RAND()&lt;CondReturn,_xlfn.LOGNORM.INV(RAND(),MV2,Sigma1),IF(RAND()&lt;CondGood,_xlfn.LOGNORM.INV(RAND(),MV3,Sigma2),MIN(MaxMultiple,Xm/(1-RAND())^(1/Alpha)))))</f>
        <v>2.7960025936529402</v>
      </c>
      <c r="R162" s="19">
        <f ca="1">IF(RAND()&lt;P_Zero,0,IF(RAND()&lt;CondReturn,_xlfn.LOGNORM.INV(RAND(),MV2,Sigma1),IF(RAND()&lt;CondGood,_xlfn.LOGNORM.INV(RAND(),MV3,Sigma2),MIN(MaxMultiple,Xm/(1-RAND())^(1/Alpha)))))</f>
        <v>0.36912401117423144</v>
      </c>
      <c r="S162" s="19">
        <f ca="1">IF(RAND()&lt;P_Zero,0,IF(RAND()&lt;CondReturn,_xlfn.LOGNORM.INV(RAND(),MV2,Sigma1),IF(RAND()&lt;CondGood,_xlfn.LOGNORM.INV(RAND(),MV3,Sigma2),MIN(MaxMultiple,Xm/(1-RAND())^(1/Alpha)))))</f>
        <v>0</v>
      </c>
      <c r="T162" s="19">
        <f ca="1">IF(RAND()&lt;P_Zero,0,IF(RAND()&lt;CondReturn,_xlfn.LOGNORM.INV(RAND(),MV2,Sigma1),IF(RAND()&lt;CondGood,_xlfn.LOGNORM.INV(RAND(),MV3,Sigma2),MIN(MaxMultiple,Xm/(1-RAND())^(1/Alpha)))))</f>
        <v>11.693329459598511</v>
      </c>
      <c r="U162" s="19">
        <f ca="1">IF(RAND()&lt;P_Zero,0,IF(RAND()&lt;CondReturn,_xlfn.LOGNORM.INV(RAND(),MV2,Sigma1),IF(RAND()&lt;CondGood,_xlfn.LOGNORM.INV(RAND(),MV3,Sigma2),MIN(MaxMultiple,Xm/(1-RAND())^(1/Alpha)))))</f>
        <v>0</v>
      </c>
      <c r="V162" s="19">
        <f ca="1">IF(RAND()&lt;P_Zero,0,IF(RAND()&lt;CondReturn,_xlfn.LOGNORM.INV(RAND(),MV2,Sigma1),IF(RAND()&lt;CondGood,_xlfn.LOGNORM.INV(RAND(),MV3,Sigma2),MIN(MaxMultiple,Xm/(1-RAND())^(1/Alpha)))))</f>
        <v>0.73562242246516718</v>
      </c>
      <c r="W162" s="19">
        <f ca="1">IF(RAND()&lt;P_Zero,0,IF(RAND()&lt;CondReturn,_xlfn.LOGNORM.INV(RAND(),MV2,Sigma1),IF(RAND()&lt;CondGood,_xlfn.LOGNORM.INV(RAND(),MV3,Sigma2),MIN(MaxMultiple,Xm/(1-RAND())^(1/Alpha)))))</f>
        <v>0</v>
      </c>
      <c r="X162" s="19">
        <f ca="1">IF(RAND()&lt;P_Zero,0,IF(RAND()&lt;CondReturn,_xlfn.LOGNORM.INV(RAND(),MV2,Sigma1),IF(RAND()&lt;CondGood,_xlfn.LOGNORM.INV(RAND(),MV3,Sigma2),MIN(MaxMultiple,Xm/(1-RAND())^(1/Alpha)))))</f>
        <v>0.71688715727747132</v>
      </c>
      <c r="Y162" s="19">
        <f ca="1">IF(RAND()&lt;P_Zero,0,IF(RAND()&lt;CondReturn,_xlfn.LOGNORM.INV(RAND(),MV2,Sigma1),IF(RAND()&lt;CondGood,_xlfn.LOGNORM.INV(RAND(),MV3,Sigma2),MIN(MaxMultiple,Xm/(1-RAND())^(1/Alpha)))))</f>
        <v>1.727709364903099</v>
      </c>
      <c r="Z162" s="19">
        <f ca="1">IF(RAND()&lt;P_Zero,0,IF(RAND()&lt;CondReturn,_xlfn.LOGNORM.INV(RAND(),MV2,Sigma1),IF(RAND()&lt;CondGood,_xlfn.LOGNORM.INV(RAND(),MV3,Sigma2),MIN(MaxMultiple,Xm/(1-RAND())^(1/Alpha)))))</f>
        <v>0.92892799621028921</v>
      </c>
      <c r="AA162" s="19">
        <f ca="1">IF(RAND()&lt;P_Zero,0,IF(RAND()&lt;CondReturn,_xlfn.LOGNORM.INV(RAND(),MV2,Sigma1),IF(RAND()&lt;CondGood,_xlfn.LOGNORM.INV(RAND(),MV3,Sigma2),MIN(MaxMultiple,Xm/(1-RAND())^(1/Alpha)))))</f>
        <v>0.95477144575866779</v>
      </c>
      <c r="AB162" s="19">
        <f t="shared" ca="1" si="16"/>
        <v>1.5830345299937176</v>
      </c>
      <c r="AC162" s="14">
        <f t="shared" ca="1" si="17"/>
        <v>75985657.439698443</v>
      </c>
      <c r="AD162" s="14">
        <f t="shared" ca="1" si="18"/>
        <v>27985657.439698443</v>
      </c>
      <c r="AE162" s="14">
        <f t="shared" si="19"/>
        <v>55628399.869093813</v>
      </c>
      <c r="AF162" s="14">
        <f t="shared" ca="1" si="20"/>
        <v>0</v>
      </c>
      <c r="AG162" s="14">
        <f t="shared" ca="1" si="21"/>
        <v>0</v>
      </c>
      <c r="AH162" s="14">
        <f t="shared" ca="1" si="22"/>
        <v>75985657.439698443</v>
      </c>
      <c r="AI162" s="19">
        <f t="shared" ca="1" si="23"/>
        <v>1.2664276239949741</v>
      </c>
    </row>
    <row r="163" spans="2:35" x14ac:dyDescent="0.2">
      <c r="B163" s="1">
        <v>158</v>
      </c>
      <c r="C163" s="19">
        <f ca="1">IF(RAND()&lt;P_Zero,0,IF(RAND()&lt;CondReturn,_xlfn.LOGNORM.INV(RAND(),MV2,Sigma1),IF(RAND()&lt;CondGood,_xlfn.LOGNORM.INV(RAND(),MV3,Sigma2),MIN(MaxMultiple,Xm/(1-RAND())^(1/Alpha)))))</f>
        <v>0</v>
      </c>
      <c r="D163" s="19">
        <f ca="1">IF(RAND()&lt;P_Zero,0,IF(RAND()&lt;CondReturn,_xlfn.LOGNORM.INV(RAND(),MV2,Sigma1),IF(RAND()&lt;CondGood,_xlfn.LOGNORM.INV(RAND(),MV3,Sigma2),MIN(MaxMultiple,Xm/(1-RAND())^(1/Alpha)))))</f>
        <v>0.72060558729681046</v>
      </c>
      <c r="E163" s="19">
        <f ca="1">IF(RAND()&lt;P_Zero,0,IF(RAND()&lt;CondReturn,_xlfn.LOGNORM.INV(RAND(),MV2,Sigma1),IF(RAND()&lt;CondGood,_xlfn.LOGNORM.INV(RAND(),MV3,Sigma2),MIN(MaxMultiple,Xm/(1-RAND())^(1/Alpha)))))</f>
        <v>0.58998236042921881</v>
      </c>
      <c r="F163" s="19">
        <f ca="1">IF(RAND()&lt;P_Zero,0,IF(RAND()&lt;CondReturn,_xlfn.LOGNORM.INV(RAND(),MV2,Sigma1),IF(RAND()&lt;CondGood,_xlfn.LOGNORM.INV(RAND(),MV3,Sigma2),MIN(MaxMultiple,Xm/(1-RAND())^(1/Alpha)))))</f>
        <v>39.021541479372182</v>
      </c>
      <c r="G163" s="19">
        <f ca="1">IF(RAND()&lt;P_Zero,0,IF(RAND()&lt;CondReturn,_xlfn.LOGNORM.INV(RAND(),MV2,Sigma1),IF(RAND()&lt;CondGood,_xlfn.LOGNORM.INV(RAND(),MV3,Sigma2),MIN(MaxMultiple,Xm/(1-RAND())^(1/Alpha)))))</f>
        <v>10.808046665874222</v>
      </c>
      <c r="H163" s="19">
        <f ca="1">IF(RAND()&lt;P_Zero,0,IF(RAND()&lt;CondReturn,_xlfn.LOGNORM.INV(RAND(),MV2,Sigma1),IF(RAND()&lt;CondGood,_xlfn.LOGNORM.INV(RAND(),MV3,Sigma2),MIN(MaxMultiple,Xm/(1-RAND())^(1/Alpha)))))</f>
        <v>2.6929474119547083</v>
      </c>
      <c r="I163" s="19">
        <f ca="1">IF(RAND()&lt;P_Zero,0,IF(RAND()&lt;CondReturn,_xlfn.LOGNORM.INV(RAND(),MV2,Sigma1),IF(RAND()&lt;CondGood,_xlfn.LOGNORM.INV(RAND(),MV3,Sigma2),MIN(MaxMultiple,Xm/(1-RAND())^(1/Alpha)))))</f>
        <v>0</v>
      </c>
      <c r="J163" s="19">
        <f ca="1">IF(RAND()&lt;P_Zero,0,IF(RAND()&lt;CondReturn,_xlfn.LOGNORM.INV(RAND(),MV2,Sigma1),IF(RAND()&lt;CondGood,_xlfn.LOGNORM.INV(RAND(),MV3,Sigma2),MIN(MaxMultiple,Xm/(1-RAND())^(1/Alpha)))))</f>
        <v>2.3263824953155292</v>
      </c>
      <c r="K163" s="19">
        <f ca="1">IF(RAND()&lt;P_Zero,0,IF(RAND()&lt;CondReturn,_xlfn.LOGNORM.INV(RAND(),MV2,Sigma1),IF(RAND()&lt;CondGood,_xlfn.LOGNORM.INV(RAND(),MV3,Sigma2),MIN(MaxMultiple,Xm/(1-RAND())^(1/Alpha)))))</f>
        <v>0</v>
      </c>
      <c r="L163" s="19">
        <f ca="1">IF(RAND()&lt;P_Zero,0,IF(RAND()&lt;CondReturn,_xlfn.LOGNORM.INV(RAND(),MV2,Sigma1),IF(RAND()&lt;CondGood,_xlfn.LOGNORM.INV(RAND(),MV3,Sigma2),MIN(MaxMultiple,Xm/(1-RAND())^(1/Alpha)))))</f>
        <v>1.1350782142670821</v>
      </c>
      <c r="M163" s="19">
        <f ca="1">IF(RAND()&lt;P_Zero,0,IF(RAND()&lt;CondReturn,_xlfn.LOGNORM.INV(RAND(),MV2,Sigma1),IF(RAND()&lt;CondGood,_xlfn.LOGNORM.INV(RAND(),MV3,Sigma2),MIN(MaxMultiple,Xm/(1-RAND())^(1/Alpha)))))</f>
        <v>0.69215190831980367</v>
      </c>
      <c r="N163" s="19">
        <f ca="1">IF(RAND()&lt;P_Zero,0,IF(RAND()&lt;CondReturn,_xlfn.LOGNORM.INV(RAND(),MV2,Sigma1),IF(RAND()&lt;CondGood,_xlfn.LOGNORM.INV(RAND(),MV3,Sigma2),MIN(MaxMultiple,Xm/(1-RAND())^(1/Alpha)))))</f>
        <v>0.81969398142418504</v>
      </c>
      <c r="O163" s="19">
        <f ca="1">IF(RAND()&lt;P_Zero,0,IF(RAND()&lt;CondReturn,_xlfn.LOGNORM.INV(RAND(),MV2,Sigma1),IF(RAND()&lt;CondGood,_xlfn.LOGNORM.INV(RAND(),MV3,Sigma2),MIN(MaxMultiple,Xm/(1-RAND())^(1/Alpha)))))</f>
        <v>0.61722799056981992</v>
      </c>
      <c r="P163" s="19">
        <f ca="1">IF(RAND()&lt;P_Zero,0,IF(RAND()&lt;CondReturn,_xlfn.LOGNORM.INV(RAND(),MV2,Sigma1),IF(RAND()&lt;CondGood,_xlfn.LOGNORM.INV(RAND(),MV3,Sigma2),MIN(MaxMultiple,Xm/(1-RAND())^(1/Alpha)))))</f>
        <v>0</v>
      </c>
      <c r="Q163" s="19">
        <f ca="1">IF(RAND()&lt;P_Zero,0,IF(RAND()&lt;CondReturn,_xlfn.LOGNORM.INV(RAND(),MV2,Sigma1),IF(RAND()&lt;CondGood,_xlfn.LOGNORM.INV(RAND(),MV3,Sigma2),MIN(MaxMultiple,Xm/(1-RAND())^(1/Alpha)))))</f>
        <v>1.1925252572629996</v>
      </c>
      <c r="R163" s="19">
        <f ca="1">IF(RAND()&lt;P_Zero,0,IF(RAND()&lt;CondReturn,_xlfn.LOGNORM.INV(RAND(),MV2,Sigma1),IF(RAND()&lt;CondGood,_xlfn.LOGNORM.INV(RAND(),MV3,Sigma2),MIN(MaxMultiple,Xm/(1-RAND())^(1/Alpha)))))</f>
        <v>1.2109460504714142</v>
      </c>
      <c r="S163" s="19">
        <f ca="1">IF(RAND()&lt;P_Zero,0,IF(RAND()&lt;CondReturn,_xlfn.LOGNORM.INV(RAND(),MV2,Sigma1),IF(RAND()&lt;CondGood,_xlfn.LOGNORM.INV(RAND(),MV3,Sigma2),MIN(MaxMultiple,Xm/(1-RAND())^(1/Alpha)))))</f>
        <v>0.98427712888634922</v>
      </c>
      <c r="T163" s="19">
        <f ca="1">IF(RAND()&lt;P_Zero,0,IF(RAND()&lt;CondReturn,_xlfn.LOGNORM.INV(RAND(),MV2,Sigma1),IF(RAND()&lt;CondGood,_xlfn.LOGNORM.INV(RAND(),MV3,Sigma2),MIN(MaxMultiple,Xm/(1-RAND())^(1/Alpha)))))</f>
        <v>1.5824043766312521</v>
      </c>
      <c r="U163" s="19">
        <f ca="1">IF(RAND()&lt;P_Zero,0,IF(RAND()&lt;CondReturn,_xlfn.LOGNORM.INV(RAND(),MV2,Sigma1),IF(RAND()&lt;CondGood,_xlfn.LOGNORM.INV(RAND(),MV3,Sigma2),MIN(MaxMultiple,Xm/(1-RAND())^(1/Alpha)))))</f>
        <v>0.56595856943730227</v>
      </c>
      <c r="V163" s="19">
        <f ca="1">IF(RAND()&lt;P_Zero,0,IF(RAND()&lt;CondReturn,_xlfn.LOGNORM.INV(RAND(),MV2,Sigma1),IF(RAND()&lt;CondGood,_xlfn.LOGNORM.INV(RAND(),MV3,Sigma2),MIN(MaxMultiple,Xm/(1-RAND())^(1/Alpha)))))</f>
        <v>0</v>
      </c>
      <c r="W163" s="19">
        <f ca="1">IF(RAND()&lt;P_Zero,0,IF(RAND()&lt;CondReturn,_xlfn.LOGNORM.INV(RAND(),MV2,Sigma1),IF(RAND()&lt;CondGood,_xlfn.LOGNORM.INV(RAND(),MV3,Sigma2),MIN(MaxMultiple,Xm/(1-RAND())^(1/Alpha)))))</f>
        <v>0.96512785142901858</v>
      </c>
      <c r="X163" s="19">
        <f ca="1">IF(RAND()&lt;P_Zero,0,IF(RAND()&lt;CondReturn,_xlfn.LOGNORM.INV(RAND(),MV2,Sigma1),IF(RAND()&lt;CondGood,_xlfn.LOGNORM.INV(RAND(),MV3,Sigma2),MIN(MaxMultiple,Xm/(1-RAND())^(1/Alpha)))))</f>
        <v>0</v>
      </c>
      <c r="Y163" s="19">
        <f ca="1">IF(RAND()&lt;P_Zero,0,IF(RAND()&lt;CondReturn,_xlfn.LOGNORM.INV(RAND(),MV2,Sigma1),IF(RAND()&lt;CondGood,_xlfn.LOGNORM.INV(RAND(),MV3,Sigma2),MIN(MaxMultiple,Xm/(1-RAND())^(1/Alpha)))))</f>
        <v>0.49594184986092882</v>
      </c>
      <c r="Z163" s="19">
        <f ca="1">IF(RAND()&lt;P_Zero,0,IF(RAND()&lt;CondReturn,_xlfn.LOGNORM.INV(RAND(),MV2,Sigma1),IF(RAND()&lt;CondGood,_xlfn.LOGNORM.INV(RAND(),MV3,Sigma2),MIN(MaxMultiple,Xm/(1-RAND())^(1/Alpha)))))</f>
        <v>0</v>
      </c>
      <c r="AA163" s="19">
        <f ca="1">IF(RAND()&lt;P_Zero,0,IF(RAND()&lt;CondReturn,_xlfn.LOGNORM.INV(RAND(),MV2,Sigma1),IF(RAND()&lt;CondGood,_xlfn.LOGNORM.INV(RAND(),MV3,Sigma2),MIN(MaxMultiple,Xm/(1-RAND())^(1/Alpha)))))</f>
        <v>1.3182590206975418</v>
      </c>
      <c r="AB163" s="19">
        <f t="shared" ca="1" si="16"/>
        <v>2.7095639279800139</v>
      </c>
      <c r="AC163" s="14">
        <f t="shared" ca="1" si="17"/>
        <v>130059068.54304066</v>
      </c>
      <c r="AD163" s="14">
        <f t="shared" ca="1" si="18"/>
        <v>82059068.543040663</v>
      </c>
      <c r="AE163" s="14">
        <f t="shared" si="19"/>
        <v>55628399.869093813</v>
      </c>
      <c r="AF163" s="14">
        <f t="shared" ca="1" si="20"/>
        <v>26430668.67394685</v>
      </c>
      <c r="AG163" s="14">
        <f t="shared" ca="1" si="21"/>
        <v>5286133.7347893706</v>
      </c>
      <c r="AH163" s="14">
        <f t="shared" ca="1" si="22"/>
        <v>124772934.80825129</v>
      </c>
      <c r="AI163" s="19">
        <f t="shared" ca="1" si="23"/>
        <v>2.0795489134708549</v>
      </c>
    </row>
    <row r="164" spans="2:35" x14ac:dyDescent="0.2">
      <c r="B164" s="1">
        <v>159</v>
      </c>
      <c r="C164" s="19">
        <f ca="1">IF(RAND()&lt;P_Zero,0,IF(RAND()&lt;CondReturn,_xlfn.LOGNORM.INV(RAND(),MV2,Sigma1),IF(RAND()&lt;CondGood,_xlfn.LOGNORM.INV(RAND(),MV3,Sigma2),MIN(MaxMultiple,Xm/(1-RAND())^(1/Alpha)))))</f>
        <v>1.1332598313587388</v>
      </c>
      <c r="D164" s="19">
        <f ca="1">IF(RAND()&lt;P_Zero,0,IF(RAND()&lt;CondReturn,_xlfn.LOGNORM.INV(RAND(),MV2,Sigma1),IF(RAND()&lt;CondGood,_xlfn.LOGNORM.INV(RAND(),MV3,Sigma2),MIN(MaxMultiple,Xm/(1-RAND())^(1/Alpha)))))</f>
        <v>18.686957441746703</v>
      </c>
      <c r="E164" s="19">
        <f ca="1">IF(RAND()&lt;P_Zero,0,IF(RAND()&lt;CondReturn,_xlfn.LOGNORM.INV(RAND(),MV2,Sigma1),IF(RAND()&lt;CondGood,_xlfn.LOGNORM.INV(RAND(),MV3,Sigma2),MIN(MaxMultiple,Xm/(1-RAND())^(1/Alpha)))))</f>
        <v>0</v>
      </c>
      <c r="F164" s="19">
        <f ca="1">IF(RAND()&lt;P_Zero,0,IF(RAND()&lt;CondReturn,_xlfn.LOGNORM.INV(RAND(),MV2,Sigma1),IF(RAND()&lt;CondGood,_xlfn.LOGNORM.INV(RAND(),MV3,Sigma2),MIN(MaxMultiple,Xm/(1-RAND())^(1/Alpha)))))</f>
        <v>0</v>
      </c>
      <c r="G164" s="19">
        <f ca="1">IF(RAND()&lt;P_Zero,0,IF(RAND()&lt;CondReturn,_xlfn.LOGNORM.INV(RAND(),MV2,Sigma1),IF(RAND()&lt;CondGood,_xlfn.LOGNORM.INV(RAND(),MV3,Sigma2),MIN(MaxMultiple,Xm/(1-RAND())^(1/Alpha)))))</f>
        <v>0.42638064575114976</v>
      </c>
      <c r="H164" s="19">
        <f ca="1">IF(RAND()&lt;P_Zero,0,IF(RAND()&lt;CondReturn,_xlfn.LOGNORM.INV(RAND(),MV2,Sigma1),IF(RAND()&lt;CondGood,_xlfn.LOGNORM.INV(RAND(),MV3,Sigma2),MIN(MaxMultiple,Xm/(1-RAND())^(1/Alpha)))))</f>
        <v>0</v>
      </c>
      <c r="I164" s="19">
        <f ca="1">IF(RAND()&lt;P_Zero,0,IF(RAND()&lt;CondReturn,_xlfn.LOGNORM.INV(RAND(),MV2,Sigma1),IF(RAND()&lt;CondGood,_xlfn.LOGNORM.INV(RAND(),MV3,Sigma2),MIN(MaxMultiple,Xm/(1-RAND())^(1/Alpha)))))</f>
        <v>0</v>
      </c>
      <c r="J164" s="19">
        <f ca="1">IF(RAND()&lt;P_Zero,0,IF(RAND()&lt;CondReturn,_xlfn.LOGNORM.INV(RAND(),MV2,Sigma1),IF(RAND()&lt;CondGood,_xlfn.LOGNORM.INV(RAND(),MV3,Sigma2),MIN(MaxMultiple,Xm/(1-RAND())^(1/Alpha)))))</f>
        <v>1.7613501390570858</v>
      </c>
      <c r="K164" s="19">
        <f ca="1">IF(RAND()&lt;P_Zero,0,IF(RAND()&lt;CondReturn,_xlfn.LOGNORM.INV(RAND(),MV2,Sigma1),IF(RAND()&lt;CondGood,_xlfn.LOGNORM.INV(RAND(),MV3,Sigma2),MIN(MaxMultiple,Xm/(1-RAND())^(1/Alpha)))))</f>
        <v>0</v>
      </c>
      <c r="L164" s="19">
        <f ca="1">IF(RAND()&lt;P_Zero,0,IF(RAND()&lt;CondReturn,_xlfn.LOGNORM.INV(RAND(),MV2,Sigma1),IF(RAND()&lt;CondGood,_xlfn.LOGNORM.INV(RAND(),MV3,Sigma2),MIN(MaxMultiple,Xm/(1-RAND())^(1/Alpha)))))</f>
        <v>0</v>
      </c>
      <c r="M164" s="19">
        <f ca="1">IF(RAND()&lt;P_Zero,0,IF(RAND()&lt;CondReturn,_xlfn.LOGNORM.INV(RAND(),MV2,Sigma1),IF(RAND()&lt;CondGood,_xlfn.LOGNORM.INV(RAND(),MV3,Sigma2),MIN(MaxMultiple,Xm/(1-RAND())^(1/Alpha)))))</f>
        <v>0</v>
      </c>
      <c r="N164" s="19">
        <f ca="1">IF(RAND()&lt;P_Zero,0,IF(RAND()&lt;CondReturn,_xlfn.LOGNORM.INV(RAND(),MV2,Sigma1),IF(RAND()&lt;CondGood,_xlfn.LOGNORM.INV(RAND(),MV3,Sigma2),MIN(MaxMultiple,Xm/(1-RAND())^(1/Alpha)))))</f>
        <v>0</v>
      </c>
      <c r="O164" s="19">
        <f ca="1">IF(RAND()&lt;P_Zero,0,IF(RAND()&lt;CondReturn,_xlfn.LOGNORM.INV(RAND(),MV2,Sigma1),IF(RAND()&lt;CondGood,_xlfn.LOGNORM.INV(RAND(),MV3,Sigma2),MIN(MaxMultiple,Xm/(1-RAND())^(1/Alpha)))))</f>
        <v>0</v>
      </c>
      <c r="P164" s="19">
        <f ca="1">IF(RAND()&lt;P_Zero,0,IF(RAND()&lt;CondReturn,_xlfn.LOGNORM.INV(RAND(),MV2,Sigma1),IF(RAND()&lt;CondGood,_xlfn.LOGNORM.INV(RAND(),MV3,Sigma2),MIN(MaxMultiple,Xm/(1-RAND())^(1/Alpha)))))</f>
        <v>0</v>
      </c>
      <c r="Q164" s="19">
        <f ca="1">IF(RAND()&lt;P_Zero,0,IF(RAND()&lt;CondReturn,_xlfn.LOGNORM.INV(RAND(),MV2,Sigma1),IF(RAND()&lt;CondGood,_xlfn.LOGNORM.INV(RAND(),MV3,Sigma2),MIN(MaxMultiple,Xm/(1-RAND())^(1/Alpha)))))</f>
        <v>16.677264060947184</v>
      </c>
      <c r="R164" s="19">
        <f ca="1">IF(RAND()&lt;P_Zero,0,IF(RAND()&lt;CondReturn,_xlfn.LOGNORM.INV(RAND(),MV2,Sigma1),IF(RAND()&lt;CondGood,_xlfn.LOGNORM.INV(RAND(),MV3,Sigma2),MIN(MaxMultiple,Xm/(1-RAND())^(1/Alpha)))))</f>
        <v>0.99271622984937513</v>
      </c>
      <c r="S164" s="19">
        <f ca="1">IF(RAND()&lt;P_Zero,0,IF(RAND()&lt;CondReturn,_xlfn.LOGNORM.INV(RAND(),MV2,Sigma1),IF(RAND()&lt;CondGood,_xlfn.LOGNORM.INV(RAND(),MV3,Sigma2),MIN(MaxMultiple,Xm/(1-RAND())^(1/Alpha)))))</f>
        <v>0</v>
      </c>
      <c r="T164" s="19">
        <f ca="1">IF(RAND()&lt;P_Zero,0,IF(RAND()&lt;CondReturn,_xlfn.LOGNORM.INV(RAND(),MV2,Sigma1),IF(RAND()&lt;CondGood,_xlfn.LOGNORM.INV(RAND(),MV3,Sigma2),MIN(MaxMultiple,Xm/(1-RAND())^(1/Alpha)))))</f>
        <v>1.4517774205654395</v>
      </c>
      <c r="U164" s="19">
        <f ca="1">IF(RAND()&lt;P_Zero,0,IF(RAND()&lt;CondReturn,_xlfn.LOGNORM.INV(RAND(),MV2,Sigma1),IF(RAND()&lt;CondGood,_xlfn.LOGNORM.INV(RAND(),MV3,Sigma2),MIN(MaxMultiple,Xm/(1-RAND())^(1/Alpha)))))</f>
        <v>0</v>
      </c>
      <c r="V164" s="19">
        <f ca="1">IF(RAND()&lt;P_Zero,0,IF(RAND()&lt;CondReturn,_xlfn.LOGNORM.INV(RAND(),MV2,Sigma1),IF(RAND()&lt;CondGood,_xlfn.LOGNORM.INV(RAND(),MV3,Sigma2),MIN(MaxMultiple,Xm/(1-RAND())^(1/Alpha)))))</f>
        <v>0</v>
      </c>
      <c r="W164" s="19">
        <f ca="1">IF(RAND()&lt;P_Zero,0,IF(RAND()&lt;CondReturn,_xlfn.LOGNORM.INV(RAND(),MV2,Sigma1),IF(RAND()&lt;CondGood,_xlfn.LOGNORM.INV(RAND(),MV3,Sigma2),MIN(MaxMultiple,Xm/(1-RAND())^(1/Alpha)))))</f>
        <v>0</v>
      </c>
      <c r="X164" s="19">
        <f ca="1">IF(RAND()&lt;P_Zero,0,IF(RAND()&lt;CondReturn,_xlfn.LOGNORM.INV(RAND(),MV2,Sigma1),IF(RAND()&lt;CondGood,_xlfn.LOGNORM.INV(RAND(),MV3,Sigma2),MIN(MaxMultiple,Xm/(1-RAND())^(1/Alpha)))))</f>
        <v>1.2749621883328777</v>
      </c>
      <c r="Y164" s="19">
        <f ca="1">IF(RAND()&lt;P_Zero,0,IF(RAND()&lt;CondReturn,_xlfn.LOGNORM.INV(RAND(),MV2,Sigma1),IF(RAND()&lt;CondGood,_xlfn.LOGNORM.INV(RAND(),MV3,Sigma2),MIN(MaxMultiple,Xm/(1-RAND())^(1/Alpha)))))</f>
        <v>0.37126223105902728</v>
      </c>
      <c r="Z164" s="19">
        <f ca="1">IF(RAND()&lt;P_Zero,0,IF(RAND()&lt;CondReturn,_xlfn.LOGNORM.INV(RAND(),MV2,Sigma1),IF(RAND()&lt;CondGood,_xlfn.LOGNORM.INV(RAND(),MV3,Sigma2),MIN(MaxMultiple,Xm/(1-RAND())^(1/Alpha)))))</f>
        <v>0</v>
      </c>
      <c r="AA164" s="19">
        <f ca="1">IF(RAND()&lt;P_Zero,0,IF(RAND()&lt;CondReturn,_xlfn.LOGNORM.INV(RAND(),MV2,Sigma1),IF(RAND()&lt;CondGood,_xlfn.LOGNORM.INV(RAND(),MV3,Sigma2),MIN(MaxMultiple,Xm/(1-RAND())^(1/Alpha)))))</f>
        <v>2.2366699152567833</v>
      </c>
      <c r="AB164" s="19">
        <f t="shared" ca="1" si="16"/>
        <v>1.8005040041569749</v>
      </c>
      <c r="AC164" s="14">
        <f t="shared" ca="1" si="17"/>
        <v>86424192.199534789</v>
      </c>
      <c r="AD164" s="14">
        <f t="shared" ca="1" si="18"/>
        <v>38424192.199534789</v>
      </c>
      <c r="AE164" s="14">
        <f t="shared" si="19"/>
        <v>55628399.869093813</v>
      </c>
      <c r="AF164" s="14">
        <f t="shared" ca="1" si="20"/>
        <v>0</v>
      </c>
      <c r="AG164" s="14">
        <f t="shared" ca="1" si="21"/>
        <v>0</v>
      </c>
      <c r="AH164" s="14">
        <f t="shared" ca="1" si="22"/>
        <v>86424192.199534789</v>
      </c>
      <c r="AI164" s="19">
        <f t="shared" ca="1" si="23"/>
        <v>1.4404032033255798</v>
      </c>
    </row>
    <row r="165" spans="2:35" x14ac:dyDescent="0.2">
      <c r="B165" s="1">
        <v>160</v>
      </c>
      <c r="C165" s="19">
        <f ca="1">IF(RAND()&lt;P_Zero,0,IF(RAND()&lt;CondReturn,_xlfn.LOGNORM.INV(RAND(),MV2,Sigma1),IF(RAND()&lt;CondGood,_xlfn.LOGNORM.INV(RAND(),MV3,Sigma2),MIN(MaxMultiple,Xm/(1-RAND())^(1/Alpha)))))</f>
        <v>0.84381598984685757</v>
      </c>
      <c r="D165" s="19">
        <f ca="1">IF(RAND()&lt;P_Zero,0,IF(RAND()&lt;CondReturn,_xlfn.LOGNORM.INV(RAND(),MV2,Sigma1),IF(RAND()&lt;CondGood,_xlfn.LOGNORM.INV(RAND(),MV3,Sigma2),MIN(MaxMultiple,Xm/(1-RAND())^(1/Alpha)))))</f>
        <v>0.39333993582023646</v>
      </c>
      <c r="E165" s="19">
        <f ca="1">IF(RAND()&lt;P_Zero,0,IF(RAND()&lt;CondReturn,_xlfn.LOGNORM.INV(RAND(),MV2,Sigma1),IF(RAND()&lt;CondGood,_xlfn.LOGNORM.INV(RAND(),MV3,Sigma2),MIN(MaxMultiple,Xm/(1-RAND())^(1/Alpha)))))</f>
        <v>0</v>
      </c>
      <c r="F165" s="19">
        <f ca="1">IF(RAND()&lt;P_Zero,0,IF(RAND()&lt;CondReturn,_xlfn.LOGNORM.INV(RAND(),MV2,Sigma1),IF(RAND()&lt;CondGood,_xlfn.LOGNORM.INV(RAND(),MV3,Sigma2),MIN(MaxMultiple,Xm/(1-RAND())^(1/Alpha)))))</f>
        <v>2.1334744420835805</v>
      </c>
      <c r="G165" s="19">
        <f ca="1">IF(RAND()&lt;P_Zero,0,IF(RAND()&lt;CondReturn,_xlfn.LOGNORM.INV(RAND(),MV2,Sigma1),IF(RAND()&lt;CondGood,_xlfn.LOGNORM.INV(RAND(),MV3,Sigma2),MIN(MaxMultiple,Xm/(1-RAND())^(1/Alpha)))))</f>
        <v>0</v>
      </c>
      <c r="H165" s="19">
        <f ca="1">IF(RAND()&lt;P_Zero,0,IF(RAND()&lt;CondReturn,_xlfn.LOGNORM.INV(RAND(),MV2,Sigma1),IF(RAND()&lt;CondGood,_xlfn.LOGNORM.INV(RAND(),MV3,Sigma2),MIN(MaxMultiple,Xm/(1-RAND())^(1/Alpha)))))</f>
        <v>0</v>
      </c>
      <c r="I165" s="19">
        <f ca="1">IF(RAND()&lt;P_Zero,0,IF(RAND()&lt;CondReturn,_xlfn.LOGNORM.INV(RAND(),MV2,Sigma1),IF(RAND()&lt;CondGood,_xlfn.LOGNORM.INV(RAND(),MV3,Sigma2),MIN(MaxMultiple,Xm/(1-RAND())^(1/Alpha)))))</f>
        <v>0</v>
      </c>
      <c r="J165" s="19">
        <f ca="1">IF(RAND()&lt;P_Zero,0,IF(RAND()&lt;CondReturn,_xlfn.LOGNORM.INV(RAND(),MV2,Sigma1),IF(RAND()&lt;CondGood,_xlfn.LOGNORM.INV(RAND(),MV3,Sigma2),MIN(MaxMultiple,Xm/(1-RAND())^(1/Alpha)))))</f>
        <v>1.2965915596546735</v>
      </c>
      <c r="K165" s="19">
        <f ca="1">IF(RAND()&lt;P_Zero,0,IF(RAND()&lt;CondReturn,_xlfn.LOGNORM.INV(RAND(),MV2,Sigma1),IF(RAND()&lt;CondGood,_xlfn.LOGNORM.INV(RAND(),MV3,Sigma2),MIN(MaxMultiple,Xm/(1-RAND())^(1/Alpha)))))</f>
        <v>0</v>
      </c>
      <c r="L165" s="19">
        <f ca="1">IF(RAND()&lt;P_Zero,0,IF(RAND()&lt;CondReturn,_xlfn.LOGNORM.INV(RAND(),MV2,Sigma1),IF(RAND()&lt;CondGood,_xlfn.LOGNORM.INV(RAND(),MV3,Sigma2),MIN(MaxMultiple,Xm/(1-RAND())^(1/Alpha)))))</f>
        <v>0</v>
      </c>
      <c r="M165" s="19">
        <f ca="1">IF(RAND()&lt;P_Zero,0,IF(RAND()&lt;CondReturn,_xlfn.LOGNORM.INV(RAND(),MV2,Sigma1),IF(RAND()&lt;CondGood,_xlfn.LOGNORM.INV(RAND(),MV3,Sigma2),MIN(MaxMultiple,Xm/(1-RAND())^(1/Alpha)))))</f>
        <v>13.630161526044867</v>
      </c>
      <c r="N165" s="19">
        <f ca="1">IF(RAND()&lt;P_Zero,0,IF(RAND()&lt;CondReturn,_xlfn.LOGNORM.INV(RAND(),MV2,Sigma1),IF(RAND()&lt;CondGood,_xlfn.LOGNORM.INV(RAND(),MV3,Sigma2),MIN(MaxMultiple,Xm/(1-RAND())^(1/Alpha)))))</f>
        <v>0</v>
      </c>
      <c r="O165" s="19">
        <f ca="1">IF(RAND()&lt;P_Zero,0,IF(RAND()&lt;CondReturn,_xlfn.LOGNORM.INV(RAND(),MV2,Sigma1),IF(RAND()&lt;CondGood,_xlfn.LOGNORM.INV(RAND(),MV3,Sigma2),MIN(MaxMultiple,Xm/(1-RAND())^(1/Alpha)))))</f>
        <v>0</v>
      </c>
      <c r="P165" s="19">
        <f ca="1">IF(RAND()&lt;P_Zero,0,IF(RAND()&lt;CondReturn,_xlfn.LOGNORM.INV(RAND(),MV2,Sigma1),IF(RAND()&lt;CondGood,_xlfn.LOGNORM.INV(RAND(),MV3,Sigma2),MIN(MaxMultiple,Xm/(1-RAND())^(1/Alpha)))))</f>
        <v>1.4418445465483443</v>
      </c>
      <c r="Q165" s="19">
        <f ca="1">IF(RAND()&lt;P_Zero,0,IF(RAND()&lt;CondReturn,_xlfn.LOGNORM.INV(RAND(),MV2,Sigma1),IF(RAND()&lt;CondGood,_xlfn.LOGNORM.INV(RAND(),MV3,Sigma2),MIN(MaxMultiple,Xm/(1-RAND())^(1/Alpha)))))</f>
        <v>0</v>
      </c>
      <c r="R165" s="19">
        <f ca="1">IF(RAND()&lt;P_Zero,0,IF(RAND()&lt;CondReturn,_xlfn.LOGNORM.INV(RAND(),MV2,Sigma1),IF(RAND()&lt;CondGood,_xlfn.LOGNORM.INV(RAND(),MV3,Sigma2),MIN(MaxMultiple,Xm/(1-RAND())^(1/Alpha)))))</f>
        <v>27.421275973528939</v>
      </c>
      <c r="S165" s="19">
        <f ca="1">IF(RAND()&lt;P_Zero,0,IF(RAND()&lt;CondReturn,_xlfn.LOGNORM.INV(RAND(),MV2,Sigma1),IF(RAND()&lt;CondGood,_xlfn.LOGNORM.INV(RAND(),MV3,Sigma2),MIN(MaxMultiple,Xm/(1-RAND())^(1/Alpha)))))</f>
        <v>0</v>
      </c>
      <c r="T165" s="19">
        <f ca="1">IF(RAND()&lt;P_Zero,0,IF(RAND()&lt;CondReturn,_xlfn.LOGNORM.INV(RAND(),MV2,Sigma1),IF(RAND()&lt;CondGood,_xlfn.LOGNORM.INV(RAND(),MV3,Sigma2),MIN(MaxMultiple,Xm/(1-RAND())^(1/Alpha)))))</f>
        <v>17.221687208336434</v>
      </c>
      <c r="U165" s="19">
        <f ca="1">IF(RAND()&lt;P_Zero,0,IF(RAND()&lt;CondReturn,_xlfn.LOGNORM.INV(RAND(),MV2,Sigma1),IF(RAND()&lt;CondGood,_xlfn.LOGNORM.INV(RAND(),MV3,Sigma2),MIN(MaxMultiple,Xm/(1-RAND())^(1/Alpha)))))</f>
        <v>0.39876562063809728</v>
      </c>
      <c r="V165" s="19">
        <f ca="1">IF(RAND()&lt;P_Zero,0,IF(RAND()&lt;CondReturn,_xlfn.LOGNORM.INV(RAND(),MV2,Sigma1),IF(RAND()&lt;CondGood,_xlfn.LOGNORM.INV(RAND(),MV3,Sigma2),MIN(MaxMultiple,Xm/(1-RAND())^(1/Alpha)))))</f>
        <v>0</v>
      </c>
      <c r="W165" s="19">
        <f ca="1">IF(RAND()&lt;P_Zero,0,IF(RAND()&lt;CondReturn,_xlfn.LOGNORM.INV(RAND(),MV2,Sigma1),IF(RAND()&lt;CondGood,_xlfn.LOGNORM.INV(RAND(),MV3,Sigma2),MIN(MaxMultiple,Xm/(1-RAND())^(1/Alpha)))))</f>
        <v>0</v>
      </c>
      <c r="X165" s="19">
        <f ca="1">IF(RAND()&lt;P_Zero,0,IF(RAND()&lt;CondReturn,_xlfn.LOGNORM.INV(RAND(),MV2,Sigma1),IF(RAND()&lt;CondGood,_xlfn.LOGNORM.INV(RAND(),MV3,Sigma2),MIN(MaxMultiple,Xm/(1-RAND())^(1/Alpha)))))</f>
        <v>0.79778952779529333</v>
      </c>
      <c r="Y165" s="19">
        <f ca="1">IF(RAND()&lt;P_Zero,0,IF(RAND()&lt;CondReturn,_xlfn.LOGNORM.INV(RAND(),MV2,Sigma1),IF(RAND()&lt;CondGood,_xlfn.LOGNORM.INV(RAND(),MV3,Sigma2),MIN(MaxMultiple,Xm/(1-RAND())^(1/Alpha)))))</f>
        <v>0</v>
      </c>
      <c r="Z165" s="19">
        <f ca="1">IF(RAND()&lt;P_Zero,0,IF(RAND()&lt;CondReturn,_xlfn.LOGNORM.INV(RAND(),MV2,Sigma1),IF(RAND()&lt;CondGood,_xlfn.LOGNORM.INV(RAND(),MV3,Sigma2),MIN(MaxMultiple,Xm/(1-RAND())^(1/Alpha)))))</f>
        <v>0.56231767429973678</v>
      </c>
      <c r="AA165" s="19">
        <f ca="1">IF(RAND()&lt;P_Zero,0,IF(RAND()&lt;CondReturn,_xlfn.LOGNORM.INV(RAND(),MV2,Sigma1),IF(RAND()&lt;CondGood,_xlfn.LOGNORM.INV(RAND(),MV3,Sigma2),MIN(MaxMultiple,Xm/(1-RAND())^(1/Alpha)))))</f>
        <v>0</v>
      </c>
      <c r="AB165" s="19">
        <f t="shared" ca="1" si="16"/>
        <v>2.645642560183882</v>
      </c>
      <c r="AC165" s="14">
        <f t="shared" ca="1" si="17"/>
        <v>126990842.88882634</v>
      </c>
      <c r="AD165" s="14">
        <f t="shared" ca="1" si="18"/>
        <v>78990842.88882634</v>
      </c>
      <c r="AE165" s="14">
        <f t="shared" si="19"/>
        <v>55628399.869093813</v>
      </c>
      <c r="AF165" s="14">
        <f t="shared" ca="1" si="20"/>
        <v>23362443.019732527</v>
      </c>
      <c r="AG165" s="14">
        <f t="shared" ca="1" si="21"/>
        <v>4672488.603946506</v>
      </c>
      <c r="AH165" s="14">
        <f t="shared" ca="1" si="22"/>
        <v>122318354.28487983</v>
      </c>
      <c r="AI165" s="19">
        <f t="shared" ca="1" si="23"/>
        <v>2.0386392380813305</v>
      </c>
    </row>
    <row r="166" spans="2:35" x14ac:dyDescent="0.2">
      <c r="B166" s="1">
        <v>161</v>
      </c>
      <c r="C166" s="19">
        <f ca="1">IF(RAND()&lt;P_Zero,0,IF(RAND()&lt;CondReturn,_xlfn.LOGNORM.INV(RAND(),MV2,Sigma1),IF(RAND()&lt;CondGood,_xlfn.LOGNORM.INV(RAND(),MV3,Sigma2),MIN(MaxMultiple,Xm/(1-RAND())^(1/Alpha)))))</f>
        <v>1.4015353952570231</v>
      </c>
      <c r="D166" s="19">
        <f ca="1">IF(RAND()&lt;P_Zero,0,IF(RAND()&lt;CondReturn,_xlfn.LOGNORM.INV(RAND(),MV2,Sigma1),IF(RAND()&lt;CondGood,_xlfn.LOGNORM.INV(RAND(),MV3,Sigma2),MIN(MaxMultiple,Xm/(1-RAND())^(1/Alpha)))))</f>
        <v>1.1484426582083196</v>
      </c>
      <c r="E166" s="19">
        <f ca="1">IF(RAND()&lt;P_Zero,0,IF(RAND()&lt;CondReturn,_xlfn.LOGNORM.INV(RAND(),MV2,Sigma1),IF(RAND()&lt;CondGood,_xlfn.LOGNORM.INV(RAND(),MV3,Sigma2),MIN(MaxMultiple,Xm/(1-RAND())^(1/Alpha)))))</f>
        <v>0</v>
      </c>
      <c r="F166" s="19">
        <f ca="1">IF(RAND()&lt;P_Zero,0,IF(RAND()&lt;CondReturn,_xlfn.LOGNORM.INV(RAND(),MV2,Sigma1),IF(RAND()&lt;CondGood,_xlfn.LOGNORM.INV(RAND(),MV3,Sigma2),MIN(MaxMultiple,Xm/(1-RAND())^(1/Alpha)))))</f>
        <v>120.14123247978166</v>
      </c>
      <c r="G166" s="19">
        <f ca="1">IF(RAND()&lt;P_Zero,0,IF(RAND()&lt;CondReturn,_xlfn.LOGNORM.INV(RAND(),MV2,Sigma1),IF(RAND()&lt;CondGood,_xlfn.LOGNORM.INV(RAND(),MV3,Sigma2),MIN(MaxMultiple,Xm/(1-RAND())^(1/Alpha)))))</f>
        <v>0.81127163342119002</v>
      </c>
      <c r="H166" s="19">
        <f ca="1">IF(RAND()&lt;P_Zero,0,IF(RAND()&lt;CondReturn,_xlfn.LOGNORM.INV(RAND(),MV2,Sigma1),IF(RAND()&lt;CondGood,_xlfn.LOGNORM.INV(RAND(),MV3,Sigma2),MIN(MaxMultiple,Xm/(1-RAND())^(1/Alpha)))))</f>
        <v>0</v>
      </c>
      <c r="I166" s="19">
        <f ca="1">IF(RAND()&lt;P_Zero,0,IF(RAND()&lt;CondReturn,_xlfn.LOGNORM.INV(RAND(),MV2,Sigma1),IF(RAND()&lt;CondGood,_xlfn.LOGNORM.INV(RAND(),MV3,Sigma2),MIN(MaxMultiple,Xm/(1-RAND())^(1/Alpha)))))</f>
        <v>1.4126437992685892</v>
      </c>
      <c r="J166" s="19">
        <f ca="1">IF(RAND()&lt;P_Zero,0,IF(RAND()&lt;CondReturn,_xlfn.LOGNORM.INV(RAND(),MV2,Sigma1),IF(RAND()&lt;CondGood,_xlfn.LOGNORM.INV(RAND(),MV3,Sigma2),MIN(MaxMultiple,Xm/(1-RAND())^(1/Alpha)))))</f>
        <v>0</v>
      </c>
      <c r="K166" s="19">
        <f ca="1">IF(RAND()&lt;P_Zero,0,IF(RAND()&lt;CondReturn,_xlfn.LOGNORM.INV(RAND(),MV2,Sigma1),IF(RAND()&lt;CondGood,_xlfn.LOGNORM.INV(RAND(),MV3,Sigma2),MIN(MaxMultiple,Xm/(1-RAND())^(1/Alpha)))))</f>
        <v>0.28721396088923645</v>
      </c>
      <c r="L166" s="19">
        <f ca="1">IF(RAND()&lt;P_Zero,0,IF(RAND()&lt;CondReturn,_xlfn.LOGNORM.INV(RAND(),MV2,Sigma1),IF(RAND()&lt;CondGood,_xlfn.LOGNORM.INV(RAND(),MV3,Sigma2),MIN(MaxMultiple,Xm/(1-RAND())^(1/Alpha)))))</f>
        <v>2.1527655960101515</v>
      </c>
      <c r="M166" s="19">
        <f ca="1">IF(RAND()&lt;P_Zero,0,IF(RAND()&lt;CondReturn,_xlfn.LOGNORM.INV(RAND(),MV2,Sigma1),IF(RAND()&lt;CondGood,_xlfn.LOGNORM.INV(RAND(),MV3,Sigma2),MIN(MaxMultiple,Xm/(1-RAND())^(1/Alpha)))))</f>
        <v>0.50039574201293491</v>
      </c>
      <c r="N166" s="19">
        <f ca="1">IF(RAND()&lt;P_Zero,0,IF(RAND()&lt;CondReturn,_xlfn.LOGNORM.INV(RAND(),MV2,Sigma1),IF(RAND()&lt;CondGood,_xlfn.LOGNORM.INV(RAND(),MV3,Sigma2),MIN(MaxMultiple,Xm/(1-RAND())^(1/Alpha)))))</f>
        <v>0</v>
      </c>
      <c r="O166" s="19">
        <f ca="1">IF(RAND()&lt;P_Zero,0,IF(RAND()&lt;CondReturn,_xlfn.LOGNORM.INV(RAND(),MV2,Sigma1),IF(RAND()&lt;CondGood,_xlfn.LOGNORM.INV(RAND(),MV3,Sigma2),MIN(MaxMultiple,Xm/(1-RAND())^(1/Alpha)))))</f>
        <v>2.3633306642276111</v>
      </c>
      <c r="P166" s="19">
        <f ca="1">IF(RAND()&lt;P_Zero,0,IF(RAND()&lt;CondReturn,_xlfn.LOGNORM.INV(RAND(),MV2,Sigma1),IF(RAND()&lt;CondGood,_xlfn.LOGNORM.INV(RAND(),MV3,Sigma2),MIN(MaxMultiple,Xm/(1-RAND())^(1/Alpha)))))</f>
        <v>0</v>
      </c>
      <c r="Q166" s="19">
        <f ca="1">IF(RAND()&lt;P_Zero,0,IF(RAND()&lt;CondReturn,_xlfn.LOGNORM.INV(RAND(),MV2,Sigma1),IF(RAND()&lt;CondGood,_xlfn.LOGNORM.INV(RAND(),MV3,Sigma2),MIN(MaxMultiple,Xm/(1-RAND())^(1/Alpha)))))</f>
        <v>0.92985855042878074</v>
      </c>
      <c r="R166" s="19">
        <f ca="1">IF(RAND()&lt;P_Zero,0,IF(RAND()&lt;CondReturn,_xlfn.LOGNORM.INV(RAND(),MV2,Sigma1),IF(RAND()&lt;CondGood,_xlfn.LOGNORM.INV(RAND(),MV3,Sigma2),MIN(MaxMultiple,Xm/(1-RAND())^(1/Alpha)))))</f>
        <v>0.8564150257708194</v>
      </c>
      <c r="S166" s="19">
        <f ca="1">IF(RAND()&lt;P_Zero,0,IF(RAND()&lt;CondReturn,_xlfn.LOGNORM.INV(RAND(),MV2,Sigma1),IF(RAND()&lt;CondGood,_xlfn.LOGNORM.INV(RAND(),MV3,Sigma2),MIN(MaxMultiple,Xm/(1-RAND())^(1/Alpha)))))</f>
        <v>0.91847802707937021</v>
      </c>
      <c r="T166" s="19">
        <f ca="1">IF(RAND()&lt;P_Zero,0,IF(RAND()&lt;CondReturn,_xlfn.LOGNORM.INV(RAND(),MV2,Sigma1),IF(RAND()&lt;CondGood,_xlfn.LOGNORM.INV(RAND(),MV3,Sigma2),MIN(MaxMultiple,Xm/(1-RAND())^(1/Alpha)))))</f>
        <v>0</v>
      </c>
      <c r="U166" s="19">
        <f ca="1">IF(RAND()&lt;P_Zero,0,IF(RAND()&lt;CondReturn,_xlfn.LOGNORM.INV(RAND(),MV2,Sigma1),IF(RAND()&lt;CondGood,_xlfn.LOGNORM.INV(RAND(),MV3,Sigma2),MIN(MaxMultiple,Xm/(1-RAND())^(1/Alpha)))))</f>
        <v>1.0910564307559802</v>
      </c>
      <c r="V166" s="19">
        <f ca="1">IF(RAND()&lt;P_Zero,0,IF(RAND()&lt;CondReturn,_xlfn.LOGNORM.INV(RAND(),MV2,Sigma1),IF(RAND()&lt;CondGood,_xlfn.LOGNORM.INV(RAND(),MV3,Sigma2),MIN(MaxMultiple,Xm/(1-RAND())^(1/Alpha)))))</f>
        <v>0</v>
      </c>
      <c r="W166" s="19">
        <f ca="1">IF(RAND()&lt;P_Zero,0,IF(RAND()&lt;CondReturn,_xlfn.LOGNORM.INV(RAND(),MV2,Sigma1),IF(RAND()&lt;CondGood,_xlfn.LOGNORM.INV(RAND(),MV3,Sigma2),MIN(MaxMultiple,Xm/(1-RAND())^(1/Alpha)))))</f>
        <v>1.2665297064083032</v>
      </c>
      <c r="X166" s="19">
        <f ca="1">IF(RAND()&lt;P_Zero,0,IF(RAND()&lt;CondReturn,_xlfn.LOGNORM.INV(RAND(),MV2,Sigma1),IF(RAND()&lt;CondGood,_xlfn.LOGNORM.INV(RAND(),MV3,Sigma2),MIN(MaxMultiple,Xm/(1-RAND())^(1/Alpha)))))</f>
        <v>1.9725114610581811</v>
      </c>
      <c r="Y166" s="19">
        <f ca="1">IF(RAND()&lt;P_Zero,0,IF(RAND()&lt;CondReturn,_xlfn.LOGNORM.INV(RAND(),MV2,Sigma1),IF(RAND()&lt;CondGood,_xlfn.LOGNORM.INV(RAND(),MV3,Sigma2),MIN(MaxMultiple,Xm/(1-RAND())^(1/Alpha)))))</f>
        <v>0.77010900518934622</v>
      </c>
      <c r="Z166" s="19">
        <f ca="1">IF(RAND()&lt;P_Zero,0,IF(RAND()&lt;CondReturn,_xlfn.LOGNORM.INV(RAND(),MV2,Sigma1),IF(RAND()&lt;CondGood,_xlfn.LOGNORM.INV(RAND(),MV3,Sigma2),MIN(MaxMultiple,Xm/(1-RAND())^(1/Alpha)))))</f>
        <v>0</v>
      </c>
      <c r="AA166" s="19">
        <f ca="1">IF(RAND()&lt;P_Zero,0,IF(RAND()&lt;CondReturn,_xlfn.LOGNORM.INV(RAND(),MV2,Sigma1),IF(RAND()&lt;CondGood,_xlfn.LOGNORM.INV(RAND(),MV3,Sigma2),MIN(MaxMultiple,Xm/(1-RAND())^(1/Alpha)))))</f>
        <v>2.3015343417111613</v>
      </c>
      <c r="AB166" s="19">
        <f t="shared" ca="1" si="16"/>
        <v>5.6130129790991461</v>
      </c>
      <c r="AC166" s="14">
        <f t="shared" ca="1" si="17"/>
        <v>269424622.996759</v>
      </c>
      <c r="AD166" s="14">
        <f t="shared" ca="1" si="18"/>
        <v>221424622.996759</v>
      </c>
      <c r="AE166" s="14">
        <f t="shared" si="19"/>
        <v>55628399.869093813</v>
      </c>
      <c r="AF166" s="14">
        <f t="shared" ca="1" si="20"/>
        <v>165796223.12766519</v>
      </c>
      <c r="AG166" s="14">
        <f t="shared" ca="1" si="21"/>
        <v>33159244.625533041</v>
      </c>
      <c r="AH166" s="14">
        <f t="shared" ca="1" si="22"/>
        <v>236265378.37122595</v>
      </c>
      <c r="AI166" s="19">
        <f t="shared" ca="1" si="23"/>
        <v>3.937756306187099</v>
      </c>
    </row>
    <row r="167" spans="2:35" x14ac:dyDescent="0.2">
      <c r="B167" s="1">
        <v>162</v>
      </c>
      <c r="C167" s="19">
        <f ca="1">IF(RAND()&lt;P_Zero,0,IF(RAND()&lt;CondReturn,_xlfn.LOGNORM.INV(RAND(),MV2,Sigma1),IF(RAND()&lt;CondGood,_xlfn.LOGNORM.INV(RAND(),MV3,Sigma2),MIN(MaxMultiple,Xm/(1-RAND())^(1/Alpha)))))</f>
        <v>1.2264121217904476</v>
      </c>
      <c r="D167" s="19">
        <f ca="1">IF(RAND()&lt;P_Zero,0,IF(RAND()&lt;CondReturn,_xlfn.LOGNORM.INV(RAND(),MV2,Sigma1),IF(RAND()&lt;CondGood,_xlfn.LOGNORM.INV(RAND(),MV3,Sigma2),MIN(MaxMultiple,Xm/(1-RAND())^(1/Alpha)))))</f>
        <v>0</v>
      </c>
      <c r="E167" s="19">
        <f ca="1">IF(RAND()&lt;P_Zero,0,IF(RAND()&lt;CondReturn,_xlfn.LOGNORM.INV(RAND(),MV2,Sigma1),IF(RAND()&lt;CondGood,_xlfn.LOGNORM.INV(RAND(),MV3,Sigma2),MIN(MaxMultiple,Xm/(1-RAND())^(1/Alpha)))))</f>
        <v>0</v>
      </c>
      <c r="F167" s="19">
        <f ca="1">IF(RAND()&lt;P_Zero,0,IF(RAND()&lt;CondReturn,_xlfn.LOGNORM.INV(RAND(),MV2,Sigma1),IF(RAND()&lt;CondGood,_xlfn.LOGNORM.INV(RAND(),MV3,Sigma2),MIN(MaxMultiple,Xm/(1-RAND())^(1/Alpha)))))</f>
        <v>91.460329440662235</v>
      </c>
      <c r="G167" s="19">
        <f ca="1">IF(RAND()&lt;P_Zero,0,IF(RAND()&lt;CondReturn,_xlfn.LOGNORM.INV(RAND(),MV2,Sigma1),IF(RAND()&lt;CondGood,_xlfn.LOGNORM.INV(RAND(),MV3,Sigma2),MIN(MaxMultiple,Xm/(1-RAND())^(1/Alpha)))))</f>
        <v>1.1279997630359186</v>
      </c>
      <c r="H167" s="19">
        <f ca="1">IF(RAND()&lt;P_Zero,0,IF(RAND()&lt;CondReturn,_xlfn.LOGNORM.INV(RAND(),MV2,Sigma1),IF(RAND()&lt;CondGood,_xlfn.LOGNORM.INV(RAND(),MV3,Sigma2),MIN(MaxMultiple,Xm/(1-RAND())^(1/Alpha)))))</f>
        <v>0.53043972822006114</v>
      </c>
      <c r="I167" s="19">
        <f ca="1">IF(RAND()&lt;P_Zero,0,IF(RAND()&lt;CondReturn,_xlfn.LOGNORM.INV(RAND(),MV2,Sigma1),IF(RAND()&lt;CondGood,_xlfn.LOGNORM.INV(RAND(),MV3,Sigma2),MIN(MaxMultiple,Xm/(1-RAND())^(1/Alpha)))))</f>
        <v>0</v>
      </c>
      <c r="J167" s="19">
        <f ca="1">IF(RAND()&lt;P_Zero,0,IF(RAND()&lt;CondReturn,_xlfn.LOGNORM.INV(RAND(),MV2,Sigma1),IF(RAND()&lt;CondGood,_xlfn.LOGNORM.INV(RAND(),MV3,Sigma2),MIN(MaxMultiple,Xm/(1-RAND())^(1/Alpha)))))</f>
        <v>1.1899088402425519</v>
      </c>
      <c r="K167" s="19">
        <f ca="1">IF(RAND()&lt;P_Zero,0,IF(RAND()&lt;CondReturn,_xlfn.LOGNORM.INV(RAND(),MV2,Sigma1),IF(RAND()&lt;CondGood,_xlfn.LOGNORM.INV(RAND(),MV3,Sigma2),MIN(MaxMultiple,Xm/(1-RAND())^(1/Alpha)))))</f>
        <v>2.1647088774602965</v>
      </c>
      <c r="L167" s="19">
        <f ca="1">IF(RAND()&lt;P_Zero,0,IF(RAND()&lt;CondReturn,_xlfn.LOGNORM.INV(RAND(),MV2,Sigma1),IF(RAND()&lt;CondGood,_xlfn.LOGNORM.INV(RAND(),MV3,Sigma2),MIN(MaxMultiple,Xm/(1-RAND())^(1/Alpha)))))</f>
        <v>0.80907726424149684</v>
      </c>
      <c r="M167" s="19">
        <f ca="1">IF(RAND()&lt;P_Zero,0,IF(RAND()&lt;CondReturn,_xlfn.LOGNORM.INV(RAND(),MV2,Sigma1),IF(RAND()&lt;CondGood,_xlfn.LOGNORM.INV(RAND(),MV3,Sigma2),MIN(MaxMultiple,Xm/(1-RAND())^(1/Alpha)))))</f>
        <v>0</v>
      </c>
      <c r="N167" s="19">
        <f ca="1">IF(RAND()&lt;P_Zero,0,IF(RAND()&lt;CondReturn,_xlfn.LOGNORM.INV(RAND(),MV2,Sigma1),IF(RAND()&lt;CondGood,_xlfn.LOGNORM.INV(RAND(),MV3,Sigma2),MIN(MaxMultiple,Xm/(1-RAND())^(1/Alpha)))))</f>
        <v>2.3744898800305601</v>
      </c>
      <c r="O167" s="19">
        <f ca="1">IF(RAND()&lt;P_Zero,0,IF(RAND()&lt;CondReturn,_xlfn.LOGNORM.INV(RAND(),MV2,Sigma1),IF(RAND()&lt;CondGood,_xlfn.LOGNORM.INV(RAND(),MV3,Sigma2),MIN(MaxMultiple,Xm/(1-RAND())^(1/Alpha)))))</f>
        <v>0.65321074275806601</v>
      </c>
      <c r="P167" s="19">
        <f ca="1">IF(RAND()&lt;P_Zero,0,IF(RAND()&lt;CondReturn,_xlfn.LOGNORM.INV(RAND(),MV2,Sigma1),IF(RAND()&lt;CondGood,_xlfn.LOGNORM.INV(RAND(),MV3,Sigma2),MIN(MaxMultiple,Xm/(1-RAND())^(1/Alpha)))))</f>
        <v>0.71118364537132162</v>
      </c>
      <c r="Q167" s="19">
        <f ca="1">IF(RAND()&lt;P_Zero,0,IF(RAND()&lt;CondReturn,_xlfn.LOGNORM.INV(RAND(),MV2,Sigma1),IF(RAND()&lt;CondGood,_xlfn.LOGNORM.INV(RAND(),MV3,Sigma2),MIN(MaxMultiple,Xm/(1-RAND())^(1/Alpha)))))</f>
        <v>16.951482795324143</v>
      </c>
      <c r="R167" s="19">
        <f ca="1">IF(RAND()&lt;P_Zero,0,IF(RAND()&lt;CondReturn,_xlfn.LOGNORM.INV(RAND(),MV2,Sigma1),IF(RAND()&lt;CondGood,_xlfn.LOGNORM.INV(RAND(),MV3,Sigma2),MIN(MaxMultiple,Xm/(1-RAND())^(1/Alpha)))))</f>
        <v>0</v>
      </c>
      <c r="S167" s="19">
        <f ca="1">IF(RAND()&lt;P_Zero,0,IF(RAND()&lt;CondReturn,_xlfn.LOGNORM.INV(RAND(),MV2,Sigma1),IF(RAND()&lt;CondGood,_xlfn.LOGNORM.INV(RAND(),MV3,Sigma2),MIN(MaxMultiple,Xm/(1-RAND())^(1/Alpha)))))</f>
        <v>0</v>
      </c>
      <c r="T167" s="19">
        <f ca="1">IF(RAND()&lt;P_Zero,0,IF(RAND()&lt;CondReturn,_xlfn.LOGNORM.INV(RAND(),MV2,Sigma1),IF(RAND()&lt;CondGood,_xlfn.LOGNORM.INV(RAND(),MV3,Sigma2),MIN(MaxMultiple,Xm/(1-RAND())^(1/Alpha)))))</f>
        <v>23.576139425426199</v>
      </c>
      <c r="U167" s="19">
        <f ca="1">IF(RAND()&lt;P_Zero,0,IF(RAND()&lt;CondReturn,_xlfn.LOGNORM.INV(RAND(),MV2,Sigma1),IF(RAND()&lt;CondGood,_xlfn.LOGNORM.INV(RAND(),MV3,Sigma2),MIN(MaxMultiple,Xm/(1-RAND())^(1/Alpha)))))</f>
        <v>0</v>
      </c>
      <c r="V167" s="19">
        <f ca="1">IF(RAND()&lt;P_Zero,0,IF(RAND()&lt;CondReturn,_xlfn.LOGNORM.INV(RAND(),MV2,Sigma1),IF(RAND()&lt;CondGood,_xlfn.LOGNORM.INV(RAND(),MV3,Sigma2),MIN(MaxMultiple,Xm/(1-RAND())^(1/Alpha)))))</f>
        <v>17.067314696429861</v>
      </c>
      <c r="W167" s="19">
        <f ca="1">IF(RAND()&lt;P_Zero,0,IF(RAND()&lt;CondReturn,_xlfn.LOGNORM.INV(RAND(),MV2,Sigma1),IF(RAND()&lt;CondGood,_xlfn.LOGNORM.INV(RAND(),MV3,Sigma2),MIN(MaxMultiple,Xm/(1-RAND())^(1/Alpha)))))</f>
        <v>0</v>
      </c>
      <c r="X167" s="19">
        <f ca="1">IF(RAND()&lt;P_Zero,0,IF(RAND()&lt;CondReturn,_xlfn.LOGNORM.INV(RAND(),MV2,Sigma1),IF(RAND()&lt;CondGood,_xlfn.LOGNORM.INV(RAND(),MV3,Sigma2),MIN(MaxMultiple,Xm/(1-RAND())^(1/Alpha)))))</f>
        <v>139.11024030268973</v>
      </c>
      <c r="Y167" s="19">
        <f ca="1">IF(RAND()&lt;P_Zero,0,IF(RAND()&lt;CondReturn,_xlfn.LOGNORM.INV(RAND(),MV2,Sigma1),IF(RAND()&lt;CondGood,_xlfn.LOGNORM.INV(RAND(),MV3,Sigma2),MIN(MaxMultiple,Xm/(1-RAND())^(1/Alpha)))))</f>
        <v>1.0918025961240856</v>
      </c>
      <c r="Z167" s="19">
        <f ca="1">IF(RAND()&lt;P_Zero,0,IF(RAND()&lt;CondReturn,_xlfn.LOGNORM.INV(RAND(),MV2,Sigma1),IF(RAND()&lt;CondGood,_xlfn.LOGNORM.INV(RAND(),MV3,Sigma2),MIN(MaxMultiple,Xm/(1-RAND())^(1/Alpha)))))</f>
        <v>0</v>
      </c>
      <c r="AA167" s="19">
        <f ca="1">IF(RAND()&lt;P_Zero,0,IF(RAND()&lt;CondReturn,_xlfn.LOGNORM.INV(RAND(),MV2,Sigma1),IF(RAND()&lt;CondGood,_xlfn.LOGNORM.INV(RAND(),MV3,Sigma2),MIN(MaxMultiple,Xm/(1-RAND())^(1/Alpha)))))</f>
        <v>0</v>
      </c>
      <c r="AB167" s="19">
        <f t="shared" ca="1" si="16"/>
        <v>12.001789604792277</v>
      </c>
      <c r="AC167" s="14">
        <f t="shared" ca="1" si="17"/>
        <v>576085901.0300293</v>
      </c>
      <c r="AD167" s="14">
        <f t="shared" ca="1" si="18"/>
        <v>528085901.0300293</v>
      </c>
      <c r="AE167" s="14">
        <f t="shared" si="19"/>
        <v>55628399.869093813</v>
      </c>
      <c r="AF167" s="14">
        <f t="shared" ca="1" si="20"/>
        <v>472457501.16093546</v>
      </c>
      <c r="AG167" s="14">
        <f t="shared" ca="1" si="21"/>
        <v>94491500.232187092</v>
      </c>
      <c r="AH167" s="14">
        <f t="shared" ca="1" si="22"/>
        <v>481594400.7978422</v>
      </c>
      <c r="AI167" s="19">
        <f t="shared" ca="1" si="23"/>
        <v>8.0265733466307037</v>
      </c>
    </row>
    <row r="168" spans="2:35" x14ac:dyDescent="0.2">
      <c r="B168" s="1">
        <v>163</v>
      </c>
      <c r="C168" s="19">
        <f ca="1">IF(RAND()&lt;P_Zero,0,IF(RAND()&lt;CondReturn,_xlfn.LOGNORM.INV(RAND(),MV2,Sigma1),IF(RAND()&lt;CondGood,_xlfn.LOGNORM.INV(RAND(),MV3,Sigma2),MIN(MaxMultiple,Xm/(1-RAND())^(1/Alpha)))))</f>
        <v>0.78841675286792567</v>
      </c>
      <c r="D168" s="19">
        <f ca="1">IF(RAND()&lt;P_Zero,0,IF(RAND()&lt;CondReturn,_xlfn.LOGNORM.INV(RAND(),MV2,Sigma1),IF(RAND()&lt;CondGood,_xlfn.LOGNORM.INV(RAND(),MV3,Sigma2),MIN(MaxMultiple,Xm/(1-RAND())^(1/Alpha)))))</f>
        <v>0</v>
      </c>
      <c r="E168" s="19">
        <f ca="1">IF(RAND()&lt;P_Zero,0,IF(RAND()&lt;CondReturn,_xlfn.LOGNORM.INV(RAND(),MV2,Sigma1),IF(RAND()&lt;CondGood,_xlfn.LOGNORM.INV(RAND(),MV3,Sigma2),MIN(MaxMultiple,Xm/(1-RAND())^(1/Alpha)))))</f>
        <v>0.59624754371201238</v>
      </c>
      <c r="F168" s="19">
        <f ca="1">IF(RAND()&lt;P_Zero,0,IF(RAND()&lt;CondReturn,_xlfn.LOGNORM.INV(RAND(),MV2,Sigma1),IF(RAND()&lt;CondGood,_xlfn.LOGNORM.INV(RAND(),MV3,Sigma2),MIN(MaxMultiple,Xm/(1-RAND())^(1/Alpha)))))</f>
        <v>1.2120389700084386</v>
      </c>
      <c r="G168" s="19">
        <f ca="1">IF(RAND()&lt;P_Zero,0,IF(RAND()&lt;CondReturn,_xlfn.LOGNORM.INV(RAND(),MV2,Sigma1),IF(RAND()&lt;CondGood,_xlfn.LOGNORM.INV(RAND(),MV3,Sigma2),MIN(MaxMultiple,Xm/(1-RAND())^(1/Alpha)))))</f>
        <v>0.71982993204086887</v>
      </c>
      <c r="H168" s="19">
        <f ca="1">IF(RAND()&lt;P_Zero,0,IF(RAND()&lt;CondReturn,_xlfn.LOGNORM.INV(RAND(),MV2,Sigma1),IF(RAND()&lt;CondGood,_xlfn.LOGNORM.INV(RAND(),MV3,Sigma2),MIN(MaxMultiple,Xm/(1-RAND())^(1/Alpha)))))</f>
        <v>1.0407449101817057</v>
      </c>
      <c r="I168" s="19">
        <f ca="1">IF(RAND()&lt;P_Zero,0,IF(RAND()&lt;CondReturn,_xlfn.LOGNORM.INV(RAND(),MV2,Sigma1),IF(RAND()&lt;CondGood,_xlfn.LOGNORM.INV(RAND(),MV3,Sigma2),MIN(MaxMultiple,Xm/(1-RAND())^(1/Alpha)))))</f>
        <v>0</v>
      </c>
      <c r="J168" s="19">
        <f ca="1">IF(RAND()&lt;P_Zero,0,IF(RAND()&lt;CondReturn,_xlfn.LOGNORM.INV(RAND(),MV2,Sigma1),IF(RAND()&lt;CondGood,_xlfn.LOGNORM.INV(RAND(),MV3,Sigma2),MIN(MaxMultiple,Xm/(1-RAND())^(1/Alpha)))))</f>
        <v>0.79333360840000877</v>
      </c>
      <c r="K168" s="19">
        <f ca="1">IF(RAND()&lt;P_Zero,0,IF(RAND()&lt;CondReturn,_xlfn.LOGNORM.INV(RAND(),MV2,Sigma1),IF(RAND()&lt;CondGood,_xlfn.LOGNORM.INV(RAND(),MV3,Sigma2),MIN(MaxMultiple,Xm/(1-RAND())^(1/Alpha)))))</f>
        <v>1.2121451485416812</v>
      </c>
      <c r="L168" s="19">
        <f ca="1">IF(RAND()&lt;P_Zero,0,IF(RAND()&lt;CondReturn,_xlfn.LOGNORM.INV(RAND(),MV2,Sigma1),IF(RAND()&lt;CondGood,_xlfn.LOGNORM.INV(RAND(),MV3,Sigma2),MIN(MaxMultiple,Xm/(1-RAND())^(1/Alpha)))))</f>
        <v>0</v>
      </c>
      <c r="M168" s="19">
        <f ca="1">IF(RAND()&lt;P_Zero,0,IF(RAND()&lt;CondReturn,_xlfn.LOGNORM.INV(RAND(),MV2,Sigma1),IF(RAND()&lt;CondGood,_xlfn.LOGNORM.INV(RAND(),MV3,Sigma2),MIN(MaxMultiple,Xm/(1-RAND())^(1/Alpha)))))</f>
        <v>0</v>
      </c>
      <c r="N168" s="19">
        <f ca="1">IF(RAND()&lt;P_Zero,0,IF(RAND()&lt;CondReturn,_xlfn.LOGNORM.INV(RAND(),MV2,Sigma1),IF(RAND()&lt;CondGood,_xlfn.LOGNORM.INV(RAND(),MV3,Sigma2),MIN(MaxMultiple,Xm/(1-RAND())^(1/Alpha)))))</f>
        <v>2.2302745881222901</v>
      </c>
      <c r="O168" s="19">
        <f ca="1">IF(RAND()&lt;P_Zero,0,IF(RAND()&lt;CondReturn,_xlfn.LOGNORM.INV(RAND(),MV2,Sigma1),IF(RAND()&lt;CondGood,_xlfn.LOGNORM.INV(RAND(),MV3,Sigma2),MIN(MaxMultiple,Xm/(1-RAND())^(1/Alpha)))))</f>
        <v>0</v>
      </c>
      <c r="P168" s="19">
        <f ca="1">IF(RAND()&lt;P_Zero,0,IF(RAND()&lt;CondReturn,_xlfn.LOGNORM.INV(RAND(),MV2,Sigma1),IF(RAND()&lt;CondGood,_xlfn.LOGNORM.INV(RAND(),MV3,Sigma2),MIN(MaxMultiple,Xm/(1-RAND())^(1/Alpha)))))</f>
        <v>15.172271716952611</v>
      </c>
      <c r="Q168" s="19">
        <f ca="1">IF(RAND()&lt;P_Zero,0,IF(RAND()&lt;CondReturn,_xlfn.LOGNORM.INV(RAND(),MV2,Sigma1),IF(RAND()&lt;CondGood,_xlfn.LOGNORM.INV(RAND(),MV3,Sigma2),MIN(MaxMultiple,Xm/(1-RAND())^(1/Alpha)))))</f>
        <v>30.809676075587547</v>
      </c>
      <c r="R168" s="19">
        <f ca="1">IF(RAND()&lt;P_Zero,0,IF(RAND()&lt;CondReturn,_xlfn.LOGNORM.INV(RAND(),MV2,Sigma1),IF(RAND()&lt;CondGood,_xlfn.LOGNORM.INV(RAND(),MV3,Sigma2),MIN(MaxMultiple,Xm/(1-RAND())^(1/Alpha)))))</f>
        <v>0</v>
      </c>
      <c r="S168" s="19">
        <f ca="1">IF(RAND()&lt;P_Zero,0,IF(RAND()&lt;CondReturn,_xlfn.LOGNORM.INV(RAND(),MV2,Sigma1),IF(RAND()&lt;CondGood,_xlfn.LOGNORM.INV(RAND(),MV3,Sigma2),MIN(MaxMultiple,Xm/(1-RAND())^(1/Alpha)))))</f>
        <v>0.77925859049456769</v>
      </c>
      <c r="T168" s="19">
        <f ca="1">IF(RAND()&lt;P_Zero,0,IF(RAND()&lt;CondReturn,_xlfn.LOGNORM.INV(RAND(),MV2,Sigma1),IF(RAND()&lt;CondGood,_xlfn.LOGNORM.INV(RAND(),MV3,Sigma2),MIN(MaxMultiple,Xm/(1-RAND())^(1/Alpha)))))</f>
        <v>1.093234158260048</v>
      </c>
      <c r="U168" s="19">
        <f ca="1">IF(RAND()&lt;P_Zero,0,IF(RAND()&lt;CondReturn,_xlfn.LOGNORM.INV(RAND(),MV2,Sigma1),IF(RAND()&lt;CondGood,_xlfn.LOGNORM.INV(RAND(),MV3,Sigma2),MIN(MaxMultiple,Xm/(1-RAND())^(1/Alpha)))))</f>
        <v>1.3551807614443849</v>
      </c>
      <c r="V168" s="19">
        <f ca="1">IF(RAND()&lt;P_Zero,0,IF(RAND()&lt;CondReturn,_xlfn.LOGNORM.INV(RAND(),MV2,Sigma1),IF(RAND()&lt;CondGood,_xlfn.LOGNORM.INV(RAND(),MV3,Sigma2),MIN(MaxMultiple,Xm/(1-RAND())^(1/Alpha)))))</f>
        <v>0</v>
      </c>
      <c r="W168" s="19">
        <f ca="1">IF(RAND()&lt;P_Zero,0,IF(RAND()&lt;CondReturn,_xlfn.LOGNORM.INV(RAND(),MV2,Sigma1),IF(RAND()&lt;CondGood,_xlfn.LOGNORM.INV(RAND(),MV3,Sigma2),MIN(MaxMultiple,Xm/(1-RAND())^(1/Alpha)))))</f>
        <v>0</v>
      </c>
      <c r="X168" s="19">
        <f ca="1">IF(RAND()&lt;P_Zero,0,IF(RAND()&lt;CondReturn,_xlfn.LOGNORM.INV(RAND(),MV2,Sigma1),IF(RAND()&lt;CondGood,_xlfn.LOGNORM.INV(RAND(),MV3,Sigma2),MIN(MaxMultiple,Xm/(1-RAND())^(1/Alpha)))))</f>
        <v>2.7595052309756674</v>
      </c>
      <c r="Y168" s="19">
        <f ca="1">IF(RAND()&lt;P_Zero,0,IF(RAND()&lt;CondReturn,_xlfn.LOGNORM.INV(RAND(),MV2,Sigma1),IF(RAND()&lt;CondGood,_xlfn.LOGNORM.INV(RAND(),MV3,Sigma2),MIN(MaxMultiple,Xm/(1-RAND())^(1/Alpha)))))</f>
        <v>0</v>
      </c>
      <c r="Z168" s="19">
        <f ca="1">IF(RAND()&lt;P_Zero,0,IF(RAND()&lt;CondReturn,_xlfn.LOGNORM.INV(RAND(),MV2,Sigma1),IF(RAND()&lt;CondGood,_xlfn.LOGNORM.INV(RAND(),MV3,Sigma2),MIN(MaxMultiple,Xm/(1-RAND())^(1/Alpha)))))</f>
        <v>0</v>
      </c>
      <c r="AA168" s="19">
        <f ca="1">IF(RAND()&lt;P_Zero,0,IF(RAND()&lt;CondReturn,_xlfn.LOGNORM.INV(RAND(),MV2,Sigma1),IF(RAND()&lt;CondGood,_xlfn.LOGNORM.INV(RAND(),MV3,Sigma2),MIN(MaxMultiple,Xm/(1-RAND())^(1/Alpha)))))</f>
        <v>0</v>
      </c>
      <c r="AB168" s="19">
        <f t="shared" ca="1" si="16"/>
        <v>2.4224863195035904</v>
      </c>
      <c r="AC168" s="14">
        <f t="shared" ca="1" si="17"/>
        <v>116279343.33617234</v>
      </c>
      <c r="AD168" s="14">
        <f t="shared" ca="1" si="18"/>
        <v>68279343.336172342</v>
      </c>
      <c r="AE168" s="14">
        <f t="shared" si="19"/>
        <v>55628399.869093813</v>
      </c>
      <c r="AF168" s="14">
        <f t="shared" ca="1" si="20"/>
        <v>12650943.467078529</v>
      </c>
      <c r="AG168" s="14">
        <f t="shared" ca="1" si="21"/>
        <v>2530188.693415706</v>
      </c>
      <c r="AH168" s="14">
        <f t="shared" ca="1" si="22"/>
        <v>113749154.64275664</v>
      </c>
      <c r="AI168" s="19">
        <f t="shared" ca="1" si="23"/>
        <v>1.895819244045944</v>
      </c>
    </row>
    <row r="169" spans="2:35" x14ac:dyDescent="0.2">
      <c r="B169" s="1">
        <v>164</v>
      </c>
      <c r="C169" s="19">
        <f ca="1">IF(RAND()&lt;P_Zero,0,IF(RAND()&lt;CondReturn,_xlfn.LOGNORM.INV(RAND(),MV2,Sigma1),IF(RAND()&lt;CondGood,_xlfn.LOGNORM.INV(RAND(),MV3,Sigma2),MIN(MaxMultiple,Xm/(1-RAND())^(1/Alpha)))))</f>
        <v>0</v>
      </c>
      <c r="D169" s="19">
        <f ca="1">IF(RAND()&lt;P_Zero,0,IF(RAND()&lt;CondReturn,_xlfn.LOGNORM.INV(RAND(),MV2,Sigma1),IF(RAND()&lt;CondGood,_xlfn.LOGNORM.INV(RAND(),MV3,Sigma2),MIN(MaxMultiple,Xm/(1-RAND())^(1/Alpha)))))</f>
        <v>0</v>
      </c>
      <c r="E169" s="19">
        <f ca="1">IF(RAND()&lt;P_Zero,0,IF(RAND()&lt;CondReturn,_xlfn.LOGNORM.INV(RAND(),MV2,Sigma1),IF(RAND()&lt;CondGood,_xlfn.LOGNORM.INV(RAND(),MV3,Sigma2),MIN(MaxMultiple,Xm/(1-RAND())^(1/Alpha)))))</f>
        <v>0</v>
      </c>
      <c r="F169" s="19">
        <f ca="1">IF(RAND()&lt;P_Zero,0,IF(RAND()&lt;CondReturn,_xlfn.LOGNORM.INV(RAND(),MV2,Sigma1),IF(RAND()&lt;CondGood,_xlfn.LOGNORM.INV(RAND(),MV3,Sigma2),MIN(MaxMultiple,Xm/(1-RAND())^(1/Alpha)))))</f>
        <v>1.0948309195945614</v>
      </c>
      <c r="G169" s="19">
        <f ca="1">IF(RAND()&lt;P_Zero,0,IF(RAND()&lt;CondReturn,_xlfn.LOGNORM.INV(RAND(),MV2,Sigma1),IF(RAND()&lt;CondGood,_xlfn.LOGNORM.INV(RAND(),MV3,Sigma2),MIN(MaxMultiple,Xm/(1-RAND())^(1/Alpha)))))</f>
        <v>0.96373799740215838</v>
      </c>
      <c r="H169" s="19">
        <f ca="1">IF(RAND()&lt;P_Zero,0,IF(RAND()&lt;CondReturn,_xlfn.LOGNORM.INV(RAND(),MV2,Sigma1),IF(RAND()&lt;CondGood,_xlfn.LOGNORM.INV(RAND(),MV3,Sigma2),MIN(MaxMultiple,Xm/(1-RAND())^(1/Alpha)))))</f>
        <v>0.82332521123150582</v>
      </c>
      <c r="I169" s="19">
        <f ca="1">IF(RAND()&lt;P_Zero,0,IF(RAND()&lt;CondReturn,_xlfn.LOGNORM.INV(RAND(),MV2,Sigma1),IF(RAND()&lt;CondGood,_xlfn.LOGNORM.INV(RAND(),MV3,Sigma2),MIN(MaxMultiple,Xm/(1-RAND())^(1/Alpha)))))</f>
        <v>0</v>
      </c>
      <c r="J169" s="19">
        <f ca="1">IF(RAND()&lt;P_Zero,0,IF(RAND()&lt;CondReturn,_xlfn.LOGNORM.INV(RAND(),MV2,Sigma1),IF(RAND()&lt;CondGood,_xlfn.LOGNORM.INV(RAND(),MV3,Sigma2),MIN(MaxMultiple,Xm/(1-RAND())^(1/Alpha)))))</f>
        <v>0</v>
      </c>
      <c r="K169" s="19">
        <f ca="1">IF(RAND()&lt;P_Zero,0,IF(RAND()&lt;CondReturn,_xlfn.LOGNORM.INV(RAND(),MV2,Sigma1),IF(RAND()&lt;CondGood,_xlfn.LOGNORM.INV(RAND(),MV3,Sigma2),MIN(MaxMultiple,Xm/(1-RAND())^(1/Alpha)))))</f>
        <v>19.70276974362854</v>
      </c>
      <c r="L169" s="19">
        <f ca="1">IF(RAND()&lt;P_Zero,0,IF(RAND()&lt;CondReturn,_xlfn.LOGNORM.INV(RAND(),MV2,Sigma1),IF(RAND()&lt;CondGood,_xlfn.LOGNORM.INV(RAND(),MV3,Sigma2),MIN(MaxMultiple,Xm/(1-RAND())^(1/Alpha)))))</f>
        <v>0.94300333419330629</v>
      </c>
      <c r="M169" s="19">
        <f ca="1">IF(RAND()&lt;P_Zero,0,IF(RAND()&lt;CondReturn,_xlfn.LOGNORM.INV(RAND(),MV2,Sigma1),IF(RAND()&lt;CondGood,_xlfn.LOGNORM.INV(RAND(),MV3,Sigma2),MIN(MaxMultiple,Xm/(1-RAND())^(1/Alpha)))))</f>
        <v>0</v>
      </c>
      <c r="N169" s="19">
        <f ca="1">IF(RAND()&lt;P_Zero,0,IF(RAND()&lt;CondReturn,_xlfn.LOGNORM.INV(RAND(),MV2,Sigma1),IF(RAND()&lt;CondGood,_xlfn.LOGNORM.INV(RAND(),MV3,Sigma2),MIN(MaxMultiple,Xm/(1-RAND())^(1/Alpha)))))</f>
        <v>0.7802851807739859</v>
      </c>
      <c r="O169" s="19">
        <f ca="1">IF(RAND()&lt;P_Zero,0,IF(RAND()&lt;CondReturn,_xlfn.LOGNORM.INV(RAND(),MV2,Sigma1),IF(RAND()&lt;CondGood,_xlfn.LOGNORM.INV(RAND(),MV3,Sigma2),MIN(MaxMultiple,Xm/(1-RAND())^(1/Alpha)))))</f>
        <v>0.70158082043026748</v>
      </c>
      <c r="P169" s="19">
        <f ca="1">IF(RAND()&lt;P_Zero,0,IF(RAND()&lt;CondReturn,_xlfn.LOGNORM.INV(RAND(),MV2,Sigma1),IF(RAND()&lt;CondGood,_xlfn.LOGNORM.INV(RAND(),MV3,Sigma2),MIN(MaxMultiple,Xm/(1-RAND())^(1/Alpha)))))</f>
        <v>0</v>
      </c>
      <c r="Q169" s="19">
        <f ca="1">IF(RAND()&lt;P_Zero,0,IF(RAND()&lt;CondReturn,_xlfn.LOGNORM.INV(RAND(),MV2,Sigma1),IF(RAND()&lt;CondGood,_xlfn.LOGNORM.INV(RAND(),MV3,Sigma2),MIN(MaxMultiple,Xm/(1-RAND())^(1/Alpha)))))</f>
        <v>0</v>
      </c>
      <c r="R169" s="19">
        <f ca="1">IF(RAND()&lt;P_Zero,0,IF(RAND()&lt;CondReturn,_xlfn.LOGNORM.INV(RAND(),MV2,Sigma1),IF(RAND()&lt;CondGood,_xlfn.LOGNORM.INV(RAND(),MV3,Sigma2),MIN(MaxMultiple,Xm/(1-RAND())^(1/Alpha)))))</f>
        <v>0</v>
      </c>
      <c r="S169" s="19">
        <f ca="1">IF(RAND()&lt;P_Zero,0,IF(RAND()&lt;CondReturn,_xlfn.LOGNORM.INV(RAND(),MV2,Sigma1),IF(RAND()&lt;CondGood,_xlfn.LOGNORM.INV(RAND(),MV3,Sigma2),MIN(MaxMultiple,Xm/(1-RAND())^(1/Alpha)))))</f>
        <v>0</v>
      </c>
      <c r="T169" s="19">
        <f ca="1">IF(RAND()&lt;P_Zero,0,IF(RAND()&lt;CondReturn,_xlfn.LOGNORM.INV(RAND(),MV2,Sigma1),IF(RAND()&lt;CondGood,_xlfn.LOGNORM.INV(RAND(),MV3,Sigma2),MIN(MaxMultiple,Xm/(1-RAND())^(1/Alpha)))))</f>
        <v>0.49034655268461252</v>
      </c>
      <c r="U169" s="19">
        <f ca="1">IF(RAND()&lt;P_Zero,0,IF(RAND()&lt;CondReturn,_xlfn.LOGNORM.INV(RAND(),MV2,Sigma1),IF(RAND()&lt;CondGood,_xlfn.LOGNORM.INV(RAND(),MV3,Sigma2),MIN(MaxMultiple,Xm/(1-RAND())^(1/Alpha)))))</f>
        <v>2.1227453269429719</v>
      </c>
      <c r="V169" s="19">
        <f ca="1">IF(RAND()&lt;P_Zero,0,IF(RAND()&lt;CondReturn,_xlfn.LOGNORM.INV(RAND(),MV2,Sigma1),IF(RAND()&lt;CondGood,_xlfn.LOGNORM.INV(RAND(),MV3,Sigma2),MIN(MaxMultiple,Xm/(1-RAND())^(1/Alpha)))))</f>
        <v>1.2216635748431823</v>
      </c>
      <c r="W169" s="19">
        <f ca="1">IF(RAND()&lt;P_Zero,0,IF(RAND()&lt;CondReturn,_xlfn.LOGNORM.INV(RAND(),MV2,Sigma1),IF(RAND()&lt;CondGood,_xlfn.LOGNORM.INV(RAND(),MV3,Sigma2),MIN(MaxMultiple,Xm/(1-RAND())^(1/Alpha)))))</f>
        <v>1.2107348897904298</v>
      </c>
      <c r="X169" s="19">
        <f ca="1">IF(RAND()&lt;P_Zero,0,IF(RAND()&lt;CondReturn,_xlfn.LOGNORM.INV(RAND(),MV2,Sigma1),IF(RAND()&lt;CondGood,_xlfn.LOGNORM.INV(RAND(),MV3,Sigma2),MIN(MaxMultiple,Xm/(1-RAND())^(1/Alpha)))))</f>
        <v>0</v>
      </c>
      <c r="Y169" s="19">
        <f ca="1">IF(RAND()&lt;P_Zero,0,IF(RAND()&lt;CondReturn,_xlfn.LOGNORM.INV(RAND(),MV2,Sigma1),IF(RAND()&lt;CondGood,_xlfn.LOGNORM.INV(RAND(),MV3,Sigma2),MIN(MaxMultiple,Xm/(1-RAND())^(1/Alpha)))))</f>
        <v>0</v>
      </c>
      <c r="Z169" s="19">
        <f ca="1">IF(RAND()&lt;P_Zero,0,IF(RAND()&lt;CondReturn,_xlfn.LOGNORM.INV(RAND(),MV2,Sigma1),IF(RAND()&lt;CondGood,_xlfn.LOGNORM.INV(RAND(),MV3,Sigma2),MIN(MaxMultiple,Xm/(1-RAND())^(1/Alpha)))))</f>
        <v>2.4576285214391635</v>
      </c>
      <c r="AA169" s="19">
        <f ca="1">IF(RAND()&lt;P_Zero,0,IF(RAND()&lt;CondReturn,_xlfn.LOGNORM.INV(RAND(),MV2,Sigma1),IF(RAND()&lt;CondGood,_xlfn.LOGNORM.INV(RAND(),MV3,Sigma2),MIN(MaxMultiple,Xm/(1-RAND())^(1/Alpha)))))</f>
        <v>0</v>
      </c>
      <c r="AB169" s="19">
        <f t="shared" ca="1" si="16"/>
        <v>1.3005060829181874</v>
      </c>
      <c r="AC169" s="14">
        <f t="shared" ca="1" si="17"/>
        <v>62424291.98007299</v>
      </c>
      <c r="AD169" s="14">
        <f t="shared" ca="1" si="18"/>
        <v>14424291.98007299</v>
      </c>
      <c r="AE169" s="14">
        <f t="shared" si="19"/>
        <v>55628399.869093813</v>
      </c>
      <c r="AF169" s="14">
        <f t="shared" ca="1" si="20"/>
        <v>0</v>
      </c>
      <c r="AG169" s="14">
        <f t="shared" ca="1" si="21"/>
        <v>0</v>
      </c>
      <c r="AH169" s="14">
        <f t="shared" ca="1" si="22"/>
        <v>62424291.98007299</v>
      </c>
      <c r="AI169" s="19">
        <f t="shared" ca="1" si="23"/>
        <v>1.0404048663345498</v>
      </c>
    </row>
    <row r="170" spans="2:35" x14ac:dyDescent="0.2">
      <c r="B170" s="1">
        <v>165</v>
      </c>
      <c r="C170" s="19">
        <f ca="1">IF(RAND()&lt;P_Zero,0,IF(RAND()&lt;CondReturn,_xlfn.LOGNORM.INV(RAND(),MV2,Sigma1),IF(RAND()&lt;CondGood,_xlfn.LOGNORM.INV(RAND(),MV3,Sigma2),MIN(MaxMultiple,Xm/(1-RAND())^(1/Alpha)))))</f>
        <v>0.45164564514029865</v>
      </c>
      <c r="D170" s="19">
        <f ca="1">IF(RAND()&lt;P_Zero,0,IF(RAND()&lt;CondReturn,_xlfn.LOGNORM.INV(RAND(),MV2,Sigma1),IF(RAND()&lt;CondGood,_xlfn.LOGNORM.INV(RAND(),MV3,Sigma2),MIN(MaxMultiple,Xm/(1-RAND())^(1/Alpha)))))</f>
        <v>2.0904391744545654</v>
      </c>
      <c r="E170" s="19">
        <f ca="1">IF(RAND()&lt;P_Zero,0,IF(RAND()&lt;CondReturn,_xlfn.LOGNORM.INV(RAND(),MV2,Sigma1),IF(RAND()&lt;CondGood,_xlfn.LOGNORM.INV(RAND(),MV3,Sigma2),MIN(MaxMultiple,Xm/(1-RAND())^(1/Alpha)))))</f>
        <v>0.84728208197295318</v>
      </c>
      <c r="F170" s="19">
        <f ca="1">IF(RAND()&lt;P_Zero,0,IF(RAND()&lt;CondReturn,_xlfn.LOGNORM.INV(RAND(),MV2,Sigma1),IF(RAND()&lt;CondGood,_xlfn.LOGNORM.INV(RAND(),MV3,Sigma2),MIN(MaxMultiple,Xm/(1-RAND())^(1/Alpha)))))</f>
        <v>1.5821571015004594</v>
      </c>
      <c r="G170" s="19">
        <f ca="1">IF(RAND()&lt;P_Zero,0,IF(RAND()&lt;CondReturn,_xlfn.LOGNORM.INV(RAND(),MV2,Sigma1),IF(RAND()&lt;CondGood,_xlfn.LOGNORM.INV(RAND(),MV3,Sigma2),MIN(MaxMultiple,Xm/(1-RAND())^(1/Alpha)))))</f>
        <v>0</v>
      </c>
      <c r="H170" s="19">
        <f ca="1">IF(RAND()&lt;P_Zero,0,IF(RAND()&lt;CondReturn,_xlfn.LOGNORM.INV(RAND(),MV2,Sigma1),IF(RAND()&lt;CondGood,_xlfn.LOGNORM.INV(RAND(),MV3,Sigma2),MIN(MaxMultiple,Xm/(1-RAND())^(1/Alpha)))))</f>
        <v>1.2936921904919174</v>
      </c>
      <c r="I170" s="19">
        <f ca="1">IF(RAND()&lt;P_Zero,0,IF(RAND()&lt;CondReturn,_xlfn.LOGNORM.INV(RAND(),MV2,Sigma1),IF(RAND()&lt;CondGood,_xlfn.LOGNORM.INV(RAND(),MV3,Sigma2),MIN(MaxMultiple,Xm/(1-RAND())^(1/Alpha)))))</f>
        <v>0.67118321791521418</v>
      </c>
      <c r="J170" s="19">
        <f ca="1">IF(RAND()&lt;P_Zero,0,IF(RAND()&lt;CondReturn,_xlfn.LOGNORM.INV(RAND(),MV2,Sigma1),IF(RAND()&lt;CondGood,_xlfn.LOGNORM.INV(RAND(),MV3,Sigma2),MIN(MaxMultiple,Xm/(1-RAND())^(1/Alpha)))))</f>
        <v>0.36717035338390175</v>
      </c>
      <c r="K170" s="19">
        <f ca="1">IF(RAND()&lt;P_Zero,0,IF(RAND()&lt;CondReturn,_xlfn.LOGNORM.INV(RAND(),MV2,Sigma1),IF(RAND()&lt;CondGood,_xlfn.LOGNORM.INV(RAND(),MV3,Sigma2),MIN(MaxMultiple,Xm/(1-RAND())^(1/Alpha)))))</f>
        <v>0</v>
      </c>
      <c r="L170" s="19">
        <f ca="1">IF(RAND()&lt;P_Zero,0,IF(RAND()&lt;CondReturn,_xlfn.LOGNORM.INV(RAND(),MV2,Sigma1),IF(RAND()&lt;CondGood,_xlfn.LOGNORM.INV(RAND(),MV3,Sigma2),MIN(MaxMultiple,Xm/(1-RAND())^(1/Alpha)))))</f>
        <v>1.1161637309904897</v>
      </c>
      <c r="M170" s="19">
        <f ca="1">IF(RAND()&lt;P_Zero,0,IF(RAND()&lt;CondReturn,_xlfn.LOGNORM.INV(RAND(),MV2,Sigma1),IF(RAND()&lt;CondGood,_xlfn.LOGNORM.INV(RAND(),MV3,Sigma2),MIN(MaxMultiple,Xm/(1-RAND())^(1/Alpha)))))</f>
        <v>0</v>
      </c>
      <c r="N170" s="19">
        <f ca="1">IF(RAND()&lt;P_Zero,0,IF(RAND()&lt;CondReturn,_xlfn.LOGNORM.INV(RAND(),MV2,Sigma1),IF(RAND()&lt;CondGood,_xlfn.LOGNORM.INV(RAND(),MV3,Sigma2),MIN(MaxMultiple,Xm/(1-RAND())^(1/Alpha)))))</f>
        <v>0.70417534452798369</v>
      </c>
      <c r="O170" s="19">
        <f ca="1">IF(RAND()&lt;P_Zero,0,IF(RAND()&lt;CondReturn,_xlfn.LOGNORM.INV(RAND(),MV2,Sigma1),IF(RAND()&lt;CondGood,_xlfn.LOGNORM.INV(RAND(),MV3,Sigma2),MIN(MaxMultiple,Xm/(1-RAND())^(1/Alpha)))))</f>
        <v>1.2343766745627831</v>
      </c>
      <c r="P170" s="19">
        <f ca="1">IF(RAND()&lt;P_Zero,0,IF(RAND()&lt;CondReturn,_xlfn.LOGNORM.INV(RAND(),MV2,Sigma1),IF(RAND()&lt;CondGood,_xlfn.LOGNORM.INV(RAND(),MV3,Sigma2),MIN(MaxMultiple,Xm/(1-RAND())^(1/Alpha)))))</f>
        <v>0</v>
      </c>
      <c r="Q170" s="19">
        <f ca="1">IF(RAND()&lt;P_Zero,0,IF(RAND()&lt;CondReturn,_xlfn.LOGNORM.INV(RAND(),MV2,Sigma1),IF(RAND()&lt;CondGood,_xlfn.LOGNORM.INV(RAND(),MV3,Sigma2),MIN(MaxMultiple,Xm/(1-RAND())^(1/Alpha)))))</f>
        <v>0</v>
      </c>
      <c r="R170" s="19">
        <f ca="1">IF(RAND()&lt;P_Zero,0,IF(RAND()&lt;CondReturn,_xlfn.LOGNORM.INV(RAND(),MV2,Sigma1),IF(RAND()&lt;CondGood,_xlfn.LOGNORM.INV(RAND(),MV3,Sigma2),MIN(MaxMultiple,Xm/(1-RAND())^(1/Alpha)))))</f>
        <v>0</v>
      </c>
      <c r="S170" s="19">
        <f ca="1">IF(RAND()&lt;P_Zero,0,IF(RAND()&lt;CondReturn,_xlfn.LOGNORM.INV(RAND(),MV2,Sigma1),IF(RAND()&lt;CondGood,_xlfn.LOGNORM.INV(RAND(),MV3,Sigma2),MIN(MaxMultiple,Xm/(1-RAND())^(1/Alpha)))))</f>
        <v>1.1541023246834967</v>
      </c>
      <c r="T170" s="19">
        <f ca="1">IF(RAND()&lt;P_Zero,0,IF(RAND()&lt;CondReturn,_xlfn.LOGNORM.INV(RAND(),MV2,Sigma1),IF(RAND()&lt;CondGood,_xlfn.LOGNORM.INV(RAND(),MV3,Sigma2),MIN(MaxMultiple,Xm/(1-RAND())^(1/Alpha)))))</f>
        <v>2.0717709101202737</v>
      </c>
      <c r="U170" s="19">
        <f ca="1">IF(RAND()&lt;P_Zero,0,IF(RAND()&lt;CondReturn,_xlfn.LOGNORM.INV(RAND(),MV2,Sigma1),IF(RAND()&lt;CondGood,_xlfn.LOGNORM.INV(RAND(),MV3,Sigma2),MIN(MaxMultiple,Xm/(1-RAND())^(1/Alpha)))))</f>
        <v>0.7043871129804633</v>
      </c>
      <c r="V170" s="19">
        <f ca="1">IF(RAND()&lt;P_Zero,0,IF(RAND()&lt;CondReturn,_xlfn.LOGNORM.INV(RAND(),MV2,Sigma1),IF(RAND()&lt;CondGood,_xlfn.LOGNORM.INV(RAND(),MV3,Sigma2),MIN(MaxMultiple,Xm/(1-RAND())^(1/Alpha)))))</f>
        <v>35.751855652923155</v>
      </c>
      <c r="W170" s="19">
        <f ca="1">IF(RAND()&lt;P_Zero,0,IF(RAND()&lt;CondReturn,_xlfn.LOGNORM.INV(RAND(),MV2,Sigma1),IF(RAND()&lt;CondGood,_xlfn.LOGNORM.INV(RAND(),MV3,Sigma2),MIN(MaxMultiple,Xm/(1-RAND())^(1/Alpha)))))</f>
        <v>0</v>
      </c>
      <c r="X170" s="19">
        <f ca="1">IF(RAND()&lt;P_Zero,0,IF(RAND()&lt;CondReturn,_xlfn.LOGNORM.INV(RAND(),MV2,Sigma1),IF(RAND()&lt;CondGood,_xlfn.LOGNORM.INV(RAND(),MV3,Sigma2),MIN(MaxMultiple,Xm/(1-RAND())^(1/Alpha)))))</f>
        <v>0</v>
      </c>
      <c r="Y170" s="19">
        <f ca="1">IF(RAND()&lt;P_Zero,0,IF(RAND()&lt;CondReturn,_xlfn.LOGNORM.INV(RAND(),MV2,Sigma1),IF(RAND()&lt;CondGood,_xlfn.LOGNORM.INV(RAND(),MV3,Sigma2),MIN(MaxMultiple,Xm/(1-RAND())^(1/Alpha)))))</f>
        <v>0.74128355533944856</v>
      </c>
      <c r="Z170" s="19">
        <f ca="1">IF(RAND()&lt;P_Zero,0,IF(RAND()&lt;CondReturn,_xlfn.LOGNORM.INV(RAND(),MV2,Sigma1),IF(RAND()&lt;CondGood,_xlfn.LOGNORM.INV(RAND(),MV3,Sigma2),MIN(MaxMultiple,Xm/(1-RAND())^(1/Alpha)))))</f>
        <v>0</v>
      </c>
      <c r="AA170" s="19">
        <f ca="1">IF(RAND()&lt;P_Zero,0,IF(RAND()&lt;CondReturn,_xlfn.LOGNORM.INV(RAND(),MV2,Sigma1),IF(RAND()&lt;CondGood,_xlfn.LOGNORM.INV(RAND(),MV3,Sigma2),MIN(MaxMultiple,Xm/(1-RAND())^(1/Alpha)))))</f>
        <v>0</v>
      </c>
      <c r="AB170" s="19">
        <f t="shared" ca="1" si="16"/>
        <v>2.0312674028394961</v>
      </c>
      <c r="AC170" s="14">
        <f t="shared" ca="1" si="17"/>
        <v>97500835.336295813</v>
      </c>
      <c r="AD170" s="14">
        <f t="shared" ca="1" si="18"/>
        <v>49500835.336295813</v>
      </c>
      <c r="AE170" s="14">
        <f t="shared" si="19"/>
        <v>55628399.869093813</v>
      </c>
      <c r="AF170" s="14">
        <f t="shared" ca="1" si="20"/>
        <v>0</v>
      </c>
      <c r="AG170" s="14">
        <f t="shared" ca="1" si="21"/>
        <v>0</v>
      </c>
      <c r="AH170" s="14">
        <f t="shared" ca="1" si="22"/>
        <v>97500835.336295813</v>
      </c>
      <c r="AI170" s="19">
        <f t="shared" ca="1" si="23"/>
        <v>1.6250139222715969</v>
      </c>
    </row>
    <row r="171" spans="2:35" x14ac:dyDescent="0.2">
      <c r="B171" s="1">
        <v>166</v>
      </c>
      <c r="C171" s="19">
        <f ca="1">IF(RAND()&lt;P_Zero,0,IF(RAND()&lt;CondReturn,_xlfn.LOGNORM.INV(RAND(),MV2,Sigma1),IF(RAND()&lt;CondGood,_xlfn.LOGNORM.INV(RAND(),MV3,Sigma2),MIN(MaxMultiple,Xm/(1-RAND())^(1/Alpha)))))</f>
        <v>0</v>
      </c>
      <c r="D171" s="19">
        <f ca="1">IF(RAND()&lt;P_Zero,0,IF(RAND()&lt;CondReturn,_xlfn.LOGNORM.INV(RAND(),MV2,Sigma1),IF(RAND()&lt;CondGood,_xlfn.LOGNORM.INV(RAND(),MV3,Sigma2),MIN(MaxMultiple,Xm/(1-RAND())^(1/Alpha)))))</f>
        <v>0</v>
      </c>
      <c r="E171" s="19">
        <f ca="1">IF(RAND()&lt;P_Zero,0,IF(RAND()&lt;CondReturn,_xlfn.LOGNORM.INV(RAND(),MV2,Sigma1),IF(RAND()&lt;CondGood,_xlfn.LOGNORM.INV(RAND(),MV3,Sigma2),MIN(MaxMultiple,Xm/(1-RAND())^(1/Alpha)))))</f>
        <v>0.58924118737738196</v>
      </c>
      <c r="F171" s="19">
        <f ca="1">IF(RAND()&lt;P_Zero,0,IF(RAND()&lt;CondReturn,_xlfn.LOGNORM.INV(RAND(),MV2,Sigma1),IF(RAND()&lt;CondGood,_xlfn.LOGNORM.INV(RAND(),MV3,Sigma2),MIN(MaxMultiple,Xm/(1-RAND())^(1/Alpha)))))</f>
        <v>2.0356430384666151</v>
      </c>
      <c r="G171" s="19">
        <f ca="1">IF(RAND()&lt;P_Zero,0,IF(RAND()&lt;CondReturn,_xlfn.LOGNORM.INV(RAND(),MV2,Sigma1),IF(RAND()&lt;CondGood,_xlfn.LOGNORM.INV(RAND(),MV3,Sigma2),MIN(MaxMultiple,Xm/(1-RAND())^(1/Alpha)))))</f>
        <v>0</v>
      </c>
      <c r="H171" s="19">
        <f ca="1">IF(RAND()&lt;P_Zero,0,IF(RAND()&lt;CondReturn,_xlfn.LOGNORM.INV(RAND(),MV2,Sigma1),IF(RAND()&lt;CondGood,_xlfn.LOGNORM.INV(RAND(),MV3,Sigma2),MIN(MaxMultiple,Xm/(1-RAND())^(1/Alpha)))))</f>
        <v>0</v>
      </c>
      <c r="I171" s="19">
        <f ca="1">IF(RAND()&lt;P_Zero,0,IF(RAND()&lt;CondReturn,_xlfn.LOGNORM.INV(RAND(),MV2,Sigma1),IF(RAND()&lt;CondGood,_xlfn.LOGNORM.INV(RAND(),MV3,Sigma2),MIN(MaxMultiple,Xm/(1-RAND())^(1/Alpha)))))</f>
        <v>0.59580059031159549</v>
      </c>
      <c r="J171" s="19">
        <f ca="1">IF(RAND()&lt;P_Zero,0,IF(RAND()&lt;CondReturn,_xlfn.LOGNORM.INV(RAND(),MV2,Sigma1),IF(RAND()&lt;CondGood,_xlfn.LOGNORM.INV(RAND(),MV3,Sigma2),MIN(MaxMultiple,Xm/(1-RAND())^(1/Alpha)))))</f>
        <v>0.72138724447466107</v>
      </c>
      <c r="K171" s="19">
        <f ca="1">IF(RAND()&lt;P_Zero,0,IF(RAND()&lt;CondReturn,_xlfn.LOGNORM.INV(RAND(),MV2,Sigma1),IF(RAND()&lt;CondGood,_xlfn.LOGNORM.INV(RAND(),MV3,Sigma2),MIN(MaxMultiple,Xm/(1-RAND())^(1/Alpha)))))</f>
        <v>1.4804490723621277</v>
      </c>
      <c r="L171" s="19">
        <f ca="1">IF(RAND()&lt;P_Zero,0,IF(RAND()&lt;CondReturn,_xlfn.LOGNORM.INV(RAND(),MV2,Sigma1),IF(RAND()&lt;CondGood,_xlfn.LOGNORM.INV(RAND(),MV3,Sigma2),MIN(MaxMultiple,Xm/(1-RAND())^(1/Alpha)))))</f>
        <v>0</v>
      </c>
      <c r="M171" s="19">
        <f ca="1">IF(RAND()&lt;P_Zero,0,IF(RAND()&lt;CondReturn,_xlfn.LOGNORM.INV(RAND(),MV2,Sigma1),IF(RAND()&lt;CondGood,_xlfn.LOGNORM.INV(RAND(),MV3,Sigma2),MIN(MaxMultiple,Xm/(1-RAND())^(1/Alpha)))))</f>
        <v>40.781597455097994</v>
      </c>
      <c r="N171" s="19">
        <f ca="1">IF(RAND()&lt;P_Zero,0,IF(RAND()&lt;CondReturn,_xlfn.LOGNORM.INV(RAND(),MV2,Sigma1),IF(RAND()&lt;CondGood,_xlfn.LOGNORM.INV(RAND(),MV3,Sigma2),MIN(MaxMultiple,Xm/(1-RAND())^(1/Alpha)))))</f>
        <v>1.5305090397807233</v>
      </c>
      <c r="O171" s="19">
        <f ca="1">IF(RAND()&lt;P_Zero,0,IF(RAND()&lt;CondReturn,_xlfn.LOGNORM.INV(RAND(),MV2,Sigma1),IF(RAND()&lt;CondGood,_xlfn.LOGNORM.INV(RAND(),MV3,Sigma2),MIN(MaxMultiple,Xm/(1-RAND())^(1/Alpha)))))</f>
        <v>0</v>
      </c>
      <c r="P171" s="19">
        <f ca="1">IF(RAND()&lt;P_Zero,0,IF(RAND()&lt;CondReturn,_xlfn.LOGNORM.INV(RAND(),MV2,Sigma1),IF(RAND()&lt;CondGood,_xlfn.LOGNORM.INV(RAND(),MV3,Sigma2),MIN(MaxMultiple,Xm/(1-RAND())^(1/Alpha)))))</f>
        <v>0</v>
      </c>
      <c r="Q171" s="19">
        <f ca="1">IF(RAND()&lt;P_Zero,0,IF(RAND()&lt;CondReturn,_xlfn.LOGNORM.INV(RAND(),MV2,Sigma1),IF(RAND()&lt;CondGood,_xlfn.LOGNORM.INV(RAND(),MV3,Sigma2),MIN(MaxMultiple,Xm/(1-RAND())^(1/Alpha)))))</f>
        <v>0.77165200441710813</v>
      </c>
      <c r="R171" s="19">
        <f ca="1">IF(RAND()&lt;P_Zero,0,IF(RAND()&lt;CondReturn,_xlfn.LOGNORM.INV(RAND(),MV2,Sigma1),IF(RAND()&lt;CondGood,_xlfn.LOGNORM.INV(RAND(),MV3,Sigma2),MIN(MaxMultiple,Xm/(1-RAND())^(1/Alpha)))))</f>
        <v>1.3649880649115567</v>
      </c>
      <c r="S171" s="19">
        <f ca="1">IF(RAND()&lt;P_Zero,0,IF(RAND()&lt;CondReturn,_xlfn.LOGNORM.INV(RAND(),MV2,Sigma1),IF(RAND()&lt;CondGood,_xlfn.LOGNORM.INV(RAND(),MV3,Sigma2),MIN(MaxMultiple,Xm/(1-RAND())^(1/Alpha)))))</f>
        <v>0.81037884749167965</v>
      </c>
      <c r="T171" s="19">
        <f ca="1">IF(RAND()&lt;P_Zero,0,IF(RAND()&lt;CondReturn,_xlfn.LOGNORM.INV(RAND(),MV2,Sigma1),IF(RAND()&lt;CondGood,_xlfn.LOGNORM.INV(RAND(),MV3,Sigma2),MIN(MaxMultiple,Xm/(1-RAND())^(1/Alpha)))))</f>
        <v>1.0518530648938322</v>
      </c>
      <c r="U171" s="19">
        <f ca="1">IF(RAND()&lt;P_Zero,0,IF(RAND()&lt;CondReturn,_xlfn.LOGNORM.INV(RAND(),MV2,Sigma1),IF(RAND()&lt;CondGood,_xlfn.LOGNORM.INV(RAND(),MV3,Sigma2),MIN(MaxMultiple,Xm/(1-RAND())^(1/Alpha)))))</f>
        <v>0.84547781040501191</v>
      </c>
      <c r="V171" s="19">
        <f ca="1">IF(RAND()&lt;P_Zero,0,IF(RAND()&lt;CondReturn,_xlfn.LOGNORM.INV(RAND(),MV2,Sigma1),IF(RAND()&lt;CondGood,_xlfn.LOGNORM.INV(RAND(),MV3,Sigma2),MIN(MaxMultiple,Xm/(1-RAND())^(1/Alpha)))))</f>
        <v>1.3507069147600532</v>
      </c>
      <c r="W171" s="19">
        <f ca="1">IF(RAND()&lt;P_Zero,0,IF(RAND()&lt;CondReturn,_xlfn.LOGNORM.INV(RAND(),MV2,Sigma1),IF(RAND()&lt;CondGood,_xlfn.LOGNORM.INV(RAND(),MV3,Sigma2),MIN(MaxMultiple,Xm/(1-RAND())^(1/Alpha)))))</f>
        <v>0.88529976860125426</v>
      </c>
      <c r="X171" s="19">
        <f ca="1">IF(RAND()&lt;P_Zero,0,IF(RAND()&lt;CondReturn,_xlfn.LOGNORM.INV(RAND(),MV2,Sigma1),IF(RAND()&lt;CondGood,_xlfn.LOGNORM.INV(RAND(),MV3,Sigma2),MIN(MaxMultiple,Xm/(1-RAND())^(1/Alpha)))))</f>
        <v>1.1455079415689438</v>
      </c>
      <c r="Y171" s="19">
        <f ca="1">IF(RAND()&lt;P_Zero,0,IF(RAND()&lt;CondReturn,_xlfn.LOGNORM.INV(RAND(),MV2,Sigma1),IF(RAND()&lt;CondGood,_xlfn.LOGNORM.INV(RAND(),MV3,Sigma2),MIN(MaxMultiple,Xm/(1-RAND())^(1/Alpha)))))</f>
        <v>0.61821652885294176</v>
      </c>
      <c r="Z171" s="19">
        <f ca="1">IF(RAND()&lt;P_Zero,0,IF(RAND()&lt;CondReturn,_xlfn.LOGNORM.INV(RAND(),MV2,Sigma1),IF(RAND()&lt;CondGood,_xlfn.LOGNORM.INV(RAND(),MV3,Sigma2),MIN(MaxMultiple,Xm/(1-RAND())^(1/Alpha)))))</f>
        <v>1.0701950211568894</v>
      </c>
      <c r="AA171" s="19">
        <f ca="1">IF(RAND()&lt;P_Zero,0,IF(RAND()&lt;CondReturn,_xlfn.LOGNORM.INV(RAND(),MV2,Sigma1),IF(RAND()&lt;CondGood,_xlfn.LOGNORM.INV(RAND(),MV3,Sigma2),MIN(MaxMultiple,Xm/(1-RAND())^(1/Alpha)))))</f>
        <v>1.6461076048013104</v>
      </c>
      <c r="AB171" s="19">
        <f t="shared" ca="1" si="16"/>
        <v>2.3718004479892674</v>
      </c>
      <c r="AC171" s="14">
        <f t="shared" ca="1" si="17"/>
        <v>113846421.50348483</v>
      </c>
      <c r="AD171" s="14">
        <f t="shared" ca="1" si="18"/>
        <v>65846421.50348483</v>
      </c>
      <c r="AE171" s="14">
        <f t="shared" si="19"/>
        <v>55628399.869093813</v>
      </c>
      <c r="AF171" s="14">
        <f t="shared" ca="1" si="20"/>
        <v>10218021.634391017</v>
      </c>
      <c r="AG171" s="14">
        <f t="shared" ca="1" si="21"/>
        <v>2043604.3268782035</v>
      </c>
      <c r="AH171" s="14">
        <f t="shared" ca="1" si="22"/>
        <v>111802817.17660663</v>
      </c>
      <c r="AI171" s="19">
        <f t="shared" ca="1" si="23"/>
        <v>1.863380286276777</v>
      </c>
    </row>
    <row r="172" spans="2:35" x14ac:dyDescent="0.2">
      <c r="B172" s="1">
        <v>167</v>
      </c>
      <c r="C172" s="19">
        <f ca="1">IF(RAND()&lt;P_Zero,0,IF(RAND()&lt;CondReturn,_xlfn.LOGNORM.INV(RAND(),MV2,Sigma1),IF(RAND()&lt;CondGood,_xlfn.LOGNORM.INV(RAND(),MV3,Sigma2),MIN(MaxMultiple,Xm/(1-RAND())^(1/Alpha)))))</f>
        <v>0</v>
      </c>
      <c r="D172" s="19">
        <f ca="1">IF(RAND()&lt;P_Zero,0,IF(RAND()&lt;CondReturn,_xlfn.LOGNORM.INV(RAND(),MV2,Sigma1),IF(RAND()&lt;CondGood,_xlfn.LOGNORM.INV(RAND(),MV3,Sigma2),MIN(MaxMultiple,Xm/(1-RAND())^(1/Alpha)))))</f>
        <v>0</v>
      </c>
      <c r="E172" s="19">
        <f ca="1">IF(RAND()&lt;P_Zero,0,IF(RAND()&lt;CondReturn,_xlfn.LOGNORM.INV(RAND(),MV2,Sigma1),IF(RAND()&lt;CondGood,_xlfn.LOGNORM.INV(RAND(),MV3,Sigma2),MIN(MaxMultiple,Xm/(1-RAND())^(1/Alpha)))))</f>
        <v>0</v>
      </c>
      <c r="F172" s="19">
        <f ca="1">IF(RAND()&lt;P_Zero,0,IF(RAND()&lt;CondReturn,_xlfn.LOGNORM.INV(RAND(),MV2,Sigma1),IF(RAND()&lt;CondGood,_xlfn.LOGNORM.INV(RAND(),MV3,Sigma2),MIN(MaxMultiple,Xm/(1-RAND())^(1/Alpha)))))</f>
        <v>34.615754132921097</v>
      </c>
      <c r="G172" s="19">
        <f ca="1">IF(RAND()&lt;P_Zero,0,IF(RAND()&lt;CondReturn,_xlfn.LOGNORM.INV(RAND(),MV2,Sigma1),IF(RAND()&lt;CondGood,_xlfn.LOGNORM.INV(RAND(),MV3,Sigma2),MIN(MaxMultiple,Xm/(1-RAND())^(1/Alpha)))))</f>
        <v>1.7572073131319166</v>
      </c>
      <c r="H172" s="19">
        <f ca="1">IF(RAND()&lt;P_Zero,0,IF(RAND()&lt;CondReturn,_xlfn.LOGNORM.INV(RAND(),MV2,Sigma1),IF(RAND()&lt;CondGood,_xlfn.LOGNORM.INV(RAND(),MV3,Sigma2),MIN(MaxMultiple,Xm/(1-RAND())^(1/Alpha)))))</f>
        <v>0</v>
      </c>
      <c r="I172" s="19">
        <f ca="1">IF(RAND()&lt;P_Zero,0,IF(RAND()&lt;CondReturn,_xlfn.LOGNORM.INV(RAND(),MV2,Sigma1),IF(RAND()&lt;CondGood,_xlfn.LOGNORM.INV(RAND(),MV3,Sigma2),MIN(MaxMultiple,Xm/(1-RAND())^(1/Alpha)))))</f>
        <v>0</v>
      </c>
      <c r="J172" s="19">
        <f ca="1">IF(RAND()&lt;P_Zero,0,IF(RAND()&lt;CondReturn,_xlfn.LOGNORM.INV(RAND(),MV2,Sigma1),IF(RAND()&lt;CondGood,_xlfn.LOGNORM.INV(RAND(),MV3,Sigma2),MIN(MaxMultiple,Xm/(1-RAND())^(1/Alpha)))))</f>
        <v>0</v>
      </c>
      <c r="K172" s="19">
        <f ca="1">IF(RAND()&lt;P_Zero,0,IF(RAND()&lt;CondReturn,_xlfn.LOGNORM.INV(RAND(),MV2,Sigma1),IF(RAND()&lt;CondGood,_xlfn.LOGNORM.INV(RAND(),MV3,Sigma2),MIN(MaxMultiple,Xm/(1-RAND())^(1/Alpha)))))</f>
        <v>0.5737957023056437</v>
      </c>
      <c r="L172" s="19">
        <f ca="1">IF(RAND()&lt;P_Zero,0,IF(RAND()&lt;CondReturn,_xlfn.LOGNORM.INV(RAND(),MV2,Sigma1),IF(RAND()&lt;CondGood,_xlfn.LOGNORM.INV(RAND(),MV3,Sigma2),MIN(MaxMultiple,Xm/(1-RAND())^(1/Alpha)))))</f>
        <v>0.9875176820073357</v>
      </c>
      <c r="M172" s="19">
        <f ca="1">IF(RAND()&lt;P_Zero,0,IF(RAND()&lt;CondReturn,_xlfn.LOGNORM.INV(RAND(),MV2,Sigma1),IF(RAND()&lt;CondGood,_xlfn.LOGNORM.INV(RAND(),MV3,Sigma2),MIN(MaxMultiple,Xm/(1-RAND())^(1/Alpha)))))</f>
        <v>1.365807253155368</v>
      </c>
      <c r="N172" s="19">
        <f ca="1">IF(RAND()&lt;P_Zero,0,IF(RAND()&lt;CondReturn,_xlfn.LOGNORM.INV(RAND(),MV2,Sigma1),IF(RAND()&lt;CondGood,_xlfn.LOGNORM.INV(RAND(),MV3,Sigma2),MIN(MaxMultiple,Xm/(1-RAND())^(1/Alpha)))))</f>
        <v>1.2257116645889443</v>
      </c>
      <c r="O172" s="19">
        <f ca="1">IF(RAND()&lt;P_Zero,0,IF(RAND()&lt;CondReturn,_xlfn.LOGNORM.INV(RAND(),MV2,Sigma1),IF(RAND()&lt;CondGood,_xlfn.LOGNORM.INV(RAND(),MV3,Sigma2),MIN(MaxMultiple,Xm/(1-RAND())^(1/Alpha)))))</f>
        <v>0.88432625434096057</v>
      </c>
      <c r="P172" s="19">
        <f ca="1">IF(RAND()&lt;P_Zero,0,IF(RAND()&lt;CondReturn,_xlfn.LOGNORM.INV(RAND(),MV2,Sigma1),IF(RAND()&lt;CondGood,_xlfn.LOGNORM.INV(RAND(),MV3,Sigma2),MIN(MaxMultiple,Xm/(1-RAND())^(1/Alpha)))))</f>
        <v>1.004309855110664</v>
      </c>
      <c r="Q172" s="19">
        <f ca="1">IF(RAND()&lt;P_Zero,0,IF(RAND()&lt;CondReturn,_xlfn.LOGNORM.INV(RAND(),MV2,Sigma1),IF(RAND()&lt;CondGood,_xlfn.LOGNORM.INV(RAND(),MV3,Sigma2),MIN(MaxMultiple,Xm/(1-RAND())^(1/Alpha)))))</f>
        <v>0</v>
      </c>
      <c r="R172" s="19">
        <f ca="1">IF(RAND()&lt;P_Zero,0,IF(RAND()&lt;CondReturn,_xlfn.LOGNORM.INV(RAND(),MV2,Sigma1),IF(RAND()&lt;CondGood,_xlfn.LOGNORM.INV(RAND(),MV3,Sigma2),MIN(MaxMultiple,Xm/(1-RAND())^(1/Alpha)))))</f>
        <v>1.0792593692869152</v>
      </c>
      <c r="S172" s="19">
        <f ca="1">IF(RAND()&lt;P_Zero,0,IF(RAND()&lt;CondReturn,_xlfn.LOGNORM.INV(RAND(),MV2,Sigma1),IF(RAND()&lt;CondGood,_xlfn.LOGNORM.INV(RAND(),MV3,Sigma2),MIN(MaxMultiple,Xm/(1-RAND())^(1/Alpha)))))</f>
        <v>0.92099871708769454</v>
      </c>
      <c r="T172" s="19">
        <f ca="1">IF(RAND()&lt;P_Zero,0,IF(RAND()&lt;CondReturn,_xlfn.LOGNORM.INV(RAND(),MV2,Sigma1),IF(RAND()&lt;CondGood,_xlfn.LOGNORM.INV(RAND(),MV3,Sigma2),MIN(MaxMultiple,Xm/(1-RAND())^(1/Alpha)))))</f>
        <v>122.75139891918874</v>
      </c>
      <c r="U172" s="19">
        <f ca="1">IF(RAND()&lt;P_Zero,0,IF(RAND()&lt;CondReturn,_xlfn.LOGNORM.INV(RAND(),MV2,Sigma1),IF(RAND()&lt;CondGood,_xlfn.LOGNORM.INV(RAND(),MV3,Sigma2),MIN(MaxMultiple,Xm/(1-RAND())^(1/Alpha)))))</f>
        <v>0</v>
      </c>
      <c r="V172" s="19">
        <f ca="1">IF(RAND()&lt;P_Zero,0,IF(RAND()&lt;CondReturn,_xlfn.LOGNORM.INV(RAND(),MV2,Sigma1),IF(RAND()&lt;CondGood,_xlfn.LOGNORM.INV(RAND(),MV3,Sigma2),MIN(MaxMultiple,Xm/(1-RAND())^(1/Alpha)))))</f>
        <v>1.0764072748317126</v>
      </c>
      <c r="W172" s="19">
        <f ca="1">IF(RAND()&lt;P_Zero,0,IF(RAND()&lt;CondReturn,_xlfn.LOGNORM.INV(RAND(),MV2,Sigma1),IF(RAND()&lt;CondGood,_xlfn.LOGNORM.INV(RAND(),MV3,Sigma2),MIN(MaxMultiple,Xm/(1-RAND())^(1/Alpha)))))</f>
        <v>0</v>
      </c>
      <c r="X172" s="19">
        <f ca="1">IF(RAND()&lt;P_Zero,0,IF(RAND()&lt;CondReturn,_xlfn.LOGNORM.INV(RAND(),MV2,Sigma1),IF(RAND()&lt;CondGood,_xlfn.LOGNORM.INV(RAND(),MV3,Sigma2),MIN(MaxMultiple,Xm/(1-RAND())^(1/Alpha)))))</f>
        <v>33.847309948279552</v>
      </c>
      <c r="Y172" s="19">
        <f ca="1">IF(RAND()&lt;P_Zero,0,IF(RAND()&lt;CondReturn,_xlfn.LOGNORM.INV(RAND(),MV2,Sigma1),IF(RAND()&lt;CondGood,_xlfn.LOGNORM.INV(RAND(),MV3,Sigma2),MIN(MaxMultiple,Xm/(1-RAND())^(1/Alpha)))))</f>
        <v>1.2281753170366976</v>
      </c>
      <c r="Z172" s="19">
        <f ca="1">IF(RAND()&lt;P_Zero,0,IF(RAND()&lt;CondReturn,_xlfn.LOGNORM.INV(RAND(),MV2,Sigma1),IF(RAND()&lt;CondGood,_xlfn.LOGNORM.INV(RAND(),MV3,Sigma2),MIN(MaxMultiple,Xm/(1-RAND())^(1/Alpha)))))</f>
        <v>1.0825808715240777</v>
      </c>
      <c r="AA172" s="19">
        <f ca="1">IF(RAND()&lt;P_Zero,0,IF(RAND()&lt;CondReturn,_xlfn.LOGNORM.INV(RAND(),MV2,Sigma1),IF(RAND()&lt;CondGood,_xlfn.LOGNORM.INV(RAND(),MV3,Sigma2),MIN(MaxMultiple,Xm/(1-RAND())^(1/Alpha)))))</f>
        <v>0</v>
      </c>
      <c r="AB172" s="19">
        <f t="shared" ca="1" si="16"/>
        <v>8.1760224109918926</v>
      </c>
      <c r="AC172" s="14">
        <f t="shared" ca="1" si="17"/>
        <v>392449075.72761083</v>
      </c>
      <c r="AD172" s="14">
        <f t="shared" ca="1" si="18"/>
        <v>344449075.72761083</v>
      </c>
      <c r="AE172" s="14">
        <f t="shared" si="19"/>
        <v>55628399.869093813</v>
      </c>
      <c r="AF172" s="14">
        <f t="shared" ca="1" si="20"/>
        <v>288820675.85851699</v>
      </c>
      <c r="AG172" s="14">
        <f t="shared" ca="1" si="21"/>
        <v>57764135.171703398</v>
      </c>
      <c r="AH172" s="14">
        <f t="shared" ca="1" si="22"/>
        <v>334684940.55590743</v>
      </c>
      <c r="AI172" s="19">
        <f t="shared" ca="1" si="23"/>
        <v>5.5780823425984574</v>
      </c>
    </row>
    <row r="173" spans="2:35" x14ac:dyDescent="0.2">
      <c r="B173" s="1">
        <v>168</v>
      </c>
      <c r="C173" s="19">
        <f ca="1">IF(RAND()&lt;P_Zero,0,IF(RAND()&lt;CondReturn,_xlfn.LOGNORM.INV(RAND(),MV2,Sigma1),IF(RAND()&lt;CondGood,_xlfn.LOGNORM.INV(RAND(),MV3,Sigma2),MIN(MaxMultiple,Xm/(1-RAND())^(1/Alpha)))))</f>
        <v>1.5061655214304897</v>
      </c>
      <c r="D173" s="19">
        <f ca="1">IF(RAND()&lt;P_Zero,0,IF(RAND()&lt;CondReturn,_xlfn.LOGNORM.INV(RAND(),MV2,Sigma1),IF(RAND()&lt;CondGood,_xlfn.LOGNORM.INV(RAND(),MV3,Sigma2),MIN(MaxMultiple,Xm/(1-RAND())^(1/Alpha)))))</f>
        <v>15.454091563424765</v>
      </c>
      <c r="E173" s="19">
        <f ca="1">IF(RAND()&lt;P_Zero,0,IF(RAND()&lt;CondReturn,_xlfn.LOGNORM.INV(RAND(),MV2,Sigma1),IF(RAND()&lt;CondGood,_xlfn.LOGNORM.INV(RAND(),MV3,Sigma2),MIN(MaxMultiple,Xm/(1-RAND())^(1/Alpha)))))</f>
        <v>1.7694413616404581</v>
      </c>
      <c r="F173" s="19">
        <f ca="1">IF(RAND()&lt;P_Zero,0,IF(RAND()&lt;CondReturn,_xlfn.LOGNORM.INV(RAND(),MV2,Sigma1),IF(RAND()&lt;CondGood,_xlfn.LOGNORM.INV(RAND(),MV3,Sigma2),MIN(MaxMultiple,Xm/(1-RAND())^(1/Alpha)))))</f>
        <v>0.48369221428380427</v>
      </c>
      <c r="G173" s="19">
        <f ca="1">IF(RAND()&lt;P_Zero,0,IF(RAND()&lt;CondReturn,_xlfn.LOGNORM.INV(RAND(),MV2,Sigma1),IF(RAND()&lt;CondGood,_xlfn.LOGNORM.INV(RAND(),MV3,Sigma2),MIN(MaxMultiple,Xm/(1-RAND())^(1/Alpha)))))</f>
        <v>0</v>
      </c>
      <c r="H173" s="19">
        <f ca="1">IF(RAND()&lt;P_Zero,0,IF(RAND()&lt;CondReturn,_xlfn.LOGNORM.INV(RAND(),MV2,Sigma1),IF(RAND()&lt;CondGood,_xlfn.LOGNORM.INV(RAND(),MV3,Sigma2),MIN(MaxMultiple,Xm/(1-RAND())^(1/Alpha)))))</f>
        <v>0</v>
      </c>
      <c r="I173" s="19">
        <f ca="1">IF(RAND()&lt;P_Zero,0,IF(RAND()&lt;CondReturn,_xlfn.LOGNORM.INV(RAND(),MV2,Sigma1),IF(RAND()&lt;CondGood,_xlfn.LOGNORM.INV(RAND(),MV3,Sigma2),MIN(MaxMultiple,Xm/(1-RAND())^(1/Alpha)))))</f>
        <v>1.1838920921309686</v>
      </c>
      <c r="J173" s="19">
        <f ca="1">IF(RAND()&lt;P_Zero,0,IF(RAND()&lt;CondReturn,_xlfn.LOGNORM.INV(RAND(),MV2,Sigma1),IF(RAND()&lt;CondGood,_xlfn.LOGNORM.INV(RAND(),MV3,Sigma2),MIN(MaxMultiple,Xm/(1-RAND())^(1/Alpha)))))</f>
        <v>0</v>
      </c>
      <c r="K173" s="19">
        <f ca="1">IF(RAND()&lt;P_Zero,0,IF(RAND()&lt;CondReturn,_xlfn.LOGNORM.INV(RAND(),MV2,Sigma1),IF(RAND()&lt;CondGood,_xlfn.LOGNORM.INV(RAND(),MV3,Sigma2),MIN(MaxMultiple,Xm/(1-RAND())^(1/Alpha)))))</f>
        <v>0.9005950535505991</v>
      </c>
      <c r="L173" s="19">
        <f ca="1">IF(RAND()&lt;P_Zero,0,IF(RAND()&lt;CondReturn,_xlfn.LOGNORM.INV(RAND(),MV2,Sigma1),IF(RAND()&lt;CondGood,_xlfn.LOGNORM.INV(RAND(),MV3,Sigma2),MIN(MaxMultiple,Xm/(1-RAND())^(1/Alpha)))))</f>
        <v>1.4713679401548612</v>
      </c>
      <c r="M173" s="19">
        <f ca="1">IF(RAND()&lt;P_Zero,0,IF(RAND()&lt;CondReturn,_xlfn.LOGNORM.INV(RAND(),MV2,Sigma1),IF(RAND()&lt;CondGood,_xlfn.LOGNORM.INV(RAND(),MV3,Sigma2),MIN(MaxMultiple,Xm/(1-RAND())^(1/Alpha)))))</f>
        <v>0.53735379985603071</v>
      </c>
      <c r="N173" s="19">
        <f ca="1">IF(RAND()&lt;P_Zero,0,IF(RAND()&lt;CondReturn,_xlfn.LOGNORM.INV(RAND(),MV2,Sigma1),IF(RAND()&lt;CondGood,_xlfn.LOGNORM.INV(RAND(),MV3,Sigma2),MIN(MaxMultiple,Xm/(1-RAND())^(1/Alpha)))))</f>
        <v>0</v>
      </c>
      <c r="O173" s="19">
        <f ca="1">IF(RAND()&lt;P_Zero,0,IF(RAND()&lt;CondReturn,_xlfn.LOGNORM.INV(RAND(),MV2,Sigma1),IF(RAND()&lt;CondGood,_xlfn.LOGNORM.INV(RAND(),MV3,Sigma2),MIN(MaxMultiple,Xm/(1-RAND())^(1/Alpha)))))</f>
        <v>0</v>
      </c>
      <c r="P173" s="19">
        <f ca="1">IF(RAND()&lt;P_Zero,0,IF(RAND()&lt;CondReturn,_xlfn.LOGNORM.INV(RAND(),MV2,Sigma1),IF(RAND()&lt;CondGood,_xlfn.LOGNORM.INV(RAND(),MV3,Sigma2),MIN(MaxMultiple,Xm/(1-RAND())^(1/Alpha)))))</f>
        <v>0.8128243330681022</v>
      </c>
      <c r="Q173" s="19">
        <f ca="1">IF(RAND()&lt;P_Zero,0,IF(RAND()&lt;CondReturn,_xlfn.LOGNORM.INV(RAND(),MV2,Sigma1),IF(RAND()&lt;CondGood,_xlfn.LOGNORM.INV(RAND(),MV3,Sigma2),MIN(MaxMultiple,Xm/(1-RAND())^(1/Alpha)))))</f>
        <v>26.08438900880466</v>
      </c>
      <c r="R173" s="19">
        <f ca="1">IF(RAND()&lt;P_Zero,0,IF(RAND()&lt;CondReturn,_xlfn.LOGNORM.INV(RAND(),MV2,Sigma1),IF(RAND()&lt;CondGood,_xlfn.LOGNORM.INV(RAND(),MV3,Sigma2),MIN(MaxMultiple,Xm/(1-RAND())^(1/Alpha)))))</f>
        <v>0.56633025560394268</v>
      </c>
      <c r="S173" s="19">
        <f ca="1">IF(RAND()&lt;P_Zero,0,IF(RAND()&lt;CondReturn,_xlfn.LOGNORM.INV(RAND(),MV2,Sigma1),IF(RAND()&lt;CondGood,_xlfn.LOGNORM.INV(RAND(),MV3,Sigma2),MIN(MaxMultiple,Xm/(1-RAND())^(1/Alpha)))))</f>
        <v>0</v>
      </c>
      <c r="T173" s="19">
        <f ca="1">IF(RAND()&lt;P_Zero,0,IF(RAND()&lt;CondReturn,_xlfn.LOGNORM.INV(RAND(),MV2,Sigma1),IF(RAND()&lt;CondGood,_xlfn.LOGNORM.INV(RAND(),MV3,Sigma2),MIN(MaxMultiple,Xm/(1-RAND())^(1/Alpha)))))</f>
        <v>0</v>
      </c>
      <c r="U173" s="19">
        <f ca="1">IF(RAND()&lt;P_Zero,0,IF(RAND()&lt;CondReturn,_xlfn.LOGNORM.INV(RAND(),MV2,Sigma1),IF(RAND()&lt;CondGood,_xlfn.LOGNORM.INV(RAND(),MV3,Sigma2),MIN(MaxMultiple,Xm/(1-RAND())^(1/Alpha)))))</f>
        <v>0</v>
      </c>
      <c r="V173" s="19">
        <f ca="1">IF(RAND()&lt;P_Zero,0,IF(RAND()&lt;CondReturn,_xlfn.LOGNORM.INV(RAND(),MV2,Sigma1),IF(RAND()&lt;CondGood,_xlfn.LOGNORM.INV(RAND(),MV3,Sigma2),MIN(MaxMultiple,Xm/(1-RAND())^(1/Alpha)))))</f>
        <v>2.1042895678184976</v>
      </c>
      <c r="W173" s="19">
        <f ca="1">IF(RAND()&lt;P_Zero,0,IF(RAND()&lt;CondReturn,_xlfn.LOGNORM.INV(RAND(),MV2,Sigma1),IF(RAND()&lt;CondGood,_xlfn.LOGNORM.INV(RAND(),MV3,Sigma2),MIN(MaxMultiple,Xm/(1-RAND())^(1/Alpha)))))</f>
        <v>1.850767230579782</v>
      </c>
      <c r="X173" s="19">
        <f ca="1">IF(RAND()&lt;P_Zero,0,IF(RAND()&lt;CondReturn,_xlfn.LOGNORM.INV(RAND(),MV2,Sigma1),IF(RAND()&lt;CondGood,_xlfn.LOGNORM.INV(RAND(),MV3,Sigma2),MIN(MaxMultiple,Xm/(1-RAND())^(1/Alpha)))))</f>
        <v>21.366876363505998</v>
      </c>
      <c r="Y173" s="19">
        <f ca="1">IF(RAND()&lt;P_Zero,0,IF(RAND()&lt;CondReturn,_xlfn.LOGNORM.INV(RAND(),MV2,Sigma1),IF(RAND()&lt;CondGood,_xlfn.LOGNORM.INV(RAND(),MV3,Sigma2),MIN(MaxMultiple,Xm/(1-RAND())^(1/Alpha)))))</f>
        <v>0</v>
      </c>
      <c r="Z173" s="19">
        <f ca="1">IF(RAND()&lt;P_Zero,0,IF(RAND()&lt;CondReturn,_xlfn.LOGNORM.INV(RAND(),MV2,Sigma1),IF(RAND()&lt;CondGood,_xlfn.LOGNORM.INV(RAND(),MV3,Sigma2),MIN(MaxMultiple,Xm/(1-RAND())^(1/Alpha)))))</f>
        <v>1.5742918355785995</v>
      </c>
      <c r="AA173" s="19">
        <f ca="1">IF(RAND()&lt;P_Zero,0,IF(RAND()&lt;CondReturn,_xlfn.LOGNORM.INV(RAND(),MV2,Sigma1),IF(RAND()&lt;CondGood,_xlfn.LOGNORM.INV(RAND(),MV3,Sigma2),MIN(MaxMultiple,Xm/(1-RAND())^(1/Alpha)))))</f>
        <v>1.6265655104353895</v>
      </c>
      <c r="AB173" s="19">
        <f t="shared" ca="1" si="16"/>
        <v>3.1717173460746779</v>
      </c>
      <c r="AC173" s="14">
        <f t="shared" ca="1" si="17"/>
        <v>152242432.61158454</v>
      </c>
      <c r="AD173" s="14">
        <f t="shared" ca="1" si="18"/>
        <v>104242432.61158454</v>
      </c>
      <c r="AE173" s="14">
        <f t="shared" si="19"/>
        <v>55628399.869093813</v>
      </c>
      <c r="AF173" s="14">
        <f t="shared" ca="1" si="20"/>
        <v>48614032.742490731</v>
      </c>
      <c r="AG173" s="14">
        <f t="shared" ca="1" si="21"/>
        <v>9722806.5484981462</v>
      </c>
      <c r="AH173" s="14">
        <f t="shared" ca="1" si="22"/>
        <v>142519626.06308639</v>
      </c>
      <c r="AI173" s="19">
        <f t="shared" ca="1" si="23"/>
        <v>2.3753271010514396</v>
      </c>
    </row>
    <row r="174" spans="2:35" x14ac:dyDescent="0.2">
      <c r="B174" s="1">
        <v>169</v>
      </c>
      <c r="C174" s="19">
        <f ca="1">IF(RAND()&lt;P_Zero,0,IF(RAND()&lt;CondReturn,_xlfn.LOGNORM.INV(RAND(),MV2,Sigma1),IF(RAND()&lt;CondGood,_xlfn.LOGNORM.INV(RAND(),MV3,Sigma2),MIN(MaxMultiple,Xm/(1-RAND())^(1/Alpha)))))</f>
        <v>0.63684404884701207</v>
      </c>
      <c r="D174" s="19">
        <f ca="1">IF(RAND()&lt;P_Zero,0,IF(RAND()&lt;CondReturn,_xlfn.LOGNORM.INV(RAND(),MV2,Sigma1),IF(RAND()&lt;CondGood,_xlfn.LOGNORM.INV(RAND(),MV3,Sigma2),MIN(MaxMultiple,Xm/(1-RAND())^(1/Alpha)))))</f>
        <v>0</v>
      </c>
      <c r="E174" s="19">
        <f ca="1">IF(RAND()&lt;P_Zero,0,IF(RAND()&lt;CondReturn,_xlfn.LOGNORM.INV(RAND(),MV2,Sigma1),IF(RAND()&lt;CondGood,_xlfn.LOGNORM.INV(RAND(),MV3,Sigma2),MIN(MaxMultiple,Xm/(1-RAND())^(1/Alpha)))))</f>
        <v>1.5956172292735373</v>
      </c>
      <c r="F174" s="19">
        <f ca="1">IF(RAND()&lt;P_Zero,0,IF(RAND()&lt;CondReturn,_xlfn.LOGNORM.INV(RAND(),MV2,Sigma1),IF(RAND()&lt;CondGood,_xlfn.LOGNORM.INV(RAND(),MV3,Sigma2),MIN(MaxMultiple,Xm/(1-RAND())^(1/Alpha)))))</f>
        <v>0</v>
      </c>
      <c r="G174" s="19">
        <f ca="1">IF(RAND()&lt;P_Zero,0,IF(RAND()&lt;CondReturn,_xlfn.LOGNORM.INV(RAND(),MV2,Sigma1),IF(RAND()&lt;CondGood,_xlfn.LOGNORM.INV(RAND(),MV3,Sigma2),MIN(MaxMultiple,Xm/(1-RAND())^(1/Alpha)))))</f>
        <v>1.0371263532956163</v>
      </c>
      <c r="H174" s="19">
        <f ca="1">IF(RAND()&lt;P_Zero,0,IF(RAND()&lt;CondReturn,_xlfn.LOGNORM.INV(RAND(),MV2,Sigma1),IF(RAND()&lt;CondGood,_xlfn.LOGNORM.INV(RAND(),MV3,Sigma2),MIN(MaxMultiple,Xm/(1-RAND())^(1/Alpha)))))</f>
        <v>0</v>
      </c>
      <c r="I174" s="19">
        <f ca="1">IF(RAND()&lt;P_Zero,0,IF(RAND()&lt;CondReturn,_xlfn.LOGNORM.INV(RAND(),MV2,Sigma1),IF(RAND()&lt;CondGood,_xlfn.LOGNORM.INV(RAND(),MV3,Sigma2),MIN(MaxMultiple,Xm/(1-RAND())^(1/Alpha)))))</f>
        <v>0</v>
      </c>
      <c r="J174" s="19">
        <f ca="1">IF(RAND()&lt;P_Zero,0,IF(RAND()&lt;CondReturn,_xlfn.LOGNORM.INV(RAND(),MV2,Sigma1),IF(RAND()&lt;CondGood,_xlfn.LOGNORM.INV(RAND(),MV3,Sigma2),MIN(MaxMultiple,Xm/(1-RAND())^(1/Alpha)))))</f>
        <v>0</v>
      </c>
      <c r="K174" s="19">
        <f ca="1">IF(RAND()&lt;P_Zero,0,IF(RAND()&lt;CondReturn,_xlfn.LOGNORM.INV(RAND(),MV2,Sigma1),IF(RAND()&lt;CondGood,_xlfn.LOGNORM.INV(RAND(),MV3,Sigma2),MIN(MaxMultiple,Xm/(1-RAND())^(1/Alpha)))))</f>
        <v>0.86673987224488336</v>
      </c>
      <c r="L174" s="19">
        <f ca="1">IF(RAND()&lt;P_Zero,0,IF(RAND()&lt;CondReturn,_xlfn.LOGNORM.INV(RAND(),MV2,Sigma1),IF(RAND()&lt;CondGood,_xlfn.LOGNORM.INV(RAND(),MV3,Sigma2),MIN(MaxMultiple,Xm/(1-RAND())^(1/Alpha)))))</f>
        <v>0.86699524088318991</v>
      </c>
      <c r="M174" s="19">
        <f ca="1">IF(RAND()&lt;P_Zero,0,IF(RAND()&lt;CondReturn,_xlfn.LOGNORM.INV(RAND(),MV2,Sigma1),IF(RAND()&lt;CondGood,_xlfn.LOGNORM.INV(RAND(),MV3,Sigma2),MIN(MaxMultiple,Xm/(1-RAND())^(1/Alpha)))))</f>
        <v>2.2627510487778166</v>
      </c>
      <c r="N174" s="19">
        <f ca="1">IF(RAND()&lt;P_Zero,0,IF(RAND()&lt;CondReturn,_xlfn.LOGNORM.INV(RAND(),MV2,Sigma1),IF(RAND()&lt;CondGood,_xlfn.LOGNORM.INV(RAND(),MV3,Sigma2),MIN(MaxMultiple,Xm/(1-RAND())^(1/Alpha)))))</f>
        <v>26.501850026637001</v>
      </c>
      <c r="O174" s="19">
        <f ca="1">IF(RAND()&lt;P_Zero,0,IF(RAND()&lt;CondReturn,_xlfn.LOGNORM.INV(RAND(),MV2,Sigma1),IF(RAND()&lt;CondGood,_xlfn.LOGNORM.INV(RAND(),MV3,Sigma2),MIN(MaxMultiple,Xm/(1-RAND())^(1/Alpha)))))</f>
        <v>1.0098599156055688</v>
      </c>
      <c r="P174" s="19">
        <f ca="1">IF(RAND()&lt;P_Zero,0,IF(RAND()&lt;CondReturn,_xlfn.LOGNORM.INV(RAND(),MV2,Sigma1),IF(RAND()&lt;CondGood,_xlfn.LOGNORM.INV(RAND(),MV3,Sigma2),MIN(MaxMultiple,Xm/(1-RAND())^(1/Alpha)))))</f>
        <v>0.51274603897302329</v>
      </c>
      <c r="Q174" s="19">
        <f ca="1">IF(RAND()&lt;P_Zero,0,IF(RAND()&lt;CondReturn,_xlfn.LOGNORM.INV(RAND(),MV2,Sigma1),IF(RAND()&lt;CondGood,_xlfn.LOGNORM.INV(RAND(),MV3,Sigma2),MIN(MaxMultiple,Xm/(1-RAND())^(1/Alpha)))))</f>
        <v>0.89247086656746344</v>
      </c>
      <c r="R174" s="19">
        <f ca="1">IF(RAND()&lt;P_Zero,0,IF(RAND()&lt;CondReturn,_xlfn.LOGNORM.INV(RAND(),MV2,Sigma1),IF(RAND()&lt;CondGood,_xlfn.LOGNORM.INV(RAND(),MV3,Sigma2),MIN(MaxMultiple,Xm/(1-RAND())^(1/Alpha)))))</f>
        <v>0.44342821388269937</v>
      </c>
      <c r="S174" s="19">
        <f ca="1">IF(RAND()&lt;P_Zero,0,IF(RAND()&lt;CondReturn,_xlfn.LOGNORM.INV(RAND(),MV2,Sigma1),IF(RAND()&lt;CondGood,_xlfn.LOGNORM.INV(RAND(),MV3,Sigma2),MIN(MaxMultiple,Xm/(1-RAND())^(1/Alpha)))))</f>
        <v>1.4318833237856576</v>
      </c>
      <c r="T174" s="19">
        <f ca="1">IF(RAND()&lt;P_Zero,0,IF(RAND()&lt;CondReturn,_xlfn.LOGNORM.INV(RAND(),MV2,Sigma1),IF(RAND()&lt;CondGood,_xlfn.LOGNORM.INV(RAND(),MV3,Sigma2),MIN(MaxMultiple,Xm/(1-RAND())^(1/Alpha)))))</f>
        <v>0</v>
      </c>
      <c r="U174" s="19">
        <f ca="1">IF(RAND()&lt;P_Zero,0,IF(RAND()&lt;CondReturn,_xlfn.LOGNORM.INV(RAND(),MV2,Sigma1),IF(RAND()&lt;CondGood,_xlfn.LOGNORM.INV(RAND(),MV3,Sigma2),MIN(MaxMultiple,Xm/(1-RAND())^(1/Alpha)))))</f>
        <v>0</v>
      </c>
      <c r="V174" s="19">
        <f ca="1">IF(RAND()&lt;P_Zero,0,IF(RAND()&lt;CondReturn,_xlfn.LOGNORM.INV(RAND(),MV2,Sigma1),IF(RAND()&lt;CondGood,_xlfn.LOGNORM.INV(RAND(),MV3,Sigma2),MIN(MaxMultiple,Xm/(1-RAND())^(1/Alpha)))))</f>
        <v>11.110171963259756</v>
      </c>
      <c r="W174" s="19">
        <f ca="1">IF(RAND()&lt;P_Zero,0,IF(RAND()&lt;CondReturn,_xlfn.LOGNORM.INV(RAND(),MV2,Sigma1),IF(RAND()&lt;CondGood,_xlfn.LOGNORM.INV(RAND(),MV3,Sigma2),MIN(MaxMultiple,Xm/(1-RAND())^(1/Alpha)))))</f>
        <v>0</v>
      </c>
      <c r="X174" s="19">
        <f ca="1">IF(RAND()&lt;P_Zero,0,IF(RAND()&lt;CondReturn,_xlfn.LOGNORM.INV(RAND(),MV2,Sigma1),IF(RAND()&lt;CondGood,_xlfn.LOGNORM.INV(RAND(),MV3,Sigma2),MIN(MaxMultiple,Xm/(1-RAND())^(1/Alpha)))))</f>
        <v>1.2407759107116352</v>
      </c>
      <c r="Y174" s="19">
        <f ca="1">IF(RAND()&lt;P_Zero,0,IF(RAND()&lt;CondReturn,_xlfn.LOGNORM.INV(RAND(),MV2,Sigma1),IF(RAND()&lt;CondGood,_xlfn.LOGNORM.INV(RAND(),MV3,Sigma2),MIN(MaxMultiple,Xm/(1-RAND())^(1/Alpha)))))</f>
        <v>0.76183908415719903</v>
      </c>
      <c r="Z174" s="19">
        <f ca="1">IF(RAND()&lt;P_Zero,0,IF(RAND()&lt;CondReturn,_xlfn.LOGNORM.INV(RAND(),MV2,Sigma1),IF(RAND()&lt;CondGood,_xlfn.LOGNORM.INV(RAND(),MV3,Sigma2),MIN(MaxMultiple,Xm/(1-RAND())^(1/Alpha)))))</f>
        <v>0</v>
      </c>
      <c r="AA174" s="19">
        <f ca="1">IF(RAND()&lt;P_Zero,0,IF(RAND()&lt;CondReturn,_xlfn.LOGNORM.INV(RAND(),MV2,Sigma1),IF(RAND()&lt;CondGood,_xlfn.LOGNORM.INV(RAND(),MV3,Sigma2),MIN(MaxMultiple,Xm/(1-RAND())^(1/Alpha)))))</f>
        <v>0.6612436262814001</v>
      </c>
      <c r="AB174" s="19">
        <f t="shared" ca="1" si="16"/>
        <v>2.0732937105273384</v>
      </c>
      <c r="AC174" s="14">
        <f t="shared" ca="1" si="17"/>
        <v>99518098.105312243</v>
      </c>
      <c r="AD174" s="14">
        <f t="shared" ca="1" si="18"/>
        <v>51518098.105312243</v>
      </c>
      <c r="AE174" s="14">
        <f t="shared" si="19"/>
        <v>55628399.869093813</v>
      </c>
      <c r="AF174" s="14">
        <f t="shared" ca="1" si="20"/>
        <v>0</v>
      </c>
      <c r="AG174" s="14">
        <f t="shared" ca="1" si="21"/>
        <v>0</v>
      </c>
      <c r="AH174" s="14">
        <f t="shared" ca="1" si="22"/>
        <v>99518098.105312243</v>
      </c>
      <c r="AI174" s="19">
        <f t="shared" ca="1" si="23"/>
        <v>1.6586349684218706</v>
      </c>
    </row>
    <row r="175" spans="2:35" x14ac:dyDescent="0.2">
      <c r="B175" s="1">
        <v>170</v>
      </c>
      <c r="C175" s="19">
        <f ca="1">IF(RAND()&lt;P_Zero,0,IF(RAND()&lt;CondReturn,_xlfn.LOGNORM.INV(RAND(),MV2,Sigma1),IF(RAND()&lt;CondGood,_xlfn.LOGNORM.INV(RAND(),MV3,Sigma2),MIN(MaxMultiple,Xm/(1-RAND())^(1/Alpha)))))</f>
        <v>2.1625529196968958</v>
      </c>
      <c r="D175" s="19">
        <f ca="1">IF(RAND()&lt;P_Zero,0,IF(RAND()&lt;CondReturn,_xlfn.LOGNORM.INV(RAND(),MV2,Sigma1),IF(RAND()&lt;CondGood,_xlfn.LOGNORM.INV(RAND(),MV3,Sigma2),MIN(MaxMultiple,Xm/(1-RAND())^(1/Alpha)))))</f>
        <v>0</v>
      </c>
      <c r="E175" s="19">
        <f ca="1">IF(RAND()&lt;P_Zero,0,IF(RAND()&lt;CondReturn,_xlfn.LOGNORM.INV(RAND(),MV2,Sigma1),IF(RAND()&lt;CondGood,_xlfn.LOGNORM.INV(RAND(),MV3,Sigma2),MIN(MaxMultiple,Xm/(1-RAND())^(1/Alpha)))))</f>
        <v>0</v>
      </c>
      <c r="F175" s="19">
        <f ca="1">IF(RAND()&lt;P_Zero,0,IF(RAND()&lt;CondReturn,_xlfn.LOGNORM.INV(RAND(),MV2,Sigma1),IF(RAND()&lt;CondGood,_xlfn.LOGNORM.INV(RAND(),MV3,Sigma2),MIN(MaxMultiple,Xm/(1-RAND())^(1/Alpha)))))</f>
        <v>18.929467495998747</v>
      </c>
      <c r="G175" s="19">
        <f ca="1">IF(RAND()&lt;P_Zero,0,IF(RAND()&lt;CondReturn,_xlfn.LOGNORM.INV(RAND(),MV2,Sigma1),IF(RAND()&lt;CondGood,_xlfn.LOGNORM.INV(RAND(),MV3,Sigma2),MIN(MaxMultiple,Xm/(1-RAND())^(1/Alpha)))))</f>
        <v>1.0037765061110098</v>
      </c>
      <c r="H175" s="19">
        <f ca="1">IF(RAND()&lt;P_Zero,0,IF(RAND()&lt;CondReturn,_xlfn.LOGNORM.INV(RAND(),MV2,Sigma1),IF(RAND()&lt;CondGood,_xlfn.LOGNORM.INV(RAND(),MV3,Sigma2),MIN(MaxMultiple,Xm/(1-RAND())^(1/Alpha)))))</f>
        <v>0</v>
      </c>
      <c r="I175" s="19">
        <f ca="1">IF(RAND()&lt;P_Zero,0,IF(RAND()&lt;CondReturn,_xlfn.LOGNORM.INV(RAND(),MV2,Sigma1),IF(RAND()&lt;CondGood,_xlfn.LOGNORM.INV(RAND(),MV3,Sigma2),MIN(MaxMultiple,Xm/(1-RAND())^(1/Alpha)))))</f>
        <v>0</v>
      </c>
      <c r="J175" s="19">
        <f ca="1">IF(RAND()&lt;P_Zero,0,IF(RAND()&lt;CondReturn,_xlfn.LOGNORM.INV(RAND(),MV2,Sigma1),IF(RAND()&lt;CondGood,_xlfn.LOGNORM.INV(RAND(),MV3,Sigma2),MIN(MaxMultiple,Xm/(1-RAND())^(1/Alpha)))))</f>
        <v>0.91664577218875753</v>
      </c>
      <c r="K175" s="19">
        <f ca="1">IF(RAND()&lt;P_Zero,0,IF(RAND()&lt;CondReturn,_xlfn.LOGNORM.INV(RAND(),MV2,Sigma1),IF(RAND()&lt;CondGood,_xlfn.LOGNORM.INV(RAND(),MV3,Sigma2),MIN(MaxMultiple,Xm/(1-RAND())^(1/Alpha)))))</f>
        <v>1.9116052530238001</v>
      </c>
      <c r="L175" s="19">
        <f ca="1">IF(RAND()&lt;P_Zero,0,IF(RAND()&lt;CondReturn,_xlfn.LOGNORM.INV(RAND(),MV2,Sigma1),IF(RAND()&lt;CondGood,_xlfn.LOGNORM.INV(RAND(),MV3,Sigma2),MIN(MaxMultiple,Xm/(1-RAND())^(1/Alpha)))))</f>
        <v>0</v>
      </c>
      <c r="M175" s="19">
        <f ca="1">IF(RAND()&lt;P_Zero,0,IF(RAND()&lt;CondReturn,_xlfn.LOGNORM.INV(RAND(),MV2,Sigma1),IF(RAND()&lt;CondGood,_xlfn.LOGNORM.INV(RAND(),MV3,Sigma2),MIN(MaxMultiple,Xm/(1-RAND())^(1/Alpha)))))</f>
        <v>1.2631080418111207</v>
      </c>
      <c r="N175" s="19">
        <f ca="1">IF(RAND()&lt;P_Zero,0,IF(RAND()&lt;CondReturn,_xlfn.LOGNORM.INV(RAND(),MV2,Sigma1),IF(RAND()&lt;CondGood,_xlfn.LOGNORM.INV(RAND(),MV3,Sigma2),MIN(MaxMultiple,Xm/(1-RAND())^(1/Alpha)))))</f>
        <v>0.69238582098666246</v>
      </c>
      <c r="O175" s="19">
        <f ca="1">IF(RAND()&lt;P_Zero,0,IF(RAND()&lt;CondReturn,_xlfn.LOGNORM.INV(RAND(),MV2,Sigma1),IF(RAND()&lt;CondGood,_xlfn.LOGNORM.INV(RAND(),MV3,Sigma2),MIN(MaxMultiple,Xm/(1-RAND())^(1/Alpha)))))</f>
        <v>12.110836787933042</v>
      </c>
      <c r="P175" s="19">
        <f ca="1">IF(RAND()&lt;P_Zero,0,IF(RAND()&lt;CondReturn,_xlfn.LOGNORM.INV(RAND(),MV2,Sigma1),IF(RAND()&lt;CondGood,_xlfn.LOGNORM.INV(RAND(),MV3,Sigma2),MIN(MaxMultiple,Xm/(1-RAND())^(1/Alpha)))))</f>
        <v>0.35522745551570289</v>
      </c>
      <c r="Q175" s="19">
        <f ca="1">IF(RAND()&lt;P_Zero,0,IF(RAND()&lt;CondReturn,_xlfn.LOGNORM.INV(RAND(),MV2,Sigma1),IF(RAND()&lt;CondGood,_xlfn.LOGNORM.INV(RAND(),MV3,Sigma2),MIN(MaxMultiple,Xm/(1-RAND())^(1/Alpha)))))</f>
        <v>0</v>
      </c>
      <c r="R175" s="19">
        <f ca="1">IF(RAND()&lt;P_Zero,0,IF(RAND()&lt;CondReturn,_xlfn.LOGNORM.INV(RAND(),MV2,Sigma1),IF(RAND()&lt;CondGood,_xlfn.LOGNORM.INV(RAND(),MV3,Sigma2),MIN(MaxMultiple,Xm/(1-RAND())^(1/Alpha)))))</f>
        <v>0</v>
      </c>
      <c r="S175" s="19">
        <f ca="1">IF(RAND()&lt;P_Zero,0,IF(RAND()&lt;CondReturn,_xlfn.LOGNORM.INV(RAND(),MV2,Sigma1),IF(RAND()&lt;CondGood,_xlfn.LOGNORM.INV(RAND(),MV3,Sigma2),MIN(MaxMultiple,Xm/(1-RAND())^(1/Alpha)))))</f>
        <v>0.91322817495608277</v>
      </c>
      <c r="T175" s="19">
        <f ca="1">IF(RAND()&lt;P_Zero,0,IF(RAND()&lt;CondReturn,_xlfn.LOGNORM.INV(RAND(),MV2,Sigma1),IF(RAND()&lt;CondGood,_xlfn.LOGNORM.INV(RAND(),MV3,Sigma2),MIN(MaxMultiple,Xm/(1-RAND())^(1/Alpha)))))</f>
        <v>0.57805343913493334</v>
      </c>
      <c r="U175" s="19">
        <f ca="1">IF(RAND()&lt;P_Zero,0,IF(RAND()&lt;CondReturn,_xlfn.LOGNORM.INV(RAND(),MV2,Sigma1),IF(RAND()&lt;CondGood,_xlfn.LOGNORM.INV(RAND(),MV3,Sigma2),MIN(MaxMultiple,Xm/(1-RAND())^(1/Alpha)))))</f>
        <v>55.988632927367561</v>
      </c>
      <c r="V175" s="19">
        <f ca="1">IF(RAND()&lt;P_Zero,0,IF(RAND()&lt;CondReturn,_xlfn.LOGNORM.INV(RAND(),MV2,Sigma1),IF(RAND()&lt;CondGood,_xlfn.LOGNORM.INV(RAND(),MV3,Sigma2),MIN(MaxMultiple,Xm/(1-RAND())^(1/Alpha)))))</f>
        <v>0.32163862000786697</v>
      </c>
      <c r="W175" s="19">
        <f ca="1">IF(RAND()&lt;P_Zero,0,IF(RAND()&lt;CondReturn,_xlfn.LOGNORM.INV(RAND(),MV2,Sigma1),IF(RAND()&lt;CondGood,_xlfn.LOGNORM.INV(RAND(),MV3,Sigma2),MIN(MaxMultiple,Xm/(1-RAND())^(1/Alpha)))))</f>
        <v>0</v>
      </c>
      <c r="X175" s="19">
        <f ca="1">IF(RAND()&lt;P_Zero,0,IF(RAND()&lt;CondReturn,_xlfn.LOGNORM.INV(RAND(),MV2,Sigma1),IF(RAND()&lt;CondGood,_xlfn.LOGNORM.INV(RAND(),MV3,Sigma2),MIN(MaxMultiple,Xm/(1-RAND())^(1/Alpha)))))</f>
        <v>0</v>
      </c>
      <c r="Y175" s="19">
        <f ca="1">IF(RAND()&lt;P_Zero,0,IF(RAND()&lt;CondReturn,_xlfn.LOGNORM.INV(RAND(),MV2,Sigma1),IF(RAND()&lt;CondGood,_xlfn.LOGNORM.INV(RAND(),MV3,Sigma2),MIN(MaxMultiple,Xm/(1-RAND())^(1/Alpha)))))</f>
        <v>1.1102680529629374</v>
      </c>
      <c r="Z175" s="19">
        <f ca="1">IF(RAND()&lt;P_Zero,0,IF(RAND()&lt;CondReturn,_xlfn.LOGNORM.INV(RAND(),MV2,Sigma1),IF(RAND()&lt;CondGood,_xlfn.LOGNORM.INV(RAND(),MV3,Sigma2),MIN(MaxMultiple,Xm/(1-RAND())^(1/Alpha)))))</f>
        <v>0.44831543202852359</v>
      </c>
      <c r="AA175" s="19">
        <f ca="1">IF(RAND()&lt;P_Zero,0,IF(RAND()&lt;CondReturn,_xlfn.LOGNORM.INV(RAND(),MV2,Sigma1),IF(RAND()&lt;CondGood,_xlfn.LOGNORM.INV(RAND(),MV3,Sigma2),MIN(MaxMultiple,Xm/(1-RAND())^(1/Alpha)))))</f>
        <v>1.1980555073231645</v>
      </c>
      <c r="AB175" s="19">
        <f t="shared" ca="1" si="16"/>
        <v>3.9961519282818716</v>
      </c>
      <c r="AC175" s="14">
        <f t="shared" ca="1" si="17"/>
        <v>191815292.55752984</v>
      </c>
      <c r="AD175" s="14">
        <f t="shared" ca="1" si="18"/>
        <v>143815292.55752984</v>
      </c>
      <c r="AE175" s="14">
        <f t="shared" si="19"/>
        <v>55628399.869093813</v>
      </c>
      <c r="AF175" s="14">
        <f t="shared" ca="1" si="20"/>
        <v>88186892.688436031</v>
      </c>
      <c r="AG175" s="14">
        <f t="shared" ca="1" si="21"/>
        <v>17637378.537687209</v>
      </c>
      <c r="AH175" s="14">
        <f t="shared" ca="1" si="22"/>
        <v>174177914.01984262</v>
      </c>
      <c r="AI175" s="19">
        <f t="shared" ca="1" si="23"/>
        <v>2.9029652336640437</v>
      </c>
    </row>
    <row r="176" spans="2:35" x14ac:dyDescent="0.2">
      <c r="B176" s="1">
        <v>171</v>
      </c>
      <c r="C176" s="19">
        <f ca="1">IF(RAND()&lt;P_Zero,0,IF(RAND()&lt;CondReturn,_xlfn.LOGNORM.INV(RAND(),MV2,Sigma1),IF(RAND()&lt;CondGood,_xlfn.LOGNORM.INV(RAND(),MV3,Sigma2),MIN(MaxMultiple,Xm/(1-RAND())^(1/Alpha)))))</f>
        <v>0.75481502797464717</v>
      </c>
      <c r="D176" s="19">
        <f ca="1">IF(RAND()&lt;P_Zero,0,IF(RAND()&lt;CondReturn,_xlfn.LOGNORM.INV(RAND(),MV2,Sigma1),IF(RAND()&lt;CondGood,_xlfn.LOGNORM.INV(RAND(),MV3,Sigma2),MIN(MaxMultiple,Xm/(1-RAND())^(1/Alpha)))))</f>
        <v>0.508783215635632</v>
      </c>
      <c r="E176" s="19">
        <f ca="1">IF(RAND()&lt;P_Zero,0,IF(RAND()&lt;CondReturn,_xlfn.LOGNORM.INV(RAND(),MV2,Sigma1),IF(RAND()&lt;CondGood,_xlfn.LOGNORM.INV(RAND(),MV3,Sigma2),MIN(MaxMultiple,Xm/(1-RAND())^(1/Alpha)))))</f>
        <v>0</v>
      </c>
      <c r="F176" s="19">
        <f ca="1">IF(RAND()&lt;P_Zero,0,IF(RAND()&lt;CondReturn,_xlfn.LOGNORM.INV(RAND(),MV2,Sigma1),IF(RAND()&lt;CondGood,_xlfn.LOGNORM.INV(RAND(),MV3,Sigma2),MIN(MaxMultiple,Xm/(1-RAND())^(1/Alpha)))))</f>
        <v>0</v>
      </c>
      <c r="G176" s="19">
        <f ca="1">IF(RAND()&lt;P_Zero,0,IF(RAND()&lt;CondReturn,_xlfn.LOGNORM.INV(RAND(),MV2,Sigma1),IF(RAND()&lt;CondGood,_xlfn.LOGNORM.INV(RAND(),MV3,Sigma2),MIN(MaxMultiple,Xm/(1-RAND())^(1/Alpha)))))</f>
        <v>0.71850883729861681</v>
      </c>
      <c r="H176" s="19">
        <f ca="1">IF(RAND()&lt;P_Zero,0,IF(RAND()&lt;CondReturn,_xlfn.LOGNORM.INV(RAND(),MV2,Sigma1),IF(RAND()&lt;CondGood,_xlfn.LOGNORM.INV(RAND(),MV3,Sigma2),MIN(MaxMultiple,Xm/(1-RAND())^(1/Alpha)))))</f>
        <v>0</v>
      </c>
      <c r="I176" s="19">
        <f ca="1">IF(RAND()&lt;P_Zero,0,IF(RAND()&lt;CondReturn,_xlfn.LOGNORM.INV(RAND(),MV2,Sigma1),IF(RAND()&lt;CondGood,_xlfn.LOGNORM.INV(RAND(),MV3,Sigma2),MIN(MaxMultiple,Xm/(1-RAND())^(1/Alpha)))))</f>
        <v>0.83806410514452667</v>
      </c>
      <c r="J176" s="19">
        <f ca="1">IF(RAND()&lt;P_Zero,0,IF(RAND()&lt;CondReturn,_xlfn.LOGNORM.INV(RAND(),MV2,Sigma1),IF(RAND()&lt;CondGood,_xlfn.LOGNORM.INV(RAND(),MV3,Sigma2),MIN(MaxMultiple,Xm/(1-RAND())^(1/Alpha)))))</f>
        <v>0</v>
      </c>
      <c r="K176" s="19">
        <f ca="1">IF(RAND()&lt;P_Zero,0,IF(RAND()&lt;CondReturn,_xlfn.LOGNORM.INV(RAND(),MV2,Sigma1),IF(RAND()&lt;CondGood,_xlfn.LOGNORM.INV(RAND(),MV3,Sigma2),MIN(MaxMultiple,Xm/(1-RAND())^(1/Alpha)))))</f>
        <v>1.7720299698384923</v>
      </c>
      <c r="L176" s="19">
        <f ca="1">IF(RAND()&lt;P_Zero,0,IF(RAND()&lt;CondReturn,_xlfn.LOGNORM.INV(RAND(),MV2,Sigma1),IF(RAND()&lt;CondGood,_xlfn.LOGNORM.INV(RAND(),MV3,Sigma2),MIN(MaxMultiple,Xm/(1-RAND())^(1/Alpha)))))</f>
        <v>0</v>
      </c>
      <c r="M176" s="19">
        <f ca="1">IF(RAND()&lt;P_Zero,0,IF(RAND()&lt;CondReturn,_xlfn.LOGNORM.INV(RAND(),MV2,Sigma1),IF(RAND()&lt;CondGood,_xlfn.LOGNORM.INV(RAND(),MV3,Sigma2),MIN(MaxMultiple,Xm/(1-RAND())^(1/Alpha)))))</f>
        <v>1.3455120627588784</v>
      </c>
      <c r="N176" s="19">
        <f ca="1">IF(RAND()&lt;P_Zero,0,IF(RAND()&lt;CondReturn,_xlfn.LOGNORM.INV(RAND(),MV2,Sigma1),IF(RAND()&lt;CondGood,_xlfn.LOGNORM.INV(RAND(),MV3,Sigma2),MIN(MaxMultiple,Xm/(1-RAND())^(1/Alpha)))))</f>
        <v>0</v>
      </c>
      <c r="O176" s="19">
        <f ca="1">IF(RAND()&lt;P_Zero,0,IF(RAND()&lt;CondReturn,_xlfn.LOGNORM.INV(RAND(),MV2,Sigma1),IF(RAND()&lt;CondGood,_xlfn.LOGNORM.INV(RAND(),MV3,Sigma2),MIN(MaxMultiple,Xm/(1-RAND())^(1/Alpha)))))</f>
        <v>0</v>
      </c>
      <c r="P176" s="19">
        <f ca="1">IF(RAND()&lt;P_Zero,0,IF(RAND()&lt;CondReturn,_xlfn.LOGNORM.INV(RAND(),MV2,Sigma1),IF(RAND()&lt;CondGood,_xlfn.LOGNORM.INV(RAND(),MV3,Sigma2),MIN(MaxMultiple,Xm/(1-RAND())^(1/Alpha)))))</f>
        <v>0</v>
      </c>
      <c r="Q176" s="19">
        <f ca="1">IF(RAND()&lt;P_Zero,0,IF(RAND()&lt;CondReturn,_xlfn.LOGNORM.INV(RAND(),MV2,Sigma1),IF(RAND()&lt;CondGood,_xlfn.LOGNORM.INV(RAND(),MV3,Sigma2),MIN(MaxMultiple,Xm/(1-RAND())^(1/Alpha)))))</f>
        <v>46.692406097172054</v>
      </c>
      <c r="R176" s="19">
        <f ca="1">IF(RAND()&lt;P_Zero,0,IF(RAND()&lt;CondReturn,_xlfn.LOGNORM.INV(RAND(),MV2,Sigma1),IF(RAND()&lt;CondGood,_xlfn.LOGNORM.INV(RAND(),MV3,Sigma2),MIN(MaxMultiple,Xm/(1-RAND())^(1/Alpha)))))</f>
        <v>0</v>
      </c>
      <c r="S176" s="19">
        <f ca="1">IF(RAND()&lt;P_Zero,0,IF(RAND()&lt;CondReturn,_xlfn.LOGNORM.INV(RAND(),MV2,Sigma1),IF(RAND()&lt;CondGood,_xlfn.LOGNORM.INV(RAND(),MV3,Sigma2),MIN(MaxMultiple,Xm/(1-RAND())^(1/Alpha)))))</f>
        <v>0</v>
      </c>
      <c r="T176" s="19">
        <f ca="1">IF(RAND()&lt;P_Zero,0,IF(RAND()&lt;CondReturn,_xlfn.LOGNORM.INV(RAND(),MV2,Sigma1),IF(RAND()&lt;CondGood,_xlfn.LOGNORM.INV(RAND(),MV3,Sigma2),MIN(MaxMultiple,Xm/(1-RAND())^(1/Alpha)))))</f>
        <v>1.566047439298881</v>
      </c>
      <c r="U176" s="19">
        <f ca="1">IF(RAND()&lt;P_Zero,0,IF(RAND()&lt;CondReturn,_xlfn.LOGNORM.INV(RAND(),MV2,Sigma1),IF(RAND()&lt;CondGood,_xlfn.LOGNORM.INV(RAND(),MV3,Sigma2),MIN(MaxMultiple,Xm/(1-RAND())^(1/Alpha)))))</f>
        <v>0</v>
      </c>
      <c r="V176" s="19">
        <f ca="1">IF(RAND()&lt;P_Zero,0,IF(RAND()&lt;CondReturn,_xlfn.LOGNORM.INV(RAND(),MV2,Sigma1),IF(RAND()&lt;CondGood,_xlfn.LOGNORM.INV(RAND(),MV3,Sigma2),MIN(MaxMultiple,Xm/(1-RAND())^(1/Alpha)))))</f>
        <v>0</v>
      </c>
      <c r="W176" s="19">
        <f ca="1">IF(RAND()&lt;P_Zero,0,IF(RAND()&lt;CondReturn,_xlfn.LOGNORM.INV(RAND(),MV2,Sigma1),IF(RAND()&lt;CondGood,_xlfn.LOGNORM.INV(RAND(),MV3,Sigma2),MIN(MaxMultiple,Xm/(1-RAND())^(1/Alpha)))))</f>
        <v>10.618509781982901</v>
      </c>
      <c r="X176" s="19">
        <f ca="1">IF(RAND()&lt;P_Zero,0,IF(RAND()&lt;CondReturn,_xlfn.LOGNORM.INV(RAND(),MV2,Sigma1),IF(RAND()&lt;CondGood,_xlfn.LOGNORM.INV(RAND(),MV3,Sigma2),MIN(MaxMultiple,Xm/(1-RAND())^(1/Alpha)))))</f>
        <v>0</v>
      </c>
      <c r="Y176" s="19">
        <f ca="1">IF(RAND()&lt;P_Zero,0,IF(RAND()&lt;CondReturn,_xlfn.LOGNORM.INV(RAND(),MV2,Sigma1),IF(RAND()&lt;CondGood,_xlfn.LOGNORM.INV(RAND(),MV3,Sigma2),MIN(MaxMultiple,Xm/(1-RAND())^(1/Alpha)))))</f>
        <v>0</v>
      </c>
      <c r="Z176" s="19">
        <f ca="1">IF(RAND()&lt;P_Zero,0,IF(RAND()&lt;CondReturn,_xlfn.LOGNORM.INV(RAND(),MV2,Sigma1),IF(RAND()&lt;CondGood,_xlfn.LOGNORM.INV(RAND(),MV3,Sigma2),MIN(MaxMultiple,Xm/(1-RAND())^(1/Alpha)))))</f>
        <v>0</v>
      </c>
      <c r="AA176" s="19">
        <f ca="1">IF(RAND()&lt;P_Zero,0,IF(RAND()&lt;CondReturn,_xlfn.LOGNORM.INV(RAND(),MV2,Sigma1),IF(RAND()&lt;CondGood,_xlfn.LOGNORM.INV(RAND(),MV3,Sigma2),MIN(MaxMultiple,Xm/(1-RAND())^(1/Alpha)))))</f>
        <v>1.0671916172469527</v>
      </c>
      <c r="AB176" s="19">
        <f t="shared" ca="1" si="16"/>
        <v>2.6352747261740626</v>
      </c>
      <c r="AC176" s="14">
        <f t="shared" ca="1" si="17"/>
        <v>126493186.856355</v>
      </c>
      <c r="AD176" s="14">
        <f t="shared" ca="1" si="18"/>
        <v>78493186.856354997</v>
      </c>
      <c r="AE176" s="14">
        <f t="shared" si="19"/>
        <v>55628399.869093813</v>
      </c>
      <c r="AF176" s="14">
        <f t="shared" ca="1" si="20"/>
        <v>22864786.987261184</v>
      </c>
      <c r="AG176" s="14">
        <f t="shared" ca="1" si="21"/>
        <v>4572957.3974522371</v>
      </c>
      <c r="AH176" s="14">
        <f t="shared" ca="1" si="22"/>
        <v>121920229.45890276</v>
      </c>
      <c r="AI176" s="19">
        <f t="shared" ca="1" si="23"/>
        <v>2.032003824315046</v>
      </c>
    </row>
    <row r="177" spans="2:35" x14ac:dyDescent="0.2">
      <c r="B177" s="1">
        <v>172</v>
      </c>
      <c r="C177" s="19">
        <f ca="1">IF(RAND()&lt;P_Zero,0,IF(RAND()&lt;CondReturn,_xlfn.LOGNORM.INV(RAND(),MV2,Sigma1),IF(RAND()&lt;CondGood,_xlfn.LOGNORM.INV(RAND(),MV3,Sigma2),MIN(MaxMultiple,Xm/(1-RAND())^(1/Alpha)))))</f>
        <v>0</v>
      </c>
      <c r="D177" s="19">
        <f ca="1">IF(RAND()&lt;P_Zero,0,IF(RAND()&lt;CondReturn,_xlfn.LOGNORM.INV(RAND(),MV2,Sigma1),IF(RAND()&lt;CondGood,_xlfn.LOGNORM.INV(RAND(),MV3,Sigma2),MIN(MaxMultiple,Xm/(1-RAND())^(1/Alpha)))))</f>
        <v>22.420845717364045</v>
      </c>
      <c r="E177" s="19">
        <f ca="1">IF(RAND()&lt;P_Zero,0,IF(RAND()&lt;CondReturn,_xlfn.LOGNORM.INV(RAND(),MV2,Sigma1),IF(RAND()&lt;CondGood,_xlfn.LOGNORM.INV(RAND(),MV3,Sigma2),MIN(MaxMultiple,Xm/(1-RAND())^(1/Alpha)))))</f>
        <v>0</v>
      </c>
      <c r="F177" s="19">
        <f ca="1">IF(RAND()&lt;P_Zero,0,IF(RAND()&lt;CondReturn,_xlfn.LOGNORM.INV(RAND(),MV2,Sigma1),IF(RAND()&lt;CondGood,_xlfn.LOGNORM.INV(RAND(),MV3,Sigma2),MIN(MaxMultiple,Xm/(1-RAND())^(1/Alpha)))))</f>
        <v>2.0851845661781909</v>
      </c>
      <c r="G177" s="19">
        <f ca="1">IF(RAND()&lt;P_Zero,0,IF(RAND()&lt;CondReturn,_xlfn.LOGNORM.INV(RAND(),MV2,Sigma1),IF(RAND()&lt;CondGood,_xlfn.LOGNORM.INV(RAND(),MV3,Sigma2),MIN(MaxMultiple,Xm/(1-RAND())^(1/Alpha)))))</f>
        <v>0</v>
      </c>
      <c r="H177" s="19">
        <f ca="1">IF(RAND()&lt;P_Zero,0,IF(RAND()&lt;CondReturn,_xlfn.LOGNORM.INV(RAND(),MV2,Sigma1),IF(RAND()&lt;CondGood,_xlfn.LOGNORM.INV(RAND(),MV3,Sigma2),MIN(MaxMultiple,Xm/(1-RAND())^(1/Alpha)))))</f>
        <v>0</v>
      </c>
      <c r="I177" s="19">
        <f ca="1">IF(RAND()&lt;P_Zero,0,IF(RAND()&lt;CondReturn,_xlfn.LOGNORM.INV(RAND(),MV2,Sigma1),IF(RAND()&lt;CondGood,_xlfn.LOGNORM.INV(RAND(),MV3,Sigma2),MIN(MaxMultiple,Xm/(1-RAND())^(1/Alpha)))))</f>
        <v>60.663318540752755</v>
      </c>
      <c r="J177" s="19">
        <f ca="1">IF(RAND()&lt;P_Zero,0,IF(RAND()&lt;CondReturn,_xlfn.LOGNORM.INV(RAND(),MV2,Sigma1),IF(RAND()&lt;CondGood,_xlfn.LOGNORM.INV(RAND(),MV3,Sigma2),MIN(MaxMultiple,Xm/(1-RAND())^(1/Alpha)))))</f>
        <v>0</v>
      </c>
      <c r="K177" s="19">
        <f ca="1">IF(RAND()&lt;P_Zero,0,IF(RAND()&lt;CondReturn,_xlfn.LOGNORM.INV(RAND(),MV2,Sigma1),IF(RAND()&lt;CondGood,_xlfn.LOGNORM.INV(RAND(),MV3,Sigma2),MIN(MaxMultiple,Xm/(1-RAND())^(1/Alpha)))))</f>
        <v>1.1289149423820912</v>
      </c>
      <c r="L177" s="19">
        <f ca="1">IF(RAND()&lt;P_Zero,0,IF(RAND()&lt;CondReturn,_xlfn.LOGNORM.INV(RAND(),MV2,Sigma1),IF(RAND()&lt;CondGood,_xlfn.LOGNORM.INV(RAND(),MV3,Sigma2),MIN(MaxMultiple,Xm/(1-RAND())^(1/Alpha)))))</f>
        <v>0.98001568052740673</v>
      </c>
      <c r="M177" s="19">
        <f ca="1">IF(RAND()&lt;P_Zero,0,IF(RAND()&lt;CondReturn,_xlfn.LOGNORM.INV(RAND(),MV2,Sigma1),IF(RAND()&lt;CondGood,_xlfn.LOGNORM.INV(RAND(),MV3,Sigma2),MIN(MaxMultiple,Xm/(1-RAND())^(1/Alpha)))))</f>
        <v>0</v>
      </c>
      <c r="N177" s="19">
        <f ca="1">IF(RAND()&lt;P_Zero,0,IF(RAND()&lt;CondReturn,_xlfn.LOGNORM.INV(RAND(),MV2,Sigma1),IF(RAND()&lt;CondGood,_xlfn.LOGNORM.INV(RAND(),MV3,Sigma2),MIN(MaxMultiple,Xm/(1-RAND())^(1/Alpha)))))</f>
        <v>0</v>
      </c>
      <c r="O177" s="19">
        <f ca="1">IF(RAND()&lt;P_Zero,0,IF(RAND()&lt;CondReturn,_xlfn.LOGNORM.INV(RAND(),MV2,Sigma1),IF(RAND()&lt;CondGood,_xlfn.LOGNORM.INV(RAND(),MV3,Sigma2),MIN(MaxMultiple,Xm/(1-RAND())^(1/Alpha)))))</f>
        <v>1.0825356274519056</v>
      </c>
      <c r="P177" s="19">
        <f ca="1">IF(RAND()&lt;P_Zero,0,IF(RAND()&lt;CondReturn,_xlfn.LOGNORM.INV(RAND(),MV2,Sigma1),IF(RAND()&lt;CondGood,_xlfn.LOGNORM.INV(RAND(),MV3,Sigma2),MIN(MaxMultiple,Xm/(1-RAND())^(1/Alpha)))))</f>
        <v>1.1641010343691094</v>
      </c>
      <c r="Q177" s="19">
        <f ca="1">IF(RAND()&lt;P_Zero,0,IF(RAND()&lt;CondReturn,_xlfn.LOGNORM.INV(RAND(),MV2,Sigma1),IF(RAND()&lt;CondGood,_xlfn.LOGNORM.INV(RAND(),MV3,Sigma2),MIN(MaxMultiple,Xm/(1-RAND())^(1/Alpha)))))</f>
        <v>1.2261012178453641</v>
      </c>
      <c r="R177" s="19">
        <f ca="1">IF(RAND()&lt;P_Zero,0,IF(RAND()&lt;CondReturn,_xlfn.LOGNORM.INV(RAND(),MV2,Sigma1),IF(RAND()&lt;CondGood,_xlfn.LOGNORM.INV(RAND(),MV3,Sigma2),MIN(MaxMultiple,Xm/(1-RAND())^(1/Alpha)))))</f>
        <v>0</v>
      </c>
      <c r="S177" s="19">
        <f ca="1">IF(RAND()&lt;P_Zero,0,IF(RAND()&lt;CondReturn,_xlfn.LOGNORM.INV(RAND(),MV2,Sigma1),IF(RAND()&lt;CondGood,_xlfn.LOGNORM.INV(RAND(),MV3,Sigma2),MIN(MaxMultiple,Xm/(1-RAND())^(1/Alpha)))))</f>
        <v>0.52700995543615581</v>
      </c>
      <c r="T177" s="19">
        <f ca="1">IF(RAND()&lt;P_Zero,0,IF(RAND()&lt;CondReturn,_xlfn.LOGNORM.INV(RAND(),MV2,Sigma1),IF(RAND()&lt;CondGood,_xlfn.LOGNORM.INV(RAND(),MV3,Sigma2),MIN(MaxMultiple,Xm/(1-RAND())^(1/Alpha)))))</f>
        <v>0.62463902916658853</v>
      </c>
      <c r="U177" s="19">
        <f ca="1">IF(RAND()&lt;P_Zero,0,IF(RAND()&lt;CondReturn,_xlfn.LOGNORM.INV(RAND(),MV2,Sigma1),IF(RAND()&lt;CondGood,_xlfn.LOGNORM.INV(RAND(),MV3,Sigma2),MIN(MaxMultiple,Xm/(1-RAND())^(1/Alpha)))))</f>
        <v>0.36406213912992957</v>
      </c>
      <c r="V177" s="19">
        <f ca="1">IF(RAND()&lt;P_Zero,0,IF(RAND()&lt;CondReturn,_xlfn.LOGNORM.INV(RAND(),MV2,Sigma1),IF(RAND()&lt;CondGood,_xlfn.LOGNORM.INV(RAND(),MV3,Sigma2),MIN(MaxMultiple,Xm/(1-RAND())^(1/Alpha)))))</f>
        <v>0</v>
      </c>
      <c r="W177" s="19">
        <f ca="1">IF(RAND()&lt;P_Zero,0,IF(RAND()&lt;CondReturn,_xlfn.LOGNORM.INV(RAND(),MV2,Sigma1),IF(RAND()&lt;CondGood,_xlfn.LOGNORM.INV(RAND(),MV3,Sigma2),MIN(MaxMultiple,Xm/(1-RAND())^(1/Alpha)))))</f>
        <v>0</v>
      </c>
      <c r="X177" s="19">
        <f ca="1">IF(RAND()&lt;P_Zero,0,IF(RAND()&lt;CondReturn,_xlfn.LOGNORM.INV(RAND(),MV2,Sigma1),IF(RAND()&lt;CondGood,_xlfn.LOGNORM.INV(RAND(),MV3,Sigma2),MIN(MaxMultiple,Xm/(1-RAND())^(1/Alpha)))))</f>
        <v>0.54677710263124779</v>
      </c>
      <c r="Y177" s="19">
        <f ca="1">IF(RAND()&lt;P_Zero,0,IF(RAND()&lt;CondReturn,_xlfn.LOGNORM.INV(RAND(),MV2,Sigma1),IF(RAND()&lt;CondGood,_xlfn.LOGNORM.INV(RAND(),MV3,Sigma2),MIN(MaxMultiple,Xm/(1-RAND())^(1/Alpha)))))</f>
        <v>0</v>
      </c>
      <c r="Z177" s="19">
        <f ca="1">IF(RAND()&lt;P_Zero,0,IF(RAND()&lt;CondReturn,_xlfn.LOGNORM.INV(RAND(),MV2,Sigma1),IF(RAND()&lt;CondGood,_xlfn.LOGNORM.INV(RAND(),MV3,Sigma2),MIN(MaxMultiple,Xm/(1-RAND())^(1/Alpha)))))</f>
        <v>1.9959734105298383</v>
      </c>
      <c r="AA177" s="19">
        <f ca="1">IF(RAND()&lt;P_Zero,0,IF(RAND()&lt;CondReturn,_xlfn.LOGNORM.INV(RAND(),MV2,Sigma1),IF(RAND()&lt;CondGood,_xlfn.LOGNORM.INV(RAND(),MV3,Sigma2),MIN(MaxMultiple,Xm/(1-RAND())^(1/Alpha)))))</f>
        <v>0.83165863470733858</v>
      </c>
      <c r="AB177" s="19">
        <f t="shared" ca="1" si="16"/>
        <v>3.8256455039388788</v>
      </c>
      <c r="AC177" s="14">
        <f t="shared" ca="1" si="17"/>
        <v>183630984.18906617</v>
      </c>
      <c r="AD177" s="14">
        <f t="shared" ca="1" si="18"/>
        <v>135630984.18906617</v>
      </c>
      <c r="AE177" s="14">
        <f t="shared" si="19"/>
        <v>55628399.869093813</v>
      </c>
      <c r="AF177" s="14">
        <f t="shared" ca="1" si="20"/>
        <v>80002584.319972366</v>
      </c>
      <c r="AG177" s="14">
        <f t="shared" ca="1" si="21"/>
        <v>16000516.863994474</v>
      </c>
      <c r="AH177" s="14">
        <f t="shared" ca="1" si="22"/>
        <v>167630467.32507169</v>
      </c>
      <c r="AI177" s="19">
        <f t="shared" ca="1" si="23"/>
        <v>2.7938411220845283</v>
      </c>
    </row>
    <row r="178" spans="2:35" x14ac:dyDescent="0.2">
      <c r="B178" s="1">
        <v>173</v>
      </c>
      <c r="C178" s="19">
        <f ca="1">IF(RAND()&lt;P_Zero,0,IF(RAND()&lt;CondReturn,_xlfn.LOGNORM.INV(RAND(),MV2,Sigma1),IF(RAND()&lt;CondGood,_xlfn.LOGNORM.INV(RAND(),MV3,Sigma2),MIN(MaxMultiple,Xm/(1-RAND())^(1/Alpha)))))</f>
        <v>0.67451121950198445</v>
      </c>
      <c r="D178" s="19">
        <f ca="1">IF(RAND()&lt;P_Zero,0,IF(RAND()&lt;CondReturn,_xlfn.LOGNORM.INV(RAND(),MV2,Sigma1),IF(RAND()&lt;CondGood,_xlfn.LOGNORM.INV(RAND(),MV3,Sigma2),MIN(MaxMultiple,Xm/(1-RAND())^(1/Alpha)))))</f>
        <v>0</v>
      </c>
      <c r="E178" s="19">
        <f ca="1">IF(RAND()&lt;P_Zero,0,IF(RAND()&lt;CondReturn,_xlfn.LOGNORM.INV(RAND(),MV2,Sigma1),IF(RAND()&lt;CondGood,_xlfn.LOGNORM.INV(RAND(),MV3,Sigma2),MIN(MaxMultiple,Xm/(1-RAND())^(1/Alpha)))))</f>
        <v>1.1179240879653498</v>
      </c>
      <c r="F178" s="19">
        <f ca="1">IF(RAND()&lt;P_Zero,0,IF(RAND()&lt;CondReturn,_xlfn.LOGNORM.INV(RAND(),MV2,Sigma1),IF(RAND()&lt;CondGood,_xlfn.LOGNORM.INV(RAND(),MV3,Sigma2),MIN(MaxMultiple,Xm/(1-RAND())^(1/Alpha)))))</f>
        <v>13.652493615829389</v>
      </c>
      <c r="G178" s="19">
        <f ca="1">IF(RAND()&lt;P_Zero,0,IF(RAND()&lt;CondReturn,_xlfn.LOGNORM.INV(RAND(),MV2,Sigma1),IF(RAND()&lt;CondGood,_xlfn.LOGNORM.INV(RAND(),MV3,Sigma2),MIN(MaxMultiple,Xm/(1-RAND())^(1/Alpha)))))</f>
        <v>2.2944550031043471</v>
      </c>
      <c r="H178" s="19">
        <f ca="1">IF(RAND()&lt;P_Zero,0,IF(RAND()&lt;CondReturn,_xlfn.LOGNORM.INV(RAND(),MV2,Sigma1),IF(RAND()&lt;CondGood,_xlfn.LOGNORM.INV(RAND(),MV3,Sigma2),MIN(MaxMultiple,Xm/(1-RAND())^(1/Alpha)))))</f>
        <v>1.0965079010425651</v>
      </c>
      <c r="I178" s="19">
        <f ca="1">IF(RAND()&lt;P_Zero,0,IF(RAND()&lt;CondReturn,_xlfn.LOGNORM.INV(RAND(),MV2,Sigma1),IF(RAND()&lt;CondGood,_xlfn.LOGNORM.INV(RAND(),MV3,Sigma2),MIN(MaxMultiple,Xm/(1-RAND())^(1/Alpha)))))</f>
        <v>0</v>
      </c>
      <c r="J178" s="19">
        <f ca="1">IF(RAND()&lt;P_Zero,0,IF(RAND()&lt;CondReturn,_xlfn.LOGNORM.INV(RAND(),MV2,Sigma1),IF(RAND()&lt;CondGood,_xlfn.LOGNORM.INV(RAND(),MV3,Sigma2),MIN(MaxMultiple,Xm/(1-RAND())^(1/Alpha)))))</f>
        <v>0</v>
      </c>
      <c r="K178" s="19">
        <f ca="1">IF(RAND()&lt;P_Zero,0,IF(RAND()&lt;CondReturn,_xlfn.LOGNORM.INV(RAND(),MV2,Sigma1),IF(RAND()&lt;CondGood,_xlfn.LOGNORM.INV(RAND(),MV3,Sigma2),MIN(MaxMultiple,Xm/(1-RAND())^(1/Alpha)))))</f>
        <v>0.56020848335089535</v>
      </c>
      <c r="L178" s="19">
        <f ca="1">IF(RAND()&lt;P_Zero,0,IF(RAND()&lt;CondReturn,_xlfn.LOGNORM.INV(RAND(),MV2,Sigma1),IF(RAND()&lt;CondGood,_xlfn.LOGNORM.INV(RAND(),MV3,Sigma2),MIN(MaxMultiple,Xm/(1-RAND())^(1/Alpha)))))</f>
        <v>1.2483439236747416</v>
      </c>
      <c r="M178" s="19">
        <f ca="1">IF(RAND()&lt;P_Zero,0,IF(RAND()&lt;CondReturn,_xlfn.LOGNORM.INV(RAND(),MV2,Sigma1),IF(RAND()&lt;CondGood,_xlfn.LOGNORM.INV(RAND(),MV3,Sigma2),MIN(MaxMultiple,Xm/(1-RAND())^(1/Alpha)))))</f>
        <v>0.95699263454199346</v>
      </c>
      <c r="N178" s="19">
        <f ca="1">IF(RAND()&lt;P_Zero,0,IF(RAND()&lt;CondReturn,_xlfn.LOGNORM.INV(RAND(),MV2,Sigma1),IF(RAND()&lt;CondGood,_xlfn.LOGNORM.INV(RAND(),MV3,Sigma2),MIN(MaxMultiple,Xm/(1-RAND())^(1/Alpha)))))</f>
        <v>0.82275674086901773</v>
      </c>
      <c r="O178" s="19">
        <f ca="1">IF(RAND()&lt;P_Zero,0,IF(RAND()&lt;CondReturn,_xlfn.LOGNORM.INV(RAND(),MV2,Sigma1),IF(RAND()&lt;CondGood,_xlfn.LOGNORM.INV(RAND(),MV3,Sigma2),MIN(MaxMultiple,Xm/(1-RAND())^(1/Alpha)))))</f>
        <v>0</v>
      </c>
      <c r="P178" s="19">
        <f ca="1">IF(RAND()&lt;P_Zero,0,IF(RAND()&lt;CondReturn,_xlfn.LOGNORM.INV(RAND(),MV2,Sigma1),IF(RAND()&lt;CondGood,_xlfn.LOGNORM.INV(RAND(),MV3,Sigma2),MIN(MaxMultiple,Xm/(1-RAND())^(1/Alpha)))))</f>
        <v>0.62612823032938658</v>
      </c>
      <c r="Q178" s="19">
        <f ca="1">IF(RAND()&lt;P_Zero,0,IF(RAND()&lt;CondReturn,_xlfn.LOGNORM.INV(RAND(),MV2,Sigma1),IF(RAND()&lt;CondGood,_xlfn.LOGNORM.INV(RAND(),MV3,Sigma2),MIN(MaxMultiple,Xm/(1-RAND())^(1/Alpha)))))</f>
        <v>0</v>
      </c>
      <c r="R178" s="19">
        <f ca="1">IF(RAND()&lt;P_Zero,0,IF(RAND()&lt;CondReturn,_xlfn.LOGNORM.INV(RAND(),MV2,Sigma1),IF(RAND()&lt;CondGood,_xlfn.LOGNORM.INV(RAND(),MV3,Sigma2),MIN(MaxMultiple,Xm/(1-RAND())^(1/Alpha)))))</f>
        <v>0.75143768286397761</v>
      </c>
      <c r="S178" s="19">
        <f ca="1">IF(RAND()&lt;P_Zero,0,IF(RAND()&lt;CondReturn,_xlfn.LOGNORM.INV(RAND(),MV2,Sigma1),IF(RAND()&lt;CondGood,_xlfn.LOGNORM.INV(RAND(),MV3,Sigma2),MIN(MaxMultiple,Xm/(1-RAND())^(1/Alpha)))))</f>
        <v>0</v>
      </c>
      <c r="T178" s="19">
        <f ca="1">IF(RAND()&lt;P_Zero,0,IF(RAND()&lt;CondReturn,_xlfn.LOGNORM.INV(RAND(),MV2,Sigma1),IF(RAND()&lt;CondGood,_xlfn.LOGNORM.INV(RAND(),MV3,Sigma2),MIN(MaxMultiple,Xm/(1-RAND())^(1/Alpha)))))</f>
        <v>1.9423314800716236</v>
      </c>
      <c r="U178" s="19">
        <f ca="1">IF(RAND()&lt;P_Zero,0,IF(RAND()&lt;CondReturn,_xlfn.LOGNORM.INV(RAND(),MV2,Sigma1),IF(RAND()&lt;CondGood,_xlfn.LOGNORM.INV(RAND(),MV3,Sigma2),MIN(MaxMultiple,Xm/(1-RAND())^(1/Alpha)))))</f>
        <v>0</v>
      </c>
      <c r="V178" s="19">
        <f ca="1">IF(RAND()&lt;P_Zero,0,IF(RAND()&lt;CondReturn,_xlfn.LOGNORM.INV(RAND(),MV2,Sigma1),IF(RAND()&lt;CondGood,_xlfn.LOGNORM.INV(RAND(),MV3,Sigma2),MIN(MaxMultiple,Xm/(1-RAND())^(1/Alpha)))))</f>
        <v>1.6688132244225125</v>
      </c>
      <c r="W178" s="19">
        <f ca="1">IF(RAND()&lt;P_Zero,0,IF(RAND()&lt;CondReturn,_xlfn.LOGNORM.INV(RAND(),MV2,Sigma1),IF(RAND()&lt;CondGood,_xlfn.LOGNORM.INV(RAND(),MV3,Sigma2),MIN(MaxMultiple,Xm/(1-RAND())^(1/Alpha)))))</f>
        <v>0</v>
      </c>
      <c r="X178" s="19">
        <f ca="1">IF(RAND()&lt;P_Zero,0,IF(RAND()&lt;CondReturn,_xlfn.LOGNORM.INV(RAND(),MV2,Sigma1),IF(RAND()&lt;CondGood,_xlfn.LOGNORM.INV(RAND(),MV3,Sigma2),MIN(MaxMultiple,Xm/(1-RAND())^(1/Alpha)))))</f>
        <v>0.7858759723721459</v>
      </c>
      <c r="Y178" s="19">
        <f ca="1">IF(RAND()&lt;P_Zero,0,IF(RAND()&lt;CondReturn,_xlfn.LOGNORM.INV(RAND(),MV2,Sigma1),IF(RAND()&lt;CondGood,_xlfn.LOGNORM.INV(RAND(),MV3,Sigma2),MIN(MaxMultiple,Xm/(1-RAND())^(1/Alpha)))))</f>
        <v>0</v>
      </c>
      <c r="Z178" s="19">
        <f ca="1">IF(RAND()&lt;P_Zero,0,IF(RAND()&lt;CondReturn,_xlfn.LOGNORM.INV(RAND(),MV2,Sigma1),IF(RAND()&lt;CondGood,_xlfn.LOGNORM.INV(RAND(),MV3,Sigma2),MIN(MaxMultiple,Xm/(1-RAND())^(1/Alpha)))))</f>
        <v>0.77000856592135214</v>
      </c>
      <c r="AA178" s="19">
        <f ca="1">IF(RAND()&lt;P_Zero,0,IF(RAND()&lt;CondReturn,_xlfn.LOGNORM.INV(RAND(),MV2,Sigma1),IF(RAND()&lt;CondGood,_xlfn.LOGNORM.INV(RAND(),MV3,Sigma2),MIN(MaxMultiple,Xm/(1-RAND())^(1/Alpha)))))</f>
        <v>0</v>
      </c>
      <c r="AB178" s="19">
        <f t="shared" ca="1" si="16"/>
        <v>1.158751550634451</v>
      </c>
      <c r="AC178" s="14">
        <f t="shared" ca="1" si="17"/>
        <v>55620074.430453651</v>
      </c>
      <c r="AD178" s="14">
        <f t="shared" ca="1" si="18"/>
        <v>7620074.4304536507</v>
      </c>
      <c r="AE178" s="14">
        <f t="shared" si="19"/>
        <v>55628399.869093813</v>
      </c>
      <c r="AF178" s="14">
        <f t="shared" ca="1" si="20"/>
        <v>0</v>
      </c>
      <c r="AG178" s="14">
        <f t="shared" ca="1" si="21"/>
        <v>0</v>
      </c>
      <c r="AH178" s="14">
        <f t="shared" ca="1" si="22"/>
        <v>55620074.430453651</v>
      </c>
      <c r="AI178" s="19">
        <f t="shared" ca="1" si="23"/>
        <v>0.92700124050756083</v>
      </c>
    </row>
    <row r="179" spans="2:35" x14ac:dyDescent="0.2">
      <c r="B179" s="1">
        <v>174</v>
      </c>
      <c r="C179" s="19">
        <f ca="1">IF(RAND()&lt;P_Zero,0,IF(RAND()&lt;CondReturn,_xlfn.LOGNORM.INV(RAND(),MV2,Sigma1),IF(RAND()&lt;CondGood,_xlfn.LOGNORM.INV(RAND(),MV3,Sigma2),MIN(MaxMultiple,Xm/(1-RAND())^(1/Alpha)))))</f>
        <v>0</v>
      </c>
      <c r="D179" s="19">
        <f ca="1">IF(RAND()&lt;P_Zero,0,IF(RAND()&lt;CondReturn,_xlfn.LOGNORM.INV(RAND(),MV2,Sigma1),IF(RAND()&lt;CondGood,_xlfn.LOGNORM.INV(RAND(),MV3,Sigma2),MIN(MaxMultiple,Xm/(1-RAND())^(1/Alpha)))))</f>
        <v>10.408237951933113</v>
      </c>
      <c r="E179" s="19">
        <f ca="1">IF(RAND()&lt;P_Zero,0,IF(RAND()&lt;CondReturn,_xlfn.LOGNORM.INV(RAND(),MV2,Sigma1),IF(RAND()&lt;CondGood,_xlfn.LOGNORM.INV(RAND(),MV3,Sigma2),MIN(MaxMultiple,Xm/(1-RAND())^(1/Alpha)))))</f>
        <v>2.6042704413397746</v>
      </c>
      <c r="F179" s="19">
        <f ca="1">IF(RAND()&lt;P_Zero,0,IF(RAND()&lt;CondReturn,_xlfn.LOGNORM.INV(RAND(),MV2,Sigma1),IF(RAND()&lt;CondGood,_xlfn.LOGNORM.INV(RAND(),MV3,Sigma2),MIN(MaxMultiple,Xm/(1-RAND())^(1/Alpha)))))</f>
        <v>0.92740879728358094</v>
      </c>
      <c r="G179" s="19">
        <f ca="1">IF(RAND()&lt;P_Zero,0,IF(RAND()&lt;CondReturn,_xlfn.LOGNORM.INV(RAND(),MV2,Sigma1),IF(RAND()&lt;CondGood,_xlfn.LOGNORM.INV(RAND(),MV3,Sigma2),MIN(MaxMultiple,Xm/(1-RAND())^(1/Alpha)))))</f>
        <v>0.60321845314125044</v>
      </c>
      <c r="H179" s="19">
        <f ca="1">IF(RAND()&lt;P_Zero,0,IF(RAND()&lt;CondReturn,_xlfn.LOGNORM.INV(RAND(),MV2,Sigma1),IF(RAND()&lt;CondGood,_xlfn.LOGNORM.INV(RAND(),MV3,Sigma2),MIN(MaxMultiple,Xm/(1-RAND())^(1/Alpha)))))</f>
        <v>0</v>
      </c>
      <c r="I179" s="19">
        <f ca="1">IF(RAND()&lt;P_Zero,0,IF(RAND()&lt;CondReturn,_xlfn.LOGNORM.INV(RAND(),MV2,Sigma1),IF(RAND()&lt;CondGood,_xlfn.LOGNORM.INV(RAND(),MV3,Sigma2),MIN(MaxMultiple,Xm/(1-RAND())^(1/Alpha)))))</f>
        <v>0.61200611908702807</v>
      </c>
      <c r="J179" s="19">
        <f ca="1">IF(RAND()&lt;P_Zero,0,IF(RAND()&lt;CondReturn,_xlfn.LOGNORM.INV(RAND(),MV2,Sigma1),IF(RAND()&lt;CondGood,_xlfn.LOGNORM.INV(RAND(),MV3,Sigma2),MIN(MaxMultiple,Xm/(1-RAND())^(1/Alpha)))))</f>
        <v>0</v>
      </c>
      <c r="K179" s="19">
        <f ca="1">IF(RAND()&lt;P_Zero,0,IF(RAND()&lt;CondReturn,_xlfn.LOGNORM.INV(RAND(),MV2,Sigma1),IF(RAND()&lt;CondGood,_xlfn.LOGNORM.INV(RAND(),MV3,Sigma2),MIN(MaxMultiple,Xm/(1-RAND())^(1/Alpha)))))</f>
        <v>1.8617133077510299</v>
      </c>
      <c r="L179" s="19">
        <f ca="1">IF(RAND()&lt;P_Zero,0,IF(RAND()&lt;CondReturn,_xlfn.LOGNORM.INV(RAND(),MV2,Sigma1),IF(RAND()&lt;CondGood,_xlfn.LOGNORM.INV(RAND(),MV3,Sigma2),MIN(MaxMultiple,Xm/(1-RAND())^(1/Alpha)))))</f>
        <v>0</v>
      </c>
      <c r="M179" s="19">
        <f ca="1">IF(RAND()&lt;P_Zero,0,IF(RAND()&lt;CondReturn,_xlfn.LOGNORM.INV(RAND(),MV2,Sigma1),IF(RAND()&lt;CondGood,_xlfn.LOGNORM.INV(RAND(),MV3,Sigma2),MIN(MaxMultiple,Xm/(1-RAND())^(1/Alpha)))))</f>
        <v>0.56679281253283542</v>
      </c>
      <c r="N179" s="19">
        <f ca="1">IF(RAND()&lt;P_Zero,0,IF(RAND()&lt;CondReturn,_xlfn.LOGNORM.INV(RAND(),MV2,Sigma1),IF(RAND()&lt;CondGood,_xlfn.LOGNORM.INV(RAND(),MV3,Sigma2),MIN(MaxMultiple,Xm/(1-RAND())^(1/Alpha)))))</f>
        <v>1.2346817576505424</v>
      </c>
      <c r="O179" s="19">
        <f ca="1">IF(RAND()&lt;P_Zero,0,IF(RAND()&lt;CondReturn,_xlfn.LOGNORM.INV(RAND(),MV2,Sigma1),IF(RAND()&lt;CondGood,_xlfn.LOGNORM.INV(RAND(),MV3,Sigma2),MIN(MaxMultiple,Xm/(1-RAND())^(1/Alpha)))))</f>
        <v>1.621764764966436</v>
      </c>
      <c r="P179" s="19">
        <f ca="1">IF(RAND()&lt;P_Zero,0,IF(RAND()&lt;CondReturn,_xlfn.LOGNORM.INV(RAND(),MV2,Sigma1),IF(RAND()&lt;CondGood,_xlfn.LOGNORM.INV(RAND(),MV3,Sigma2),MIN(MaxMultiple,Xm/(1-RAND())^(1/Alpha)))))</f>
        <v>0</v>
      </c>
      <c r="Q179" s="19">
        <f ca="1">IF(RAND()&lt;P_Zero,0,IF(RAND()&lt;CondReturn,_xlfn.LOGNORM.INV(RAND(),MV2,Sigma1),IF(RAND()&lt;CondGood,_xlfn.LOGNORM.INV(RAND(),MV3,Sigma2),MIN(MaxMultiple,Xm/(1-RAND())^(1/Alpha)))))</f>
        <v>0.6047089293066692</v>
      </c>
      <c r="R179" s="19">
        <f ca="1">IF(RAND()&lt;P_Zero,0,IF(RAND()&lt;CondReturn,_xlfn.LOGNORM.INV(RAND(),MV2,Sigma1),IF(RAND()&lt;CondGood,_xlfn.LOGNORM.INV(RAND(),MV3,Sigma2),MIN(MaxMultiple,Xm/(1-RAND())^(1/Alpha)))))</f>
        <v>0</v>
      </c>
      <c r="S179" s="19">
        <f ca="1">IF(RAND()&lt;P_Zero,0,IF(RAND()&lt;CondReturn,_xlfn.LOGNORM.INV(RAND(),MV2,Sigma1),IF(RAND()&lt;CondGood,_xlfn.LOGNORM.INV(RAND(),MV3,Sigma2),MIN(MaxMultiple,Xm/(1-RAND())^(1/Alpha)))))</f>
        <v>1.3702202795274059</v>
      </c>
      <c r="T179" s="19">
        <f ca="1">IF(RAND()&lt;P_Zero,0,IF(RAND()&lt;CondReturn,_xlfn.LOGNORM.INV(RAND(),MV2,Sigma1),IF(RAND()&lt;CondGood,_xlfn.LOGNORM.INV(RAND(),MV3,Sigma2),MIN(MaxMultiple,Xm/(1-RAND())^(1/Alpha)))))</f>
        <v>1.7980231140006528</v>
      </c>
      <c r="U179" s="19">
        <f ca="1">IF(RAND()&lt;P_Zero,0,IF(RAND()&lt;CondReturn,_xlfn.LOGNORM.INV(RAND(),MV2,Sigma1),IF(RAND()&lt;CondGood,_xlfn.LOGNORM.INV(RAND(),MV3,Sigma2),MIN(MaxMultiple,Xm/(1-RAND())^(1/Alpha)))))</f>
        <v>15.023265886186346</v>
      </c>
      <c r="V179" s="19">
        <f ca="1">IF(RAND()&lt;P_Zero,0,IF(RAND()&lt;CondReturn,_xlfn.LOGNORM.INV(RAND(),MV2,Sigma1),IF(RAND()&lt;CondGood,_xlfn.LOGNORM.INV(RAND(),MV3,Sigma2),MIN(MaxMultiple,Xm/(1-RAND())^(1/Alpha)))))</f>
        <v>0.55596663791682488</v>
      </c>
      <c r="W179" s="19">
        <f ca="1">IF(RAND()&lt;P_Zero,0,IF(RAND()&lt;CondReturn,_xlfn.LOGNORM.INV(RAND(),MV2,Sigma1),IF(RAND()&lt;CondGood,_xlfn.LOGNORM.INV(RAND(),MV3,Sigma2),MIN(MaxMultiple,Xm/(1-RAND())^(1/Alpha)))))</f>
        <v>14.850172797516462</v>
      </c>
      <c r="X179" s="19">
        <f ca="1">IF(RAND()&lt;P_Zero,0,IF(RAND()&lt;CondReturn,_xlfn.LOGNORM.INV(RAND(),MV2,Sigma1),IF(RAND()&lt;CondGood,_xlfn.LOGNORM.INV(RAND(),MV3,Sigma2),MIN(MaxMultiple,Xm/(1-RAND())^(1/Alpha)))))</f>
        <v>0.62394352997326341</v>
      </c>
      <c r="Y179" s="19">
        <f ca="1">IF(RAND()&lt;P_Zero,0,IF(RAND()&lt;CondReturn,_xlfn.LOGNORM.INV(RAND(),MV2,Sigma1),IF(RAND()&lt;CondGood,_xlfn.LOGNORM.INV(RAND(),MV3,Sigma2),MIN(MaxMultiple,Xm/(1-RAND())^(1/Alpha)))))</f>
        <v>0</v>
      </c>
      <c r="Z179" s="19">
        <f ca="1">IF(RAND()&lt;P_Zero,0,IF(RAND()&lt;CondReturn,_xlfn.LOGNORM.INV(RAND(),MV2,Sigma1),IF(RAND()&lt;CondGood,_xlfn.LOGNORM.INV(RAND(),MV3,Sigma2),MIN(MaxMultiple,Xm/(1-RAND())^(1/Alpha)))))</f>
        <v>0.94526482152027003</v>
      </c>
      <c r="AA179" s="19">
        <f ca="1">IF(RAND()&lt;P_Zero,0,IF(RAND()&lt;CondReturn,_xlfn.LOGNORM.INV(RAND(),MV2,Sigma1),IF(RAND()&lt;CondGood,_xlfn.LOGNORM.INV(RAND(),MV3,Sigma2),MIN(MaxMultiple,Xm/(1-RAND())^(1/Alpha)))))</f>
        <v>0</v>
      </c>
      <c r="AB179" s="19">
        <f t="shared" ca="1" si="16"/>
        <v>2.2484664160653391</v>
      </c>
      <c r="AC179" s="14">
        <f t="shared" ca="1" si="17"/>
        <v>107926387.97113627</v>
      </c>
      <c r="AD179" s="14">
        <f t="shared" ca="1" si="18"/>
        <v>59926387.971136272</v>
      </c>
      <c r="AE179" s="14">
        <f t="shared" si="19"/>
        <v>55628399.869093813</v>
      </c>
      <c r="AF179" s="14">
        <f t="shared" ca="1" si="20"/>
        <v>4297988.102042459</v>
      </c>
      <c r="AG179" s="14">
        <f t="shared" ca="1" si="21"/>
        <v>859597.62040849181</v>
      </c>
      <c r="AH179" s="14">
        <f t="shared" ca="1" si="22"/>
        <v>107066790.35072778</v>
      </c>
      <c r="AI179" s="19">
        <f t="shared" ca="1" si="23"/>
        <v>1.784446505845463</v>
      </c>
    </row>
    <row r="180" spans="2:35" x14ac:dyDescent="0.2">
      <c r="B180" s="1">
        <v>175</v>
      </c>
      <c r="C180" s="19">
        <f ca="1">IF(RAND()&lt;P_Zero,0,IF(RAND()&lt;CondReturn,_xlfn.LOGNORM.INV(RAND(),MV2,Sigma1),IF(RAND()&lt;CondGood,_xlfn.LOGNORM.INV(RAND(),MV3,Sigma2),MIN(MaxMultiple,Xm/(1-RAND())^(1/Alpha)))))</f>
        <v>0</v>
      </c>
      <c r="D180" s="19">
        <f ca="1">IF(RAND()&lt;P_Zero,0,IF(RAND()&lt;CondReturn,_xlfn.LOGNORM.INV(RAND(),MV2,Sigma1),IF(RAND()&lt;CondGood,_xlfn.LOGNORM.INV(RAND(),MV3,Sigma2),MIN(MaxMultiple,Xm/(1-RAND())^(1/Alpha)))))</f>
        <v>0</v>
      </c>
      <c r="E180" s="19">
        <f ca="1">IF(RAND()&lt;P_Zero,0,IF(RAND()&lt;CondReturn,_xlfn.LOGNORM.INV(RAND(),MV2,Sigma1),IF(RAND()&lt;CondGood,_xlfn.LOGNORM.INV(RAND(),MV3,Sigma2),MIN(MaxMultiple,Xm/(1-RAND())^(1/Alpha)))))</f>
        <v>0</v>
      </c>
      <c r="F180" s="19">
        <f ca="1">IF(RAND()&lt;P_Zero,0,IF(RAND()&lt;CondReturn,_xlfn.LOGNORM.INV(RAND(),MV2,Sigma1),IF(RAND()&lt;CondGood,_xlfn.LOGNORM.INV(RAND(),MV3,Sigma2),MIN(MaxMultiple,Xm/(1-RAND())^(1/Alpha)))))</f>
        <v>0</v>
      </c>
      <c r="G180" s="19">
        <f ca="1">IF(RAND()&lt;P_Zero,0,IF(RAND()&lt;CondReturn,_xlfn.LOGNORM.INV(RAND(),MV2,Sigma1),IF(RAND()&lt;CondGood,_xlfn.LOGNORM.INV(RAND(),MV3,Sigma2),MIN(MaxMultiple,Xm/(1-RAND())^(1/Alpha)))))</f>
        <v>13.294680717843422</v>
      </c>
      <c r="H180" s="19">
        <f ca="1">IF(RAND()&lt;P_Zero,0,IF(RAND()&lt;CondReturn,_xlfn.LOGNORM.INV(RAND(),MV2,Sigma1),IF(RAND()&lt;CondGood,_xlfn.LOGNORM.INV(RAND(),MV3,Sigma2),MIN(MaxMultiple,Xm/(1-RAND())^(1/Alpha)))))</f>
        <v>0</v>
      </c>
      <c r="I180" s="19">
        <f ca="1">IF(RAND()&lt;P_Zero,0,IF(RAND()&lt;CondReturn,_xlfn.LOGNORM.INV(RAND(),MV2,Sigma1),IF(RAND()&lt;CondGood,_xlfn.LOGNORM.INV(RAND(),MV3,Sigma2),MIN(MaxMultiple,Xm/(1-RAND())^(1/Alpha)))))</f>
        <v>0</v>
      </c>
      <c r="J180" s="19">
        <f ca="1">IF(RAND()&lt;P_Zero,0,IF(RAND()&lt;CondReturn,_xlfn.LOGNORM.INV(RAND(),MV2,Sigma1),IF(RAND()&lt;CondGood,_xlfn.LOGNORM.INV(RAND(),MV3,Sigma2),MIN(MaxMultiple,Xm/(1-RAND())^(1/Alpha)))))</f>
        <v>5.0216614461287028</v>
      </c>
      <c r="K180" s="19">
        <f ca="1">IF(RAND()&lt;P_Zero,0,IF(RAND()&lt;CondReturn,_xlfn.LOGNORM.INV(RAND(),MV2,Sigma1),IF(RAND()&lt;CondGood,_xlfn.LOGNORM.INV(RAND(),MV3,Sigma2),MIN(MaxMultiple,Xm/(1-RAND())^(1/Alpha)))))</f>
        <v>0.94382993047681363</v>
      </c>
      <c r="L180" s="19">
        <f ca="1">IF(RAND()&lt;P_Zero,0,IF(RAND()&lt;CondReturn,_xlfn.LOGNORM.INV(RAND(),MV2,Sigma1),IF(RAND()&lt;CondGood,_xlfn.LOGNORM.INV(RAND(),MV3,Sigma2),MIN(MaxMultiple,Xm/(1-RAND())^(1/Alpha)))))</f>
        <v>0</v>
      </c>
      <c r="M180" s="19">
        <f ca="1">IF(RAND()&lt;P_Zero,0,IF(RAND()&lt;CondReturn,_xlfn.LOGNORM.INV(RAND(),MV2,Sigma1),IF(RAND()&lt;CondGood,_xlfn.LOGNORM.INV(RAND(),MV3,Sigma2),MIN(MaxMultiple,Xm/(1-RAND())^(1/Alpha)))))</f>
        <v>0</v>
      </c>
      <c r="N180" s="19">
        <f ca="1">IF(RAND()&lt;P_Zero,0,IF(RAND()&lt;CondReturn,_xlfn.LOGNORM.INV(RAND(),MV2,Sigma1),IF(RAND()&lt;CondGood,_xlfn.LOGNORM.INV(RAND(),MV3,Sigma2),MIN(MaxMultiple,Xm/(1-RAND())^(1/Alpha)))))</f>
        <v>0.61063515756116427</v>
      </c>
      <c r="O180" s="19">
        <f ca="1">IF(RAND()&lt;P_Zero,0,IF(RAND()&lt;CondReturn,_xlfn.LOGNORM.INV(RAND(),MV2,Sigma1),IF(RAND()&lt;CondGood,_xlfn.LOGNORM.INV(RAND(),MV3,Sigma2),MIN(MaxMultiple,Xm/(1-RAND())^(1/Alpha)))))</f>
        <v>2.5122320678283052</v>
      </c>
      <c r="P180" s="19">
        <f ca="1">IF(RAND()&lt;P_Zero,0,IF(RAND()&lt;CondReturn,_xlfn.LOGNORM.INV(RAND(),MV2,Sigma1),IF(RAND()&lt;CondGood,_xlfn.LOGNORM.INV(RAND(),MV3,Sigma2),MIN(MaxMultiple,Xm/(1-RAND())^(1/Alpha)))))</f>
        <v>0.84198798092074578</v>
      </c>
      <c r="Q180" s="19">
        <f ca="1">IF(RAND()&lt;P_Zero,0,IF(RAND()&lt;CondReturn,_xlfn.LOGNORM.INV(RAND(),MV2,Sigma1),IF(RAND()&lt;CondGood,_xlfn.LOGNORM.INV(RAND(),MV3,Sigma2),MIN(MaxMultiple,Xm/(1-RAND())^(1/Alpha)))))</f>
        <v>1.1097446584190804</v>
      </c>
      <c r="R180" s="19">
        <f ca="1">IF(RAND()&lt;P_Zero,0,IF(RAND()&lt;CondReturn,_xlfn.LOGNORM.INV(RAND(),MV2,Sigma1),IF(RAND()&lt;CondGood,_xlfn.LOGNORM.INV(RAND(),MV3,Sigma2),MIN(MaxMultiple,Xm/(1-RAND())^(1/Alpha)))))</f>
        <v>0.86342662023281158</v>
      </c>
      <c r="S180" s="19">
        <f ca="1">IF(RAND()&lt;P_Zero,0,IF(RAND()&lt;CondReturn,_xlfn.LOGNORM.INV(RAND(),MV2,Sigma1),IF(RAND()&lt;CondGood,_xlfn.LOGNORM.INV(RAND(),MV3,Sigma2),MIN(MaxMultiple,Xm/(1-RAND())^(1/Alpha)))))</f>
        <v>0.88511569005475077</v>
      </c>
      <c r="T180" s="19">
        <f ca="1">IF(RAND()&lt;P_Zero,0,IF(RAND()&lt;CondReturn,_xlfn.LOGNORM.INV(RAND(),MV2,Sigma1),IF(RAND()&lt;CondGood,_xlfn.LOGNORM.INV(RAND(),MV3,Sigma2),MIN(MaxMultiple,Xm/(1-RAND())^(1/Alpha)))))</f>
        <v>0.81040669875655102</v>
      </c>
      <c r="U180" s="19">
        <f ca="1">IF(RAND()&lt;P_Zero,0,IF(RAND()&lt;CondReturn,_xlfn.LOGNORM.INV(RAND(),MV2,Sigma1),IF(RAND()&lt;CondGood,_xlfn.LOGNORM.INV(RAND(),MV3,Sigma2),MIN(MaxMultiple,Xm/(1-RAND())^(1/Alpha)))))</f>
        <v>1.0300245990150041</v>
      </c>
      <c r="V180" s="19">
        <f ca="1">IF(RAND()&lt;P_Zero,0,IF(RAND()&lt;CondReturn,_xlfn.LOGNORM.INV(RAND(),MV2,Sigma1),IF(RAND()&lt;CondGood,_xlfn.LOGNORM.INV(RAND(),MV3,Sigma2),MIN(MaxMultiple,Xm/(1-RAND())^(1/Alpha)))))</f>
        <v>0</v>
      </c>
      <c r="W180" s="19">
        <f ca="1">IF(RAND()&lt;P_Zero,0,IF(RAND()&lt;CondReturn,_xlfn.LOGNORM.INV(RAND(),MV2,Sigma1),IF(RAND()&lt;CondGood,_xlfn.LOGNORM.INV(RAND(),MV3,Sigma2),MIN(MaxMultiple,Xm/(1-RAND())^(1/Alpha)))))</f>
        <v>0.73936658201021532</v>
      </c>
      <c r="X180" s="19">
        <f ca="1">IF(RAND()&lt;P_Zero,0,IF(RAND()&lt;CondReturn,_xlfn.LOGNORM.INV(RAND(),MV2,Sigma1),IF(RAND()&lt;CondGood,_xlfn.LOGNORM.INV(RAND(),MV3,Sigma2),MIN(MaxMultiple,Xm/(1-RAND())^(1/Alpha)))))</f>
        <v>12.58681337138664</v>
      </c>
      <c r="Y180" s="19">
        <f ca="1">IF(RAND()&lt;P_Zero,0,IF(RAND()&lt;CondReturn,_xlfn.LOGNORM.INV(RAND(),MV2,Sigma1),IF(RAND()&lt;CondGood,_xlfn.LOGNORM.INV(RAND(),MV3,Sigma2),MIN(MaxMultiple,Xm/(1-RAND())^(1/Alpha)))))</f>
        <v>1.3633834485513758</v>
      </c>
      <c r="Z180" s="19">
        <f ca="1">IF(RAND()&lt;P_Zero,0,IF(RAND()&lt;CondReturn,_xlfn.LOGNORM.INV(RAND(),MV2,Sigma1),IF(RAND()&lt;CondGood,_xlfn.LOGNORM.INV(RAND(),MV3,Sigma2),MIN(MaxMultiple,Xm/(1-RAND())^(1/Alpha)))))</f>
        <v>3.1242397563120048</v>
      </c>
      <c r="AA180" s="19">
        <f ca="1">IF(RAND()&lt;P_Zero,0,IF(RAND()&lt;CondReturn,_xlfn.LOGNORM.INV(RAND(),MV2,Sigma1),IF(RAND()&lt;CondGood,_xlfn.LOGNORM.INV(RAND(),MV3,Sigma2),MIN(MaxMultiple,Xm/(1-RAND())^(1/Alpha)))))</f>
        <v>1.1595891407491954</v>
      </c>
      <c r="AB180" s="19">
        <f t="shared" ca="1" si="16"/>
        <v>1.8758855146498714</v>
      </c>
      <c r="AC180" s="14">
        <f t="shared" ca="1" si="17"/>
        <v>90042504.703193828</v>
      </c>
      <c r="AD180" s="14">
        <f t="shared" ca="1" si="18"/>
        <v>42042504.703193828</v>
      </c>
      <c r="AE180" s="14">
        <f t="shared" si="19"/>
        <v>55628399.869093813</v>
      </c>
      <c r="AF180" s="14">
        <f t="shared" ca="1" si="20"/>
        <v>0</v>
      </c>
      <c r="AG180" s="14">
        <f t="shared" ca="1" si="21"/>
        <v>0</v>
      </c>
      <c r="AH180" s="14">
        <f t="shared" ca="1" si="22"/>
        <v>90042504.703193828</v>
      </c>
      <c r="AI180" s="19">
        <f t="shared" ca="1" si="23"/>
        <v>1.5007084117198972</v>
      </c>
    </row>
    <row r="181" spans="2:35" x14ac:dyDescent="0.2">
      <c r="B181" s="1">
        <v>176</v>
      </c>
      <c r="C181" s="19">
        <f ca="1">IF(RAND()&lt;P_Zero,0,IF(RAND()&lt;CondReturn,_xlfn.LOGNORM.INV(RAND(),MV2,Sigma1),IF(RAND()&lt;CondGood,_xlfn.LOGNORM.INV(RAND(),MV3,Sigma2),MIN(MaxMultiple,Xm/(1-RAND())^(1/Alpha)))))</f>
        <v>0.35522059144313128</v>
      </c>
      <c r="D181" s="19">
        <f ca="1">IF(RAND()&lt;P_Zero,0,IF(RAND()&lt;CondReturn,_xlfn.LOGNORM.INV(RAND(),MV2,Sigma1),IF(RAND()&lt;CondGood,_xlfn.LOGNORM.INV(RAND(),MV3,Sigma2),MIN(MaxMultiple,Xm/(1-RAND())^(1/Alpha)))))</f>
        <v>1.3163297551639548</v>
      </c>
      <c r="E181" s="19">
        <f ca="1">IF(RAND()&lt;P_Zero,0,IF(RAND()&lt;CondReturn,_xlfn.LOGNORM.INV(RAND(),MV2,Sigma1),IF(RAND()&lt;CondGood,_xlfn.LOGNORM.INV(RAND(),MV3,Sigma2),MIN(MaxMultiple,Xm/(1-RAND())^(1/Alpha)))))</f>
        <v>0</v>
      </c>
      <c r="F181" s="19">
        <f ca="1">IF(RAND()&lt;P_Zero,0,IF(RAND()&lt;CondReturn,_xlfn.LOGNORM.INV(RAND(),MV2,Sigma1),IF(RAND()&lt;CondGood,_xlfn.LOGNORM.INV(RAND(),MV3,Sigma2),MIN(MaxMultiple,Xm/(1-RAND())^(1/Alpha)))))</f>
        <v>0</v>
      </c>
      <c r="G181" s="19">
        <f ca="1">IF(RAND()&lt;P_Zero,0,IF(RAND()&lt;CondReturn,_xlfn.LOGNORM.INV(RAND(),MV2,Sigma1),IF(RAND()&lt;CondGood,_xlfn.LOGNORM.INV(RAND(),MV3,Sigma2),MIN(MaxMultiple,Xm/(1-RAND())^(1/Alpha)))))</f>
        <v>0</v>
      </c>
      <c r="H181" s="19">
        <f ca="1">IF(RAND()&lt;P_Zero,0,IF(RAND()&lt;CondReturn,_xlfn.LOGNORM.INV(RAND(),MV2,Sigma1),IF(RAND()&lt;CondGood,_xlfn.LOGNORM.INV(RAND(),MV3,Sigma2),MIN(MaxMultiple,Xm/(1-RAND())^(1/Alpha)))))</f>
        <v>0.87185136265011476</v>
      </c>
      <c r="I181" s="19">
        <f ca="1">IF(RAND()&lt;P_Zero,0,IF(RAND()&lt;CondReturn,_xlfn.LOGNORM.INV(RAND(),MV2,Sigma1),IF(RAND()&lt;CondGood,_xlfn.LOGNORM.INV(RAND(),MV3,Sigma2),MIN(MaxMultiple,Xm/(1-RAND())^(1/Alpha)))))</f>
        <v>0</v>
      </c>
      <c r="J181" s="19">
        <f ca="1">IF(RAND()&lt;P_Zero,0,IF(RAND()&lt;CondReturn,_xlfn.LOGNORM.INV(RAND(),MV2,Sigma1),IF(RAND()&lt;CondGood,_xlfn.LOGNORM.INV(RAND(),MV3,Sigma2),MIN(MaxMultiple,Xm/(1-RAND())^(1/Alpha)))))</f>
        <v>0.65724717846448932</v>
      </c>
      <c r="K181" s="19">
        <f ca="1">IF(RAND()&lt;P_Zero,0,IF(RAND()&lt;CondReturn,_xlfn.LOGNORM.INV(RAND(),MV2,Sigma1),IF(RAND()&lt;CondGood,_xlfn.LOGNORM.INV(RAND(),MV3,Sigma2),MIN(MaxMultiple,Xm/(1-RAND())^(1/Alpha)))))</f>
        <v>1.8538992837523012</v>
      </c>
      <c r="L181" s="19">
        <f ca="1">IF(RAND()&lt;P_Zero,0,IF(RAND()&lt;CondReturn,_xlfn.LOGNORM.INV(RAND(),MV2,Sigma1),IF(RAND()&lt;CondGood,_xlfn.LOGNORM.INV(RAND(),MV3,Sigma2),MIN(MaxMultiple,Xm/(1-RAND())^(1/Alpha)))))</f>
        <v>0</v>
      </c>
      <c r="M181" s="19">
        <f ca="1">IF(RAND()&lt;P_Zero,0,IF(RAND()&lt;CondReturn,_xlfn.LOGNORM.INV(RAND(),MV2,Sigma1),IF(RAND()&lt;CondGood,_xlfn.LOGNORM.INV(RAND(),MV3,Sigma2),MIN(MaxMultiple,Xm/(1-RAND())^(1/Alpha)))))</f>
        <v>0</v>
      </c>
      <c r="N181" s="19">
        <f ca="1">IF(RAND()&lt;P_Zero,0,IF(RAND()&lt;CondReturn,_xlfn.LOGNORM.INV(RAND(),MV2,Sigma1),IF(RAND()&lt;CondGood,_xlfn.LOGNORM.INV(RAND(),MV3,Sigma2),MIN(MaxMultiple,Xm/(1-RAND())^(1/Alpha)))))</f>
        <v>1.1068570838391329</v>
      </c>
      <c r="O181" s="19">
        <f ca="1">IF(RAND()&lt;P_Zero,0,IF(RAND()&lt;CondReturn,_xlfn.LOGNORM.INV(RAND(),MV2,Sigma1),IF(RAND()&lt;CondGood,_xlfn.LOGNORM.INV(RAND(),MV3,Sigma2),MIN(MaxMultiple,Xm/(1-RAND())^(1/Alpha)))))</f>
        <v>2.3485176687399711</v>
      </c>
      <c r="P181" s="19">
        <f ca="1">IF(RAND()&lt;P_Zero,0,IF(RAND()&lt;CondReturn,_xlfn.LOGNORM.INV(RAND(),MV2,Sigma1),IF(RAND()&lt;CondGood,_xlfn.LOGNORM.INV(RAND(),MV3,Sigma2),MIN(MaxMultiple,Xm/(1-RAND())^(1/Alpha)))))</f>
        <v>0.667252473256427</v>
      </c>
      <c r="Q181" s="19">
        <f ca="1">IF(RAND()&lt;P_Zero,0,IF(RAND()&lt;CondReturn,_xlfn.LOGNORM.INV(RAND(),MV2,Sigma1),IF(RAND()&lt;CondGood,_xlfn.LOGNORM.INV(RAND(),MV3,Sigma2),MIN(MaxMultiple,Xm/(1-RAND())^(1/Alpha)))))</f>
        <v>13.900578916291957</v>
      </c>
      <c r="R181" s="19">
        <f ca="1">IF(RAND()&lt;P_Zero,0,IF(RAND()&lt;CondReturn,_xlfn.LOGNORM.INV(RAND(),MV2,Sigma1),IF(RAND()&lt;CondGood,_xlfn.LOGNORM.INV(RAND(),MV3,Sigma2),MIN(MaxMultiple,Xm/(1-RAND())^(1/Alpha)))))</f>
        <v>0</v>
      </c>
      <c r="S181" s="19">
        <f ca="1">IF(RAND()&lt;P_Zero,0,IF(RAND()&lt;CondReturn,_xlfn.LOGNORM.INV(RAND(),MV2,Sigma1),IF(RAND()&lt;CondGood,_xlfn.LOGNORM.INV(RAND(),MV3,Sigma2),MIN(MaxMultiple,Xm/(1-RAND())^(1/Alpha)))))</f>
        <v>0</v>
      </c>
      <c r="T181" s="19">
        <f ca="1">IF(RAND()&lt;P_Zero,0,IF(RAND()&lt;CondReturn,_xlfn.LOGNORM.INV(RAND(),MV2,Sigma1),IF(RAND()&lt;CondGood,_xlfn.LOGNORM.INV(RAND(),MV3,Sigma2),MIN(MaxMultiple,Xm/(1-RAND())^(1/Alpha)))))</f>
        <v>0</v>
      </c>
      <c r="U181" s="19">
        <f ca="1">IF(RAND()&lt;P_Zero,0,IF(RAND()&lt;CondReturn,_xlfn.LOGNORM.INV(RAND(),MV2,Sigma1),IF(RAND()&lt;CondGood,_xlfn.LOGNORM.INV(RAND(),MV3,Sigma2),MIN(MaxMultiple,Xm/(1-RAND())^(1/Alpha)))))</f>
        <v>1.3374999304427653</v>
      </c>
      <c r="V181" s="19">
        <f ca="1">IF(RAND()&lt;P_Zero,0,IF(RAND()&lt;CondReturn,_xlfn.LOGNORM.INV(RAND(),MV2,Sigma1),IF(RAND()&lt;CondGood,_xlfn.LOGNORM.INV(RAND(),MV3,Sigma2),MIN(MaxMultiple,Xm/(1-RAND())^(1/Alpha)))))</f>
        <v>0</v>
      </c>
      <c r="W181" s="19">
        <f ca="1">IF(RAND()&lt;P_Zero,0,IF(RAND()&lt;CondReturn,_xlfn.LOGNORM.INV(RAND(),MV2,Sigma1),IF(RAND()&lt;CondGood,_xlfn.LOGNORM.INV(RAND(),MV3,Sigma2),MIN(MaxMultiple,Xm/(1-RAND())^(1/Alpha)))))</f>
        <v>0</v>
      </c>
      <c r="X181" s="19">
        <f ca="1">IF(RAND()&lt;P_Zero,0,IF(RAND()&lt;CondReturn,_xlfn.LOGNORM.INV(RAND(),MV2,Sigma1),IF(RAND()&lt;CondGood,_xlfn.LOGNORM.INV(RAND(),MV3,Sigma2),MIN(MaxMultiple,Xm/(1-RAND())^(1/Alpha)))))</f>
        <v>0</v>
      </c>
      <c r="Y181" s="19">
        <f ca="1">IF(RAND()&lt;P_Zero,0,IF(RAND()&lt;CondReturn,_xlfn.LOGNORM.INV(RAND(),MV2,Sigma1),IF(RAND()&lt;CondGood,_xlfn.LOGNORM.INV(RAND(),MV3,Sigma2),MIN(MaxMultiple,Xm/(1-RAND())^(1/Alpha)))))</f>
        <v>0.58929124044558923</v>
      </c>
      <c r="Z181" s="19">
        <f ca="1">IF(RAND()&lt;P_Zero,0,IF(RAND()&lt;CondReturn,_xlfn.LOGNORM.INV(RAND(),MV2,Sigma1),IF(RAND()&lt;CondGood,_xlfn.LOGNORM.INV(RAND(),MV3,Sigma2),MIN(MaxMultiple,Xm/(1-RAND())^(1/Alpha)))))</f>
        <v>0.96774964471050084</v>
      </c>
      <c r="AA181" s="19">
        <f ca="1">IF(RAND()&lt;P_Zero,0,IF(RAND()&lt;CondReturn,_xlfn.LOGNORM.INV(RAND(),MV2,Sigma1),IF(RAND()&lt;CondGood,_xlfn.LOGNORM.INV(RAND(),MV3,Sigma2),MIN(MaxMultiple,Xm/(1-RAND())^(1/Alpha)))))</f>
        <v>0.65054361248951775</v>
      </c>
      <c r="AB181" s="19">
        <f t="shared" ca="1" si="16"/>
        <v>1.0649135496675941</v>
      </c>
      <c r="AC181" s="14">
        <f t="shared" ca="1" si="17"/>
        <v>51115850.384044521</v>
      </c>
      <c r="AD181" s="14">
        <f t="shared" ca="1" si="18"/>
        <v>3115850.3840445206</v>
      </c>
      <c r="AE181" s="14">
        <f t="shared" si="19"/>
        <v>55628399.869093813</v>
      </c>
      <c r="AF181" s="14">
        <f t="shared" ca="1" si="20"/>
        <v>0</v>
      </c>
      <c r="AG181" s="14">
        <f t="shared" ca="1" si="21"/>
        <v>0</v>
      </c>
      <c r="AH181" s="14">
        <f t="shared" ca="1" si="22"/>
        <v>51115850.384044521</v>
      </c>
      <c r="AI181" s="19">
        <f t="shared" ca="1" si="23"/>
        <v>0.85193083973407535</v>
      </c>
    </row>
    <row r="182" spans="2:35" x14ac:dyDescent="0.2">
      <c r="B182" s="1">
        <v>177</v>
      </c>
      <c r="C182" s="19">
        <f ca="1">IF(RAND()&lt;P_Zero,0,IF(RAND()&lt;CondReturn,_xlfn.LOGNORM.INV(RAND(),MV2,Sigma1),IF(RAND()&lt;CondGood,_xlfn.LOGNORM.INV(RAND(),MV3,Sigma2),MIN(MaxMultiple,Xm/(1-RAND())^(1/Alpha)))))</f>
        <v>0</v>
      </c>
      <c r="D182" s="19">
        <f ca="1">IF(RAND()&lt;P_Zero,0,IF(RAND()&lt;CondReturn,_xlfn.LOGNORM.INV(RAND(),MV2,Sigma1),IF(RAND()&lt;CondGood,_xlfn.LOGNORM.INV(RAND(),MV3,Sigma2),MIN(MaxMultiple,Xm/(1-RAND())^(1/Alpha)))))</f>
        <v>18.66124328120145</v>
      </c>
      <c r="E182" s="19">
        <f ca="1">IF(RAND()&lt;P_Zero,0,IF(RAND()&lt;CondReturn,_xlfn.LOGNORM.INV(RAND(),MV2,Sigma1),IF(RAND()&lt;CondGood,_xlfn.LOGNORM.INV(RAND(),MV3,Sigma2),MIN(MaxMultiple,Xm/(1-RAND())^(1/Alpha)))))</f>
        <v>0</v>
      </c>
      <c r="F182" s="19">
        <f ca="1">IF(RAND()&lt;P_Zero,0,IF(RAND()&lt;CondReturn,_xlfn.LOGNORM.INV(RAND(),MV2,Sigma1),IF(RAND()&lt;CondGood,_xlfn.LOGNORM.INV(RAND(),MV3,Sigma2),MIN(MaxMultiple,Xm/(1-RAND())^(1/Alpha)))))</f>
        <v>0</v>
      </c>
      <c r="G182" s="19">
        <f ca="1">IF(RAND()&lt;P_Zero,0,IF(RAND()&lt;CondReturn,_xlfn.LOGNORM.INV(RAND(),MV2,Sigma1),IF(RAND()&lt;CondGood,_xlfn.LOGNORM.INV(RAND(),MV3,Sigma2),MIN(MaxMultiple,Xm/(1-RAND())^(1/Alpha)))))</f>
        <v>0</v>
      </c>
      <c r="H182" s="19">
        <f ca="1">IF(RAND()&lt;P_Zero,0,IF(RAND()&lt;CondReturn,_xlfn.LOGNORM.INV(RAND(),MV2,Sigma1),IF(RAND()&lt;CondGood,_xlfn.LOGNORM.INV(RAND(),MV3,Sigma2),MIN(MaxMultiple,Xm/(1-RAND())^(1/Alpha)))))</f>
        <v>0.85058606492821376</v>
      </c>
      <c r="I182" s="19">
        <f ca="1">IF(RAND()&lt;P_Zero,0,IF(RAND()&lt;CondReturn,_xlfn.LOGNORM.INV(RAND(),MV2,Sigma1),IF(RAND()&lt;CondGood,_xlfn.LOGNORM.INV(RAND(),MV3,Sigma2),MIN(MaxMultiple,Xm/(1-RAND())^(1/Alpha)))))</f>
        <v>0</v>
      </c>
      <c r="J182" s="19">
        <f ca="1">IF(RAND()&lt;P_Zero,0,IF(RAND()&lt;CondReturn,_xlfn.LOGNORM.INV(RAND(),MV2,Sigma1),IF(RAND()&lt;CondGood,_xlfn.LOGNORM.INV(RAND(),MV3,Sigma2),MIN(MaxMultiple,Xm/(1-RAND())^(1/Alpha)))))</f>
        <v>0.91371378537409442</v>
      </c>
      <c r="K182" s="19">
        <f ca="1">IF(RAND()&lt;P_Zero,0,IF(RAND()&lt;CondReturn,_xlfn.LOGNORM.INV(RAND(),MV2,Sigma1),IF(RAND()&lt;CondGood,_xlfn.LOGNORM.INV(RAND(),MV3,Sigma2),MIN(MaxMultiple,Xm/(1-RAND())^(1/Alpha)))))</f>
        <v>0</v>
      </c>
      <c r="L182" s="19">
        <f ca="1">IF(RAND()&lt;P_Zero,0,IF(RAND()&lt;CondReturn,_xlfn.LOGNORM.INV(RAND(),MV2,Sigma1),IF(RAND()&lt;CondGood,_xlfn.LOGNORM.INV(RAND(),MV3,Sigma2),MIN(MaxMultiple,Xm/(1-RAND())^(1/Alpha)))))</f>
        <v>1.0684089737359448</v>
      </c>
      <c r="M182" s="19">
        <f ca="1">IF(RAND()&lt;P_Zero,0,IF(RAND()&lt;CondReturn,_xlfn.LOGNORM.INV(RAND(),MV2,Sigma1),IF(RAND()&lt;CondGood,_xlfn.LOGNORM.INV(RAND(),MV3,Sigma2),MIN(MaxMultiple,Xm/(1-RAND())^(1/Alpha)))))</f>
        <v>1.1009598424795397</v>
      </c>
      <c r="N182" s="19">
        <f ca="1">IF(RAND()&lt;P_Zero,0,IF(RAND()&lt;CondReturn,_xlfn.LOGNORM.INV(RAND(),MV2,Sigma1),IF(RAND()&lt;CondGood,_xlfn.LOGNORM.INV(RAND(),MV3,Sigma2),MIN(MaxMultiple,Xm/(1-RAND())^(1/Alpha)))))</f>
        <v>1.4338164356954564</v>
      </c>
      <c r="O182" s="19">
        <f ca="1">IF(RAND()&lt;P_Zero,0,IF(RAND()&lt;CondReturn,_xlfn.LOGNORM.INV(RAND(),MV2,Sigma1),IF(RAND()&lt;CondGood,_xlfn.LOGNORM.INV(RAND(),MV3,Sigma2),MIN(MaxMultiple,Xm/(1-RAND())^(1/Alpha)))))</f>
        <v>0</v>
      </c>
      <c r="P182" s="19">
        <f ca="1">IF(RAND()&lt;P_Zero,0,IF(RAND()&lt;CondReturn,_xlfn.LOGNORM.INV(RAND(),MV2,Sigma1),IF(RAND()&lt;CondGood,_xlfn.LOGNORM.INV(RAND(),MV3,Sigma2),MIN(MaxMultiple,Xm/(1-RAND())^(1/Alpha)))))</f>
        <v>0</v>
      </c>
      <c r="Q182" s="19">
        <f ca="1">IF(RAND()&lt;P_Zero,0,IF(RAND()&lt;CondReturn,_xlfn.LOGNORM.INV(RAND(),MV2,Sigma1),IF(RAND()&lt;CondGood,_xlfn.LOGNORM.INV(RAND(),MV3,Sigma2),MIN(MaxMultiple,Xm/(1-RAND())^(1/Alpha)))))</f>
        <v>0</v>
      </c>
      <c r="R182" s="19">
        <f ca="1">IF(RAND()&lt;P_Zero,0,IF(RAND()&lt;CondReturn,_xlfn.LOGNORM.INV(RAND(),MV2,Sigma1),IF(RAND()&lt;CondGood,_xlfn.LOGNORM.INV(RAND(),MV3,Sigma2),MIN(MaxMultiple,Xm/(1-RAND())^(1/Alpha)))))</f>
        <v>1.0902584314101027</v>
      </c>
      <c r="S182" s="19">
        <f ca="1">IF(RAND()&lt;P_Zero,0,IF(RAND()&lt;CondReturn,_xlfn.LOGNORM.INV(RAND(),MV2,Sigma1),IF(RAND()&lt;CondGood,_xlfn.LOGNORM.INV(RAND(),MV3,Sigma2),MIN(MaxMultiple,Xm/(1-RAND())^(1/Alpha)))))</f>
        <v>0.74350989973073411</v>
      </c>
      <c r="T182" s="19">
        <f ca="1">IF(RAND()&lt;P_Zero,0,IF(RAND()&lt;CondReturn,_xlfn.LOGNORM.INV(RAND(),MV2,Sigma1),IF(RAND()&lt;CondGood,_xlfn.LOGNORM.INV(RAND(),MV3,Sigma2),MIN(MaxMultiple,Xm/(1-RAND())^(1/Alpha)))))</f>
        <v>1.0181056071317487</v>
      </c>
      <c r="U182" s="19">
        <f ca="1">IF(RAND()&lt;P_Zero,0,IF(RAND()&lt;CondReturn,_xlfn.LOGNORM.INV(RAND(),MV2,Sigma1),IF(RAND()&lt;CondGood,_xlfn.LOGNORM.INV(RAND(),MV3,Sigma2),MIN(MaxMultiple,Xm/(1-RAND())^(1/Alpha)))))</f>
        <v>16.199843866442301</v>
      </c>
      <c r="V182" s="19">
        <f ca="1">IF(RAND()&lt;P_Zero,0,IF(RAND()&lt;CondReturn,_xlfn.LOGNORM.INV(RAND(),MV2,Sigma1),IF(RAND()&lt;CondGood,_xlfn.LOGNORM.INV(RAND(),MV3,Sigma2),MIN(MaxMultiple,Xm/(1-RAND())^(1/Alpha)))))</f>
        <v>0</v>
      </c>
      <c r="W182" s="19">
        <f ca="1">IF(RAND()&lt;P_Zero,0,IF(RAND()&lt;CondReturn,_xlfn.LOGNORM.INV(RAND(),MV2,Sigma1),IF(RAND()&lt;CondGood,_xlfn.LOGNORM.INV(RAND(),MV3,Sigma2),MIN(MaxMultiple,Xm/(1-RAND())^(1/Alpha)))))</f>
        <v>0.90675949883406159</v>
      </c>
      <c r="X182" s="19">
        <f ca="1">IF(RAND()&lt;P_Zero,0,IF(RAND()&lt;CondReturn,_xlfn.LOGNORM.INV(RAND(),MV2,Sigma1),IF(RAND()&lt;CondGood,_xlfn.LOGNORM.INV(RAND(),MV3,Sigma2),MIN(MaxMultiple,Xm/(1-RAND())^(1/Alpha)))))</f>
        <v>0.98004682174244295</v>
      </c>
      <c r="Y182" s="19">
        <f ca="1">IF(RAND()&lt;P_Zero,0,IF(RAND()&lt;CondReturn,_xlfn.LOGNORM.INV(RAND(),MV2,Sigma1),IF(RAND()&lt;CondGood,_xlfn.LOGNORM.INV(RAND(),MV3,Sigma2),MIN(MaxMultiple,Xm/(1-RAND())^(1/Alpha)))))</f>
        <v>0</v>
      </c>
      <c r="Z182" s="19">
        <f ca="1">IF(RAND()&lt;P_Zero,0,IF(RAND()&lt;CondReturn,_xlfn.LOGNORM.INV(RAND(),MV2,Sigma1),IF(RAND()&lt;CondGood,_xlfn.LOGNORM.INV(RAND(),MV3,Sigma2),MIN(MaxMultiple,Xm/(1-RAND())^(1/Alpha)))))</f>
        <v>0</v>
      </c>
      <c r="AA182" s="19">
        <f ca="1">IF(RAND()&lt;P_Zero,0,IF(RAND()&lt;CondReturn,_xlfn.LOGNORM.INV(RAND(),MV2,Sigma1),IF(RAND()&lt;CondGood,_xlfn.LOGNORM.INV(RAND(),MV3,Sigma2),MIN(MaxMultiple,Xm/(1-RAND())^(1/Alpha)))))</f>
        <v>0</v>
      </c>
      <c r="AB182" s="19">
        <f t="shared" ca="1" si="16"/>
        <v>1.7986901003482436</v>
      </c>
      <c r="AC182" s="14">
        <f t="shared" ca="1" si="17"/>
        <v>86337124.816715688</v>
      </c>
      <c r="AD182" s="14">
        <f t="shared" ca="1" si="18"/>
        <v>38337124.816715688</v>
      </c>
      <c r="AE182" s="14">
        <f t="shared" si="19"/>
        <v>55628399.869093813</v>
      </c>
      <c r="AF182" s="14">
        <f t="shared" ca="1" si="20"/>
        <v>0</v>
      </c>
      <c r="AG182" s="14">
        <f t="shared" ca="1" si="21"/>
        <v>0</v>
      </c>
      <c r="AH182" s="14">
        <f t="shared" ca="1" si="22"/>
        <v>86337124.816715688</v>
      </c>
      <c r="AI182" s="19">
        <f t="shared" ca="1" si="23"/>
        <v>1.4389520802785949</v>
      </c>
    </row>
    <row r="183" spans="2:35" x14ac:dyDescent="0.2">
      <c r="B183" s="1">
        <v>178</v>
      </c>
      <c r="C183" s="19">
        <f ca="1">IF(RAND()&lt;P_Zero,0,IF(RAND()&lt;CondReturn,_xlfn.LOGNORM.INV(RAND(),MV2,Sigma1),IF(RAND()&lt;CondGood,_xlfn.LOGNORM.INV(RAND(),MV3,Sigma2),MIN(MaxMultiple,Xm/(1-RAND())^(1/Alpha)))))</f>
        <v>1.1940120094958193</v>
      </c>
      <c r="D183" s="19">
        <f ca="1">IF(RAND()&lt;P_Zero,0,IF(RAND()&lt;CondReturn,_xlfn.LOGNORM.INV(RAND(),MV2,Sigma1),IF(RAND()&lt;CondGood,_xlfn.LOGNORM.INV(RAND(),MV3,Sigma2),MIN(MaxMultiple,Xm/(1-RAND())^(1/Alpha)))))</f>
        <v>1.3484150338789975</v>
      </c>
      <c r="E183" s="19">
        <f ca="1">IF(RAND()&lt;P_Zero,0,IF(RAND()&lt;CondReturn,_xlfn.LOGNORM.INV(RAND(),MV2,Sigma1),IF(RAND()&lt;CondGood,_xlfn.LOGNORM.INV(RAND(),MV3,Sigma2),MIN(MaxMultiple,Xm/(1-RAND())^(1/Alpha)))))</f>
        <v>19.120696923567465</v>
      </c>
      <c r="F183" s="19">
        <f ca="1">IF(RAND()&lt;P_Zero,0,IF(RAND()&lt;CondReturn,_xlfn.LOGNORM.INV(RAND(),MV2,Sigma1),IF(RAND()&lt;CondGood,_xlfn.LOGNORM.INV(RAND(),MV3,Sigma2),MIN(MaxMultiple,Xm/(1-RAND())^(1/Alpha)))))</f>
        <v>0</v>
      </c>
      <c r="G183" s="19">
        <f ca="1">IF(RAND()&lt;P_Zero,0,IF(RAND()&lt;CondReturn,_xlfn.LOGNORM.INV(RAND(),MV2,Sigma1),IF(RAND()&lt;CondGood,_xlfn.LOGNORM.INV(RAND(),MV3,Sigma2),MIN(MaxMultiple,Xm/(1-RAND())^(1/Alpha)))))</f>
        <v>0.97627126229737216</v>
      </c>
      <c r="H183" s="19">
        <f ca="1">IF(RAND()&lt;P_Zero,0,IF(RAND()&lt;CondReturn,_xlfn.LOGNORM.INV(RAND(),MV2,Sigma1),IF(RAND()&lt;CondGood,_xlfn.LOGNORM.INV(RAND(),MV3,Sigma2),MIN(MaxMultiple,Xm/(1-RAND())^(1/Alpha)))))</f>
        <v>0</v>
      </c>
      <c r="I183" s="19">
        <f ca="1">IF(RAND()&lt;P_Zero,0,IF(RAND()&lt;CondReturn,_xlfn.LOGNORM.INV(RAND(),MV2,Sigma1),IF(RAND()&lt;CondGood,_xlfn.LOGNORM.INV(RAND(),MV3,Sigma2),MIN(MaxMultiple,Xm/(1-RAND())^(1/Alpha)))))</f>
        <v>0</v>
      </c>
      <c r="J183" s="19">
        <f ca="1">IF(RAND()&lt;P_Zero,0,IF(RAND()&lt;CondReturn,_xlfn.LOGNORM.INV(RAND(),MV2,Sigma1),IF(RAND()&lt;CondGood,_xlfn.LOGNORM.INV(RAND(),MV3,Sigma2),MIN(MaxMultiple,Xm/(1-RAND())^(1/Alpha)))))</f>
        <v>0.8738284380529483</v>
      </c>
      <c r="K183" s="19">
        <f ca="1">IF(RAND()&lt;P_Zero,0,IF(RAND()&lt;CondReturn,_xlfn.LOGNORM.INV(RAND(),MV2,Sigma1),IF(RAND()&lt;CondGood,_xlfn.LOGNORM.INV(RAND(),MV3,Sigma2),MIN(MaxMultiple,Xm/(1-RAND())^(1/Alpha)))))</f>
        <v>0.60925252366011529</v>
      </c>
      <c r="L183" s="19">
        <f ca="1">IF(RAND()&lt;P_Zero,0,IF(RAND()&lt;CondReturn,_xlfn.LOGNORM.INV(RAND(),MV2,Sigma1),IF(RAND()&lt;CondGood,_xlfn.LOGNORM.INV(RAND(),MV3,Sigma2),MIN(MaxMultiple,Xm/(1-RAND())^(1/Alpha)))))</f>
        <v>0</v>
      </c>
      <c r="M183" s="19">
        <f ca="1">IF(RAND()&lt;P_Zero,0,IF(RAND()&lt;CondReturn,_xlfn.LOGNORM.INV(RAND(),MV2,Sigma1),IF(RAND()&lt;CondGood,_xlfn.LOGNORM.INV(RAND(),MV3,Sigma2),MIN(MaxMultiple,Xm/(1-RAND())^(1/Alpha)))))</f>
        <v>10.575214424743166</v>
      </c>
      <c r="N183" s="19">
        <f ca="1">IF(RAND()&lt;P_Zero,0,IF(RAND()&lt;CondReturn,_xlfn.LOGNORM.INV(RAND(),MV2,Sigma1),IF(RAND()&lt;CondGood,_xlfn.LOGNORM.INV(RAND(),MV3,Sigma2),MIN(MaxMultiple,Xm/(1-RAND())^(1/Alpha)))))</f>
        <v>0</v>
      </c>
      <c r="O183" s="19">
        <f ca="1">IF(RAND()&lt;P_Zero,0,IF(RAND()&lt;CondReturn,_xlfn.LOGNORM.INV(RAND(),MV2,Sigma1),IF(RAND()&lt;CondGood,_xlfn.LOGNORM.INV(RAND(),MV3,Sigma2),MIN(MaxMultiple,Xm/(1-RAND())^(1/Alpha)))))</f>
        <v>10.666134632791982</v>
      </c>
      <c r="P183" s="19">
        <f ca="1">IF(RAND()&lt;P_Zero,0,IF(RAND()&lt;CondReturn,_xlfn.LOGNORM.INV(RAND(),MV2,Sigma1),IF(RAND()&lt;CondGood,_xlfn.LOGNORM.INV(RAND(),MV3,Sigma2),MIN(MaxMultiple,Xm/(1-RAND())^(1/Alpha)))))</f>
        <v>1.8905334584962445</v>
      </c>
      <c r="Q183" s="19">
        <f ca="1">IF(RAND()&lt;P_Zero,0,IF(RAND()&lt;CondReturn,_xlfn.LOGNORM.INV(RAND(),MV2,Sigma1),IF(RAND()&lt;CondGood,_xlfn.LOGNORM.INV(RAND(),MV3,Sigma2),MIN(MaxMultiple,Xm/(1-RAND())^(1/Alpha)))))</f>
        <v>0</v>
      </c>
      <c r="R183" s="19">
        <f ca="1">IF(RAND()&lt;P_Zero,0,IF(RAND()&lt;CondReturn,_xlfn.LOGNORM.INV(RAND(),MV2,Sigma1),IF(RAND()&lt;CondGood,_xlfn.LOGNORM.INV(RAND(),MV3,Sigma2),MIN(MaxMultiple,Xm/(1-RAND())^(1/Alpha)))))</f>
        <v>11.289948861487265</v>
      </c>
      <c r="S183" s="19">
        <f ca="1">IF(RAND()&lt;P_Zero,0,IF(RAND()&lt;CondReturn,_xlfn.LOGNORM.INV(RAND(),MV2,Sigma1),IF(RAND()&lt;CondGood,_xlfn.LOGNORM.INV(RAND(),MV3,Sigma2),MIN(MaxMultiple,Xm/(1-RAND())^(1/Alpha)))))</f>
        <v>0</v>
      </c>
      <c r="T183" s="19">
        <f ca="1">IF(RAND()&lt;P_Zero,0,IF(RAND()&lt;CondReturn,_xlfn.LOGNORM.INV(RAND(),MV2,Sigma1),IF(RAND()&lt;CondGood,_xlfn.LOGNORM.INV(RAND(),MV3,Sigma2),MIN(MaxMultiple,Xm/(1-RAND())^(1/Alpha)))))</f>
        <v>1.8064841438137249</v>
      </c>
      <c r="U183" s="19">
        <f ca="1">IF(RAND()&lt;P_Zero,0,IF(RAND()&lt;CondReturn,_xlfn.LOGNORM.INV(RAND(),MV2,Sigma1),IF(RAND()&lt;CondGood,_xlfn.LOGNORM.INV(RAND(),MV3,Sigma2),MIN(MaxMultiple,Xm/(1-RAND())^(1/Alpha)))))</f>
        <v>0.59391946193584333</v>
      </c>
      <c r="V183" s="19">
        <f ca="1">IF(RAND()&lt;P_Zero,0,IF(RAND()&lt;CondReturn,_xlfn.LOGNORM.INV(RAND(),MV2,Sigma1),IF(RAND()&lt;CondGood,_xlfn.LOGNORM.INV(RAND(),MV3,Sigma2),MIN(MaxMultiple,Xm/(1-RAND())^(1/Alpha)))))</f>
        <v>0</v>
      </c>
      <c r="W183" s="19">
        <f ca="1">IF(RAND()&lt;P_Zero,0,IF(RAND()&lt;CondReturn,_xlfn.LOGNORM.INV(RAND(),MV2,Sigma1),IF(RAND()&lt;CondGood,_xlfn.LOGNORM.INV(RAND(),MV3,Sigma2),MIN(MaxMultiple,Xm/(1-RAND())^(1/Alpha)))))</f>
        <v>0</v>
      </c>
      <c r="X183" s="19">
        <f ca="1">IF(RAND()&lt;P_Zero,0,IF(RAND()&lt;CondReturn,_xlfn.LOGNORM.INV(RAND(),MV2,Sigma1),IF(RAND()&lt;CondGood,_xlfn.LOGNORM.INV(RAND(),MV3,Sigma2),MIN(MaxMultiple,Xm/(1-RAND())^(1/Alpha)))))</f>
        <v>154.97210061257516</v>
      </c>
      <c r="Y183" s="19">
        <f ca="1">IF(RAND()&lt;P_Zero,0,IF(RAND()&lt;CondReturn,_xlfn.LOGNORM.INV(RAND(),MV2,Sigma1),IF(RAND()&lt;CondGood,_xlfn.LOGNORM.INV(RAND(),MV3,Sigma2),MIN(MaxMultiple,Xm/(1-RAND())^(1/Alpha)))))</f>
        <v>0</v>
      </c>
      <c r="Z183" s="19">
        <f ca="1">IF(RAND()&lt;P_Zero,0,IF(RAND()&lt;CondReturn,_xlfn.LOGNORM.INV(RAND(),MV2,Sigma1),IF(RAND()&lt;CondGood,_xlfn.LOGNORM.INV(RAND(),MV3,Sigma2),MIN(MaxMultiple,Xm/(1-RAND())^(1/Alpha)))))</f>
        <v>21.851338099651642</v>
      </c>
      <c r="AA183" s="19">
        <f ca="1">IF(RAND()&lt;P_Zero,0,IF(RAND()&lt;CondReturn,_xlfn.LOGNORM.INV(RAND(),MV2,Sigma1),IF(RAND()&lt;CondGood,_xlfn.LOGNORM.INV(RAND(),MV3,Sigma2),MIN(MaxMultiple,Xm/(1-RAND())^(1/Alpha)))))</f>
        <v>1.0440165526962759</v>
      </c>
      <c r="AB183" s="19">
        <f t="shared" ca="1" si="16"/>
        <v>9.5524866575657601</v>
      </c>
      <c r="AC183" s="14">
        <f t="shared" ca="1" si="17"/>
        <v>458519359.56315649</v>
      </c>
      <c r="AD183" s="14">
        <f t="shared" ca="1" si="18"/>
        <v>410519359.56315649</v>
      </c>
      <c r="AE183" s="14">
        <f t="shared" si="19"/>
        <v>55628399.869093813</v>
      </c>
      <c r="AF183" s="14">
        <f t="shared" ca="1" si="20"/>
        <v>354890959.69406265</v>
      </c>
      <c r="AG183" s="14">
        <f t="shared" ca="1" si="21"/>
        <v>70978191.938812539</v>
      </c>
      <c r="AH183" s="14">
        <f t="shared" ca="1" si="22"/>
        <v>387541167.62434393</v>
      </c>
      <c r="AI183" s="19">
        <f t="shared" ca="1" si="23"/>
        <v>6.4590194604057318</v>
      </c>
    </row>
    <row r="184" spans="2:35" x14ac:dyDescent="0.2">
      <c r="B184" s="1">
        <v>179</v>
      </c>
      <c r="C184" s="19">
        <f ca="1">IF(RAND()&lt;P_Zero,0,IF(RAND()&lt;CondReturn,_xlfn.LOGNORM.INV(RAND(),MV2,Sigma1),IF(RAND()&lt;CondGood,_xlfn.LOGNORM.INV(RAND(),MV3,Sigma2),MIN(MaxMultiple,Xm/(1-RAND())^(1/Alpha)))))</f>
        <v>0.74223469267860454</v>
      </c>
      <c r="D184" s="19">
        <f ca="1">IF(RAND()&lt;P_Zero,0,IF(RAND()&lt;CondReturn,_xlfn.LOGNORM.INV(RAND(),MV2,Sigma1),IF(RAND()&lt;CondGood,_xlfn.LOGNORM.INV(RAND(),MV3,Sigma2),MIN(MaxMultiple,Xm/(1-RAND())^(1/Alpha)))))</f>
        <v>1.2232601734447646</v>
      </c>
      <c r="E184" s="19">
        <f ca="1">IF(RAND()&lt;P_Zero,0,IF(RAND()&lt;CondReturn,_xlfn.LOGNORM.INV(RAND(),MV2,Sigma1),IF(RAND()&lt;CondGood,_xlfn.LOGNORM.INV(RAND(),MV3,Sigma2),MIN(MaxMultiple,Xm/(1-RAND())^(1/Alpha)))))</f>
        <v>0.68506422102360331</v>
      </c>
      <c r="F184" s="19">
        <f ca="1">IF(RAND()&lt;P_Zero,0,IF(RAND()&lt;CondReturn,_xlfn.LOGNORM.INV(RAND(),MV2,Sigma1),IF(RAND()&lt;CondGood,_xlfn.LOGNORM.INV(RAND(),MV3,Sigma2),MIN(MaxMultiple,Xm/(1-RAND())^(1/Alpha)))))</f>
        <v>0.49726050285717682</v>
      </c>
      <c r="G184" s="19">
        <f ca="1">IF(RAND()&lt;P_Zero,0,IF(RAND()&lt;CondReturn,_xlfn.LOGNORM.INV(RAND(),MV2,Sigma1),IF(RAND()&lt;CondGood,_xlfn.LOGNORM.INV(RAND(),MV3,Sigma2),MIN(MaxMultiple,Xm/(1-RAND())^(1/Alpha)))))</f>
        <v>0</v>
      </c>
      <c r="H184" s="19">
        <f ca="1">IF(RAND()&lt;P_Zero,0,IF(RAND()&lt;CondReturn,_xlfn.LOGNORM.INV(RAND(),MV2,Sigma1),IF(RAND()&lt;CondGood,_xlfn.LOGNORM.INV(RAND(),MV3,Sigma2),MIN(MaxMultiple,Xm/(1-RAND())^(1/Alpha)))))</f>
        <v>0.54724902426285182</v>
      </c>
      <c r="I184" s="19">
        <f ca="1">IF(RAND()&lt;P_Zero,0,IF(RAND()&lt;CondReturn,_xlfn.LOGNORM.INV(RAND(),MV2,Sigma1),IF(RAND()&lt;CondGood,_xlfn.LOGNORM.INV(RAND(),MV3,Sigma2),MIN(MaxMultiple,Xm/(1-RAND())^(1/Alpha)))))</f>
        <v>129.58409502971057</v>
      </c>
      <c r="J184" s="19">
        <f ca="1">IF(RAND()&lt;P_Zero,0,IF(RAND()&lt;CondReturn,_xlfn.LOGNORM.INV(RAND(),MV2,Sigma1),IF(RAND()&lt;CondGood,_xlfn.LOGNORM.INV(RAND(),MV3,Sigma2),MIN(MaxMultiple,Xm/(1-RAND())^(1/Alpha)))))</f>
        <v>0.71567961600749364</v>
      </c>
      <c r="K184" s="19">
        <f ca="1">IF(RAND()&lt;P_Zero,0,IF(RAND()&lt;CondReturn,_xlfn.LOGNORM.INV(RAND(),MV2,Sigma1),IF(RAND()&lt;CondGood,_xlfn.LOGNORM.INV(RAND(),MV3,Sigma2),MIN(MaxMultiple,Xm/(1-RAND())^(1/Alpha)))))</f>
        <v>0</v>
      </c>
      <c r="L184" s="19">
        <f ca="1">IF(RAND()&lt;P_Zero,0,IF(RAND()&lt;CondReturn,_xlfn.LOGNORM.INV(RAND(),MV2,Sigma1),IF(RAND()&lt;CondGood,_xlfn.LOGNORM.INV(RAND(),MV3,Sigma2),MIN(MaxMultiple,Xm/(1-RAND())^(1/Alpha)))))</f>
        <v>0.63868664303650469</v>
      </c>
      <c r="M184" s="19">
        <f ca="1">IF(RAND()&lt;P_Zero,0,IF(RAND()&lt;CondReturn,_xlfn.LOGNORM.INV(RAND(),MV2,Sigma1),IF(RAND()&lt;CondGood,_xlfn.LOGNORM.INV(RAND(),MV3,Sigma2),MIN(MaxMultiple,Xm/(1-RAND())^(1/Alpha)))))</f>
        <v>0</v>
      </c>
      <c r="N184" s="19">
        <f ca="1">IF(RAND()&lt;P_Zero,0,IF(RAND()&lt;CondReturn,_xlfn.LOGNORM.INV(RAND(),MV2,Sigma1),IF(RAND()&lt;CondGood,_xlfn.LOGNORM.INV(RAND(),MV3,Sigma2),MIN(MaxMultiple,Xm/(1-RAND())^(1/Alpha)))))</f>
        <v>2.3375176667254873</v>
      </c>
      <c r="O184" s="19">
        <f ca="1">IF(RAND()&lt;P_Zero,0,IF(RAND()&lt;CondReturn,_xlfn.LOGNORM.INV(RAND(),MV2,Sigma1),IF(RAND()&lt;CondGood,_xlfn.LOGNORM.INV(RAND(),MV3,Sigma2),MIN(MaxMultiple,Xm/(1-RAND())^(1/Alpha)))))</f>
        <v>0.52408341370936362</v>
      </c>
      <c r="P184" s="19">
        <f ca="1">IF(RAND()&lt;P_Zero,0,IF(RAND()&lt;CondReturn,_xlfn.LOGNORM.INV(RAND(),MV2,Sigma1),IF(RAND()&lt;CondGood,_xlfn.LOGNORM.INV(RAND(),MV3,Sigma2),MIN(MaxMultiple,Xm/(1-RAND())^(1/Alpha)))))</f>
        <v>0</v>
      </c>
      <c r="Q184" s="19">
        <f ca="1">IF(RAND()&lt;P_Zero,0,IF(RAND()&lt;CondReturn,_xlfn.LOGNORM.INV(RAND(),MV2,Sigma1),IF(RAND()&lt;CondGood,_xlfn.LOGNORM.INV(RAND(),MV3,Sigma2),MIN(MaxMultiple,Xm/(1-RAND())^(1/Alpha)))))</f>
        <v>0</v>
      </c>
      <c r="R184" s="19">
        <f ca="1">IF(RAND()&lt;P_Zero,0,IF(RAND()&lt;CondReturn,_xlfn.LOGNORM.INV(RAND(),MV2,Sigma1),IF(RAND()&lt;CondGood,_xlfn.LOGNORM.INV(RAND(),MV3,Sigma2),MIN(MaxMultiple,Xm/(1-RAND())^(1/Alpha)))))</f>
        <v>0.33038514497368277</v>
      </c>
      <c r="S184" s="19">
        <f ca="1">IF(RAND()&lt;P_Zero,0,IF(RAND()&lt;CondReturn,_xlfn.LOGNORM.INV(RAND(),MV2,Sigma1),IF(RAND()&lt;CondGood,_xlfn.LOGNORM.INV(RAND(),MV3,Sigma2),MIN(MaxMultiple,Xm/(1-RAND())^(1/Alpha)))))</f>
        <v>1.1626439293827502</v>
      </c>
      <c r="T184" s="19">
        <f ca="1">IF(RAND()&lt;P_Zero,0,IF(RAND()&lt;CondReturn,_xlfn.LOGNORM.INV(RAND(),MV2,Sigma1),IF(RAND()&lt;CondGood,_xlfn.LOGNORM.INV(RAND(),MV3,Sigma2),MIN(MaxMultiple,Xm/(1-RAND())^(1/Alpha)))))</f>
        <v>22.859607501186318</v>
      </c>
      <c r="U184" s="19">
        <f ca="1">IF(RAND()&lt;P_Zero,0,IF(RAND()&lt;CondReturn,_xlfn.LOGNORM.INV(RAND(),MV2,Sigma1),IF(RAND()&lt;CondGood,_xlfn.LOGNORM.INV(RAND(),MV3,Sigma2),MIN(MaxMultiple,Xm/(1-RAND())^(1/Alpha)))))</f>
        <v>0.86086795017721318</v>
      </c>
      <c r="V184" s="19">
        <f ca="1">IF(RAND()&lt;P_Zero,0,IF(RAND()&lt;CondReturn,_xlfn.LOGNORM.INV(RAND(),MV2,Sigma1),IF(RAND()&lt;CondGood,_xlfn.LOGNORM.INV(RAND(),MV3,Sigma2),MIN(MaxMultiple,Xm/(1-RAND())^(1/Alpha)))))</f>
        <v>0</v>
      </c>
      <c r="W184" s="19">
        <f ca="1">IF(RAND()&lt;P_Zero,0,IF(RAND()&lt;CondReturn,_xlfn.LOGNORM.INV(RAND(),MV2,Sigma1),IF(RAND()&lt;CondGood,_xlfn.LOGNORM.INV(RAND(),MV3,Sigma2),MIN(MaxMultiple,Xm/(1-RAND())^(1/Alpha)))))</f>
        <v>55.637252976637349</v>
      </c>
      <c r="X184" s="19">
        <f ca="1">IF(RAND()&lt;P_Zero,0,IF(RAND()&lt;CondReturn,_xlfn.LOGNORM.INV(RAND(),MV2,Sigma1),IF(RAND()&lt;CondGood,_xlfn.LOGNORM.INV(RAND(),MV3,Sigma2),MIN(MaxMultiple,Xm/(1-RAND())^(1/Alpha)))))</f>
        <v>0</v>
      </c>
      <c r="Y184" s="19">
        <f ca="1">IF(RAND()&lt;P_Zero,0,IF(RAND()&lt;CondReturn,_xlfn.LOGNORM.INV(RAND(),MV2,Sigma1),IF(RAND()&lt;CondGood,_xlfn.LOGNORM.INV(RAND(),MV3,Sigma2),MIN(MaxMultiple,Xm/(1-RAND())^(1/Alpha)))))</f>
        <v>0</v>
      </c>
      <c r="Z184" s="19">
        <f ca="1">IF(RAND()&lt;P_Zero,0,IF(RAND()&lt;CondReturn,_xlfn.LOGNORM.INV(RAND(),MV2,Sigma1),IF(RAND()&lt;CondGood,_xlfn.LOGNORM.INV(RAND(),MV3,Sigma2),MIN(MaxMultiple,Xm/(1-RAND())^(1/Alpha)))))</f>
        <v>1.5415446607818502</v>
      </c>
      <c r="AA184" s="19">
        <f ca="1">IF(RAND()&lt;P_Zero,0,IF(RAND()&lt;CondReturn,_xlfn.LOGNORM.INV(RAND(),MV2,Sigma1),IF(RAND()&lt;CondGood,_xlfn.LOGNORM.INV(RAND(),MV3,Sigma2),MIN(MaxMultiple,Xm/(1-RAND())^(1/Alpha)))))</f>
        <v>1.1021945186504272</v>
      </c>
      <c r="AB184" s="19">
        <f t="shared" ca="1" si="16"/>
        <v>8.8395851066098405</v>
      </c>
      <c r="AC184" s="14">
        <f t="shared" ca="1" si="17"/>
        <v>424300085.11727232</v>
      </c>
      <c r="AD184" s="14">
        <f t="shared" ca="1" si="18"/>
        <v>376300085.11727232</v>
      </c>
      <c r="AE184" s="14">
        <f t="shared" si="19"/>
        <v>55628399.869093813</v>
      </c>
      <c r="AF184" s="14">
        <f t="shared" ca="1" si="20"/>
        <v>320671685.24817848</v>
      </c>
      <c r="AG184" s="14">
        <f t="shared" ca="1" si="21"/>
        <v>64134337.049635701</v>
      </c>
      <c r="AH184" s="14">
        <f t="shared" ca="1" si="22"/>
        <v>360165748.06763661</v>
      </c>
      <c r="AI184" s="19">
        <f t="shared" ca="1" si="23"/>
        <v>6.0027624677939437</v>
      </c>
    </row>
    <row r="185" spans="2:35" x14ac:dyDescent="0.2">
      <c r="B185" s="1">
        <v>180</v>
      </c>
      <c r="C185" s="19">
        <f ca="1">IF(RAND()&lt;P_Zero,0,IF(RAND()&lt;CondReturn,_xlfn.LOGNORM.INV(RAND(),MV2,Sigma1),IF(RAND()&lt;CondGood,_xlfn.LOGNORM.INV(RAND(),MV3,Sigma2),MIN(MaxMultiple,Xm/(1-RAND())^(1/Alpha)))))</f>
        <v>1.0910992699708078</v>
      </c>
      <c r="D185" s="19">
        <f ca="1">IF(RAND()&lt;P_Zero,0,IF(RAND()&lt;CondReturn,_xlfn.LOGNORM.INV(RAND(),MV2,Sigma1),IF(RAND()&lt;CondGood,_xlfn.LOGNORM.INV(RAND(),MV3,Sigma2),MIN(MaxMultiple,Xm/(1-RAND())^(1/Alpha)))))</f>
        <v>0</v>
      </c>
      <c r="E185" s="19">
        <f ca="1">IF(RAND()&lt;P_Zero,0,IF(RAND()&lt;CondReturn,_xlfn.LOGNORM.INV(RAND(),MV2,Sigma1),IF(RAND()&lt;CondGood,_xlfn.LOGNORM.INV(RAND(),MV3,Sigma2),MIN(MaxMultiple,Xm/(1-RAND())^(1/Alpha)))))</f>
        <v>0</v>
      </c>
      <c r="F185" s="19">
        <f ca="1">IF(RAND()&lt;P_Zero,0,IF(RAND()&lt;CondReturn,_xlfn.LOGNORM.INV(RAND(),MV2,Sigma1),IF(RAND()&lt;CondGood,_xlfn.LOGNORM.INV(RAND(),MV3,Sigma2),MIN(MaxMultiple,Xm/(1-RAND())^(1/Alpha)))))</f>
        <v>0</v>
      </c>
      <c r="G185" s="19">
        <f ca="1">IF(RAND()&lt;P_Zero,0,IF(RAND()&lt;CondReturn,_xlfn.LOGNORM.INV(RAND(),MV2,Sigma1),IF(RAND()&lt;CondGood,_xlfn.LOGNORM.INV(RAND(),MV3,Sigma2),MIN(MaxMultiple,Xm/(1-RAND())^(1/Alpha)))))</f>
        <v>0.63271237142221937</v>
      </c>
      <c r="H185" s="19">
        <f ca="1">IF(RAND()&lt;P_Zero,0,IF(RAND()&lt;CondReturn,_xlfn.LOGNORM.INV(RAND(),MV2,Sigma1),IF(RAND()&lt;CondGood,_xlfn.LOGNORM.INV(RAND(),MV3,Sigma2),MIN(MaxMultiple,Xm/(1-RAND())^(1/Alpha)))))</f>
        <v>0</v>
      </c>
      <c r="I185" s="19">
        <f ca="1">IF(RAND()&lt;P_Zero,0,IF(RAND()&lt;CondReturn,_xlfn.LOGNORM.INV(RAND(),MV2,Sigma1),IF(RAND()&lt;CondGood,_xlfn.LOGNORM.INV(RAND(),MV3,Sigma2),MIN(MaxMultiple,Xm/(1-RAND())^(1/Alpha)))))</f>
        <v>1.4431155832943683</v>
      </c>
      <c r="J185" s="19">
        <f ca="1">IF(RAND()&lt;P_Zero,0,IF(RAND()&lt;CondReturn,_xlfn.LOGNORM.INV(RAND(),MV2,Sigma1),IF(RAND()&lt;CondGood,_xlfn.LOGNORM.INV(RAND(),MV3,Sigma2),MIN(MaxMultiple,Xm/(1-RAND())^(1/Alpha)))))</f>
        <v>139.23560165090433</v>
      </c>
      <c r="K185" s="19">
        <f ca="1">IF(RAND()&lt;P_Zero,0,IF(RAND()&lt;CondReturn,_xlfn.LOGNORM.INV(RAND(),MV2,Sigma1),IF(RAND()&lt;CondGood,_xlfn.LOGNORM.INV(RAND(),MV3,Sigma2),MIN(MaxMultiple,Xm/(1-RAND())^(1/Alpha)))))</f>
        <v>0</v>
      </c>
      <c r="L185" s="19">
        <f ca="1">IF(RAND()&lt;P_Zero,0,IF(RAND()&lt;CondReturn,_xlfn.LOGNORM.INV(RAND(),MV2,Sigma1),IF(RAND()&lt;CondGood,_xlfn.LOGNORM.INV(RAND(),MV3,Sigma2),MIN(MaxMultiple,Xm/(1-RAND())^(1/Alpha)))))</f>
        <v>2.0154859621640568</v>
      </c>
      <c r="M185" s="19">
        <f ca="1">IF(RAND()&lt;P_Zero,0,IF(RAND()&lt;CondReturn,_xlfn.LOGNORM.INV(RAND(),MV2,Sigma1),IF(RAND()&lt;CondGood,_xlfn.LOGNORM.INV(RAND(),MV3,Sigma2),MIN(MaxMultiple,Xm/(1-RAND())^(1/Alpha)))))</f>
        <v>1.4040172751109796</v>
      </c>
      <c r="N185" s="19">
        <f ca="1">IF(RAND()&lt;P_Zero,0,IF(RAND()&lt;CondReturn,_xlfn.LOGNORM.INV(RAND(),MV2,Sigma1),IF(RAND()&lt;CondGood,_xlfn.LOGNORM.INV(RAND(),MV3,Sigma2),MIN(MaxMultiple,Xm/(1-RAND())^(1/Alpha)))))</f>
        <v>0</v>
      </c>
      <c r="O185" s="19">
        <f ca="1">IF(RAND()&lt;P_Zero,0,IF(RAND()&lt;CondReturn,_xlfn.LOGNORM.INV(RAND(),MV2,Sigma1),IF(RAND()&lt;CondGood,_xlfn.LOGNORM.INV(RAND(),MV3,Sigma2),MIN(MaxMultiple,Xm/(1-RAND())^(1/Alpha)))))</f>
        <v>0</v>
      </c>
      <c r="P185" s="19">
        <f ca="1">IF(RAND()&lt;P_Zero,0,IF(RAND()&lt;CondReturn,_xlfn.LOGNORM.INV(RAND(),MV2,Sigma1),IF(RAND()&lt;CondGood,_xlfn.LOGNORM.INV(RAND(),MV3,Sigma2),MIN(MaxMultiple,Xm/(1-RAND())^(1/Alpha)))))</f>
        <v>0</v>
      </c>
      <c r="Q185" s="19">
        <f ca="1">IF(RAND()&lt;P_Zero,0,IF(RAND()&lt;CondReturn,_xlfn.LOGNORM.INV(RAND(),MV2,Sigma1),IF(RAND()&lt;CondGood,_xlfn.LOGNORM.INV(RAND(),MV3,Sigma2),MIN(MaxMultiple,Xm/(1-RAND())^(1/Alpha)))))</f>
        <v>0.74874237639398644</v>
      </c>
      <c r="R185" s="19">
        <f ca="1">IF(RAND()&lt;P_Zero,0,IF(RAND()&lt;CondReturn,_xlfn.LOGNORM.INV(RAND(),MV2,Sigma1),IF(RAND()&lt;CondGood,_xlfn.LOGNORM.INV(RAND(),MV3,Sigma2),MIN(MaxMultiple,Xm/(1-RAND())^(1/Alpha)))))</f>
        <v>0.66141254772120783</v>
      </c>
      <c r="S185" s="19">
        <f ca="1">IF(RAND()&lt;P_Zero,0,IF(RAND()&lt;CondReturn,_xlfn.LOGNORM.INV(RAND(),MV2,Sigma1),IF(RAND()&lt;CondGood,_xlfn.LOGNORM.INV(RAND(),MV3,Sigma2),MIN(MaxMultiple,Xm/(1-RAND())^(1/Alpha)))))</f>
        <v>0.24555708061557321</v>
      </c>
      <c r="T185" s="19">
        <f ca="1">IF(RAND()&lt;P_Zero,0,IF(RAND()&lt;CondReturn,_xlfn.LOGNORM.INV(RAND(),MV2,Sigma1),IF(RAND()&lt;CondGood,_xlfn.LOGNORM.INV(RAND(),MV3,Sigma2),MIN(MaxMultiple,Xm/(1-RAND())^(1/Alpha)))))</f>
        <v>1.3627219889558699</v>
      </c>
      <c r="U185" s="19">
        <f ca="1">IF(RAND()&lt;P_Zero,0,IF(RAND()&lt;CondReturn,_xlfn.LOGNORM.INV(RAND(),MV2,Sigma1),IF(RAND()&lt;CondGood,_xlfn.LOGNORM.INV(RAND(),MV3,Sigma2),MIN(MaxMultiple,Xm/(1-RAND())^(1/Alpha)))))</f>
        <v>0</v>
      </c>
      <c r="V185" s="19">
        <f ca="1">IF(RAND()&lt;P_Zero,0,IF(RAND()&lt;CondReturn,_xlfn.LOGNORM.INV(RAND(),MV2,Sigma1),IF(RAND()&lt;CondGood,_xlfn.LOGNORM.INV(RAND(),MV3,Sigma2),MIN(MaxMultiple,Xm/(1-RAND())^(1/Alpha)))))</f>
        <v>0.91355422656503316</v>
      </c>
      <c r="W185" s="19">
        <f ca="1">IF(RAND()&lt;P_Zero,0,IF(RAND()&lt;CondReturn,_xlfn.LOGNORM.INV(RAND(),MV2,Sigma1),IF(RAND()&lt;CondGood,_xlfn.LOGNORM.INV(RAND(),MV3,Sigma2),MIN(MaxMultiple,Xm/(1-RAND())^(1/Alpha)))))</f>
        <v>0</v>
      </c>
      <c r="X185" s="19">
        <f ca="1">IF(RAND()&lt;P_Zero,0,IF(RAND()&lt;CondReturn,_xlfn.LOGNORM.INV(RAND(),MV2,Sigma1),IF(RAND()&lt;CondGood,_xlfn.LOGNORM.INV(RAND(),MV3,Sigma2),MIN(MaxMultiple,Xm/(1-RAND())^(1/Alpha)))))</f>
        <v>0.75580673148579347</v>
      </c>
      <c r="Y185" s="19">
        <f ca="1">IF(RAND()&lt;P_Zero,0,IF(RAND()&lt;CondReturn,_xlfn.LOGNORM.INV(RAND(),MV2,Sigma1),IF(RAND()&lt;CondGood,_xlfn.LOGNORM.INV(RAND(),MV3,Sigma2),MIN(MaxMultiple,Xm/(1-RAND())^(1/Alpha)))))</f>
        <v>0.65669493400403434</v>
      </c>
      <c r="Z185" s="19">
        <f ca="1">IF(RAND()&lt;P_Zero,0,IF(RAND()&lt;CondReturn,_xlfn.LOGNORM.INV(RAND(),MV2,Sigma1),IF(RAND()&lt;CondGood,_xlfn.LOGNORM.INV(RAND(),MV3,Sigma2),MIN(MaxMultiple,Xm/(1-RAND())^(1/Alpha)))))</f>
        <v>1.1160268710780532</v>
      </c>
      <c r="AA185" s="19">
        <f ca="1">IF(RAND()&lt;P_Zero,0,IF(RAND()&lt;CondReturn,_xlfn.LOGNORM.INV(RAND(),MV2,Sigma1),IF(RAND()&lt;CondGood,_xlfn.LOGNORM.INV(RAND(),MV3,Sigma2),MIN(MaxMultiple,Xm/(1-RAND())^(1/Alpha)))))</f>
        <v>0.70745875321981455</v>
      </c>
      <c r="AB185" s="19">
        <f t="shared" ca="1" si="16"/>
        <v>6.1196003049162444</v>
      </c>
      <c r="AC185" s="14">
        <f t="shared" ca="1" si="17"/>
        <v>293740814.63597971</v>
      </c>
      <c r="AD185" s="14">
        <f t="shared" ca="1" si="18"/>
        <v>245740814.63597971</v>
      </c>
      <c r="AE185" s="14">
        <f t="shared" si="19"/>
        <v>55628399.869093813</v>
      </c>
      <c r="AF185" s="14">
        <f t="shared" ca="1" si="20"/>
        <v>190112414.76688591</v>
      </c>
      <c r="AG185" s="14">
        <f t="shared" ca="1" si="21"/>
        <v>38022482.95337718</v>
      </c>
      <c r="AH185" s="14">
        <f t="shared" ca="1" si="22"/>
        <v>255718331.68260252</v>
      </c>
      <c r="AI185" s="19">
        <f t="shared" ca="1" si="23"/>
        <v>4.261972194710042</v>
      </c>
    </row>
    <row r="186" spans="2:35" x14ac:dyDescent="0.2">
      <c r="B186" s="1">
        <v>181</v>
      </c>
      <c r="C186" s="19">
        <f ca="1">IF(RAND()&lt;P_Zero,0,IF(RAND()&lt;CondReturn,_xlfn.LOGNORM.INV(RAND(),MV2,Sigma1),IF(RAND()&lt;CondGood,_xlfn.LOGNORM.INV(RAND(),MV3,Sigma2),MIN(MaxMultiple,Xm/(1-RAND())^(1/Alpha)))))</f>
        <v>0</v>
      </c>
      <c r="D186" s="19">
        <f ca="1">IF(RAND()&lt;P_Zero,0,IF(RAND()&lt;CondReturn,_xlfn.LOGNORM.INV(RAND(),MV2,Sigma1),IF(RAND()&lt;CondGood,_xlfn.LOGNORM.INV(RAND(),MV3,Sigma2),MIN(MaxMultiple,Xm/(1-RAND())^(1/Alpha)))))</f>
        <v>0</v>
      </c>
      <c r="E186" s="19">
        <f ca="1">IF(RAND()&lt;P_Zero,0,IF(RAND()&lt;CondReturn,_xlfn.LOGNORM.INV(RAND(),MV2,Sigma1),IF(RAND()&lt;CondGood,_xlfn.LOGNORM.INV(RAND(),MV3,Sigma2),MIN(MaxMultiple,Xm/(1-RAND())^(1/Alpha)))))</f>
        <v>0</v>
      </c>
      <c r="F186" s="19">
        <f ca="1">IF(RAND()&lt;P_Zero,0,IF(RAND()&lt;CondReturn,_xlfn.LOGNORM.INV(RAND(),MV2,Sigma1),IF(RAND()&lt;CondGood,_xlfn.LOGNORM.INV(RAND(),MV3,Sigma2),MIN(MaxMultiple,Xm/(1-RAND())^(1/Alpha)))))</f>
        <v>1.7242403905548083</v>
      </c>
      <c r="G186" s="19">
        <f ca="1">IF(RAND()&lt;P_Zero,0,IF(RAND()&lt;CondReturn,_xlfn.LOGNORM.INV(RAND(),MV2,Sigma1),IF(RAND()&lt;CondGood,_xlfn.LOGNORM.INV(RAND(),MV3,Sigma2),MIN(MaxMultiple,Xm/(1-RAND())^(1/Alpha)))))</f>
        <v>0</v>
      </c>
      <c r="H186" s="19">
        <f ca="1">IF(RAND()&lt;P_Zero,0,IF(RAND()&lt;CondReturn,_xlfn.LOGNORM.INV(RAND(),MV2,Sigma1),IF(RAND()&lt;CondGood,_xlfn.LOGNORM.INV(RAND(),MV3,Sigma2),MIN(MaxMultiple,Xm/(1-RAND())^(1/Alpha)))))</f>
        <v>1.7413776923541897</v>
      </c>
      <c r="I186" s="19">
        <f ca="1">IF(RAND()&lt;P_Zero,0,IF(RAND()&lt;CondReturn,_xlfn.LOGNORM.INV(RAND(),MV2,Sigma1),IF(RAND()&lt;CondGood,_xlfn.LOGNORM.INV(RAND(),MV3,Sigma2),MIN(MaxMultiple,Xm/(1-RAND())^(1/Alpha)))))</f>
        <v>1.2341255727639293</v>
      </c>
      <c r="J186" s="19">
        <f ca="1">IF(RAND()&lt;P_Zero,0,IF(RAND()&lt;CondReturn,_xlfn.LOGNORM.INV(RAND(),MV2,Sigma1),IF(RAND()&lt;CondGood,_xlfn.LOGNORM.INV(RAND(),MV3,Sigma2),MIN(MaxMultiple,Xm/(1-RAND())^(1/Alpha)))))</f>
        <v>0</v>
      </c>
      <c r="K186" s="19">
        <f ca="1">IF(RAND()&lt;P_Zero,0,IF(RAND()&lt;CondReturn,_xlfn.LOGNORM.INV(RAND(),MV2,Sigma1),IF(RAND()&lt;CondGood,_xlfn.LOGNORM.INV(RAND(),MV3,Sigma2),MIN(MaxMultiple,Xm/(1-RAND())^(1/Alpha)))))</f>
        <v>0</v>
      </c>
      <c r="L186" s="19">
        <f ca="1">IF(RAND()&lt;P_Zero,0,IF(RAND()&lt;CondReturn,_xlfn.LOGNORM.INV(RAND(),MV2,Sigma1),IF(RAND()&lt;CondGood,_xlfn.LOGNORM.INV(RAND(),MV3,Sigma2),MIN(MaxMultiple,Xm/(1-RAND())^(1/Alpha)))))</f>
        <v>0</v>
      </c>
      <c r="M186" s="19">
        <f ca="1">IF(RAND()&lt;P_Zero,0,IF(RAND()&lt;CondReturn,_xlfn.LOGNORM.INV(RAND(),MV2,Sigma1),IF(RAND()&lt;CondGood,_xlfn.LOGNORM.INV(RAND(),MV3,Sigma2),MIN(MaxMultiple,Xm/(1-RAND())^(1/Alpha)))))</f>
        <v>0</v>
      </c>
      <c r="N186" s="19">
        <f ca="1">IF(RAND()&lt;P_Zero,0,IF(RAND()&lt;CondReturn,_xlfn.LOGNORM.INV(RAND(),MV2,Sigma1),IF(RAND()&lt;CondGood,_xlfn.LOGNORM.INV(RAND(),MV3,Sigma2),MIN(MaxMultiple,Xm/(1-RAND())^(1/Alpha)))))</f>
        <v>0</v>
      </c>
      <c r="O186" s="19">
        <f ca="1">IF(RAND()&lt;P_Zero,0,IF(RAND()&lt;CondReturn,_xlfn.LOGNORM.INV(RAND(),MV2,Sigma1),IF(RAND()&lt;CondGood,_xlfn.LOGNORM.INV(RAND(),MV3,Sigma2),MIN(MaxMultiple,Xm/(1-RAND())^(1/Alpha)))))</f>
        <v>1.5730612608751129</v>
      </c>
      <c r="P186" s="19">
        <f ca="1">IF(RAND()&lt;P_Zero,0,IF(RAND()&lt;CondReturn,_xlfn.LOGNORM.INV(RAND(),MV2,Sigma1),IF(RAND()&lt;CondGood,_xlfn.LOGNORM.INV(RAND(),MV3,Sigma2),MIN(MaxMultiple,Xm/(1-RAND())^(1/Alpha)))))</f>
        <v>23.560172699455094</v>
      </c>
      <c r="Q186" s="19">
        <f ca="1">IF(RAND()&lt;P_Zero,0,IF(RAND()&lt;CondReturn,_xlfn.LOGNORM.INV(RAND(),MV2,Sigma1),IF(RAND()&lt;CondGood,_xlfn.LOGNORM.INV(RAND(),MV3,Sigma2),MIN(MaxMultiple,Xm/(1-RAND())^(1/Alpha)))))</f>
        <v>0</v>
      </c>
      <c r="R186" s="19">
        <f ca="1">IF(RAND()&lt;P_Zero,0,IF(RAND()&lt;CondReturn,_xlfn.LOGNORM.INV(RAND(),MV2,Sigma1),IF(RAND()&lt;CondGood,_xlfn.LOGNORM.INV(RAND(),MV3,Sigma2),MIN(MaxMultiple,Xm/(1-RAND())^(1/Alpha)))))</f>
        <v>1.1511997544208719</v>
      </c>
      <c r="S186" s="19">
        <f ca="1">IF(RAND()&lt;P_Zero,0,IF(RAND()&lt;CondReturn,_xlfn.LOGNORM.INV(RAND(),MV2,Sigma1),IF(RAND()&lt;CondGood,_xlfn.LOGNORM.INV(RAND(),MV3,Sigma2),MIN(MaxMultiple,Xm/(1-RAND())^(1/Alpha)))))</f>
        <v>0.73466161799985819</v>
      </c>
      <c r="T186" s="19">
        <f ca="1">IF(RAND()&lt;P_Zero,0,IF(RAND()&lt;CondReturn,_xlfn.LOGNORM.INV(RAND(),MV2,Sigma1),IF(RAND()&lt;CondGood,_xlfn.LOGNORM.INV(RAND(),MV3,Sigma2),MIN(MaxMultiple,Xm/(1-RAND())^(1/Alpha)))))</f>
        <v>0</v>
      </c>
      <c r="U186" s="19">
        <f ca="1">IF(RAND()&lt;P_Zero,0,IF(RAND()&lt;CondReturn,_xlfn.LOGNORM.INV(RAND(),MV2,Sigma1),IF(RAND()&lt;CondGood,_xlfn.LOGNORM.INV(RAND(),MV3,Sigma2),MIN(MaxMultiple,Xm/(1-RAND())^(1/Alpha)))))</f>
        <v>1.7801551253012351</v>
      </c>
      <c r="V186" s="19">
        <f ca="1">IF(RAND()&lt;P_Zero,0,IF(RAND()&lt;CondReturn,_xlfn.LOGNORM.INV(RAND(),MV2,Sigma1),IF(RAND()&lt;CondGood,_xlfn.LOGNORM.INV(RAND(),MV3,Sigma2),MIN(MaxMultiple,Xm/(1-RAND())^(1/Alpha)))))</f>
        <v>0</v>
      </c>
      <c r="W186" s="19">
        <f ca="1">IF(RAND()&lt;P_Zero,0,IF(RAND()&lt;CondReturn,_xlfn.LOGNORM.INV(RAND(),MV2,Sigma1),IF(RAND()&lt;CondGood,_xlfn.LOGNORM.INV(RAND(),MV3,Sigma2),MIN(MaxMultiple,Xm/(1-RAND())^(1/Alpha)))))</f>
        <v>1.5060742393334785</v>
      </c>
      <c r="X186" s="19">
        <f ca="1">IF(RAND()&lt;P_Zero,0,IF(RAND()&lt;CondReturn,_xlfn.LOGNORM.INV(RAND(),MV2,Sigma1),IF(RAND()&lt;CondGood,_xlfn.LOGNORM.INV(RAND(),MV3,Sigma2),MIN(MaxMultiple,Xm/(1-RAND())^(1/Alpha)))))</f>
        <v>0.82475022400802456</v>
      </c>
      <c r="Y186" s="19">
        <f ca="1">IF(RAND()&lt;P_Zero,0,IF(RAND()&lt;CondReturn,_xlfn.LOGNORM.INV(RAND(),MV2,Sigma1),IF(RAND()&lt;CondGood,_xlfn.LOGNORM.INV(RAND(),MV3,Sigma2),MIN(MaxMultiple,Xm/(1-RAND())^(1/Alpha)))))</f>
        <v>1.3770007359613159</v>
      </c>
      <c r="Z186" s="19">
        <f ca="1">IF(RAND()&lt;P_Zero,0,IF(RAND()&lt;CondReturn,_xlfn.LOGNORM.INV(RAND(),MV2,Sigma1),IF(RAND()&lt;CondGood,_xlfn.LOGNORM.INV(RAND(),MV3,Sigma2),MIN(MaxMultiple,Xm/(1-RAND())^(1/Alpha)))))</f>
        <v>0</v>
      </c>
      <c r="AA186" s="19">
        <f ca="1">IF(RAND()&lt;P_Zero,0,IF(RAND()&lt;CondReturn,_xlfn.LOGNORM.INV(RAND(),MV2,Sigma1),IF(RAND()&lt;CondGood,_xlfn.LOGNORM.INV(RAND(),MV3,Sigma2),MIN(MaxMultiple,Xm/(1-RAND())^(1/Alpha)))))</f>
        <v>0.88303516112646341</v>
      </c>
      <c r="AB186" s="19">
        <f t="shared" ca="1" si="16"/>
        <v>1.5235941789661758</v>
      </c>
      <c r="AC186" s="14">
        <f t="shared" ca="1" si="17"/>
        <v>73132520.590376437</v>
      </c>
      <c r="AD186" s="14">
        <f t="shared" ca="1" si="18"/>
        <v>25132520.590376437</v>
      </c>
      <c r="AE186" s="14">
        <f t="shared" si="19"/>
        <v>55628399.869093813</v>
      </c>
      <c r="AF186" s="14">
        <f t="shared" ca="1" si="20"/>
        <v>0</v>
      </c>
      <c r="AG186" s="14">
        <f t="shared" ca="1" si="21"/>
        <v>0</v>
      </c>
      <c r="AH186" s="14">
        <f t="shared" ca="1" si="22"/>
        <v>73132520.590376437</v>
      </c>
      <c r="AI186" s="19">
        <f t="shared" ca="1" si="23"/>
        <v>1.2188753431729407</v>
      </c>
    </row>
    <row r="187" spans="2:35" x14ac:dyDescent="0.2">
      <c r="B187" s="1">
        <v>182</v>
      </c>
      <c r="C187" s="19">
        <f ca="1">IF(RAND()&lt;P_Zero,0,IF(RAND()&lt;CondReturn,_xlfn.LOGNORM.INV(RAND(),MV2,Sigma1),IF(RAND()&lt;CondGood,_xlfn.LOGNORM.INV(RAND(),MV3,Sigma2),MIN(MaxMultiple,Xm/(1-RAND())^(1/Alpha)))))</f>
        <v>1.4975741602414523</v>
      </c>
      <c r="D187" s="19">
        <f ca="1">IF(RAND()&lt;P_Zero,0,IF(RAND()&lt;CondReturn,_xlfn.LOGNORM.INV(RAND(),MV2,Sigma1),IF(RAND()&lt;CondGood,_xlfn.LOGNORM.INV(RAND(),MV3,Sigma2),MIN(MaxMultiple,Xm/(1-RAND())^(1/Alpha)))))</f>
        <v>0</v>
      </c>
      <c r="E187" s="19">
        <f ca="1">IF(RAND()&lt;P_Zero,0,IF(RAND()&lt;CondReturn,_xlfn.LOGNORM.INV(RAND(),MV2,Sigma1),IF(RAND()&lt;CondGood,_xlfn.LOGNORM.INV(RAND(),MV3,Sigma2),MIN(MaxMultiple,Xm/(1-RAND())^(1/Alpha)))))</f>
        <v>0</v>
      </c>
      <c r="F187" s="19">
        <f ca="1">IF(RAND()&lt;P_Zero,0,IF(RAND()&lt;CondReturn,_xlfn.LOGNORM.INV(RAND(),MV2,Sigma1),IF(RAND()&lt;CondGood,_xlfn.LOGNORM.INV(RAND(),MV3,Sigma2),MIN(MaxMultiple,Xm/(1-RAND())^(1/Alpha)))))</f>
        <v>0.8821501498840798</v>
      </c>
      <c r="G187" s="19">
        <f ca="1">IF(RAND()&lt;P_Zero,0,IF(RAND()&lt;CondReturn,_xlfn.LOGNORM.INV(RAND(),MV2,Sigma1),IF(RAND()&lt;CondGood,_xlfn.LOGNORM.INV(RAND(),MV3,Sigma2),MIN(MaxMultiple,Xm/(1-RAND())^(1/Alpha)))))</f>
        <v>1.1738168361710981</v>
      </c>
      <c r="H187" s="19">
        <f ca="1">IF(RAND()&lt;P_Zero,0,IF(RAND()&lt;CondReturn,_xlfn.LOGNORM.INV(RAND(),MV2,Sigma1),IF(RAND()&lt;CondGood,_xlfn.LOGNORM.INV(RAND(),MV3,Sigma2),MIN(MaxMultiple,Xm/(1-RAND())^(1/Alpha)))))</f>
        <v>1.6327166991005346</v>
      </c>
      <c r="I187" s="19">
        <f ca="1">IF(RAND()&lt;P_Zero,0,IF(RAND()&lt;CondReturn,_xlfn.LOGNORM.INV(RAND(),MV2,Sigma1),IF(RAND()&lt;CondGood,_xlfn.LOGNORM.INV(RAND(),MV3,Sigma2),MIN(MaxMultiple,Xm/(1-RAND())^(1/Alpha)))))</f>
        <v>0</v>
      </c>
      <c r="J187" s="19">
        <f ca="1">IF(RAND()&lt;P_Zero,0,IF(RAND()&lt;CondReturn,_xlfn.LOGNORM.INV(RAND(),MV2,Sigma1),IF(RAND()&lt;CondGood,_xlfn.LOGNORM.INV(RAND(),MV3,Sigma2),MIN(MaxMultiple,Xm/(1-RAND())^(1/Alpha)))))</f>
        <v>0</v>
      </c>
      <c r="K187" s="19">
        <f ca="1">IF(RAND()&lt;P_Zero,0,IF(RAND()&lt;CondReturn,_xlfn.LOGNORM.INV(RAND(),MV2,Sigma1),IF(RAND()&lt;CondGood,_xlfn.LOGNORM.INV(RAND(),MV3,Sigma2),MIN(MaxMultiple,Xm/(1-RAND())^(1/Alpha)))))</f>
        <v>0.79080605798457104</v>
      </c>
      <c r="L187" s="19">
        <f ca="1">IF(RAND()&lt;P_Zero,0,IF(RAND()&lt;CondReturn,_xlfn.LOGNORM.INV(RAND(),MV2,Sigma1),IF(RAND()&lt;CondGood,_xlfn.LOGNORM.INV(RAND(),MV3,Sigma2),MIN(MaxMultiple,Xm/(1-RAND())^(1/Alpha)))))</f>
        <v>0.67902627367532054</v>
      </c>
      <c r="M187" s="19">
        <f ca="1">IF(RAND()&lt;P_Zero,0,IF(RAND()&lt;CondReturn,_xlfn.LOGNORM.INV(RAND(),MV2,Sigma1),IF(RAND()&lt;CondGood,_xlfn.LOGNORM.INV(RAND(),MV3,Sigma2),MIN(MaxMultiple,Xm/(1-RAND())^(1/Alpha)))))</f>
        <v>161.10319609221531</v>
      </c>
      <c r="N187" s="19">
        <f ca="1">IF(RAND()&lt;P_Zero,0,IF(RAND()&lt;CondReturn,_xlfn.LOGNORM.INV(RAND(),MV2,Sigma1),IF(RAND()&lt;CondGood,_xlfn.LOGNORM.INV(RAND(),MV3,Sigma2),MIN(MaxMultiple,Xm/(1-RAND())^(1/Alpha)))))</f>
        <v>3.412240061946846</v>
      </c>
      <c r="O187" s="19">
        <f ca="1">IF(RAND()&lt;P_Zero,0,IF(RAND()&lt;CondReturn,_xlfn.LOGNORM.INV(RAND(),MV2,Sigma1),IF(RAND()&lt;CondGood,_xlfn.LOGNORM.INV(RAND(),MV3,Sigma2),MIN(MaxMultiple,Xm/(1-RAND())^(1/Alpha)))))</f>
        <v>0</v>
      </c>
      <c r="P187" s="19">
        <f ca="1">IF(RAND()&lt;P_Zero,0,IF(RAND()&lt;CondReturn,_xlfn.LOGNORM.INV(RAND(),MV2,Sigma1),IF(RAND()&lt;CondGood,_xlfn.LOGNORM.INV(RAND(),MV3,Sigma2),MIN(MaxMultiple,Xm/(1-RAND())^(1/Alpha)))))</f>
        <v>1.9764162847543982</v>
      </c>
      <c r="Q187" s="19">
        <f ca="1">IF(RAND()&lt;P_Zero,0,IF(RAND()&lt;CondReturn,_xlfn.LOGNORM.INV(RAND(),MV2,Sigma1),IF(RAND()&lt;CondGood,_xlfn.LOGNORM.INV(RAND(),MV3,Sigma2),MIN(MaxMultiple,Xm/(1-RAND())^(1/Alpha)))))</f>
        <v>0</v>
      </c>
      <c r="R187" s="19">
        <f ca="1">IF(RAND()&lt;P_Zero,0,IF(RAND()&lt;CondReturn,_xlfn.LOGNORM.INV(RAND(),MV2,Sigma1),IF(RAND()&lt;CondGood,_xlfn.LOGNORM.INV(RAND(),MV3,Sigma2),MIN(MaxMultiple,Xm/(1-RAND())^(1/Alpha)))))</f>
        <v>0.59258897351775386</v>
      </c>
      <c r="S187" s="19">
        <f ca="1">IF(RAND()&lt;P_Zero,0,IF(RAND()&lt;CondReturn,_xlfn.LOGNORM.INV(RAND(),MV2,Sigma1),IF(RAND()&lt;CondGood,_xlfn.LOGNORM.INV(RAND(),MV3,Sigma2),MIN(MaxMultiple,Xm/(1-RAND())^(1/Alpha)))))</f>
        <v>0</v>
      </c>
      <c r="T187" s="19">
        <f ca="1">IF(RAND()&lt;P_Zero,0,IF(RAND()&lt;CondReturn,_xlfn.LOGNORM.INV(RAND(),MV2,Sigma1),IF(RAND()&lt;CondGood,_xlfn.LOGNORM.INV(RAND(),MV3,Sigma2),MIN(MaxMultiple,Xm/(1-RAND())^(1/Alpha)))))</f>
        <v>0.75407233731891044</v>
      </c>
      <c r="U187" s="19">
        <f ca="1">IF(RAND()&lt;P_Zero,0,IF(RAND()&lt;CondReturn,_xlfn.LOGNORM.INV(RAND(),MV2,Sigma1),IF(RAND()&lt;CondGood,_xlfn.LOGNORM.INV(RAND(),MV3,Sigma2),MIN(MaxMultiple,Xm/(1-RAND())^(1/Alpha)))))</f>
        <v>0</v>
      </c>
      <c r="V187" s="19">
        <f ca="1">IF(RAND()&lt;P_Zero,0,IF(RAND()&lt;CondReturn,_xlfn.LOGNORM.INV(RAND(),MV2,Sigma1),IF(RAND()&lt;CondGood,_xlfn.LOGNORM.INV(RAND(),MV3,Sigma2),MIN(MaxMultiple,Xm/(1-RAND())^(1/Alpha)))))</f>
        <v>0</v>
      </c>
      <c r="W187" s="19">
        <f ca="1">IF(RAND()&lt;P_Zero,0,IF(RAND()&lt;CondReturn,_xlfn.LOGNORM.INV(RAND(),MV2,Sigma1),IF(RAND()&lt;CondGood,_xlfn.LOGNORM.INV(RAND(),MV3,Sigma2),MIN(MaxMultiple,Xm/(1-RAND())^(1/Alpha)))))</f>
        <v>0</v>
      </c>
      <c r="X187" s="19">
        <f ca="1">IF(RAND()&lt;P_Zero,0,IF(RAND()&lt;CondReturn,_xlfn.LOGNORM.INV(RAND(),MV2,Sigma1),IF(RAND()&lt;CondGood,_xlfn.LOGNORM.INV(RAND(),MV3,Sigma2),MIN(MaxMultiple,Xm/(1-RAND())^(1/Alpha)))))</f>
        <v>0</v>
      </c>
      <c r="Y187" s="19">
        <f ca="1">IF(RAND()&lt;P_Zero,0,IF(RAND()&lt;CondReturn,_xlfn.LOGNORM.INV(RAND(),MV2,Sigma1),IF(RAND()&lt;CondGood,_xlfn.LOGNORM.INV(RAND(),MV3,Sigma2),MIN(MaxMultiple,Xm/(1-RAND())^(1/Alpha)))))</f>
        <v>0.99050790091649277</v>
      </c>
      <c r="Z187" s="19">
        <f ca="1">IF(RAND()&lt;P_Zero,0,IF(RAND()&lt;CondReturn,_xlfn.LOGNORM.INV(RAND(),MV2,Sigma1),IF(RAND()&lt;CondGood,_xlfn.LOGNORM.INV(RAND(),MV3,Sigma2),MIN(MaxMultiple,Xm/(1-RAND())^(1/Alpha)))))</f>
        <v>0</v>
      </c>
      <c r="AA187" s="19">
        <f ca="1">IF(RAND()&lt;P_Zero,0,IF(RAND()&lt;CondReturn,_xlfn.LOGNORM.INV(RAND(),MV2,Sigma1),IF(RAND()&lt;CondGood,_xlfn.LOGNORM.INV(RAND(),MV3,Sigma2),MIN(MaxMultiple,Xm/(1-RAND())^(1/Alpha)))))</f>
        <v>6.3313780084449123</v>
      </c>
      <c r="AB187" s="19">
        <f t="shared" ca="1" si="16"/>
        <v>7.2726595934468685</v>
      </c>
      <c r="AC187" s="14">
        <f t="shared" ca="1" si="17"/>
        <v>349087660.48544967</v>
      </c>
      <c r="AD187" s="14">
        <f t="shared" ca="1" si="18"/>
        <v>301087660.48544967</v>
      </c>
      <c r="AE187" s="14">
        <f t="shared" si="19"/>
        <v>55628399.869093813</v>
      </c>
      <c r="AF187" s="14">
        <f t="shared" ca="1" si="20"/>
        <v>245459260.61635587</v>
      </c>
      <c r="AG187" s="14">
        <f t="shared" ca="1" si="21"/>
        <v>49091852.123271175</v>
      </c>
      <c r="AH187" s="14">
        <f t="shared" ca="1" si="22"/>
        <v>299995808.3621785</v>
      </c>
      <c r="AI187" s="19">
        <f t="shared" ca="1" si="23"/>
        <v>4.999930139369642</v>
      </c>
    </row>
    <row r="188" spans="2:35" x14ac:dyDescent="0.2">
      <c r="B188" s="1">
        <v>183</v>
      </c>
      <c r="C188" s="19">
        <f ca="1">IF(RAND()&lt;P_Zero,0,IF(RAND()&lt;CondReturn,_xlfn.LOGNORM.INV(RAND(),MV2,Sigma1),IF(RAND()&lt;CondGood,_xlfn.LOGNORM.INV(RAND(),MV3,Sigma2),MIN(MaxMultiple,Xm/(1-RAND())^(1/Alpha)))))</f>
        <v>0</v>
      </c>
      <c r="D188" s="19">
        <f ca="1">IF(RAND()&lt;P_Zero,0,IF(RAND()&lt;CondReturn,_xlfn.LOGNORM.INV(RAND(),MV2,Sigma1),IF(RAND()&lt;CondGood,_xlfn.LOGNORM.INV(RAND(),MV3,Sigma2),MIN(MaxMultiple,Xm/(1-RAND())^(1/Alpha)))))</f>
        <v>0.56475961552380249</v>
      </c>
      <c r="E188" s="19">
        <f ca="1">IF(RAND()&lt;P_Zero,0,IF(RAND()&lt;CondReturn,_xlfn.LOGNORM.INV(RAND(),MV2,Sigma1),IF(RAND()&lt;CondGood,_xlfn.LOGNORM.INV(RAND(),MV3,Sigma2),MIN(MaxMultiple,Xm/(1-RAND())^(1/Alpha)))))</f>
        <v>0</v>
      </c>
      <c r="F188" s="19">
        <f ca="1">IF(RAND()&lt;P_Zero,0,IF(RAND()&lt;CondReturn,_xlfn.LOGNORM.INV(RAND(),MV2,Sigma1),IF(RAND()&lt;CondGood,_xlfn.LOGNORM.INV(RAND(),MV3,Sigma2),MIN(MaxMultiple,Xm/(1-RAND())^(1/Alpha)))))</f>
        <v>0.52698502130231362</v>
      </c>
      <c r="G188" s="19">
        <f ca="1">IF(RAND()&lt;P_Zero,0,IF(RAND()&lt;CondReturn,_xlfn.LOGNORM.INV(RAND(),MV2,Sigma1),IF(RAND()&lt;CondGood,_xlfn.LOGNORM.INV(RAND(),MV3,Sigma2),MIN(MaxMultiple,Xm/(1-RAND())^(1/Alpha)))))</f>
        <v>1.0650495001778113</v>
      </c>
      <c r="H188" s="19">
        <f ca="1">IF(RAND()&lt;P_Zero,0,IF(RAND()&lt;CondReturn,_xlfn.LOGNORM.INV(RAND(),MV2,Sigma1),IF(RAND()&lt;CondGood,_xlfn.LOGNORM.INV(RAND(),MV3,Sigma2),MIN(MaxMultiple,Xm/(1-RAND())^(1/Alpha)))))</f>
        <v>0</v>
      </c>
      <c r="I188" s="19">
        <f ca="1">IF(RAND()&lt;P_Zero,0,IF(RAND()&lt;CondReturn,_xlfn.LOGNORM.INV(RAND(),MV2,Sigma1),IF(RAND()&lt;CondGood,_xlfn.LOGNORM.INV(RAND(),MV3,Sigma2),MIN(MaxMultiple,Xm/(1-RAND())^(1/Alpha)))))</f>
        <v>0.46318914991554899</v>
      </c>
      <c r="J188" s="19">
        <f ca="1">IF(RAND()&lt;P_Zero,0,IF(RAND()&lt;CondReturn,_xlfn.LOGNORM.INV(RAND(),MV2,Sigma1),IF(RAND()&lt;CondGood,_xlfn.LOGNORM.INV(RAND(),MV3,Sigma2),MIN(MaxMultiple,Xm/(1-RAND())^(1/Alpha)))))</f>
        <v>0.99331336698984507</v>
      </c>
      <c r="K188" s="19">
        <f ca="1">IF(RAND()&lt;P_Zero,0,IF(RAND()&lt;CondReturn,_xlfn.LOGNORM.INV(RAND(),MV2,Sigma1),IF(RAND()&lt;CondGood,_xlfn.LOGNORM.INV(RAND(),MV3,Sigma2),MIN(MaxMultiple,Xm/(1-RAND())^(1/Alpha)))))</f>
        <v>0.56299514348925672</v>
      </c>
      <c r="L188" s="19">
        <f ca="1">IF(RAND()&lt;P_Zero,0,IF(RAND()&lt;CondReturn,_xlfn.LOGNORM.INV(RAND(),MV2,Sigma1),IF(RAND()&lt;CondGood,_xlfn.LOGNORM.INV(RAND(),MV3,Sigma2),MIN(MaxMultiple,Xm/(1-RAND())^(1/Alpha)))))</f>
        <v>0.55857477165244362</v>
      </c>
      <c r="M188" s="19">
        <f ca="1">IF(RAND()&lt;P_Zero,0,IF(RAND()&lt;CondReturn,_xlfn.LOGNORM.INV(RAND(),MV2,Sigma1),IF(RAND()&lt;CondGood,_xlfn.LOGNORM.INV(RAND(),MV3,Sigma2),MIN(MaxMultiple,Xm/(1-RAND())^(1/Alpha)))))</f>
        <v>0.39416463117381928</v>
      </c>
      <c r="N188" s="19">
        <f ca="1">IF(RAND()&lt;P_Zero,0,IF(RAND()&lt;CondReturn,_xlfn.LOGNORM.INV(RAND(),MV2,Sigma1),IF(RAND()&lt;CondGood,_xlfn.LOGNORM.INV(RAND(),MV3,Sigma2),MIN(MaxMultiple,Xm/(1-RAND())^(1/Alpha)))))</f>
        <v>0</v>
      </c>
      <c r="O188" s="19">
        <f ca="1">IF(RAND()&lt;P_Zero,0,IF(RAND()&lt;CondReturn,_xlfn.LOGNORM.INV(RAND(),MV2,Sigma1),IF(RAND()&lt;CondGood,_xlfn.LOGNORM.INV(RAND(),MV3,Sigma2),MIN(MaxMultiple,Xm/(1-RAND())^(1/Alpha)))))</f>
        <v>2.1983703628623998</v>
      </c>
      <c r="P188" s="19">
        <f ca="1">IF(RAND()&lt;P_Zero,0,IF(RAND()&lt;CondReturn,_xlfn.LOGNORM.INV(RAND(),MV2,Sigma1),IF(RAND()&lt;CondGood,_xlfn.LOGNORM.INV(RAND(),MV3,Sigma2),MIN(MaxMultiple,Xm/(1-RAND())^(1/Alpha)))))</f>
        <v>0.98487607483493489</v>
      </c>
      <c r="Q188" s="19">
        <f ca="1">IF(RAND()&lt;P_Zero,0,IF(RAND()&lt;CondReturn,_xlfn.LOGNORM.INV(RAND(),MV2,Sigma1),IF(RAND()&lt;CondGood,_xlfn.LOGNORM.INV(RAND(),MV3,Sigma2),MIN(MaxMultiple,Xm/(1-RAND())^(1/Alpha)))))</f>
        <v>1.0201549443730662</v>
      </c>
      <c r="R188" s="19">
        <f ca="1">IF(RAND()&lt;P_Zero,0,IF(RAND()&lt;CondReturn,_xlfn.LOGNORM.INV(RAND(),MV2,Sigma1),IF(RAND()&lt;CondGood,_xlfn.LOGNORM.INV(RAND(),MV3,Sigma2),MIN(MaxMultiple,Xm/(1-RAND())^(1/Alpha)))))</f>
        <v>1.4638537205059836</v>
      </c>
      <c r="S188" s="19">
        <f ca="1">IF(RAND()&lt;P_Zero,0,IF(RAND()&lt;CondReturn,_xlfn.LOGNORM.INV(RAND(),MV2,Sigma1),IF(RAND()&lt;CondGood,_xlfn.LOGNORM.INV(RAND(),MV3,Sigma2),MIN(MaxMultiple,Xm/(1-RAND())^(1/Alpha)))))</f>
        <v>0</v>
      </c>
      <c r="T188" s="19">
        <f ca="1">IF(RAND()&lt;P_Zero,0,IF(RAND()&lt;CondReturn,_xlfn.LOGNORM.INV(RAND(),MV2,Sigma1),IF(RAND()&lt;CondGood,_xlfn.LOGNORM.INV(RAND(),MV3,Sigma2),MIN(MaxMultiple,Xm/(1-RAND())^(1/Alpha)))))</f>
        <v>0</v>
      </c>
      <c r="U188" s="19">
        <f ca="1">IF(RAND()&lt;P_Zero,0,IF(RAND()&lt;CondReturn,_xlfn.LOGNORM.INV(RAND(),MV2,Sigma1),IF(RAND()&lt;CondGood,_xlfn.LOGNORM.INV(RAND(),MV3,Sigma2),MIN(MaxMultiple,Xm/(1-RAND())^(1/Alpha)))))</f>
        <v>40.596485533219862</v>
      </c>
      <c r="V188" s="19">
        <f ca="1">IF(RAND()&lt;P_Zero,0,IF(RAND()&lt;CondReturn,_xlfn.LOGNORM.INV(RAND(),MV2,Sigma1),IF(RAND()&lt;CondGood,_xlfn.LOGNORM.INV(RAND(),MV3,Sigma2),MIN(MaxMultiple,Xm/(1-RAND())^(1/Alpha)))))</f>
        <v>21.403475138063463</v>
      </c>
      <c r="W188" s="19">
        <f ca="1">IF(RAND()&lt;P_Zero,0,IF(RAND()&lt;CondReturn,_xlfn.LOGNORM.INV(RAND(),MV2,Sigma1),IF(RAND()&lt;CondGood,_xlfn.LOGNORM.INV(RAND(),MV3,Sigma2),MIN(MaxMultiple,Xm/(1-RAND())^(1/Alpha)))))</f>
        <v>0</v>
      </c>
      <c r="X188" s="19">
        <f ca="1">IF(RAND()&lt;P_Zero,0,IF(RAND()&lt;CondReturn,_xlfn.LOGNORM.INV(RAND(),MV2,Sigma1),IF(RAND()&lt;CondGood,_xlfn.LOGNORM.INV(RAND(),MV3,Sigma2),MIN(MaxMultiple,Xm/(1-RAND())^(1/Alpha)))))</f>
        <v>1.2981424262254846</v>
      </c>
      <c r="Y188" s="19">
        <f ca="1">IF(RAND()&lt;P_Zero,0,IF(RAND()&lt;CondReturn,_xlfn.LOGNORM.INV(RAND(),MV2,Sigma1),IF(RAND()&lt;CondGood,_xlfn.LOGNORM.INV(RAND(),MV3,Sigma2),MIN(MaxMultiple,Xm/(1-RAND())^(1/Alpha)))))</f>
        <v>0</v>
      </c>
      <c r="Z188" s="19">
        <f ca="1">IF(RAND()&lt;P_Zero,0,IF(RAND()&lt;CondReturn,_xlfn.LOGNORM.INV(RAND(),MV2,Sigma1),IF(RAND()&lt;CondGood,_xlfn.LOGNORM.INV(RAND(),MV3,Sigma2),MIN(MaxMultiple,Xm/(1-RAND())^(1/Alpha)))))</f>
        <v>0.94697153671777634</v>
      </c>
      <c r="AA188" s="19">
        <f ca="1">IF(RAND()&lt;P_Zero,0,IF(RAND()&lt;CondReturn,_xlfn.LOGNORM.INV(RAND(),MV2,Sigma1),IF(RAND()&lt;CondGood,_xlfn.LOGNORM.INV(RAND(),MV3,Sigma2),MIN(MaxMultiple,Xm/(1-RAND())^(1/Alpha)))))</f>
        <v>0</v>
      </c>
      <c r="AB188" s="19">
        <f t="shared" ca="1" si="16"/>
        <v>3.0016544374811129</v>
      </c>
      <c r="AC188" s="14">
        <f t="shared" ca="1" si="17"/>
        <v>144079412.99909341</v>
      </c>
      <c r="AD188" s="14">
        <f t="shared" ca="1" si="18"/>
        <v>96079412.999093413</v>
      </c>
      <c r="AE188" s="14">
        <f t="shared" si="19"/>
        <v>55628399.869093813</v>
      </c>
      <c r="AF188" s="14">
        <f t="shared" ca="1" si="20"/>
        <v>40451013.1299996</v>
      </c>
      <c r="AG188" s="14">
        <f t="shared" ca="1" si="21"/>
        <v>8090202.6259999201</v>
      </c>
      <c r="AH188" s="14">
        <f t="shared" ca="1" si="22"/>
        <v>135989210.37309349</v>
      </c>
      <c r="AI188" s="19">
        <f t="shared" ca="1" si="23"/>
        <v>2.2664868395515581</v>
      </c>
    </row>
    <row r="189" spans="2:35" x14ac:dyDescent="0.2">
      <c r="B189" s="1">
        <v>184</v>
      </c>
      <c r="C189" s="19">
        <f ca="1">IF(RAND()&lt;P_Zero,0,IF(RAND()&lt;CondReturn,_xlfn.LOGNORM.INV(RAND(),MV2,Sigma1),IF(RAND()&lt;CondGood,_xlfn.LOGNORM.INV(RAND(),MV3,Sigma2),MIN(MaxMultiple,Xm/(1-RAND())^(1/Alpha)))))</f>
        <v>0</v>
      </c>
      <c r="D189" s="19">
        <f ca="1">IF(RAND()&lt;P_Zero,0,IF(RAND()&lt;CondReturn,_xlfn.LOGNORM.INV(RAND(),MV2,Sigma1),IF(RAND()&lt;CondGood,_xlfn.LOGNORM.INV(RAND(),MV3,Sigma2),MIN(MaxMultiple,Xm/(1-RAND())^(1/Alpha)))))</f>
        <v>0</v>
      </c>
      <c r="E189" s="19">
        <f ca="1">IF(RAND()&lt;P_Zero,0,IF(RAND()&lt;CondReturn,_xlfn.LOGNORM.INV(RAND(),MV2,Sigma1),IF(RAND()&lt;CondGood,_xlfn.LOGNORM.INV(RAND(),MV3,Sigma2),MIN(MaxMultiple,Xm/(1-RAND())^(1/Alpha)))))</f>
        <v>0.45431287503839018</v>
      </c>
      <c r="F189" s="19">
        <f ca="1">IF(RAND()&lt;P_Zero,0,IF(RAND()&lt;CondReturn,_xlfn.LOGNORM.INV(RAND(),MV2,Sigma1),IF(RAND()&lt;CondGood,_xlfn.LOGNORM.INV(RAND(),MV3,Sigma2),MIN(MaxMultiple,Xm/(1-RAND())^(1/Alpha)))))</f>
        <v>0</v>
      </c>
      <c r="G189" s="19">
        <f ca="1">IF(RAND()&lt;P_Zero,0,IF(RAND()&lt;CondReturn,_xlfn.LOGNORM.INV(RAND(),MV2,Sigma1),IF(RAND()&lt;CondGood,_xlfn.LOGNORM.INV(RAND(),MV3,Sigma2),MIN(MaxMultiple,Xm/(1-RAND())^(1/Alpha)))))</f>
        <v>1.320610535935675</v>
      </c>
      <c r="H189" s="19">
        <f ca="1">IF(RAND()&lt;P_Zero,0,IF(RAND()&lt;CondReturn,_xlfn.LOGNORM.INV(RAND(),MV2,Sigma1),IF(RAND()&lt;CondGood,_xlfn.LOGNORM.INV(RAND(),MV3,Sigma2),MIN(MaxMultiple,Xm/(1-RAND())^(1/Alpha)))))</f>
        <v>1.5417840418146582</v>
      </c>
      <c r="I189" s="19">
        <f ca="1">IF(RAND()&lt;P_Zero,0,IF(RAND()&lt;CondReturn,_xlfn.LOGNORM.INV(RAND(),MV2,Sigma1),IF(RAND()&lt;CondGood,_xlfn.LOGNORM.INV(RAND(),MV3,Sigma2),MIN(MaxMultiple,Xm/(1-RAND())^(1/Alpha)))))</f>
        <v>0</v>
      </c>
      <c r="J189" s="19">
        <f ca="1">IF(RAND()&lt;P_Zero,0,IF(RAND()&lt;CondReturn,_xlfn.LOGNORM.INV(RAND(),MV2,Sigma1),IF(RAND()&lt;CondGood,_xlfn.LOGNORM.INV(RAND(),MV3,Sigma2),MIN(MaxMultiple,Xm/(1-RAND())^(1/Alpha)))))</f>
        <v>1.2156080829217353</v>
      </c>
      <c r="K189" s="19">
        <f ca="1">IF(RAND()&lt;P_Zero,0,IF(RAND()&lt;CondReturn,_xlfn.LOGNORM.INV(RAND(),MV2,Sigma1),IF(RAND()&lt;CondGood,_xlfn.LOGNORM.INV(RAND(),MV3,Sigma2),MIN(MaxMultiple,Xm/(1-RAND())^(1/Alpha)))))</f>
        <v>1.0230614882419062</v>
      </c>
      <c r="L189" s="19">
        <f ca="1">IF(RAND()&lt;P_Zero,0,IF(RAND()&lt;CondReturn,_xlfn.LOGNORM.INV(RAND(),MV2,Sigma1),IF(RAND()&lt;CondGood,_xlfn.LOGNORM.INV(RAND(),MV3,Sigma2),MIN(MaxMultiple,Xm/(1-RAND())^(1/Alpha)))))</f>
        <v>1.0175159085053134</v>
      </c>
      <c r="M189" s="19">
        <f ca="1">IF(RAND()&lt;P_Zero,0,IF(RAND()&lt;CondReturn,_xlfn.LOGNORM.INV(RAND(),MV2,Sigma1),IF(RAND()&lt;CondGood,_xlfn.LOGNORM.INV(RAND(),MV3,Sigma2),MIN(MaxMultiple,Xm/(1-RAND())^(1/Alpha)))))</f>
        <v>1.0871239522638518</v>
      </c>
      <c r="N189" s="19">
        <f ca="1">IF(RAND()&lt;P_Zero,0,IF(RAND()&lt;CondReturn,_xlfn.LOGNORM.INV(RAND(),MV2,Sigma1),IF(RAND()&lt;CondGood,_xlfn.LOGNORM.INV(RAND(),MV3,Sigma2),MIN(MaxMultiple,Xm/(1-RAND())^(1/Alpha)))))</f>
        <v>0</v>
      </c>
      <c r="O189" s="19">
        <f ca="1">IF(RAND()&lt;P_Zero,0,IF(RAND()&lt;CondReturn,_xlfn.LOGNORM.INV(RAND(),MV2,Sigma1),IF(RAND()&lt;CondGood,_xlfn.LOGNORM.INV(RAND(),MV3,Sigma2),MIN(MaxMultiple,Xm/(1-RAND())^(1/Alpha)))))</f>
        <v>0</v>
      </c>
      <c r="P189" s="19">
        <f ca="1">IF(RAND()&lt;P_Zero,0,IF(RAND()&lt;CondReturn,_xlfn.LOGNORM.INV(RAND(),MV2,Sigma1),IF(RAND()&lt;CondGood,_xlfn.LOGNORM.INV(RAND(),MV3,Sigma2),MIN(MaxMultiple,Xm/(1-RAND())^(1/Alpha)))))</f>
        <v>10.766043475754815</v>
      </c>
      <c r="Q189" s="19">
        <f ca="1">IF(RAND()&lt;P_Zero,0,IF(RAND()&lt;CondReturn,_xlfn.LOGNORM.INV(RAND(),MV2,Sigma1),IF(RAND()&lt;CondGood,_xlfn.LOGNORM.INV(RAND(),MV3,Sigma2),MIN(MaxMultiple,Xm/(1-RAND())^(1/Alpha)))))</f>
        <v>0</v>
      </c>
      <c r="R189" s="19">
        <f ca="1">IF(RAND()&lt;P_Zero,0,IF(RAND()&lt;CondReturn,_xlfn.LOGNORM.INV(RAND(),MV2,Sigma1),IF(RAND()&lt;CondGood,_xlfn.LOGNORM.INV(RAND(),MV3,Sigma2),MIN(MaxMultiple,Xm/(1-RAND())^(1/Alpha)))))</f>
        <v>0</v>
      </c>
      <c r="S189" s="19">
        <f ca="1">IF(RAND()&lt;P_Zero,0,IF(RAND()&lt;CondReturn,_xlfn.LOGNORM.INV(RAND(),MV2,Sigma1),IF(RAND()&lt;CondGood,_xlfn.LOGNORM.INV(RAND(),MV3,Sigma2),MIN(MaxMultiple,Xm/(1-RAND())^(1/Alpha)))))</f>
        <v>1.2548669806774344</v>
      </c>
      <c r="T189" s="19">
        <f ca="1">IF(RAND()&lt;P_Zero,0,IF(RAND()&lt;CondReturn,_xlfn.LOGNORM.INV(RAND(),MV2,Sigma1),IF(RAND()&lt;CondGood,_xlfn.LOGNORM.INV(RAND(),MV3,Sigma2),MIN(MaxMultiple,Xm/(1-RAND())^(1/Alpha)))))</f>
        <v>0</v>
      </c>
      <c r="U189" s="19">
        <f ca="1">IF(RAND()&lt;P_Zero,0,IF(RAND()&lt;CondReturn,_xlfn.LOGNORM.INV(RAND(),MV2,Sigma1),IF(RAND()&lt;CondGood,_xlfn.LOGNORM.INV(RAND(),MV3,Sigma2),MIN(MaxMultiple,Xm/(1-RAND())^(1/Alpha)))))</f>
        <v>1.3750706807216491</v>
      </c>
      <c r="V189" s="19">
        <f ca="1">IF(RAND()&lt;P_Zero,0,IF(RAND()&lt;CondReturn,_xlfn.LOGNORM.INV(RAND(),MV2,Sigma1),IF(RAND()&lt;CondGood,_xlfn.LOGNORM.INV(RAND(),MV3,Sigma2),MIN(MaxMultiple,Xm/(1-RAND())^(1/Alpha)))))</f>
        <v>1.0610396496473382</v>
      </c>
      <c r="W189" s="19">
        <f ca="1">IF(RAND()&lt;P_Zero,0,IF(RAND()&lt;CondReturn,_xlfn.LOGNORM.INV(RAND(),MV2,Sigma1),IF(RAND()&lt;CondGood,_xlfn.LOGNORM.INV(RAND(),MV3,Sigma2),MIN(MaxMultiple,Xm/(1-RAND())^(1/Alpha)))))</f>
        <v>2.5345243673320716</v>
      </c>
      <c r="X189" s="19">
        <f ca="1">IF(RAND()&lt;P_Zero,0,IF(RAND()&lt;CondReturn,_xlfn.LOGNORM.INV(RAND(),MV2,Sigma1),IF(RAND()&lt;CondGood,_xlfn.LOGNORM.INV(RAND(),MV3,Sigma2),MIN(MaxMultiple,Xm/(1-RAND())^(1/Alpha)))))</f>
        <v>0</v>
      </c>
      <c r="Y189" s="19">
        <f ca="1">IF(RAND()&lt;P_Zero,0,IF(RAND()&lt;CondReturn,_xlfn.LOGNORM.INV(RAND(),MV2,Sigma1),IF(RAND()&lt;CondGood,_xlfn.LOGNORM.INV(RAND(),MV3,Sigma2),MIN(MaxMultiple,Xm/(1-RAND())^(1/Alpha)))))</f>
        <v>0.79367667740429049</v>
      </c>
      <c r="Z189" s="19">
        <f ca="1">IF(RAND()&lt;P_Zero,0,IF(RAND()&lt;CondReturn,_xlfn.LOGNORM.INV(RAND(),MV2,Sigma1),IF(RAND()&lt;CondGood,_xlfn.LOGNORM.INV(RAND(),MV3,Sigma2),MIN(MaxMultiple,Xm/(1-RAND())^(1/Alpha)))))</f>
        <v>0</v>
      </c>
      <c r="AA189" s="19">
        <f ca="1">IF(RAND()&lt;P_Zero,0,IF(RAND()&lt;CondReturn,_xlfn.LOGNORM.INV(RAND(),MV2,Sigma1),IF(RAND()&lt;CondGood,_xlfn.LOGNORM.INV(RAND(),MV3,Sigma2),MIN(MaxMultiple,Xm/(1-RAND())^(1/Alpha)))))</f>
        <v>0</v>
      </c>
      <c r="AB189" s="19">
        <f t="shared" ca="1" si="16"/>
        <v>1.0178095486503651</v>
      </c>
      <c r="AC189" s="14">
        <f t="shared" ca="1" si="17"/>
        <v>48854858.335217528</v>
      </c>
      <c r="AD189" s="14">
        <f t="shared" ca="1" si="18"/>
        <v>854858.33521752805</v>
      </c>
      <c r="AE189" s="14">
        <f t="shared" si="19"/>
        <v>55628399.869093813</v>
      </c>
      <c r="AF189" s="14">
        <f t="shared" ca="1" si="20"/>
        <v>0</v>
      </c>
      <c r="AG189" s="14">
        <f t="shared" ca="1" si="21"/>
        <v>0</v>
      </c>
      <c r="AH189" s="14">
        <f t="shared" ca="1" si="22"/>
        <v>48854858.335217528</v>
      </c>
      <c r="AI189" s="19">
        <f t="shared" ca="1" si="23"/>
        <v>0.81424763892029217</v>
      </c>
    </row>
    <row r="190" spans="2:35" x14ac:dyDescent="0.2">
      <c r="B190" s="1">
        <v>185</v>
      </c>
      <c r="C190" s="19">
        <f ca="1">IF(RAND()&lt;P_Zero,0,IF(RAND()&lt;CondReturn,_xlfn.LOGNORM.INV(RAND(),MV2,Sigma1),IF(RAND()&lt;CondGood,_xlfn.LOGNORM.INV(RAND(),MV3,Sigma2),MIN(MaxMultiple,Xm/(1-RAND())^(1/Alpha)))))</f>
        <v>1.0260253819069143</v>
      </c>
      <c r="D190" s="19">
        <f ca="1">IF(RAND()&lt;P_Zero,0,IF(RAND()&lt;CondReturn,_xlfn.LOGNORM.INV(RAND(),MV2,Sigma1),IF(RAND()&lt;CondGood,_xlfn.LOGNORM.INV(RAND(),MV3,Sigma2),MIN(MaxMultiple,Xm/(1-RAND())^(1/Alpha)))))</f>
        <v>0.90607015897296228</v>
      </c>
      <c r="E190" s="19">
        <f ca="1">IF(RAND()&lt;P_Zero,0,IF(RAND()&lt;CondReturn,_xlfn.LOGNORM.INV(RAND(),MV2,Sigma1),IF(RAND()&lt;CondGood,_xlfn.LOGNORM.INV(RAND(),MV3,Sigma2),MIN(MaxMultiple,Xm/(1-RAND())^(1/Alpha)))))</f>
        <v>11.460954615997382</v>
      </c>
      <c r="F190" s="19">
        <f ca="1">IF(RAND()&lt;P_Zero,0,IF(RAND()&lt;CondReturn,_xlfn.LOGNORM.INV(RAND(),MV2,Sigma1),IF(RAND()&lt;CondGood,_xlfn.LOGNORM.INV(RAND(),MV3,Sigma2),MIN(MaxMultiple,Xm/(1-RAND())^(1/Alpha)))))</f>
        <v>2.2487116458355678</v>
      </c>
      <c r="G190" s="19">
        <f ca="1">IF(RAND()&lt;P_Zero,0,IF(RAND()&lt;CondReturn,_xlfn.LOGNORM.INV(RAND(),MV2,Sigma1),IF(RAND()&lt;CondGood,_xlfn.LOGNORM.INV(RAND(),MV3,Sigma2),MIN(MaxMultiple,Xm/(1-RAND())^(1/Alpha)))))</f>
        <v>0</v>
      </c>
      <c r="H190" s="19">
        <f ca="1">IF(RAND()&lt;P_Zero,0,IF(RAND()&lt;CondReturn,_xlfn.LOGNORM.INV(RAND(),MV2,Sigma1),IF(RAND()&lt;CondGood,_xlfn.LOGNORM.INV(RAND(),MV3,Sigma2),MIN(MaxMultiple,Xm/(1-RAND())^(1/Alpha)))))</f>
        <v>1.8763118159482881</v>
      </c>
      <c r="I190" s="19">
        <f ca="1">IF(RAND()&lt;P_Zero,0,IF(RAND()&lt;CondReturn,_xlfn.LOGNORM.INV(RAND(),MV2,Sigma1),IF(RAND()&lt;CondGood,_xlfn.LOGNORM.INV(RAND(),MV3,Sigma2),MIN(MaxMultiple,Xm/(1-RAND())^(1/Alpha)))))</f>
        <v>0.67492583912421855</v>
      </c>
      <c r="J190" s="19">
        <f ca="1">IF(RAND()&lt;P_Zero,0,IF(RAND()&lt;CondReturn,_xlfn.LOGNORM.INV(RAND(),MV2,Sigma1),IF(RAND()&lt;CondGood,_xlfn.LOGNORM.INV(RAND(),MV3,Sigma2),MIN(MaxMultiple,Xm/(1-RAND())^(1/Alpha)))))</f>
        <v>0</v>
      </c>
      <c r="K190" s="19">
        <f ca="1">IF(RAND()&lt;P_Zero,0,IF(RAND()&lt;CondReturn,_xlfn.LOGNORM.INV(RAND(),MV2,Sigma1),IF(RAND()&lt;CondGood,_xlfn.LOGNORM.INV(RAND(),MV3,Sigma2),MIN(MaxMultiple,Xm/(1-RAND())^(1/Alpha)))))</f>
        <v>1.0094941327301352</v>
      </c>
      <c r="L190" s="19">
        <f ca="1">IF(RAND()&lt;P_Zero,0,IF(RAND()&lt;CondReturn,_xlfn.LOGNORM.INV(RAND(),MV2,Sigma1),IF(RAND()&lt;CondGood,_xlfn.LOGNORM.INV(RAND(),MV3,Sigma2),MIN(MaxMultiple,Xm/(1-RAND())^(1/Alpha)))))</f>
        <v>0.64956746304042623</v>
      </c>
      <c r="M190" s="19">
        <f ca="1">IF(RAND()&lt;P_Zero,0,IF(RAND()&lt;CondReturn,_xlfn.LOGNORM.INV(RAND(),MV2,Sigma1),IF(RAND()&lt;CondGood,_xlfn.LOGNORM.INV(RAND(),MV3,Sigma2),MIN(MaxMultiple,Xm/(1-RAND())^(1/Alpha)))))</f>
        <v>0.54585292175865696</v>
      </c>
      <c r="N190" s="19">
        <f ca="1">IF(RAND()&lt;P_Zero,0,IF(RAND()&lt;CondReturn,_xlfn.LOGNORM.INV(RAND(),MV2,Sigma1),IF(RAND()&lt;CondGood,_xlfn.LOGNORM.INV(RAND(),MV3,Sigma2),MIN(MaxMultiple,Xm/(1-RAND())^(1/Alpha)))))</f>
        <v>0.58142589086008167</v>
      </c>
      <c r="O190" s="19">
        <f ca="1">IF(RAND()&lt;P_Zero,0,IF(RAND()&lt;CondReturn,_xlfn.LOGNORM.INV(RAND(),MV2,Sigma1),IF(RAND()&lt;CondGood,_xlfn.LOGNORM.INV(RAND(),MV3,Sigma2),MIN(MaxMultiple,Xm/(1-RAND())^(1/Alpha)))))</f>
        <v>2.4584616295158912</v>
      </c>
      <c r="P190" s="19">
        <f ca="1">IF(RAND()&lt;P_Zero,0,IF(RAND()&lt;CondReturn,_xlfn.LOGNORM.INV(RAND(),MV2,Sigma1),IF(RAND()&lt;CondGood,_xlfn.LOGNORM.INV(RAND(),MV3,Sigma2),MIN(MaxMultiple,Xm/(1-RAND())^(1/Alpha)))))</f>
        <v>0.97397943127468334</v>
      </c>
      <c r="Q190" s="19">
        <f ca="1">IF(RAND()&lt;P_Zero,0,IF(RAND()&lt;CondReturn,_xlfn.LOGNORM.INV(RAND(),MV2,Sigma1),IF(RAND()&lt;CondGood,_xlfn.LOGNORM.INV(RAND(),MV3,Sigma2),MIN(MaxMultiple,Xm/(1-RAND())^(1/Alpha)))))</f>
        <v>0</v>
      </c>
      <c r="R190" s="19">
        <f ca="1">IF(RAND()&lt;P_Zero,0,IF(RAND()&lt;CondReturn,_xlfn.LOGNORM.INV(RAND(),MV2,Sigma1),IF(RAND()&lt;CondGood,_xlfn.LOGNORM.INV(RAND(),MV3,Sigma2),MIN(MaxMultiple,Xm/(1-RAND())^(1/Alpha)))))</f>
        <v>0</v>
      </c>
      <c r="S190" s="19">
        <f ca="1">IF(RAND()&lt;P_Zero,0,IF(RAND()&lt;CondReturn,_xlfn.LOGNORM.INV(RAND(),MV2,Sigma1),IF(RAND()&lt;CondGood,_xlfn.LOGNORM.INV(RAND(),MV3,Sigma2),MIN(MaxMultiple,Xm/(1-RAND())^(1/Alpha)))))</f>
        <v>0</v>
      </c>
      <c r="T190" s="19">
        <f ca="1">IF(RAND()&lt;P_Zero,0,IF(RAND()&lt;CondReturn,_xlfn.LOGNORM.INV(RAND(),MV2,Sigma1),IF(RAND()&lt;CondGood,_xlfn.LOGNORM.INV(RAND(),MV3,Sigma2),MIN(MaxMultiple,Xm/(1-RAND())^(1/Alpha)))))</f>
        <v>0</v>
      </c>
      <c r="U190" s="19">
        <f ca="1">IF(RAND()&lt;P_Zero,0,IF(RAND()&lt;CondReturn,_xlfn.LOGNORM.INV(RAND(),MV2,Sigma1),IF(RAND()&lt;CondGood,_xlfn.LOGNORM.INV(RAND(),MV3,Sigma2),MIN(MaxMultiple,Xm/(1-RAND())^(1/Alpha)))))</f>
        <v>0</v>
      </c>
      <c r="V190" s="19">
        <f ca="1">IF(RAND()&lt;P_Zero,0,IF(RAND()&lt;CondReturn,_xlfn.LOGNORM.INV(RAND(),MV2,Sigma1),IF(RAND()&lt;CondGood,_xlfn.LOGNORM.INV(RAND(),MV3,Sigma2),MIN(MaxMultiple,Xm/(1-RAND())^(1/Alpha)))))</f>
        <v>0.74614244698244725</v>
      </c>
      <c r="W190" s="19">
        <f ca="1">IF(RAND()&lt;P_Zero,0,IF(RAND()&lt;CondReturn,_xlfn.LOGNORM.INV(RAND(),MV2,Sigma1),IF(RAND()&lt;CondGood,_xlfn.LOGNORM.INV(RAND(),MV3,Sigma2),MIN(MaxMultiple,Xm/(1-RAND())^(1/Alpha)))))</f>
        <v>0.99719004430995328</v>
      </c>
      <c r="X190" s="19">
        <f ca="1">IF(RAND()&lt;P_Zero,0,IF(RAND()&lt;CondReturn,_xlfn.LOGNORM.INV(RAND(),MV2,Sigma1),IF(RAND()&lt;CondGood,_xlfn.LOGNORM.INV(RAND(),MV3,Sigma2),MIN(MaxMultiple,Xm/(1-RAND())^(1/Alpha)))))</f>
        <v>0</v>
      </c>
      <c r="Y190" s="19">
        <f ca="1">IF(RAND()&lt;P_Zero,0,IF(RAND()&lt;CondReturn,_xlfn.LOGNORM.INV(RAND(),MV2,Sigma1),IF(RAND()&lt;CondGood,_xlfn.LOGNORM.INV(RAND(),MV3,Sigma2),MIN(MaxMultiple,Xm/(1-RAND())^(1/Alpha)))))</f>
        <v>1.8690504757462389</v>
      </c>
      <c r="Z190" s="19">
        <f ca="1">IF(RAND()&lt;P_Zero,0,IF(RAND()&lt;CondReturn,_xlfn.LOGNORM.INV(RAND(),MV2,Sigma1),IF(RAND()&lt;CondGood,_xlfn.LOGNORM.INV(RAND(),MV3,Sigma2),MIN(MaxMultiple,Xm/(1-RAND())^(1/Alpha)))))</f>
        <v>0</v>
      </c>
      <c r="AA190" s="19">
        <f ca="1">IF(RAND()&lt;P_Zero,0,IF(RAND()&lt;CondReturn,_xlfn.LOGNORM.INV(RAND(),MV2,Sigma1),IF(RAND()&lt;CondGood,_xlfn.LOGNORM.INV(RAND(),MV3,Sigma2),MIN(MaxMultiple,Xm/(1-RAND())^(1/Alpha)))))</f>
        <v>0</v>
      </c>
      <c r="AB190" s="19">
        <f t="shared" ca="1" si="16"/>
        <v>1.1209665557601538</v>
      </c>
      <c r="AC190" s="14">
        <f t="shared" ca="1" si="17"/>
        <v>53806394.676487386</v>
      </c>
      <c r="AD190" s="14">
        <f t="shared" ca="1" si="18"/>
        <v>5806394.6764873862</v>
      </c>
      <c r="AE190" s="14">
        <f t="shared" si="19"/>
        <v>55628399.869093813</v>
      </c>
      <c r="AF190" s="14">
        <f t="shared" ca="1" si="20"/>
        <v>0</v>
      </c>
      <c r="AG190" s="14">
        <f t="shared" ca="1" si="21"/>
        <v>0</v>
      </c>
      <c r="AH190" s="14">
        <f t="shared" ca="1" si="22"/>
        <v>53806394.676487386</v>
      </c>
      <c r="AI190" s="19">
        <f t="shared" ca="1" si="23"/>
        <v>0.89677324460812313</v>
      </c>
    </row>
    <row r="191" spans="2:35" x14ac:dyDescent="0.2">
      <c r="B191" s="1">
        <v>186</v>
      </c>
      <c r="C191" s="19">
        <f ca="1">IF(RAND()&lt;P_Zero,0,IF(RAND()&lt;CondReturn,_xlfn.LOGNORM.INV(RAND(),MV2,Sigma1),IF(RAND()&lt;CondGood,_xlfn.LOGNORM.INV(RAND(),MV3,Sigma2),MIN(MaxMultiple,Xm/(1-RAND())^(1/Alpha)))))</f>
        <v>2.5442881228339402</v>
      </c>
      <c r="D191" s="19">
        <f ca="1">IF(RAND()&lt;P_Zero,0,IF(RAND()&lt;CondReturn,_xlfn.LOGNORM.INV(RAND(),MV2,Sigma1),IF(RAND()&lt;CondGood,_xlfn.LOGNORM.INV(RAND(),MV3,Sigma2),MIN(MaxMultiple,Xm/(1-RAND())^(1/Alpha)))))</f>
        <v>0</v>
      </c>
      <c r="E191" s="19">
        <f ca="1">IF(RAND()&lt;P_Zero,0,IF(RAND()&lt;CondReturn,_xlfn.LOGNORM.INV(RAND(),MV2,Sigma1),IF(RAND()&lt;CondGood,_xlfn.LOGNORM.INV(RAND(),MV3,Sigma2),MIN(MaxMultiple,Xm/(1-RAND())^(1/Alpha)))))</f>
        <v>0</v>
      </c>
      <c r="F191" s="19">
        <f ca="1">IF(RAND()&lt;P_Zero,0,IF(RAND()&lt;CondReturn,_xlfn.LOGNORM.INV(RAND(),MV2,Sigma1),IF(RAND()&lt;CondGood,_xlfn.LOGNORM.INV(RAND(),MV3,Sigma2),MIN(MaxMultiple,Xm/(1-RAND())^(1/Alpha)))))</f>
        <v>0</v>
      </c>
      <c r="G191" s="19">
        <f ca="1">IF(RAND()&lt;P_Zero,0,IF(RAND()&lt;CondReturn,_xlfn.LOGNORM.INV(RAND(),MV2,Sigma1),IF(RAND()&lt;CondGood,_xlfn.LOGNORM.INV(RAND(),MV3,Sigma2),MIN(MaxMultiple,Xm/(1-RAND())^(1/Alpha)))))</f>
        <v>0</v>
      </c>
      <c r="H191" s="19">
        <f ca="1">IF(RAND()&lt;P_Zero,0,IF(RAND()&lt;CondReturn,_xlfn.LOGNORM.INV(RAND(),MV2,Sigma1),IF(RAND()&lt;CondGood,_xlfn.LOGNORM.INV(RAND(),MV3,Sigma2),MIN(MaxMultiple,Xm/(1-RAND())^(1/Alpha)))))</f>
        <v>0</v>
      </c>
      <c r="I191" s="19">
        <f ca="1">IF(RAND()&lt;P_Zero,0,IF(RAND()&lt;CondReturn,_xlfn.LOGNORM.INV(RAND(),MV2,Sigma1),IF(RAND()&lt;CondGood,_xlfn.LOGNORM.INV(RAND(),MV3,Sigma2),MIN(MaxMultiple,Xm/(1-RAND())^(1/Alpha)))))</f>
        <v>1.8463412467405305</v>
      </c>
      <c r="J191" s="19">
        <f ca="1">IF(RAND()&lt;P_Zero,0,IF(RAND()&lt;CondReturn,_xlfn.LOGNORM.INV(RAND(),MV2,Sigma1),IF(RAND()&lt;CondGood,_xlfn.LOGNORM.INV(RAND(),MV3,Sigma2),MIN(MaxMultiple,Xm/(1-RAND())^(1/Alpha)))))</f>
        <v>0</v>
      </c>
      <c r="K191" s="19">
        <f ca="1">IF(RAND()&lt;P_Zero,0,IF(RAND()&lt;CondReturn,_xlfn.LOGNORM.INV(RAND(),MV2,Sigma1),IF(RAND()&lt;CondGood,_xlfn.LOGNORM.INV(RAND(),MV3,Sigma2),MIN(MaxMultiple,Xm/(1-RAND())^(1/Alpha)))))</f>
        <v>0.98529648753791021</v>
      </c>
      <c r="L191" s="19">
        <f ca="1">IF(RAND()&lt;P_Zero,0,IF(RAND()&lt;CondReturn,_xlfn.LOGNORM.INV(RAND(),MV2,Sigma1),IF(RAND()&lt;CondGood,_xlfn.LOGNORM.INV(RAND(),MV3,Sigma2),MIN(MaxMultiple,Xm/(1-RAND())^(1/Alpha)))))</f>
        <v>0</v>
      </c>
      <c r="M191" s="19">
        <f ca="1">IF(RAND()&lt;P_Zero,0,IF(RAND()&lt;CondReturn,_xlfn.LOGNORM.INV(RAND(),MV2,Sigma1),IF(RAND()&lt;CondGood,_xlfn.LOGNORM.INV(RAND(),MV3,Sigma2),MIN(MaxMultiple,Xm/(1-RAND())^(1/Alpha)))))</f>
        <v>27.317693545893984</v>
      </c>
      <c r="N191" s="19">
        <f ca="1">IF(RAND()&lt;P_Zero,0,IF(RAND()&lt;CondReturn,_xlfn.LOGNORM.INV(RAND(),MV2,Sigma1),IF(RAND()&lt;CondGood,_xlfn.LOGNORM.INV(RAND(),MV3,Sigma2),MIN(MaxMultiple,Xm/(1-RAND())^(1/Alpha)))))</f>
        <v>0.64709605619171628</v>
      </c>
      <c r="O191" s="19">
        <f ca="1">IF(RAND()&lt;P_Zero,0,IF(RAND()&lt;CondReturn,_xlfn.LOGNORM.INV(RAND(),MV2,Sigma1),IF(RAND()&lt;CondGood,_xlfn.LOGNORM.INV(RAND(),MV3,Sigma2),MIN(MaxMultiple,Xm/(1-RAND())^(1/Alpha)))))</f>
        <v>1.9811778980879593</v>
      </c>
      <c r="P191" s="19">
        <f ca="1">IF(RAND()&lt;P_Zero,0,IF(RAND()&lt;CondReturn,_xlfn.LOGNORM.INV(RAND(),MV2,Sigma1),IF(RAND()&lt;CondGood,_xlfn.LOGNORM.INV(RAND(),MV3,Sigma2),MIN(MaxMultiple,Xm/(1-RAND())^(1/Alpha)))))</f>
        <v>0.75856567258261454</v>
      </c>
      <c r="Q191" s="19">
        <f ca="1">IF(RAND()&lt;P_Zero,0,IF(RAND()&lt;CondReturn,_xlfn.LOGNORM.INV(RAND(),MV2,Sigma1),IF(RAND()&lt;CondGood,_xlfn.LOGNORM.INV(RAND(),MV3,Sigma2),MIN(MaxMultiple,Xm/(1-RAND())^(1/Alpha)))))</f>
        <v>0</v>
      </c>
      <c r="R191" s="19">
        <f ca="1">IF(RAND()&lt;P_Zero,0,IF(RAND()&lt;CondReturn,_xlfn.LOGNORM.INV(RAND(),MV2,Sigma1),IF(RAND()&lt;CondGood,_xlfn.LOGNORM.INV(RAND(),MV3,Sigma2),MIN(MaxMultiple,Xm/(1-RAND())^(1/Alpha)))))</f>
        <v>0</v>
      </c>
      <c r="S191" s="19">
        <f ca="1">IF(RAND()&lt;P_Zero,0,IF(RAND()&lt;CondReturn,_xlfn.LOGNORM.INV(RAND(),MV2,Sigma1),IF(RAND()&lt;CondGood,_xlfn.LOGNORM.INV(RAND(),MV3,Sigma2),MIN(MaxMultiple,Xm/(1-RAND())^(1/Alpha)))))</f>
        <v>0.79783320902265442</v>
      </c>
      <c r="T191" s="19">
        <f ca="1">IF(RAND()&lt;P_Zero,0,IF(RAND()&lt;CondReturn,_xlfn.LOGNORM.INV(RAND(),MV2,Sigma1),IF(RAND()&lt;CondGood,_xlfn.LOGNORM.INV(RAND(),MV3,Sigma2),MIN(MaxMultiple,Xm/(1-RAND())^(1/Alpha)))))</f>
        <v>0</v>
      </c>
      <c r="U191" s="19">
        <f ca="1">IF(RAND()&lt;P_Zero,0,IF(RAND()&lt;CondReturn,_xlfn.LOGNORM.INV(RAND(),MV2,Sigma1),IF(RAND()&lt;CondGood,_xlfn.LOGNORM.INV(RAND(),MV3,Sigma2),MIN(MaxMultiple,Xm/(1-RAND())^(1/Alpha)))))</f>
        <v>0</v>
      </c>
      <c r="V191" s="19">
        <f ca="1">IF(RAND()&lt;P_Zero,0,IF(RAND()&lt;CondReturn,_xlfn.LOGNORM.INV(RAND(),MV2,Sigma1),IF(RAND()&lt;CondGood,_xlfn.LOGNORM.INV(RAND(),MV3,Sigma2),MIN(MaxMultiple,Xm/(1-RAND())^(1/Alpha)))))</f>
        <v>0.77717616142769119</v>
      </c>
      <c r="W191" s="19">
        <f ca="1">IF(RAND()&lt;P_Zero,0,IF(RAND()&lt;CondReturn,_xlfn.LOGNORM.INV(RAND(),MV2,Sigma1),IF(RAND()&lt;CondGood,_xlfn.LOGNORM.INV(RAND(),MV3,Sigma2),MIN(MaxMultiple,Xm/(1-RAND())^(1/Alpha)))))</f>
        <v>0.70645088005849233</v>
      </c>
      <c r="X191" s="19">
        <f ca="1">IF(RAND()&lt;P_Zero,0,IF(RAND()&lt;CondReturn,_xlfn.LOGNORM.INV(RAND(),MV2,Sigma1),IF(RAND()&lt;CondGood,_xlfn.LOGNORM.INV(RAND(),MV3,Sigma2),MIN(MaxMultiple,Xm/(1-RAND())^(1/Alpha)))))</f>
        <v>1.0446809670408257</v>
      </c>
      <c r="Y191" s="19">
        <f ca="1">IF(RAND()&lt;P_Zero,0,IF(RAND()&lt;CondReturn,_xlfn.LOGNORM.INV(RAND(),MV2,Sigma1),IF(RAND()&lt;CondGood,_xlfn.LOGNORM.INV(RAND(),MV3,Sigma2),MIN(MaxMultiple,Xm/(1-RAND())^(1/Alpha)))))</f>
        <v>0</v>
      </c>
      <c r="Z191" s="19">
        <f ca="1">IF(RAND()&lt;P_Zero,0,IF(RAND()&lt;CondReturn,_xlfn.LOGNORM.INV(RAND(),MV2,Sigma1),IF(RAND()&lt;CondGood,_xlfn.LOGNORM.INV(RAND(),MV3,Sigma2),MIN(MaxMultiple,Xm/(1-RAND())^(1/Alpha)))))</f>
        <v>0.50983579306347926</v>
      </c>
      <c r="AA191" s="19">
        <f ca="1">IF(RAND()&lt;P_Zero,0,IF(RAND()&lt;CondReturn,_xlfn.LOGNORM.INV(RAND(),MV2,Sigma1),IF(RAND()&lt;CondGood,_xlfn.LOGNORM.INV(RAND(),MV3,Sigma2),MIN(MaxMultiple,Xm/(1-RAND())^(1/Alpha)))))</f>
        <v>0.84848483650365591</v>
      </c>
      <c r="AB191" s="19">
        <f t="shared" ca="1" si="16"/>
        <v>1.630596835079418</v>
      </c>
      <c r="AC191" s="14">
        <f t="shared" ca="1" si="17"/>
        <v>78268648.083812058</v>
      </c>
      <c r="AD191" s="14">
        <f t="shared" ca="1" si="18"/>
        <v>30268648.083812058</v>
      </c>
      <c r="AE191" s="14">
        <f t="shared" si="19"/>
        <v>55628399.869093813</v>
      </c>
      <c r="AF191" s="14">
        <f t="shared" ca="1" si="20"/>
        <v>0</v>
      </c>
      <c r="AG191" s="14">
        <f t="shared" ca="1" si="21"/>
        <v>0</v>
      </c>
      <c r="AH191" s="14">
        <f t="shared" ca="1" si="22"/>
        <v>78268648.083812058</v>
      </c>
      <c r="AI191" s="19">
        <f t="shared" ca="1" si="23"/>
        <v>1.3044774680635343</v>
      </c>
    </row>
    <row r="192" spans="2:35" x14ac:dyDescent="0.2">
      <c r="B192" s="1">
        <v>187</v>
      </c>
      <c r="C192" s="19">
        <f ca="1">IF(RAND()&lt;P_Zero,0,IF(RAND()&lt;CondReturn,_xlfn.LOGNORM.INV(RAND(),MV2,Sigma1),IF(RAND()&lt;CondGood,_xlfn.LOGNORM.INV(RAND(),MV3,Sigma2),MIN(MaxMultiple,Xm/(1-RAND())^(1/Alpha)))))</f>
        <v>0</v>
      </c>
      <c r="D192" s="19">
        <f ca="1">IF(RAND()&lt;P_Zero,0,IF(RAND()&lt;CondReturn,_xlfn.LOGNORM.INV(RAND(),MV2,Sigma1),IF(RAND()&lt;CondGood,_xlfn.LOGNORM.INV(RAND(),MV3,Sigma2),MIN(MaxMultiple,Xm/(1-RAND())^(1/Alpha)))))</f>
        <v>0</v>
      </c>
      <c r="E192" s="19">
        <f ca="1">IF(RAND()&lt;P_Zero,0,IF(RAND()&lt;CondReturn,_xlfn.LOGNORM.INV(RAND(),MV2,Sigma1),IF(RAND()&lt;CondGood,_xlfn.LOGNORM.INV(RAND(),MV3,Sigma2),MIN(MaxMultiple,Xm/(1-RAND())^(1/Alpha)))))</f>
        <v>12.824293917544273</v>
      </c>
      <c r="F192" s="19">
        <f ca="1">IF(RAND()&lt;P_Zero,0,IF(RAND()&lt;CondReturn,_xlfn.LOGNORM.INV(RAND(),MV2,Sigma1),IF(RAND()&lt;CondGood,_xlfn.LOGNORM.INV(RAND(),MV3,Sigma2),MIN(MaxMultiple,Xm/(1-RAND())^(1/Alpha)))))</f>
        <v>1.7055150455942514</v>
      </c>
      <c r="G192" s="19">
        <f ca="1">IF(RAND()&lt;P_Zero,0,IF(RAND()&lt;CondReturn,_xlfn.LOGNORM.INV(RAND(),MV2,Sigma1),IF(RAND()&lt;CondGood,_xlfn.LOGNORM.INV(RAND(),MV3,Sigma2),MIN(MaxMultiple,Xm/(1-RAND())^(1/Alpha)))))</f>
        <v>14.387928428653964</v>
      </c>
      <c r="H192" s="19">
        <f ca="1">IF(RAND()&lt;P_Zero,0,IF(RAND()&lt;CondReturn,_xlfn.LOGNORM.INV(RAND(),MV2,Sigma1),IF(RAND()&lt;CondGood,_xlfn.LOGNORM.INV(RAND(),MV3,Sigma2),MIN(MaxMultiple,Xm/(1-RAND())^(1/Alpha)))))</f>
        <v>2.1796072364332737</v>
      </c>
      <c r="I192" s="19">
        <f ca="1">IF(RAND()&lt;P_Zero,0,IF(RAND()&lt;CondReturn,_xlfn.LOGNORM.INV(RAND(),MV2,Sigma1),IF(RAND()&lt;CondGood,_xlfn.LOGNORM.INV(RAND(),MV3,Sigma2),MIN(MaxMultiple,Xm/(1-RAND())^(1/Alpha)))))</f>
        <v>1.7805211751082175</v>
      </c>
      <c r="J192" s="19">
        <f ca="1">IF(RAND()&lt;P_Zero,0,IF(RAND()&lt;CondReturn,_xlfn.LOGNORM.INV(RAND(),MV2,Sigma1),IF(RAND()&lt;CondGood,_xlfn.LOGNORM.INV(RAND(),MV3,Sigma2),MIN(MaxMultiple,Xm/(1-RAND())^(1/Alpha)))))</f>
        <v>0</v>
      </c>
      <c r="K192" s="19">
        <f ca="1">IF(RAND()&lt;P_Zero,0,IF(RAND()&lt;CondReturn,_xlfn.LOGNORM.INV(RAND(),MV2,Sigma1),IF(RAND()&lt;CondGood,_xlfn.LOGNORM.INV(RAND(),MV3,Sigma2),MIN(MaxMultiple,Xm/(1-RAND())^(1/Alpha)))))</f>
        <v>0.96809435441101599</v>
      </c>
      <c r="L192" s="19">
        <f ca="1">IF(RAND()&lt;P_Zero,0,IF(RAND()&lt;CondReturn,_xlfn.LOGNORM.INV(RAND(),MV2,Sigma1),IF(RAND()&lt;CondGood,_xlfn.LOGNORM.INV(RAND(),MV3,Sigma2),MIN(MaxMultiple,Xm/(1-RAND())^(1/Alpha)))))</f>
        <v>1.0054933237241837</v>
      </c>
      <c r="M192" s="19">
        <f ca="1">IF(RAND()&lt;P_Zero,0,IF(RAND()&lt;CondReturn,_xlfn.LOGNORM.INV(RAND(),MV2,Sigma1),IF(RAND()&lt;CondGood,_xlfn.LOGNORM.INV(RAND(),MV3,Sigma2),MIN(MaxMultiple,Xm/(1-RAND())^(1/Alpha)))))</f>
        <v>0</v>
      </c>
      <c r="N192" s="19">
        <f ca="1">IF(RAND()&lt;P_Zero,0,IF(RAND()&lt;CondReturn,_xlfn.LOGNORM.INV(RAND(),MV2,Sigma1),IF(RAND()&lt;CondGood,_xlfn.LOGNORM.INV(RAND(),MV3,Sigma2),MIN(MaxMultiple,Xm/(1-RAND())^(1/Alpha)))))</f>
        <v>10.941115237216424</v>
      </c>
      <c r="O192" s="19">
        <f ca="1">IF(RAND()&lt;P_Zero,0,IF(RAND()&lt;CondReturn,_xlfn.LOGNORM.INV(RAND(),MV2,Sigma1),IF(RAND()&lt;CondGood,_xlfn.LOGNORM.INV(RAND(),MV3,Sigma2),MIN(MaxMultiple,Xm/(1-RAND())^(1/Alpha)))))</f>
        <v>0.66654298341225648</v>
      </c>
      <c r="P192" s="19">
        <f ca="1">IF(RAND()&lt;P_Zero,0,IF(RAND()&lt;CondReturn,_xlfn.LOGNORM.INV(RAND(),MV2,Sigma1),IF(RAND()&lt;CondGood,_xlfn.LOGNORM.INV(RAND(),MV3,Sigma2),MIN(MaxMultiple,Xm/(1-RAND())^(1/Alpha)))))</f>
        <v>0</v>
      </c>
      <c r="Q192" s="19">
        <f ca="1">IF(RAND()&lt;P_Zero,0,IF(RAND()&lt;CondReturn,_xlfn.LOGNORM.INV(RAND(),MV2,Sigma1),IF(RAND()&lt;CondGood,_xlfn.LOGNORM.INV(RAND(),MV3,Sigma2),MIN(MaxMultiple,Xm/(1-RAND())^(1/Alpha)))))</f>
        <v>0</v>
      </c>
      <c r="R192" s="19">
        <f ca="1">IF(RAND()&lt;P_Zero,0,IF(RAND()&lt;CondReturn,_xlfn.LOGNORM.INV(RAND(),MV2,Sigma1),IF(RAND()&lt;CondGood,_xlfn.LOGNORM.INV(RAND(),MV3,Sigma2),MIN(MaxMultiple,Xm/(1-RAND())^(1/Alpha)))))</f>
        <v>3.6194112953102118</v>
      </c>
      <c r="S192" s="19">
        <f ca="1">IF(RAND()&lt;P_Zero,0,IF(RAND()&lt;CondReturn,_xlfn.LOGNORM.INV(RAND(),MV2,Sigma1),IF(RAND()&lt;CondGood,_xlfn.LOGNORM.INV(RAND(),MV3,Sigma2),MIN(MaxMultiple,Xm/(1-RAND())^(1/Alpha)))))</f>
        <v>0</v>
      </c>
      <c r="T192" s="19">
        <f ca="1">IF(RAND()&lt;P_Zero,0,IF(RAND()&lt;CondReturn,_xlfn.LOGNORM.INV(RAND(),MV2,Sigma1),IF(RAND()&lt;CondGood,_xlfn.LOGNORM.INV(RAND(),MV3,Sigma2),MIN(MaxMultiple,Xm/(1-RAND())^(1/Alpha)))))</f>
        <v>0.59390874541679728</v>
      </c>
      <c r="U192" s="19">
        <f ca="1">IF(RAND()&lt;P_Zero,0,IF(RAND()&lt;CondReturn,_xlfn.LOGNORM.INV(RAND(),MV2,Sigma1),IF(RAND()&lt;CondGood,_xlfn.LOGNORM.INV(RAND(),MV3,Sigma2),MIN(MaxMultiple,Xm/(1-RAND())^(1/Alpha)))))</f>
        <v>0</v>
      </c>
      <c r="V192" s="19">
        <f ca="1">IF(RAND()&lt;P_Zero,0,IF(RAND()&lt;CondReturn,_xlfn.LOGNORM.INV(RAND(),MV2,Sigma1),IF(RAND()&lt;CondGood,_xlfn.LOGNORM.INV(RAND(),MV3,Sigma2),MIN(MaxMultiple,Xm/(1-RAND())^(1/Alpha)))))</f>
        <v>0</v>
      </c>
      <c r="W192" s="19">
        <f ca="1">IF(RAND()&lt;P_Zero,0,IF(RAND()&lt;CondReturn,_xlfn.LOGNORM.INV(RAND(),MV2,Sigma1),IF(RAND()&lt;CondGood,_xlfn.LOGNORM.INV(RAND(),MV3,Sigma2),MIN(MaxMultiple,Xm/(1-RAND())^(1/Alpha)))))</f>
        <v>1.7725025758109345</v>
      </c>
      <c r="X192" s="19">
        <f ca="1">IF(RAND()&lt;P_Zero,0,IF(RAND()&lt;CondReturn,_xlfn.LOGNORM.INV(RAND(),MV2,Sigma1),IF(RAND()&lt;CondGood,_xlfn.LOGNORM.INV(RAND(),MV3,Sigma2),MIN(MaxMultiple,Xm/(1-RAND())^(1/Alpha)))))</f>
        <v>0.59157339028066247</v>
      </c>
      <c r="Y192" s="19">
        <f ca="1">IF(RAND()&lt;P_Zero,0,IF(RAND()&lt;CondReturn,_xlfn.LOGNORM.INV(RAND(),MV2,Sigma1),IF(RAND()&lt;CondGood,_xlfn.LOGNORM.INV(RAND(),MV3,Sigma2),MIN(MaxMultiple,Xm/(1-RAND())^(1/Alpha)))))</f>
        <v>0.64469110572580479</v>
      </c>
      <c r="Z192" s="19">
        <f ca="1">IF(RAND()&lt;P_Zero,0,IF(RAND()&lt;CondReturn,_xlfn.LOGNORM.INV(RAND(),MV2,Sigma1),IF(RAND()&lt;CondGood,_xlfn.LOGNORM.INV(RAND(),MV3,Sigma2),MIN(MaxMultiple,Xm/(1-RAND())^(1/Alpha)))))</f>
        <v>1.8857179623931293</v>
      </c>
      <c r="AA192" s="19">
        <f ca="1">IF(RAND()&lt;P_Zero,0,IF(RAND()&lt;CondReturn,_xlfn.LOGNORM.INV(RAND(),MV2,Sigma1),IF(RAND()&lt;CondGood,_xlfn.LOGNORM.INV(RAND(),MV3,Sigma2),MIN(MaxMultiple,Xm/(1-RAND())^(1/Alpha)))))</f>
        <v>0.91336770321796246</v>
      </c>
      <c r="AB192" s="19">
        <f t="shared" ca="1" si="16"/>
        <v>2.2592113792101345</v>
      </c>
      <c r="AC192" s="14">
        <f t="shared" ca="1" si="17"/>
        <v>108442146.20208645</v>
      </c>
      <c r="AD192" s="14">
        <f t="shared" ca="1" si="18"/>
        <v>60442146.202086449</v>
      </c>
      <c r="AE192" s="14">
        <f t="shared" si="19"/>
        <v>55628399.869093813</v>
      </c>
      <c r="AF192" s="14">
        <f t="shared" ca="1" si="20"/>
        <v>4813746.3329926357</v>
      </c>
      <c r="AG192" s="14">
        <f t="shared" ca="1" si="21"/>
        <v>962749.2665985272</v>
      </c>
      <c r="AH192" s="14">
        <f t="shared" ca="1" si="22"/>
        <v>107479396.93548793</v>
      </c>
      <c r="AI192" s="19">
        <f t="shared" ca="1" si="23"/>
        <v>1.7913232822581322</v>
      </c>
    </row>
    <row r="193" spans="2:35" x14ac:dyDescent="0.2">
      <c r="B193" s="1">
        <v>188</v>
      </c>
      <c r="C193" s="19">
        <f ca="1">IF(RAND()&lt;P_Zero,0,IF(RAND()&lt;CondReturn,_xlfn.LOGNORM.INV(RAND(),MV2,Sigma1),IF(RAND()&lt;CondGood,_xlfn.LOGNORM.INV(RAND(),MV3,Sigma2),MIN(MaxMultiple,Xm/(1-RAND())^(1/Alpha)))))</f>
        <v>1.6229356538917372</v>
      </c>
      <c r="D193" s="19">
        <f ca="1">IF(RAND()&lt;P_Zero,0,IF(RAND()&lt;CondReturn,_xlfn.LOGNORM.INV(RAND(),MV2,Sigma1),IF(RAND()&lt;CondGood,_xlfn.LOGNORM.INV(RAND(),MV3,Sigma2),MIN(MaxMultiple,Xm/(1-RAND())^(1/Alpha)))))</f>
        <v>0.67911623484774308</v>
      </c>
      <c r="E193" s="19">
        <f ca="1">IF(RAND()&lt;P_Zero,0,IF(RAND()&lt;CondReturn,_xlfn.LOGNORM.INV(RAND(),MV2,Sigma1),IF(RAND()&lt;CondGood,_xlfn.LOGNORM.INV(RAND(),MV3,Sigma2),MIN(MaxMultiple,Xm/(1-RAND())^(1/Alpha)))))</f>
        <v>0</v>
      </c>
      <c r="F193" s="19">
        <f ca="1">IF(RAND()&lt;P_Zero,0,IF(RAND()&lt;CondReturn,_xlfn.LOGNORM.INV(RAND(),MV2,Sigma1),IF(RAND()&lt;CondGood,_xlfn.LOGNORM.INV(RAND(),MV3,Sigma2),MIN(MaxMultiple,Xm/(1-RAND())^(1/Alpha)))))</f>
        <v>0.92475301563727708</v>
      </c>
      <c r="G193" s="19">
        <f ca="1">IF(RAND()&lt;P_Zero,0,IF(RAND()&lt;CondReturn,_xlfn.LOGNORM.INV(RAND(),MV2,Sigma1),IF(RAND()&lt;CondGood,_xlfn.LOGNORM.INV(RAND(),MV3,Sigma2),MIN(MaxMultiple,Xm/(1-RAND())^(1/Alpha)))))</f>
        <v>0</v>
      </c>
      <c r="H193" s="19">
        <f ca="1">IF(RAND()&lt;P_Zero,0,IF(RAND()&lt;CondReturn,_xlfn.LOGNORM.INV(RAND(),MV2,Sigma1),IF(RAND()&lt;CondGood,_xlfn.LOGNORM.INV(RAND(),MV3,Sigma2),MIN(MaxMultiple,Xm/(1-RAND())^(1/Alpha)))))</f>
        <v>0.60490817490599058</v>
      </c>
      <c r="I193" s="19">
        <f ca="1">IF(RAND()&lt;P_Zero,0,IF(RAND()&lt;CondReturn,_xlfn.LOGNORM.INV(RAND(),MV2,Sigma1),IF(RAND()&lt;CondGood,_xlfn.LOGNORM.INV(RAND(),MV3,Sigma2),MIN(MaxMultiple,Xm/(1-RAND())^(1/Alpha)))))</f>
        <v>0</v>
      </c>
      <c r="J193" s="19">
        <f ca="1">IF(RAND()&lt;P_Zero,0,IF(RAND()&lt;CondReturn,_xlfn.LOGNORM.INV(RAND(),MV2,Sigma1),IF(RAND()&lt;CondGood,_xlfn.LOGNORM.INV(RAND(),MV3,Sigma2),MIN(MaxMultiple,Xm/(1-RAND())^(1/Alpha)))))</f>
        <v>0.72288864721855106</v>
      </c>
      <c r="K193" s="19">
        <f ca="1">IF(RAND()&lt;P_Zero,0,IF(RAND()&lt;CondReturn,_xlfn.LOGNORM.INV(RAND(),MV2,Sigma1),IF(RAND()&lt;CondGood,_xlfn.LOGNORM.INV(RAND(),MV3,Sigma2),MIN(MaxMultiple,Xm/(1-RAND())^(1/Alpha)))))</f>
        <v>0.91443907635370925</v>
      </c>
      <c r="L193" s="19">
        <f ca="1">IF(RAND()&lt;P_Zero,0,IF(RAND()&lt;CondReturn,_xlfn.LOGNORM.INV(RAND(),MV2,Sigma1),IF(RAND()&lt;CondGood,_xlfn.LOGNORM.INV(RAND(),MV3,Sigma2),MIN(MaxMultiple,Xm/(1-RAND())^(1/Alpha)))))</f>
        <v>1.9418367867925252</v>
      </c>
      <c r="M193" s="19">
        <f ca="1">IF(RAND()&lt;P_Zero,0,IF(RAND()&lt;CondReturn,_xlfn.LOGNORM.INV(RAND(),MV2,Sigma1),IF(RAND()&lt;CondGood,_xlfn.LOGNORM.INV(RAND(),MV3,Sigma2),MIN(MaxMultiple,Xm/(1-RAND())^(1/Alpha)))))</f>
        <v>1.6428135007451752</v>
      </c>
      <c r="N193" s="19">
        <f ca="1">IF(RAND()&lt;P_Zero,0,IF(RAND()&lt;CondReturn,_xlfn.LOGNORM.INV(RAND(),MV2,Sigma1),IF(RAND()&lt;CondGood,_xlfn.LOGNORM.INV(RAND(),MV3,Sigma2),MIN(MaxMultiple,Xm/(1-RAND())^(1/Alpha)))))</f>
        <v>0</v>
      </c>
      <c r="O193" s="19">
        <f ca="1">IF(RAND()&lt;P_Zero,0,IF(RAND()&lt;CondReturn,_xlfn.LOGNORM.INV(RAND(),MV2,Sigma1),IF(RAND()&lt;CondGood,_xlfn.LOGNORM.INV(RAND(),MV3,Sigma2),MIN(MaxMultiple,Xm/(1-RAND())^(1/Alpha)))))</f>
        <v>1.3122586449356861</v>
      </c>
      <c r="P193" s="19">
        <f ca="1">IF(RAND()&lt;P_Zero,0,IF(RAND()&lt;CondReturn,_xlfn.LOGNORM.INV(RAND(),MV2,Sigma1),IF(RAND()&lt;CondGood,_xlfn.LOGNORM.INV(RAND(),MV3,Sigma2),MIN(MaxMultiple,Xm/(1-RAND())^(1/Alpha)))))</f>
        <v>0</v>
      </c>
      <c r="Q193" s="19">
        <f ca="1">IF(RAND()&lt;P_Zero,0,IF(RAND()&lt;CondReturn,_xlfn.LOGNORM.INV(RAND(),MV2,Sigma1),IF(RAND()&lt;CondGood,_xlfn.LOGNORM.INV(RAND(),MV3,Sigma2),MIN(MaxMultiple,Xm/(1-RAND())^(1/Alpha)))))</f>
        <v>0</v>
      </c>
      <c r="R193" s="19">
        <f ca="1">IF(RAND()&lt;P_Zero,0,IF(RAND()&lt;CondReturn,_xlfn.LOGNORM.INV(RAND(),MV2,Sigma1),IF(RAND()&lt;CondGood,_xlfn.LOGNORM.INV(RAND(),MV3,Sigma2),MIN(MaxMultiple,Xm/(1-RAND())^(1/Alpha)))))</f>
        <v>0.98504836289790054</v>
      </c>
      <c r="S193" s="19">
        <f ca="1">IF(RAND()&lt;P_Zero,0,IF(RAND()&lt;CondReturn,_xlfn.LOGNORM.INV(RAND(),MV2,Sigma1),IF(RAND()&lt;CondGood,_xlfn.LOGNORM.INV(RAND(),MV3,Sigma2),MIN(MaxMultiple,Xm/(1-RAND())^(1/Alpha)))))</f>
        <v>19.052009581486605</v>
      </c>
      <c r="T193" s="19">
        <f ca="1">IF(RAND()&lt;P_Zero,0,IF(RAND()&lt;CondReturn,_xlfn.LOGNORM.INV(RAND(),MV2,Sigma1),IF(RAND()&lt;CondGood,_xlfn.LOGNORM.INV(RAND(),MV3,Sigma2),MIN(MaxMultiple,Xm/(1-RAND())^(1/Alpha)))))</f>
        <v>0.87913314929776232</v>
      </c>
      <c r="U193" s="19">
        <f ca="1">IF(RAND()&lt;P_Zero,0,IF(RAND()&lt;CondReturn,_xlfn.LOGNORM.INV(RAND(),MV2,Sigma1),IF(RAND()&lt;CondGood,_xlfn.LOGNORM.INV(RAND(),MV3,Sigma2),MIN(MaxMultiple,Xm/(1-RAND())^(1/Alpha)))))</f>
        <v>2.2862795153555329</v>
      </c>
      <c r="V193" s="19">
        <f ca="1">IF(RAND()&lt;P_Zero,0,IF(RAND()&lt;CondReturn,_xlfn.LOGNORM.INV(RAND(),MV2,Sigma1),IF(RAND()&lt;CondGood,_xlfn.LOGNORM.INV(RAND(),MV3,Sigma2),MIN(MaxMultiple,Xm/(1-RAND())^(1/Alpha)))))</f>
        <v>1.3281811898866331</v>
      </c>
      <c r="W193" s="19">
        <f ca="1">IF(RAND()&lt;P_Zero,0,IF(RAND()&lt;CondReturn,_xlfn.LOGNORM.INV(RAND(),MV2,Sigma1),IF(RAND()&lt;CondGood,_xlfn.LOGNORM.INV(RAND(),MV3,Sigma2),MIN(MaxMultiple,Xm/(1-RAND())^(1/Alpha)))))</f>
        <v>0</v>
      </c>
      <c r="X193" s="19">
        <f ca="1">IF(RAND()&lt;P_Zero,0,IF(RAND()&lt;CondReturn,_xlfn.LOGNORM.INV(RAND(),MV2,Sigma1),IF(RAND()&lt;CondGood,_xlfn.LOGNORM.INV(RAND(),MV3,Sigma2),MIN(MaxMultiple,Xm/(1-RAND())^(1/Alpha)))))</f>
        <v>1.7493804704857299</v>
      </c>
      <c r="Y193" s="19">
        <f ca="1">IF(RAND()&lt;P_Zero,0,IF(RAND()&lt;CondReturn,_xlfn.LOGNORM.INV(RAND(),MV2,Sigma1),IF(RAND()&lt;CondGood,_xlfn.LOGNORM.INV(RAND(),MV3,Sigma2),MIN(MaxMultiple,Xm/(1-RAND())^(1/Alpha)))))</f>
        <v>1.3632963625228867</v>
      </c>
      <c r="Z193" s="19">
        <f ca="1">IF(RAND()&lt;P_Zero,0,IF(RAND()&lt;CondReturn,_xlfn.LOGNORM.INV(RAND(),MV2,Sigma1),IF(RAND()&lt;CondGood,_xlfn.LOGNORM.INV(RAND(),MV3,Sigma2),MIN(MaxMultiple,Xm/(1-RAND())^(1/Alpha)))))</f>
        <v>0</v>
      </c>
      <c r="AA193" s="19">
        <f ca="1">IF(RAND()&lt;P_Zero,0,IF(RAND()&lt;CondReturn,_xlfn.LOGNORM.INV(RAND(),MV2,Sigma1),IF(RAND()&lt;CondGood,_xlfn.LOGNORM.INV(RAND(),MV3,Sigma2),MIN(MaxMultiple,Xm/(1-RAND())^(1/Alpha)))))</f>
        <v>1.0621059697403787</v>
      </c>
      <c r="AB193" s="19">
        <f t="shared" ca="1" si="16"/>
        <v>1.5628553734800732</v>
      </c>
      <c r="AC193" s="14">
        <f t="shared" ca="1" si="17"/>
        <v>75017057.927043512</v>
      </c>
      <c r="AD193" s="14">
        <f t="shared" ca="1" si="18"/>
        <v>27017057.927043512</v>
      </c>
      <c r="AE193" s="14">
        <f t="shared" si="19"/>
        <v>55628399.869093813</v>
      </c>
      <c r="AF193" s="14">
        <f t="shared" ca="1" si="20"/>
        <v>0</v>
      </c>
      <c r="AG193" s="14">
        <f t="shared" ca="1" si="21"/>
        <v>0</v>
      </c>
      <c r="AH193" s="14">
        <f t="shared" ca="1" si="22"/>
        <v>75017057.927043512</v>
      </c>
      <c r="AI193" s="19">
        <f t="shared" ca="1" si="23"/>
        <v>1.2502842987840586</v>
      </c>
    </row>
    <row r="194" spans="2:35" x14ac:dyDescent="0.2">
      <c r="B194" s="1">
        <v>189</v>
      </c>
      <c r="C194" s="19">
        <f ca="1">IF(RAND()&lt;P_Zero,0,IF(RAND()&lt;CondReturn,_xlfn.LOGNORM.INV(RAND(),MV2,Sigma1),IF(RAND()&lt;CondGood,_xlfn.LOGNORM.INV(RAND(),MV3,Sigma2),MIN(MaxMultiple,Xm/(1-RAND())^(1/Alpha)))))</f>
        <v>0.50823090951093131</v>
      </c>
      <c r="D194" s="19">
        <f ca="1">IF(RAND()&lt;P_Zero,0,IF(RAND()&lt;CondReturn,_xlfn.LOGNORM.INV(RAND(),MV2,Sigma1),IF(RAND()&lt;CondGood,_xlfn.LOGNORM.INV(RAND(),MV3,Sigma2),MIN(MaxMultiple,Xm/(1-RAND())^(1/Alpha)))))</f>
        <v>0</v>
      </c>
      <c r="E194" s="19">
        <f ca="1">IF(RAND()&lt;P_Zero,0,IF(RAND()&lt;CondReturn,_xlfn.LOGNORM.INV(RAND(),MV2,Sigma1),IF(RAND()&lt;CondGood,_xlfn.LOGNORM.INV(RAND(),MV3,Sigma2),MIN(MaxMultiple,Xm/(1-RAND())^(1/Alpha)))))</f>
        <v>0.71248577639755739</v>
      </c>
      <c r="F194" s="19">
        <f ca="1">IF(RAND()&lt;P_Zero,0,IF(RAND()&lt;CondReturn,_xlfn.LOGNORM.INV(RAND(),MV2,Sigma1),IF(RAND()&lt;CondGood,_xlfn.LOGNORM.INV(RAND(),MV3,Sigma2),MIN(MaxMultiple,Xm/(1-RAND())^(1/Alpha)))))</f>
        <v>1.3720805893060595</v>
      </c>
      <c r="G194" s="19">
        <f ca="1">IF(RAND()&lt;P_Zero,0,IF(RAND()&lt;CondReturn,_xlfn.LOGNORM.INV(RAND(),MV2,Sigma1),IF(RAND()&lt;CondGood,_xlfn.LOGNORM.INV(RAND(),MV3,Sigma2),MIN(MaxMultiple,Xm/(1-RAND())^(1/Alpha)))))</f>
        <v>1.1137796925574479</v>
      </c>
      <c r="H194" s="19">
        <f ca="1">IF(RAND()&lt;P_Zero,0,IF(RAND()&lt;CondReturn,_xlfn.LOGNORM.INV(RAND(),MV2,Sigma1),IF(RAND()&lt;CondGood,_xlfn.LOGNORM.INV(RAND(),MV3,Sigma2),MIN(MaxMultiple,Xm/(1-RAND())^(1/Alpha)))))</f>
        <v>0</v>
      </c>
      <c r="I194" s="19">
        <f ca="1">IF(RAND()&lt;P_Zero,0,IF(RAND()&lt;CondReturn,_xlfn.LOGNORM.INV(RAND(),MV2,Sigma1),IF(RAND()&lt;CondGood,_xlfn.LOGNORM.INV(RAND(),MV3,Sigma2),MIN(MaxMultiple,Xm/(1-RAND())^(1/Alpha)))))</f>
        <v>0</v>
      </c>
      <c r="J194" s="19">
        <f ca="1">IF(RAND()&lt;P_Zero,0,IF(RAND()&lt;CondReturn,_xlfn.LOGNORM.INV(RAND(),MV2,Sigma1),IF(RAND()&lt;CondGood,_xlfn.LOGNORM.INV(RAND(),MV3,Sigma2),MIN(MaxMultiple,Xm/(1-RAND())^(1/Alpha)))))</f>
        <v>0</v>
      </c>
      <c r="K194" s="19">
        <f ca="1">IF(RAND()&lt;P_Zero,0,IF(RAND()&lt;CondReturn,_xlfn.LOGNORM.INV(RAND(),MV2,Sigma1),IF(RAND()&lt;CondGood,_xlfn.LOGNORM.INV(RAND(),MV3,Sigma2),MIN(MaxMultiple,Xm/(1-RAND())^(1/Alpha)))))</f>
        <v>0.91401424683536125</v>
      </c>
      <c r="L194" s="19">
        <f ca="1">IF(RAND()&lt;P_Zero,0,IF(RAND()&lt;CondReturn,_xlfn.LOGNORM.INV(RAND(),MV2,Sigma1),IF(RAND()&lt;CondGood,_xlfn.LOGNORM.INV(RAND(),MV3,Sigma2),MIN(MaxMultiple,Xm/(1-RAND())^(1/Alpha)))))</f>
        <v>2.484667303296761</v>
      </c>
      <c r="M194" s="19">
        <f ca="1">IF(RAND()&lt;P_Zero,0,IF(RAND()&lt;CondReturn,_xlfn.LOGNORM.INV(RAND(),MV2,Sigma1),IF(RAND()&lt;CondGood,_xlfn.LOGNORM.INV(RAND(),MV3,Sigma2),MIN(MaxMultiple,Xm/(1-RAND())^(1/Alpha)))))</f>
        <v>0.73662830045430128</v>
      </c>
      <c r="N194" s="19">
        <f ca="1">IF(RAND()&lt;P_Zero,0,IF(RAND()&lt;CondReturn,_xlfn.LOGNORM.INV(RAND(),MV2,Sigma1),IF(RAND()&lt;CondGood,_xlfn.LOGNORM.INV(RAND(),MV3,Sigma2),MIN(MaxMultiple,Xm/(1-RAND())^(1/Alpha)))))</f>
        <v>0.43544474690362844</v>
      </c>
      <c r="O194" s="19">
        <f ca="1">IF(RAND()&lt;P_Zero,0,IF(RAND()&lt;CondReturn,_xlfn.LOGNORM.INV(RAND(),MV2,Sigma1),IF(RAND()&lt;CondGood,_xlfn.LOGNORM.INV(RAND(),MV3,Sigma2),MIN(MaxMultiple,Xm/(1-RAND())^(1/Alpha)))))</f>
        <v>31.08949925644945</v>
      </c>
      <c r="P194" s="19">
        <f ca="1">IF(RAND()&lt;P_Zero,0,IF(RAND()&lt;CondReturn,_xlfn.LOGNORM.INV(RAND(),MV2,Sigma1),IF(RAND()&lt;CondGood,_xlfn.LOGNORM.INV(RAND(),MV3,Sigma2),MIN(MaxMultiple,Xm/(1-RAND())^(1/Alpha)))))</f>
        <v>1.526188650625419</v>
      </c>
      <c r="Q194" s="19">
        <f ca="1">IF(RAND()&lt;P_Zero,0,IF(RAND()&lt;CondReturn,_xlfn.LOGNORM.INV(RAND(),MV2,Sigma1),IF(RAND()&lt;CondGood,_xlfn.LOGNORM.INV(RAND(),MV3,Sigma2),MIN(MaxMultiple,Xm/(1-RAND())^(1/Alpha)))))</f>
        <v>0.85203587457869978</v>
      </c>
      <c r="R194" s="19">
        <f ca="1">IF(RAND()&lt;P_Zero,0,IF(RAND()&lt;CondReturn,_xlfn.LOGNORM.INV(RAND(),MV2,Sigma1),IF(RAND()&lt;CondGood,_xlfn.LOGNORM.INV(RAND(),MV3,Sigma2),MIN(MaxMultiple,Xm/(1-RAND())^(1/Alpha)))))</f>
        <v>0.76569798051763394</v>
      </c>
      <c r="S194" s="19">
        <f ca="1">IF(RAND()&lt;P_Zero,0,IF(RAND()&lt;CondReturn,_xlfn.LOGNORM.INV(RAND(),MV2,Sigma1),IF(RAND()&lt;CondGood,_xlfn.LOGNORM.INV(RAND(),MV3,Sigma2),MIN(MaxMultiple,Xm/(1-RAND())^(1/Alpha)))))</f>
        <v>1.5463514300109016</v>
      </c>
      <c r="T194" s="19">
        <f ca="1">IF(RAND()&lt;P_Zero,0,IF(RAND()&lt;CondReturn,_xlfn.LOGNORM.INV(RAND(),MV2,Sigma1),IF(RAND()&lt;CondGood,_xlfn.LOGNORM.INV(RAND(),MV3,Sigma2),MIN(MaxMultiple,Xm/(1-RAND())^(1/Alpha)))))</f>
        <v>0.95499608115899204</v>
      </c>
      <c r="U194" s="19">
        <f ca="1">IF(RAND()&lt;P_Zero,0,IF(RAND()&lt;CondReturn,_xlfn.LOGNORM.INV(RAND(),MV2,Sigma1),IF(RAND()&lt;CondGood,_xlfn.LOGNORM.INV(RAND(),MV3,Sigma2),MIN(MaxMultiple,Xm/(1-RAND())^(1/Alpha)))))</f>
        <v>0.55709471424999768</v>
      </c>
      <c r="V194" s="19">
        <f ca="1">IF(RAND()&lt;P_Zero,0,IF(RAND()&lt;CondReturn,_xlfn.LOGNORM.INV(RAND(),MV2,Sigma1),IF(RAND()&lt;CondGood,_xlfn.LOGNORM.INV(RAND(),MV3,Sigma2),MIN(MaxMultiple,Xm/(1-RAND())^(1/Alpha)))))</f>
        <v>0.50925006505803949</v>
      </c>
      <c r="W194" s="19">
        <f ca="1">IF(RAND()&lt;P_Zero,0,IF(RAND()&lt;CondReturn,_xlfn.LOGNORM.INV(RAND(),MV2,Sigma1),IF(RAND()&lt;CondGood,_xlfn.LOGNORM.INV(RAND(),MV3,Sigma2),MIN(MaxMultiple,Xm/(1-RAND())^(1/Alpha)))))</f>
        <v>0.88891040852073067</v>
      </c>
      <c r="X194" s="19">
        <f ca="1">IF(RAND()&lt;P_Zero,0,IF(RAND()&lt;CondReturn,_xlfn.LOGNORM.INV(RAND(),MV2,Sigma1),IF(RAND()&lt;CondGood,_xlfn.LOGNORM.INV(RAND(),MV3,Sigma2),MIN(MaxMultiple,Xm/(1-RAND())^(1/Alpha)))))</f>
        <v>0</v>
      </c>
      <c r="Y194" s="19">
        <f ca="1">IF(RAND()&lt;P_Zero,0,IF(RAND()&lt;CondReturn,_xlfn.LOGNORM.INV(RAND(),MV2,Sigma1),IF(RAND()&lt;CondGood,_xlfn.LOGNORM.INV(RAND(),MV3,Sigma2),MIN(MaxMultiple,Xm/(1-RAND())^(1/Alpha)))))</f>
        <v>1.1019056161259402</v>
      </c>
      <c r="Z194" s="19">
        <f ca="1">IF(RAND()&lt;P_Zero,0,IF(RAND()&lt;CondReturn,_xlfn.LOGNORM.INV(RAND(),MV2,Sigma1),IF(RAND()&lt;CondGood,_xlfn.LOGNORM.INV(RAND(),MV3,Sigma2),MIN(MaxMultiple,Xm/(1-RAND())^(1/Alpha)))))</f>
        <v>1.0096495471690496</v>
      </c>
      <c r="AA194" s="19">
        <f ca="1">IF(RAND()&lt;P_Zero,0,IF(RAND()&lt;CondReturn,_xlfn.LOGNORM.INV(RAND(),MV2,Sigma1),IF(RAND()&lt;CondGood,_xlfn.LOGNORM.INV(RAND(),MV3,Sigma2),MIN(MaxMultiple,Xm/(1-RAND())^(1/Alpha)))))</f>
        <v>0</v>
      </c>
      <c r="AB194" s="19">
        <f t="shared" ca="1" si="16"/>
        <v>1.9631564475890761</v>
      </c>
      <c r="AC194" s="14">
        <f t="shared" ca="1" si="17"/>
        <v>94231509.484275654</v>
      </c>
      <c r="AD194" s="14">
        <f t="shared" ca="1" si="18"/>
        <v>46231509.484275654</v>
      </c>
      <c r="AE194" s="14">
        <f t="shared" si="19"/>
        <v>55628399.869093813</v>
      </c>
      <c r="AF194" s="14">
        <f t="shared" ca="1" si="20"/>
        <v>0</v>
      </c>
      <c r="AG194" s="14">
        <f t="shared" ca="1" si="21"/>
        <v>0</v>
      </c>
      <c r="AH194" s="14">
        <f t="shared" ca="1" si="22"/>
        <v>94231509.484275654</v>
      </c>
      <c r="AI194" s="19">
        <f t="shared" ca="1" si="23"/>
        <v>1.5705251580712609</v>
      </c>
    </row>
    <row r="195" spans="2:35" x14ac:dyDescent="0.2">
      <c r="B195" s="1">
        <v>190</v>
      </c>
      <c r="C195" s="19">
        <f ca="1">IF(RAND()&lt;P_Zero,0,IF(RAND()&lt;CondReturn,_xlfn.LOGNORM.INV(RAND(),MV2,Sigma1),IF(RAND()&lt;CondGood,_xlfn.LOGNORM.INV(RAND(),MV3,Sigma2),MIN(MaxMultiple,Xm/(1-RAND())^(1/Alpha)))))</f>
        <v>21.490836592884463</v>
      </c>
      <c r="D195" s="19">
        <f ca="1">IF(RAND()&lt;P_Zero,0,IF(RAND()&lt;CondReturn,_xlfn.LOGNORM.INV(RAND(),MV2,Sigma1),IF(RAND()&lt;CondGood,_xlfn.LOGNORM.INV(RAND(),MV3,Sigma2),MIN(MaxMultiple,Xm/(1-RAND())^(1/Alpha)))))</f>
        <v>0</v>
      </c>
      <c r="E195" s="19">
        <f ca="1">IF(RAND()&lt;P_Zero,0,IF(RAND()&lt;CondReturn,_xlfn.LOGNORM.INV(RAND(),MV2,Sigma1),IF(RAND()&lt;CondGood,_xlfn.LOGNORM.INV(RAND(),MV3,Sigma2),MIN(MaxMultiple,Xm/(1-RAND())^(1/Alpha)))))</f>
        <v>1.8513939110186135</v>
      </c>
      <c r="F195" s="19">
        <f ca="1">IF(RAND()&lt;P_Zero,0,IF(RAND()&lt;CondReturn,_xlfn.LOGNORM.INV(RAND(),MV2,Sigma1),IF(RAND()&lt;CondGood,_xlfn.LOGNORM.INV(RAND(),MV3,Sigma2),MIN(MaxMultiple,Xm/(1-RAND())^(1/Alpha)))))</f>
        <v>0</v>
      </c>
      <c r="G195" s="19">
        <f ca="1">IF(RAND()&lt;P_Zero,0,IF(RAND()&lt;CondReturn,_xlfn.LOGNORM.INV(RAND(),MV2,Sigma1),IF(RAND()&lt;CondGood,_xlfn.LOGNORM.INV(RAND(),MV3,Sigma2),MIN(MaxMultiple,Xm/(1-RAND())^(1/Alpha)))))</f>
        <v>1.0989462788396804</v>
      </c>
      <c r="H195" s="19">
        <f ca="1">IF(RAND()&lt;P_Zero,0,IF(RAND()&lt;CondReturn,_xlfn.LOGNORM.INV(RAND(),MV2,Sigma1),IF(RAND()&lt;CondGood,_xlfn.LOGNORM.INV(RAND(),MV3,Sigma2),MIN(MaxMultiple,Xm/(1-RAND())^(1/Alpha)))))</f>
        <v>1.6921106812072544</v>
      </c>
      <c r="I195" s="19">
        <f ca="1">IF(RAND()&lt;P_Zero,0,IF(RAND()&lt;CondReturn,_xlfn.LOGNORM.INV(RAND(),MV2,Sigma1),IF(RAND()&lt;CondGood,_xlfn.LOGNORM.INV(RAND(),MV3,Sigma2),MIN(MaxMultiple,Xm/(1-RAND())^(1/Alpha)))))</f>
        <v>38.835672233859832</v>
      </c>
      <c r="J195" s="19">
        <f ca="1">IF(RAND()&lt;P_Zero,0,IF(RAND()&lt;CondReturn,_xlfn.LOGNORM.INV(RAND(),MV2,Sigma1),IF(RAND()&lt;CondGood,_xlfn.LOGNORM.INV(RAND(),MV3,Sigma2),MIN(MaxMultiple,Xm/(1-RAND())^(1/Alpha)))))</f>
        <v>0.45428529679530177</v>
      </c>
      <c r="K195" s="19">
        <f ca="1">IF(RAND()&lt;P_Zero,0,IF(RAND()&lt;CondReturn,_xlfn.LOGNORM.INV(RAND(),MV2,Sigma1),IF(RAND()&lt;CondGood,_xlfn.LOGNORM.INV(RAND(),MV3,Sigma2),MIN(MaxMultiple,Xm/(1-RAND())^(1/Alpha)))))</f>
        <v>0.60767254258117875</v>
      </c>
      <c r="L195" s="19">
        <f ca="1">IF(RAND()&lt;P_Zero,0,IF(RAND()&lt;CondReturn,_xlfn.LOGNORM.INV(RAND(),MV2,Sigma1),IF(RAND()&lt;CondGood,_xlfn.LOGNORM.INV(RAND(),MV3,Sigma2),MIN(MaxMultiple,Xm/(1-RAND())^(1/Alpha)))))</f>
        <v>2.0966701296565731</v>
      </c>
      <c r="M195" s="19">
        <f ca="1">IF(RAND()&lt;P_Zero,0,IF(RAND()&lt;CondReturn,_xlfn.LOGNORM.INV(RAND(),MV2,Sigma1),IF(RAND()&lt;CondGood,_xlfn.LOGNORM.INV(RAND(),MV3,Sigma2),MIN(MaxMultiple,Xm/(1-RAND())^(1/Alpha)))))</f>
        <v>0.74499354221493963</v>
      </c>
      <c r="N195" s="19">
        <f ca="1">IF(RAND()&lt;P_Zero,0,IF(RAND()&lt;CondReturn,_xlfn.LOGNORM.INV(RAND(),MV2,Sigma1),IF(RAND()&lt;CondGood,_xlfn.LOGNORM.INV(RAND(),MV3,Sigma2),MIN(MaxMultiple,Xm/(1-RAND())^(1/Alpha)))))</f>
        <v>0.47172864870867892</v>
      </c>
      <c r="O195" s="19">
        <f ca="1">IF(RAND()&lt;P_Zero,0,IF(RAND()&lt;CondReturn,_xlfn.LOGNORM.INV(RAND(),MV2,Sigma1),IF(RAND()&lt;CondGood,_xlfn.LOGNORM.INV(RAND(),MV3,Sigma2),MIN(MaxMultiple,Xm/(1-RAND())^(1/Alpha)))))</f>
        <v>14.396703815472955</v>
      </c>
      <c r="P195" s="19">
        <f ca="1">IF(RAND()&lt;P_Zero,0,IF(RAND()&lt;CondReturn,_xlfn.LOGNORM.INV(RAND(),MV2,Sigma1),IF(RAND()&lt;CondGood,_xlfn.LOGNORM.INV(RAND(),MV3,Sigma2),MIN(MaxMultiple,Xm/(1-RAND())^(1/Alpha)))))</f>
        <v>3.6018749900211589</v>
      </c>
      <c r="Q195" s="19">
        <f ca="1">IF(RAND()&lt;P_Zero,0,IF(RAND()&lt;CondReturn,_xlfn.LOGNORM.INV(RAND(),MV2,Sigma1),IF(RAND()&lt;CondGood,_xlfn.LOGNORM.INV(RAND(),MV3,Sigma2),MIN(MaxMultiple,Xm/(1-RAND())^(1/Alpha)))))</f>
        <v>1.7037745641490585</v>
      </c>
      <c r="R195" s="19">
        <f ca="1">IF(RAND()&lt;P_Zero,0,IF(RAND()&lt;CondReturn,_xlfn.LOGNORM.INV(RAND(),MV2,Sigma1),IF(RAND()&lt;CondGood,_xlfn.LOGNORM.INV(RAND(),MV3,Sigma2),MIN(MaxMultiple,Xm/(1-RAND())^(1/Alpha)))))</f>
        <v>1.1712476122602586</v>
      </c>
      <c r="S195" s="19">
        <f ca="1">IF(RAND()&lt;P_Zero,0,IF(RAND()&lt;CondReturn,_xlfn.LOGNORM.INV(RAND(),MV2,Sigma1),IF(RAND()&lt;CondGood,_xlfn.LOGNORM.INV(RAND(),MV3,Sigma2),MIN(MaxMultiple,Xm/(1-RAND())^(1/Alpha)))))</f>
        <v>0</v>
      </c>
      <c r="T195" s="19">
        <f ca="1">IF(RAND()&lt;P_Zero,0,IF(RAND()&lt;CondReturn,_xlfn.LOGNORM.INV(RAND(),MV2,Sigma1),IF(RAND()&lt;CondGood,_xlfn.LOGNORM.INV(RAND(),MV3,Sigma2),MIN(MaxMultiple,Xm/(1-RAND())^(1/Alpha)))))</f>
        <v>14.653020189940952</v>
      </c>
      <c r="U195" s="19">
        <f ca="1">IF(RAND()&lt;P_Zero,0,IF(RAND()&lt;CondReturn,_xlfn.LOGNORM.INV(RAND(),MV2,Sigma1),IF(RAND()&lt;CondGood,_xlfn.LOGNORM.INV(RAND(),MV3,Sigma2),MIN(MaxMultiple,Xm/(1-RAND())^(1/Alpha)))))</f>
        <v>1.6941899220772201</v>
      </c>
      <c r="V195" s="19">
        <f ca="1">IF(RAND()&lt;P_Zero,0,IF(RAND()&lt;CondReturn,_xlfn.LOGNORM.INV(RAND(),MV2,Sigma1),IF(RAND()&lt;CondGood,_xlfn.LOGNORM.INV(RAND(),MV3,Sigma2),MIN(MaxMultiple,Xm/(1-RAND())^(1/Alpha)))))</f>
        <v>1.0113466368022193</v>
      </c>
      <c r="W195" s="19">
        <f ca="1">IF(RAND()&lt;P_Zero,0,IF(RAND()&lt;CondReturn,_xlfn.LOGNORM.INV(RAND(),MV2,Sigma1),IF(RAND()&lt;CondGood,_xlfn.LOGNORM.INV(RAND(),MV3,Sigma2),MIN(MaxMultiple,Xm/(1-RAND())^(1/Alpha)))))</f>
        <v>0.80587685965382327</v>
      </c>
      <c r="X195" s="19">
        <f ca="1">IF(RAND()&lt;P_Zero,0,IF(RAND()&lt;CondReturn,_xlfn.LOGNORM.INV(RAND(),MV2,Sigma1),IF(RAND()&lt;CondGood,_xlfn.LOGNORM.INV(RAND(),MV3,Sigma2),MIN(MaxMultiple,Xm/(1-RAND())^(1/Alpha)))))</f>
        <v>0</v>
      </c>
      <c r="Y195" s="19">
        <f ca="1">IF(RAND()&lt;P_Zero,0,IF(RAND()&lt;CondReturn,_xlfn.LOGNORM.INV(RAND(),MV2,Sigma1),IF(RAND()&lt;CondGood,_xlfn.LOGNORM.INV(RAND(),MV3,Sigma2),MIN(MaxMultiple,Xm/(1-RAND())^(1/Alpha)))))</f>
        <v>0</v>
      </c>
      <c r="Z195" s="19">
        <f ca="1">IF(RAND()&lt;P_Zero,0,IF(RAND()&lt;CondReturn,_xlfn.LOGNORM.INV(RAND(),MV2,Sigma1),IF(RAND()&lt;CondGood,_xlfn.LOGNORM.INV(RAND(),MV3,Sigma2),MIN(MaxMultiple,Xm/(1-RAND())^(1/Alpha)))))</f>
        <v>0</v>
      </c>
      <c r="AA195" s="19">
        <f ca="1">IF(RAND()&lt;P_Zero,0,IF(RAND()&lt;CondReturn,_xlfn.LOGNORM.INV(RAND(),MV2,Sigma1),IF(RAND()&lt;CondGood,_xlfn.LOGNORM.INV(RAND(),MV3,Sigma2),MIN(MaxMultiple,Xm/(1-RAND())^(1/Alpha)))))</f>
        <v>1.4688165354073148</v>
      </c>
      <c r="AB195" s="19">
        <f t="shared" ca="1" si="16"/>
        <v>4.3940464393420591</v>
      </c>
      <c r="AC195" s="14">
        <f t="shared" ca="1" si="17"/>
        <v>210914229.08841884</v>
      </c>
      <c r="AD195" s="14">
        <f t="shared" ca="1" si="18"/>
        <v>162914229.08841884</v>
      </c>
      <c r="AE195" s="14">
        <f t="shared" si="19"/>
        <v>55628399.869093813</v>
      </c>
      <c r="AF195" s="14">
        <f t="shared" ca="1" si="20"/>
        <v>107285829.21932504</v>
      </c>
      <c r="AG195" s="14">
        <f t="shared" ca="1" si="21"/>
        <v>21457165.843865007</v>
      </c>
      <c r="AH195" s="14">
        <f t="shared" ca="1" si="22"/>
        <v>189457063.24455383</v>
      </c>
      <c r="AI195" s="19">
        <f t="shared" ca="1" si="23"/>
        <v>3.157617720742564</v>
      </c>
    </row>
    <row r="196" spans="2:35" x14ac:dyDescent="0.2">
      <c r="B196" s="1">
        <v>191</v>
      </c>
      <c r="C196" s="19">
        <f ca="1">IF(RAND()&lt;P_Zero,0,IF(RAND()&lt;CondReturn,_xlfn.LOGNORM.INV(RAND(),MV2,Sigma1),IF(RAND()&lt;CondGood,_xlfn.LOGNORM.INV(RAND(),MV3,Sigma2),MIN(MaxMultiple,Xm/(1-RAND())^(1/Alpha)))))</f>
        <v>15.475840804849186</v>
      </c>
      <c r="D196" s="19">
        <f ca="1">IF(RAND()&lt;P_Zero,0,IF(RAND()&lt;CondReturn,_xlfn.LOGNORM.INV(RAND(),MV2,Sigma1),IF(RAND()&lt;CondGood,_xlfn.LOGNORM.INV(RAND(),MV3,Sigma2),MIN(MaxMultiple,Xm/(1-RAND())^(1/Alpha)))))</f>
        <v>1.8787848135362131</v>
      </c>
      <c r="E196" s="19">
        <f ca="1">IF(RAND()&lt;P_Zero,0,IF(RAND()&lt;CondReturn,_xlfn.LOGNORM.INV(RAND(),MV2,Sigma1),IF(RAND()&lt;CondGood,_xlfn.LOGNORM.INV(RAND(),MV3,Sigma2),MIN(MaxMultiple,Xm/(1-RAND())^(1/Alpha)))))</f>
        <v>0</v>
      </c>
      <c r="F196" s="19">
        <f ca="1">IF(RAND()&lt;P_Zero,0,IF(RAND()&lt;CondReturn,_xlfn.LOGNORM.INV(RAND(),MV2,Sigma1),IF(RAND()&lt;CondGood,_xlfn.LOGNORM.INV(RAND(),MV3,Sigma2),MIN(MaxMultiple,Xm/(1-RAND())^(1/Alpha)))))</f>
        <v>0</v>
      </c>
      <c r="G196" s="19">
        <f ca="1">IF(RAND()&lt;P_Zero,0,IF(RAND()&lt;CondReturn,_xlfn.LOGNORM.INV(RAND(),MV2,Sigma1),IF(RAND()&lt;CondGood,_xlfn.LOGNORM.INV(RAND(),MV3,Sigma2),MIN(MaxMultiple,Xm/(1-RAND())^(1/Alpha)))))</f>
        <v>0</v>
      </c>
      <c r="H196" s="19">
        <f ca="1">IF(RAND()&lt;P_Zero,0,IF(RAND()&lt;CondReturn,_xlfn.LOGNORM.INV(RAND(),MV2,Sigma1),IF(RAND()&lt;CondGood,_xlfn.LOGNORM.INV(RAND(),MV3,Sigma2),MIN(MaxMultiple,Xm/(1-RAND())^(1/Alpha)))))</f>
        <v>0</v>
      </c>
      <c r="I196" s="19">
        <f ca="1">IF(RAND()&lt;P_Zero,0,IF(RAND()&lt;CondReturn,_xlfn.LOGNORM.INV(RAND(),MV2,Sigma1),IF(RAND()&lt;CondGood,_xlfn.LOGNORM.INV(RAND(),MV3,Sigma2),MIN(MaxMultiple,Xm/(1-RAND())^(1/Alpha)))))</f>
        <v>0</v>
      </c>
      <c r="J196" s="19">
        <f ca="1">IF(RAND()&lt;P_Zero,0,IF(RAND()&lt;CondReturn,_xlfn.LOGNORM.INV(RAND(),MV2,Sigma1),IF(RAND()&lt;CondGood,_xlfn.LOGNORM.INV(RAND(),MV3,Sigma2),MIN(MaxMultiple,Xm/(1-RAND())^(1/Alpha)))))</f>
        <v>0</v>
      </c>
      <c r="K196" s="19">
        <f ca="1">IF(RAND()&lt;P_Zero,0,IF(RAND()&lt;CondReturn,_xlfn.LOGNORM.INV(RAND(),MV2,Sigma1),IF(RAND()&lt;CondGood,_xlfn.LOGNORM.INV(RAND(),MV3,Sigma2),MIN(MaxMultiple,Xm/(1-RAND())^(1/Alpha)))))</f>
        <v>0</v>
      </c>
      <c r="L196" s="19">
        <f ca="1">IF(RAND()&lt;P_Zero,0,IF(RAND()&lt;CondReturn,_xlfn.LOGNORM.INV(RAND(),MV2,Sigma1),IF(RAND()&lt;CondGood,_xlfn.LOGNORM.INV(RAND(),MV3,Sigma2),MIN(MaxMultiple,Xm/(1-RAND())^(1/Alpha)))))</f>
        <v>1.1085254157923954</v>
      </c>
      <c r="M196" s="19">
        <f ca="1">IF(RAND()&lt;P_Zero,0,IF(RAND()&lt;CondReturn,_xlfn.LOGNORM.INV(RAND(),MV2,Sigma1),IF(RAND()&lt;CondGood,_xlfn.LOGNORM.INV(RAND(),MV3,Sigma2),MIN(MaxMultiple,Xm/(1-RAND())^(1/Alpha)))))</f>
        <v>0</v>
      </c>
      <c r="N196" s="19">
        <f ca="1">IF(RAND()&lt;P_Zero,0,IF(RAND()&lt;CondReturn,_xlfn.LOGNORM.INV(RAND(),MV2,Sigma1),IF(RAND()&lt;CondGood,_xlfn.LOGNORM.INV(RAND(),MV3,Sigma2),MIN(MaxMultiple,Xm/(1-RAND())^(1/Alpha)))))</f>
        <v>0.80654182485677361</v>
      </c>
      <c r="O196" s="19">
        <f ca="1">IF(RAND()&lt;P_Zero,0,IF(RAND()&lt;CondReturn,_xlfn.LOGNORM.INV(RAND(),MV2,Sigma1),IF(RAND()&lt;CondGood,_xlfn.LOGNORM.INV(RAND(),MV3,Sigma2),MIN(MaxMultiple,Xm/(1-RAND())^(1/Alpha)))))</f>
        <v>0</v>
      </c>
      <c r="P196" s="19">
        <f ca="1">IF(RAND()&lt;P_Zero,0,IF(RAND()&lt;CondReturn,_xlfn.LOGNORM.INV(RAND(),MV2,Sigma1),IF(RAND()&lt;CondGood,_xlfn.LOGNORM.INV(RAND(),MV3,Sigma2),MIN(MaxMultiple,Xm/(1-RAND())^(1/Alpha)))))</f>
        <v>0</v>
      </c>
      <c r="Q196" s="19">
        <f ca="1">IF(RAND()&lt;P_Zero,0,IF(RAND()&lt;CondReturn,_xlfn.LOGNORM.INV(RAND(),MV2,Sigma1),IF(RAND()&lt;CondGood,_xlfn.LOGNORM.INV(RAND(),MV3,Sigma2),MIN(MaxMultiple,Xm/(1-RAND())^(1/Alpha)))))</f>
        <v>20.169861017027415</v>
      </c>
      <c r="R196" s="19">
        <f ca="1">IF(RAND()&lt;P_Zero,0,IF(RAND()&lt;CondReturn,_xlfn.LOGNORM.INV(RAND(),MV2,Sigma1),IF(RAND()&lt;CondGood,_xlfn.LOGNORM.INV(RAND(),MV3,Sigma2),MIN(MaxMultiple,Xm/(1-RAND())^(1/Alpha)))))</f>
        <v>0</v>
      </c>
      <c r="S196" s="19">
        <f ca="1">IF(RAND()&lt;P_Zero,0,IF(RAND()&lt;CondReturn,_xlfn.LOGNORM.INV(RAND(),MV2,Sigma1),IF(RAND()&lt;CondGood,_xlfn.LOGNORM.INV(RAND(),MV3,Sigma2),MIN(MaxMultiple,Xm/(1-RAND())^(1/Alpha)))))</f>
        <v>2.7890446090477661</v>
      </c>
      <c r="T196" s="19">
        <f ca="1">IF(RAND()&lt;P_Zero,0,IF(RAND()&lt;CondReturn,_xlfn.LOGNORM.INV(RAND(),MV2,Sigma1),IF(RAND()&lt;CondGood,_xlfn.LOGNORM.INV(RAND(),MV3,Sigma2),MIN(MaxMultiple,Xm/(1-RAND())^(1/Alpha)))))</f>
        <v>1.3411544400130848</v>
      </c>
      <c r="U196" s="19">
        <f ca="1">IF(RAND()&lt;P_Zero,0,IF(RAND()&lt;CondReturn,_xlfn.LOGNORM.INV(RAND(),MV2,Sigma1),IF(RAND()&lt;CondGood,_xlfn.LOGNORM.INV(RAND(),MV3,Sigma2),MIN(MaxMultiple,Xm/(1-RAND())^(1/Alpha)))))</f>
        <v>1.6411394673780335</v>
      </c>
      <c r="V196" s="19">
        <f ca="1">IF(RAND()&lt;P_Zero,0,IF(RAND()&lt;CondReturn,_xlfn.LOGNORM.INV(RAND(),MV2,Sigma1),IF(RAND()&lt;CondGood,_xlfn.LOGNORM.INV(RAND(),MV3,Sigma2),MIN(MaxMultiple,Xm/(1-RAND())^(1/Alpha)))))</f>
        <v>0</v>
      </c>
      <c r="W196" s="19">
        <f ca="1">IF(RAND()&lt;P_Zero,0,IF(RAND()&lt;CondReturn,_xlfn.LOGNORM.INV(RAND(),MV2,Sigma1),IF(RAND()&lt;CondGood,_xlfn.LOGNORM.INV(RAND(),MV3,Sigma2),MIN(MaxMultiple,Xm/(1-RAND())^(1/Alpha)))))</f>
        <v>2.2860789038364664</v>
      </c>
      <c r="X196" s="19">
        <f ca="1">IF(RAND()&lt;P_Zero,0,IF(RAND()&lt;CondReturn,_xlfn.LOGNORM.INV(RAND(),MV2,Sigma1),IF(RAND()&lt;CondGood,_xlfn.LOGNORM.INV(RAND(),MV3,Sigma2),MIN(MaxMultiple,Xm/(1-RAND())^(1/Alpha)))))</f>
        <v>0.84533162791810845</v>
      </c>
      <c r="Y196" s="19">
        <f ca="1">IF(RAND()&lt;P_Zero,0,IF(RAND()&lt;CondReturn,_xlfn.LOGNORM.INV(RAND(),MV2,Sigma1),IF(RAND()&lt;CondGood,_xlfn.LOGNORM.INV(RAND(),MV3,Sigma2),MIN(MaxMultiple,Xm/(1-RAND())^(1/Alpha)))))</f>
        <v>0</v>
      </c>
      <c r="Z196" s="19">
        <f ca="1">IF(RAND()&lt;P_Zero,0,IF(RAND()&lt;CondReturn,_xlfn.LOGNORM.INV(RAND(),MV2,Sigma1),IF(RAND()&lt;CondGood,_xlfn.LOGNORM.INV(RAND(),MV3,Sigma2),MIN(MaxMultiple,Xm/(1-RAND())^(1/Alpha)))))</f>
        <v>0.93546495023834453</v>
      </c>
      <c r="AA196" s="19">
        <f ca="1">IF(RAND()&lt;P_Zero,0,IF(RAND()&lt;CondReturn,_xlfn.LOGNORM.INV(RAND(),MV2,Sigma1),IF(RAND()&lt;CondGood,_xlfn.LOGNORM.INV(RAND(),MV3,Sigma2),MIN(MaxMultiple,Xm/(1-RAND())^(1/Alpha)))))</f>
        <v>10.950464231434704</v>
      </c>
      <c r="AB196" s="19">
        <f t="shared" ca="1" si="16"/>
        <v>2.4091292842371392</v>
      </c>
      <c r="AC196" s="14">
        <f t="shared" ca="1" si="17"/>
        <v>115638205.64338268</v>
      </c>
      <c r="AD196" s="14">
        <f t="shared" ca="1" si="18"/>
        <v>67638205.643382683</v>
      </c>
      <c r="AE196" s="14">
        <f t="shared" si="19"/>
        <v>55628399.869093813</v>
      </c>
      <c r="AF196" s="14">
        <f t="shared" ca="1" si="20"/>
        <v>12009805.77428887</v>
      </c>
      <c r="AG196" s="14">
        <f t="shared" ca="1" si="21"/>
        <v>2401961.1548577743</v>
      </c>
      <c r="AH196" s="14">
        <f t="shared" ca="1" si="22"/>
        <v>113236244.48852491</v>
      </c>
      <c r="AI196" s="19">
        <f t="shared" ca="1" si="23"/>
        <v>1.8872707414754153</v>
      </c>
    </row>
    <row r="197" spans="2:35" x14ac:dyDescent="0.2">
      <c r="B197" s="1">
        <v>192</v>
      </c>
      <c r="C197" s="19">
        <f ca="1">IF(RAND()&lt;P_Zero,0,IF(RAND()&lt;CondReturn,_xlfn.LOGNORM.INV(RAND(),MV2,Sigma1),IF(RAND()&lt;CondGood,_xlfn.LOGNORM.INV(RAND(),MV3,Sigma2),MIN(MaxMultiple,Xm/(1-RAND())^(1/Alpha)))))</f>
        <v>0</v>
      </c>
      <c r="D197" s="19">
        <f ca="1">IF(RAND()&lt;P_Zero,0,IF(RAND()&lt;CondReturn,_xlfn.LOGNORM.INV(RAND(),MV2,Sigma1),IF(RAND()&lt;CondGood,_xlfn.LOGNORM.INV(RAND(),MV3,Sigma2),MIN(MaxMultiple,Xm/(1-RAND())^(1/Alpha)))))</f>
        <v>0</v>
      </c>
      <c r="E197" s="19">
        <f ca="1">IF(RAND()&lt;P_Zero,0,IF(RAND()&lt;CondReturn,_xlfn.LOGNORM.INV(RAND(),MV2,Sigma1),IF(RAND()&lt;CondGood,_xlfn.LOGNORM.INV(RAND(),MV3,Sigma2),MIN(MaxMultiple,Xm/(1-RAND())^(1/Alpha)))))</f>
        <v>0.78586590758964758</v>
      </c>
      <c r="F197" s="19">
        <f ca="1">IF(RAND()&lt;P_Zero,0,IF(RAND()&lt;CondReturn,_xlfn.LOGNORM.INV(RAND(),MV2,Sigma1),IF(RAND()&lt;CondGood,_xlfn.LOGNORM.INV(RAND(),MV3,Sigma2),MIN(MaxMultiple,Xm/(1-RAND())^(1/Alpha)))))</f>
        <v>0</v>
      </c>
      <c r="G197" s="19">
        <f ca="1">IF(RAND()&lt;P_Zero,0,IF(RAND()&lt;CondReturn,_xlfn.LOGNORM.INV(RAND(),MV2,Sigma1),IF(RAND()&lt;CondGood,_xlfn.LOGNORM.INV(RAND(),MV3,Sigma2),MIN(MaxMultiple,Xm/(1-RAND())^(1/Alpha)))))</f>
        <v>0</v>
      </c>
      <c r="H197" s="19">
        <f ca="1">IF(RAND()&lt;P_Zero,0,IF(RAND()&lt;CondReturn,_xlfn.LOGNORM.INV(RAND(),MV2,Sigma1),IF(RAND()&lt;CondGood,_xlfn.LOGNORM.INV(RAND(),MV3,Sigma2),MIN(MaxMultiple,Xm/(1-RAND())^(1/Alpha)))))</f>
        <v>45.091344636047012</v>
      </c>
      <c r="I197" s="19">
        <f ca="1">IF(RAND()&lt;P_Zero,0,IF(RAND()&lt;CondReturn,_xlfn.LOGNORM.INV(RAND(),MV2,Sigma1),IF(RAND()&lt;CondGood,_xlfn.LOGNORM.INV(RAND(),MV3,Sigma2),MIN(MaxMultiple,Xm/(1-RAND())^(1/Alpha)))))</f>
        <v>1.3999244992577331</v>
      </c>
      <c r="J197" s="19">
        <f ca="1">IF(RAND()&lt;P_Zero,0,IF(RAND()&lt;CondReturn,_xlfn.LOGNORM.INV(RAND(),MV2,Sigma1),IF(RAND()&lt;CondGood,_xlfn.LOGNORM.INV(RAND(),MV3,Sigma2),MIN(MaxMultiple,Xm/(1-RAND())^(1/Alpha)))))</f>
        <v>1.2613800554520134</v>
      </c>
      <c r="K197" s="19">
        <f ca="1">IF(RAND()&lt;P_Zero,0,IF(RAND()&lt;CondReturn,_xlfn.LOGNORM.INV(RAND(),MV2,Sigma1),IF(RAND()&lt;CondGood,_xlfn.LOGNORM.INV(RAND(),MV3,Sigma2),MIN(MaxMultiple,Xm/(1-RAND())^(1/Alpha)))))</f>
        <v>0</v>
      </c>
      <c r="L197" s="19">
        <f ca="1">IF(RAND()&lt;P_Zero,0,IF(RAND()&lt;CondReturn,_xlfn.LOGNORM.INV(RAND(),MV2,Sigma1),IF(RAND()&lt;CondGood,_xlfn.LOGNORM.INV(RAND(),MV3,Sigma2),MIN(MaxMultiple,Xm/(1-RAND())^(1/Alpha)))))</f>
        <v>0.51298893366767517</v>
      </c>
      <c r="M197" s="19">
        <f ca="1">IF(RAND()&lt;P_Zero,0,IF(RAND()&lt;CondReturn,_xlfn.LOGNORM.INV(RAND(),MV2,Sigma1),IF(RAND()&lt;CondGood,_xlfn.LOGNORM.INV(RAND(),MV3,Sigma2),MIN(MaxMultiple,Xm/(1-RAND())^(1/Alpha)))))</f>
        <v>0</v>
      </c>
      <c r="N197" s="19">
        <f ca="1">IF(RAND()&lt;P_Zero,0,IF(RAND()&lt;CondReturn,_xlfn.LOGNORM.INV(RAND(),MV2,Sigma1),IF(RAND()&lt;CondGood,_xlfn.LOGNORM.INV(RAND(),MV3,Sigma2),MIN(MaxMultiple,Xm/(1-RAND())^(1/Alpha)))))</f>
        <v>0.67638190232573703</v>
      </c>
      <c r="O197" s="19">
        <f ca="1">IF(RAND()&lt;P_Zero,0,IF(RAND()&lt;CondReturn,_xlfn.LOGNORM.INV(RAND(),MV2,Sigma1),IF(RAND()&lt;CondGood,_xlfn.LOGNORM.INV(RAND(),MV3,Sigma2),MIN(MaxMultiple,Xm/(1-RAND())^(1/Alpha)))))</f>
        <v>0.61409286801161234</v>
      </c>
      <c r="P197" s="19">
        <f ca="1">IF(RAND()&lt;P_Zero,0,IF(RAND()&lt;CondReturn,_xlfn.LOGNORM.INV(RAND(),MV2,Sigma1),IF(RAND()&lt;CondGood,_xlfn.LOGNORM.INV(RAND(),MV3,Sigma2),MIN(MaxMultiple,Xm/(1-RAND())^(1/Alpha)))))</f>
        <v>2.1976967601592863</v>
      </c>
      <c r="Q197" s="19">
        <f ca="1">IF(RAND()&lt;P_Zero,0,IF(RAND()&lt;CondReturn,_xlfn.LOGNORM.INV(RAND(),MV2,Sigma1),IF(RAND()&lt;CondGood,_xlfn.LOGNORM.INV(RAND(),MV3,Sigma2),MIN(MaxMultiple,Xm/(1-RAND())^(1/Alpha)))))</f>
        <v>1.36891513594001</v>
      </c>
      <c r="R197" s="19">
        <f ca="1">IF(RAND()&lt;P_Zero,0,IF(RAND()&lt;CondReturn,_xlfn.LOGNORM.INV(RAND(),MV2,Sigma1),IF(RAND()&lt;CondGood,_xlfn.LOGNORM.INV(RAND(),MV3,Sigma2),MIN(MaxMultiple,Xm/(1-RAND())^(1/Alpha)))))</f>
        <v>0.91143425823563629</v>
      </c>
      <c r="S197" s="19">
        <f ca="1">IF(RAND()&lt;P_Zero,0,IF(RAND()&lt;CondReturn,_xlfn.LOGNORM.INV(RAND(),MV2,Sigma1),IF(RAND()&lt;CondGood,_xlfn.LOGNORM.INV(RAND(),MV3,Sigma2),MIN(MaxMultiple,Xm/(1-RAND())^(1/Alpha)))))</f>
        <v>0.4351328383381855</v>
      </c>
      <c r="T197" s="19">
        <f ca="1">IF(RAND()&lt;P_Zero,0,IF(RAND()&lt;CondReturn,_xlfn.LOGNORM.INV(RAND(),MV2,Sigma1),IF(RAND()&lt;CondGood,_xlfn.LOGNORM.INV(RAND(),MV3,Sigma2),MIN(MaxMultiple,Xm/(1-RAND())^(1/Alpha)))))</f>
        <v>0.70363554975037346</v>
      </c>
      <c r="U197" s="19">
        <f ca="1">IF(RAND()&lt;P_Zero,0,IF(RAND()&lt;CondReturn,_xlfn.LOGNORM.INV(RAND(),MV2,Sigma1),IF(RAND()&lt;CondGood,_xlfn.LOGNORM.INV(RAND(),MV3,Sigma2),MIN(MaxMultiple,Xm/(1-RAND())^(1/Alpha)))))</f>
        <v>1.3973566682771128</v>
      </c>
      <c r="V197" s="19">
        <f ca="1">IF(RAND()&lt;P_Zero,0,IF(RAND()&lt;CondReturn,_xlfn.LOGNORM.INV(RAND(),MV2,Sigma1),IF(RAND()&lt;CondGood,_xlfn.LOGNORM.INV(RAND(),MV3,Sigma2),MIN(MaxMultiple,Xm/(1-RAND())^(1/Alpha)))))</f>
        <v>1.9525381616496926</v>
      </c>
      <c r="W197" s="19">
        <f ca="1">IF(RAND()&lt;P_Zero,0,IF(RAND()&lt;CondReturn,_xlfn.LOGNORM.INV(RAND(),MV2,Sigma1),IF(RAND()&lt;CondGood,_xlfn.LOGNORM.INV(RAND(),MV3,Sigma2),MIN(MaxMultiple,Xm/(1-RAND())^(1/Alpha)))))</f>
        <v>1.0073689961798586</v>
      </c>
      <c r="X197" s="19">
        <f ca="1">IF(RAND()&lt;P_Zero,0,IF(RAND()&lt;CondReturn,_xlfn.LOGNORM.INV(RAND(),MV2,Sigma1),IF(RAND()&lt;CondGood,_xlfn.LOGNORM.INV(RAND(),MV3,Sigma2),MIN(MaxMultiple,Xm/(1-RAND())^(1/Alpha)))))</f>
        <v>0</v>
      </c>
      <c r="Y197" s="19">
        <f ca="1">IF(RAND()&lt;P_Zero,0,IF(RAND()&lt;CondReturn,_xlfn.LOGNORM.INV(RAND(),MV2,Sigma1),IF(RAND()&lt;CondGood,_xlfn.LOGNORM.INV(RAND(),MV3,Sigma2),MIN(MaxMultiple,Xm/(1-RAND())^(1/Alpha)))))</f>
        <v>0.67095547007342371</v>
      </c>
      <c r="Z197" s="19">
        <f ca="1">IF(RAND()&lt;P_Zero,0,IF(RAND()&lt;CondReturn,_xlfn.LOGNORM.INV(RAND(),MV2,Sigma1),IF(RAND()&lt;CondGood,_xlfn.LOGNORM.INV(RAND(),MV3,Sigma2),MIN(MaxMultiple,Xm/(1-RAND())^(1/Alpha)))))</f>
        <v>1.2158792953639808</v>
      </c>
      <c r="AA197" s="19">
        <f ca="1">IF(RAND()&lt;P_Zero,0,IF(RAND()&lt;CondReturn,_xlfn.LOGNORM.INV(RAND(),MV2,Sigma1),IF(RAND()&lt;CondGood,_xlfn.LOGNORM.INV(RAND(),MV3,Sigma2),MIN(MaxMultiple,Xm/(1-RAND())^(1/Alpha)))))</f>
        <v>1.0792456285277412</v>
      </c>
      <c r="AB197" s="19">
        <f t="shared" ca="1" si="16"/>
        <v>2.5312855025938692</v>
      </c>
      <c r="AC197" s="14">
        <f t="shared" ca="1" si="17"/>
        <v>121501704.12450573</v>
      </c>
      <c r="AD197" s="14">
        <f t="shared" ca="1" si="18"/>
        <v>73501704.124505728</v>
      </c>
      <c r="AE197" s="14">
        <f t="shared" si="19"/>
        <v>55628399.869093813</v>
      </c>
      <c r="AF197" s="14">
        <f t="shared" ca="1" si="20"/>
        <v>17873304.255411915</v>
      </c>
      <c r="AG197" s="14">
        <f t="shared" ca="1" si="21"/>
        <v>3574660.8510823832</v>
      </c>
      <c r="AH197" s="14">
        <f t="shared" ca="1" si="22"/>
        <v>117927043.27342334</v>
      </c>
      <c r="AI197" s="19">
        <f t="shared" ca="1" si="23"/>
        <v>1.9654507212237224</v>
      </c>
    </row>
    <row r="198" spans="2:35" x14ac:dyDescent="0.2">
      <c r="B198" s="1">
        <v>193</v>
      </c>
      <c r="C198" s="19">
        <f ca="1">IF(RAND()&lt;P_Zero,0,IF(RAND()&lt;CondReturn,_xlfn.LOGNORM.INV(RAND(),MV2,Sigma1),IF(RAND()&lt;CondGood,_xlfn.LOGNORM.INV(RAND(),MV3,Sigma2),MIN(MaxMultiple,Xm/(1-RAND())^(1/Alpha)))))</f>
        <v>0</v>
      </c>
      <c r="D198" s="19">
        <f ca="1">IF(RAND()&lt;P_Zero,0,IF(RAND()&lt;CondReturn,_xlfn.LOGNORM.INV(RAND(),MV2,Sigma1),IF(RAND()&lt;CondGood,_xlfn.LOGNORM.INV(RAND(),MV3,Sigma2),MIN(MaxMultiple,Xm/(1-RAND())^(1/Alpha)))))</f>
        <v>1.2285596012815323</v>
      </c>
      <c r="E198" s="19">
        <f ca="1">IF(RAND()&lt;P_Zero,0,IF(RAND()&lt;CondReturn,_xlfn.LOGNORM.INV(RAND(),MV2,Sigma1),IF(RAND()&lt;CondGood,_xlfn.LOGNORM.INV(RAND(),MV3,Sigma2),MIN(MaxMultiple,Xm/(1-RAND())^(1/Alpha)))))</f>
        <v>1.7399895931057541</v>
      </c>
      <c r="F198" s="19">
        <f ca="1">IF(RAND()&lt;P_Zero,0,IF(RAND()&lt;CondReturn,_xlfn.LOGNORM.INV(RAND(),MV2,Sigma1),IF(RAND()&lt;CondGood,_xlfn.LOGNORM.INV(RAND(),MV3,Sigma2),MIN(MaxMultiple,Xm/(1-RAND())^(1/Alpha)))))</f>
        <v>0</v>
      </c>
      <c r="G198" s="19">
        <f ca="1">IF(RAND()&lt;P_Zero,0,IF(RAND()&lt;CondReturn,_xlfn.LOGNORM.INV(RAND(),MV2,Sigma1),IF(RAND()&lt;CondGood,_xlfn.LOGNORM.INV(RAND(),MV3,Sigma2),MIN(MaxMultiple,Xm/(1-RAND())^(1/Alpha)))))</f>
        <v>0</v>
      </c>
      <c r="H198" s="19">
        <f ca="1">IF(RAND()&lt;P_Zero,0,IF(RAND()&lt;CondReturn,_xlfn.LOGNORM.INV(RAND(),MV2,Sigma1),IF(RAND()&lt;CondGood,_xlfn.LOGNORM.INV(RAND(),MV3,Sigma2),MIN(MaxMultiple,Xm/(1-RAND())^(1/Alpha)))))</f>
        <v>0</v>
      </c>
      <c r="I198" s="19">
        <f ca="1">IF(RAND()&lt;P_Zero,0,IF(RAND()&lt;CondReturn,_xlfn.LOGNORM.INV(RAND(),MV2,Sigma1),IF(RAND()&lt;CondGood,_xlfn.LOGNORM.INV(RAND(),MV3,Sigma2),MIN(MaxMultiple,Xm/(1-RAND())^(1/Alpha)))))</f>
        <v>0</v>
      </c>
      <c r="J198" s="19">
        <f ca="1">IF(RAND()&lt;P_Zero,0,IF(RAND()&lt;CondReturn,_xlfn.LOGNORM.INV(RAND(),MV2,Sigma1),IF(RAND()&lt;CondGood,_xlfn.LOGNORM.INV(RAND(),MV3,Sigma2),MIN(MaxMultiple,Xm/(1-RAND())^(1/Alpha)))))</f>
        <v>2.841056182250711</v>
      </c>
      <c r="K198" s="19">
        <f ca="1">IF(RAND()&lt;P_Zero,0,IF(RAND()&lt;CondReturn,_xlfn.LOGNORM.INV(RAND(),MV2,Sigma1),IF(RAND()&lt;CondGood,_xlfn.LOGNORM.INV(RAND(),MV3,Sigma2),MIN(MaxMultiple,Xm/(1-RAND())^(1/Alpha)))))</f>
        <v>0</v>
      </c>
      <c r="L198" s="19">
        <f ca="1">IF(RAND()&lt;P_Zero,0,IF(RAND()&lt;CondReturn,_xlfn.LOGNORM.INV(RAND(),MV2,Sigma1),IF(RAND()&lt;CondGood,_xlfn.LOGNORM.INV(RAND(),MV3,Sigma2),MIN(MaxMultiple,Xm/(1-RAND())^(1/Alpha)))))</f>
        <v>1.3766465087228397</v>
      </c>
      <c r="M198" s="19">
        <f ca="1">IF(RAND()&lt;P_Zero,0,IF(RAND()&lt;CondReturn,_xlfn.LOGNORM.INV(RAND(),MV2,Sigma1),IF(RAND()&lt;CondGood,_xlfn.LOGNORM.INV(RAND(),MV3,Sigma2),MIN(MaxMultiple,Xm/(1-RAND())^(1/Alpha)))))</f>
        <v>1.0280885633646615</v>
      </c>
      <c r="N198" s="19">
        <f ca="1">IF(RAND()&lt;P_Zero,0,IF(RAND()&lt;CondReturn,_xlfn.LOGNORM.INV(RAND(),MV2,Sigma1),IF(RAND()&lt;CondGood,_xlfn.LOGNORM.INV(RAND(),MV3,Sigma2),MIN(MaxMultiple,Xm/(1-RAND())^(1/Alpha)))))</f>
        <v>46.322545311697247</v>
      </c>
      <c r="O198" s="19">
        <f ca="1">IF(RAND()&lt;P_Zero,0,IF(RAND()&lt;CondReturn,_xlfn.LOGNORM.INV(RAND(),MV2,Sigma1),IF(RAND()&lt;CondGood,_xlfn.LOGNORM.INV(RAND(),MV3,Sigma2),MIN(MaxMultiple,Xm/(1-RAND())^(1/Alpha)))))</f>
        <v>70.558696137970173</v>
      </c>
      <c r="P198" s="19">
        <f ca="1">IF(RAND()&lt;P_Zero,0,IF(RAND()&lt;CondReturn,_xlfn.LOGNORM.INV(RAND(),MV2,Sigma1),IF(RAND()&lt;CondGood,_xlfn.LOGNORM.INV(RAND(),MV3,Sigma2),MIN(MaxMultiple,Xm/(1-RAND())^(1/Alpha)))))</f>
        <v>0</v>
      </c>
      <c r="Q198" s="19">
        <f ca="1">IF(RAND()&lt;P_Zero,0,IF(RAND()&lt;CondReturn,_xlfn.LOGNORM.INV(RAND(),MV2,Sigma1),IF(RAND()&lt;CondGood,_xlfn.LOGNORM.INV(RAND(),MV3,Sigma2),MIN(MaxMultiple,Xm/(1-RAND())^(1/Alpha)))))</f>
        <v>1.0164674106832319</v>
      </c>
      <c r="R198" s="19">
        <f ca="1">IF(RAND()&lt;P_Zero,0,IF(RAND()&lt;CondReturn,_xlfn.LOGNORM.INV(RAND(),MV2,Sigma1),IF(RAND()&lt;CondGood,_xlfn.LOGNORM.INV(RAND(),MV3,Sigma2),MIN(MaxMultiple,Xm/(1-RAND())^(1/Alpha)))))</f>
        <v>0</v>
      </c>
      <c r="S198" s="19">
        <f ca="1">IF(RAND()&lt;P_Zero,0,IF(RAND()&lt;CondReturn,_xlfn.LOGNORM.INV(RAND(),MV2,Sigma1),IF(RAND()&lt;CondGood,_xlfn.LOGNORM.INV(RAND(),MV3,Sigma2),MIN(MaxMultiple,Xm/(1-RAND())^(1/Alpha)))))</f>
        <v>1.1634001158143659</v>
      </c>
      <c r="T198" s="19">
        <f ca="1">IF(RAND()&lt;P_Zero,0,IF(RAND()&lt;CondReturn,_xlfn.LOGNORM.INV(RAND(),MV2,Sigma1),IF(RAND()&lt;CondGood,_xlfn.LOGNORM.INV(RAND(),MV3,Sigma2),MIN(MaxMultiple,Xm/(1-RAND())^(1/Alpha)))))</f>
        <v>1.1548080392849183</v>
      </c>
      <c r="U198" s="19">
        <f ca="1">IF(RAND()&lt;P_Zero,0,IF(RAND()&lt;CondReturn,_xlfn.LOGNORM.INV(RAND(),MV2,Sigma1),IF(RAND()&lt;CondGood,_xlfn.LOGNORM.INV(RAND(),MV3,Sigma2),MIN(MaxMultiple,Xm/(1-RAND())^(1/Alpha)))))</f>
        <v>0.93476964665385098</v>
      </c>
      <c r="V198" s="19">
        <f ca="1">IF(RAND()&lt;P_Zero,0,IF(RAND()&lt;CondReturn,_xlfn.LOGNORM.INV(RAND(),MV2,Sigma1),IF(RAND()&lt;CondGood,_xlfn.LOGNORM.INV(RAND(),MV3,Sigma2),MIN(MaxMultiple,Xm/(1-RAND())^(1/Alpha)))))</f>
        <v>2.6957975632488265</v>
      </c>
      <c r="W198" s="19">
        <f ca="1">IF(RAND()&lt;P_Zero,0,IF(RAND()&lt;CondReturn,_xlfn.LOGNORM.INV(RAND(),MV2,Sigma1),IF(RAND()&lt;CondGood,_xlfn.LOGNORM.INV(RAND(),MV3,Sigma2),MIN(MaxMultiple,Xm/(1-RAND())^(1/Alpha)))))</f>
        <v>0.9887310607190799</v>
      </c>
      <c r="X198" s="19">
        <f ca="1">IF(RAND()&lt;P_Zero,0,IF(RAND()&lt;CondReturn,_xlfn.LOGNORM.INV(RAND(),MV2,Sigma1),IF(RAND()&lt;CondGood,_xlfn.LOGNORM.INV(RAND(),MV3,Sigma2),MIN(MaxMultiple,Xm/(1-RAND())^(1/Alpha)))))</f>
        <v>0</v>
      </c>
      <c r="Y198" s="19">
        <f ca="1">IF(RAND()&lt;P_Zero,0,IF(RAND()&lt;CondReturn,_xlfn.LOGNORM.INV(RAND(),MV2,Sigma1),IF(RAND()&lt;CondGood,_xlfn.LOGNORM.INV(RAND(),MV3,Sigma2),MIN(MaxMultiple,Xm/(1-RAND())^(1/Alpha)))))</f>
        <v>1.0754004896951381</v>
      </c>
      <c r="Z198" s="19">
        <f ca="1">IF(RAND()&lt;P_Zero,0,IF(RAND()&lt;CondReturn,_xlfn.LOGNORM.INV(RAND(),MV2,Sigma1),IF(RAND()&lt;CondGood,_xlfn.LOGNORM.INV(RAND(),MV3,Sigma2),MIN(MaxMultiple,Xm/(1-RAND())^(1/Alpha)))))</f>
        <v>0.75643419413974344</v>
      </c>
      <c r="AA198" s="19">
        <f ca="1">IF(RAND()&lt;P_Zero,0,IF(RAND()&lt;CondReturn,_xlfn.LOGNORM.INV(RAND(),MV2,Sigma1),IF(RAND()&lt;CondGood,_xlfn.LOGNORM.INV(RAND(),MV3,Sigma2),MIN(MaxMultiple,Xm/(1-RAND())^(1/Alpha)))))</f>
        <v>1.4005046505891747</v>
      </c>
      <c r="AB198" s="19">
        <f t="shared" ref="AB198:AB261" ca="1" si="24">AVERAGE(C198:AA198)</f>
        <v>5.4512758027688504</v>
      </c>
      <c r="AC198" s="14">
        <f t="shared" ref="AC198:AC261" ca="1" si="25">AB198*InvestableCapital</f>
        <v>261661238.5329048</v>
      </c>
      <c r="AD198" s="14">
        <f t="shared" ref="AD198:AD261" ca="1" si="26">AC198-InvestableCapital</f>
        <v>213661238.5329048</v>
      </c>
      <c r="AE198" s="14">
        <f t="shared" ref="AE198:AE261" si="27">HurdleToggle*InvestableCapital*((1+HurdleRate)^FeeYears-1)</f>
        <v>55628399.869093813</v>
      </c>
      <c r="AF198" s="14">
        <f t="shared" ref="AF198:AF261" ca="1" si="28">MAX(0,AD198-AE198)</f>
        <v>158032838.663811</v>
      </c>
      <c r="AG198" s="14">
        <f t="shared" ref="AG198:AG261" ca="1" si="29">CarryRate*AF198</f>
        <v>31606567.732762203</v>
      </c>
      <c r="AH198" s="14">
        <f t="shared" ref="AH198:AH261" ca="1" si="30">AC198-AG198</f>
        <v>230054670.80014259</v>
      </c>
      <c r="AI198" s="19">
        <f t="shared" ref="AI198:AI261" ca="1" si="31">AH198/FundSize</f>
        <v>3.8342445133357099</v>
      </c>
    </row>
    <row r="199" spans="2:35" x14ac:dyDescent="0.2">
      <c r="B199" s="1">
        <v>194</v>
      </c>
      <c r="C199" s="19">
        <f ca="1">IF(RAND()&lt;P_Zero,0,IF(RAND()&lt;CondReturn,_xlfn.LOGNORM.INV(RAND(),MV2,Sigma1),IF(RAND()&lt;CondGood,_xlfn.LOGNORM.INV(RAND(),MV3,Sigma2),MIN(MaxMultiple,Xm/(1-RAND())^(1/Alpha)))))</f>
        <v>18.650059523710883</v>
      </c>
      <c r="D199" s="19">
        <f ca="1">IF(RAND()&lt;P_Zero,0,IF(RAND()&lt;CondReturn,_xlfn.LOGNORM.INV(RAND(),MV2,Sigma1),IF(RAND()&lt;CondGood,_xlfn.LOGNORM.INV(RAND(),MV3,Sigma2),MIN(MaxMultiple,Xm/(1-RAND())^(1/Alpha)))))</f>
        <v>0</v>
      </c>
      <c r="E199" s="19">
        <f ca="1">IF(RAND()&lt;P_Zero,0,IF(RAND()&lt;CondReturn,_xlfn.LOGNORM.INV(RAND(),MV2,Sigma1),IF(RAND()&lt;CondGood,_xlfn.LOGNORM.INV(RAND(),MV3,Sigma2),MIN(MaxMultiple,Xm/(1-RAND())^(1/Alpha)))))</f>
        <v>0</v>
      </c>
      <c r="F199" s="19">
        <f ca="1">IF(RAND()&lt;P_Zero,0,IF(RAND()&lt;CondReturn,_xlfn.LOGNORM.INV(RAND(),MV2,Sigma1),IF(RAND()&lt;CondGood,_xlfn.LOGNORM.INV(RAND(),MV3,Sigma2),MIN(MaxMultiple,Xm/(1-RAND())^(1/Alpha)))))</f>
        <v>0.99021056436737331</v>
      </c>
      <c r="G199" s="19">
        <f ca="1">IF(RAND()&lt;P_Zero,0,IF(RAND()&lt;CondReturn,_xlfn.LOGNORM.INV(RAND(),MV2,Sigma1),IF(RAND()&lt;CondGood,_xlfn.LOGNORM.INV(RAND(),MV3,Sigma2),MIN(MaxMultiple,Xm/(1-RAND())^(1/Alpha)))))</f>
        <v>0.80655583243520401</v>
      </c>
      <c r="H199" s="19">
        <f ca="1">IF(RAND()&lt;P_Zero,0,IF(RAND()&lt;CondReturn,_xlfn.LOGNORM.INV(RAND(),MV2,Sigma1),IF(RAND()&lt;CondGood,_xlfn.LOGNORM.INV(RAND(),MV3,Sigma2),MIN(MaxMultiple,Xm/(1-RAND())^(1/Alpha)))))</f>
        <v>0.59372132257645294</v>
      </c>
      <c r="I199" s="19">
        <f ca="1">IF(RAND()&lt;P_Zero,0,IF(RAND()&lt;CondReturn,_xlfn.LOGNORM.INV(RAND(),MV2,Sigma1),IF(RAND()&lt;CondGood,_xlfn.LOGNORM.INV(RAND(),MV3,Sigma2),MIN(MaxMultiple,Xm/(1-RAND())^(1/Alpha)))))</f>
        <v>0.5758093547457388</v>
      </c>
      <c r="J199" s="19">
        <f ca="1">IF(RAND()&lt;P_Zero,0,IF(RAND()&lt;CondReturn,_xlfn.LOGNORM.INV(RAND(),MV2,Sigma1),IF(RAND()&lt;CondGood,_xlfn.LOGNORM.INV(RAND(),MV3,Sigma2),MIN(MaxMultiple,Xm/(1-RAND())^(1/Alpha)))))</f>
        <v>0.87762862362562777</v>
      </c>
      <c r="K199" s="19">
        <f ca="1">IF(RAND()&lt;P_Zero,0,IF(RAND()&lt;CondReturn,_xlfn.LOGNORM.INV(RAND(),MV2,Sigma1),IF(RAND()&lt;CondGood,_xlfn.LOGNORM.INV(RAND(),MV3,Sigma2),MIN(MaxMultiple,Xm/(1-RAND())^(1/Alpha)))))</f>
        <v>0</v>
      </c>
      <c r="L199" s="19">
        <f ca="1">IF(RAND()&lt;P_Zero,0,IF(RAND()&lt;CondReturn,_xlfn.LOGNORM.INV(RAND(),MV2,Sigma1),IF(RAND()&lt;CondGood,_xlfn.LOGNORM.INV(RAND(),MV3,Sigma2),MIN(MaxMultiple,Xm/(1-RAND())^(1/Alpha)))))</f>
        <v>1.446278381890016</v>
      </c>
      <c r="M199" s="19">
        <f ca="1">IF(RAND()&lt;P_Zero,0,IF(RAND()&lt;CondReturn,_xlfn.LOGNORM.INV(RAND(),MV2,Sigma1),IF(RAND()&lt;CondGood,_xlfn.LOGNORM.INV(RAND(),MV3,Sigma2),MIN(MaxMultiple,Xm/(1-RAND())^(1/Alpha)))))</f>
        <v>0.49773143664850866</v>
      </c>
      <c r="N199" s="19">
        <f ca="1">IF(RAND()&lt;P_Zero,0,IF(RAND()&lt;CondReturn,_xlfn.LOGNORM.INV(RAND(),MV2,Sigma1),IF(RAND()&lt;CondGood,_xlfn.LOGNORM.INV(RAND(),MV3,Sigma2),MIN(MaxMultiple,Xm/(1-RAND())^(1/Alpha)))))</f>
        <v>0.51991796188217876</v>
      </c>
      <c r="O199" s="19">
        <f ca="1">IF(RAND()&lt;P_Zero,0,IF(RAND()&lt;CondReturn,_xlfn.LOGNORM.INV(RAND(),MV2,Sigma1),IF(RAND()&lt;CondGood,_xlfn.LOGNORM.INV(RAND(),MV3,Sigma2),MIN(MaxMultiple,Xm/(1-RAND())^(1/Alpha)))))</f>
        <v>0.47350354551131846</v>
      </c>
      <c r="P199" s="19">
        <f ca="1">IF(RAND()&lt;P_Zero,0,IF(RAND()&lt;CondReturn,_xlfn.LOGNORM.INV(RAND(),MV2,Sigma1),IF(RAND()&lt;CondGood,_xlfn.LOGNORM.INV(RAND(),MV3,Sigma2),MIN(MaxMultiple,Xm/(1-RAND())^(1/Alpha)))))</f>
        <v>1.546474196166</v>
      </c>
      <c r="Q199" s="19">
        <f ca="1">IF(RAND()&lt;P_Zero,0,IF(RAND()&lt;CondReturn,_xlfn.LOGNORM.INV(RAND(),MV2,Sigma1),IF(RAND()&lt;CondGood,_xlfn.LOGNORM.INV(RAND(),MV3,Sigma2),MIN(MaxMultiple,Xm/(1-RAND())^(1/Alpha)))))</f>
        <v>1.0343456826732731</v>
      </c>
      <c r="R199" s="19">
        <f ca="1">IF(RAND()&lt;P_Zero,0,IF(RAND()&lt;CondReturn,_xlfn.LOGNORM.INV(RAND(),MV2,Sigma1),IF(RAND()&lt;CondGood,_xlfn.LOGNORM.INV(RAND(),MV3,Sigma2),MIN(MaxMultiple,Xm/(1-RAND())^(1/Alpha)))))</f>
        <v>0.90001497772237449</v>
      </c>
      <c r="S199" s="19">
        <f ca="1">IF(RAND()&lt;P_Zero,0,IF(RAND()&lt;CondReturn,_xlfn.LOGNORM.INV(RAND(),MV2,Sigma1),IF(RAND()&lt;CondGood,_xlfn.LOGNORM.INV(RAND(),MV3,Sigma2),MIN(MaxMultiple,Xm/(1-RAND())^(1/Alpha)))))</f>
        <v>0.96004684214160196</v>
      </c>
      <c r="T199" s="19">
        <f ca="1">IF(RAND()&lt;P_Zero,0,IF(RAND()&lt;CondReturn,_xlfn.LOGNORM.INV(RAND(),MV2,Sigma1),IF(RAND()&lt;CondGood,_xlfn.LOGNORM.INV(RAND(),MV3,Sigma2),MIN(MaxMultiple,Xm/(1-RAND())^(1/Alpha)))))</f>
        <v>1.7294556828854997</v>
      </c>
      <c r="U199" s="19">
        <f ca="1">IF(RAND()&lt;P_Zero,0,IF(RAND()&lt;CondReturn,_xlfn.LOGNORM.INV(RAND(),MV2,Sigma1),IF(RAND()&lt;CondGood,_xlfn.LOGNORM.INV(RAND(),MV3,Sigma2),MIN(MaxMultiple,Xm/(1-RAND())^(1/Alpha)))))</f>
        <v>0.84007998623559288</v>
      </c>
      <c r="V199" s="19">
        <f ca="1">IF(RAND()&lt;P_Zero,0,IF(RAND()&lt;CondReturn,_xlfn.LOGNORM.INV(RAND(),MV2,Sigma1),IF(RAND()&lt;CondGood,_xlfn.LOGNORM.INV(RAND(),MV3,Sigma2),MIN(MaxMultiple,Xm/(1-RAND())^(1/Alpha)))))</f>
        <v>0</v>
      </c>
      <c r="W199" s="19">
        <f ca="1">IF(RAND()&lt;P_Zero,0,IF(RAND()&lt;CondReturn,_xlfn.LOGNORM.INV(RAND(),MV2,Sigma1),IF(RAND()&lt;CondGood,_xlfn.LOGNORM.INV(RAND(),MV3,Sigma2),MIN(MaxMultiple,Xm/(1-RAND())^(1/Alpha)))))</f>
        <v>0</v>
      </c>
      <c r="X199" s="19">
        <f ca="1">IF(RAND()&lt;P_Zero,0,IF(RAND()&lt;CondReturn,_xlfn.LOGNORM.INV(RAND(),MV2,Sigma1),IF(RAND()&lt;CondGood,_xlfn.LOGNORM.INV(RAND(),MV3,Sigma2),MIN(MaxMultiple,Xm/(1-RAND())^(1/Alpha)))))</f>
        <v>0</v>
      </c>
      <c r="Y199" s="19">
        <f ca="1">IF(RAND()&lt;P_Zero,0,IF(RAND()&lt;CondReturn,_xlfn.LOGNORM.INV(RAND(),MV2,Sigma1),IF(RAND()&lt;CondGood,_xlfn.LOGNORM.INV(RAND(),MV3,Sigma2),MIN(MaxMultiple,Xm/(1-RAND())^(1/Alpha)))))</f>
        <v>1.1667292891154388</v>
      </c>
      <c r="Z199" s="19">
        <f ca="1">IF(RAND()&lt;P_Zero,0,IF(RAND()&lt;CondReturn,_xlfn.LOGNORM.INV(RAND(),MV2,Sigma1),IF(RAND()&lt;CondGood,_xlfn.LOGNORM.INV(RAND(),MV3,Sigma2),MIN(MaxMultiple,Xm/(1-RAND())^(1/Alpha)))))</f>
        <v>1.0501123765695033</v>
      </c>
      <c r="AA199" s="19">
        <f ca="1">IF(RAND()&lt;P_Zero,0,IF(RAND()&lt;CondReturn,_xlfn.LOGNORM.INV(RAND(),MV2,Sigma1),IF(RAND()&lt;CondGood,_xlfn.LOGNORM.INV(RAND(),MV3,Sigma2),MIN(MaxMultiple,Xm/(1-RAND())^(1/Alpha)))))</f>
        <v>0.62774246019177904</v>
      </c>
      <c r="AB199" s="19">
        <f t="shared" ca="1" si="24"/>
        <v>1.4114567216437743</v>
      </c>
      <c r="AC199" s="14">
        <f t="shared" ca="1" si="25"/>
        <v>67749922.638901174</v>
      </c>
      <c r="AD199" s="14">
        <f t="shared" ca="1" si="26"/>
        <v>19749922.638901174</v>
      </c>
      <c r="AE199" s="14">
        <f t="shared" si="27"/>
        <v>55628399.869093813</v>
      </c>
      <c r="AF199" s="14">
        <f t="shared" ca="1" si="28"/>
        <v>0</v>
      </c>
      <c r="AG199" s="14">
        <f t="shared" ca="1" si="29"/>
        <v>0</v>
      </c>
      <c r="AH199" s="14">
        <f t="shared" ca="1" si="30"/>
        <v>67749922.638901174</v>
      </c>
      <c r="AI199" s="19">
        <f t="shared" ca="1" si="31"/>
        <v>1.1291653773150196</v>
      </c>
    </row>
    <row r="200" spans="2:35" x14ac:dyDescent="0.2">
      <c r="B200" s="1">
        <v>195</v>
      </c>
      <c r="C200" s="19">
        <f ca="1">IF(RAND()&lt;P_Zero,0,IF(RAND()&lt;CondReturn,_xlfn.LOGNORM.INV(RAND(),MV2,Sigma1),IF(RAND()&lt;CondGood,_xlfn.LOGNORM.INV(RAND(),MV3,Sigma2),MIN(MaxMultiple,Xm/(1-RAND())^(1/Alpha)))))</f>
        <v>0.40466769731206359</v>
      </c>
      <c r="D200" s="19">
        <f ca="1">IF(RAND()&lt;P_Zero,0,IF(RAND()&lt;CondReturn,_xlfn.LOGNORM.INV(RAND(),MV2,Sigma1),IF(RAND()&lt;CondGood,_xlfn.LOGNORM.INV(RAND(),MV3,Sigma2),MIN(MaxMultiple,Xm/(1-RAND())^(1/Alpha)))))</f>
        <v>0</v>
      </c>
      <c r="E200" s="19">
        <f ca="1">IF(RAND()&lt;P_Zero,0,IF(RAND()&lt;CondReturn,_xlfn.LOGNORM.INV(RAND(),MV2,Sigma1),IF(RAND()&lt;CondGood,_xlfn.LOGNORM.INV(RAND(),MV3,Sigma2),MIN(MaxMultiple,Xm/(1-RAND())^(1/Alpha)))))</f>
        <v>0</v>
      </c>
      <c r="F200" s="19">
        <f ca="1">IF(RAND()&lt;P_Zero,0,IF(RAND()&lt;CondReturn,_xlfn.LOGNORM.INV(RAND(),MV2,Sigma1),IF(RAND()&lt;CondGood,_xlfn.LOGNORM.INV(RAND(),MV3,Sigma2),MIN(MaxMultiple,Xm/(1-RAND())^(1/Alpha)))))</f>
        <v>1.0137928497678568</v>
      </c>
      <c r="G200" s="19">
        <f ca="1">IF(RAND()&lt;P_Zero,0,IF(RAND()&lt;CondReturn,_xlfn.LOGNORM.INV(RAND(),MV2,Sigma1),IF(RAND()&lt;CondGood,_xlfn.LOGNORM.INV(RAND(),MV3,Sigma2),MIN(MaxMultiple,Xm/(1-RAND())^(1/Alpha)))))</f>
        <v>0</v>
      </c>
      <c r="H200" s="19">
        <f ca="1">IF(RAND()&lt;P_Zero,0,IF(RAND()&lt;CondReturn,_xlfn.LOGNORM.INV(RAND(),MV2,Sigma1),IF(RAND()&lt;CondGood,_xlfn.LOGNORM.INV(RAND(),MV3,Sigma2),MIN(MaxMultiple,Xm/(1-RAND())^(1/Alpha)))))</f>
        <v>2.5636199672184081</v>
      </c>
      <c r="I200" s="19">
        <f ca="1">IF(RAND()&lt;P_Zero,0,IF(RAND()&lt;CondReturn,_xlfn.LOGNORM.INV(RAND(),MV2,Sigma1),IF(RAND()&lt;CondGood,_xlfn.LOGNORM.INV(RAND(),MV3,Sigma2),MIN(MaxMultiple,Xm/(1-RAND())^(1/Alpha)))))</f>
        <v>0</v>
      </c>
      <c r="J200" s="19">
        <f ca="1">IF(RAND()&lt;P_Zero,0,IF(RAND()&lt;CondReturn,_xlfn.LOGNORM.INV(RAND(),MV2,Sigma1),IF(RAND()&lt;CondGood,_xlfn.LOGNORM.INV(RAND(),MV3,Sigma2),MIN(MaxMultiple,Xm/(1-RAND())^(1/Alpha)))))</f>
        <v>22.026107827220226</v>
      </c>
      <c r="K200" s="19">
        <f ca="1">IF(RAND()&lt;P_Zero,0,IF(RAND()&lt;CondReturn,_xlfn.LOGNORM.INV(RAND(),MV2,Sigma1),IF(RAND()&lt;CondGood,_xlfn.LOGNORM.INV(RAND(),MV3,Sigma2),MIN(MaxMultiple,Xm/(1-RAND())^(1/Alpha)))))</f>
        <v>1.4746985614352488</v>
      </c>
      <c r="L200" s="19">
        <f ca="1">IF(RAND()&lt;P_Zero,0,IF(RAND()&lt;CondReturn,_xlfn.LOGNORM.INV(RAND(),MV2,Sigma1),IF(RAND()&lt;CondGood,_xlfn.LOGNORM.INV(RAND(),MV3,Sigma2),MIN(MaxMultiple,Xm/(1-RAND())^(1/Alpha)))))</f>
        <v>0.32770372247430968</v>
      </c>
      <c r="M200" s="19">
        <f ca="1">IF(RAND()&lt;P_Zero,0,IF(RAND()&lt;CondReturn,_xlfn.LOGNORM.INV(RAND(),MV2,Sigma1),IF(RAND()&lt;CondGood,_xlfn.LOGNORM.INV(RAND(),MV3,Sigma2),MIN(MaxMultiple,Xm/(1-RAND())^(1/Alpha)))))</f>
        <v>0.55339608222536552</v>
      </c>
      <c r="N200" s="19">
        <f ca="1">IF(RAND()&lt;P_Zero,0,IF(RAND()&lt;CondReturn,_xlfn.LOGNORM.INV(RAND(),MV2,Sigma1),IF(RAND()&lt;CondGood,_xlfn.LOGNORM.INV(RAND(),MV3,Sigma2),MIN(MaxMultiple,Xm/(1-RAND())^(1/Alpha)))))</f>
        <v>0.71755076525058614</v>
      </c>
      <c r="O200" s="19">
        <f ca="1">IF(RAND()&lt;P_Zero,0,IF(RAND()&lt;CondReturn,_xlfn.LOGNORM.INV(RAND(),MV2,Sigma1),IF(RAND()&lt;CondGood,_xlfn.LOGNORM.INV(RAND(),MV3,Sigma2),MIN(MaxMultiple,Xm/(1-RAND())^(1/Alpha)))))</f>
        <v>0</v>
      </c>
      <c r="P200" s="19">
        <f ca="1">IF(RAND()&lt;P_Zero,0,IF(RAND()&lt;CondReturn,_xlfn.LOGNORM.INV(RAND(),MV2,Sigma1),IF(RAND()&lt;CondGood,_xlfn.LOGNORM.INV(RAND(),MV3,Sigma2),MIN(MaxMultiple,Xm/(1-RAND())^(1/Alpha)))))</f>
        <v>0</v>
      </c>
      <c r="Q200" s="19">
        <f ca="1">IF(RAND()&lt;P_Zero,0,IF(RAND()&lt;CondReturn,_xlfn.LOGNORM.INV(RAND(),MV2,Sigma1),IF(RAND()&lt;CondGood,_xlfn.LOGNORM.INV(RAND(),MV3,Sigma2),MIN(MaxMultiple,Xm/(1-RAND())^(1/Alpha)))))</f>
        <v>0</v>
      </c>
      <c r="R200" s="19">
        <f ca="1">IF(RAND()&lt;P_Zero,0,IF(RAND()&lt;CondReturn,_xlfn.LOGNORM.INV(RAND(),MV2,Sigma1),IF(RAND()&lt;CondGood,_xlfn.LOGNORM.INV(RAND(),MV3,Sigma2),MIN(MaxMultiple,Xm/(1-RAND())^(1/Alpha)))))</f>
        <v>1.2360690245024002</v>
      </c>
      <c r="S200" s="19">
        <f ca="1">IF(RAND()&lt;P_Zero,0,IF(RAND()&lt;CondReturn,_xlfn.LOGNORM.INV(RAND(),MV2,Sigma1),IF(RAND()&lt;CondGood,_xlfn.LOGNORM.INV(RAND(),MV3,Sigma2),MIN(MaxMultiple,Xm/(1-RAND())^(1/Alpha)))))</f>
        <v>1.7890714561619703</v>
      </c>
      <c r="T200" s="19">
        <f ca="1">IF(RAND()&lt;P_Zero,0,IF(RAND()&lt;CondReturn,_xlfn.LOGNORM.INV(RAND(),MV2,Sigma1),IF(RAND()&lt;CondGood,_xlfn.LOGNORM.INV(RAND(),MV3,Sigma2),MIN(MaxMultiple,Xm/(1-RAND())^(1/Alpha)))))</f>
        <v>0</v>
      </c>
      <c r="U200" s="19">
        <f ca="1">IF(RAND()&lt;P_Zero,0,IF(RAND()&lt;CondReturn,_xlfn.LOGNORM.INV(RAND(),MV2,Sigma1),IF(RAND()&lt;CondGood,_xlfn.LOGNORM.INV(RAND(),MV3,Sigma2),MIN(MaxMultiple,Xm/(1-RAND())^(1/Alpha)))))</f>
        <v>0</v>
      </c>
      <c r="V200" s="19">
        <f ca="1">IF(RAND()&lt;P_Zero,0,IF(RAND()&lt;CondReturn,_xlfn.LOGNORM.INV(RAND(),MV2,Sigma1),IF(RAND()&lt;CondGood,_xlfn.LOGNORM.INV(RAND(),MV3,Sigma2),MIN(MaxMultiple,Xm/(1-RAND())^(1/Alpha)))))</f>
        <v>0</v>
      </c>
      <c r="W200" s="19">
        <f ca="1">IF(RAND()&lt;P_Zero,0,IF(RAND()&lt;CondReturn,_xlfn.LOGNORM.INV(RAND(),MV2,Sigma1),IF(RAND()&lt;CondGood,_xlfn.LOGNORM.INV(RAND(),MV3,Sigma2),MIN(MaxMultiple,Xm/(1-RAND())^(1/Alpha)))))</f>
        <v>0</v>
      </c>
      <c r="X200" s="19">
        <f ca="1">IF(RAND()&lt;P_Zero,0,IF(RAND()&lt;CondReturn,_xlfn.LOGNORM.INV(RAND(),MV2,Sigma1),IF(RAND()&lt;CondGood,_xlfn.LOGNORM.INV(RAND(),MV3,Sigma2),MIN(MaxMultiple,Xm/(1-RAND())^(1/Alpha)))))</f>
        <v>1.1733627933578954</v>
      </c>
      <c r="Y200" s="19">
        <f ca="1">IF(RAND()&lt;P_Zero,0,IF(RAND()&lt;CondReturn,_xlfn.LOGNORM.INV(RAND(),MV2,Sigma1),IF(RAND()&lt;CondGood,_xlfn.LOGNORM.INV(RAND(),MV3,Sigma2),MIN(MaxMultiple,Xm/(1-RAND())^(1/Alpha)))))</f>
        <v>0</v>
      </c>
      <c r="Z200" s="19">
        <f ca="1">IF(RAND()&lt;P_Zero,0,IF(RAND()&lt;CondReturn,_xlfn.LOGNORM.INV(RAND(),MV2,Sigma1),IF(RAND()&lt;CondGood,_xlfn.LOGNORM.INV(RAND(),MV3,Sigma2),MIN(MaxMultiple,Xm/(1-RAND())^(1/Alpha)))))</f>
        <v>0</v>
      </c>
      <c r="AA200" s="19">
        <f ca="1">IF(RAND()&lt;P_Zero,0,IF(RAND()&lt;CondReturn,_xlfn.LOGNORM.INV(RAND(),MV2,Sigma1),IF(RAND()&lt;CondGood,_xlfn.LOGNORM.INV(RAND(),MV3,Sigma2),MIN(MaxMultiple,Xm/(1-RAND())^(1/Alpha)))))</f>
        <v>0.78166912467744831</v>
      </c>
      <c r="AB200" s="19">
        <f t="shared" ca="1" si="24"/>
        <v>1.3624683948641512</v>
      </c>
      <c r="AC200" s="14">
        <f t="shared" ca="1" si="25"/>
        <v>65398482.953479253</v>
      </c>
      <c r="AD200" s="14">
        <f t="shared" ca="1" si="26"/>
        <v>17398482.953479253</v>
      </c>
      <c r="AE200" s="14">
        <f t="shared" si="27"/>
        <v>55628399.869093813</v>
      </c>
      <c r="AF200" s="14">
        <f t="shared" ca="1" si="28"/>
        <v>0</v>
      </c>
      <c r="AG200" s="14">
        <f t="shared" ca="1" si="29"/>
        <v>0</v>
      </c>
      <c r="AH200" s="14">
        <f t="shared" ca="1" si="30"/>
        <v>65398482.953479253</v>
      </c>
      <c r="AI200" s="19">
        <f t="shared" ca="1" si="31"/>
        <v>1.0899747158913209</v>
      </c>
    </row>
    <row r="201" spans="2:35" x14ac:dyDescent="0.2">
      <c r="B201" s="1">
        <v>196</v>
      </c>
      <c r="C201" s="19">
        <f ca="1">IF(RAND()&lt;P_Zero,0,IF(RAND()&lt;CondReturn,_xlfn.LOGNORM.INV(RAND(),MV2,Sigma1),IF(RAND()&lt;CondGood,_xlfn.LOGNORM.INV(RAND(),MV3,Sigma2),MIN(MaxMultiple,Xm/(1-RAND())^(1/Alpha)))))</f>
        <v>0</v>
      </c>
      <c r="D201" s="19">
        <f ca="1">IF(RAND()&lt;P_Zero,0,IF(RAND()&lt;CondReturn,_xlfn.LOGNORM.INV(RAND(),MV2,Sigma1),IF(RAND()&lt;CondGood,_xlfn.LOGNORM.INV(RAND(),MV3,Sigma2),MIN(MaxMultiple,Xm/(1-RAND())^(1/Alpha)))))</f>
        <v>1.1208110020833708</v>
      </c>
      <c r="E201" s="19">
        <f ca="1">IF(RAND()&lt;P_Zero,0,IF(RAND()&lt;CondReturn,_xlfn.LOGNORM.INV(RAND(),MV2,Sigma1),IF(RAND()&lt;CondGood,_xlfn.LOGNORM.INV(RAND(),MV3,Sigma2),MIN(MaxMultiple,Xm/(1-RAND())^(1/Alpha)))))</f>
        <v>0.977027515604737</v>
      </c>
      <c r="F201" s="19">
        <f ca="1">IF(RAND()&lt;P_Zero,0,IF(RAND()&lt;CondReturn,_xlfn.LOGNORM.INV(RAND(),MV2,Sigma1),IF(RAND()&lt;CondGood,_xlfn.LOGNORM.INV(RAND(),MV3,Sigma2),MIN(MaxMultiple,Xm/(1-RAND())^(1/Alpha)))))</f>
        <v>0.65052542625394438</v>
      </c>
      <c r="G201" s="19">
        <f ca="1">IF(RAND()&lt;P_Zero,0,IF(RAND()&lt;CondReturn,_xlfn.LOGNORM.INV(RAND(),MV2,Sigma1),IF(RAND()&lt;CondGood,_xlfn.LOGNORM.INV(RAND(),MV3,Sigma2),MIN(MaxMultiple,Xm/(1-RAND())^(1/Alpha)))))</f>
        <v>0</v>
      </c>
      <c r="H201" s="19">
        <f ca="1">IF(RAND()&lt;P_Zero,0,IF(RAND()&lt;CondReturn,_xlfn.LOGNORM.INV(RAND(),MV2,Sigma1),IF(RAND()&lt;CondGood,_xlfn.LOGNORM.INV(RAND(),MV3,Sigma2),MIN(MaxMultiple,Xm/(1-RAND())^(1/Alpha)))))</f>
        <v>1.1722095441243954</v>
      </c>
      <c r="I201" s="19">
        <f ca="1">IF(RAND()&lt;P_Zero,0,IF(RAND()&lt;CondReturn,_xlfn.LOGNORM.INV(RAND(),MV2,Sigma1),IF(RAND()&lt;CondGood,_xlfn.LOGNORM.INV(RAND(),MV3,Sigma2),MIN(MaxMultiple,Xm/(1-RAND())^(1/Alpha)))))</f>
        <v>0.66098054581559051</v>
      </c>
      <c r="J201" s="19">
        <f ca="1">IF(RAND()&lt;P_Zero,0,IF(RAND()&lt;CondReturn,_xlfn.LOGNORM.INV(RAND(),MV2,Sigma1),IF(RAND()&lt;CondGood,_xlfn.LOGNORM.INV(RAND(),MV3,Sigma2),MIN(MaxMultiple,Xm/(1-RAND())^(1/Alpha)))))</f>
        <v>1.1269112685636922</v>
      </c>
      <c r="K201" s="19">
        <f ca="1">IF(RAND()&lt;P_Zero,0,IF(RAND()&lt;CondReturn,_xlfn.LOGNORM.INV(RAND(),MV2,Sigma1),IF(RAND()&lt;CondGood,_xlfn.LOGNORM.INV(RAND(),MV3,Sigma2),MIN(MaxMultiple,Xm/(1-RAND())^(1/Alpha)))))</f>
        <v>1.057932105613183</v>
      </c>
      <c r="L201" s="19">
        <f ca="1">IF(RAND()&lt;P_Zero,0,IF(RAND()&lt;CondReturn,_xlfn.LOGNORM.INV(RAND(),MV2,Sigma1),IF(RAND()&lt;CondGood,_xlfn.LOGNORM.INV(RAND(),MV3,Sigma2),MIN(MaxMultiple,Xm/(1-RAND())^(1/Alpha)))))</f>
        <v>0.73329356768301801</v>
      </c>
      <c r="M201" s="19">
        <f ca="1">IF(RAND()&lt;P_Zero,0,IF(RAND()&lt;CondReturn,_xlfn.LOGNORM.INV(RAND(),MV2,Sigma1),IF(RAND()&lt;CondGood,_xlfn.LOGNORM.INV(RAND(),MV3,Sigma2),MIN(MaxMultiple,Xm/(1-RAND())^(1/Alpha)))))</f>
        <v>0</v>
      </c>
      <c r="N201" s="19">
        <f ca="1">IF(RAND()&lt;P_Zero,0,IF(RAND()&lt;CondReturn,_xlfn.LOGNORM.INV(RAND(),MV2,Sigma1),IF(RAND()&lt;CondGood,_xlfn.LOGNORM.INV(RAND(),MV3,Sigma2),MIN(MaxMultiple,Xm/(1-RAND())^(1/Alpha)))))</f>
        <v>0.98979939513391313</v>
      </c>
      <c r="O201" s="19">
        <f ca="1">IF(RAND()&lt;P_Zero,0,IF(RAND()&lt;CondReturn,_xlfn.LOGNORM.INV(RAND(),MV2,Sigma1),IF(RAND()&lt;CondGood,_xlfn.LOGNORM.INV(RAND(),MV3,Sigma2),MIN(MaxMultiple,Xm/(1-RAND())^(1/Alpha)))))</f>
        <v>0.96131617893456323</v>
      </c>
      <c r="P201" s="19">
        <f ca="1">IF(RAND()&lt;P_Zero,0,IF(RAND()&lt;CondReturn,_xlfn.LOGNORM.INV(RAND(),MV2,Sigma1),IF(RAND()&lt;CondGood,_xlfn.LOGNORM.INV(RAND(),MV3,Sigma2),MIN(MaxMultiple,Xm/(1-RAND())^(1/Alpha)))))</f>
        <v>3.1328109217059144</v>
      </c>
      <c r="Q201" s="19">
        <f ca="1">IF(RAND()&lt;P_Zero,0,IF(RAND()&lt;CondReturn,_xlfn.LOGNORM.INV(RAND(),MV2,Sigma1),IF(RAND()&lt;CondGood,_xlfn.LOGNORM.INV(RAND(),MV3,Sigma2),MIN(MaxMultiple,Xm/(1-RAND())^(1/Alpha)))))</f>
        <v>0.59928916655767095</v>
      </c>
      <c r="R201" s="19">
        <f ca="1">IF(RAND()&lt;P_Zero,0,IF(RAND()&lt;CondReturn,_xlfn.LOGNORM.INV(RAND(),MV2,Sigma1),IF(RAND()&lt;CondGood,_xlfn.LOGNORM.INV(RAND(),MV3,Sigma2),MIN(MaxMultiple,Xm/(1-RAND())^(1/Alpha)))))</f>
        <v>0</v>
      </c>
      <c r="S201" s="19">
        <f ca="1">IF(RAND()&lt;P_Zero,0,IF(RAND()&lt;CondReturn,_xlfn.LOGNORM.INV(RAND(),MV2,Sigma1),IF(RAND()&lt;CondGood,_xlfn.LOGNORM.INV(RAND(),MV3,Sigma2),MIN(MaxMultiple,Xm/(1-RAND())^(1/Alpha)))))</f>
        <v>1.1687768424009739</v>
      </c>
      <c r="T201" s="19">
        <f ca="1">IF(RAND()&lt;P_Zero,0,IF(RAND()&lt;CondReturn,_xlfn.LOGNORM.INV(RAND(),MV2,Sigma1),IF(RAND()&lt;CondGood,_xlfn.LOGNORM.INV(RAND(),MV3,Sigma2),MIN(MaxMultiple,Xm/(1-RAND())^(1/Alpha)))))</f>
        <v>0</v>
      </c>
      <c r="U201" s="19">
        <f ca="1">IF(RAND()&lt;P_Zero,0,IF(RAND()&lt;CondReturn,_xlfn.LOGNORM.INV(RAND(),MV2,Sigma1),IF(RAND()&lt;CondGood,_xlfn.LOGNORM.INV(RAND(),MV3,Sigma2),MIN(MaxMultiple,Xm/(1-RAND())^(1/Alpha)))))</f>
        <v>0.76503198254889893</v>
      </c>
      <c r="V201" s="19">
        <f ca="1">IF(RAND()&lt;P_Zero,0,IF(RAND()&lt;CondReturn,_xlfn.LOGNORM.INV(RAND(),MV2,Sigma1),IF(RAND()&lt;CondGood,_xlfn.LOGNORM.INV(RAND(),MV3,Sigma2),MIN(MaxMultiple,Xm/(1-RAND())^(1/Alpha)))))</f>
        <v>1.3946197717935331</v>
      </c>
      <c r="W201" s="19">
        <f ca="1">IF(RAND()&lt;P_Zero,0,IF(RAND()&lt;CondReturn,_xlfn.LOGNORM.INV(RAND(),MV2,Sigma1),IF(RAND()&lt;CondGood,_xlfn.LOGNORM.INV(RAND(),MV3,Sigma2),MIN(MaxMultiple,Xm/(1-RAND())^(1/Alpha)))))</f>
        <v>18.909272158934677</v>
      </c>
      <c r="X201" s="19">
        <f ca="1">IF(RAND()&lt;P_Zero,0,IF(RAND()&lt;CondReturn,_xlfn.LOGNORM.INV(RAND(),MV2,Sigma1),IF(RAND()&lt;CondGood,_xlfn.LOGNORM.INV(RAND(),MV3,Sigma2),MIN(MaxMultiple,Xm/(1-RAND())^(1/Alpha)))))</f>
        <v>0</v>
      </c>
      <c r="Y201" s="19">
        <f ca="1">IF(RAND()&lt;P_Zero,0,IF(RAND()&lt;CondReturn,_xlfn.LOGNORM.INV(RAND(),MV2,Sigma1),IF(RAND()&lt;CondGood,_xlfn.LOGNORM.INV(RAND(),MV3,Sigma2),MIN(MaxMultiple,Xm/(1-RAND())^(1/Alpha)))))</f>
        <v>0</v>
      </c>
      <c r="Z201" s="19">
        <f ca="1">IF(RAND()&lt;P_Zero,0,IF(RAND()&lt;CondReturn,_xlfn.LOGNORM.INV(RAND(),MV2,Sigma1),IF(RAND()&lt;CondGood,_xlfn.LOGNORM.INV(RAND(),MV3,Sigma2),MIN(MaxMultiple,Xm/(1-RAND())^(1/Alpha)))))</f>
        <v>1.272659562560631</v>
      </c>
      <c r="AA201" s="19">
        <f ca="1">IF(RAND()&lt;P_Zero,0,IF(RAND()&lt;CondReturn,_xlfn.LOGNORM.INV(RAND(),MV2,Sigma1),IF(RAND()&lt;CondGood,_xlfn.LOGNORM.INV(RAND(),MV3,Sigma2),MIN(MaxMultiple,Xm/(1-RAND())^(1/Alpha)))))</f>
        <v>0.98231464739346164</v>
      </c>
      <c r="AB201" s="19">
        <f t="shared" ca="1" si="24"/>
        <v>1.5070232641482468</v>
      </c>
      <c r="AC201" s="14">
        <f t="shared" ca="1" si="25"/>
        <v>72337116.679115847</v>
      </c>
      <c r="AD201" s="14">
        <f t="shared" ca="1" si="26"/>
        <v>24337116.679115847</v>
      </c>
      <c r="AE201" s="14">
        <f t="shared" si="27"/>
        <v>55628399.869093813</v>
      </c>
      <c r="AF201" s="14">
        <f t="shared" ca="1" si="28"/>
        <v>0</v>
      </c>
      <c r="AG201" s="14">
        <f t="shared" ca="1" si="29"/>
        <v>0</v>
      </c>
      <c r="AH201" s="14">
        <f t="shared" ca="1" si="30"/>
        <v>72337116.679115847</v>
      </c>
      <c r="AI201" s="19">
        <f t="shared" ca="1" si="31"/>
        <v>1.2056186113185974</v>
      </c>
    </row>
    <row r="202" spans="2:35" x14ac:dyDescent="0.2">
      <c r="B202" s="1">
        <v>197</v>
      </c>
      <c r="C202" s="19">
        <f ca="1">IF(RAND()&lt;P_Zero,0,IF(RAND()&lt;CondReturn,_xlfn.LOGNORM.INV(RAND(),MV2,Sigma1),IF(RAND()&lt;CondGood,_xlfn.LOGNORM.INV(RAND(),MV3,Sigma2),MIN(MaxMultiple,Xm/(1-RAND())^(1/Alpha)))))</f>
        <v>0</v>
      </c>
      <c r="D202" s="19">
        <f ca="1">IF(RAND()&lt;P_Zero,0,IF(RAND()&lt;CondReturn,_xlfn.LOGNORM.INV(RAND(),MV2,Sigma1),IF(RAND()&lt;CondGood,_xlfn.LOGNORM.INV(RAND(),MV3,Sigma2),MIN(MaxMultiple,Xm/(1-RAND())^(1/Alpha)))))</f>
        <v>0.83149517955471741</v>
      </c>
      <c r="E202" s="19">
        <f ca="1">IF(RAND()&lt;P_Zero,0,IF(RAND()&lt;CondReturn,_xlfn.LOGNORM.INV(RAND(),MV2,Sigma1),IF(RAND()&lt;CondGood,_xlfn.LOGNORM.INV(RAND(),MV3,Sigma2),MIN(MaxMultiple,Xm/(1-RAND())^(1/Alpha)))))</f>
        <v>0</v>
      </c>
      <c r="F202" s="19">
        <f ca="1">IF(RAND()&lt;P_Zero,0,IF(RAND()&lt;CondReturn,_xlfn.LOGNORM.INV(RAND(),MV2,Sigma1),IF(RAND()&lt;CondGood,_xlfn.LOGNORM.INV(RAND(),MV3,Sigma2),MIN(MaxMultiple,Xm/(1-RAND())^(1/Alpha)))))</f>
        <v>10.747540804116484</v>
      </c>
      <c r="G202" s="19">
        <f ca="1">IF(RAND()&lt;P_Zero,0,IF(RAND()&lt;CondReturn,_xlfn.LOGNORM.INV(RAND(),MV2,Sigma1),IF(RAND()&lt;CondGood,_xlfn.LOGNORM.INV(RAND(),MV3,Sigma2),MIN(MaxMultiple,Xm/(1-RAND())^(1/Alpha)))))</f>
        <v>1.1244674210965668</v>
      </c>
      <c r="H202" s="19">
        <f ca="1">IF(RAND()&lt;P_Zero,0,IF(RAND()&lt;CondReturn,_xlfn.LOGNORM.INV(RAND(),MV2,Sigma1),IF(RAND()&lt;CondGood,_xlfn.LOGNORM.INV(RAND(),MV3,Sigma2),MIN(MaxMultiple,Xm/(1-RAND())^(1/Alpha)))))</f>
        <v>0</v>
      </c>
      <c r="I202" s="19">
        <f ca="1">IF(RAND()&lt;P_Zero,0,IF(RAND()&lt;CondReturn,_xlfn.LOGNORM.INV(RAND(),MV2,Sigma1),IF(RAND()&lt;CondGood,_xlfn.LOGNORM.INV(RAND(),MV3,Sigma2),MIN(MaxMultiple,Xm/(1-RAND())^(1/Alpha)))))</f>
        <v>0</v>
      </c>
      <c r="J202" s="19">
        <f ca="1">IF(RAND()&lt;P_Zero,0,IF(RAND()&lt;CondReturn,_xlfn.LOGNORM.INV(RAND(),MV2,Sigma1),IF(RAND()&lt;CondGood,_xlfn.LOGNORM.INV(RAND(),MV3,Sigma2),MIN(MaxMultiple,Xm/(1-RAND())^(1/Alpha)))))</f>
        <v>0</v>
      </c>
      <c r="K202" s="19">
        <f ca="1">IF(RAND()&lt;P_Zero,0,IF(RAND()&lt;CondReturn,_xlfn.LOGNORM.INV(RAND(),MV2,Sigma1),IF(RAND()&lt;CondGood,_xlfn.LOGNORM.INV(RAND(),MV3,Sigma2),MIN(MaxMultiple,Xm/(1-RAND())^(1/Alpha)))))</f>
        <v>0.39523284784190654</v>
      </c>
      <c r="L202" s="19">
        <f ca="1">IF(RAND()&lt;P_Zero,0,IF(RAND()&lt;CondReturn,_xlfn.LOGNORM.INV(RAND(),MV2,Sigma1),IF(RAND()&lt;CondGood,_xlfn.LOGNORM.INV(RAND(),MV3,Sigma2),MIN(MaxMultiple,Xm/(1-RAND())^(1/Alpha)))))</f>
        <v>0</v>
      </c>
      <c r="M202" s="19">
        <f ca="1">IF(RAND()&lt;P_Zero,0,IF(RAND()&lt;CondReturn,_xlfn.LOGNORM.INV(RAND(),MV2,Sigma1),IF(RAND()&lt;CondGood,_xlfn.LOGNORM.INV(RAND(),MV3,Sigma2),MIN(MaxMultiple,Xm/(1-RAND())^(1/Alpha)))))</f>
        <v>13.363836619307605</v>
      </c>
      <c r="N202" s="19">
        <f ca="1">IF(RAND()&lt;P_Zero,0,IF(RAND()&lt;CondReturn,_xlfn.LOGNORM.INV(RAND(),MV2,Sigma1),IF(RAND()&lt;CondGood,_xlfn.LOGNORM.INV(RAND(),MV3,Sigma2),MIN(MaxMultiple,Xm/(1-RAND())^(1/Alpha)))))</f>
        <v>11.59759080425459</v>
      </c>
      <c r="O202" s="19">
        <f ca="1">IF(RAND()&lt;P_Zero,0,IF(RAND()&lt;CondReturn,_xlfn.LOGNORM.INV(RAND(),MV2,Sigma1),IF(RAND()&lt;CondGood,_xlfn.LOGNORM.INV(RAND(),MV3,Sigma2),MIN(MaxMultiple,Xm/(1-RAND())^(1/Alpha)))))</f>
        <v>1.2359807898328767</v>
      </c>
      <c r="P202" s="19">
        <f ca="1">IF(RAND()&lt;P_Zero,0,IF(RAND()&lt;CondReturn,_xlfn.LOGNORM.INV(RAND(),MV2,Sigma1),IF(RAND()&lt;CondGood,_xlfn.LOGNORM.INV(RAND(),MV3,Sigma2),MIN(MaxMultiple,Xm/(1-RAND())^(1/Alpha)))))</f>
        <v>0.73561291864889045</v>
      </c>
      <c r="Q202" s="19">
        <f ca="1">IF(RAND()&lt;P_Zero,0,IF(RAND()&lt;CondReturn,_xlfn.LOGNORM.INV(RAND(),MV2,Sigma1),IF(RAND()&lt;CondGood,_xlfn.LOGNORM.INV(RAND(),MV3,Sigma2),MIN(MaxMultiple,Xm/(1-RAND())^(1/Alpha)))))</f>
        <v>0</v>
      </c>
      <c r="R202" s="19">
        <f ca="1">IF(RAND()&lt;P_Zero,0,IF(RAND()&lt;CondReturn,_xlfn.LOGNORM.INV(RAND(),MV2,Sigma1),IF(RAND()&lt;CondGood,_xlfn.LOGNORM.INV(RAND(),MV3,Sigma2),MIN(MaxMultiple,Xm/(1-RAND())^(1/Alpha)))))</f>
        <v>1.6406685681497681</v>
      </c>
      <c r="S202" s="19">
        <f ca="1">IF(RAND()&lt;P_Zero,0,IF(RAND()&lt;CondReturn,_xlfn.LOGNORM.INV(RAND(),MV2,Sigma1),IF(RAND()&lt;CondGood,_xlfn.LOGNORM.INV(RAND(),MV3,Sigma2),MIN(MaxMultiple,Xm/(1-RAND())^(1/Alpha)))))</f>
        <v>1.3694247665156571</v>
      </c>
      <c r="T202" s="19">
        <f ca="1">IF(RAND()&lt;P_Zero,0,IF(RAND()&lt;CondReturn,_xlfn.LOGNORM.INV(RAND(),MV2,Sigma1),IF(RAND()&lt;CondGood,_xlfn.LOGNORM.INV(RAND(),MV3,Sigma2),MIN(MaxMultiple,Xm/(1-RAND())^(1/Alpha)))))</f>
        <v>0</v>
      </c>
      <c r="U202" s="19">
        <f ca="1">IF(RAND()&lt;P_Zero,0,IF(RAND()&lt;CondReturn,_xlfn.LOGNORM.INV(RAND(),MV2,Sigma1),IF(RAND()&lt;CondGood,_xlfn.LOGNORM.INV(RAND(),MV3,Sigma2),MIN(MaxMultiple,Xm/(1-RAND())^(1/Alpha)))))</f>
        <v>0</v>
      </c>
      <c r="V202" s="19">
        <f ca="1">IF(RAND()&lt;P_Zero,0,IF(RAND()&lt;CondReturn,_xlfn.LOGNORM.INV(RAND(),MV2,Sigma1),IF(RAND()&lt;CondGood,_xlfn.LOGNORM.INV(RAND(),MV3,Sigma2),MIN(MaxMultiple,Xm/(1-RAND())^(1/Alpha)))))</f>
        <v>0.56258917666520858</v>
      </c>
      <c r="W202" s="19">
        <f ca="1">IF(RAND()&lt;P_Zero,0,IF(RAND()&lt;CondReturn,_xlfn.LOGNORM.INV(RAND(),MV2,Sigma1),IF(RAND()&lt;CondGood,_xlfn.LOGNORM.INV(RAND(),MV3,Sigma2),MIN(MaxMultiple,Xm/(1-RAND())^(1/Alpha)))))</f>
        <v>0</v>
      </c>
      <c r="X202" s="19">
        <f ca="1">IF(RAND()&lt;P_Zero,0,IF(RAND()&lt;CondReturn,_xlfn.LOGNORM.INV(RAND(),MV2,Sigma1),IF(RAND()&lt;CondGood,_xlfn.LOGNORM.INV(RAND(),MV3,Sigma2),MIN(MaxMultiple,Xm/(1-RAND())^(1/Alpha)))))</f>
        <v>1.0312815572255234</v>
      </c>
      <c r="Y202" s="19">
        <f ca="1">IF(RAND()&lt;P_Zero,0,IF(RAND()&lt;CondReturn,_xlfn.LOGNORM.INV(RAND(),MV2,Sigma1),IF(RAND()&lt;CondGood,_xlfn.LOGNORM.INV(RAND(),MV3,Sigma2),MIN(MaxMultiple,Xm/(1-RAND())^(1/Alpha)))))</f>
        <v>0.83637304317633288</v>
      </c>
      <c r="Z202" s="19">
        <f ca="1">IF(RAND()&lt;P_Zero,0,IF(RAND()&lt;CondReturn,_xlfn.LOGNORM.INV(RAND(),MV2,Sigma1),IF(RAND()&lt;CondGood,_xlfn.LOGNORM.INV(RAND(),MV3,Sigma2),MIN(MaxMultiple,Xm/(1-RAND())^(1/Alpha)))))</f>
        <v>12.886993341024018</v>
      </c>
      <c r="AA202" s="19">
        <f ca="1">IF(RAND()&lt;P_Zero,0,IF(RAND()&lt;CondReturn,_xlfn.LOGNORM.INV(RAND(),MV2,Sigma1),IF(RAND()&lt;CondGood,_xlfn.LOGNORM.INV(RAND(),MV3,Sigma2),MIN(MaxMultiple,Xm/(1-RAND())^(1/Alpha)))))</f>
        <v>52.457938749949825</v>
      </c>
      <c r="AB202" s="19">
        <f t="shared" ca="1" si="24"/>
        <v>4.4326810634943987</v>
      </c>
      <c r="AC202" s="14">
        <f t="shared" ca="1" si="25"/>
        <v>212768691.04773113</v>
      </c>
      <c r="AD202" s="14">
        <f t="shared" ca="1" si="26"/>
        <v>164768691.04773113</v>
      </c>
      <c r="AE202" s="14">
        <f t="shared" si="27"/>
        <v>55628399.869093813</v>
      </c>
      <c r="AF202" s="14">
        <f t="shared" ca="1" si="28"/>
        <v>109140291.17863733</v>
      </c>
      <c r="AG202" s="14">
        <f t="shared" ca="1" si="29"/>
        <v>21828058.235727467</v>
      </c>
      <c r="AH202" s="14">
        <f t="shared" ca="1" si="30"/>
        <v>190940632.81200367</v>
      </c>
      <c r="AI202" s="19">
        <f t="shared" ca="1" si="31"/>
        <v>3.1823438802000612</v>
      </c>
    </row>
    <row r="203" spans="2:35" x14ac:dyDescent="0.2">
      <c r="B203" s="1">
        <v>198</v>
      </c>
      <c r="C203" s="19">
        <f ca="1">IF(RAND()&lt;P_Zero,0,IF(RAND()&lt;CondReturn,_xlfn.LOGNORM.INV(RAND(),MV2,Sigma1),IF(RAND()&lt;CondGood,_xlfn.LOGNORM.INV(RAND(),MV3,Sigma2),MIN(MaxMultiple,Xm/(1-RAND())^(1/Alpha)))))</f>
        <v>1.4123411667041916</v>
      </c>
      <c r="D203" s="19">
        <f ca="1">IF(RAND()&lt;P_Zero,0,IF(RAND()&lt;CondReturn,_xlfn.LOGNORM.INV(RAND(),MV2,Sigma1),IF(RAND()&lt;CondGood,_xlfn.LOGNORM.INV(RAND(),MV3,Sigma2),MIN(MaxMultiple,Xm/(1-RAND())^(1/Alpha)))))</f>
        <v>0</v>
      </c>
      <c r="E203" s="19">
        <f ca="1">IF(RAND()&lt;P_Zero,0,IF(RAND()&lt;CondReturn,_xlfn.LOGNORM.INV(RAND(),MV2,Sigma1),IF(RAND()&lt;CondGood,_xlfn.LOGNORM.INV(RAND(),MV3,Sigma2),MIN(MaxMultiple,Xm/(1-RAND())^(1/Alpha)))))</f>
        <v>1.1546636541430464</v>
      </c>
      <c r="F203" s="19">
        <f ca="1">IF(RAND()&lt;P_Zero,0,IF(RAND()&lt;CondReturn,_xlfn.LOGNORM.INV(RAND(),MV2,Sigma1),IF(RAND()&lt;CondGood,_xlfn.LOGNORM.INV(RAND(),MV3,Sigma2),MIN(MaxMultiple,Xm/(1-RAND())^(1/Alpha)))))</f>
        <v>12.85875010330108</v>
      </c>
      <c r="G203" s="19">
        <f ca="1">IF(RAND()&lt;P_Zero,0,IF(RAND()&lt;CondReturn,_xlfn.LOGNORM.INV(RAND(),MV2,Sigma1),IF(RAND()&lt;CondGood,_xlfn.LOGNORM.INV(RAND(),MV3,Sigma2),MIN(MaxMultiple,Xm/(1-RAND())^(1/Alpha)))))</f>
        <v>0</v>
      </c>
      <c r="H203" s="19">
        <f ca="1">IF(RAND()&lt;P_Zero,0,IF(RAND()&lt;CondReturn,_xlfn.LOGNORM.INV(RAND(),MV2,Sigma1),IF(RAND()&lt;CondGood,_xlfn.LOGNORM.INV(RAND(),MV3,Sigma2),MIN(MaxMultiple,Xm/(1-RAND())^(1/Alpha)))))</f>
        <v>0</v>
      </c>
      <c r="I203" s="19">
        <f ca="1">IF(RAND()&lt;P_Zero,0,IF(RAND()&lt;CondReturn,_xlfn.LOGNORM.INV(RAND(),MV2,Sigma1),IF(RAND()&lt;CondGood,_xlfn.LOGNORM.INV(RAND(),MV3,Sigma2),MIN(MaxMultiple,Xm/(1-RAND())^(1/Alpha)))))</f>
        <v>1.2628258345075141</v>
      </c>
      <c r="J203" s="19">
        <f ca="1">IF(RAND()&lt;P_Zero,0,IF(RAND()&lt;CondReturn,_xlfn.LOGNORM.INV(RAND(),MV2,Sigma1),IF(RAND()&lt;CondGood,_xlfn.LOGNORM.INV(RAND(),MV3,Sigma2),MIN(MaxMultiple,Xm/(1-RAND())^(1/Alpha)))))</f>
        <v>0</v>
      </c>
      <c r="K203" s="19">
        <f ca="1">IF(RAND()&lt;P_Zero,0,IF(RAND()&lt;CondReturn,_xlfn.LOGNORM.INV(RAND(),MV2,Sigma1),IF(RAND()&lt;CondGood,_xlfn.LOGNORM.INV(RAND(),MV3,Sigma2),MIN(MaxMultiple,Xm/(1-RAND())^(1/Alpha)))))</f>
        <v>1.2741695159833986</v>
      </c>
      <c r="L203" s="19">
        <f ca="1">IF(RAND()&lt;P_Zero,0,IF(RAND()&lt;CondReturn,_xlfn.LOGNORM.INV(RAND(),MV2,Sigma1),IF(RAND()&lt;CondGood,_xlfn.LOGNORM.INV(RAND(),MV3,Sigma2),MIN(MaxMultiple,Xm/(1-RAND())^(1/Alpha)))))</f>
        <v>2.1227387195423497</v>
      </c>
      <c r="M203" s="19">
        <f ca="1">IF(RAND()&lt;P_Zero,0,IF(RAND()&lt;CondReturn,_xlfn.LOGNORM.INV(RAND(),MV2,Sigma1),IF(RAND()&lt;CondGood,_xlfn.LOGNORM.INV(RAND(),MV3,Sigma2),MIN(MaxMultiple,Xm/(1-RAND())^(1/Alpha)))))</f>
        <v>0</v>
      </c>
      <c r="N203" s="19">
        <f ca="1">IF(RAND()&lt;P_Zero,0,IF(RAND()&lt;CondReturn,_xlfn.LOGNORM.INV(RAND(),MV2,Sigma1),IF(RAND()&lt;CondGood,_xlfn.LOGNORM.INV(RAND(),MV3,Sigma2),MIN(MaxMultiple,Xm/(1-RAND())^(1/Alpha)))))</f>
        <v>0</v>
      </c>
      <c r="O203" s="19">
        <f ca="1">IF(RAND()&lt;P_Zero,0,IF(RAND()&lt;CondReturn,_xlfn.LOGNORM.INV(RAND(),MV2,Sigma1),IF(RAND()&lt;CondGood,_xlfn.LOGNORM.INV(RAND(),MV3,Sigma2),MIN(MaxMultiple,Xm/(1-RAND())^(1/Alpha)))))</f>
        <v>0.77240624742135366</v>
      </c>
      <c r="P203" s="19">
        <f ca="1">IF(RAND()&lt;P_Zero,0,IF(RAND()&lt;CondReturn,_xlfn.LOGNORM.INV(RAND(),MV2,Sigma1),IF(RAND()&lt;CondGood,_xlfn.LOGNORM.INV(RAND(),MV3,Sigma2),MIN(MaxMultiple,Xm/(1-RAND())^(1/Alpha)))))</f>
        <v>0.83467236641887854</v>
      </c>
      <c r="Q203" s="19">
        <f ca="1">IF(RAND()&lt;P_Zero,0,IF(RAND()&lt;CondReturn,_xlfn.LOGNORM.INV(RAND(),MV2,Sigma1),IF(RAND()&lt;CondGood,_xlfn.LOGNORM.INV(RAND(),MV3,Sigma2),MIN(MaxMultiple,Xm/(1-RAND())^(1/Alpha)))))</f>
        <v>0</v>
      </c>
      <c r="R203" s="19">
        <f ca="1">IF(RAND()&lt;P_Zero,0,IF(RAND()&lt;CondReturn,_xlfn.LOGNORM.INV(RAND(),MV2,Sigma1),IF(RAND()&lt;CondGood,_xlfn.LOGNORM.INV(RAND(),MV3,Sigma2),MIN(MaxMultiple,Xm/(1-RAND())^(1/Alpha)))))</f>
        <v>0</v>
      </c>
      <c r="S203" s="19">
        <f ca="1">IF(RAND()&lt;P_Zero,0,IF(RAND()&lt;CondReturn,_xlfn.LOGNORM.INV(RAND(),MV2,Sigma1),IF(RAND()&lt;CondGood,_xlfn.LOGNORM.INV(RAND(),MV3,Sigma2),MIN(MaxMultiple,Xm/(1-RAND())^(1/Alpha)))))</f>
        <v>1.2121864259624655</v>
      </c>
      <c r="T203" s="19">
        <f ca="1">IF(RAND()&lt;P_Zero,0,IF(RAND()&lt;CondReturn,_xlfn.LOGNORM.INV(RAND(),MV2,Sigma1),IF(RAND()&lt;CondGood,_xlfn.LOGNORM.INV(RAND(),MV3,Sigma2),MIN(MaxMultiple,Xm/(1-RAND())^(1/Alpha)))))</f>
        <v>0</v>
      </c>
      <c r="U203" s="19">
        <f ca="1">IF(RAND()&lt;P_Zero,0,IF(RAND()&lt;CondReturn,_xlfn.LOGNORM.INV(RAND(),MV2,Sigma1),IF(RAND()&lt;CondGood,_xlfn.LOGNORM.INV(RAND(),MV3,Sigma2),MIN(MaxMultiple,Xm/(1-RAND())^(1/Alpha)))))</f>
        <v>0</v>
      </c>
      <c r="V203" s="19">
        <f ca="1">IF(RAND()&lt;P_Zero,0,IF(RAND()&lt;CondReturn,_xlfn.LOGNORM.INV(RAND(),MV2,Sigma1),IF(RAND()&lt;CondGood,_xlfn.LOGNORM.INV(RAND(),MV3,Sigma2),MIN(MaxMultiple,Xm/(1-RAND())^(1/Alpha)))))</f>
        <v>1.487389362990077</v>
      </c>
      <c r="W203" s="19">
        <f ca="1">IF(RAND()&lt;P_Zero,0,IF(RAND()&lt;CondReturn,_xlfn.LOGNORM.INV(RAND(),MV2,Sigma1),IF(RAND()&lt;CondGood,_xlfn.LOGNORM.INV(RAND(),MV3,Sigma2),MIN(MaxMultiple,Xm/(1-RAND())^(1/Alpha)))))</f>
        <v>1.1514700048560822</v>
      </c>
      <c r="X203" s="19">
        <f ca="1">IF(RAND()&lt;P_Zero,0,IF(RAND()&lt;CondReturn,_xlfn.LOGNORM.INV(RAND(),MV2,Sigma1),IF(RAND()&lt;CondGood,_xlfn.LOGNORM.INV(RAND(),MV3,Sigma2),MIN(MaxMultiple,Xm/(1-RAND())^(1/Alpha)))))</f>
        <v>0</v>
      </c>
      <c r="Y203" s="19">
        <f ca="1">IF(RAND()&lt;P_Zero,0,IF(RAND()&lt;CondReturn,_xlfn.LOGNORM.INV(RAND(),MV2,Sigma1),IF(RAND()&lt;CondGood,_xlfn.LOGNORM.INV(RAND(),MV3,Sigma2),MIN(MaxMultiple,Xm/(1-RAND())^(1/Alpha)))))</f>
        <v>0</v>
      </c>
      <c r="Z203" s="19">
        <f ca="1">IF(RAND()&lt;P_Zero,0,IF(RAND()&lt;CondReturn,_xlfn.LOGNORM.INV(RAND(),MV2,Sigma1),IF(RAND()&lt;CondGood,_xlfn.LOGNORM.INV(RAND(),MV3,Sigma2),MIN(MaxMultiple,Xm/(1-RAND())^(1/Alpha)))))</f>
        <v>0.96053944686275838</v>
      </c>
      <c r="AA203" s="19">
        <f ca="1">IF(RAND()&lt;P_Zero,0,IF(RAND()&lt;CondReturn,_xlfn.LOGNORM.INV(RAND(),MV2,Sigma1),IF(RAND()&lt;CondGood,_xlfn.LOGNORM.INV(RAND(),MV3,Sigma2),MIN(MaxMultiple,Xm/(1-RAND())^(1/Alpha)))))</f>
        <v>0</v>
      </c>
      <c r="AB203" s="19">
        <f t="shared" ca="1" si="24"/>
        <v>1.0601661139477279</v>
      </c>
      <c r="AC203" s="14">
        <f t="shared" ca="1" si="25"/>
        <v>50887973.469490938</v>
      </c>
      <c r="AD203" s="14">
        <f t="shared" ca="1" si="26"/>
        <v>2887973.4694909379</v>
      </c>
      <c r="AE203" s="14">
        <f t="shared" si="27"/>
        <v>55628399.869093813</v>
      </c>
      <c r="AF203" s="14">
        <f t="shared" ca="1" si="28"/>
        <v>0</v>
      </c>
      <c r="AG203" s="14">
        <f t="shared" ca="1" si="29"/>
        <v>0</v>
      </c>
      <c r="AH203" s="14">
        <f t="shared" ca="1" si="30"/>
        <v>50887973.469490938</v>
      </c>
      <c r="AI203" s="19">
        <f t="shared" ca="1" si="31"/>
        <v>0.84813289115818224</v>
      </c>
    </row>
    <row r="204" spans="2:35" x14ac:dyDescent="0.2">
      <c r="B204" s="1">
        <v>199</v>
      </c>
      <c r="C204" s="19">
        <f ca="1">IF(RAND()&lt;P_Zero,0,IF(RAND()&lt;CondReturn,_xlfn.LOGNORM.INV(RAND(),MV2,Sigma1),IF(RAND()&lt;CondGood,_xlfn.LOGNORM.INV(RAND(),MV3,Sigma2),MIN(MaxMultiple,Xm/(1-RAND())^(1/Alpha)))))</f>
        <v>0</v>
      </c>
      <c r="D204" s="19">
        <f ca="1">IF(RAND()&lt;P_Zero,0,IF(RAND()&lt;CondReturn,_xlfn.LOGNORM.INV(RAND(),MV2,Sigma1),IF(RAND()&lt;CondGood,_xlfn.LOGNORM.INV(RAND(),MV3,Sigma2),MIN(MaxMultiple,Xm/(1-RAND())^(1/Alpha)))))</f>
        <v>1.5783634008413747</v>
      </c>
      <c r="E204" s="19">
        <f ca="1">IF(RAND()&lt;P_Zero,0,IF(RAND()&lt;CondReturn,_xlfn.LOGNORM.INV(RAND(),MV2,Sigma1),IF(RAND()&lt;CondGood,_xlfn.LOGNORM.INV(RAND(),MV3,Sigma2),MIN(MaxMultiple,Xm/(1-RAND())^(1/Alpha)))))</f>
        <v>0</v>
      </c>
      <c r="F204" s="19">
        <f ca="1">IF(RAND()&lt;P_Zero,0,IF(RAND()&lt;CondReturn,_xlfn.LOGNORM.INV(RAND(),MV2,Sigma1),IF(RAND()&lt;CondGood,_xlfn.LOGNORM.INV(RAND(),MV3,Sigma2),MIN(MaxMultiple,Xm/(1-RAND())^(1/Alpha)))))</f>
        <v>0</v>
      </c>
      <c r="G204" s="19">
        <f ca="1">IF(RAND()&lt;P_Zero,0,IF(RAND()&lt;CondReturn,_xlfn.LOGNORM.INV(RAND(),MV2,Sigma1),IF(RAND()&lt;CondGood,_xlfn.LOGNORM.INV(RAND(),MV3,Sigma2),MIN(MaxMultiple,Xm/(1-RAND())^(1/Alpha)))))</f>
        <v>0</v>
      </c>
      <c r="H204" s="19">
        <f ca="1">IF(RAND()&lt;P_Zero,0,IF(RAND()&lt;CondReturn,_xlfn.LOGNORM.INV(RAND(),MV2,Sigma1),IF(RAND()&lt;CondGood,_xlfn.LOGNORM.INV(RAND(),MV3,Sigma2),MIN(MaxMultiple,Xm/(1-RAND())^(1/Alpha)))))</f>
        <v>16.830799011677836</v>
      </c>
      <c r="I204" s="19">
        <f ca="1">IF(RAND()&lt;P_Zero,0,IF(RAND()&lt;CondReturn,_xlfn.LOGNORM.INV(RAND(),MV2,Sigma1),IF(RAND()&lt;CondGood,_xlfn.LOGNORM.INV(RAND(),MV3,Sigma2),MIN(MaxMultiple,Xm/(1-RAND())^(1/Alpha)))))</f>
        <v>0.46987244800911143</v>
      </c>
      <c r="J204" s="19">
        <f ca="1">IF(RAND()&lt;P_Zero,0,IF(RAND()&lt;CondReturn,_xlfn.LOGNORM.INV(RAND(),MV2,Sigma1),IF(RAND()&lt;CondGood,_xlfn.LOGNORM.INV(RAND(),MV3,Sigma2),MIN(MaxMultiple,Xm/(1-RAND())^(1/Alpha)))))</f>
        <v>0</v>
      </c>
      <c r="K204" s="19">
        <f ca="1">IF(RAND()&lt;P_Zero,0,IF(RAND()&lt;CondReturn,_xlfn.LOGNORM.INV(RAND(),MV2,Sigma1),IF(RAND()&lt;CondGood,_xlfn.LOGNORM.INV(RAND(),MV3,Sigma2),MIN(MaxMultiple,Xm/(1-RAND())^(1/Alpha)))))</f>
        <v>0.91732100510433257</v>
      </c>
      <c r="L204" s="19">
        <f ca="1">IF(RAND()&lt;P_Zero,0,IF(RAND()&lt;CondReturn,_xlfn.LOGNORM.INV(RAND(),MV2,Sigma1),IF(RAND()&lt;CondGood,_xlfn.LOGNORM.INV(RAND(),MV3,Sigma2),MIN(MaxMultiple,Xm/(1-RAND())^(1/Alpha)))))</f>
        <v>1.123468201675581</v>
      </c>
      <c r="M204" s="19">
        <f ca="1">IF(RAND()&lt;P_Zero,0,IF(RAND()&lt;CondReturn,_xlfn.LOGNORM.INV(RAND(),MV2,Sigma1),IF(RAND()&lt;CondGood,_xlfn.LOGNORM.INV(RAND(),MV3,Sigma2),MIN(MaxMultiple,Xm/(1-RAND())^(1/Alpha)))))</f>
        <v>1.57114929024354</v>
      </c>
      <c r="N204" s="19">
        <f ca="1">IF(RAND()&lt;P_Zero,0,IF(RAND()&lt;CondReturn,_xlfn.LOGNORM.INV(RAND(),MV2,Sigma1),IF(RAND()&lt;CondGood,_xlfn.LOGNORM.INV(RAND(),MV3,Sigma2),MIN(MaxMultiple,Xm/(1-RAND())^(1/Alpha)))))</f>
        <v>0.89690229926276988</v>
      </c>
      <c r="O204" s="19">
        <f ca="1">IF(RAND()&lt;P_Zero,0,IF(RAND()&lt;CondReturn,_xlfn.LOGNORM.INV(RAND(),MV2,Sigma1),IF(RAND()&lt;CondGood,_xlfn.LOGNORM.INV(RAND(),MV3,Sigma2),MIN(MaxMultiple,Xm/(1-RAND())^(1/Alpha)))))</f>
        <v>10.043819378440968</v>
      </c>
      <c r="P204" s="19">
        <f ca="1">IF(RAND()&lt;P_Zero,0,IF(RAND()&lt;CondReturn,_xlfn.LOGNORM.INV(RAND(),MV2,Sigma1),IF(RAND()&lt;CondGood,_xlfn.LOGNORM.INV(RAND(),MV3,Sigma2),MIN(MaxMultiple,Xm/(1-RAND())^(1/Alpha)))))</f>
        <v>0</v>
      </c>
      <c r="Q204" s="19">
        <f ca="1">IF(RAND()&lt;P_Zero,0,IF(RAND()&lt;CondReturn,_xlfn.LOGNORM.INV(RAND(),MV2,Sigma1),IF(RAND()&lt;CondGood,_xlfn.LOGNORM.INV(RAND(),MV3,Sigma2),MIN(MaxMultiple,Xm/(1-RAND())^(1/Alpha)))))</f>
        <v>0</v>
      </c>
      <c r="R204" s="19">
        <f ca="1">IF(RAND()&lt;P_Zero,0,IF(RAND()&lt;CondReturn,_xlfn.LOGNORM.INV(RAND(),MV2,Sigma1),IF(RAND()&lt;CondGood,_xlfn.LOGNORM.INV(RAND(),MV3,Sigma2),MIN(MaxMultiple,Xm/(1-RAND())^(1/Alpha)))))</f>
        <v>0</v>
      </c>
      <c r="S204" s="19">
        <f ca="1">IF(RAND()&lt;P_Zero,0,IF(RAND()&lt;CondReturn,_xlfn.LOGNORM.INV(RAND(),MV2,Sigma1),IF(RAND()&lt;CondGood,_xlfn.LOGNORM.INV(RAND(),MV3,Sigma2),MIN(MaxMultiple,Xm/(1-RAND())^(1/Alpha)))))</f>
        <v>0.66414563854163311</v>
      </c>
      <c r="T204" s="19">
        <f ca="1">IF(RAND()&lt;P_Zero,0,IF(RAND()&lt;CondReturn,_xlfn.LOGNORM.INV(RAND(),MV2,Sigma1),IF(RAND()&lt;CondGood,_xlfn.LOGNORM.INV(RAND(),MV3,Sigma2),MIN(MaxMultiple,Xm/(1-RAND())^(1/Alpha)))))</f>
        <v>0.43504224190608642</v>
      </c>
      <c r="U204" s="19">
        <f ca="1">IF(RAND()&lt;P_Zero,0,IF(RAND()&lt;CondReturn,_xlfn.LOGNORM.INV(RAND(),MV2,Sigma1),IF(RAND()&lt;CondGood,_xlfn.LOGNORM.INV(RAND(),MV3,Sigma2),MIN(MaxMultiple,Xm/(1-RAND())^(1/Alpha)))))</f>
        <v>1.3403669694145075</v>
      </c>
      <c r="V204" s="19">
        <f ca="1">IF(RAND()&lt;P_Zero,0,IF(RAND()&lt;CondReturn,_xlfn.LOGNORM.INV(RAND(),MV2,Sigma1),IF(RAND()&lt;CondGood,_xlfn.LOGNORM.INV(RAND(),MV3,Sigma2),MIN(MaxMultiple,Xm/(1-RAND())^(1/Alpha)))))</f>
        <v>0</v>
      </c>
      <c r="W204" s="19">
        <f ca="1">IF(RAND()&lt;P_Zero,0,IF(RAND()&lt;CondReturn,_xlfn.LOGNORM.INV(RAND(),MV2,Sigma1),IF(RAND()&lt;CondGood,_xlfn.LOGNORM.INV(RAND(),MV3,Sigma2),MIN(MaxMultiple,Xm/(1-RAND())^(1/Alpha)))))</f>
        <v>0.8884273724587608</v>
      </c>
      <c r="X204" s="19">
        <f ca="1">IF(RAND()&lt;P_Zero,0,IF(RAND()&lt;CondReturn,_xlfn.LOGNORM.INV(RAND(),MV2,Sigma1),IF(RAND()&lt;CondGood,_xlfn.LOGNORM.INV(RAND(),MV3,Sigma2),MIN(MaxMultiple,Xm/(1-RAND())^(1/Alpha)))))</f>
        <v>0.6102871347748362</v>
      </c>
      <c r="Y204" s="19">
        <f ca="1">IF(RAND()&lt;P_Zero,0,IF(RAND()&lt;CondReturn,_xlfn.LOGNORM.INV(RAND(),MV2,Sigma1),IF(RAND()&lt;CondGood,_xlfn.LOGNORM.INV(RAND(),MV3,Sigma2),MIN(MaxMultiple,Xm/(1-RAND())^(1/Alpha)))))</f>
        <v>11.382568867899893</v>
      </c>
      <c r="Z204" s="19">
        <f ca="1">IF(RAND()&lt;P_Zero,0,IF(RAND()&lt;CondReturn,_xlfn.LOGNORM.INV(RAND(),MV2,Sigma1),IF(RAND()&lt;CondGood,_xlfn.LOGNORM.INV(RAND(),MV3,Sigma2),MIN(MaxMultiple,Xm/(1-RAND())^(1/Alpha)))))</f>
        <v>0.52957097974089762</v>
      </c>
      <c r="AA204" s="19">
        <f ca="1">IF(RAND()&lt;P_Zero,0,IF(RAND()&lt;CondReturn,_xlfn.LOGNORM.INV(RAND(),MV2,Sigma1),IF(RAND()&lt;CondGood,_xlfn.LOGNORM.INV(RAND(),MV3,Sigma2),MIN(MaxMultiple,Xm/(1-RAND())^(1/Alpha)))))</f>
        <v>0.62467797472838704</v>
      </c>
      <c r="AB204" s="19">
        <f t="shared" ca="1" si="24"/>
        <v>1.996271288588821</v>
      </c>
      <c r="AC204" s="14">
        <f t="shared" ca="1" si="25"/>
        <v>95821021.852263406</v>
      </c>
      <c r="AD204" s="14">
        <f t="shared" ca="1" si="26"/>
        <v>47821021.852263406</v>
      </c>
      <c r="AE204" s="14">
        <f t="shared" si="27"/>
        <v>55628399.869093813</v>
      </c>
      <c r="AF204" s="14">
        <f t="shared" ca="1" si="28"/>
        <v>0</v>
      </c>
      <c r="AG204" s="14">
        <f t="shared" ca="1" si="29"/>
        <v>0</v>
      </c>
      <c r="AH204" s="14">
        <f t="shared" ca="1" si="30"/>
        <v>95821021.852263406</v>
      </c>
      <c r="AI204" s="19">
        <f t="shared" ca="1" si="31"/>
        <v>1.5970170308710567</v>
      </c>
    </row>
    <row r="205" spans="2:35" x14ac:dyDescent="0.2">
      <c r="B205" s="1">
        <v>200</v>
      </c>
      <c r="C205" s="19">
        <f ca="1">IF(RAND()&lt;P_Zero,0,IF(RAND()&lt;CondReturn,_xlfn.LOGNORM.INV(RAND(),MV2,Sigma1),IF(RAND()&lt;CondGood,_xlfn.LOGNORM.INV(RAND(),MV3,Sigma2),MIN(MaxMultiple,Xm/(1-RAND())^(1/Alpha)))))</f>
        <v>2.3519160146051226</v>
      </c>
      <c r="D205" s="19">
        <f ca="1">IF(RAND()&lt;P_Zero,0,IF(RAND()&lt;CondReturn,_xlfn.LOGNORM.INV(RAND(),MV2,Sigma1),IF(RAND()&lt;CondGood,_xlfn.LOGNORM.INV(RAND(),MV3,Sigma2),MIN(MaxMultiple,Xm/(1-RAND())^(1/Alpha)))))</f>
        <v>0</v>
      </c>
      <c r="E205" s="19">
        <f ca="1">IF(RAND()&lt;P_Zero,0,IF(RAND()&lt;CondReturn,_xlfn.LOGNORM.INV(RAND(),MV2,Sigma1),IF(RAND()&lt;CondGood,_xlfn.LOGNORM.INV(RAND(),MV3,Sigma2),MIN(MaxMultiple,Xm/(1-RAND())^(1/Alpha)))))</f>
        <v>0.66516702961973695</v>
      </c>
      <c r="F205" s="19">
        <f ca="1">IF(RAND()&lt;P_Zero,0,IF(RAND()&lt;CondReturn,_xlfn.LOGNORM.INV(RAND(),MV2,Sigma1),IF(RAND()&lt;CondGood,_xlfn.LOGNORM.INV(RAND(),MV3,Sigma2),MIN(MaxMultiple,Xm/(1-RAND())^(1/Alpha)))))</f>
        <v>0</v>
      </c>
      <c r="G205" s="19">
        <f ca="1">IF(RAND()&lt;P_Zero,0,IF(RAND()&lt;CondReturn,_xlfn.LOGNORM.INV(RAND(),MV2,Sigma1),IF(RAND()&lt;CondGood,_xlfn.LOGNORM.INV(RAND(),MV3,Sigma2),MIN(MaxMultiple,Xm/(1-RAND())^(1/Alpha)))))</f>
        <v>0</v>
      </c>
      <c r="H205" s="19">
        <f ca="1">IF(RAND()&lt;P_Zero,0,IF(RAND()&lt;CondReturn,_xlfn.LOGNORM.INV(RAND(),MV2,Sigma1),IF(RAND()&lt;CondGood,_xlfn.LOGNORM.INV(RAND(),MV3,Sigma2),MIN(MaxMultiple,Xm/(1-RAND())^(1/Alpha)))))</f>
        <v>1.0479167510705043</v>
      </c>
      <c r="I205" s="19">
        <f ca="1">IF(RAND()&lt;P_Zero,0,IF(RAND()&lt;CondReturn,_xlfn.LOGNORM.INV(RAND(),MV2,Sigma1),IF(RAND()&lt;CondGood,_xlfn.LOGNORM.INV(RAND(),MV3,Sigma2),MIN(MaxMultiple,Xm/(1-RAND())^(1/Alpha)))))</f>
        <v>0</v>
      </c>
      <c r="J205" s="19">
        <f ca="1">IF(RAND()&lt;P_Zero,0,IF(RAND()&lt;CondReturn,_xlfn.LOGNORM.INV(RAND(),MV2,Sigma1),IF(RAND()&lt;CondGood,_xlfn.LOGNORM.INV(RAND(),MV3,Sigma2),MIN(MaxMultiple,Xm/(1-RAND())^(1/Alpha)))))</f>
        <v>0.80577592568027778</v>
      </c>
      <c r="K205" s="19">
        <f ca="1">IF(RAND()&lt;P_Zero,0,IF(RAND()&lt;CondReturn,_xlfn.LOGNORM.INV(RAND(),MV2,Sigma1),IF(RAND()&lt;CondGood,_xlfn.LOGNORM.INV(RAND(),MV3,Sigma2),MIN(MaxMultiple,Xm/(1-RAND())^(1/Alpha)))))</f>
        <v>1.9057926530463145</v>
      </c>
      <c r="L205" s="19">
        <f ca="1">IF(RAND()&lt;P_Zero,0,IF(RAND()&lt;CondReturn,_xlfn.LOGNORM.INV(RAND(),MV2,Sigma1),IF(RAND()&lt;CondGood,_xlfn.LOGNORM.INV(RAND(),MV3,Sigma2),MIN(MaxMultiple,Xm/(1-RAND())^(1/Alpha)))))</f>
        <v>1.2102812355075794</v>
      </c>
      <c r="M205" s="19">
        <f ca="1">IF(RAND()&lt;P_Zero,0,IF(RAND()&lt;CondReturn,_xlfn.LOGNORM.INV(RAND(),MV2,Sigma1),IF(RAND()&lt;CondGood,_xlfn.LOGNORM.INV(RAND(),MV3,Sigma2),MIN(MaxMultiple,Xm/(1-RAND())^(1/Alpha)))))</f>
        <v>0.78430192304393509</v>
      </c>
      <c r="N205" s="19">
        <f ca="1">IF(RAND()&lt;P_Zero,0,IF(RAND()&lt;CondReturn,_xlfn.LOGNORM.INV(RAND(),MV2,Sigma1),IF(RAND()&lt;CondGood,_xlfn.LOGNORM.INV(RAND(),MV3,Sigma2),MIN(MaxMultiple,Xm/(1-RAND())^(1/Alpha)))))</f>
        <v>1.1915932719792861</v>
      </c>
      <c r="O205" s="19">
        <f ca="1">IF(RAND()&lt;P_Zero,0,IF(RAND()&lt;CondReturn,_xlfn.LOGNORM.INV(RAND(),MV2,Sigma1),IF(RAND()&lt;CondGood,_xlfn.LOGNORM.INV(RAND(),MV3,Sigma2),MIN(MaxMultiple,Xm/(1-RAND())^(1/Alpha)))))</f>
        <v>0</v>
      </c>
      <c r="P205" s="19">
        <f ca="1">IF(RAND()&lt;P_Zero,0,IF(RAND()&lt;CondReturn,_xlfn.LOGNORM.INV(RAND(),MV2,Sigma1),IF(RAND()&lt;CondGood,_xlfn.LOGNORM.INV(RAND(),MV3,Sigma2),MIN(MaxMultiple,Xm/(1-RAND())^(1/Alpha)))))</f>
        <v>0.54762096935515325</v>
      </c>
      <c r="Q205" s="19">
        <f ca="1">IF(RAND()&lt;P_Zero,0,IF(RAND()&lt;CondReturn,_xlfn.LOGNORM.INV(RAND(),MV2,Sigma1),IF(RAND()&lt;CondGood,_xlfn.LOGNORM.INV(RAND(),MV3,Sigma2),MIN(MaxMultiple,Xm/(1-RAND())^(1/Alpha)))))</f>
        <v>0.56263091249646968</v>
      </c>
      <c r="R205" s="19">
        <f ca="1">IF(RAND()&lt;P_Zero,0,IF(RAND()&lt;CondReturn,_xlfn.LOGNORM.INV(RAND(),MV2,Sigma1),IF(RAND()&lt;CondGood,_xlfn.LOGNORM.INV(RAND(),MV3,Sigma2),MIN(MaxMultiple,Xm/(1-RAND())^(1/Alpha)))))</f>
        <v>3.6743026882718839</v>
      </c>
      <c r="S205" s="19">
        <f ca="1">IF(RAND()&lt;P_Zero,0,IF(RAND()&lt;CondReturn,_xlfn.LOGNORM.INV(RAND(),MV2,Sigma1),IF(RAND()&lt;CondGood,_xlfn.LOGNORM.INV(RAND(),MV3,Sigma2),MIN(MaxMultiple,Xm/(1-RAND())^(1/Alpha)))))</f>
        <v>0</v>
      </c>
      <c r="T205" s="19">
        <f ca="1">IF(RAND()&lt;P_Zero,0,IF(RAND()&lt;CondReturn,_xlfn.LOGNORM.INV(RAND(),MV2,Sigma1),IF(RAND()&lt;CondGood,_xlfn.LOGNORM.INV(RAND(),MV3,Sigma2),MIN(MaxMultiple,Xm/(1-RAND())^(1/Alpha)))))</f>
        <v>0</v>
      </c>
      <c r="U205" s="19">
        <f ca="1">IF(RAND()&lt;P_Zero,0,IF(RAND()&lt;CondReturn,_xlfn.LOGNORM.INV(RAND(),MV2,Sigma1),IF(RAND()&lt;CondGood,_xlfn.LOGNORM.INV(RAND(),MV3,Sigma2),MIN(MaxMultiple,Xm/(1-RAND())^(1/Alpha)))))</f>
        <v>1.3289765417033765</v>
      </c>
      <c r="V205" s="19">
        <f ca="1">IF(RAND()&lt;P_Zero,0,IF(RAND()&lt;CondReturn,_xlfn.LOGNORM.INV(RAND(),MV2,Sigma1),IF(RAND()&lt;CondGood,_xlfn.LOGNORM.INV(RAND(),MV3,Sigma2),MIN(MaxMultiple,Xm/(1-RAND())^(1/Alpha)))))</f>
        <v>2.0907353600751586</v>
      </c>
      <c r="W205" s="19">
        <f ca="1">IF(RAND()&lt;P_Zero,0,IF(RAND()&lt;CondReturn,_xlfn.LOGNORM.INV(RAND(),MV2,Sigma1),IF(RAND()&lt;CondGood,_xlfn.LOGNORM.INV(RAND(),MV3,Sigma2),MIN(MaxMultiple,Xm/(1-RAND())^(1/Alpha)))))</f>
        <v>0</v>
      </c>
      <c r="X205" s="19">
        <f ca="1">IF(RAND()&lt;P_Zero,0,IF(RAND()&lt;CondReturn,_xlfn.LOGNORM.INV(RAND(),MV2,Sigma1),IF(RAND()&lt;CondGood,_xlfn.LOGNORM.INV(RAND(),MV3,Sigma2),MIN(MaxMultiple,Xm/(1-RAND())^(1/Alpha)))))</f>
        <v>0.66613956786762474</v>
      </c>
      <c r="Y205" s="19">
        <f ca="1">IF(RAND()&lt;P_Zero,0,IF(RAND()&lt;CondReturn,_xlfn.LOGNORM.INV(RAND(),MV2,Sigma1),IF(RAND()&lt;CondGood,_xlfn.LOGNORM.INV(RAND(),MV3,Sigma2),MIN(MaxMultiple,Xm/(1-RAND())^(1/Alpha)))))</f>
        <v>1.0526493600514524</v>
      </c>
      <c r="Z205" s="19">
        <f ca="1">IF(RAND()&lt;P_Zero,0,IF(RAND()&lt;CondReturn,_xlfn.LOGNORM.INV(RAND(),MV2,Sigma1),IF(RAND()&lt;CondGood,_xlfn.LOGNORM.INV(RAND(),MV3,Sigma2),MIN(MaxMultiple,Xm/(1-RAND())^(1/Alpha)))))</f>
        <v>0</v>
      </c>
      <c r="AA205" s="19">
        <f ca="1">IF(RAND()&lt;P_Zero,0,IF(RAND()&lt;CondReturn,_xlfn.LOGNORM.INV(RAND(),MV2,Sigma1),IF(RAND()&lt;CondGood,_xlfn.LOGNORM.INV(RAND(),MV3,Sigma2),MIN(MaxMultiple,Xm/(1-RAND())^(1/Alpha)))))</f>
        <v>26.796953669838473</v>
      </c>
      <c r="AB205" s="19">
        <f t="shared" ca="1" si="24"/>
        <v>1.8673101549684938</v>
      </c>
      <c r="AC205" s="14">
        <f t="shared" ca="1" si="25"/>
        <v>89630887.438487709</v>
      </c>
      <c r="AD205" s="14">
        <f t="shared" ca="1" si="26"/>
        <v>41630887.438487709</v>
      </c>
      <c r="AE205" s="14">
        <f t="shared" si="27"/>
        <v>55628399.869093813</v>
      </c>
      <c r="AF205" s="14">
        <f t="shared" ca="1" si="28"/>
        <v>0</v>
      </c>
      <c r="AG205" s="14">
        <f t="shared" ca="1" si="29"/>
        <v>0</v>
      </c>
      <c r="AH205" s="14">
        <f t="shared" ca="1" si="30"/>
        <v>89630887.438487709</v>
      </c>
      <c r="AI205" s="19">
        <f t="shared" ca="1" si="31"/>
        <v>1.4938481239747952</v>
      </c>
    </row>
    <row r="206" spans="2:35" x14ac:dyDescent="0.2">
      <c r="B206" s="1">
        <v>201</v>
      </c>
      <c r="C206" s="19">
        <f ca="1">IF(RAND()&lt;P_Zero,0,IF(RAND()&lt;CondReturn,_xlfn.LOGNORM.INV(RAND(),MV2,Sigma1),IF(RAND()&lt;CondGood,_xlfn.LOGNORM.INV(RAND(),MV3,Sigma2),MIN(MaxMultiple,Xm/(1-RAND())^(1/Alpha)))))</f>
        <v>0</v>
      </c>
      <c r="D206" s="19">
        <f ca="1">IF(RAND()&lt;P_Zero,0,IF(RAND()&lt;CondReturn,_xlfn.LOGNORM.INV(RAND(),MV2,Sigma1),IF(RAND()&lt;CondGood,_xlfn.LOGNORM.INV(RAND(),MV3,Sigma2),MIN(MaxMultiple,Xm/(1-RAND())^(1/Alpha)))))</f>
        <v>0</v>
      </c>
      <c r="E206" s="19">
        <f ca="1">IF(RAND()&lt;P_Zero,0,IF(RAND()&lt;CondReturn,_xlfn.LOGNORM.INV(RAND(),MV2,Sigma1),IF(RAND()&lt;CondGood,_xlfn.LOGNORM.INV(RAND(),MV3,Sigma2),MIN(MaxMultiple,Xm/(1-RAND())^(1/Alpha)))))</f>
        <v>0.64595322732614424</v>
      </c>
      <c r="F206" s="19">
        <f ca="1">IF(RAND()&lt;P_Zero,0,IF(RAND()&lt;CondReturn,_xlfn.LOGNORM.INV(RAND(),MV2,Sigma1),IF(RAND()&lt;CondGood,_xlfn.LOGNORM.INV(RAND(),MV3,Sigma2),MIN(MaxMultiple,Xm/(1-RAND())^(1/Alpha)))))</f>
        <v>0</v>
      </c>
      <c r="G206" s="19">
        <f ca="1">IF(RAND()&lt;P_Zero,0,IF(RAND()&lt;CondReturn,_xlfn.LOGNORM.INV(RAND(),MV2,Sigma1),IF(RAND()&lt;CondGood,_xlfn.LOGNORM.INV(RAND(),MV3,Sigma2),MIN(MaxMultiple,Xm/(1-RAND())^(1/Alpha)))))</f>
        <v>0.88635257988477156</v>
      </c>
      <c r="H206" s="19">
        <f ca="1">IF(RAND()&lt;P_Zero,0,IF(RAND()&lt;CondReturn,_xlfn.LOGNORM.INV(RAND(),MV2,Sigma1),IF(RAND()&lt;CondGood,_xlfn.LOGNORM.INV(RAND(),MV3,Sigma2),MIN(MaxMultiple,Xm/(1-RAND())^(1/Alpha)))))</f>
        <v>1.9208716336085869</v>
      </c>
      <c r="I206" s="19">
        <f ca="1">IF(RAND()&lt;P_Zero,0,IF(RAND()&lt;CondReturn,_xlfn.LOGNORM.INV(RAND(),MV2,Sigma1),IF(RAND()&lt;CondGood,_xlfn.LOGNORM.INV(RAND(),MV3,Sigma2),MIN(MaxMultiple,Xm/(1-RAND())^(1/Alpha)))))</f>
        <v>0</v>
      </c>
      <c r="J206" s="19">
        <f ca="1">IF(RAND()&lt;P_Zero,0,IF(RAND()&lt;CondReturn,_xlfn.LOGNORM.INV(RAND(),MV2,Sigma1),IF(RAND()&lt;CondGood,_xlfn.LOGNORM.INV(RAND(),MV3,Sigma2),MIN(MaxMultiple,Xm/(1-RAND())^(1/Alpha)))))</f>
        <v>0</v>
      </c>
      <c r="K206" s="19">
        <f ca="1">IF(RAND()&lt;P_Zero,0,IF(RAND()&lt;CondReturn,_xlfn.LOGNORM.INV(RAND(),MV2,Sigma1),IF(RAND()&lt;CondGood,_xlfn.LOGNORM.INV(RAND(),MV3,Sigma2),MIN(MaxMultiple,Xm/(1-RAND())^(1/Alpha)))))</f>
        <v>1.1609368760551448</v>
      </c>
      <c r="L206" s="19">
        <f ca="1">IF(RAND()&lt;P_Zero,0,IF(RAND()&lt;CondReturn,_xlfn.LOGNORM.INV(RAND(),MV2,Sigma1),IF(RAND()&lt;CondGood,_xlfn.LOGNORM.INV(RAND(),MV3,Sigma2),MIN(MaxMultiple,Xm/(1-RAND())^(1/Alpha)))))</f>
        <v>0</v>
      </c>
      <c r="M206" s="19">
        <f ca="1">IF(RAND()&lt;P_Zero,0,IF(RAND()&lt;CondReturn,_xlfn.LOGNORM.INV(RAND(),MV2,Sigma1),IF(RAND()&lt;CondGood,_xlfn.LOGNORM.INV(RAND(),MV3,Sigma2),MIN(MaxMultiple,Xm/(1-RAND())^(1/Alpha)))))</f>
        <v>0.5511056168685623</v>
      </c>
      <c r="N206" s="19">
        <f ca="1">IF(RAND()&lt;P_Zero,0,IF(RAND()&lt;CondReturn,_xlfn.LOGNORM.INV(RAND(),MV2,Sigma1),IF(RAND()&lt;CondGood,_xlfn.LOGNORM.INV(RAND(),MV3,Sigma2),MIN(MaxMultiple,Xm/(1-RAND())^(1/Alpha)))))</f>
        <v>0.89585130842457783</v>
      </c>
      <c r="O206" s="19">
        <f ca="1">IF(RAND()&lt;P_Zero,0,IF(RAND()&lt;CondReturn,_xlfn.LOGNORM.INV(RAND(),MV2,Sigma1),IF(RAND()&lt;CondGood,_xlfn.LOGNORM.INV(RAND(),MV3,Sigma2),MIN(MaxMultiple,Xm/(1-RAND())^(1/Alpha)))))</f>
        <v>0</v>
      </c>
      <c r="P206" s="19">
        <f ca="1">IF(RAND()&lt;P_Zero,0,IF(RAND()&lt;CondReturn,_xlfn.LOGNORM.INV(RAND(),MV2,Sigma1),IF(RAND()&lt;CondGood,_xlfn.LOGNORM.INV(RAND(),MV3,Sigma2),MIN(MaxMultiple,Xm/(1-RAND())^(1/Alpha)))))</f>
        <v>0</v>
      </c>
      <c r="Q206" s="19">
        <f ca="1">IF(RAND()&lt;P_Zero,0,IF(RAND()&lt;CondReturn,_xlfn.LOGNORM.INV(RAND(),MV2,Sigma1),IF(RAND()&lt;CondGood,_xlfn.LOGNORM.INV(RAND(),MV3,Sigma2),MIN(MaxMultiple,Xm/(1-RAND())^(1/Alpha)))))</f>
        <v>0</v>
      </c>
      <c r="R206" s="19">
        <f ca="1">IF(RAND()&lt;P_Zero,0,IF(RAND()&lt;CondReturn,_xlfn.LOGNORM.INV(RAND(),MV2,Sigma1),IF(RAND()&lt;CondGood,_xlfn.LOGNORM.INV(RAND(),MV3,Sigma2),MIN(MaxMultiple,Xm/(1-RAND())^(1/Alpha)))))</f>
        <v>0</v>
      </c>
      <c r="S206" s="19">
        <f ca="1">IF(RAND()&lt;P_Zero,0,IF(RAND()&lt;CondReturn,_xlfn.LOGNORM.INV(RAND(),MV2,Sigma1),IF(RAND()&lt;CondGood,_xlfn.LOGNORM.INV(RAND(),MV3,Sigma2),MIN(MaxMultiple,Xm/(1-RAND())^(1/Alpha)))))</f>
        <v>0</v>
      </c>
      <c r="T206" s="19">
        <f ca="1">IF(RAND()&lt;P_Zero,0,IF(RAND()&lt;CondReturn,_xlfn.LOGNORM.INV(RAND(),MV2,Sigma1),IF(RAND()&lt;CondGood,_xlfn.LOGNORM.INV(RAND(),MV3,Sigma2),MIN(MaxMultiple,Xm/(1-RAND())^(1/Alpha)))))</f>
        <v>0</v>
      </c>
      <c r="U206" s="19">
        <f ca="1">IF(RAND()&lt;P_Zero,0,IF(RAND()&lt;CondReturn,_xlfn.LOGNORM.INV(RAND(),MV2,Sigma1),IF(RAND()&lt;CondGood,_xlfn.LOGNORM.INV(RAND(),MV3,Sigma2),MIN(MaxMultiple,Xm/(1-RAND())^(1/Alpha)))))</f>
        <v>0</v>
      </c>
      <c r="V206" s="19">
        <f ca="1">IF(RAND()&lt;P_Zero,0,IF(RAND()&lt;CondReturn,_xlfn.LOGNORM.INV(RAND(),MV2,Sigma1),IF(RAND()&lt;CondGood,_xlfn.LOGNORM.INV(RAND(),MV3,Sigma2),MIN(MaxMultiple,Xm/(1-RAND())^(1/Alpha)))))</f>
        <v>1.5787979030876138</v>
      </c>
      <c r="W206" s="19">
        <f ca="1">IF(RAND()&lt;P_Zero,0,IF(RAND()&lt;CondReturn,_xlfn.LOGNORM.INV(RAND(),MV2,Sigma1),IF(RAND()&lt;CondGood,_xlfn.LOGNORM.INV(RAND(),MV3,Sigma2),MIN(MaxMultiple,Xm/(1-RAND())^(1/Alpha)))))</f>
        <v>0</v>
      </c>
      <c r="X206" s="19">
        <f ca="1">IF(RAND()&lt;P_Zero,0,IF(RAND()&lt;CondReturn,_xlfn.LOGNORM.INV(RAND(),MV2,Sigma1),IF(RAND()&lt;CondGood,_xlfn.LOGNORM.INV(RAND(),MV3,Sigma2),MIN(MaxMultiple,Xm/(1-RAND())^(1/Alpha)))))</f>
        <v>0</v>
      </c>
      <c r="Y206" s="19">
        <f ca="1">IF(RAND()&lt;P_Zero,0,IF(RAND()&lt;CondReturn,_xlfn.LOGNORM.INV(RAND(),MV2,Sigma1),IF(RAND()&lt;CondGood,_xlfn.LOGNORM.INV(RAND(),MV3,Sigma2),MIN(MaxMultiple,Xm/(1-RAND())^(1/Alpha)))))</f>
        <v>0.65157761309350681</v>
      </c>
      <c r="Z206" s="19">
        <f ca="1">IF(RAND()&lt;P_Zero,0,IF(RAND()&lt;CondReturn,_xlfn.LOGNORM.INV(RAND(),MV2,Sigma1),IF(RAND()&lt;CondGood,_xlfn.LOGNORM.INV(RAND(),MV3,Sigma2),MIN(MaxMultiple,Xm/(1-RAND())^(1/Alpha)))))</f>
        <v>0</v>
      </c>
      <c r="AA206" s="19">
        <f ca="1">IF(RAND()&lt;P_Zero,0,IF(RAND()&lt;CondReturn,_xlfn.LOGNORM.INV(RAND(),MV2,Sigma1),IF(RAND()&lt;CondGood,_xlfn.LOGNORM.INV(RAND(),MV3,Sigma2),MIN(MaxMultiple,Xm/(1-RAND())^(1/Alpha)))))</f>
        <v>0.76863556356317742</v>
      </c>
      <c r="AB206" s="19">
        <f t="shared" ca="1" si="24"/>
        <v>0.36240329287648343</v>
      </c>
      <c r="AC206" s="14">
        <f t="shared" ca="1" si="25"/>
        <v>17395358.058071204</v>
      </c>
      <c r="AD206" s="14">
        <f t="shared" ca="1" si="26"/>
        <v>-30604641.941928796</v>
      </c>
      <c r="AE206" s="14">
        <f t="shared" si="27"/>
        <v>55628399.869093813</v>
      </c>
      <c r="AF206" s="14">
        <f t="shared" ca="1" si="28"/>
        <v>0</v>
      </c>
      <c r="AG206" s="14">
        <f t="shared" ca="1" si="29"/>
        <v>0</v>
      </c>
      <c r="AH206" s="14">
        <f t="shared" ca="1" si="30"/>
        <v>17395358.058071204</v>
      </c>
      <c r="AI206" s="19">
        <f t="shared" ca="1" si="31"/>
        <v>0.2899226343011867</v>
      </c>
    </row>
    <row r="207" spans="2:35" x14ac:dyDescent="0.2">
      <c r="B207" s="1">
        <v>202</v>
      </c>
      <c r="C207" s="19">
        <f ca="1">IF(RAND()&lt;P_Zero,0,IF(RAND()&lt;CondReturn,_xlfn.LOGNORM.INV(RAND(),MV2,Sigma1),IF(RAND()&lt;CondGood,_xlfn.LOGNORM.INV(RAND(),MV3,Sigma2),MIN(MaxMultiple,Xm/(1-RAND())^(1/Alpha)))))</f>
        <v>0.55092439822817063</v>
      </c>
      <c r="D207" s="19">
        <f ca="1">IF(RAND()&lt;P_Zero,0,IF(RAND()&lt;CondReturn,_xlfn.LOGNORM.INV(RAND(),MV2,Sigma1),IF(RAND()&lt;CondGood,_xlfn.LOGNORM.INV(RAND(),MV3,Sigma2),MIN(MaxMultiple,Xm/(1-RAND())^(1/Alpha)))))</f>
        <v>0.80678608246737127</v>
      </c>
      <c r="E207" s="19">
        <f ca="1">IF(RAND()&lt;P_Zero,0,IF(RAND()&lt;CondReturn,_xlfn.LOGNORM.INV(RAND(),MV2,Sigma1),IF(RAND()&lt;CondGood,_xlfn.LOGNORM.INV(RAND(),MV3,Sigma2),MIN(MaxMultiple,Xm/(1-RAND())^(1/Alpha)))))</f>
        <v>1.5245891588922613</v>
      </c>
      <c r="F207" s="19">
        <f ca="1">IF(RAND()&lt;P_Zero,0,IF(RAND()&lt;CondReturn,_xlfn.LOGNORM.INV(RAND(),MV2,Sigma1),IF(RAND()&lt;CondGood,_xlfn.LOGNORM.INV(RAND(),MV3,Sigma2),MIN(MaxMultiple,Xm/(1-RAND())^(1/Alpha)))))</f>
        <v>0.78561813573848305</v>
      </c>
      <c r="G207" s="19">
        <f ca="1">IF(RAND()&lt;P_Zero,0,IF(RAND()&lt;CondReturn,_xlfn.LOGNORM.INV(RAND(),MV2,Sigma1),IF(RAND()&lt;CondGood,_xlfn.LOGNORM.INV(RAND(),MV3,Sigma2),MIN(MaxMultiple,Xm/(1-RAND())^(1/Alpha)))))</f>
        <v>2.2311229368283638</v>
      </c>
      <c r="H207" s="19">
        <f ca="1">IF(RAND()&lt;P_Zero,0,IF(RAND()&lt;CondReturn,_xlfn.LOGNORM.INV(RAND(),MV2,Sigma1),IF(RAND()&lt;CondGood,_xlfn.LOGNORM.INV(RAND(),MV3,Sigma2),MIN(MaxMultiple,Xm/(1-RAND())^(1/Alpha)))))</f>
        <v>1.2914051793644143</v>
      </c>
      <c r="I207" s="19">
        <f ca="1">IF(RAND()&lt;P_Zero,0,IF(RAND()&lt;CondReturn,_xlfn.LOGNORM.INV(RAND(),MV2,Sigma1),IF(RAND()&lt;CondGood,_xlfn.LOGNORM.INV(RAND(),MV3,Sigma2),MIN(MaxMultiple,Xm/(1-RAND())^(1/Alpha)))))</f>
        <v>2.1781733749661503</v>
      </c>
      <c r="J207" s="19">
        <f ca="1">IF(RAND()&lt;P_Zero,0,IF(RAND()&lt;CondReturn,_xlfn.LOGNORM.INV(RAND(),MV2,Sigma1),IF(RAND()&lt;CondGood,_xlfn.LOGNORM.INV(RAND(),MV3,Sigma2),MIN(MaxMultiple,Xm/(1-RAND())^(1/Alpha)))))</f>
        <v>1.0356696524335531</v>
      </c>
      <c r="K207" s="19">
        <f ca="1">IF(RAND()&lt;P_Zero,0,IF(RAND()&lt;CondReturn,_xlfn.LOGNORM.INV(RAND(),MV2,Sigma1),IF(RAND()&lt;CondGood,_xlfn.LOGNORM.INV(RAND(),MV3,Sigma2),MIN(MaxMultiple,Xm/(1-RAND())^(1/Alpha)))))</f>
        <v>18.439314837515926</v>
      </c>
      <c r="L207" s="19">
        <f ca="1">IF(RAND()&lt;P_Zero,0,IF(RAND()&lt;CondReturn,_xlfn.LOGNORM.INV(RAND(),MV2,Sigma1),IF(RAND()&lt;CondGood,_xlfn.LOGNORM.INV(RAND(),MV3,Sigma2),MIN(MaxMultiple,Xm/(1-RAND())^(1/Alpha)))))</f>
        <v>1.0835757667785397</v>
      </c>
      <c r="M207" s="19">
        <f ca="1">IF(RAND()&lt;P_Zero,0,IF(RAND()&lt;CondReturn,_xlfn.LOGNORM.INV(RAND(),MV2,Sigma1),IF(RAND()&lt;CondGood,_xlfn.LOGNORM.INV(RAND(),MV3,Sigma2),MIN(MaxMultiple,Xm/(1-RAND())^(1/Alpha)))))</f>
        <v>0.86520158539771541</v>
      </c>
      <c r="N207" s="19">
        <f ca="1">IF(RAND()&lt;P_Zero,0,IF(RAND()&lt;CondReturn,_xlfn.LOGNORM.INV(RAND(),MV2,Sigma1),IF(RAND()&lt;CondGood,_xlfn.LOGNORM.INV(RAND(),MV3,Sigma2),MIN(MaxMultiple,Xm/(1-RAND())^(1/Alpha)))))</f>
        <v>0</v>
      </c>
      <c r="O207" s="19">
        <f ca="1">IF(RAND()&lt;P_Zero,0,IF(RAND()&lt;CondReturn,_xlfn.LOGNORM.INV(RAND(),MV2,Sigma1),IF(RAND()&lt;CondGood,_xlfn.LOGNORM.INV(RAND(),MV3,Sigma2),MIN(MaxMultiple,Xm/(1-RAND())^(1/Alpha)))))</f>
        <v>2.9561396182196145</v>
      </c>
      <c r="P207" s="19">
        <f ca="1">IF(RAND()&lt;P_Zero,0,IF(RAND()&lt;CondReturn,_xlfn.LOGNORM.INV(RAND(),MV2,Sigma1),IF(RAND()&lt;CondGood,_xlfn.LOGNORM.INV(RAND(),MV3,Sigma2),MIN(MaxMultiple,Xm/(1-RAND())^(1/Alpha)))))</f>
        <v>0</v>
      </c>
      <c r="Q207" s="19">
        <f ca="1">IF(RAND()&lt;P_Zero,0,IF(RAND()&lt;CondReturn,_xlfn.LOGNORM.INV(RAND(),MV2,Sigma1),IF(RAND()&lt;CondGood,_xlfn.LOGNORM.INV(RAND(),MV3,Sigma2),MIN(MaxMultiple,Xm/(1-RAND())^(1/Alpha)))))</f>
        <v>1.7220121270159798</v>
      </c>
      <c r="R207" s="19">
        <f ca="1">IF(RAND()&lt;P_Zero,0,IF(RAND()&lt;CondReturn,_xlfn.LOGNORM.INV(RAND(),MV2,Sigma1),IF(RAND()&lt;CondGood,_xlfn.LOGNORM.INV(RAND(),MV3,Sigma2),MIN(MaxMultiple,Xm/(1-RAND())^(1/Alpha)))))</f>
        <v>0</v>
      </c>
      <c r="S207" s="19">
        <f ca="1">IF(RAND()&lt;P_Zero,0,IF(RAND()&lt;CondReturn,_xlfn.LOGNORM.INV(RAND(),MV2,Sigma1),IF(RAND()&lt;CondGood,_xlfn.LOGNORM.INV(RAND(),MV3,Sigma2),MIN(MaxMultiple,Xm/(1-RAND())^(1/Alpha)))))</f>
        <v>1.133079120528709</v>
      </c>
      <c r="T207" s="19">
        <f ca="1">IF(RAND()&lt;P_Zero,0,IF(RAND()&lt;CondReturn,_xlfn.LOGNORM.INV(RAND(),MV2,Sigma1),IF(RAND()&lt;CondGood,_xlfn.LOGNORM.INV(RAND(),MV3,Sigma2),MIN(MaxMultiple,Xm/(1-RAND())^(1/Alpha)))))</f>
        <v>0</v>
      </c>
      <c r="U207" s="19">
        <f ca="1">IF(RAND()&lt;P_Zero,0,IF(RAND()&lt;CondReturn,_xlfn.LOGNORM.INV(RAND(),MV2,Sigma1),IF(RAND()&lt;CondGood,_xlfn.LOGNORM.INV(RAND(),MV3,Sigma2),MIN(MaxMultiple,Xm/(1-RAND())^(1/Alpha)))))</f>
        <v>0</v>
      </c>
      <c r="V207" s="19">
        <f ca="1">IF(RAND()&lt;P_Zero,0,IF(RAND()&lt;CondReturn,_xlfn.LOGNORM.INV(RAND(),MV2,Sigma1),IF(RAND()&lt;CondGood,_xlfn.LOGNORM.INV(RAND(),MV3,Sigma2),MIN(MaxMultiple,Xm/(1-RAND())^(1/Alpha)))))</f>
        <v>0</v>
      </c>
      <c r="W207" s="19">
        <f ca="1">IF(RAND()&lt;P_Zero,0,IF(RAND()&lt;CondReturn,_xlfn.LOGNORM.INV(RAND(),MV2,Sigma1),IF(RAND()&lt;CondGood,_xlfn.LOGNORM.INV(RAND(),MV3,Sigma2),MIN(MaxMultiple,Xm/(1-RAND())^(1/Alpha)))))</f>
        <v>0</v>
      </c>
      <c r="X207" s="19">
        <f ca="1">IF(RAND()&lt;P_Zero,0,IF(RAND()&lt;CondReturn,_xlfn.LOGNORM.INV(RAND(),MV2,Sigma1),IF(RAND()&lt;CondGood,_xlfn.LOGNORM.INV(RAND(),MV3,Sigma2),MIN(MaxMultiple,Xm/(1-RAND())^(1/Alpha)))))</f>
        <v>0.81698534176746274</v>
      </c>
      <c r="Y207" s="19">
        <f ca="1">IF(RAND()&lt;P_Zero,0,IF(RAND()&lt;CondReturn,_xlfn.LOGNORM.INV(RAND(),MV2,Sigma1),IF(RAND()&lt;CondGood,_xlfn.LOGNORM.INV(RAND(),MV3,Sigma2),MIN(MaxMultiple,Xm/(1-RAND())^(1/Alpha)))))</f>
        <v>0</v>
      </c>
      <c r="Z207" s="19">
        <f ca="1">IF(RAND()&lt;P_Zero,0,IF(RAND()&lt;CondReturn,_xlfn.LOGNORM.INV(RAND(),MV2,Sigma1),IF(RAND()&lt;CondGood,_xlfn.LOGNORM.INV(RAND(),MV3,Sigma2),MIN(MaxMultiple,Xm/(1-RAND())^(1/Alpha)))))</f>
        <v>0.82181696705648166</v>
      </c>
      <c r="AA207" s="19">
        <f ca="1">IF(RAND()&lt;P_Zero,0,IF(RAND()&lt;CondReturn,_xlfn.LOGNORM.INV(RAND(),MV2,Sigma1),IF(RAND()&lt;CondGood,_xlfn.LOGNORM.INV(RAND(),MV3,Sigma2),MIN(MaxMultiple,Xm/(1-RAND())^(1/Alpha)))))</f>
        <v>0.71197072994404642</v>
      </c>
      <c r="AB207" s="19">
        <f t="shared" ca="1" si="24"/>
        <v>1.55817540052573</v>
      </c>
      <c r="AC207" s="14">
        <f t="shared" ca="1" si="25"/>
        <v>74792419.225235045</v>
      </c>
      <c r="AD207" s="14">
        <f t="shared" ca="1" si="26"/>
        <v>26792419.225235045</v>
      </c>
      <c r="AE207" s="14">
        <f t="shared" si="27"/>
        <v>55628399.869093813</v>
      </c>
      <c r="AF207" s="14">
        <f t="shared" ca="1" si="28"/>
        <v>0</v>
      </c>
      <c r="AG207" s="14">
        <f t="shared" ca="1" si="29"/>
        <v>0</v>
      </c>
      <c r="AH207" s="14">
        <f t="shared" ca="1" si="30"/>
        <v>74792419.225235045</v>
      </c>
      <c r="AI207" s="19">
        <f t="shared" ca="1" si="31"/>
        <v>1.246540320420584</v>
      </c>
    </row>
    <row r="208" spans="2:35" x14ac:dyDescent="0.2">
      <c r="B208" s="1">
        <v>203</v>
      </c>
      <c r="C208" s="19">
        <f ca="1">IF(RAND()&lt;P_Zero,0,IF(RAND()&lt;CondReturn,_xlfn.LOGNORM.INV(RAND(),MV2,Sigma1),IF(RAND()&lt;CondGood,_xlfn.LOGNORM.INV(RAND(),MV3,Sigma2),MIN(MaxMultiple,Xm/(1-RAND())^(1/Alpha)))))</f>
        <v>0.97429094806660632</v>
      </c>
      <c r="D208" s="19">
        <f ca="1">IF(RAND()&lt;P_Zero,0,IF(RAND()&lt;CondReturn,_xlfn.LOGNORM.INV(RAND(),MV2,Sigma1),IF(RAND()&lt;CondGood,_xlfn.LOGNORM.INV(RAND(),MV3,Sigma2),MIN(MaxMultiple,Xm/(1-RAND())^(1/Alpha)))))</f>
        <v>0</v>
      </c>
      <c r="E208" s="19">
        <f ca="1">IF(RAND()&lt;P_Zero,0,IF(RAND()&lt;CondReturn,_xlfn.LOGNORM.INV(RAND(),MV2,Sigma1),IF(RAND()&lt;CondGood,_xlfn.LOGNORM.INV(RAND(),MV3,Sigma2),MIN(MaxMultiple,Xm/(1-RAND())^(1/Alpha)))))</f>
        <v>1.5043367031901118</v>
      </c>
      <c r="F208" s="19">
        <f ca="1">IF(RAND()&lt;P_Zero,0,IF(RAND()&lt;CondReturn,_xlfn.LOGNORM.INV(RAND(),MV2,Sigma1),IF(RAND()&lt;CondGood,_xlfn.LOGNORM.INV(RAND(),MV3,Sigma2),MIN(MaxMultiple,Xm/(1-RAND())^(1/Alpha)))))</f>
        <v>0</v>
      </c>
      <c r="G208" s="19">
        <f ca="1">IF(RAND()&lt;P_Zero,0,IF(RAND()&lt;CondReturn,_xlfn.LOGNORM.INV(RAND(),MV2,Sigma1),IF(RAND()&lt;CondGood,_xlfn.LOGNORM.INV(RAND(),MV3,Sigma2),MIN(MaxMultiple,Xm/(1-RAND())^(1/Alpha)))))</f>
        <v>1.8574141957815216</v>
      </c>
      <c r="H208" s="19">
        <f ca="1">IF(RAND()&lt;P_Zero,0,IF(RAND()&lt;CondReturn,_xlfn.LOGNORM.INV(RAND(),MV2,Sigma1),IF(RAND()&lt;CondGood,_xlfn.LOGNORM.INV(RAND(),MV3,Sigma2),MIN(MaxMultiple,Xm/(1-RAND())^(1/Alpha)))))</f>
        <v>1.0675574172627726</v>
      </c>
      <c r="I208" s="19">
        <f ca="1">IF(RAND()&lt;P_Zero,0,IF(RAND()&lt;CondReturn,_xlfn.LOGNORM.INV(RAND(),MV2,Sigma1),IF(RAND()&lt;CondGood,_xlfn.LOGNORM.INV(RAND(),MV3,Sigma2),MIN(MaxMultiple,Xm/(1-RAND())^(1/Alpha)))))</f>
        <v>0</v>
      </c>
      <c r="J208" s="19">
        <f ca="1">IF(RAND()&lt;P_Zero,0,IF(RAND()&lt;CondReturn,_xlfn.LOGNORM.INV(RAND(),MV2,Sigma1),IF(RAND()&lt;CondGood,_xlfn.LOGNORM.INV(RAND(),MV3,Sigma2),MIN(MaxMultiple,Xm/(1-RAND())^(1/Alpha)))))</f>
        <v>0.6057543167535705</v>
      </c>
      <c r="K208" s="19">
        <f ca="1">IF(RAND()&lt;P_Zero,0,IF(RAND()&lt;CondReturn,_xlfn.LOGNORM.INV(RAND(),MV2,Sigma1),IF(RAND()&lt;CondGood,_xlfn.LOGNORM.INV(RAND(),MV3,Sigma2),MIN(MaxMultiple,Xm/(1-RAND())^(1/Alpha)))))</f>
        <v>0</v>
      </c>
      <c r="L208" s="19">
        <f ca="1">IF(RAND()&lt;P_Zero,0,IF(RAND()&lt;CondReturn,_xlfn.LOGNORM.INV(RAND(),MV2,Sigma1),IF(RAND()&lt;CondGood,_xlfn.LOGNORM.INV(RAND(),MV3,Sigma2),MIN(MaxMultiple,Xm/(1-RAND())^(1/Alpha)))))</f>
        <v>10.179700204740209</v>
      </c>
      <c r="M208" s="19">
        <f ca="1">IF(RAND()&lt;P_Zero,0,IF(RAND()&lt;CondReturn,_xlfn.LOGNORM.INV(RAND(),MV2,Sigma1),IF(RAND()&lt;CondGood,_xlfn.LOGNORM.INV(RAND(),MV3,Sigma2),MIN(MaxMultiple,Xm/(1-RAND())^(1/Alpha)))))</f>
        <v>0</v>
      </c>
      <c r="N208" s="19">
        <f ca="1">IF(RAND()&lt;P_Zero,0,IF(RAND()&lt;CondReturn,_xlfn.LOGNORM.INV(RAND(),MV2,Sigma1),IF(RAND()&lt;CondGood,_xlfn.LOGNORM.INV(RAND(),MV3,Sigma2),MIN(MaxMultiple,Xm/(1-RAND())^(1/Alpha)))))</f>
        <v>1.6908207703729832</v>
      </c>
      <c r="O208" s="19">
        <f ca="1">IF(RAND()&lt;P_Zero,0,IF(RAND()&lt;CondReturn,_xlfn.LOGNORM.INV(RAND(),MV2,Sigma1),IF(RAND()&lt;CondGood,_xlfn.LOGNORM.INV(RAND(),MV3,Sigma2),MIN(MaxMultiple,Xm/(1-RAND())^(1/Alpha)))))</f>
        <v>0</v>
      </c>
      <c r="P208" s="19">
        <f ca="1">IF(RAND()&lt;P_Zero,0,IF(RAND()&lt;CondReturn,_xlfn.LOGNORM.INV(RAND(),MV2,Sigma1),IF(RAND()&lt;CondGood,_xlfn.LOGNORM.INV(RAND(),MV3,Sigma2),MIN(MaxMultiple,Xm/(1-RAND())^(1/Alpha)))))</f>
        <v>16.480446257555233</v>
      </c>
      <c r="Q208" s="19">
        <f ca="1">IF(RAND()&lt;P_Zero,0,IF(RAND()&lt;CondReturn,_xlfn.LOGNORM.INV(RAND(),MV2,Sigma1),IF(RAND()&lt;CondGood,_xlfn.LOGNORM.INV(RAND(),MV3,Sigma2),MIN(MaxMultiple,Xm/(1-RAND())^(1/Alpha)))))</f>
        <v>14.626551327528055</v>
      </c>
      <c r="R208" s="19">
        <f ca="1">IF(RAND()&lt;P_Zero,0,IF(RAND()&lt;CondReturn,_xlfn.LOGNORM.INV(RAND(),MV2,Sigma1),IF(RAND()&lt;CondGood,_xlfn.LOGNORM.INV(RAND(),MV3,Sigma2),MIN(MaxMultiple,Xm/(1-RAND())^(1/Alpha)))))</f>
        <v>0</v>
      </c>
      <c r="S208" s="19">
        <f ca="1">IF(RAND()&lt;P_Zero,0,IF(RAND()&lt;CondReturn,_xlfn.LOGNORM.INV(RAND(),MV2,Sigma1),IF(RAND()&lt;CondGood,_xlfn.LOGNORM.INV(RAND(),MV3,Sigma2),MIN(MaxMultiple,Xm/(1-RAND())^(1/Alpha)))))</f>
        <v>0</v>
      </c>
      <c r="T208" s="19">
        <f ca="1">IF(RAND()&lt;P_Zero,0,IF(RAND()&lt;CondReturn,_xlfn.LOGNORM.INV(RAND(),MV2,Sigma1),IF(RAND()&lt;CondGood,_xlfn.LOGNORM.INV(RAND(),MV3,Sigma2),MIN(MaxMultiple,Xm/(1-RAND())^(1/Alpha)))))</f>
        <v>0</v>
      </c>
      <c r="U208" s="19">
        <f ca="1">IF(RAND()&lt;P_Zero,0,IF(RAND()&lt;CondReturn,_xlfn.LOGNORM.INV(RAND(),MV2,Sigma1),IF(RAND()&lt;CondGood,_xlfn.LOGNORM.INV(RAND(),MV3,Sigma2),MIN(MaxMultiple,Xm/(1-RAND())^(1/Alpha)))))</f>
        <v>0</v>
      </c>
      <c r="V208" s="19">
        <f ca="1">IF(RAND()&lt;P_Zero,0,IF(RAND()&lt;CondReturn,_xlfn.LOGNORM.INV(RAND(),MV2,Sigma1),IF(RAND()&lt;CondGood,_xlfn.LOGNORM.INV(RAND(),MV3,Sigma2),MIN(MaxMultiple,Xm/(1-RAND())^(1/Alpha)))))</f>
        <v>1.0341530029256456</v>
      </c>
      <c r="W208" s="19">
        <f ca="1">IF(RAND()&lt;P_Zero,0,IF(RAND()&lt;CondReturn,_xlfn.LOGNORM.INV(RAND(),MV2,Sigma1),IF(RAND()&lt;CondGood,_xlfn.LOGNORM.INV(RAND(),MV3,Sigma2),MIN(MaxMultiple,Xm/(1-RAND())^(1/Alpha)))))</f>
        <v>0.79909000206809644</v>
      </c>
      <c r="X208" s="19">
        <f ca="1">IF(RAND()&lt;P_Zero,0,IF(RAND()&lt;CondReturn,_xlfn.LOGNORM.INV(RAND(),MV2,Sigma1),IF(RAND()&lt;CondGood,_xlfn.LOGNORM.INV(RAND(),MV3,Sigma2),MIN(MaxMultiple,Xm/(1-RAND())^(1/Alpha)))))</f>
        <v>1.7803239418709471</v>
      </c>
      <c r="Y208" s="19">
        <f ca="1">IF(RAND()&lt;P_Zero,0,IF(RAND()&lt;CondReturn,_xlfn.LOGNORM.INV(RAND(),MV2,Sigma1),IF(RAND()&lt;CondGood,_xlfn.LOGNORM.INV(RAND(),MV3,Sigma2),MIN(MaxMultiple,Xm/(1-RAND())^(1/Alpha)))))</f>
        <v>0</v>
      </c>
      <c r="Z208" s="19">
        <f ca="1">IF(RAND()&lt;P_Zero,0,IF(RAND()&lt;CondReturn,_xlfn.LOGNORM.INV(RAND(),MV2,Sigma1),IF(RAND()&lt;CondGood,_xlfn.LOGNORM.INV(RAND(),MV3,Sigma2),MIN(MaxMultiple,Xm/(1-RAND())^(1/Alpha)))))</f>
        <v>0</v>
      </c>
      <c r="AA208" s="19">
        <f ca="1">IF(RAND()&lt;P_Zero,0,IF(RAND()&lt;CondReturn,_xlfn.LOGNORM.INV(RAND(),MV2,Sigma1),IF(RAND()&lt;CondGood,_xlfn.LOGNORM.INV(RAND(),MV3,Sigma2),MIN(MaxMultiple,Xm/(1-RAND())^(1/Alpha)))))</f>
        <v>1.9946137394070218</v>
      </c>
      <c r="AB208" s="19">
        <f t="shared" ca="1" si="24"/>
        <v>2.1838021131009113</v>
      </c>
      <c r="AC208" s="14">
        <f t="shared" ca="1" si="25"/>
        <v>104822501.42884374</v>
      </c>
      <c r="AD208" s="14">
        <f t="shared" ca="1" si="26"/>
        <v>56822501.428843737</v>
      </c>
      <c r="AE208" s="14">
        <f t="shared" si="27"/>
        <v>55628399.869093813</v>
      </c>
      <c r="AF208" s="14">
        <f t="shared" ca="1" si="28"/>
        <v>1194101.5597499236</v>
      </c>
      <c r="AG208" s="14">
        <f t="shared" ca="1" si="29"/>
        <v>238820.31194998475</v>
      </c>
      <c r="AH208" s="14">
        <f t="shared" ca="1" si="30"/>
        <v>104583681.11689375</v>
      </c>
      <c r="AI208" s="19">
        <f t="shared" ca="1" si="31"/>
        <v>1.7430613519482292</v>
      </c>
    </row>
    <row r="209" spans="2:35" x14ac:dyDescent="0.2">
      <c r="B209" s="1">
        <v>204</v>
      </c>
      <c r="C209" s="19">
        <f ca="1">IF(RAND()&lt;P_Zero,0,IF(RAND()&lt;CondReturn,_xlfn.LOGNORM.INV(RAND(),MV2,Sigma1),IF(RAND()&lt;CondGood,_xlfn.LOGNORM.INV(RAND(),MV3,Sigma2),MIN(MaxMultiple,Xm/(1-RAND())^(1/Alpha)))))</f>
        <v>1.535901824142571</v>
      </c>
      <c r="D209" s="19">
        <f ca="1">IF(RAND()&lt;P_Zero,0,IF(RAND()&lt;CondReturn,_xlfn.LOGNORM.INV(RAND(),MV2,Sigma1),IF(RAND()&lt;CondGood,_xlfn.LOGNORM.INV(RAND(),MV3,Sigma2),MIN(MaxMultiple,Xm/(1-RAND())^(1/Alpha)))))</f>
        <v>0</v>
      </c>
      <c r="E209" s="19">
        <f ca="1">IF(RAND()&lt;P_Zero,0,IF(RAND()&lt;CondReturn,_xlfn.LOGNORM.INV(RAND(),MV2,Sigma1),IF(RAND()&lt;CondGood,_xlfn.LOGNORM.INV(RAND(),MV3,Sigma2),MIN(MaxMultiple,Xm/(1-RAND())^(1/Alpha)))))</f>
        <v>3.7650047416833576</v>
      </c>
      <c r="F209" s="19">
        <f ca="1">IF(RAND()&lt;P_Zero,0,IF(RAND()&lt;CondReturn,_xlfn.LOGNORM.INV(RAND(),MV2,Sigma1),IF(RAND()&lt;CondGood,_xlfn.LOGNORM.INV(RAND(),MV3,Sigma2),MIN(MaxMultiple,Xm/(1-RAND())^(1/Alpha)))))</f>
        <v>0</v>
      </c>
      <c r="G209" s="19">
        <f ca="1">IF(RAND()&lt;P_Zero,0,IF(RAND()&lt;CondReturn,_xlfn.LOGNORM.INV(RAND(),MV2,Sigma1),IF(RAND()&lt;CondGood,_xlfn.LOGNORM.INV(RAND(),MV3,Sigma2),MIN(MaxMultiple,Xm/(1-RAND())^(1/Alpha)))))</f>
        <v>1.0353434878011154</v>
      </c>
      <c r="H209" s="19">
        <f ca="1">IF(RAND()&lt;P_Zero,0,IF(RAND()&lt;CondReturn,_xlfn.LOGNORM.INV(RAND(),MV2,Sigma1),IF(RAND()&lt;CondGood,_xlfn.LOGNORM.INV(RAND(),MV3,Sigma2),MIN(MaxMultiple,Xm/(1-RAND())^(1/Alpha)))))</f>
        <v>0</v>
      </c>
      <c r="I209" s="19">
        <f ca="1">IF(RAND()&lt;P_Zero,0,IF(RAND()&lt;CondReturn,_xlfn.LOGNORM.INV(RAND(),MV2,Sigma1),IF(RAND()&lt;CondGood,_xlfn.LOGNORM.INV(RAND(),MV3,Sigma2),MIN(MaxMultiple,Xm/(1-RAND())^(1/Alpha)))))</f>
        <v>0.6829603113085192</v>
      </c>
      <c r="J209" s="19">
        <f ca="1">IF(RAND()&lt;P_Zero,0,IF(RAND()&lt;CondReturn,_xlfn.LOGNORM.INV(RAND(),MV2,Sigma1),IF(RAND()&lt;CondGood,_xlfn.LOGNORM.INV(RAND(),MV3,Sigma2),MIN(MaxMultiple,Xm/(1-RAND())^(1/Alpha)))))</f>
        <v>0</v>
      </c>
      <c r="K209" s="19">
        <f ca="1">IF(RAND()&lt;P_Zero,0,IF(RAND()&lt;CondReturn,_xlfn.LOGNORM.INV(RAND(),MV2,Sigma1),IF(RAND()&lt;CondGood,_xlfn.LOGNORM.INV(RAND(),MV3,Sigma2),MIN(MaxMultiple,Xm/(1-RAND())^(1/Alpha)))))</f>
        <v>0</v>
      </c>
      <c r="L209" s="19">
        <f ca="1">IF(RAND()&lt;P_Zero,0,IF(RAND()&lt;CondReturn,_xlfn.LOGNORM.INV(RAND(),MV2,Sigma1),IF(RAND()&lt;CondGood,_xlfn.LOGNORM.INV(RAND(),MV3,Sigma2),MIN(MaxMultiple,Xm/(1-RAND())^(1/Alpha)))))</f>
        <v>0.32545935342810844</v>
      </c>
      <c r="M209" s="19">
        <f ca="1">IF(RAND()&lt;P_Zero,0,IF(RAND()&lt;CondReturn,_xlfn.LOGNORM.INV(RAND(),MV2,Sigma1),IF(RAND()&lt;CondGood,_xlfn.LOGNORM.INV(RAND(),MV3,Sigma2),MIN(MaxMultiple,Xm/(1-RAND())^(1/Alpha)))))</f>
        <v>0</v>
      </c>
      <c r="N209" s="19">
        <f ca="1">IF(RAND()&lt;P_Zero,0,IF(RAND()&lt;CondReturn,_xlfn.LOGNORM.INV(RAND(),MV2,Sigma1),IF(RAND()&lt;CondGood,_xlfn.LOGNORM.INV(RAND(),MV3,Sigma2),MIN(MaxMultiple,Xm/(1-RAND())^(1/Alpha)))))</f>
        <v>0.46266721438785002</v>
      </c>
      <c r="O209" s="19">
        <f ca="1">IF(RAND()&lt;P_Zero,0,IF(RAND()&lt;CondReturn,_xlfn.LOGNORM.INV(RAND(),MV2,Sigma1),IF(RAND()&lt;CondGood,_xlfn.LOGNORM.INV(RAND(),MV3,Sigma2),MIN(MaxMultiple,Xm/(1-RAND())^(1/Alpha)))))</f>
        <v>2.5971092423253088</v>
      </c>
      <c r="P209" s="19">
        <f ca="1">IF(RAND()&lt;P_Zero,0,IF(RAND()&lt;CondReturn,_xlfn.LOGNORM.INV(RAND(),MV2,Sigma1),IF(RAND()&lt;CondGood,_xlfn.LOGNORM.INV(RAND(),MV3,Sigma2),MIN(MaxMultiple,Xm/(1-RAND())^(1/Alpha)))))</f>
        <v>0</v>
      </c>
      <c r="Q209" s="19">
        <f ca="1">IF(RAND()&lt;P_Zero,0,IF(RAND()&lt;CondReturn,_xlfn.LOGNORM.INV(RAND(),MV2,Sigma1),IF(RAND()&lt;CondGood,_xlfn.LOGNORM.INV(RAND(),MV3,Sigma2),MIN(MaxMultiple,Xm/(1-RAND())^(1/Alpha)))))</f>
        <v>0</v>
      </c>
      <c r="R209" s="19">
        <f ca="1">IF(RAND()&lt;P_Zero,0,IF(RAND()&lt;CondReturn,_xlfn.LOGNORM.INV(RAND(),MV2,Sigma1),IF(RAND()&lt;CondGood,_xlfn.LOGNORM.INV(RAND(),MV3,Sigma2),MIN(MaxMultiple,Xm/(1-RAND())^(1/Alpha)))))</f>
        <v>0.53510584273867678</v>
      </c>
      <c r="S209" s="19">
        <f ca="1">IF(RAND()&lt;P_Zero,0,IF(RAND()&lt;CondReturn,_xlfn.LOGNORM.INV(RAND(),MV2,Sigma1),IF(RAND()&lt;CondGood,_xlfn.LOGNORM.INV(RAND(),MV3,Sigma2),MIN(MaxMultiple,Xm/(1-RAND())^(1/Alpha)))))</f>
        <v>0.68621110211864422</v>
      </c>
      <c r="T209" s="19">
        <f ca="1">IF(RAND()&lt;P_Zero,0,IF(RAND()&lt;CondReturn,_xlfn.LOGNORM.INV(RAND(),MV2,Sigma1),IF(RAND()&lt;CondGood,_xlfn.LOGNORM.INV(RAND(),MV3,Sigma2),MIN(MaxMultiple,Xm/(1-RAND())^(1/Alpha)))))</f>
        <v>2.0969299834397295</v>
      </c>
      <c r="U209" s="19">
        <f ca="1">IF(RAND()&lt;P_Zero,0,IF(RAND()&lt;CondReturn,_xlfn.LOGNORM.INV(RAND(),MV2,Sigma1),IF(RAND()&lt;CondGood,_xlfn.LOGNORM.INV(RAND(),MV3,Sigma2),MIN(MaxMultiple,Xm/(1-RAND())^(1/Alpha)))))</f>
        <v>0</v>
      </c>
      <c r="V209" s="19">
        <f ca="1">IF(RAND()&lt;P_Zero,0,IF(RAND()&lt;CondReturn,_xlfn.LOGNORM.INV(RAND(),MV2,Sigma1),IF(RAND()&lt;CondGood,_xlfn.LOGNORM.INV(RAND(),MV3,Sigma2),MIN(MaxMultiple,Xm/(1-RAND())^(1/Alpha)))))</f>
        <v>1.0910265125816032</v>
      </c>
      <c r="W209" s="19">
        <f ca="1">IF(RAND()&lt;P_Zero,0,IF(RAND()&lt;CondReturn,_xlfn.LOGNORM.INV(RAND(),MV2,Sigma1),IF(RAND()&lt;CondGood,_xlfn.LOGNORM.INV(RAND(),MV3,Sigma2),MIN(MaxMultiple,Xm/(1-RAND())^(1/Alpha)))))</f>
        <v>0.42381785140546219</v>
      </c>
      <c r="X209" s="19">
        <f ca="1">IF(RAND()&lt;P_Zero,0,IF(RAND()&lt;CondReturn,_xlfn.LOGNORM.INV(RAND(),MV2,Sigma1),IF(RAND()&lt;CondGood,_xlfn.LOGNORM.INV(RAND(),MV3,Sigma2),MIN(MaxMultiple,Xm/(1-RAND())^(1/Alpha)))))</f>
        <v>0</v>
      </c>
      <c r="Y209" s="19">
        <f ca="1">IF(RAND()&lt;P_Zero,0,IF(RAND()&lt;CondReturn,_xlfn.LOGNORM.INV(RAND(),MV2,Sigma1),IF(RAND()&lt;CondGood,_xlfn.LOGNORM.INV(RAND(),MV3,Sigma2),MIN(MaxMultiple,Xm/(1-RAND())^(1/Alpha)))))</f>
        <v>0</v>
      </c>
      <c r="Z209" s="19">
        <f ca="1">IF(RAND()&lt;P_Zero,0,IF(RAND()&lt;CondReturn,_xlfn.LOGNORM.INV(RAND(),MV2,Sigma1),IF(RAND()&lt;CondGood,_xlfn.LOGNORM.INV(RAND(),MV3,Sigma2),MIN(MaxMultiple,Xm/(1-RAND())^(1/Alpha)))))</f>
        <v>0</v>
      </c>
      <c r="AA209" s="19">
        <f ca="1">IF(RAND()&lt;P_Zero,0,IF(RAND()&lt;CondReturn,_xlfn.LOGNORM.INV(RAND(),MV2,Sigma1),IF(RAND()&lt;CondGood,_xlfn.LOGNORM.INV(RAND(),MV3,Sigma2),MIN(MaxMultiple,Xm/(1-RAND())^(1/Alpha)))))</f>
        <v>0</v>
      </c>
      <c r="AB209" s="19">
        <f t="shared" ca="1" si="24"/>
        <v>0.60950149869443782</v>
      </c>
      <c r="AC209" s="14">
        <f t="shared" ca="1" si="25"/>
        <v>29256071.937333014</v>
      </c>
      <c r="AD209" s="14">
        <f t="shared" ca="1" si="26"/>
        <v>-18743928.062666986</v>
      </c>
      <c r="AE209" s="14">
        <f t="shared" si="27"/>
        <v>55628399.869093813</v>
      </c>
      <c r="AF209" s="14">
        <f t="shared" ca="1" si="28"/>
        <v>0</v>
      </c>
      <c r="AG209" s="14">
        <f t="shared" ca="1" si="29"/>
        <v>0</v>
      </c>
      <c r="AH209" s="14">
        <f t="shared" ca="1" si="30"/>
        <v>29256071.937333014</v>
      </c>
      <c r="AI209" s="19">
        <f t="shared" ca="1" si="31"/>
        <v>0.48760119895555021</v>
      </c>
    </row>
    <row r="210" spans="2:35" x14ac:dyDescent="0.2">
      <c r="B210" s="1">
        <v>205</v>
      </c>
      <c r="C210" s="19">
        <f ca="1">IF(RAND()&lt;P_Zero,0,IF(RAND()&lt;CondReturn,_xlfn.LOGNORM.INV(RAND(),MV2,Sigma1),IF(RAND()&lt;CondGood,_xlfn.LOGNORM.INV(RAND(),MV3,Sigma2),MIN(MaxMultiple,Xm/(1-RAND())^(1/Alpha)))))</f>
        <v>1.281020621535232</v>
      </c>
      <c r="D210" s="19">
        <f ca="1">IF(RAND()&lt;P_Zero,0,IF(RAND()&lt;CondReturn,_xlfn.LOGNORM.INV(RAND(),MV2,Sigma1),IF(RAND()&lt;CondGood,_xlfn.LOGNORM.INV(RAND(),MV3,Sigma2),MIN(MaxMultiple,Xm/(1-RAND())^(1/Alpha)))))</f>
        <v>1.0631459856260508</v>
      </c>
      <c r="E210" s="19">
        <f ca="1">IF(RAND()&lt;P_Zero,0,IF(RAND()&lt;CondReturn,_xlfn.LOGNORM.INV(RAND(),MV2,Sigma1),IF(RAND()&lt;CondGood,_xlfn.LOGNORM.INV(RAND(),MV3,Sigma2),MIN(MaxMultiple,Xm/(1-RAND())^(1/Alpha)))))</f>
        <v>0</v>
      </c>
      <c r="F210" s="19">
        <f ca="1">IF(RAND()&lt;P_Zero,0,IF(RAND()&lt;CondReturn,_xlfn.LOGNORM.INV(RAND(),MV2,Sigma1),IF(RAND()&lt;CondGood,_xlfn.LOGNORM.INV(RAND(),MV3,Sigma2),MIN(MaxMultiple,Xm/(1-RAND())^(1/Alpha)))))</f>
        <v>0.84769629441894234</v>
      </c>
      <c r="G210" s="19">
        <f ca="1">IF(RAND()&lt;P_Zero,0,IF(RAND()&lt;CondReturn,_xlfn.LOGNORM.INV(RAND(),MV2,Sigma1),IF(RAND()&lt;CondGood,_xlfn.LOGNORM.INV(RAND(),MV3,Sigma2),MIN(MaxMultiple,Xm/(1-RAND())^(1/Alpha)))))</f>
        <v>1.237837563684089</v>
      </c>
      <c r="H210" s="19">
        <f ca="1">IF(RAND()&lt;P_Zero,0,IF(RAND()&lt;CondReturn,_xlfn.LOGNORM.INV(RAND(),MV2,Sigma1),IF(RAND()&lt;CondGood,_xlfn.LOGNORM.INV(RAND(),MV3,Sigma2),MIN(MaxMultiple,Xm/(1-RAND())^(1/Alpha)))))</f>
        <v>0.99683752330460562</v>
      </c>
      <c r="I210" s="19">
        <f ca="1">IF(RAND()&lt;P_Zero,0,IF(RAND()&lt;CondReturn,_xlfn.LOGNORM.INV(RAND(),MV2,Sigma1),IF(RAND()&lt;CondGood,_xlfn.LOGNORM.INV(RAND(),MV3,Sigma2),MIN(MaxMultiple,Xm/(1-RAND())^(1/Alpha)))))</f>
        <v>1.7726286659005099</v>
      </c>
      <c r="J210" s="19">
        <f ca="1">IF(RAND()&lt;P_Zero,0,IF(RAND()&lt;CondReturn,_xlfn.LOGNORM.INV(RAND(),MV2,Sigma1),IF(RAND()&lt;CondGood,_xlfn.LOGNORM.INV(RAND(),MV3,Sigma2),MIN(MaxMultiple,Xm/(1-RAND())^(1/Alpha)))))</f>
        <v>0</v>
      </c>
      <c r="K210" s="19">
        <f ca="1">IF(RAND()&lt;P_Zero,0,IF(RAND()&lt;CondReturn,_xlfn.LOGNORM.INV(RAND(),MV2,Sigma1),IF(RAND()&lt;CondGood,_xlfn.LOGNORM.INV(RAND(),MV3,Sigma2),MIN(MaxMultiple,Xm/(1-RAND())^(1/Alpha)))))</f>
        <v>0</v>
      </c>
      <c r="L210" s="19">
        <f ca="1">IF(RAND()&lt;P_Zero,0,IF(RAND()&lt;CondReturn,_xlfn.LOGNORM.INV(RAND(),MV2,Sigma1),IF(RAND()&lt;CondGood,_xlfn.LOGNORM.INV(RAND(),MV3,Sigma2),MIN(MaxMultiple,Xm/(1-RAND())^(1/Alpha)))))</f>
        <v>0.70680390347629229</v>
      </c>
      <c r="M210" s="19">
        <f ca="1">IF(RAND()&lt;P_Zero,0,IF(RAND()&lt;CondReturn,_xlfn.LOGNORM.INV(RAND(),MV2,Sigma1),IF(RAND()&lt;CondGood,_xlfn.LOGNORM.INV(RAND(),MV3,Sigma2),MIN(MaxMultiple,Xm/(1-RAND())^(1/Alpha)))))</f>
        <v>1.1035069854347788</v>
      </c>
      <c r="N210" s="19">
        <f ca="1">IF(RAND()&lt;P_Zero,0,IF(RAND()&lt;CondReturn,_xlfn.LOGNORM.INV(RAND(),MV2,Sigma1),IF(RAND()&lt;CondGood,_xlfn.LOGNORM.INV(RAND(),MV3,Sigma2),MIN(MaxMultiple,Xm/(1-RAND())^(1/Alpha)))))</f>
        <v>0</v>
      </c>
      <c r="O210" s="19">
        <f ca="1">IF(RAND()&lt;P_Zero,0,IF(RAND()&lt;CondReturn,_xlfn.LOGNORM.INV(RAND(),MV2,Sigma1),IF(RAND()&lt;CondGood,_xlfn.LOGNORM.INV(RAND(),MV3,Sigma2),MIN(MaxMultiple,Xm/(1-RAND())^(1/Alpha)))))</f>
        <v>0</v>
      </c>
      <c r="P210" s="19">
        <f ca="1">IF(RAND()&lt;P_Zero,0,IF(RAND()&lt;CondReturn,_xlfn.LOGNORM.INV(RAND(),MV2,Sigma1),IF(RAND()&lt;CondGood,_xlfn.LOGNORM.INV(RAND(),MV3,Sigma2),MIN(MaxMultiple,Xm/(1-RAND())^(1/Alpha)))))</f>
        <v>0</v>
      </c>
      <c r="Q210" s="19">
        <f ca="1">IF(RAND()&lt;P_Zero,0,IF(RAND()&lt;CondReturn,_xlfn.LOGNORM.INV(RAND(),MV2,Sigma1),IF(RAND()&lt;CondGood,_xlfn.LOGNORM.INV(RAND(),MV3,Sigma2),MIN(MaxMultiple,Xm/(1-RAND())^(1/Alpha)))))</f>
        <v>0.95931352143674875</v>
      </c>
      <c r="R210" s="19">
        <f ca="1">IF(RAND()&lt;P_Zero,0,IF(RAND()&lt;CondReturn,_xlfn.LOGNORM.INV(RAND(),MV2,Sigma1),IF(RAND()&lt;CondGood,_xlfn.LOGNORM.INV(RAND(),MV3,Sigma2),MIN(MaxMultiple,Xm/(1-RAND())^(1/Alpha)))))</f>
        <v>2.0530406613486396</v>
      </c>
      <c r="S210" s="19">
        <f ca="1">IF(RAND()&lt;P_Zero,0,IF(RAND()&lt;CondReturn,_xlfn.LOGNORM.INV(RAND(),MV2,Sigma1),IF(RAND()&lt;CondGood,_xlfn.LOGNORM.INV(RAND(),MV3,Sigma2),MIN(MaxMultiple,Xm/(1-RAND())^(1/Alpha)))))</f>
        <v>0</v>
      </c>
      <c r="T210" s="19">
        <f ca="1">IF(RAND()&lt;P_Zero,0,IF(RAND()&lt;CondReturn,_xlfn.LOGNORM.INV(RAND(),MV2,Sigma1),IF(RAND()&lt;CondGood,_xlfn.LOGNORM.INV(RAND(),MV3,Sigma2),MIN(MaxMultiple,Xm/(1-RAND())^(1/Alpha)))))</f>
        <v>1.0340364966909494</v>
      </c>
      <c r="U210" s="19">
        <f ca="1">IF(RAND()&lt;P_Zero,0,IF(RAND()&lt;CondReturn,_xlfn.LOGNORM.INV(RAND(),MV2,Sigma1),IF(RAND()&lt;CondGood,_xlfn.LOGNORM.INV(RAND(),MV3,Sigma2),MIN(MaxMultiple,Xm/(1-RAND())^(1/Alpha)))))</f>
        <v>0</v>
      </c>
      <c r="V210" s="19">
        <f ca="1">IF(RAND()&lt;P_Zero,0,IF(RAND()&lt;CondReturn,_xlfn.LOGNORM.INV(RAND(),MV2,Sigma1),IF(RAND()&lt;CondGood,_xlfn.LOGNORM.INV(RAND(),MV3,Sigma2),MIN(MaxMultiple,Xm/(1-RAND())^(1/Alpha)))))</f>
        <v>0.57783987588688368</v>
      </c>
      <c r="W210" s="19">
        <f ca="1">IF(RAND()&lt;P_Zero,0,IF(RAND()&lt;CondReturn,_xlfn.LOGNORM.INV(RAND(),MV2,Sigma1),IF(RAND()&lt;CondGood,_xlfn.LOGNORM.INV(RAND(),MV3,Sigma2),MIN(MaxMultiple,Xm/(1-RAND())^(1/Alpha)))))</f>
        <v>0</v>
      </c>
      <c r="X210" s="19">
        <f ca="1">IF(RAND()&lt;P_Zero,0,IF(RAND()&lt;CondReturn,_xlfn.LOGNORM.INV(RAND(),MV2,Sigma1),IF(RAND()&lt;CondGood,_xlfn.LOGNORM.INV(RAND(),MV3,Sigma2),MIN(MaxMultiple,Xm/(1-RAND())^(1/Alpha)))))</f>
        <v>0.41879232208595701</v>
      </c>
      <c r="Y210" s="19">
        <f ca="1">IF(RAND()&lt;P_Zero,0,IF(RAND()&lt;CondReturn,_xlfn.LOGNORM.INV(RAND(),MV2,Sigma1),IF(RAND()&lt;CondGood,_xlfn.LOGNORM.INV(RAND(),MV3,Sigma2),MIN(MaxMultiple,Xm/(1-RAND())^(1/Alpha)))))</f>
        <v>1.5090636197586351</v>
      </c>
      <c r="Z210" s="19">
        <f ca="1">IF(RAND()&lt;P_Zero,0,IF(RAND()&lt;CondReturn,_xlfn.LOGNORM.INV(RAND(),MV2,Sigma1),IF(RAND()&lt;CondGood,_xlfn.LOGNORM.INV(RAND(),MV3,Sigma2),MIN(MaxMultiple,Xm/(1-RAND())^(1/Alpha)))))</f>
        <v>0</v>
      </c>
      <c r="AA210" s="19">
        <f ca="1">IF(RAND()&lt;P_Zero,0,IF(RAND()&lt;CondReturn,_xlfn.LOGNORM.INV(RAND(),MV2,Sigma1),IF(RAND()&lt;CondGood,_xlfn.LOGNORM.INV(RAND(),MV3,Sigma2),MIN(MaxMultiple,Xm/(1-RAND())^(1/Alpha)))))</f>
        <v>2.3899013621222345</v>
      </c>
      <c r="AB210" s="19">
        <f t="shared" ca="1" si="24"/>
        <v>0.71805861610842203</v>
      </c>
      <c r="AC210" s="14">
        <f t="shared" ca="1" si="25"/>
        <v>34466813.573204257</v>
      </c>
      <c r="AD210" s="14">
        <f t="shared" ca="1" si="26"/>
        <v>-13533186.426795743</v>
      </c>
      <c r="AE210" s="14">
        <f t="shared" si="27"/>
        <v>55628399.869093813</v>
      </c>
      <c r="AF210" s="14">
        <f t="shared" ca="1" si="28"/>
        <v>0</v>
      </c>
      <c r="AG210" s="14">
        <f t="shared" ca="1" si="29"/>
        <v>0</v>
      </c>
      <c r="AH210" s="14">
        <f t="shared" ca="1" si="30"/>
        <v>34466813.573204257</v>
      </c>
      <c r="AI210" s="19">
        <f t="shared" ca="1" si="31"/>
        <v>0.57444689288673756</v>
      </c>
    </row>
    <row r="211" spans="2:35" x14ac:dyDescent="0.2">
      <c r="B211" s="1">
        <v>206</v>
      </c>
      <c r="C211" s="19">
        <f ca="1">IF(RAND()&lt;P_Zero,0,IF(RAND()&lt;CondReturn,_xlfn.LOGNORM.INV(RAND(),MV2,Sigma1),IF(RAND()&lt;CondGood,_xlfn.LOGNORM.INV(RAND(),MV3,Sigma2),MIN(MaxMultiple,Xm/(1-RAND())^(1/Alpha)))))</f>
        <v>1.0118492530962113</v>
      </c>
      <c r="D211" s="19">
        <f ca="1">IF(RAND()&lt;P_Zero,0,IF(RAND()&lt;CondReturn,_xlfn.LOGNORM.INV(RAND(),MV2,Sigma1),IF(RAND()&lt;CondGood,_xlfn.LOGNORM.INV(RAND(),MV3,Sigma2),MIN(MaxMultiple,Xm/(1-RAND())^(1/Alpha)))))</f>
        <v>0</v>
      </c>
      <c r="E211" s="19">
        <f ca="1">IF(RAND()&lt;P_Zero,0,IF(RAND()&lt;CondReturn,_xlfn.LOGNORM.INV(RAND(),MV2,Sigma1),IF(RAND()&lt;CondGood,_xlfn.LOGNORM.INV(RAND(),MV3,Sigma2),MIN(MaxMultiple,Xm/(1-RAND())^(1/Alpha)))))</f>
        <v>19.310724839185774</v>
      </c>
      <c r="F211" s="19">
        <f ca="1">IF(RAND()&lt;P_Zero,0,IF(RAND()&lt;CondReturn,_xlfn.LOGNORM.INV(RAND(),MV2,Sigma1),IF(RAND()&lt;CondGood,_xlfn.LOGNORM.INV(RAND(),MV3,Sigma2),MIN(MaxMultiple,Xm/(1-RAND())^(1/Alpha)))))</f>
        <v>1.337534640002447</v>
      </c>
      <c r="G211" s="19">
        <f ca="1">IF(RAND()&lt;P_Zero,0,IF(RAND()&lt;CondReturn,_xlfn.LOGNORM.INV(RAND(),MV2,Sigma1),IF(RAND()&lt;CondGood,_xlfn.LOGNORM.INV(RAND(),MV3,Sigma2),MIN(MaxMultiple,Xm/(1-RAND())^(1/Alpha)))))</f>
        <v>0</v>
      </c>
      <c r="H211" s="19">
        <f ca="1">IF(RAND()&lt;P_Zero,0,IF(RAND()&lt;CondReturn,_xlfn.LOGNORM.INV(RAND(),MV2,Sigma1),IF(RAND()&lt;CondGood,_xlfn.LOGNORM.INV(RAND(),MV3,Sigma2),MIN(MaxMultiple,Xm/(1-RAND())^(1/Alpha)))))</f>
        <v>0.55830146821693982</v>
      </c>
      <c r="I211" s="19">
        <f ca="1">IF(RAND()&lt;P_Zero,0,IF(RAND()&lt;CondReturn,_xlfn.LOGNORM.INV(RAND(),MV2,Sigma1),IF(RAND()&lt;CondGood,_xlfn.LOGNORM.INV(RAND(),MV3,Sigma2),MIN(MaxMultiple,Xm/(1-RAND())^(1/Alpha)))))</f>
        <v>2.9166730650021262</v>
      </c>
      <c r="J211" s="19">
        <f ca="1">IF(RAND()&lt;P_Zero,0,IF(RAND()&lt;CondReturn,_xlfn.LOGNORM.INV(RAND(),MV2,Sigma1),IF(RAND()&lt;CondGood,_xlfn.LOGNORM.INV(RAND(),MV3,Sigma2),MIN(MaxMultiple,Xm/(1-RAND())^(1/Alpha)))))</f>
        <v>0</v>
      </c>
      <c r="K211" s="19">
        <f ca="1">IF(RAND()&lt;P_Zero,0,IF(RAND()&lt;CondReturn,_xlfn.LOGNORM.INV(RAND(),MV2,Sigma1),IF(RAND()&lt;CondGood,_xlfn.LOGNORM.INV(RAND(),MV3,Sigma2),MIN(MaxMultiple,Xm/(1-RAND())^(1/Alpha)))))</f>
        <v>0.41447595932282905</v>
      </c>
      <c r="L211" s="19">
        <f ca="1">IF(RAND()&lt;P_Zero,0,IF(RAND()&lt;CondReturn,_xlfn.LOGNORM.INV(RAND(),MV2,Sigma1),IF(RAND()&lt;CondGood,_xlfn.LOGNORM.INV(RAND(),MV3,Sigma2),MIN(MaxMultiple,Xm/(1-RAND())^(1/Alpha)))))</f>
        <v>0</v>
      </c>
      <c r="M211" s="19">
        <f ca="1">IF(RAND()&lt;P_Zero,0,IF(RAND()&lt;CondReturn,_xlfn.LOGNORM.INV(RAND(),MV2,Sigma1),IF(RAND()&lt;CondGood,_xlfn.LOGNORM.INV(RAND(),MV3,Sigma2),MIN(MaxMultiple,Xm/(1-RAND())^(1/Alpha)))))</f>
        <v>0</v>
      </c>
      <c r="N211" s="19">
        <f ca="1">IF(RAND()&lt;P_Zero,0,IF(RAND()&lt;CondReturn,_xlfn.LOGNORM.INV(RAND(),MV2,Sigma1),IF(RAND()&lt;CondGood,_xlfn.LOGNORM.INV(RAND(),MV3,Sigma2),MIN(MaxMultiple,Xm/(1-RAND())^(1/Alpha)))))</f>
        <v>0.70324335298181961</v>
      </c>
      <c r="O211" s="19">
        <f ca="1">IF(RAND()&lt;P_Zero,0,IF(RAND()&lt;CondReturn,_xlfn.LOGNORM.INV(RAND(),MV2,Sigma1),IF(RAND()&lt;CondGood,_xlfn.LOGNORM.INV(RAND(),MV3,Sigma2),MIN(MaxMultiple,Xm/(1-RAND())^(1/Alpha)))))</f>
        <v>0.81300861060919982</v>
      </c>
      <c r="P211" s="19">
        <f ca="1">IF(RAND()&lt;P_Zero,0,IF(RAND()&lt;CondReturn,_xlfn.LOGNORM.INV(RAND(),MV2,Sigma1),IF(RAND()&lt;CondGood,_xlfn.LOGNORM.INV(RAND(),MV3,Sigma2),MIN(MaxMultiple,Xm/(1-RAND())^(1/Alpha)))))</f>
        <v>0</v>
      </c>
      <c r="Q211" s="19">
        <f ca="1">IF(RAND()&lt;P_Zero,0,IF(RAND()&lt;CondReturn,_xlfn.LOGNORM.INV(RAND(),MV2,Sigma1),IF(RAND()&lt;CondGood,_xlfn.LOGNORM.INV(RAND(),MV3,Sigma2),MIN(MaxMultiple,Xm/(1-RAND())^(1/Alpha)))))</f>
        <v>0.92866863322903714</v>
      </c>
      <c r="R211" s="19">
        <f ca="1">IF(RAND()&lt;P_Zero,0,IF(RAND()&lt;CondReturn,_xlfn.LOGNORM.INV(RAND(),MV2,Sigma1),IF(RAND()&lt;CondGood,_xlfn.LOGNORM.INV(RAND(),MV3,Sigma2),MIN(MaxMultiple,Xm/(1-RAND())^(1/Alpha)))))</f>
        <v>1.2163945818873381</v>
      </c>
      <c r="S211" s="19">
        <f ca="1">IF(RAND()&lt;P_Zero,0,IF(RAND()&lt;CondReturn,_xlfn.LOGNORM.INV(RAND(),MV2,Sigma1),IF(RAND()&lt;CondGood,_xlfn.LOGNORM.INV(RAND(),MV3,Sigma2),MIN(MaxMultiple,Xm/(1-RAND())^(1/Alpha)))))</f>
        <v>0</v>
      </c>
      <c r="T211" s="19">
        <f ca="1">IF(RAND()&lt;P_Zero,0,IF(RAND()&lt;CondReturn,_xlfn.LOGNORM.INV(RAND(),MV2,Sigma1),IF(RAND()&lt;CondGood,_xlfn.LOGNORM.INV(RAND(),MV3,Sigma2),MIN(MaxMultiple,Xm/(1-RAND())^(1/Alpha)))))</f>
        <v>1.1669399320466798</v>
      </c>
      <c r="U211" s="19">
        <f ca="1">IF(RAND()&lt;P_Zero,0,IF(RAND()&lt;CondReturn,_xlfn.LOGNORM.INV(RAND(),MV2,Sigma1),IF(RAND()&lt;CondGood,_xlfn.LOGNORM.INV(RAND(),MV3,Sigma2),MIN(MaxMultiple,Xm/(1-RAND())^(1/Alpha)))))</f>
        <v>0.49786430131082116</v>
      </c>
      <c r="V211" s="19">
        <f ca="1">IF(RAND()&lt;P_Zero,0,IF(RAND()&lt;CondReturn,_xlfn.LOGNORM.INV(RAND(),MV2,Sigma1),IF(RAND()&lt;CondGood,_xlfn.LOGNORM.INV(RAND(),MV3,Sigma2),MIN(MaxMultiple,Xm/(1-RAND())^(1/Alpha)))))</f>
        <v>0</v>
      </c>
      <c r="W211" s="19">
        <f ca="1">IF(RAND()&lt;P_Zero,0,IF(RAND()&lt;CondReturn,_xlfn.LOGNORM.INV(RAND(),MV2,Sigma1),IF(RAND()&lt;CondGood,_xlfn.LOGNORM.INV(RAND(),MV3,Sigma2),MIN(MaxMultiple,Xm/(1-RAND())^(1/Alpha)))))</f>
        <v>0.49747610217215427</v>
      </c>
      <c r="X211" s="19">
        <f ca="1">IF(RAND()&lt;P_Zero,0,IF(RAND()&lt;CondReturn,_xlfn.LOGNORM.INV(RAND(),MV2,Sigma1),IF(RAND()&lt;CondGood,_xlfn.LOGNORM.INV(RAND(),MV3,Sigma2),MIN(MaxMultiple,Xm/(1-RAND())^(1/Alpha)))))</f>
        <v>0</v>
      </c>
      <c r="Y211" s="19">
        <f ca="1">IF(RAND()&lt;P_Zero,0,IF(RAND()&lt;CondReturn,_xlfn.LOGNORM.INV(RAND(),MV2,Sigma1),IF(RAND()&lt;CondGood,_xlfn.LOGNORM.INV(RAND(),MV3,Sigma2),MIN(MaxMultiple,Xm/(1-RAND())^(1/Alpha)))))</f>
        <v>0.49115193211351005</v>
      </c>
      <c r="Z211" s="19">
        <f ca="1">IF(RAND()&lt;P_Zero,0,IF(RAND()&lt;CondReturn,_xlfn.LOGNORM.INV(RAND(),MV2,Sigma1),IF(RAND()&lt;CondGood,_xlfn.LOGNORM.INV(RAND(),MV3,Sigma2),MIN(MaxMultiple,Xm/(1-RAND())^(1/Alpha)))))</f>
        <v>0.56205170382836411</v>
      </c>
      <c r="AA211" s="19">
        <f ca="1">IF(RAND()&lt;P_Zero,0,IF(RAND()&lt;CondReturn,_xlfn.LOGNORM.INV(RAND(),MV2,Sigma1),IF(RAND()&lt;CondGood,_xlfn.LOGNORM.INV(RAND(),MV3,Sigma2),MIN(MaxMultiple,Xm/(1-RAND())^(1/Alpha)))))</f>
        <v>0.64211550039487741</v>
      </c>
      <c r="AB211" s="19">
        <f t="shared" ca="1" si="24"/>
        <v>1.3227389550160051</v>
      </c>
      <c r="AC211" s="14">
        <f t="shared" ca="1" si="25"/>
        <v>63491469.840768248</v>
      </c>
      <c r="AD211" s="14">
        <f t="shared" ca="1" si="26"/>
        <v>15491469.840768248</v>
      </c>
      <c r="AE211" s="14">
        <f t="shared" si="27"/>
        <v>55628399.869093813</v>
      </c>
      <c r="AF211" s="14">
        <f t="shared" ca="1" si="28"/>
        <v>0</v>
      </c>
      <c r="AG211" s="14">
        <f t="shared" ca="1" si="29"/>
        <v>0</v>
      </c>
      <c r="AH211" s="14">
        <f t="shared" ca="1" si="30"/>
        <v>63491469.840768248</v>
      </c>
      <c r="AI211" s="19">
        <f t="shared" ca="1" si="31"/>
        <v>1.0581911640128041</v>
      </c>
    </row>
    <row r="212" spans="2:35" x14ac:dyDescent="0.2">
      <c r="B212" s="1">
        <v>207</v>
      </c>
      <c r="C212" s="19">
        <f ca="1">IF(RAND()&lt;P_Zero,0,IF(RAND()&lt;CondReturn,_xlfn.LOGNORM.INV(RAND(),MV2,Sigma1),IF(RAND()&lt;CondGood,_xlfn.LOGNORM.INV(RAND(),MV3,Sigma2),MIN(MaxMultiple,Xm/(1-RAND())^(1/Alpha)))))</f>
        <v>1.329663639180676</v>
      </c>
      <c r="D212" s="19">
        <f ca="1">IF(RAND()&lt;P_Zero,0,IF(RAND()&lt;CondReturn,_xlfn.LOGNORM.INV(RAND(),MV2,Sigma1),IF(RAND()&lt;CondGood,_xlfn.LOGNORM.INV(RAND(),MV3,Sigma2),MIN(MaxMultiple,Xm/(1-RAND())^(1/Alpha)))))</f>
        <v>1.2289700871318923</v>
      </c>
      <c r="E212" s="19">
        <f ca="1">IF(RAND()&lt;P_Zero,0,IF(RAND()&lt;CondReturn,_xlfn.LOGNORM.INV(RAND(),MV2,Sigma1),IF(RAND()&lt;CondGood,_xlfn.LOGNORM.INV(RAND(),MV3,Sigma2),MIN(MaxMultiple,Xm/(1-RAND())^(1/Alpha)))))</f>
        <v>0</v>
      </c>
      <c r="F212" s="19">
        <f ca="1">IF(RAND()&lt;P_Zero,0,IF(RAND()&lt;CondReturn,_xlfn.LOGNORM.INV(RAND(),MV2,Sigma1),IF(RAND()&lt;CondGood,_xlfn.LOGNORM.INV(RAND(),MV3,Sigma2),MIN(MaxMultiple,Xm/(1-RAND())^(1/Alpha)))))</f>
        <v>1.4141325231266617</v>
      </c>
      <c r="G212" s="19">
        <f ca="1">IF(RAND()&lt;P_Zero,0,IF(RAND()&lt;CondReturn,_xlfn.LOGNORM.INV(RAND(),MV2,Sigma1),IF(RAND()&lt;CondGood,_xlfn.LOGNORM.INV(RAND(),MV3,Sigma2),MIN(MaxMultiple,Xm/(1-RAND())^(1/Alpha)))))</f>
        <v>0.66774727165087999</v>
      </c>
      <c r="H212" s="19">
        <f ca="1">IF(RAND()&lt;P_Zero,0,IF(RAND()&lt;CondReturn,_xlfn.LOGNORM.INV(RAND(),MV2,Sigma1),IF(RAND()&lt;CondGood,_xlfn.LOGNORM.INV(RAND(),MV3,Sigma2),MIN(MaxMultiple,Xm/(1-RAND())^(1/Alpha)))))</f>
        <v>1.0355281570945369</v>
      </c>
      <c r="I212" s="19">
        <f ca="1">IF(RAND()&lt;P_Zero,0,IF(RAND()&lt;CondReturn,_xlfn.LOGNORM.INV(RAND(),MV2,Sigma1),IF(RAND()&lt;CondGood,_xlfn.LOGNORM.INV(RAND(),MV3,Sigma2),MIN(MaxMultiple,Xm/(1-RAND())^(1/Alpha)))))</f>
        <v>0.51537145914267712</v>
      </c>
      <c r="J212" s="19">
        <f ca="1">IF(RAND()&lt;P_Zero,0,IF(RAND()&lt;CondReturn,_xlfn.LOGNORM.INV(RAND(),MV2,Sigma1),IF(RAND()&lt;CondGood,_xlfn.LOGNORM.INV(RAND(),MV3,Sigma2),MIN(MaxMultiple,Xm/(1-RAND())^(1/Alpha)))))</f>
        <v>43.207028495244195</v>
      </c>
      <c r="K212" s="19">
        <f ca="1">IF(RAND()&lt;P_Zero,0,IF(RAND()&lt;CondReturn,_xlfn.LOGNORM.INV(RAND(),MV2,Sigma1),IF(RAND()&lt;CondGood,_xlfn.LOGNORM.INV(RAND(),MV3,Sigma2),MIN(MaxMultiple,Xm/(1-RAND())^(1/Alpha)))))</f>
        <v>0</v>
      </c>
      <c r="L212" s="19">
        <f ca="1">IF(RAND()&lt;P_Zero,0,IF(RAND()&lt;CondReturn,_xlfn.LOGNORM.INV(RAND(),MV2,Sigma1),IF(RAND()&lt;CondGood,_xlfn.LOGNORM.INV(RAND(),MV3,Sigma2),MIN(MaxMultiple,Xm/(1-RAND())^(1/Alpha)))))</f>
        <v>0</v>
      </c>
      <c r="M212" s="19">
        <f ca="1">IF(RAND()&lt;P_Zero,0,IF(RAND()&lt;CondReturn,_xlfn.LOGNORM.INV(RAND(),MV2,Sigma1),IF(RAND()&lt;CondGood,_xlfn.LOGNORM.INV(RAND(),MV3,Sigma2),MIN(MaxMultiple,Xm/(1-RAND())^(1/Alpha)))))</f>
        <v>0.96940477699656791</v>
      </c>
      <c r="N212" s="19">
        <f ca="1">IF(RAND()&lt;P_Zero,0,IF(RAND()&lt;CondReturn,_xlfn.LOGNORM.INV(RAND(),MV2,Sigma1),IF(RAND()&lt;CondGood,_xlfn.LOGNORM.INV(RAND(),MV3,Sigma2),MIN(MaxMultiple,Xm/(1-RAND())^(1/Alpha)))))</f>
        <v>0</v>
      </c>
      <c r="O212" s="19">
        <f ca="1">IF(RAND()&lt;P_Zero,0,IF(RAND()&lt;CondReturn,_xlfn.LOGNORM.INV(RAND(),MV2,Sigma1),IF(RAND()&lt;CondGood,_xlfn.LOGNORM.INV(RAND(),MV3,Sigma2),MIN(MaxMultiple,Xm/(1-RAND())^(1/Alpha)))))</f>
        <v>1.4619891866471817</v>
      </c>
      <c r="P212" s="19">
        <f ca="1">IF(RAND()&lt;P_Zero,0,IF(RAND()&lt;CondReturn,_xlfn.LOGNORM.INV(RAND(),MV2,Sigma1),IF(RAND()&lt;CondGood,_xlfn.LOGNORM.INV(RAND(),MV3,Sigma2),MIN(MaxMultiple,Xm/(1-RAND())^(1/Alpha)))))</f>
        <v>0.77516955476619609</v>
      </c>
      <c r="Q212" s="19">
        <f ca="1">IF(RAND()&lt;P_Zero,0,IF(RAND()&lt;CondReturn,_xlfn.LOGNORM.INV(RAND(),MV2,Sigma1),IF(RAND()&lt;CondGood,_xlfn.LOGNORM.INV(RAND(),MV3,Sigma2),MIN(MaxMultiple,Xm/(1-RAND())^(1/Alpha)))))</f>
        <v>0.73796908975153797</v>
      </c>
      <c r="R212" s="19">
        <f ca="1">IF(RAND()&lt;P_Zero,0,IF(RAND()&lt;CondReturn,_xlfn.LOGNORM.INV(RAND(),MV2,Sigma1),IF(RAND()&lt;CondGood,_xlfn.LOGNORM.INV(RAND(),MV3,Sigma2),MIN(MaxMultiple,Xm/(1-RAND())^(1/Alpha)))))</f>
        <v>0.76766789908382627</v>
      </c>
      <c r="S212" s="19">
        <f ca="1">IF(RAND()&lt;P_Zero,0,IF(RAND()&lt;CondReturn,_xlfn.LOGNORM.INV(RAND(),MV2,Sigma1),IF(RAND()&lt;CondGood,_xlfn.LOGNORM.INV(RAND(),MV3,Sigma2),MIN(MaxMultiple,Xm/(1-RAND())^(1/Alpha)))))</f>
        <v>0</v>
      </c>
      <c r="T212" s="19">
        <f ca="1">IF(RAND()&lt;P_Zero,0,IF(RAND()&lt;CondReturn,_xlfn.LOGNORM.INV(RAND(),MV2,Sigma1),IF(RAND()&lt;CondGood,_xlfn.LOGNORM.INV(RAND(),MV3,Sigma2),MIN(MaxMultiple,Xm/(1-RAND())^(1/Alpha)))))</f>
        <v>0</v>
      </c>
      <c r="U212" s="19">
        <f ca="1">IF(RAND()&lt;P_Zero,0,IF(RAND()&lt;CondReturn,_xlfn.LOGNORM.INV(RAND(),MV2,Sigma1),IF(RAND()&lt;CondGood,_xlfn.LOGNORM.INV(RAND(),MV3,Sigma2),MIN(MaxMultiple,Xm/(1-RAND())^(1/Alpha)))))</f>
        <v>2.2269674430482707</v>
      </c>
      <c r="V212" s="19">
        <f ca="1">IF(RAND()&lt;P_Zero,0,IF(RAND()&lt;CondReturn,_xlfn.LOGNORM.INV(RAND(),MV2,Sigma1),IF(RAND()&lt;CondGood,_xlfn.LOGNORM.INV(RAND(),MV3,Sigma2),MIN(MaxMultiple,Xm/(1-RAND())^(1/Alpha)))))</f>
        <v>1.5461702683922955</v>
      </c>
      <c r="W212" s="19">
        <f ca="1">IF(RAND()&lt;P_Zero,0,IF(RAND()&lt;CondReturn,_xlfn.LOGNORM.INV(RAND(),MV2,Sigma1),IF(RAND()&lt;CondGood,_xlfn.LOGNORM.INV(RAND(),MV3,Sigma2),MIN(MaxMultiple,Xm/(1-RAND())^(1/Alpha)))))</f>
        <v>0</v>
      </c>
      <c r="X212" s="19">
        <f ca="1">IF(RAND()&lt;P_Zero,0,IF(RAND()&lt;CondReturn,_xlfn.LOGNORM.INV(RAND(),MV2,Sigma1),IF(RAND()&lt;CondGood,_xlfn.LOGNORM.INV(RAND(),MV3,Sigma2),MIN(MaxMultiple,Xm/(1-RAND())^(1/Alpha)))))</f>
        <v>11.797764740906224</v>
      </c>
      <c r="Y212" s="19">
        <f ca="1">IF(RAND()&lt;P_Zero,0,IF(RAND()&lt;CondReturn,_xlfn.LOGNORM.INV(RAND(),MV2,Sigma1),IF(RAND()&lt;CondGood,_xlfn.LOGNORM.INV(RAND(),MV3,Sigma2),MIN(MaxMultiple,Xm/(1-RAND())^(1/Alpha)))))</f>
        <v>0</v>
      </c>
      <c r="Z212" s="19">
        <f ca="1">IF(RAND()&lt;P_Zero,0,IF(RAND()&lt;CondReturn,_xlfn.LOGNORM.INV(RAND(),MV2,Sigma1),IF(RAND()&lt;CondGood,_xlfn.LOGNORM.INV(RAND(),MV3,Sigma2),MIN(MaxMultiple,Xm/(1-RAND())^(1/Alpha)))))</f>
        <v>1.409771874501011</v>
      </c>
      <c r="AA212" s="19">
        <f ca="1">IF(RAND()&lt;P_Zero,0,IF(RAND()&lt;CondReturn,_xlfn.LOGNORM.INV(RAND(),MV2,Sigma1),IF(RAND()&lt;CondGood,_xlfn.LOGNORM.INV(RAND(),MV3,Sigma2),MIN(MaxMultiple,Xm/(1-RAND())^(1/Alpha)))))</f>
        <v>0</v>
      </c>
      <c r="AB212" s="19">
        <f t="shared" ca="1" si="24"/>
        <v>2.8436526586665849</v>
      </c>
      <c r="AC212" s="14">
        <f t="shared" ca="1" si="25"/>
        <v>136495327.61599606</v>
      </c>
      <c r="AD212" s="14">
        <f t="shared" ca="1" si="26"/>
        <v>88495327.615996063</v>
      </c>
      <c r="AE212" s="14">
        <f t="shared" si="27"/>
        <v>55628399.869093813</v>
      </c>
      <c r="AF212" s="14">
        <f t="shared" ca="1" si="28"/>
        <v>32866927.74690225</v>
      </c>
      <c r="AG212" s="14">
        <f t="shared" ca="1" si="29"/>
        <v>6573385.5493804505</v>
      </c>
      <c r="AH212" s="14">
        <f t="shared" ca="1" si="30"/>
        <v>129921942.06661561</v>
      </c>
      <c r="AI212" s="19">
        <f t="shared" ca="1" si="31"/>
        <v>2.1653657011102601</v>
      </c>
    </row>
    <row r="213" spans="2:35" x14ac:dyDescent="0.2">
      <c r="B213" s="1">
        <v>208</v>
      </c>
      <c r="C213" s="19">
        <f ca="1">IF(RAND()&lt;P_Zero,0,IF(RAND()&lt;CondReturn,_xlfn.LOGNORM.INV(RAND(),MV2,Sigma1),IF(RAND()&lt;CondGood,_xlfn.LOGNORM.INV(RAND(),MV3,Sigma2),MIN(MaxMultiple,Xm/(1-RAND())^(1/Alpha)))))</f>
        <v>0</v>
      </c>
      <c r="D213" s="19">
        <f ca="1">IF(RAND()&lt;P_Zero,0,IF(RAND()&lt;CondReturn,_xlfn.LOGNORM.INV(RAND(),MV2,Sigma1),IF(RAND()&lt;CondGood,_xlfn.LOGNORM.INV(RAND(),MV3,Sigma2),MIN(MaxMultiple,Xm/(1-RAND())^(1/Alpha)))))</f>
        <v>69.849195669490456</v>
      </c>
      <c r="E213" s="19">
        <f ca="1">IF(RAND()&lt;P_Zero,0,IF(RAND()&lt;CondReturn,_xlfn.LOGNORM.INV(RAND(),MV2,Sigma1),IF(RAND()&lt;CondGood,_xlfn.LOGNORM.INV(RAND(),MV3,Sigma2),MIN(MaxMultiple,Xm/(1-RAND())^(1/Alpha)))))</f>
        <v>12.005298549919678</v>
      </c>
      <c r="F213" s="19">
        <f ca="1">IF(RAND()&lt;P_Zero,0,IF(RAND()&lt;CondReturn,_xlfn.LOGNORM.INV(RAND(),MV2,Sigma1),IF(RAND()&lt;CondGood,_xlfn.LOGNORM.INV(RAND(),MV3,Sigma2),MIN(MaxMultiple,Xm/(1-RAND())^(1/Alpha)))))</f>
        <v>0</v>
      </c>
      <c r="G213" s="19">
        <f ca="1">IF(RAND()&lt;P_Zero,0,IF(RAND()&lt;CondReturn,_xlfn.LOGNORM.INV(RAND(),MV2,Sigma1),IF(RAND()&lt;CondGood,_xlfn.LOGNORM.INV(RAND(),MV3,Sigma2),MIN(MaxMultiple,Xm/(1-RAND())^(1/Alpha)))))</f>
        <v>1.3749963997855674</v>
      </c>
      <c r="H213" s="19">
        <f ca="1">IF(RAND()&lt;P_Zero,0,IF(RAND()&lt;CondReturn,_xlfn.LOGNORM.INV(RAND(),MV2,Sigma1),IF(RAND()&lt;CondGood,_xlfn.LOGNORM.INV(RAND(),MV3,Sigma2),MIN(MaxMultiple,Xm/(1-RAND())^(1/Alpha)))))</f>
        <v>0</v>
      </c>
      <c r="I213" s="19">
        <f ca="1">IF(RAND()&lt;P_Zero,0,IF(RAND()&lt;CondReturn,_xlfn.LOGNORM.INV(RAND(),MV2,Sigma1),IF(RAND()&lt;CondGood,_xlfn.LOGNORM.INV(RAND(),MV3,Sigma2),MIN(MaxMultiple,Xm/(1-RAND())^(1/Alpha)))))</f>
        <v>1.0639852027650876</v>
      </c>
      <c r="J213" s="19">
        <f ca="1">IF(RAND()&lt;P_Zero,0,IF(RAND()&lt;CondReturn,_xlfn.LOGNORM.INV(RAND(),MV2,Sigma1),IF(RAND()&lt;CondGood,_xlfn.LOGNORM.INV(RAND(),MV3,Sigma2),MIN(MaxMultiple,Xm/(1-RAND())^(1/Alpha)))))</f>
        <v>0.52989656123678064</v>
      </c>
      <c r="K213" s="19">
        <f ca="1">IF(RAND()&lt;P_Zero,0,IF(RAND()&lt;CondReturn,_xlfn.LOGNORM.INV(RAND(),MV2,Sigma1),IF(RAND()&lt;CondGood,_xlfn.LOGNORM.INV(RAND(),MV3,Sigma2),MIN(MaxMultiple,Xm/(1-RAND())^(1/Alpha)))))</f>
        <v>0.87006692731782453</v>
      </c>
      <c r="L213" s="19">
        <f ca="1">IF(RAND()&lt;P_Zero,0,IF(RAND()&lt;CondReturn,_xlfn.LOGNORM.INV(RAND(),MV2,Sigma1),IF(RAND()&lt;CondGood,_xlfn.LOGNORM.INV(RAND(),MV3,Sigma2),MIN(MaxMultiple,Xm/(1-RAND())^(1/Alpha)))))</f>
        <v>0</v>
      </c>
      <c r="M213" s="19">
        <f ca="1">IF(RAND()&lt;P_Zero,0,IF(RAND()&lt;CondReturn,_xlfn.LOGNORM.INV(RAND(),MV2,Sigma1),IF(RAND()&lt;CondGood,_xlfn.LOGNORM.INV(RAND(),MV3,Sigma2),MIN(MaxMultiple,Xm/(1-RAND())^(1/Alpha)))))</f>
        <v>0.81591304223310046</v>
      </c>
      <c r="N213" s="19">
        <f ca="1">IF(RAND()&lt;P_Zero,0,IF(RAND()&lt;CondReturn,_xlfn.LOGNORM.INV(RAND(),MV2,Sigma1),IF(RAND()&lt;CondGood,_xlfn.LOGNORM.INV(RAND(),MV3,Sigma2),MIN(MaxMultiple,Xm/(1-RAND())^(1/Alpha)))))</f>
        <v>1.8409567585048616</v>
      </c>
      <c r="O213" s="19">
        <f ca="1">IF(RAND()&lt;P_Zero,0,IF(RAND()&lt;CondReturn,_xlfn.LOGNORM.INV(RAND(),MV2,Sigma1),IF(RAND()&lt;CondGood,_xlfn.LOGNORM.INV(RAND(),MV3,Sigma2),MIN(MaxMultiple,Xm/(1-RAND())^(1/Alpha)))))</f>
        <v>0.60686902807039134</v>
      </c>
      <c r="P213" s="19">
        <f ca="1">IF(RAND()&lt;P_Zero,0,IF(RAND()&lt;CondReturn,_xlfn.LOGNORM.INV(RAND(),MV2,Sigma1),IF(RAND()&lt;CondGood,_xlfn.LOGNORM.INV(RAND(),MV3,Sigma2),MIN(MaxMultiple,Xm/(1-RAND())^(1/Alpha)))))</f>
        <v>0.99706239911373518</v>
      </c>
      <c r="Q213" s="19">
        <f ca="1">IF(RAND()&lt;P_Zero,0,IF(RAND()&lt;CondReturn,_xlfn.LOGNORM.INV(RAND(),MV2,Sigma1),IF(RAND()&lt;CondGood,_xlfn.LOGNORM.INV(RAND(),MV3,Sigma2),MIN(MaxMultiple,Xm/(1-RAND())^(1/Alpha)))))</f>
        <v>0</v>
      </c>
      <c r="R213" s="19">
        <f ca="1">IF(RAND()&lt;P_Zero,0,IF(RAND()&lt;CondReturn,_xlfn.LOGNORM.INV(RAND(),MV2,Sigma1),IF(RAND()&lt;CondGood,_xlfn.LOGNORM.INV(RAND(),MV3,Sigma2),MIN(MaxMultiple,Xm/(1-RAND())^(1/Alpha)))))</f>
        <v>16.764419278617918</v>
      </c>
      <c r="S213" s="19">
        <f ca="1">IF(RAND()&lt;P_Zero,0,IF(RAND()&lt;CondReturn,_xlfn.LOGNORM.INV(RAND(),MV2,Sigma1),IF(RAND()&lt;CondGood,_xlfn.LOGNORM.INV(RAND(),MV3,Sigma2),MIN(MaxMultiple,Xm/(1-RAND())^(1/Alpha)))))</f>
        <v>1.8762632705207096</v>
      </c>
      <c r="T213" s="19">
        <f ca="1">IF(RAND()&lt;P_Zero,0,IF(RAND()&lt;CondReturn,_xlfn.LOGNORM.INV(RAND(),MV2,Sigma1),IF(RAND()&lt;CondGood,_xlfn.LOGNORM.INV(RAND(),MV3,Sigma2),MIN(MaxMultiple,Xm/(1-RAND())^(1/Alpha)))))</f>
        <v>0</v>
      </c>
      <c r="U213" s="19">
        <f ca="1">IF(RAND()&lt;P_Zero,0,IF(RAND()&lt;CondReturn,_xlfn.LOGNORM.INV(RAND(),MV2,Sigma1),IF(RAND()&lt;CondGood,_xlfn.LOGNORM.INV(RAND(),MV3,Sigma2),MIN(MaxMultiple,Xm/(1-RAND())^(1/Alpha)))))</f>
        <v>1.3791147815320666</v>
      </c>
      <c r="V213" s="19">
        <f ca="1">IF(RAND()&lt;P_Zero,0,IF(RAND()&lt;CondReturn,_xlfn.LOGNORM.INV(RAND(),MV2,Sigma1),IF(RAND()&lt;CondGood,_xlfn.LOGNORM.INV(RAND(),MV3,Sigma2),MIN(MaxMultiple,Xm/(1-RAND())^(1/Alpha)))))</f>
        <v>2.1772360217571847</v>
      </c>
      <c r="W213" s="19">
        <f ca="1">IF(RAND()&lt;P_Zero,0,IF(RAND()&lt;CondReturn,_xlfn.LOGNORM.INV(RAND(),MV2,Sigma1),IF(RAND()&lt;CondGood,_xlfn.LOGNORM.INV(RAND(),MV3,Sigma2),MIN(MaxMultiple,Xm/(1-RAND())^(1/Alpha)))))</f>
        <v>0.59685385480979625</v>
      </c>
      <c r="X213" s="19">
        <f ca="1">IF(RAND()&lt;P_Zero,0,IF(RAND()&lt;CondReturn,_xlfn.LOGNORM.INV(RAND(),MV2,Sigma1),IF(RAND()&lt;CondGood,_xlfn.LOGNORM.INV(RAND(),MV3,Sigma2),MIN(MaxMultiple,Xm/(1-RAND())^(1/Alpha)))))</f>
        <v>47.754757625778197</v>
      </c>
      <c r="Y213" s="19">
        <f ca="1">IF(RAND()&lt;P_Zero,0,IF(RAND()&lt;CondReturn,_xlfn.LOGNORM.INV(RAND(),MV2,Sigma1),IF(RAND()&lt;CondGood,_xlfn.LOGNORM.INV(RAND(),MV3,Sigma2),MIN(MaxMultiple,Xm/(1-RAND())^(1/Alpha)))))</f>
        <v>0</v>
      </c>
      <c r="Z213" s="19">
        <f ca="1">IF(RAND()&lt;P_Zero,0,IF(RAND()&lt;CondReturn,_xlfn.LOGNORM.INV(RAND(),MV2,Sigma1),IF(RAND()&lt;CondGood,_xlfn.LOGNORM.INV(RAND(),MV3,Sigma2),MIN(MaxMultiple,Xm/(1-RAND())^(1/Alpha)))))</f>
        <v>0.74029055212791828</v>
      </c>
      <c r="AA213" s="19">
        <f ca="1">IF(RAND()&lt;P_Zero,0,IF(RAND()&lt;CondReturn,_xlfn.LOGNORM.INV(RAND(),MV2,Sigma1),IF(RAND()&lt;CondGood,_xlfn.LOGNORM.INV(RAND(),MV3,Sigma2),MIN(MaxMultiple,Xm/(1-RAND())^(1/Alpha)))))</f>
        <v>1.3460843401113984</v>
      </c>
      <c r="AB213" s="19">
        <f t="shared" ca="1" si="24"/>
        <v>6.5035704105477068</v>
      </c>
      <c r="AC213" s="14">
        <f t="shared" ca="1" si="25"/>
        <v>312171379.70628995</v>
      </c>
      <c r="AD213" s="14">
        <f t="shared" ca="1" si="26"/>
        <v>264171379.70628995</v>
      </c>
      <c r="AE213" s="14">
        <f t="shared" si="27"/>
        <v>55628399.869093813</v>
      </c>
      <c r="AF213" s="14">
        <f t="shared" ca="1" si="28"/>
        <v>208542979.83719614</v>
      </c>
      <c r="AG213" s="14">
        <f t="shared" ca="1" si="29"/>
        <v>41708595.967439234</v>
      </c>
      <c r="AH213" s="14">
        <f t="shared" ca="1" si="30"/>
        <v>270462783.73885071</v>
      </c>
      <c r="AI213" s="19">
        <f t="shared" ca="1" si="31"/>
        <v>4.5077130623141786</v>
      </c>
    </row>
    <row r="214" spans="2:35" x14ac:dyDescent="0.2">
      <c r="B214" s="1">
        <v>209</v>
      </c>
      <c r="C214" s="19">
        <f ca="1">IF(RAND()&lt;P_Zero,0,IF(RAND()&lt;CondReturn,_xlfn.LOGNORM.INV(RAND(),MV2,Sigma1),IF(RAND()&lt;CondGood,_xlfn.LOGNORM.INV(RAND(),MV3,Sigma2),MIN(MaxMultiple,Xm/(1-RAND())^(1/Alpha)))))</f>
        <v>0.8546752175547303</v>
      </c>
      <c r="D214" s="19">
        <f ca="1">IF(RAND()&lt;P_Zero,0,IF(RAND()&lt;CondReturn,_xlfn.LOGNORM.INV(RAND(),MV2,Sigma1),IF(RAND()&lt;CondGood,_xlfn.LOGNORM.INV(RAND(),MV3,Sigma2),MIN(MaxMultiple,Xm/(1-RAND())^(1/Alpha)))))</f>
        <v>0.73409500171090802</v>
      </c>
      <c r="E214" s="19">
        <f ca="1">IF(RAND()&lt;P_Zero,0,IF(RAND()&lt;CondReturn,_xlfn.LOGNORM.INV(RAND(),MV2,Sigma1),IF(RAND()&lt;CondGood,_xlfn.LOGNORM.INV(RAND(),MV3,Sigma2),MIN(MaxMultiple,Xm/(1-RAND())^(1/Alpha)))))</f>
        <v>19.958506695145729</v>
      </c>
      <c r="F214" s="19">
        <f ca="1">IF(RAND()&lt;P_Zero,0,IF(RAND()&lt;CondReturn,_xlfn.LOGNORM.INV(RAND(),MV2,Sigma1),IF(RAND()&lt;CondGood,_xlfn.LOGNORM.INV(RAND(),MV3,Sigma2),MIN(MaxMultiple,Xm/(1-RAND())^(1/Alpha)))))</f>
        <v>0</v>
      </c>
      <c r="G214" s="19">
        <f ca="1">IF(RAND()&lt;P_Zero,0,IF(RAND()&lt;CondReturn,_xlfn.LOGNORM.INV(RAND(),MV2,Sigma1),IF(RAND()&lt;CondGood,_xlfn.LOGNORM.INV(RAND(),MV3,Sigma2),MIN(MaxMultiple,Xm/(1-RAND())^(1/Alpha)))))</f>
        <v>0.74845766722585572</v>
      </c>
      <c r="H214" s="19">
        <f ca="1">IF(RAND()&lt;P_Zero,0,IF(RAND()&lt;CondReturn,_xlfn.LOGNORM.INV(RAND(),MV2,Sigma1),IF(RAND()&lt;CondGood,_xlfn.LOGNORM.INV(RAND(),MV3,Sigma2),MIN(MaxMultiple,Xm/(1-RAND())^(1/Alpha)))))</f>
        <v>1.126513719900937</v>
      </c>
      <c r="I214" s="19">
        <f ca="1">IF(RAND()&lt;P_Zero,0,IF(RAND()&lt;CondReturn,_xlfn.LOGNORM.INV(RAND(),MV2,Sigma1),IF(RAND()&lt;CondGood,_xlfn.LOGNORM.INV(RAND(),MV3,Sigma2),MIN(MaxMultiple,Xm/(1-RAND())^(1/Alpha)))))</f>
        <v>0</v>
      </c>
      <c r="J214" s="19">
        <f ca="1">IF(RAND()&lt;P_Zero,0,IF(RAND()&lt;CondReturn,_xlfn.LOGNORM.INV(RAND(),MV2,Sigma1),IF(RAND()&lt;CondGood,_xlfn.LOGNORM.INV(RAND(),MV3,Sigma2),MIN(MaxMultiple,Xm/(1-RAND())^(1/Alpha)))))</f>
        <v>1.0372446932902459</v>
      </c>
      <c r="K214" s="19">
        <f ca="1">IF(RAND()&lt;P_Zero,0,IF(RAND()&lt;CondReturn,_xlfn.LOGNORM.INV(RAND(),MV2,Sigma1),IF(RAND()&lt;CondGood,_xlfn.LOGNORM.INV(RAND(),MV3,Sigma2),MIN(MaxMultiple,Xm/(1-RAND())^(1/Alpha)))))</f>
        <v>0</v>
      </c>
      <c r="L214" s="19">
        <f ca="1">IF(RAND()&lt;P_Zero,0,IF(RAND()&lt;CondReturn,_xlfn.LOGNORM.INV(RAND(),MV2,Sigma1),IF(RAND()&lt;CondGood,_xlfn.LOGNORM.INV(RAND(),MV3,Sigma2),MIN(MaxMultiple,Xm/(1-RAND())^(1/Alpha)))))</f>
        <v>0.25527752024582856</v>
      </c>
      <c r="M214" s="19">
        <f ca="1">IF(RAND()&lt;P_Zero,0,IF(RAND()&lt;CondReturn,_xlfn.LOGNORM.INV(RAND(),MV2,Sigma1),IF(RAND()&lt;CondGood,_xlfn.LOGNORM.INV(RAND(),MV3,Sigma2),MIN(MaxMultiple,Xm/(1-RAND())^(1/Alpha)))))</f>
        <v>1.3177680710168111</v>
      </c>
      <c r="N214" s="19">
        <f ca="1">IF(RAND()&lt;P_Zero,0,IF(RAND()&lt;CondReturn,_xlfn.LOGNORM.INV(RAND(),MV2,Sigma1),IF(RAND()&lt;CondGood,_xlfn.LOGNORM.INV(RAND(),MV3,Sigma2),MIN(MaxMultiple,Xm/(1-RAND())^(1/Alpha)))))</f>
        <v>1.0181810908050086</v>
      </c>
      <c r="O214" s="19">
        <f ca="1">IF(RAND()&lt;P_Zero,0,IF(RAND()&lt;CondReturn,_xlfn.LOGNORM.INV(RAND(),MV2,Sigma1),IF(RAND()&lt;CondGood,_xlfn.LOGNORM.INV(RAND(),MV3,Sigma2),MIN(MaxMultiple,Xm/(1-RAND())^(1/Alpha)))))</f>
        <v>0</v>
      </c>
      <c r="P214" s="19">
        <f ca="1">IF(RAND()&lt;P_Zero,0,IF(RAND()&lt;CondReturn,_xlfn.LOGNORM.INV(RAND(),MV2,Sigma1),IF(RAND()&lt;CondGood,_xlfn.LOGNORM.INV(RAND(),MV3,Sigma2),MIN(MaxMultiple,Xm/(1-RAND())^(1/Alpha)))))</f>
        <v>0</v>
      </c>
      <c r="Q214" s="19">
        <f ca="1">IF(RAND()&lt;P_Zero,0,IF(RAND()&lt;CondReturn,_xlfn.LOGNORM.INV(RAND(),MV2,Sigma1),IF(RAND()&lt;CondGood,_xlfn.LOGNORM.INV(RAND(),MV3,Sigma2),MIN(MaxMultiple,Xm/(1-RAND())^(1/Alpha)))))</f>
        <v>0</v>
      </c>
      <c r="R214" s="19">
        <f ca="1">IF(RAND()&lt;P_Zero,0,IF(RAND()&lt;CondReturn,_xlfn.LOGNORM.INV(RAND(),MV2,Sigma1),IF(RAND()&lt;CondGood,_xlfn.LOGNORM.INV(RAND(),MV3,Sigma2),MIN(MaxMultiple,Xm/(1-RAND())^(1/Alpha)))))</f>
        <v>0</v>
      </c>
      <c r="S214" s="19">
        <f ca="1">IF(RAND()&lt;P_Zero,0,IF(RAND()&lt;CondReturn,_xlfn.LOGNORM.INV(RAND(),MV2,Sigma1),IF(RAND()&lt;CondGood,_xlfn.LOGNORM.INV(RAND(),MV3,Sigma2),MIN(MaxMultiple,Xm/(1-RAND())^(1/Alpha)))))</f>
        <v>0.99472235308948198</v>
      </c>
      <c r="T214" s="19">
        <f ca="1">IF(RAND()&lt;P_Zero,0,IF(RAND()&lt;CondReturn,_xlfn.LOGNORM.INV(RAND(),MV2,Sigma1),IF(RAND()&lt;CondGood,_xlfn.LOGNORM.INV(RAND(),MV3,Sigma2),MIN(MaxMultiple,Xm/(1-RAND())^(1/Alpha)))))</f>
        <v>0</v>
      </c>
      <c r="U214" s="19">
        <f ca="1">IF(RAND()&lt;P_Zero,0,IF(RAND()&lt;CondReturn,_xlfn.LOGNORM.INV(RAND(),MV2,Sigma1),IF(RAND()&lt;CondGood,_xlfn.LOGNORM.INV(RAND(),MV3,Sigma2),MIN(MaxMultiple,Xm/(1-RAND())^(1/Alpha)))))</f>
        <v>0</v>
      </c>
      <c r="V214" s="19">
        <f ca="1">IF(RAND()&lt;P_Zero,0,IF(RAND()&lt;CondReturn,_xlfn.LOGNORM.INV(RAND(),MV2,Sigma1),IF(RAND()&lt;CondGood,_xlfn.LOGNORM.INV(RAND(),MV3,Sigma2),MIN(MaxMultiple,Xm/(1-RAND())^(1/Alpha)))))</f>
        <v>0.67564080211487476</v>
      </c>
      <c r="W214" s="19">
        <f ca="1">IF(RAND()&lt;P_Zero,0,IF(RAND()&lt;CondReturn,_xlfn.LOGNORM.INV(RAND(),MV2,Sigma1),IF(RAND()&lt;CondGood,_xlfn.LOGNORM.INV(RAND(),MV3,Sigma2),MIN(MaxMultiple,Xm/(1-RAND())^(1/Alpha)))))</f>
        <v>0</v>
      </c>
      <c r="X214" s="19">
        <f ca="1">IF(RAND()&lt;P_Zero,0,IF(RAND()&lt;CondReturn,_xlfn.LOGNORM.INV(RAND(),MV2,Sigma1),IF(RAND()&lt;CondGood,_xlfn.LOGNORM.INV(RAND(),MV3,Sigma2),MIN(MaxMultiple,Xm/(1-RAND())^(1/Alpha)))))</f>
        <v>0.37620735908996566</v>
      </c>
      <c r="Y214" s="19">
        <f ca="1">IF(RAND()&lt;P_Zero,0,IF(RAND()&lt;CondReturn,_xlfn.LOGNORM.INV(RAND(),MV2,Sigma1),IF(RAND()&lt;CondGood,_xlfn.LOGNORM.INV(RAND(),MV3,Sigma2),MIN(MaxMultiple,Xm/(1-RAND())^(1/Alpha)))))</f>
        <v>0.83941218959898212</v>
      </c>
      <c r="Z214" s="19">
        <f ca="1">IF(RAND()&lt;P_Zero,0,IF(RAND()&lt;CondReturn,_xlfn.LOGNORM.INV(RAND(),MV2,Sigma1),IF(RAND()&lt;CondGood,_xlfn.LOGNORM.INV(RAND(),MV3,Sigma2),MIN(MaxMultiple,Xm/(1-RAND())^(1/Alpha)))))</f>
        <v>0.68712191279511059</v>
      </c>
      <c r="AA214" s="19">
        <f ca="1">IF(RAND()&lt;P_Zero,0,IF(RAND()&lt;CondReturn,_xlfn.LOGNORM.INV(RAND(),MV2,Sigma1),IF(RAND()&lt;CondGood,_xlfn.LOGNORM.INV(RAND(),MV3,Sigma2),MIN(MaxMultiple,Xm/(1-RAND())^(1/Alpha)))))</f>
        <v>0</v>
      </c>
      <c r="AB214" s="19">
        <f t="shared" ca="1" si="24"/>
        <v>1.2249529717433787</v>
      </c>
      <c r="AC214" s="14">
        <f t="shared" ca="1" si="25"/>
        <v>58797742.643682174</v>
      </c>
      <c r="AD214" s="14">
        <f t="shared" ca="1" si="26"/>
        <v>10797742.643682174</v>
      </c>
      <c r="AE214" s="14">
        <f t="shared" si="27"/>
        <v>55628399.869093813</v>
      </c>
      <c r="AF214" s="14">
        <f t="shared" ca="1" si="28"/>
        <v>0</v>
      </c>
      <c r="AG214" s="14">
        <f t="shared" ca="1" si="29"/>
        <v>0</v>
      </c>
      <c r="AH214" s="14">
        <f t="shared" ca="1" si="30"/>
        <v>58797742.643682174</v>
      </c>
      <c r="AI214" s="19">
        <f t="shared" ca="1" si="31"/>
        <v>0.97996237739470293</v>
      </c>
    </row>
    <row r="215" spans="2:35" x14ac:dyDescent="0.2">
      <c r="B215" s="1">
        <v>210</v>
      </c>
      <c r="C215" s="19">
        <f ca="1">IF(RAND()&lt;P_Zero,0,IF(RAND()&lt;CondReturn,_xlfn.LOGNORM.INV(RAND(),MV2,Sigma1),IF(RAND()&lt;CondGood,_xlfn.LOGNORM.INV(RAND(),MV3,Sigma2),MIN(MaxMultiple,Xm/(1-RAND())^(1/Alpha)))))</f>
        <v>0</v>
      </c>
      <c r="D215" s="19">
        <f ca="1">IF(RAND()&lt;P_Zero,0,IF(RAND()&lt;CondReturn,_xlfn.LOGNORM.INV(RAND(),MV2,Sigma1),IF(RAND()&lt;CondGood,_xlfn.LOGNORM.INV(RAND(),MV3,Sigma2),MIN(MaxMultiple,Xm/(1-RAND())^(1/Alpha)))))</f>
        <v>0.69213617774286096</v>
      </c>
      <c r="E215" s="19">
        <f ca="1">IF(RAND()&lt;P_Zero,0,IF(RAND()&lt;CondReturn,_xlfn.LOGNORM.INV(RAND(),MV2,Sigma1),IF(RAND()&lt;CondGood,_xlfn.LOGNORM.INV(RAND(),MV3,Sigma2),MIN(MaxMultiple,Xm/(1-RAND())^(1/Alpha)))))</f>
        <v>1.6290139923651374</v>
      </c>
      <c r="F215" s="19">
        <f ca="1">IF(RAND()&lt;P_Zero,0,IF(RAND()&lt;CondReturn,_xlfn.LOGNORM.INV(RAND(),MV2,Sigma1),IF(RAND()&lt;CondGood,_xlfn.LOGNORM.INV(RAND(),MV3,Sigma2),MIN(MaxMultiple,Xm/(1-RAND())^(1/Alpha)))))</f>
        <v>0.51264467166120842</v>
      </c>
      <c r="G215" s="19">
        <f ca="1">IF(RAND()&lt;P_Zero,0,IF(RAND()&lt;CondReturn,_xlfn.LOGNORM.INV(RAND(),MV2,Sigma1),IF(RAND()&lt;CondGood,_xlfn.LOGNORM.INV(RAND(),MV3,Sigma2),MIN(MaxMultiple,Xm/(1-RAND())^(1/Alpha)))))</f>
        <v>0</v>
      </c>
      <c r="H215" s="19">
        <f ca="1">IF(RAND()&lt;P_Zero,0,IF(RAND()&lt;CondReturn,_xlfn.LOGNORM.INV(RAND(),MV2,Sigma1),IF(RAND()&lt;CondGood,_xlfn.LOGNORM.INV(RAND(),MV3,Sigma2),MIN(MaxMultiple,Xm/(1-RAND())^(1/Alpha)))))</f>
        <v>0</v>
      </c>
      <c r="I215" s="19">
        <f ca="1">IF(RAND()&lt;P_Zero,0,IF(RAND()&lt;CondReturn,_xlfn.LOGNORM.INV(RAND(),MV2,Sigma1),IF(RAND()&lt;CondGood,_xlfn.LOGNORM.INV(RAND(),MV3,Sigma2),MIN(MaxMultiple,Xm/(1-RAND())^(1/Alpha)))))</f>
        <v>3.1301946798747897</v>
      </c>
      <c r="J215" s="19">
        <f ca="1">IF(RAND()&lt;P_Zero,0,IF(RAND()&lt;CondReturn,_xlfn.LOGNORM.INV(RAND(),MV2,Sigma1),IF(RAND()&lt;CondGood,_xlfn.LOGNORM.INV(RAND(),MV3,Sigma2),MIN(MaxMultiple,Xm/(1-RAND())^(1/Alpha)))))</f>
        <v>1.5326808887159824</v>
      </c>
      <c r="K215" s="19">
        <f ca="1">IF(RAND()&lt;P_Zero,0,IF(RAND()&lt;CondReturn,_xlfn.LOGNORM.INV(RAND(),MV2,Sigma1),IF(RAND()&lt;CondGood,_xlfn.LOGNORM.INV(RAND(),MV3,Sigma2),MIN(MaxMultiple,Xm/(1-RAND())^(1/Alpha)))))</f>
        <v>0</v>
      </c>
      <c r="L215" s="19">
        <f ca="1">IF(RAND()&lt;P_Zero,0,IF(RAND()&lt;CondReturn,_xlfn.LOGNORM.INV(RAND(),MV2,Sigma1),IF(RAND()&lt;CondGood,_xlfn.LOGNORM.INV(RAND(),MV3,Sigma2),MIN(MaxMultiple,Xm/(1-RAND())^(1/Alpha)))))</f>
        <v>0</v>
      </c>
      <c r="M215" s="19">
        <f ca="1">IF(RAND()&lt;P_Zero,0,IF(RAND()&lt;CondReturn,_xlfn.LOGNORM.INV(RAND(),MV2,Sigma1),IF(RAND()&lt;CondGood,_xlfn.LOGNORM.INV(RAND(),MV3,Sigma2),MIN(MaxMultiple,Xm/(1-RAND())^(1/Alpha)))))</f>
        <v>1.4263506039007228</v>
      </c>
      <c r="N215" s="19">
        <f ca="1">IF(RAND()&lt;P_Zero,0,IF(RAND()&lt;CondReturn,_xlfn.LOGNORM.INV(RAND(),MV2,Sigma1),IF(RAND()&lt;CondGood,_xlfn.LOGNORM.INV(RAND(),MV3,Sigma2),MIN(MaxMultiple,Xm/(1-RAND())^(1/Alpha)))))</f>
        <v>1.3975586724258484</v>
      </c>
      <c r="O215" s="19">
        <f ca="1">IF(RAND()&lt;P_Zero,0,IF(RAND()&lt;CondReturn,_xlfn.LOGNORM.INV(RAND(),MV2,Sigma1),IF(RAND()&lt;CondGood,_xlfn.LOGNORM.INV(RAND(),MV3,Sigma2),MIN(MaxMultiple,Xm/(1-RAND())^(1/Alpha)))))</f>
        <v>13.804409020358769</v>
      </c>
      <c r="P215" s="19">
        <f ca="1">IF(RAND()&lt;P_Zero,0,IF(RAND()&lt;CondReturn,_xlfn.LOGNORM.INV(RAND(),MV2,Sigma1),IF(RAND()&lt;CondGood,_xlfn.LOGNORM.INV(RAND(),MV3,Sigma2),MIN(MaxMultiple,Xm/(1-RAND())^(1/Alpha)))))</f>
        <v>0</v>
      </c>
      <c r="Q215" s="19">
        <f ca="1">IF(RAND()&lt;P_Zero,0,IF(RAND()&lt;CondReturn,_xlfn.LOGNORM.INV(RAND(),MV2,Sigma1),IF(RAND()&lt;CondGood,_xlfn.LOGNORM.INV(RAND(),MV3,Sigma2),MIN(MaxMultiple,Xm/(1-RAND())^(1/Alpha)))))</f>
        <v>1.000300591592963</v>
      </c>
      <c r="R215" s="19">
        <f ca="1">IF(RAND()&lt;P_Zero,0,IF(RAND()&lt;CondReturn,_xlfn.LOGNORM.INV(RAND(),MV2,Sigma1),IF(RAND()&lt;CondGood,_xlfn.LOGNORM.INV(RAND(),MV3,Sigma2),MIN(MaxMultiple,Xm/(1-RAND())^(1/Alpha)))))</f>
        <v>0</v>
      </c>
      <c r="S215" s="19">
        <f ca="1">IF(RAND()&lt;P_Zero,0,IF(RAND()&lt;CondReturn,_xlfn.LOGNORM.INV(RAND(),MV2,Sigma1),IF(RAND()&lt;CondGood,_xlfn.LOGNORM.INV(RAND(),MV3,Sigma2),MIN(MaxMultiple,Xm/(1-RAND())^(1/Alpha)))))</f>
        <v>11.402684648467039</v>
      </c>
      <c r="T215" s="19">
        <f ca="1">IF(RAND()&lt;P_Zero,0,IF(RAND()&lt;CondReturn,_xlfn.LOGNORM.INV(RAND(),MV2,Sigma1),IF(RAND()&lt;CondGood,_xlfn.LOGNORM.INV(RAND(),MV3,Sigma2),MIN(MaxMultiple,Xm/(1-RAND())^(1/Alpha)))))</f>
        <v>0.79668864743326695</v>
      </c>
      <c r="U215" s="19">
        <f ca="1">IF(RAND()&lt;P_Zero,0,IF(RAND()&lt;CondReturn,_xlfn.LOGNORM.INV(RAND(),MV2,Sigma1),IF(RAND()&lt;CondGood,_xlfn.LOGNORM.INV(RAND(),MV3,Sigma2),MIN(MaxMultiple,Xm/(1-RAND())^(1/Alpha)))))</f>
        <v>1.3238426129347727</v>
      </c>
      <c r="V215" s="19">
        <f ca="1">IF(RAND()&lt;P_Zero,0,IF(RAND()&lt;CondReturn,_xlfn.LOGNORM.INV(RAND(),MV2,Sigma1),IF(RAND()&lt;CondGood,_xlfn.LOGNORM.INV(RAND(),MV3,Sigma2),MIN(MaxMultiple,Xm/(1-RAND())^(1/Alpha)))))</f>
        <v>0</v>
      </c>
      <c r="W215" s="19">
        <f ca="1">IF(RAND()&lt;P_Zero,0,IF(RAND()&lt;CondReturn,_xlfn.LOGNORM.INV(RAND(),MV2,Sigma1),IF(RAND()&lt;CondGood,_xlfn.LOGNORM.INV(RAND(),MV3,Sigma2),MIN(MaxMultiple,Xm/(1-RAND())^(1/Alpha)))))</f>
        <v>0.60792005850171738</v>
      </c>
      <c r="X215" s="19">
        <f ca="1">IF(RAND()&lt;P_Zero,0,IF(RAND()&lt;CondReturn,_xlfn.LOGNORM.INV(RAND(),MV2,Sigma1),IF(RAND()&lt;CondGood,_xlfn.LOGNORM.INV(RAND(),MV3,Sigma2),MIN(MaxMultiple,Xm/(1-RAND())^(1/Alpha)))))</f>
        <v>0.38949436581204794</v>
      </c>
      <c r="Y215" s="19">
        <f ca="1">IF(RAND()&lt;P_Zero,0,IF(RAND()&lt;CondReturn,_xlfn.LOGNORM.INV(RAND(),MV2,Sigma1),IF(RAND()&lt;CondGood,_xlfn.LOGNORM.INV(RAND(),MV3,Sigma2),MIN(MaxMultiple,Xm/(1-RAND())^(1/Alpha)))))</f>
        <v>0</v>
      </c>
      <c r="Z215" s="19">
        <f ca="1">IF(RAND()&lt;P_Zero,0,IF(RAND()&lt;CondReturn,_xlfn.LOGNORM.INV(RAND(),MV2,Sigma1),IF(RAND()&lt;CondGood,_xlfn.LOGNORM.INV(RAND(),MV3,Sigma2),MIN(MaxMultiple,Xm/(1-RAND())^(1/Alpha)))))</f>
        <v>1.1740603813020036</v>
      </c>
      <c r="AA215" s="19">
        <f ca="1">IF(RAND()&lt;P_Zero,0,IF(RAND()&lt;CondReturn,_xlfn.LOGNORM.INV(RAND(),MV2,Sigma1),IF(RAND()&lt;CondGood,_xlfn.LOGNORM.INV(RAND(),MV3,Sigma2),MIN(MaxMultiple,Xm/(1-RAND())^(1/Alpha)))))</f>
        <v>63.732945329756006</v>
      </c>
      <c r="AB215" s="19">
        <f t="shared" ca="1" si="24"/>
        <v>4.182117013713806</v>
      </c>
      <c r="AC215" s="14">
        <f t="shared" ca="1" si="25"/>
        <v>200741616.6582627</v>
      </c>
      <c r="AD215" s="14">
        <f t="shared" ca="1" si="26"/>
        <v>152741616.6582627</v>
      </c>
      <c r="AE215" s="14">
        <f t="shared" si="27"/>
        <v>55628399.869093813</v>
      </c>
      <c r="AF215" s="14">
        <f t="shared" ca="1" si="28"/>
        <v>97113216.789168894</v>
      </c>
      <c r="AG215" s="14">
        <f t="shared" ca="1" si="29"/>
        <v>19422643.35783378</v>
      </c>
      <c r="AH215" s="14">
        <f t="shared" ca="1" si="30"/>
        <v>181318973.30042893</v>
      </c>
      <c r="AI215" s="19">
        <f t="shared" ca="1" si="31"/>
        <v>3.021982888340482</v>
      </c>
    </row>
    <row r="216" spans="2:35" x14ac:dyDescent="0.2">
      <c r="B216" s="1">
        <v>211</v>
      </c>
      <c r="C216" s="19">
        <f ca="1">IF(RAND()&lt;P_Zero,0,IF(RAND()&lt;CondReturn,_xlfn.LOGNORM.INV(RAND(),MV2,Sigma1),IF(RAND()&lt;CondGood,_xlfn.LOGNORM.INV(RAND(),MV3,Sigma2),MIN(MaxMultiple,Xm/(1-RAND())^(1/Alpha)))))</f>
        <v>0.28690264335536758</v>
      </c>
      <c r="D216" s="19">
        <f ca="1">IF(RAND()&lt;P_Zero,0,IF(RAND()&lt;CondReturn,_xlfn.LOGNORM.INV(RAND(),MV2,Sigma1),IF(RAND()&lt;CondGood,_xlfn.LOGNORM.INV(RAND(),MV3,Sigma2),MIN(MaxMultiple,Xm/(1-RAND())^(1/Alpha)))))</f>
        <v>2.7358684813968979</v>
      </c>
      <c r="E216" s="19">
        <f ca="1">IF(RAND()&lt;P_Zero,0,IF(RAND()&lt;CondReturn,_xlfn.LOGNORM.INV(RAND(),MV2,Sigma1),IF(RAND()&lt;CondGood,_xlfn.LOGNORM.INV(RAND(),MV3,Sigma2),MIN(MaxMultiple,Xm/(1-RAND())^(1/Alpha)))))</f>
        <v>0</v>
      </c>
      <c r="F216" s="19">
        <f ca="1">IF(RAND()&lt;P_Zero,0,IF(RAND()&lt;CondReturn,_xlfn.LOGNORM.INV(RAND(),MV2,Sigma1),IF(RAND()&lt;CondGood,_xlfn.LOGNORM.INV(RAND(),MV3,Sigma2),MIN(MaxMultiple,Xm/(1-RAND())^(1/Alpha)))))</f>
        <v>0</v>
      </c>
      <c r="G216" s="19">
        <f ca="1">IF(RAND()&lt;P_Zero,0,IF(RAND()&lt;CondReturn,_xlfn.LOGNORM.INV(RAND(),MV2,Sigma1),IF(RAND()&lt;CondGood,_xlfn.LOGNORM.INV(RAND(),MV3,Sigma2),MIN(MaxMultiple,Xm/(1-RAND())^(1/Alpha)))))</f>
        <v>0.79035217993359841</v>
      </c>
      <c r="H216" s="19">
        <f ca="1">IF(RAND()&lt;P_Zero,0,IF(RAND()&lt;CondReturn,_xlfn.LOGNORM.INV(RAND(),MV2,Sigma1),IF(RAND()&lt;CondGood,_xlfn.LOGNORM.INV(RAND(),MV3,Sigma2),MIN(MaxMultiple,Xm/(1-RAND())^(1/Alpha)))))</f>
        <v>85.250449371347685</v>
      </c>
      <c r="I216" s="19">
        <f ca="1">IF(RAND()&lt;P_Zero,0,IF(RAND()&lt;CondReturn,_xlfn.LOGNORM.INV(RAND(),MV2,Sigma1),IF(RAND()&lt;CondGood,_xlfn.LOGNORM.INV(RAND(),MV3,Sigma2),MIN(MaxMultiple,Xm/(1-RAND())^(1/Alpha)))))</f>
        <v>0.36249612401954034</v>
      </c>
      <c r="J216" s="19">
        <f ca="1">IF(RAND()&lt;P_Zero,0,IF(RAND()&lt;CondReturn,_xlfn.LOGNORM.INV(RAND(),MV2,Sigma1),IF(RAND()&lt;CondGood,_xlfn.LOGNORM.INV(RAND(),MV3,Sigma2),MIN(MaxMultiple,Xm/(1-RAND())^(1/Alpha)))))</f>
        <v>2.5384890366241804</v>
      </c>
      <c r="K216" s="19">
        <f ca="1">IF(RAND()&lt;P_Zero,0,IF(RAND()&lt;CondReturn,_xlfn.LOGNORM.INV(RAND(),MV2,Sigma1),IF(RAND()&lt;CondGood,_xlfn.LOGNORM.INV(RAND(),MV3,Sigma2),MIN(MaxMultiple,Xm/(1-RAND())^(1/Alpha)))))</f>
        <v>0</v>
      </c>
      <c r="L216" s="19">
        <f ca="1">IF(RAND()&lt;P_Zero,0,IF(RAND()&lt;CondReturn,_xlfn.LOGNORM.INV(RAND(),MV2,Sigma1),IF(RAND()&lt;CondGood,_xlfn.LOGNORM.INV(RAND(),MV3,Sigma2),MIN(MaxMultiple,Xm/(1-RAND())^(1/Alpha)))))</f>
        <v>1.4097087516960938</v>
      </c>
      <c r="M216" s="19">
        <f ca="1">IF(RAND()&lt;P_Zero,0,IF(RAND()&lt;CondReturn,_xlfn.LOGNORM.INV(RAND(),MV2,Sigma1),IF(RAND()&lt;CondGood,_xlfn.LOGNORM.INV(RAND(),MV3,Sigma2),MIN(MaxMultiple,Xm/(1-RAND())^(1/Alpha)))))</f>
        <v>42.475230996166928</v>
      </c>
      <c r="N216" s="19">
        <f ca="1">IF(RAND()&lt;P_Zero,0,IF(RAND()&lt;CondReturn,_xlfn.LOGNORM.INV(RAND(),MV2,Sigma1),IF(RAND()&lt;CondGood,_xlfn.LOGNORM.INV(RAND(),MV3,Sigma2),MIN(MaxMultiple,Xm/(1-RAND())^(1/Alpha)))))</f>
        <v>21.04843172212491</v>
      </c>
      <c r="O216" s="19">
        <f ca="1">IF(RAND()&lt;P_Zero,0,IF(RAND()&lt;CondReturn,_xlfn.LOGNORM.INV(RAND(),MV2,Sigma1),IF(RAND()&lt;CondGood,_xlfn.LOGNORM.INV(RAND(),MV3,Sigma2),MIN(MaxMultiple,Xm/(1-RAND())^(1/Alpha)))))</f>
        <v>0.63358191547430143</v>
      </c>
      <c r="P216" s="19">
        <f ca="1">IF(RAND()&lt;P_Zero,0,IF(RAND()&lt;CondReturn,_xlfn.LOGNORM.INV(RAND(),MV2,Sigma1),IF(RAND()&lt;CondGood,_xlfn.LOGNORM.INV(RAND(),MV3,Sigma2),MIN(MaxMultiple,Xm/(1-RAND())^(1/Alpha)))))</f>
        <v>1.5694132112200869</v>
      </c>
      <c r="Q216" s="19">
        <f ca="1">IF(RAND()&lt;P_Zero,0,IF(RAND()&lt;CondReturn,_xlfn.LOGNORM.INV(RAND(),MV2,Sigma1),IF(RAND()&lt;CondGood,_xlfn.LOGNORM.INV(RAND(),MV3,Sigma2),MIN(MaxMultiple,Xm/(1-RAND())^(1/Alpha)))))</f>
        <v>0</v>
      </c>
      <c r="R216" s="19">
        <f ca="1">IF(RAND()&lt;P_Zero,0,IF(RAND()&lt;CondReturn,_xlfn.LOGNORM.INV(RAND(),MV2,Sigma1),IF(RAND()&lt;CondGood,_xlfn.LOGNORM.INV(RAND(),MV3,Sigma2),MIN(MaxMultiple,Xm/(1-RAND())^(1/Alpha)))))</f>
        <v>0.55726374958603553</v>
      </c>
      <c r="S216" s="19">
        <f ca="1">IF(RAND()&lt;P_Zero,0,IF(RAND()&lt;CondReturn,_xlfn.LOGNORM.INV(RAND(),MV2,Sigma1),IF(RAND()&lt;CondGood,_xlfn.LOGNORM.INV(RAND(),MV3,Sigma2),MIN(MaxMultiple,Xm/(1-RAND())^(1/Alpha)))))</f>
        <v>0.57915621609720402</v>
      </c>
      <c r="T216" s="19">
        <f ca="1">IF(RAND()&lt;P_Zero,0,IF(RAND()&lt;CondReturn,_xlfn.LOGNORM.INV(RAND(),MV2,Sigma1),IF(RAND()&lt;CondGood,_xlfn.LOGNORM.INV(RAND(),MV3,Sigma2),MIN(MaxMultiple,Xm/(1-RAND())^(1/Alpha)))))</f>
        <v>0</v>
      </c>
      <c r="U216" s="19">
        <f ca="1">IF(RAND()&lt;P_Zero,0,IF(RAND()&lt;CondReturn,_xlfn.LOGNORM.INV(RAND(),MV2,Sigma1),IF(RAND()&lt;CondGood,_xlfn.LOGNORM.INV(RAND(),MV3,Sigma2),MIN(MaxMultiple,Xm/(1-RAND())^(1/Alpha)))))</f>
        <v>0</v>
      </c>
      <c r="V216" s="19">
        <f ca="1">IF(RAND()&lt;P_Zero,0,IF(RAND()&lt;CondReturn,_xlfn.LOGNORM.INV(RAND(),MV2,Sigma1),IF(RAND()&lt;CondGood,_xlfn.LOGNORM.INV(RAND(),MV3,Sigma2),MIN(MaxMultiple,Xm/(1-RAND())^(1/Alpha)))))</f>
        <v>0</v>
      </c>
      <c r="W216" s="19">
        <f ca="1">IF(RAND()&lt;P_Zero,0,IF(RAND()&lt;CondReturn,_xlfn.LOGNORM.INV(RAND(),MV2,Sigma1),IF(RAND()&lt;CondGood,_xlfn.LOGNORM.INV(RAND(),MV3,Sigma2),MIN(MaxMultiple,Xm/(1-RAND())^(1/Alpha)))))</f>
        <v>0</v>
      </c>
      <c r="X216" s="19">
        <f ca="1">IF(RAND()&lt;P_Zero,0,IF(RAND()&lt;CondReturn,_xlfn.LOGNORM.INV(RAND(),MV2,Sigma1),IF(RAND()&lt;CondGood,_xlfn.LOGNORM.INV(RAND(),MV3,Sigma2),MIN(MaxMultiple,Xm/(1-RAND())^(1/Alpha)))))</f>
        <v>1.816587067602017</v>
      </c>
      <c r="Y216" s="19">
        <f ca="1">IF(RAND()&lt;P_Zero,0,IF(RAND()&lt;CondReturn,_xlfn.LOGNORM.INV(RAND(),MV2,Sigma1),IF(RAND()&lt;CondGood,_xlfn.LOGNORM.INV(RAND(),MV3,Sigma2),MIN(MaxMultiple,Xm/(1-RAND())^(1/Alpha)))))</f>
        <v>0.69452116420895049</v>
      </c>
      <c r="Z216" s="19">
        <f ca="1">IF(RAND()&lt;P_Zero,0,IF(RAND()&lt;CondReturn,_xlfn.LOGNORM.INV(RAND(),MV2,Sigma1),IF(RAND()&lt;CondGood,_xlfn.LOGNORM.INV(RAND(),MV3,Sigma2),MIN(MaxMultiple,Xm/(1-RAND())^(1/Alpha)))))</f>
        <v>0</v>
      </c>
      <c r="AA216" s="19">
        <f ca="1">IF(RAND()&lt;P_Zero,0,IF(RAND()&lt;CondReturn,_xlfn.LOGNORM.INV(RAND(),MV2,Sigma1),IF(RAND()&lt;CondGood,_xlfn.LOGNORM.INV(RAND(),MV3,Sigma2),MIN(MaxMultiple,Xm/(1-RAND())^(1/Alpha)))))</f>
        <v>1.0759800768777097</v>
      </c>
      <c r="AB216" s="19">
        <f t="shared" ca="1" si="24"/>
        <v>6.552977308309262</v>
      </c>
      <c r="AC216" s="14">
        <f t="shared" ca="1" si="25"/>
        <v>314542910.79884458</v>
      </c>
      <c r="AD216" s="14">
        <f t="shared" ca="1" si="26"/>
        <v>266542910.79884458</v>
      </c>
      <c r="AE216" s="14">
        <f t="shared" si="27"/>
        <v>55628399.869093813</v>
      </c>
      <c r="AF216" s="14">
        <f t="shared" ca="1" si="28"/>
        <v>210914510.92975077</v>
      </c>
      <c r="AG216" s="14">
        <f t="shared" ca="1" si="29"/>
        <v>42182902.18595016</v>
      </c>
      <c r="AH216" s="14">
        <f t="shared" ca="1" si="30"/>
        <v>272360008.61289442</v>
      </c>
      <c r="AI216" s="19">
        <f t="shared" ca="1" si="31"/>
        <v>4.5393334768815734</v>
      </c>
    </row>
    <row r="217" spans="2:35" x14ac:dyDescent="0.2">
      <c r="B217" s="1">
        <v>212</v>
      </c>
      <c r="C217" s="19">
        <f ca="1">IF(RAND()&lt;P_Zero,0,IF(RAND()&lt;CondReturn,_xlfn.LOGNORM.INV(RAND(),MV2,Sigma1),IF(RAND()&lt;CondGood,_xlfn.LOGNORM.INV(RAND(),MV3,Sigma2),MIN(MaxMultiple,Xm/(1-RAND())^(1/Alpha)))))</f>
        <v>1.9884044994819963</v>
      </c>
      <c r="D217" s="19">
        <f ca="1">IF(RAND()&lt;P_Zero,0,IF(RAND()&lt;CondReturn,_xlfn.LOGNORM.INV(RAND(),MV2,Sigma1),IF(RAND()&lt;CondGood,_xlfn.LOGNORM.INV(RAND(),MV3,Sigma2),MIN(MaxMultiple,Xm/(1-RAND())^(1/Alpha)))))</f>
        <v>1.610836123853594</v>
      </c>
      <c r="E217" s="19">
        <f ca="1">IF(RAND()&lt;P_Zero,0,IF(RAND()&lt;CondReturn,_xlfn.LOGNORM.INV(RAND(),MV2,Sigma1),IF(RAND()&lt;CondGood,_xlfn.LOGNORM.INV(RAND(),MV3,Sigma2),MIN(MaxMultiple,Xm/(1-RAND())^(1/Alpha)))))</f>
        <v>1.3292151533481544</v>
      </c>
      <c r="F217" s="19">
        <f ca="1">IF(RAND()&lt;P_Zero,0,IF(RAND()&lt;CondReturn,_xlfn.LOGNORM.INV(RAND(),MV2,Sigma1),IF(RAND()&lt;CondGood,_xlfn.LOGNORM.INV(RAND(),MV3,Sigma2),MIN(MaxMultiple,Xm/(1-RAND())^(1/Alpha)))))</f>
        <v>1.1270743512486339</v>
      </c>
      <c r="G217" s="19">
        <f ca="1">IF(RAND()&lt;P_Zero,0,IF(RAND()&lt;CondReturn,_xlfn.LOGNORM.INV(RAND(),MV2,Sigma1),IF(RAND()&lt;CondGood,_xlfn.LOGNORM.INV(RAND(),MV3,Sigma2),MIN(MaxMultiple,Xm/(1-RAND())^(1/Alpha)))))</f>
        <v>1.8935968860428469</v>
      </c>
      <c r="H217" s="19">
        <f ca="1">IF(RAND()&lt;P_Zero,0,IF(RAND()&lt;CondReturn,_xlfn.LOGNORM.INV(RAND(),MV2,Sigma1),IF(RAND()&lt;CondGood,_xlfn.LOGNORM.INV(RAND(),MV3,Sigma2),MIN(MaxMultiple,Xm/(1-RAND())^(1/Alpha)))))</f>
        <v>0.98050582850739942</v>
      </c>
      <c r="I217" s="19">
        <f ca="1">IF(RAND()&lt;P_Zero,0,IF(RAND()&lt;CondReturn,_xlfn.LOGNORM.INV(RAND(),MV2,Sigma1),IF(RAND()&lt;CondGood,_xlfn.LOGNORM.INV(RAND(),MV3,Sigma2),MIN(MaxMultiple,Xm/(1-RAND())^(1/Alpha)))))</f>
        <v>0</v>
      </c>
      <c r="J217" s="19">
        <f ca="1">IF(RAND()&lt;P_Zero,0,IF(RAND()&lt;CondReturn,_xlfn.LOGNORM.INV(RAND(),MV2,Sigma1),IF(RAND()&lt;CondGood,_xlfn.LOGNORM.INV(RAND(),MV3,Sigma2),MIN(MaxMultiple,Xm/(1-RAND())^(1/Alpha)))))</f>
        <v>0.68624315181794926</v>
      </c>
      <c r="K217" s="19">
        <f ca="1">IF(RAND()&lt;P_Zero,0,IF(RAND()&lt;CondReturn,_xlfn.LOGNORM.INV(RAND(),MV2,Sigma1),IF(RAND()&lt;CondGood,_xlfn.LOGNORM.INV(RAND(),MV3,Sigma2),MIN(MaxMultiple,Xm/(1-RAND())^(1/Alpha)))))</f>
        <v>87.955371183424703</v>
      </c>
      <c r="L217" s="19">
        <f ca="1">IF(RAND()&lt;P_Zero,0,IF(RAND()&lt;CondReturn,_xlfn.LOGNORM.INV(RAND(),MV2,Sigma1),IF(RAND()&lt;CondGood,_xlfn.LOGNORM.INV(RAND(),MV3,Sigma2),MIN(MaxMultiple,Xm/(1-RAND())^(1/Alpha)))))</f>
        <v>1.0305248881174074</v>
      </c>
      <c r="M217" s="19">
        <f ca="1">IF(RAND()&lt;P_Zero,0,IF(RAND()&lt;CondReturn,_xlfn.LOGNORM.INV(RAND(),MV2,Sigma1),IF(RAND()&lt;CondGood,_xlfn.LOGNORM.INV(RAND(),MV3,Sigma2),MIN(MaxMultiple,Xm/(1-RAND())^(1/Alpha)))))</f>
        <v>0</v>
      </c>
      <c r="N217" s="19">
        <f ca="1">IF(RAND()&lt;P_Zero,0,IF(RAND()&lt;CondReturn,_xlfn.LOGNORM.INV(RAND(),MV2,Sigma1),IF(RAND()&lt;CondGood,_xlfn.LOGNORM.INV(RAND(),MV3,Sigma2),MIN(MaxMultiple,Xm/(1-RAND())^(1/Alpha)))))</f>
        <v>1.5567527060881363</v>
      </c>
      <c r="O217" s="19">
        <f ca="1">IF(RAND()&lt;P_Zero,0,IF(RAND()&lt;CondReturn,_xlfn.LOGNORM.INV(RAND(),MV2,Sigma1),IF(RAND()&lt;CondGood,_xlfn.LOGNORM.INV(RAND(),MV3,Sigma2),MIN(MaxMultiple,Xm/(1-RAND())^(1/Alpha)))))</f>
        <v>0</v>
      </c>
      <c r="P217" s="19">
        <f ca="1">IF(RAND()&lt;P_Zero,0,IF(RAND()&lt;CondReturn,_xlfn.LOGNORM.INV(RAND(),MV2,Sigma1),IF(RAND()&lt;CondGood,_xlfn.LOGNORM.INV(RAND(),MV3,Sigma2),MIN(MaxMultiple,Xm/(1-RAND())^(1/Alpha)))))</f>
        <v>0.3587954247375908</v>
      </c>
      <c r="Q217" s="19">
        <f ca="1">IF(RAND()&lt;P_Zero,0,IF(RAND()&lt;CondReturn,_xlfn.LOGNORM.INV(RAND(),MV2,Sigma1),IF(RAND()&lt;CondGood,_xlfn.LOGNORM.INV(RAND(),MV3,Sigma2),MIN(MaxMultiple,Xm/(1-RAND())^(1/Alpha)))))</f>
        <v>0</v>
      </c>
      <c r="R217" s="19">
        <f ca="1">IF(RAND()&lt;P_Zero,0,IF(RAND()&lt;CondReturn,_xlfn.LOGNORM.INV(RAND(),MV2,Sigma1),IF(RAND()&lt;CondGood,_xlfn.LOGNORM.INV(RAND(),MV3,Sigma2),MIN(MaxMultiple,Xm/(1-RAND())^(1/Alpha)))))</f>
        <v>0.39175598859327893</v>
      </c>
      <c r="S217" s="19">
        <f ca="1">IF(RAND()&lt;P_Zero,0,IF(RAND()&lt;CondReturn,_xlfn.LOGNORM.INV(RAND(),MV2,Sigma1),IF(RAND()&lt;CondGood,_xlfn.LOGNORM.INV(RAND(),MV3,Sigma2),MIN(MaxMultiple,Xm/(1-RAND())^(1/Alpha)))))</f>
        <v>1.0970619863732041</v>
      </c>
      <c r="T217" s="19">
        <f ca="1">IF(RAND()&lt;P_Zero,0,IF(RAND()&lt;CondReturn,_xlfn.LOGNORM.INV(RAND(),MV2,Sigma1),IF(RAND()&lt;CondGood,_xlfn.LOGNORM.INV(RAND(),MV3,Sigma2),MIN(MaxMultiple,Xm/(1-RAND())^(1/Alpha)))))</f>
        <v>0</v>
      </c>
      <c r="U217" s="19">
        <f ca="1">IF(RAND()&lt;P_Zero,0,IF(RAND()&lt;CondReturn,_xlfn.LOGNORM.INV(RAND(),MV2,Sigma1),IF(RAND()&lt;CondGood,_xlfn.LOGNORM.INV(RAND(),MV3,Sigma2),MIN(MaxMultiple,Xm/(1-RAND())^(1/Alpha)))))</f>
        <v>0</v>
      </c>
      <c r="V217" s="19">
        <f ca="1">IF(RAND()&lt;P_Zero,0,IF(RAND()&lt;CondReturn,_xlfn.LOGNORM.INV(RAND(),MV2,Sigma1),IF(RAND()&lt;CondGood,_xlfn.LOGNORM.INV(RAND(),MV3,Sigma2),MIN(MaxMultiple,Xm/(1-RAND())^(1/Alpha)))))</f>
        <v>0</v>
      </c>
      <c r="W217" s="19">
        <f ca="1">IF(RAND()&lt;P_Zero,0,IF(RAND()&lt;CondReturn,_xlfn.LOGNORM.INV(RAND(),MV2,Sigma1),IF(RAND()&lt;CondGood,_xlfn.LOGNORM.INV(RAND(),MV3,Sigma2),MIN(MaxMultiple,Xm/(1-RAND())^(1/Alpha)))))</f>
        <v>0</v>
      </c>
      <c r="X217" s="19">
        <f ca="1">IF(RAND()&lt;P_Zero,0,IF(RAND()&lt;CondReturn,_xlfn.LOGNORM.INV(RAND(),MV2,Sigma1),IF(RAND()&lt;CondGood,_xlfn.LOGNORM.INV(RAND(),MV3,Sigma2),MIN(MaxMultiple,Xm/(1-RAND())^(1/Alpha)))))</f>
        <v>1.0504414720031439</v>
      </c>
      <c r="Y217" s="19">
        <f ca="1">IF(RAND()&lt;P_Zero,0,IF(RAND()&lt;CondReturn,_xlfn.LOGNORM.INV(RAND(),MV2,Sigma1),IF(RAND()&lt;CondGood,_xlfn.LOGNORM.INV(RAND(),MV3,Sigma2),MIN(MaxMultiple,Xm/(1-RAND())^(1/Alpha)))))</f>
        <v>0</v>
      </c>
      <c r="Z217" s="19">
        <f ca="1">IF(RAND()&lt;P_Zero,0,IF(RAND()&lt;CondReturn,_xlfn.LOGNORM.INV(RAND(),MV2,Sigma1),IF(RAND()&lt;CondGood,_xlfn.LOGNORM.INV(RAND(),MV3,Sigma2),MIN(MaxMultiple,Xm/(1-RAND())^(1/Alpha)))))</f>
        <v>0.95468875077758963</v>
      </c>
      <c r="AA217" s="19">
        <f ca="1">IF(RAND()&lt;P_Zero,0,IF(RAND()&lt;CondReturn,_xlfn.LOGNORM.INV(RAND(),MV2,Sigma1),IF(RAND()&lt;CondGood,_xlfn.LOGNORM.INV(RAND(),MV3,Sigma2),MIN(MaxMultiple,Xm/(1-RAND())^(1/Alpha)))))</f>
        <v>1.1071512464708895</v>
      </c>
      <c r="AB217" s="19">
        <f t="shared" ca="1" si="24"/>
        <v>4.2047367856354603</v>
      </c>
      <c r="AC217" s="14">
        <f t="shared" ca="1" si="25"/>
        <v>201827365.71050209</v>
      </c>
      <c r="AD217" s="14">
        <f t="shared" ca="1" si="26"/>
        <v>153827365.71050209</v>
      </c>
      <c r="AE217" s="14">
        <f t="shared" si="27"/>
        <v>55628399.869093813</v>
      </c>
      <c r="AF217" s="14">
        <f t="shared" ca="1" si="28"/>
        <v>98198965.841408283</v>
      </c>
      <c r="AG217" s="14">
        <f t="shared" ca="1" si="29"/>
        <v>19639793.168281656</v>
      </c>
      <c r="AH217" s="14">
        <f t="shared" ca="1" si="30"/>
        <v>182187572.54222044</v>
      </c>
      <c r="AI217" s="19">
        <f t="shared" ca="1" si="31"/>
        <v>3.0364595423703409</v>
      </c>
    </row>
    <row r="218" spans="2:35" x14ac:dyDescent="0.2">
      <c r="B218" s="1">
        <v>213</v>
      </c>
      <c r="C218" s="19">
        <f ca="1">IF(RAND()&lt;P_Zero,0,IF(RAND()&lt;CondReturn,_xlfn.LOGNORM.INV(RAND(),MV2,Sigma1),IF(RAND()&lt;CondGood,_xlfn.LOGNORM.INV(RAND(),MV3,Sigma2),MIN(MaxMultiple,Xm/(1-RAND())^(1/Alpha)))))</f>
        <v>0</v>
      </c>
      <c r="D218" s="19">
        <f ca="1">IF(RAND()&lt;P_Zero,0,IF(RAND()&lt;CondReturn,_xlfn.LOGNORM.INV(RAND(),MV2,Sigma1),IF(RAND()&lt;CondGood,_xlfn.LOGNORM.INV(RAND(),MV3,Sigma2),MIN(MaxMultiple,Xm/(1-RAND())^(1/Alpha)))))</f>
        <v>0</v>
      </c>
      <c r="E218" s="19">
        <f ca="1">IF(RAND()&lt;P_Zero,0,IF(RAND()&lt;CondReturn,_xlfn.LOGNORM.INV(RAND(),MV2,Sigma1),IF(RAND()&lt;CondGood,_xlfn.LOGNORM.INV(RAND(),MV3,Sigma2),MIN(MaxMultiple,Xm/(1-RAND())^(1/Alpha)))))</f>
        <v>65.525582080872354</v>
      </c>
      <c r="F218" s="19">
        <f ca="1">IF(RAND()&lt;P_Zero,0,IF(RAND()&lt;CondReturn,_xlfn.LOGNORM.INV(RAND(),MV2,Sigma1),IF(RAND()&lt;CondGood,_xlfn.LOGNORM.INV(RAND(),MV3,Sigma2),MIN(MaxMultiple,Xm/(1-RAND())^(1/Alpha)))))</f>
        <v>0</v>
      </c>
      <c r="G218" s="19">
        <f ca="1">IF(RAND()&lt;P_Zero,0,IF(RAND()&lt;CondReturn,_xlfn.LOGNORM.INV(RAND(),MV2,Sigma1),IF(RAND()&lt;CondGood,_xlfn.LOGNORM.INV(RAND(),MV3,Sigma2),MIN(MaxMultiple,Xm/(1-RAND())^(1/Alpha)))))</f>
        <v>1.5643823799978227</v>
      </c>
      <c r="H218" s="19">
        <f ca="1">IF(RAND()&lt;P_Zero,0,IF(RAND()&lt;CondReturn,_xlfn.LOGNORM.INV(RAND(),MV2,Sigma1),IF(RAND()&lt;CondGood,_xlfn.LOGNORM.INV(RAND(),MV3,Sigma2),MIN(MaxMultiple,Xm/(1-RAND())^(1/Alpha)))))</f>
        <v>0</v>
      </c>
      <c r="I218" s="19">
        <f ca="1">IF(RAND()&lt;P_Zero,0,IF(RAND()&lt;CondReturn,_xlfn.LOGNORM.INV(RAND(),MV2,Sigma1),IF(RAND()&lt;CondGood,_xlfn.LOGNORM.INV(RAND(),MV3,Sigma2),MIN(MaxMultiple,Xm/(1-RAND())^(1/Alpha)))))</f>
        <v>0.71060711598031145</v>
      </c>
      <c r="J218" s="19">
        <f ca="1">IF(RAND()&lt;P_Zero,0,IF(RAND()&lt;CondReturn,_xlfn.LOGNORM.INV(RAND(),MV2,Sigma1),IF(RAND()&lt;CondGood,_xlfn.LOGNORM.INV(RAND(),MV3,Sigma2),MIN(MaxMultiple,Xm/(1-RAND())^(1/Alpha)))))</f>
        <v>0.6213163902804022</v>
      </c>
      <c r="K218" s="19">
        <f ca="1">IF(RAND()&lt;P_Zero,0,IF(RAND()&lt;CondReturn,_xlfn.LOGNORM.INV(RAND(),MV2,Sigma1),IF(RAND()&lt;CondGood,_xlfn.LOGNORM.INV(RAND(),MV3,Sigma2),MIN(MaxMultiple,Xm/(1-RAND())^(1/Alpha)))))</f>
        <v>0.90053881994370855</v>
      </c>
      <c r="L218" s="19">
        <f ca="1">IF(RAND()&lt;P_Zero,0,IF(RAND()&lt;CondReturn,_xlfn.LOGNORM.INV(RAND(),MV2,Sigma1),IF(RAND()&lt;CondGood,_xlfn.LOGNORM.INV(RAND(),MV3,Sigma2),MIN(MaxMultiple,Xm/(1-RAND())^(1/Alpha)))))</f>
        <v>0</v>
      </c>
      <c r="M218" s="19">
        <f ca="1">IF(RAND()&lt;P_Zero,0,IF(RAND()&lt;CondReturn,_xlfn.LOGNORM.INV(RAND(),MV2,Sigma1),IF(RAND()&lt;CondGood,_xlfn.LOGNORM.INV(RAND(),MV3,Sigma2),MIN(MaxMultiple,Xm/(1-RAND())^(1/Alpha)))))</f>
        <v>0</v>
      </c>
      <c r="N218" s="19">
        <f ca="1">IF(RAND()&lt;P_Zero,0,IF(RAND()&lt;CondReturn,_xlfn.LOGNORM.INV(RAND(),MV2,Sigma1),IF(RAND()&lt;CondGood,_xlfn.LOGNORM.INV(RAND(),MV3,Sigma2),MIN(MaxMultiple,Xm/(1-RAND())^(1/Alpha)))))</f>
        <v>0</v>
      </c>
      <c r="O218" s="19">
        <f ca="1">IF(RAND()&lt;P_Zero,0,IF(RAND()&lt;CondReturn,_xlfn.LOGNORM.INV(RAND(),MV2,Sigma1),IF(RAND()&lt;CondGood,_xlfn.LOGNORM.INV(RAND(),MV3,Sigma2),MIN(MaxMultiple,Xm/(1-RAND())^(1/Alpha)))))</f>
        <v>0.63055689591273156</v>
      </c>
      <c r="P218" s="19">
        <f ca="1">IF(RAND()&lt;P_Zero,0,IF(RAND()&lt;CondReturn,_xlfn.LOGNORM.INV(RAND(),MV2,Sigma1),IF(RAND()&lt;CondGood,_xlfn.LOGNORM.INV(RAND(),MV3,Sigma2),MIN(MaxMultiple,Xm/(1-RAND())^(1/Alpha)))))</f>
        <v>0.75055836657136032</v>
      </c>
      <c r="Q218" s="19">
        <f ca="1">IF(RAND()&lt;P_Zero,0,IF(RAND()&lt;CondReturn,_xlfn.LOGNORM.INV(RAND(),MV2,Sigma1),IF(RAND()&lt;CondGood,_xlfn.LOGNORM.INV(RAND(),MV3,Sigma2),MIN(MaxMultiple,Xm/(1-RAND())^(1/Alpha)))))</f>
        <v>2.5148460729911473</v>
      </c>
      <c r="R218" s="19">
        <f ca="1">IF(RAND()&lt;P_Zero,0,IF(RAND()&lt;CondReturn,_xlfn.LOGNORM.INV(RAND(),MV2,Sigma1),IF(RAND()&lt;CondGood,_xlfn.LOGNORM.INV(RAND(),MV3,Sigma2),MIN(MaxMultiple,Xm/(1-RAND())^(1/Alpha)))))</f>
        <v>0.80442792631191984</v>
      </c>
      <c r="S218" s="19">
        <f ca="1">IF(RAND()&lt;P_Zero,0,IF(RAND()&lt;CondReturn,_xlfn.LOGNORM.INV(RAND(),MV2,Sigma1),IF(RAND()&lt;CondGood,_xlfn.LOGNORM.INV(RAND(),MV3,Sigma2),MIN(MaxMultiple,Xm/(1-RAND())^(1/Alpha)))))</f>
        <v>2.0346899346398493</v>
      </c>
      <c r="T218" s="19">
        <f ca="1">IF(RAND()&lt;P_Zero,0,IF(RAND()&lt;CondReturn,_xlfn.LOGNORM.INV(RAND(),MV2,Sigma1),IF(RAND()&lt;CondGood,_xlfn.LOGNORM.INV(RAND(),MV3,Sigma2),MIN(MaxMultiple,Xm/(1-RAND())^(1/Alpha)))))</f>
        <v>0</v>
      </c>
      <c r="U218" s="19">
        <f ca="1">IF(RAND()&lt;P_Zero,0,IF(RAND()&lt;CondReturn,_xlfn.LOGNORM.INV(RAND(),MV2,Sigma1),IF(RAND()&lt;CondGood,_xlfn.LOGNORM.INV(RAND(),MV3,Sigma2),MIN(MaxMultiple,Xm/(1-RAND())^(1/Alpha)))))</f>
        <v>1.0186867139251432</v>
      </c>
      <c r="V218" s="19">
        <f ca="1">IF(RAND()&lt;P_Zero,0,IF(RAND()&lt;CondReturn,_xlfn.LOGNORM.INV(RAND(),MV2,Sigma1),IF(RAND()&lt;CondGood,_xlfn.LOGNORM.INV(RAND(),MV3,Sigma2),MIN(MaxMultiple,Xm/(1-RAND())^(1/Alpha)))))</f>
        <v>0.75658726319519576</v>
      </c>
      <c r="W218" s="19">
        <f ca="1">IF(RAND()&lt;P_Zero,0,IF(RAND()&lt;CondReturn,_xlfn.LOGNORM.INV(RAND(),MV2,Sigma1),IF(RAND()&lt;CondGood,_xlfn.LOGNORM.INV(RAND(),MV3,Sigma2),MIN(MaxMultiple,Xm/(1-RAND())^(1/Alpha)))))</f>
        <v>0.84794451505010748</v>
      </c>
      <c r="X218" s="19">
        <f ca="1">IF(RAND()&lt;P_Zero,0,IF(RAND()&lt;CondReturn,_xlfn.LOGNORM.INV(RAND(),MV2,Sigma1),IF(RAND()&lt;CondGood,_xlfn.LOGNORM.INV(RAND(),MV3,Sigma2),MIN(MaxMultiple,Xm/(1-RAND())^(1/Alpha)))))</f>
        <v>0</v>
      </c>
      <c r="Y218" s="19">
        <f ca="1">IF(RAND()&lt;P_Zero,0,IF(RAND()&lt;CondReturn,_xlfn.LOGNORM.INV(RAND(),MV2,Sigma1),IF(RAND()&lt;CondGood,_xlfn.LOGNORM.INV(RAND(),MV3,Sigma2),MIN(MaxMultiple,Xm/(1-RAND())^(1/Alpha)))))</f>
        <v>1.0773230195918706</v>
      </c>
      <c r="Z218" s="19">
        <f ca="1">IF(RAND()&lt;P_Zero,0,IF(RAND()&lt;CondReturn,_xlfn.LOGNORM.INV(RAND(),MV2,Sigma1),IF(RAND()&lt;CondGood,_xlfn.LOGNORM.INV(RAND(),MV3,Sigma2),MIN(MaxMultiple,Xm/(1-RAND())^(1/Alpha)))))</f>
        <v>0</v>
      </c>
      <c r="AA218" s="19">
        <f ca="1">IF(RAND()&lt;P_Zero,0,IF(RAND()&lt;CondReturn,_xlfn.LOGNORM.INV(RAND(),MV2,Sigma1),IF(RAND()&lt;CondGood,_xlfn.LOGNORM.INV(RAND(),MV3,Sigma2),MIN(MaxMultiple,Xm/(1-RAND())^(1/Alpha)))))</f>
        <v>1.8521975338658436</v>
      </c>
      <c r="AB218" s="19">
        <f t="shared" ca="1" si="24"/>
        <v>3.2644098011651903</v>
      </c>
      <c r="AC218" s="14">
        <f t="shared" ca="1" si="25"/>
        <v>156691670.45592913</v>
      </c>
      <c r="AD218" s="14">
        <f t="shared" ca="1" si="26"/>
        <v>108691670.45592913</v>
      </c>
      <c r="AE218" s="14">
        <f t="shared" si="27"/>
        <v>55628399.869093813</v>
      </c>
      <c r="AF218" s="14">
        <f t="shared" ca="1" si="28"/>
        <v>53063270.586835317</v>
      </c>
      <c r="AG218" s="14">
        <f t="shared" ca="1" si="29"/>
        <v>10612654.117367065</v>
      </c>
      <c r="AH218" s="14">
        <f t="shared" ca="1" si="30"/>
        <v>146079016.33856207</v>
      </c>
      <c r="AI218" s="19">
        <f t="shared" ca="1" si="31"/>
        <v>2.4346502723093679</v>
      </c>
    </row>
    <row r="219" spans="2:35" x14ac:dyDescent="0.2">
      <c r="B219" s="1">
        <v>214</v>
      </c>
      <c r="C219" s="19">
        <f ca="1">IF(RAND()&lt;P_Zero,0,IF(RAND()&lt;CondReturn,_xlfn.LOGNORM.INV(RAND(),MV2,Sigma1),IF(RAND()&lt;CondGood,_xlfn.LOGNORM.INV(RAND(),MV3,Sigma2),MIN(MaxMultiple,Xm/(1-RAND())^(1/Alpha)))))</f>
        <v>1.4018851316531353</v>
      </c>
      <c r="D219" s="19">
        <f ca="1">IF(RAND()&lt;P_Zero,0,IF(RAND()&lt;CondReturn,_xlfn.LOGNORM.INV(RAND(),MV2,Sigma1),IF(RAND()&lt;CondGood,_xlfn.LOGNORM.INV(RAND(),MV3,Sigma2),MIN(MaxMultiple,Xm/(1-RAND())^(1/Alpha)))))</f>
        <v>0</v>
      </c>
      <c r="E219" s="19">
        <f ca="1">IF(RAND()&lt;P_Zero,0,IF(RAND()&lt;CondReturn,_xlfn.LOGNORM.INV(RAND(),MV2,Sigma1),IF(RAND()&lt;CondGood,_xlfn.LOGNORM.INV(RAND(),MV3,Sigma2),MIN(MaxMultiple,Xm/(1-RAND())^(1/Alpha)))))</f>
        <v>0</v>
      </c>
      <c r="F219" s="19">
        <f ca="1">IF(RAND()&lt;P_Zero,0,IF(RAND()&lt;CondReturn,_xlfn.LOGNORM.INV(RAND(),MV2,Sigma1),IF(RAND()&lt;CondGood,_xlfn.LOGNORM.INV(RAND(),MV3,Sigma2),MIN(MaxMultiple,Xm/(1-RAND())^(1/Alpha)))))</f>
        <v>1.3045099635617061</v>
      </c>
      <c r="G219" s="19">
        <f ca="1">IF(RAND()&lt;P_Zero,0,IF(RAND()&lt;CondReturn,_xlfn.LOGNORM.INV(RAND(),MV2,Sigma1),IF(RAND()&lt;CondGood,_xlfn.LOGNORM.INV(RAND(),MV3,Sigma2),MIN(MaxMultiple,Xm/(1-RAND())^(1/Alpha)))))</f>
        <v>1.6172028122327418</v>
      </c>
      <c r="H219" s="19">
        <f ca="1">IF(RAND()&lt;P_Zero,0,IF(RAND()&lt;CondReturn,_xlfn.LOGNORM.INV(RAND(),MV2,Sigma1),IF(RAND()&lt;CondGood,_xlfn.LOGNORM.INV(RAND(),MV3,Sigma2),MIN(MaxMultiple,Xm/(1-RAND())^(1/Alpha)))))</f>
        <v>2.3703578024944121</v>
      </c>
      <c r="I219" s="19">
        <f ca="1">IF(RAND()&lt;P_Zero,0,IF(RAND()&lt;CondReturn,_xlfn.LOGNORM.INV(RAND(),MV2,Sigma1),IF(RAND()&lt;CondGood,_xlfn.LOGNORM.INV(RAND(),MV3,Sigma2),MIN(MaxMultiple,Xm/(1-RAND())^(1/Alpha)))))</f>
        <v>1.0276208460977059</v>
      </c>
      <c r="J219" s="19">
        <f ca="1">IF(RAND()&lt;P_Zero,0,IF(RAND()&lt;CondReturn,_xlfn.LOGNORM.INV(RAND(),MV2,Sigma1),IF(RAND()&lt;CondGood,_xlfn.LOGNORM.INV(RAND(),MV3,Sigma2),MIN(MaxMultiple,Xm/(1-RAND())^(1/Alpha)))))</f>
        <v>0</v>
      </c>
      <c r="K219" s="19">
        <f ca="1">IF(RAND()&lt;P_Zero,0,IF(RAND()&lt;CondReturn,_xlfn.LOGNORM.INV(RAND(),MV2,Sigma1),IF(RAND()&lt;CondGood,_xlfn.LOGNORM.INV(RAND(),MV3,Sigma2),MIN(MaxMultiple,Xm/(1-RAND())^(1/Alpha)))))</f>
        <v>0</v>
      </c>
      <c r="L219" s="19">
        <f ca="1">IF(RAND()&lt;P_Zero,0,IF(RAND()&lt;CondReturn,_xlfn.LOGNORM.INV(RAND(),MV2,Sigma1),IF(RAND()&lt;CondGood,_xlfn.LOGNORM.INV(RAND(),MV3,Sigma2),MIN(MaxMultiple,Xm/(1-RAND())^(1/Alpha)))))</f>
        <v>0</v>
      </c>
      <c r="M219" s="19">
        <f ca="1">IF(RAND()&lt;P_Zero,0,IF(RAND()&lt;CondReturn,_xlfn.LOGNORM.INV(RAND(),MV2,Sigma1),IF(RAND()&lt;CondGood,_xlfn.LOGNORM.INV(RAND(),MV3,Sigma2),MIN(MaxMultiple,Xm/(1-RAND())^(1/Alpha)))))</f>
        <v>0</v>
      </c>
      <c r="N219" s="19">
        <f ca="1">IF(RAND()&lt;P_Zero,0,IF(RAND()&lt;CondReturn,_xlfn.LOGNORM.INV(RAND(),MV2,Sigma1),IF(RAND()&lt;CondGood,_xlfn.LOGNORM.INV(RAND(),MV3,Sigma2),MIN(MaxMultiple,Xm/(1-RAND())^(1/Alpha)))))</f>
        <v>1.4023009757111433</v>
      </c>
      <c r="O219" s="19">
        <f ca="1">IF(RAND()&lt;P_Zero,0,IF(RAND()&lt;CondReturn,_xlfn.LOGNORM.INV(RAND(),MV2,Sigma1),IF(RAND()&lt;CondGood,_xlfn.LOGNORM.INV(RAND(),MV3,Sigma2),MIN(MaxMultiple,Xm/(1-RAND())^(1/Alpha)))))</f>
        <v>0</v>
      </c>
      <c r="P219" s="19">
        <f ca="1">IF(RAND()&lt;P_Zero,0,IF(RAND()&lt;CondReturn,_xlfn.LOGNORM.INV(RAND(),MV2,Sigma1),IF(RAND()&lt;CondGood,_xlfn.LOGNORM.INV(RAND(),MV3,Sigma2),MIN(MaxMultiple,Xm/(1-RAND())^(1/Alpha)))))</f>
        <v>0.62513873074455495</v>
      </c>
      <c r="Q219" s="19">
        <f ca="1">IF(RAND()&lt;P_Zero,0,IF(RAND()&lt;CondReturn,_xlfn.LOGNORM.INV(RAND(),MV2,Sigma1),IF(RAND()&lt;CondGood,_xlfn.LOGNORM.INV(RAND(),MV3,Sigma2),MIN(MaxMultiple,Xm/(1-RAND())^(1/Alpha)))))</f>
        <v>0</v>
      </c>
      <c r="R219" s="19">
        <f ca="1">IF(RAND()&lt;P_Zero,0,IF(RAND()&lt;CondReturn,_xlfn.LOGNORM.INV(RAND(),MV2,Sigma1),IF(RAND()&lt;CondGood,_xlfn.LOGNORM.INV(RAND(),MV3,Sigma2),MIN(MaxMultiple,Xm/(1-RAND())^(1/Alpha)))))</f>
        <v>38.280797072164518</v>
      </c>
      <c r="S219" s="19">
        <f ca="1">IF(RAND()&lt;P_Zero,0,IF(RAND()&lt;CondReturn,_xlfn.LOGNORM.INV(RAND(),MV2,Sigma1),IF(RAND()&lt;CondGood,_xlfn.LOGNORM.INV(RAND(),MV3,Sigma2),MIN(MaxMultiple,Xm/(1-RAND())^(1/Alpha)))))</f>
        <v>0.70211957294152427</v>
      </c>
      <c r="T219" s="19">
        <f ca="1">IF(RAND()&lt;P_Zero,0,IF(RAND()&lt;CondReturn,_xlfn.LOGNORM.INV(RAND(),MV2,Sigma1),IF(RAND()&lt;CondGood,_xlfn.LOGNORM.INV(RAND(),MV3,Sigma2),MIN(MaxMultiple,Xm/(1-RAND())^(1/Alpha)))))</f>
        <v>0</v>
      </c>
      <c r="U219" s="19">
        <f ca="1">IF(RAND()&lt;P_Zero,0,IF(RAND()&lt;CondReturn,_xlfn.LOGNORM.INV(RAND(),MV2,Sigma1),IF(RAND()&lt;CondGood,_xlfn.LOGNORM.INV(RAND(),MV3,Sigma2),MIN(MaxMultiple,Xm/(1-RAND())^(1/Alpha)))))</f>
        <v>0</v>
      </c>
      <c r="V219" s="19">
        <f ca="1">IF(RAND()&lt;P_Zero,0,IF(RAND()&lt;CondReturn,_xlfn.LOGNORM.INV(RAND(),MV2,Sigma1),IF(RAND()&lt;CondGood,_xlfn.LOGNORM.INV(RAND(),MV3,Sigma2),MIN(MaxMultiple,Xm/(1-RAND())^(1/Alpha)))))</f>
        <v>0</v>
      </c>
      <c r="W219" s="19">
        <f ca="1">IF(RAND()&lt;P_Zero,0,IF(RAND()&lt;CondReturn,_xlfn.LOGNORM.INV(RAND(),MV2,Sigma1),IF(RAND()&lt;CondGood,_xlfn.LOGNORM.INV(RAND(),MV3,Sigma2),MIN(MaxMultiple,Xm/(1-RAND())^(1/Alpha)))))</f>
        <v>0.38934194632572855</v>
      </c>
      <c r="X219" s="19">
        <f ca="1">IF(RAND()&lt;P_Zero,0,IF(RAND()&lt;CondReturn,_xlfn.LOGNORM.INV(RAND(),MV2,Sigma1),IF(RAND()&lt;CondGood,_xlfn.LOGNORM.INV(RAND(),MV3,Sigma2),MIN(MaxMultiple,Xm/(1-RAND())^(1/Alpha)))))</f>
        <v>0</v>
      </c>
      <c r="Y219" s="19">
        <f ca="1">IF(RAND()&lt;P_Zero,0,IF(RAND()&lt;CondReturn,_xlfn.LOGNORM.INV(RAND(),MV2,Sigma1),IF(RAND()&lt;CondGood,_xlfn.LOGNORM.INV(RAND(),MV3,Sigma2),MIN(MaxMultiple,Xm/(1-RAND())^(1/Alpha)))))</f>
        <v>0.8897180355665375</v>
      </c>
      <c r="Z219" s="19">
        <f ca="1">IF(RAND()&lt;P_Zero,0,IF(RAND()&lt;CondReturn,_xlfn.LOGNORM.INV(RAND(),MV2,Sigma1),IF(RAND()&lt;CondGood,_xlfn.LOGNORM.INV(RAND(),MV3,Sigma2),MIN(MaxMultiple,Xm/(1-RAND())^(1/Alpha)))))</f>
        <v>1.2564581547978573</v>
      </c>
      <c r="AA219" s="19">
        <f ca="1">IF(RAND()&lt;P_Zero,0,IF(RAND()&lt;CondReturn,_xlfn.LOGNORM.INV(RAND(),MV2,Sigma1),IF(RAND()&lt;CondGood,_xlfn.LOGNORM.INV(RAND(),MV3,Sigma2),MIN(MaxMultiple,Xm/(1-RAND())^(1/Alpha)))))</f>
        <v>3.0420969604240056</v>
      </c>
      <c r="AB219" s="19">
        <f t="shared" ca="1" si="24"/>
        <v>2.1723819201886228</v>
      </c>
      <c r="AC219" s="14">
        <f t="shared" ca="1" si="25"/>
        <v>104274332.1690539</v>
      </c>
      <c r="AD219" s="14">
        <f t="shared" ca="1" si="26"/>
        <v>56274332.169053897</v>
      </c>
      <c r="AE219" s="14">
        <f t="shared" si="27"/>
        <v>55628399.869093813</v>
      </c>
      <c r="AF219" s="14">
        <f t="shared" ca="1" si="28"/>
        <v>645932.29996008426</v>
      </c>
      <c r="AG219" s="14">
        <f t="shared" ca="1" si="29"/>
        <v>129186.45999201685</v>
      </c>
      <c r="AH219" s="14">
        <f t="shared" ca="1" si="30"/>
        <v>104145145.70906188</v>
      </c>
      <c r="AI219" s="19">
        <f t="shared" ca="1" si="31"/>
        <v>1.7357524284843646</v>
      </c>
    </row>
    <row r="220" spans="2:35" x14ac:dyDescent="0.2">
      <c r="B220" s="1">
        <v>215</v>
      </c>
      <c r="C220" s="19">
        <f ca="1">IF(RAND()&lt;P_Zero,0,IF(RAND()&lt;CondReturn,_xlfn.LOGNORM.INV(RAND(),MV2,Sigma1),IF(RAND()&lt;CondGood,_xlfn.LOGNORM.INV(RAND(),MV3,Sigma2),MIN(MaxMultiple,Xm/(1-RAND())^(1/Alpha)))))</f>
        <v>15.398744787301013</v>
      </c>
      <c r="D220" s="19">
        <f ca="1">IF(RAND()&lt;P_Zero,0,IF(RAND()&lt;CondReturn,_xlfn.LOGNORM.INV(RAND(),MV2,Sigma1),IF(RAND()&lt;CondGood,_xlfn.LOGNORM.INV(RAND(),MV3,Sigma2),MIN(MaxMultiple,Xm/(1-RAND())^(1/Alpha)))))</f>
        <v>1.2616351329259219</v>
      </c>
      <c r="E220" s="19">
        <f ca="1">IF(RAND()&lt;P_Zero,0,IF(RAND()&lt;CondReturn,_xlfn.LOGNORM.INV(RAND(),MV2,Sigma1),IF(RAND()&lt;CondGood,_xlfn.LOGNORM.INV(RAND(),MV3,Sigma2),MIN(MaxMultiple,Xm/(1-RAND())^(1/Alpha)))))</f>
        <v>0.42956272303046583</v>
      </c>
      <c r="F220" s="19">
        <f ca="1">IF(RAND()&lt;P_Zero,0,IF(RAND()&lt;CondReturn,_xlfn.LOGNORM.INV(RAND(),MV2,Sigma1),IF(RAND()&lt;CondGood,_xlfn.LOGNORM.INV(RAND(),MV3,Sigma2),MIN(MaxMultiple,Xm/(1-RAND())^(1/Alpha)))))</f>
        <v>1.8481273506158715</v>
      </c>
      <c r="G220" s="19">
        <f ca="1">IF(RAND()&lt;P_Zero,0,IF(RAND()&lt;CondReturn,_xlfn.LOGNORM.INV(RAND(),MV2,Sigma1),IF(RAND()&lt;CondGood,_xlfn.LOGNORM.INV(RAND(),MV3,Sigma2),MIN(MaxMultiple,Xm/(1-RAND())^(1/Alpha)))))</f>
        <v>0</v>
      </c>
      <c r="H220" s="19">
        <f ca="1">IF(RAND()&lt;P_Zero,0,IF(RAND()&lt;CondReturn,_xlfn.LOGNORM.INV(RAND(),MV2,Sigma1),IF(RAND()&lt;CondGood,_xlfn.LOGNORM.INV(RAND(),MV3,Sigma2),MIN(MaxMultiple,Xm/(1-RAND())^(1/Alpha)))))</f>
        <v>47.814683453467516</v>
      </c>
      <c r="I220" s="19">
        <f ca="1">IF(RAND()&lt;P_Zero,0,IF(RAND()&lt;CondReturn,_xlfn.LOGNORM.INV(RAND(),MV2,Sigma1),IF(RAND()&lt;CondGood,_xlfn.LOGNORM.INV(RAND(),MV3,Sigma2),MIN(MaxMultiple,Xm/(1-RAND())^(1/Alpha)))))</f>
        <v>0.91110935238234381</v>
      </c>
      <c r="J220" s="19">
        <f ca="1">IF(RAND()&lt;P_Zero,0,IF(RAND()&lt;CondReturn,_xlfn.LOGNORM.INV(RAND(),MV2,Sigma1),IF(RAND()&lt;CondGood,_xlfn.LOGNORM.INV(RAND(),MV3,Sigma2),MIN(MaxMultiple,Xm/(1-RAND())^(1/Alpha)))))</f>
        <v>1.3706217051753014</v>
      </c>
      <c r="K220" s="19">
        <f ca="1">IF(RAND()&lt;P_Zero,0,IF(RAND()&lt;CondReturn,_xlfn.LOGNORM.INV(RAND(),MV2,Sigma1),IF(RAND()&lt;CondGood,_xlfn.LOGNORM.INV(RAND(),MV3,Sigma2),MIN(MaxMultiple,Xm/(1-RAND())^(1/Alpha)))))</f>
        <v>0</v>
      </c>
      <c r="L220" s="19">
        <f ca="1">IF(RAND()&lt;P_Zero,0,IF(RAND()&lt;CondReturn,_xlfn.LOGNORM.INV(RAND(),MV2,Sigma1),IF(RAND()&lt;CondGood,_xlfn.LOGNORM.INV(RAND(),MV3,Sigma2),MIN(MaxMultiple,Xm/(1-RAND())^(1/Alpha)))))</f>
        <v>0.98914620714330614</v>
      </c>
      <c r="M220" s="19">
        <f ca="1">IF(RAND()&lt;P_Zero,0,IF(RAND()&lt;CondReturn,_xlfn.LOGNORM.INV(RAND(),MV2,Sigma1),IF(RAND()&lt;CondGood,_xlfn.LOGNORM.INV(RAND(),MV3,Sigma2),MIN(MaxMultiple,Xm/(1-RAND())^(1/Alpha)))))</f>
        <v>12.370599149530147</v>
      </c>
      <c r="N220" s="19">
        <f ca="1">IF(RAND()&lt;P_Zero,0,IF(RAND()&lt;CondReturn,_xlfn.LOGNORM.INV(RAND(),MV2,Sigma1),IF(RAND()&lt;CondGood,_xlfn.LOGNORM.INV(RAND(),MV3,Sigma2),MIN(MaxMultiple,Xm/(1-RAND())^(1/Alpha)))))</f>
        <v>0</v>
      </c>
      <c r="O220" s="19">
        <f ca="1">IF(RAND()&lt;P_Zero,0,IF(RAND()&lt;CondReturn,_xlfn.LOGNORM.INV(RAND(),MV2,Sigma1),IF(RAND()&lt;CondGood,_xlfn.LOGNORM.INV(RAND(),MV3,Sigma2),MIN(MaxMultiple,Xm/(1-RAND())^(1/Alpha)))))</f>
        <v>0</v>
      </c>
      <c r="P220" s="19">
        <f ca="1">IF(RAND()&lt;P_Zero,0,IF(RAND()&lt;CondReturn,_xlfn.LOGNORM.INV(RAND(),MV2,Sigma1),IF(RAND()&lt;CondGood,_xlfn.LOGNORM.INV(RAND(),MV3,Sigma2),MIN(MaxMultiple,Xm/(1-RAND())^(1/Alpha)))))</f>
        <v>0</v>
      </c>
      <c r="Q220" s="19">
        <f ca="1">IF(RAND()&lt;P_Zero,0,IF(RAND()&lt;CondReturn,_xlfn.LOGNORM.INV(RAND(),MV2,Sigma1),IF(RAND()&lt;CondGood,_xlfn.LOGNORM.INV(RAND(),MV3,Sigma2),MIN(MaxMultiple,Xm/(1-RAND())^(1/Alpha)))))</f>
        <v>0</v>
      </c>
      <c r="R220" s="19">
        <f ca="1">IF(RAND()&lt;P_Zero,0,IF(RAND()&lt;CondReturn,_xlfn.LOGNORM.INV(RAND(),MV2,Sigma1),IF(RAND()&lt;CondGood,_xlfn.LOGNORM.INV(RAND(),MV3,Sigma2),MIN(MaxMultiple,Xm/(1-RAND())^(1/Alpha)))))</f>
        <v>1.3677621758946812</v>
      </c>
      <c r="S220" s="19">
        <f ca="1">IF(RAND()&lt;P_Zero,0,IF(RAND()&lt;CondReturn,_xlfn.LOGNORM.INV(RAND(),MV2,Sigma1),IF(RAND()&lt;CondGood,_xlfn.LOGNORM.INV(RAND(),MV3,Sigma2),MIN(MaxMultiple,Xm/(1-RAND())^(1/Alpha)))))</f>
        <v>0.52999998341823473</v>
      </c>
      <c r="T220" s="19">
        <f ca="1">IF(RAND()&lt;P_Zero,0,IF(RAND()&lt;CondReturn,_xlfn.LOGNORM.INV(RAND(),MV2,Sigma1),IF(RAND()&lt;CondGood,_xlfn.LOGNORM.INV(RAND(),MV3,Sigma2),MIN(MaxMultiple,Xm/(1-RAND())^(1/Alpha)))))</f>
        <v>1.057006532291584</v>
      </c>
      <c r="U220" s="19">
        <f ca="1">IF(RAND()&lt;P_Zero,0,IF(RAND()&lt;CondReturn,_xlfn.LOGNORM.INV(RAND(),MV2,Sigma1),IF(RAND()&lt;CondGood,_xlfn.LOGNORM.INV(RAND(),MV3,Sigma2),MIN(MaxMultiple,Xm/(1-RAND())^(1/Alpha)))))</f>
        <v>0</v>
      </c>
      <c r="V220" s="19">
        <f ca="1">IF(RAND()&lt;P_Zero,0,IF(RAND()&lt;CondReturn,_xlfn.LOGNORM.INV(RAND(),MV2,Sigma1),IF(RAND()&lt;CondGood,_xlfn.LOGNORM.INV(RAND(),MV3,Sigma2),MIN(MaxMultiple,Xm/(1-RAND())^(1/Alpha)))))</f>
        <v>2.5715783417357576</v>
      </c>
      <c r="W220" s="19">
        <f ca="1">IF(RAND()&lt;P_Zero,0,IF(RAND()&lt;CondReturn,_xlfn.LOGNORM.INV(RAND(),MV2,Sigma1),IF(RAND()&lt;CondGood,_xlfn.LOGNORM.INV(RAND(),MV3,Sigma2),MIN(MaxMultiple,Xm/(1-RAND())^(1/Alpha)))))</f>
        <v>0.69340650123310998</v>
      </c>
      <c r="X220" s="19">
        <f ca="1">IF(RAND()&lt;P_Zero,0,IF(RAND()&lt;CondReturn,_xlfn.LOGNORM.INV(RAND(),MV2,Sigma1),IF(RAND()&lt;CondGood,_xlfn.LOGNORM.INV(RAND(),MV3,Sigma2),MIN(MaxMultiple,Xm/(1-RAND())^(1/Alpha)))))</f>
        <v>1.5997300445830089</v>
      </c>
      <c r="Y220" s="19">
        <f ca="1">IF(RAND()&lt;P_Zero,0,IF(RAND()&lt;CondReturn,_xlfn.LOGNORM.INV(RAND(),MV2,Sigma1),IF(RAND()&lt;CondGood,_xlfn.LOGNORM.INV(RAND(),MV3,Sigma2),MIN(MaxMultiple,Xm/(1-RAND())^(1/Alpha)))))</f>
        <v>0</v>
      </c>
      <c r="Z220" s="19">
        <f ca="1">IF(RAND()&lt;P_Zero,0,IF(RAND()&lt;CondReturn,_xlfn.LOGNORM.INV(RAND(),MV2,Sigma1),IF(RAND()&lt;CondGood,_xlfn.LOGNORM.INV(RAND(),MV3,Sigma2),MIN(MaxMultiple,Xm/(1-RAND())^(1/Alpha)))))</f>
        <v>0</v>
      </c>
      <c r="AA220" s="19">
        <f ca="1">IF(RAND()&lt;P_Zero,0,IF(RAND()&lt;CondReturn,_xlfn.LOGNORM.INV(RAND(),MV2,Sigma1),IF(RAND()&lt;CondGood,_xlfn.LOGNORM.INV(RAND(),MV3,Sigma2),MIN(MaxMultiple,Xm/(1-RAND())^(1/Alpha)))))</f>
        <v>0</v>
      </c>
      <c r="AB220" s="19">
        <f t="shared" ca="1" si="24"/>
        <v>3.6085485376291304</v>
      </c>
      <c r="AC220" s="14">
        <f t="shared" ca="1" si="25"/>
        <v>173210329.80619827</v>
      </c>
      <c r="AD220" s="14">
        <f t="shared" ca="1" si="26"/>
        <v>125210329.80619827</v>
      </c>
      <c r="AE220" s="14">
        <f t="shared" si="27"/>
        <v>55628399.869093813</v>
      </c>
      <c r="AF220" s="14">
        <f t="shared" ca="1" si="28"/>
        <v>69581929.937104464</v>
      </c>
      <c r="AG220" s="14">
        <f t="shared" ca="1" si="29"/>
        <v>13916385.987420894</v>
      </c>
      <c r="AH220" s="14">
        <f t="shared" ca="1" si="30"/>
        <v>159293943.81877738</v>
      </c>
      <c r="AI220" s="19">
        <f t="shared" ca="1" si="31"/>
        <v>2.6548990636462899</v>
      </c>
    </row>
    <row r="221" spans="2:35" x14ac:dyDescent="0.2">
      <c r="B221" s="1">
        <v>216</v>
      </c>
      <c r="C221" s="19">
        <f ca="1">IF(RAND()&lt;P_Zero,0,IF(RAND()&lt;CondReturn,_xlfn.LOGNORM.INV(RAND(),MV2,Sigma1),IF(RAND()&lt;CondGood,_xlfn.LOGNORM.INV(RAND(),MV3,Sigma2),MIN(MaxMultiple,Xm/(1-RAND())^(1/Alpha)))))</f>
        <v>0</v>
      </c>
      <c r="D221" s="19">
        <f ca="1">IF(RAND()&lt;P_Zero,0,IF(RAND()&lt;CondReturn,_xlfn.LOGNORM.INV(RAND(),MV2,Sigma1),IF(RAND()&lt;CondGood,_xlfn.LOGNORM.INV(RAND(),MV3,Sigma2),MIN(MaxMultiple,Xm/(1-RAND())^(1/Alpha)))))</f>
        <v>0</v>
      </c>
      <c r="E221" s="19">
        <f ca="1">IF(RAND()&lt;P_Zero,0,IF(RAND()&lt;CondReturn,_xlfn.LOGNORM.INV(RAND(),MV2,Sigma1),IF(RAND()&lt;CondGood,_xlfn.LOGNORM.INV(RAND(),MV3,Sigma2),MIN(MaxMultiple,Xm/(1-RAND())^(1/Alpha)))))</f>
        <v>0</v>
      </c>
      <c r="F221" s="19">
        <f ca="1">IF(RAND()&lt;P_Zero,0,IF(RAND()&lt;CondReturn,_xlfn.LOGNORM.INV(RAND(),MV2,Sigma1),IF(RAND()&lt;CondGood,_xlfn.LOGNORM.INV(RAND(),MV3,Sigma2),MIN(MaxMultiple,Xm/(1-RAND())^(1/Alpha)))))</f>
        <v>0</v>
      </c>
      <c r="G221" s="19">
        <f ca="1">IF(RAND()&lt;P_Zero,0,IF(RAND()&lt;CondReturn,_xlfn.LOGNORM.INV(RAND(),MV2,Sigma1),IF(RAND()&lt;CondGood,_xlfn.LOGNORM.INV(RAND(),MV3,Sigma2),MIN(MaxMultiple,Xm/(1-RAND())^(1/Alpha)))))</f>
        <v>1.6861138177297887</v>
      </c>
      <c r="H221" s="19">
        <f ca="1">IF(RAND()&lt;P_Zero,0,IF(RAND()&lt;CondReturn,_xlfn.LOGNORM.INV(RAND(),MV2,Sigma1),IF(RAND()&lt;CondGood,_xlfn.LOGNORM.INV(RAND(),MV3,Sigma2),MIN(MaxMultiple,Xm/(1-RAND())^(1/Alpha)))))</f>
        <v>0</v>
      </c>
      <c r="I221" s="19">
        <f ca="1">IF(RAND()&lt;P_Zero,0,IF(RAND()&lt;CondReturn,_xlfn.LOGNORM.INV(RAND(),MV2,Sigma1),IF(RAND()&lt;CondGood,_xlfn.LOGNORM.INV(RAND(),MV3,Sigma2),MIN(MaxMultiple,Xm/(1-RAND())^(1/Alpha)))))</f>
        <v>0</v>
      </c>
      <c r="J221" s="19">
        <f ca="1">IF(RAND()&lt;P_Zero,0,IF(RAND()&lt;CondReturn,_xlfn.LOGNORM.INV(RAND(),MV2,Sigma1),IF(RAND()&lt;CondGood,_xlfn.LOGNORM.INV(RAND(),MV3,Sigma2),MIN(MaxMultiple,Xm/(1-RAND())^(1/Alpha)))))</f>
        <v>40.2214976291813</v>
      </c>
      <c r="K221" s="19">
        <f ca="1">IF(RAND()&lt;P_Zero,0,IF(RAND()&lt;CondReturn,_xlfn.LOGNORM.INV(RAND(),MV2,Sigma1),IF(RAND()&lt;CondGood,_xlfn.LOGNORM.INV(RAND(),MV3,Sigma2),MIN(MaxMultiple,Xm/(1-RAND())^(1/Alpha)))))</f>
        <v>0.91295013200448361</v>
      </c>
      <c r="L221" s="19">
        <f ca="1">IF(RAND()&lt;P_Zero,0,IF(RAND()&lt;CondReturn,_xlfn.LOGNORM.INV(RAND(),MV2,Sigma1),IF(RAND()&lt;CondGood,_xlfn.LOGNORM.INV(RAND(),MV3,Sigma2),MIN(MaxMultiple,Xm/(1-RAND())^(1/Alpha)))))</f>
        <v>2.11398751586907</v>
      </c>
      <c r="M221" s="19">
        <f ca="1">IF(RAND()&lt;P_Zero,0,IF(RAND()&lt;CondReturn,_xlfn.LOGNORM.INV(RAND(),MV2,Sigma1),IF(RAND()&lt;CondGood,_xlfn.LOGNORM.INV(RAND(),MV3,Sigma2),MIN(MaxMultiple,Xm/(1-RAND())^(1/Alpha)))))</f>
        <v>0</v>
      </c>
      <c r="N221" s="19">
        <f ca="1">IF(RAND()&lt;P_Zero,0,IF(RAND()&lt;CondReturn,_xlfn.LOGNORM.INV(RAND(),MV2,Sigma1),IF(RAND()&lt;CondGood,_xlfn.LOGNORM.INV(RAND(),MV3,Sigma2),MIN(MaxMultiple,Xm/(1-RAND())^(1/Alpha)))))</f>
        <v>0.48709995212086821</v>
      </c>
      <c r="O221" s="19">
        <f ca="1">IF(RAND()&lt;P_Zero,0,IF(RAND()&lt;CondReturn,_xlfn.LOGNORM.INV(RAND(),MV2,Sigma1),IF(RAND()&lt;CondGood,_xlfn.LOGNORM.INV(RAND(),MV3,Sigma2),MIN(MaxMultiple,Xm/(1-RAND())^(1/Alpha)))))</f>
        <v>0.68499075403150023</v>
      </c>
      <c r="P221" s="19">
        <f ca="1">IF(RAND()&lt;P_Zero,0,IF(RAND()&lt;CondReturn,_xlfn.LOGNORM.INV(RAND(),MV2,Sigma1),IF(RAND()&lt;CondGood,_xlfn.LOGNORM.INV(RAND(),MV3,Sigma2),MIN(MaxMultiple,Xm/(1-RAND())^(1/Alpha)))))</f>
        <v>0</v>
      </c>
      <c r="Q221" s="19">
        <f ca="1">IF(RAND()&lt;P_Zero,0,IF(RAND()&lt;CondReturn,_xlfn.LOGNORM.INV(RAND(),MV2,Sigma1),IF(RAND()&lt;CondGood,_xlfn.LOGNORM.INV(RAND(),MV3,Sigma2),MIN(MaxMultiple,Xm/(1-RAND())^(1/Alpha)))))</f>
        <v>2.3255886000513288</v>
      </c>
      <c r="R221" s="19">
        <f ca="1">IF(RAND()&lt;P_Zero,0,IF(RAND()&lt;CondReturn,_xlfn.LOGNORM.INV(RAND(),MV2,Sigma1),IF(RAND()&lt;CondGood,_xlfn.LOGNORM.INV(RAND(),MV3,Sigma2),MIN(MaxMultiple,Xm/(1-RAND())^(1/Alpha)))))</f>
        <v>2.1498585999129176</v>
      </c>
      <c r="S221" s="19">
        <f ca="1">IF(RAND()&lt;P_Zero,0,IF(RAND()&lt;CondReturn,_xlfn.LOGNORM.INV(RAND(),MV2,Sigma1),IF(RAND()&lt;CondGood,_xlfn.LOGNORM.INV(RAND(),MV3,Sigma2),MIN(MaxMultiple,Xm/(1-RAND())^(1/Alpha)))))</f>
        <v>0</v>
      </c>
      <c r="T221" s="19">
        <f ca="1">IF(RAND()&lt;P_Zero,0,IF(RAND()&lt;CondReturn,_xlfn.LOGNORM.INV(RAND(),MV2,Sigma1),IF(RAND()&lt;CondGood,_xlfn.LOGNORM.INV(RAND(),MV3,Sigma2),MIN(MaxMultiple,Xm/(1-RAND())^(1/Alpha)))))</f>
        <v>0</v>
      </c>
      <c r="U221" s="19">
        <f ca="1">IF(RAND()&lt;P_Zero,0,IF(RAND()&lt;CondReturn,_xlfn.LOGNORM.INV(RAND(),MV2,Sigma1),IF(RAND()&lt;CondGood,_xlfn.LOGNORM.INV(RAND(),MV3,Sigma2),MIN(MaxMultiple,Xm/(1-RAND())^(1/Alpha)))))</f>
        <v>0</v>
      </c>
      <c r="V221" s="19">
        <f ca="1">IF(RAND()&lt;P_Zero,0,IF(RAND()&lt;CondReturn,_xlfn.LOGNORM.INV(RAND(),MV2,Sigma1),IF(RAND()&lt;CondGood,_xlfn.LOGNORM.INV(RAND(),MV3,Sigma2),MIN(MaxMultiple,Xm/(1-RAND())^(1/Alpha)))))</f>
        <v>0.78519821021373293</v>
      </c>
      <c r="W221" s="19">
        <f ca="1">IF(RAND()&lt;P_Zero,0,IF(RAND()&lt;CondReturn,_xlfn.LOGNORM.INV(RAND(),MV2,Sigma1),IF(RAND()&lt;CondGood,_xlfn.LOGNORM.INV(RAND(),MV3,Sigma2),MIN(MaxMultiple,Xm/(1-RAND())^(1/Alpha)))))</f>
        <v>0.7899082803078733</v>
      </c>
      <c r="X221" s="19">
        <f ca="1">IF(RAND()&lt;P_Zero,0,IF(RAND()&lt;CondReturn,_xlfn.LOGNORM.INV(RAND(),MV2,Sigma1),IF(RAND()&lt;CondGood,_xlfn.LOGNORM.INV(RAND(),MV3,Sigma2),MIN(MaxMultiple,Xm/(1-RAND())^(1/Alpha)))))</f>
        <v>0</v>
      </c>
      <c r="Y221" s="19">
        <f ca="1">IF(RAND()&lt;P_Zero,0,IF(RAND()&lt;CondReturn,_xlfn.LOGNORM.INV(RAND(),MV2,Sigma1),IF(RAND()&lt;CondGood,_xlfn.LOGNORM.INV(RAND(),MV3,Sigma2),MIN(MaxMultiple,Xm/(1-RAND())^(1/Alpha)))))</f>
        <v>0</v>
      </c>
      <c r="Z221" s="19">
        <f ca="1">IF(RAND()&lt;P_Zero,0,IF(RAND()&lt;CondReturn,_xlfn.LOGNORM.INV(RAND(),MV2,Sigma1),IF(RAND()&lt;CondGood,_xlfn.LOGNORM.INV(RAND(),MV3,Sigma2),MIN(MaxMultiple,Xm/(1-RAND())^(1/Alpha)))))</f>
        <v>1.4269216362970438</v>
      </c>
      <c r="AA221" s="19">
        <f ca="1">IF(RAND()&lt;P_Zero,0,IF(RAND()&lt;CondReturn,_xlfn.LOGNORM.INV(RAND(),MV2,Sigma1),IF(RAND()&lt;CondGood,_xlfn.LOGNORM.INV(RAND(),MV3,Sigma2),MIN(MaxMultiple,Xm/(1-RAND())^(1/Alpha)))))</f>
        <v>1.6676000749112261</v>
      </c>
      <c r="AB221" s="19">
        <f t="shared" ca="1" si="24"/>
        <v>2.2100686081052454</v>
      </c>
      <c r="AC221" s="14">
        <f t="shared" ca="1" si="25"/>
        <v>106083293.18905178</v>
      </c>
      <c r="AD221" s="14">
        <f t="shared" ca="1" si="26"/>
        <v>58083293.189051777</v>
      </c>
      <c r="AE221" s="14">
        <f t="shared" si="27"/>
        <v>55628399.869093813</v>
      </c>
      <c r="AF221" s="14">
        <f t="shared" ca="1" si="28"/>
        <v>2454893.3199579641</v>
      </c>
      <c r="AG221" s="14">
        <f t="shared" ca="1" si="29"/>
        <v>490978.66399159282</v>
      </c>
      <c r="AH221" s="14">
        <f t="shared" ca="1" si="30"/>
        <v>105592314.52506018</v>
      </c>
      <c r="AI221" s="19">
        <f t="shared" ca="1" si="31"/>
        <v>1.7598719087510029</v>
      </c>
    </row>
    <row r="222" spans="2:35" x14ac:dyDescent="0.2">
      <c r="B222" s="1">
        <v>217</v>
      </c>
      <c r="C222" s="19">
        <f ca="1">IF(RAND()&lt;P_Zero,0,IF(RAND()&lt;CondReturn,_xlfn.LOGNORM.INV(RAND(),MV2,Sigma1),IF(RAND()&lt;CondGood,_xlfn.LOGNORM.INV(RAND(),MV3,Sigma2),MIN(MaxMultiple,Xm/(1-RAND())^(1/Alpha)))))</f>
        <v>0</v>
      </c>
      <c r="D222" s="19">
        <f ca="1">IF(RAND()&lt;P_Zero,0,IF(RAND()&lt;CondReturn,_xlfn.LOGNORM.INV(RAND(),MV2,Sigma1),IF(RAND()&lt;CondGood,_xlfn.LOGNORM.INV(RAND(),MV3,Sigma2),MIN(MaxMultiple,Xm/(1-RAND())^(1/Alpha)))))</f>
        <v>0</v>
      </c>
      <c r="E222" s="19">
        <f ca="1">IF(RAND()&lt;P_Zero,0,IF(RAND()&lt;CondReturn,_xlfn.LOGNORM.INV(RAND(),MV2,Sigma1),IF(RAND()&lt;CondGood,_xlfn.LOGNORM.INV(RAND(),MV3,Sigma2),MIN(MaxMultiple,Xm/(1-RAND())^(1/Alpha)))))</f>
        <v>0.7233061920684507</v>
      </c>
      <c r="F222" s="19">
        <f ca="1">IF(RAND()&lt;P_Zero,0,IF(RAND()&lt;CondReturn,_xlfn.LOGNORM.INV(RAND(),MV2,Sigma1),IF(RAND()&lt;CondGood,_xlfn.LOGNORM.INV(RAND(),MV3,Sigma2),MIN(MaxMultiple,Xm/(1-RAND())^(1/Alpha)))))</f>
        <v>0</v>
      </c>
      <c r="G222" s="19">
        <f ca="1">IF(RAND()&lt;P_Zero,0,IF(RAND()&lt;CondReturn,_xlfn.LOGNORM.INV(RAND(),MV2,Sigma1),IF(RAND()&lt;CondGood,_xlfn.LOGNORM.INV(RAND(),MV3,Sigma2),MIN(MaxMultiple,Xm/(1-RAND())^(1/Alpha)))))</f>
        <v>0.62675967415768041</v>
      </c>
      <c r="H222" s="19">
        <f ca="1">IF(RAND()&lt;P_Zero,0,IF(RAND()&lt;CondReturn,_xlfn.LOGNORM.INV(RAND(),MV2,Sigma1),IF(RAND()&lt;CondGood,_xlfn.LOGNORM.INV(RAND(),MV3,Sigma2),MIN(MaxMultiple,Xm/(1-RAND())^(1/Alpha)))))</f>
        <v>0.50593633271193283</v>
      </c>
      <c r="I222" s="19">
        <f ca="1">IF(RAND()&lt;P_Zero,0,IF(RAND()&lt;CondReturn,_xlfn.LOGNORM.INV(RAND(),MV2,Sigma1),IF(RAND()&lt;CondGood,_xlfn.LOGNORM.INV(RAND(),MV3,Sigma2),MIN(MaxMultiple,Xm/(1-RAND())^(1/Alpha)))))</f>
        <v>2.1284460266633203</v>
      </c>
      <c r="J222" s="19">
        <f ca="1">IF(RAND()&lt;P_Zero,0,IF(RAND()&lt;CondReturn,_xlfn.LOGNORM.INV(RAND(),MV2,Sigma1),IF(RAND()&lt;CondGood,_xlfn.LOGNORM.INV(RAND(),MV3,Sigma2),MIN(MaxMultiple,Xm/(1-RAND())^(1/Alpha)))))</f>
        <v>1.3623868651778321</v>
      </c>
      <c r="K222" s="19">
        <f ca="1">IF(RAND()&lt;P_Zero,0,IF(RAND()&lt;CondReturn,_xlfn.LOGNORM.INV(RAND(),MV2,Sigma1),IF(RAND()&lt;CondGood,_xlfn.LOGNORM.INV(RAND(),MV3,Sigma2),MIN(MaxMultiple,Xm/(1-RAND())^(1/Alpha)))))</f>
        <v>79.35775243498469</v>
      </c>
      <c r="L222" s="19">
        <f ca="1">IF(RAND()&lt;P_Zero,0,IF(RAND()&lt;CondReturn,_xlfn.LOGNORM.INV(RAND(),MV2,Sigma1),IF(RAND()&lt;CondGood,_xlfn.LOGNORM.INV(RAND(),MV3,Sigma2),MIN(MaxMultiple,Xm/(1-RAND())^(1/Alpha)))))</f>
        <v>0</v>
      </c>
      <c r="M222" s="19">
        <f ca="1">IF(RAND()&lt;P_Zero,0,IF(RAND()&lt;CondReturn,_xlfn.LOGNORM.INV(RAND(),MV2,Sigma1),IF(RAND()&lt;CondGood,_xlfn.LOGNORM.INV(RAND(),MV3,Sigma2),MIN(MaxMultiple,Xm/(1-RAND())^(1/Alpha)))))</f>
        <v>0</v>
      </c>
      <c r="N222" s="19">
        <f ca="1">IF(RAND()&lt;P_Zero,0,IF(RAND()&lt;CondReturn,_xlfn.LOGNORM.INV(RAND(),MV2,Sigma1),IF(RAND()&lt;CondGood,_xlfn.LOGNORM.INV(RAND(),MV3,Sigma2),MIN(MaxMultiple,Xm/(1-RAND())^(1/Alpha)))))</f>
        <v>0</v>
      </c>
      <c r="O222" s="19">
        <f ca="1">IF(RAND()&lt;P_Zero,0,IF(RAND()&lt;CondReturn,_xlfn.LOGNORM.INV(RAND(),MV2,Sigma1),IF(RAND()&lt;CondGood,_xlfn.LOGNORM.INV(RAND(),MV3,Sigma2),MIN(MaxMultiple,Xm/(1-RAND())^(1/Alpha)))))</f>
        <v>1.5226630227623767</v>
      </c>
      <c r="P222" s="19">
        <f ca="1">IF(RAND()&lt;P_Zero,0,IF(RAND()&lt;CondReturn,_xlfn.LOGNORM.INV(RAND(),MV2,Sigma1),IF(RAND()&lt;CondGood,_xlfn.LOGNORM.INV(RAND(),MV3,Sigma2),MIN(MaxMultiple,Xm/(1-RAND())^(1/Alpha)))))</f>
        <v>2.1097122174902876</v>
      </c>
      <c r="Q222" s="19">
        <f ca="1">IF(RAND()&lt;P_Zero,0,IF(RAND()&lt;CondReturn,_xlfn.LOGNORM.INV(RAND(),MV2,Sigma1),IF(RAND()&lt;CondGood,_xlfn.LOGNORM.INV(RAND(),MV3,Sigma2),MIN(MaxMultiple,Xm/(1-RAND())^(1/Alpha)))))</f>
        <v>0</v>
      </c>
      <c r="R222" s="19">
        <f ca="1">IF(RAND()&lt;P_Zero,0,IF(RAND()&lt;CondReturn,_xlfn.LOGNORM.INV(RAND(),MV2,Sigma1),IF(RAND()&lt;CondGood,_xlfn.LOGNORM.INV(RAND(),MV3,Sigma2),MIN(MaxMultiple,Xm/(1-RAND())^(1/Alpha)))))</f>
        <v>1.1809383157823563</v>
      </c>
      <c r="S222" s="19">
        <f ca="1">IF(RAND()&lt;P_Zero,0,IF(RAND()&lt;CondReturn,_xlfn.LOGNORM.INV(RAND(),MV2,Sigma1),IF(RAND()&lt;CondGood,_xlfn.LOGNORM.INV(RAND(),MV3,Sigma2),MIN(MaxMultiple,Xm/(1-RAND())^(1/Alpha)))))</f>
        <v>1.3753267190518186</v>
      </c>
      <c r="T222" s="19">
        <f ca="1">IF(RAND()&lt;P_Zero,0,IF(RAND()&lt;CondReturn,_xlfn.LOGNORM.INV(RAND(),MV2,Sigma1),IF(RAND()&lt;CondGood,_xlfn.LOGNORM.INV(RAND(),MV3,Sigma2),MIN(MaxMultiple,Xm/(1-RAND())^(1/Alpha)))))</f>
        <v>0.61872793725963149</v>
      </c>
      <c r="U222" s="19">
        <f ca="1">IF(RAND()&lt;P_Zero,0,IF(RAND()&lt;CondReturn,_xlfn.LOGNORM.INV(RAND(),MV2,Sigma1),IF(RAND()&lt;CondGood,_xlfn.LOGNORM.INV(RAND(),MV3,Sigma2),MIN(MaxMultiple,Xm/(1-RAND())^(1/Alpha)))))</f>
        <v>0</v>
      </c>
      <c r="V222" s="19">
        <f ca="1">IF(RAND()&lt;P_Zero,0,IF(RAND()&lt;CondReturn,_xlfn.LOGNORM.INV(RAND(),MV2,Sigma1),IF(RAND()&lt;CondGood,_xlfn.LOGNORM.INV(RAND(),MV3,Sigma2),MIN(MaxMultiple,Xm/(1-RAND())^(1/Alpha)))))</f>
        <v>1.6783062410115384</v>
      </c>
      <c r="W222" s="19">
        <f ca="1">IF(RAND()&lt;P_Zero,0,IF(RAND()&lt;CondReturn,_xlfn.LOGNORM.INV(RAND(),MV2,Sigma1),IF(RAND()&lt;CondGood,_xlfn.LOGNORM.INV(RAND(),MV3,Sigma2),MIN(MaxMultiple,Xm/(1-RAND())^(1/Alpha)))))</f>
        <v>0</v>
      </c>
      <c r="X222" s="19">
        <f ca="1">IF(RAND()&lt;P_Zero,0,IF(RAND()&lt;CondReturn,_xlfn.LOGNORM.INV(RAND(),MV2,Sigma1),IF(RAND()&lt;CondGood,_xlfn.LOGNORM.INV(RAND(),MV3,Sigma2),MIN(MaxMultiple,Xm/(1-RAND())^(1/Alpha)))))</f>
        <v>158.13029336146008</v>
      </c>
      <c r="Y222" s="19">
        <f ca="1">IF(RAND()&lt;P_Zero,0,IF(RAND()&lt;CondReturn,_xlfn.LOGNORM.INV(RAND(),MV2,Sigma1),IF(RAND()&lt;CondGood,_xlfn.LOGNORM.INV(RAND(),MV3,Sigma2),MIN(MaxMultiple,Xm/(1-RAND())^(1/Alpha)))))</f>
        <v>1.4396188506617642</v>
      </c>
      <c r="Z222" s="19">
        <f ca="1">IF(RAND()&lt;P_Zero,0,IF(RAND()&lt;CondReturn,_xlfn.LOGNORM.INV(RAND(),MV2,Sigma1),IF(RAND()&lt;CondGood,_xlfn.LOGNORM.INV(RAND(),MV3,Sigma2),MIN(MaxMultiple,Xm/(1-RAND())^(1/Alpha)))))</f>
        <v>0.60123801077316785</v>
      </c>
      <c r="AA222" s="19">
        <f ca="1">IF(RAND()&lt;P_Zero,0,IF(RAND()&lt;CondReturn,_xlfn.LOGNORM.INV(RAND(),MV2,Sigma1),IF(RAND()&lt;CondGood,_xlfn.LOGNORM.INV(RAND(),MV3,Sigma2),MIN(MaxMultiple,Xm/(1-RAND())^(1/Alpha)))))</f>
        <v>0</v>
      </c>
      <c r="AB222" s="19">
        <f t="shared" ca="1" si="24"/>
        <v>10.134456488080676</v>
      </c>
      <c r="AC222" s="14">
        <f t="shared" ca="1" si="25"/>
        <v>486453911.42787248</v>
      </c>
      <c r="AD222" s="14">
        <f t="shared" ca="1" si="26"/>
        <v>438453911.42787248</v>
      </c>
      <c r="AE222" s="14">
        <f t="shared" si="27"/>
        <v>55628399.869093813</v>
      </c>
      <c r="AF222" s="14">
        <f t="shared" ca="1" si="28"/>
        <v>382825511.55877864</v>
      </c>
      <c r="AG222" s="14">
        <f t="shared" ca="1" si="29"/>
        <v>76565102.311755732</v>
      </c>
      <c r="AH222" s="14">
        <f t="shared" ca="1" si="30"/>
        <v>409888809.11611676</v>
      </c>
      <c r="AI222" s="19">
        <f t="shared" ca="1" si="31"/>
        <v>6.8314801519352795</v>
      </c>
    </row>
    <row r="223" spans="2:35" x14ac:dyDescent="0.2">
      <c r="B223" s="1">
        <v>218</v>
      </c>
      <c r="C223" s="19">
        <f ca="1">IF(RAND()&lt;P_Zero,0,IF(RAND()&lt;CondReturn,_xlfn.LOGNORM.INV(RAND(),MV2,Sigma1),IF(RAND()&lt;CondGood,_xlfn.LOGNORM.INV(RAND(),MV3,Sigma2),MIN(MaxMultiple,Xm/(1-RAND())^(1/Alpha)))))</f>
        <v>0</v>
      </c>
      <c r="D223" s="19">
        <f ca="1">IF(RAND()&lt;P_Zero,0,IF(RAND()&lt;CondReturn,_xlfn.LOGNORM.INV(RAND(),MV2,Sigma1),IF(RAND()&lt;CondGood,_xlfn.LOGNORM.INV(RAND(),MV3,Sigma2),MIN(MaxMultiple,Xm/(1-RAND())^(1/Alpha)))))</f>
        <v>300</v>
      </c>
      <c r="E223" s="19">
        <f ca="1">IF(RAND()&lt;P_Zero,0,IF(RAND()&lt;CondReturn,_xlfn.LOGNORM.INV(RAND(),MV2,Sigma1),IF(RAND()&lt;CondGood,_xlfn.LOGNORM.INV(RAND(),MV3,Sigma2),MIN(MaxMultiple,Xm/(1-RAND())^(1/Alpha)))))</f>
        <v>0.91505792688364318</v>
      </c>
      <c r="F223" s="19">
        <f ca="1">IF(RAND()&lt;P_Zero,0,IF(RAND()&lt;CondReturn,_xlfn.LOGNORM.INV(RAND(),MV2,Sigma1),IF(RAND()&lt;CondGood,_xlfn.LOGNORM.INV(RAND(),MV3,Sigma2),MIN(MaxMultiple,Xm/(1-RAND())^(1/Alpha)))))</f>
        <v>0.32279885323908325</v>
      </c>
      <c r="G223" s="19">
        <f ca="1">IF(RAND()&lt;P_Zero,0,IF(RAND()&lt;CondReturn,_xlfn.LOGNORM.INV(RAND(),MV2,Sigma1),IF(RAND()&lt;CondGood,_xlfn.LOGNORM.INV(RAND(),MV3,Sigma2),MIN(MaxMultiple,Xm/(1-RAND())^(1/Alpha)))))</f>
        <v>0</v>
      </c>
      <c r="H223" s="19">
        <f ca="1">IF(RAND()&lt;P_Zero,0,IF(RAND()&lt;CondReturn,_xlfn.LOGNORM.INV(RAND(),MV2,Sigma1),IF(RAND()&lt;CondGood,_xlfn.LOGNORM.INV(RAND(),MV3,Sigma2),MIN(MaxMultiple,Xm/(1-RAND())^(1/Alpha)))))</f>
        <v>12.18269152308682</v>
      </c>
      <c r="I223" s="19">
        <f ca="1">IF(RAND()&lt;P_Zero,0,IF(RAND()&lt;CondReturn,_xlfn.LOGNORM.INV(RAND(),MV2,Sigma1),IF(RAND()&lt;CondGood,_xlfn.LOGNORM.INV(RAND(),MV3,Sigma2),MIN(MaxMultiple,Xm/(1-RAND())^(1/Alpha)))))</f>
        <v>0.29913581225803859</v>
      </c>
      <c r="J223" s="19">
        <f ca="1">IF(RAND()&lt;P_Zero,0,IF(RAND()&lt;CondReturn,_xlfn.LOGNORM.INV(RAND(),MV2,Sigma1),IF(RAND()&lt;CondGood,_xlfn.LOGNORM.INV(RAND(),MV3,Sigma2),MIN(MaxMultiple,Xm/(1-RAND())^(1/Alpha)))))</f>
        <v>0</v>
      </c>
      <c r="K223" s="19">
        <f ca="1">IF(RAND()&lt;P_Zero,0,IF(RAND()&lt;CondReturn,_xlfn.LOGNORM.INV(RAND(),MV2,Sigma1),IF(RAND()&lt;CondGood,_xlfn.LOGNORM.INV(RAND(),MV3,Sigma2),MIN(MaxMultiple,Xm/(1-RAND())^(1/Alpha)))))</f>
        <v>0</v>
      </c>
      <c r="L223" s="19">
        <f ca="1">IF(RAND()&lt;P_Zero,0,IF(RAND()&lt;CondReturn,_xlfn.LOGNORM.INV(RAND(),MV2,Sigma1),IF(RAND()&lt;CondGood,_xlfn.LOGNORM.INV(RAND(),MV3,Sigma2),MIN(MaxMultiple,Xm/(1-RAND())^(1/Alpha)))))</f>
        <v>1.0823251160765726</v>
      </c>
      <c r="M223" s="19">
        <f ca="1">IF(RAND()&lt;P_Zero,0,IF(RAND()&lt;CondReturn,_xlfn.LOGNORM.INV(RAND(),MV2,Sigma1),IF(RAND()&lt;CondGood,_xlfn.LOGNORM.INV(RAND(),MV3,Sigma2),MIN(MaxMultiple,Xm/(1-RAND())^(1/Alpha)))))</f>
        <v>0</v>
      </c>
      <c r="N223" s="19">
        <f ca="1">IF(RAND()&lt;P_Zero,0,IF(RAND()&lt;CondReturn,_xlfn.LOGNORM.INV(RAND(),MV2,Sigma1),IF(RAND()&lt;CondGood,_xlfn.LOGNORM.INV(RAND(),MV3,Sigma2),MIN(MaxMultiple,Xm/(1-RAND())^(1/Alpha)))))</f>
        <v>0.97778783419163495</v>
      </c>
      <c r="O223" s="19">
        <f ca="1">IF(RAND()&lt;P_Zero,0,IF(RAND()&lt;CondReturn,_xlfn.LOGNORM.INV(RAND(),MV2,Sigma1),IF(RAND()&lt;CondGood,_xlfn.LOGNORM.INV(RAND(),MV3,Sigma2),MIN(MaxMultiple,Xm/(1-RAND())^(1/Alpha)))))</f>
        <v>0</v>
      </c>
      <c r="P223" s="19">
        <f ca="1">IF(RAND()&lt;P_Zero,0,IF(RAND()&lt;CondReturn,_xlfn.LOGNORM.INV(RAND(),MV2,Sigma1),IF(RAND()&lt;CondGood,_xlfn.LOGNORM.INV(RAND(),MV3,Sigma2),MIN(MaxMultiple,Xm/(1-RAND())^(1/Alpha)))))</f>
        <v>0</v>
      </c>
      <c r="Q223" s="19">
        <f ca="1">IF(RAND()&lt;P_Zero,0,IF(RAND()&lt;CondReturn,_xlfn.LOGNORM.INV(RAND(),MV2,Sigma1),IF(RAND()&lt;CondGood,_xlfn.LOGNORM.INV(RAND(),MV3,Sigma2),MIN(MaxMultiple,Xm/(1-RAND())^(1/Alpha)))))</f>
        <v>0</v>
      </c>
      <c r="R223" s="19">
        <f ca="1">IF(RAND()&lt;P_Zero,0,IF(RAND()&lt;CondReturn,_xlfn.LOGNORM.INV(RAND(),MV2,Sigma1),IF(RAND()&lt;CondGood,_xlfn.LOGNORM.INV(RAND(),MV3,Sigma2),MIN(MaxMultiple,Xm/(1-RAND())^(1/Alpha)))))</f>
        <v>0</v>
      </c>
      <c r="S223" s="19">
        <f ca="1">IF(RAND()&lt;P_Zero,0,IF(RAND()&lt;CondReturn,_xlfn.LOGNORM.INV(RAND(),MV2,Sigma1),IF(RAND()&lt;CondGood,_xlfn.LOGNORM.INV(RAND(),MV3,Sigma2),MIN(MaxMultiple,Xm/(1-RAND())^(1/Alpha)))))</f>
        <v>0.8387545372225772</v>
      </c>
      <c r="T223" s="19">
        <f ca="1">IF(RAND()&lt;P_Zero,0,IF(RAND()&lt;CondReturn,_xlfn.LOGNORM.INV(RAND(),MV2,Sigma1),IF(RAND()&lt;CondGood,_xlfn.LOGNORM.INV(RAND(),MV3,Sigma2),MIN(MaxMultiple,Xm/(1-RAND())^(1/Alpha)))))</f>
        <v>0</v>
      </c>
      <c r="U223" s="19">
        <f ca="1">IF(RAND()&lt;P_Zero,0,IF(RAND()&lt;CondReturn,_xlfn.LOGNORM.INV(RAND(),MV2,Sigma1),IF(RAND()&lt;CondGood,_xlfn.LOGNORM.INV(RAND(),MV3,Sigma2),MIN(MaxMultiple,Xm/(1-RAND())^(1/Alpha)))))</f>
        <v>0.48126497082138431</v>
      </c>
      <c r="V223" s="19">
        <f ca="1">IF(RAND()&lt;P_Zero,0,IF(RAND()&lt;CondReturn,_xlfn.LOGNORM.INV(RAND(),MV2,Sigma1),IF(RAND()&lt;CondGood,_xlfn.LOGNORM.INV(RAND(),MV3,Sigma2),MIN(MaxMultiple,Xm/(1-RAND())^(1/Alpha)))))</f>
        <v>0</v>
      </c>
      <c r="W223" s="19">
        <f ca="1">IF(RAND()&lt;P_Zero,0,IF(RAND()&lt;CondReturn,_xlfn.LOGNORM.INV(RAND(),MV2,Sigma1),IF(RAND()&lt;CondGood,_xlfn.LOGNORM.INV(RAND(),MV3,Sigma2),MIN(MaxMultiple,Xm/(1-RAND())^(1/Alpha)))))</f>
        <v>0.56444793837453311</v>
      </c>
      <c r="X223" s="19">
        <f ca="1">IF(RAND()&lt;P_Zero,0,IF(RAND()&lt;CondReturn,_xlfn.LOGNORM.INV(RAND(),MV2,Sigma1),IF(RAND()&lt;CondGood,_xlfn.LOGNORM.INV(RAND(),MV3,Sigma2),MIN(MaxMultiple,Xm/(1-RAND())^(1/Alpha)))))</f>
        <v>0</v>
      </c>
      <c r="Y223" s="19">
        <f ca="1">IF(RAND()&lt;P_Zero,0,IF(RAND()&lt;CondReturn,_xlfn.LOGNORM.INV(RAND(),MV2,Sigma1),IF(RAND()&lt;CondGood,_xlfn.LOGNORM.INV(RAND(),MV3,Sigma2),MIN(MaxMultiple,Xm/(1-RAND())^(1/Alpha)))))</f>
        <v>0</v>
      </c>
      <c r="Z223" s="19">
        <f ca="1">IF(RAND()&lt;P_Zero,0,IF(RAND()&lt;CondReturn,_xlfn.LOGNORM.INV(RAND(),MV2,Sigma1),IF(RAND()&lt;CondGood,_xlfn.LOGNORM.INV(RAND(),MV3,Sigma2),MIN(MaxMultiple,Xm/(1-RAND())^(1/Alpha)))))</f>
        <v>0.5324337584975124</v>
      </c>
      <c r="AA223" s="19">
        <f ca="1">IF(RAND()&lt;P_Zero,0,IF(RAND()&lt;CondReturn,_xlfn.LOGNORM.INV(RAND(),MV2,Sigma1),IF(RAND()&lt;CondGood,_xlfn.LOGNORM.INV(RAND(),MV3,Sigma2),MIN(MaxMultiple,Xm/(1-RAND())^(1/Alpha)))))</f>
        <v>0.61222705844867131</v>
      </c>
      <c r="AB223" s="19">
        <f t="shared" ca="1" si="24"/>
        <v>12.752357013164021</v>
      </c>
      <c r="AC223" s="14">
        <f t="shared" ca="1" si="25"/>
        <v>612113136.63187301</v>
      </c>
      <c r="AD223" s="14">
        <f t="shared" ca="1" si="26"/>
        <v>564113136.63187301</v>
      </c>
      <c r="AE223" s="14">
        <f t="shared" si="27"/>
        <v>55628399.869093813</v>
      </c>
      <c r="AF223" s="14">
        <f t="shared" ca="1" si="28"/>
        <v>508484736.76277918</v>
      </c>
      <c r="AG223" s="14">
        <f t="shared" ca="1" si="29"/>
        <v>101696947.35255584</v>
      </c>
      <c r="AH223" s="14">
        <f t="shared" ca="1" si="30"/>
        <v>510416189.27931714</v>
      </c>
      <c r="AI223" s="19">
        <f t="shared" ca="1" si="31"/>
        <v>8.5069364879886198</v>
      </c>
    </row>
    <row r="224" spans="2:35" x14ac:dyDescent="0.2">
      <c r="B224" s="1">
        <v>219</v>
      </c>
      <c r="C224" s="19">
        <f ca="1">IF(RAND()&lt;P_Zero,0,IF(RAND()&lt;CondReturn,_xlfn.LOGNORM.INV(RAND(),MV2,Sigma1),IF(RAND()&lt;CondGood,_xlfn.LOGNORM.INV(RAND(),MV3,Sigma2),MIN(MaxMultiple,Xm/(1-RAND())^(1/Alpha)))))</f>
        <v>1.5893632363054673</v>
      </c>
      <c r="D224" s="19">
        <f ca="1">IF(RAND()&lt;P_Zero,0,IF(RAND()&lt;CondReturn,_xlfn.LOGNORM.INV(RAND(),MV2,Sigma1),IF(RAND()&lt;CondGood,_xlfn.LOGNORM.INV(RAND(),MV3,Sigma2),MIN(MaxMultiple,Xm/(1-RAND())^(1/Alpha)))))</f>
        <v>0</v>
      </c>
      <c r="E224" s="19">
        <f ca="1">IF(RAND()&lt;P_Zero,0,IF(RAND()&lt;CondReturn,_xlfn.LOGNORM.INV(RAND(),MV2,Sigma1),IF(RAND()&lt;CondGood,_xlfn.LOGNORM.INV(RAND(),MV3,Sigma2),MIN(MaxMultiple,Xm/(1-RAND())^(1/Alpha)))))</f>
        <v>0</v>
      </c>
      <c r="F224" s="19">
        <f ca="1">IF(RAND()&lt;P_Zero,0,IF(RAND()&lt;CondReturn,_xlfn.LOGNORM.INV(RAND(),MV2,Sigma1),IF(RAND()&lt;CondGood,_xlfn.LOGNORM.INV(RAND(),MV3,Sigma2),MIN(MaxMultiple,Xm/(1-RAND())^(1/Alpha)))))</f>
        <v>0.88355982192412041</v>
      </c>
      <c r="G224" s="19">
        <f ca="1">IF(RAND()&lt;P_Zero,0,IF(RAND()&lt;CondReturn,_xlfn.LOGNORM.INV(RAND(),MV2,Sigma1),IF(RAND()&lt;CondGood,_xlfn.LOGNORM.INV(RAND(),MV3,Sigma2),MIN(MaxMultiple,Xm/(1-RAND())^(1/Alpha)))))</f>
        <v>1.1431334081411486</v>
      </c>
      <c r="H224" s="19">
        <f ca="1">IF(RAND()&lt;P_Zero,0,IF(RAND()&lt;CondReturn,_xlfn.LOGNORM.INV(RAND(),MV2,Sigma1),IF(RAND()&lt;CondGood,_xlfn.LOGNORM.INV(RAND(),MV3,Sigma2),MIN(MaxMultiple,Xm/(1-RAND())^(1/Alpha)))))</f>
        <v>0</v>
      </c>
      <c r="I224" s="19">
        <f ca="1">IF(RAND()&lt;P_Zero,0,IF(RAND()&lt;CondReturn,_xlfn.LOGNORM.INV(RAND(),MV2,Sigma1),IF(RAND()&lt;CondGood,_xlfn.LOGNORM.INV(RAND(),MV3,Sigma2),MIN(MaxMultiple,Xm/(1-RAND())^(1/Alpha)))))</f>
        <v>28.672566770148297</v>
      </c>
      <c r="J224" s="19">
        <f ca="1">IF(RAND()&lt;P_Zero,0,IF(RAND()&lt;CondReturn,_xlfn.LOGNORM.INV(RAND(),MV2,Sigma1),IF(RAND()&lt;CondGood,_xlfn.LOGNORM.INV(RAND(),MV3,Sigma2),MIN(MaxMultiple,Xm/(1-RAND())^(1/Alpha)))))</f>
        <v>10.315871612088163</v>
      </c>
      <c r="K224" s="19">
        <f ca="1">IF(RAND()&lt;P_Zero,0,IF(RAND()&lt;CondReturn,_xlfn.LOGNORM.INV(RAND(),MV2,Sigma1),IF(RAND()&lt;CondGood,_xlfn.LOGNORM.INV(RAND(),MV3,Sigma2),MIN(MaxMultiple,Xm/(1-RAND())^(1/Alpha)))))</f>
        <v>0</v>
      </c>
      <c r="L224" s="19">
        <f ca="1">IF(RAND()&lt;P_Zero,0,IF(RAND()&lt;CondReturn,_xlfn.LOGNORM.INV(RAND(),MV2,Sigma1),IF(RAND()&lt;CondGood,_xlfn.LOGNORM.INV(RAND(),MV3,Sigma2),MIN(MaxMultiple,Xm/(1-RAND())^(1/Alpha)))))</f>
        <v>0</v>
      </c>
      <c r="M224" s="19">
        <f ca="1">IF(RAND()&lt;P_Zero,0,IF(RAND()&lt;CondReturn,_xlfn.LOGNORM.INV(RAND(),MV2,Sigma1),IF(RAND()&lt;CondGood,_xlfn.LOGNORM.INV(RAND(),MV3,Sigma2),MIN(MaxMultiple,Xm/(1-RAND())^(1/Alpha)))))</f>
        <v>0</v>
      </c>
      <c r="N224" s="19">
        <f ca="1">IF(RAND()&lt;P_Zero,0,IF(RAND()&lt;CondReturn,_xlfn.LOGNORM.INV(RAND(),MV2,Sigma1),IF(RAND()&lt;CondGood,_xlfn.LOGNORM.INV(RAND(),MV3,Sigma2),MIN(MaxMultiple,Xm/(1-RAND())^(1/Alpha)))))</f>
        <v>33.504011790854904</v>
      </c>
      <c r="O224" s="19">
        <f ca="1">IF(RAND()&lt;P_Zero,0,IF(RAND()&lt;CondReturn,_xlfn.LOGNORM.INV(RAND(),MV2,Sigma1),IF(RAND()&lt;CondGood,_xlfn.LOGNORM.INV(RAND(),MV3,Sigma2),MIN(MaxMultiple,Xm/(1-RAND())^(1/Alpha)))))</f>
        <v>0</v>
      </c>
      <c r="P224" s="19">
        <f ca="1">IF(RAND()&lt;P_Zero,0,IF(RAND()&lt;CondReturn,_xlfn.LOGNORM.INV(RAND(),MV2,Sigma1),IF(RAND()&lt;CondGood,_xlfn.LOGNORM.INV(RAND(),MV3,Sigma2),MIN(MaxMultiple,Xm/(1-RAND())^(1/Alpha)))))</f>
        <v>0</v>
      </c>
      <c r="Q224" s="19">
        <f ca="1">IF(RAND()&lt;P_Zero,0,IF(RAND()&lt;CondReturn,_xlfn.LOGNORM.INV(RAND(),MV2,Sigma1),IF(RAND()&lt;CondGood,_xlfn.LOGNORM.INV(RAND(),MV3,Sigma2),MIN(MaxMultiple,Xm/(1-RAND())^(1/Alpha)))))</f>
        <v>1.2734615508539302</v>
      </c>
      <c r="R224" s="19">
        <f ca="1">IF(RAND()&lt;P_Zero,0,IF(RAND()&lt;CondReturn,_xlfn.LOGNORM.INV(RAND(),MV2,Sigma1),IF(RAND()&lt;CondGood,_xlfn.LOGNORM.INV(RAND(),MV3,Sigma2),MIN(MaxMultiple,Xm/(1-RAND())^(1/Alpha)))))</f>
        <v>200.36597118848943</v>
      </c>
      <c r="S224" s="19">
        <f ca="1">IF(RAND()&lt;P_Zero,0,IF(RAND()&lt;CondReturn,_xlfn.LOGNORM.INV(RAND(),MV2,Sigma1),IF(RAND()&lt;CondGood,_xlfn.LOGNORM.INV(RAND(),MV3,Sigma2),MIN(MaxMultiple,Xm/(1-RAND())^(1/Alpha)))))</f>
        <v>0</v>
      </c>
      <c r="T224" s="19">
        <f ca="1">IF(RAND()&lt;P_Zero,0,IF(RAND()&lt;CondReturn,_xlfn.LOGNORM.INV(RAND(),MV2,Sigma1),IF(RAND()&lt;CondGood,_xlfn.LOGNORM.INV(RAND(),MV3,Sigma2),MIN(MaxMultiple,Xm/(1-RAND())^(1/Alpha)))))</f>
        <v>0</v>
      </c>
      <c r="U224" s="19">
        <f ca="1">IF(RAND()&lt;P_Zero,0,IF(RAND()&lt;CondReturn,_xlfn.LOGNORM.INV(RAND(),MV2,Sigma1),IF(RAND()&lt;CondGood,_xlfn.LOGNORM.INV(RAND(),MV3,Sigma2),MIN(MaxMultiple,Xm/(1-RAND())^(1/Alpha)))))</f>
        <v>0</v>
      </c>
      <c r="V224" s="19">
        <f ca="1">IF(RAND()&lt;P_Zero,0,IF(RAND()&lt;CondReturn,_xlfn.LOGNORM.INV(RAND(),MV2,Sigma1),IF(RAND()&lt;CondGood,_xlfn.LOGNORM.INV(RAND(),MV3,Sigma2),MIN(MaxMultiple,Xm/(1-RAND())^(1/Alpha)))))</f>
        <v>0</v>
      </c>
      <c r="W224" s="19">
        <f ca="1">IF(RAND()&lt;P_Zero,0,IF(RAND()&lt;CondReturn,_xlfn.LOGNORM.INV(RAND(),MV2,Sigma1),IF(RAND()&lt;CondGood,_xlfn.LOGNORM.INV(RAND(),MV3,Sigma2),MIN(MaxMultiple,Xm/(1-RAND())^(1/Alpha)))))</f>
        <v>26.184741554765896</v>
      </c>
      <c r="X224" s="19">
        <f ca="1">IF(RAND()&lt;P_Zero,0,IF(RAND()&lt;CondReturn,_xlfn.LOGNORM.INV(RAND(),MV2,Sigma1),IF(RAND()&lt;CondGood,_xlfn.LOGNORM.INV(RAND(),MV3,Sigma2),MIN(MaxMultiple,Xm/(1-RAND())^(1/Alpha)))))</f>
        <v>0</v>
      </c>
      <c r="Y224" s="19">
        <f ca="1">IF(RAND()&lt;P_Zero,0,IF(RAND()&lt;CondReturn,_xlfn.LOGNORM.INV(RAND(),MV2,Sigma1),IF(RAND()&lt;CondGood,_xlfn.LOGNORM.INV(RAND(),MV3,Sigma2),MIN(MaxMultiple,Xm/(1-RAND())^(1/Alpha)))))</f>
        <v>0</v>
      </c>
      <c r="Z224" s="19">
        <f ca="1">IF(RAND()&lt;P_Zero,0,IF(RAND()&lt;CondReturn,_xlfn.LOGNORM.INV(RAND(),MV2,Sigma1),IF(RAND()&lt;CondGood,_xlfn.LOGNORM.INV(RAND(),MV3,Sigma2),MIN(MaxMultiple,Xm/(1-RAND())^(1/Alpha)))))</f>
        <v>0.51600443382363326</v>
      </c>
      <c r="AA224" s="19">
        <f ca="1">IF(RAND()&lt;P_Zero,0,IF(RAND()&lt;CondReturn,_xlfn.LOGNORM.INV(RAND(),MV2,Sigma1),IF(RAND()&lt;CondGood,_xlfn.LOGNORM.INV(RAND(),MV3,Sigma2),MIN(MaxMultiple,Xm/(1-RAND())^(1/Alpha)))))</f>
        <v>1.7333933699268125</v>
      </c>
      <c r="AB224" s="19">
        <f t="shared" ca="1" si="24"/>
        <v>12.247283149492871</v>
      </c>
      <c r="AC224" s="14">
        <f t="shared" ca="1" si="25"/>
        <v>587869591.17565775</v>
      </c>
      <c r="AD224" s="14">
        <f t="shared" ca="1" si="26"/>
        <v>539869591.17565775</v>
      </c>
      <c r="AE224" s="14">
        <f t="shared" si="27"/>
        <v>55628399.869093813</v>
      </c>
      <c r="AF224" s="14">
        <f t="shared" ca="1" si="28"/>
        <v>484241191.30656391</v>
      </c>
      <c r="AG224" s="14">
        <f t="shared" ca="1" si="29"/>
        <v>96848238.261312783</v>
      </c>
      <c r="AH224" s="14">
        <f t="shared" ca="1" si="30"/>
        <v>491021352.91434497</v>
      </c>
      <c r="AI224" s="19">
        <f t="shared" ca="1" si="31"/>
        <v>8.1836892152390828</v>
      </c>
    </row>
    <row r="225" spans="2:35" x14ac:dyDescent="0.2">
      <c r="B225" s="1">
        <v>220</v>
      </c>
      <c r="C225" s="19">
        <f ca="1">IF(RAND()&lt;P_Zero,0,IF(RAND()&lt;CondReturn,_xlfn.LOGNORM.INV(RAND(),MV2,Sigma1),IF(RAND()&lt;CondGood,_xlfn.LOGNORM.INV(RAND(),MV3,Sigma2),MIN(MaxMultiple,Xm/(1-RAND())^(1/Alpha)))))</f>
        <v>0.83892125859379862</v>
      </c>
      <c r="D225" s="19">
        <f ca="1">IF(RAND()&lt;P_Zero,0,IF(RAND()&lt;CondReturn,_xlfn.LOGNORM.INV(RAND(),MV2,Sigma1),IF(RAND()&lt;CondGood,_xlfn.LOGNORM.INV(RAND(),MV3,Sigma2),MIN(MaxMultiple,Xm/(1-RAND())^(1/Alpha)))))</f>
        <v>0</v>
      </c>
      <c r="E225" s="19">
        <f ca="1">IF(RAND()&lt;P_Zero,0,IF(RAND()&lt;CondReturn,_xlfn.LOGNORM.INV(RAND(),MV2,Sigma1),IF(RAND()&lt;CondGood,_xlfn.LOGNORM.INV(RAND(),MV3,Sigma2),MIN(MaxMultiple,Xm/(1-RAND())^(1/Alpha)))))</f>
        <v>0</v>
      </c>
      <c r="F225" s="19">
        <f ca="1">IF(RAND()&lt;P_Zero,0,IF(RAND()&lt;CondReturn,_xlfn.LOGNORM.INV(RAND(),MV2,Sigma1),IF(RAND()&lt;CondGood,_xlfn.LOGNORM.INV(RAND(),MV3,Sigma2),MIN(MaxMultiple,Xm/(1-RAND())^(1/Alpha)))))</f>
        <v>0</v>
      </c>
      <c r="G225" s="19">
        <f ca="1">IF(RAND()&lt;P_Zero,0,IF(RAND()&lt;CondReturn,_xlfn.LOGNORM.INV(RAND(),MV2,Sigma1),IF(RAND()&lt;CondGood,_xlfn.LOGNORM.INV(RAND(),MV3,Sigma2),MIN(MaxMultiple,Xm/(1-RAND())^(1/Alpha)))))</f>
        <v>0.72591960336662631</v>
      </c>
      <c r="H225" s="19">
        <f ca="1">IF(RAND()&lt;P_Zero,0,IF(RAND()&lt;CondReturn,_xlfn.LOGNORM.INV(RAND(),MV2,Sigma1),IF(RAND()&lt;CondGood,_xlfn.LOGNORM.INV(RAND(),MV3,Sigma2),MIN(MaxMultiple,Xm/(1-RAND())^(1/Alpha)))))</f>
        <v>0</v>
      </c>
      <c r="I225" s="19">
        <f ca="1">IF(RAND()&lt;P_Zero,0,IF(RAND()&lt;CondReturn,_xlfn.LOGNORM.INV(RAND(),MV2,Sigma1),IF(RAND()&lt;CondGood,_xlfn.LOGNORM.INV(RAND(),MV3,Sigma2),MIN(MaxMultiple,Xm/(1-RAND())^(1/Alpha)))))</f>
        <v>1.2864572183288658</v>
      </c>
      <c r="J225" s="19">
        <f ca="1">IF(RAND()&lt;P_Zero,0,IF(RAND()&lt;CondReturn,_xlfn.LOGNORM.INV(RAND(),MV2,Sigma1),IF(RAND()&lt;CondGood,_xlfn.LOGNORM.INV(RAND(),MV3,Sigma2),MIN(MaxMultiple,Xm/(1-RAND())^(1/Alpha)))))</f>
        <v>0</v>
      </c>
      <c r="K225" s="19">
        <f ca="1">IF(RAND()&lt;P_Zero,0,IF(RAND()&lt;CondReturn,_xlfn.LOGNORM.INV(RAND(),MV2,Sigma1),IF(RAND()&lt;CondGood,_xlfn.LOGNORM.INV(RAND(),MV3,Sigma2),MIN(MaxMultiple,Xm/(1-RAND())^(1/Alpha)))))</f>
        <v>1.944270279363878</v>
      </c>
      <c r="L225" s="19">
        <f ca="1">IF(RAND()&lt;P_Zero,0,IF(RAND()&lt;CondReturn,_xlfn.LOGNORM.INV(RAND(),MV2,Sigma1),IF(RAND()&lt;CondGood,_xlfn.LOGNORM.INV(RAND(),MV3,Sigma2),MIN(MaxMultiple,Xm/(1-RAND())^(1/Alpha)))))</f>
        <v>0</v>
      </c>
      <c r="M225" s="19">
        <f ca="1">IF(RAND()&lt;P_Zero,0,IF(RAND()&lt;CondReturn,_xlfn.LOGNORM.INV(RAND(),MV2,Sigma1),IF(RAND()&lt;CondGood,_xlfn.LOGNORM.INV(RAND(),MV3,Sigma2),MIN(MaxMultiple,Xm/(1-RAND())^(1/Alpha)))))</f>
        <v>0</v>
      </c>
      <c r="N225" s="19">
        <f ca="1">IF(RAND()&lt;P_Zero,0,IF(RAND()&lt;CondReturn,_xlfn.LOGNORM.INV(RAND(),MV2,Sigma1),IF(RAND()&lt;CondGood,_xlfn.LOGNORM.INV(RAND(),MV3,Sigma2),MIN(MaxMultiple,Xm/(1-RAND())^(1/Alpha)))))</f>
        <v>0</v>
      </c>
      <c r="O225" s="19">
        <f ca="1">IF(RAND()&lt;P_Zero,0,IF(RAND()&lt;CondReturn,_xlfn.LOGNORM.INV(RAND(),MV2,Sigma1),IF(RAND()&lt;CondGood,_xlfn.LOGNORM.INV(RAND(),MV3,Sigma2),MIN(MaxMultiple,Xm/(1-RAND())^(1/Alpha)))))</f>
        <v>2.5914781335320018</v>
      </c>
      <c r="P225" s="19">
        <f ca="1">IF(RAND()&lt;P_Zero,0,IF(RAND()&lt;CondReturn,_xlfn.LOGNORM.INV(RAND(),MV2,Sigma1),IF(RAND()&lt;CondGood,_xlfn.LOGNORM.INV(RAND(),MV3,Sigma2),MIN(MaxMultiple,Xm/(1-RAND())^(1/Alpha)))))</f>
        <v>0.84230326457890803</v>
      </c>
      <c r="Q225" s="19">
        <f ca="1">IF(RAND()&lt;P_Zero,0,IF(RAND()&lt;CondReturn,_xlfn.LOGNORM.INV(RAND(),MV2,Sigma1),IF(RAND()&lt;CondGood,_xlfn.LOGNORM.INV(RAND(),MV3,Sigma2),MIN(MaxMultiple,Xm/(1-RAND())^(1/Alpha)))))</f>
        <v>300</v>
      </c>
      <c r="R225" s="19">
        <f ca="1">IF(RAND()&lt;P_Zero,0,IF(RAND()&lt;CondReturn,_xlfn.LOGNORM.INV(RAND(),MV2,Sigma1),IF(RAND()&lt;CondGood,_xlfn.LOGNORM.INV(RAND(),MV3,Sigma2),MIN(MaxMultiple,Xm/(1-RAND())^(1/Alpha)))))</f>
        <v>1.0713377608169616</v>
      </c>
      <c r="S225" s="19">
        <f ca="1">IF(RAND()&lt;P_Zero,0,IF(RAND()&lt;CondReturn,_xlfn.LOGNORM.INV(RAND(),MV2,Sigma1),IF(RAND()&lt;CondGood,_xlfn.LOGNORM.INV(RAND(),MV3,Sigma2),MIN(MaxMultiple,Xm/(1-RAND())^(1/Alpha)))))</f>
        <v>0</v>
      </c>
      <c r="T225" s="19">
        <f ca="1">IF(RAND()&lt;P_Zero,0,IF(RAND()&lt;CondReturn,_xlfn.LOGNORM.INV(RAND(),MV2,Sigma1),IF(RAND()&lt;CondGood,_xlfn.LOGNORM.INV(RAND(),MV3,Sigma2),MIN(MaxMultiple,Xm/(1-RAND())^(1/Alpha)))))</f>
        <v>11.012908211337409</v>
      </c>
      <c r="U225" s="19">
        <f ca="1">IF(RAND()&lt;P_Zero,0,IF(RAND()&lt;CondReturn,_xlfn.LOGNORM.INV(RAND(),MV2,Sigma1),IF(RAND()&lt;CondGood,_xlfn.LOGNORM.INV(RAND(),MV3,Sigma2),MIN(MaxMultiple,Xm/(1-RAND())^(1/Alpha)))))</f>
        <v>0.70503649434356408</v>
      </c>
      <c r="V225" s="19">
        <f ca="1">IF(RAND()&lt;P_Zero,0,IF(RAND()&lt;CondReturn,_xlfn.LOGNORM.INV(RAND(),MV2,Sigma1),IF(RAND()&lt;CondGood,_xlfn.LOGNORM.INV(RAND(),MV3,Sigma2),MIN(MaxMultiple,Xm/(1-RAND())^(1/Alpha)))))</f>
        <v>1.2375314024646107</v>
      </c>
      <c r="W225" s="19">
        <f ca="1">IF(RAND()&lt;P_Zero,0,IF(RAND()&lt;CondReturn,_xlfn.LOGNORM.INV(RAND(),MV2,Sigma1),IF(RAND()&lt;CondGood,_xlfn.LOGNORM.INV(RAND(),MV3,Sigma2),MIN(MaxMultiple,Xm/(1-RAND())^(1/Alpha)))))</f>
        <v>0</v>
      </c>
      <c r="X225" s="19">
        <f ca="1">IF(RAND()&lt;P_Zero,0,IF(RAND()&lt;CondReturn,_xlfn.LOGNORM.INV(RAND(),MV2,Sigma1),IF(RAND()&lt;CondGood,_xlfn.LOGNORM.INV(RAND(),MV3,Sigma2),MIN(MaxMultiple,Xm/(1-RAND())^(1/Alpha)))))</f>
        <v>1.1226566012164805</v>
      </c>
      <c r="Y225" s="19">
        <f ca="1">IF(RAND()&lt;P_Zero,0,IF(RAND()&lt;CondReturn,_xlfn.LOGNORM.INV(RAND(),MV2,Sigma1),IF(RAND()&lt;CondGood,_xlfn.LOGNORM.INV(RAND(),MV3,Sigma2),MIN(MaxMultiple,Xm/(1-RAND())^(1/Alpha)))))</f>
        <v>1.4626724664659814</v>
      </c>
      <c r="Z225" s="19">
        <f ca="1">IF(RAND()&lt;P_Zero,0,IF(RAND()&lt;CondReturn,_xlfn.LOGNORM.INV(RAND(),MV2,Sigma1),IF(RAND()&lt;CondGood,_xlfn.LOGNORM.INV(RAND(),MV3,Sigma2),MIN(MaxMultiple,Xm/(1-RAND())^(1/Alpha)))))</f>
        <v>0.91769766766229099</v>
      </c>
      <c r="AA225" s="19">
        <f ca="1">IF(RAND()&lt;P_Zero,0,IF(RAND()&lt;CondReturn,_xlfn.LOGNORM.INV(RAND(),MV2,Sigma1),IF(RAND()&lt;CondGood,_xlfn.LOGNORM.INV(RAND(),MV3,Sigma2),MIN(MaxMultiple,Xm/(1-RAND())^(1/Alpha)))))</f>
        <v>0</v>
      </c>
      <c r="AB225" s="19">
        <f t="shared" ca="1" si="24"/>
        <v>13.030367614482852</v>
      </c>
      <c r="AC225" s="14">
        <f t="shared" ca="1" si="25"/>
        <v>625457645.49517691</v>
      </c>
      <c r="AD225" s="14">
        <f t="shared" ca="1" si="26"/>
        <v>577457645.49517691</v>
      </c>
      <c r="AE225" s="14">
        <f t="shared" si="27"/>
        <v>55628399.869093813</v>
      </c>
      <c r="AF225" s="14">
        <f t="shared" ca="1" si="28"/>
        <v>521829245.62608308</v>
      </c>
      <c r="AG225" s="14">
        <f t="shared" ca="1" si="29"/>
        <v>104365849.12521662</v>
      </c>
      <c r="AH225" s="14">
        <f t="shared" ca="1" si="30"/>
        <v>521091796.36996031</v>
      </c>
      <c r="AI225" s="19">
        <f t="shared" ca="1" si="31"/>
        <v>8.684863272832672</v>
      </c>
    </row>
    <row r="226" spans="2:35" x14ac:dyDescent="0.2">
      <c r="B226" s="1">
        <v>221</v>
      </c>
      <c r="C226" s="19">
        <f ca="1">IF(RAND()&lt;P_Zero,0,IF(RAND()&lt;CondReturn,_xlfn.LOGNORM.INV(RAND(),MV2,Sigma1),IF(RAND()&lt;CondGood,_xlfn.LOGNORM.INV(RAND(),MV3,Sigma2),MIN(MaxMultiple,Xm/(1-RAND())^(1/Alpha)))))</f>
        <v>1.0946207468488005</v>
      </c>
      <c r="D226" s="19">
        <f ca="1">IF(RAND()&lt;P_Zero,0,IF(RAND()&lt;CondReturn,_xlfn.LOGNORM.INV(RAND(),MV2,Sigma1),IF(RAND()&lt;CondGood,_xlfn.LOGNORM.INV(RAND(),MV3,Sigma2),MIN(MaxMultiple,Xm/(1-RAND())^(1/Alpha)))))</f>
        <v>0.66682955789713783</v>
      </c>
      <c r="E226" s="19">
        <f ca="1">IF(RAND()&lt;P_Zero,0,IF(RAND()&lt;CondReturn,_xlfn.LOGNORM.INV(RAND(),MV2,Sigma1),IF(RAND()&lt;CondGood,_xlfn.LOGNORM.INV(RAND(),MV3,Sigma2),MIN(MaxMultiple,Xm/(1-RAND())^(1/Alpha)))))</f>
        <v>0</v>
      </c>
      <c r="F226" s="19">
        <f ca="1">IF(RAND()&lt;P_Zero,0,IF(RAND()&lt;CondReturn,_xlfn.LOGNORM.INV(RAND(),MV2,Sigma1),IF(RAND()&lt;CondGood,_xlfn.LOGNORM.INV(RAND(),MV3,Sigma2),MIN(MaxMultiple,Xm/(1-RAND())^(1/Alpha)))))</f>
        <v>0</v>
      </c>
      <c r="G226" s="19">
        <f ca="1">IF(RAND()&lt;P_Zero,0,IF(RAND()&lt;CondReturn,_xlfn.LOGNORM.INV(RAND(),MV2,Sigma1),IF(RAND()&lt;CondGood,_xlfn.LOGNORM.INV(RAND(),MV3,Sigma2),MIN(MaxMultiple,Xm/(1-RAND())^(1/Alpha)))))</f>
        <v>121.73925168536447</v>
      </c>
      <c r="H226" s="19">
        <f ca="1">IF(RAND()&lt;P_Zero,0,IF(RAND()&lt;CondReturn,_xlfn.LOGNORM.INV(RAND(),MV2,Sigma1),IF(RAND()&lt;CondGood,_xlfn.LOGNORM.INV(RAND(),MV3,Sigma2),MIN(MaxMultiple,Xm/(1-RAND())^(1/Alpha)))))</f>
        <v>1.1060575379483644</v>
      </c>
      <c r="I226" s="19">
        <f ca="1">IF(RAND()&lt;P_Zero,0,IF(RAND()&lt;CondReturn,_xlfn.LOGNORM.INV(RAND(),MV2,Sigma1),IF(RAND()&lt;CondGood,_xlfn.LOGNORM.INV(RAND(),MV3,Sigma2),MIN(MaxMultiple,Xm/(1-RAND())^(1/Alpha)))))</f>
        <v>0</v>
      </c>
      <c r="J226" s="19">
        <f ca="1">IF(RAND()&lt;P_Zero,0,IF(RAND()&lt;CondReturn,_xlfn.LOGNORM.INV(RAND(),MV2,Sigma1),IF(RAND()&lt;CondGood,_xlfn.LOGNORM.INV(RAND(),MV3,Sigma2),MIN(MaxMultiple,Xm/(1-RAND())^(1/Alpha)))))</f>
        <v>1.7695836041112656</v>
      </c>
      <c r="K226" s="19">
        <f ca="1">IF(RAND()&lt;P_Zero,0,IF(RAND()&lt;CondReturn,_xlfn.LOGNORM.INV(RAND(),MV2,Sigma1),IF(RAND()&lt;CondGood,_xlfn.LOGNORM.INV(RAND(),MV3,Sigma2),MIN(MaxMultiple,Xm/(1-RAND())^(1/Alpha)))))</f>
        <v>0</v>
      </c>
      <c r="L226" s="19">
        <f ca="1">IF(RAND()&lt;P_Zero,0,IF(RAND()&lt;CondReturn,_xlfn.LOGNORM.INV(RAND(),MV2,Sigma1),IF(RAND()&lt;CondGood,_xlfn.LOGNORM.INV(RAND(),MV3,Sigma2),MIN(MaxMultiple,Xm/(1-RAND())^(1/Alpha)))))</f>
        <v>1.2045672995165841</v>
      </c>
      <c r="M226" s="19">
        <f ca="1">IF(RAND()&lt;P_Zero,0,IF(RAND()&lt;CondReturn,_xlfn.LOGNORM.INV(RAND(),MV2,Sigma1),IF(RAND()&lt;CondGood,_xlfn.LOGNORM.INV(RAND(),MV3,Sigma2),MIN(MaxMultiple,Xm/(1-RAND())^(1/Alpha)))))</f>
        <v>1.1630507538301127</v>
      </c>
      <c r="N226" s="19">
        <f ca="1">IF(RAND()&lt;P_Zero,0,IF(RAND()&lt;CondReturn,_xlfn.LOGNORM.INV(RAND(),MV2,Sigma1),IF(RAND()&lt;CondGood,_xlfn.LOGNORM.INV(RAND(),MV3,Sigma2),MIN(MaxMultiple,Xm/(1-RAND())^(1/Alpha)))))</f>
        <v>0.8026656674133682</v>
      </c>
      <c r="O226" s="19">
        <f ca="1">IF(RAND()&lt;P_Zero,0,IF(RAND()&lt;CondReturn,_xlfn.LOGNORM.INV(RAND(),MV2,Sigma1),IF(RAND()&lt;CondGood,_xlfn.LOGNORM.INV(RAND(),MV3,Sigma2),MIN(MaxMultiple,Xm/(1-RAND())^(1/Alpha)))))</f>
        <v>0</v>
      </c>
      <c r="P226" s="19">
        <f ca="1">IF(RAND()&lt;P_Zero,0,IF(RAND()&lt;CondReturn,_xlfn.LOGNORM.INV(RAND(),MV2,Sigma1),IF(RAND()&lt;CondGood,_xlfn.LOGNORM.INV(RAND(),MV3,Sigma2),MIN(MaxMultiple,Xm/(1-RAND())^(1/Alpha)))))</f>
        <v>0</v>
      </c>
      <c r="Q226" s="19">
        <f ca="1">IF(RAND()&lt;P_Zero,0,IF(RAND()&lt;CondReturn,_xlfn.LOGNORM.INV(RAND(),MV2,Sigma1),IF(RAND()&lt;CondGood,_xlfn.LOGNORM.INV(RAND(),MV3,Sigma2),MIN(MaxMultiple,Xm/(1-RAND())^(1/Alpha)))))</f>
        <v>0</v>
      </c>
      <c r="R226" s="19">
        <f ca="1">IF(RAND()&lt;P_Zero,0,IF(RAND()&lt;CondReturn,_xlfn.LOGNORM.INV(RAND(),MV2,Sigma1),IF(RAND()&lt;CondGood,_xlfn.LOGNORM.INV(RAND(),MV3,Sigma2),MIN(MaxMultiple,Xm/(1-RAND())^(1/Alpha)))))</f>
        <v>33.454982466521045</v>
      </c>
      <c r="S226" s="19">
        <f ca="1">IF(RAND()&lt;P_Zero,0,IF(RAND()&lt;CondReturn,_xlfn.LOGNORM.INV(RAND(),MV2,Sigma1),IF(RAND()&lt;CondGood,_xlfn.LOGNORM.INV(RAND(),MV3,Sigma2),MIN(MaxMultiple,Xm/(1-RAND())^(1/Alpha)))))</f>
        <v>0</v>
      </c>
      <c r="T226" s="19">
        <f ca="1">IF(RAND()&lt;P_Zero,0,IF(RAND()&lt;CondReturn,_xlfn.LOGNORM.INV(RAND(),MV2,Sigma1),IF(RAND()&lt;CondGood,_xlfn.LOGNORM.INV(RAND(),MV3,Sigma2),MIN(MaxMultiple,Xm/(1-RAND())^(1/Alpha)))))</f>
        <v>1.8906766775383494</v>
      </c>
      <c r="U226" s="19">
        <f ca="1">IF(RAND()&lt;P_Zero,0,IF(RAND()&lt;CondReturn,_xlfn.LOGNORM.INV(RAND(),MV2,Sigma1),IF(RAND()&lt;CondGood,_xlfn.LOGNORM.INV(RAND(),MV3,Sigma2),MIN(MaxMultiple,Xm/(1-RAND())^(1/Alpha)))))</f>
        <v>0</v>
      </c>
      <c r="V226" s="19">
        <f ca="1">IF(RAND()&lt;P_Zero,0,IF(RAND()&lt;CondReturn,_xlfn.LOGNORM.INV(RAND(),MV2,Sigma1),IF(RAND()&lt;CondGood,_xlfn.LOGNORM.INV(RAND(),MV3,Sigma2),MIN(MaxMultiple,Xm/(1-RAND())^(1/Alpha)))))</f>
        <v>0.76048063617596628</v>
      </c>
      <c r="W226" s="19">
        <f ca="1">IF(RAND()&lt;P_Zero,0,IF(RAND()&lt;CondReturn,_xlfn.LOGNORM.INV(RAND(),MV2,Sigma1),IF(RAND()&lt;CondGood,_xlfn.LOGNORM.INV(RAND(),MV3,Sigma2),MIN(MaxMultiple,Xm/(1-RAND())^(1/Alpha)))))</f>
        <v>0</v>
      </c>
      <c r="X226" s="19">
        <f ca="1">IF(RAND()&lt;P_Zero,0,IF(RAND()&lt;CondReturn,_xlfn.LOGNORM.INV(RAND(),MV2,Sigma1),IF(RAND()&lt;CondGood,_xlfn.LOGNORM.INV(RAND(),MV3,Sigma2),MIN(MaxMultiple,Xm/(1-RAND())^(1/Alpha)))))</f>
        <v>0</v>
      </c>
      <c r="Y226" s="19">
        <f ca="1">IF(RAND()&lt;P_Zero,0,IF(RAND()&lt;CondReturn,_xlfn.LOGNORM.INV(RAND(),MV2,Sigma1),IF(RAND()&lt;CondGood,_xlfn.LOGNORM.INV(RAND(),MV3,Sigma2),MIN(MaxMultiple,Xm/(1-RAND())^(1/Alpha)))))</f>
        <v>1.2548255418178502</v>
      </c>
      <c r="Z226" s="19">
        <f ca="1">IF(RAND()&lt;P_Zero,0,IF(RAND()&lt;CondReturn,_xlfn.LOGNORM.INV(RAND(),MV2,Sigma1),IF(RAND()&lt;CondGood,_xlfn.LOGNORM.INV(RAND(),MV3,Sigma2),MIN(MaxMultiple,Xm/(1-RAND())^(1/Alpha)))))</f>
        <v>1.8484577597035745</v>
      </c>
      <c r="AA226" s="19">
        <f ca="1">IF(RAND()&lt;P_Zero,0,IF(RAND()&lt;CondReturn,_xlfn.LOGNORM.INV(RAND(),MV2,Sigma1),IF(RAND()&lt;CondGood,_xlfn.LOGNORM.INV(RAND(),MV3,Sigma2),MIN(MaxMultiple,Xm/(1-RAND())^(1/Alpha)))))</f>
        <v>1.8391074466188764</v>
      </c>
      <c r="AB226" s="19">
        <f t="shared" ca="1" si="24"/>
        <v>6.8238062952522291</v>
      </c>
      <c r="AC226" s="14">
        <f t="shared" ca="1" si="25"/>
        <v>327542702.17210698</v>
      </c>
      <c r="AD226" s="14">
        <f t="shared" ca="1" si="26"/>
        <v>279542702.17210698</v>
      </c>
      <c r="AE226" s="14">
        <f t="shared" si="27"/>
        <v>55628399.869093813</v>
      </c>
      <c r="AF226" s="14">
        <f t="shared" ca="1" si="28"/>
        <v>223914302.30301318</v>
      </c>
      <c r="AG226" s="14">
        <f t="shared" ca="1" si="29"/>
        <v>44782860.460602641</v>
      </c>
      <c r="AH226" s="14">
        <f t="shared" ca="1" si="30"/>
        <v>282759841.71150434</v>
      </c>
      <c r="AI226" s="19">
        <f t="shared" ca="1" si="31"/>
        <v>4.7126640285250723</v>
      </c>
    </row>
    <row r="227" spans="2:35" x14ac:dyDescent="0.2">
      <c r="B227" s="1">
        <v>222</v>
      </c>
      <c r="C227" s="19">
        <f ca="1">IF(RAND()&lt;P_Zero,0,IF(RAND()&lt;CondReturn,_xlfn.LOGNORM.INV(RAND(),MV2,Sigma1),IF(RAND()&lt;CondGood,_xlfn.LOGNORM.INV(RAND(),MV3,Sigma2),MIN(MaxMultiple,Xm/(1-RAND())^(1/Alpha)))))</f>
        <v>0.66024011087022005</v>
      </c>
      <c r="D227" s="19">
        <f ca="1">IF(RAND()&lt;P_Zero,0,IF(RAND()&lt;CondReturn,_xlfn.LOGNORM.INV(RAND(),MV2,Sigma1),IF(RAND()&lt;CondGood,_xlfn.LOGNORM.INV(RAND(),MV3,Sigma2),MIN(MaxMultiple,Xm/(1-RAND())^(1/Alpha)))))</f>
        <v>0.87526957133668548</v>
      </c>
      <c r="E227" s="19">
        <f ca="1">IF(RAND()&lt;P_Zero,0,IF(RAND()&lt;CondReturn,_xlfn.LOGNORM.INV(RAND(),MV2,Sigma1),IF(RAND()&lt;CondGood,_xlfn.LOGNORM.INV(RAND(),MV3,Sigma2),MIN(MaxMultiple,Xm/(1-RAND())^(1/Alpha)))))</f>
        <v>1.1851102016043891</v>
      </c>
      <c r="F227" s="19">
        <f ca="1">IF(RAND()&lt;P_Zero,0,IF(RAND()&lt;CondReturn,_xlfn.LOGNORM.INV(RAND(),MV2,Sigma1),IF(RAND()&lt;CondGood,_xlfn.LOGNORM.INV(RAND(),MV3,Sigma2),MIN(MaxMultiple,Xm/(1-RAND())^(1/Alpha)))))</f>
        <v>0</v>
      </c>
      <c r="G227" s="19">
        <f ca="1">IF(RAND()&lt;P_Zero,0,IF(RAND()&lt;CondReturn,_xlfn.LOGNORM.INV(RAND(),MV2,Sigma1),IF(RAND()&lt;CondGood,_xlfn.LOGNORM.INV(RAND(),MV3,Sigma2),MIN(MaxMultiple,Xm/(1-RAND())^(1/Alpha)))))</f>
        <v>0</v>
      </c>
      <c r="H227" s="19">
        <f ca="1">IF(RAND()&lt;P_Zero,0,IF(RAND()&lt;CondReturn,_xlfn.LOGNORM.INV(RAND(),MV2,Sigma1),IF(RAND()&lt;CondGood,_xlfn.LOGNORM.INV(RAND(),MV3,Sigma2),MIN(MaxMultiple,Xm/(1-RAND())^(1/Alpha)))))</f>
        <v>0</v>
      </c>
      <c r="I227" s="19">
        <f ca="1">IF(RAND()&lt;P_Zero,0,IF(RAND()&lt;CondReturn,_xlfn.LOGNORM.INV(RAND(),MV2,Sigma1),IF(RAND()&lt;CondGood,_xlfn.LOGNORM.INV(RAND(),MV3,Sigma2),MIN(MaxMultiple,Xm/(1-RAND())^(1/Alpha)))))</f>
        <v>0.36993337862588949</v>
      </c>
      <c r="J227" s="19">
        <f ca="1">IF(RAND()&lt;P_Zero,0,IF(RAND()&lt;CondReturn,_xlfn.LOGNORM.INV(RAND(),MV2,Sigma1),IF(RAND()&lt;CondGood,_xlfn.LOGNORM.INV(RAND(),MV3,Sigma2),MIN(MaxMultiple,Xm/(1-RAND())^(1/Alpha)))))</f>
        <v>0.52298204523513969</v>
      </c>
      <c r="K227" s="19">
        <f ca="1">IF(RAND()&lt;P_Zero,0,IF(RAND()&lt;CondReturn,_xlfn.LOGNORM.INV(RAND(),MV2,Sigma1),IF(RAND()&lt;CondGood,_xlfn.LOGNORM.INV(RAND(),MV3,Sigma2),MIN(MaxMultiple,Xm/(1-RAND())^(1/Alpha)))))</f>
        <v>1.5804797465706129</v>
      </c>
      <c r="L227" s="19">
        <f ca="1">IF(RAND()&lt;P_Zero,0,IF(RAND()&lt;CondReturn,_xlfn.LOGNORM.INV(RAND(),MV2,Sigma1),IF(RAND()&lt;CondGood,_xlfn.LOGNORM.INV(RAND(),MV3,Sigma2),MIN(MaxMultiple,Xm/(1-RAND())^(1/Alpha)))))</f>
        <v>1.4727610919834886</v>
      </c>
      <c r="M227" s="19">
        <f ca="1">IF(RAND()&lt;P_Zero,0,IF(RAND()&lt;CondReturn,_xlfn.LOGNORM.INV(RAND(),MV2,Sigma1),IF(RAND()&lt;CondGood,_xlfn.LOGNORM.INV(RAND(),MV3,Sigma2),MIN(MaxMultiple,Xm/(1-RAND())^(1/Alpha)))))</f>
        <v>0</v>
      </c>
      <c r="N227" s="19">
        <f ca="1">IF(RAND()&lt;P_Zero,0,IF(RAND()&lt;CondReturn,_xlfn.LOGNORM.INV(RAND(),MV2,Sigma1),IF(RAND()&lt;CondGood,_xlfn.LOGNORM.INV(RAND(),MV3,Sigma2),MIN(MaxMultiple,Xm/(1-RAND())^(1/Alpha)))))</f>
        <v>0.89123662062098352</v>
      </c>
      <c r="O227" s="19">
        <f ca="1">IF(RAND()&lt;P_Zero,0,IF(RAND()&lt;CondReturn,_xlfn.LOGNORM.INV(RAND(),MV2,Sigma1),IF(RAND()&lt;CondGood,_xlfn.LOGNORM.INV(RAND(),MV3,Sigma2),MIN(MaxMultiple,Xm/(1-RAND())^(1/Alpha)))))</f>
        <v>0</v>
      </c>
      <c r="P227" s="19">
        <f ca="1">IF(RAND()&lt;P_Zero,0,IF(RAND()&lt;CondReturn,_xlfn.LOGNORM.INV(RAND(),MV2,Sigma1),IF(RAND()&lt;CondGood,_xlfn.LOGNORM.INV(RAND(),MV3,Sigma2),MIN(MaxMultiple,Xm/(1-RAND())^(1/Alpha)))))</f>
        <v>0</v>
      </c>
      <c r="Q227" s="19">
        <f ca="1">IF(RAND()&lt;P_Zero,0,IF(RAND()&lt;CondReturn,_xlfn.LOGNORM.INV(RAND(),MV2,Sigma1),IF(RAND()&lt;CondGood,_xlfn.LOGNORM.INV(RAND(),MV3,Sigma2),MIN(MaxMultiple,Xm/(1-RAND())^(1/Alpha)))))</f>
        <v>0</v>
      </c>
      <c r="R227" s="19">
        <f ca="1">IF(RAND()&lt;P_Zero,0,IF(RAND()&lt;CondReturn,_xlfn.LOGNORM.INV(RAND(),MV2,Sigma1),IF(RAND()&lt;CondGood,_xlfn.LOGNORM.INV(RAND(),MV3,Sigma2),MIN(MaxMultiple,Xm/(1-RAND())^(1/Alpha)))))</f>
        <v>0.35962194099872136</v>
      </c>
      <c r="S227" s="19">
        <f ca="1">IF(RAND()&lt;P_Zero,0,IF(RAND()&lt;CondReturn,_xlfn.LOGNORM.INV(RAND(),MV2,Sigma1),IF(RAND()&lt;CondGood,_xlfn.LOGNORM.INV(RAND(),MV3,Sigma2),MIN(MaxMultiple,Xm/(1-RAND())^(1/Alpha)))))</f>
        <v>0.45088367123801271</v>
      </c>
      <c r="T227" s="19">
        <f ca="1">IF(RAND()&lt;P_Zero,0,IF(RAND()&lt;CondReturn,_xlfn.LOGNORM.INV(RAND(),MV2,Sigma1),IF(RAND()&lt;CondGood,_xlfn.LOGNORM.INV(RAND(),MV3,Sigma2),MIN(MaxMultiple,Xm/(1-RAND())^(1/Alpha)))))</f>
        <v>2.2091537668962005</v>
      </c>
      <c r="U227" s="19">
        <f ca="1">IF(RAND()&lt;P_Zero,0,IF(RAND()&lt;CondReturn,_xlfn.LOGNORM.INV(RAND(),MV2,Sigma1),IF(RAND()&lt;CondGood,_xlfn.LOGNORM.INV(RAND(),MV3,Sigma2),MIN(MaxMultiple,Xm/(1-RAND())^(1/Alpha)))))</f>
        <v>63.417996001601033</v>
      </c>
      <c r="V227" s="19">
        <f ca="1">IF(RAND()&lt;P_Zero,0,IF(RAND()&lt;CondReturn,_xlfn.LOGNORM.INV(RAND(),MV2,Sigma1),IF(RAND()&lt;CondGood,_xlfn.LOGNORM.INV(RAND(),MV3,Sigma2),MIN(MaxMultiple,Xm/(1-RAND())^(1/Alpha)))))</f>
        <v>1.4558890376625362</v>
      </c>
      <c r="W227" s="19">
        <f ca="1">IF(RAND()&lt;P_Zero,0,IF(RAND()&lt;CondReturn,_xlfn.LOGNORM.INV(RAND(),MV2,Sigma1),IF(RAND()&lt;CondGood,_xlfn.LOGNORM.INV(RAND(),MV3,Sigma2),MIN(MaxMultiple,Xm/(1-RAND())^(1/Alpha)))))</f>
        <v>0</v>
      </c>
      <c r="X227" s="19">
        <f ca="1">IF(RAND()&lt;P_Zero,0,IF(RAND()&lt;CondReturn,_xlfn.LOGNORM.INV(RAND(),MV2,Sigma1),IF(RAND()&lt;CondGood,_xlfn.LOGNORM.INV(RAND(),MV3,Sigma2),MIN(MaxMultiple,Xm/(1-RAND())^(1/Alpha)))))</f>
        <v>0.44569129891853365</v>
      </c>
      <c r="Y227" s="19">
        <f ca="1">IF(RAND()&lt;P_Zero,0,IF(RAND()&lt;CondReturn,_xlfn.LOGNORM.INV(RAND(),MV2,Sigma1),IF(RAND()&lt;CondGood,_xlfn.LOGNORM.INV(RAND(),MV3,Sigma2),MIN(MaxMultiple,Xm/(1-RAND())^(1/Alpha)))))</f>
        <v>0.991495689466387</v>
      </c>
      <c r="Z227" s="19">
        <f ca="1">IF(RAND()&lt;P_Zero,0,IF(RAND()&lt;CondReturn,_xlfn.LOGNORM.INV(RAND(),MV2,Sigma1),IF(RAND()&lt;CondGood,_xlfn.LOGNORM.INV(RAND(),MV3,Sigma2),MIN(MaxMultiple,Xm/(1-RAND())^(1/Alpha)))))</f>
        <v>0</v>
      </c>
      <c r="AA227" s="19">
        <f ca="1">IF(RAND()&lt;P_Zero,0,IF(RAND()&lt;CondReturn,_xlfn.LOGNORM.INV(RAND(),MV2,Sigma1),IF(RAND()&lt;CondGood,_xlfn.LOGNORM.INV(RAND(),MV3,Sigma2),MIN(MaxMultiple,Xm/(1-RAND())^(1/Alpha)))))</f>
        <v>1.0531339499305878</v>
      </c>
      <c r="AB227" s="19">
        <f t="shared" ca="1" si="24"/>
        <v>3.1176751249423762</v>
      </c>
      <c r="AC227" s="14">
        <f t="shared" ca="1" si="25"/>
        <v>149648405.99723405</v>
      </c>
      <c r="AD227" s="14">
        <f t="shared" ca="1" si="26"/>
        <v>101648405.99723405</v>
      </c>
      <c r="AE227" s="14">
        <f t="shared" si="27"/>
        <v>55628399.869093813</v>
      </c>
      <c r="AF227" s="14">
        <f t="shared" ca="1" si="28"/>
        <v>46020006.128140233</v>
      </c>
      <c r="AG227" s="14">
        <f t="shared" ca="1" si="29"/>
        <v>9204001.2256280463</v>
      </c>
      <c r="AH227" s="14">
        <f t="shared" ca="1" si="30"/>
        <v>140444404.771606</v>
      </c>
      <c r="AI227" s="19">
        <f t="shared" ca="1" si="31"/>
        <v>2.3407400795267668</v>
      </c>
    </row>
    <row r="228" spans="2:35" x14ac:dyDescent="0.2">
      <c r="B228" s="1">
        <v>223</v>
      </c>
      <c r="C228" s="19">
        <f ca="1">IF(RAND()&lt;P_Zero,0,IF(RAND()&lt;CondReturn,_xlfn.LOGNORM.INV(RAND(),MV2,Sigma1),IF(RAND()&lt;CondGood,_xlfn.LOGNORM.INV(RAND(),MV3,Sigma2),MIN(MaxMultiple,Xm/(1-RAND())^(1/Alpha)))))</f>
        <v>0</v>
      </c>
      <c r="D228" s="19">
        <f ca="1">IF(RAND()&lt;P_Zero,0,IF(RAND()&lt;CondReturn,_xlfn.LOGNORM.INV(RAND(),MV2,Sigma1),IF(RAND()&lt;CondGood,_xlfn.LOGNORM.INV(RAND(),MV3,Sigma2),MIN(MaxMultiple,Xm/(1-RAND())^(1/Alpha)))))</f>
        <v>0.58668555868079497</v>
      </c>
      <c r="E228" s="19">
        <f ca="1">IF(RAND()&lt;P_Zero,0,IF(RAND()&lt;CondReturn,_xlfn.LOGNORM.INV(RAND(),MV2,Sigma1),IF(RAND()&lt;CondGood,_xlfn.LOGNORM.INV(RAND(),MV3,Sigma2),MIN(MaxMultiple,Xm/(1-RAND())^(1/Alpha)))))</f>
        <v>2.636369221884677</v>
      </c>
      <c r="F228" s="19">
        <f ca="1">IF(RAND()&lt;P_Zero,0,IF(RAND()&lt;CondReturn,_xlfn.LOGNORM.INV(RAND(),MV2,Sigma1),IF(RAND()&lt;CondGood,_xlfn.LOGNORM.INV(RAND(),MV3,Sigma2),MIN(MaxMultiple,Xm/(1-RAND())^(1/Alpha)))))</f>
        <v>22.099942940105741</v>
      </c>
      <c r="G228" s="19">
        <f ca="1">IF(RAND()&lt;P_Zero,0,IF(RAND()&lt;CondReturn,_xlfn.LOGNORM.INV(RAND(),MV2,Sigma1),IF(RAND()&lt;CondGood,_xlfn.LOGNORM.INV(RAND(),MV3,Sigma2),MIN(MaxMultiple,Xm/(1-RAND())^(1/Alpha)))))</f>
        <v>1.122528123651076</v>
      </c>
      <c r="H228" s="19">
        <f ca="1">IF(RAND()&lt;P_Zero,0,IF(RAND()&lt;CondReturn,_xlfn.LOGNORM.INV(RAND(),MV2,Sigma1),IF(RAND()&lt;CondGood,_xlfn.LOGNORM.INV(RAND(),MV3,Sigma2),MIN(MaxMultiple,Xm/(1-RAND())^(1/Alpha)))))</f>
        <v>2.0139193931557031</v>
      </c>
      <c r="I228" s="19">
        <f ca="1">IF(RAND()&lt;P_Zero,0,IF(RAND()&lt;CondReturn,_xlfn.LOGNORM.INV(RAND(),MV2,Sigma1),IF(RAND()&lt;CondGood,_xlfn.LOGNORM.INV(RAND(),MV3,Sigma2),MIN(MaxMultiple,Xm/(1-RAND())^(1/Alpha)))))</f>
        <v>0.51905712120625958</v>
      </c>
      <c r="J228" s="19">
        <f ca="1">IF(RAND()&lt;P_Zero,0,IF(RAND()&lt;CondReturn,_xlfn.LOGNORM.INV(RAND(),MV2,Sigma1),IF(RAND()&lt;CondGood,_xlfn.LOGNORM.INV(RAND(),MV3,Sigma2),MIN(MaxMultiple,Xm/(1-RAND())^(1/Alpha)))))</f>
        <v>22.982263337393849</v>
      </c>
      <c r="K228" s="19">
        <f ca="1">IF(RAND()&lt;P_Zero,0,IF(RAND()&lt;CondReturn,_xlfn.LOGNORM.INV(RAND(),MV2,Sigma1),IF(RAND()&lt;CondGood,_xlfn.LOGNORM.INV(RAND(),MV3,Sigma2),MIN(MaxMultiple,Xm/(1-RAND())^(1/Alpha)))))</f>
        <v>1.2169553927345176</v>
      </c>
      <c r="L228" s="19">
        <f ca="1">IF(RAND()&lt;P_Zero,0,IF(RAND()&lt;CondReturn,_xlfn.LOGNORM.INV(RAND(),MV2,Sigma1),IF(RAND()&lt;CondGood,_xlfn.LOGNORM.INV(RAND(),MV3,Sigma2),MIN(MaxMultiple,Xm/(1-RAND())^(1/Alpha)))))</f>
        <v>2.1468170667968036</v>
      </c>
      <c r="M228" s="19">
        <f ca="1">IF(RAND()&lt;P_Zero,0,IF(RAND()&lt;CondReturn,_xlfn.LOGNORM.INV(RAND(),MV2,Sigma1),IF(RAND()&lt;CondGood,_xlfn.LOGNORM.INV(RAND(),MV3,Sigma2),MIN(MaxMultiple,Xm/(1-RAND())^(1/Alpha)))))</f>
        <v>0</v>
      </c>
      <c r="N228" s="19">
        <f ca="1">IF(RAND()&lt;P_Zero,0,IF(RAND()&lt;CondReturn,_xlfn.LOGNORM.INV(RAND(),MV2,Sigma1),IF(RAND()&lt;CondGood,_xlfn.LOGNORM.INV(RAND(),MV3,Sigma2),MIN(MaxMultiple,Xm/(1-RAND())^(1/Alpha)))))</f>
        <v>1.0694084024835444</v>
      </c>
      <c r="O228" s="19">
        <f ca="1">IF(RAND()&lt;P_Zero,0,IF(RAND()&lt;CondReturn,_xlfn.LOGNORM.INV(RAND(),MV2,Sigma1),IF(RAND()&lt;CondGood,_xlfn.LOGNORM.INV(RAND(),MV3,Sigma2),MIN(MaxMultiple,Xm/(1-RAND())^(1/Alpha)))))</f>
        <v>0.90951206642194482</v>
      </c>
      <c r="P228" s="19">
        <f ca="1">IF(RAND()&lt;P_Zero,0,IF(RAND()&lt;CondReturn,_xlfn.LOGNORM.INV(RAND(),MV2,Sigma1),IF(RAND()&lt;CondGood,_xlfn.LOGNORM.INV(RAND(),MV3,Sigma2),MIN(MaxMultiple,Xm/(1-RAND())^(1/Alpha)))))</f>
        <v>13.10352700591613</v>
      </c>
      <c r="Q228" s="19">
        <f ca="1">IF(RAND()&lt;P_Zero,0,IF(RAND()&lt;CondReturn,_xlfn.LOGNORM.INV(RAND(),MV2,Sigma1),IF(RAND()&lt;CondGood,_xlfn.LOGNORM.INV(RAND(),MV3,Sigma2),MIN(MaxMultiple,Xm/(1-RAND())^(1/Alpha)))))</f>
        <v>0</v>
      </c>
      <c r="R228" s="19">
        <f ca="1">IF(RAND()&lt;P_Zero,0,IF(RAND()&lt;CondReturn,_xlfn.LOGNORM.INV(RAND(),MV2,Sigma1),IF(RAND()&lt;CondGood,_xlfn.LOGNORM.INV(RAND(),MV3,Sigma2),MIN(MaxMultiple,Xm/(1-RAND())^(1/Alpha)))))</f>
        <v>1.3378453612076442</v>
      </c>
      <c r="S228" s="19">
        <f ca="1">IF(RAND()&lt;P_Zero,0,IF(RAND()&lt;CondReturn,_xlfn.LOGNORM.INV(RAND(),MV2,Sigma1),IF(RAND()&lt;CondGood,_xlfn.LOGNORM.INV(RAND(),MV3,Sigma2),MIN(MaxMultiple,Xm/(1-RAND())^(1/Alpha)))))</f>
        <v>0.70048302093884673</v>
      </c>
      <c r="T228" s="19">
        <f ca="1">IF(RAND()&lt;P_Zero,0,IF(RAND()&lt;CondReturn,_xlfn.LOGNORM.INV(RAND(),MV2,Sigma1),IF(RAND()&lt;CondGood,_xlfn.LOGNORM.INV(RAND(),MV3,Sigma2),MIN(MaxMultiple,Xm/(1-RAND())^(1/Alpha)))))</f>
        <v>1.2865148048240693</v>
      </c>
      <c r="U228" s="19">
        <f ca="1">IF(RAND()&lt;P_Zero,0,IF(RAND()&lt;CondReturn,_xlfn.LOGNORM.INV(RAND(),MV2,Sigma1),IF(RAND()&lt;CondGood,_xlfn.LOGNORM.INV(RAND(),MV3,Sigma2),MIN(MaxMultiple,Xm/(1-RAND())^(1/Alpha)))))</f>
        <v>0.80976123041907644</v>
      </c>
      <c r="V228" s="19">
        <f ca="1">IF(RAND()&lt;P_Zero,0,IF(RAND()&lt;CondReturn,_xlfn.LOGNORM.INV(RAND(),MV2,Sigma1),IF(RAND()&lt;CondGood,_xlfn.LOGNORM.INV(RAND(),MV3,Sigma2),MIN(MaxMultiple,Xm/(1-RAND())^(1/Alpha)))))</f>
        <v>0</v>
      </c>
      <c r="W228" s="19">
        <f ca="1">IF(RAND()&lt;P_Zero,0,IF(RAND()&lt;CondReturn,_xlfn.LOGNORM.INV(RAND(),MV2,Sigma1),IF(RAND()&lt;CondGood,_xlfn.LOGNORM.INV(RAND(),MV3,Sigma2),MIN(MaxMultiple,Xm/(1-RAND())^(1/Alpha)))))</f>
        <v>0</v>
      </c>
      <c r="X228" s="19">
        <f ca="1">IF(RAND()&lt;P_Zero,0,IF(RAND()&lt;CondReturn,_xlfn.LOGNORM.INV(RAND(),MV2,Sigma1),IF(RAND()&lt;CondGood,_xlfn.LOGNORM.INV(RAND(),MV3,Sigma2),MIN(MaxMultiple,Xm/(1-RAND())^(1/Alpha)))))</f>
        <v>0</v>
      </c>
      <c r="Y228" s="19">
        <f ca="1">IF(RAND()&lt;P_Zero,0,IF(RAND()&lt;CondReturn,_xlfn.LOGNORM.INV(RAND(),MV2,Sigma1),IF(RAND()&lt;CondGood,_xlfn.LOGNORM.INV(RAND(),MV3,Sigma2),MIN(MaxMultiple,Xm/(1-RAND())^(1/Alpha)))))</f>
        <v>0.6161621961165118</v>
      </c>
      <c r="Z228" s="19">
        <f ca="1">IF(RAND()&lt;P_Zero,0,IF(RAND()&lt;CondReturn,_xlfn.LOGNORM.INV(RAND(),MV2,Sigma1),IF(RAND()&lt;CondGood,_xlfn.LOGNORM.INV(RAND(),MV3,Sigma2),MIN(MaxMultiple,Xm/(1-RAND())^(1/Alpha)))))</f>
        <v>0.64613165004402329</v>
      </c>
      <c r="AA228" s="19">
        <f ca="1">IF(RAND()&lt;P_Zero,0,IF(RAND()&lt;CondReturn,_xlfn.LOGNORM.INV(RAND(),MV2,Sigma1),IF(RAND()&lt;CondGood,_xlfn.LOGNORM.INV(RAND(),MV3,Sigma2),MIN(MaxMultiple,Xm/(1-RAND())^(1/Alpha)))))</f>
        <v>0</v>
      </c>
      <c r="AB228" s="19">
        <f t="shared" ca="1" si="24"/>
        <v>3.0321553557592482</v>
      </c>
      <c r="AC228" s="14">
        <f t="shared" ca="1" si="25"/>
        <v>145543457.07644391</v>
      </c>
      <c r="AD228" s="14">
        <f t="shared" ca="1" si="26"/>
        <v>97543457.076443911</v>
      </c>
      <c r="AE228" s="14">
        <f t="shared" si="27"/>
        <v>55628399.869093813</v>
      </c>
      <c r="AF228" s="14">
        <f t="shared" ca="1" si="28"/>
        <v>41915057.207350098</v>
      </c>
      <c r="AG228" s="14">
        <f t="shared" ca="1" si="29"/>
        <v>8383011.4414700195</v>
      </c>
      <c r="AH228" s="14">
        <f t="shared" ca="1" si="30"/>
        <v>137160445.63497388</v>
      </c>
      <c r="AI228" s="19">
        <f t="shared" ca="1" si="31"/>
        <v>2.2860074272495647</v>
      </c>
    </row>
    <row r="229" spans="2:35" x14ac:dyDescent="0.2">
      <c r="B229" s="1">
        <v>224</v>
      </c>
      <c r="C229" s="19">
        <f ca="1">IF(RAND()&lt;P_Zero,0,IF(RAND()&lt;CondReturn,_xlfn.LOGNORM.INV(RAND(),MV2,Sigma1),IF(RAND()&lt;CondGood,_xlfn.LOGNORM.INV(RAND(),MV3,Sigma2),MIN(MaxMultiple,Xm/(1-RAND())^(1/Alpha)))))</f>
        <v>0.88710500008768745</v>
      </c>
      <c r="D229" s="19">
        <f ca="1">IF(RAND()&lt;P_Zero,0,IF(RAND()&lt;CondReturn,_xlfn.LOGNORM.INV(RAND(),MV2,Sigma1),IF(RAND()&lt;CondGood,_xlfn.LOGNORM.INV(RAND(),MV3,Sigma2),MIN(MaxMultiple,Xm/(1-RAND())^(1/Alpha)))))</f>
        <v>0</v>
      </c>
      <c r="E229" s="19">
        <f ca="1">IF(RAND()&lt;P_Zero,0,IF(RAND()&lt;CondReturn,_xlfn.LOGNORM.INV(RAND(),MV2,Sigma1),IF(RAND()&lt;CondGood,_xlfn.LOGNORM.INV(RAND(),MV3,Sigma2),MIN(MaxMultiple,Xm/(1-RAND())^(1/Alpha)))))</f>
        <v>1.5315407816895581</v>
      </c>
      <c r="F229" s="19">
        <f ca="1">IF(RAND()&lt;P_Zero,0,IF(RAND()&lt;CondReturn,_xlfn.LOGNORM.INV(RAND(),MV2,Sigma1),IF(RAND()&lt;CondGood,_xlfn.LOGNORM.INV(RAND(),MV3,Sigma2),MIN(MaxMultiple,Xm/(1-RAND())^(1/Alpha)))))</f>
        <v>0.77663329113272683</v>
      </c>
      <c r="G229" s="19">
        <f ca="1">IF(RAND()&lt;P_Zero,0,IF(RAND()&lt;CondReturn,_xlfn.LOGNORM.INV(RAND(),MV2,Sigma1),IF(RAND()&lt;CondGood,_xlfn.LOGNORM.INV(RAND(),MV3,Sigma2),MIN(MaxMultiple,Xm/(1-RAND())^(1/Alpha)))))</f>
        <v>1.29679442171026</v>
      </c>
      <c r="H229" s="19">
        <f ca="1">IF(RAND()&lt;P_Zero,0,IF(RAND()&lt;CondReturn,_xlfn.LOGNORM.INV(RAND(),MV2,Sigma1),IF(RAND()&lt;CondGood,_xlfn.LOGNORM.INV(RAND(),MV3,Sigma2),MIN(MaxMultiple,Xm/(1-RAND())^(1/Alpha)))))</f>
        <v>0.83351518691365467</v>
      </c>
      <c r="I229" s="19">
        <f ca="1">IF(RAND()&lt;P_Zero,0,IF(RAND()&lt;CondReturn,_xlfn.LOGNORM.INV(RAND(),MV2,Sigma1),IF(RAND()&lt;CondGood,_xlfn.LOGNORM.INV(RAND(),MV3,Sigma2),MIN(MaxMultiple,Xm/(1-RAND())^(1/Alpha)))))</f>
        <v>0.89673105428492128</v>
      </c>
      <c r="J229" s="19">
        <f ca="1">IF(RAND()&lt;P_Zero,0,IF(RAND()&lt;CondReturn,_xlfn.LOGNORM.INV(RAND(),MV2,Sigma1),IF(RAND()&lt;CondGood,_xlfn.LOGNORM.INV(RAND(),MV3,Sigma2),MIN(MaxMultiple,Xm/(1-RAND())^(1/Alpha)))))</f>
        <v>1.4073430603395427</v>
      </c>
      <c r="K229" s="19">
        <f ca="1">IF(RAND()&lt;P_Zero,0,IF(RAND()&lt;CondReturn,_xlfn.LOGNORM.INV(RAND(),MV2,Sigma1),IF(RAND()&lt;CondGood,_xlfn.LOGNORM.INV(RAND(),MV3,Sigma2),MIN(MaxMultiple,Xm/(1-RAND())^(1/Alpha)))))</f>
        <v>1.0114923440117245</v>
      </c>
      <c r="L229" s="19">
        <f ca="1">IF(RAND()&lt;P_Zero,0,IF(RAND()&lt;CondReturn,_xlfn.LOGNORM.INV(RAND(),MV2,Sigma1),IF(RAND()&lt;CondGood,_xlfn.LOGNORM.INV(RAND(),MV3,Sigma2),MIN(MaxMultiple,Xm/(1-RAND())^(1/Alpha)))))</f>
        <v>0</v>
      </c>
      <c r="M229" s="19">
        <f ca="1">IF(RAND()&lt;P_Zero,0,IF(RAND()&lt;CondReturn,_xlfn.LOGNORM.INV(RAND(),MV2,Sigma1),IF(RAND()&lt;CondGood,_xlfn.LOGNORM.INV(RAND(),MV3,Sigma2),MIN(MaxMultiple,Xm/(1-RAND())^(1/Alpha)))))</f>
        <v>1.5717934657897594</v>
      </c>
      <c r="N229" s="19">
        <f ca="1">IF(RAND()&lt;P_Zero,0,IF(RAND()&lt;CondReturn,_xlfn.LOGNORM.INV(RAND(),MV2,Sigma1),IF(RAND()&lt;CondGood,_xlfn.LOGNORM.INV(RAND(),MV3,Sigma2),MIN(MaxMultiple,Xm/(1-RAND())^(1/Alpha)))))</f>
        <v>4.4557040963419627</v>
      </c>
      <c r="O229" s="19">
        <f ca="1">IF(RAND()&lt;P_Zero,0,IF(RAND()&lt;CondReturn,_xlfn.LOGNORM.INV(RAND(),MV2,Sigma1),IF(RAND()&lt;CondGood,_xlfn.LOGNORM.INV(RAND(),MV3,Sigma2),MIN(MaxMultiple,Xm/(1-RAND())^(1/Alpha)))))</f>
        <v>44.206308528962374</v>
      </c>
      <c r="P229" s="19">
        <f ca="1">IF(RAND()&lt;P_Zero,0,IF(RAND()&lt;CondReturn,_xlfn.LOGNORM.INV(RAND(),MV2,Sigma1),IF(RAND()&lt;CondGood,_xlfn.LOGNORM.INV(RAND(),MV3,Sigma2),MIN(MaxMultiple,Xm/(1-RAND())^(1/Alpha)))))</f>
        <v>2.059309660448903</v>
      </c>
      <c r="Q229" s="19">
        <f ca="1">IF(RAND()&lt;P_Zero,0,IF(RAND()&lt;CondReturn,_xlfn.LOGNORM.INV(RAND(),MV2,Sigma1),IF(RAND()&lt;CondGood,_xlfn.LOGNORM.INV(RAND(),MV3,Sigma2),MIN(MaxMultiple,Xm/(1-RAND())^(1/Alpha)))))</f>
        <v>10.060132820000055</v>
      </c>
      <c r="R229" s="19">
        <f ca="1">IF(RAND()&lt;P_Zero,0,IF(RAND()&lt;CondReturn,_xlfn.LOGNORM.INV(RAND(),MV2,Sigma1),IF(RAND()&lt;CondGood,_xlfn.LOGNORM.INV(RAND(),MV3,Sigma2),MIN(MaxMultiple,Xm/(1-RAND())^(1/Alpha)))))</f>
        <v>1.1932994859191277</v>
      </c>
      <c r="S229" s="19">
        <f ca="1">IF(RAND()&lt;P_Zero,0,IF(RAND()&lt;CondReturn,_xlfn.LOGNORM.INV(RAND(),MV2,Sigma1),IF(RAND()&lt;CondGood,_xlfn.LOGNORM.INV(RAND(),MV3,Sigma2),MIN(MaxMultiple,Xm/(1-RAND())^(1/Alpha)))))</f>
        <v>0.39145630755625671</v>
      </c>
      <c r="T229" s="19">
        <f ca="1">IF(RAND()&lt;P_Zero,0,IF(RAND()&lt;CondReturn,_xlfn.LOGNORM.INV(RAND(),MV2,Sigma1),IF(RAND()&lt;CondGood,_xlfn.LOGNORM.INV(RAND(),MV3,Sigma2),MIN(MaxMultiple,Xm/(1-RAND())^(1/Alpha)))))</f>
        <v>0</v>
      </c>
      <c r="U229" s="19">
        <f ca="1">IF(RAND()&lt;P_Zero,0,IF(RAND()&lt;CondReturn,_xlfn.LOGNORM.INV(RAND(),MV2,Sigma1),IF(RAND()&lt;CondGood,_xlfn.LOGNORM.INV(RAND(),MV3,Sigma2),MIN(MaxMultiple,Xm/(1-RAND())^(1/Alpha)))))</f>
        <v>0.95137924254238393</v>
      </c>
      <c r="V229" s="19">
        <f ca="1">IF(RAND()&lt;P_Zero,0,IF(RAND()&lt;CondReturn,_xlfn.LOGNORM.INV(RAND(),MV2,Sigma1),IF(RAND()&lt;CondGood,_xlfn.LOGNORM.INV(RAND(),MV3,Sigma2),MIN(MaxMultiple,Xm/(1-RAND())^(1/Alpha)))))</f>
        <v>0</v>
      </c>
      <c r="W229" s="19">
        <f ca="1">IF(RAND()&lt;P_Zero,0,IF(RAND()&lt;CondReturn,_xlfn.LOGNORM.INV(RAND(),MV2,Sigma1),IF(RAND()&lt;CondGood,_xlfn.LOGNORM.INV(RAND(),MV3,Sigma2),MIN(MaxMultiple,Xm/(1-RAND())^(1/Alpha)))))</f>
        <v>0</v>
      </c>
      <c r="X229" s="19">
        <f ca="1">IF(RAND()&lt;P_Zero,0,IF(RAND()&lt;CondReturn,_xlfn.LOGNORM.INV(RAND(),MV2,Sigma1),IF(RAND()&lt;CondGood,_xlfn.LOGNORM.INV(RAND(),MV3,Sigma2),MIN(MaxMultiple,Xm/(1-RAND())^(1/Alpha)))))</f>
        <v>0.56317597140551079</v>
      </c>
      <c r="Y229" s="19">
        <f ca="1">IF(RAND()&lt;P_Zero,0,IF(RAND()&lt;CondReturn,_xlfn.LOGNORM.INV(RAND(),MV2,Sigma1),IF(RAND()&lt;CondGood,_xlfn.LOGNORM.INV(RAND(),MV3,Sigma2),MIN(MaxMultiple,Xm/(1-RAND())^(1/Alpha)))))</f>
        <v>0</v>
      </c>
      <c r="Z229" s="19">
        <f ca="1">IF(RAND()&lt;P_Zero,0,IF(RAND()&lt;CondReturn,_xlfn.LOGNORM.INV(RAND(),MV2,Sigma1),IF(RAND()&lt;CondGood,_xlfn.LOGNORM.INV(RAND(),MV3,Sigma2),MIN(MaxMultiple,Xm/(1-RAND())^(1/Alpha)))))</f>
        <v>0</v>
      </c>
      <c r="AA229" s="19">
        <f ca="1">IF(RAND()&lt;P_Zero,0,IF(RAND()&lt;CondReturn,_xlfn.LOGNORM.INV(RAND(),MV2,Sigma1),IF(RAND()&lt;CondGood,_xlfn.LOGNORM.INV(RAND(),MV3,Sigma2),MIN(MaxMultiple,Xm/(1-RAND())^(1/Alpha)))))</f>
        <v>0</v>
      </c>
      <c r="AB229" s="19">
        <f t="shared" ca="1" si="24"/>
        <v>2.9637485887654567</v>
      </c>
      <c r="AC229" s="14">
        <f t="shared" ca="1" si="25"/>
        <v>142259932.26074192</v>
      </c>
      <c r="AD229" s="14">
        <f t="shared" ca="1" si="26"/>
        <v>94259932.260741919</v>
      </c>
      <c r="AE229" s="14">
        <f t="shared" si="27"/>
        <v>55628399.869093813</v>
      </c>
      <c r="AF229" s="14">
        <f t="shared" ca="1" si="28"/>
        <v>38631532.391648106</v>
      </c>
      <c r="AG229" s="14">
        <f t="shared" ca="1" si="29"/>
        <v>7726306.4783296213</v>
      </c>
      <c r="AH229" s="14">
        <f t="shared" ca="1" si="30"/>
        <v>134533625.78241229</v>
      </c>
      <c r="AI229" s="19">
        <f t="shared" ca="1" si="31"/>
        <v>2.2422270963735382</v>
      </c>
    </row>
    <row r="230" spans="2:35" x14ac:dyDescent="0.2">
      <c r="B230" s="1">
        <v>225</v>
      </c>
      <c r="C230" s="19">
        <f ca="1">IF(RAND()&lt;P_Zero,0,IF(RAND()&lt;CondReturn,_xlfn.LOGNORM.INV(RAND(),MV2,Sigma1),IF(RAND()&lt;CondGood,_xlfn.LOGNORM.INV(RAND(),MV3,Sigma2),MIN(MaxMultiple,Xm/(1-RAND())^(1/Alpha)))))</f>
        <v>0.99816860488745995</v>
      </c>
      <c r="D230" s="19">
        <f ca="1">IF(RAND()&lt;P_Zero,0,IF(RAND()&lt;CondReturn,_xlfn.LOGNORM.INV(RAND(),MV2,Sigma1),IF(RAND()&lt;CondGood,_xlfn.LOGNORM.INV(RAND(),MV3,Sigma2),MIN(MaxMultiple,Xm/(1-RAND())^(1/Alpha)))))</f>
        <v>1.3663039098435343</v>
      </c>
      <c r="E230" s="19">
        <f ca="1">IF(RAND()&lt;P_Zero,0,IF(RAND()&lt;CondReturn,_xlfn.LOGNORM.INV(RAND(),MV2,Sigma1),IF(RAND()&lt;CondGood,_xlfn.LOGNORM.INV(RAND(),MV3,Sigma2),MIN(MaxMultiple,Xm/(1-RAND())^(1/Alpha)))))</f>
        <v>2.1946671826201087</v>
      </c>
      <c r="F230" s="19">
        <f ca="1">IF(RAND()&lt;P_Zero,0,IF(RAND()&lt;CondReturn,_xlfn.LOGNORM.INV(RAND(),MV2,Sigma1),IF(RAND()&lt;CondGood,_xlfn.LOGNORM.INV(RAND(),MV3,Sigma2),MIN(MaxMultiple,Xm/(1-RAND())^(1/Alpha)))))</f>
        <v>1.4408576399384736</v>
      </c>
      <c r="G230" s="19">
        <f ca="1">IF(RAND()&lt;P_Zero,0,IF(RAND()&lt;CondReturn,_xlfn.LOGNORM.INV(RAND(),MV2,Sigma1),IF(RAND()&lt;CondGood,_xlfn.LOGNORM.INV(RAND(),MV3,Sigma2),MIN(MaxMultiple,Xm/(1-RAND())^(1/Alpha)))))</f>
        <v>2.1392723608621917</v>
      </c>
      <c r="H230" s="19">
        <f ca="1">IF(RAND()&lt;P_Zero,0,IF(RAND()&lt;CondReturn,_xlfn.LOGNORM.INV(RAND(),MV2,Sigma1),IF(RAND()&lt;CondGood,_xlfn.LOGNORM.INV(RAND(),MV3,Sigma2),MIN(MaxMultiple,Xm/(1-RAND())^(1/Alpha)))))</f>
        <v>0.98101590178896492</v>
      </c>
      <c r="I230" s="19">
        <f ca="1">IF(RAND()&lt;P_Zero,0,IF(RAND()&lt;CondReturn,_xlfn.LOGNORM.INV(RAND(),MV2,Sigma1),IF(RAND()&lt;CondGood,_xlfn.LOGNORM.INV(RAND(),MV3,Sigma2),MIN(MaxMultiple,Xm/(1-RAND())^(1/Alpha)))))</f>
        <v>0</v>
      </c>
      <c r="J230" s="19">
        <f ca="1">IF(RAND()&lt;P_Zero,0,IF(RAND()&lt;CondReturn,_xlfn.LOGNORM.INV(RAND(),MV2,Sigma1),IF(RAND()&lt;CondGood,_xlfn.LOGNORM.INV(RAND(),MV3,Sigma2),MIN(MaxMultiple,Xm/(1-RAND())^(1/Alpha)))))</f>
        <v>0</v>
      </c>
      <c r="K230" s="19">
        <f ca="1">IF(RAND()&lt;P_Zero,0,IF(RAND()&lt;CondReturn,_xlfn.LOGNORM.INV(RAND(),MV2,Sigma1),IF(RAND()&lt;CondGood,_xlfn.LOGNORM.INV(RAND(),MV3,Sigma2),MIN(MaxMultiple,Xm/(1-RAND())^(1/Alpha)))))</f>
        <v>0</v>
      </c>
      <c r="L230" s="19">
        <f ca="1">IF(RAND()&lt;P_Zero,0,IF(RAND()&lt;CondReturn,_xlfn.LOGNORM.INV(RAND(),MV2,Sigma1),IF(RAND()&lt;CondGood,_xlfn.LOGNORM.INV(RAND(),MV3,Sigma2),MIN(MaxMultiple,Xm/(1-RAND())^(1/Alpha)))))</f>
        <v>0</v>
      </c>
      <c r="M230" s="19">
        <f ca="1">IF(RAND()&lt;P_Zero,0,IF(RAND()&lt;CondReturn,_xlfn.LOGNORM.INV(RAND(),MV2,Sigma1),IF(RAND()&lt;CondGood,_xlfn.LOGNORM.INV(RAND(),MV3,Sigma2),MIN(MaxMultiple,Xm/(1-RAND())^(1/Alpha)))))</f>
        <v>0</v>
      </c>
      <c r="N230" s="19">
        <f ca="1">IF(RAND()&lt;P_Zero,0,IF(RAND()&lt;CondReturn,_xlfn.LOGNORM.INV(RAND(),MV2,Sigma1),IF(RAND()&lt;CondGood,_xlfn.LOGNORM.INV(RAND(),MV3,Sigma2),MIN(MaxMultiple,Xm/(1-RAND())^(1/Alpha)))))</f>
        <v>1.6206069897363824</v>
      </c>
      <c r="O230" s="19">
        <f ca="1">IF(RAND()&lt;P_Zero,0,IF(RAND()&lt;CondReturn,_xlfn.LOGNORM.INV(RAND(),MV2,Sigma1),IF(RAND()&lt;CondGood,_xlfn.LOGNORM.INV(RAND(),MV3,Sigma2),MIN(MaxMultiple,Xm/(1-RAND())^(1/Alpha)))))</f>
        <v>0</v>
      </c>
      <c r="P230" s="19">
        <f ca="1">IF(RAND()&lt;P_Zero,0,IF(RAND()&lt;CondReturn,_xlfn.LOGNORM.INV(RAND(),MV2,Sigma1),IF(RAND()&lt;CondGood,_xlfn.LOGNORM.INV(RAND(),MV3,Sigma2),MIN(MaxMultiple,Xm/(1-RAND())^(1/Alpha)))))</f>
        <v>0</v>
      </c>
      <c r="Q230" s="19">
        <f ca="1">IF(RAND()&lt;P_Zero,0,IF(RAND()&lt;CondReturn,_xlfn.LOGNORM.INV(RAND(),MV2,Sigma1),IF(RAND()&lt;CondGood,_xlfn.LOGNORM.INV(RAND(),MV3,Sigma2),MIN(MaxMultiple,Xm/(1-RAND())^(1/Alpha)))))</f>
        <v>14.775794360478223</v>
      </c>
      <c r="R230" s="19">
        <f ca="1">IF(RAND()&lt;P_Zero,0,IF(RAND()&lt;CondReturn,_xlfn.LOGNORM.INV(RAND(),MV2,Sigma1),IF(RAND()&lt;CondGood,_xlfn.LOGNORM.INV(RAND(),MV3,Sigma2),MIN(MaxMultiple,Xm/(1-RAND())^(1/Alpha)))))</f>
        <v>0</v>
      </c>
      <c r="S230" s="19">
        <f ca="1">IF(RAND()&lt;P_Zero,0,IF(RAND()&lt;CondReturn,_xlfn.LOGNORM.INV(RAND(),MV2,Sigma1),IF(RAND()&lt;CondGood,_xlfn.LOGNORM.INV(RAND(),MV3,Sigma2),MIN(MaxMultiple,Xm/(1-RAND())^(1/Alpha)))))</f>
        <v>0.55614461826800388</v>
      </c>
      <c r="T230" s="19">
        <f ca="1">IF(RAND()&lt;P_Zero,0,IF(RAND()&lt;CondReturn,_xlfn.LOGNORM.INV(RAND(),MV2,Sigma1),IF(RAND()&lt;CondGood,_xlfn.LOGNORM.INV(RAND(),MV3,Sigma2),MIN(MaxMultiple,Xm/(1-RAND())^(1/Alpha)))))</f>
        <v>0.41676645753377495</v>
      </c>
      <c r="U230" s="19">
        <f ca="1">IF(RAND()&lt;P_Zero,0,IF(RAND()&lt;CondReturn,_xlfn.LOGNORM.INV(RAND(),MV2,Sigma1),IF(RAND()&lt;CondGood,_xlfn.LOGNORM.INV(RAND(),MV3,Sigma2),MIN(MaxMultiple,Xm/(1-RAND())^(1/Alpha)))))</f>
        <v>0</v>
      </c>
      <c r="V230" s="19">
        <f ca="1">IF(RAND()&lt;P_Zero,0,IF(RAND()&lt;CondReturn,_xlfn.LOGNORM.INV(RAND(),MV2,Sigma1),IF(RAND()&lt;CondGood,_xlfn.LOGNORM.INV(RAND(),MV3,Sigma2),MIN(MaxMultiple,Xm/(1-RAND())^(1/Alpha)))))</f>
        <v>0</v>
      </c>
      <c r="W230" s="19">
        <f ca="1">IF(RAND()&lt;P_Zero,0,IF(RAND()&lt;CondReturn,_xlfn.LOGNORM.INV(RAND(),MV2,Sigma1),IF(RAND()&lt;CondGood,_xlfn.LOGNORM.INV(RAND(),MV3,Sigma2),MIN(MaxMultiple,Xm/(1-RAND())^(1/Alpha)))))</f>
        <v>0.71268959287000189</v>
      </c>
      <c r="X230" s="19">
        <f ca="1">IF(RAND()&lt;P_Zero,0,IF(RAND()&lt;CondReturn,_xlfn.LOGNORM.INV(RAND(),MV2,Sigma1),IF(RAND()&lt;CondGood,_xlfn.LOGNORM.INV(RAND(),MV3,Sigma2),MIN(MaxMultiple,Xm/(1-RAND())^(1/Alpha)))))</f>
        <v>0.54075547666189938</v>
      </c>
      <c r="Y230" s="19">
        <f ca="1">IF(RAND()&lt;P_Zero,0,IF(RAND()&lt;CondReturn,_xlfn.LOGNORM.INV(RAND(),MV2,Sigma1),IF(RAND()&lt;CondGood,_xlfn.LOGNORM.INV(RAND(),MV3,Sigma2),MIN(MaxMultiple,Xm/(1-RAND())^(1/Alpha)))))</f>
        <v>0</v>
      </c>
      <c r="Z230" s="19">
        <f ca="1">IF(RAND()&lt;P_Zero,0,IF(RAND()&lt;CondReturn,_xlfn.LOGNORM.INV(RAND(),MV2,Sigma1),IF(RAND()&lt;CondGood,_xlfn.LOGNORM.INV(RAND(),MV3,Sigma2),MIN(MaxMultiple,Xm/(1-RAND())^(1/Alpha)))))</f>
        <v>0.51200606001055005</v>
      </c>
      <c r="AA230" s="19">
        <f ca="1">IF(RAND()&lt;P_Zero,0,IF(RAND()&lt;CondReturn,_xlfn.LOGNORM.INV(RAND(),MV2,Sigma1),IF(RAND()&lt;CondGood,_xlfn.LOGNORM.INV(RAND(),MV3,Sigma2),MIN(MaxMultiple,Xm/(1-RAND())^(1/Alpha)))))</f>
        <v>0.95216844753834329</v>
      </c>
      <c r="AB230" s="19">
        <f t="shared" ca="1" si="24"/>
        <v>1.1682887041215166</v>
      </c>
      <c r="AC230" s="14">
        <f t="shared" ca="1" si="25"/>
        <v>56077857.797832802</v>
      </c>
      <c r="AD230" s="14">
        <f t="shared" ca="1" si="26"/>
        <v>8077857.7978328019</v>
      </c>
      <c r="AE230" s="14">
        <f t="shared" si="27"/>
        <v>55628399.869093813</v>
      </c>
      <c r="AF230" s="14">
        <f t="shared" ca="1" si="28"/>
        <v>0</v>
      </c>
      <c r="AG230" s="14">
        <f t="shared" ca="1" si="29"/>
        <v>0</v>
      </c>
      <c r="AH230" s="14">
        <f t="shared" ca="1" si="30"/>
        <v>56077857.797832802</v>
      </c>
      <c r="AI230" s="19">
        <f t="shared" ca="1" si="31"/>
        <v>0.9346309632972134</v>
      </c>
    </row>
    <row r="231" spans="2:35" x14ac:dyDescent="0.2">
      <c r="B231" s="1">
        <v>226</v>
      </c>
      <c r="C231" s="19">
        <f ca="1">IF(RAND()&lt;P_Zero,0,IF(RAND()&lt;CondReturn,_xlfn.LOGNORM.INV(RAND(),MV2,Sigma1),IF(RAND()&lt;CondGood,_xlfn.LOGNORM.INV(RAND(),MV3,Sigma2),MIN(MaxMultiple,Xm/(1-RAND())^(1/Alpha)))))</f>
        <v>0.52012512549375378</v>
      </c>
      <c r="D231" s="19">
        <f ca="1">IF(RAND()&lt;P_Zero,0,IF(RAND()&lt;CondReturn,_xlfn.LOGNORM.INV(RAND(),MV2,Sigma1),IF(RAND()&lt;CondGood,_xlfn.LOGNORM.INV(RAND(),MV3,Sigma2),MIN(MaxMultiple,Xm/(1-RAND())^(1/Alpha)))))</f>
        <v>30.081172275449024</v>
      </c>
      <c r="E231" s="19">
        <f ca="1">IF(RAND()&lt;P_Zero,0,IF(RAND()&lt;CondReturn,_xlfn.LOGNORM.INV(RAND(),MV2,Sigma1),IF(RAND()&lt;CondGood,_xlfn.LOGNORM.INV(RAND(),MV3,Sigma2),MIN(MaxMultiple,Xm/(1-RAND())^(1/Alpha)))))</f>
        <v>3.2405327572594467</v>
      </c>
      <c r="F231" s="19">
        <f ca="1">IF(RAND()&lt;P_Zero,0,IF(RAND()&lt;CondReturn,_xlfn.LOGNORM.INV(RAND(),MV2,Sigma1),IF(RAND()&lt;CondGood,_xlfn.LOGNORM.INV(RAND(),MV3,Sigma2),MIN(MaxMultiple,Xm/(1-RAND())^(1/Alpha)))))</f>
        <v>1.4026826521488185</v>
      </c>
      <c r="G231" s="19">
        <f ca="1">IF(RAND()&lt;P_Zero,0,IF(RAND()&lt;CondReturn,_xlfn.LOGNORM.INV(RAND(),MV2,Sigma1),IF(RAND()&lt;CondGood,_xlfn.LOGNORM.INV(RAND(),MV3,Sigma2),MIN(MaxMultiple,Xm/(1-RAND())^(1/Alpha)))))</f>
        <v>0</v>
      </c>
      <c r="H231" s="19">
        <f ca="1">IF(RAND()&lt;P_Zero,0,IF(RAND()&lt;CondReturn,_xlfn.LOGNORM.INV(RAND(),MV2,Sigma1),IF(RAND()&lt;CondGood,_xlfn.LOGNORM.INV(RAND(),MV3,Sigma2),MIN(MaxMultiple,Xm/(1-RAND())^(1/Alpha)))))</f>
        <v>0</v>
      </c>
      <c r="I231" s="19">
        <f ca="1">IF(RAND()&lt;P_Zero,0,IF(RAND()&lt;CondReturn,_xlfn.LOGNORM.INV(RAND(),MV2,Sigma1),IF(RAND()&lt;CondGood,_xlfn.LOGNORM.INV(RAND(),MV3,Sigma2),MIN(MaxMultiple,Xm/(1-RAND())^(1/Alpha)))))</f>
        <v>0</v>
      </c>
      <c r="J231" s="19">
        <f ca="1">IF(RAND()&lt;P_Zero,0,IF(RAND()&lt;CondReturn,_xlfn.LOGNORM.INV(RAND(),MV2,Sigma1),IF(RAND()&lt;CondGood,_xlfn.LOGNORM.INV(RAND(),MV3,Sigma2),MIN(MaxMultiple,Xm/(1-RAND())^(1/Alpha)))))</f>
        <v>0.69842392279393162</v>
      </c>
      <c r="K231" s="19">
        <f ca="1">IF(RAND()&lt;P_Zero,0,IF(RAND()&lt;CondReturn,_xlfn.LOGNORM.INV(RAND(),MV2,Sigma1),IF(RAND()&lt;CondGood,_xlfn.LOGNORM.INV(RAND(),MV3,Sigma2),MIN(MaxMultiple,Xm/(1-RAND())^(1/Alpha)))))</f>
        <v>2.8070970801283202</v>
      </c>
      <c r="L231" s="19">
        <f ca="1">IF(RAND()&lt;P_Zero,0,IF(RAND()&lt;CondReturn,_xlfn.LOGNORM.INV(RAND(),MV2,Sigma1),IF(RAND()&lt;CondGood,_xlfn.LOGNORM.INV(RAND(),MV3,Sigma2),MIN(MaxMultiple,Xm/(1-RAND())^(1/Alpha)))))</f>
        <v>0</v>
      </c>
      <c r="M231" s="19">
        <f ca="1">IF(RAND()&lt;P_Zero,0,IF(RAND()&lt;CondReturn,_xlfn.LOGNORM.INV(RAND(),MV2,Sigma1),IF(RAND()&lt;CondGood,_xlfn.LOGNORM.INV(RAND(),MV3,Sigma2),MIN(MaxMultiple,Xm/(1-RAND())^(1/Alpha)))))</f>
        <v>1.2750598371728947</v>
      </c>
      <c r="N231" s="19">
        <f ca="1">IF(RAND()&lt;P_Zero,0,IF(RAND()&lt;CondReturn,_xlfn.LOGNORM.INV(RAND(),MV2,Sigma1),IF(RAND()&lt;CondGood,_xlfn.LOGNORM.INV(RAND(),MV3,Sigma2),MIN(MaxMultiple,Xm/(1-RAND())^(1/Alpha)))))</f>
        <v>0</v>
      </c>
      <c r="O231" s="19">
        <f ca="1">IF(RAND()&lt;P_Zero,0,IF(RAND()&lt;CondReturn,_xlfn.LOGNORM.INV(RAND(),MV2,Sigma1),IF(RAND()&lt;CondGood,_xlfn.LOGNORM.INV(RAND(),MV3,Sigma2),MIN(MaxMultiple,Xm/(1-RAND())^(1/Alpha)))))</f>
        <v>0.97408396947999953</v>
      </c>
      <c r="P231" s="19">
        <f ca="1">IF(RAND()&lt;P_Zero,0,IF(RAND()&lt;CondReturn,_xlfn.LOGNORM.INV(RAND(),MV2,Sigma1),IF(RAND()&lt;CondGood,_xlfn.LOGNORM.INV(RAND(),MV3,Sigma2),MIN(MaxMultiple,Xm/(1-RAND())^(1/Alpha)))))</f>
        <v>0</v>
      </c>
      <c r="Q231" s="19">
        <f ca="1">IF(RAND()&lt;P_Zero,0,IF(RAND()&lt;CondReturn,_xlfn.LOGNORM.INV(RAND(),MV2,Sigma1),IF(RAND()&lt;CondGood,_xlfn.LOGNORM.INV(RAND(),MV3,Sigma2),MIN(MaxMultiple,Xm/(1-RAND())^(1/Alpha)))))</f>
        <v>0</v>
      </c>
      <c r="R231" s="19">
        <f ca="1">IF(RAND()&lt;P_Zero,0,IF(RAND()&lt;CondReturn,_xlfn.LOGNORM.INV(RAND(),MV2,Sigma1),IF(RAND()&lt;CondGood,_xlfn.LOGNORM.INV(RAND(),MV3,Sigma2),MIN(MaxMultiple,Xm/(1-RAND())^(1/Alpha)))))</f>
        <v>0</v>
      </c>
      <c r="S231" s="19">
        <f ca="1">IF(RAND()&lt;P_Zero,0,IF(RAND()&lt;CondReturn,_xlfn.LOGNORM.INV(RAND(),MV2,Sigma1),IF(RAND()&lt;CondGood,_xlfn.LOGNORM.INV(RAND(),MV3,Sigma2),MIN(MaxMultiple,Xm/(1-RAND())^(1/Alpha)))))</f>
        <v>0.9759416463070697</v>
      </c>
      <c r="T231" s="19">
        <f ca="1">IF(RAND()&lt;P_Zero,0,IF(RAND()&lt;CondReturn,_xlfn.LOGNORM.INV(RAND(),MV2,Sigma1),IF(RAND()&lt;CondGood,_xlfn.LOGNORM.INV(RAND(),MV3,Sigma2),MIN(MaxMultiple,Xm/(1-RAND())^(1/Alpha)))))</f>
        <v>0</v>
      </c>
      <c r="U231" s="19">
        <f ca="1">IF(RAND()&lt;P_Zero,0,IF(RAND()&lt;CondReturn,_xlfn.LOGNORM.INV(RAND(),MV2,Sigma1),IF(RAND()&lt;CondGood,_xlfn.LOGNORM.INV(RAND(),MV3,Sigma2),MIN(MaxMultiple,Xm/(1-RAND())^(1/Alpha)))))</f>
        <v>0.75044298974034551</v>
      </c>
      <c r="V231" s="19">
        <f ca="1">IF(RAND()&lt;P_Zero,0,IF(RAND()&lt;CondReturn,_xlfn.LOGNORM.INV(RAND(),MV2,Sigma1),IF(RAND()&lt;CondGood,_xlfn.LOGNORM.INV(RAND(),MV3,Sigma2),MIN(MaxMultiple,Xm/(1-RAND())^(1/Alpha)))))</f>
        <v>0</v>
      </c>
      <c r="W231" s="19">
        <f ca="1">IF(RAND()&lt;P_Zero,0,IF(RAND()&lt;CondReturn,_xlfn.LOGNORM.INV(RAND(),MV2,Sigma1),IF(RAND()&lt;CondGood,_xlfn.LOGNORM.INV(RAND(),MV3,Sigma2),MIN(MaxMultiple,Xm/(1-RAND())^(1/Alpha)))))</f>
        <v>0</v>
      </c>
      <c r="X231" s="19">
        <f ca="1">IF(RAND()&lt;P_Zero,0,IF(RAND()&lt;CondReturn,_xlfn.LOGNORM.INV(RAND(),MV2,Sigma1),IF(RAND()&lt;CondGood,_xlfn.LOGNORM.INV(RAND(),MV3,Sigma2),MIN(MaxMultiple,Xm/(1-RAND())^(1/Alpha)))))</f>
        <v>0</v>
      </c>
      <c r="Y231" s="19">
        <f ca="1">IF(RAND()&lt;P_Zero,0,IF(RAND()&lt;CondReturn,_xlfn.LOGNORM.INV(RAND(),MV2,Sigma1),IF(RAND()&lt;CondGood,_xlfn.LOGNORM.INV(RAND(),MV3,Sigma2),MIN(MaxMultiple,Xm/(1-RAND())^(1/Alpha)))))</f>
        <v>0.73107069481670162</v>
      </c>
      <c r="Z231" s="19">
        <f ca="1">IF(RAND()&lt;P_Zero,0,IF(RAND()&lt;CondReturn,_xlfn.LOGNORM.INV(RAND(),MV2,Sigma1),IF(RAND()&lt;CondGood,_xlfn.LOGNORM.INV(RAND(),MV3,Sigma2),MIN(MaxMultiple,Xm/(1-RAND())^(1/Alpha)))))</f>
        <v>1.3632143574877904</v>
      </c>
      <c r="AA231" s="19">
        <f ca="1">IF(RAND()&lt;P_Zero,0,IF(RAND()&lt;CondReturn,_xlfn.LOGNORM.INV(RAND(),MV2,Sigma1),IF(RAND()&lt;CondGood,_xlfn.LOGNORM.INV(RAND(),MV3,Sigma2),MIN(MaxMultiple,Xm/(1-RAND())^(1/Alpha)))))</f>
        <v>0.73029490390541818</v>
      </c>
      <c r="AB231" s="19">
        <f t="shared" ca="1" si="24"/>
        <v>1.8220056884873403</v>
      </c>
      <c r="AC231" s="14">
        <f t="shared" ca="1" si="25"/>
        <v>87456273.047392339</v>
      </c>
      <c r="AD231" s="14">
        <f t="shared" ca="1" si="26"/>
        <v>39456273.047392339</v>
      </c>
      <c r="AE231" s="14">
        <f t="shared" si="27"/>
        <v>55628399.869093813</v>
      </c>
      <c r="AF231" s="14">
        <f t="shared" ca="1" si="28"/>
        <v>0</v>
      </c>
      <c r="AG231" s="14">
        <f t="shared" ca="1" si="29"/>
        <v>0</v>
      </c>
      <c r="AH231" s="14">
        <f t="shared" ca="1" si="30"/>
        <v>87456273.047392339</v>
      </c>
      <c r="AI231" s="19">
        <f t="shared" ca="1" si="31"/>
        <v>1.4576045507898723</v>
      </c>
    </row>
    <row r="232" spans="2:35" x14ac:dyDescent="0.2">
      <c r="B232" s="1">
        <v>227</v>
      </c>
      <c r="C232" s="19">
        <f ca="1">IF(RAND()&lt;P_Zero,0,IF(RAND()&lt;CondReturn,_xlfn.LOGNORM.INV(RAND(),MV2,Sigma1),IF(RAND()&lt;CondGood,_xlfn.LOGNORM.INV(RAND(),MV3,Sigma2),MIN(MaxMultiple,Xm/(1-RAND())^(1/Alpha)))))</f>
        <v>25.137209806353166</v>
      </c>
      <c r="D232" s="19">
        <f ca="1">IF(RAND()&lt;P_Zero,0,IF(RAND()&lt;CondReturn,_xlfn.LOGNORM.INV(RAND(),MV2,Sigma1),IF(RAND()&lt;CondGood,_xlfn.LOGNORM.INV(RAND(),MV3,Sigma2),MIN(MaxMultiple,Xm/(1-RAND())^(1/Alpha)))))</f>
        <v>0.45739123871810344</v>
      </c>
      <c r="E232" s="19">
        <f ca="1">IF(RAND()&lt;P_Zero,0,IF(RAND()&lt;CondReturn,_xlfn.LOGNORM.INV(RAND(),MV2,Sigma1),IF(RAND()&lt;CondGood,_xlfn.LOGNORM.INV(RAND(),MV3,Sigma2),MIN(MaxMultiple,Xm/(1-RAND())^(1/Alpha)))))</f>
        <v>0</v>
      </c>
      <c r="F232" s="19">
        <f ca="1">IF(RAND()&lt;P_Zero,0,IF(RAND()&lt;CondReturn,_xlfn.LOGNORM.INV(RAND(),MV2,Sigma1),IF(RAND()&lt;CondGood,_xlfn.LOGNORM.INV(RAND(),MV3,Sigma2),MIN(MaxMultiple,Xm/(1-RAND())^(1/Alpha)))))</f>
        <v>0</v>
      </c>
      <c r="G232" s="19">
        <f ca="1">IF(RAND()&lt;P_Zero,0,IF(RAND()&lt;CondReturn,_xlfn.LOGNORM.INV(RAND(),MV2,Sigma1),IF(RAND()&lt;CondGood,_xlfn.LOGNORM.INV(RAND(),MV3,Sigma2),MIN(MaxMultiple,Xm/(1-RAND())^(1/Alpha)))))</f>
        <v>1.4018191373016058</v>
      </c>
      <c r="H232" s="19">
        <f ca="1">IF(RAND()&lt;P_Zero,0,IF(RAND()&lt;CondReturn,_xlfn.LOGNORM.INV(RAND(),MV2,Sigma1),IF(RAND()&lt;CondGood,_xlfn.LOGNORM.INV(RAND(),MV3,Sigma2),MIN(MaxMultiple,Xm/(1-RAND())^(1/Alpha)))))</f>
        <v>1.1695355524463869</v>
      </c>
      <c r="I232" s="19">
        <f ca="1">IF(RAND()&lt;P_Zero,0,IF(RAND()&lt;CondReturn,_xlfn.LOGNORM.INV(RAND(),MV2,Sigma1),IF(RAND()&lt;CondGood,_xlfn.LOGNORM.INV(RAND(),MV3,Sigma2),MIN(MaxMultiple,Xm/(1-RAND())^(1/Alpha)))))</f>
        <v>0.7904368555514476</v>
      </c>
      <c r="J232" s="19">
        <f ca="1">IF(RAND()&lt;P_Zero,0,IF(RAND()&lt;CondReturn,_xlfn.LOGNORM.INV(RAND(),MV2,Sigma1),IF(RAND()&lt;CondGood,_xlfn.LOGNORM.INV(RAND(),MV3,Sigma2),MIN(MaxMultiple,Xm/(1-RAND())^(1/Alpha)))))</f>
        <v>1.49963970612025</v>
      </c>
      <c r="K232" s="19">
        <f ca="1">IF(RAND()&lt;P_Zero,0,IF(RAND()&lt;CondReturn,_xlfn.LOGNORM.INV(RAND(),MV2,Sigma1),IF(RAND()&lt;CondGood,_xlfn.LOGNORM.INV(RAND(),MV3,Sigma2),MIN(MaxMultiple,Xm/(1-RAND())^(1/Alpha)))))</f>
        <v>18.182049757899868</v>
      </c>
      <c r="L232" s="19">
        <f ca="1">IF(RAND()&lt;P_Zero,0,IF(RAND()&lt;CondReturn,_xlfn.LOGNORM.INV(RAND(),MV2,Sigma1),IF(RAND()&lt;CondGood,_xlfn.LOGNORM.INV(RAND(),MV3,Sigma2),MIN(MaxMultiple,Xm/(1-RAND())^(1/Alpha)))))</f>
        <v>0.48193795861927707</v>
      </c>
      <c r="M232" s="19">
        <f ca="1">IF(RAND()&lt;P_Zero,0,IF(RAND()&lt;CondReturn,_xlfn.LOGNORM.INV(RAND(),MV2,Sigma1),IF(RAND()&lt;CondGood,_xlfn.LOGNORM.INV(RAND(),MV3,Sigma2),MIN(MaxMultiple,Xm/(1-RAND())^(1/Alpha)))))</f>
        <v>0</v>
      </c>
      <c r="N232" s="19">
        <f ca="1">IF(RAND()&lt;P_Zero,0,IF(RAND()&lt;CondReturn,_xlfn.LOGNORM.INV(RAND(),MV2,Sigma1),IF(RAND()&lt;CondGood,_xlfn.LOGNORM.INV(RAND(),MV3,Sigma2),MIN(MaxMultiple,Xm/(1-RAND())^(1/Alpha)))))</f>
        <v>0</v>
      </c>
      <c r="O232" s="19">
        <f ca="1">IF(RAND()&lt;P_Zero,0,IF(RAND()&lt;CondReturn,_xlfn.LOGNORM.INV(RAND(),MV2,Sigma1),IF(RAND()&lt;CondGood,_xlfn.LOGNORM.INV(RAND(),MV3,Sigma2),MIN(MaxMultiple,Xm/(1-RAND())^(1/Alpha)))))</f>
        <v>0.86417988142738122</v>
      </c>
      <c r="P232" s="19">
        <f ca="1">IF(RAND()&lt;P_Zero,0,IF(RAND()&lt;CondReturn,_xlfn.LOGNORM.INV(RAND(),MV2,Sigma1),IF(RAND()&lt;CondGood,_xlfn.LOGNORM.INV(RAND(),MV3,Sigma2),MIN(MaxMultiple,Xm/(1-RAND())^(1/Alpha)))))</f>
        <v>1.7194962611810283</v>
      </c>
      <c r="Q232" s="19">
        <f ca="1">IF(RAND()&lt;P_Zero,0,IF(RAND()&lt;CondReturn,_xlfn.LOGNORM.INV(RAND(),MV2,Sigma1),IF(RAND()&lt;CondGood,_xlfn.LOGNORM.INV(RAND(),MV3,Sigma2),MIN(MaxMultiple,Xm/(1-RAND())^(1/Alpha)))))</f>
        <v>0.64758558908544062</v>
      </c>
      <c r="R232" s="19">
        <f ca="1">IF(RAND()&lt;P_Zero,0,IF(RAND()&lt;CondReturn,_xlfn.LOGNORM.INV(RAND(),MV2,Sigma1),IF(RAND()&lt;CondGood,_xlfn.LOGNORM.INV(RAND(),MV3,Sigma2),MIN(MaxMultiple,Xm/(1-RAND())^(1/Alpha)))))</f>
        <v>0</v>
      </c>
      <c r="S232" s="19">
        <f ca="1">IF(RAND()&lt;P_Zero,0,IF(RAND()&lt;CondReturn,_xlfn.LOGNORM.INV(RAND(),MV2,Sigma1),IF(RAND()&lt;CondGood,_xlfn.LOGNORM.INV(RAND(),MV3,Sigma2),MIN(MaxMultiple,Xm/(1-RAND())^(1/Alpha)))))</f>
        <v>0.65859535773475664</v>
      </c>
      <c r="T232" s="19">
        <f ca="1">IF(RAND()&lt;P_Zero,0,IF(RAND()&lt;CondReturn,_xlfn.LOGNORM.INV(RAND(),MV2,Sigma1),IF(RAND()&lt;CondGood,_xlfn.LOGNORM.INV(RAND(),MV3,Sigma2),MIN(MaxMultiple,Xm/(1-RAND())^(1/Alpha)))))</f>
        <v>0</v>
      </c>
      <c r="U232" s="19">
        <f ca="1">IF(RAND()&lt;P_Zero,0,IF(RAND()&lt;CondReturn,_xlfn.LOGNORM.INV(RAND(),MV2,Sigma1),IF(RAND()&lt;CondGood,_xlfn.LOGNORM.INV(RAND(),MV3,Sigma2),MIN(MaxMultiple,Xm/(1-RAND())^(1/Alpha)))))</f>
        <v>0</v>
      </c>
      <c r="V232" s="19">
        <f ca="1">IF(RAND()&lt;P_Zero,0,IF(RAND()&lt;CondReturn,_xlfn.LOGNORM.INV(RAND(),MV2,Sigma1),IF(RAND()&lt;CondGood,_xlfn.LOGNORM.INV(RAND(),MV3,Sigma2),MIN(MaxMultiple,Xm/(1-RAND())^(1/Alpha)))))</f>
        <v>0.48489415105190325</v>
      </c>
      <c r="W232" s="19">
        <f ca="1">IF(RAND()&lt;P_Zero,0,IF(RAND()&lt;CondReturn,_xlfn.LOGNORM.INV(RAND(),MV2,Sigma1),IF(RAND()&lt;CondGood,_xlfn.LOGNORM.INV(RAND(),MV3,Sigma2),MIN(MaxMultiple,Xm/(1-RAND())^(1/Alpha)))))</f>
        <v>0</v>
      </c>
      <c r="X232" s="19">
        <f ca="1">IF(RAND()&lt;P_Zero,0,IF(RAND()&lt;CondReturn,_xlfn.LOGNORM.INV(RAND(),MV2,Sigma1),IF(RAND()&lt;CondGood,_xlfn.LOGNORM.INV(RAND(),MV3,Sigma2),MIN(MaxMultiple,Xm/(1-RAND())^(1/Alpha)))))</f>
        <v>13.59867636936457</v>
      </c>
      <c r="Y232" s="19">
        <f ca="1">IF(RAND()&lt;P_Zero,0,IF(RAND()&lt;CondReturn,_xlfn.LOGNORM.INV(RAND(),MV2,Sigma1),IF(RAND()&lt;CondGood,_xlfn.LOGNORM.INV(RAND(),MV3,Sigma2),MIN(MaxMultiple,Xm/(1-RAND())^(1/Alpha)))))</f>
        <v>0.85592190523054279</v>
      </c>
      <c r="Z232" s="19">
        <f ca="1">IF(RAND()&lt;P_Zero,0,IF(RAND()&lt;CondReturn,_xlfn.LOGNORM.INV(RAND(),MV2,Sigma1),IF(RAND()&lt;CondGood,_xlfn.LOGNORM.INV(RAND(),MV3,Sigma2),MIN(MaxMultiple,Xm/(1-RAND())^(1/Alpha)))))</f>
        <v>0</v>
      </c>
      <c r="AA232" s="19">
        <f ca="1">IF(RAND()&lt;P_Zero,0,IF(RAND()&lt;CondReturn,_xlfn.LOGNORM.INV(RAND(),MV2,Sigma1),IF(RAND()&lt;CondGood,_xlfn.LOGNORM.INV(RAND(),MV3,Sigma2),MIN(MaxMultiple,Xm/(1-RAND())^(1/Alpha)))))</f>
        <v>0.34743775260010856</v>
      </c>
      <c r="AB232" s="19">
        <f t="shared" ca="1" si="24"/>
        <v>2.7318722912274338</v>
      </c>
      <c r="AC232" s="14">
        <f t="shared" ca="1" si="25"/>
        <v>131129869.97891682</v>
      </c>
      <c r="AD232" s="14">
        <f t="shared" ca="1" si="26"/>
        <v>83129869.978916824</v>
      </c>
      <c r="AE232" s="14">
        <f t="shared" si="27"/>
        <v>55628399.869093813</v>
      </c>
      <c r="AF232" s="14">
        <f t="shared" ca="1" si="28"/>
        <v>27501470.109823011</v>
      </c>
      <c r="AG232" s="14">
        <f t="shared" ca="1" si="29"/>
        <v>5500294.0219646022</v>
      </c>
      <c r="AH232" s="14">
        <f t="shared" ca="1" si="30"/>
        <v>125629575.95695221</v>
      </c>
      <c r="AI232" s="19">
        <f t="shared" ca="1" si="31"/>
        <v>2.0938262659492035</v>
      </c>
    </row>
    <row r="233" spans="2:35" x14ac:dyDescent="0.2">
      <c r="B233" s="1">
        <v>228</v>
      </c>
      <c r="C233" s="19">
        <f ca="1">IF(RAND()&lt;P_Zero,0,IF(RAND()&lt;CondReturn,_xlfn.LOGNORM.INV(RAND(),MV2,Sigma1),IF(RAND()&lt;CondGood,_xlfn.LOGNORM.INV(RAND(),MV3,Sigma2),MIN(MaxMultiple,Xm/(1-RAND())^(1/Alpha)))))</f>
        <v>64.223954359262251</v>
      </c>
      <c r="D233" s="19">
        <f ca="1">IF(RAND()&lt;P_Zero,0,IF(RAND()&lt;CondReturn,_xlfn.LOGNORM.INV(RAND(),MV2,Sigma1),IF(RAND()&lt;CondGood,_xlfn.LOGNORM.INV(RAND(),MV3,Sigma2),MIN(MaxMultiple,Xm/(1-RAND())^(1/Alpha)))))</f>
        <v>0</v>
      </c>
      <c r="E233" s="19">
        <f ca="1">IF(RAND()&lt;P_Zero,0,IF(RAND()&lt;CondReturn,_xlfn.LOGNORM.INV(RAND(),MV2,Sigma1),IF(RAND()&lt;CondGood,_xlfn.LOGNORM.INV(RAND(),MV3,Sigma2),MIN(MaxMultiple,Xm/(1-RAND())^(1/Alpha)))))</f>
        <v>1.0005375404787102</v>
      </c>
      <c r="F233" s="19">
        <f ca="1">IF(RAND()&lt;P_Zero,0,IF(RAND()&lt;CondReturn,_xlfn.LOGNORM.INV(RAND(),MV2,Sigma1),IF(RAND()&lt;CondGood,_xlfn.LOGNORM.INV(RAND(),MV3,Sigma2),MIN(MaxMultiple,Xm/(1-RAND())^(1/Alpha)))))</f>
        <v>0</v>
      </c>
      <c r="G233" s="19">
        <f ca="1">IF(RAND()&lt;P_Zero,0,IF(RAND()&lt;CondReturn,_xlfn.LOGNORM.INV(RAND(),MV2,Sigma1),IF(RAND()&lt;CondGood,_xlfn.LOGNORM.INV(RAND(),MV3,Sigma2),MIN(MaxMultiple,Xm/(1-RAND())^(1/Alpha)))))</f>
        <v>0</v>
      </c>
      <c r="H233" s="19">
        <f ca="1">IF(RAND()&lt;P_Zero,0,IF(RAND()&lt;CondReturn,_xlfn.LOGNORM.INV(RAND(),MV2,Sigma1),IF(RAND()&lt;CondGood,_xlfn.LOGNORM.INV(RAND(),MV3,Sigma2),MIN(MaxMultiple,Xm/(1-RAND())^(1/Alpha)))))</f>
        <v>1.2696090438084535</v>
      </c>
      <c r="I233" s="19">
        <f ca="1">IF(RAND()&lt;P_Zero,0,IF(RAND()&lt;CondReturn,_xlfn.LOGNORM.INV(RAND(),MV2,Sigma1),IF(RAND()&lt;CondGood,_xlfn.LOGNORM.INV(RAND(),MV3,Sigma2),MIN(MaxMultiple,Xm/(1-RAND())^(1/Alpha)))))</f>
        <v>0</v>
      </c>
      <c r="J233" s="19">
        <f ca="1">IF(RAND()&lt;P_Zero,0,IF(RAND()&lt;CondReturn,_xlfn.LOGNORM.INV(RAND(),MV2,Sigma1),IF(RAND()&lt;CondGood,_xlfn.LOGNORM.INV(RAND(),MV3,Sigma2),MIN(MaxMultiple,Xm/(1-RAND())^(1/Alpha)))))</f>
        <v>0.66290542442863243</v>
      </c>
      <c r="K233" s="19">
        <f ca="1">IF(RAND()&lt;P_Zero,0,IF(RAND()&lt;CondReturn,_xlfn.LOGNORM.INV(RAND(),MV2,Sigma1),IF(RAND()&lt;CondGood,_xlfn.LOGNORM.INV(RAND(),MV3,Sigma2),MIN(MaxMultiple,Xm/(1-RAND())^(1/Alpha)))))</f>
        <v>0.40254907491968178</v>
      </c>
      <c r="L233" s="19">
        <f ca="1">IF(RAND()&lt;P_Zero,0,IF(RAND()&lt;CondReturn,_xlfn.LOGNORM.INV(RAND(),MV2,Sigma1),IF(RAND()&lt;CondGood,_xlfn.LOGNORM.INV(RAND(),MV3,Sigma2),MIN(MaxMultiple,Xm/(1-RAND())^(1/Alpha)))))</f>
        <v>0.6527427404440882</v>
      </c>
      <c r="M233" s="19">
        <f ca="1">IF(RAND()&lt;P_Zero,0,IF(RAND()&lt;CondReturn,_xlfn.LOGNORM.INV(RAND(),MV2,Sigma1),IF(RAND()&lt;CondGood,_xlfn.LOGNORM.INV(RAND(),MV3,Sigma2),MIN(MaxMultiple,Xm/(1-RAND())^(1/Alpha)))))</f>
        <v>0.48554263239546247</v>
      </c>
      <c r="N233" s="19">
        <f ca="1">IF(RAND()&lt;P_Zero,0,IF(RAND()&lt;CondReturn,_xlfn.LOGNORM.INV(RAND(),MV2,Sigma1),IF(RAND()&lt;CondGood,_xlfn.LOGNORM.INV(RAND(),MV3,Sigma2),MIN(MaxMultiple,Xm/(1-RAND())^(1/Alpha)))))</f>
        <v>0.51493987490710613</v>
      </c>
      <c r="O233" s="19">
        <f ca="1">IF(RAND()&lt;P_Zero,0,IF(RAND()&lt;CondReturn,_xlfn.LOGNORM.INV(RAND(),MV2,Sigma1),IF(RAND()&lt;CondGood,_xlfn.LOGNORM.INV(RAND(),MV3,Sigma2),MIN(MaxMultiple,Xm/(1-RAND())^(1/Alpha)))))</f>
        <v>11.933802129796302</v>
      </c>
      <c r="P233" s="19">
        <f ca="1">IF(RAND()&lt;P_Zero,0,IF(RAND()&lt;CondReturn,_xlfn.LOGNORM.INV(RAND(),MV2,Sigma1),IF(RAND()&lt;CondGood,_xlfn.LOGNORM.INV(RAND(),MV3,Sigma2),MIN(MaxMultiple,Xm/(1-RAND())^(1/Alpha)))))</f>
        <v>0.54043294515668017</v>
      </c>
      <c r="Q233" s="19">
        <f ca="1">IF(RAND()&lt;P_Zero,0,IF(RAND()&lt;CondReturn,_xlfn.LOGNORM.INV(RAND(),MV2,Sigma1),IF(RAND()&lt;CondGood,_xlfn.LOGNORM.INV(RAND(),MV3,Sigma2),MIN(MaxMultiple,Xm/(1-RAND())^(1/Alpha)))))</f>
        <v>0</v>
      </c>
      <c r="R233" s="19">
        <f ca="1">IF(RAND()&lt;P_Zero,0,IF(RAND()&lt;CondReturn,_xlfn.LOGNORM.INV(RAND(),MV2,Sigma1),IF(RAND()&lt;CondGood,_xlfn.LOGNORM.INV(RAND(),MV3,Sigma2),MIN(MaxMultiple,Xm/(1-RAND())^(1/Alpha)))))</f>
        <v>1.4027844066387918</v>
      </c>
      <c r="S233" s="19">
        <f ca="1">IF(RAND()&lt;P_Zero,0,IF(RAND()&lt;CondReturn,_xlfn.LOGNORM.INV(RAND(),MV2,Sigma1),IF(RAND()&lt;CondGood,_xlfn.LOGNORM.INV(RAND(),MV3,Sigma2),MIN(MaxMultiple,Xm/(1-RAND())^(1/Alpha)))))</f>
        <v>0.41794231471690313</v>
      </c>
      <c r="T233" s="19">
        <f ca="1">IF(RAND()&lt;P_Zero,0,IF(RAND()&lt;CondReturn,_xlfn.LOGNORM.INV(RAND(),MV2,Sigma1),IF(RAND()&lt;CondGood,_xlfn.LOGNORM.INV(RAND(),MV3,Sigma2),MIN(MaxMultiple,Xm/(1-RAND())^(1/Alpha)))))</f>
        <v>0.91855204363327236</v>
      </c>
      <c r="U233" s="19">
        <f ca="1">IF(RAND()&lt;P_Zero,0,IF(RAND()&lt;CondReturn,_xlfn.LOGNORM.INV(RAND(),MV2,Sigma1),IF(RAND()&lt;CondGood,_xlfn.LOGNORM.INV(RAND(),MV3,Sigma2),MIN(MaxMultiple,Xm/(1-RAND())^(1/Alpha)))))</f>
        <v>0</v>
      </c>
      <c r="V233" s="19">
        <f ca="1">IF(RAND()&lt;P_Zero,0,IF(RAND()&lt;CondReturn,_xlfn.LOGNORM.INV(RAND(),MV2,Sigma1),IF(RAND()&lt;CondGood,_xlfn.LOGNORM.INV(RAND(),MV3,Sigma2),MIN(MaxMultiple,Xm/(1-RAND())^(1/Alpha)))))</f>
        <v>1.7147245057348917</v>
      </c>
      <c r="W233" s="19">
        <f ca="1">IF(RAND()&lt;P_Zero,0,IF(RAND()&lt;CondReturn,_xlfn.LOGNORM.INV(RAND(),MV2,Sigma1),IF(RAND()&lt;CondGood,_xlfn.LOGNORM.INV(RAND(),MV3,Sigma2),MIN(MaxMultiple,Xm/(1-RAND())^(1/Alpha)))))</f>
        <v>0</v>
      </c>
      <c r="X233" s="19">
        <f ca="1">IF(RAND()&lt;P_Zero,0,IF(RAND()&lt;CondReturn,_xlfn.LOGNORM.INV(RAND(),MV2,Sigma1),IF(RAND()&lt;CondGood,_xlfn.LOGNORM.INV(RAND(),MV3,Sigma2),MIN(MaxMultiple,Xm/(1-RAND())^(1/Alpha)))))</f>
        <v>1.0879011252083886</v>
      </c>
      <c r="Y233" s="19">
        <f ca="1">IF(RAND()&lt;P_Zero,0,IF(RAND()&lt;CondReturn,_xlfn.LOGNORM.INV(RAND(),MV2,Sigma1),IF(RAND()&lt;CondGood,_xlfn.LOGNORM.INV(RAND(),MV3,Sigma2),MIN(MaxMultiple,Xm/(1-RAND())^(1/Alpha)))))</f>
        <v>0.85454850609694522</v>
      </c>
      <c r="Z233" s="19">
        <f ca="1">IF(RAND()&lt;P_Zero,0,IF(RAND()&lt;CondReturn,_xlfn.LOGNORM.INV(RAND(),MV2,Sigma1),IF(RAND()&lt;CondGood,_xlfn.LOGNORM.INV(RAND(),MV3,Sigma2),MIN(MaxMultiple,Xm/(1-RAND())^(1/Alpha)))))</f>
        <v>1.7595411691740388</v>
      </c>
      <c r="AA233" s="19">
        <f ca="1">IF(RAND()&lt;P_Zero,0,IF(RAND()&lt;CondReturn,_xlfn.LOGNORM.INV(RAND(),MV2,Sigma1),IF(RAND()&lt;CondGood,_xlfn.LOGNORM.INV(RAND(),MV3,Sigma2),MIN(MaxMultiple,Xm/(1-RAND())^(1/Alpha)))))</f>
        <v>0</v>
      </c>
      <c r="AB233" s="19">
        <f t="shared" ca="1" si="24"/>
        <v>3.5937203934720237</v>
      </c>
      <c r="AC233" s="14">
        <f t="shared" ca="1" si="25"/>
        <v>172498578.88665715</v>
      </c>
      <c r="AD233" s="14">
        <f t="shared" ca="1" si="26"/>
        <v>124498578.88665715</v>
      </c>
      <c r="AE233" s="14">
        <f t="shared" si="27"/>
        <v>55628399.869093813</v>
      </c>
      <c r="AF233" s="14">
        <f t="shared" ca="1" si="28"/>
        <v>68870179.017563343</v>
      </c>
      <c r="AG233" s="14">
        <f t="shared" ca="1" si="29"/>
        <v>13774035.80351267</v>
      </c>
      <c r="AH233" s="14">
        <f t="shared" ca="1" si="30"/>
        <v>158724543.08314449</v>
      </c>
      <c r="AI233" s="19">
        <f t="shared" ca="1" si="31"/>
        <v>2.6454090513857413</v>
      </c>
    </row>
    <row r="234" spans="2:35" x14ac:dyDescent="0.2">
      <c r="B234" s="1">
        <v>229</v>
      </c>
      <c r="C234" s="19">
        <f ca="1">IF(RAND()&lt;P_Zero,0,IF(RAND()&lt;CondReturn,_xlfn.LOGNORM.INV(RAND(),MV2,Sigma1),IF(RAND()&lt;CondGood,_xlfn.LOGNORM.INV(RAND(),MV3,Sigma2),MIN(MaxMultiple,Xm/(1-RAND())^(1/Alpha)))))</f>
        <v>1.6184639154064011</v>
      </c>
      <c r="D234" s="19">
        <f ca="1">IF(RAND()&lt;P_Zero,0,IF(RAND()&lt;CondReturn,_xlfn.LOGNORM.INV(RAND(),MV2,Sigma1),IF(RAND()&lt;CondGood,_xlfn.LOGNORM.INV(RAND(),MV3,Sigma2),MIN(MaxMultiple,Xm/(1-RAND())^(1/Alpha)))))</f>
        <v>0.43149612092405132</v>
      </c>
      <c r="E234" s="19">
        <f ca="1">IF(RAND()&lt;P_Zero,0,IF(RAND()&lt;CondReturn,_xlfn.LOGNORM.INV(RAND(),MV2,Sigma1),IF(RAND()&lt;CondGood,_xlfn.LOGNORM.INV(RAND(),MV3,Sigma2),MIN(MaxMultiple,Xm/(1-RAND())^(1/Alpha)))))</f>
        <v>0</v>
      </c>
      <c r="F234" s="19">
        <f ca="1">IF(RAND()&lt;P_Zero,0,IF(RAND()&lt;CondReturn,_xlfn.LOGNORM.INV(RAND(),MV2,Sigma1),IF(RAND()&lt;CondGood,_xlfn.LOGNORM.INV(RAND(),MV3,Sigma2),MIN(MaxMultiple,Xm/(1-RAND())^(1/Alpha)))))</f>
        <v>0.43781217303432429</v>
      </c>
      <c r="G234" s="19">
        <f ca="1">IF(RAND()&lt;P_Zero,0,IF(RAND()&lt;CondReturn,_xlfn.LOGNORM.INV(RAND(),MV2,Sigma1),IF(RAND()&lt;CondGood,_xlfn.LOGNORM.INV(RAND(),MV3,Sigma2),MIN(MaxMultiple,Xm/(1-RAND())^(1/Alpha)))))</f>
        <v>0</v>
      </c>
      <c r="H234" s="19">
        <f ca="1">IF(RAND()&lt;P_Zero,0,IF(RAND()&lt;CondReturn,_xlfn.LOGNORM.INV(RAND(),MV2,Sigma1),IF(RAND()&lt;CondGood,_xlfn.LOGNORM.INV(RAND(),MV3,Sigma2),MIN(MaxMultiple,Xm/(1-RAND())^(1/Alpha)))))</f>
        <v>0.48973362922684105</v>
      </c>
      <c r="I234" s="19">
        <f ca="1">IF(RAND()&lt;P_Zero,0,IF(RAND()&lt;CondReturn,_xlfn.LOGNORM.INV(RAND(),MV2,Sigma1),IF(RAND()&lt;CondGood,_xlfn.LOGNORM.INV(RAND(),MV3,Sigma2),MIN(MaxMultiple,Xm/(1-RAND())^(1/Alpha)))))</f>
        <v>2.7371641562421667</v>
      </c>
      <c r="J234" s="19">
        <f ca="1">IF(RAND()&lt;P_Zero,0,IF(RAND()&lt;CondReturn,_xlfn.LOGNORM.INV(RAND(),MV2,Sigma1),IF(RAND()&lt;CondGood,_xlfn.LOGNORM.INV(RAND(),MV3,Sigma2),MIN(MaxMultiple,Xm/(1-RAND())^(1/Alpha)))))</f>
        <v>1.8985268263729838</v>
      </c>
      <c r="K234" s="19">
        <f ca="1">IF(RAND()&lt;P_Zero,0,IF(RAND()&lt;CondReturn,_xlfn.LOGNORM.INV(RAND(),MV2,Sigma1),IF(RAND()&lt;CondGood,_xlfn.LOGNORM.INV(RAND(),MV3,Sigma2),MIN(MaxMultiple,Xm/(1-RAND())^(1/Alpha)))))</f>
        <v>0.82874305337575549</v>
      </c>
      <c r="L234" s="19">
        <f ca="1">IF(RAND()&lt;P_Zero,0,IF(RAND()&lt;CondReturn,_xlfn.LOGNORM.INV(RAND(),MV2,Sigma1),IF(RAND()&lt;CondGood,_xlfn.LOGNORM.INV(RAND(),MV3,Sigma2),MIN(MaxMultiple,Xm/(1-RAND())^(1/Alpha)))))</f>
        <v>1.5425086058101027</v>
      </c>
      <c r="M234" s="19">
        <f ca="1">IF(RAND()&lt;P_Zero,0,IF(RAND()&lt;CondReturn,_xlfn.LOGNORM.INV(RAND(),MV2,Sigma1),IF(RAND()&lt;CondGood,_xlfn.LOGNORM.INV(RAND(),MV3,Sigma2),MIN(MaxMultiple,Xm/(1-RAND())^(1/Alpha)))))</f>
        <v>0</v>
      </c>
      <c r="N234" s="19">
        <f ca="1">IF(RAND()&lt;P_Zero,0,IF(RAND()&lt;CondReturn,_xlfn.LOGNORM.INV(RAND(),MV2,Sigma1),IF(RAND()&lt;CondGood,_xlfn.LOGNORM.INV(RAND(),MV3,Sigma2),MIN(MaxMultiple,Xm/(1-RAND())^(1/Alpha)))))</f>
        <v>0.61231114640348805</v>
      </c>
      <c r="O234" s="19">
        <f ca="1">IF(RAND()&lt;P_Zero,0,IF(RAND()&lt;CondReturn,_xlfn.LOGNORM.INV(RAND(),MV2,Sigma1),IF(RAND()&lt;CondGood,_xlfn.LOGNORM.INV(RAND(),MV3,Sigma2),MIN(MaxMultiple,Xm/(1-RAND())^(1/Alpha)))))</f>
        <v>0.70805779775346966</v>
      </c>
      <c r="P234" s="19">
        <f ca="1">IF(RAND()&lt;P_Zero,0,IF(RAND()&lt;CondReturn,_xlfn.LOGNORM.INV(RAND(),MV2,Sigma1),IF(RAND()&lt;CondGood,_xlfn.LOGNORM.INV(RAND(),MV3,Sigma2),MIN(MaxMultiple,Xm/(1-RAND())^(1/Alpha)))))</f>
        <v>0</v>
      </c>
      <c r="Q234" s="19">
        <f ca="1">IF(RAND()&lt;P_Zero,0,IF(RAND()&lt;CondReturn,_xlfn.LOGNORM.INV(RAND(),MV2,Sigma1),IF(RAND()&lt;CondGood,_xlfn.LOGNORM.INV(RAND(),MV3,Sigma2),MIN(MaxMultiple,Xm/(1-RAND())^(1/Alpha)))))</f>
        <v>0.94266890253138846</v>
      </c>
      <c r="R234" s="19">
        <f ca="1">IF(RAND()&lt;P_Zero,0,IF(RAND()&lt;CondReturn,_xlfn.LOGNORM.INV(RAND(),MV2,Sigma1),IF(RAND()&lt;CondGood,_xlfn.LOGNORM.INV(RAND(),MV3,Sigma2),MIN(MaxMultiple,Xm/(1-RAND())^(1/Alpha)))))</f>
        <v>0.69255473973222081</v>
      </c>
      <c r="S234" s="19">
        <f ca="1">IF(RAND()&lt;P_Zero,0,IF(RAND()&lt;CondReturn,_xlfn.LOGNORM.INV(RAND(),MV2,Sigma1),IF(RAND()&lt;CondGood,_xlfn.LOGNORM.INV(RAND(),MV3,Sigma2),MIN(MaxMultiple,Xm/(1-RAND())^(1/Alpha)))))</f>
        <v>0</v>
      </c>
      <c r="T234" s="19">
        <f ca="1">IF(RAND()&lt;P_Zero,0,IF(RAND()&lt;CondReturn,_xlfn.LOGNORM.INV(RAND(),MV2,Sigma1),IF(RAND()&lt;CondGood,_xlfn.LOGNORM.INV(RAND(),MV3,Sigma2),MIN(MaxMultiple,Xm/(1-RAND())^(1/Alpha)))))</f>
        <v>0</v>
      </c>
      <c r="U234" s="19">
        <f ca="1">IF(RAND()&lt;P_Zero,0,IF(RAND()&lt;CondReturn,_xlfn.LOGNORM.INV(RAND(),MV2,Sigma1),IF(RAND()&lt;CondGood,_xlfn.LOGNORM.INV(RAND(),MV3,Sigma2),MIN(MaxMultiple,Xm/(1-RAND())^(1/Alpha)))))</f>
        <v>0.48238695255204161</v>
      </c>
      <c r="V234" s="19">
        <f ca="1">IF(RAND()&lt;P_Zero,0,IF(RAND()&lt;CondReturn,_xlfn.LOGNORM.INV(RAND(),MV2,Sigma1),IF(RAND()&lt;CondGood,_xlfn.LOGNORM.INV(RAND(),MV3,Sigma2),MIN(MaxMultiple,Xm/(1-RAND())^(1/Alpha)))))</f>
        <v>0</v>
      </c>
      <c r="W234" s="19">
        <f ca="1">IF(RAND()&lt;P_Zero,0,IF(RAND()&lt;CondReturn,_xlfn.LOGNORM.INV(RAND(),MV2,Sigma1),IF(RAND()&lt;CondGood,_xlfn.LOGNORM.INV(RAND(),MV3,Sigma2),MIN(MaxMultiple,Xm/(1-RAND())^(1/Alpha)))))</f>
        <v>0</v>
      </c>
      <c r="X234" s="19">
        <f ca="1">IF(RAND()&lt;P_Zero,0,IF(RAND()&lt;CondReturn,_xlfn.LOGNORM.INV(RAND(),MV2,Sigma1),IF(RAND()&lt;CondGood,_xlfn.LOGNORM.INV(RAND(),MV3,Sigma2),MIN(MaxMultiple,Xm/(1-RAND())^(1/Alpha)))))</f>
        <v>1.5688771382529549</v>
      </c>
      <c r="Y234" s="19">
        <f ca="1">IF(RAND()&lt;P_Zero,0,IF(RAND()&lt;CondReturn,_xlfn.LOGNORM.INV(RAND(),MV2,Sigma1),IF(RAND()&lt;CondGood,_xlfn.LOGNORM.INV(RAND(),MV3,Sigma2),MIN(MaxMultiple,Xm/(1-RAND())^(1/Alpha)))))</f>
        <v>1.1672046589933984</v>
      </c>
      <c r="Z234" s="19">
        <f ca="1">IF(RAND()&lt;P_Zero,0,IF(RAND()&lt;CondReturn,_xlfn.LOGNORM.INV(RAND(),MV2,Sigma1),IF(RAND()&lt;CondGood,_xlfn.LOGNORM.INV(RAND(),MV3,Sigma2),MIN(MaxMultiple,Xm/(1-RAND())^(1/Alpha)))))</f>
        <v>0.50532535325992667</v>
      </c>
      <c r="AA234" s="19">
        <f ca="1">IF(RAND()&lt;P_Zero,0,IF(RAND()&lt;CondReturn,_xlfn.LOGNORM.INV(RAND(),MV2,Sigma1),IF(RAND()&lt;CondGood,_xlfn.LOGNORM.INV(RAND(),MV3,Sigma2),MIN(MaxMultiple,Xm/(1-RAND())^(1/Alpha)))))</f>
        <v>0</v>
      </c>
      <c r="AB234" s="19">
        <f t="shared" ca="1" si="24"/>
        <v>0.66655340679486041</v>
      </c>
      <c r="AC234" s="14">
        <f t="shared" ca="1" si="25"/>
        <v>31994563.5261533</v>
      </c>
      <c r="AD234" s="14">
        <f t="shared" ca="1" si="26"/>
        <v>-16005436.4738467</v>
      </c>
      <c r="AE234" s="14">
        <f t="shared" si="27"/>
        <v>55628399.869093813</v>
      </c>
      <c r="AF234" s="14">
        <f t="shared" ca="1" si="28"/>
        <v>0</v>
      </c>
      <c r="AG234" s="14">
        <f t="shared" ca="1" si="29"/>
        <v>0</v>
      </c>
      <c r="AH234" s="14">
        <f t="shared" ca="1" si="30"/>
        <v>31994563.5261533</v>
      </c>
      <c r="AI234" s="19">
        <f t="shared" ca="1" si="31"/>
        <v>0.53324272543588835</v>
      </c>
    </row>
    <row r="235" spans="2:35" x14ac:dyDescent="0.2">
      <c r="B235" s="1">
        <v>230</v>
      </c>
      <c r="C235" s="19">
        <f ca="1">IF(RAND()&lt;P_Zero,0,IF(RAND()&lt;CondReturn,_xlfn.LOGNORM.INV(RAND(),MV2,Sigma1),IF(RAND()&lt;CondGood,_xlfn.LOGNORM.INV(RAND(),MV3,Sigma2),MIN(MaxMultiple,Xm/(1-RAND())^(1/Alpha)))))</f>
        <v>0.28487320795869597</v>
      </c>
      <c r="D235" s="19">
        <f ca="1">IF(RAND()&lt;P_Zero,0,IF(RAND()&lt;CondReturn,_xlfn.LOGNORM.INV(RAND(),MV2,Sigma1),IF(RAND()&lt;CondGood,_xlfn.LOGNORM.INV(RAND(),MV3,Sigma2),MIN(MaxMultiple,Xm/(1-RAND())^(1/Alpha)))))</f>
        <v>0.81545559359413378</v>
      </c>
      <c r="E235" s="19">
        <f ca="1">IF(RAND()&lt;P_Zero,0,IF(RAND()&lt;CondReturn,_xlfn.LOGNORM.INV(RAND(),MV2,Sigma1),IF(RAND()&lt;CondGood,_xlfn.LOGNORM.INV(RAND(),MV3,Sigma2),MIN(MaxMultiple,Xm/(1-RAND())^(1/Alpha)))))</f>
        <v>1.50717606533682</v>
      </c>
      <c r="F235" s="19">
        <f ca="1">IF(RAND()&lt;P_Zero,0,IF(RAND()&lt;CondReturn,_xlfn.LOGNORM.INV(RAND(),MV2,Sigma1),IF(RAND()&lt;CondGood,_xlfn.LOGNORM.INV(RAND(),MV3,Sigma2),MIN(MaxMultiple,Xm/(1-RAND())^(1/Alpha)))))</f>
        <v>0</v>
      </c>
      <c r="G235" s="19">
        <f ca="1">IF(RAND()&lt;P_Zero,0,IF(RAND()&lt;CondReturn,_xlfn.LOGNORM.INV(RAND(),MV2,Sigma1),IF(RAND()&lt;CondGood,_xlfn.LOGNORM.INV(RAND(),MV3,Sigma2),MIN(MaxMultiple,Xm/(1-RAND())^(1/Alpha)))))</f>
        <v>0.53988226186867827</v>
      </c>
      <c r="H235" s="19">
        <f ca="1">IF(RAND()&lt;P_Zero,0,IF(RAND()&lt;CondReturn,_xlfn.LOGNORM.INV(RAND(),MV2,Sigma1),IF(RAND()&lt;CondGood,_xlfn.LOGNORM.INV(RAND(),MV3,Sigma2),MIN(MaxMultiple,Xm/(1-RAND())^(1/Alpha)))))</f>
        <v>0.99513201179728472</v>
      </c>
      <c r="I235" s="19">
        <f ca="1">IF(RAND()&lt;P_Zero,0,IF(RAND()&lt;CondReturn,_xlfn.LOGNORM.INV(RAND(),MV2,Sigma1),IF(RAND()&lt;CondGood,_xlfn.LOGNORM.INV(RAND(),MV3,Sigma2),MIN(MaxMultiple,Xm/(1-RAND())^(1/Alpha)))))</f>
        <v>0</v>
      </c>
      <c r="J235" s="19">
        <f ca="1">IF(RAND()&lt;P_Zero,0,IF(RAND()&lt;CondReturn,_xlfn.LOGNORM.INV(RAND(),MV2,Sigma1),IF(RAND()&lt;CondGood,_xlfn.LOGNORM.INV(RAND(),MV3,Sigma2),MIN(MaxMultiple,Xm/(1-RAND())^(1/Alpha)))))</f>
        <v>0</v>
      </c>
      <c r="K235" s="19">
        <f ca="1">IF(RAND()&lt;P_Zero,0,IF(RAND()&lt;CondReturn,_xlfn.LOGNORM.INV(RAND(),MV2,Sigma1),IF(RAND()&lt;CondGood,_xlfn.LOGNORM.INV(RAND(),MV3,Sigma2),MIN(MaxMultiple,Xm/(1-RAND())^(1/Alpha)))))</f>
        <v>0</v>
      </c>
      <c r="L235" s="19">
        <f ca="1">IF(RAND()&lt;P_Zero,0,IF(RAND()&lt;CondReturn,_xlfn.LOGNORM.INV(RAND(),MV2,Sigma1),IF(RAND()&lt;CondGood,_xlfn.LOGNORM.INV(RAND(),MV3,Sigma2),MIN(MaxMultiple,Xm/(1-RAND())^(1/Alpha)))))</f>
        <v>0</v>
      </c>
      <c r="M235" s="19">
        <f ca="1">IF(RAND()&lt;P_Zero,0,IF(RAND()&lt;CondReturn,_xlfn.LOGNORM.INV(RAND(),MV2,Sigma1),IF(RAND()&lt;CondGood,_xlfn.LOGNORM.INV(RAND(),MV3,Sigma2),MIN(MaxMultiple,Xm/(1-RAND())^(1/Alpha)))))</f>
        <v>23.462983295568293</v>
      </c>
      <c r="N235" s="19">
        <f ca="1">IF(RAND()&lt;P_Zero,0,IF(RAND()&lt;CondReturn,_xlfn.LOGNORM.INV(RAND(),MV2,Sigma1),IF(RAND()&lt;CondGood,_xlfn.LOGNORM.INV(RAND(),MV3,Sigma2),MIN(MaxMultiple,Xm/(1-RAND())^(1/Alpha)))))</f>
        <v>0</v>
      </c>
      <c r="O235" s="19">
        <f ca="1">IF(RAND()&lt;P_Zero,0,IF(RAND()&lt;CondReturn,_xlfn.LOGNORM.INV(RAND(),MV2,Sigma1),IF(RAND()&lt;CondGood,_xlfn.LOGNORM.INV(RAND(),MV3,Sigma2),MIN(MaxMultiple,Xm/(1-RAND())^(1/Alpha)))))</f>
        <v>0</v>
      </c>
      <c r="P235" s="19">
        <f ca="1">IF(RAND()&lt;P_Zero,0,IF(RAND()&lt;CondReturn,_xlfn.LOGNORM.INV(RAND(),MV2,Sigma1),IF(RAND()&lt;CondGood,_xlfn.LOGNORM.INV(RAND(),MV3,Sigma2),MIN(MaxMultiple,Xm/(1-RAND())^(1/Alpha)))))</f>
        <v>1.0792290705544023</v>
      </c>
      <c r="Q235" s="19">
        <f ca="1">IF(RAND()&lt;P_Zero,0,IF(RAND()&lt;CondReturn,_xlfn.LOGNORM.INV(RAND(),MV2,Sigma1),IF(RAND()&lt;CondGood,_xlfn.LOGNORM.INV(RAND(),MV3,Sigma2),MIN(MaxMultiple,Xm/(1-RAND())^(1/Alpha)))))</f>
        <v>0</v>
      </c>
      <c r="R235" s="19">
        <f ca="1">IF(RAND()&lt;P_Zero,0,IF(RAND()&lt;CondReturn,_xlfn.LOGNORM.INV(RAND(),MV2,Sigma1),IF(RAND()&lt;CondGood,_xlfn.LOGNORM.INV(RAND(),MV3,Sigma2),MIN(MaxMultiple,Xm/(1-RAND())^(1/Alpha)))))</f>
        <v>11.19019863414049</v>
      </c>
      <c r="S235" s="19">
        <f ca="1">IF(RAND()&lt;P_Zero,0,IF(RAND()&lt;CondReturn,_xlfn.LOGNORM.INV(RAND(),MV2,Sigma1),IF(RAND()&lt;CondGood,_xlfn.LOGNORM.INV(RAND(),MV3,Sigma2),MIN(MaxMultiple,Xm/(1-RAND())^(1/Alpha)))))</f>
        <v>18.508642549762875</v>
      </c>
      <c r="T235" s="19">
        <f ca="1">IF(RAND()&lt;P_Zero,0,IF(RAND()&lt;CondReturn,_xlfn.LOGNORM.INV(RAND(),MV2,Sigma1),IF(RAND()&lt;CondGood,_xlfn.LOGNORM.INV(RAND(),MV3,Sigma2),MIN(MaxMultiple,Xm/(1-RAND())^(1/Alpha)))))</f>
        <v>0</v>
      </c>
      <c r="U235" s="19">
        <f ca="1">IF(RAND()&lt;P_Zero,0,IF(RAND()&lt;CondReturn,_xlfn.LOGNORM.INV(RAND(),MV2,Sigma1),IF(RAND()&lt;CondGood,_xlfn.LOGNORM.INV(RAND(),MV3,Sigma2),MIN(MaxMultiple,Xm/(1-RAND())^(1/Alpha)))))</f>
        <v>0.88646816968086051</v>
      </c>
      <c r="V235" s="19">
        <f ca="1">IF(RAND()&lt;P_Zero,0,IF(RAND()&lt;CondReturn,_xlfn.LOGNORM.INV(RAND(),MV2,Sigma1),IF(RAND()&lt;CondGood,_xlfn.LOGNORM.INV(RAND(),MV3,Sigma2),MIN(MaxMultiple,Xm/(1-RAND())^(1/Alpha)))))</f>
        <v>1.2610945725072218</v>
      </c>
      <c r="W235" s="19">
        <f ca="1">IF(RAND()&lt;P_Zero,0,IF(RAND()&lt;CondReturn,_xlfn.LOGNORM.INV(RAND(),MV2,Sigma1),IF(RAND()&lt;CondGood,_xlfn.LOGNORM.INV(RAND(),MV3,Sigma2),MIN(MaxMultiple,Xm/(1-RAND())^(1/Alpha)))))</f>
        <v>107.56381327947597</v>
      </c>
      <c r="X235" s="19">
        <f ca="1">IF(RAND()&lt;P_Zero,0,IF(RAND()&lt;CondReturn,_xlfn.LOGNORM.INV(RAND(),MV2,Sigma1),IF(RAND()&lt;CondGood,_xlfn.LOGNORM.INV(RAND(),MV3,Sigma2),MIN(MaxMultiple,Xm/(1-RAND())^(1/Alpha)))))</f>
        <v>1.4485634105960992</v>
      </c>
      <c r="Y235" s="19">
        <f ca="1">IF(RAND()&lt;P_Zero,0,IF(RAND()&lt;CondReturn,_xlfn.LOGNORM.INV(RAND(),MV2,Sigma1),IF(RAND()&lt;CondGood,_xlfn.LOGNORM.INV(RAND(),MV3,Sigma2),MIN(MaxMultiple,Xm/(1-RAND())^(1/Alpha)))))</f>
        <v>11.445237838110746</v>
      </c>
      <c r="Z235" s="19">
        <f ca="1">IF(RAND()&lt;P_Zero,0,IF(RAND()&lt;CondReturn,_xlfn.LOGNORM.INV(RAND(),MV2,Sigma1),IF(RAND()&lt;CondGood,_xlfn.LOGNORM.INV(RAND(),MV3,Sigma2),MIN(MaxMultiple,Xm/(1-RAND())^(1/Alpha)))))</f>
        <v>0</v>
      </c>
      <c r="AA235" s="19">
        <f ca="1">IF(RAND()&lt;P_Zero,0,IF(RAND()&lt;CondReturn,_xlfn.LOGNORM.INV(RAND(),MV2,Sigma1),IF(RAND()&lt;CondGood,_xlfn.LOGNORM.INV(RAND(),MV3,Sigma2),MIN(MaxMultiple,Xm/(1-RAND())^(1/Alpha)))))</f>
        <v>1.0342743942818202</v>
      </c>
      <c r="AB235" s="19">
        <f t="shared" ca="1" si="24"/>
        <v>7.2809209742093763</v>
      </c>
      <c r="AC235" s="14">
        <f t="shared" ca="1" si="25"/>
        <v>349484206.76205009</v>
      </c>
      <c r="AD235" s="14">
        <f t="shared" ca="1" si="26"/>
        <v>301484206.76205009</v>
      </c>
      <c r="AE235" s="14">
        <f t="shared" si="27"/>
        <v>55628399.869093813</v>
      </c>
      <c r="AF235" s="14">
        <f t="shared" ca="1" si="28"/>
        <v>245855806.89295629</v>
      </c>
      <c r="AG235" s="14">
        <f t="shared" ca="1" si="29"/>
        <v>49171161.378591262</v>
      </c>
      <c r="AH235" s="14">
        <f t="shared" ca="1" si="30"/>
        <v>300313045.38345885</v>
      </c>
      <c r="AI235" s="19">
        <f t="shared" ca="1" si="31"/>
        <v>5.0052174230576476</v>
      </c>
    </row>
    <row r="236" spans="2:35" x14ac:dyDescent="0.2">
      <c r="B236" s="1">
        <v>231</v>
      </c>
      <c r="C236" s="19">
        <f ca="1">IF(RAND()&lt;P_Zero,0,IF(RAND()&lt;CondReturn,_xlfn.LOGNORM.INV(RAND(),MV2,Sigma1),IF(RAND()&lt;CondGood,_xlfn.LOGNORM.INV(RAND(),MV3,Sigma2),MIN(MaxMultiple,Xm/(1-RAND())^(1/Alpha)))))</f>
        <v>0</v>
      </c>
      <c r="D236" s="19">
        <f ca="1">IF(RAND()&lt;P_Zero,0,IF(RAND()&lt;CondReturn,_xlfn.LOGNORM.INV(RAND(),MV2,Sigma1),IF(RAND()&lt;CondGood,_xlfn.LOGNORM.INV(RAND(),MV3,Sigma2),MIN(MaxMultiple,Xm/(1-RAND())^(1/Alpha)))))</f>
        <v>0</v>
      </c>
      <c r="E236" s="19">
        <f ca="1">IF(RAND()&lt;P_Zero,0,IF(RAND()&lt;CondReturn,_xlfn.LOGNORM.INV(RAND(),MV2,Sigma1),IF(RAND()&lt;CondGood,_xlfn.LOGNORM.INV(RAND(),MV3,Sigma2),MIN(MaxMultiple,Xm/(1-RAND())^(1/Alpha)))))</f>
        <v>29.94996751636987</v>
      </c>
      <c r="F236" s="19">
        <f ca="1">IF(RAND()&lt;P_Zero,0,IF(RAND()&lt;CondReturn,_xlfn.LOGNORM.INV(RAND(),MV2,Sigma1),IF(RAND()&lt;CondGood,_xlfn.LOGNORM.INV(RAND(),MV3,Sigma2),MIN(MaxMultiple,Xm/(1-RAND())^(1/Alpha)))))</f>
        <v>0</v>
      </c>
      <c r="G236" s="19">
        <f ca="1">IF(RAND()&lt;P_Zero,0,IF(RAND()&lt;CondReturn,_xlfn.LOGNORM.INV(RAND(),MV2,Sigma1),IF(RAND()&lt;CondGood,_xlfn.LOGNORM.INV(RAND(),MV3,Sigma2),MIN(MaxMultiple,Xm/(1-RAND())^(1/Alpha)))))</f>
        <v>0</v>
      </c>
      <c r="H236" s="19">
        <f ca="1">IF(RAND()&lt;P_Zero,0,IF(RAND()&lt;CondReturn,_xlfn.LOGNORM.INV(RAND(),MV2,Sigma1),IF(RAND()&lt;CondGood,_xlfn.LOGNORM.INV(RAND(),MV3,Sigma2),MIN(MaxMultiple,Xm/(1-RAND())^(1/Alpha)))))</f>
        <v>0</v>
      </c>
      <c r="I236" s="19">
        <f ca="1">IF(RAND()&lt;P_Zero,0,IF(RAND()&lt;CondReturn,_xlfn.LOGNORM.INV(RAND(),MV2,Sigma1),IF(RAND()&lt;CondGood,_xlfn.LOGNORM.INV(RAND(),MV3,Sigma2),MIN(MaxMultiple,Xm/(1-RAND())^(1/Alpha)))))</f>
        <v>0</v>
      </c>
      <c r="J236" s="19">
        <f ca="1">IF(RAND()&lt;P_Zero,0,IF(RAND()&lt;CondReturn,_xlfn.LOGNORM.INV(RAND(),MV2,Sigma1),IF(RAND()&lt;CondGood,_xlfn.LOGNORM.INV(RAND(),MV3,Sigma2),MIN(MaxMultiple,Xm/(1-RAND())^(1/Alpha)))))</f>
        <v>0</v>
      </c>
      <c r="K236" s="19">
        <f ca="1">IF(RAND()&lt;P_Zero,0,IF(RAND()&lt;CondReturn,_xlfn.LOGNORM.INV(RAND(),MV2,Sigma1),IF(RAND()&lt;CondGood,_xlfn.LOGNORM.INV(RAND(),MV3,Sigma2),MIN(MaxMultiple,Xm/(1-RAND())^(1/Alpha)))))</f>
        <v>0</v>
      </c>
      <c r="L236" s="19">
        <f ca="1">IF(RAND()&lt;P_Zero,0,IF(RAND()&lt;CondReturn,_xlfn.LOGNORM.INV(RAND(),MV2,Sigma1),IF(RAND()&lt;CondGood,_xlfn.LOGNORM.INV(RAND(),MV3,Sigma2),MIN(MaxMultiple,Xm/(1-RAND())^(1/Alpha)))))</f>
        <v>0.94493205620094201</v>
      </c>
      <c r="M236" s="19">
        <f ca="1">IF(RAND()&lt;P_Zero,0,IF(RAND()&lt;CondReturn,_xlfn.LOGNORM.INV(RAND(),MV2,Sigma1),IF(RAND()&lt;CondGood,_xlfn.LOGNORM.INV(RAND(),MV3,Sigma2),MIN(MaxMultiple,Xm/(1-RAND())^(1/Alpha)))))</f>
        <v>0</v>
      </c>
      <c r="N236" s="19">
        <f ca="1">IF(RAND()&lt;P_Zero,0,IF(RAND()&lt;CondReturn,_xlfn.LOGNORM.INV(RAND(),MV2,Sigma1),IF(RAND()&lt;CondGood,_xlfn.LOGNORM.INV(RAND(),MV3,Sigma2),MIN(MaxMultiple,Xm/(1-RAND())^(1/Alpha)))))</f>
        <v>1.3119245551440659</v>
      </c>
      <c r="O236" s="19">
        <f ca="1">IF(RAND()&lt;P_Zero,0,IF(RAND()&lt;CondReturn,_xlfn.LOGNORM.INV(RAND(),MV2,Sigma1),IF(RAND()&lt;CondGood,_xlfn.LOGNORM.INV(RAND(),MV3,Sigma2),MIN(MaxMultiple,Xm/(1-RAND())^(1/Alpha)))))</f>
        <v>2.042014580722467</v>
      </c>
      <c r="P236" s="19">
        <f ca="1">IF(RAND()&lt;P_Zero,0,IF(RAND()&lt;CondReturn,_xlfn.LOGNORM.INV(RAND(),MV2,Sigma1),IF(RAND()&lt;CondGood,_xlfn.LOGNORM.INV(RAND(),MV3,Sigma2),MIN(MaxMultiple,Xm/(1-RAND())^(1/Alpha)))))</f>
        <v>0</v>
      </c>
      <c r="Q236" s="19">
        <f ca="1">IF(RAND()&lt;P_Zero,0,IF(RAND()&lt;CondReturn,_xlfn.LOGNORM.INV(RAND(),MV2,Sigma1),IF(RAND()&lt;CondGood,_xlfn.LOGNORM.INV(RAND(),MV3,Sigma2),MIN(MaxMultiple,Xm/(1-RAND())^(1/Alpha)))))</f>
        <v>19.413948462197087</v>
      </c>
      <c r="R236" s="19">
        <f ca="1">IF(RAND()&lt;P_Zero,0,IF(RAND()&lt;CondReturn,_xlfn.LOGNORM.INV(RAND(),MV2,Sigma1),IF(RAND()&lt;CondGood,_xlfn.LOGNORM.INV(RAND(),MV3,Sigma2),MIN(MaxMultiple,Xm/(1-RAND())^(1/Alpha)))))</f>
        <v>13.394008528658201</v>
      </c>
      <c r="S236" s="19">
        <f ca="1">IF(RAND()&lt;P_Zero,0,IF(RAND()&lt;CondReturn,_xlfn.LOGNORM.INV(RAND(),MV2,Sigma1),IF(RAND()&lt;CondGood,_xlfn.LOGNORM.INV(RAND(),MV3,Sigma2),MIN(MaxMultiple,Xm/(1-RAND())^(1/Alpha)))))</f>
        <v>1.0422792026310423</v>
      </c>
      <c r="T236" s="19">
        <f ca="1">IF(RAND()&lt;P_Zero,0,IF(RAND()&lt;CondReturn,_xlfn.LOGNORM.INV(RAND(),MV2,Sigma1),IF(RAND()&lt;CondGood,_xlfn.LOGNORM.INV(RAND(),MV3,Sigma2),MIN(MaxMultiple,Xm/(1-RAND())^(1/Alpha)))))</f>
        <v>1.5892440864476161</v>
      </c>
      <c r="U236" s="19">
        <f ca="1">IF(RAND()&lt;P_Zero,0,IF(RAND()&lt;CondReturn,_xlfn.LOGNORM.INV(RAND(),MV2,Sigma1),IF(RAND()&lt;CondGood,_xlfn.LOGNORM.INV(RAND(),MV3,Sigma2),MIN(MaxMultiple,Xm/(1-RAND())^(1/Alpha)))))</f>
        <v>2.0986347524089348</v>
      </c>
      <c r="V236" s="19">
        <f ca="1">IF(RAND()&lt;P_Zero,0,IF(RAND()&lt;CondReturn,_xlfn.LOGNORM.INV(RAND(),MV2,Sigma1),IF(RAND()&lt;CondGood,_xlfn.LOGNORM.INV(RAND(),MV3,Sigma2),MIN(MaxMultiple,Xm/(1-RAND())^(1/Alpha)))))</f>
        <v>300</v>
      </c>
      <c r="W236" s="19">
        <f ca="1">IF(RAND()&lt;P_Zero,0,IF(RAND()&lt;CondReturn,_xlfn.LOGNORM.INV(RAND(),MV2,Sigma1),IF(RAND()&lt;CondGood,_xlfn.LOGNORM.INV(RAND(),MV3,Sigma2),MIN(MaxMultiple,Xm/(1-RAND())^(1/Alpha)))))</f>
        <v>1.0507101595711847</v>
      </c>
      <c r="X236" s="19">
        <f ca="1">IF(RAND()&lt;P_Zero,0,IF(RAND()&lt;CondReturn,_xlfn.LOGNORM.INV(RAND(),MV2,Sigma1),IF(RAND()&lt;CondGood,_xlfn.LOGNORM.INV(RAND(),MV3,Sigma2),MIN(MaxMultiple,Xm/(1-RAND())^(1/Alpha)))))</f>
        <v>0.47176299580649766</v>
      </c>
      <c r="Y236" s="19">
        <f ca="1">IF(RAND()&lt;P_Zero,0,IF(RAND()&lt;CondReturn,_xlfn.LOGNORM.INV(RAND(),MV2,Sigma1),IF(RAND()&lt;CondGood,_xlfn.LOGNORM.INV(RAND(),MV3,Sigma2),MIN(MaxMultiple,Xm/(1-RAND())^(1/Alpha)))))</f>
        <v>0</v>
      </c>
      <c r="Z236" s="19">
        <f ca="1">IF(RAND()&lt;P_Zero,0,IF(RAND()&lt;CondReturn,_xlfn.LOGNORM.INV(RAND(),MV2,Sigma1),IF(RAND()&lt;CondGood,_xlfn.LOGNORM.INV(RAND(),MV3,Sigma2),MIN(MaxMultiple,Xm/(1-RAND())^(1/Alpha)))))</f>
        <v>0.79357855032408542</v>
      </c>
      <c r="AA236" s="19">
        <f ca="1">IF(RAND()&lt;P_Zero,0,IF(RAND()&lt;CondReturn,_xlfn.LOGNORM.INV(RAND(),MV2,Sigma1),IF(RAND()&lt;CondGood,_xlfn.LOGNORM.INV(RAND(),MV3,Sigma2),MIN(MaxMultiple,Xm/(1-RAND())^(1/Alpha)))))</f>
        <v>0.54917526768933578</v>
      </c>
      <c r="AB236" s="19">
        <f t="shared" ca="1" si="24"/>
        <v>14.986087228566852</v>
      </c>
      <c r="AC236" s="14">
        <f t="shared" ca="1" si="25"/>
        <v>719332186.97120893</v>
      </c>
      <c r="AD236" s="14">
        <f t="shared" ca="1" si="26"/>
        <v>671332186.97120893</v>
      </c>
      <c r="AE236" s="14">
        <f t="shared" si="27"/>
        <v>55628399.869093813</v>
      </c>
      <c r="AF236" s="14">
        <f t="shared" ca="1" si="28"/>
        <v>615703787.10211515</v>
      </c>
      <c r="AG236" s="14">
        <f t="shared" ca="1" si="29"/>
        <v>123140757.42042303</v>
      </c>
      <c r="AH236" s="14">
        <f t="shared" ca="1" si="30"/>
        <v>596191429.5507859</v>
      </c>
      <c r="AI236" s="19">
        <f t="shared" ca="1" si="31"/>
        <v>9.9365238258464323</v>
      </c>
    </row>
    <row r="237" spans="2:35" x14ac:dyDescent="0.2">
      <c r="B237" s="1">
        <v>232</v>
      </c>
      <c r="C237" s="19">
        <f ca="1">IF(RAND()&lt;P_Zero,0,IF(RAND()&lt;CondReturn,_xlfn.LOGNORM.INV(RAND(),MV2,Sigma1),IF(RAND()&lt;CondGood,_xlfn.LOGNORM.INV(RAND(),MV3,Sigma2),MIN(MaxMultiple,Xm/(1-RAND())^(1/Alpha)))))</f>
        <v>0.42342284917339468</v>
      </c>
      <c r="D237" s="19">
        <f ca="1">IF(RAND()&lt;P_Zero,0,IF(RAND()&lt;CondReturn,_xlfn.LOGNORM.INV(RAND(),MV2,Sigma1),IF(RAND()&lt;CondGood,_xlfn.LOGNORM.INV(RAND(),MV3,Sigma2),MIN(MaxMultiple,Xm/(1-RAND())^(1/Alpha)))))</f>
        <v>1.6777020484590572</v>
      </c>
      <c r="E237" s="19">
        <f ca="1">IF(RAND()&lt;P_Zero,0,IF(RAND()&lt;CondReturn,_xlfn.LOGNORM.INV(RAND(),MV2,Sigma1),IF(RAND()&lt;CondGood,_xlfn.LOGNORM.INV(RAND(),MV3,Sigma2),MIN(MaxMultiple,Xm/(1-RAND())^(1/Alpha)))))</f>
        <v>1.7557310443086942</v>
      </c>
      <c r="F237" s="19">
        <f ca="1">IF(RAND()&lt;P_Zero,0,IF(RAND()&lt;CondReturn,_xlfn.LOGNORM.INV(RAND(),MV2,Sigma1),IF(RAND()&lt;CondGood,_xlfn.LOGNORM.INV(RAND(),MV3,Sigma2),MIN(MaxMultiple,Xm/(1-RAND())^(1/Alpha)))))</f>
        <v>0</v>
      </c>
      <c r="G237" s="19">
        <f ca="1">IF(RAND()&lt;P_Zero,0,IF(RAND()&lt;CondReturn,_xlfn.LOGNORM.INV(RAND(),MV2,Sigma1),IF(RAND()&lt;CondGood,_xlfn.LOGNORM.INV(RAND(),MV3,Sigma2),MIN(MaxMultiple,Xm/(1-RAND())^(1/Alpha)))))</f>
        <v>2.0074195693021895</v>
      </c>
      <c r="H237" s="19">
        <f ca="1">IF(RAND()&lt;P_Zero,0,IF(RAND()&lt;CondReturn,_xlfn.LOGNORM.INV(RAND(),MV2,Sigma1),IF(RAND()&lt;CondGood,_xlfn.LOGNORM.INV(RAND(),MV3,Sigma2),MIN(MaxMultiple,Xm/(1-RAND())^(1/Alpha)))))</f>
        <v>1.0318568551562251</v>
      </c>
      <c r="I237" s="19">
        <f ca="1">IF(RAND()&lt;P_Zero,0,IF(RAND()&lt;CondReturn,_xlfn.LOGNORM.INV(RAND(),MV2,Sigma1),IF(RAND()&lt;CondGood,_xlfn.LOGNORM.INV(RAND(),MV3,Sigma2),MIN(MaxMultiple,Xm/(1-RAND())^(1/Alpha)))))</f>
        <v>1.2989844031109039</v>
      </c>
      <c r="J237" s="19">
        <f ca="1">IF(RAND()&lt;P_Zero,0,IF(RAND()&lt;CondReturn,_xlfn.LOGNORM.INV(RAND(),MV2,Sigma1),IF(RAND()&lt;CondGood,_xlfn.LOGNORM.INV(RAND(),MV3,Sigma2),MIN(MaxMultiple,Xm/(1-RAND())^(1/Alpha)))))</f>
        <v>0.83748916389126138</v>
      </c>
      <c r="K237" s="19">
        <f ca="1">IF(RAND()&lt;P_Zero,0,IF(RAND()&lt;CondReturn,_xlfn.LOGNORM.INV(RAND(),MV2,Sigma1),IF(RAND()&lt;CondGood,_xlfn.LOGNORM.INV(RAND(),MV3,Sigma2),MIN(MaxMultiple,Xm/(1-RAND())^(1/Alpha)))))</f>
        <v>0.75349624362121914</v>
      </c>
      <c r="L237" s="19">
        <f ca="1">IF(RAND()&lt;P_Zero,0,IF(RAND()&lt;CondReturn,_xlfn.LOGNORM.INV(RAND(),MV2,Sigma1),IF(RAND()&lt;CondGood,_xlfn.LOGNORM.INV(RAND(),MV3,Sigma2),MIN(MaxMultiple,Xm/(1-RAND())^(1/Alpha)))))</f>
        <v>0</v>
      </c>
      <c r="M237" s="19">
        <f ca="1">IF(RAND()&lt;P_Zero,0,IF(RAND()&lt;CondReturn,_xlfn.LOGNORM.INV(RAND(),MV2,Sigma1),IF(RAND()&lt;CondGood,_xlfn.LOGNORM.INV(RAND(),MV3,Sigma2),MIN(MaxMultiple,Xm/(1-RAND())^(1/Alpha)))))</f>
        <v>1.190691161627746</v>
      </c>
      <c r="N237" s="19">
        <f ca="1">IF(RAND()&lt;P_Zero,0,IF(RAND()&lt;CondReturn,_xlfn.LOGNORM.INV(RAND(),MV2,Sigma1),IF(RAND()&lt;CondGood,_xlfn.LOGNORM.INV(RAND(),MV3,Sigma2),MIN(MaxMultiple,Xm/(1-RAND())^(1/Alpha)))))</f>
        <v>0</v>
      </c>
      <c r="O237" s="19">
        <f ca="1">IF(RAND()&lt;P_Zero,0,IF(RAND()&lt;CondReturn,_xlfn.LOGNORM.INV(RAND(),MV2,Sigma1),IF(RAND()&lt;CondGood,_xlfn.LOGNORM.INV(RAND(),MV3,Sigma2),MIN(MaxMultiple,Xm/(1-RAND())^(1/Alpha)))))</f>
        <v>0</v>
      </c>
      <c r="P237" s="19">
        <f ca="1">IF(RAND()&lt;P_Zero,0,IF(RAND()&lt;CondReturn,_xlfn.LOGNORM.INV(RAND(),MV2,Sigma1),IF(RAND()&lt;CondGood,_xlfn.LOGNORM.INV(RAND(),MV3,Sigma2),MIN(MaxMultiple,Xm/(1-RAND())^(1/Alpha)))))</f>
        <v>1.0805076912038547</v>
      </c>
      <c r="Q237" s="19">
        <f ca="1">IF(RAND()&lt;P_Zero,0,IF(RAND()&lt;CondReturn,_xlfn.LOGNORM.INV(RAND(),MV2,Sigma1),IF(RAND()&lt;CondGood,_xlfn.LOGNORM.INV(RAND(),MV3,Sigma2),MIN(MaxMultiple,Xm/(1-RAND())^(1/Alpha)))))</f>
        <v>0</v>
      </c>
      <c r="R237" s="19">
        <f ca="1">IF(RAND()&lt;P_Zero,0,IF(RAND()&lt;CondReturn,_xlfn.LOGNORM.INV(RAND(),MV2,Sigma1),IF(RAND()&lt;CondGood,_xlfn.LOGNORM.INV(RAND(),MV3,Sigma2),MIN(MaxMultiple,Xm/(1-RAND())^(1/Alpha)))))</f>
        <v>1.4421355127990638</v>
      </c>
      <c r="S237" s="19">
        <f ca="1">IF(RAND()&lt;P_Zero,0,IF(RAND()&lt;CondReturn,_xlfn.LOGNORM.INV(RAND(),MV2,Sigma1),IF(RAND()&lt;CondGood,_xlfn.LOGNORM.INV(RAND(),MV3,Sigma2),MIN(MaxMultiple,Xm/(1-RAND())^(1/Alpha)))))</f>
        <v>0</v>
      </c>
      <c r="T237" s="19">
        <f ca="1">IF(RAND()&lt;P_Zero,0,IF(RAND()&lt;CondReturn,_xlfn.LOGNORM.INV(RAND(),MV2,Sigma1),IF(RAND()&lt;CondGood,_xlfn.LOGNORM.INV(RAND(),MV3,Sigma2),MIN(MaxMultiple,Xm/(1-RAND())^(1/Alpha)))))</f>
        <v>0.78050607336083944</v>
      </c>
      <c r="U237" s="19">
        <f ca="1">IF(RAND()&lt;P_Zero,0,IF(RAND()&lt;CondReturn,_xlfn.LOGNORM.INV(RAND(),MV2,Sigma1),IF(RAND()&lt;CondGood,_xlfn.LOGNORM.INV(RAND(),MV3,Sigma2),MIN(MaxMultiple,Xm/(1-RAND())^(1/Alpha)))))</f>
        <v>0</v>
      </c>
      <c r="V237" s="19">
        <f ca="1">IF(RAND()&lt;P_Zero,0,IF(RAND()&lt;CondReturn,_xlfn.LOGNORM.INV(RAND(),MV2,Sigma1),IF(RAND()&lt;CondGood,_xlfn.LOGNORM.INV(RAND(),MV3,Sigma2),MIN(MaxMultiple,Xm/(1-RAND())^(1/Alpha)))))</f>
        <v>0.81532573768513839</v>
      </c>
      <c r="W237" s="19">
        <f ca="1">IF(RAND()&lt;P_Zero,0,IF(RAND()&lt;CondReturn,_xlfn.LOGNORM.INV(RAND(),MV2,Sigma1),IF(RAND()&lt;CondGood,_xlfn.LOGNORM.INV(RAND(),MV3,Sigma2),MIN(MaxMultiple,Xm/(1-RAND())^(1/Alpha)))))</f>
        <v>19.028454958648091</v>
      </c>
      <c r="X237" s="19">
        <f ca="1">IF(RAND()&lt;P_Zero,0,IF(RAND()&lt;CondReturn,_xlfn.LOGNORM.INV(RAND(),MV2,Sigma1),IF(RAND()&lt;CondGood,_xlfn.LOGNORM.INV(RAND(),MV3,Sigma2),MIN(MaxMultiple,Xm/(1-RAND())^(1/Alpha)))))</f>
        <v>0</v>
      </c>
      <c r="Y237" s="19">
        <f ca="1">IF(RAND()&lt;P_Zero,0,IF(RAND()&lt;CondReturn,_xlfn.LOGNORM.INV(RAND(),MV2,Sigma1),IF(RAND()&lt;CondGood,_xlfn.LOGNORM.INV(RAND(),MV3,Sigma2),MIN(MaxMultiple,Xm/(1-RAND())^(1/Alpha)))))</f>
        <v>0.81705089664624042</v>
      </c>
      <c r="Z237" s="19">
        <f ca="1">IF(RAND()&lt;P_Zero,0,IF(RAND()&lt;CondReturn,_xlfn.LOGNORM.INV(RAND(),MV2,Sigma1),IF(RAND()&lt;CondGood,_xlfn.LOGNORM.INV(RAND(),MV3,Sigma2),MIN(MaxMultiple,Xm/(1-RAND())^(1/Alpha)))))</f>
        <v>0</v>
      </c>
      <c r="AA237" s="19">
        <f ca="1">IF(RAND()&lt;P_Zero,0,IF(RAND()&lt;CondReturn,_xlfn.LOGNORM.INV(RAND(),MV2,Sigma1),IF(RAND()&lt;CondGood,_xlfn.LOGNORM.INV(RAND(),MV3,Sigma2),MIN(MaxMultiple,Xm/(1-RAND())^(1/Alpha)))))</f>
        <v>0</v>
      </c>
      <c r="AB237" s="19">
        <f t="shared" ca="1" si="24"/>
        <v>1.397630968359757</v>
      </c>
      <c r="AC237" s="14">
        <f t="shared" ca="1" si="25"/>
        <v>67086286.481268331</v>
      </c>
      <c r="AD237" s="14">
        <f t="shared" ca="1" si="26"/>
        <v>19086286.481268331</v>
      </c>
      <c r="AE237" s="14">
        <f t="shared" si="27"/>
        <v>55628399.869093813</v>
      </c>
      <c r="AF237" s="14">
        <f t="shared" ca="1" si="28"/>
        <v>0</v>
      </c>
      <c r="AG237" s="14">
        <f t="shared" ca="1" si="29"/>
        <v>0</v>
      </c>
      <c r="AH237" s="14">
        <f t="shared" ca="1" si="30"/>
        <v>67086286.481268331</v>
      </c>
      <c r="AI237" s="19">
        <f t="shared" ca="1" si="31"/>
        <v>1.1181047746878054</v>
      </c>
    </row>
    <row r="238" spans="2:35" x14ac:dyDescent="0.2">
      <c r="B238" s="1">
        <v>233</v>
      </c>
      <c r="C238" s="19">
        <f ca="1">IF(RAND()&lt;P_Zero,0,IF(RAND()&lt;CondReturn,_xlfn.LOGNORM.INV(RAND(),MV2,Sigma1),IF(RAND()&lt;CondGood,_xlfn.LOGNORM.INV(RAND(),MV3,Sigma2),MIN(MaxMultiple,Xm/(1-RAND())^(1/Alpha)))))</f>
        <v>1.0452935583516985</v>
      </c>
      <c r="D238" s="19">
        <f ca="1">IF(RAND()&lt;P_Zero,0,IF(RAND()&lt;CondReturn,_xlfn.LOGNORM.INV(RAND(),MV2,Sigma1),IF(RAND()&lt;CondGood,_xlfn.LOGNORM.INV(RAND(),MV3,Sigma2),MIN(MaxMultiple,Xm/(1-RAND())^(1/Alpha)))))</f>
        <v>16.855837160914295</v>
      </c>
      <c r="E238" s="19">
        <f ca="1">IF(RAND()&lt;P_Zero,0,IF(RAND()&lt;CondReturn,_xlfn.LOGNORM.INV(RAND(),MV2,Sigma1),IF(RAND()&lt;CondGood,_xlfn.LOGNORM.INV(RAND(),MV3,Sigma2),MIN(MaxMultiple,Xm/(1-RAND())^(1/Alpha)))))</f>
        <v>1.3013984077377154</v>
      </c>
      <c r="F238" s="19">
        <f ca="1">IF(RAND()&lt;P_Zero,0,IF(RAND()&lt;CondReturn,_xlfn.LOGNORM.INV(RAND(),MV2,Sigma1),IF(RAND()&lt;CondGood,_xlfn.LOGNORM.INV(RAND(),MV3,Sigma2),MIN(MaxMultiple,Xm/(1-RAND())^(1/Alpha)))))</f>
        <v>0.90239055151134817</v>
      </c>
      <c r="G238" s="19">
        <f ca="1">IF(RAND()&lt;P_Zero,0,IF(RAND()&lt;CondReturn,_xlfn.LOGNORM.INV(RAND(),MV2,Sigma1),IF(RAND()&lt;CondGood,_xlfn.LOGNORM.INV(RAND(),MV3,Sigma2),MIN(MaxMultiple,Xm/(1-RAND())^(1/Alpha)))))</f>
        <v>1.2579479139546113</v>
      </c>
      <c r="H238" s="19">
        <f ca="1">IF(RAND()&lt;P_Zero,0,IF(RAND()&lt;CondReturn,_xlfn.LOGNORM.INV(RAND(),MV2,Sigma1),IF(RAND()&lt;CondGood,_xlfn.LOGNORM.INV(RAND(),MV3,Sigma2),MIN(MaxMultiple,Xm/(1-RAND())^(1/Alpha)))))</f>
        <v>2.2315671385403082</v>
      </c>
      <c r="I238" s="19">
        <f ca="1">IF(RAND()&lt;P_Zero,0,IF(RAND()&lt;CondReturn,_xlfn.LOGNORM.INV(RAND(),MV2,Sigma1),IF(RAND()&lt;CondGood,_xlfn.LOGNORM.INV(RAND(),MV3,Sigma2),MIN(MaxMultiple,Xm/(1-RAND())^(1/Alpha)))))</f>
        <v>0.79711799291062213</v>
      </c>
      <c r="J238" s="19">
        <f ca="1">IF(RAND()&lt;P_Zero,0,IF(RAND()&lt;CondReturn,_xlfn.LOGNORM.INV(RAND(),MV2,Sigma1),IF(RAND()&lt;CondGood,_xlfn.LOGNORM.INV(RAND(),MV3,Sigma2),MIN(MaxMultiple,Xm/(1-RAND())^(1/Alpha)))))</f>
        <v>1.4508526975124612</v>
      </c>
      <c r="K238" s="19">
        <f ca="1">IF(RAND()&lt;P_Zero,0,IF(RAND()&lt;CondReturn,_xlfn.LOGNORM.INV(RAND(),MV2,Sigma1),IF(RAND()&lt;CondGood,_xlfn.LOGNORM.INV(RAND(),MV3,Sigma2),MIN(MaxMultiple,Xm/(1-RAND())^(1/Alpha)))))</f>
        <v>0</v>
      </c>
      <c r="L238" s="19">
        <f ca="1">IF(RAND()&lt;P_Zero,0,IF(RAND()&lt;CondReturn,_xlfn.LOGNORM.INV(RAND(),MV2,Sigma1),IF(RAND()&lt;CondGood,_xlfn.LOGNORM.INV(RAND(),MV3,Sigma2),MIN(MaxMultiple,Xm/(1-RAND())^(1/Alpha)))))</f>
        <v>0</v>
      </c>
      <c r="M238" s="19">
        <f ca="1">IF(RAND()&lt;P_Zero,0,IF(RAND()&lt;CondReturn,_xlfn.LOGNORM.INV(RAND(),MV2,Sigma1),IF(RAND()&lt;CondGood,_xlfn.LOGNORM.INV(RAND(),MV3,Sigma2),MIN(MaxMultiple,Xm/(1-RAND())^(1/Alpha)))))</f>
        <v>0</v>
      </c>
      <c r="N238" s="19">
        <f ca="1">IF(RAND()&lt;P_Zero,0,IF(RAND()&lt;CondReturn,_xlfn.LOGNORM.INV(RAND(),MV2,Sigma1),IF(RAND()&lt;CondGood,_xlfn.LOGNORM.INV(RAND(),MV3,Sigma2),MIN(MaxMultiple,Xm/(1-RAND())^(1/Alpha)))))</f>
        <v>1.04994584585801</v>
      </c>
      <c r="O238" s="19">
        <f ca="1">IF(RAND()&lt;P_Zero,0,IF(RAND()&lt;CondReturn,_xlfn.LOGNORM.INV(RAND(),MV2,Sigma1),IF(RAND()&lt;CondGood,_xlfn.LOGNORM.INV(RAND(),MV3,Sigma2),MIN(MaxMultiple,Xm/(1-RAND())^(1/Alpha)))))</f>
        <v>0.34772789888311995</v>
      </c>
      <c r="P238" s="19">
        <f ca="1">IF(RAND()&lt;P_Zero,0,IF(RAND()&lt;CondReturn,_xlfn.LOGNORM.INV(RAND(),MV2,Sigma1),IF(RAND()&lt;CondGood,_xlfn.LOGNORM.INV(RAND(),MV3,Sigma2),MIN(MaxMultiple,Xm/(1-RAND())^(1/Alpha)))))</f>
        <v>1.9858631431362881</v>
      </c>
      <c r="Q238" s="19">
        <f ca="1">IF(RAND()&lt;P_Zero,0,IF(RAND()&lt;CondReturn,_xlfn.LOGNORM.INV(RAND(),MV2,Sigma1),IF(RAND()&lt;CondGood,_xlfn.LOGNORM.INV(RAND(),MV3,Sigma2),MIN(MaxMultiple,Xm/(1-RAND())^(1/Alpha)))))</f>
        <v>1.6005541137053048</v>
      </c>
      <c r="R238" s="19">
        <f ca="1">IF(RAND()&lt;P_Zero,0,IF(RAND()&lt;CondReturn,_xlfn.LOGNORM.INV(RAND(),MV2,Sigma1),IF(RAND()&lt;CondGood,_xlfn.LOGNORM.INV(RAND(),MV3,Sigma2),MIN(MaxMultiple,Xm/(1-RAND())^(1/Alpha)))))</f>
        <v>1.3640128203059718</v>
      </c>
      <c r="S238" s="19">
        <f ca="1">IF(RAND()&lt;P_Zero,0,IF(RAND()&lt;CondReturn,_xlfn.LOGNORM.INV(RAND(),MV2,Sigma1),IF(RAND()&lt;CondGood,_xlfn.LOGNORM.INV(RAND(),MV3,Sigma2),MIN(MaxMultiple,Xm/(1-RAND())^(1/Alpha)))))</f>
        <v>1.1149186339864758</v>
      </c>
      <c r="T238" s="19">
        <f ca="1">IF(RAND()&lt;P_Zero,0,IF(RAND()&lt;CondReturn,_xlfn.LOGNORM.INV(RAND(),MV2,Sigma1),IF(RAND()&lt;CondGood,_xlfn.LOGNORM.INV(RAND(),MV3,Sigma2),MIN(MaxMultiple,Xm/(1-RAND())^(1/Alpha)))))</f>
        <v>1.8548249734475994</v>
      </c>
      <c r="U238" s="19">
        <f ca="1">IF(RAND()&lt;P_Zero,0,IF(RAND()&lt;CondReturn,_xlfn.LOGNORM.INV(RAND(),MV2,Sigma1),IF(RAND()&lt;CondGood,_xlfn.LOGNORM.INV(RAND(),MV3,Sigma2),MIN(MaxMultiple,Xm/(1-RAND())^(1/Alpha)))))</f>
        <v>0.94809558879241873</v>
      </c>
      <c r="V238" s="19">
        <f ca="1">IF(RAND()&lt;P_Zero,0,IF(RAND()&lt;CondReturn,_xlfn.LOGNORM.INV(RAND(),MV2,Sigma1),IF(RAND()&lt;CondGood,_xlfn.LOGNORM.INV(RAND(),MV3,Sigma2),MIN(MaxMultiple,Xm/(1-RAND())^(1/Alpha)))))</f>
        <v>1.2399238926257659</v>
      </c>
      <c r="W238" s="19">
        <f ca="1">IF(RAND()&lt;P_Zero,0,IF(RAND()&lt;CondReturn,_xlfn.LOGNORM.INV(RAND(),MV2,Sigma1),IF(RAND()&lt;CondGood,_xlfn.LOGNORM.INV(RAND(),MV3,Sigma2),MIN(MaxMultiple,Xm/(1-RAND())^(1/Alpha)))))</f>
        <v>0.79667250553303914</v>
      </c>
      <c r="X238" s="19">
        <f ca="1">IF(RAND()&lt;P_Zero,0,IF(RAND()&lt;CondReturn,_xlfn.LOGNORM.INV(RAND(),MV2,Sigma1),IF(RAND()&lt;CondGood,_xlfn.LOGNORM.INV(RAND(),MV3,Sigma2),MIN(MaxMultiple,Xm/(1-RAND())^(1/Alpha)))))</f>
        <v>0.81657708812319341</v>
      </c>
      <c r="Y238" s="19">
        <f ca="1">IF(RAND()&lt;P_Zero,0,IF(RAND()&lt;CondReturn,_xlfn.LOGNORM.INV(RAND(),MV2,Sigma1),IF(RAND()&lt;CondGood,_xlfn.LOGNORM.INV(RAND(),MV3,Sigma2),MIN(MaxMultiple,Xm/(1-RAND())^(1/Alpha)))))</f>
        <v>0</v>
      </c>
      <c r="Z238" s="19">
        <f ca="1">IF(RAND()&lt;P_Zero,0,IF(RAND()&lt;CondReturn,_xlfn.LOGNORM.INV(RAND(),MV2,Sigma1),IF(RAND()&lt;CondGood,_xlfn.LOGNORM.INV(RAND(),MV3,Sigma2),MIN(MaxMultiple,Xm/(1-RAND())^(1/Alpha)))))</f>
        <v>1.0099365927481017</v>
      </c>
      <c r="AA238" s="19">
        <f ca="1">IF(RAND()&lt;P_Zero,0,IF(RAND()&lt;CondReturn,_xlfn.LOGNORM.INV(RAND(),MV2,Sigma1),IF(RAND()&lt;CondGood,_xlfn.LOGNORM.INV(RAND(),MV3,Sigma2),MIN(MaxMultiple,Xm/(1-RAND())^(1/Alpha)))))</f>
        <v>1.3956979943352006</v>
      </c>
      <c r="AB238" s="19">
        <f t="shared" ca="1" si="24"/>
        <v>1.6546862605165422</v>
      </c>
      <c r="AC238" s="14">
        <f t="shared" ca="1" si="25"/>
        <v>79424940.504794031</v>
      </c>
      <c r="AD238" s="14">
        <f t="shared" ca="1" si="26"/>
        <v>31424940.504794031</v>
      </c>
      <c r="AE238" s="14">
        <f t="shared" si="27"/>
        <v>55628399.869093813</v>
      </c>
      <c r="AF238" s="14">
        <f t="shared" ca="1" si="28"/>
        <v>0</v>
      </c>
      <c r="AG238" s="14">
        <f t="shared" ca="1" si="29"/>
        <v>0</v>
      </c>
      <c r="AH238" s="14">
        <f t="shared" ca="1" si="30"/>
        <v>79424940.504794031</v>
      </c>
      <c r="AI238" s="19">
        <f t="shared" ca="1" si="31"/>
        <v>1.323749008413234</v>
      </c>
    </row>
    <row r="239" spans="2:35" x14ac:dyDescent="0.2">
      <c r="B239" s="1">
        <v>234</v>
      </c>
      <c r="C239" s="19">
        <f ca="1">IF(RAND()&lt;P_Zero,0,IF(RAND()&lt;CondReturn,_xlfn.LOGNORM.INV(RAND(),MV2,Sigma1),IF(RAND()&lt;CondGood,_xlfn.LOGNORM.INV(RAND(),MV3,Sigma2),MIN(MaxMultiple,Xm/(1-RAND())^(1/Alpha)))))</f>
        <v>0</v>
      </c>
      <c r="D239" s="19">
        <f ca="1">IF(RAND()&lt;P_Zero,0,IF(RAND()&lt;CondReturn,_xlfn.LOGNORM.INV(RAND(),MV2,Sigma1),IF(RAND()&lt;CondGood,_xlfn.LOGNORM.INV(RAND(),MV3,Sigma2),MIN(MaxMultiple,Xm/(1-RAND())^(1/Alpha)))))</f>
        <v>0</v>
      </c>
      <c r="E239" s="19">
        <f ca="1">IF(RAND()&lt;P_Zero,0,IF(RAND()&lt;CondReturn,_xlfn.LOGNORM.INV(RAND(),MV2,Sigma1),IF(RAND()&lt;CondGood,_xlfn.LOGNORM.INV(RAND(),MV3,Sigma2),MIN(MaxMultiple,Xm/(1-RAND())^(1/Alpha)))))</f>
        <v>0</v>
      </c>
      <c r="F239" s="19">
        <f ca="1">IF(RAND()&lt;P_Zero,0,IF(RAND()&lt;CondReturn,_xlfn.LOGNORM.INV(RAND(),MV2,Sigma1),IF(RAND()&lt;CondGood,_xlfn.LOGNORM.INV(RAND(),MV3,Sigma2),MIN(MaxMultiple,Xm/(1-RAND())^(1/Alpha)))))</f>
        <v>1.4258482154571417</v>
      </c>
      <c r="G239" s="19">
        <f ca="1">IF(RAND()&lt;P_Zero,0,IF(RAND()&lt;CondReturn,_xlfn.LOGNORM.INV(RAND(),MV2,Sigma1),IF(RAND()&lt;CondGood,_xlfn.LOGNORM.INV(RAND(),MV3,Sigma2),MIN(MaxMultiple,Xm/(1-RAND())^(1/Alpha)))))</f>
        <v>0.72887528285295156</v>
      </c>
      <c r="H239" s="19">
        <f ca="1">IF(RAND()&lt;P_Zero,0,IF(RAND()&lt;CondReturn,_xlfn.LOGNORM.INV(RAND(),MV2,Sigma1),IF(RAND()&lt;CondGood,_xlfn.LOGNORM.INV(RAND(),MV3,Sigma2),MIN(MaxMultiple,Xm/(1-RAND())^(1/Alpha)))))</f>
        <v>25.842977864578533</v>
      </c>
      <c r="I239" s="19">
        <f ca="1">IF(RAND()&lt;P_Zero,0,IF(RAND()&lt;CondReturn,_xlfn.LOGNORM.INV(RAND(),MV2,Sigma1),IF(RAND()&lt;CondGood,_xlfn.LOGNORM.INV(RAND(),MV3,Sigma2),MIN(MaxMultiple,Xm/(1-RAND())^(1/Alpha)))))</f>
        <v>0</v>
      </c>
      <c r="J239" s="19">
        <f ca="1">IF(RAND()&lt;P_Zero,0,IF(RAND()&lt;CondReturn,_xlfn.LOGNORM.INV(RAND(),MV2,Sigma1),IF(RAND()&lt;CondGood,_xlfn.LOGNORM.INV(RAND(),MV3,Sigma2),MIN(MaxMultiple,Xm/(1-RAND())^(1/Alpha)))))</f>
        <v>0.71482974436392011</v>
      </c>
      <c r="K239" s="19">
        <f ca="1">IF(RAND()&lt;P_Zero,0,IF(RAND()&lt;CondReturn,_xlfn.LOGNORM.INV(RAND(),MV2,Sigma1),IF(RAND()&lt;CondGood,_xlfn.LOGNORM.INV(RAND(),MV3,Sigma2),MIN(MaxMultiple,Xm/(1-RAND())^(1/Alpha)))))</f>
        <v>29.423165513108284</v>
      </c>
      <c r="L239" s="19">
        <f ca="1">IF(RAND()&lt;P_Zero,0,IF(RAND()&lt;CondReturn,_xlfn.LOGNORM.INV(RAND(),MV2,Sigma1),IF(RAND()&lt;CondGood,_xlfn.LOGNORM.INV(RAND(),MV3,Sigma2),MIN(MaxMultiple,Xm/(1-RAND())^(1/Alpha)))))</f>
        <v>0.6313514708214879</v>
      </c>
      <c r="M239" s="19">
        <f ca="1">IF(RAND()&lt;P_Zero,0,IF(RAND()&lt;CondReturn,_xlfn.LOGNORM.INV(RAND(),MV2,Sigma1),IF(RAND()&lt;CondGood,_xlfn.LOGNORM.INV(RAND(),MV3,Sigma2),MIN(MaxMultiple,Xm/(1-RAND())^(1/Alpha)))))</f>
        <v>1.3315584747575266</v>
      </c>
      <c r="N239" s="19">
        <f ca="1">IF(RAND()&lt;P_Zero,0,IF(RAND()&lt;CondReturn,_xlfn.LOGNORM.INV(RAND(),MV2,Sigma1),IF(RAND()&lt;CondGood,_xlfn.LOGNORM.INV(RAND(),MV3,Sigma2),MIN(MaxMultiple,Xm/(1-RAND())^(1/Alpha)))))</f>
        <v>108.08827541726656</v>
      </c>
      <c r="O239" s="19">
        <f ca="1">IF(RAND()&lt;P_Zero,0,IF(RAND()&lt;CondReturn,_xlfn.LOGNORM.INV(RAND(),MV2,Sigma1),IF(RAND()&lt;CondGood,_xlfn.LOGNORM.INV(RAND(),MV3,Sigma2),MIN(MaxMultiple,Xm/(1-RAND())^(1/Alpha)))))</f>
        <v>1.656743619349843</v>
      </c>
      <c r="P239" s="19">
        <f ca="1">IF(RAND()&lt;P_Zero,0,IF(RAND()&lt;CondReturn,_xlfn.LOGNORM.INV(RAND(),MV2,Sigma1),IF(RAND()&lt;CondGood,_xlfn.LOGNORM.INV(RAND(),MV3,Sigma2),MIN(MaxMultiple,Xm/(1-RAND())^(1/Alpha)))))</f>
        <v>0.61809446885749464</v>
      </c>
      <c r="Q239" s="19">
        <f ca="1">IF(RAND()&lt;P_Zero,0,IF(RAND()&lt;CondReturn,_xlfn.LOGNORM.INV(RAND(),MV2,Sigma1),IF(RAND()&lt;CondGood,_xlfn.LOGNORM.INV(RAND(),MV3,Sigma2),MIN(MaxMultiple,Xm/(1-RAND())^(1/Alpha)))))</f>
        <v>1.3450870937301527</v>
      </c>
      <c r="R239" s="19">
        <f ca="1">IF(RAND()&lt;P_Zero,0,IF(RAND()&lt;CondReturn,_xlfn.LOGNORM.INV(RAND(),MV2,Sigma1),IF(RAND()&lt;CondGood,_xlfn.LOGNORM.INV(RAND(),MV3,Sigma2),MIN(MaxMultiple,Xm/(1-RAND())^(1/Alpha)))))</f>
        <v>2.6404166863988769</v>
      </c>
      <c r="S239" s="19">
        <f ca="1">IF(RAND()&lt;P_Zero,0,IF(RAND()&lt;CondReturn,_xlfn.LOGNORM.INV(RAND(),MV2,Sigma1),IF(RAND()&lt;CondGood,_xlfn.LOGNORM.INV(RAND(),MV3,Sigma2),MIN(MaxMultiple,Xm/(1-RAND())^(1/Alpha)))))</f>
        <v>3.2762193421034635</v>
      </c>
      <c r="T239" s="19">
        <f ca="1">IF(RAND()&lt;P_Zero,0,IF(RAND()&lt;CondReturn,_xlfn.LOGNORM.INV(RAND(),MV2,Sigma1),IF(RAND()&lt;CondGood,_xlfn.LOGNORM.INV(RAND(),MV3,Sigma2),MIN(MaxMultiple,Xm/(1-RAND())^(1/Alpha)))))</f>
        <v>1.3529288267507842</v>
      </c>
      <c r="U239" s="19">
        <f ca="1">IF(RAND()&lt;P_Zero,0,IF(RAND()&lt;CondReturn,_xlfn.LOGNORM.INV(RAND(),MV2,Sigma1),IF(RAND()&lt;CondGood,_xlfn.LOGNORM.INV(RAND(),MV3,Sigma2),MIN(MaxMultiple,Xm/(1-RAND())^(1/Alpha)))))</f>
        <v>0.74729240773016548</v>
      </c>
      <c r="V239" s="19">
        <f ca="1">IF(RAND()&lt;P_Zero,0,IF(RAND()&lt;CondReturn,_xlfn.LOGNORM.INV(RAND(),MV2,Sigma1),IF(RAND()&lt;CondGood,_xlfn.LOGNORM.INV(RAND(),MV3,Sigma2),MIN(MaxMultiple,Xm/(1-RAND())^(1/Alpha)))))</f>
        <v>1.1778361358907254</v>
      </c>
      <c r="W239" s="19">
        <f ca="1">IF(RAND()&lt;P_Zero,0,IF(RAND()&lt;CondReturn,_xlfn.LOGNORM.INV(RAND(),MV2,Sigma1),IF(RAND()&lt;CondGood,_xlfn.LOGNORM.INV(RAND(),MV3,Sigma2),MIN(MaxMultiple,Xm/(1-RAND())^(1/Alpha)))))</f>
        <v>1.3133977465109534</v>
      </c>
      <c r="X239" s="19">
        <f ca="1">IF(RAND()&lt;P_Zero,0,IF(RAND()&lt;CondReturn,_xlfn.LOGNORM.INV(RAND(),MV2,Sigma1),IF(RAND()&lt;CondGood,_xlfn.LOGNORM.INV(RAND(),MV3,Sigma2),MIN(MaxMultiple,Xm/(1-RAND())^(1/Alpha)))))</f>
        <v>0.78694052064754283</v>
      </c>
      <c r="Y239" s="19">
        <f ca="1">IF(RAND()&lt;P_Zero,0,IF(RAND()&lt;CondReturn,_xlfn.LOGNORM.INV(RAND(),MV2,Sigma1),IF(RAND()&lt;CondGood,_xlfn.LOGNORM.INV(RAND(),MV3,Sigma2),MIN(MaxMultiple,Xm/(1-RAND())^(1/Alpha)))))</f>
        <v>1.6778524493292746</v>
      </c>
      <c r="Z239" s="19">
        <f ca="1">IF(RAND()&lt;P_Zero,0,IF(RAND()&lt;CondReturn,_xlfn.LOGNORM.INV(RAND(),MV2,Sigma1),IF(RAND()&lt;CondGood,_xlfn.LOGNORM.INV(RAND(),MV3,Sigma2),MIN(MaxMultiple,Xm/(1-RAND())^(1/Alpha)))))</f>
        <v>0</v>
      </c>
      <c r="AA239" s="19">
        <f ca="1">IF(RAND()&lt;P_Zero,0,IF(RAND()&lt;CondReturn,_xlfn.LOGNORM.INV(RAND(),MV2,Sigma1),IF(RAND()&lt;CondGood,_xlfn.LOGNORM.INV(RAND(),MV3,Sigma2),MIN(MaxMultiple,Xm/(1-RAND())^(1/Alpha)))))</f>
        <v>0</v>
      </c>
      <c r="AB239" s="19">
        <f t="shared" ca="1" si="24"/>
        <v>7.3911876512202266</v>
      </c>
      <c r="AC239" s="14">
        <f t="shared" ca="1" si="25"/>
        <v>354777007.25857085</v>
      </c>
      <c r="AD239" s="14">
        <f t="shared" ca="1" si="26"/>
        <v>306777007.25857085</v>
      </c>
      <c r="AE239" s="14">
        <f t="shared" si="27"/>
        <v>55628399.869093813</v>
      </c>
      <c r="AF239" s="14">
        <f t="shared" ca="1" si="28"/>
        <v>251148607.38947704</v>
      </c>
      <c r="AG239" s="14">
        <f t="shared" ca="1" si="29"/>
        <v>50229721.477895409</v>
      </c>
      <c r="AH239" s="14">
        <f t="shared" ca="1" si="30"/>
        <v>304547285.78067541</v>
      </c>
      <c r="AI239" s="19">
        <f t="shared" ca="1" si="31"/>
        <v>5.0757880963445903</v>
      </c>
    </row>
    <row r="240" spans="2:35" x14ac:dyDescent="0.2">
      <c r="B240" s="1">
        <v>235</v>
      </c>
      <c r="C240" s="19">
        <f ca="1">IF(RAND()&lt;P_Zero,0,IF(RAND()&lt;CondReturn,_xlfn.LOGNORM.INV(RAND(),MV2,Sigma1),IF(RAND()&lt;CondGood,_xlfn.LOGNORM.INV(RAND(),MV3,Sigma2),MIN(MaxMultiple,Xm/(1-RAND())^(1/Alpha)))))</f>
        <v>0</v>
      </c>
      <c r="D240" s="19">
        <f ca="1">IF(RAND()&lt;P_Zero,0,IF(RAND()&lt;CondReturn,_xlfn.LOGNORM.INV(RAND(),MV2,Sigma1),IF(RAND()&lt;CondGood,_xlfn.LOGNORM.INV(RAND(),MV3,Sigma2),MIN(MaxMultiple,Xm/(1-RAND())^(1/Alpha)))))</f>
        <v>0</v>
      </c>
      <c r="E240" s="19">
        <f ca="1">IF(RAND()&lt;P_Zero,0,IF(RAND()&lt;CondReturn,_xlfn.LOGNORM.INV(RAND(),MV2,Sigma1),IF(RAND()&lt;CondGood,_xlfn.LOGNORM.INV(RAND(),MV3,Sigma2),MIN(MaxMultiple,Xm/(1-RAND())^(1/Alpha)))))</f>
        <v>0</v>
      </c>
      <c r="F240" s="19">
        <f ca="1">IF(RAND()&lt;P_Zero,0,IF(RAND()&lt;CondReturn,_xlfn.LOGNORM.INV(RAND(),MV2,Sigma1),IF(RAND()&lt;CondGood,_xlfn.LOGNORM.INV(RAND(),MV3,Sigma2),MIN(MaxMultiple,Xm/(1-RAND())^(1/Alpha)))))</f>
        <v>0</v>
      </c>
      <c r="G240" s="19">
        <f ca="1">IF(RAND()&lt;P_Zero,0,IF(RAND()&lt;CondReturn,_xlfn.LOGNORM.INV(RAND(),MV2,Sigma1),IF(RAND()&lt;CondGood,_xlfn.LOGNORM.INV(RAND(),MV3,Sigma2),MIN(MaxMultiple,Xm/(1-RAND())^(1/Alpha)))))</f>
        <v>12.4201729980715</v>
      </c>
      <c r="H240" s="19">
        <f ca="1">IF(RAND()&lt;P_Zero,0,IF(RAND()&lt;CondReturn,_xlfn.LOGNORM.INV(RAND(),MV2,Sigma1),IF(RAND()&lt;CondGood,_xlfn.LOGNORM.INV(RAND(),MV3,Sigma2),MIN(MaxMultiple,Xm/(1-RAND())^(1/Alpha)))))</f>
        <v>0</v>
      </c>
      <c r="I240" s="19">
        <f ca="1">IF(RAND()&lt;P_Zero,0,IF(RAND()&lt;CondReturn,_xlfn.LOGNORM.INV(RAND(),MV2,Sigma1),IF(RAND()&lt;CondGood,_xlfn.LOGNORM.INV(RAND(),MV3,Sigma2),MIN(MaxMultiple,Xm/(1-RAND())^(1/Alpha)))))</f>
        <v>1.1476282132720916</v>
      </c>
      <c r="J240" s="19">
        <f ca="1">IF(RAND()&lt;P_Zero,0,IF(RAND()&lt;CondReturn,_xlfn.LOGNORM.INV(RAND(),MV2,Sigma1),IF(RAND()&lt;CondGood,_xlfn.LOGNORM.INV(RAND(),MV3,Sigma2),MIN(MaxMultiple,Xm/(1-RAND())^(1/Alpha)))))</f>
        <v>0.45297803736506403</v>
      </c>
      <c r="K240" s="19">
        <f ca="1">IF(RAND()&lt;P_Zero,0,IF(RAND()&lt;CondReturn,_xlfn.LOGNORM.INV(RAND(),MV2,Sigma1),IF(RAND()&lt;CondGood,_xlfn.LOGNORM.INV(RAND(),MV3,Sigma2),MIN(MaxMultiple,Xm/(1-RAND())^(1/Alpha)))))</f>
        <v>0</v>
      </c>
      <c r="L240" s="19">
        <f ca="1">IF(RAND()&lt;P_Zero,0,IF(RAND()&lt;CondReturn,_xlfn.LOGNORM.INV(RAND(),MV2,Sigma1),IF(RAND()&lt;CondGood,_xlfn.LOGNORM.INV(RAND(),MV3,Sigma2),MIN(MaxMultiple,Xm/(1-RAND())^(1/Alpha)))))</f>
        <v>0</v>
      </c>
      <c r="M240" s="19">
        <f ca="1">IF(RAND()&lt;P_Zero,0,IF(RAND()&lt;CondReturn,_xlfn.LOGNORM.INV(RAND(),MV2,Sigma1),IF(RAND()&lt;CondGood,_xlfn.LOGNORM.INV(RAND(),MV3,Sigma2),MIN(MaxMultiple,Xm/(1-RAND())^(1/Alpha)))))</f>
        <v>46.760030096667393</v>
      </c>
      <c r="N240" s="19">
        <f ca="1">IF(RAND()&lt;P_Zero,0,IF(RAND()&lt;CondReturn,_xlfn.LOGNORM.INV(RAND(),MV2,Sigma1),IF(RAND()&lt;CondGood,_xlfn.LOGNORM.INV(RAND(),MV3,Sigma2),MIN(MaxMultiple,Xm/(1-RAND())^(1/Alpha)))))</f>
        <v>0</v>
      </c>
      <c r="O240" s="19">
        <f ca="1">IF(RAND()&lt;P_Zero,0,IF(RAND()&lt;CondReturn,_xlfn.LOGNORM.INV(RAND(),MV2,Sigma1),IF(RAND()&lt;CondGood,_xlfn.LOGNORM.INV(RAND(),MV3,Sigma2),MIN(MaxMultiple,Xm/(1-RAND())^(1/Alpha)))))</f>
        <v>0</v>
      </c>
      <c r="P240" s="19">
        <f ca="1">IF(RAND()&lt;P_Zero,0,IF(RAND()&lt;CondReturn,_xlfn.LOGNORM.INV(RAND(),MV2,Sigma1),IF(RAND()&lt;CondGood,_xlfn.LOGNORM.INV(RAND(),MV3,Sigma2),MIN(MaxMultiple,Xm/(1-RAND())^(1/Alpha)))))</f>
        <v>0</v>
      </c>
      <c r="Q240" s="19">
        <f ca="1">IF(RAND()&lt;P_Zero,0,IF(RAND()&lt;CondReturn,_xlfn.LOGNORM.INV(RAND(),MV2,Sigma1),IF(RAND()&lt;CondGood,_xlfn.LOGNORM.INV(RAND(),MV3,Sigma2),MIN(MaxMultiple,Xm/(1-RAND())^(1/Alpha)))))</f>
        <v>0.3672428634807452</v>
      </c>
      <c r="R240" s="19">
        <f ca="1">IF(RAND()&lt;P_Zero,0,IF(RAND()&lt;CondReturn,_xlfn.LOGNORM.INV(RAND(),MV2,Sigma1),IF(RAND()&lt;CondGood,_xlfn.LOGNORM.INV(RAND(),MV3,Sigma2),MIN(MaxMultiple,Xm/(1-RAND())^(1/Alpha)))))</f>
        <v>11.260640316870525</v>
      </c>
      <c r="S240" s="19">
        <f ca="1">IF(RAND()&lt;P_Zero,0,IF(RAND()&lt;CondReturn,_xlfn.LOGNORM.INV(RAND(),MV2,Sigma1),IF(RAND()&lt;CondGood,_xlfn.LOGNORM.INV(RAND(),MV3,Sigma2),MIN(MaxMultiple,Xm/(1-RAND())^(1/Alpha)))))</f>
        <v>0.72530690224813588</v>
      </c>
      <c r="T240" s="19">
        <f ca="1">IF(RAND()&lt;P_Zero,0,IF(RAND()&lt;CondReturn,_xlfn.LOGNORM.INV(RAND(),MV2,Sigma1),IF(RAND()&lt;CondGood,_xlfn.LOGNORM.INV(RAND(),MV3,Sigma2),MIN(MaxMultiple,Xm/(1-RAND())^(1/Alpha)))))</f>
        <v>1.2735854100035766</v>
      </c>
      <c r="U240" s="19">
        <f ca="1">IF(RAND()&lt;P_Zero,0,IF(RAND()&lt;CondReturn,_xlfn.LOGNORM.INV(RAND(),MV2,Sigma1),IF(RAND()&lt;CondGood,_xlfn.LOGNORM.INV(RAND(),MV3,Sigma2),MIN(MaxMultiple,Xm/(1-RAND())^(1/Alpha)))))</f>
        <v>1.8345325319491996</v>
      </c>
      <c r="V240" s="19">
        <f ca="1">IF(RAND()&lt;P_Zero,0,IF(RAND()&lt;CondReturn,_xlfn.LOGNORM.INV(RAND(),MV2,Sigma1),IF(RAND()&lt;CondGood,_xlfn.LOGNORM.INV(RAND(),MV3,Sigma2),MIN(MaxMultiple,Xm/(1-RAND())^(1/Alpha)))))</f>
        <v>0</v>
      </c>
      <c r="W240" s="19">
        <f ca="1">IF(RAND()&lt;P_Zero,0,IF(RAND()&lt;CondReturn,_xlfn.LOGNORM.INV(RAND(),MV2,Sigma1),IF(RAND()&lt;CondGood,_xlfn.LOGNORM.INV(RAND(),MV3,Sigma2),MIN(MaxMultiple,Xm/(1-RAND())^(1/Alpha)))))</f>
        <v>253.62901854373948</v>
      </c>
      <c r="X240" s="19">
        <f ca="1">IF(RAND()&lt;P_Zero,0,IF(RAND()&lt;CondReturn,_xlfn.LOGNORM.INV(RAND(),MV2,Sigma1),IF(RAND()&lt;CondGood,_xlfn.LOGNORM.INV(RAND(),MV3,Sigma2),MIN(MaxMultiple,Xm/(1-RAND())^(1/Alpha)))))</f>
        <v>0</v>
      </c>
      <c r="Y240" s="19">
        <f ca="1">IF(RAND()&lt;P_Zero,0,IF(RAND()&lt;CondReturn,_xlfn.LOGNORM.INV(RAND(),MV2,Sigma1),IF(RAND()&lt;CondGood,_xlfn.LOGNORM.INV(RAND(),MV3,Sigma2),MIN(MaxMultiple,Xm/(1-RAND())^(1/Alpha)))))</f>
        <v>2.0818985535451762</v>
      </c>
      <c r="Z240" s="19">
        <f ca="1">IF(RAND()&lt;P_Zero,0,IF(RAND()&lt;CondReturn,_xlfn.LOGNORM.INV(RAND(),MV2,Sigma1),IF(RAND()&lt;CondGood,_xlfn.LOGNORM.INV(RAND(),MV3,Sigma2),MIN(MaxMultiple,Xm/(1-RAND())^(1/Alpha)))))</f>
        <v>0.81698189665609111</v>
      </c>
      <c r="AA240" s="19">
        <f ca="1">IF(RAND()&lt;P_Zero,0,IF(RAND()&lt;CondReturn,_xlfn.LOGNORM.INV(RAND(),MV2,Sigma1),IF(RAND()&lt;CondGood,_xlfn.LOGNORM.INV(RAND(),MV3,Sigma2),MIN(MaxMultiple,Xm/(1-RAND())^(1/Alpha)))))</f>
        <v>0.87497110833801239</v>
      </c>
      <c r="AB240" s="19">
        <f t="shared" ca="1" si="24"/>
        <v>13.345799498888278</v>
      </c>
      <c r="AC240" s="14">
        <f t="shared" ca="1" si="25"/>
        <v>640598375.94663739</v>
      </c>
      <c r="AD240" s="14">
        <f t="shared" ca="1" si="26"/>
        <v>592598375.94663739</v>
      </c>
      <c r="AE240" s="14">
        <f t="shared" si="27"/>
        <v>55628399.869093813</v>
      </c>
      <c r="AF240" s="14">
        <f t="shared" ca="1" si="28"/>
        <v>536969976.07754362</v>
      </c>
      <c r="AG240" s="14">
        <f t="shared" ca="1" si="29"/>
        <v>107393995.21550873</v>
      </c>
      <c r="AH240" s="14">
        <f t="shared" ca="1" si="30"/>
        <v>533204380.73112869</v>
      </c>
      <c r="AI240" s="19">
        <f t="shared" ca="1" si="31"/>
        <v>8.8867396788521447</v>
      </c>
    </row>
    <row r="241" spans="2:35" x14ac:dyDescent="0.2">
      <c r="B241" s="1">
        <v>236</v>
      </c>
      <c r="C241" s="19">
        <f ca="1">IF(RAND()&lt;P_Zero,0,IF(RAND()&lt;CondReturn,_xlfn.LOGNORM.INV(RAND(),MV2,Sigma1),IF(RAND()&lt;CondGood,_xlfn.LOGNORM.INV(RAND(),MV3,Sigma2),MIN(MaxMultiple,Xm/(1-RAND())^(1/Alpha)))))</f>
        <v>0</v>
      </c>
      <c r="D241" s="19">
        <f ca="1">IF(RAND()&lt;P_Zero,0,IF(RAND()&lt;CondReturn,_xlfn.LOGNORM.INV(RAND(),MV2,Sigma1),IF(RAND()&lt;CondGood,_xlfn.LOGNORM.INV(RAND(),MV3,Sigma2),MIN(MaxMultiple,Xm/(1-RAND())^(1/Alpha)))))</f>
        <v>1.0435738894022446</v>
      </c>
      <c r="E241" s="19">
        <f ca="1">IF(RAND()&lt;P_Zero,0,IF(RAND()&lt;CondReturn,_xlfn.LOGNORM.INV(RAND(),MV2,Sigma1),IF(RAND()&lt;CondGood,_xlfn.LOGNORM.INV(RAND(),MV3,Sigma2),MIN(MaxMultiple,Xm/(1-RAND())^(1/Alpha)))))</f>
        <v>46.71664483225797</v>
      </c>
      <c r="F241" s="19">
        <f ca="1">IF(RAND()&lt;P_Zero,0,IF(RAND()&lt;CondReturn,_xlfn.LOGNORM.INV(RAND(),MV2,Sigma1),IF(RAND()&lt;CondGood,_xlfn.LOGNORM.INV(RAND(),MV3,Sigma2),MIN(MaxMultiple,Xm/(1-RAND())^(1/Alpha)))))</f>
        <v>35.494825742764078</v>
      </c>
      <c r="G241" s="19">
        <f ca="1">IF(RAND()&lt;P_Zero,0,IF(RAND()&lt;CondReturn,_xlfn.LOGNORM.INV(RAND(),MV2,Sigma1),IF(RAND()&lt;CondGood,_xlfn.LOGNORM.INV(RAND(),MV3,Sigma2),MIN(MaxMultiple,Xm/(1-RAND())^(1/Alpha)))))</f>
        <v>1.4752273382582708</v>
      </c>
      <c r="H241" s="19">
        <f ca="1">IF(RAND()&lt;P_Zero,0,IF(RAND()&lt;CondReturn,_xlfn.LOGNORM.INV(RAND(),MV2,Sigma1),IF(RAND()&lt;CondGood,_xlfn.LOGNORM.INV(RAND(),MV3,Sigma2),MIN(MaxMultiple,Xm/(1-RAND())^(1/Alpha)))))</f>
        <v>1.3061627358381314</v>
      </c>
      <c r="I241" s="19">
        <f ca="1">IF(RAND()&lt;P_Zero,0,IF(RAND()&lt;CondReturn,_xlfn.LOGNORM.INV(RAND(),MV2,Sigma1),IF(RAND()&lt;CondGood,_xlfn.LOGNORM.INV(RAND(),MV3,Sigma2),MIN(MaxMultiple,Xm/(1-RAND())^(1/Alpha)))))</f>
        <v>0</v>
      </c>
      <c r="J241" s="19">
        <f ca="1">IF(RAND()&lt;P_Zero,0,IF(RAND()&lt;CondReturn,_xlfn.LOGNORM.INV(RAND(),MV2,Sigma1),IF(RAND()&lt;CondGood,_xlfn.LOGNORM.INV(RAND(),MV3,Sigma2),MIN(MaxMultiple,Xm/(1-RAND())^(1/Alpha)))))</f>
        <v>0</v>
      </c>
      <c r="K241" s="19">
        <f ca="1">IF(RAND()&lt;P_Zero,0,IF(RAND()&lt;CondReturn,_xlfn.LOGNORM.INV(RAND(),MV2,Sigma1),IF(RAND()&lt;CondGood,_xlfn.LOGNORM.INV(RAND(),MV3,Sigma2),MIN(MaxMultiple,Xm/(1-RAND())^(1/Alpha)))))</f>
        <v>44.602505850229925</v>
      </c>
      <c r="L241" s="19">
        <f ca="1">IF(RAND()&lt;P_Zero,0,IF(RAND()&lt;CondReturn,_xlfn.LOGNORM.INV(RAND(),MV2,Sigma1),IF(RAND()&lt;CondGood,_xlfn.LOGNORM.INV(RAND(),MV3,Sigma2),MIN(MaxMultiple,Xm/(1-RAND())^(1/Alpha)))))</f>
        <v>16.015951578001058</v>
      </c>
      <c r="M241" s="19">
        <f ca="1">IF(RAND()&lt;P_Zero,0,IF(RAND()&lt;CondReturn,_xlfn.LOGNORM.INV(RAND(),MV2,Sigma1),IF(RAND()&lt;CondGood,_xlfn.LOGNORM.INV(RAND(),MV3,Sigma2),MIN(MaxMultiple,Xm/(1-RAND())^(1/Alpha)))))</f>
        <v>0.65692206036635614</v>
      </c>
      <c r="N241" s="19">
        <f ca="1">IF(RAND()&lt;P_Zero,0,IF(RAND()&lt;CondReturn,_xlfn.LOGNORM.INV(RAND(),MV2,Sigma1),IF(RAND()&lt;CondGood,_xlfn.LOGNORM.INV(RAND(),MV3,Sigma2),MIN(MaxMultiple,Xm/(1-RAND())^(1/Alpha)))))</f>
        <v>0</v>
      </c>
      <c r="O241" s="19">
        <f ca="1">IF(RAND()&lt;P_Zero,0,IF(RAND()&lt;CondReturn,_xlfn.LOGNORM.INV(RAND(),MV2,Sigma1),IF(RAND()&lt;CondGood,_xlfn.LOGNORM.INV(RAND(),MV3,Sigma2),MIN(MaxMultiple,Xm/(1-RAND())^(1/Alpha)))))</f>
        <v>0</v>
      </c>
      <c r="P241" s="19">
        <f ca="1">IF(RAND()&lt;P_Zero,0,IF(RAND()&lt;CondReturn,_xlfn.LOGNORM.INV(RAND(),MV2,Sigma1),IF(RAND()&lt;CondGood,_xlfn.LOGNORM.INV(RAND(),MV3,Sigma2),MIN(MaxMultiple,Xm/(1-RAND())^(1/Alpha)))))</f>
        <v>0.52354814306354813</v>
      </c>
      <c r="Q241" s="19">
        <f ca="1">IF(RAND()&lt;P_Zero,0,IF(RAND()&lt;CondReturn,_xlfn.LOGNORM.INV(RAND(),MV2,Sigma1),IF(RAND()&lt;CondGood,_xlfn.LOGNORM.INV(RAND(),MV3,Sigma2),MIN(MaxMultiple,Xm/(1-RAND())^(1/Alpha)))))</f>
        <v>0</v>
      </c>
      <c r="R241" s="19">
        <f ca="1">IF(RAND()&lt;P_Zero,0,IF(RAND()&lt;CondReturn,_xlfn.LOGNORM.INV(RAND(),MV2,Sigma1),IF(RAND()&lt;CondGood,_xlfn.LOGNORM.INV(RAND(),MV3,Sigma2),MIN(MaxMultiple,Xm/(1-RAND())^(1/Alpha)))))</f>
        <v>0</v>
      </c>
      <c r="S241" s="19">
        <f ca="1">IF(RAND()&lt;P_Zero,0,IF(RAND()&lt;CondReturn,_xlfn.LOGNORM.INV(RAND(),MV2,Sigma1),IF(RAND()&lt;CondGood,_xlfn.LOGNORM.INV(RAND(),MV3,Sigma2),MIN(MaxMultiple,Xm/(1-RAND())^(1/Alpha)))))</f>
        <v>0</v>
      </c>
      <c r="T241" s="19">
        <f ca="1">IF(RAND()&lt;P_Zero,0,IF(RAND()&lt;CondReturn,_xlfn.LOGNORM.INV(RAND(),MV2,Sigma1),IF(RAND()&lt;CondGood,_xlfn.LOGNORM.INV(RAND(),MV3,Sigma2),MIN(MaxMultiple,Xm/(1-RAND())^(1/Alpha)))))</f>
        <v>0</v>
      </c>
      <c r="U241" s="19">
        <f ca="1">IF(RAND()&lt;P_Zero,0,IF(RAND()&lt;CondReturn,_xlfn.LOGNORM.INV(RAND(),MV2,Sigma1),IF(RAND()&lt;CondGood,_xlfn.LOGNORM.INV(RAND(),MV3,Sigma2),MIN(MaxMultiple,Xm/(1-RAND())^(1/Alpha)))))</f>
        <v>0</v>
      </c>
      <c r="V241" s="19">
        <f ca="1">IF(RAND()&lt;P_Zero,0,IF(RAND()&lt;CondReturn,_xlfn.LOGNORM.INV(RAND(),MV2,Sigma1),IF(RAND()&lt;CondGood,_xlfn.LOGNORM.INV(RAND(),MV3,Sigma2),MIN(MaxMultiple,Xm/(1-RAND())^(1/Alpha)))))</f>
        <v>0.48984899483832961</v>
      </c>
      <c r="W241" s="19">
        <f ca="1">IF(RAND()&lt;P_Zero,0,IF(RAND()&lt;CondReturn,_xlfn.LOGNORM.INV(RAND(),MV2,Sigma1),IF(RAND()&lt;CondGood,_xlfn.LOGNORM.INV(RAND(),MV3,Sigma2),MIN(MaxMultiple,Xm/(1-RAND())^(1/Alpha)))))</f>
        <v>1.1853164901134801</v>
      </c>
      <c r="X241" s="19">
        <f ca="1">IF(RAND()&lt;P_Zero,0,IF(RAND()&lt;CondReturn,_xlfn.LOGNORM.INV(RAND(),MV2,Sigma1),IF(RAND()&lt;CondGood,_xlfn.LOGNORM.INV(RAND(),MV3,Sigma2),MIN(MaxMultiple,Xm/(1-RAND())^(1/Alpha)))))</f>
        <v>0</v>
      </c>
      <c r="Y241" s="19">
        <f ca="1">IF(RAND()&lt;P_Zero,0,IF(RAND()&lt;CondReturn,_xlfn.LOGNORM.INV(RAND(),MV2,Sigma1),IF(RAND()&lt;CondGood,_xlfn.LOGNORM.INV(RAND(),MV3,Sigma2),MIN(MaxMultiple,Xm/(1-RAND())^(1/Alpha)))))</f>
        <v>0.78208363368304257</v>
      </c>
      <c r="Z241" s="19">
        <f ca="1">IF(RAND()&lt;P_Zero,0,IF(RAND()&lt;CondReturn,_xlfn.LOGNORM.INV(RAND(),MV2,Sigma1),IF(RAND()&lt;CondGood,_xlfn.LOGNORM.INV(RAND(),MV3,Sigma2),MIN(MaxMultiple,Xm/(1-RAND())^(1/Alpha)))))</f>
        <v>0</v>
      </c>
      <c r="AA241" s="19">
        <f ca="1">IF(RAND()&lt;P_Zero,0,IF(RAND()&lt;CondReturn,_xlfn.LOGNORM.INV(RAND(),MV2,Sigma1),IF(RAND()&lt;CondGood,_xlfn.LOGNORM.INV(RAND(),MV3,Sigma2),MIN(MaxMultiple,Xm/(1-RAND())^(1/Alpha)))))</f>
        <v>0</v>
      </c>
      <c r="AB241" s="19">
        <f t="shared" ca="1" si="24"/>
        <v>6.0117044515526565</v>
      </c>
      <c r="AC241" s="14">
        <f t="shared" ca="1" si="25"/>
        <v>288561813.67452753</v>
      </c>
      <c r="AD241" s="14">
        <f t="shared" ca="1" si="26"/>
        <v>240561813.67452753</v>
      </c>
      <c r="AE241" s="14">
        <f t="shared" si="27"/>
        <v>55628399.869093813</v>
      </c>
      <c r="AF241" s="14">
        <f t="shared" ca="1" si="28"/>
        <v>184933413.80543372</v>
      </c>
      <c r="AG241" s="14">
        <f t="shared" ca="1" si="29"/>
        <v>36986682.761086747</v>
      </c>
      <c r="AH241" s="14">
        <f t="shared" ca="1" si="30"/>
        <v>251575130.91344076</v>
      </c>
      <c r="AI241" s="19">
        <f t="shared" ca="1" si="31"/>
        <v>4.1929188485573459</v>
      </c>
    </row>
    <row r="242" spans="2:35" x14ac:dyDescent="0.2">
      <c r="B242" s="1">
        <v>237</v>
      </c>
      <c r="C242" s="19">
        <f ca="1">IF(RAND()&lt;P_Zero,0,IF(RAND()&lt;CondReturn,_xlfn.LOGNORM.INV(RAND(),MV2,Sigma1),IF(RAND()&lt;CondGood,_xlfn.LOGNORM.INV(RAND(),MV3,Sigma2),MIN(MaxMultiple,Xm/(1-RAND())^(1/Alpha)))))</f>
        <v>1.4468613979107108</v>
      </c>
      <c r="D242" s="19">
        <f ca="1">IF(RAND()&lt;P_Zero,0,IF(RAND()&lt;CondReturn,_xlfn.LOGNORM.INV(RAND(),MV2,Sigma1),IF(RAND()&lt;CondGood,_xlfn.LOGNORM.INV(RAND(),MV3,Sigma2),MIN(MaxMultiple,Xm/(1-RAND())^(1/Alpha)))))</f>
        <v>0</v>
      </c>
      <c r="E242" s="19">
        <f ca="1">IF(RAND()&lt;P_Zero,0,IF(RAND()&lt;CondReturn,_xlfn.LOGNORM.INV(RAND(),MV2,Sigma1),IF(RAND()&lt;CondGood,_xlfn.LOGNORM.INV(RAND(),MV3,Sigma2),MIN(MaxMultiple,Xm/(1-RAND())^(1/Alpha)))))</f>
        <v>0.75118404991720977</v>
      </c>
      <c r="F242" s="19">
        <f ca="1">IF(RAND()&lt;P_Zero,0,IF(RAND()&lt;CondReturn,_xlfn.LOGNORM.INV(RAND(),MV2,Sigma1),IF(RAND()&lt;CondGood,_xlfn.LOGNORM.INV(RAND(),MV3,Sigma2),MIN(MaxMultiple,Xm/(1-RAND())^(1/Alpha)))))</f>
        <v>0.96774474993164783</v>
      </c>
      <c r="G242" s="19">
        <f ca="1">IF(RAND()&lt;P_Zero,0,IF(RAND()&lt;CondReturn,_xlfn.LOGNORM.INV(RAND(),MV2,Sigma1),IF(RAND()&lt;CondGood,_xlfn.LOGNORM.INV(RAND(),MV3,Sigma2),MIN(MaxMultiple,Xm/(1-RAND())^(1/Alpha)))))</f>
        <v>0</v>
      </c>
      <c r="H242" s="19">
        <f ca="1">IF(RAND()&lt;P_Zero,0,IF(RAND()&lt;CondReturn,_xlfn.LOGNORM.INV(RAND(),MV2,Sigma1),IF(RAND()&lt;CondGood,_xlfn.LOGNORM.INV(RAND(),MV3,Sigma2),MIN(MaxMultiple,Xm/(1-RAND())^(1/Alpha)))))</f>
        <v>0.64251880417263307</v>
      </c>
      <c r="I242" s="19">
        <f ca="1">IF(RAND()&lt;P_Zero,0,IF(RAND()&lt;CondReturn,_xlfn.LOGNORM.INV(RAND(),MV2,Sigma1),IF(RAND()&lt;CondGood,_xlfn.LOGNORM.INV(RAND(),MV3,Sigma2),MIN(MaxMultiple,Xm/(1-RAND())^(1/Alpha)))))</f>
        <v>1.0304587399562393</v>
      </c>
      <c r="J242" s="19">
        <f ca="1">IF(RAND()&lt;P_Zero,0,IF(RAND()&lt;CondReturn,_xlfn.LOGNORM.INV(RAND(),MV2,Sigma1),IF(RAND()&lt;CondGood,_xlfn.LOGNORM.INV(RAND(),MV3,Sigma2),MIN(MaxMultiple,Xm/(1-RAND())^(1/Alpha)))))</f>
        <v>0.384900862538955</v>
      </c>
      <c r="K242" s="19">
        <f ca="1">IF(RAND()&lt;P_Zero,0,IF(RAND()&lt;CondReturn,_xlfn.LOGNORM.INV(RAND(),MV2,Sigma1),IF(RAND()&lt;CondGood,_xlfn.LOGNORM.INV(RAND(),MV3,Sigma2),MIN(MaxMultiple,Xm/(1-RAND())^(1/Alpha)))))</f>
        <v>0</v>
      </c>
      <c r="L242" s="19">
        <f ca="1">IF(RAND()&lt;P_Zero,0,IF(RAND()&lt;CondReturn,_xlfn.LOGNORM.INV(RAND(),MV2,Sigma1),IF(RAND()&lt;CondGood,_xlfn.LOGNORM.INV(RAND(),MV3,Sigma2),MIN(MaxMultiple,Xm/(1-RAND())^(1/Alpha)))))</f>
        <v>1.6826862821371331</v>
      </c>
      <c r="M242" s="19">
        <f ca="1">IF(RAND()&lt;P_Zero,0,IF(RAND()&lt;CondReturn,_xlfn.LOGNORM.INV(RAND(),MV2,Sigma1),IF(RAND()&lt;CondGood,_xlfn.LOGNORM.INV(RAND(),MV3,Sigma2),MIN(MaxMultiple,Xm/(1-RAND())^(1/Alpha)))))</f>
        <v>0.45326872784637623</v>
      </c>
      <c r="N242" s="19">
        <f ca="1">IF(RAND()&lt;P_Zero,0,IF(RAND()&lt;CondReturn,_xlfn.LOGNORM.INV(RAND(),MV2,Sigma1),IF(RAND()&lt;CondGood,_xlfn.LOGNORM.INV(RAND(),MV3,Sigma2),MIN(MaxMultiple,Xm/(1-RAND())^(1/Alpha)))))</f>
        <v>1.2602358988188505</v>
      </c>
      <c r="O242" s="19">
        <f ca="1">IF(RAND()&lt;P_Zero,0,IF(RAND()&lt;CondReturn,_xlfn.LOGNORM.INV(RAND(),MV2,Sigma1),IF(RAND()&lt;CondGood,_xlfn.LOGNORM.INV(RAND(),MV3,Sigma2),MIN(MaxMultiple,Xm/(1-RAND())^(1/Alpha)))))</f>
        <v>0.56396734760949552</v>
      </c>
      <c r="P242" s="19">
        <f ca="1">IF(RAND()&lt;P_Zero,0,IF(RAND()&lt;CondReturn,_xlfn.LOGNORM.INV(RAND(),MV2,Sigma1),IF(RAND()&lt;CondGood,_xlfn.LOGNORM.INV(RAND(),MV3,Sigma2),MIN(MaxMultiple,Xm/(1-RAND())^(1/Alpha)))))</f>
        <v>34.068806141327421</v>
      </c>
      <c r="Q242" s="19">
        <f ca="1">IF(RAND()&lt;P_Zero,0,IF(RAND()&lt;CondReturn,_xlfn.LOGNORM.INV(RAND(),MV2,Sigma1),IF(RAND()&lt;CondGood,_xlfn.LOGNORM.INV(RAND(),MV3,Sigma2),MIN(MaxMultiple,Xm/(1-RAND())^(1/Alpha)))))</f>
        <v>0.88765517375537495</v>
      </c>
      <c r="R242" s="19">
        <f ca="1">IF(RAND()&lt;P_Zero,0,IF(RAND()&lt;CondReturn,_xlfn.LOGNORM.INV(RAND(),MV2,Sigma1),IF(RAND()&lt;CondGood,_xlfn.LOGNORM.INV(RAND(),MV3,Sigma2),MIN(MaxMultiple,Xm/(1-RAND())^(1/Alpha)))))</f>
        <v>0.73055663709721397</v>
      </c>
      <c r="S242" s="19">
        <f ca="1">IF(RAND()&lt;P_Zero,0,IF(RAND()&lt;CondReturn,_xlfn.LOGNORM.INV(RAND(),MV2,Sigma1),IF(RAND()&lt;CondGood,_xlfn.LOGNORM.INV(RAND(),MV3,Sigma2),MIN(MaxMultiple,Xm/(1-RAND())^(1/Alpha)))))</f>
        <v>3.9010342368023108</v>
      </c>
      <c r="T242" s="19">
        <f ca="1">IF(RAND()&lt;P_Zero,0,IF(RAND()&lt;CondReturn,_xlfn.LOGNORM.INV(RAND(),MV2,Sigma1),IF(RAND()&lt;CondGood,_xlfn.LOGNORM.INV(RAND(),MV3,Sigma2),MIN(MaxMultiple,Xm/(1-RAND())^(1/Alpha)))))</f>
        <v>20.888200099487204</v>
      </c>
      <c r="U242" s="19">
        <f ca="1">IF(RAND()&lt;P_Zero,0,IF(RAND()&lt;CondReturn,_xlfn.LOGNORM.INV(RAND(),MV2,Sigma1),IF(RAND()&lt;CondGood,_xlfn.LOGNORM.INV(RAND(),MV3,Sigma2),MIN(MaxMultiple,Xm/(1-RAND())^(1/Alpha)))))</f>
        <v>0</v>
      </c>
      <c r="V242" s="19">
        <f ca="1">IF(RAND()&lt;P_Zero,0,IF(RAND()&lt;CondReturn,_xlfn.LOGNORM.INV(RAND(),MV2,Sigma1),IF(RAND()&lt;CondGood,_xlfn.LOGNORM.INV(RAND(),MV3,Sigma2),MIN(MaxMultiple,Xm/(1-RAND())^(1/Alpha)))))</f>
        <v>1.8627503711731102</v>
      </c>
      <c r="W242" s="19">
        <f ca="1">IF(RAND()&lt;P_Zero,0,IF(RAND()&lt;CondReturn,_xlfn.LOGNORM.INV(RAND(),MV2,Sigma1),IF(RAND()&lt;CondGood,_xlfn.LOGNORM.INV(RAND(),MV3,Sigma2),MIN(MaxMultiple,Xm/(1-RAND())^(1/Alpha)))))</f>
        <v>27.591557515452799</v>
      </c>
      <c r="X242" s="19">
        <f ca="1">IF(RAND()&lt;P_Zero,0,IF(RAND()&lt;CondReturn,_xlfn.LOGNORM.INV(RAND(),MV2,Sigma1),IF(RAND()&lt;CondGood,_xlfn.LOGNORM.INV(RAND(),MV3,Sigma2),MIN(MaxMultiple,Xm/(1-RAND())^(1/Alpha)))))</f>
        <v>2.1211038616120694</v>
      </c>
      <c r="Y242" s="19">
        <f ca="1">IF(RAND()&lt;P_Zero,0,IF(RAND()&lt;CondReturn,_xlfn.LOGNORM.INV(RAND(),MV2,Sigma1),IF(RAND()&lt;CondGood,_xlfn.LOGNORM.INV(RAND(),MV3,Sigma2),MIN(MaxMultiple,Xm/(1-RAND())^(1/Alpha)))))</f>
        <v>1.597648610084069</v>
      </c>
      <c r="Z242" s="19">
        <f ca="1">IF(RAND()&lt;P_Zero,0,IF(RAND()&lt;CondReturn,_xlfn.LOGNORM.INV(RAND(),MV2,Sigma1),IF(RAND()&lt;CondGood,_xlfn.LOGNORM.INV(RAND(),MV3,Sigma2),MIN(MaxMultiple,Xm/(1-RAND())^(1/Alpha)))))</f>
        <v>0.87920739886151034</v>
      </c>
      <c r="AA242" s="19">
        <f ca="1">IF(RAND()&lt;P_Zero,0,IF(RAND()&lt;CondReturn,_xlfn.LOGNORM.INV(RAND(),MV2,Sigma1),IF(RAND()&lt;CondGood,_xlfn.LOGNORM.INV(RAND(),MV3,Sigma2),MIN(MaxMultiple,Xm/(1-RAND())^(1/Alpha)))))</f>
        <v>1.0759084062181699</v>
      </c>
      <c r="AB242" s="19">
        <f t="shared" ca="1" si="24"/>
        <v>4.1915302125084208</v>
      </c>
      <c r="AC242" s="14">
        <f t="shared" ca="1" si="25"/>
        <v>201193450.2004042</v>
      </c>
      <c r="AD242" s="14">
        <f t="shared" ca="1" si="26"/>
        <v>153193450.2004042</v>
      </c>
      <c r="AE242" s="14">
        <f t="shared" si="27"/>
        <v>55628399.869093813</v>
      </c>
      <c r="AF242" s="14">
        <f t="shared" ca="1" si="28"/>
        <v>97565050.331310391</v>
      </c>
      <c r="AG242" s="14">
        <f t="shared" ca="1" si="29"/>
        <v>19513010.066262078</v>
      </c>
      <c r="AH242" s="14">
        <f t="shared" ca="1" si="30"/>
        <v>181680440.13414213</v>
      </c>
      <c r="AI242" s="19">
        <f t="shared" ca="1" si="31"/>
        <v>3.0280073355690353</v>
      </c>
    </row>
    <row r="243" spans="2:35" x14ac:dyDescent="0.2">
      <c r="B243" s="1">
        <v>238</v>
      </c>
      <c r="C243" s="19">
        <f ca="1">IF(RAND()&lt;P_Zero,0,IF(RAND()&lt;CondReturn,_xlfn.LOGNORM.INV(RAND(),MV2,Sigma1),IF(RAND()&lt;CondGood,_xlfn.LOGNORM.INV(RAND(),MV3,Sigma2),MIN(MaxMultiple,Xm/(1-RAND())^(1/Alpha)))))</f>
        <v>0</v>
      </c>
      <c r="D243" s="19">
        <f ca="1">IF(RAND()&lt;P_Zero,0,IF(RAND()&lt;CondReturn,_xlfn.LOGNORM.INV(RAND(),MV2,Sigma1),IF(RAND()&lt;CondGood,_xlfn.LOGNORM.INV(RAND(),MV3,Sigma2),MIN(MaxMultiple,Xm/(1-RAND())^(1/Alpha)))))</f>
        <v>1.7131997377157919</v>
      </c>
      <c r="E243" s="19">
        <f ca="1">IF(RAND()&lt;P_Zero,0,IF(RAND()&lt;CondReturn,_xlfn.LOGNORM.INV(RAND(),MV2,Sigma1),IF(RAND()&lt;CondGood,_xlfn.LOGNORM.INV(RAND(),MV3,Sigma2),MIN(MaxMultiple,Xm/(1-RAND())^(1/Alpha)))))</f>
        <v>1.507373563462667</v>
      </c>
      <c r="F243" s="19">
        <f ca="1">IF(RAND()&lt;P_Zero,0,IF(RAND()&lt;CondReturn,_xlfn.LOGNORM.INV(RAND(),MV2,Sigma1),IF(RAND()&lt;CondGood,_xlfn.LOGNORM.INV(RAND(),MV3,Sigma2),MIN(MaxMultiple,Xm/(1-RAND())^(1/Alpha)))))</f>
        <v>0.81082069662178102</v>
      </c>
      <c r="G243" s="19">
        <f ca="1">IF(RAND()&lt;P_Zero,0,IF(RAND()&lt;CondReturn,_xlfn.LOGNORM.INV(RAND(),MV2,Sigma1),IF(RAND()&lt;CondGood,_xlfn.LOGNORM.INV(RAND(),MV3,Sigma2),MIN(MaxMultiple,Xm/(1-RAND())^(1/Alpha)))))</f>
        <v>0</v>
      </c>
      <c r="H243" s="19">
        <f ca="1">IF(RAND()&lt;P_Zero,0,IF(RAND()&lt;CondReturn,_xlfn.LOGNORM.INV(RAND(),MV2,Sigma1),IF(RAND()&lt;CondGood,_xlfn.LOGNORM.INV(RAND(),MV3,Sigma2),MIN(MaxMultiple,Xm/(1-RAND())^(1/Alpha)))))</f>
        <v>1.2958220291121885</v>
      </c>
      <c r="I243" s="19">
        <f ca="1">IF(RAND()&lt;P_Zero,0,IF(RAND()&lt;CondReturn,_xlfn.LOGNORM.INV(RAND(),MV2,Sigma1),IF(RAND()&lt;CondGood,_xlfn.LOGNORM.INV(RAND(),MV3,Sigma2),MIN(MaxMultiple,Xm/(1-RAND())^(1/Alpha)))))</f>
        <v>0</v>
      </c>
      <c r="J243" s="19">
        <f ca="1">IF(RAND()&lt;P_Zero,0,IF(RAND()&lt;CondReturn,_xlfn.LOGNORM.INV(RAND(),MV2,Sigma1),IF(RAND()&lt;CondGood,_xlfn.LOGNORM.INV(RAND(),MV3,Sigma2),MIN(MaxMultiple,Xm/(1-RAND())^(1/Alpha)))))</f>
        <v>0</v>
      </c>
      <c r="K243" s="19">
        <f ca="1">IF(RAND()&lt;P_Zero,0,IF(RAND()&lt;CondReturn,_xlfn.LOGNORM.INV(RAND(),MV2,Sigma1),IF(RAND()&lt;CondGood,_xlfn.LOGNORM.INV(RAND(),MV3,Sigma2),MIN(MaxMultiple,Xm/(1-RAND())^(1/Alpha)))))</f>
        <v>0.95308796409343088</v>
      </c>
      <c r="L243" s="19">
        <f ca="1">IF(RAND()&lt;P_Zero,0,IF(RAND()&lt;CondReturn,_xlfn.LOGNORM.INV(RAND(),MV2,Sigma1),IF(RAND()&lt;CondGood,_xlfn.LOGNORM.INV(RAND(),MV3,Sigma2),MIN(MaxMultiple,Xm/(1-RAND())^(1/Alpha)))))</f>
        <v>1.839429258563124</v>
      </c>
      <c r="M243" s="19">
        <f ca="1">IF(RAND()&lt;P_Zero,0,IF(RAND()&lt;CondReturn,_xlfn.LOGNORM.INV(RAND(),MV2,Sigma1),IF(RAND()&lt;CondGood,_xlfn.LOGNORM.INV(RAND(),MV3,Sigma2),MIN(MaxMultiple,Xm/(1-RAND())^(1/Alpha)))))</f>
        <v>0.84698846244710657</v>
      </c>
      <c r="N243" s="19">
        <f ca="1">IF(RAND()&lt;P_Zero,0,IF(RAND()&lt;CondReturn,_xlfn.LOGNORM.INV(RAND(),MV2,Sigma1),IF(RAND()&lt;CondGood,_xlfn.LOGNORM.INV(RAND(),MV3,Sigma2),MIN(MaxMultiple,Xm/(1-RAND())^(1/Alpha)))))</f>
        <v>0</v>
      </c>
      <c r="O243" s="19">
        <f ca="1">IF(RAND()&lt;P_Zero,0,IF(RAND()&lt;CondReturn,_xlfn.LOGNORM.INV(RAND(),MV2,Sigma1),IF(RAND()&lt;CondGood,_xlfn.LOGNORM.INV(RAND(),MV3,Sigma2),MIN(MaxMultiple,Xm/(1-RAND())^(1/Alpha)))))</f>
        <v>0.31364652656075676</v>
      </c>
      <c r="P243" s="19">
        <f ca="1">IF(RAND()&lt;P_Zero,0,IF(RAND()&lt;CondReturn,_xlfn.LOGNORM.INV(RAND(),MV2,Sigma1),IF(RAND()&lt;CondGood,_xlfn.LOGNORM.INV(RAND(),MV3,Sigma2),MIN(MaxMultiple,Xm/(1-RAND())^(1/Alpha)))))</f>
        <v>0</v>
      </c>
      <c r="Q243" s="19">
        <f ca="1">IF(RAND()&lt;P_Zero,0,IF(RAND()&lt;CondReturn,_xlfn.LOGNORM.INV(RAND(),MV2,Sigma1),IF(RAND()&lt;CondGood,_xlfn.LOGNORM.INV(RAND(),MV3,Sigma2),MIN(MaxMultiple,Xm/(1-RAND())^(1/Alpha)))))</f>
        <v>1.5359715848285556</v>
      </c>
      <c r="R243" s="19">
        <f ca="1">IF(RAND()&lt;P_Zero,0,IF(RAND()&lt;CondReturn,_xlfn.LOGNORM.INV(RAND(),MV2,Sigma1),IF(RAND()&lt;CondGood,_xlfn.LOGNORM.INV(RAND(),MV3,Sigma2),MIN(MaxMultiple,Xm/(1-RAND())^(1/Alpha)))))</f>
        <v>0.92369445800436656</v>
      </c>
      <c r="S243" s="19">
        <f ca="1">IF(RAND()&lt;P_Zero,0,IF(RAND()&lt;CondReturn,_xlfn.LOGNORM.INV(RAND(),MV2,Sigma1),IF(RAND()&lt;CondGood,_xlfn.LOGNORM.INV(RAND(),MV3,Sigma2),MIN(MaxMultiple,Xm/(1-RAND())^(1/Alpha)))))</f>
        <v>1.3421800171691733</v>
      </c>
      <c r="T243" s="19">
        <f ca="1">IF(RAND()&lt;P_Zero,0,IF(RAND()&lt;CondReturn,_xlfn.LOGNORM.INV(RAND(),MV2,Sigma1),IF(RAND()&lt;CondGood,_xlfn.LOGNORM.INV(RAND(),MV3,Sigma2),MIN(MaxMultiple,Xm/(1-RAND())^(1/Alpha)))))</f>
        <v>0</v>
      </c>
      <c r="U243" s="19">
        <f ca="1">IF(RAND()&lt;P_Zero,0,IF(RAND()&lt;CondReturn,_xlfn.LOGNORM.INV(RAND(),MV2,Sigma1),IF(RAND()&lt;CondGood,_xlfn.LOGNORM.INV(RAND(),MV3,Sigma2),MIN(MaxMultiple,Xm/(1-RAND())^(1/Alpha)))))</f>
        <v>1.2161644561132896</v>
      </c>
      <c r="V243" s="19">
        <f ca="1">IF(RAND()&lt;P_Zero,0,IF(RAND()&lt;CondReturn,_xlfn.LOGNORM.INV(RAND(),MV2,Sigma1),IF(RAND()&lt;CondGood,_xlfn.LOGNORM.INV(RAND(),MV3,Sigma2),MIN(MaxMultiple,Xm/(1-RAND())^(1/Alpha)))))</f>
        <v>0</v>
      </c>
      <c r="W243" s="19">
        <f ca="1">IF(RAND()&lt;P_Zero,0,IF(RAND()&lt;CondReturn,_xlfn.LOGNORM.INV(RAND(),MV2,Sigma1),IF(RAND()&lt;CondGood,_xlfn.LOGNORM.INV(RAND(),MV3,Sigma2),MIN(MaxMultiple,Xm/(1-RAND())^(1/Alpha)))))</f>
        <v>1.3782222388654968</v>
      </c>
      <c r="X243" s="19">
        <f ca="1">IF(RAND()&lt;P_Zero,0,IF(RAND()&lt;CondReturn,_xlfn.LOGNORM.INV(RAND(),MV2,Sigma1),IF(RAND()&lt;CondGood,_xlfn.LOGNORM.INV(RAND(),MV3,Sigma2),MIN(MaxMultiple,Xm/(1-RAND())^(1/Alpha)))))</f>
        <v>0.39715352485554328</v>
      </c>
      <c r="Y243" s="19">
        <f ca="1">IF(RAND()&lt;P_Zero,0,IF(RAND()&lt;CondReturn,_xlfn.LOGNORM.INV(RAND(),MV2,Sigma1),IF(RAND()&lt;CondGood,_xlfn.LOGNORM.INV(RAND(),MV3,Sigma2),MIN(MaxMultiple,Xm/(1-RAND())^(1/Alpha)))))</f>
        <v>0</v>
      </c>
      <c r="Z243" s="19">
        <f ca="1">IF(RAND()&lt;P_Zero,0,IF(RAND()&lt;CondReturn,_xlfn.LOGNORM.INV(RAND(),MV2,Sigma1),IF(RAND()&lt;CondGood,_xlfn.LOGNORM.INV(RAND(),MV3,Sigma2),MIN(MaxMultiple,Xm/(1-RAND())^(1/Alpha)))))</f>
        <v>0.91867644493167822</v>
      </c>
      <c r="AA243" s="19">
        <f ca="1">IF(RAND()&lt;P_Zero,0,IF(RAND()&lt;CondReturn,_xlfn.LOGNORM.INV(RAND(),MV2,Sigma1),IF(RAND()&lt;CondGood,_xlfn.LOGNORM.INV(RAND(),MV3,Sigma2),MIN(MaxMultiple,Xm/(1-RAND())^(1/Alpha)))))</f>
        <v>0.74199577311897114</v>
      </c>
      <c r="AB243" s="19">
        <f t="shared" ca="1" si="24"/>
        <v>0.70937706945855683</v>
      </c>
      <c r="AC243" s="14">
        <f t="shared" ca="1" si="25"/>
        <v>34050099.334010728</v>
      </c>
      <c r="AD243" s="14">
        <f t="shared" ca="1" si="26"/>
        <v>-13949900.665989272</v>
      </c>
      <c r="AE243" s="14">
        <f t="shared" si="27"/>
        <v>55628399.869093813</v>
      </c>
      <c r="AF243" s="14">
        <f t="shared" ca="1" si="28"/>
        <v>0</v>
      </c>
      <c r="AG243" s="14">
        <f t="shared" ca="1" si="29"/>
        <v>0</v>
      </c>
      <c r="AH243" s="14">
        <f t="shared" ca="1" si="30"/>
        <v>34050099.334010728</v>
      </c>
      <c r="AI243" s="19">
        <f t="shared" ca="1" si="31"/>
        <v>0.56750165556684551</v>
      </c>
    </row>
    <row r="244" spans="2:35" x14ac:dyDescent="0.2">
      <c r="B244" s="1">
        <v>239</v>
      </c>
      <c r="C244" s="19">
        <f ca="1">IF(RAND()&lt;P_Zero,0,IF(RAND()&lt;CondReturn,_xlfn.LOGNORM.INV(RAND(),MV2,Sigma1),IF(RAND()&lt;CondGood,_xlfn.LOGNORM.INV(RAND(),MV3,Sigma2),MIN(MaxMultiple,Xm/(1-RAND())^(1/Alpha)))))</f>
        <v>0.82941516398634274</v>
      </c>
      <c r="D244" s="19">
        <f ca="1">IF(RAND()&lt;P_Zero,0,IF(RAND()&lt;CondReturn,_xlfn.LOGNORM.INV(RAND(),MV2,Sigma1),IF(RAND()&lt;CondGood,_xlfn.LOGNORM.INV(RAND(),MV3,Sigma2),MIN(MaxMultiple,Xm/(1-RAND())^(1/Alpha)))))</f>
        <v>0</v>
      </c>
      <c r="E244" s="19">
        <f ca="1">IF(RAND()&lt;P_Zero,0,IF(RAND()&lt;CondReturn,_xlfn.LOGNORM.INV(RAND(),MV2,Sigma1),IF(RAND()&lt;CondGood,_xlfn.LOGNORM.INV(RAND(),MV3,Sigma2),MIN(MaxMultiple,Xm/(1-RAND())^(1/Alpha)))))</f>
        <v>0.86506942605595583</v>
      </c>
      <c r="F244" s="19">
        <f ca="1">IF(RAND()&lt;P_Zero,0,IF(RAND()&lt;CondReturn,_xlfn.LOGNORM.INV(RAND(),MV2,Sigma1),IF(RAND()&lt;CondGood,_xlfn.LOGNORM.INV(RAND(),MV3,Sigma2),MIN(MaxMultiple,Xm/(1-RAND())^(1/Alpha)))))</f>
        <v>0.80340528255550481</v>
      </c>
      <c r="G244" s="19">
        <f ca="1">IF(RAND()&lt;P_Zero,0,IF(RAND()&lt;CondReturn,_xlfn.LOGNORM.INV(RAND(),MV2,Sigma1),IF(RAND()&lt;CondGood,_xlfn.LOGNORM.INV(RAND(),MV3,Sigma2),MIN(MaxMultiple,Xm/(1-RAND())^(1/Alpha)))))</f>
        <v>1.6979802647954312</v>
      </c>
      <c r="H244" s="19">
        <f ca="1">IF(RAND()&lt;P_Zero,0,IF(RAND()&lt;CondReturn,_xlfn.LOGNORM.INV(RAND(),MV2,Sigma1),IF(RAND()&lt;CondGood,_xlfn.LOGNORM.INV(RAND(),MV3,Sigma2),MIN(MaxMultiple,Xm/(1-RAND())^(1/Alpha)))))</f>
        <v>1.2142700877931611</v>
      </c>
      <c r="I244" s="19">
        <f ca="1">IF(RAND()&lt;P_Zero,0,IF(RAND()&lt;CondReturn,_xlfn.LOGNORM.INV(RAND(),MV2,Sigma1),IF(RAND()&lt;CondGood,_xlfn.LOGNORM.INV(RAND(),MV3,Sigma2),MIN(MaxMultiple,Xm/(1-RAND())^(1/Alpha)))))</f>
        <v>0.54444540521678697</v>
      </c>
      <c r="J244" s="19">
        <f ca="1">IF(RAND()&lt;P_Zero,0,IF(RAND()&lt;CondReturn,_xlfn.LOGNORM.INV(RAND(),MV2,Sigma1),IF(RAND()&lt;CondGood,_xlfn.LOGNORM.INV(RAND(),MV3,Sigma2),MIN(MaxMultiple,Xm/(1-RAND())^(1/Alpha)))))</f>
        <v>0</v>
      </c>
      <c r="K244" s="19">
        <f ca="1">IF(RAND()&lt;P_Zero,0,IF(RAND()&lt;CondReturn,_xlfn.LOGNORM.INV(RAND(),MV2,Sigma1),IF(RAND()&lt;CondGood,_xlfn.LOGNORM.INV(RAND(),MV3,Sigma2),MIN(MaxMultiple,Xm/(1-RAND())^(1/Alpha)))))</f>
        <v>0</v>
      </c>
      <c r="L244" s="19">
        <f ca="1">IF(RAND()&lt;P_Zero,0,IF(RAND()&lt;CondReturn,_xlfn.LOGNORM.INV(RAND(),MV2,Sigma1),IF(RAND()&lt;CondGood,_xlfn.LOGNORM.INV(RAND(),MV3,Sigma2),MIN(MaxMultiple,Xm/(1-RAND())^(1/Alpha)))))</f>
        <v>0</v>
      </c>
      <c r="M244" s="19">
        <f ca="1">IF(RAND()&lt;P_Zero,0,IF(RAND()&lt;CondReturn,_xlfn.LOGNORM.INV(RAND(),MV2,Sigma1),IF(RAND()&lt;CondGood,_xlfn.LOGNORM.INV(RAND(),MV3,Sigma2),MIN(MaxMultiple,Xm/(1-RAND())^(1/Alpha)))))</f>
        <v>1.6280104287730559</v>
      </c>
      <c r="N244" s="19">
        <f ca="1">IF(RAND()&lt;P_Zero,0,IF(RAND()&lt;CondReturn,_xlfn.LOGNORM.INV(RAND(),MV2,Sigma1),IF(RAND()&lt;CondGood,_xlfn.LOGNORM.INV(RAND(),MV3,Sigma2),MIN(MaxMultiple,Xm/(1-RAND())^(1/Alpha)))))</f>
        <v>1.067213353982051</v>
      </c>
      <c r="O244" s="19">
        <f ca="1">IF(RAND()&lt;P_Zero,0,IF(RAND()&lt;CondReturn,_xlfn.LOGNORM.INV(RAND(),MV2,Sigma1),IF(RAND()&lt;CondGood,_xlfn.LOGNORM.INV(RAND(),MV3,Sigma2),MIN(MaxMultiple,Xm/(1-RAND())^(1/Alpha)))))</f>
        <v>0.99327645463957615</v>
      </c>
      <c r="P244" s="19">
        <f ca="1">IF(RAND()&lt;P_Zero,0,IF(RAND()&lt;CondReturn,_xlfn.LOGNORM.INV(RAND(),MV2,Sigma1),IF(RAND()&lt;CondGood,_xlfn.LOGNORM.INV(RAND(),MV3,Sigma2),MIN(MaxMultiple,Xm/(1-RAND())^(1/Alpha)))))</f>
        <v>0</v>
      </c>
      <c r="Q244" s="19">
        <f ca="1">IF(RAND()&lt;P_Zero,0,IF(RAND()&lt;CondReturn,_xlfn.LOGNORM.INV(RAND(),MV2,Sigma1),IF(RAND()&lt;CondGood,_xlfn.LOGNORM.INV(RAND(),MV3,Sigma2),MIN(MaxMultiple,Xm/(1-RAND())^(1/Alpha)))))</f>
        <v>0</v>
      </c>
      <c r="R244" s="19">
        <f ca="1">IF(RAND()&lt;P_Zero,0,IF(RAND()&lt;CondReturn,_xlfn.LOGNORM.INV(RAND(),MV2,Sigma1),IF(RAND()&lt;CondGood,_xlfn.LOGNORM.INV(RAND(),MV3,Sigma2),MIN(MaxMultiple,Xm/(1-RAND())^(1/Alpha)))))</f>
        <v>0</v>
      </c>
      <c r="S244" s="19">
        <f ca="1">IF(RAND()&lt;P_Zero,0,IF(RAND()&lt;CondReturn,_xlfn.LOGNORM.INV(RAND(),MV2,Sigma1),IF(RAND()&lt;CondGood,_xlfn.LOGNORM.INV(RAND(),MV3,Sigma2),MIN(MaxMultiple,Xm/(1-RAND())^(1/Alpha)))))</f>
        <v>0</v>
      </c>
      <c r="T244" s="19">
        <f ca="1">IF(RAND()&lt;P_Zero,0,IF(RAND()&lt;CondReturn,_xlfn.LOGNORM.INV(RAND(),MV2,Sigma1),IF(RAND()&lt;CondGood,_xlfn.LOGNORM.INV(RAND(),MV3,Sigma2),MIN(MaxMultiple,Xm/(1-RAND())^(1/Alpha)))))</f>
        <v>0</v>
      </c>
      <c r="U244" s="19">
        <f ca="1">IF(RAND()&lt;P_Zero,0,IF(RAND()&lt;CondReturn,_xlfn.LOGNORM.INV(RAND(),MV2,Sigma1),IF(RAND()&lt;CondGood,_xlfn.LOGNORM.INV(RAND(),MV3,Sigma2),MIN(MaxMultiple,Xm/(1-RAND())^(1/Alpha)))))</f>
        <v>0.86363621104863619</v>
      </c>
      <c r="V244" s="19">
        <f ca="1">IF(RAND()&lt;P_Zero,0,IF(RAND()&lt;CondReturn,_xlfn.LOGNORM.INV(RAND(),MV2,Sigma1),IF(RAND()&lt;CondGood,_xlfn.LOGNORM.INV(RAND(),MV3,Sigma2),MIN(MaxMultiple,Xm/(1-RAND())^(1/Alpha)))))</f>
        <v>1.8597408512866029</v>
      </c>
      <c r="W244" s="19">
        <f ca="1">IF(RAND()&lt;P_Zero,0,IF(RAND()&lt;CondReturn,_xlfn.LOGNORM.INV(RAND(),MV2,Sigma1),IF(RAND()&lt;CondGood,_xlfn.LOGNORM.INV(RAND(),MV3,Sigma2),MIN(MaxMultiple,Xm/(1-RAND())^(1/Alpha)))))</f>
        <v>1.5722292091327457</v>
      </c>
      <c r="X244" s="19">
        <f ca="1">IF(RAND()&lt;P_Zero,0,IF(RAND()&lt;CondReturn,_xlfn.LOGNORM.INV(RAND(),MV2,Sigma1),IF(RAND()&lt;CondGood,_xlfn.LOGNORM.INV(RAND(),MV3,Sigma2),MIN(MaxMultiple,Xm/(1-RAND())^(1/Alpha)))))</f>
        <v>12.978178557394401</v>
      </c>
      <c r="Y244" s="19">
        <f ca="1">IF(RAND()&lt;P_Zero,0,IF(RAND()&lt;CondReturn,_xlfn.LOGNORM.INV(RAND(),MV2,Sigma1),IF(RAND()&lt;CondGood,_xlfn.LOGNORM.INV(RAND(),MV3,Sigma2),MIN(MaxMultiple,Xm/(1-RAND())^(1/Alpha)))))</f>
        <v>1.0158323304178143</v>
      </c>
      <c r="Z244" s="19">
        <f ca="1">IF(RAND()&lt;P_Zero,0,IF(RAND()&lt;CondReturn,_xlfn.LOGNORM.INV(RAND(),MV2,Sigma1),IF(RAND()&lt;CondGood,_xlfn.LOGNORM.INV(RAND(),MV3,Sigma2),MIN(MaxMultiple,Xm/(1-RAND())^(1/Alpha)))))</f>
        <v>0.53563646693939182</v>
      </c>
      <c r="AA244" s="19">
        <f ca="1">IF(RAND()&lt;P_Zero,0,IF(RAND()&lt;CondReturn,_xlfn.LOGNORM.INV(RAND(),MV2,Sigma1),IF(RAND()&lt;CondGood,_xlfn.LOGNORM.INV(RAND(),MV3,Sigma2),MIN(MaxMultiple,Xm/(1-RAND())^(1/Alpha)))))</f>
        <v>0.91360970998974278</v>
      </c>
      <c r="AB244" s="19">
        <f t="shared" ca="1" si="24"/>
        <v>1.1752779681602878</v>
      </c>
      <c r="AC244" s="14">
        <f t="shared" ca="1" si="25"/>
        <v>56413342.471693814</v>
      </c>
      <c r="AD244" s="14">
        <f t="shared" ca="1" si="26"/>
        <v>8413342.4716938138</v>
      </c>
      <c r="AE244" s="14">
        <f t="shared" si="27"/>
        <v>55628399.869093813</v>
      </c>
      <c r="AF244" s="14">
        <f t="shared" ca="1" si="28"/>
        <v>0</v>
      </c>
      <c r="AG244" s="14">
        <f t="shared" ca="1" si="29"/>
        <v>0</v>
      </c>
      <c r="AH244" s="14">
        <f t="shared" ca="1" si="30"/>
        <v>56413342.471693814</v>
      </c>
      <c r="AI244" s="19">
        <f t="shared" ca="1" si="31"/>
        <v>0.94022237452823021</v>
      </c>
    </row>
    <row r="245" spans="2:35" x14ac:dyDescent="0.2">
      <c r="B245" s="1">
        <v>240</v>
      </c>
      <c r="C245" s="19">
        <f ca="1">IF(RAND()&lt;P_Zero,0,IF(RAND()&lt;CondReturn,_xlfn.LOGNORM.INV(RAND(),MV2,Sigma1),IF(RAND()&lt;CondGood,_xlfn.LOGNORM.INV(RAND(),MV3,Sigma2),MIN(MaxMultiple,Xm/(1-RAND())^(1/Alpha)))))</f>
        <v>1.2935355728009748</v>
      </c>
      <c r="D245" s="19">
        <f ca="1">IF(RAND()&lt;P_Zero,0,IF(RAND()&lt;CondReturn,_xlfn.LOGNORM.INV(RAND(),MV2,Sigma1),IF(RAND()&lt;CondGood,_xlfn.LOGNORM.INV(RAND(),MV3,Sigma2),MIN(MaxMultiple,Xm/(1-RAND())^(1/Alpha)))))</f>
        <v>2.2094767097285963</v>
      </c>
      <c r="E245" s="19">
        <f ca="1">IF(RAND()&lt;P_Zero,0,IF(RAND()&lt;CondReturn,_xlfn.LOGNORM.INV(RAND(),MV2,Sigma1),IF(RAND()&lt;CondGood,_xlfn.LOGNORM.INV(RAND(),MV3,Sigma2),MIN(MaxMultiple,Xm/(1-RAND())^(1/Alpha)))))</f>
        <v>0</v>
      </c>
      <c r="F245" s="19">
        <f ca="1">IF(RAND()&lt;P_Zero,0,IF(RAND()&lt;CondReturn,_xlfn.LOGNORM.INV(RAND(),MV2,Sigma1),IF(RAND()&lt;CondGood,_xlfn.LOGNORM.INV(RAND(),MV3,Sigma2),MIN(MaxMultiple,Xm/(1-RAND())^(1/Alpha)))))</f>
        <v>10.067690954926361</v>
      </c>
      <c r="G245" s="19">
        <f ca="1">IF(RAND()&lt;P_Zero,0,IF(RAND()&lt;CondReturn,_xlfn.LOGNORM.INV(RAND(),MV2,Sigma1),IF(RAND()&lt;CondGood,_xlfn.LOGNORM.INV(RAND(),MV3,Sigma2),MIN(MaxMultiple,Xm/(1-RAND())^(1/Alpha)))))</f>
        <v>0.86840176818150272</v>
      </c>
      <c r="H245" s="19">
        <f ca="1">IF(RAND()&lt;P_Zero,0,IF(RAND()&lt;CondReturn,_xlfn.LOGNORM.INV(RAND(),MV2,Sigma1),IF(RAND()&lt;CondGood,_xlfn.LOGNORM.INV(RAND(),MV3,Sigma2),MIN(MaxMultiple,Xm/(1-RAND())^(1/Alpha)))))</f>
        <v>0</v>
      </c>
      <c r="I245" s="19">
        <f ca="1">IF(RAND()&lt;P_Zero,0,IF(RAND()&lt;CondReturn,_xlfn.LOGNORM.INV(RAND(),MV2,Sigma1),IF(RAND()&lt;CondGood,_xlfn.LOGNORM.INV(RAND(),MV3,Sigma2),MIN(MaxMultiple,Xm/(1-RAND())^(1/Alpha)))))</f>
        <v>1.7532525888709052</v>
      </c>
      <c r="J245" s="19">
        <f ca="1">IF(RAND()&lt;P_Zero,0,IF(RAND()&lt;CondReturn,_xlfn.LOGNORM.INV(RAND(),MV2,Sigma1),IF(RAND()&lt;CondGood,_xlfn.LOGNORM.INV(RAND(),MV3,Sigma2),MIN(MaxMultiple,Xm/(1-RAND())^(1/Alpha)))))</f>
        <v>0</v>
      </c>
      <c r="K245" s="19">
        <f ca="1">IF(RAND()&lt;P_Zero,0,IF(RAND()&lt;CondReturn,_xlfn.LOGNORM.INV(RAND(),MV2,Sigma1),IF(RAND()&lt;CondGood,_xlfn.LOGNORM.INV(RAND(),MV3,Sigma2),MIN(MaxMultiple,Xm/(1-RAND())^(1/Alpha)))))</f>
        <v>3.1501181955411623</v>
      </c>
      <c r="L245" s="19">
        <f ca="1">IF(RAND()&lt;P_Zero,0,IF(RAND()&lt;CondReturn,_xlfn.LOGNORM.INV(RAND(),MV2,Sigma1),IF(RAND()&lt;CondGood,_xlfn.LOGNORM.INV(RAND(),MV3,Sigma2),MIN(MaxMultiple,Xm/(1-RAND())^(1/Alpha)))))</f>
        <v>0</v>
      </c>
      <c r="M245" s="19">
        <f ca="1">IF(RAND()&lt;P_Zero,0,IF(RAND()&lt;CondReturn,_xlfn.LOGNORM.INV(RAND(),MV2,Sigma1),IF(RAND()&lt;CondGood,_xlfn.LOGNORM.INV(RAND(),MV3,Sigma2),MIN(MaxMultiple,Xm/(1-RAND())^(1/Alpha)))))</f>
        <v>0</v>
      </c>
      <c r="N245" s="19">
        <f ca="1">IF(RAND()&lt;P_Zero,0,IF(RAND()&lt;CondReturn,_xlfn.LOGNORM.INV(RAND(),MV2,Sigma1),IF(RAND()&lt;CondGood,_xlfn.LOGNORM.INV(RAND(),MV3,Sigma2),MIN(MaxMultiple,Xm/(1-RAND())^(1/Alpha)))))</f>
        <v>1.193606273977768</v>
      </c>
      <c r="O245" s="19">
        <f ca="1">IF(RAND()&lt;P_Zero,0,IF(RAND()&lt;CondReturn,_xlfn.LOGNORM.INV(RAND(),MV2,Sigma1),IF(RAND()&lt;CondGood,_xlfn.LOGNORM.INV(RAND(),MV3,Sigma2),MIN(MaxMultiple,Xm/(1-RAND())^(1/Alpha)))))</f>
        <v>12.938597774886476</v>
      </c>
      <c r="P245" s="19">
        <f ca="1">IF(RAND()&lt;P_Zero,0,IF(RAND()&lt;CondReturn,_xlfn.LOGNORM.INV(RAND(),MV2,Sigma1),IF(RAND()&lt;CondGood,_xlfn.LOGNORM.INV(RAND(),MV3,Sigma2),MIN(MaxMultiple,Xm/(1-RAND())^(1/Alpha)))))</f>
        <v>0.79056386354512009</v>
      </c>
      <c r="Q245" s="19">
        <f ca="1">IF(RAND()&lt;P_Zero,0,IF(RAND()&lt;CondReturn,_xlfn.LOGNORM.INV(RAND(),MV2,Sigma1),IF(RAND()&lt;CondGood,_xlfn.LOGNORM.INV(RAND(),MV3,Sigma2),MIN(MaxMultiple,Xm/(1-RAND())^(1/Alpha)))))</f>
        <v>1.3223314778929796</v>
      </c>
      <c r="R245" s="19">
        <f ca="1">IF(RAND()&lt;P_Zero,0,IF(RAND()&lt;CondReturn,_xlfn.LOGNORM.INV(RAND(),MV2,Sigma1),IF(RAND()&lt;CondGood,_xlfn.LOGNORM.INV(RAND(),MV3,Sigma2),MIN(MaxMultiple,Xm/(1-RAND())^(1/Alpha)))))</f>
        <v>0.65281694859633577</v>
      </c>
      <c r="S245" s="19">
        <f ca="1">IF(RAND()&lt;P_Zero,0,IF(RAND()&lt;CondReturn,_xlfn.LOGNORM.INV(RAND(),MV2,Sigma1),IF(RAND()&lt;CondGood,_xlfn.LOGNORM.INV(RAND(),MV3,Sigma2),MIN(MaxMultiple,Xm/(1-RAND())^(1/Alpha)))))</f>
        <v>0</v>
      </c>
      <c r="T245" s="19">
        <f ca="1">IF(RAND()&lt;P_Zero,0,IF(RAND()&lt;CondReturn,_xlfn.LOGNORM.INV(RAND(),MV2,Sigma1),IF(RAND()&lt;CondGood,_xlfn.LOGNORM.INV(RAND(),MV3,Sigma2),MIN(MaxMultiple,Xm/(1-RAND())^(1/Alpha)))))</f>
        <v>0</v>
      </c>
      <c r="U245" s="19">
        <f ca="1">IF(RAND()&lt;P_Zero,0,IF(RAND()&lt;CondReturn,_xlfn.LOGNORM.INV(RAND(),MV2,Sigma1),IF(RAND()&lt;CondGood,_xlfn.LOGNORM.INV(RAND(),MV3,Sigma2),MIN(MaxMultiple,Xm/(1-RAND())^(1/Alpha)))))</f>
        <v>0</v>
      </c>
      <c r="V245" s="19">
        <f ca="1">IF(RAND()&lt;P_Zero,0,IF(RAND()&lt;CondReturn,_xlfn.LOGNORM.INV(RAND(),MV2,Sigma1),IF(RAND()&lt;CondGood,_xlfn.LOGNORM.INV(RAND(),MV3,Sigma2),MIN(MaxMultiple,Xm/(1-RAND())^(1/Alpha)))))</f>
        <v>2.6880940912831659</v>
      </c>
      <c r="W245" s="19">
        <f ca="1">IF(RAND()&lt;P_Zero,0,IF(RAND()&lt;CondReturn,_xlfn.LOGNORM.INV(RAND(),MV2,Sigma1),IF(RAND()&lt;CondGood,_xlfn.LOGNORM.INV(RAND(),MV3,Sigma2),MIN(MaxMultiple,Xm/(1-RAND())^(1/Alpha)))))</f>
        <v>0</v>
      </c>
      <c r="X245" s="19">
        <f ca="1">IF(RAND()&lt;P_Zero,0,IF(RAND()&lt;CondReturn,_xlfn.LOGNORM.INV(RAND(),MV2,Sigma1),IF(RAND()&lt;CondGood,_xlfn.LOGNORM.INV(RAND(),MV3,Sigma2),MIN(MaxMultiple,Xm/(1-RAND())^(1/Alpha)))))</f>
        <v>0.64768625559372672</v>
      </c>
      <c r="Y245" s="19">
        <f ca="1">IF(RAND()&lt;P_Zero,0,IF(RAND()&lt;CondReturn,_xlfn.LOGNORM.INV(RAND(),MV2,Sigma1),IF(RAND()&lt;CondGood,_xlfn.LOGNORM.INV(RAND(),MV3,Sigma2),MIN(MaxMultiple,Xm/(1-RAND())^(1/Alpha)))))</f>
        <v>1.4602770829815699</v>
      </c>
      <c r="Z245" s="19">
        <f ca="1">IF(RAND()&lt;P_Zero,0,IF(RAND()&lt;CondReturn,_xlfn.LOGNORM.INV(RAND(),MV2,Sigma1),IF(RAND()&lt;CondGood,_xlfn.LOGNORM.INV(RAND(),MV3,Sigma2),MIN(MaxMultiple,Xm/(1-RAND())^(1/Alpha)))))</f>
        <v>0.89035988903095864</v>
      </c>
      <c r="AA245" s="19">
        <f ca="1">IF(RAND()&lt;P_Zero,0,IF(RAND()&lt;CondReturn,_xlfn.LOGNORM.INV(RAND(),MV2,Sigma1),IF(RAND()&lt;CondGood,_xlfn.LOGNORM.INV(RAND(),MV3,Sigma2),MIN(MaxMultiple,Xm/(1-RAND())^(1/Alpha)))))</f>
        <v>1.4872502161699763</v>
      </c>
      <c r="AB245" s="19">
        <f t="shared" ca="1" si="24"/>
        <v>1.7365623865603033</v>
      </c>
      <c r="AC245" s="14">
        <f t="shared" ca="1" si="25"/>
        <v>83354994.554894552</v>
      </c>
      <c r="AD245" s="14">
        <f t="shared" ca="1" si="26"/>
        <v>35354994.554894552</v>
      </c>
      <c r="AE245" s="14">
        <f t="shared" si="27"/>
        <v>55628399.869093813</v>
      </c>
      <c r="AF245" s="14">
        <f t="shared" ca="1" si="28"/>
        <v>0</v>
      </c>
      <c r="AG245" s="14">
        <f t="shared" ca="1" si="29"/>
        <v>0</v>
      </c>
      <c r="AH245" s="14">
        <f t="shared" ca="1" si="30"/>
        <v>83354994.554894552</v>
      </c>
      <c r="AI245" s="19">
        <f t="shared" ca="1" si="31"/>
        <v>1.3892499092482424</v>
      </c>
    </row>
    <row r="246" spans="2:35" x14ac:dyDescent="0.2">
      <c r="B246" s="1">
        <v>241</v>
      </c>
      <c r="C246" s="19">
        <f ca="1">IF(RAND()&lt;P_Zero,0,IF(RAND()&lt;CondReturn,_xlfn.LOGNORM.INV(RAND(),MV2,Sigma1),IF(RAND()&lt;CondGood,_xlfn.LOGNORM.INV(RAND(),MV3,Sigma2),MIN(MaxMultiple,Xm/(1-RAND())^(1/Alpha)))))</f>
        <v>2.3428733243243109</v>
      </c>
      <c r="D246" s="19">
        <f ca="1">IF(RAND()&lt;P_Zero,0,IF(RAND()&lt;CondReturn,_xlfn.LOGNORM.INV(RAND(),MV2,Sigma1),IF(RAND()&lt;CondGood,_xlfn.LOGNORM.INV(RAND(),MV3,Sigma2),MIN(MaxMultiple,Xm/(1-RAND())^(1/Alpha)))))</f>
        <v>0.71395571510672728</v>
      </c>
      <c r="E246" s="19">
        <f ca="1">IF(RAND()&lt;P_Zero,0,IF(RAND()&lt;CondReturn,_xlfn.LOGNORM.INV(RAND(),MV2,Sigma1),IF(RAND()&lt;CondGood,_xlfn.LOGNORM.INV(RAND(),MV3,Sigma2),MIN(MaxMultiple,Xm/(1-RAND())^(1/Alpha)))))</f>
        <v>0.55422377413635371</v>
      </c>
      <c r="F246" s="19">
        <f ca="1">IF(RAND()&lt;P_Zero,0,IF(RAND()&lt;CondReturn,_xlfn.LOGNORM.INV(RAND(),MV2,Sigma1),IF(RAND()&lt;CondGood,_xlfn.LOGNORM.INV(RAND(),MV3,Sigma2),MIN(MaxMultiple,Xm/(1-RAND())^(1/Alpha)))))</f>
        <v>0</v>
      </c>
      <c r="G246" s="19">
        <f ca="1">IF(RAND()&lt;P_Zero,0,IF(RAND()&lt;CondReturn,_xlfn.LOGNORM.INV(RAND(),MV2,Sigma1),IF(RAND()&lt;CondGood,_xlfn.LOGNORM.INV(RAND(),MV3,Sigma2),MIN(MaxMultiple,Xm/(1-RAND())^(1/Alpha)))))</f>
        <v>0.79035455727466797</v>
      </c>
      <c r="H246" s="19">
        <f ca="1">IF(RAND()&lt;P_Zero,0,IF(RAND()&lt;CondReturn,_xlfn.LOGNORM.INV(RAND(),MV2,Sigma1),IF(RAND()&lt;CondGood,_xlfn.LOGNORM.INV(RAND(),MV3,Sigma2),MIN(MaxMultiple,Xm/(1-RAND())^(1/Alpha)))))</f>
        <v>2.038807406778353</v>
      </c>
      <c r="I246" s="19">
        <f ca="1">IF(RAND()&lt;P_Zero,0,IF(RAND()&lt;CondReturn,_xlfn.LOGNORM.INV(RAND(),MV2,Sigma1),IF(RAND()&lt;CondGood,_xlfn.LOGNORM.INV(RAND(),MV3,Sigma2),MIN(MaxMultiple,Xm/(1-RAND())^(1/Alpha)))))</f>
        <v>0</v>
      </c>
      <c r="J246" s="19">
        <f ca="1">IF(RAND()&lt;P_Zero,0,IF(RAND()&lt;CondReturn,_xlfn.LOGNORM.INV(RAND(),MV2,Sigma1),IF(RAND()&lt;CondGood,_xlfn.LOGNORM.INV(RAND(),MV3,Sigma2),MIN(MaxMultiple,Xm/(1-RAND())^(1/Alpha)))))</f>
        <v>0</v>
      </c>
      <c r="K246" s="19">
        <f ca="1">IF(RAND()&lt;P_Zero,0,IF(RAND()&lt;CondReturn,_xlfn.LOGNORM.INV(RAND(),MV2,Sigma1),IF(RAND()&lt;CondGood,_xlfn.LOGNORM.INV(RAND(),MV3,Sigma2),MIN(MaxMultiple,Xm/(1-RAND())^(1/Alpha)))))</f>
        <v>0.52831408954779047</v>
      </c>
      <c r="L246" s="19">
        <f ca="1">IF(RAND()&lt;P_Zero,0,IF(RAND()&lt;CondReturn,_xlfn.LOGNORM.INV(RAND(),MV2,Sigma1),IF(RAND()&lt;CondGood,_xlfn.LOGNORM.INV(RAND(),MV3,Sigma2),MIN(MaxMultiple,Xm/(1-RAND())^(1/Alpha)))))</f>
        <v>1.0840484374588315</v>
      </c>
      <c r="M246" s="19">
        <f ca="1">IF(RAND()&lt;P_Zero,0,IF(RAND()&lt;CondReturn,_xlfn.LOGNORM.INV(RAND(),MV2,Sigma1),IF(RAND()&lt;CondGood,_xlfn.LOGNORM.INV(RAND(),MV3,Sigma2),MIN(MaxMultiple,Xm/(1-RAND())^(1/Alpha)))))</f>
        <v>18.840415761766774</v>
      </c>
      <c r="N246" s="19">
        <f ca="1">IF(RAND()&lt;P_Zero,0,IF(RAND()&lt;CondReturn,_xlfn.LOGNORM.INV(RAND(),MV2,Sigma1),IF(RAND()&lt;CondGood,_xlfn.LOGNORM.INV(RAND(),MV3,Sigma2),MIN(MaxMultiple,Xm/(1-RAND())^(1/Alpha)))))</f>
        <v>1.0849845216821385</v>
      </c>
      <c r="O246" s="19">
        <f ca="1">IF(RAND()&lt;P_Zero,0,IF(RAND()&lt;CondReturn,_xlfn.LOGNORM.INV(RAND(),MV2,Sigma1),IF(RAND()&lt;CondGood,_xlfn.LOGNORM.INV(RAND(),MV3,Sigma2),MIN(MaxMultiple,Xm/(1-RAND())^(1/Alpha)))))</f>
        <v>0</v>
      </c>
      <c r="P246" s="19">
        <f ca="1">IF(RAND()&lt;P_Zero,0,IF(RAND()&lt;CondReturn,_xlfn.LOGNORM.INV(RAND(),MV2,Sigma1),IF(RAND()&lt;CondGood,_xlfn.LOGNORM.INV(RAND(),MV3,Sigma2),MIN(MaxMultiple,Xm/(1-RAND())^(1/Alpha)))))</f>
        <v>1.1384190993505039</v>
      </c>
      <c r="Q246" s="19">
        <f ca="1">IF(RAND()&lt;P_Zero,0,IF(RAND()&lt;CondReturn,_xlfn.LOGNORM.INV(RAND(),MV2,Sigma1),IF(RAND()&lt;CondGood,_xlfn.LOGNORM.INV(RAND(),MV3,Sigma2),MIN(MaxMultiple,Xm/(1-RAND())^(1/Alpha)))))</f>
        <v>0.93333220425285135</v>
      </c>
      <c r="R246" s="19">
        <f ca="1">IF(RAND()&lt;P_Zero,0,IF(RAND()&lt;CondReturn,_xlfn.LOGNORM.INV(RAND(),MV2,Sigma1),IF(RAND()&lt;CondGood,_xlfn.LOGNORM.INV(RAND(),MV3,Sigma2),MIN(MaxMultiple,Xm/(1-RAND())^(1/Alpha)))))</f>
        <v>1.3526782544145677</v>
      </c>
      <c r="S246" s="19">
        <f ca="1">IF(RAND()&lt;P_Zero,0,IF(RAND()&lt;CondReturn,_xlfn.LOGNORM.INV(RAND(),MV2,Sigma1),IF(RAND()&lt;CondGood,_xlfn.LOGNORM.INV(RAND(),MV3,Sigma2),MIN(MaxMultiple,Xm/(1-RAND())^(1/Alpha)))))</f>
        <v>1.0530512185641399</v>
      </c>
      <c r="T246" s="19">
        <f ca="1">IF(RAND()&lt;P_Zero,0,IF(RAND()&lt;CondReturn,_xlfn.LOGNORM.INV(RAND(),MV2,Sigma1),IF(RAND()&lt;CondGood,_xlfn.LOGNORM.INV(RAND(),MV3,Sigma2),MIN(MaxMultiple,Xm/(1-RAND())^(1/Alpha)))))</f>
        <v>0.74094396974267585</v>
      </c>
      <c r="U246" s="19">
        <f ca="1">IF(RAND()&lt;P_Zero,0,IF(RAND()&lt;CondReturn,_xlfn.LOGNORM.INV(RAND(),MV2,Sigma1),IF(RAND()&lt;CondGood,_xlfn.LOGNORM.INV(RAND(),MV3,Sigma2),MIN(MaxMultiple,Xm/(1-RAND())^(1/Alpha)))))</f>
        <v>0.81236763075544927</v>
      </c>
      <c r="V246" s="19">
        <f ca="1">IF(RAND()&lt;P_Zero,0,IF(RAND()&lt;CondReturn,_xlfn.LOGNORM.INV(RAND(),MV2,Sigma1),IF(RAND()&lt;CondGood,_xlfn.LOGNORM.INV(RAND(),MV3,Sigma2),MIN(MaxMultiple,Xm/(1-RAND())^(1/Alpha)))))</f>
        <v>1.7082498932712982</v>
      </c>
      <c r="W246" s="19">
        <f ca="1">IF(RAND()&lt;P_Zero,0,IF(RAND()&lt;CondReturn,_xlfn.LOGNORM.INV(RAND(),MV2,Sigma1),IF(RAND()&lt;CondGood,_xlfn.LOGNORM.INV(RAND(),MV3,Sigma2),MIN(MaxMultiple,Xm/(1-RAND())^(1/Alpha)))))</f>
        <v>1.0621851633523904</v>
      </c>
      <c r="X246" s="19">
        <f ca="1">IF(RAND()&lt;P_Zero,0,IF(RAND()&lt;CondReturn,_xlfn.LOGNORM.INV(RAND(),MV2,Sigma1),IF(RAND()&lt;CondGood,_xlfn.LOGNORM.INV(RAND(),MV3,Sigma2),MIN(MaxMultiple,Xm/(1-RAND())^(1/Alpha)))))</f>
        <v>1.5922155599951515</v>
      </c>
      <c r="Y246" s="19">
        <f ca="1">IF(RAND()&lt;P_Zero,0,IF(RAND()&lt;CondReturn,_xlfn.LOGNORM.INV(RAND(),MV2,Sigma1),IF(RAND()&lt;CondGood,_xlfn.LOGNORM.INV(RAND(),MV3,Sigma2),MIN(MaxMultiple,Xm/(1-RAND())^(1/Alpha)))))</f>
        <v>1.1799757531998305</v>
      </c>
      <c r="Z246" s="19">
        <f ca="1">IF(RAND()&lt;P_Zero,0,IF(RAND()&lt;CondReturn,_xlfn.LOGNORM.INV(RAND(),MV2,Sigma1),IF(RAND()&lt;CondGood,_xlfn.LOGNORM.INV(RAND(),MV3,Sigma2),MIN(MaxMultiple,Xm/(1-RAND())^(1/Alpha)))))</f>
        <v>0</v>
      </c>
      <c r="AA246" s="19">
        <f ca="1">IF(RAND()&lt;P_Zero,0,IF(RAND()&lt;CondReturn,_xlfn.LOGNORM.INV(RAND(),MV2,Sigma1),IF(RAND()&lt;CondGood,_xlfn.LOGNORM.INV(RAND(),MV3,Sigma2),MIN(MaxMultiple,Xm/(1-RAND())^(1/Alpha)))))</f>
        <v>1.356524192663761</v>
      </c>
      <c r="AB246" s="19">
        <f t="shared" ca="1" si="24"/>
        <v>1.636316821105543</v>
      </c>
      <c r="AC246" s="14">
        <f t="shared" ca="1" si="25"/>
        <v>78543207.413066059</v>
      </c>
      <c r="AD246" s="14">
        <f t="shared" ca="1" si="26"/>
        <v>30543207.413066059</v>
      </c>
      <c r="AE246" s="14">
        <f t="shared" si="27"/>
        <v>55628399.869093813</v>
      </c>
      <c r="AF246" s="14">
        <f t="shared" ca="1" si="28"/>
        <v>0</v>
      </c>
      <c r="AG246" s="14">
        <f t="shared" ca="1" si="29"/>
        <v>0</v>
      </c>
      <c r="AH246" s="14">
        <f t="shared" ca="1" si="30"/>
        <v>78543207.413066059</v>
      </c>
      <c r="AI246" s="19">
        <f t="shared" ca="1" si="31"/>
        <v>1.3090534568844343</v>
      </c>
    </row>
    <row r="247" spans="2:35" x14ac:dyDescent="0.2">
      <c r="B247" s="1">
        <v>242</v>
      </c>
      <c r="C247" s="19">
        <f ca="1">IF(RAND()&lt;P_Zero,0,IF(RAND()&lt;CondReturn,_xlfn.LOGNORM.INV(RAND(),MV2,Sigma1),IF(RAND()&lt;CondGood,_xlfn.LOGNORM.INV(RAND(),MV3,Sigma2),MIN(MaxMultiple,Xm/(1-RAND())^(1/Alpha)))))</f>
        <v>0.8798591043763142</v>
      </c>
      <c r="D247" s="19">
        <f ca="1">IF(RAND()&lt;P_Zero,0,IF(RAND()&lt;CondReturn,_xlfn.LOGNORM.INV(RAND(),MV2,Sigma1),IF(RAND()&lt;CondGood,_xlfn.LOGNORM.INV(RAND(),MV3,Sigma2),MIN(MaxMultiple,Xm/(1-RAND())^(1/Alpha)))))</f>
        <v>0</v>
      </c>
      <c r="E247" s="19">
        <f ca="1">IF(RAND()&lt;P_Zero,0,IF(RAND()&lt;CondReturn,_xlfn.LOGNORM.INV(RAND(),MV2,Sigma1),IF(RAND()&lt;CondGood,_xlfn.LOGNORM.INV(RAND(),MV3,Sigma2),MIN(MaxMultiple,Xm/(1-RAND())^(1/Alpha)))))</f>
        <v>0</v>
      </c>
      <c r="F247" s="19">
        <f ca="1">IF(RAND()&lt;P_Zero,0,IF(RAND()&lt;CondReturn,_xlfn.LOGNORM.INV(RAND(),MV2,Sigma1),IF(RAND()&lt;CondGood,_xlfn.LOGNORM.INV(RAND(),MV3,Sigma2),MIN(MaxMultiple,Xm/(1-RAND())^(1/Alpha)))))</f>
        <v>0</v>
      </c>
      <c r="G247" s="19">
        <f ca="1">IF(RAND()&lt;P_Zero,0,IF(RAND()&lt;CondReturn,_xlfn.LOGNORM.INV(RAND(),MV2,Sigma1),IF(RAND()&lt;CondGood,_xlfn.LOGNORM.INV(RAND(),MV3,Sigma2),MIN(MaxMultiple,Xm/(1-RAND())^(1/Alpha)))))</f>
        <v>1.1003434240147005</v>
      </c>
      <c r="H247" s="19">
        <f ca="1">IF(RAND()&lt;P_Zero,0,IF(RAND()&lt;CondReturn,_xlfn.LOGNORM.INV(RAND(),MV2,Sigma1),IF(RAND()&lt;CondGood,_xlfn.LOGNORM.INV(RAND(),MV3,Sigma2),MIN(MaxMultiple,Xm/(1-RAND())^(1/Alpha)))))</f>
        <v>1.2047475266348719</v>
      </c>
      <c r="I247" s="19">
        <f ca="1">IF(RAND()&lt;P_Zero,0,IF(RAND()&lt;CondReturn,_xlfn.LOGNORM.INV(RAND(),MV2,Sigma1),IF(RAND()&lt;CondGood,_xlfn.LOGNORM.INV(RAND(),MV3,Sigma2),MIN(MaxMultiple,Xm/(1-RAND())^(1/Alpha)))))</f>
        <v>0</v>
      </c>
      <c r="J247" s="19">
        <f ca="1">IF(RAND()&lt;P_Zero,0,IF(RAND()&lt;CondReturn,_xlfn.LOGNORM.INV(RAND(),MV2,Sigma1),IF(RAND()&lt;CondGood,_xlfn.LOGNORM.INV(RAND(),MV3,Sigma2),MIN(MaxMultiple,Xm/(1-RAND())^(1/Alpha)))))</f>
        <v>1.2257154214426966</v>
      </c>
      <c r="K247" s="19">
        <f ca="1">IF(RAND()&lt;P_Zero,0,IF(RAND()&lt;CondReturn,_xlfn.LOGNORM.INV(RAND(),MV2,Sigma1),IF(RAND()&lt;CondGood,_xlfn.LOGNORM.INV(RAND(),MV3,Sigma2),MIN(MaxMultiple,Xm/(1-RAND())^(1/Alpha)))))</f>
        <v>1.9147180089579017</v>
      </c>
      <c r="L247" s="19">
        <f ca="1">IF(RAND()&lt;P_Zero,0,IF(RAND()&lt;CondReturn,_xlfn.LOGNORM.INV(RAND(),MV2,Sigma1),IF(RAND()&lt;CondGood,_xlfn.LOGNORM.INV(RAND(),MV3,Sigma2),MIN(MaxMultiple,Xm/(1-RAND())^(1/Alpha)))))</f>
        <v>0.58985876696341077</v>
      </c>
      <c r="M247" s="19">
        <f ca="1">IF(RAND()&lt;P_Zero,0,IF(RAND()&lt;CondReturn,_xlfn.LOGNORM.INV(RAND(),MV2,Sigma1),IF(RAND()&lt;CondGood,_xlfn.LOGNORM.INV(RAND(),MV3,Sigma2),MIN(MaxMultiple,Xm/(1-RAND())^(1/Alpha)))))</f>
        <v>0</v>
      </c>
      <c r="N247" s="19">
        <f ca="1">IF(RAND()&lt;P_Zero,0,IF(RAND()&lt;CondReturn,_xlfn.LOGNORM.INV(RAND(),MV2,Sigma1),IF(RAND()&lt;CondGood,_xlfn.LOGNORM.INV(RAND(),MV3,Sigma2),MIN(MaxMultiple,Xm/(1-RAND())^(1/Alpha)))))</f>
        <v>1.2958540469925146</v>
      </c>
      <c r="O247" s="19">
        <f ca="1">IF(RAND()&lt;P_Zero,0,IF(RAND()&lt;CondReturn,_xlfn.LOGNORM.INV(RAND(),MV2,Sigma1),IF(RAND()&lt;CondGood,_xlfn.LOGNORM.INV(RAND(),MV3,Sigma2),MIN(MaxMultiple,Xm/(1-RAND())^(1/Alpha)))))</f>
        <v>0.60844537229446383</v>
      </c>
      <c r="P247" s="19">
        <f ca="1">IF(RAND()&lt;P_Zero,0,IF(RAND()&lt;CondReturn,_xlfn.LOGNORM.INV(RAND(),MV2,Sigma1),IF(RAND()&lt;CondGood,_xlfn.LOGNORM.INV(RAND(),MV3,Sigma2),MIN(MaxMultiple,Xm/(1-RAND())^(1/Alpha)))))</f>
        <v>0.64701061553874462</v>
      </c>
      <c r="Q247" s="19">
        <f ca="1">IF(RAND()&lt;P_Zero,0,IF(RAND()&lt;CondReturn,_xlfn.LOGNORM.INV(RAND(),MV2,Sigma1),IF(RAND()&lt;CondGood,_xlfn.LOGNORM.INV(RAND(),MV3,Sigma2),MIN(MaxMultiple,Xm/(1-RAND())^(1/Alpha)))))</f>
        <v>0.88816099144028793</v>
      </c>
      <c r="R247" s="19">
        <f ca="1">IF(RAND()&lt;P_Zero,0,IF(RAND()&lt;CondReturn,_xlfn.LOGNORM.INV(RAND(),MV2,Sigma1),IF(RAND()&lt;CondGood,_xlfn.LOGNORM.INV(RAND(),MV3,Sigma2),MIN(MaxMultiple,Xm/(1-RAND())^(1/Alpha)))))</f>
        <v>0</v>
      </c>
      <c r="S247" s="19">
        <f ca="1">IF(RAND()&lt;P_Zero,0,IF(RAND()&lt;CondReturn,_xlfn.LOGNORM.INV(RAND(),MV2,Sigma1),IF(RAND()&lt;CondGood,_xlfn.LOGNORM.INV(RAND(),MV3,Sigma2),MIN(MaxMultiple,Xm/(1-RAND())^(1/Alpha)))))</f>
        <v>0.58357961719631668</v>
      </c>
      <c r="T247" s="19">
        <f ca="1">IF(RAND()&lt;P_Zero,0,IF(RAND()&lt;CondReturn,_xlfn.LOGNORM.INV(RAND(),MV2,Sigma1),IF(RAND()&lt;CondGood,_xlfn.LOGNORM.INV(RAND(),MV3,Sigma2),MIN(MaxMultiple,Xm/(1-RAND())^(1/Alpha)))))</f>
        <v>0</v>
      </c>
      <c r="U247" s="19">
        <f ca="1">IF(RAND()&lt;P_Zero,0,IF(RAND()&lt;CondReturn,_xlfn.LOGNORM.INV(RAND(),MV2,Sigma1),IF(RAND()&lt;CondGood,_xlfn.LOGNORM.INV(RAND(),MV3,Sigma2),MIN(MaxMultiple,Xm/(1-RAND())^(1/Alpha)))))</f>
        <v>0.58024493580427328</v>
      </c>
      <c r="V247" s="19">
        <f ca="1">IF(RAND()&lt;P_Zero,0,IF(RAND()&lt;CondReturn,_xlfn.LOGNORM.INV(RAND(),MV2,Sigma1),IF(RAND()&lt;CondGood,_xlfn.LOGNORM.INV(RAND(),MV3,Sigma2),MIN(MaxMultiple,Xm/(1-RAND())^(1/Alpha)))))</f>
        <v>1.490056022232034</v>
      </c>
      <c r="W247" s="19">
        <f ca="1">IF(RAND()&lt;P_Zero,0,IF(RAND()&lt;CondReturn,_xlfn.LOGNORM.INV(RAND(),MV2,Sigma1),IF(RAND()&lt;CondGood,_xlfn.LOGNORM.INV(RAND(),MV3,Sigma2),MIN(MaxMultiple,Xm/(1-RAND())^(1/Alpha)))))</f>
        <v>1.0814387095872142</v>
      </c>
      <c r="X247" s="19">
        <f ca="1">IF(RAND()&lt;P_Zero,0,IF(RAND()&lt;CondReturn,_xlfn.LOGNORM.INV(RAND(),MV2,Sigma1),IF(RAND()&lt;CondGood,_xlfn.LOGNORM.INV(RAND(),MV3,Sigma2),MIN(MaxMultiple,Xm/(1-RAND())^(1/Alpha)))))</f>
        <v>0</v>
      </c>
      <c r="Y247" s="19">
        <f ca="1">IF(RAND()&lt;P_Zero,0,IF(RAND()&lt;CondReturn,_xlfn.LOGNORM.INV(RAND(),MV2,Sigma1),IF(RAND()&lt;CondGood,_xlfn.LOGNORM.INV(RAND(),MV3,Sigma2),MIN(MaxMultiple,Xm/(1-RAND())^(1/Alpha)))))</f>
        <v>0.53361646104484328</v>
      </c>
      <c r="Z247" s="19">
        <f ca="1">IF(RAND()&lt;P_Zero,0,IF(RAND()&lt;CondReturn,_xlfn.LOGNORM.INV(RAND(),MV2,Sigma1),IF(RAND()&lt;CondGood,_xlfn.LOGNORM.INV(RAND(),MV3,Sigma2),MIN(MaxMultiple,Xm/(1-RAND())^(1/Alpha)))))</f>
        <v>1.0956932641488646</v>
      </c>
      <c r="AA247" s="19">
        <f ca="1">IF(RAND()&lt;P_Zero,0,IF(RAND()&lt;CondReturn,_xlfn.LOGNORM.INV(RAND(),MV2,Sigma1),IF(RAND()&lt;CondGood,_xlfn.LOGNORM.INV(RAND(),MV3,Sigma2),MIN(MaxMultiple,Xm/(1-RAND())^(1/Alpha)))))</f>
        <v>0</v>
      </c>
      <c r="AB247" s="19">
        <f t="shared" ca="1" si="24"/>
        <v>0.6287736915467782</v>
      </c>
      <c r="AC247" s="14">
        <f t="shared" ca="1" si="25"/>
        <v>30181137.194245353</v>
      </c>
      <c r="AD247" s="14">
        <f t="shared" ca="1" si="26"/>
        <v>-17818862.805754647</v>
      </c>
      <c r="AE247" s="14">
        <f t="shared" si="27"/>
        <v>55628399.869093813</v>
      </c>
      <c r="AF247" s="14">
        <f t="shared" ca="1" si="28"/>
        <v>0</v>
      </c>
      <c r="AG247" s="14">
        <f t="shared" ca="1" si="29"/>
        <v>0</v>
      </c>
      <c r="AH247" s="14">
        <f t="shared" ca="1" si="30"/>
        <v>30181137.194245353</v>
      </c>
      <c r="AI247" s="19">
        <f t="shared" ca="1" si="31"/>
        <v>0.50301895323742252</v>
      </c>
    </row>
    <row r="248" spans="2:35" x14ac:dyDescent="0.2">
      <c r="B248" s="1">
        <v>243</v>
      </c>
      <c r="C248" s="19">
        <f ca="1">IF(RAND()&lt;P_Zero,0,IF(RAND()&lt;CondReturn,_xlfn.LOGNORM.INV(RAND(),MV2,Sigma1),IF(RAND()&lt;CondGood,_xlfn.LOGNORM.INV(RAND(),MV3,Sigma2),MIN(MaxMultiple,Xm/(1-RAND())^(1/Alpha)))))</f>
        <v>19.909646149748607</v>
      </c>
      <c r="D248" s="19">
        <f ca="1">IF(RAND()&lt;P_Zero,0,IF(RAND()&lt;CondReturn,_xlfn.LOGNORM.INV(RAND(),MV2,Sigma1),IF(RAND()&lt;CondGood,_xlfn.LOGNORM.INV(RAND(),MV3,Sigma2),MIN(MaxMultiple,Xm/(1-RAND())^(1/Alpha)))))</f>
        <v>0</v>
      </c>
      <c r="E248" s="19">
        <f ca="1">IF(RAND()&lt;P_Zero,0,IF(RAND()&lt;CondReturn,_xlfn.LOGNORM.INV(RAND(),MV2,Sigma1),IF(RAND()&lt;CondGood,_xlfn.LOGNORM.INV(RAND(),MV3,Sigma2),MIN(MaxMultiple,Xm/(1-RAND())^(1/Alpha)))))</f>
        <v>1.0784939294125164</v>
      </c>
      <c r="F248" s="19">
        <f ca="1">IF(RAND()&lt;P_Zero,0,IF(RAND()&lt;CondReturn,_xlfn.LOGNORM.INV(RAND(),MV2,Sigma1),IF(RAND()&lt;CondGood,_xlfn.LOGNORM.INV(RAND(),MV3,Sigma2),MIN(MaxMultiple,Xm/(1-RAND())^(1/Alpha)))))</f>
        <v>0.84556268986340888</v>
      </c>
      <c r="G248" s="19">
        <f ca="1">IF(RAND()&lt;P_Zero,0,IF(RAND()&lt;CondReturn,_xlfn.LOGNORM.INV(RAND(),MV2,Sigma1),IF(RAND()&lt;CondGood,_xlfn.LOGNORM.INV(RAND(),MV3,Sigma2),MIN(MaxMultiple,Xm/(1-RAND())^(1/Alpha)))))</f>
        <v>0.64479233966445293</v>
      </c>
      <c r="H248" s="19">
        <f ca="1">IF(RAND()&lt;P_Zero,0,IF(RAND()&lt;CondReturn,_xlfn.LOGNORM.INV(RAND(),MV2,Sigma1),IF(RAND()&lt;CondGood,_xlfn.LOGNORM.INV(RAND(),MV3,Sigma2),MIN(MaxMultiple,Xm/(1-RAND())^(1/Alpha)))))</f>
        <v>0.51504147127276578</v>
      </c>
      <c r="I248" s="19">
        <f ca="1">IF(RAND()&lt;P_Zero,0,IF(RAND()&lt;CondReturn,_xlfn.LOGNORM.INV(RAND(),MV2,Sigma1),IF(RAND()&lt;CondGood,_xlfn.LOGNORM.INV(RAND(),MV3,Sigma2),MIN(MaxMultiple,Xm/(1-RAND())^(1/Alpha)))))</f>
        <v>0</v>
      </c>
      <c r="J248" s="19">
        <f ca="1">IF(RAND()&lt;P_Zero,0,IF(RAND()&lt;CondReturn,_xlfn.LOGNORM.INV(RAND(),MV2,Sigma1),IF(RAND()&lt;CondGood,_xlfn.LOGNORM.INV(RAND(),MV3,Sigma2),MIN(MaxMultiple,Xm/(1-RAND())^(1/Alpha)))))</f>
        <v>0.27882340098071778</v>
      </c>
      <c r="K248" s="19">
        <f ca="1">IF(RAND()&lt;P_Zero,0,IF(RAND()&lt;CondReturn,_xlfn.LOGNORM.INV(RAND(),MV2,Sigma1),IF(RAND()&lt;CondGood,_xlfn.LOGNORM.INV(RAND(),MV3,Sigma2),MIN(MaxMultiple,Xm/(1-RAND())^(1/Alpha)))))</f>
        <v>0</v>
      </c>
      <c r="L248" s="19">
        <f ca="1">IF(RAND()&lt;P_Zero,0,IF(RAND()&lt;CondReturn,_xlfn.LOGNORM.INV(RAND(),MV2,Sigma1),IF(RAND()&lt;CondGood,_xlfn.LOGNORM.INV(RAND(),MV3,Sigma2),MIN(MaxMultiple,Xm/(1-RAND())^(1/Alpha)))))</f>
        <v>2.9133186078364584</v>
      </c>
      <c r="M248" s="19">
        <f ca="1">IF(RAND()&lt;P_Zero,0,IF(RAND()&lt;CondReturn,_xlfn.LOGNORM.INV(RAND(),MV2,Sigma1),IF(RAND()&lt;CondGood,_xlfn.LOGNORM.INV(RAND(),MV3,Sigma2),MIN(MaxMultiple,Xm/(1-RAND())^(1/Alpha)))))</f>
        <v>2.2337583682832416</v>
      </c>
      <c r="N248" s="19">
        <f ca="1">IF(RAND()&lt;P_Zero,0,IF(RAND()&lt;CondReturn,_xlfn.LOGNORM.INV(RAND(),MV2,Sigma1),IF(RAND()&lt;CondGood,_xlfn.LOGNORM.INV(RAND(),MV3,Sigma2),MIN(MaxMultiple,Xm/(1-RAND())^(1/Alpha)))))</f>
        <v>0</v>
      </c>
      <c r="O248" s="19">
        <f ca="1">IF(RAND()&lt;P_Zero,0,IF(RAND()&lt;CondReturn,_xlfn.LOGNORM.INV(RAND(),MV2,Sigma1),IF(RAND()&lt;CondGood,_xlfn.LOGNORM.INV(RAND(),MV3,Sigma2),MIN(MaxMultiple,Xm/(1-RAND())^(1/Alpha)))))</f>
        <v>0.54961698295721906</v>
      </c>
      <c r="P248" s="19">
        <f ca="1">IF(RAND()&lt;P_Zero,0,IF(RAND()&lt;CondReturn,_xlfn.LOGNORM.INV(RAND(),MV2,Sigma1),IF(RAND()&lt;CondGood,_xlfn.LOGNORM.INV(RAND(),MV3,Sigma2),MIN(MaxMultiple,Xm/(1-RAND())^(1/Alpha)))))</f>
        <v>0</v>
      </c>
      <c r="Q248" s="19">
        <f ca="1">IF(RAND()&lt;P_Zero,0,IF(RAND()&lt;CondReturn,_xlfn.LOGNORM.INV(RAND(),MV2,Sigma1),IF(RAND()&lt;CondGood,_xlfn.LOGNORM.INV(RAND(),MV3,Sigma2),MIN(MaxMultiple,Xm/(1-RAND())^(1/Alpha)))))</f>
        <v>0</v>
      </c>
      <c r="R248" s="19">
        <f ca="1">IF(RAND()&lt;P_Zero,0,IF(RAND()&lt;CondReturn,_xlfn.LOGNORM.INV(RAND(),MV2,Sigma1),IF(RAND()&lt;CondGood,_xlfn.LOGNORM.INV(RAND(),MV3,Sigma2),MIN(MaxMultiple,Xm/(1-RAND())^(1/Alpha)))))</f>
        <v>0</v>
      </c>
      <c r="S248" s="19">
        <f ca="1">IF(RAND()&lt;P_Zero,0,IF(RAND()&lt;CondReturn,_xlfn.LOGNORM.INV(RAND(),MV2,Sigma1),IF(RAND()&lt;CondGood,_xlfn.LOGNORM.INV(RAND(),MV3,Sigma2),MIN(MaxMultiple,Xm/(1-RAND())^(1/Alpha)))))</f>
        <v>36.615827994523826</v>
      </c>
      <c r="T248" s="19">
        <f ca="1">IF(RAND()&lt;P_Zero,0,IF(RAND()&lt;CondReturn,_xlfn.LOGNORM.INV(RAND(),MV2,Sigma1),IF(RAND()&lt;CondGood,_xlfn.LOGNORM.INV(RAND(),MV3,Sigma2),MIN(MaxMultiple,Xm/(1-RAND())^(1/Alpha)))))</f>
        <v>0.32709789033269415</v>
      </c>
      <c r="U248" s="19">
        <f ca="1">IF(RAND()&lt;P_Zero,0,IF(RAND()&lt;CondReturn,_xlfn.LOGNORM.INV(RAND(),MV2,Sigma1),IF(RAND()&lt;CondGood,_xlfn.LOGNORM.INV(RAND(),MV3,Sigma2),MIN(MaxMultiple,Xm/(1-RAND())^(1/Alpha)))))</f>
        <v>1.0440901753892304</v>
      </c>
      <c r="V248" s="19">
        <f ca="1">IF(RAND()&lt;P_Zero,0,IF(RAND()&lt;CondReturn,_xlfn.LOGNORM.INV(RAND(),MV2,Sigma1),IF(RAND()&lt;CondGood,_xlfn.LOGNORM.INV(RAND(),MV3,Sigma2),MIN(MaxMultiple,Xm/(1-RAND())^(1/Alpha)))))</f>
        <v>0</v>
      </c>
      <c r="W248" s="19">
        <f ca="1">IF(RAND()&lt;P_Zero,0,IF(RAND()&lt;CondReturn,_xlfn.LOGNORM.INV(RAND(),MV2,Sigma1),IF(RAND()&lt;CondGood,_xlfn.LOGNORM.INV(RAND(),MV3,Sigma2),MIN(MaxMultiple,Xm/(1-RAND())^(1/Alpha)))))</f>
        <v>12.281780556151208</v>
      </c>
      <c r="X248" s="19">
        <f ca="1">IF(RAND()&lt;P_Zero,0,IF(RAND()&lt;CondReturn,_xlfn.LOGNORM.INV(RAND(),MV2,Sigma1),IF(RAND()&lt;CondGood,_xlfn.LOGNORM.INV(RAND(),MV3,Sigma2),MIN(MaxMultiple,Xm/(1-RAND())^(1/Alpha)))))</f>
        <v>0</v>
      </c>
      <c r="Y248" s="19">
        <f ca="1">IF(RAND()&lt;P_Zero,0,IF(RAND()&lt;CondReturn,_xlfn.LOGNORM.INV(RAND(),MV2,Sigma1),IF(RAND()&lt;CondGood,_xlfn.LOGNORM.INV(RAND(),MV3,Sigma2),MIN(MaxMultiple,Xm/(1-RAND())^(1/Alpha)))))</f>
        <v>1.4890577222891055</v>
      </c>
      <c r="Z248" s="19">
        <f ca="1">IF(RAND()&lt;P_Zero,0,IF(RAND()&lt;CondReturn,_xlfn.LOGNORM.INV(RAND(),MV2,Sigma1),IF(RAND()&lt;CondGood,_xlfn.LOGNORM.INV(RAND(),MV3,Sigma2),MIN(MaxMultiple,Xm/(1-RAND())^(1/Alpha)))))</f>
        <v>0.65748891510841301</v>
      </c>
      <c r="AA248" s="19">
        <f ca="1">IF(RAND()&lt;P_Zero,0,IF(RAND()&lt;CondReturn,_xlfn.LOGNORM.INV(RAND(),MV2,Sigma1),IF(RAND()&lt;CondGood,_xlfn.LOGNORM.INV(RAND(),MV3,Sigma2),MIN(MaxMultiple,Xm/(1-RAND())^(1/Alpha)))))</f>
        <v>1.2751461337323162</v>
      </c>
      <c r="AB248" s="19">
        <f t="shared" ca="1" si="24"/>
        <v>3.3063817331018468</v>
      </c>
      <c r="AC248" s="14">
        <f t="shared" ca="1" si="25"/>
        <v>158706323.18888864</v>
      </c>
      <c r="AD248" s="14">
        <f t="shared" ca="1" si="26"/>
        <v>110706323.18888864</v>
      </c>
      <c r="AE248" s="14">
        <f t="shared" si="27"/>
        <v>55628399.869093813</v>
      </c>
      <c r="AF248" s="14">
        <f t="shared" ca="1" si="28"/>
        <v>55077923.319794826</v>
      </c>
      <c r="AG248" s="14">
        <f t="shared" ca="1" si="29"/>
        <v>11015584.663958967</v>
      </c>
      <c r="AH248" s="14">
        <f t="shared" ca="1" si="30"/>
        <v>147690738.52492967</v>
      </c>
      <c r="AI248" s="19">
        <f t="shared" ca="1" si="31"/>
        <v>2.4615123087488278</v>
      </c>
    </row>
    <row r="249" spans="2:35" x14ac:dyDescent="0.2">
      <c r="B249" s="1">
        <v>244</v>
      </c>
      <c r="C249" s="19">
        <f ca="1">IF(RAND()&lt;P_Zero,0,IF(RAND()&lt;CondReturn,_xlfn.LOGNORM.INV(RAND(),MV2,Sigma1),IF(RAND()&lt;CondGood,_xlfn.LOGNORM.INV(RAND(),MV3,Sigma2),MIN(MaxMultiple,Xm/(1-RAND())^(1/Alpha)))))</f>
        <v>0</v>
      </c>
      <c r="D249" s="19">
        <f ca="1">IF(RAND()&lt;P_Zero,0,IF(RAND()&lt;CondReturn,_xlfn.LOGNORM.INV(RAND(),MV2,Sigma1),IF(RAND()&lt;CondGood,_xlfn.LOGNORM.INV(RAND(),MV3,Sigma2),MIN(MaxMultiple,Xm/(1-RAND())^(1/Alpha)))))</f>
        <v>0</v>
      </c>
      <c r="E249" s="19">
        <f ca="1">IF(RAND()&lt;P_Zero,0,IF(RAND()&lt;CondReturn,_xlfn.LOGNORM.INV(RAND(),MV2,Sigma1),IF(RAND()&lt;CondGood,_xlfn.LOGNORM.INV(RAND(),MV3,Sigma2),MIN(MaxMultiple,Xm/(1-RAND())^(1/Alpha)))))</f>
        <v>1.6411165051592917</v>
      </c>
      <c r="F249" s="19">
        <f ca="1">IF(RAND()&lt;P_Zero,0,IF(RAND()&lt;CondReturn,_xlfn.LOGNORM.INV(RAND(),MV2,Sigma1),IF(RAND()&lt;CondGood,_xlfn.LOGNORM.INV(RAND(),MV3,Sigma2),MIN(MaxMultiple,Xm/(1-RAND())^(1/Alpha)))))</f>
        <v>0.59816483985579638</v>
      </c>
      <c r="G249" s="19">
        <f ca="1">IF(RAND()&lt;P_Zero,0,IF(RAND()&lt;CondReturn,_xlfn.LOGNORM.INV(RAND(),MV2,Sigma1),IF(RAND()&lt;CondGood,_xlfn.LOGNORM.INV(RAND(),MV3,Sigma2),MIN(MaxMultiple,Xm/(1-RAND())^(1/Alpha)))))</f>
        <v>0.87045953008005328</v>
      </c>
      <c r="H249" s="19">
        <f ca="1">IF(RAND()&lt;P_Zero,0,IF(RAND()&lt;CondReturn,_xlfn.LOGNORM.INV(RAND(),MV2,Sigma1),IF(RAND()&lt;CondGood,_xlfn.LOGNORM.INV(RAND(),MV3,Sigma2),MIN(MaxMultiple,Xm/(1-RAND())^(1/Alpha)))))</f>
        <v>0.48877268467806584</v>
      </c>
      <c r="I249" s="19">
        <f ca="1">IF(RAND()&lt;P_Zero,0,IF(RAND()&lt;CondReturn,_xlfn.LOGNORM.INV(RAND(),MV2,Sigma1),IF(RAND()&lt;CondGood,_xlfn.LOGNORM.INV(RAND(),MV3,Sigma2),MIN(MaxMultiple,Xm/(1-RAND())^(1/Alpha)))))</f>
        <v>0</v>
      </c>
      <c r="J249" s="19">
        <f ca="1">IF(RAND()&lt;P_Zero,0,IF(RAND()&lt;CondReturn,_xlfn.LOGNORM.INV(RAND(),MV2,Sigma1),IF(RAND()&lt;CondGood,_xlfn.LOGNORM.INV(RAND(),MV3,Sigma2),MIN(MaxMultiple,Xm/(1-RAND())^(1/Alpha)))))</f>
        <v>15.454816201802965</v>
      </c>
      <c r="K249" s="19">
        <f ca="1">IF(RAND()&lt;P_Zero,0,IF(RAND()&lt;CondReturn,_xlfn.LOGNORM.INV(RAND(),MV2,Sigma1),IF(RAND()&lt;CondGood,_xlfn.LOGNORM.INV(RAND(),MV3,Sigma2),MIN(MaxMultiple,Xm/(1-RAND())^(1/Alpha)))))</f>
        <v>0</v>
      </c>
      <c r="L249" s="19">
        <f ca="1">IF(RAND()&lt;P_Zero,0,IF(RAND()&lt;CondReturn,_xlfn.LOGNORM.INV(RAND(),MV2,Sigma1),IF(RAND()&lt;CondGood,_xlfn.LOGNORM.INV(RAND(),MV3,Sigma2),MIN(MaxMultiple,Xm/(1-RAND())^(1/Alpha)))))</f>
        <v>1.1422432962427234</v>
      </c>
      <c r="M249" s="19">
        <f ca="1">IF(RAND()&lt;P_Zero,0,IF(RAND()&lt;CondReturn,_xlfn.LOGNORM.INV(RAND(),MV2,Sigma1),IF(RAND()&lt;CondGood,_xlfn.LOGNORM.INV(RAND(),MV3,Sigma2),MIN(MaxMultiple,Xm/(1-RAND())^(1/Alpha)))))</f>
        <v>0</v>
      </c>
      <c r="N249" s="19">
        <f ca="1">IF(RAND()&lt;P_Zero,0,IF(RAND()&lt;CondReturn,_xlfn.LOGNORM.INV(RAND(),MV2,Sigma1),IF(RAND()&lt;CondGood,_xlfn.LOGNORM.INV(RAND(),MV3,Sigma2),MIN(MaxMultiple,Xm/(1-RAND())^(1/Alpha)))))</f>
        <v>0</v>
      </c>
      <c r="O249" s="19">
        <f ca="1">IF(RAND()&lt;P_Zero,0,IF(RAND()&lt;CondReturn,_xlfn.LOGNORM.INV(RAND(),MV2,Sigma1),IF(RAND()&lt;CondGood,_xlfn.LOGNORM.INV(RAND(),MV3,Sigma2),MIN(MaxMultiple,Xm/(1-RAND())^(1/Alpha)))))</f>
        <v>0</v>
      </c>
      <c r="P249" s="19">
        <f ca="1">IF(RAND()&lt;P_Zero,0,IF(RAND()&lt;CondReturn,_xlfn.LOGNORM.INV(RAND(),MV2,Sigma1),IF(RAND()&lt;CondGood,_xlfn.LOGNORM.INV(RAND(),MV3,Sigma2),MIN(MaxMultiple,Xm/(1-RAND())^(1/Alpha)))))</f>
        <v>1.5313881567781942</v>
      </c>
      <c r="Q249" s="19">
        <f ca="1">IF(RAND()&lt;P_Zero,0,IF(RAND()&lt;CondReturn,_xlfn.LOGNORM.INV(RAND(),MV2,Sigma1),IF(RAND()&lt;CondGood,_xlfn.LOGNORM.INV(RAND(),MV3,Sigma2),MIN(MaxMultiple,Xm/(1-RAND())^(1/Alpha)))))</f>
        <v>0.36667151320943409</v>
      </c>
      <c r="R249" s="19">
        <f ca="1">IF(RAND()&lt;P_Zero,0,IF(RAND()&lt;CondReturn,_xlfn.LOGNORM.INV(RAND(),MV2,Sigma1),IF(RAND()&lt;CondGood,_xlfn.LOGNORM.INV(RAND(),MV3,Sigma2),MIN(MaxMultiple,Xm/(1-RAND())^(1/Alpha)))))</f>
        <v>17.595701549476406</v>
      </c>
      <c r="S249" s="19">
        <f ca="1">IF(RAND()&lt;P_Zero,0,IF(RAND()&lt;CondReturn,_xlfn.LOGNORM.INV(RAND(),MV2,Sigma1),IF(RAND()&lt;CondGood,_xlfn.LOGNORM.INV(RAND(),MV3,Sigma2),MIN(MaxMultiple,Xm/(1-RAND())^(1/Alpha)))))</f>
        <v>1.6360507267501103</v>
      </c>
      <c r="T249" s="19">
        <f ca="1">IF(RAND()&lt;P_Zero,0,IF(RAND()&lt;CondReturn,_xlfn.LOGNORM.INV(RAND(),MV2,Sigma1),IF(RAND()&lt;CondGood,_xlfn.LOGNORM.INV(RAND(),MV3,Sigma2),MIN(MaxMultiple,Xm/(1-RAND())^(1/Alpha)))))</f>
        <v>0.59016913349023337</v>
      </c>
      <c r="U249" s="19">
        <f ca="1">IF(RAND()&lt;P_Zero,0,IF(RAND()&lt;CondReturn,_xlfn.LOGNORM.INV(RAND(),MV2,Sigma1),IF(RAND()&lt;CondGood,_xlfn.LOGNORM.INV(RAND(),MV3,Sigma2),MIN(MaxMultiple,Xm/(1-RAND())^(1/Alpha)))))</f>
        <v>0</v>
      </c>
      <c r="V249" s="19">
        <f ca="1">IF(RAND()&lt;P_Zero,0,IF(RAND()&lt;CondReturn,_xlfn.LOGNORM.INV(RAND(),MV2,Sigma1),IF(RAND()&lt;CondGood,_xlfn.LOGNORM.INV(RAND(),MV3,Sigma2),MIN(MaxMultiple,Xm/(1-RAND())^(1/Alpha)))))</f>
        <v>0</v>
      </c>
      <c r="W249" s="19">
        <f ca="1">IF(RAND()&lt;P_Zero,0,IF(RAND()&lt;CondReturn,_xlfn.LOGNORM.INV(RAND(),MV2,Sigma1),IF(RAND()&lt;CondGood,_xlfn.LOGNORM.INV(RAND(),MV3,Sigma2),MIN(MaxMultiple,Xm/(1-RAND())^(1/Alpha)))))</f>
        <v>300</v>
      </c>
      <c r="X249" s="19">
        <f ca="1">IF(RAND()&lt;P_Zero,0,IF(RAND()&lt;CondReturn,_xlfn.LOGNORM.INV(RAND(),MV2,Sigma1),IF(RAND()&lt;CondGood,_xlfn.LOGNORM.INV(RAND(),MV3,Sigma2),MIN(MaxMultiple,Xm/(1-RAND())^(1/Alpha)))))</f>
        <v>0.29817143108119043</v>
      </c>
      <c r="Y249" s="19">
        <f ca="1">IF(RAND()&lt;P_Zero,0,IF(RAND()&lt;CondReturn,_xlfn.LOGNORM.INV(RAND(),MV2,Sigma1),IF(RAND()&lt;CondGood,_xlfn.LOGNORM.INV(RAND(),MV3,Sigma2),MIN(MaxMultiple,Xm/(1-RAND())^(1/Alpha)))))</f>
        <v>0</v>
      </c>
      <c r="Z249" s="19">
        <f ca="1">IF(RAND()&lt;P_Zero,0,IF(RAND()&lt;CondReturn,_xlfn.LOGNORM.INV(RAND(),MV2,Sigma1),IF(RAND()&lt;CondGood,_xlfn.LOGNORM.INV(RAND(),MV3,Sigma2),MIN(MaxMultiple,Xm/(1-RAND())^(1/Alpha)))))</f>
        <v>0.91953805525331533</v>
      </c>
      <c r="AA249" s="19">
        <f ca="1">IF(RAND()&lt;P_Zero,0,IF(RAND()&lt;CondReturn,_xlfn.LOGNORM.INV(RAND(),MV2,Sigma1),IF(RAND()&lt;CondGood,_xlfn.LOGNORM.INV(RAND(),MV3,Sigma2),MIN(MaxMultiple,Xm/(1-RAND())^(1/Alpha)))))</f>
        <v>0.93543507643869483</v>
      </c>
      <c r="AB249" s="19">
        <f t="shared" ca="1" si="24"/>
        <v>13.762747948011858</v>
      </c>
      <c r="AC249" s="14">
        <f t="shared" ca="1" si="25"/>
        <v>660611901.50456917</v>
      </c>
      <c r="AD249" s="14">
        <f t="shared" ca="1" si="26"/>
        <v>612611901.50456917</v>
      </c>
      <c r="AE249" s="14">
        <f t="shared" si="27"/>
        <v>55628399.869093813</v>
      </c>
      <c r="AF249" s="14">
        <f t="shared" ca="1" si="28"/>
        <v>556983501.6354754</v>
      </c>
      <c r="AG249" s="14">
        <f t="shared" ca="1" si="29"/>
        <v>111396700.32709509</v>
      </c>
      <c r="AH249" s="14">
        <f t="shared" ca="1" si="30"/>
        <v>549215201.17747402</v>
      </c>
      <c r="AI249" s="19">
        <f t="shared" ca="1" si="31"/>
        <v>9.1535866862912343</v>
      </c>
    </row>
    <row r="250" spans="2:35" x14ac:dyDescent="0.2">
      <c r="B250" s="1">
        <v>245</v>
      </c>
      <c r="C250" s="19">
        <f ca="1">IF(RAND()&lt;P_Zero,0,IF(RAND()&lt;CondReturn,_xlfn.LOGNORM.INV(RAND(),MV2,Sigma1),IF(RAND()&lt;CondGood,_xlfn.LOGNORM.INV(RAND(),MV3,Sigma2),MIN(MaxMultiple,Xm/(1-RAND())^(1/Alpha)))))</f>
        <v>0</v>
      </c>
      <c r="D250" s="19">
        <f ca="1">IF(RAND()&lt;P_Zero,0,IF(RAND()&lt;CondReturn,_xlfn.LOGNORM.INV(RAND(),MV2,Sigma1),IF(RAND()&lt;CondGood,_xlfn.LOGNORM.INV(RAND(),MV3,Sigma2),MIN(MaxMultiple,Xm/(1-RAND())^(1/Alpha)))))</f>
        <v>0.83773448264221584</v>
      </c>
      <c r="E250" s="19">
        <f ca="1">IF(RAND()&lt;P_Zero,0,IF(RAND()&lt;CondReturn,_xlfn.LOGNORM.INV(RAND(),MV2,Sigma1),IF(RAND()&lt;CondGood,_xlfn.LOGNORM.INV(RAND(),MV3,Sigma2),MIN(MaxMultiple,Xm/(1-RAND())^(1/Alpha)))))</f>
        <v>0</v>
      </c>
      <c r="F250" s="19">
        <f ca="1">IF(RAND()&lt;P_Zero,0,IF(RAND()&lt;CondReturn,_xlfn.LOGNORM.INV(RAND(),MV2,Sigma1),IF(RAND()&lt;CondGood,_xlfn.LOGNORM.INV(RAND(),MV3,Sigma2),MIN(MaxMultiple,Xm/(1-RAND())^(1/Alpha)))))</f>
        <v>1.2010259125737719</v>
      </c>
      <c r="G250" s="19">
        <f ca="1">IF(RAND()&lt;P_Zero,0,IF(RAND()&lt;CondReturn,_xlfn.LOGNORM.INV(RAND(),MV2,Sigma1),IF(RAND()&lt;CondGood,_xlfn.LOGNORM.INV(RAND(),MV3,Sigma2),MIN(MaxMultiple,Xm/(1-RAND())^(1/Alpha)))))</f>
        <v>0.35656211307897251</v>
      </c>
      <c r="H250" s="19">
        <f ca="1">IF(RAND()&lt;P_Zero,0,IF(RAND()&lt;CondReturn,_xlfn.LOGNORM.INV(RAND(),MV2,Sigma1),IF(RAND()&lt;CondGood,_xlfn.LOGNORM.INV(RAND(),MV3,Sigma2),MIN(MaxMultiple,Xm/(1-RAND())^(1/Alpha)))))</f>
        <v>28.296210642748925</v>
      </c>
      <c r="I250" s="19">
        <f ca="1">IF(RAND()&lt;P_Zero,0,IF(RAND()&lt;CondReturn,_xlfn.LOGNORM.INV(RAND(),MV2,Sigma1),IF(RAND()&lt;CondGood,_xlfn.LOGNORM.INV(RAND(),MV3,Sigma2),MIN(MaxMultiple,Xm/(1-RAND())^(1/Alpha)))))</f>
        <v>1.1160631202177635</v>
      </c>
      <c r="J250" s="19">
        <f ca="1">IF(RAND()&lt;P_Zero,0,IF(RAND()&lt;CondReturn,_xlfn.LOGNORM.INV(RAND(),MV2,Sigma1),IF(RAND()&lt;CondGood,_xlfn.LOGNORM.INV(RAND(),MV3,Sigma2),MIN(MaxMultiple,Xm/(1-RAND())^(1/Alpha)))))</f>
        <v>0</v>
      </c>
      <c r="K250" s="19">
        <f ca="1">IF(RAND()&lt;P_Zero,0,IF(RAND()&lt;CondReturn,_xlfn.LOGNORM.INV(RAND(),MV2,Sigma1),IF(RAND()&lt;CondGood,_xlfn.LOGNORM.INV(RAND(),MV3,Sigma2),MIN(MaxMultiple,Xm/(1-RAND())^(1/Alpha)))))</f>
        <v>0</v>
      </c>
      <c r="L250" s="19">
        <f ca="1">IF(RAND()&lt;P_Zero,0,IF(RAND()&lt;CondReturn,_xlfn.LOGNORM.INV(RAND(),MV2,Sigma1),IF(RAND()&lt;CondGood,_xlfn.LOGNORM.INV(RAND(),MV3,Sigma2),MIN(MaxMultiple,Xm/(1-RAND())^(1/Alpha)))))</f>
        <v>22.066412647965365</v>
      </c>
      <c r="M250" s="19">
        <f ca="1">IF(RAND()&lt;P_Zero,0,IF(RAND()&lt;CondReturn,_xlfn.LOGNORM.INV(RAND(),MV2,Sigma1),IF(RAND()&lt;CondGood,_xlfn.LOGNORM.INV(RAND(),MV3,Sigma2),MIN(MaxMultiple,Xm/(1-RAND())^(1/Alpha)))))</f>
        <v>0.98890036726080643</v>
      </c>
      <c r="N250" s="19">
        <f ca="1">IF(RAND()&lt;P_Zero,0,IF(RAND()&lt;CondReturn,_xlfn.LOGNORM.INV(RAND(),MV2,Sigma1),IF(RAND()&lt;CondGood,_xlfn.LOGNORM.INV(RAND(),MV3,Sigma2),MIN(MaxMultiple,Xm/(1-RAND())^(1/Alpha)))))</f>
        <v>26.48412041228778</v>
      </c>
      <c r="O250" s="19">
        <f ca="1">IF(RAND()&lt;P_Zero,0,IF(RAND()&lt;CondReturn,_xlfn.LOGNORM.INV(RAND(),MV2,Sigma1),IF(RAND()&lt;CondGood,_xlfn.LOGNORM.INV(RAND(),MV3,Sigma2),MIN(MaxMultiple,Xm/(1-RAND())^(1/Alpha)))))</f>
        <v>1.1446951624820905</v>
      </c>
      <c r="P250" s="19">
        <f ca="1">IF(RAND()&lt;P_Zero,0,IF(RAND()&lt;CondReturn,_xlfn.LOGNORM.INV(RAND(),MV2,Sigma1),IF(RAND()&lt;CondGood,_xlfn.LOGNORM.INV(RAND(),MV3,Sigma2),MIN(MaxMultiple,Xm/(1-RAND())^(1/Alpha)))))</f>
        <v>0.95133621179316696</v>
      </c>
      <c r="Q250" s="19">
        <f ca="1">IF(RAND()&lt;P_Zero,0,IF(RAND()&lt;CondReturn,_xlfn.LOGNORM.INV(RAND(),MV2,Sigma1),IF(RAND()&lt;CondGood,_xlfn.LOGNORM.INV(RAND(),MV3,Sigma2),MIN(MaxMultiple,Xm/(1-RAND())^(1/Alpha)))))</f>
        <v>1.5889668928617116</v>
      </c>
      <c r="R250" s="19">
        <f ca="1">IF(RAND()&lt;P_Zero,0,IF(RAND()&lt;CondReturn,_xlfn.LOGNORM.INV(RAND(),MV2,Sigma1),IF(RAND()&lt;CondGood,_xlfn.LOGNORM.INV(RAND(),MV3,Sigma2),MIN(MaxMultiple,Xm/(1-RAND())^(1/Alpha)))))</f>
        <v>0</v>
      </c>
      <c r="S250" s="19">
        <f ca="1">IF(RAND()&lt;P_Zero,0,IF(RAND()&lt;CondReturn,_xlfn.LOGNORM.INV(RAND(),MV2,Sigma1),IF(RAND()&lt;CondGood,_xlfn.LOGNORM.INV(RAND(),MV3,Sigma2),MIN(MaxMultiple,Xm/(1-RAND())^(1/Alpha)))))</f>
        <v>0.64156917209320763</v>
      </c>
      <c r="T250" s="19">
        <f ca="1">IF(RAND()&lt;P_Zero,0,IF(RAND()&lt;CondReturn,_xlfn.LOGNORM.INV(RAND(),MV2,Sigma1),IF(RAND()&lt;CondGood,_xlfn.LOGNORM.INV(RAND(),MV3,Sigma2),MIN(MaxMultiple,Xm/(1-RAND())^(1/Alpha)))))</f>
        <v>0</v>
      </c>
      <c r="U250" s="19">
        <f ca="1">IF(RAND()&lt;P_Zero,0,IF(RAND()&lt;CondReturn,_xlfn.LOGNORM.INV(RAND(),MV2,Sigma1),IF(RAND()&lt;CondGood,_xlfn.LOGNORM.INV(RAND(),MV3,Sigma2),MIN(MaxMultiple,Xm/(1-RAND())^(1/Alpha)))))</f>
        <v>0</v>
      </c>
      <c r="V250" s="19">
        <f ca="1">IF(RAND()&lt;P_Zero,0,IF(RAND()&lt;CondReturn,_xlfn.LOGNORM.INV(RAND(),MV2,Sigma1),IF(RAND()&lt;CondGood,_xlfn.LOGNORM.INV(RAND(),MV3,Sigma2),MIN(MaxMultiple,Xm/(1-RAND())^(1/Alpha)))))</f>
        <v>0</v>
      </c>
      <c r="W250" s="19">
        <f ca="1">IF(RAND()&lt;P_Zero,0,IF(RAND()&lt;CondReturn,_xlfn.LOGNORM.INV(RAND(),MV2,Sigma1),IF(RAND()&lt;CondGood,_xlfn.LOGNORM.INV(RAND(),MV3,Sigma2),MIN(MaxMultiple,Xm/(1-RAND())^(1/Alpha)))))</f>
        <v>14.565346877548398</v>
      </c>
      <c r="X250" s="19">
        <f ca="1">IF(RAND()&lt;P_Zero,0,IF(RAND()&lt;CondReturn,_xlfn.LOGNORM.INV(RAND(),MV2,Sigma1),IF(RAND()&lt;CondGood,_xlfn.LOGNORM.INV(RAND(),MV3,Sigma2),MIN(MaxMultiple,Xm/(1-RAND())^(1/Alpha)))))</f>
        <v>0.66705796507927462</v>
      </c>
      <c r="Y250" s="19">
        <f ca="1">IF(RAND()&lt;P_Zero,0,IF(RAND()&lt;CondReturn,_xlfn.LOGNORM.INV(RAND(),MV2,Sigma1),IF(RAND()&lt;CondGood,_xlfn.LOGNORM.INV(RAND(),MV3,Sigma2),MIN(MaxMultiple,Xm/(1-RAND())^(1/Alpha)))))</f>
        <v>1.2804152183573376</v>
      </c>
      <c r="Z250" s="19">
        <f ca="1">IF(RAND()&lt;P_Zero,0,IF(RAND()&lt;CondReturn,_xlfn.LOGNORM.INV(RAND(),MV2,Sigma1),IF(RAND()&lt;CondGood,_xlfn.LOGNORM.INV(RAND(),MV3,Sigma2),MIN(MaxMultiple,Xm/(1-RAND())^(1/Alpha)))))</f>
        <v>1.1071311118150347</v>
      </c>
      <c r="AA250" s="19">
        <f ca="1">IF(RAND()&lt;P_Zero,0,IF(RAND()&lt;CondReturn,_xlfn.LOGNORM.INV(RAND(),MV2,Sigma1),IF(RAND()&lt;CondGood,_xlfn.LOGNORM.INV(RAND(),MV3,Sigma2),MIN(MaxMultiple,Xm/(1-RAND())^(1/Alpha)))))</f>
        <v>0.43419675367975208</v>
      </c>
      <c r="AB250" s="19">
        <f t="shared" ca="1" si="24"/>
        <v>4.1491098025794226</v>
      </c>
      <c r="AC250" s="14">
        <f t="shared" ca="1" si="25"/>
        <v>199157270.52381229</v>
      </c>
      <c r="AD250" s="14">
        <f t="shared" ca="1" si="26"/>
        <v>151157270.52381229</v>
      </c>
      <c r="AE250" s="14">
        <f t="shared" si="27"/>
        <v>55628399.869093813</v>
      </c>
      <c r="AF250" s="14">
        <f t="shared" ca="1" si="28"/>
        <v>95528870.654718488</v>
      </c>
      <c r="AG250" s="14">
        <f t="shared" ca="1" si="29"/>
        <v>19105774.130943697</v>
      </c>
      <c r="AH250" s="14">
        <f t="shared" ca="1" si="30"/>
        <v>180051496.39286861</v>
      </c>
      <c r="AI250" s="19">
        <f t="shared" ca="1" si="31"/>
        <v>3.0008582732144768</v>
      </c>
    </row>
    <row r="251" spans="2:35" x14ac:dyDescent="0.2">
      <c r="B251" s="1">
        <v>246</v>
      </c>
      <c r="C251" s="19">
        <f ca="1">IF(RAND()&lt;P_Zero,0,IF(RAND()&lt;CondReturn,_xlfn.LOGNORM.INV(RAND(),MV2,Sigma1),IF(RAND()&lt;CondGood,_xlfn.LOGNORM.INV(RAND(),MV3,Sigma2),MIN(MaxMultiple,Xm/(1-RAND())^(1/Alpha)))))</f>
        <v>0.88880843158291745</v>
      </c>
      <c r="D251" s="19">
        <f ca="1">IF(RAND()&lt;P_Zero,0,IF(RAND()&lt;CondReturn,_xlfn.LOGNORM.INV(RAND(),MV2,Sigma1),IF(RAND()&lt;CondGood,_xlfn.LOGNORM.INV(RAND(),MV3,Sigma2),MIN(MaxMultiple,Xm/(1-RAND())^(1/Alpha)))))</f>
        <v>0</v>
      </c>
      <c r="E251" s="19">
        <f ca="1">IF(RAND()&lt;P_Zero,0,IF(RAND()&lt;CondReturn,_xlfn.LOGNORM.INV(RAND(),MV2,Sigma1),IF(RAND()&lt;CondGood,_xlfn.LOGNORM.INV(RAND(),MV3,Sigma2),MIN(MaxMultiple,Xm/(1-RAND())^(1/Alpha)))))</f>
        <v>0</v>
      </c>
      <c r="F251" s="19">
        <f ca="1">IF(RAND()&lt;P_Zero,0,IF(RAND()&lt;CondReturn,_xlfn.LOGNORM.INV(RAND(),MV2,Sigma1),IF(RAND()&lt;CondGood,_xlfn.LOGNORM.INV(RAND(),MV3,Sigma2),MIN(MaxMultiple,Xm/(1-RAND())^(1/Alpha)))))</f>
        <v>16.811588343482185</v>
      </c>
      <c r="G251" s="19">
        <f ca="1">IF(RAND()&lt;P_Zero,0,IF(RAND()&lt;CondReturn,_xlfn.LOGNORM.INV(RAND(),MV2,Sigma1),IF(RAND()&lt;CondGood,_xlfn.LOGNORM.INV(RAND(),MV3,Sigma2),MIN(MaxMultiple,Xm/(1-RAND())^(1/Alpha)))))</f>
        <v>0</v>
      </c>
      <c r="H251" s="19">
        <f ca="1">IF(RAND()&lt;P_Zero,0,IF(RAND()&lt;CondReturn,_xlfn.LOGNORM.INV(RAND(),MV2,Sigma1),IF(RAND()&lt;CondGood,_xlfn.LOGNORM.INV(RAND(),MV3,Sigma2),MIN(MaxMultiple,Xm/(1-RAND())^(1/Alpha)))))</f>
        <v>0</v>
      </c>
      <c r="I251" s="19">
        <f ca="1">IF(RAND()&lt;P_Zero,0,IF(RAND()&lt;CondReturn,_xlfn.LOGNORM.INV(RAND(),MV2,Sigma1),IF(RAND()&lt;CondGood,_xlfn.LOGNORM.INV(RAND(),MV3,Sigma2),MIN(MaxMultiple,Xm/(1-RAND())^(1/Alpha)))))</f>
        <v>0</v>
      </c>
      <c r="J251" s="19">
        <f ca="1">IF(RAND()&lt;P_Zero,0,IF(RAND()&lt;CondReturn,_xlfn.LOGNORM.INV(RAND(),MV2,Sigma1),IF(RAND()&lt;CondGood,_xlfn.LOGNORM.INV(RAND(),MV3,Sigma2),MIN(MaxMultiple,Xm/(1-RAND())^(1/Alpha)))))</f>
        <v>43.371834248377546</v>
      </c>
      <c r="K251" s="19">
        <f ca="1">IF(RAND()&lt;P_Zero,0,IF(RAND()&lt;CondReturn,_xlfn.LOGNORM.INV(RAND(),MV2,Sigma1),IF(RAND()&lt;CondGood,_xlfn.LOGNORM.INV(RAND(),MV3,Sigma2),MIN(MaxMultiple,Xm/(1-RAND())^(1/Alpha)))))</f>
        <v>0.53534970852634367</v>
      </c>
      <c r="L251" s="19">
        <f ca="1">IF(RAND()&lt;P_Zero,0,IF(RAND()&lt;CondReturn,_xlfn.LOGNORM.INV(RAND(),MV2,Sigma1),IF(RAND()&lt;CondGood,_xlfn.LOGNORM.INV(RAND(),MV3,Sigma2),MIN(MaxMultiple,Xm/(1-RAND())^(1/Alpha)))))</f>
        <v>0</v>
      </c>
      <c r="M251" s="19">
        <f ca="1">IF(RAND()&lt;P_Zero,0,IF(RAND()&lt;CondReturn,_xlfn.LOGNORM.INV(RAND(),MV2,Sigma1),IF(RAND()&lt;CondGood,_xlfn.LOGNORM.INV(RAND(),MV3,Sigma2),MIN(MaxMultiple,Xm/(1-RAND())^(1/Alpha)))))</f>
        <v>0</v>
      </c>
      <c r="N251" s="19">
        <f ca="1">IF(RAND()&lt;P_Zero,0,IF(RAND()&lt;CondReturn,_xlfn.LOGNORM.INV(RAND(),MV2,Sigma1),IF(RAND()&lt;CondGood,_xlfn.LOGNORM.INV(RAND(),MV3,Sigma2),MIN(MaxMultiple,Xm/(1-RAND())^(1/Alpha)))))</f>
        <v>1.9704497983759384</v>
      </c>
      <c r="O251" s="19">
        <f ca="1">IF(RAND()&lt;P_Zero,0,IF(RAND()&lt;CondReturn,_xlfn.LOGNORM.INV(RAND(),MV2,Sigma1),IF(RAND()&lt;CondGood,_xlfn.LOGNORM.INV(RAND(),MV3,Sigma2),MIN(MaxMultiple,Xm/(1-RAND())^(1/Alpha)))))</f>
        <v>300</v>
      </c>
      <c r="P251" s="19">
        <f ca="1">IF(RAND()&lt;P_Zero,0,IF(RAND()&lt;CondReturn,_xlfn.LOGNORM.INV(RAND(),MV2,Sigma1),IF(RAND()&lt;CondGood,_xlfn.LOGNORM.INV(RAND(),MV3,Sigma2),MIN(MaxMultiple,Xm/(1-RAND())^(1/Alpha)))))</f>
        <v>0</v>
      </c>
      <c r="Q251" s="19">
        <f ca="1">IF(RAND()&lt;P_Zero,0,IF(RAND()&lt;CondReturn,_xlfn.LOGNORM.INV(RAND(),MV2,Sigma1),IF(RAND()&lt;CondGood,_xlfn.LOGNORM.INV(RAND(),MV3,Sigma2),MIN(MaxMultiple,Xm/(1-RAND())^(1/Alpha)))))</f>
        <v>1.2761765968039669</v>
      </c>
      <c r="R251" s="19">
        <f ca="1">IF(RAND()&lt;P_Zero,0,IF(RAND()&lt;CondReturn,_xlfn.LOGNORM.INV(RAND(),MV2,Sigma1),IF(RAND()&lt;CondGood,_xlfn.LOGNORM.INV(RAND(),MV3,Sigma2),MIN(MaxMultiple,Xm/(1-RAND())^(1/Alpha)))))</f>
        <v>0.83775868066788739</v>
      </c>
      <c r="S251" s="19">
        <f ca="1">IF(RAND()&lt;P_Zero,0,IF(RAND()&lt;CondReturn,_xlfn.LOGNORM.INV(RAND(),MV2,Sigma1),IF(RAND()&lt;CondGood,_xlfn.LOGNORM.INV(RAND(),MV3,Sigma2),MIN(MaxMultiple,Xm/(1-RAND())^(1/Alpha)))))</f>
        <v>0.83789348220948523</v>
      </c>
      <c r="T251" s="19">
        <f ca="1">IF(RAND()&lt;P_Zero,0,IF(RAND()&lt;CondReturn,_xlfn.LOGNORM.INV(RAND(),MV2,Sigma1),IF(RAND()&lt;CondGood,_xlfn.LOGNORM.INV(RAND(),MV3,Sigma2),MIN(MaxMultiple,Xm/(1-RAND())^(1/Alpha)))))</f>
        <v>0.49726935869907685</v>
      </c>
      <c r="U251" s="19">
        <f ca="1">IF(RAND()&lt;P_Zero,0,IF(RAND()&lt;CondReturn,_xlfn.LOGNORM.INV(RAND(),MV2,Sigma1),IF(RAND()&lt;CondGood,_xlfn.LOGNORM.INV(RAND(),MV3,Sigma2),MIN(MaxMultiple,Xm/(1-RAND())^(1/Alpha)))))</f>
        <v>0.59401201654323776</v>
      </c>
      <c r="V251" s="19">
        <f ca="1">IF(RAND()&lt;P_Zero,0,IF(RAND()&lt;CondReturn,_xlfn.LOGNORM.INV(RAND(),MV2,Sigma1),IF(RAND()&lt;CondGood,_xlfn.LOGNORM.INV(RAND(),MV3,Sigma2),MIN(MaxMultiple,Xm/(1-RAND())^(1/Alpha)))))</f>
        <v>300</v>
      </c>
      <c r="W251" s="19">
        <f ca="1">IF(RAND()&lt;P_Zero,0,IF(RAND()&lt;CondReturn,_xlfn.LOGNORM.INV(RAND(),MV2,Sigma1),IF(RAND()&lt;CondGood,_xlfn.LOGNORM.INV(RAND(),MV3,Sigma2),MIN(MaxMultiple,Xm/(1-RAND())^(1/Alpha)))))</f>
        <v>0</v>
      </c>
      <c r="X251" s="19">
        <f ca="1">IF(RAND()&lt;P_Zero,0,IF(RAND()&lt;CondReturn,_xlfn.LOGNORM.INV(RAND(),MV2,Sigma1),IF(RAND()&lt;CondGood,_xlfn.LOGNORM.INV(RAND(),MV3,Sigma2),MIN(MaxMultiple,Xm/(1-RAND())^(1/Alpha)))))</f>
        <v>0</v>
      </c>
      <c r="Y251" s="19">
        <f ca="1">IF(RAND()&lt;P_Zero,0,IF(RAND()&lt;CondReturn,_xlfn.LOGNORM.INV(RAND(),MV2,Sigma1),IF(RAND()&lt;CondGood,_xlfn.LOGNORM.INV(RAND(),MV3,Sigma2),MIN(MaxMultiple,Xm/(1-RAND())^(1/Alpha)))))</f>
        <v>0</v>
      </c>
      <c r="Z251" s="19">
        <f ca="1">IF(RAND()&lt;P_Zero,0,IF(RAND()&lt;CondReturn,_xlfn.LOGNORM.INV(RAND(),MV2,Sigma1),IF(RAND()&lt;CondGood,_xlfn.LOGNORM.INV(RAND(),MV3,Sigma2),MIN(MaxMultiple,Xm/(1-RAND())^(1/Alpha)))))</f>
        <v>1.2524130639552764</v>
      </c>
      <c r="AA251" s="19">
        <f ca="1">IF(RAND()&lt;P_Zero,0,IF(RAND()&lt;CondReturn,_xlfn.LOGNORM.INV(RAND(),MV2,Sigma1),IF(RAND()&lt;CondGood,_xlfn.LOGNORM.INV(RAND(),MV3,Sigma2),MIN(MaxMultiple,Xm/(1-RAND())^(1/Alpha)))))</f>
        <v>0.68983589260559841</v>
      </c>
      <c r="AB251" s="19">
        <f t="shared" ca="1" si="24"/>
        <v>26.782535584873177</v>
      </c>
      <c r="AC251" s="14">
        <f t="shared" ca="1" si="25"/>
        <v>1285561708.0739124</v>
      </c>
      <c r="AD251" s="14">
        <f t="shared" ca="1" si="26"/>
        <v>1237561708.0739124</v>
      </c>
      <c r="AE251" s="14">
        <f t="shared" si="27"/>
        <v>55628399.869093813</v>
      </c>
      <c r="AF251" s="14">
        <f t="shared" ca="1" si="28"/>
        <v>1181933308.2048185</v>
      </c>
      <c r="AG251" s="14">
        <f t="shared" ca="1" si="29"/>
        <v>236386661.6409637</v>
      </c>
      <c r="AH251" s="14">
        <f t="shared" ca="1" si="30"/>
        <v>1049175046.4329487</v>
      </c>
      <c r="AI251" s="19">
        <f t="shared" ca="1" si="31"/>
        <v>17.486250773882478</v>
      </c>
    </row>
    <row r="252" spans="2:35" x14ac:dyDescent="0.2">
      <c r="B252" s="1">
        <v>247</v>
      </c>
      <c r="C252" s="19">
        <f ca="1">IF(RAND()&lt;P_Zero,0,IF(RAND()&lt;CondReturn,_xlfn.LOGNORM.INV(RAND(),MV2,Sigma1),IF(RAND()&lt;CondGood,_xlfn.LOGNORM.INV(RAND(),MV3,Sigma2),MIN(MaxMultiple,Xm/(1-RAND())^(1/Alpha)))))</f>
        <v>15.692777984659037</v>
      </c>
      <c r="D252" s="19">
        <f ca="1">IF(RAND()&lt;P_Zero,0,IF(RAND()&lt;CondReturn,_xlfn.LOGNORM.INV(RAND(),MV2,Sigma1),IF(RAND()&lt;CondGood,_xlfn.LOGNORM.INV(RAND(),MV3,Sigma2),MIN(MaxMultiple,Xm/(1-RAND())^(1/Alpha)))))</f>
        <v>0</v>
      </c>
      <c r="E252" s="19">
        <f ca="1">IF(RAND()&lt;P_Zero,0,IF(RAND()&lt;CondReturn,_xlfn.LOGNORM.INV(RAND(),MV2,Sigma1),IF(RAND()&lt;CondGood,_xlfn.LOGNORM.INV(RAND(),MV3,Sigma2),MIN(MaxMultiple,Xm/(1-RAND())^(1/Alpha)))))</f>
        <v>0</v>
      </c>
      <c r="F252" s="19">
        <f ca="1">IF(RAND()&lt;P_Zero,0,IF(RAND()&lt;CondReturn,_xlfn.LOGNORM.INV(RAND(),MV2,Sigma1),IF(RAND()&lt;CondGood,_xlfn.LOGNORM.INV(RAND(),MV3,Sigma2),MIN(MaxMultiple,Xm/(1-RAND())^(1/Alpha)))))</f>
        <v>1.5172620844309388</v>
      </c>
      <c r="G252" s="19">
        <f ca="1">IF(RAND()&lt;P_Zero,0,IF(RAND()&lt;CondReturn,_xlfn.LOGNORM.INV(RAND(),MV2,Sigma1),IF(RAND()&lt;CondGood,_xlfn.LOGNORM.INV(RAND(),MV3,Sigma2),MIN(MaxMultiple,Xm/(1-RAND())^(1/Alpha)))))</f>
        <v>0</v>
      </c>
      <c r="H252" s="19">
        <f ca="1">IF(RAND()&lt;P_Zero,0,IF(RAND()&lt;CondReturn,_xlfn.LOGNORM.INV(RAND(),MV2,Sigma1),IF(RAND()&lt;CondGood,_xlfn.LOGNORM.INV(RAND(),MV3,Sigma2),MIN(MaxMultiple,Xm/(1-RAND())^(1/Alpha)))))</f>
        <v>0.92183653974110613</v>
      </c>
      <c r="I252" s="19">
        <f ca="1">IF(RAND()&lt;P_Zero,0,IF(RAND()&lt;CondReturn,_xlfn.LOGNORM.INV(RAND(),MV2,Sigma1),IF(RAND()&lt;CondGood,_xlfn.LOGNORM.INV(RAND(),MV3,Sigma2),MIN(MaxMultiple,Xm/(1-RAND())^(1/Alpha)))))</f>
        <v>0</v>
      </c>
      <c r="J252" s="19">
        <f ca="1">IF(RAND()&lt;P_Zero,0,IF(RAND()&lt;CondReturn,_xlfn.LOGNORM.INV(RAND(),MV2,Sigma1),IF(RAND()&lt;CondGood,_xlfn.LOGNORM.INV(RAND(),MV3,Sigma2),MIN(MaxMultiple,Xm/(1-RAND())^(1/Alpha)))))</f>
        <v>1.9483278291320945</v>
      </c>
      <c r="K252" s="19">
        <f ca="1">IF(RAND()&lt;P_Zero,0,IF(RAND()&lt;CondReturn,_xlfn.LOGNORM.INV(RAND(),MV2,Sigma1),IF(RAND()&lt;CondGood,_xlfn.LOGNORM.INV(RAND(),MV3,Sigma2),MIN(MaxMultiple,Xm/(1-RAND())^(1/Alpha)))))</f>
        <v>43.260158747975929</v>
      </c>
      <c r="L252" s="19">
        <f ca="1">IF(RAND()&lt;P_Zero,0,IF(RAND()&lt;CondReturn,_xlfn.LOGNORM.INV(RAND(),MV2,Sigma1),IF(RAND()&lt;CondGood,_xlfn.LOGNORM.INV(RAND(),MV3,Sigma2),MIN(MaxMultiple,Xm/(1-RAND())^(1/Alpha)))))</f>
        <v>0</v>
      </c>
      <c r="M252" s="19">
        <f ca="1">IF(RAND()&lt;P_Zero,0,IF(RAND()&lt;CondReturn,_xlfn.LOGNORM.INV(RAND(),MV2,Sigma1),IF(RAND()&lt;CondGood,_xlfn.LOGNORM.INV(RAND(),MV3,Sigma2),MIN(MaxMultiple,Xm/(1-RAND())^(1/Alpha)))))</f>
        <v>3.0047480574277157</v>
      </c>
      <c r="N252" s="19">
        <f ca="1">IF(RAND()&lt;P_Zero,0,IF(RAND()&lt;CondReturn,_xlfn.LOGNORM.INV(RAND(),MV2,Sigma1),IF(RAND()&lt;CondGood,_xlfn.LOGNORM.INV(RAND(),MV3,Sigma2),MIN(MaxMultiple,Xm/(1-RAND())^(1/Alpha)))))</f>
        <v>0.88286683912180353</v>
      </c>
      <c r="O252" s="19">
        <f ca="1">IF(RAND()&lt;P_Zero,0,IF(RAND()&lt;CondReturn,_xlfn.LOGNORM.INV(RAND(),MV2,Sigma1),IF(RAND()&lt;CondGood,_xlfn.LOGNORM.INV(RAND(),MV3,Sigma2),MIN(MaxMultiple,Xm/(1-RAND())^(1/Alpha)))))</f>
        <v>0.84147516490967766</v>
      </c>
      <c r="P252" s="19">
        <f ca="1">IF(RAND()&lt;P_Zero,0,IF(RAND()&lt;CondReturn,_xlfn.LOGNORM.INV(RAND(),MV2,Sigma1),IF(RAND()&lt;CondGood,_xlfn.LOGNORM.INV(RAND(),MV3,Sigma2),MIN(MaxMultiple,Xm/(1-RAND())^(1/Alpha)))))</f>
        <v>0</v>
      </c>
      <c r="Q252" s="19">
        <f ca="1">IF(RAND()&lt;P_Zero,0,IF(RAND()&lt;CondReturn,_xlfn.LOGNORM.INV(RAND(),MV2,Sigma1),IF(RAND()&lt;CondGood,_xlfn.LOGNORM.INV(RAND(),MV3,Sigma2),MIN(MaxMultiple,Xm/(1-RAND())^(1/Alpha)))))</f>
        <v>0</v>
      </c>
      <c r="R252" s="19">
        <f ca="1">IF(RAND()&lt;P_Zero,0,IF(RAND()&lt;CondReturn,_xlfn.LOGNORM.INV(RAND(),MV2,Sigma1),IF(RAND()&lt;CondGood,_xlfn.LOGNORM.INV(RAND(),MV3,Sigma2),MIN(MaxMultiple,Xm/(1-RAND())^(1/Alpha)))))</f>
        <v>0</v>
      </c>
      <c r="S252" s="19">
        <f ca="1">IF(RAND()&lt;P_Zero,0,IF(RAND()&lt;CondReturn,_xlfn.LOGNORM.INV(RAND(),MV2,Sigma1),IF(RAND()&lt;CondGood,_xlfn.LOGNORM.INV(RAND(),MV3,Sigma2),MIN(MaxMultiple,Xm/(1-RAND())^(1/Alpha)))))</f>
        <v>1.6358808577157009</v>
      </c>
      <c r="T252" s="19">
        <f ca="1">IF(RAND()&lt;P_Zero,0,IF(RAND()&lt;CondReturn,_xlfn.LOGNORM.INV(RAND(),MV2,Sigma1),IF(RAND()&lt;CondGood,_xlfn.LOGNORM.INV(RAND(),MV3,Sigma2),MIN(MaxMultiple,Xm/(1-RAND())^(1/Alpha)))))</f>
        <v>0</v>
      </c>
      <c r="U252" s="19">
        <f ca="1">IF(RAND()&lt;P_Zero,0,IF(RAND()&lt;CondReturn,_xlfn.LOGNORM.INV(RAND(),MV2,Sigma1),IF(RAND()&lt;CondGood,_xlfn.LOGNORM.INV(RAND(),MV3,Sigma2),MIN(MaxMultiple,Xm/(1-RAND())^(1/Alpha)))))</f>
        <v>0.5451347769056476</v>
      </c>
      <c r="V252" s="19">
        <f ca="1">IF(RAND()&lt;P_Zero,0,IF(RAND()&lt;CondReturn,_xlfn.LOGNORM.INV(RAND(),MV2,Sigma1),IF(RAND()&lt;CondGood,_xlfn.LOGNORM.INV(RAND(),MV3,Sigma2),MIN(MaxMultiple,Xm/(1-RAND())^(1/Alpha)))))</f>
        <v>0</v>
      </c>
      <c r="W252" s="19">
        <f ca="1">IF(RAND()&lt;P_Zero,0,IF(RAND()&lt;CondReturn,_xlfn.LOGNORM.INV(RAND(),MV2,Sigma1),IF(RAND()&lt;CondGood,_xlfn.LOGNORM.INV(RAND(),MV3,Sigma2),MIN(MaxMultiple,Xm/(1-RAND())^(1/Alpha)))))</f>
        <v>1.0876062675511304</v>
      </c>
      <c r="X252" s="19">
        <f ca="1">IF(RAND()&lt;P_Zero,0,IF(RAND()&lt;CondReturn,_xlfn.LOGNORM.INV(RAND(),MV2,Sigma1),IF(RAND()&lt;CondGood,_xlfn.LOGNORM.INV(RAND(),MV3,Sigma2),MIN(MaxMultiple,Xm/(1-RAND())^(1/Alpha)))))</f>
        <v>0</v>
      </c>
      <c r="Y252" s="19">
        <f ca="1">IF(RAND()&lt;P_Zero,0,IF(RAND()&lt;CondReturn,_xlfn.LOGNORM.INV(RAND(),MV2,Sigma1),IF(RAND()&lt;CondGood,_xlfn.LOGNORM.INV(RAND(),MV3,Sigma2),MIN(MaxMultiple,Xm/(1-RAND())^(1/Alpha)))))</f>
        <v>0.61280690101130886</v>
      </c>
      <c r="Z252" s="19">
        <f ca="1">IF(RAND()&lt;P_Zero,0,IF(RAND()&lt;CondReturn,_xlfn.LOGNORM.INV(RAND(),MV2,Sigma1),IF(RAND()&lt;CondGood,_xlfn.LOGNORM.INV(RAND(),MV3,Sigma2),MIN(MaxMultiple,Xm/(1-RAND())^(1/Alpha)))))</f>
        <v>0</v>
      </c>
      <c r="AA252" s="19">
        <f ca="1">IF(RAND()&lt;P_Zero,0,IF(RAND()&lt;CondReturn,_xlfn.LOGNORM.INV(RAND(),MV2,Sigma1),IF(RAND()&lt;CondGood,_xlfn.LOGNORM.INV(RAND(),MV3,Sigma2),MIN(MaxMultiple,Xm/(1-RAND())^(1/Alpha)))))</f>
        <v>0</v>
      </c>
      <c r="AB252" s="19">
        <f t="shared" ca="1" si="24"/>
        <v>2.8780352820232831</v>
      </c>
      <c r="AC252" s="14">
        <f t="shared" ca="1" si="25"/>
        <v>138145693.5371176</v>
      </c>
      <c r="AD252" s="14">
        <f t="shared" ca="1" si="26"/>
        <v>90145693.5371176</v>
      </c>
      <c r="AE252" s="14">
        <f t="shared" si="27"/>
        <v>55628399.869093813</v>
      </c>
      <c r="AF252" s="14">
        <f t="shared" ca="1" si="28"/>
        <v>34517293.668023787</v>
      </c>
      <c r="AG252" s="14">
        <f t="shared" ca="1" si="29"/>
        <v>6903458.733604758</v>
      </c>
      <c r="AH252" s="14">
        <f t="shared" ca="1" si="30"/>
        <v>131242234.80351284</v>
      </c>
      <c r="AI252" s="19">
        <f t="shared" ca="1" si="31"/>
        <v>2.1873705800585475</v>
      </c>
    </row>
    <row r="253" spans="2:35" x14ac:dyDescent="0.2">
      <c r="B253" s="1">
        <v>248</v>
      </c>
      <c r="C253" s="19">
        <f ca="1">IF(RAND()&lt;P_Zero,0,IF(RAND()&lt;CondReturn,_xlfn.LOGNORM.INV(RAND(),MV2,Sigma1),IF(RAND()&lt;CondGood,_xlfn.LOGNORM.INV(RAND(),MV3,Sigma2),MIN(MaxMultiple,Xm/(1-RAND())^(1/Alpha)))))</f>
        <v>1.1113588651768047</v>
      </c>
      <c r="D253" s="19">
        <f ca="1">IF(RAND()&lt;P_Zero,0,IF(RAND()&lt;CondReturn,_xlfn.LOGNORM.INV(RAND(),MV2,Sigma1),IF(RAND()&lt;CondGood,_xlfn.LOGNORM.INV(RAND(),MV3,Sigma2),MIN(MaxMultiple,Xm/(1-RAND())^(1/Alpha)))))</f>
        <v>0.80229515484618763</v>
      </c>
      <c r="E253" s="19">
        <f ca="1">IF(RAND()&lt;P_Zero,0,IF(RAND()&lt;CondReturn,_xlfn.LOGNORM.INV(RAND(),MV2,Sigma1),IF(RAND()&lt;CondGood,_xlfn.LOGNORM.INV(RAND(),MV3,Sigma2),MIN(MaxMultiple,Xm/(1-RAND())^(1/Alpha)))))</f>
        <v>0.91159836584925069</v>
      </c>
      <c r="F253" s="19">
        <f ca="1">IF(RAND()&lt;P_Zero,0,IF(RAND()&lt;CondReturn,_xlfn.LOGNORM.INV(RAND(),MV2,Sigma1),IF(RAND()&lt;CondGood,_xlfn.LOGNORM.INV(RAND(),MV3,Sigma2),MIN(MaxMultiple,Xm/(1-RAND())^(1/Alpha)))))</f>
        <v>1.327257443855506</v>
      </c>
      <c r="G253" s="19">
        <f ca="1">IF(RAND()&lt;P_Zero,0,IF(RAND()&lt;CondReturn,_xlfn.LOGNORM.INV(RAND(),MV2,Sigma1),IF(RAND()&lt;CondGood,_xlfn.LOGNORM.INV(RAND(),MV3,Sigma2),MIN(MaxMultiple,Xm/(1-RAND())^(1/Alpha)))))</f>
        <v>0</v>
      </c>
      <c r="H253" s="19">
        <f ca="1">IF(RAND()&lt;P_Zero,0,IF(RAND()&lt;CondReturn,_xlfn.LOGNORM.INV(RAND(),MV2,Sigma1),IF(RAND()&lt;CondGood,_xlfn.LOGNORM.INV(RAND(),MV3,Sigma2),MIN(MaxMultiple,Xm/(1-RAND())^(1/Alpha)))))</f>
        <v>0.31457314017528221</v>
      </c>
      <c r="I253" s="19">
        <f ca="1">IF(RAND()&lt;P_Zero,0,IF(RAND()&lt;CondReturn,_xlfn.LOGNORM.INV(RAND(),MV2,Sigma1),IF(RAND()&lt;CondGood,_xlfn.LOGNORM.INV(RAND(),MV3,Sigma2),MIN(MaxMultiple,Xm/(1-RAND())^(1/Alpha)))))</f>
        <v>0.74735169159354575</v>
      </c>
      <c r="J253" s="19">
        <f ca="1">IF(RAND()&lt;P_Zero,0,IF(RAND()&lt;CondReturn,_xlfn.LOGNORM.INV(RAND(),MV2,Sigma1),IF(RAND()&lt;CondGood,_xlfn.LOGNORM.INV(RAND(),MV3,Sigma2),MIN(MaxMultiple,Xm/(1-RAND())^(1/Alpha)))))</f>
        <v>0.91800951920905116</v>
      </c>
      <c r="K253" s="19">
        <f ca="1">IF(RAND()&lt;P_Zero,0,IF(RAND()&lt;CondReturn,_xlfn.LOGNORM.INV(RAND(),MV2,Sigma1),IF(RAND()&lt;CondGood,_xlfn.LOGNORM.INV(RAND(),MV3,Sigma2),MIN(MaxMultiple,Xm/(1-RAND())^(1/Alpha)))))</f>
        <v>0</v>
      </c>
      <c r="L253" s="19">
        <f ca="1">IF(RAND()&lt;P_Zero,0,IF(RAND()&lt;CondReturn,_xlfn.LOGNORM.INV(RAND(),MV2,Sigma1),IF(RAND()&lt;CondGood,_xlfn.LOGNORM.INV(RAND(),MV3,Sigma2),MIN(MaxMultiple,Xm/(1-RAND())^(1/Alpha)))))</f>
        <v>0.89225013341080417</v>
      </c>
      <c r="M253" s="19">
        <f ca="1">IF(RAND()&lt;P_Zero,0,IF(RAND()&lt;CondReturn,_xlfn.LOGNORM.INV(RAND(),MV2,Sigma1),IF(RAND()&lt;CondGood,_xlfn.LOGNORM.INV(RAND(),MV3,Sigma2),MIN(MaxMultiple,Xm/(1-RAND())^(1/Alpha)))))</f>
        <v>0</v>
      </c>
      <c r="N253" s="19">
        <f ca="1">IF(RAND()&lt;P_Zero,0,IF(RAND()&lt;CondReturn,_xlfn.LOGNORM.INV(RAND(),MV2,Sigma1),IF(RAND()&lt;CondGood,_xlfn.LOGNORM.INV(RAND(),MV3,Sigma2),MIN(MaxMultiple,Xm/(1-RAND())^(1/Alpha)))))</f>
        <v>0</v>
      </c>
      <c r="O253" s="19">
        <f ca="1">IF(RAND()&lt;P_Zero,0,IF(RAND()&lt;CondReturn,_xlfn.LOGNORM.INV(RAND(),MV2,Sigma1),IF(RAND()&lt;CondGood,_xlfn.LOGNORM.INV(RAND(),MV3,Sigma2),MIN(MaxMultiple,Xm/(1-RAND())^(1/Alpha)))))</f>
        <v>17.247217545977286</v>
      </c>
      <c r="P253" s="19">
        <f ca="1">IF(RAND()&lt;P_Zero,0,IF(RAND()&lt;CondReturn,_xlfn.LOGNORM.INV(RAND(),MV2,Sigma1),IF(RAND()&lt;CondGood,_xlfn.LOGNORM.INV(RAND(),MV3,Sigma2),MIN(MaxMultiple,Xm/(1-RAND())^(1/Alpha)))))</f>
        <v>0</v>
      </c>
      <c r="Q253" s="19">
        <f ca="1">IF(RAND()&lt;P_Zero,0,IF(RAND()&lt;CondReturn,_xlfn.LOGNORM.INV(RAND(),MV2,Sigma1),IF(RAND()&lt;CondGood,_xlfn.LOGNORM.INV(RAND(),MV3,Sigma2),MIN(MaxMultiple,Xm/(1-RAND())^(1/Alpha)))))</f>
        <v>0.71774995384952489</v>
      </c>
      <c r="R253" s="19">
        <f ca="1">IF(RAND()&lt;P_Zero,0,IF(RAND()&lt;CondReturn,_xlfn.LOGNORM.INV(RAND(),MV2,Sigma1),IF(RAND()&lt;CondGood,_xlfn.LOGNORM.INV(RAND(),MV3,Sigma2),MIN(MaxMultiple,Xm/(1-RAND())^(1/Alpha)))))</f>
        <v>0</v>
      </c>
      <c r="S253" s="19">
        <f ca="1">IF(RAND()&lt;P_Zero,0,IF(RAND()&lt;CondReturn,_xlfn.LOGNORM.INV(RAND(),MV2,Sigma1),IF(RAND()&lt;CondGood,_xlfn.LOGNORM.INV(RAND(),MV3,Sigma2),MIN(MaxMultiple,Xm/(1-RAND())^(1/Alpha)))))</f>
        <v>0</v>
      </c>
      <c r="T253" s="19">
        <f ca="1">IF(RAND()&lt;P_Zero,0,IF(RAND()&lt;CondReturn,_xlfn.LOGNORM.INV(RAND(),MV2,Sigma1),IF(RAND()&lt;CondGood,_xlfn.LOGNORM.INV(RAND(),MV3,Sigma2),MIN(MaxMultiple,Xm/(1-RAND())^(1/Alpha)))))</f>
        <v>300</v>
      </c>
      <c r="U253" s="19">
        <f ca="1">IF(RAND()&lt;P_Zero,0,IF(RAND()&lt;CondReturn,_xlfn.LOGNORM.INV(RAND(),MV2,Sigma1),IF(RAND()&lt;CondGood,_xlfn.LOGNORM.INV(RAND(),MV3,Sigma2),MIN(MaxMultiple,Xm/(1-RAND())^(1/Alpha)))))</f>
        <v>0</v>
      </c>
      <c r="V253" s="19">
        <f ca="1">IF(RAND()&lt;P_Zero,0,IF(RAND()&lt;CondReturn,_xlfn.LOGNORM.INV(RAND(),MV2,Sigma1),IF(RAND()&lt;CondGood,_xlfn.LOGNORM.INV(RAND(),MV3,Sigma2),MIN(MaxMultiple,Xm/(1-RAND())^(1/Alpha)))))</f>
        <v>0</v>
      </c>
      <c r="W253" s="19">
        <f ca="1">IF(RAND()&lt;P_Zero,0,IF(RAND()&lt;CondReturn,_xlfn.LOGNORM.INV(RAND(),MV2,Sigma1),IF(RAND()&lt;CondGood,_xlfn.LOGNORM.INV(RAND(),MV3,Sigma2),MIN(MaxMultiple,Xm/(1-RAND())^(1/Alpha)))))</f>
        <v>0.40218632416910038</v>
      </c>
      <c r="X253" s="19">
        <f ca="1">IF(RAND()&lt;P_Zero,0,IF(RAND()&lt;CondReturn,_xlfn.LOGNORM.INV(RAND(),MV2,Sigma1),IF(RAND()&lt;CondGood,_xlfn.LOGNORM.INV(RAND(),MV3,Sigma2),MIN(MaxMultiple,Xm/(1-RAND())^(1/Alpha)))))</f>
        <v>0</v>
      </c>
      <c r="Y253" s="19">
        <f ca="1">IF(RAND()&lt;P_Zero,0,IF(RAND()&lt;CondReturn,_xlfn.LOGNORM.INV(RAND(),MV2,Sigma1),IF(RAND()&lt;CondGood,_xlfn.LOGNORM.INV(RAND(),MV3,Sigma2),MIN(MaxMultiple,Xm/(1-RAND())^(1/Alpha)))))</f>
        <v>1.8059701454136738</v>
      </c>
      <c r="Z253" s="19">
        <f ca="1">IF(RAND()&lt;P_Zero,0,IF(RAND()&lt;CondReturn,_xlfn.LOGNORM.INV(RAND(),MV2,Sigma1),IF(RAND()&lt;CondGood,_xlfn.LOGNORM.INV(RAND(),MV3,Sigma2),MIN(MaxMultiple,Xm/(1-RAND())^(1/Alpha)))))</f>
        <v>0.92155665743736148</v>
      </c>
      <c r="AA253" s="19">
        <f ca="1">IF(RAND()&lt;P_Zero,0,IF(RAND()&lt;CondReturn,_xlfn.LOGNORM.INV(RAND(),MV2,Sigma1),IF(RAND()&lt;CondGood,_xlfn.LOGNORM.INV(RAND(),MV3,Sigma2),MIN(MaxMultiple,Xm/(1-RAND())^(1/Alpha)))))</f>
        <v>0.57239726865740037</v>
      </c>
      <c r="AB253" s="19">
        <f t="shared" ca="1" si="24"/>
        <v>13.147670888384832</v>
      </c>
      <c r="AC253" s="14">
        <f t="shared" ca="1" si="25"/>
        <v>631088202.64247191</v>
      </c>
      <c r="AD253" s="14">
        <f t="shared" ca="1" si="26"/>
        <v>583088202.64247191</v>
      </c>
      <c r="AE253" s="14">
        <f t="shared" si="27"/>
        <v>55628399.869093813</v>
      </c>
      <c r="AF253" s="14">
        <f t="shared" ca="1" si="28"/>
        <v>527459802.77337807</v>
      </c>
      <c r="AG253" s="14">
        <f t="shared" ca="1" si="29"/>
        <v>105491960.55467562</v>
      </c>
      <c r="AH253" s="14">
        <f t="shared" ca="1" si="30"/>
        <v>525596242.08779627</v>
      </c>
      <c r="AI253" s="19">
        <f t="shared" ca="1" si="31"/>
        <v>8.759937368129938</v>
      </c>
    </row>
    <row r="254" spans="2:35" x14ac:dyDescent="0.2">
      <c r="B254" s="1">
        <v>249</v>
      </c>
      <c r="C254" s="19">
        <f ca="1">IF(RAND()&lt;P_Zero,0,IF(RAND()&lt;CondReturn,_xlfn.LOGNORM.INV(RAND(),MV2,Sigma1),IF(RAND()&lt;CondGood,_xlfn.LOGNORM.INV(RAND(),MV3,Sigma2),MIN(MaxMultiple,Xm/(1-RAND())^(1/Alpha)))))</f>
        <v>1.7381785249009496</v>
      </c>
      <c r="D254" s="19">
        <f ca="1">IF(RAND()&lt;P_Zero,0,IF(RAND()&lt;CondReturn,_xlfn.LOGNORM.INV(RAND(),MV2,Sigma1),IF(RAND()&lt;CondGood,_xlfn.LOGNORM.INV(RAND(),MV3,Sigma2),MIN(MaxMultiple,Xm/(1-RAND())^(1/Alpha)))))</f>
        <v>0.70113629599003069</v>
      </c>
      <c r="E254" s="19">
        <f ca="1">IF(RAND()&lt;P_Zero,0,IF(RAND()&lt;CondReturn,_xlfn.LOGNORM.INV(RAND(),MV2,Sigma1),IF(RAND()&lt;CondGood,_xlfn.LOGNORM.INV(RAND(),MV3,Sigma2),MIN(MaxMultiple,Xm/(1-RAND())^(1/Alpha)))))</f>
        <v>27.986202127770301</v>
      </c>
      <c r="F254" s="19">
        <f ca="1">IF(RAND()&lt;P_Zero,0,IF(RAND()&lt;CondReturn,_xlfn.LOGNORM.INV(RAND(),MV2,Sigma1),IF(RAND()&lt;CondGood,_xlfn.LOGNORM.INV(RAND(),MV3,Sigma2),MIN(MaxMultiple,Xm/(1-RAND())^(1/Alpha)))))</f>
        <v>0.84293556172375173</v>
      </c>
      <c r="G254" s="19">
        <f ca="1">IF(RAND()&lt;P_Zero,0,IF(RAND()&lt;CondReturn,_xlfn.LOGNORM.INV(RAND(),MV2,Sigma1),IF(RAND()&lt;CondGood,_xlfn.LOGNORM.INV(RAND(),MV3,Sigma2),MIN(MaxMultiple,Xm/(1-RAND())^(1/Alpha)))))</f>
        <v>1.4705428291073195</v>
      </c>
      <c r="H254" s="19">
        <f ca="1">IF(RAND()&lt;P_Zero,0,IF(RAND()&lt;CondReturn,_xlfn.LOGNORM.INV(RAND(),MV2,Sigma1),IF(RAND()&lt;CondGood,_xlfn.LOGNORM.INV(RAND(),MV3,Sigma2),MIN(MaxMultiple,Xm/(1-RAND())^(1/Alpha)))))</f>
        <v>148.84151167003159</v>
      </c>
      <c r="I254" s="19">
        <f ca="1">IF(RAND()&lt;P_Zero,0,IF(RAND()&lt;CondReturn,_xlfn.LOGNORM.INV(RAND(),MV2,Sigma1),IF(RAND()&lt;CondGood,_xlfn.LOGNORM.INV(RAND(),MV3,Sigma2),MIN(MaxMultiple,Xm/(1-RAND())^(1/Alpha)))))</f>
        <v>0</v>
      </c>
      <c r="J254" s="19">
        <f ca="1">IF(RAND()&lt;P_Zero,0,IF(RAND()&lt;CondReturn,_xlfn.LOGNORM.INV(RAND(),MV2,Sigma1),IF(RAND()&lt;CondGood,_xlfn.LOGNORM.INV(RAND(),MV3,Sigma2),MIN(MaxMultiple,Xm/(1-RAND())^(1/Alpha)))))</f>
        <v>100.63624188400767</v>
      </c>
      <c r="K254" s="19">
        <f ca="1">IF(RAND()&lt;P_Zero,0,IF(RAND()&lt;CondReturn,_xlfn.LOGNORM.INV(RAND(),MV2,Sigma1),IF(RAND()&lt;CondGood,_xlfn.LOGNORM.INV(RAND(),MV3,Sigma2),MIN(MaxMultiple,Xm/(1-RAND())^(1/Alpha)))))</f>
        <v>0</v>
      </c>
      <c r="L254" s="19">
        <f ca="1">IF(RAND()&lt;P_Zero,0,IF(RAND()&lt;CondReturn,_xlfn.LOGNORM.INV(RAND(),MV2,Sigma1),IF(RAND()&lt;CondGood,_xlfn.LOGNORM.INV(RAND(),MV3,Sigma2),MIN(MaxMultiple,Xm/(1-RAND())^(1/Alpha)))))</f>
        <v>0.53482379382974654</v>
      </c>
      <c r="M254" s="19">
        <f ca="1">IF(RAND()&lt;P_Zero,0,IF(RAND()&lt;CondReturn,_xlfn.LOGNORM.INV(RAND(),MV2,Sigma1),IF(RAND()&lt;CondGood,_xlfn.LOGNORM.INV(RAND(),MV3,Sigma2),MIN(MaxMultiple,Xm/(1-RAND())^(1/Alpha)))))</f>
        <v>1.1118245608913349</v>
      </c>
      <c r="N254" s="19">
        <f ca="1">IF(RAND()&lt;P_Zero,0,IF(RAND()&lt;CondReturn,_xlfn.LOGNORM.INV(RAND(),MV2,Sigma1),IF(RAND()&lt;CondGood,_xlfn.LOGNORM.INV(RAND(),MV3,Sigma2),MIN(MaxMultiple,Xm/(1-RAND())^(1/Alpha)))))</f>
        <v>1.230311101551592</v>
      </c>
      <c r="O254" s="19">
        <f ca="1">IF(RAND()&lt;P_Zero,0,IF(RAND()&lt;CondReturn,_xlfn.LOGNORM.INV(RAND(),MV2,Sigma1),IF(RAND()&lt;CondGood,_xlfn.LOGNORM.INV(RAND(),MV3,Sigma2),MIN(MaxMultiple,Xm/(1-RAND())^(1/Alpha)))))</f>
        <v>0</v>
      </c>
      <c r="P254" s="19">
        <f ca="1">IF(RAND()&lt;P_Zero,0,IF(RAND()&lt;CondReturn,_xlfn.LOGNORM.INV(RAND(),MV2,Sigma1),IF(RAND()&lt;CondGood,_xlfn.LOGNORM.INV(RAND(),MV3,Sigma2),MIN(MaxMultiple,Xm/(1-RAND())^(1/Alpha)))))</f>
        <v>17.708363738850377</v>
      </c>
      <c r="Q254" s="19">
        <f ca="1">IF(RAND()&lt;P_Zero,0,IF(RAND()&lt;CondReturn,_xlfn.LOGNORM.INV(RAND(),MV2,Sigma1),IF(RAND()&lt;CondGood,_xlfn.LOGNORM.INV(RAND(),MV3,Sigma2),MIN(MaxMultiple,Xm/(1-RAND())^(1/Alpha)))))</f>
        <v>0</v>
      </c>
      <c r="R254" s="19">
        <f ca="1">IF(RAND()&lt;P_Zero,0,IF(RAND()&lt;CondReturn,_xlfn.LOGNORM.INV(RAND(),MV2,Sigma1),IF(RAND()&lt;CondGood,_xlfn.LOGNORM.INV(RAND(),MV3,Sigma2),MIN(MaxMultiple,Xm/(1-RAND())^(1/Alpha)))))</f>
        <v>0.98083505241091351</v>
      </c>
      <c r="S254" s="19">
        <f ca="1">IF(RAND()&lt;P_Zero,0,IF(RAND()&lt;CondReturn,_xlfn.LOGNORM.INV(RAND(),MV2,Sigma1),IF(RAND()&lt;CondGood,_xlfn.LOGNORM.INV(RAND(),MV3,Sigma2),MIN(MaxMultiple,Xm/(1-RAND())^(1/Alpha)))))</f>
        <v>0.7368689966362193</v>
      </c>
      <c r="T254" s="19">
        <f ca="1">IF(RAND()&lt;P_Zero,0,IF(RAND()&lt;CondReturn,_xlfn.LOGNORM.INV(RAND(),MV2,Sigma1),IF(RAND()&lt;CondGood,_xlfn.LOGNORM.INV(RAND(),MV3,Sigma2),MIN(MaxMultiple,Xm/(1-RAND())^(1/Alpha)))))</f>
        <v>1.1915666541035124</v>
      </c>
      <c r="U254" s="19">
        <f ca="1">IF(RAND()&lt;P_Zero,0,IF(RAND()&lt;CondReturn,_xlfn.LOGNORM.INV(RAND(),MV2,Sigma1),IF(RAND()&lt;CondGood,_xlfn.LOGNORM.INV(RAND(),MV3,Sigma2),MIN(MaxMultiple,Xm/(1-RAND())^(1/Alpha)))))</f>
        <v>0.80675845090615705</v>
      </c>
      <c r="V254" s="19">
        <f ca="1">IF(RAND()&lt;P_Zero,0,IF(RAND()&lt;CondReturn,_xlfn.LOGNORM.INV(RAND(),MV2,Sigma1),IF(RAND()&lt;CondGood,_xlfn.LOGNORM.INV(RAND(),MV3,Sigma2),MIN(MaxMultiple,Xm/(1-RAND())^(1/Alpha)))))</f>
        <v>0.79188293877954419</v>
      </c>
      <c r="W254" s="19">
        <f ca="1">IF(RAND()&lt;P_Zero,0,IF(RAND()&lt;CondReturn,_xlfn.LOGNORM.INV(RAND(),MV2,Sigma1),IF(RAND()&lt;CondGood,_xlfn.LOGNORM.INV(RAND(),MV3,Sigma2),MIN(MaxMultiple,Xm/(1-RAND())^(1/Alpha)))))</f>
        <v>1.2092638079639764</v>
      </c>
      <c r="X254" s="19">
        <f ca="1">IF(RAND()&lt;P_Zero,0,IF(RAND()&lt;CondReturn,_xlfn.LOGNORM.INV(RAND(),MV2,Sigma1),IF(RAND()&lt;CondGood,_xlfn.LOGNORM.INV(RAND(),MV3,Sigma2),MIN(MaxMultiple,Xm/(1-RAND())^(1/Alpha)))))</f>
        <v>0</v>
      </c>
      <c r="Y254" s="19">
        <f ca="1">IF(RAND()&lt;P_Zero,0,IF(RAND()&lt;CondReturn,_xlfn.LOGNORM.INV(RAND(),MV2,Sigma1),IF(RAND()&lt;CondGood,_xlfn.LOGNORM.INV(RAND(),MV3,Sigma2),MIN(MaxMultiple,Xm/(1-RAND())^(1/Alpha)))))</f>
        <v>0.65089154010262029</v>
      </c>
      <c r="Z254" s="19">
        <f ca="1">IF(RAND()&lt;P_Zero,0,IF(RAND()&lt;CondReturn,_xlfn.LOGNORM.INV(RAND(),MV2,Sigma1),IF(RAND()&lt;CondGood,_xlfn.LOGNORM.INV(RAND(),MV3,Sigma2),MIN(MaxMultiple,Xm/(1-RAND())^(1/Alpha)))))</f>
        <v>2.2805070671740233</v>
      </c>
      <c r="AA254" s="19">
        <f ca="1">IF(RAND()&lt;P_Zero,0,IF(RAND()&lt;CondReturn,_xlfn.LOGNORM.INV(RAND(),MV2,Sigma1),IF(RAND()&lt;CondGood,_xlfn.LOGNORM.INV(RAND(),MV3,Sigma2),MIN(MaxMultiple,Xm/(1-RAND())^(1/Alpha)))))</f>
        <v>13.141525128983742</v>
      </c>
      <c r="AB254" s="19">
        <f t="shared" ca="1" si="24"/>
        <v>12.983686869028615</v>
      </c>
      <c r="AC254" s="14">
        <f t="shared" ca="1" si="25"/>
        <v>623216969.71337354</v>
      </c>
      <c r="AD254" s="14">
        <f t="shared" ca="1" si="26"/>
        <v>575216969.71337354</v>
      </c>
      <c r="AE254" s="14">
        <f t="shared" si="27"/>
        <v>55628399.869093813</v>
      </c>
      <c r="AF254" s="14">
        <f t="shared" ca="1" si="28"/>
        <v>519588569.84427971</v>
      </c>
      <c r="AG254" s="14">
        <f t="shared" ca="1" si="29"/>
        <v>103917713.96885595</v>
      </c>
      <c r="AH254" s="14">
        <f t="shared" ca="1" si="30"/>
        <v>519299255.74451756</v>
      </c>
      <c r="AI254" s="19">
        <f t="shared" ca="1" si="31"/>
        <v>8.6549875957419591</v>
      </c>
    </row>
    <row r="255" spans="2:35" x14ac:dyDescent="0.2">
      <c r="B255" s="1">
        <v>250</v>
      </c>
      <c r="C255" s="19">
        <f ca="1">IF(RAND()&lt;P_Zero,0,IF(RAND()&lt;CondReturn,_xlfn.LOGNORM.INV(RAND(),MV2,Sigma1),IF(RAND()&lt;CondGood,_xlfn.LOGNORM.INV(RAND(),MV3,Sigma2),MIN(MaxMultiple,Xm/(1-RAND())^(1/Alpha)))))</f>
        <v>1.7943165358320401</v>
      </c>
      <c r="D255" s="19">
        <f ca="1">IF(RAND()&lt;P_Zero,0,IF(RAND()&lt;CondReturn,_xlfn.LOGNORM.INV(RAND(),MV2,Sigma1),IF(RAND()&lt;CondGood,_xlfn.LOGNORM.INV(RAND(),MV3,Sigma2),MIN(MaxMultiple,Xm/(1-RAND())^(1/Alpha)))))</f>
        <v>0</v>
      </c>
      <c r="E255" s="19">
        <f ca="1">IF(RAND()&lt;P_Zero,0,IF(RAND()&lt;CondReturn,_xlfn.LOGNORM.INV(RAND(),MV2,Sigma1),IF(RAND()&lt;CondGood,_xlfn.LOGNORM.INV(RAND(),MV3,Sigma2),MIN(MaxMultiple,Xm/(1-RAND())^(1/Alpha)))))</f>
        <v>0</v>
      </c>
      <c r="F255" s="19">
        <f ca="1">IF(RAND()&lt;P_Zero,0,IF(RAND()&lt;CondReturn,_xlfn.LOGNORM.INV(RAND(),MV2,Sigma1),IF(RAND()&lt;CondGood,_xlfn.LOGNORM.INV(RAND(),MV3,Sigma2),MIN(MaxMultiple,Xm/(1-RAND())^(1/Alpha)))))</f>
        <v>0</v>
      </c>
      <c r="G255" s="19">
        <f ca="1">IF(RAND()&lt;P_Zero,0,IF(RAND()&lt;CondReturn,_xlfn.LOGNORM.INV(RAND(),MV2,Sigma1),IF(RAND()&lt;CondGood,_xlfn.LOGNORM.INV(RAND(),MV3,Sigma2),MIN(MaxMultiple,Xm/(1-RAND())^(1/Alpha)))))</f>
        <v>0</v>
      </c>
      <c r="H255" s="19">
        <f ca="1">IF(RAND()&lt;P_Zero,0,IF(RAND()&lt;CondReturn,_xlfn.LOGNORM.INV(RAND(),MV2,Sigma1),IF(RAND()&lt;CondGood,_xlfn.LOGNORM.INV(RAND(),MV3,Sigma2),MIN(MaxMultiple,Xm/(1-RAND())^(1/Alpha)))))</f>
        <v>1.1666740631886585</v>
      </c>
      <c r="I255" s="19">
        <f ca="1">IF(RAND()&lt;P_Zero,0,IF(RAND()&lt;CondReturn,_xlfn.LOGNORM.INV(RAND(),MV2,Sigma1),IF(RAND()&lt;CondGood,_xlfn.LOGNORM.INV(RAND(),MV3,Sigma2),MIN(MaxMultiple,Xm/(1-RAND())^(1/Alpha)))))</f>
        <v>0</v>
      </c>
      <c r="J255" s="19">
        <f ca="1">IF(RAND()&lt;P_Zero,0,IF(RAND()&lt;CondReturn,_xlfn.LOGNORM.INV(RAND(),MV2,Sigma1),IF(RAND()&lt;CondGood,_xlfn.LOGNORM.INV(RAND(),MV3,Sigma2),MIN(MaxMultiple,Xm/(1-RAND())^(1/Alpha)))))</f>
        <v>0.83885537703684354</v>
      </c>
      <c r="K255" s="19">
        <f ca="1">IF(RAND()&lt;P_Zero,0,IF(RAND()&lt;CondReturn,_xlfn.LOGNORM.INV(RAND(),MV2,Sigma1),IF(RAND()&lt;CondGood,_xlfn.LOGNORM.INV(RAND(),MV3,Sigma2),MIN(MaxMultiple,Xm/(1-RAND())^(1/Alpha)))))</f>
        <v>24.632813981577325</v>
      </c>
      <c r="L255" s="19">
        <f ca="1">IF(RAND()&lt;P_Zero,0,IF(RAND()&lt;CondReturn,_xlfn.LOGNORM.INV(RAND(),MV2,Sigma1),IF(RAND()&lt;CondGood,_xlfn.LOGNORM.INV(RAND(),MV3,Sigma2),MIN(MaxMultiple,Xm/(1-RAND())^(1/Alpha)))))</f>
        <v>0</v>
      </c>
      <c r="M255" s="19">
        <f ca="1">IF(RAND()&lt;P_Zero,0,IF(RAND()&lt;CondReturn,_xlfn.LOGNORM.INV(RAND(),MV2,Sigma1),IF(RAND()&lt;CondGood,_xlfn.LOGNORM.INV(RAND(),MV3,Sigma2),MIN(MaxMultiple,Xm/(1-RAND())^(1/Alpha)))))</f>
        <v>0.79245558914199821</v>
      </c>
      <c r="N255" s="19">
        <f ca="1">IF(RAND()&lt;P_Zero,0,IF(RAND()&lt;CondReturn,_xlfn.LOGNORM.INV(RAND(),MV2,Sigma1),IF(RAND()&lt;CondGood,_xlfn.LOGNORM.INV(RAND(),MV3,Sigma2),MIN(MaxMultiple,Xm/(1-RAND())^(1/Alpha)))))</f>
        <v>0.90119229210896457</v>
      </c>
      <c r="O255" s="19">
        <f ca="1">IF(RAND()&lt;P_Zero,0,IF(RAND()&lt;CondReturn,_xlfn.LOGNORM.INV(RAND(),MV2,Sigma1),IF(RAND()&lt;CondGood,_xlfn.LOGNORM.INV(RAND(),MV3,Sigma2),MIN(MaxMultiple,Xm/(1-RAND())^(1/Alpha)))))</f>
        <v>0</v>
      </c>
      <c r="P255" s="19">
        <f ca="1">IF(RAND()&lt;P_Zero,0,IF(RAND()&lt;CondReturn,_xlfn.LOGNORM.INV(RAND(),MV2,Sigma1),IF(RAND()&lt;CondGood,_xlfn.LOGNORM.INV(RAND(),MV3,Sigma2),MIN(MaxMultiple,Xm/(1-RAND())^(1/Alpha)))))</f>
        <v>1.6724345179204287</v>
      </c>
      <c r="Q255" s="19">
        <f ca="1">IF(RAND()&lt;P_Zero,0,IF(RAND()&lt;CondReturn,_xlfn.LOGNORM.INV(RAND(),MV2,Sigma1),IF(RAND()&lt;CondGood,_xlfn.LOGNORM.INV(RAND(),MV3,Sigma2),MIN(MaxMultiple,Xm/(1-RAND())^(1/Alpha)))))</f>
        <v>0</v>
      </c>
      <c r="R255" s="19">
        <f ca="1">IF(RAND()&lt;P_Zero,0,IF(RAND()&lt;CondReturn,_xlfn.LOGNORM.INV(RAND(),MV2,Sigma1),IF(RAND()&lt;CondGood,_xlfn.LOGNORM.INV(RAND(),MV3,Sigma2),MIN(MaxMultiple,Xm/(1-RAND())^(1/Alpha)))))</f>
        <v>2.3120288422756903</v>
      </c>
      <c r="S255" s="19">
        <f ca="1">IF(RAND()&lt;P_Zero,0,IF(RAND()&lt;CondReturn,_xlfn.LOGNORM.INV(RAND(),MV2,Sigma1),IF(RAND()&lt;CondGood,_xlfn.LOGNORM.INV(RAND(),MV3,Sigma2),MIN(MaxMultiple,Xm/(1-RAND())^(1/Alpha)))))</f>
        <v>39.249169540279489</v>
      </c>
      <c r="T255" s="19">
        <f ca="1">IF(RAND()&lt;P_Zero,0,IF(RAND()&lt;CondReturn,_xlfn.LOGNORM.INV(RAND(),MV2,Sigma1),IF(RAND()&lt;CondGood,_xlfn.LOGNORM.INV(RAND(),MV3,Sigma2),MIN(MaxMultiple,Xm/(1-RAND())^(1/Alpha)))))</f>
        <v>0.96875967298876653</v>
      </c>
      <c r="U255" s="19">
        <f ca="1">IF(RAND()&lt;P_Zero,0,IF(RAND()&lt;CondReturn,_xlfn.LOGNORM.INV(RAND(),MV2,Sigma1),IF(RAND()&lt;CondGood,_xlfn.LOGNORM.INV(RAND(),MV3,Sigma2),MIN(MaxMultiple,Xm/(1-RAND())^(1/Alpha)))))</f>
        <v>0.19434970740332841</v>
      </c>
      <c r="V255" s="19">
        <f ca="1">IF(RAND()&lt;P_Zero,0,IF(RAND()&lt;CondReturn,_xlfn.LOGNORM.INV(RAND(),MV2,Sigma1),IF(RAND()&lt;CondGood,_xlfn.LOGNORM.INV(RAND(),MV3,Sigma2),MIN(MaxMultiple,Xm/(1-RAND())^(1/Alpha)))))</f>
        <v>0</v>
      </c>
      <c r="W255" s="19">
        <f ca="1">IF(RAND()&lt;P_Zero,0,IF(RAND()&lt;CondReturn,_xlfn.LOGNORM.INV(RAND(),MV2,Sigma1),IF(RAND()&lt;CondGood,_xlfn.LOGNORM.INV(RAND(),MV3,Sigma2),MIN(MaxMultiple,Xm/(1-RAND())^(1/Alpha)))))</f>
        <v>0</v>
      </c>
      <c r="X255" s="19">
        <f ca="1">IF(RAND()&lt;P_Zero,0,IF(RAND()&lt;CondReturn,_xlfn.LOGNORM.INV(RAND(),MV2,Sigma1),IF(RAND()&lt;CondGood,_xlfn.LOGNORM.INV(RAND(),MV3,Sigma2),MIN(MaxMultiple,Xm/(1-RAND())^(1/Alpha)))))</f>
        <v>0</v>
      </c>
      <c r="Y255" s="19">
        <f ca="1">IF(RAND()&lt;P_Zero,0,IF(RAND()&lt;CondReturn,_xlfn.LOGNORM.INV(RAND(),MV2,Sigma1),IF(RAND()&lt;CondGood,_xlfn.LOGNORM.INV(RAND(),MV3,Sigma2),MIN(MaxMultiple,Xm/(1-RAND())^(1/Alpha)))))</f>
        <v>0</v>
      </c>
      <c r="Z255" s="19">
        <f ca="1">IF(RAND()&lt;P_Zero,0,IF(RAND()&lt;CondReturn,_xlfn.LOGNORM.INV(RAND(),MV2,Sigma1),IF(RAND()&lt;CondGood,_xlfn.LOGNORM.INV(RAND(),MV3,Sigma2),MIN(MaxMultiple,Xm/(1-RAND())^(1/Alpha)))))</f>
        <v>0.90279287062342284</v>
      </c>
      <c r="AA255" s="19">
        <f ca="1">IF(RAND()&lt;P_Zero,0,IF(RAND()&lt;CondReturn,_xlfn.LOGNORM.INV(RAND(),MV2,Sigma1),IF(RAND()&lt;CondGood,_xlfn.LOGNORM.INV(RAND(),MV3,Sigma2),MIN(MaxMultiple,Xm/(1-RAND())^(1/Alpha)))))</f>
        <v>3.1213427754189391</v>
      </c>
      <c r="AB255" s="19">
        <f t="shared" ca="1" si="24"/>
        <v>3.1418874306318361</v>
      </c>
      <c r="AC255" s="14">
        <f t="shared" ca="1" si="25"/>
        <v>150810596.67032814</v>
      </c>
      <c r="AD255" s="14">
        <f t="shared" ca="1" si="26"/>
        <v>102810596.67032814</v>
      </c>
      <c r="AE255" s="14">
        <f t="shared" si="27"/>
        <v>55628399.869093813</v>
      </c>
      <c r="AF255" s="14">
        <f t="shared" ca="1" si="28"/>
        <v>47182196.801234327</v>
      </c>
      <c r="AG255" s="14">
        <f t="shared" ca="1" si="29"/>
        <v>9436439.3602468651</v>
      </c>
      <c r="AH255" s="14">
        <f t="shared" ca="1" si="30"/>
        <v>141374157.31008127</v>
      </c>
      <c r="AI255" s="19">
        <f t="shared" ca="1" si="31"/>
        <v>2.3562359551680214</v>
      </c>
    </row>
    <row r="256" spans="2:35" x14ac:dyDescent="0.2">
      <c r="B256" s="1">
        <v>251</v>
      </c>
      <c r="C256" s="19">
        <f ca="1">IF(RAND()&lt;P_Zero,0,IF(RAND()&lt;CondReturn,_xlfn.LOGNORM.INV(RAND(),MV2,Sigma1),IF(RAND()&lt;CondGood,_xlfn.LOGNORM.INV(RAND(),MV3,Sigma2),MIN(MaxMultiple,Xm/(1-RAND())^(1/Alpha)))))</f>
        <v>0.84745378251369285</v>
      </c>
      <c r="D256" s="19">
        <f ca="1">IF(RAND()&lt;P_Zero,0,IF(RAND()&lt;CondReturn,_xlfn.LOGNORM.INV(RAND(),MV2,Sigma1),IF(RAND()&lt;CondGood,_xlfn.LOGNORM.INV(RAND(),MV3,Sigma2),MIN(MaxMultiple,Xm/(1-RAND())^(1/Alpha)))))</f>
        <v>1.2302765434399647</v>
      </c>
      <c r="E256" s="19">
        <f ca="1">IF(RAND()&lt;P_Zero,0,IF(RAND()&lt;CondReturn,_xlfn.LOGNORM.INV(RAND(),MV2,Sigma1),IF(RAND()&lt;CondGood,_xlfn.LOGNORM.INV(RAND(),MV3,Sigma2),MIN(MaxMultiple,Xm/(1-RAND())^(1/Alpha)))))</f>
        <v>0</v>
      </c>
      <c r="F256" s="19">
        <f ca="1">IF(RAND()&lt;P_Zero,0,IF(RAND()&lt;CondReturn,_xlfn.LOGNORM.INV(RAND(),MV2,Sigma1),IF(RAND()&lt;CondGood,_xlfn.LOGNORM.INV(RAND(),MV3,Sigma2),MIN(MaxMultiple,Xm/(1-RAND())^(1/Alpha)))))</f>
        <v>1.0197548606070947</v>
      </c>
      <c r="G256" s="19">
        <f ca="1">IF(RAND()&lt;P_Zero,0,IF(RAND()&lt;CondReturn,_xlfn.LOGNORM.INV(RAND(),MV2,Sigma1),IF(RAND()&lt;CondGood,_xlfn.LOGNORM.INV(RAND(),MV3,Sigma2),MIN(MaxMultiple,Xm/(1-RAND())^(1/Alpha)))))</f>
        <v>2.1048852197194878</v>
      </c>
      <c r="H256" s="19">
        <f ca="1">IF(RAND()&lt;P_Zero,0,IF(RAND()&lt;CondReturn,_xlfn.LOGNORM.INV(RAND(),MV2,Sigma1),IF(RAND()&lt;CondGood,_xlfn.LOGNORM.INV(RAND(),MV3,Sigma2),MIN(MaxMultiple,Xm/(1-RAND())^(1/Alpha)))))</f>
        <v>0.83991740312722307</v>
      </c>
      <c r="I256" s="19">
        <f ca="1">IF(RAND()&lt;P_Zero,0,IF(RAND()&lt;CondReturn,_xlfn.LOGNORM.INV(RAND(),MV2,Sigma1),IF(RAND()&lt;CondGood,_xlfn.LOGNORM.INV(RAND(),MV3,Sigma2),MIN(MaxMultiple,Xm/(1-RAND())^(1/Alpha)))))</f>
        <v>0.70119465294649108</v>
      </c>
      <c r="J256" s="19">
        <f ca="1">IF(RAND()&lt;P_Zero,0,IF(RAND()&lt;CondReturn,_xlfn.LOGNORM.INV(RAND(),MV2,Sigma1),IF(RAND()&lt;CondGood,_xlfn.LOGNORM.INV(RAND(),MV3,Sigma2),MIN(MaxMultiple,Xm/(1-RAND())^(1/Alpha)))))</f>
        <v>0.36547735340962939</v>
      </c>
      <c r="K256" s="19">
        <f ca="1">IF(RAND()&lt;P_Zero,0,IF(RAND()&lt;CondReturn,_xlfn.LOGNORM.INV(RAND(),MV2,Sigma1),IF(RAND()&lt;CondGood,_xlfn.LOGNORM.INV(RAND(),MV3,Sigma2),MIN(MaxMultiple,Xm/(1-RAND())^(1/Alpha)))))</f>
        <v>1.3054442851611485</v>
      </c>
      <c r="L256" s="19">
        <f ca="1">IF(RAND()&lt;P_Zero,0,IF(RAND()&lt;CondReturn,_xlfn.LOGNORM.INV(RAND(),MV2,Sigma1),IF(RAND()&lt;CondGood,_xlfn.LOGNORM.INV(RAND(),MV3,Sigma2),MIN(MaxMultiple,Xm/(1-RAND())^(1/Alpha)))))</f>
        <v>0</v>
      </c>
      <c r="M256" s="19">
        <f ca="1">IF(RAND()&lt;P_Zero,0,IF(RAND()&lt;CondReturn,_xlfn.LOGNORM.INV(RAND(),MV2,Sigma1),IF(RAND()&lt;CondGood,_xlfn.LOGNORM.INV(RAND(),MV3,Sigma2),MIN(MaxMultiple,Xm/(1-RAND())^(1/Alpha)))))</f>
        <v>0</v>
      </c>
      <c r="N256" s="19">
        <f ca="1">IF(RAND()&lt;P_Zero,0,IF(RAND()&lt;CondReturn,_xlfn.LOGNORM.INV(RAND(),MV2,Sigma1),IF(RAND()&lt;CondGood,_xlfn.LOGNORM.INV(RAND(),MV3,Sigma2),MIN(MaxMultiple,Xm/(1-RAND())^(1/Alpha)))))</f>
        <v>1.7143085144133565</v>
      </c>
      <c r="O256" s="19">
        <f ca="1">IF(RAND()&lt;P_Zero,0,IF(RAND()&lt;CondReturn,_xlfn.LOGNORM.INV(RAND(),MV2,Sigma1),IF(RAND()&lt;CondGood,_xlfn.LOGNORM.INV(RAND(),MV3,Sigma2),MIN(MaxMultiple,Xm/(1-RAND())^(1/Alpha)))))</f>
        <v>1.0577956376845958</v>
      </c>
      <c r="P256" s="19">
        <f ca="1">IF(RAND()&lt;P_Zero,0,IF(RAND()&lt;CondReturn,_xlfn.LOGNORM.INV(RAND(),MV2,Sigma1),IF(RAND()&lt;CondGood,_xlfn.LOGNORM.INV(RAND(),MV3,Sigma2),MIN(MaxMultiple,Xm/(1-RAND())^(1/Alpha)))))</f>
        <v>3.7981747995143778</v>
      </c>
      <c r="Q256" s="19">
        <f ca="1">IF(RAND()&lt;P_Zero,0,IF(RAND()&lt;CondReturn,_xlfn.LOGNORM.INV(RAND(),MV2,Sigma1),IF(RAND()&lt;CondGood,_xlfn.LOGNORM.INV(RAND(),MV3,Sigma2),MIN(MaxMultiple,Xm/(1-RAND())^(1/Alpha)))))</f>
        <v>0</v>
      </c>
      <c r="R256" s="19">
        <f ca="1">IF(RAND()&lt;P_Zero,0,IF(RAND()&lt;CondReturn,_xlfn.LOGNORM.INV(RAND(),MV2,Sigma1),IF(RAND()&lt;CondGood,_xlfn.LOGNORM.INV(RAND(),MV3,Sigma2),MIN(MaxMultiple,Xm/(1-RAND())^(1/Alpha)))))</f>
        <v>0</v>
      </c>
      <c r="S256" s="19">
        <f ca="1">IF(RAND()&lt;P_Zero,0,IF(RAND()&lt;CondReturn,_xlfn.LOGNORM.INV(RAND(),MV2,Sigma1),IF(RAND()&lt;CondGood,_xlfn.LOGNORM.INV(RAND(),MV3,Sigma2),MIN(MaxMultiple,Xm/(1-RAND())^(1/Alpha)))))</f>
        <v>0</v>
      </c>
      <c r="T256" s="19">
        <f ca="1">IF(RAND()&lt;P_Zero,0,IF(RAND()&lt;CondReturn,_xlfn.LOGNORM.INV(RAND(),MV2,Sigma1),IF(RAND()&lt;CondGood,_xlfn.LOGNORM.INV(RAND(),MV3,Sigma2),MIN(MaxMultiple,Xm/(1-RAND())^(1/Alpha)))))</f>
        <v>0</v>
      </c>
      <c r="U256" s="19">
        <f ca="1">IF(RAND()&lt;P_Zero,0,IF(RAND()&lt;CondReturn,_xlfn.LOGNORM.INV(RAND(),MV2,Sigma1),IF(RAND()&lt;CondGood,_xlfn.LOGNORM.INV(RAND(),MV3,Sigma2),MIN(MaxMultiple,Xm/(1-RAND())^(1/Alpha)))))</f>
        <v>1.9699110240533497</v>
      </c>
      <c r="V256" s="19">
        <f ca="1">IF(RAND()&lt;P_Zero,0,IF(RAND()&lt;CondReturn,_xlfn.LOGNORM.INV(RAND(),MV2,Sigma1),IF(RAND()&lt;CondGood,_xlfn.LOGNORM.INV(RAND(),MV3,Sigma2),MIN(MaxMultiple,Xm/(1-RAND())^(1/Alpha)))))</f>
        <v>2.897605687051267</v>
      </c>
      <c r="W256" s="19">
        <f ca="1">IF(RAND()&lt;P_Zero,0,IF(RAND()&lt;CondReturn,_xlfn.LOGNORM.INV(RAND(),MV2,Sigma1),IF(RAND()&lt;CondGood,_xlfn.LOGNORM.INV(RAND(),MV3,Sigma2),MIN(MaxMultiple,Xm/(1-RAND())^(1/Alpha)))))</f>
        <v>0</v>
      </c>
      <c r="X256" s="19">
        <f ca="1">IF(RAND()&lt;P_Zero,0,IF(RAND()&lt;CondReturn,_xlfn.LOGNORM.INV(RAND(),MV2,Sigma1),IF(RAND()&lt;CondGood,_xlfn.LOGNORM.INV(RAND(),MV3,Sigma2),MIN(MaxMultiple,Xm/(1-RAND())^(1/Alpha)))))</f>
        <v>1.4298720374784395</v>
      </c>
      <c r="Y256" s="19">
        <f ca="1">IF(RAND()&lt;P_Zero,0,IF(RAND()&lt;CondReturn,_xlfn.LOGNORM.INV(RAND(),MV2,Sigma1),IF(RAND()&lt;CondGood,_xlfn.LOGNORM.INV(RAND(),MV3,Sigma2),MIN(MaxMultiple,Xm/(1-RAND())^(1/Alpha)))))</f>
        <v>1.8847530324419943</v>
      </c>
      <c r="Z256" s="19">
        <f ca="1">IF(RAND()&lt;P_Zero,0,IF(RAND()&lt;CondReturn,_xlfn.LOGNORM.INV(RAND(),MV2,Sigma1),IF(RAND()&lt;CondGood,_xlfn.LOGNORM.INV(RAND(),MV3,Sigma2),MIN(MaxMultiple,Xm/(1-RAND())^(1/Alpha)))))</f>
        <v>0</v>
      </c>
      <c r="AA256" s="19">
        <f ca="1">IF(RAND()&lt;P_Zero,0,IF(RAND()&lt;CondReturn,_xlfn.LOGNORM.INV(RAND(),MV2,Sigma1),IF(RAND()&lt;CondGood,_xlfn.LOGNORM.INV(RAND(),MV3,Sigma2),MIN(MaxMultiple,Xm/(1-RAND())^(1/Alpha)))))</f>
        <v>0</v>
      </c>
      <c r="AB256" s="19">
        <f t="shared" ca="1" si="24"/>
        <v>0.92667299334248454</v>
      </c>
      <c r="AC256" s="14">
        <f t="shared" ca="1" si="25"/>
        <v>44480303.680439256</v>
      </c>
      <c r="AD256" s="14">
        <f t="shared" ca="1" si="26"/>
        <v>-3519696.3195607439</v>
      </c>
      <c r="AE256" s="14">
        <f t="shared" si="27"/>
        <v>55628399.869093813</v>
      </c>
      <c r="AF256" s="14">
        <f t="shared" ca="1" si="28"/>
        <v>0</v>
      </c>
      <c r="AG256" s="14">
        <f t="shared" ca="1" si="29"/>
        <v>0</v>
      </c>
      <c r="AH256" s="14">
        <f t="shared" ca="1" si="30"/>
        <v>44480303.680439256</v>
      </c>
      <c r="AI256" s="19">
        <f t="shared" ca="1" si="31"/>
        <v>0.74133839467398766</v>
      </c>
    </row>
    <row r="257" spans="2:35" x14ac:dyDescent="0.2">
      <c r="B257" s="1">
        <v>252</v>
      </c>
      <c r="C257" s="19">
        <f ca="1">IF(RAND()&lt;P_Zero,0,IF(RAND()&lt;CondReturn,_xlfn.LOGNORM.INV(RAND(),MV2,Sigma1),IF(RAND()&lt;CondGood,_xlfn.LOGNORM.INV(RAND(),MV3,Sigma2),MIN(MaxMultiple,Xm/(1-RAND())^(1/Alpha)))))</f>
        <v>0.73549904054198256</v>
      </c>
      <c r="D257" s="19">
        <f ca="1">IF(RAND()&lt;P_Zero,0,IF(RAND()&lt;CondReturn,_xlfn.LOGNORM.INV(RAND(),MV2,Sigma1),IF(RAND()&lt;CondGood,_xlfn.LOGNORM.INV(RAND(),MV3,Sigma2),MIN(MaxMultiple,Xm/(1-RAND())^(1/Alpha)))))</f>
        <v>1.2774051373024229</v>
      </c>
      <c r="E257" s="19">
        <f ca="1">IF(RAND()&lt;P_Zero,0,IF(RAND()&lt;CondReturn,_xlfn.LOGNORM.INV(RAND(),MV2,Sigma1),IF(RAND()&lt;CondGood,_xlfn.LOGNORM.INV(RAND(),MV3,Sigma2),MIN(MaxMultiple,Xm/(1-RAND())^(1/Alpha)))))</f>
        <v>0</v>
      </c>
      <c r="F257" s="19">
        <f ca="1">IF(RAND()&lt;P_Zero,0,IF(RAND()&lt;CondReturn,_xlfn.LOGNORM.INV(RAND(),MV2,Sigma1),IF(RAND()&lt;CondGood,_xlfn.LOGNORM.INV(RAND(),MV3,Sigma2),MIN(MaxMultiple,Xm/(1-RAND())^(1/Alpha)))))</f>
        <v>0.73445041024717894</v>
      </c>
      <c r="G257" s="19">
        <f ca="1">IF(RAND()&lt;P_Zero,0,IF(RAND()&lt;CondReturn,_xlfn.LOGNORM.INV(RAND(),MV2,Sigma1),IF(RAND()&lt;CondGood,_xlfn.LOGNORM.INV(RAND(),MV3,Sigma2),MIN(MaxMultiple,Xm/(1-RAND())^(1/Alpha)))))</f>
        <v>0.97645485590504633</v>
      </c>
      <c r="H257" s="19">
        <f ca="1">IF(RAND()&lt;P_Zero,0,IF(RAND()&lt;CondReturn,_xlfn.LOGNORM.INV(RAND(),MV2,Sigma1),IF(RAND()&lt;CondGood,_xlfn.LOGNORM.INV(RAND(),MV3,Sigma2),MIN(MaxMultiple,Xm/(1-RAND())^(1/Alpha)))))</f>
        <v>0</v>
      </c>
      <c r="I257" s="19">
        <f ca="1">IF(RAND()&lt;P_Zero,0,IF(RAND()&lt;CondReturn,_xlfn.LOGNORM.INV(RAND(),MV2,Sigma1),IF(RAND()&lt;CondGood,_xlfn.LOGNORM.INV(RAND(),MV3,Sigma2),MIN(MaxMultiple,Xm/(1-RAND())^(1/Alpha)))))</f>
        <v>0</v>
      </c>
      <c r="J257" s="19">
        <f ca="1">IF(RAND()&lt;P_Zero,0,IF(RAND()&lt;CondReturn,_xlfn.LOGNORM.INV(RAND(),MV2,Sigma1),IF(RAND()&lt;CondGood,_xlfn.LOGNORM.INV(RAND(),MV3,Sigma2),MIN(MaxMultiple,Xm/(1-RAND())^(1/Alpha)))))</f>
        <v>0</v>
      </c>
      <c r="K257" s="19">
        <f ca="1">IF(RAND()&lt;P_Zero,0,IF(RAND()&lt;CondReturn,_xlfn.LOGNORM.INV(RAND(),MV2,Sigma1),IF(RAND()&lt;CondGood,_xlfn.LOGNORM.INV(RAND(),MV3,Sigma2),MIN(MaxMultiple,Xm/(1-RAND())^(1/Alpha)))))</f>
        <v>0.79581239712409546</v>
      </c>
      <c r="L257" s="19">
        <f ca="1">IF(RAND()&lt;P_Zero,0,IF(RAND()&lt;CondReturn,_xlfn.LOGNORM.INV(RAND(),MV2,Sigma1),IF(RAND()&lt;CondGood,_xlfn.LOGNORM.INV(RAND(),MV3,Sigma2),MIN(MaxMultiple,Xm/(1-RAND())^(1/Alpha)))))</f>
        <v>1.1603957516405117</v>
      </c>
      <c r="M257" s="19">
        <f ca="1">IF(RAND()&lt;P_Zero,0,IF(RAND()&lt;CondReturn,_xlfn.LOGNORM.INV(RAND(),MV2,Sigma1),IF(RAND()&lt;CondGood,_xlfn.LOGNORM.INV(RAND(),MV3,Sigma2),MIN(MaxMultiple,Xm/(1-RAND())^(1/Alpha)))))</f>
        <v>0.85726655278276298</v>
      </c>
      <c r="N257" s="19">
        <f ca="1">IF(RAND()&lt;P_Zero,0,IF(RAND()&lt;CondReturn,_xlfn.LOGNORM.INV(RAND(),MV2,Sigma1),IF(RAND()&lt;CondGood,_xlfn.LOGNORM.INV(RAND(),MV3,Sigma2),MIN(MaxMultiple,Xm/(1-RAND())^(1/Alpha)))))</f>
        <v>0</v>
      </c>
      <c r="O257" s="19">
        <f ca="1">IF(RAND()&lt;P_Zero,0,IF(RAND()&lt;CondReturn,_xlfn.LOGNORM.INV(RAND(),MV2,Sigma1),IF(RAND()&lt;CondGood,_xlfn.LOGNORM.INV(RAND(),MV3,Sigma2),MIN(MaxMultiple,Xm/(1-RAND())^(1/Alpha)))))</f>
        <v>0</v>
      </c>
      <c r="P257" s="19">
        <f ca="1">IF(RAND()&lt;P_Zero,0,IF(RAND()&lt;CondReturn,_xlfn.LOGNORM.INV(RAND(),MV2,Sigma1),IF(RAND()&lt;CondGood,_xlfn.LOGNORM.INV(RAND(),MV3,Sigma2),MIN(MaxMultiple,Xm/(1-RAND())^(1/Alpha)))))</f>
        <v>1.1649650315659508</v>
      </c>
      <c r="Q257" s="19">
        <f ca="1">IF(RAND()&lt;P_Zero,0,IF(RAND()&lt;CondReturn,_xlfn.LOGNORM.INV(RAND(),MV2,Sigma1),IF(RAND()&lt;CondGood,_xlfn.LOGNORM.INV(RAND(),MV3,Sigma2),MIN(MaxMultiple,Xm/(1-RAND())^(1/Alpha)))))</f>
        <v>0.85583524747536965</v>
      </c>
      <c r="R257" s="19">
        <f ca="1">IF(RAND()&lt;P_Zero,0,IF(RAND()&lt;CondReturn,_xlfn.LOGNORM.INV(RAND(),MV2,Sigma1),IF(RAND()&lt;CondGood,_xlfn.LOGNORM.INV(RAND(),MV3,Sigma2),MIN(MaxMultiple,Xm/(1-RAND())^(1/Alpha)))))</f>
        <v>0</v>
      </c>
      <c r="S257" s="19">
        <f ca="1">IF(RAND()&lt;P_Zero,0,IF(RAND()&lt;CondReturn,_xlfn.LOGNORM.INV(RAND(),MV2,Sigma1),IF(RAND()&lt;CondGood,_xlfn.LOGNORM.INV(RAND(),MV3,Sigma2),MIN(MaxMultiple,Xm/(1-RAND())^(1/Alpha)))))</f>
        <v>0.98503203382554705</v>
      </c>
      <c r="T257" s="19">
        <f ca="1">IF(RAND()&lt;P_Zero,0,IF(RAND()&lt;CondReturn,_xlfn.LOGNORM.INV(RAND(),MV2,Sigma1),IF(RAND()&lt;CondGood,_xlfn.LOGNORM.INV(RAND(),MV3,Sigma2),MIN(MaxMultiple,Xm/(1-RAND())^(1/Alpha)))))</f>
        <v>0</v>
      </c>
      <c r="U257" s="19">
        <f ca="1">IF(RAND()&lt;P_Zero,0,IF(RAND()&lt;CondReturn,_xlfn.LOGNORM.INV(RAND(),MV2,Sigma1),IF(RAND()&lt;CondGood,_xlfn.LOGNORM.INV(RAND(),MV3,Sigma2),MIN(MaxMultiple,Xm/(1-RAND())^(1/Alpha)))))</f>
        <v>22.366590624609387</v>
      </c>
      <c r="V257" s="19">
        <f ca="1">IF(RAND()&lt;P_Zero,0,IF(RAND()&lt;CondReturn,_xlfn.LOGNORM.INV(RAND(),MV2,Sigma1),IF(RAND()&lt;CondGood,_xlfn.LOGNORM.INV(RAND(),MV3,Sigma2),MIN(MaxMultiple,Xm/(1-RAND())^(1/Alpha)))))</f>
        <v>1.2213545516849966</v>
      </c>
      <c r="W257" s="19">
        <f ca="1">IF(RAND()&lt;P_Zero,0,IF(RAND()&lt;CondReturn,_xlfn.LOGNORM.INV(RAND(),MV2,Sigma1),IF(RAND()&lt;CondGood,_xlfn.LOGNORM.INV(RAND(),MV3,Sigma2),MIN(MaxMultiple,Xm/(1-RAND())^(1/Alpha)))))</f>
        <v>1.2395719256056359</v>
      </c>
      <c r="X257" s="19">
        <f ca="1">IF(RAND()&lt;P_Zero,0,IF(RAND()&lt;CondReturn,_xlfn.LOGNORM.INV(RAND(),MV2,Sigma1),IF(RAND()&lt;CondGood,_xlfn.LOGNORM.INV(RAND(),MV3,Sigma2),MIN(MaxMultiple,Xm/(1-RAND())^(1/Alpha)))))</f>
        <v>1.0561161490991695</v>
      </c>
      <c r="Y257" s="19">
        <f ca="1">IF(RAND()&lt;P_Zero,0,IF(RAND()&lt;CondReturn,_xlfn.LOGNORM.INV(RAND(),MV2,Sigma1),IF(RAND()&lt;CondGood,_xlfn.LOGNORM.INV(RAND(),MV3,Sigma2),MIN(MaxMultiple,Xm/(1-RAND())^(1/Alpha)))))</f>
        <v>0.67647153565946794</v>
      </c>
      <c r="Z257" s="19">
        <f ca="1">IF(RAND()&lt;P_Zero,0,IF(RAND()&lt;CondReturn,_xlfn.LOGNORM.INV(RAND(),MV2,Sigma1),IF(RAND()&lt;CondGood,_xlfn.LOGNORM.INV(RAND(),MV3,Sigma2),MIN(MaxMultiple,Xm/(1-RAND())^(1/Alpha)))))</f>
        <v>0</v>
      </c>
      <c r="AA257" s="19">
        <f ca="1">IF(RAND()&lt;P_Zero,0,IF(RAND()&lt;CondReturn,_xlfn.LOGNORM.INV(RAND(),MV2,Sigma1),IF(RAND()&lt;CondGood,_xlfn.LOGNORM.INV(RAND(),MV3,Sigma2),MIN(MaxMultiple,Xm/(1-RAND())^(1/Alpha)))))</f>
        <v>2.7416084683248205</v>
      </c>
      <c r="AB257" s="19">
        <f t="shared" ca="1" si="24"/>
        <v>1.5537931885357739</v>
      </c>
      <c r="AC257" s="14">
        <f t="shared" ca="1" si="25"/>
        <v>74582073.049717143</v>
      </c>
      <c r="AD257" s="14">
        <f t="shared" ca="1" si="26"/>
        <v>26582073.049717143</v>
      </c>
      <c r="AE257" s="14">
        <f t="shared" si="27"/>
        <v>55628399.869093813</v>
      </c>
      <c r="AF257" s="14">
        <f t="shared" ca="1" si="28"/>
        <v>0</v>
      </c>
      <c r="AG257" s="14">
        <f t="shared" ca="1" si="29"/>
        <v>0</v>
      </c>
      <c r="AH257" s="14">
        <f t="shared" ca="1" si="30"/>
        <v>74582073.049717143</v>
      </c>
      <c r="AI257" s="19">
        <f t="shared" ca="1" si="31"/>
        <v>1.2430345508286191</v>
      </c>
    </row>
    <row r="258" spans="2:35" x14ac:dyDescent="0.2">
      <c r="B258" s="1">
        <v>253</v>
      </c>
      <c r="C258" s="19">
        <f ca="1">IF(RAND()&lt;P_Zero,0,IF(RAND()&lt;CondReturn,_xlfn.LOGNORM.INV(RAND(),MV2,Sigma1),IF(RAND()&lt;CondGood,_xlfn.LOGNORM.INV(RAND(),MV3,Sigma2),MIN(MaxMultiple,Xm/(1-RAND())^(1/Alpha)))))</f>
        <v>0</v>
      </c>
      <c r="D258" s="19">
        <f ca="1">IF(RAND()&lt;P_Zero,0,IF(RAND()&lt;CondReturn,_xlfn.LOGNORM.INV(RAND(),MV2,Sigma1),IF(RAND()&lt;CondGood,_xlfn.LOGNORM.INV(RAND(),MV3,Sigma2),MIN(MaxMultiple,Xm/(1-RAND())^(1/Alpha)))))</f>
        <v>1.7907180686238779</v>
      </c>
      <c r="E258" s="19">
        <f ca="1">IF(RAND()&lt;P_Zero,0,IF(RAND()&lt;CondReturn,_xlfn.LOGNORM.INV(RAND(),MV2,Sigma1),IF(RAND()&lt;CondGood,_xlfn.LOGNORM.INV(RAND(),MV3,Sigma2),MIN(MaxMultiple,Xm/(1-RAND())^(1/Alpha)))))</f>
        <v>0</v>
      </c>
      <c r="F258" s="19">
        <f ca="1">IF(RAND()&lt;P_Zero,0,IF(RAND()&lt;CondReturn,_xlfn.LOGNORM.INV(RAND(),MV2,Sigma1),IF(RAND()&lt;CondGood,_xlfn.LOGNORM.INV(RAND(),MV3,Sigma2),MIN(MaxMultiple,Xm/(1-RAND())^(1/Alpha)))))</f>
        <v>0</v>
      </c>
      <c r="G258" s="19">
        <f ca="1">IF(RAND()&lt;P_Zero,0,IF(RAND()&lt;CondReturn,_xlfn.LOGNORM.INV(RAND(),MV2,Sigma1),IF(RAND()&lt;CondGood,_xlfn.LOGNORM.INV(RAND(),MV3,Sigma2),MIN(MaxMultiple,Xm/(1-RAND())^(1/Alpha)))))</f>
        <v>0.45287470268358415</v>
      </c>
      <c r="H258" s="19">
        <f ca="1">IF(RAND()&lt;P_Zero,0,IF(RAND()&lt;CondReturn,_xlfn.LOGNORM.INV(RAND(),MV2,Sigma1),IF(RAND()&lt;CondGood,_xlfn.LOGNORM.INV(RAND(),MV3,Sigma2),MIN(MaxMultiple,Xm/(1-RAND())^(1/Alpha)))))</f>
        <v>0</v>
      </c>
      <c r="I258" s="19">
        <f ca="1">IF(RAND()&lt;P_Zero,0,IF(RAND()&lt;CondReturn,_xlfn.LOGNORM.INV(RAND(),MV2,Sigma1),IF(RAND()&lt;CondGood,_xlfn.LOGNORM.INV(RAND(),MV3,Sigma2),MIN(MaxMultiple,Xm/(1-RAND())^(1/Alpha)))))</f>
        <v>2.7440150505351162</v>
      </c>
      <c r="J258" s="19">
        <f ca="1">IF(RAND()&lt;P_Zero,0,IF(RAND()&lt;CondReturn,_xlfn.LOGNORM.INV(RAND(),MV2,Sigma1),IF(RAND()&lt;CondGood,_xlfn.LOGNORM.INV(RAND(),MV3,Sigma2),MIN(MaxMultiple,Xm/(1-RAND())^(1/Alpha)))))</f>
        <v>2.0124718378546262</v>
      </c>
      <c r="K258" s="19">
        <f ca="1">IF(RAND()&lt;P_Zero,0,IF(RAND()&lt;CondReturn,_xlfn.LOGNORM.INV(RAND(),MV2,Sigma1),IF(RAND()&lt;CondGood,_xlfn.LOGNORM.INV(RAND(),MV3,Sigma2),MIN(MaxMultiple,Xm/(1-RAND())^(1/Alpha)))))</f>
        <v>0.99099183374864874</v>
      </c>
      <c r="L258" s="19">
        <f ca="1">IF(RAND()&lt;P_Zero,0,IF(RAND()&lt;CondReturn,_xlfn.LOGNORM.INV(RAND(),MV2,Sigma1),IF(RAND()&lt;CondGood,_xlfn.LOGNORM.INV(RAND(),MV3,Sigma2),MIN(MaxMultiple,Xm/(1-RAND())^(1/Alpha)))))</f>
        <v>0</v>
      </c>
      <c r="M258" s="19">
        <f ca="1">IF(RAND()&lt;P_Zero,0,IF(RAND()&lt;CondReturn,_xlfn.LOGNORM.INV(RAND(),MV2,Sigma1),IF(RAND()&lt;CondGood,_xlfn.LOGNORM.INV(RAND(),MV3,Sigma2),MIN(MaxMultiple,Xm/(1-RAND())^(1/Alpha)))))</f>
        <v>0</v>
      </c>
      <c r="N258" s="19">
        <f ca="1">IF(RAND()&lt;P_Zero,0,IF(RAND()&lt;CondReturn,_xlfn.LOGNORM.INV(RAND(),MV2,Sigma1),IF(RAND()&lt;CondGood,_xlfn.LOGNORM.INV(RAND(),MV3,Sigma2),MIN(MaxMultiple,Xm/(1-RAND())^(1/Alpha)))))</f>
        <v>10.921469744297463</v>
      </c>
      <c r="O258" s="19">
        <f ca="1">IF(RAND()&lt;P_Zero,0,IF(RAND()&lt;CondReturn,_xlfn.LOGNORM.INV(RAND(),MV2,Sigma1),IF(RAND()&lt;CondGood,_xlfn.LOGNORM.INV(RAND(),MV3,Sigma2),MIN(MaxMultiple,Xm/(1-RAND())^(1/Alpha)))))</f>
        <v>0.36299901496724973</v>
      </c>
      <c r="P258" s="19">
        <f ca="1">IF(RAND()&lt;P_Zero,0,IF(RAND()&lt;CondReturn,_xlfn.LOGNORM.INV(RAND(),MV2,Sigma1),IF(RAND()&lt;CondGood,_xlfn.LOGNORM.INV(RAND(),MV3,Sigma2),MIN(MaxMultiple,Xm/(1-RAND())^(1/Alpha)))))</f>
        <v>0</v>
      </c>
      <c r="Q258" s="19">
        <f ca="1">IF(RAND()&lt;P_Zero,0,IF(RAND()&lt;CondReturn,_xlfn.LOGNORM.INV(RAND(),MV2,Sigma1),IF(RAND()&lt;CondGood,_xlfn.LOGNORM.INV(RAND(),MV3,Sigma2),MIN(MaxMultiple,Xm/(1-RAND())^(1/Alpha)))))</f>
        <v>0.83165406698259037</v>
      </c>
      <c r="R258" s="19">
        <f ca="1">IF(RAND()&lt;P_Zero,0,IF(RAND()&lt;CondReturn,_xlfn.LOGNORM.INV(RAND(),MV2,Sigma1),IF(RAND()&lt;CondGood,_xlfn.LOGNORM.INV(RAND(),MV3,Sigma2),MIN(MaxMultiple,Xm/(1-RAND())^(1/Alpha)))))</f>
        <v>0.72648187229513694</v>
      </c>
      <c r="S258" s="19">
        <f ca="1">IF(RAND()&lt;P_Zero,0,IF(RAND()&lt;CondReturn,_xlfn.LOGNORM.INV(RAND(),MV2,Sigma1),IF(RAND()&lt;CondGood,_xlfn.LOGNORM.INV(RAND(),MV3,Sigma2),MIN(MaxMultiple,Xm/(1-RAND())^(1/Alpha)))))</f>
        <v>0.44371269320576157</v>
      </c>
      <c r="T258" s="19">
        <f ca="1">IF(RAND()&lt;P_Zero,0,IF(RAND()&lt;CondReturn,_xlfn.LOGNORM.INV(RAND(),MV2,Sigma1),IF(RAND()&lt;CondGood,_xlfn.LOGNORM.INV(RAND(),MV3,Sigma2),MIN(MaxMultiple,Xm/(1-RAND())^(1/Alpha)))))</f>
        <v>0</v>
      </c>
      <c r="U258" s="19">
        <f ca="1">IF(RAND()&lt;P_Zero,0,IF(RAND()&lt;CondReturn,_xlfn.LOGNORM.INV(RAND(),MV2,Sigma1),IF(RAND()&lt;CondGood,_xlfn.LOGNORM.INV(RAND(),MV3,Sigma2),MIN(MaxMultiple,Xm/(1-RAND())^(1/Alpha)))))</f>
        <v>1.347131514484047</v>
      </c>
      <c r="V258" s="19">
        <f ca="1">IF(RAND()&lt;P_Zero,0,IF(RAND()&lt;CondReturn,_xlfn.LOGNORM.INV(RAND(),MV2,Sigma1),IF(RAND()&lt;CondGood,_xlfn.LOGNORM.INV(RAND(),MV3,Sigma2),MIN(MaxMultiple,Xm/(1-RAND())^(1/Alpha)))))</f>
        <v>0</v>
      </c>
      <c r="W258" s="19">
        <f ca="1">IF(RAND()&lt;P_Zero,0,IF(RAND()&lt;CondReturn,_xlfn.LOGNORM.INV(RAND(),MV2,Sigma1),IF(RAND()&lt;CondGood,_xlfn.LOGNORM.INV(RAND(),MV3,Sigma2),MIN(MaxMultiple,Xm/(1-RAND())^(1/Alpha)))))</f>
        <v>1.4094507996587857</v>
      </c>
      <c r="X258" s="19">
        <f ca="1">IF(RAND()&lt;P_Zero,0,IF(RAND()&lt;CondReturn,_xlfn.LOGNORM.INV(RAND(),MV2,Sigma1),IF(RAND()&lt;CondGood,_xlfn.LOGNORM.INV(RAND(),MV3,Sigma2),MIN(MaxMultiple,Xm/(1-RAND())^(1/Alpha)))))</f>
        <v>61.229543426324099</v>
      </c>
      <c r="Y258" s="19">
        <f ca="1">IF(RAND()&lt;P_Zero,0,IF(RAND()&lt;CondReturn,_xlfn.LOGNORM.INV(RAND(),MV2,Sigma1),IF(RAND()&lt;CondGood,_xlfn.LOGNORM.INV(RAND(),MV3,Sigma2),MIN(MaxMultiple,Xm/(1-RAND())^(1/Alpha)))))</f>
        <v>0</v>
      </c>
      <c r="Z258" s="19">
        <f ca="1">IF(RAND()&lt;P_Zero,0,IF(RAND()&lt;CondReturn,_xlfn.LOGNORM.INV(RAND(),MV2,Sigma1),IF(RAND()&lt;CondGood,_xlfn.LOGNORM.INV(RAND(),MV3,Sigma2),MIN(MaxMultiple,Xm/(1-RAND())^(1/Alpha)))))</f>
        <v>0</v>
      </c>
      <c r="AA258" s="19">
        <f ca="1">IF(RAND()&lt;P_Zero,0,IF(RAND()&lt;CondReturn,_xlfn.LOGNORM.INV(RAND(),MV2,Sigma1),IF(RAND()&lt;CondGood,_xlfn.LOGNORM.INV(RAND(),MV3,Sigma2),MIN(MaxMultiple,Xm/(1-RAND())^(1/Alpha)))))</f>
        <v>1.8339477324114608</v>
      </c>
      <c r="AB258" s="19">
        <f t="shared" ca="1" si="24"/>
        <v>3.4838984943228981</v>
      </c>
      <c r="AC258" s="14">
        <f t="shared" ca="1" si="25"/>
        <v>167227127.7274991</v>
      </c>
      <c r="AD258" s="14">
        <f t="shared" ca="1" si="26"/>
        <v>119227127.7274991</v>
      </c>
      <c r="AE258" s="14">
        <f t="shared" si="27"/>
        <v>55628399.869093813</v>
      </c>
      <c r="AF258" s="14">
        <f t="shared" ca="1" si="28"/>
        <v>63598727.858405285</v>
      </c>
      <c r="AG258" s="14">
        <f t="shared" ca="1" si="29"/>
        <v>12719745.571681058</v>
      </c>
      <c r="AH258" s="14">
        <f t="shared" ca="1" si="30"/>
        <v>154507382.15581805</v>
      </c>
      <c r="AI258" s="19">
        <f t="shared" ca="1" si="31"/>
        <v>2.5751230359303006</v>
      </c>
    </row>
    <row r="259" spans="2:35" x14ac:dyDescent="0.2">
      <c r="B259" s="1">
        <v>254</v>
      </c>
      <c r="C259" s="19">
        <f ca="1">IF(RAND()&lt;P_Zero,0,IF(RAND()&lt;CondReturn,_xlfn.LOGNORM.INV(RAND(),MV2,Sigma1),IF(RAND()&lt;CondGood,_xlfn.LOGNORM.INV(RAND(),MV3,Sigma2),MIN(MaxMultiple,Xm/(1-RAND())^(1/Alpha)))))</f>
        <v>12.677823487798825</v>
      </c>
      <c r="D259" s="19">
        <f ca="1">IF(RAND()&lt;P_Zero,0,IF(RAND()&lt;CondReturn,_xlfn.LOGNORM.INV(RAND(),MV2,Sigma1),IF(RAND()&lt;CondGood,_xlfn.LOGNORM.INV(RAND(),MV3,Sigma2),MIN(MaxMultiple,Xm/(1-RAND())^(1/Alpha)))))</f>
        <v>1.3533894167222928</v>
      </c>
      <c r="E259" s="19">
        <f ca="1">IF(RAND()&lt;P_Zero,0,IF(RAND()&lt;CondReturn,_xlfn.LOGNORM.INV(RAND(),MV2,Sigma1),IF(RAND()&lt;CondGood,_xlfn.LOGNORM.INV(RAND(),MV3,Sigma2),MIN(MaxMultiple,Xm/(1-RAND())^(1/Alpha)))))</f>
        <v>0.29670008455078206</v>
      </c>
      <c r="F259" s="19">
        <f ca="1">IF(RAND()&lt;P_Zero,0,IF(RAND()&lt;CondReturn,_xlfn.LOGNORM.INV(RAND(),MV2,Sigma1),IF(RAND()&lt;CondGood,_xlfn.LOGNORM.INV(RAND(),MV3,Sigma2),MIN(MaxMultiple,Xm/(1-RAND())^(1/Alpha)))))</f>
        <v>0</v>
      </c>
      <c r="G259" s="19">
        <f ca="1">IF(RAND()&lt;P_Zero,0,IF(RAND()&lt;CondReturn,_xlfn.LOGNORM.INV(RAND(),MV2,Sigma1),IF(RAND()&lt;CondGood,_xlfn.LOGNORM.INV(RAND(),MV3,Sigma2),MIN(MaxMultiple,Xm/(1-RAND())^(1/Alpha)))))</f>
        <v>2.1759952197326258</v>
      </c>
      <c r="H259" s="19">
        <f ca="1">IF(RAND()&lt;P_Zero,0,IF(RAND()&lt;CondReturn,_xlfn.LOGNORM.INV(RAND(),MV2,Sigma1),IF(RAND()&lt;CondGood,_xlfn.LOGNORM.INV(RAND(),MV3,Sigma2),MIN(MaxMultiple,Xm/(1-RAND())^(1/Alpha)))))</f>
        <v>0.71389672631774836</v>
      </c>
      <c r="I259" s="19">
        <f ca="1">IF(RAND()&lt;P_Zero,0,IF(RAND()&lt;CondReturn,_xlfn.LOGNORM.INV(RAND(),MV2,Sigma1),IF(RAND()&lt;CondGood,_xlfn.LOGNORM.INV(RAND(),MV3,Sigma2),MIN(MaxMultiple,Xm/(1-RAND())^(1/Alpha)))))</f>
        <v>0.43797128023558013</v>
      </c>
      <c r="J259" s="19">
        <f ca="1">IF(RAND()&lt;P_Zero,0,IF(RAND()&lt;CondReturn,_xlfn.LOGNORM.INV(RAND(),MV2,Sigma1),IF(RAND()&lt;CondGood,_xlfn.LOGNORM.INV(RAND(),MV3,Sigma2),MIN(MaxMultiple,Xm/(1-RAND())^(1/Alpha)))))</f>
        <v>1.9720939693139901</v>
      </c>
      <c r="K259" s="19">
        <f ca="1">IF(RAND()&lt;P_Zero,0,IF(RAND()&lt;CondReturn,_xlfn.LOGNORM.INV(RAND(),MV2,Sigma1),IF(RAND()&lt;CondGood,_xlfn.LOGNORM.INV(RAND(),MV3,Sigma2),MIN(MaxMultiple,Xm/(1-RAND())^(1/Alpha)))))</f>
        <v>0</v>
      </c>
      <c r="L259" s="19">
        <f ca="1">IF(RAND()&lt;P_Zero,0,IF(RAND()&lt;CondReturn,_xlfn.LOGNORM.INV(RAND(),MV2,Sigma1),IF(RAND()&lt;CondGood,_xlfn.LOGNORM.INV(RAND(),MV3,Sigma2),MIN(MaxMultiple,Xm/(1-RAND())^(1/Alpha)))))</f>
        <v>1.0099321392467691</v>
      </c>
      <c r="M259" s="19">
        <f ca="1">IF(RAND()&lt;P_Zero,0,IF(RAND()&lt;CondReturn,_xlfn.LOGNORM.INV(RAND(),MV2,Sigma1),IF(RAND()&lt;CondGood,_xlfn.LOGNORM.INV(RAND(),MV3,Sigma2),MIN(MaxMultiple,Xm/(1-RAND())^(1/Alpha)))))</f>
        <v>0.71663101481561886</v>
      </c>
      <c r="N259" s="19">
        <f ca="1">IF(RAND()&lt;P_Zero,0,IF(RAND()&lt;CondReturn,_xlfn.LOGNORM.INV(RAND(),MV2,Sigma1),IF(RAND()&lt;CondGood,_xlfn.LOGNORM.INV(RAND(),MV3,Sigma2),MIN(MaxMultiple,Xm/(1-RAND())^(1/Alpha)))))</f>
        <v>1.1666743362713727</v>
      </c>
      <c r="O259" s="19">
        <f ca="1">IF(RAND()&lt;P_Zero,0,IF(RAND()&lt;CondReturn,_xlfn.LOGNORM.INV(RAND(),MV2,Sigma1),IF(RAND()&lt;CondGood,_xlfn.LOGNORM.INV(RAND(),MV3,Sigma2),MIN(MaxMultiple,Xm/(1-RAND())^(1/Alpha)))))</f>
        <v>1.4674057188457537</v>
      </c>
      <c r="P259" s="19">
        <f ca="1">IF(RAND()&lt;P_Zero,0,IF(RAND()&lt;CondReturn,_xlfn.LOGNORM.INV(RAND(),MV2,Sigma1),IF(RAND()&lt;CondGood,_xlfn.LOGNORM.INV(RAND(),MV3,Sigma2),MIN(MaxMultiple,Xm/(1-RAND())^(1/Alpha)))))</f>
        <v>0.85158922156006767</v>
      </c>
      <c r="Q259" s="19">
        <f ca="1">IF(RAND()&lt;P_Zero,0,IF(RAND()&lt;CondReturn,_xlfn.LOGNORM.INV(RAND(),MV2,Sigma1),IF(RAND()&lt;CondGood,_xlfn.LOGNORM.INV(RAND(),MV3,Sigma2),MIN(MaxMultiple,Xm/(1-RAND())^(1/Alpha)))))</f>
        <v>0</v>
      </c>
      <c r="R259" s="19">
        <f ca="1">IF(RAND()&lt;P_Zero,0,IF(RAND()&lt;CondReturn,_xlfn.LOGNORM.INV(RAND(),MV2,Sigma1),IF(RAND()&lt;CondGood,_xlfn.LOGNORM.INV(RAND(),MV3,Sigma2),MIN(MaxMultiple,Xm/(1-RAND())^(1/Alpha)))))</f>
        <v>0.55649119703629202</v>
      </c>
      <c r="S259" s="19">
        <f ca="1">IF(RAND()&lt;P_Zero,0,IF(RAND()&lt;CondReturn,_xlfn.LOGNORM.INV(RAND(),MV2,Sigma1),IF(RAND()&lt;CondGood,_xlfn.LOGNORM.INV(RAND(),MV3,Sigma2),MIN(MaxMultiple,Xm/(1-RAND())^(1/Alpha)))))</f>
        <v>0.82712539277596508</v>
      </c>
      <c r="T259" s="19">
        <f ca="1">IF(RAND()&lt;P_Zero,0,IF(RAND()&lt;CondReturn,_xlfn.LOGNORM.INV(RAND(),MV2,Sigma1),IF(RAND()&lt;CondGood,_xlfn.LOGNORM.INV(RAND(),MV3,Sigma2),MIN(MaxMultiple,Xm/(1-RAND())^(1/Alpha)))))</f>
        <v>0</v>
      </c>
      <c r="U259" s="19">
        <f ca="1">IF(RAND()&lt;P_Zero,0,IF(RAND()&lt;CondReturn,_xlfn.LOGNORM.INV(RAND(),MV2,Sigma1),IF(RAND()&lt;CondGood,_xlfn.LOGNORM.INV(RAND(),MV3,Sigma2),MIN(MaxMultiple,Xm/(1-RAND())^(1/Alpha)))))</f>
        <v>0</v>
      </c>
      <c r="V259" s="19">
        <f ca="1">IF(RAND()&lt;P_Zero,0,IF(RAND()&lt;CondReturn,_xlfn.LOGNORM.INV(RAND(),MV2,Sigma1),IF(RAND()&lt;CondGood,_xlfn.LOGNORM.INV(RAND(),MV3,Sigma2),MIN(MaxMultiple,Xm/(1-RAND())^(1/Alpha)))))</f>
        <v>0</v>
      </c>
      <c r="W259" s="19">
        <f ca="1">IF(RAND()&lt;P_Zero,0,IF(RAND()&lt;CondReturn,_xlfn.LOGNORM.INV(RAND(),MV2,Sigma1),IF(RAND()&lt;CondGood,_xlfn.LOGNORM.INV(RAND(),MV3,Sigma2),MIN(MaxMultiple,Xm/(1-RAND())^(1/Alpha)))))</f>
        <v>0</v>
      </c>
      <c r="X259" s="19">
        <f ca="1">IF(RAND()&lt;P_Zero,0,IF(RAND()&lt;CondReturn,_xlfn.LOGNORM.INV(RAND(),MV2,Sigma1),IF(RAND()&lt;CondGood,_xlfn.LOGNORM.INV(RAND(),MV3,Sigma2),MIN(MaxMultiple,Xm/(1-RAND())^(1/Alpha)))))</f>
        <v>15.131223140548537</v>
      </c>
      <c r="Y259" s="19">
        <f ca="1">IF(RAND()&lt;P_Zero,0,IF(RAND()&lt;CondReturn,_xlfn.LOGNORM.INV(RAND(),MV2,Sigma1),IF(RAND()&lt;CondGood,_xlfn.LOGNORM.INV(RAND(),MV3,Sigma2),MIN(MaxMultiple,Xm/(1-RAND())^(1/Alpha)))))</f>
        <v>1.2177220894797471</v>
      </c>
      <c r="Z259" s="19">
        <f ca="1">IF(RAND()&lt;P_Zero,0,IF(RAND()&lt;CondReturn,_xlfn.LOGNORM.INV(RAND(),MV2,Sigma1),IF(RAND()&lt;CondGood,_xlfn.LOGNORM.INV(RAND(),MV3,Sigma2),MIN(MaxMultiple,Xm/(1-RAND())^(1/Alpha)))))</f>
        <v>0</v>
      </c>
      <c r="AA259" s="19">
        <f ca="1">IF(RAND()&lt;P_Zero,0,IF(RAND()&lt;CondReturn,_xlfn.LOGNORM.INV(RAND(),MV2,Sigma1),IF(RAND()&lt;CondGood,_xlfn.LOGNORM.INV(RAND(),MV3,Sigma2),MIN(MaxMultiple,Xm/(1-RAND())^(1/Alpha)))))</f>
        <v>1.1825552497260288</v>
      </c>
      <c r="AB259" s="19">
        <f t="shared" ca="1" si="24"/>
        <v>1.7502087873991199</v>
      </c>
      <c r="AC259" s="14">
        <f t="shared" ca="1" si="25"/>
        <v>84010021.79515776</v>
      </c>
      <c r="AD259" s="14">
        <f t="shared" ca="1" si="26"/>
        <v>36010021.79515776</v>
      </c>
      <c r="AE259" s="14">
        <f t="shared" si="27"/>
        <v>55628399.869093813</v>
      </c>
      <c r="AF259" s="14">
        <f t="shared" ca="1" si="28"/>
        <v>0</v>
      </c>
      <c r="AG259" s="14">
        <f t="shared" ca="1" si="29"/>
        <v>0</v>
      </c>
      <c r="AH259" s="14">
        <f t="shared" ca="1" si="30"/>
        <v>84010021.79515776</v>
      </c>
      <c r="AI259" s="19">
        <f t="shared" ca="1" si="31"/>
        <v>1.4001670299192961</v>
      </c>
    </row>
    <row r="260" spans="2:35" x14ac:dyDescent="0.2">
      <c r="B260" s="1">
        <v>255</v>
      </c>
      <c r="C260" s="19">
        <f ca="1">IF(RAND()&lt;P_Zero,0,IF(RAND()&lt;CondReturn,_xlfn.LOGNORM.INV(RAND(),MV2,Sigma1),IF(RAND()&lt;CondGood,_xlfn.LOGNORM.INV(RAND(),MV3,Sigma2),MIN(MaxMultiple,Xm/(1-RAND())^(1/Alpha)))))</f>
        <v>1.1596960218504164</v>
      </c>
      <c r="D260" s="19">
        <f ca="1">IF(RAND()&lt;P_Zero,0,IF(RAND()&lt;CondReturn,_xlfn.LOGNORM.INV(RAND(),MV2,Sigma1),IF(RAND()&lt;CondGood,_xlfn.LOGNORM.INV(RAND(),MV3,Sigma2),MIN(MaxMultiple,Xm/(1-RAND())^(1/Alpha)))))</f>
        <v>15.162772364955014</v>
      </c>
      <c r="E260" s="19">
        <f ca="1">IF(RAND()&lt;P_Zero,0,IF(RAND()&lt;CondReturn,_xlfn.LOGNORM.INV(RAND(),MV2,Sigma1),IF(RAND()&lt;CondGood,_xlfn.LOGNORM.INV(RAND(),MV3,Sigma2),MIN(MaxMultiple,Xm/(1-RAND())^(1/Alpha)))))</f>
        <v>0</v>
      </c>
      <c r="F260" s="19">
        <f ca="1">IF(RAND()&lt;P_Zero,0,IF(RAND()&lt;CondReturn,_xlfn.LOGNORM.INV(RAND(),MV2,Sigma1),IF(RAND()&lt;CondGood,_xlfn.LOGNORM.INV(RAND(),MV3,Sigma2),MIN(MaxMultiple,Xm/(1-RAND())^(1/Alpha)))))</f>
        <v>179.45878050745614</v>
      </c>
      <c r="G260" s="19">
        <f ca="1">IF(RAND()&lt;P_Zero,0,IF(RAND()&lt;CondReturn,_xlfn.LOGNORM.INV(RAND(),MV2,Sigma1),IF(RAND()&lt;CondGood,_xlfn.LOGNORM.INV(RAND(),MV3,Sigma2),MIN(MaxMultiple,Xm/(1-RAND())^(1/Alpha)))))</f>
        <v>1.0160608701884428</v>
      </c>
      <c r="H260" s="19">
        <f ca="1">IF(RAND()&lt;P_Zero,0,IF(RAND()&lt;CondReturn,_xlfn.LOGNORM.INV(RAND(),MV2,Sigma1),IF(RAND()&lt;CondGood,_xlfn.LOGNORM.INV(RAND(),MV3,Sigma2),MIN(MaxMultiple,Xm/(1-RAND())^(1/Alpha)))))</f>
        <v>1.1641846507825322</v>
      </c>
      <c r="I260" s="19">
        <f ca="1">IF(RAND()&lt;P_Zero,0,IF(RAND()&lt;CondReturn,_xlfn.LOGNORM.INV(RAND(),MV2,Sigma1),IF(RAND()&lt;CondGood,_xlfn.LOGNORM.INV(RAND(),MV3,Sigma2),MIN(MaxMultiple,Xm/(1-RAND())^(1/Alpha)))))</f>
        <v>1.7012075203267483</v>
      </c>
      <c r="J260" s="19">
        <f ca="1">IF(RAND()&lt;P_Zero,0,IF(RAND()&lt;CondReturn,_xlfn.LOGNORM.INV(RAND(),MV2,Sigma1),IF(RAND()&lt;CondGood,_xlfn.LOGNORM.INV(RAND(),MV3,Sigma2),MIN(MaxMultiple,Xm/(1-RAND())^(1/Alpha)))))</f>
        <v>13.001329295394346</v>
      </c>
      <c r="K260" s="19">
        <f ca="1">IF(RAND()&lt;P_Zero,0,IF(RAND()&lt;CondReturn,_xlfn.LOGNORM.INV(RAND(),MV2,Sigma1),IF(RAND()&lt;CondGood,_xlfn.LOGNORM.INV(RAND(),MV3,Sigma2),MIN(MaxMultiple,Xm/(1-RAND())^(1/Alpha)))))</f>
        <v>0.53533927612246313</v>
      </c>
      <c r="L260" s="19">
        <f ca="1">IF(RAND()&lt;P_Zero,0,IF(RAND()&lt;CondReturn,_xlfn.LOGNORM.INV(RAND(),MV2,Sigma1),IF(RAND()&lt;CondGood,_xlfn.LOGNORM.INV(RAND(),MV3,Sigma2),MIN(MaxMultiple,Xm/(1-RAND())^(1/Alpha)))))</f>
        <v>0.44083378276525004</v>
      </c>
      <c r="M260" s="19">
        <f ca="1">IF(RAND()&lt;P_Zero,0,IF(RAND()&lt;CondReturn,_xlfn.LOGNORM.INV(RAND(),MV2,Sigma1),IF(RAND()&lt;CondGood,_xlfn.LOGNORM.INV(RAND(),MV3,Sigma2),MIN(MaxMultiple,Xm/(1-RAND())^(1/Alpha)))))</f>
        <v>0</v>
      </c>
      <c r="N260" s="19">
        <f ca="1">IF(RAND()&lt;P_Zero,0,IF(RAND()&lt;CondReturn,_xlfn.LOGNORM.INV(RAND(),MV2,Sigma1),IF(RAND()&lt;CondGood,_xlfn.LOGNORM.INV(RAND(),MV3,Sigma2),MIN(MaxMultiple,Xm/(1-RAND())^(1/Alpha)))))</f>
        <v>0</v>
      </c>
      <c r="O260" s="19">
        <f ca="1">IF(RAND()&lt;P_Zero,0,IF(RAND()&lt;CondReturn,_xlfn.LOGNORM.INV(RAND(),MV2,Sigma1),IF(RAND()&lt;CondGood,_xlfn.LOGNORM.INV(RAND(),MV3,Sigma2),MIN(MaxMultiple,Xm/(1-RAND())^(1/Alpha)))))</f>
        <v>0</v>
      </c>
      <c r="P260" s="19">
        <f ca="1">IF(RAND()&lt;P_Zero,0,IF(RAND()&lt;CondReturn,_xlfn.LOGNORM.INV(RAND(),MV2,Sigma1),IF(RAND()&lt;CondGood,_xlfn.LOGNORM.INV(RAND(),MV3,Sigma2),MIN(MaxMultiple,Xm/(1-RAND())^(1/Alpha)))))</f>
        <v>0.82114933942921797</v>
      </c>
      <c r="Q260" s="19">
        <f ca="1">IF(RAND()&lt;P_Zero,0,IF(RAND()&lt;CondReturn,_xlfn.LOGNORM.INV(RAND(),MV2,Sigma1),IF(RAND()&lt;CondGood,_xlfn.LOGNORM.INV(RAND(),MV3,Sigma2),MIN(MaxMultiple,Xm/(1-RAND())^(1/Alpha)))))</f>
        <v>0.67923842572446047</v>
      </c>
      <c r="R260" s="19">
        <f ca="1">IF(RAND()&lt;P_Zero,0,IF(RAND()&lt;CondReturn,_xlfn.LOGNORM.INV(RAND(),MV2,Sigma1),IF(RAND()&lt;CondGood,_xlfn.LOGNORM.INV(RAND(),MV3,Sigma2),MIN(MaxMultiple,Xm/(1-RAND())^(1/Alpha)))))</f>
        <v>0.69359517228063317</v>
      </c>
      <c r="S260" s="19">
        <f ca="1">IF(RAND()&lt;P_Zero,0,IF(RAND()&lt;CondReturn,_xlfn.LOGNORM.INV(RAND(),MV2,Sigma1),IF(RAND()&lt;CondGood,_xlfn.LOGNORM.INV(RAND(),MV3,Sigma2),MIN(MaxMultiple,Xm/(1-RAND())^(1/Alpha)))))</f>
        <v>1.017939972611591</v>
      </c>
      <c r="T260" s="19">
        <f ca="1">IF(RAND()&lt;P_Zero,0,IF(RAND()&lt;CondReturn,_xlfn.LOGNORM.INV(RAND(),MV2,Sigma1),IF(RAND()&lt;CondGood,_xlfn.LOGNORM.INV(RAND(),MV3,Sigma2),MIN(MaxMultiple,Xm/(1-RAND())^(1/Alpha)))))</f>
        <v>0</v>
      </c>
      <c r="U260" s="19">
        <f ca="1">IF(RAND()&lt;P_Zero,0,IF(RAND()&lt;CondReturn,_xlfn.LOGNORM.INV(RAND(),MV2,Sigma1),IF(RAND()&lt;CondGood,_xlfn.LOGNORM.INV(RAND(),MV3,Sigma2),MIN(MaxMultiple,Xm/(1-RAND())^(1/Alpha)))))</f>
        <v>0</v>
      </c>
      <c r="V260" s="19">
        <f ca="1">IF(RAND()&lt;P_Zero,0,IF(RAND()&lt;CondReturn,_xlfn.LOGNORM.INV(RAND(),MV2,Sigma1),IF(RAND()&lt;CondGood,_xlfn.LOGNORM.INV(RAND(),MV3,Sigma2),MIN(MaxMultiple,Xm/(1-RAND())^(1/Alpha)))))</f>
        <v>1.3007684514583548</v>
      </c>
      <c r="W260" s="19">
        <f ca="1">IF(RAND()&lt;P_Zero,0,IF(RAND()&lt;CondReturn,_xlfn.LOGNORM.INV(RAND(),MV2,Sigma1),IF(RAND()&lt;CondGood,_xlfn.LOGNORM.INV(RAND(),MV3,Sigma2),MIN(MaxMultiple,Xm/(1-RAND())^(1/Alpha)))))</f>
        <v>0</v>
      </c>
      <c r="X260" s="19">
        <f ca="1">IF(RAND()&lt;P_Zero,0,IF(RAND()&lt;CondReturn,_xlfn.LOGNORM.INV(RAND(),MV2,Sigma1),IF(RAND()&lt;CondGood,_xlfn.LOGNORM.INV(RAND(),MV3,Sigma2),MIN(MaxMultiple,Xm/(1-RAND())^(1/Alpha)))))</f>
        <v>0</v>
      </c>
      <c r="Y260" s="19">
        <f ca="1">IF(RAND()&lt;P_Zero,0,IF(RAND()&lt;CondReturn,_xlfn.LOGNORM.INV(RAND(),MV2,Sigma1),IF(RAND()&lt;CondGood,_xlfn.LOGNORM.INV(RAND(),MV3,Sigma2),MIN(MaxMultiple,Xm/(1-RAND())^(1/Alpha)))))</f>
        <v>1.1112184217133318</v>
      </c>
      <c r="Z260" s="19">
        <f ca="1">IF(RAND()&lt;P_Zero,0,IF(RAND()&lt;CondReturn,_xlfn.LOGNORM.INV(RAND(),MV2,Sigma1),IF(RAND()&lt;CondGood,_xlfn.LOGNORM.INV(RAND(),MV3,Sigma2),MIN(MaxMultiple,Xm/(1-RAND())^(1/Alpha)))))</f>
        <v>1.3738574387400582</v>
      </c>
      <c r="AA260" s="19">
        <f ca="1">IF(RAND()&lt;P_Zero,0,IF(RAND()&lt;CondReturn,_xlfn.LOGNORM.INV(RAND(),MV2,Sigma1),IF(RAND()&lt;CondGood,_xlfn.LOGNORM.INV(RAND(),MV3,Sigma2),MIN(MaxMultiple,Xm/(1-RAND())^(1/Alpha)))))</f>
        <v>1.0410090418741391</v>
      </c>
      <c r="AB260" s="19">
        <f t="shared" ca="1" si="24"/>
        <v>8.8671592221469293</v>
      </c>
      <c r="AC260" s="14">
        <f t="shared" ca="1" si="25"/>
        <v>425623642.66305262</v>
      </c>
      <c r="AD260" s="14">
        <f t="shared" ca="1" si="26"/>
        <v>377623642.66305262</v>
      </c>
      <c r="AE260" s="14">
        <f t="shared" si="27"/>
        <v>55628399.869093813</v>
      </c>
      <c r="AF260" s="14">
        <f t="shared" ca="1" si="28"/>
        <v>321995242.79395878</v>
      </c>
      <c r="AG260" s="14">
        <f t="shared" ca="1" si="29"/>
        <v>64399048.558791757</v>
      </c>
      <c r="AH260" s="14">
        <f t="shared" ca="1" si="30"/>
        <v>361224594.10426086</v>
      </c>
      <c r="AI260" s="19">
        <f t="shared" ca="1" si="31"/>
        <v>6.0204099017376809</v>
      </c>
    </row>
    <row r="261" spans="2:35" x14ac:dyDescent="0.2">
      <c r="B261" s="1">
        <v>256</v>
      </c>
      <c r="C261" s="19">
        <f ca="1">IF(RAND()&lt;P_Zero,0,IF(RAND()&lt;CondReturn,_xlfn.LOGNORM.INV(RAND(),MV2,Sigma1),IF(RAND()&lt;CondGood,_xlfn.LOGNORM.INV(RAND(),MV3,Sigma2),MIN(MaxMultiple,Xm/(1-RAND())^(1/Alpha)))))</f>
        <v>0</v>
      </c>
      <c r="D261" s="19">
        <f ca="1">IF(RAND()&lt;P_Zero,0,IF(RAND()&lt;CondReturn,_xlfn.LOGNORM.INV(RAND(),MV2,Sigma1),IF(RAND()&lt;CondGood,_xlfn.LOGNORM.INV(RAND(),MV3,Sigma2),MIN(MaxMultiple,Xm/(1-RAND())^(1/Alpha)))))</f>
        <v>1.1031733725483532</v>
      </c>
      <c r="E261" s="19">
        <f ca="1">IF(RAND()&lt;P_Zero,0,IF(RAND()&lt;CondReturn,_xlfn.LOGNORM.INV(RAND(),MV2,Sigma1),IF(RAND()&lt;CondGood,_xlfn.LOGNORM.INV(RAND(),MV3,Sigma2),MIN(MaxMultiple,Xm/(1-RAND())^(1/Alpha)))))</f>
        <v>1.3815504671425354</v>
      </c>
      <c r="F261" s="19">
        <f ca="1">IF(RAND()&lt;P_Zero,0,IF(RAND()&lt;CondReturn,_xlfn.LOGNORM.INV(RAND(),MV2,Sigma1),IF(RAND()&lt;CondGood,_xlfn.LOGNORM.INV(RAND(),MV3,Sigma2),MIN(MaxMultiple,Xm/(1-RAND())^(1/Alpha)))))</f>
        <v>0</v>
      </c>
      <c r="G261" s="19">
        <f ca="1">IF(RAND()&lt;P_Zero,0,IF(RAND()&lt;CondReturn,_xlfn.LOGNORM.INV(RAND(),MV2,Sigma1),IF(RAND()&lt;CondGood,_xlfn.LOGNORM.INV(RAND(),MV3,Sigma2),MIN(MaxMultiple,Xm/(1-RAND())^(1/Alpha)))))</f>
        <v>0.41931176375801843</v>
      </c>
      <c r="H261" s="19">
        <f ca="1">IF(RAND()&lt;P_Zero,0,IF(RAND()&lt;CondReturn,_xlfn.LOGNORM.INV(RAND(),MV2,Sigma1),IF(RAND()&lt;CondGood,_xlfn.LOGNORM.INV(RAND(),MV3,Sigma2),MIN(MaxMultiple,Xm/(1-RAND())^(1/Alpha)))))</f>
        <v>2.1413667030027423</v>
      </c>
      <c r="I261" s="19">
        <f ca="1">IF(RAND()&lt;P_Zero,0,IF(RAND()&lt;CondReturn,_xlfn.LOGNORM.INV(RAND(),MV2,Sigma1),IF(RAND()&lt;CondGood,_xlfn.LOGNORM.INV(RAND(),MV3,Sigma2),MIN(MaxMultiple,Xm/(1-RAND())^(1/Alpha)))))</f>
        <v>1.135228553312873</v>
      </c>
      <c r="J261" s="19">
        <f ca="1">IF(RAND()&lt;P_Zero,0,IF(RAND()&lt;CondReturn,_xlfn.LOGNORM.INV(RAND(),MV2,Sigma1),IF(RAND()&lt;CondGood,_xlfn.LOGNORM.INV(RAND(),MV3,Sigma2),MIN(MaxMultiple,Xm/(1-RAND())^(1/Alpha)))))</f>
        <v>23.025850845738638</v>
      </c>
      <c r="K261" s="19">
        <f ca="1">IF(RAND()&lt;P_Zero,0,IF(RAND()&lt;CondReturn,_xlfn.LOGNORM.INV(RAND(),MV2,Sigma1),IF(RAND()&lt;CondGood,_xlfn.LOGNORM.INV(RAND(),MV3,Sigma2),MIN(MaxMultiple,Xm/(1-RAND())^(1/Alpha)))))</f>
        <v>0</v>
      </c>
      <c r="L261" s="19">
        <f ca="1">IF(RAND()&lt;P_Zero,0,IF(RAND()&lt;CondReturn,_xlfn.LOGNORM.INV(RAND(),MV2,Sigma1),IF(RAND()&lt;CondGood,_xlfn.LOGNORM.INV(RAND(),MV3,Sigma2),MIN(MaxMultiple,Xm/(1-RAND())^(1/Alpha)))))</f>
        <v>1.1645898883361079</v>
      </c>
      <c r="M261" s="19">
        <f ca="1">IF(RAND()&lt;P_Zero,0,IF(RAND()&lt;CondReturn,_xlfn.LOGNORM.INV(RAND(),MV2,Sigma1),IF(RAND()&lt;CondGood,_xlfn.LOGNORM.INV(RAND(),MV3,Sigma2),MIN(MaxMultiple,Xm/(1-RAND())^(1/Alpha)))))</f>
        <v>1.8578146660761388</v>
      </c>
      <c r="N261" s="19">
        <f ca="1">IF(RAND()&lt;P_Zero,0,IF(RAND()&lt;CondReturn,_xlfn.LOGNORM.INV(RAND(),MV2,Sigma1),IF(RAND()&lt;CondGood,_xlfn.LOGNORM.INV(RAND(),MV3,Sigma2),MIN(MaxMultiple,Xm/(1-RAND())^(1/Alpha)))))</f>
        <v>1.0455479817054165</v>
      </c>
      <c r="O261" s="19">
        <f ca="1">IF(RAND()&lt;P_Zero,0,IF(RAND()&lt;CondReturn,_xlfn.LOGNORM.INV(RAND(),MV2,Sigma1),IF(RAND()&lt;CondGood,_xlfn.LOGNORM.INV(RAND(),MV3,Sigma2),MIN(MaxMultiple,Xm/(1-RAND())^(1/Alpha)))))</f>
        <v>0</v>
      </c>
      <c r="P261" s="19">
        <f ca="1">IF(RAND()&lt;P_Zero,0,IF(RAND()&lt;CondReturn,_xlfn.LOGNORM.INV(RAND(),MV2,Sigma1),IF(RAND()&lt;CondGood,_xlfn.LOGNORM.INV(RAND(),MV3,Sigma2),MIN(MaxMultiple,Xm/(1-RAND())^(1/Alpha)))))</f>
        <v>0</v>
      </c>
      <c r="Q261" s="19">
        <f ca="1">IF(RAND()&lt;P_Zero,0,IF(RAND()&lt;CondReturn,_xlfn.LOGNORM.INV(RAND(),MV2,Sigma1),IF(RAND()&lt;CondGood,_xlfn.LOGNORM.INV(RAND(),MV3,Sigma2),MIN(MaxMultiple,Xm/(1-RAND())^(1/Alpha)))))</f>
        <v>1.0088761629364245</v>
      </c>
      <c r="R261" s="19">
        <f ca="1">IF(RAND()&lt;P_Zero,0,IF(RAND()&lt;CondReturn,_xlfn.LOGNORM.INV(RAND(),MV2,Sigma1),IF(RAND()&lt;CondGood,_xlfn.LOGNORM.INV(RAND(),MV3,Sigma2),MIN(MaxMultiple,Xm/(1-RAND())^(1/Alpha)))))</f>
        <v>0.61355643389701864</v>
      </c>
      <c r="S261" s="19">
        <f ca="1">IF(RAND()&lt;P_Zero,0,IF(RAND()&lt;CondReturn,_xlfn.LOGNORM.INV(RAND(),MV2,Sigma1),IF(RAND()&lt;CondGood,_xlfn.LOGNORM.INV(RAND(),MV3,Sigma2),MIN(MaxMultiple,Xm/(1-RAND())^(1/Alpha)))))</f>
        <v>0.54105362511943489</v>
      </c>
      <c r="T261" s="19">
        <f ca="1">IF(RAND()&lt;P_Zero,0,IF(RAND()&lt;CondReturn,_xlfn.LOGNORM.INV(RAND(),MV2,Sigma1),IF(RAND()&lt;CondGood,_xlfn.LOGNORM.INV(RAND(),MV3,Sigma2),MIN(MaxMultiple,Xm/(1-RAND())^(1/Alpha)))))</f>
        <v>0</v>
      </c>
      <c r="U261" s="19">
        <f ca="1">IF(RAND()&lt;P_Zero,0,IF(RAND()&lt;CondReturn,_xlfn.LOGNORM.INV(RAND(),MV2,Sigma1),IF(RAND()&lt;CondGood,_xlfn.LOGNORM.INV(RAND(),MV3,Sigma2),MIN(MaxMultiple,Xm/(1-RAND())^(1/Alpha)))))</f>
        <v>2.0935340213713376</v>
      </c>
      <c r="V261" s="19">
        <f ca="1">IF(RAND()&lt;P_Zero,0,IF(RAND()&lt;CondReturn,_xlfn.LOGNORM.INV(RAND(),MV2,Sigma1),IF(RAND()&lt;CondGood,_xlfn.LOGNORM.INV(RAND(),MV3,Sigma2),MIN(MaxMultiple,Xm/(1-RAND())^(1/Alpha)))))</f>
        <v>0</v>
      </c>
      <c r="W261" s="19">
        <f ca="1">IF(RAND()&lt;P_Zero,0,IF(RAND()&lt;CondReturn,_xlfn.LOGNORM.INV(RAND(),MV2,Sigma1),IF(RAND()&lt;CondGood,_xlfn.LOGNORM.INV(RAND(),MV3,Sigma2),MIN(MaxMultiple,Xm/(1-RAND())^(1/Alpha)))))</f>
        <v>0.77711807333051697</v>
      </c>
      <c r="X261" s="19">
        <f ca="1">IF(RAND()&lt;P_Zero,0,IF(RAND()&lt;CondReturn,_xlfn.LOGNORM.INV(RAND(),MV2,Sigma1),IF(RAND()&lt;CondGood,_xlfn.LOGNORM.INV(RAND(),MV3,Sigma2),MIN(MaxMultiple,Xm/(1-RAND())^(1/Alpha)))))</f>
        <v>0</v>
      </c>
      <c r="Y261" s="19">
        <f ca="1">IF(RAND()&lt;P_Zero,0,IF(RAND()&lt;CondReturn,_xlfn.LOGNORM.INV(RAND(),MV2,Sigma1),IF(RAND()&lt;CondGood,_xlfn.LOGNORM.INV(RAND(),MV3,Sigma2),MIN(MaxMultiple,Xm/(1-RAND())^(1/Alpha)))))</f>
        <v>1.0259448472195782</v>
      </c>
      <c r="Z261" s="19">
        <f ca="1">IF(RAND()&lt;P_Zero,0,IF(RAND()&lt;CondReturn,_xlfn.LOGNORM.INV(RAND(),MV2,Sigma1),IF(RAND()&lt;CondGood,_xlfn.LOGNORM.INV(RAND(),MV3,Sigma2),MIN(MaxMultiple,Xm/(1-RAND())^(1/Alpha)))))</f>
        <v>0.63476286771636015</v>
      </c>
      <c r="AA261" s="19">
        <f ca="1">IF(RAND()&lt;P_Zero,0,IF(RAND()&lt;CondReturn,_xlfn.LOGNORM.INV(RAND(),MV2,Sigma1),IF(RAND()&lt;CondGood,_xlfn.LOGNORM.INV(RAND(),MV3,Sigma2),MIN(MaxMultiple,Xm/(1-RAND())^(1/Alpha)))))</f>
        <v>1.7486993648548061</v>
      </c>
      <c r="AB261" s="19">
        <f t="shared" ca="1" si="24"/>
        <v>1.6687191855226522</v>
      </c>
      <c r="AC261" s="14">
        <f t="shared" ca="1" si="25"/>
        <v>80098520.905087307</v>
      </c>
      <c r="AD261" s="14">
        <f t="shared" ca="1" si="26"/>
        <v>32098520.905087307</v>
      </c>
      <c r="AE261" s="14">
        <f t="shared" si="27"/>
        <v>55628399.869093813</v>
      </c>
      <c r="AF261" s="14">
        <f t="shared" ca="1" si="28"/>
        <v>0</v>
      </c>
      <c r="AG261" s="14">
        <f t="shared" ca="1" si="29"/>
        <v>0</v>
      </c>
      <c r="AH261" s="14">
        <f t="shared" ca="1" si="30"/>
        <v>80098520.905087307</v>
      </c>
      <c r="AI261" s="19">
        <f t="shared" ca="1" si="31"/>
        <v>1.3349753484181217</v>
      </c>
    </row>
    <row r="262" spans="2:35" x14ac:dyDescent="0.2">
      <c r="B262" s="1">
        <v>257</v>
      </c>
      <c r="C262" s="19">
        <f ca="1">IF(RAND()&lt;P_Zero,0,IF(RAND()&lt;CondReturn,_xlfn.LOGNORM.INV(RAND(),MV2,Sigma1),IF(RAND()&lt;CondGood,_xlfn.LOGNORM.INV(RAND(),MV3,Sigma2),MIN(MaxMultiple,Xm/(1-RAND())^(1/Alpha)))))</f>
        <v>0</v>
      </c>
      <c r="D262" s="19">
        <f ca="1">IF(RAND()&lt;P_Zero,0,IF(RAND()&lt;CondReturn,_xlfn.LOGNORM.INV(RAND(),MV2,Sigma1),IF(RAND()&lt;CondGood,_xlfn.LOGNORM.INV(RAND(),MV3,Sigma2),MIN(MaxMultiple,Xm/(1-RAND())^(1/Alpha)))))</f>
        <v>1.0951611500225265</v>
      </c>
      <c r="E262" s="19">
        <f ca="1">IF(RAND()&lt;P_Zero,0,IF(RAND()&lt;CondReturn,_xlfn.LOGNORM.INV(RAND(),MV2,Sigma1),IF(RAND()&lt;CondGood,_xlfn.LOGNORM.INV(RAND(),MV3,Sigma2),MIN(MaxMultiple,Xm/(1-RAND())^(1/Alpha)))))</f>
        <v>0</v>
      </c>
      <c r="F262" s="19">
        <f ca="1">IF(RAND()&lt;P_Zero,0,IF(RAND()&lt;CondReturn,_xlfn.LOGNORM.INV(RAND(),MV2,Sigma1),IF(RAND()&lt;CondGood,_xlfn.LOGNORM.INV(RAND(),MV3,Sigma2),MIN(MaxMultiple,Xm/(1-RAND())^(1/Alpha)))))</f>
        <v>0.79756284413063427</v>
      </c>
      <c r="G262" s="19">
        <f ca="1">IF(RAND()&lt;P_Zero,0,IF(RAND()&lt;CondReturn,_xlfn.LOGNORM.INV(RAND(),MV2,Sigma1),IF(RAND()&lt;CondGood,_xlfn.LOGNORM.INV(RAND(),MV3,Sigma2),MIN(MaxMultiple,Xm/(1-RAND())^(1/Alpha)))))</f>
        <v>0</v>
      </c>
      <c r="H262" s="19">
        <f ca="1">IF(RAND()&lt;P_Zero,0,IF(RAND()&lt;CondReturn,_xlfn.LOGNORM.INV(RAND(),MV2,Sigma1),IF(RAND()&lt;CondGood,_xlfn.LOGNORM.INV(RAND(),MV3,Sigma2),MIN(MaxMultiple,Xm/(1-RAND())^(1/Alpha)))))</f>
        <v>0.80430531559437923</v>
      </c>
      <c r="I262" s="19">
        <f ca="1">IF(RAND()&lt;P_Zero,0,IF(RAND()&lt;CondReturn,_xlfn.LOGNORM.INV(RAND(),MV2,Sigma1),IF(RAND()&lt;CondGood,_xlfn.LOGNORM.INV(RAND(),MV3,Sigma2),MIN(MaxMultiple,Xm/(1-RAND())^(1/Alpha)))))</f>
        <v>1.897694389910642</v>
      </c>
      <c r="J262" s="19">
        <f ca="1">IF(RAND()&lt;P_Zero,0,IF(RAND()&lt;CondReturn,_xlfn.LOGNORM.INV(RAND(),MV2,Sigma1),IF(RAND()&lt;CondGood,_xlfn.LOGNORM.INV(RAND(),MV3,Sigma2),MIN(MaxMultiple,Xm/(1-RAND())^(1/Alpha)))))</f>
        <v>0</v>
      </c>
      <c r="K262" s="19">
        <f ca="1">IF(RAND()&lt;P_Zero,0,IF(RAND()&lt;CondReturn,_xlfn.LOGNORM.INV(RAND(),MV2,Sigma1),IF(RAND()&lt;CondGood,_xlfn.LOGNORM.INV(RAND(),MV3,Sigma2),MIN(MaxMultiple,Xm/(1-RAND())^(1/Alpha)))))</f>
        <v>0</v>
      </c>
      <c r="L262" s="19">
        <f ca="1">IF(RAND()&lt;P_Zero,0,IF(RAND()&lt;CondReturn,_xlfn.LOGNORM.INV(RAND(),MV2,Sigma1),IF(RAND()&lt;CondGood,_xlfn.LOGNORM.INV(RAND(),MV3,Sigma2),MIN(MaxMultiple,Xm/(1-RAND())^(1/Alpha)))))</f>
        <v>0</v>
      </c>
      <c r="M262" s="19">
        <f ca="1">IF(RAND()&lt;P_Zero,0,IF(RAND()&lt;CondReturn,_xlfn.LOGNORM.INV(RAND(),MV2,Sigma1),IF(RAND()&lt;CondGood,_xlfn.LOGNORM.INV(RAND(),MV3,Sigma2),MIN(MaxMultiple,Xm/(1-RAND())^(1/Alpha)))))</f>
        <v>1.592015184711459</v>
      </c>
      <c r="N262" s="19">
        <f ca="1">IF(RAND()&lt;P_Zero,0,IF(RAND()&lt;CondReturn,_xlfn.LOGNORM.INV(RAND(),MV2,Sigma1),IF(RAND()&lt;CondGood,_xlfn.LOGNORM.INV(RAND(),MV3,Sigma2),MIN(MaxMultiple,Xm/(1-RAND())^(1/Alpha)))))</f>
        <v>0.95869509683854026</v>
      </c>
      <c r="O262" s="19">
        <f ca="1">IF(RAND()&lt;P_Zero,0,IF(RAND()&lt;CondReturn,_xlfn.LOGNORM.INV(RAND(),MV2,Sigma1),IF(RAND()&lt;CondGood,_xlfn.LOGNORM.INV(RAND(),MV3,Sigma2),MIN(MaxMultiple,Xm/(1-RAND())^(1/Alpha)))))</f>
        <v>37.310347164999691</v>
      </c>
      <c r="P262" s="19">
        <f ca="1">IF(RAND()&lt;P_Zero,0,IF(RAND()&lt;CondReturn,_xlfn.LOGNORM.INV(RAND(),MV2,Sigma1),IF(RAND()&lt;CondGood,_xlfn.LOGNORM.INV(RAND(),MV3,Sigma2),MIN(MaxMultiple,Xm/(1-RAND())^(1/Alpha)))))</f>
        <v>0.81740732482488443</v>
      </c>
      <c r="Q262" s="19">
        <f ca="1">IF(RAND()&lt;P_Zero,0,IF(RAND()&lt;CondReturn,_xlfn.LOGNORM.INV(RAND(),MV2,Sigma1),IF(RAND()&lt;CondGood,_xlfn.LOGNORM.INV(RAND(),MV3,Sigma2),MIN(MaxMultiple,Xm/(1-RAND())^(1/Alpha)))))</f>
        <v>1.1272942590384674</v>
      </c>
      <c r="R262" s="19">
        <f ca="1">IF(RAND()&lt;P_Zero,0,IF(RAND()&lt;CondReturn,_xlfn.LOGNORM.INV(RAND(),MV2,Sigma1),IF(RAND()&lt;CondGood,_xlfn.LOGNORM.INV(RAND(),MV3,Sigma2),MIN(MaxMultiple,Xm/(1-RAND())^(1/Alpha)))))</f>
        <v>1.9948425123913054</v>
      </c>
      <c r="S262" s="19">
        <f ca="1">IF(RAND()&lt;P_Zero,0,IF(RAND()&lt;CondReturn,_xlfn.LOGNORM.INV(RAND(),MV2,Sigma1),IF(RAND()&lt;CondGood,_xlfn.LOGNORM.INV(RAND(),MV3,Sigma2),MIN(MaxMultiple,Xm/(1-RAND())^(1/Alpha)))))</f>
        <v>0</v>
      </c>
      <c r="T262" s="19">
        <f ca="1">IF(RAND()&lt;P_Zero,0,IF(RAND()&lt;CondReturn,_xlfn.LOGNORM.INV(RAND(),MV2,Sigma1),IF(RAND()&lt;CondGood,_xlfn.LOGNORM.INV(RAND(),MV3,Sigma2),MIN(MaxMultiple,Xm/(1-RAND())^(1/Alpha)))))</f>
        <v>39.783615694972653</v>
      </c>
      <c r="U262" s="19">
        <f ca="1">IF(RAND()&lt;P_Zero,0,IF(RAND()&lt;CondReturn,_xlfn.LOGNORM.INV(RAND(),MV2,Sigma1),IF(RAND()&lt;CondGood,_xlfn.LOGNORM.INV(RAND(),MV3,Sigma2),MIN(MaxMultiple,Xm/(1-RAND())^(1/Alpha)))))</f>
        <v>1.643775029069638</v>
      </c>
      <c r="V262" s="19">
        <f ca="1">IF(RAND()&lt;P_Zero,0,IF(RAND()&lt;CondReturn,_xlfn.LOGNORM.INV(RAND(),MV2,Sigma1),IF(RAND()&lt;CondGood,_xlfn.LOGNORM.INV(RAND(),MV3,Sigma2),MIN(MaxMultiple,Xm/(1-RAND())^(1/Alpha)))))</f>
        <v>0</v>
      </c>
      <c r="W262" s="19">
        <f ca="1">IF(RAND()&lt;P_Zero,0,IF(RAND()&lt;CondReturn,_xlfn.LOGNORM.INV(RAND(),MV2,Sigma1),IF(RAND()&lt;CondGood,_xlfn.LOGNORM.INV(RAND(),MV3,Sigma2),MIN(MaxMultiple,Xm/(1-RAND())^(1/Alpha)))))</f>
        <v>1.5202183250417027</v>
      </c>
      <c r="X262" s="19">
        <f ca="1">IF(RAND()&lt;P_Zero,0,IF(RAND()&lt;CondReturn,_xlfn.LOGNORM.INV(RAND(),MV2,Sigma1),IF(RAND()&lt;CondGood,_xlfn.LOGNORM.INV(RAND(),MV3,Sigma2),MIN(MaxMultiple,Xm/(1-RAND())^(1/Alpha)))))</f>
        <v>0</v>
      </c>
      <c r="Y262" s="19">
        <f ca="1">IF(RAND()&lt;P_Zero,0,IF(RAND()&lt;CondReturn,_xlfn.LOGNORM.INV(RAND(),MV2,Sigma1),IF(RAND()&lt;CondGood,_xlfn.LOGNORM.INV(RAND(),MV3,Sigma2),MIN(MaxMultiple,Xm/(1-RAND())^(1/Alpha)))))</f>
        <v>0</v>
      </c>
      <c r="Z262" s="19">
        <f ca="1">IF(RAND()&lt;P_Zero,0,IF(RAND()&lt;CondReturn,_xlfn.LOGNORM.INV(RAND(),MV2,Sigma1),IF(RAND()&lt;CondGood,_xlfn.LOGNORM.INV(RAND(),MV3,Sigma2),MIN(MaxMultiple,Xm/(1-RAND())^(1/Alpha)))))</f>
        <v>0.8487374201084763</v>
      </c>
      <c r="AA262" s="19">
        <f ca="1">IF(RAND()&lt;P_Zero,0,IF(RAND()&lt;CondReturn,_xlfn.LOGNORM.INV(RAND(),MV2,Sigma1),IF(RAND()&lt;CondGood,_xlfn.LOGNORM.INV(RAND(),MV3,Sigma2),MIN(MaxMultiple,Xm/(1-RAND())^(1/Alpha)))))</f>
        <v>0.88376511621017828</v>
      </c>
      <c r="AB262" s="19">
        <f t="shared" ref="AB262:AB325" ca="1" si="32">AVERAGE(C262:AA262)</f>
        <v>3.7230174731146075</v>
      </c>
      <c r="AC262" s="14">
        <f t="shared" ref="AC262:AC325" ca="1" si="33">AB262*InvestableCapital</f>
        <v>178704838.70950115</v>
      </c>
      <c r="AD262" s="14">
        <f t="shared" ref="AD262:AD325" ca="1" si="34">AC262-InvestableCapital</f>
        <v>130704838.70950115</v>
      </c>
      <c r="AE262" s="14">
        <f t="shared" ref="AE262:AE325" si="35">HurdleToggle*InvestableCapital*((1+HurdleRate)^FeeYears-1)</f>
        <v>55628399.869093813</v>
      </c>
      <c r="AF262" s="14">
        <f t="shared" ref="AF262:AF325" ca="1" si="36">MAX(0,AD262-AE262)</f>
        <v>75076438.840407342</v>
      </c>
      <c r="AG262" s="14">
        <f t="shared" ref="AG262:AG325" ca="1" si="37">CarryRate*AF262</f>
        <v>15015287.768081469</v>
      </c>
      <c r="AH262" s="14">
        <f t="shared" ref="AH262:AH325" ca="1" si="38">AC262-AG262</f>
        <v>163689550.94141969</v>
      </c>
      <c r="AI262" s="19">
        <f t="shared" ref="AI262:AI325" ca="1" si="39">AH262/FundSize</f>
        <v>2.7281591823569951</v>
      </c>
    </row>
    <row r="263" spans="2:35" x14ac:dyDescent="0.2">
      <c r="B263" s="1">
        <v>258</v>
      </c>
      <c r="C263" s="19">
        <f ca="1">IF(RAND()&lt;P_Zero,0,IF(RAND()&lt;CondReturn,_xlfn.LOGNORM.INV(RAND(),MV2,Sigma1),IF(RAND()&lt;CondGood,_xlfn.LOGNORM.INV(RAND(),MV3,Sigma2),MIN(MaxMultiple,Xm/(1-RAND())^(1/Alpha)))))</f>
        <v>1.4464539967539045</v>
      </c>
      <c r="D263" s="19">
        <f ca="1">IF(RAND()&lt;P_Zero,0,IF(RAND()&lt;CondReturn,_xlfn.LOGNORM.INV(RAND(),MV2,Sigma1),IF(RAND()&lt;CondGood,_xlfn.LOGNORM.INV(RAND(),MV3,Sigma2),MIN(MaxMultiple,Xm/(1-RAND())^(1/Alpha)))))</f>
        <v>0</v>
      </c>
      <c r="E263" s="19">
        <f ca="1">IF(RAND()&lt;P_Zero,0,IF(RAND()&lt;CondReturn,_xlfn.LOGNORM.INV(RAND(),MV2,Sigma1),IF(RAND()&lt;CondGood,_xlfn.LOGNORM.INV(RAND(),MV3,Sigma2),MIN(MaxMultiple,Xm/(1-RAND())^(1/Alpha)))))</f>
        <v>0.74123830737758911</v>
      </c>
      <c r="F263" s="19">
        <f ca="1">IF(RAND()&lt;P_Zero,0,IF(RAND()&lt;CondReturn,_xlfn.LOGNORM.INV(RAND(),MV2,Sigma1),IF(RAND()&lt;CondGood,_xlfn.LOGNORM.INV(RAND(),MV3,Sigma2),MIN(MaxMultiple,Xm/(1-RAND())^(1/Alpha)))))</f>
        <v>0.71984147235517804</v>
      </c>
      <c r="G263" s="19">
        <f ca="1">IF(RAND()&lt;P_Zero,0,IF(RAND()&lt;CondReturn,_xlfn.LOGNORM.INV(RAND(),MV2,Sigma1),IF(RAND()&lt;CondGood,_xlfn.LOGNORM.INV(RAND(),MV3,Sigma2),MIN(MaxMultiple,Xm/(1-RAND())^(1/Alpha)))))</f>
        <v>0</v>
      </c>
      <c r="H263" s="19">
        <f ca="1">IF(RAND()&lt;P_Zero,0,IF(RAND()&lt;CondReturn,_xlfn.LOGNORM.INV(RAND(),MV2,Sigma1),IF(RAND()&lt;CondGood,_xlfn.LOGNORM.INV(RAND(),MV3,Sigma2),MIN(MaxMultiple,Xm/(1-RAND())^(1/Alpha)))))</f>
        <v>1.0217327254691284</v>
      </c>
      <c r="I263" s="19">
        <f ca="1">IF(RAND()&lt;P_Zero,0,IF(RAND()&lt;CondReturn,_xlfn.LOGNORM.INV(RAND(),MV2,Sigma1),IF(RAND()&lt;CondGood,_xlfn.LOGNORM.INV(RAND(),MV3,Sigma2),MIN(MaxMultiple,Xm/(1-RAND())^(1/Alpha)))))</f>
        <v>0.86327117791907293</v>
      </c>
      <c r="J263" s="19">
        <f ca="1">IF(RAND()&lt;P_Zero,0,IF(RAND()&lt;CondReturn,_xlfn.LOGNORM.INV(RAND(),MV2,Sigma1),IF(RAND()&lt;CondGood,_xlfn.LOGNORM.INV(RAND(),MV3,Sigma2),MIN(MaxMultiple,Xm/(1-RAND())^(1/Alpha)))))</f>
        <v>0</v>
      </c>
      <c r="K263" s="19">
        <f ca="1">IF(RAND()&lt;P_Zero,0,IF(RAND()&lt;CondReturn,_xlfn.LOGNORM.INV(RAND(),MV2,Sigma1),IF(RAND()&lt;CondGood,_xlfn.LOGNORM.INV(RAND(),MV3,Sigma2),MIN(MaxMultiple,Xm/(1-RAND())^(1/Alpha)))))</f>
        <v>40.226161462300013</v>
      </c>
      <c r="L263" s="19">
        <f ca="1">IF(RAND()&lt;P_Zero,0,IF(RAND()&lt;CondReturn,_xlfn.LOGNORM.INV(RAND(),MV2,Sigma1),IF(RAND()&lt;CondGood,_xlfn.LOGNORM.INV(RAND(),MV3,Sigma2),MIN(MaxMultiple,Xm/(1-RAND())^(1/Alpha)))))</f>
        <v>12.106161980521838</v>
      </c>
      <c r="M263" s="19">
        <f ca="1">IF(RAND()&lt;P_Zero,0,IF(RAND()&lt;CondReturn,_xlfn.LOGNORM.INV(RAND(),MV2,Sigma1),IF(RAND()&lt;CondGood,_xlfn.LOGNORM.INV(RAND(),MV3,Sigma2),MIN(MaxMultiple,Xm/(1-RAND())^(1/Alpha)))))</f>
        <v>0</v>
      </c>
      <c r="N263" s="19">
        <f ca="1">IF(RAND()&lt;P_Zero,0,IF(RAND()&lt;CondReturn,_xlfn.LOGNORM.INV(RAND(),MV2,Sigma1),IF(RAND()&lt;CondGood,_xlfn.LOGNORM.INV(RAND(),MV3,Sigma2),MIN(MaxMultiple,Xm/(1-RAND())^(1/Alpha)))))</f>
        <v>0</v>
      </c>
      <c r="O263" s="19">
        <f ca="1">IF(RAND()&lt;P_Zero,0,IF(RAND()&lt;CondReturn,_xlfn.LOGNORM.INV(RAND(),MV2,Sigma1),IF(RAND()&lt;CondGood,_xlfn.LOGNORM.INV(RAND(),MV3,Sigma2),MIN(MaxMultiple,Xm/(1-RAND())^(1/Alpha)))))</f>
        <v>0.80432185088879216</v>
      </c>
      <c r="P263" s="19">
        <f ca="1">IF(RAND()&lt;P_Zero,0,IF(RAND()&lt;CondReturn,_xlfn.LOGNORM.INV(RAND(),MV2,Sigma1),IF(RAND()&lt;CondGood,_xlfn.LOGNORM.INV(RAND(),MV3,Sigma2),MIN(MaxMultiple,Xm/(1-RAND())^(1/Alpha)))))</f>
        <v>1.5675408971820866</v>
      </c>
      <c r="Q263" s="19">
        <f ca="1">IF(RAND()&lt;P_Zero,0,IF(RAND()&lt;CondReturn,_xlfn.LOGNORM.INV(RAND(),MV2,Sigma1),IF(RAND()&lt;CondGood,_xlfn.LOGNORM.INV(RAND(),MV3,Sigma2),MIN(MaxMultiple,Xm/(1-RAND())^(1/Alpha)))))</f>
        <v>1.2082400948845078</v>
      </c>
      <c r="R263" s="19">
        <f ca="1">IF(RAND()&lt;P_Zero,0,IF(RAND()&lt;CondReturn,_xlfn.LOGNORM.INV(RAND(),MV2,Sigma1),IF(RAND()&lt;CondGood,_xlfn.LOGNORM.INV(RAND(),MV3,Sigma2),MIN(MaxMultiple,Xm/(1-RAND())^(1/Alpha)))))</f>
        <v>0</v>
      </c>
      <c r="S263" s="19">
        <f ca="1">IF(RAND()&lt;P_Zero,0,IF(RAND()&lt;CondReturn,_xlfn.LOGNORM.INV(RAND(),MV2,Sigma1),IF(RAND()&lt;CondGood,_xlfn.LOGNORM.INV(RAND(),MV3,Sigma2),MIN(MaxMultiple,Xm/(1-RAND())^(1/Alpha)))))</f>
        <v>0</v>
      </c>
      <c r="T263" s="19">
        <f ca="1">IF(RAND()&lt;P_Zero,0,IF(RAND()&lt;CondReturn,_xlfn.LOGNORM.INV(RAND(),MV2,Sigma1),IF(RAND()&lt;CondGood,_xlfn.LOGNORM.INV(RAND(),MV3,Sigma2),MIN(MaxMultiple,Xm/(1-RAND())^(1/Alpha)))))</f>
        <v>0.74519492672628806</v>
      </c>
      <c r="U263" s="19">
        <f ca="1">IF(RAND()&lt;P_Zero,0,IF(RAND()&lt;CondReturn,_xlfn.LOGNORM.INV(RAND(),MV2,Sigma1),IF(RAND()&lt;CondGood,_xlfn.LOGNORM.INV(RAND(),MV3,Sigma2),MIN(MaxMultiple,Xm/(1-RAND())^(1/Alpha)))))</f>
        <v>0.39673229099349699</v>
      </c>
      <c r="V263" s="19">
        <f ca="1">IF(RAND()&lt;P_Zero,0,IF(RAND()&lt;CondReturn,_xlfn.LOGNORM.INV(RAND(),MV2,Sigma1),IF(RAND()&lt;CondGood,_xlfn.LOGNORM.INV(RAND(),MV3,Sigma2),MIN(MaxMultiple,Xm/(1-RAND())^(1/Alpha)))))</f>
        <v>0</v>
      </c>
      <c r="W263" s="19">
        <f ca="1">IF(RAND()&lt;P_Zero,0,IF(RAND()&lt;CondReturn,_xlfn.LOGNORM.INV(RAND(),MV2,Sigma1),IF(RAND()&lt;CondGood,_xlfn.LOGNORM.INV(RAND(),MV3,Sigma2),MIN(MaxMultiple,Xm/(1-RAND())^(1/Alpha)))))</f>
        <v>0</v>
      </c>
      <c r="X263" s="19">
        <f ca="1">IF(RAND()&lt;P_Zero,0,IF(RAND()&lt;CondReturn,_xlfn.LOGNORM.INV(RAND(),MV2,Sigma1),IF(RAND()&lt;CondGood,_xlfn.LOGNORM.INV(RAND(),MV3,Sigma2),MIN(MaxMultiple,Xm/(1-RAND())^(1/Alpha)))))</f>
        <v>0</v>
      </c>
      <c r="Y263" s="19">
        <f ca="1">IF(RAND()&lt;P_Zero,0,IF(RAND()&lt;CondReturn,_xlfn.LOGNORM.INV(RAND(),MV2,Sigma1),IF(RAND()&lt;CondGood,_xlfn.LOGNORM.INV(RAND(),MV3,Sigma2),MIN(MaxMultiple,Xm/(1-RAND())^(1/Alpha)))))</f>
        <v>1.0441918600610689</v>
      </c>
      <c r="Z263" s="19">
        <f ca="1">IF(RAND()&lt;P_Zero,0,IF(RAND()&lt;CondReturn,_xlfn.LOGNORM.INV(RAND(),MV2,Sigma1),IF(RAND()&lt;CondGood,_xlfn.LOGNORM.INV(RAND(),MV3,Sigma2),MIN(MaxMultiple,Xm/(1-RAND())^(1/Alpha)))))</f>
        <v>0</v>
      </c>
      <c r="AA263" s="19">
        <f ca="1">IF(RAND()&lt;P_Zero,0,IF(RAND()&lt;CondReturn,_xlfn.LOGNORM.INV(RAND(),MV2,Sigma1),IF(RAND()&lt;CondGood,_xlfn.LOGNORM.INV(RAND(),MV3,Sigma2),MIN(MaxMultiple,Xm/(1-RAND())^(1/Alpha)))))</f>
        <v>14.278136824417887</v>
      </c>
      <c r="AB263" s="19">
        <f t="shared" ca="1" si="32"/>
        <v>3.0867687947140339</v>
      </c>
      <c r="AC263" s="14">
        <f t="shared" ca="1" si="33"/>
        <v>148164902.14627361</v>
      </c>
      <c r="AD263" s="14">
        <f t="shared" ca="1" si="34"/>
        <v>100164902.14627361</v>
      </c>
      <c r="AE263" s="14">
        <f t="shared" si="35"/>
        <v>55628399.869093813</v>
      </c>
      <c r="AF263" s="14">
        <f t="shared" ca="1" si="36"/>
        <v>44536502.2771798</v>
      </c>
      <c r="AG263" s="14">
        <f t="shared" ca="1" si="37"/>
        <v>8907300.4554359596</v>
      </c>
      <c r="AH263" s="14">
        <f t="shared" ca="1" si="38"/>
        <v>139257601.69083765</v>
      </c>
      <c r="AI263" s="19">
        <f t="shared" ca="1" si="39"/>
        <v>2.3209600281806275</v>
      </c>
    </row>
    <row r="264" spans="2:35" x14ac:dyDescent="0.2">
      <c r="B264" s="1">
        <v>259</v>
      </c>
      <c r="C264" s="19">
        <f ca="1">IF(RAND()&lt;P_Zero,0,IF(RAND()&lt;CondReturn,_xlfn.LOGNORM.INV(RAND(),MV2,Sigma1),IF(RAND()&lt;CondGood,_xlfn.LOGNORM.INV(RAND(),MV3,Sigma2),MIN(MaxMultiple,Xm/(1-RAND())^(1/Alpha)))))</f>
        <v>0</v>
      </c>
      <c r="D264" s="19">
        <f ca="1">IF(RAND()&lt;P_Zero,0,IF(RAND()&lt;CondReturn,_xlfn.LOGNORM.INV(RAND(),MV2,Sigma1),IF(RAND()&lt;CondGood,_xlfn.LOGNORM.INV(RAND(),MV3,Sigma2),MIN(MaxMultiple,Xm/(1-RAND())^(1/Alpha)))))</f>
        <v>1.9649086603012236</v>
      </c>
      <c r="E264" s="19">
        <f ca="1">IF(RAND()&lt;P_Zero,0,IF(RAND()&lt;CondReturn,_xlfn.LOGNORM.INV(RAND(),MV2,Sigma1),IF(RAND()&lt;CondGood,_xlfn.LOGNORM.INV(RAND(),MV3,Sigma2),MIN(MaxMultiple,Xm/(1-RAND())^(1/Alpha)))))</f>
        <v>1.288551966722346</v>
      </c>
      <c r="F264" s="19">
        <f ca="1">IF(RAND()&lt;P_Zero,0,IF(RAND()&lt;CondReturn,_xlfn.LOGNORM.INV(RAND(),MV2,Sigma1),IF(RAND()&lt;CondGood,_xlfn.LOGNORM.INV(RAND(),MV3,Sigma2),MIN(MaxMultiple,Xm/(1-RAND())^(1/Alpha)))))</f>
        <v>0</v>
      </c>
      <c r="G264" s="19">
        <f ca="1">IF(RAND()&lt;P_Zero,0,IF(RAND()&lt;CondReturn,_xlfn.LOGNORM.INV(RAND(),MV2,Sigma1),IF(RAND()&lt;CondGood,_xlfn.LOGNORM.INV(RAND(),MV3,Sigma2),MIN(MaxMultiple,Xm/(1-RAND())^(1/Alpha)))))</f>
        <v>0.89799817443271379</v>
      </c>
      <c r="H264" s="19">
        <f ca="1">IF(RAND()&lt;P_Zero,0,IF(RAND()&lt;CondReturn,_xlfn.LOGNORM.INV(RAND(),MV2,Sigma1),IF(RAND()&lt;CondGood,_xlfn.LOGNORM.INV(RAND(),MV3,Sigma2),MIN(MaxMultiple,Xm/(1-RAND())^(1/Alpha)))))</f>
        <v>0.67726506073185033</v>
      </c>
      <c r="I264" s="19">
        <f ca="1">IF(RAND()&lt;P_Zero,0,IF(RAND()&lt;CondReturn,_xlfn.LOGNORM.INV(RAND(),MV2,Sigma1),IF(RAND()&lt;CondGood,_xlfn.LOGNORM.INV(RAND(),MV3,Sigma2),MIN(MaxMultiple,Xm/(1-RAND())^(1/Alpha)))))</f>
        <v>0</v>
      </c>
      <c r="J264" s="19">
        <f ca="1">IF(RAND()&lt;P_Zero,0,IF(RAND()&lt;CondReturn,_xlfn.LOGNORM.INV(RAND(),MV2,Sigma1),IF(RAND()&lt;CondGood,_xlfn.LOGNORM.INV(RAND(),MV3,Sigma2),MIN(MaxMultiple,Xm/(1-RAND())^(1/Alpha)))))</f>
        <v>0</v>
      </c>
      <c r="K264" s="19">
        <f ca="1">IF(RAND()&lt;P_Zero,0,IF(RAND()&lt;CondReturn,_xlfn.LOGNORM.INV(RAND(),MV2,Sigma1),IF(RAND()&lt;CondGood,_xlfn.LOGNORM.INV(RAND(),MV3,Sigma2),MIN(MaxMultiple,Xm/(1-RAND())^(1/Alpha)))))</f>
        <v>1.8900800568947504</v>
      </c>
      <c r="L264" s="19">
        <f ca="1">IF(RAND()&lt;P_Zero,0,IF(RAND()&lt;CondReturn,_xlfn.LOGNORM.INV(RAND(),MV2,Sigma1),IF(RAND()&lt;CondGood,_xlfn.LOGNORM.INV(RAND(),MV3,Sigma2),MIN(MaxMultiple,Xm/(1-RAND())^(1/Alpha)))))</f>
        <v>0</v>
      </c>
      <c r="M264" s="19">
        <f ca="1">IF(RAND()&lt;P_Zero,0,IF(RAND()&lt;CondReturn,_xlfn.LOGNORM.INV(RAND(),MV2,Sigma1),IF(RAND()&lt;CondGood,_xlfn.LOGNORM.INV(RAND(),MV3,Sigma2),MIN(MaxMultiple,Xm/(1-RAND())^(1/Alpha)))))</f>
        <v>0</v>
      </c>
      <c r="N264" s="19">
        <f ca="1">IF(RAND()&lt;P_Zero,0,IF(RAND()&lt;CondReturn,_xlfn.LOGNORM.INV(RAND(),MV2,Sigma1),IF(RAND()&lt;CondGood,_xlfn.LOGNORM.INV(RAND(),MV3,Sigma2),MIN(MaxMultiple,Xm/(1-RAND())^(1/Alpha)))))</f>
        <v>0</v>
      </c>
      <c r="O264" s="19">
        <f ca="1">IF(RAND()&lt;P_Zero,0,IF(RAND()&lt;CondReturn,_xlfn.LOGNORM.INV(RAND(),MV2,Sigma1),IF(RAND()&lt;CondGood,_xlfn.LOGNORM.INV(RAND(),MV3,Sigma2),MIN(MaxMultiple,Xm/(1-RAND())^(1/Alpha)))))</f>
        <v>0</v>
      </c>
      <c r="P264" s="19">
        <f ca="1">IF(RAND()&lt;P_Zero,0,IF(RAND()&lt;CondReturn,_xlfn.LOGNORM.INV(RAND(),MV2,Sigma1),IF(RAND()&lt;CondGood,_xlfn.LOGNORM.INV(RAND(),MV3,Sigma2),MIN(MaxMultiple,Xm/(1-RAND())^(1/Alpha)))))</f>
        <v>0</v>
      </c>
      <c r="Q264" s="19">
        <f ca="1">IF(RAND()&lt;P_Zero,0,IF(RAND()&lt;CondReturn,_xlfn.LOGNORM.INV(RAND(),MV2,Sigma1),IF(RAND()&lt;CondGood,_xlfn.LOGNORM.INV(RAND(),MV3,Sigma2),MIN(MaxMultiple,Xm/(1-RAND())^(1/Alpha)))))</f>
        <v>0</v>
      </c>
      <c r="R264" s="19">
        <f ca="1">IF(RAND()&lt;P_Zero,0,IF(RAND()&lt;CondReturn,_xlfn.LOGNORM.INV(RAND(),MV2,Sigma1),IF(RAND()&lt;CondGood,_xlfn.LOGNORM.INV(RAND(),MV3,Sigma2),MIN(MaxMultiple,Xm/(1-RAND())^(1/Alpha)))))</f>
        <v>0</v>
      </c>
      <c r="S264" s="19">
        <f ca="1">IF(RAND()&lt;P_Zero,0,IF(RAND()&lt;CondReturn,_xlfn.LOGNORM.INV(RAND(),MV2,Sigma1),IF(RAND()&lt;CondGood,_xlfn.LOGNORM.INV(RAND(),MV3,Sigma2),MIN(MaxMultiple,Xm/(1-RAND())^(1/Alpha)))))</f>
        <v>1.1783373542474493</v>
      </c>
      <c r="T264" s="19">
        <f ca="1">IF(RAND()&lt;P_Zero,0,IF(RAND()&lt;CondReturn,_xlfn.LOGNORM.INV(RAND(),MV2,Sigma1),IF(RAND()&lt;CondGood,_xlfn.LOGNORM.INV(RAND(),MV3,Sigma2),MIN(MaxMultiple,Xm/(1-RAND())^(1/Alpha)))))</f>
        <v>1.1003196683927658</v>
      </c>
      <c r="U264" s="19">
        <f ca="1">IF(RAND()&lt;P_Zero,0,IF(RAND()&lt;CondReturn,_xlfn.LOGNORM.INV(RAND(),MV2,Sigma1),IF(RAND()&lt;CondGood,_xlfn.LOGNORM.INV(RAND(),MV3,Sigma2),MIN(MaxMultiple,Xm/(1-RAND())^(1/Alpha)))))</f>
        <v>1.1511102398383977</v>
      </c>
      <c r="V264" s="19">
        <f ca="1">IF(RAND()&lt;P_Zero,0,IF(RAND()&lt;CondReturn,_xlfn.LOGNORM.INV(RAND(),MV2,Sigma1),IF(RAND()&lt;CondGood,_xlfn.LOGNORM.INV(RAND(),MV3,Sigma2),MIN(MaxMultiple,Xm/(1-RAND())^(1/Alpha)))))</f>
        <v>0</v>
      </c>
      <c r="W264" s="19">
        <f ca="1">IF(RAND()&lt;P_Zero,0,IF(RAND()&lt;CondReturn,_xlfn.LOGNORM.INV(RAND(),MV2,Sigma1),IF(RAND()&lt;CondGood,_xlfn.LOGNORM.INV(RAND(),MV3,Sigma2),MIN(MaxMultiple,Xm/(1-RAND())^(1/Alpha)))))</f>
        <v>0</v>
      </c>
      <c r="X264" s="19">
        <f ca="1">IF(RAND()&lt;P_Zero,0,IF(RAND()&lt;CondReturn,_xlfn.LOGNORM.INV(RAND(),MV2,Sigma1),IF(RAND()&lt;CondGood,_xlfn.LOGNORM.INV(RAND(),MV3,Sigma2),MIN(MaxMultiple,Xm/(1-RAND())^(1/Alpha)))))</f>
        <v>1.103283827158108</v>
      </c>
      <c r="Y264" s="19">
        <f ca="1">IF(RAND()&lt;P_Zero,0,IF(RAND()&lt;CondReturn,_xlfn.LOGNORM.INV(RAND(),MV2,Sigma1),IF(RAND()&lt;CondGood,_xlfn.LOGNORM.INV(RAND(),MV3,Sigma2),MIN(MaxMultiple,Xm/(1-RAND())^(1/Alpha)))))</f>
        <v>1.676596366634149</v>
      </c>
      <c r="Z264" s="19">
        <f ca="1">IF(RAND()&lt;P_Zero,0,IF(RAND()&lt;CondReturn,_xlfn.LOGNORM.INV(RAND(),MV2,Sigma1),IF(RAND()&lt;CondGood,_xlfn.LOGNORM.INV(RAND(),MV3,Sigma2),MIN(MaxMultiple,Xm/(1-RAND())^(1/Alpha)))))</f>
        <v>1.0559344020603187</v>
      </c>
      <c r="AA264" s="19">
        <f ca="1">IF(RAND()&lt;P_Zero,0,IF(RAND()&lt;CondReturn,_xlfn.LOGNORM.INV(RAND(),MV2,Sigma1),IF(RAND()&lt;CondGood,_xlfn.LOGNORM.INV(RAND(),MV3,Sigma2),MIN(MaxMultiple,Xm/(1-RAND())^(1/Alpha)))))</f>
        <v>0</v>
      </c>
      <c r="AB264" s="19">
        <f t="shared" ca="1" si="32"/>
        <v>0.55937543109656285</v>
      </c>
      <c r="AC264" s="14">
        <f t="shared" ca="1" si="33"/>
        <v>26850020.692635018</v>
      </c>
      <c r="AD264" s="14">
        <f t="shared" ca="1" si="34"/>
        <v>-21149979.307364982</v>
      </c>
      <c r="AE264" s="14">
        <f t="shared" si="35"/>
        <v>55628399.869093813</v>
      </c>
      <c r="AF264" s="14">
        <f t="shared" ca="1" si="36"/>
        <v>0</v>
      </c>
      <c r="AG264" s="14">
        <f t="shared" ca="1" si="37"/>
        <v>0</v>
      </c>
      <c r="AH264" s="14">
        <f t="shared" ca="1" si="38"/>
        <v>26850020.692635018</v>
      </c>
      <c r="AI264" s="19">
        <f t="shared" ca="1" si="39"/>
        <v>0.44750034487725032</v>
      </c>
    </row>
    <row r="265" spans="2:35" x14ac:dyDescent="0.2">
      <c r="B265" s="1">
        <v>260</v>
      </c>
      <c r="C265" s="19">
        <f ca="1">IF(RAND()&lt;P_Zero,0,IF(RAND()&lt;CondReturn,_xlfn.LOGNORM.INV(RAND(),MV2,Sigma1),IF(RAND()&lt;CondGood,_xlfn.LOGNORM.INV(RAND(),MV3,Sigma2),MIN(MaxMultiple,Xm/(1-RAND())^(1/Alpha)))))</f>
        <v>1.3268143657305829</v>
      </c>
      <c r="D265" s="19">
        <f ca="1">IF(RAND()&lt;P_Zero,0,IF(RAND()&lt;CondReturn,_xlfn.LOGNORM.INV(RAND(),MV2,Sigma1),IF(RAND()&lt;CondGood,_xlfn.LOGNORM.INV(RAND(),MV3,Sigma2),MIN(MaxMultiple,Xm/(1-RAND())^(1/Alpha)))))</f>
        <v>0</v>
      </c>
      <c r="E265" s="19">
        <f ca="1">IF(RAND()&lt;P_Zero,0,IF(RAND()&lt;CondReturn,_xlfn.LOGNORM.INV(RAND(),MV2,Sigma1),IF(RAND()&lt;CondGood,_xlfn.LOGNORM.INV(RAND(),MV3,Sigma2),MIN(MaxMultiple,Xm/(1-RAND())^(1/Alpha)))))</f>
        <v>2.9290208425816275</v>
      </c>
      <c r="F265" s="19">
        <f ca="1">IF(RAND()&lt;P_Zero,0,IF(RAND()&lt;CondReturn,_xlfn.LOGNORM.INV(RAND(),MV2,Sigma1),IF(RAND()&lt;CondGood,_xlfn.LOGNORM.INV(RAND(),MV3,Sigma2),MIN(MaxMultiple,Xm/(1-RAND())^(1/Alpha)))))</f>
        <v>1.2306011051810231</v>
      </c>
      <c r="G265" s="19">
        <f ca="1">IF(RAND()&lt;P_Zero,0,IF(RAND()&lt;CondReturn,_xlfn.LOGNORM.INV(RAND(),MV2,Sigma1),IF(RAND()&lt;CondGood,_xlfn.LOGNORM.INV(RAND(),MV3,Sigma2),MIN(MaxMultiple,Xm/(1-RAND())^(1/Alpha)))))</f>
        <v>0.71007385909594245</v>
      </c>
      <c r="H265" s="19">
        <f ca="1">IF(RAND()&lt;P_Zero,0,IF(RAND()&lt;CondReturn,_xlfn.LOGNORM.INV(RAND(),MV2,Sigma1),IF(RAND()&lt;CondGood,_xlfn.LOGNORM.INV(RAND(),MV3,Sigma2),MIN(MaxMultiple,Xm/(1-RAND())^(1/Alpha)))))</f>
        <v>15.182201926116688</v>
      </c>
      <c r="I265" s="19">
        <f ca="1">IF(RAND()&lt;P_Zero,0,IF(RAND()&lt;CondReturn,_xlfn.LOGNORM.INV(RAND(),MV2,Sigma1),IF(RAND()&lt;CondGood,_xlfn.LOGNORM.INV(RAND(),MV3,Sigma2),MIN(MaxMultiple,Xm/(1-RAND())^(1/Alpha)))))</f>
        <v>1.1544207082443061</v>
      </c>
      <c r="J265" s="19">
        <f ca="1">IF(RAND()&lt;P_Zero,0,IF(RAND()&lt;CondReturn,_xlfn.LOGNORM.INV(RAND(),MV2,Sigma1),IF(RAND()&lt;CondGood,_xlfn.LOGNORM.INV(RAND(),MV3,Sigma2),MIN(MaxMultiple,Xm/(1-RAND())^(1/Alpha)))))</f>
        <v>1.3989179816751303</v>
      </c>
      <c r="K265" s="19">
        <f ca="1">IF(RAND()&lt;P_Zero,0,IF(RAND()&lt;CondReturn,_xlfn.LOGNORM.INV(RAND(),MV2,Sigma1),IF(RAND()&lt;CondGood,_xlfn.LOGNORM.INV(RAND(),MV3,Sigma2),MIN(MaxMultiple,Xm/(1-RAND())^(1/Alpha)))))</f>
        <v>2.5468246388223683</v>
      </c>
      <c r="L265" s="19">
        <f ca="1">IF(RAND()&lt;P_Zero,0,IF(RAND()&lt;CondReturn,_xlfn.LOGNORM.INV(RAND(),MV2,Sigma1),IF(RAND()&lt;CondGood,_xlfn.LOGNORM.INV(RAND(),MV3,Sigma2),MIN(MaxMultiple,Xm/(1-RAND())^(1/Alpha)))))</f>
        <v>0</v>
      </c>
      <c r="M265" s="19">
        <f ca="1">IF(RAND()&lt;P_Zero,0,IF(RAND()&lt;CondReturn,_xlfn.LOGNORM.INV(RAND(),MV2,Sigma1),IF(RAND()&lt;CondGood,_xlfn.LOGNORM.INV(RAND(),MV3,Sigma2),MIN(MaxMultiple,Xm/(1-RAND())^(1/Alpha)))))</f>
        <v>0</v>
      </c>
      <c r="N265" s="19">
        <f ca="1">IF(RAND()&lt;P_Zero,0,IF(RAND()&lt;CondReturn,_xlfn.LOGNORM.INV(RAND(),MV2,Sigma1),IF(RAND()&lt;CondGood,_xlfn.LOGNORM.INV(RAND(),MV3,Sigma2),MIN(MaxMultiple,Xm/(1-RAND())^(1/Alpha)))))</f>
        <v>0</v>
      </c>
      <c r="O265" s="19">
        <f ca="1">IF(RAND()&lt;P_Zero,0,IF(RAND()&lt;CondReturn,_xlfn.LOGNORM.INV(RAND(),MV2,Sigma1),IF(RAND()&lt;CondGood,_xlfn.LOGNORM.INV(RAND(),MV3,Sigma2),MIN(MaxMultiple,Xm/(1-RAND())^(1/Alpha)))))</f>
        <v>0.39772764688079382</v>
      </c>
      <c r="P265" s="19">
        <f ca="1">IF(RAND()&lt;P_Zero,0,IF(RAND()&lt;CondReturn,_xlfn.LOGNORM.INV(RAND(),MV2,Sigma1),IF(RAND()&lt;CondGood,_xlfn.LOGNORM.INV(RAND(),MV3,Sigma2),MIN(MaxMultiple,Xm/(1-RAND())^(1/Alpha)))))</f>
        <v>0.68930501010102951</v>
      </c>
      <c r="Q265" s="19">
        <f ca="1">IF(RAND()&lt;P_Zero,0,IF(RAND()&lt;CondReturn,_xlfn.LOGNORM.INV(RAND(),MV2,Sigma1),IF(RAND()&lt;CondGood,_xlfn.LOGNORM.INV(RAND(),MV3,Sigma2),MIN(MaxMultiple,Xm/(1-RAND())^(1/Alpha)))))</f>
        <v>0</v>
      </c>
      <c r="R265" s="19">
        <f ca="1">IF(RAND()&lt;P_Zero,0,IF(RAND()&lt;CondReturn,_xlfn.LOGNORM.INV(RAND(),MV2,Sigma1),IF(RAND()&lt;CondGood,_xlfn.LOGNORM.INV(RAND(),MV3,Sigma2),MIN(MaxMultiple,Xm/(1-RAND())^(1/Alpha)))))</f>
        <v>0</v>
      </c>
      <c r="S265" s="19">
        <f ca="1">IF(RAND()&lt;P_Zero,0,IF(RAND()&lt;CondReturn,_xlfn.LOGNORM.INV(RAND(),MV2,Sigma1),IF(RAND()&lt;CondGood,_xlfn.LOGNORM.INV(RAND(),MV3,Sigma2),MIN(MaxMultiple,Xm/(1-RAND())^(1/Alpha)))))</f>
        <v>2.0725970009776962</v>
      </c>
      <c r="T265" s="19">
        <f ca="1">IF(RAND()&lt;P_Zero,0,IF(RAND()&lt;CondReturn,_xlfn.LOGNORM.INV(RAND(),MV2,Sigma1),IF(RAND()&lt;CondGood,_xlfn.LOGNORM.INV(RAND(),MV3,Sigma2),MIN(MaxMultiple,Xm/(1-RAND())^(1/Alpha)))))</f>
        <v>0.59050673574273038</v>
      </c>
      <c r="U265" s="19">
        <f ca="1">IF(RAND()&lt;P_Zero,0,IF(RAND()&lt;CondReturn,_xlfn.LOGNORM.INV(RAND(),MV2,Sigma1),IF(RAND()&lt;CondGood,_xlfn.LOGNORM.INV(RAND(),MV3,Sigma2),MIN(MaxMultiple,Xm/(1-RAND())^(1/Alpha)))))</f>
        <v>0</v>
      </c>
      <c r="V265" s="19">
        <f ca="1">IF(RAND()&lt;P_Zero,0,IF(RAND()&lt;CondReturn,_xlfn.LOGNORM.INV(RAND(),MV2,Sigma1),IF(RAND()&lt;CondGood,_xlfn.LOGNORM.INV(RAND(),MV3,Sigma2),MIN(MaxMultiple,Xm/(1-RAND())^(1/Alpha)))))</f>
        <v>1.1764534713695767</v>
      </c>
      <c r="W265" s="19">
        <f ca="1">IF(RAND()&lt;P_Zero,0,IF(RAND()&lt;CondReturn,_xlfn.LOGNORM.INV(RAND(),MV2,Sigma1),IF(RAND()&lt;CondGood,_xlfn.LOGNORM.INV(RAND(),MV3,Sigma2),MIN(MaxMultiple,Xm/(1-RAND())^(1/Alpha)))))</f>
        <v>0.55202475023809072</v>
      </c>
      <c r="X265" s="19">
        <f ca="1">IF(RAND()&lt;P_Zero,0,IF(RAND()&lt;CondReturn,_xlfn.LOGNORM.INV(RAND(),MV2,Sigma1),IF(RAND()&lt;CondGood,_xlfn.LOGNORM.INV(RAND(),MV3,Sigma2),MIN(MaxMultiple,Xm/(1-RAND())^(1/Alpha)))))</f>
        <v>15.847558676297286</v>
      </c>
      <c r="Y265" s="19">
        <f ca="1">IF(RAND()&lt;P_Zero,0,IF(RAND()&lt;CondReturn,_xlfn.LOGNORM.INV(RAND(),MV2,Sigma1),IF(RAND()&lt;CondGood,_xlfn.LOGNORM.INV(RAND(),MV3,Sigma2),MIN(MaxMultiple,Xm/(1-RAND())^(1/Alpha)))))</f>
        <v>1.4144839779662339</v>
      </c>
      <c r="Z265" s="19">
        <f ca="1">IF(RAND()&lt;P_Zero,0,IF(RAND()&lt;CondReturn,_xlfn.LOGNORM.INV(RAND(),MV2,Sigma1),IF(RAND()&lt;CondGood,_xlfn.LOGNORM.INV(RAND(),MV3,Sigma2),MIN(MaxMultiple,Xm/(1-RAND())^(1/Alpha)))))</f>
        <v>1.4192531424668464</v>
      </c>
      <c r="AA265" s="19">
        <f ca="1">IF(RAND()&lt;P_Zero,0,IF(RAND()&lt;CondReturn,_xlfn.LOGNORM.INV(RAND(),MV2,Sigma1),IF(RAND()&lt;CondGood,_xlfn.LOGNORM.INV(RAND(),MV3,Sigma2),MIN(MaxMultiple,Xm/(1-RAND())^(1/Alpha)))))</f>
        <v>0.59759495516052652</v>
      </c>
      <c r="AB265" s="19">
        <f t="shared" ca="1" si="32"/>
        <v>2.0494552317859389</v>
      </c>
      <c r="AC265" s="14">
        <f t="shared" ca="1" si="33"/>
        <v>98373851.125725061</v>
      </c>
      <c r="AD265" s="14">
        <f t="shared" ca="1" si="34"/>
        <v>50373851.125725061</v>
      </c>
      <c r="AE265" s="14">
        <f t="shared" si="35"/>
        <v>55628399.869093813</v>
      </c>
      <c r="AF265" s="14">
        <f t="shared" ca="1" si="36"/>
        <v>0</v>
      </c>
      <c r="AG265" s="14">
        <f t="shared" ca="1" si="37"/>
        <v>0</v>
      </c>
      <c r="AH265" s="14">
        <f t="shared" ca="1" si="38"/>
        <v>98373851.125725061</v>
      </c>
      <c r="AI265" s="19">
        <f t="shared" ca="1" si="39"/>
        <v>1.639564185428751</v>
      </c>
    </row>
    <row r="266" spans="2:35" x14ac:dyDescent="0.2">
      <c r="B266" s="1">
        <v>261</v>
      </c>
      <c r="C266" s="19">
        <f ca="1">IF(RAND()&lt;P_Zero,0,IF(RAND()&lt;CondReturn,_xlfn.LOGNORM.INV(RAND(),MV2,Sigma1),IF(RAND()&lt;CondGood,_xlfn.LOGNORM.INV(RAND(),MV3,Sigma2),MIN(MaxMultiple,Xm/(1-RAND())^(1/Alpha)))))</f>
        <v>0.77063936604183403</v>
      </c>
      <c r="D266" s="19">
        <f ca="1">IF(RAND()&lt;P_Zero,0,IF(RAND()&lt;CondReturn,_xlfn.LOGNORM.INV(RAND(),MV2,Sigma1),IF(RAND()&lt;CondGood,_xlfn.LOGNORM.INV(RAND(),MV3,Sigma2),MIN(MaxMultiple,Xm/(1-RAND())^(1/Alpha)))))</f>
        <v>0</v>
      </c>
      <c r="E266" s="19">
        <f ca="1">IF(RAND()&lt;P_Zero,0,IF(RAND()&lt;CondReturn,_xlfn.LOGNORM.INV(RAND(),MV2,Sigma1),IF(RAND()&lt;CondGood,_xlfn.LOGNORM.INV(RAND(),MV3,Sigma2),MIN(MaxMultiple,Xm/(1-RAND())^(1/Alpha)))))</f>
        <v>1.359909487760282</v>
      </c>
      <c r="F266" s="19">
        <f ca="1">IF(RAND()&lt;P_Zero,0,IF(RAND()&lt;CondReturn,_xlfn.LOGNORM.INV(RAND(),MV2,Sigma1),IF(RAND()&lt;CondGood,_xlfn.LOGNORM.INV(RAND(),MV3,Sigma2),MIN(MaxMultiple,Xm/(1-RAND())^(1/Alpha)))))</f>
        <v>1.1885548132320298</v>
      </c>
      <c r="G266" s="19">
        <f ca="1">IF(RAND()&lt;P_Zero,0,IF(RAND()&lt;CondReturn,_xlfn.LOGNORM.INV(RAND(),MV2,Sigma1),IF(RAND()&lt;CondGood,_xlfn.LOGNORM.INV(RAND(),MV3,Sigma2),MIN(MaxMultiple,Xm/(1-RAND())^(1/Alpha)))))</f>
        <v>0</v>
      </c>
      <c r="H266" s="19">
        <f ca="1">IF(RAND()&lt;P_Zero,0,IF(RAND()&lt;CondReturn,_xlfn.LOGNORM.INV(RAND(),MV2,Sigma1),IF(RAND()&lt;CondGood,_xlfn.LOGNORM.INV(RAND(),MV3,Sigma2),MIN(MaxMultiple,Xm/(1-RAND())^(1/Alpha)))))</f>
        <v>0</v>
      </c>
      <c r="I266" s="19">
        <f ca="1">IF(RAND()&lt;P_Zero,0,IF(RAND()&lt;CondReturn,_xlfn.LOGNORM.INV(RAND(),MV2,Sigma1),IF(RAND()&lt;CondGood,_xlfn.LOGNORM.INV(RAND(),MV3,Sigma2),MIN(MaxMultiple,Xm/(1-RAND())^(1/Alpha)))))</f>
        <v>0</v>
      </c>
      <c r="J266" s="19">
        <f ca="1">IF(RAND()&lt;P_Zero,0,IF(RAND()&lt;CondReturn,_xlfn.LOGNORM.INV(RAND(),MV2,Sigma1),IF(RAND()&lt;CondGood,_xlfn.LOGNORM.INV(RAND(),MV3,Sigma2),MIN(MaxMultiple,Xm/(1-RAND())^(1/Alpha)))))</f>
        <v>0</v>
      </c>
      <c r="K266" s="19">
        <f ca="1">IF(RAND()&lt;P_Zero,0,IF(RAND()&lt;CondReturn,_xlfn.LOGNORM.INV(RAND(),MV2,Sigma1),IF(RAND()&lt;CondGood,_xlfn.LOGNORM.INV(RAND(),MV3,Sigma2),MIN(MaxMultiple,Xm/(1-RAND())^(1/Alpha)))))</f>
        <v>0</v>
      </c>
      <c r="L266" s="19">
        <f ca="1">IF(RAND()&lt;P_Zero,0,IF(RAND()&lt;CondReturn,_xlfn.LOGNORM.INV(RAND(),MV2,Sigma1),IF(RAND()&lt;CondGood,_xlfn.LOGNORM.INV(RAND(),MV3,Sigma2),MIN(MaxMultiple,Xm/(1-RAND())^(1/Alpha)))))</f>
        <v>1.6966035269734432</v>
      </c>
      <c r="M266" s="19">
        <f ca="1">IF(RAND()&lt;P_Zero,0,IF(RAND()&lt;CondReturn,_xlfn.LOGNORM.INV(RAND(),MV2,Sigma1),IF(RAND()&lt;CondGood,_xlfn.LOGNORM.INV(RAND(),MV3,Sigma2),MIN(MaxMultiple,Xm/(1-RAND())^(1/Alpha)))))</f>
        <v>1.0661963241457864</v>
      </c>
      <c r="N266" s="19">
        <f ca="1">IF(RAND()&lt;P_Zero,0,IF(RAND()&lt;CondReturn,_xlfn.LOGNORM.INV(RAND(),MV2,Sigma1),IF(RAND()&lt;CondGood,_xlfn.LOGNORM.INV(RAND(),MV3,Sigma2),MIN(MaxMultiple,Xm/(1-RAND())^(1/Alpha)))))</f>
        <v>0.99885590843751393</v>
      </c>
      <c r="O266" s="19">
        <f ca="1">IF(RAND()&lt;P_Zero,0,IF(RAND()&lt;CondReturn,_xlfn.LOGNORM.INV(RAND(),MV2,Sigma1),IF(RAND()&lt;CondGood,_xlfn.LOGNORM.INV(RAND(),MV3,Sigma2),MIN(MaxMultiple,Xm/(1-RAND())^(1/Alpha)))))</f>
        <v>1.1793789714989589</v>
      </c>
      <c r="P266" s="19">
        <f ca="1">IF(RAND()&lt;P_Zero,0,IF(RAND()&lt;CondReturn,_xlfn.LOGNORM.INV(RAND(),MV2,Sigma1),IF(RAND()&lt;CondGood,_xlfn.LOGNORM.INV(RAND(),MV3,Sigma2),MIN(MaxMultiple,Xm/(1-RAND())^(1/Alpha)))))</f>
        <v>0</v>
      </c>
      <c r="Q266" s="19">
        <f ca="1">IF(RAND()&lt;P_Zero,0,IF(RAND()&lt;CondReturn,_xlfn.LOGNORM.INV(RAND(),MV2,Sigma1),IF(RAND()&lt;CondGood,_xlfn.LOGNORM.INV(RAND(),MV3,Sigma2),MIN(MaxMultiple,Xm/(1-RAND())^(1/Alpha)))))</f>
        <v>0</v>
      </c>
      <c r="R266" s="19">
        <f ca="1">IF(RAND()&lt;P_Zero,0,IF(RAND()&lt;CondReturn,_xlfn.LOGNORM.INV(RAND(),MV2,Sigma1),IF(RAND()&lt;CondGood,_xlfn.LOGNORM.INV(RAND(),MV3,Sigma2),MIN(MaxMultiple,Xm/(1-RAND())^(1/Alpha)))))</f>
        <v>0</v>
      </c>
      <c r="S266" s="19">
        <f ca="1">IF(RAND()&lt;P_Zero,0,IF(RAND()&lt;CondReturn,_xlfn.LOGNORM.INV(RAND(),MV2,Sigma1),IF(RAND()&lt;CondGood,_xlfn.LOGNORM.INV(RAND(),MV3,Sigma2),MIN(MaxMultiple,Xm/(1-RAND())^(1/Alpha)))))</f>
        <v>0</v>
      </c>
      <c r="T266" s="19">
        <f ca="1">IF(RAND()&lt;P_Zero,0,IF(RAND()&lt;CondReturn,_xlfn.LOGNORM.INV(RAND(),MV2,Sigma1),IF(RAND()&lt;CondGood,_xlfn.LOGNORM.INV(RAND(),MV3,Sigma2),MIN(MaxMultiple,Xm/(1-RAND())^(1/Alpha)))))</f>
        <v>0.58272707848994909</v>
      </c>
      <c r="U266" s="19">
        <f ca="1">IF(RAND()&lt;P_Zero,0,IF(RAND()&lt;CondReturn,_xlfn.LOGNORM.INV(RAND(),MV2,Sigma1),IF(RAND()&lt;CondGood,_xlfn.LOGNORM.INV(RAND(),MV3,Sigma2),MIN(MaxMultiple,Xm/(1-RAND())^(1/Alpha)))))</f>
        <v>0</v>
      </c>
      <c r="V266" s="19">
        <f ca="1">IF(RAND()&lt;P_Zero,0,IF(RAND()&lt;CondReturn,_xlfn.LOGNORM.INV(RAND(),MV2,Sigma1),IF(RAND()&lt;CondGood,_xlfn.LOGNORM.INV(RAND(),MV3,Sigma2),MIN(MaxMultiple,Xm/(1-RAND())^(1/Alpha)))))</f>
        <v>0.76975886426154305</v>
      </c>
      <c r="W266" s="19">
        <f ca="1">IF(RAND()&lt;P_Zero,0,IF(RAND()&lt;CondReturn,_xlfn.LOGNORM.INV(RAND(),MV2,Sigma1),IF(RAND()&lt;CondGood,_xlfn.LOGNORM.INV(RAND(),MV3,Sigma2),MIN(MaxMultiple,Xm/(1-RAND())^(1/Alpha)))))</f>
        <v>0.65393385741025878</v>
      </c>
      <c r="X266" s="19">
        <f ca="1">IF(RAND()&lt;P_Zero,0,IF(RAND()&lt;CondReturn,_xlfn.LOGNORM.INV(RAND(),MV2,Sigma1),IF(RAND()&lt;CondGood,_xlfn.LOGNORM.INV(RAND(),MV3,Sigma2),MIN(MaxMultiple,Xm/(1-RAND())^(1/Alpha)))))</f>
        <v>0</v>
      </c>
      <c r="Y266" s="19">
        <f ca="1">IF(RAND()&lt;P_Zero,0,IF(RAND()&lt;CondReturn,_xlfn.LOGNORM.INV(RAND(),MV2,Sigma1),IF(RAND()&lt;CondGood,_xlfn.LOGNORM.INV(RAND(),MV3,Sigma2),MIN(MaxMultiple,Xm/(1-RAND())^(1/Alpha)))))</f>
        <v>2.6848290893560214</v>
      </c>
      <c r="Z266" s="19">
        <f ca="1">IF(RAND()&lt;P_Zero,0,IF(RAND()&lt;CondReturn,_xlfn.LOGNORM.INV(RAND(),MV2,Sigma1),IF(RAND()&lt;CondGood,_xlfn.LOGNORM.INV(RAND(),MV3,Sigma2),MIN(MaxMultiple,Xm/(1-RAND())^(1/Alpha)))))</f>
        <v>0</v>
      </c>
      <c r="AA266" s="19">
        <f ca="1">IF(RAND()&lt;P_Zero,0,IF(RAND()&lt;CondReturn,_xlfn.LOGNORM.INV(RAND(),MV2,Sigma1),IF(RAND()&lt;CondGood,_xlfn.LOGNORM.INV(RAND(),MV3,Sigma2),MIN(MaxMultiple,Xm/(1-RAND())^(1/Alpha)))))</f>
        <v>0</v>
      </c>
      <c r="AB266" s="19">
        <f t="shared" ca="1" si="32"/>
        <v>0.51805549150430485</v>
      </c>
      <c r="AC266" s="14">
        <f t="shared" ca="1" si="33"/>
        <v>24866663.592206635</v>
      </c>
      <c r="AD266" s="14">
        <f t="shared" ca="1" si="34"/>
        <v>-23133336.407793365</v>
      </c>
      <c r="AE266" s="14">
        <f t="shared" si="35"/>
        <v>55628399.869093813</v>
      </c>
      <c r="AF266" s="14">
        <f t="shared" ca="1" si="36"/>
        <v>0</v>
      </c>
      <c r="AG266" s="14">
        <f t="shared" ca="1" si="37"/>
        <v>0</v>
      </c>
      <c r="AH266" s="14">
        <f t="shared" ca="1" si="38"/>
        <v>24866663.592206635</v>
      </c>
      <c r="AI266" s="19">
        <f t="shared" ca="1" si="39"/>
        <v>0.41444439320344389</v>
      </c>
    </row>
    <row r="267" spans="2:35" x14ac:dyDescent="0.2">
      <c r="B267" s="1">
        <v>262</v>
      </c>
      <c r="C267" s="19">
        <f ca="1">IF(RAND()&lt;P_Zero,0,IF(RAND()&lt;CondReturn,_xlfn.LOGNORM.INV(RAND(),MV2,Sigma1),IF(RAND()&lt;CondGood,_xlfn.LOGNORM.INV(RAND(),MV3,Sigma2),MIN(MaxMultiple,Xm/(1-RAND())^(1/Alpha)))))</f>
        <v>33.505951936129136</v>
      </c>
      <c r="D267" s="19">
        <f ca="1">IF(RAND()&lt;P_Zero,0,IF(RAND()&lt;CondReturn,_xlfn.LOGNORM.INV(RAND(),MV2,Sigma1),IF(RAND()&lt;CondGood,_xlfn.LOGNORM.INV(RAND(),MV3,Sigma2),MIN(MaxMultiple,Xm/(1-RAND())^(1/Alpha)))))</f>
        <v>1.5448704433972895</v>
      </c>
      <c r="E267" s="19">
        <f ca="1">IF(RAND()&lt;P_Zero,0,IF(RAND()&lt;CondReturn,_xlfn.LOGNORM.INV(RAND(),MV2,Sigma1),IF(RAND()&lt;CondGood,_xlfn.LOGNORM.INV(RAND(),MV3,Sigma2),MIN(MaxMultiple,Xm/(1-RAND())^(1/Alpha)))))</f>
        <v>0</v>
      </c>
      <c r="F267" s="19">
        <f ca="1">IF(RAND()&lt;P_Zero,0,IF(RAND()&lt;CondReturn,_xlfn.LOGNORM.INV(RAND(),MV2,Sigma1),IF(RAND()&lt;CondGood,_xlfn.LOGNORM.INV(RAND(),MV3,Sigma2),MIN(MaxMultiple,Xm/(1-RAND())^(1/Alpha)))))</f>
        <v>0</v>
      </c>
      <c r="G267" s="19">
        <f ca="1">IF(RAND()&lt;P_Zero,0,IF(RAND()&lt;CondReturn,_xlfn.LOGNORM.INV(RAND(),MV2,Sigma1),IF(RAND()&lt;CondGood,_xlfn.LOGNORM.INV(RAND(),MV3,Sigma2),MIN(MaxMultiple,Xm/(1-RAND())^(1/Alpha)))))</f>
        <v>0</v>
      </c>
      <c r="H267" s="19">
        <f ca="1">IF(RAND()&lt;P_Zero,0,IF(RAND()&lt;CondReturn,_xlfn.LOGNORM.INV(RAND(),MV2,Sigma1),IF(RAND()&lt;CondGood,_xlfn.LOGNORM.INV(RAND(),MV3,Sigma2),MIN(MaxMultiple,Xm/(1-RAND())^(1/Alpha)))))</f>
        <v>0</v>
      </c>
      <c r="I267" s="19">
        <f ca="1">IF(RAND()&lt;P_Zero,0,IF(RAND()&lt;CondReturn,_xlfn.LOGNORM.INV(RAND(),MV2,Sigma1),IF(RAND()&lt;CondGood,_xlfn.LOGNORM.INV(RAND(),MV3,Sigma2),MIN(MaxMultiple,Xm/(1-RAND())^(1/Alpha)))))</f>
        <v>0</v>
      </c>
      <c r="J267" s="19">
        <f ca="1">IF(RAND()&lt;P_Zero,0,IF(RAND()&lt;CondReturn,_xlfn.LOGNORM.INV(RAND(),MV2,Sigma1),IF(RAND()&lt;CondGood,_xlfn.LOGNORM.INV(RAND(),MV3,Sigma2),MIN(MaxMultiple,Xm/(1-RAND())^(1/Alpha)))))</f>
        <v>0.52597707181097586</v>
      </c>
      <c r="K267" s="19">
        <f ca="1">IF(RAND()&lt;P_Zero,0,IF(RAND()&lt;CondReturn,_xlfn.LOGNORM.INV(RAND(),MV2,Sigma1),IF(RAND()&lt;CondGood,_xlfn.LOGNORM.INV(RAND(),MV3,Sigma2),MIN(MaxMultiple,Xm/(1-RAND())^(1/Alpha)))))</f>
        <v>0</v>
      </c>
      <c r="L267" s="19">
        <f ca="1">IF(RAND()&lt;P_Zero,0,IF(RAND()&lt;CondReturn,_xlfn.LOGNORM.INV(RAND(),MV2,Sigma1),IF(RAND()&lt;CondGood,_xlfn.LOGNORM.INV(RAND(),MV3,Sigma2),MIN(MaxMultiple,Xm/(1-RAND())^(1/Alpha)))))</f>
        <v>1.4697651012502073</v>
      </c>
      <c r="M267" s="19">
        <f ca="1">IF(RAND()&lt;P_Zero,0,IF(RAND()&lt;CondReturn,_xlfn.LOGNORM.INV(RAND(),MV2,Sigma1),IF(RAND()&lt;CondGood,_xlfn.LOGNORM.INV(RAND(),MV3,Sigma2),MIN(MaxMultiple,Xm/(1-RAND())^(1/Alpha)))))</f>
        <v>20.342135678879004</v>
      </c>
      <c r="N267" s="19">
        <f ca="1">IF(RAND()&lt;P_Zero,0,IF(RAND()&lt;CondReturn,_xlfn.LOGNORM.INV(RAND(),MV2,Sigma1),IF(RAND()&lt;CondGood,_xlfn.LOGNORM.INV(RAND(),MV3,Sigma2),MIN(MaxMultiple,Xm/(1-RAND())^(1/Alpha)))))</f>
        <v>1.1092638024957411</v>
      </c>
      <c r="O267" s="19">
        <f ca="1">IF(RAND()&lt;P_Zero,0,IF(RAND()&lt;CondReturn,_xlfn.LOGNORM.INV(RAND(),MV2,Sigma1),IF(RAND()&lt;CondGood,_xlfn.LOGNORM.INV(RAND(),MV3,Sigma2),MIN(MaxMultiple,Xm/(1-RAND())^(1/Alpha)))))</f>
        <v>0.79304798367669471</v>
      </c>
      <c r="P267" s="19">
        <f ca="1">IF(RAND()&lt;P_Zero,0,IF(RAND()&lt;CondReturn,_xlfn.LOGNORM.INV(RAND(),MV2,Sigma1),IF(RAND()&lt;CondGood,_xlfn.LOGNORM.INV(RAND(),MV3,Sigma2),MIN(MaxMultiple,Xm/(1-RAND())^(1/Alpha)))))</f>
        <v>0.93202098882607376</v>
      </c>
      <c r="Q267" s="19">
        <f ca="1">IF(RAND()&lt;P_Zero,0,IF(RAND()&lt;CondReturn,_xlfn.LOGNORM.INV(RAND(),MV2,Sigma1),IF(RAND()&lt;CondGood,_xlfn.LOGNORM.INV(RAND(),MV3,Sigma2),MIN(MaxMultiple,Xm/(1-RAND())^(1/Alpha)))))</f>
        <v>0</v>
      </c>
      <c r="R267" s="19">
        <f ca="1">IF(RAND()&lt;P_Zero,0,IF(RAND()&lt;CondReturn,_xlfn.LOGNORM.INV(RAND(),MV2,Sigma1),IF(RAND()&lt;CondGood,_xlfn.LOGNORM.INV(RAND(),MV3,Sigma2),MIN(MaxMultiple,Xm/(1-RAND())^(1/Alpha)))))</f>
        <v>1.1321998677328204</v>
      </c>
      <c r="S267" s="19">
        <f ca="1">IF(RAND()&lt;P_Zero,0,IF(RAND()&lt;CondReturn,_xlfn.LOGNORM.INV(RAND(),MV2,Sigma1),IF(RAND()&lt;CondGood,_xlfn.LOGNORM.INV(RAND(),MV3,Sigma2),MIN(MaxMultiple,Xm/(1-RAND())^(1/Alpha)))))</f>
        <v>56.661944829625511</v>
      </c>
      <c r="T267" s="19">
        <f ca="1">IF(RAND()&lt;P_Zero,0,IF(RAND()&lt;CondReturn,_xlfn.LOGNORM.INV(RAND(),MV2,Sigma1),IF(RAND()&lt;CondGood,_xlfn.LOGNORM.INV(RAND(),MV3,Sigma2),MIN(MaxMultiple,Xm/(1-RAND())^(1/Alpha)))))</f>
        <v>11.428022800496116</v>
      </c>
      <c r="U267" s="19">
        <f ca="1">IF(RAND()&lt;P_Zero,0,IF(RAND()&lt;CondReturn,_xlfn.LOGNORM.INV(RAND(),MV2,Sigma1),IF(RAND()&lt;CondGood,_xlfn.LOGNORM.INV(RAND(),MV3,Sigma2),MIN(MaxMultiple,Xm/(1-RAND())^(1/Alpha)))))</f>
        <v>0.55844907029649393</v>
      </c>
      <c r="V267" s="19">
        <f ca="1">IF(RAND()&lt;P_Zero,0,IF(RAND()&lt;CondReturn,_xlfn.LOGNORM.INV(RAND(),MV2,Sigma1),IF(RAND()&lt;CondGood,_xlfn.LOGNORM.INV(RAND(),MV3,Sigma2),MIN(MaxMultiple,Xm/(1-RAND())^(1/Alpha)))))</f>
        <v>1.0632084536605739</v>
      </c>
      <c r="W267" s="19">
        <f ca="1">IF(RAND()&lt;P_Zero,0,IF(RAND()&lt;CondReturn,_xlfn.LOGNORM.INV(RAND(),MV2,Sigma1),IF(RAND()&lt;CondGood,_xlfn.LOGNORM.INV(RAND(),MV3,Sigma2),MIN(MaxMultiple,Xm/(1-RAND())^(1/Alpha)))))</f>
        <v>0</v>
      </c>
      <c r="X267" s="19">
        <f ca="1">IF(RAND()&lt;P_Zero,0,IF(RAND()&lt;CondReturn,_xlfn.LOGNORM.INV(RAND(),MV2,Sigma1),IF(RAND()&lt;CondGood,_xlfn.LOGNORM.INV(RAND(),MV3,Sigma2),MIN(MaxMultiple,Xm/(1-RAND())^(1/Alpha)))))</f>
        <v>1.0781540908247373</v>
      </c>
      <c r="Y267" s="19">
        <f ca="1">IF(RAND()&lt;P_Zero,0,IF(RAND()&lt;CondReturn,_xlfn.LOGNORM.INV(RAND(),MV2,Sigma1),IF(RAND()&lt;CondGood,_xlfn.LOGNORM.INV(RAND(),MV3,Sigma2),MIN(MaxMultiple,Xm/(1-RAND())^(1/Alpha)))))</f>
        <v>0.57918111725841126</v>
      </c>
      <c r="Z267" s="19">
        <f ca="1">IF(RAND()&lt;P_Zero,0,IF(RAND()&lt;CondReturn,_xlfn.LOGNORM.INV(RAND(),MV2,Sigma1),IF(RAND()&lt;CondGood,_xlfn.LOGNORM.INV(RAND(),MV3,Sigma2),MIN(MaxMultiple,Xm/(1-RAND())^(1/Alpha)))))</f>
        <v>0</v>
      </c>
      <c r="AA267" s="19">
        <f ca="1">IF(RAND()&lt;P_Zero,0,IF(RAND()&lt;CondReturn,_xlfn.LOGNORM.INV(RAND(),MV2,Sigma1),IF(RAND()&lt;CondGood,_xlfn.LOGNORM.INV(RAND(),MV3,Sigma2),MIN(MaxMultiple,Xm/(1-RAND())^(1/Alpha)))))</f>
        <v>0</v>
      </c>
      <c r="AB267" s="19">
        <f t="shared" ca="1" si="32"/>
        <v>5.3089677294543902</v>
      </c>
      <c r="AC267" s="14">
        <f t="shared" ca="1" si="33"/>
        <v>254830451.01381072</v>
      </c>
      <c r="AD267" s="14">
        <f t="shared" ca="1" si="34"/>
        <v>206830451.01381072</v>
      </c>
      <c r="AE267" s="14">
        <f t="shared" si="35"/>
        <v>55628399.869093813</v>
      </c>
      <c r="AF267" s="14">
        <f t="shared" ca="1" si="36"/>
        <v>151202051.14471692</v>
      </c>
      <c r="AG267" s="14">
        <f t="shared" ca="1" si="37"/>
        <v>30240410.228943385</v>
      </c>
      <c r="AH267" s="14">
        <f t="shared" ca="1" si="38"/>
        <v>224590040.78486735</v>
      </c>
      <c r="AI267" s="19">
        <f t="shared" ca="1" si="39"/>
        <v>3.7431673464144559</v>
      </c>
    </row>
    <row r="268" spans="2:35" x14ac:dyDescent="0.2">
      <c r="B268" s="1">
        <v>263</v>
      </c>
      <c r="C268" s="19">
        <f ca="1">IF(RAND()&lt;P_Zero,0,IF(RAND()&lt;CondReturn,_xlfn.LOGNORM.INV(RAND(),MV2,Sigma1),IF(RAND()&lt;CondGood,_xlfn.LOGNORM.INV(RAND(),MV3,Sigma2),MIN(MaxMultiple,Xm/(1-RAND())^(1/Alpha)))))</f>
        <v>0</v>
      </c>
      <c r="D268" s="19">
        <f ca="1">IF(RAND()&lt;P_Zero,0,IF(RAND()&lt;CondReturn,_xlfn.LOGNORM.INV(RAND(),MV2,Sigma1),IF(RAND()&lt;CondGood,_xlfn.LOGNORM.INV(RAND(),MV3,Sigma2),MIN(MaxMultiple,Xm/(1-RAND())^(1/Alpha)))))</f>
        <v>0.67553809320037339</v>
      </c>
      <c r="E268" s="19">
        <f ca="1">IF(RAND()&lt;P_Zero,0,IF(RAND()&lt;CondReturn,_xlfn.LOGNORM.INV(RAND(),MV2,Sigma1),IF(RAND()&lt;CondGood,_xlfn.LOGNORM.INV(RAND(),MV3,Sigma2),MIN(MaxMultiple,Xm/(1-RAND())^(1/Alpha)))))</f>
        <v>0</v>
      </c>
      <c r="F268" s="19">
        <f ca="1">IF(RAND()&lt;P_Zero,0,IF(RAND()&lt;CondReturn,_xlfn.LOGNORM.INV(RAND(),MV2,Sigma1),IF(RAND()&lt;CondGood,_xlfn.LOGNORM.INV(RAND(),MV3,Sigma2),MIN(MaxMultiple,Xm/(1-RAND())^(1/Alpha)))))</f>
        <v>0</v>
      </c>
      <c r="G268" s="19">
        <f ca="1">IF(RAND()&lt;P_Zero,0,IF(RAND()&lt;CondReturn,_xlfn.LOGNORM.INV(RAND(),MV2,Sigma1),IF(RAND()&lt;CondGood,_xlfn.LOGNORM.INV(RAND(),MV3,Sigma2),MIN(MaxMultiple,Xm/(1-RAND())^(1/Alpha)))))</f>
        <v>26.649342520577161</v>
      </c>
      <c r="H268" s="19">
        <f ca="1">IF(RAND()&lt;P_Zero,0,IF(RAND()&lt;CondReturn,_xlfn.LOGNORM.INV(RAND(),MV2,Sigma1),IF(RAND()&lt;CondGood,_xlfn.LOGNORM.INV(RAND(),MV3,Sigma2),MIN(MaxMultiple,Xm/(1-RAND())^(1/Alpha)))))</f>
        <v>0</v>
      </c>
      <c r="I268" s="19">
        <f ca="1">IF(RAND()&lt;P_Zero,0,IF(RAND()&lt;CondReturn,_xlfn.LOGNORM.INV(RAND(),MV2,Sigma1),IF(RAND()&lt;CondGood,_xlfn.LOGNORM.INV(RAND(),MV3,Sigma2),MIN(MaxMultiple,Xm/(1-RAND())^(1/Alpha)))))</f>
        <v>1.355644862137438</v>
      </c>
      <c r="J268" s="19">
        <f ca="1">IF(RAND()&lt;P_Zero,0,IF(RAND()&lt;CondReturn,_xlfn.LOGNORM.INV(RAND(),MV2,Sigma1),IF(RAND()&lt;CondGood,_xlfn.LOGNORM.INV(RAND(),MV3,Sigma2),MIN(MaxMultiple,Xm/(1-RAND())^(1/Alpha)))))</f>
        <v>0.64716113350034765</v>
      </c>
      <c r="K268" s="19">
        <f ca="1">IF(RAND()&lt;P_Zero,0,IF(RAND()&lt;CondReturn,_xlfn.LOGNORM.INV(RAND(),MV2,Sigma1),IF(RAND()&lt;CondGood,_xlfn.LOGNORM.INV(RAND(),MV3,Sigma2),MIN(MaxMultiple,Xm/(1-RAND())^(1/Alpha)))))</f>
        <v>0.54796727665280232</v>
      </c>
      <c r="L268" s="19">
        <f ca="1">IF(RAND()&lt;P_Zero,0,IF(RAND()&lt;CondReturn,_xlfn.LOGNORM.INV(RAND(),MV2,Sigma1),IF(RAND()&lt;CondGood,_xlfn.LOGNORM.INV(RAND(),MV3,Sigma2),MIN(MaxMultiple,Xm/(1-RAND())^(1/Alpha)))))</f>
        <v>1.9406619909343312</v>
      </c>
      <c r="M268" s="19">
        <f ca="1">IF(RAND()&lt;P_Zero,0,IF(RAND()&lt;CondReturn,_xlfn.LOGNORM.INV(RAND(),MV2,Sigma1),IF(RAND()&lt;CondGood,_xlfn.LOGNORM.INV(RAND(),MV3,Sigma2),MIN(MaxMultiple,Xm/(1-RAND())^(1/Alpha)))))</f>
        <v>0.90293182391800908</v>
      </c>
      <c r="N268" s="19">
        <f ca="1">IF(RAND()&lt;P_Zero,0,IF(RAND()&lt;CondReturn,_xlfn.LOGNORM.INV(RAND(),MV2,Sigma1),IF(RAND()&lt;CondGood,_xlfn.LOGNORM.INV(RAND(),MV3,Sigma2),MIN(MaxMultiple,Xm/(1-RAND())^(1/Alpha)))))</f>
        <v>1.536056783691528</v>
      </c>
      <c r="O268" s="19">
        <f ca="1">IF(RAND()&lt;P_Zero,0,IF(RAND()&lt;CondReturn,_xlfn.LOGNORM.INV(RAND(),MV2,Sigma1),IF(RAND()&lt;CondGood,_xlfn.LOGNORM.INV(RAND(),MV3,Sigma2),MIN(MaxMultiple,Xm/(1-RAND())^(1/Alpha)))))</f>
        <v>0</v>
      </c>
      <c r="P268" s="19">
        <f ca="1">IF(RAND()&lt;P_Zero,0,IF(RAND()&lt;CondReturn,_xlfn.LOGNORM.INV(RAND(),MV2,Sigma1),IF(RAND()&lt;CondGood,_xlfn.LOGNORM.INV(RAND(),MV3,Sigma2),MIN(MaxMultiple,Xm/(1-RAND())^(1/Alpha)))))</f>
        <v>0</v>
      </c>
      <c r="Q268" s="19">
        <f ca="1">IF(RAND()&lt;P_Zero,0,IF(RAND()&lt;CondReturn,_xlfn.LOGNORM.INV(RAND(),MV2,Sigma1),IF(RAND()&lt;CondGood,_xlfn.LOGNORM.INV(RAND(),MV3,Sigma2),MIN(MaxMultiple,Xm/(1-RAND())^(1/Alpha)))))</f>
        <v>0.91603127818270103</v>
      </c>
      <c r="R268" s="19">
        <f ca="1">IF(RAND()&lt;P_Zero,0,IF(RAND()&lt;CondReturn,_xlfn.LOGNORM.INV(RAND(),MV2,Sigma1),IF(RAND()&lt;CondGood,_xlfn.LOGNORM.INV(RAND(),MV3,Sigma2),MIN(MaxMultiple,Xm/(1-RAND())^(1/Alpha)))))</f>
        <v>0.36438082288504364</v>
      </c>
      <c r="S268" s="19">
        <f ca="1">IF(RAND()&lt;P_Zero,0,IF(RAND()&lt;CondReturn,_xlfn.LOGNORM.INV(RAND(),MV2,Sigma1),IF(RAND()&lt;CondGood,_xlfn.LOGNORM.INV(RAND(),MV3,Sigma2),MIN(MaxMultiple,Xm/(1-RAND())^(1/Alpha)))))</f>
        <v>1.2187291289415629</v>
      </c>
      <c r="T268" s="19">
        <f ca="1">IF(RAND()&lt;P_Zero,0,IF(RAND()&lt;CondReturn,_xlfn.LOGNORM.INV(RAND(),MV2,Sigma1),IF(RAND()&lt;CondGood,_xlfn.LOGNORM.INV(RAND(),MV3,Sigma2),MIN(MaxMultiple,Xm/(1-RAND())^(1/Alpha)))))</f>
        <v>0</v>
      </c>
      <c r="U268" s="19">
        <f ca="1">IF(RAND()&lt;P_Zero,0,IF(RAND()&lt;CondReturn,_xlfn.LOGNORM.INV(RAND(),MV2,Sigma1),IF(RAND()&lt;CondGood,_xlfn.LOGNORM.INV(RAND(),MV3,Sigma2),MIN(MaxMultiple,Xm/(1-RAND())^(1/Alpha)))))</f>
        <v>0</v>
      </c>
      <c r="V268" s="19">
        <f ca="1">IF(RAND()&lt;P_Zero,0,IF(RAND()&lt;CondReturn,_xlfn.LOGNORM.INV(RAND(),MV2,Sigma1),IF(RAND()&lt;CondGood,_xlfn.LOGNORM.INV(RAND(),MV3,Sigma2),MIN(MaxMultiple,Xm/(1-RAND())^(1/Alpha)))))</f>
        <v>0</v>
      </c>
      <c r="W268" s="19">
        <f ca="1">IF(RAND()&lt;P_Zero,0,IF(RAND()&lt;CondReturn,_xlfn.LOGNORM.INV(RAND(),MV2,Sigma1),IF(RAND()&lt;CondGood,_xlfn.LOGNORM.INV(RAND(),MV3,Sigma2),MIN(MaxMultiple,Xm/(1-RAND())^(1/Alpha)))))</f>
        <v>11.384207448281749</v>
      </c>
      <c r="X268" s="19">
        <f ca="1">IF(RAND()&lt;P_Zero,0,IF(RAND()&lt;CondReturn,_xlfn.LOGNORM.INV(RAND(),MV2,Sigma1),IF(RAND()&lt;CondGood,_xlfn.LOGNORM.INV(RAND(),MV3,Sigma2),MIN(MaxMultiple,Xm/(1-RAND())^(1/Alpha)))))</f>
        <v>0.92847273518446916</v>
      </c>
      <c r="Y268" s="19">
        <f ca="1">IF(RAND()&lt;P_Zero,0,IF(RAND()&lt;CondReturn,_xlfn.LOGNORM.INV(RAND(),MV2,Sigma1),IF(RAND()&lt;CondGood,_xlfn.LOGNORM.INV(RAND(),MV3,Sigma2),MIN(MaxMultiple,Xm/(1-RAND())^(1/Alpha)))))</f>
        <v>0</v>
      </c>
      <c r="Z268" s="19">
        <f ca="1">IF(RAND()&lt;P_Zero,0,IF(RAND()&lt;CondReturn,_xlfn.LOGNORM.INV(RAND(),MV2,Sigma1),IF(RAND()&lt;CondGood,_xlfn.LOGNORM.INV(RAND(),MV3,Sigma2),MIN(MaxMultiple,Xm/(1-RAND())^(1/Alpha)))))</f>
        <v>0.86959849981547621</v>
      </c>
      <c r="AA268" s="19">
        <f ca="1">IF(RAND()&lt;P_Zero,0,IF(RAND()&lt;CondReturn,_xlfn.LOGNORM.INV(RAND(),MV2,Sigma1),IF(RAND()&lt;CondGood,_xlfn.LOGNORM.INV(RAND(),MV3,Sigma2),MIN(MaxMultiple,Xm/(1-RAND())^(1/Alpha)))))</f>
        <v>0.77227386956444233</v>
      </c>
      <c r="AB268" s="19">
        <f t="shared" ca="1" si="32"/>
        <v>2.0283599306986972</v>
      </c>
      <c r="AC268" s="14">
        <f t="shared" ca="1" si="33"/>
        <v>97361276.673537463</v>
      </c>
      <c r="AD268" s="14">
        <f t="shared" ca="1" si="34"/>
        <v>49361276.673537463</v>
      </c>
      <c r="AE268" s="14">
        <f t="shared" si="35"/>
        <v>55628399.869093813</v>
      </c>
      <c r="AF268" s="14">
        <f t="shared" ca="1" si="36"/>
        <v>0</v>
      </c>
      <c r="AG268" s="14">
        <f t="shared" ca="1" si="37"/>
        <v>0</v>
      </c>
      <c r="AH268" s="14">
        <f t="shared" ca="1" si="38"/>
        <v>97361276.673537463</v>
      </c>
      <c r="AI268" s="19">
        <f t="shared" ca="1" si="39"/>
        <v>1.6226879445589577</v>
      </c>
    </row>
    <row r="269" spans="2:35" x14ac:dyDescent="0.2">
      <c r="B269" s="1">
        <v>264</v>
      </c>
      <c r="C269" s="19">
        <f ca="1">IF(RAND()&lt;P_Zero,0,IF(RAND()&lt;CondReturn,_xlfn.LOGNORM.INV(RAND(),MV2,Sigma1),IF(RAND()&lt;CondGood,_xlfn.LOGNORM.INV(RAND(),MV3,Sigma2),MIN(MaxMultiple,Xm/(1-RAND())^(1/Alpha)))))</f>
        <v>1.1457272477696139</v>
      </c>
      <c r="D269" s="19">
        <f ca="1">IF(RAND()&lt;P_Zero,0,IF(RAND()&lt;CondReturn,_xlfn.LOGNORM.INV(RAND(),MV2,Sigma1),IF(RAND()&lt;CondGood,_xlfn.LOGNORM.INV(RAND(),MV3,Sigma2),MIN(MaxMultiple,Xm/(1-RAND())^(1/Alpha)))))</f>
        <v>1.2266176896687828</v>
      </c>
      <c r="E269" s="19">
        <f ca="1">IF(RAND()&lt;P_Zero,0,IF(RAND()&lt;CondReturn,_xlfn.LOGNORM.INV(RAND(),MV2,Sigma1),IF(RAND()&lt;CondGood,_xlfn.LOGNORM.INV(RAND(),MV3,Sigma2),MIN(MaxMultiple,Xm/(1-RAND())^(1/Alpha)))))</f>
        <v>0.98987364719354742</v>
      </c>
      <c r="F269" s="19">
        <f ca="1">IF(RAND()&lt;P_Zero,0,IF(RAND()&lt;CondReturn,_xlfn.LOGNORM.INV(RAND(),MV2,Sigma1),IF(RAND()&lt;CondGood,_xlfn.LOGNORM.INV(RAND(),MV3,Sigma2),MIN(MaxMultiple,Xm/(1-RAND())^(1/Alpha)))))</f>
        <v>3.0483189260170458</v>
      </c>
      <c r="G269" s="19">
        <f ca="1">IF(RAND()&lt;P_Zero,0,IF(RAND()&lt;CondReturn,_xlfn.LOGNORM.INV(RAND(),MV2,Sigma1),IF(RAND()&lt;CondGood,_xlfn.LOGNORM.INV(RAND(),MV3,Sigma2),MIN(MaxMultiple,Xm/(1-RAND())^(1/Alpha)))))</f>
        <v>0</v>
      </c>
      <c r="H269" s="19">
        <f ca="1">IF(RAND()&lt;P_Zero,0,IF(RAND()&lt;CondReturn,_xlfn.LOGNORM.INV(RAND(),MV2,Sigma1),IF(RAND()&lt;CondGood,_xlfn.LOGNORM.INV(RAND(),MV3,Sigma2),MIN(MaxMultiple,Xm/(1-RAND())^(1/Alpha)))))</f>
        <v>1.9640257568299639</v>
      </c>
      <c r="I269" s="19">
        <f ca="1">IF(RAND()&lt;P_Zero,0,IF(RAND()&lt;CondReturn,_xlfn.LOGNORM.INV(RAND(),MV2,Sigma1),IF(RAND()&lt;CondGood,_xlfn.LOGNORM.INV(RAND(),MV3,Sigma2),MIN(MaxMultiple,Xm/(1-RAND())^(1/Alpha)))))</f>
        <v>0.94288275435112201</v>
      </c>
      <c r="J269" s="19">
        <f ca="1">IF(RAND()&lt;P_Zero,0,IF(RAND()&lt;CondReturn,_xlfn.LOGNORM.INV(RAND(),MV2,Sigma1),IF(RAND()&lt;CondGood,_xlfn.LOGNORM.INV(RAND(),MV3,Sigma2),MIN(MaxMultiple,Xm/(1-RAND())^(1/Alpha)))))</f>
        <v>0</v>
      </c>
      <c r="K269" s="19">
        <f ca="1">IF(RAND()&lt;P_Zero,0,IF(RAND()&lt;CondReturn,_xlfn.LOGNORM.INV(RAND(),MV2,Sigma1),IF(RAND()&lt;CondGood,_xlfn.LOGNORM.INV(RAND(),MV3,Sigma2),MIN(MaxMultiple,Xm/(1-RAND())^(1/Alpha)))))</f>
        <v>2.2461587989469636</v>
      </c>
      <c r="L269" s="19">
        <f ca="1">IF(RAND()&lt;P_Zero,0,IF(RAND()&lt;CondReturn,_xlfn.LOGNORM.INV(RAND(),MV2,Sigma1),IF(RAND()&lt;CondGood,_xlfn.LOGNORM.INV(RAND(),MV3,Sigma2),MIN(MaxMultiple,Xm/(1-RAND())^(1/Alpha)))))</f>
        <v>0.93344782110737112</v>
      </c>
      <c r="M269" s="19">
        <f ca="1">IF(RAND()&lt;P_Zero,0,IF(RAND()&lt;CondReturn,_xlfn.LOGNORM.INV(RAND(),MV2,Sigma1),IF(RAND()&lt;CondGood,_xlfn.LOGNORM.INV(RAND(),MV3,Sigma2),MIN(MaxMultiple,Xm/(1-RAND())^(1/Alpha)))))</f>
        <v>0.84803336448142574</v>
      </c>
      <c r="N269" s="19">
        <f ca="1">IF(RAND()&lt;P_Zero,0,IF(RAND()&lt;CondReturn,_xlfn.LOGNORM.INV(RAND(),MV2,Sigma1),IF(RAND()&lt;CondGood,_xlfn.LOGNORM.INV(RAND(),MV3,Sigma2),MIN(MaxMultiple,Xm/(1-RAND())^(1/Alpha)))))</f>
        <v>1.4712836534077642</v>
      </c>
      <c r="O269" s="19">
        <f ca="1">IF(RAND()&lt;P_Zero,0,IF(RAND()&lt;CondReturn,_xlfn.LOGNORM.INV(RAND(),MV2,Sigma1),IF(RAND()&lt;CondGood,_xlfn.LOGNORM.INV(RAND(),MV3,Sigma2),MIN(MaxMultiple,Xm/(1-RAND())^(1/Alpha)))))</f>
        <v>1.4788538176918573</v>
      </c>
      <c r="P269" s="19">
        <f ca="1">IF(RAND()&lt;P_Zero,0,IF(RAND()&lt;CondReturn,_xlfn.LOGNORM.INV(RAND(),MV2,Sigma1),IF(RAND()&lt;CondGood,_xlfn.LOGNORM.INV(RAND(),MV3,Sigma2),MIN(MaxMultiple,Xm/(1-RAND())^(1/Alpha)))))</f>
        <v>1.6368439413248881</v>
      </c>
      <c r="Q269" s="19">
        <f ca="1">IF(RAND()&lt;P_Zero,0,IF(RAND()&lt;CondReturn,_xlfn.LOGNORM.INV(RAND(),MV2,Sigma1),IF(RAND()&lt;CondGood,_xlfn.LOGNORM.INV(RAND(),MV3,Sigma2),MIN(MaxMultiple,Xm/(1-RAND())^(1/Alpha)))))</f>
        <v>0</v>
      </c>
      <c r="R269" s="19">
        <f ca="1">IF(RAND()&lt;P_Zero,0,IF(RAND()&lt;CondReturn,_xlfn.LOGNORM.INV(RAND(),MV2,Sigma1),IF(RAND()&lt;CondGood,_xlfn.LOGNORM.INV(RAND(),MV3,Sigma2),MIN(MaxMultiple,Xm/(1-RAND())^(1/Alpha)))))</f>
        <v>1.0931210072729858</v>
      </c>
      <c r="S269" s="19">
        <f ca="1">IF(RAND()&lt;P_Zero,0,IF(RAND()&lt;CondReturn,_xlfn.LOGNORM.INV(RAND(),MV2,Sigma1),IF(RAND()&lt;CondGood,_xlfn.LOGNORM.INV(RAND(),MV3,Sigma2),MIN(MaxMultiple,Xm/(1-RAND())^(1/Alpha)))))</f>
        <v>0</v>
      </c>
      <c r="T269" s="19">
        <f ca="1">IF(RAND()&lt;P_Zero,0,IF(RAND()&lt;CondReturn,_xlfn.LOGNORM.INV(RAND(),MV2,Sigma1),IF(RAND()&lt;CondGood,_xlfn.LOGNORM.INV(RAND(),MV3,Sigma2),MIN(MaxMultiple,Xm/(1-RAND())^(1/Alpha)))))</f>
        <v>0</v>
      </c>
      <c r="U269" s="19">
        <f ca="1">IF(RAND()&lt;P_Zero,0,IF(RAND()&lt;CondReturn,_xlfn.LOGNORM.INV(RAND(),MV2,Sigma1),IF(RAND()&lt;CondGood,_xlfn.LOGNORM.INV(RAND(),MV3,Sigma2),MIN(MaxMultiple,Xm/(1-RAND())^(1/Alpha)))))</f>
        <v>2.4669166880387481</v>
      </c>
      <c r="V269" s="19">
        <f ca="1">IF(RAND()&lt;P_Zero,0,IF(RAND()&lt;CondReturn,_xlfn.LOGNORM.INV(RAND(),MV2,Sigma1),IF(RAND()&lt;CondGood,_xlfn.LOGNORM.INV(RAND(),MV3,Sigma2),MIN(MaxMultiple,Xm/(1-RAND())^(1/Alpha)))))</f>
        <v>1.1028207430392181</v>
      </c>
      <c r="W269" s="19">
        <f ca="1">IF(RAND()&lt;P_Zero,0,IF(RAND()&lt;CondReturn,_xlfn.LOGNORM.INV(RAND(),MV2,Sigma1),IF(RAND()&lt;CondGood,_xlfn.LOGNORM.INV(RAND(),MV3,Sigma2),MIN(MaxMultiple,Xm/(1-RAND())^(1/Alpha)))))</f>
        <v>0.69787624415966487</v>
      </c>
      <c r="X269" s="19">
        <f ca="1">IF(RAND()&lt;P_Zero,0,IF(RAND()&lt;CondReturn,_xlfn.LOGNORM.INV(RAND(),MV2,Sigma1),IF(RAND()&lt;CondGood,_xlfn.LOGNORM.INV(RAND(),MV3,Sigma2),MIN(MaxMultiple,Xm/(1-RAND())^(1/Alpha)))))</f>
        <v>0.28934183908839356</v>
      </c>
      <c r="Y269" s="19">
        <f ca="1">IF(RAND()&lt;P_Zero,0,IF(RAND()&lt;CondReturn,_xlfn.LOGNORM.INV(RAND(),MV2,Sigma1),IF(RAND()&lt;CondGood,_xlfn.LOGNORM.INV(RAND(),MV3,Sigma2),MIN(MaxMultiple,Xm/(1-RAND())^(1/Alpha)))))</f>
        <v>0.83790363766677223</v>
      </c>
      <c r="Z269" s="19">
        <f ca="1">IF(RAND()&lt;P_Zero,0,IF(RAND()&lt;CondReturn,_xlfn.LOGNORM.INV(RAND(),MV2,Sigma1),IF(RAND()&lt;CondGood,_xlfn.LOGNORM.INV(RAND(),MV3,Sigma2),MIN(MaxMultiple,Xm/(1-RAND())^(1/Alpha)))))</f>
        <v>1.476418604669107</v>
      </c>
      <c r="AA269" s="19">
        <f ca="1">IF(RAND()&lt;P_Zero,0,IF(RAND()&lt;CondReturn,_xlfn.LOGNORM.INV(RAND(),MV2,Sigma1),IF(RAND()&lt;CondGood,_xlfn.LOGNORM.INV(RAND(),MV3,Sigma2),MIN(MaxMultiple,Xm/(1-RAND())^(1/Alpha)))))</f>
        <v>0.62679376327591496</v>
      </c>
      <c r="AB269" s="19">
        <f t="shared" ca="1" si="32"/>
        <v>1.0609303978400459</v>
      </c>
      <c r="AC269" s="14">
        <f t="shared" ca="1" si="33"/>
        <v>50924659.096322209</v>
      </c>
      <c r="AD269" s="14">
        <f t="shared" ca="1" si="34"/>
        <v>2924659.0963222086</v>
      </c>
      <c r="AE269" s="14">
        <f t="shared" si="35"/>
        <v>55628399.869093813</v>
      </c>
      <c r="AF269" s="14">
        <f t="shared" ca="1" si="36"/>
        <v>0</v>
      </c>
      <c r="AG269" s="14">
        <f t="shared" ca="1" si="37"/>
        <v>0</v>
      </c>
      <c r="AH269" s="14">
        <f t="shared" ca="1" si="38"/>
        <v>50924659.096322209</v>
      </c>
      <c r="AI269" s="19">
        <f t="shared" ca="1" si="39"/>
        <v>0.84874431827203678</v>
      </c>
    </row>
    <row r="270" spans="2:35" x14ac:dyDescent="0.2">
      <c r="B270" s="1">
        <v>265</v>
      </c>
      <c r="C270" s="19">
        <f ca="1">IF(RAND()&lt;P_Zero,0,IF(RAND()&lt;CondReturn,_xlfn.LOGNORM.INV(RAND(),MV2,Sigma1),IF(RAND()&lt;CondGood,_xlfn.LOGNORM.INV(RAND(),MV3,Sigma2),MIN(MaxMultiple,Xm/(1-RAND())^(1/Alpha)))))</f>
        <v>1.589076912839581</v>
      </c>
      <c r="D270" s="19">
        <f ca="1">IF(RAND()&lt;P_Zero,0,IF(RAND()&lt;CondReturn,_xlfn.LOGNORM.INV(RAND(),MV2,Sigma1),IF(RAND()&lt;CondGood,_xlfn.LOGNORM.INV(RAND(),MV3,Sigma2),MIN(MaxMultiple,Xm/(1-RAND())^(1/Alpha)))))</f>
        <v>1.6182816712433117</v>
      </c>
      <c r="E270" s="19">
        <f ca="1">IF(RAND()&lt;P_Zero,0,IF(RAND()&lt;CondReturn,_xlfn.LOGNORM.INV(RAND(),MV2,Sigma1),IF(RAND()&lt;CondGood,_xlfn.LOGNORM.INV(RAND(),MV3,Sigma2),MIN(MaxMultiple,Xm/(1-RAND())^(1/Alpha)))))</f>
        <v>0.52492531225582484</v>
      </c>
      <c r="F270" s="19">
        <f ca="1">IF(RAND()&lt;P_Zero,0,IF(RAND()&lt;CondReturn,_xlfn.LOGNORM.INV(RAND(),MV2,Sigma1),IF(RAND()&lt;CondGood,_xlfn.LOGNORM.INV(RAND(),MV3,Sigma2),MIN(MaxMultiple,Xm/(1-RAND())^(1/Alpha)))))</f>
        <v>66.911394911023791</v>
      </c>
      <c r="G270" s="19">
        <f ca="1">IF(RAND()&lt;P_Zero,0,IF(RAND()&lt;CondReturn,_xlfn.LOGNORM.INV(RAND(),MV2,Sigma1),IF(RAND()&lt;CondGood,_xlfn.LOGNORM.INV(RAND(),MV3,Sigma2),MIN(MaxMultiple,Xm/(1-RAND())^(1/Alpha)))))</f>
        <v>0.36353913398989468</v>
      </c>
      <c r="H270" s="19">
        <f ca="1">IF(RAND()&lt;P_Zero,0,IF(RAND()&lt;CondReturn,_xlfn.LOGNORM.INV(RAND(),MV2,Sigma1),IF(RAND()&lt;CondGood,_xlfn.LOGNORM.INV(RAND(),MV3,Sigma2),MIN(MaxMultiple,Xm/(1-RAND())^(1/Alpha)))))</f>
        <v>0</v>
      </c>
      <c r="I270" s="19">
        <f ca="1">IF(RAND()&lt;P_Zero,0,IF(RAND()&lt;CondReturn,_xlfn.LOGNORM.INV(RAND(),MV2,Sigma1),IF(RAND()&lt;CondGood,_xlfn.LOGNORM.INV(RAND(),MV3,Sigma2),MIN(MaxMultiple,Xm/(1-RAND())^(1/Alpha)))))</f>
        <v>1.127212151024964</v>
      </c>
      <c r="J270" s="19">
        <f ca="1">IF(RAND()&lt;P_Zero,0,IF(RAND()&lt;CondReturn,_xlfn.LOGNORM.INV(RAND(),MV2,Sigma1),IF(RAND()&lt;CondGood,_xlfn.LOGNORM.INV(RAND(),MV3,Sigma2),MIN(MaxMultiple,Xm/(1-RAND())^(1/Alpha)))))</f>
        <v>0</v>
      </c>
      <c r="K270" s="19">
        <f ca="1">IF(RAND()&lt;P_Zero,0,IF(RAND()&lt;CondReturn,_xlfn.LOGNORM.INV(RAND(),MV2,Sigma1),IF(RAND()&lt;CondGood,_xlfn.LOGNORM.INV(RAND(),MV3,Sigma2),MIN(MaxMultiple,Xm/(1-RAND())^(1/Alpha)))))</f>
        <v>0</v>
      </c>
      <c r="L270" s="19">
        <f ca="1">IF(RAND()&lt;P_Zero,0,IF(RAND()&lt;CondReturn,_xlfn.LOGNORM.INV(RAND(),MV2,Sigma1),IF(RAND()&lt;CondGood,_xlfn.LOGNORM.INV(RAND(),MV3,Sigma2),MIN(MaxMultiple,Xm/(1-RAND())^(1/Alpha)))))</f>
        <v>0</v>
      </c>
      <c r="M270" s="19">
        <f ca="1">IF(RAND()&lt;P_Zero,0,IF(RAND()&lt;CondReturn,_xlfn.LOGNORM.INV(RAND(),MV2,Sigma1),IF(RAND()&lt;CondGood,_xlfn.LOGNORM.INV(RAND(),MV3,Sigma2),MIN(MaxMultiple,Xm/(1-RAND())^(1/Alpha)))))</f>
        <v>0</v>
      </c>
      <c r="N270" s="19">
        <f ca="1">IF(RAND()&lt;P_Zero,0,IF(RAND()&lt;CondReturn,_xlfn.LOGNORM.INV(RAND(),MV2,Sigma1),IF(RAND()&lt;CondGood,_xlfn.LOGNORM.INV(RAND(),MV3,Sigma2),MIN(MaxMultiple,Xm/(1-RAND())^(1/Alpha)))))</f>
        <v>0.87633484109468884</v>
      </c>
      <c r="O270" s="19">
        <f ca="1">IF(RAND()&lt;P_Zero,0,IF(RAND()&lt;CondReturn,_xlfn.LOGNORM.INV(RAND(),MV2,Sigma1),IF(RAND()&lt;CondGood,_xlfn.LOGNORM.INV(RAND(),MV3,Sigma2),MIN(MaxMultiple,Xm/(1-RAND())^(1/Alpha)))))</f>
        <v>0</v>
      </c>
      <c r="P270" s="19">
        <f ca="1">IF(RAND()&lt;P_Zero,0,IF(RAND()&lt;CondReturn,_xlfn.LOGNORM.INV(RAND(),MV2,Sigma1),IF(RAND()&lt;CondGood,_xlfn.LOGNORM.INV(RAND(),MV3,Sigma2),MIN(MaxMultiple,Xm/(1-RAND())^(1/Alpha)))))</f>
        <v>1.1987700636885714</v>
      </c>
      <c r="Q270" s="19">
        <f ca="1">IF(RAND()&lt;P_Zero,0,IF(RAND()&lt;CondReturn,_xlfn.LOGNORM.INV(RAND(),MV2,Sigma1),IF(RAND()&lt;CondGood,_xlfn.LOGNORM.INV(RAND(),MV3,Sigma2),MIN(MaxMultiple,Xm/(1-RAND())^(1/Alpha)))))</f>
        <v>2.3831855590196351</v>
      </c>
      <c r="R270" s="19">
        <f ca="1">IF(RAND()&lt;P_Zero,0,IF(RAND()&lt;CondReturn,_xlfn.LOGNORM.INV(RAND(),MV2,Sigma1),IF(RAND()&lt;CondGood,_xlfn.LOGNORM.INV(RAND(),MV3,Sigma2),MIN(MaxMultiple,Xm/(1-RAND())^(1/Alpha)))))</f>
        <v>0.60971629766446112</v>
      </c>
      <c r="S270" s="19">
        <f ca="1">IF(RAND()&lt;P_Zero,0,IF(RAND()&lt;CondReturn,_xlfn.LOGNORM.INV(RAND(),MV2,Sigma1),IF(RAND()&lt;CondGood,_xlfn.LOGNORM.INV(RAND(),MV3,Sigma2),MIN(MaxMultiple,Xm/(1-RAND())^(1/Alpha)))))</f>
        <v>1.9197256692547193</v>
      </c>
      <c r="T270" s="19">
        <f ca="1">IF(RAND()&lt;P_Zero,0,IF(RAND()&lt;CondReturn,_xlfn.LOGNORM.INV(RAND(),MV2,Sigma1),IF(RAND()&lt;CondGood,_xlfn.LOGNORM.INV(RAND(),MV3,Sigma2),MIN(MaxMultiple,Xm/(1-RAND())^(1/Alpha)))))</f>
        <v>0</v>
      </c>
      <c r="U270" s="19">
        <f ca="1">IF(RAND()&lt;P_Zero,0,IF(RAND()&lt;CondReturn,_xlfn.LOGNORM.INV(RAND(),MV2,Sigma1),IF(RAND()&lt;CondGood,_xlfn.LOGNORM.INV(RAND(),MV3,Sigma2),MIN(MaxMultiple,Xm/(1-RAND())^(1/Alpha)))))</f>
        <v>0.8328253902559114</v>
      </c>
      <c r="V270" s="19">
        <f ca="1">IF(RAND()&lt;P_Zero,0,IF(RAND()&lt;CondReturn,_xlfn.LOGNORM.INV(RAND(),MV2,Sigma1),IF(RAND()&lt;CondGood,_xlfn.LOGNORM.INV(RAND(),MV3,Sigma2),MIN(MaxMultiple,Xm/(1-RAND())^(1/Alpha)))))</f>
        <v>16.782477241499329</v>
      </c>
      <c r="W270" s="19">
        <f ca="1">IF(RAND()&lt;P_Zero,0,IF(RAND()&lt;CondReturn,_xlfn.LOGNORM.INV(RAND(),MV2,Sigma1),IF(RAND()&lt;CondGood,_xlfn.LOGNORM.INV(RAND(),MV3,Sigma2),MIN(MaxMultiple,Xm/(1-RAND())^(1/Alpha)))))</f>
        <v>0.54287674664121777</v>
      </c>
      <c r="X270" s="19">
        <f ca="1">IF(RAND()&lt;P_Zero,0,IF(RAND()&lt;CondReturn,_xlfn.LOGNORM.INV(RAND(),MV2,Sigma1),IF(RAND()&lt;CondGood,_xlfn.LOGNORM.INV(RAND(),MV3,Sigma2),MIN(MaxMultiple,Xm/(1-RAND())^(1/Alpha)))))</f>
        <v>2.7864361580059755</v>
      </c>
      <c r="Y270" s="19">
        <f ca="1">IF(RAND()&lt;P_Zero,0,IF(RAND()&lt;CondReturn,_xlfn.LOGNORM.INV(RAND(),MV2,Sigma1),IF(RAND()&lt;CondGood,_xlfn.LOGNORM.INV(RAND(),MV3,Sigma2),MIN(MaxMultiple,Xm/(1-RAND())^(1/Alpha)))))</f>
        <v>1.1158410811569897</v>
      </c>
      <c r="Z270" s="19">
        <f ca="1">IF(RAND()&lt;P_Zero,0,IF(RAND()&lt;CondReturn,_xlfn.LOGNORM.INV(RAND(),MV2,Sigma1),IF(RAND()&lt;CondGood,_xlfn.LOGNORM.INV(RAND(),MV3,Sigma2),MIN(MaxMultiple,Xm/(1-RAND())^(1/Alpha)))))</f>
        <v>1.1917079158353461</v>
      </c>
      <c r="AA270" s="19">
        <f ca="1">IF(RAND()&lt;P_Zero,0,IF(RAND()&lt;CondReturn,_xlfn.LOGNORM.INV(RAND(),MV2,Sigma1),IF(RAND()&lt;CondGood,_xlfn.LOGNORM.INV(RAND(),MV3,Sigma2),MIN(MaxMultiple,Xm/(1-RAND())^(1/Alpha)))))</f>
        <v>0</v>
      </c>
      <c r="AB270" s="19">
        <f t="shared" ca="1" si="32"/>
        <v>4.0949730822597674</v>
      </c>
      <c r="AC270" s="14">
        <f t="shared" ca="1" si="33"/>
        <v>196558707.94846883</v>
      </c>
      <c r="AD270" s="14">
        <f t="shared" ca="1" si="34"/>
        <v>148558707.94846883</v>
      </c>
      <c r="AE270" s="14">
        <f t="shared" si="35"/>
        <v>55628399.869093813</v>
      </c>
      <c r="AF270" s="14">
        <f t="shared" ca="1" si="36"/>
        <v>92930308.079375029</v>
      </c>
      <c r="AG270" s="14">
        <f t="shared" ca="1" si="37"/>
        <v>18586061.615875006</v>
      </c>
      <c r="AH270" s="14">
        <f t="shared" ca="1" si="38"/>
        <v>177972646.33259383</v>
      </c>
      <c r="AI270" s="19">
        <f t="shared" ca="1" si="39"/>
        <v>2.9662107722098972</v>
      </c>
    </row>
    <row r="271" spans="2:35" x14ac:dyDescent="0.2">
      <c r="B271" s="1">
        <v>266</v>
      </c>
      <c r="C271" s="19">
        <f ca="1">IF(RAND()&lt;P_Zero,0,IF(RAND()&lt;CondReturn,_xlfn.LOGNORM.INV(RAND(),MV2,Sigma1),IF(RAND()&lt;CondGood,_xlfn.LOGNORM.INV(RAND(),MV3,Sigma2),MIN(MaxMultiple,Xm/(1-RAND())^(1/Alpha)))))</f>
        <v>0</v>
      </c>
      <c r="D271" s="19">
        <f ca="1">IF(RAND()&lt;P_Zero,0,IF(RAND()&lt;CondReturn,_xlfn.LOGNORM.INV(RAND(),MV2,Sigma1),IF(RAND()&lt;CondGood,_xlfn.LOGNORM.INV(RAND(),MV3,Sigma2),MIN(MaxMultiple,Xm/(1-RAND())^(1/Alpha)))))</f>
        <v>0.59770929356917346</v>
      </c>
      <c r="E271" s="19">
        <f ca="1">IF(RAND()&lt;P_Zero,0,IF(RAND()&lt;CondReturn,_xlfn.LOGNORM.INV(RAND(),MV2,Sigma1),IF(RAND()&lt;CondGood,_xlfn.LOGNORM.INV(RAND(),MV3,Sigma2),MIN(MaxMultiple,Xm/(1-RAND())^(1/Alpha)))))</f>
        <v>1.080959835683899</v>
      </c>
      <c r="F271" s="19">
        <f ca="1">IF(RAND()&lt;P_Zero,0,IF(RAND()&lt;CondReturn,_xlfn.LOGNORM.INV(RAND(),MV2,Sigma1),IF(RAND()&lt;CondGood,_xlfn.LOGNORM.INV(RAND(),MV3,Sigma2),MIN(MaxMultiple,Xm/(1-RAND())^(1/Alpha)))))</f>
        <v>2.5859854432068086</v>
      </c>
      <c r="G271" s="19">
        <f ca="1">IF(RAND()&lt;P_Zero,0,IF(RAND()&lt;CondReturn,_xlfn.LOGNORM.INV(RAND(),MV2,Sigma1),IF(RAND()&lt;CondGood,_xlfn.LOGNORM.INV(RAND(),MV3,Sigma2),MIN(MaxMultiple,Xm/(1-RAND())^(1/Alpha)))))</f>
        <v>0</v>
      </c>
      <c r="H271" s="19">
        <f ca="1">IF(RAND()&lt;P_Zero,0,IF(RAND()&lt;CondReturn,_xlfn.LOGNORM.INV(RAND(),MV2,Sigma1),IF(RAND()&lt;CondGood,_xlfn.LOGNORM.INV(RAND(),MV3,Sigma2),MIN(MaxMultiple,Xm/(1-RAND())^(1/Alpha)))))</f>
        <v>0</v>
      </c>
      <c r="I271" s="19">
        <f ca="1">IF(RAND()&lt;P_Zero,0,IF(RAND()&lt;CondReturn,_xlfn.LOGNORM.INV(RAND(),MV2,Sigma1),IF(RAND()&lt;CondGood,_xlfn.LOGNORM.INV(RAND(),MV3,Sigma2),MIN(MaxMultiple,Xm/(1-RAND())^(1/Alpha)))))</f>
        <v>1.2291335761875306</v>
      </c>
      <c r="J271" s="19">
        <f ca="1">IF(RAND()&lt;P_Zero,0,IF(RAND()&lt;CondReturn,_xlfn.LOGNORM.INV(RAND(),MV2,Sigma1),IF(RAND()&lt;CondGood,_xlfn.LOGNORM.INV(RAND(),MV3,Sigma2),MIN(MaxMultiple,Xm/(1-RAND())^(1/Alpha)))))</f>
        <v>0.68287193335360541</v>
      </c>
      <c r="K271" s="19">
        <f ca="1">IF(RAND()&lt;P_Zero,0,IF(RAND()&lt;CondReturn,_xlfn.LOGNORM.INV(RAND(),MV2,Sigma1),IF(RAND()&lt;CondGood,_xlfn.LOGNORM.INV(RAND(),MV3,Sigma2),MIN(MaxMultiple,Xm/(1-RAND())^(1/Alpha)))))</f>
        <v>0.81790493986306845</v>
      </c>
      <c r="L271" s="19">
        <f ca="1">IF(RAND()&lt;P_Zero,0,IF(RAND()&lt;CondReturn,_xlfn.LOGNORM.INV(RAND(),MV2,Sigma1),IF(RAND()&lt;CondGood,_xlfn.LOGNORM.INV(RAND(),MV3,Sigma2),MIN(MaxMultiple,Xm/(1-RAND())^(1/Alpha)))))</f>
        <v>0</v>
      </c>
      <c r="M271" s="19">
        <f ca="1">IF(RAND()&lt;P_Zero,0,IF(RAND()&lt;CondReturn,_xlfn.LOGNORM.INV(RAND(),MV2,Sigma1),IF(RAND()&lt;CondGood,_xlfn.LOGNORM.INV(RAND(),MV3,Sigma2),MIN(MaxMultiple,Xm/(1-RAND())^(1/Alpha)))))</f>
        <v>0</v>
      </c>
      <c r="N271" s="19">
        <f ca="1">IF(RAND()&lt;P_Zero,0,IF(RAND()&lt;CondReturn,_xlfn.LOGNORM.INV(RAND(),MV2,Sigma1),IF(RAND()&lt;CondGood,_xlfn.LOGNORM.INV(RAND(),MV3,Sigma2),MIN(MaxMultiple,Xm/(1-RAND())^(1/Alpha)))))</f>
        <v>0.68893115055653931</v>
      </c>
      <c r="O271" s="19">
        <f ca="1">IF(RAND()&lt;P_Zero,0,IF(RAND()&lt;CondReturn,_xlfn.LOGNORM.INV(RAND(),MV2,Sigma1),IF(RAND()&lt;CondGood,_xlfn.LOGNORM.INV(RAND(),MV3,Sigma2),MIN(MaxMultiple,Xm/(1-RAND())^(1/Alpha)))))</f>
        <v>0</v>
      </c>
      <c r="P271" s="19">
        <f ca="1">IF(RAND()&lt;P_Zero,0,IF(RAND()&lt;CondReturn,_xlfn.LOGNORM.INV(RAND(),MV2,Sigma1),IF(RAND()&lt;CondGood,_xlfn.LOGNORM.INV(RAND(),MV3,Sigma2),MIN(MaxMultiple,Xm/(1-RAND())^(1/Alpha)))))</f>
        <v>0</v>
      </c>
      <c r="Q271" s="19">
        <f ca="1">IF(RAND()&lt;P_Zero,0,IF(RAND()&lt;CondReturn,_xlfn.LOGNORM.INV(RAND(),MV2,Sigma1),IF(RAND()&lt;CondGood,_xlfn.LOGNORM.INV(RAND(),MV3,Sigma2),MIN(MaxMultiple,Xm/(1-RAND())^(1/Alpha)))))</f>
        <v>57.842351123414019</v>
      </c>
      <c r="R271" s="19">
        <f ca="1">IF(RAND()&lt;P_Zero,0,IF(RAND()&lt;CondReturn,_xlfn.LOGNORM.INV(RAND(),MV2,Sigma1),IF(RAND()&lt;CondGood,_xlfn.LOGNORM.INV(RAND(),MV3,Sigma2),MIN(MaxMultiple,Xm/(1-RAND())^(1/Alpha)))))</f>
        <v>0</v>
      </c>
      <c r="S271" s="19">
        <f ca="1">IF(RAND()&lt;P_Zero,0,IF(RAND()&lt;CondReturn,_xlfn.LOGNORM.INV(RAND(),MV2,Sigma1),IF(RAND()&lt;CondGood,_xlfn.LOGNORM.INV(RAND(),MV3,Sigma2),MIN(MaxMultiple,Xm/(1-RAND())^(1/Alpha)))))</f>
        <v>0.97080835482959771</v>
      </c>
      <c r="T271" s="19">
        <f ca="1">IF(RAND()&lt;P_Zero,0,IF(RAND()&lt;CondReturn,_xlfn.LOGNORM.INV(RAND(),MV2,Sigma1),IF(RAND()&lt;CondGood,_xlfn.LOGNORM.INV(RAND(),MV3,Sigma2),MIN(MaxMultiple,Xm/(1-RAND())^(1/Alpha)))))</f>
        <v>0.70012915986767643</v>
      </c>
      <c r="U271" s="19">
        <f ca="1">IF(RAND()&lt;P_Zero,0,IF(RAND()&lt;CondReturn,_xlfn.LOGNORM.INV(RAND(),MV2,Sigma1),IF(RAND()&lt;CondGood,_xlfn.LOGNORM.INV(RAND(),MV3,Sigma2),MIN(MaxMultiple,Xm/(1-RAND())^(1/Alpha)))))</f>
        <v>0</v>
      </c>
      <c r="V271" s="19">
        <f ca="1">IF(RAND()&lt;P_Zero,0,IF(RAND()&lt;CondReturn,_xlfn.LOGNORM.INV(RAND(),MV2,Sigma1),IF(RAND()&lt;CondGood,_xlfn.LOGNORM.INV(RAND(),MV3,Sigma2),MIN(MaxMultiple,Xm/(1-RAND())^(1/Alpha)))))</f>
        <v>0</v>
      </c>
      <c r="W271" s="19">
        <f ca="1">IF(RAND()&lt;P_Zero,0,IF(RAND()&lt;CondReturn,_xlfn.LOGNORM.INV(RAND(),MV2,Sigma1),IF(RAND()&lt;CondGood,_xlfn.LOGNORM.INV(RAND(),MV3,Sigma2),MIN(MaxMultiple,Xm/(1-RAND())^(1/Alpha)))))</f>
        <v>0.98858417124342957</v>
      </c>
      <c r="X271" s="19">
        <f ca="1">IF(RAND()&lt;P_Zero,0,IF(RAND()&lt;CondReturn,_xlfn.LOGNORM.INV(RAND(),MV2,Sigma1),IF(RAND()&lt;CondGood,_xlfn.LOGNORM.INV(RAND(),MV3,Sigma2),MIN(MaxMultiple,Xm/(1-RAND())^(1/Alpha)))))</f>
        <v>1.5400707941376326</v>
      </c>
      <c r="Y271" s="19">
        <f ca="1">IF(RAND()&lt;P_Zero,0,IF(RAND()&lt;CondReturn,_xlfn.LOGNORM.INV(RAND(),MV2,Sigma1),IF(RAND()&lt;CondGood,_xlfn.LOGNORM.INV(RAND(),MV3,Sigma2),MIN(MaxMultiple,Xm/(1-RAND())^(1/Alpha)))))</f>
        <v>0</v>
      </c>
      <c r="Z271" s="19">
        <f ca="1">IF(RAND()&lt;P_Zero,0,IF(RAND()&lt;CondReturn,_xlfn.LOGNORM.INV(RAND(),MV2,Sigma1),IF(RAND()&lt;CondGood,_xlfn.LOGNORM.INV(RAND(),MV3,Sigma2),MIN(MaxMultiple,Xm/(1-RAND())^(1/Alpha)))))</f>
        <v>0</v>
      </c>
      <c r="AA271" s="19">
        <f ca="1">IF(RAND()&lt;P_Zero,0,IF(RAND()&lt;CondReturn,_xlfn.LOGNORM.INV(RAND(),MV2,Sigma1),IF(RAND()&lt;CondGood,_xlfn.LOGNORM.INV(RAND(),MV3,Sigma2),MIN(MaxMultiple,Xm/(1-RAND())^(1/Alpha)))))</f>
        <v>0</v>
      </c>
      <c r="AB271" s="19">
        <f t="shared" ca="1" si="32"/>
        <v>2.7890175910365191</v>
      </c>
      <c r="AC271" s="14">
        <f t="shared" ca="1" si="33"/>
        <v>133872844.36975291</v>
      </c>
      <c r="AD271" s="14">
        <f t="shared" ca="1" si="34"/>
        <v>85872844.369752914</v>
      </c>
      <c r="AE271" s="14">
        <f t="shared" si="35"/>
        <v>55628399.869093813</v>
      </c>
      <c r="AF271" s="14">
        <f t="shared" ca="1" si="36"/>
        <v>30244444.500659101</v>
      </c>
      <c r="AG271" s="14">
        <f t="shared" ca="1" si="37"/>
        <v>6048888.9001318207</v>
      </c>
      <c r="AH271" s="14">
        <f t="shared" ca="1" si="38"/>
        <v>127823955.46962109</v>
      </c>
      <c r="AI271" s="19">
        <f t="shared" ca="1" si="39"/>
        <v>2.1303992578270181</v>
      </c>
    </row>
    <row r="272" spans="2:35" x14ac:dyDescent="0.2">
      <c r="B272" s="1">
        <v>267</v>
      </c>
      <c r="C272" s="19">
        <f ca="1">IF(RAND()&lt;P_Zero,0,IF(RAND()&lt;CondReturn,_xlfn.LOGNORM.INV(RAND(),MV2,Sigma1),IF(RAND()&lt;CondGood,_xlfn.LOGNORM.INV(RAND(),MV3,Sigma2),MIN(MaxMultiple,Xm/(1-RAND())^(1/Alpha)))))</f>
        <v>14.768153207102118</v>
      </c>
      <c r="D272" s="19">
        <f ca="1">IF(RAND()&lt;P_Zero,0,IF(RAND()&lt;CondReturn,_xlfn.LOGNORM.INV(RAND(),MV2,Sigma1),IF(RAND()&lt;CondGood,_xlfn.LOGNORM.INV(RAND(),MV3,Sigma2),MIN(MaxMultiple,Xm/(1-RAND())^(1/Alpha)))))</f>
        <v>1.969392043570191</v>
      </c>
      <c r="E272" s="19">
        <f ca="1">IF(RAND()&lt;P_Zero,0,IF(RAND()&lt;CondReturn,_xlfn.LOGNORM.INV(RAND(),MV2,Sigma1),IF(RAND()&lt;CondGood,_xlfn.LOGNORM.INV(RAND(),MV3,Sigma2),MIN(MaxMultiple,Xm/(1-RAND())^(1/Alpha)))))</f>
        <v>0.54033233656316404</v>
      </c>
      <c r="F272" s="19">
        <f ca="1">IF(RAND()&lt;P_Zero,0,IF(RAND()&lt;CondReturn,_xlfn.LOGNORM.INV(RAND(),MV2,Sigma1),IF(RAND()&lt;CondGood,_xlfn.LOGNORM.INV(RAND(),MV3,Sigma2),MIN(MaxMultiple,Xm/(1-RAND())^(1/Alpha)))))</f>
        <v>0.94270306436382834</v>
      </c>
      <c r="G272" s="19">
        <f ca="1">IF(RAND()&lt;P_Zero,0,IF(RAND()&lt;CondReturn,_xlfn.LOGNORM.INV(RAND(),MV2,Sigma1),IF(RAND()&lt;CondGood,_xlfn.LOGNORM.INV(RAND(),MV3,Sigma2),MIN(MaxMultiple,Xm/(1-RAND())^(1/Alpha)))))</f>
        <v>2.9685291304333421</v>
      </c>
      <c r="H272" s="19">
        <f ca="1">IF(RAND()&lt;P_Zero,0,IF(RAND()&lt;CondReturn,_xlfn.LOGNORM.INV(RAND(),MV2,Sigma1),IF(RAND()&lt;CondGood,_xlfn.LOGNORM.INV(RAND(),MV3,Sigma2),MIN(MaxMultiple,Xm/(1-RAND())^(1/Alpha)))))</f>
        <v>0.33861166377840002</v>
      </c>
      <c r="I272" s="19">
        <f ca="1">IF(RAND()&lt;P_Zero,0,IF(RAND()&lt;CondReturn,_xlfn.LOGNORM.INV(RAND(),MV2,Sigma1),IF(RAND()&lt;CondGood,_xlfn.LOGNORM.INV(RAND(),MV3,Sigma2),MIN(MaxMultiple,Xm/(1-RAND())^(1/Alpha)))))</f>
        <v>1.4209583238625922</v>
      </c>
      <c r="J272" s="19">
        <f ca="1">IF(RAND()&lt;P_Zero,0,IF(RAND()&lt;CondReturn,_xlfn.LOGNORM.INV(RAND(),MV2,Sigma1),IF(RAND()&lt;CondGood,_xlfn.LOGNORM.INV(RAND(),MV3,Sigma2),MIN(MaxMultiple,Xm/(1-RAND())^(1/Alpha)))))</f>
        <v>0</v>
      </c>
      <c r="K272" s="19">
        <f ca="1">IF(RAND()&lt;P_Zero,0,IF(RAND()&lt;CondReturn,_xlfn.LOGNORM.INV(RAND(),MV2,Sigma1),IF(RAND()&lt;CondGood,_xlfn.LOGNORM.INV(RAND(),MV3,Sigma2),MIN(MaxMultiple,Xm/(1-RAND())^(1/Alpha)))))</f>
        <v>0</v>
      </c>
      <c r="L272" s="19">
        <f ca="1">IF(RAND()&lt;P_Zero,0,IF(RAND()&lt;CondReturn,_xlfn.LOGNORM.INV(RAND(),MV2,Sigma1),IF(RAND()&lt;CondGood,_xlfn.LOGNORM.INV(RAND(),MV3,Sigma2),MIN(MaxMultiple,Xm/(1-RAND())^(1/Alpha)))))</f>
        <v>0.88193763920295498</v>
      </c>
      <c r="M272" s="19">
        <f ca="1">IF(RAND()&lt;P_Zero,0,IF(RAND()&lt;CondReturn,_xlfn.LOGNORM.INV(RAND(),MV2,Sigma1),IF(RAND()&lt;CondGood,_xlfn.LOGNORM.INV(RAND(),MV3,Sigma2),MIN(MaxMultiple,Xm/(1-RAND())^(1/Alpha)))))</f>
        <v>1.087020312635101</v>
      </c>
      <c r="N272" s="19">
        <f ca="1">IF(RAND()&lt;P_Zero,0,IF(RAND()&lt;CondReturn,_xlfn.LOGNORM.INV(RAND(),MV2,Sigma1),IF(RAND()&lt;CondGood,_xlfn.LOGNORM.INV(RAND(),MV3,Sigma2),MIN(MaxMultiple,Xm/(1-RAND())^(1/Alpha)))))</f>
        <v>0.7331616156500177</v>
      </c>
      <c r="O272" s="19">
        <f ca="1">IF(RAND()&lt;P_Zero,0,IF(RAND()&lt;CondReturn,_xlfn.LOGNORM.INV(RAND(),MV2,Sigma1),IF(RAND()&lt;CondGood,_xlfn.LOGNORM.INV(RAND(),MV3,Sigma2),MIN(MaxMultiple,Xm/(1-RAND())^(1/Alpha)))))</f>
        <v>0.5605560896758085</v>
      </c>
      <c r="P272" s="19">
        <f ca="1">IF(RAND()&lt;P_Zero,0,IF(RAND()&lt;CondReturn,_xlfn.LOGNORM.INV(RAND(),MV2,Sigma1),IF(RAND()&lt;CondGood,_xlfn.LOGNORM.INV(RAND(),MV3,Sigma2),MIN(MaxMultiple,Xm/(1-RAND())^(1/Alpha)))))</f>
        <v>0.61782334313149201</v>
      </c>
      <c r="Q272" s="19">
        <f ca="1">IF(RAND()&lt;P_Zero,0,IF(RAND()&lt;CondReturn,_xlfn.LOGNORM.INV(RAND(),MV2,Sigma1),IF(RAND()&lt;CondGood,_xlfn.LOGNORM.INV(RAND(),MV3,Sigma2),MIN(MaxMultiple,Xm/(1-RAND())^(1/Alpha)))))</f>
        <v>1.6073008056809994</v>
      </c>
      <c r="R272" s="19">
        <f ca="1">IF(RAND()&lt;P_Zero,0,IF(RAND()&lt;CondReturn,_xlfn.LOGNORM.INV(RAND(),MV2,Sigma1),IF(RAND()&lt;CondGood,_xlfn.LOGNORM.INV(RAND(),MV3,Sigma2),MIN(MaxMultiple,Xm/(1-RAND())^(1/Alpha)))))</f>
        <v>0</v>
      </c>
      <c r="S272" s="19">
        <f ca="1">IF(RAND()&lt;P_Zero,0,IF(RAND()&lt;CondReturn,_xlfn.LOGNORM.INV(RAND(),MV2,Sigma1),IF(RAND()&lt;CondGood,_xlfn.LOGNORM.INV(RAND(),MV3,Sigma2),MIN(MaxMultiple,Xm/(1-RAND())^(1/Alpha)))))</f>
        <v>1.0866782916767408</v>
      </c>
      <c r="T272" s="19">
        <f ca="1">IF(RAND()&lt;P_Zero,0,IF(RAND()&lt;CondReturn,_xlfn.LOGNORM.INV(RAND(),MV2,Sigma1),IF(RAND()&lt;CondGood,_xlfn.LOGNORM.INV(RAND(),MV3,Sigma2),MIN(MaxMultiple,Xm/(1-RAND())^(1/Alpha)))))</f>
        <v>14.081022260723294</v>
      </c>
      <c r="U272" s="19">
        <f ca="1">IF(RAND()&lt;P_Zero,0,IF(RAND()&lt;CondReturn,_xlfn.LOGNORM.INV(RAND(),MV2,Sigma1),IF(RAND()&lt;CondGood,_xlfn.LOGNORM.INV(RAND(),MV3,Sigma2),MIN(MaxMultiple,Xm/(1-RAND())^(1/Alpha)))))</f>
        <v>10.109311419383614</v>
      </c>
      <c r="V272" s="19">
        <f ca="1">IF(RAND()&lt;P_Zero,0,IF(RAND()&lt;CondReturn,_xlfn.LOGNORM.INV(RAND(),MV2,Sigma1),IF(RAND()&lt;CondGood,_xlfn.LOGNORM.INV(RAND(),MV3,Sigma2),MIN(MaxMultiple,Xm/(1-RAND())^(1/Alpha)))))</f>
        <v>0</v>
      </c>
      <c r="W272" s="19">
        <f ca="1">IF(RAND()&lt;P_Zero,0,IF(RAND()&lt;CondReturn,_xlfn.LOGNORM.INV(RAND(),MV2,Sigma1),IF(RAND()&lt;CondGood,_xlfn.LOGNORM.INV(RAND(),MV3,Sigma2),MIN(MaxMultiple,Xm/(1-RAND())^(1/Alpha)))))</f>
        <v>0</v>
      </c>
      <c r="X272" s="19">
        <f ca="1">IF(RAND()&lt;P_Zero,0,IF(RAND()&lt;CondReturn,_xlfn.LOGNORM.INV(RAND(),MV2,Sigma1),IF(RAND()&lt;CondGood,_xlfn.LOGNORM.INV(RAND(),MV3,Sigma2),MIN(MaxMultiple,Xm/(1-RAND())^(1/Alpha)))))</f>
        <v>1.3886687849695849</v>
      </c>
      <c r="Y272" s="19">
        <f ca="1">IF(RAND()&lt;P_Zero,0,IF(RAND()&lt;CondReturn,_xlfn.LOGNORM.INV(RAND(),MV2,Sigma1),IF(RAND()&lt;CondGood,_xlfn.LOGNORM.INV(RAND(),MV3,Sigma2),MIN(MaxMultiple,Xm/(1-RAND())^(1/Alpha)))))</f>
        <v>0.78654064471479834</v>
      </c>
      <c r="Z272" s="19">
        <f ca="1">IF(RAND()&lt;P_Zero,0,IF(RAND()&lt;CondReturn,_xlfn.LOGNORM.INV(RAND(),MV2,Sigma1),IF(RAND()&lt;CondGood,_xlfn.LOGNORM.INV(RAND(),MV3,Sigma2),MIN(MaxMultiple,Xm/(1-RAND())^(1/Alpha)))))</f>
        <v>0.82818602858745827</v>
      </c>
      <c r="AA272" s="19">
        <f ca="1">IF(RAND()&lt;P_Zero,0,IF(RAND()&lt;CondReturn,_xlfn.LOGNORM.INV(RAND(),MV2,Sigma1),IF(RAND()&lt;CondGood,_xlfn.LOGNORM.INV(RAND(),MV3,Sigma2),MIN(MaxMultiple,Xm/(1-RAND())^(1/Alpha)))))</f>
        <v>0</v>
      </c>
      <c r="AB272" s="19">
        <f t="shared" ca="1" si="32"/>
        <v>2.2686754802282199</v>
      </c>
      <c r="AC272" s="14">
        <f t="shared" ca="1" si="33"/>
        <v>108896423.05095455</v>
      </c>
      <c r="AD272" s="14">
        <f t="shared" ca="1" si="34"/>
        <v>60896423.050954551</v>
      </c>
      <c r="AE272" s="14">
        <f t="shared" si="35"/>
        <v>55628399.869093813</v>
      </c>
      <c r="AF272" s="14">
        <f t="shared" ca="1" si="36"/>
        <v>5268023.1818607375</v>
      </c>
      <c r="AG272" s="14">
        <f t="shared" ca="1" si="37"/>
        <v>1053604.6363721476</v>
      </c>
      <c r="AH272" s="14">
        <f t="shared" ca="1" si="38"/>
        <v>107842818.4145824</v>
      </c>
      <c r="AI272" s="19">
        <f t="shared" ca="1" si="39"/>
        <v>1.7973803069097067</v>
      </c>
    </row>
    <row r="273" spans="2:35" x14ac:dyDescent="0.2">
      <c r="B273" s="1">
        <v>268</v>
      </c>
      <c r="C273" s="19">
        <f ca="1">IF(RAND()&lt;P_Zero,0,IF(RAND()&lt;CondReturn,_xlfn.LOGNORM.INV(RAND(),MV2,Sigma1),IF(RAND()&lt;CondGood,_xlfn.LOGNORM.INV(RAND(),MV3,Sigma2),MIN(MaxMultiple,Xm/(1-RAND())^(1/Alpha)))))</f>
        <v>0</v>
      </c>
      <c r="D273" s="19">
        <f ca="1">IF(RAND()&lt;P_Zero,0,IF(RAND()&lt;CondReturn,_xlfn.LOGNORM.INV(RAND(),MV2,Sigma1),IF(RAND()&lt;CondGood,_xlfn.LOGNORM.INV(RAND(),MV3,Sigma2),MIN(MaxMultiple,Xm/(1-RAND())^(1/Alpha)))))</f>
        <v>0</v>
      </c>
      <c r="E273" s="19">
        <f ca="1">IF(RAND()&lt;P_Zero,0,IF(RAND()&lt;CondReturn,_xlfn.LOGNORM.INV(RAND(),MV2,Sigma1),IF(RAND()&lt;CondGood,_xlfn.LOGNORM.INV(RAND(),MV3,Sigma2),MIN(MaxMultiple,Xm/(1-RAND())^(1/Alpha)))))</f>
        <v>2.299765590349562</v>
      </c>
      <c r="F273" s="19">
        <f ca="1">IF(RAND()&lt;P_Zero,0,IF(RAND()&lt;CondReturn,_xlfn.LOGNORM.INV(RAND(),MV2,Sigma1),IF(RAND()&lt;CondGood,_xlfn.LOGNORM.INV(RAND(),MV3,Sigma2),MIN(MaxMultiple,Xm/(1-RAND())^(1/Alpha)))))</f>
        <v>1.0894748728607604</v>
      </c>
      <c r="G273" s="19">
        <f ca="1">IF(RAND()&lt;P_Zero,0,IF(RAND()&lt;CondReturn,_xlfn.LOGNORM.INV(RAND(),MV2,Sigma1),IF(RAND()&lt;CondGood,_xlfn.LOGNORM.INV(RAND(),MV3,Sigma2),MIN(MaxMultiple,Xm/(1-RAND())^(1/Alpha)))))</f>
        <v>0.53792923423996242</v>
      </c>
      <c r="H273" s="19">
        <f ca="1">IF(RAND()&lt;P_Zero,0,IF(RAND()&lt;CondReturn,_xlfn.LOGNORM.INV(RAND(),MV2,Sigma1),IF(RAND()&lt;CondGood,_xlfn.LOGNORM.INV(RAND(),MV3,Sigma2),MIN(MaxMultiple,Xm/(1-RAND())^(1/Alpha)))))</f>
        <v>0.89881589052038224</v>
      </c>
      <c r="I273" s="19">
        <f ca="1">IF(RAND()&lt;P_Zero,0,IF(RAND()&lt;CondReturn,_xlfn.LOGNORM.INV(RAND(),MV2,Sigma1),IF(RAND()&lt;CondGood,_xlfn.LOGNORM.INV(RAND(),MV3,Sigma2),MIN(MaxMultiple,Xm/(1-RAND())^(1/Alpha)))))</f>
        <v>1.2542202339472588</v>
      </c>
      <c r="J273" s="19">
        <f ca="1">IF(RAND()&lt;P_Zero,0,IF(RAND()&lt;CondReturn,_xlfn.LOGNORM.INV(RAND(),MV2,Sigma1),IF(RAND()&lt;CondGood,_xlfn.LOGNORM.INV(RAND(),MV3,Sigma2),MIN(MaxMultiple,Xm/(1-RAND())^(1/Alpha)))))</f>
        <v>13.159210003869871</v>
      </c>
      <c r="K273" s="19">
        <f ca="1">IF(RAND()&lt;P_Zero,0,IF(RAND()&lt;CondReturn,_xlfn.LOGNORM.INV(RAND(),MV2,Sigma1),IF(RAND()&lt;CondGood,_xlfn.LOGNORM.INV(RAND(),MV3,Sigma2),MIN(MaxMultiple,Xm/(1-RAND())^(1/Alpha)))))</f>
        <v>0.63836546634704738</v>
      </c>
      <c r="L273" s="19">
        <f ca="1">IF(RAND()&lt;P_Zero,0,IF(RAND()&lt;CondReturn,_xlfn.LOGNORM.INV(RAND(),MV2,Sigma1),IF(RAND()&lt;CondGood,_xlfn.LOGNORM.INV(RAND(),MV3,Sigma2),MIN(MaxMultiple,Xm/(1-RAND())^(1/Alpha)))))</f>
        <v>0</v>
      </c>
      <c r="M273" s="19">
        <f ca="1">IF(RAND()&lt;P_Zero,0,IF(RAND()&lt;CondReturn,_xlfn.LOGNORM.INV(RAND(),MV2,Sigma1),IF(RAND()&lt;CondGood,_xlfn.LOGNORM.INV(RAND(),MV3,Sigma2),MIN(MaxMultiple,Xm/(1-RAND())^(1/Alpha)))))</f>
        <v>0.48920837636885267</v>
      </c>
      <c r="N273" s="19">
        <f ca="1">IF(RAND()&lt;P_Zero,0,IF(RAND()&lt;CondReturn,_xlfn.LOGNORM.INV(RAND(),MV2,Sigma1),IF(RAND()&lt;CondGood,_xlfn.LOGNORM.INV(RAND(),MV3,Sigma2),MIN(MaxMultiple,Xm/(1-RAND())^(1/Alpha)))))</f>
        <v>1.2046895571273963</v>
      </c>
      <c r="O273" s="19">
        <f ca="1">IF(RAND()&lt;P_Zero,0,IF(RAND()&lt;CondReturn,_xlfn.LOGNORM.INV(RAND(),MV2,Sigma1),IF(RAND()&lt;CondGood,_xlfn.LOGNORM.INV(RAND(),MV3,Sigma2),MIN(MaxMultiple,Xm/(1-RAND())^(1/Alpha)))))</f>
        <v>1.2404650340743306</v>
      </c>
      <c r="P273" s="19">
        <f ca="1">IF(RAND()&lt;P_Zero,0,IF(RAND()&lt;CondReturn,_xlfn.LOGNORM.INV(RAND(),MV2,Sigma1),IF(RAND()&lt;CondGood,_xlfn.LOGNORM.INV(RAND(),MV3,Sigma2),MIN(MaxMultiple,Xm/(1-RAND())^(1/Alpha)))))</f>
        <v>0</v>
      </c>
      <c r="Q273" s="19">
        <f ca="1">IF(RAND()&lt;P_Zero,0,IF(RAND()&lt;CondReturn,_xlfn.LOGNORM.INV(RAND(),MV2,Sigma1),IF(RAND()&lt;CondGood,_xlfn.LOGNORM.INV(RAND(),MV3,Sigma2),MIN(MaxMultiple,Xm/(1-RAND())^(1/Alpha)))))</f>
        <v>0.67696440571333671</v>
      </c>
      <c r="R273" s="19">
        <f ca="1">IF(RAND()&lt;P_Zero,0,IF(RAND()&lt;CondReturn,_xlfn.LOGNORM.INV(RAND(),MV2,Sigma1),IF(RAND()&lt;CondGood,_xlfn.LOGNORM.INV(RAND(),MV3,Sigma2),MIN(MaxMultiple,Xm/(1-RAND())^(1/Alpha)))))</f>
        <v>0.80083740462710928</v>
      </c>
      <c r="S273" s="19">
        <f ca="1">IF(RAND()&lt;P_Zero,0,IF(RAND()&lt;CondReturn,_xlfn.LOGNORM.INV(RAND(),MV2,Sigma1),IF(RAND()&lt;CondGood,_xlfn.LOGNORM.INV(RAND(),MV3,Sigma2),MIN(MaxMultiple,Xm/(1-RAND())^(1/Alpha)))))</f>
        <v>0</v>
      </c>
      <c r="T273" s="19">
        <f ca="1">IF(RAND()&lt;P_Zero,0,IF(RAND()&lt;CondReturn,_xlfn.LOGNORM.INV(RAND(),MV2,Sigma1),IF(RAND()&lt;CondGood,_xlfn.LOGNORM.INV(RAND(),MV3,Sigma2),MIN(MaxMultiple,Xm/(1-RAND())^(1/Alpha)))))</f>
        <v>0</v>
      </c>
      <c r="U273" s="19">
        <f ca="1">IF(RAND()&lt;P_Zero,0,IF(RAND()&lt;CondReturn,_xlfn.LOGNORM.INV(RAND(),MV2,Sigma1),IF(RAND()&lt;CondGood,_xlfn.LOGNORM.INV(RAND(),MV3,Sigma2),MIN(MaxMultiple,Xm/(1-RAND())^(1/Alpha)))))</f>
        <v>0.59883269492105973</v>
      </c>
      <c r="V273" s="19">
        <f ca="1">IF(RAND()&lt;P_Zero,0,IF(RAND()&lt;CondReturn,_xlfn.LOGNORM.INV(RAND(),MV2,Sigma1),IF(RAND()&lt;CondGood,_xlfn.LOGNORM.INV(RAND(),MV3,Sigma2),MIN(MaxMultiple,Xm/(1-RAND())^(1/Alpha)))))</f>
        <v>0.55236416510441677</v>
      </c>
      <c r="W273" s="19">
        <f ca="1">IF(RAND()&lt;P_Zero,0,IF(RAND()&lt;CondReturn,_xlfn.LOGNORM.INV(RAND(),MV2,Sigma1),IF(RAND()&lt;CondGood,_xlfn.LOGNORM.INV(RAND(),MV3,Sigma2),MIN(MaxMultiple,Xm/(1-RAND())^(1/Alpha)))))</f>
        <v>0.5320684976329576</v>
      </c>
      <c r="X273" s="19">
        <f ca="1">IF(RAND()&lt;P_Zero,0,IF(RAND()&lt;CondReturn,_xlfn.LOGNORM.INV(RAND(),MV2,Sigma1),IF(RAND()&lt;CondGood,_xlfn.LOGNORM.INV(RAND(),MV3,Sigma2),MIN(MaxMultiple,Xm/(1-RAND())^(1/Alpha)))))</f>
        <v>0</v>
      </c>
      <c r="Y273" s="19">
        <f ca="1">IF(RAND()&lt;P_Zero,0,IF(RAND()&lt;CondReturn,_xlfn.LOGNORM.INV(RAND(),MV2,Sigma1),IF(RAND()&lt;CondGood,_xlfn.LOGNORM.INV(RAND(),MV3,Sigma2),MIN(MaxMultiple,Xm/(1-RAND())^(1/Alpha)))))</f>
        <v>0.7326036333165713</v>
      </c>
      <c r="Z273" s="19">
        <f ca="1">IF(RAND()&lt;P_Zero,0,IF(RAND()&lt;CondReturn,_xlfn.LOGNORM.INV(RAND(),MV2,Sigma1),IF(RAND()&lt;CondGood,_xlfn.LOGNORM.INV(RAND(),MV3,Sigma2),MIN(MaxMultiple,Xm/(1-RAND())^(1/Alpha)))))</f>
        <v>20.813046727249777</v>
      </c>
      <c r="AA273" s="19">
        <f ca="1">IF(RAND()&lt;P_Zero,0,IF(RAND()&lt;CondReturn,_xlfn.LOGNORM.INV(RAND(),MV2,Sigma1),IF(RAND()&lt;CondGood,_xlfn.LOGNORM.INV(RAND(),MV3,Sigma2),MIN(MaxMultiple,Xm/(1-RAND())^(1/Alpha)))))</f>
        <v>0</v>
      </c>
      <c r="AB273" s="19">
        <f t="shared" ca="1" si="32"/>
        <v>1.9007544715308262</v>
      </c>
      <c r="AC273" s="14">
        <f t="shared" ca="1" si="33"/>
        <v>91236214.633479655</v>
      </c>
      <c r="AD273" s="14">
        <f t="shared" ca="1" si="34"/>
        <v>43236214.633479655</v>
      </c>
      <c r="AE273" s="14">
        <f t="shared" si="35"/>
        <v>55628399.869093813</v>
      </c>
      <c r="AF273" s="14">
        <f t="shared" ca="1" si="36"/>
        <v>0</v>
      </c>
      <c r="AG273" s="14">
        <f t="shared" ca="1" si="37"/>
        <v>0</v>
      </c>
      <c r="AH273" s="14">
        <f t="shared" ca="1" si="38"/>
        <v>91236214.633479655</v>
      </c>
      <c r="AI273" s="19">
        <f t="shared" ca="1" si="39"/>
        <v>1.5206035772246609</v>
      </c>
    </row>
    <row r="274" spans="2:35" x14ac:dyDescent="0.2">
      <c r="B274" s="1">
        <v>269</v>
      </c>
      <c r="C274" s="19">
        <f ca="1">IF(RAND()&lt;P_Zero,0,IF(RAND()&lt;CondReturn,_xlfn.LOGNORM.INV(RAND(),MV2,Sigma1),IF(RAND()&lt;CondGood,_xlfn.LOGNORM.INV(RAND(),MV3,Sigma2),MIN(MaxMultiple,Xm/(1-RAND())^(1/Alpha)))))</f>
        <v>1.302767142271736</v>
      </c>
      <c r="D274" s="19">
        <f ca="1">IF(RAND()&lt;P_Zero,0,IF(RAND()&lt;CondReturn,_xlfn.LOGNORM.INV(RAND(),MV2,Sigma1),IF(RAND()&lt;CondGood,_xlfn.LOGNORM.INV(RAND(),MV3,Sigma2),MIN(MaxMultiple,Xm/(1-RAND())^(1/Alpha)))))</f>
        <v>0.70666626750846684</v>
      </c>
      <c r="E274" s="19">
        <f ca="1">IF(RAND()&lt;P_Zero,0,IF(RAND()&lt;CondReturn,_xlfn.LOGNORM.INV(RAND(),MV2,Sigma1),IF(RAND()&lt;CondGood,_xlfn.LOGNORM.INV(RAND(),MV3,Sigma2),MIN(MaxMultiple,Xm/(1-RAND())^(1/Alpha)))))</f>
        <v>0.85002958027778319</v>
      </c>
      <c r="F274" s="19">
        <f ca="1">IF(RAND()&lt;P_Zero,0,IF(RAND()&lt;CondReturn,_xlfn.LOGNORM.INV(RAND(),MV2,Sigma1),IF(RAND()&lt;CondGood,_xlfn.LOGNORM.INV(RAND(),MV3,Sigma2),MIN(MaxMultiple,Xm/(1-RAND())^(1/Alpha)))))</f>
        <v>0</v>
      </c>
      <c r="G274" s="19">
        <f ca="1">IF(RAND()&lt;P_Zero,0,IF(RAND()&lt;CondReturn,_xlfn.LOGNORM.INV(RAND(),MV2,Sigma1),IF(RAND()&lt;CondGood,_xlfn.LOGNORM.INV(RAND(),MV3,Sigma2),MIN(MaxMultiple,Xm/(1-RAND())^(1/Alpha)))))</f>
        <v>1.3276222910185822</v>
      </c>
      <c r="H274" s="19">
        <f ca="1">IF(RAND()&lt;P_Zero,0,IF(RAND()&lt;CondReturn,_xlfn.LOGNORM.INV(RAND(),MV2,Sigma1),IF(RAND()&lt;CondGood,_xlfn.LOGNORM.INV(RAND(),MV3,Sigma2),MIN(MaxMultiple,Xm/(1-RAND())^(1/Alpha)))))</f>
        <v>0</v>
      </c>
      <c r="I274" s="19">
        <f ca="1">IF(RAND()&lt;P_Zero,0,IF(RAND()&lt;CondReturn,_xlfn.LOGNORM.INV(RAND(),MV2,Sigma1),IF(RAND()&lt;CondGood,_xlfn.LOGNORM.INV(RAND(),MV3,Sigma2),MIN(MaxMultiple,Xm/(1-RAND())^(1/Alpha)))))</f>
        <v>0</v>
      </c>
      <c r="J274" s="19">
        <f ca="1">IF(RAND()&lt;P_Zero,0,IF(RAND()&lt;CondReturn,_xlfn.LOGNORM.INV(RAND(),MV2,Sigma1),IF(RAND()&lt;CondGood,_xlfn.LOGNORM.INV(RAND(),MV3,Sigma2),MIN(MaxMultiple,Xm/(1-RAND())^(1/Alpha)))))</f>
        <v>0</v>
      </c>
      <c r="K274" s="19">
        <f ca="1">IF(RAND()&lt;P_Zero,0,IF(RAND()&lt;CondReturn,_xlfn.LOGNORM.INV(RAND(),MV2,Sigma1),IF(RAND()&lt;CondGood,_xlfn.LOGNORM.INV(RAND(),MV3,Sigma2),MIN(MaxMultiple,Xm/(1-RAND())^(1/Alpha)))))</f>
        <v>0</v>
      </c>
      <c r="L274" s="19">
        <f ca="1">IF(RAND()&lt;P_Zero,0,IF(RAND()&lt;CondReturn,_xlfn.LOGNORM.INV(RAND(),MV2,Sigma1),IF(RAND()&lt;CondGood,_xlfn.LOGNORM.INV(RAND(),MV3,Sigma2),MIN(MaxMultiple,Xm/(1-RAND())^(1/Alpha)))))</f>
        <v>0</v>
      </c>
      <c r="M274" s="19">
        <f ca="1">IF(RAND()&lt;P_Zero,0,IF(RAND()&lt;CondReturn,_xlfn.LOGNORM.INV(RAND(),MV2,Sigma1),IF(RAND()&lt;CondGood,_xlfn.LOGNORM.INV(RAND(),MV3,Sigma2),MIN(MaxMultiple,Xm/(1-RAND())^(1/Alpha)))))</f>
        <v>0.56077706176051534</v>
      </c>
      <c r="N274" s="19">
        <f ca="1">IF(RAND()&lt;P_Zero,0,IF(RAND()&lt;CondReturn,_xlfn.LOGNORM.INV(RAND(),MV2,Sigma1),IF(RAND()&lt;CondGood,_xlfn.LOGNORM.INV(RAND(),MV3,Sigma2),MIN(MaxMultiple,Xm/(1-RAND())^(1/Alpha)))))</f>
        <v>0.94387233301770845</v>
      </c>
      <c r="O274" s="19">
        <f ca="1">IF(RAND()&lt;P_Zero,0,IF(RAND()&lt;CondReturn,_xlfn.LOGNORM.INV(RAND(),MV2,Sigma1),IF(RAND()&lt;CondGood,_xlfn.LOGNORM.INV(RAND(),MV3,Sigma2),MIN(MaxMultiple,Xm/(1-RAND())^(1/Alpha)))))</f>
        <v>1.3431106844567489</v>
      </c>
      <c r="P274" s="19">
        <f ca="1">IF(RAND()&lt;P_Zero,0,IF(RAND()&lt;CondReturn,_xlfn.LOGNORM.INV(RAND(),MV2,Sigma1),IF(RAND()&lt;CondGood,_xlfn.LOGNORM.INV(RAND(),MV3,Sigma2),MIN(MaxMultiple,Xm/(1-RAND())^(1/Alpha)))))</f>
        <v>0</v>
      </c>
      <c r="Q274" s="19">
        <f ca="1">IF(RAND()&lt;P_Zero,0,IF(RAND()&lt;CondReturn,_xlfn.LOGNORM.INV(RAND(),MV2,Sigma1),IF(RAND()&lt;CondGood,_xlfn.LOGNORM.INV(RAND(),MV3,Sigma2),MIN(MaxMultiple,Xm/(1-RAND())^(1/Alpha)))))</f>
        <v>0</v>
      </c>
      <c r="R274" s="19">
        <f ca="1">IF(RAND()&lt;P_Zero,0,IF(RAND()&lt;CondReturn,_xlfn.LOGNORM.INV(RAND(),MV2,Sigma1),IF(RAND()&lt;CondGood,_xlfn.LOGNORM.INV(RAND(),MV3,Sigma2),MIN(MaxMultiple,Xm/(1-RAND())^(1/Alpha)))))</f>
        <v>0</v>
      </c>
      <c r="S274" s="19">
        <f ca="1">IF(RAND()&lt;P_Zero,0,IF(RAND()&lt;CondReturn,_xlfn.LOGNORM.INV(RAND(),MV2,Sigma1),IF(RAND()&lt;CondGood,_xlfn.LOGNORM.INV(RAND(),MV3,Sigma2),MIN(MaxMultiple,Xm/(1-RAND())^(1/Alpha)))))</f>
        <v>0</v>
      </c>
      <c r="T274" s="19">
        <f ca="1">IF(RAND()&lt;P_Zero,0,IF(RAND()&lt;CondReturn,_xlfn.LOGNORM.INV(RAND(),MV2,Sigma1),IF(RAND()&lt;CondGood,_xlfn.LOGNORM.INV(RAND(),MV3,Sigma2),MIN(MaxMultiple,Xm/(1-RAND())^(1/Alpha)))))</f>
        <v>1.0348989676374436</v>
      </c>
      <c r="U274" s="19">
        <f ca="1">IF(RAND()&lt;P_Zero,0,IF(RAND()&lt;CondReturn,_xlfn.LOGNORM.INV(RAND(),MV2,Sigma1),IF(RAND()&lt;CondGood,_xlfn.LOGNORM.INV(RAND(),MV3,Sigma2),MIN(MaxMultiple,Xm/(1-RAND())^(1/Alpha)))))</f>
        <v>36.763927872604889</v>
      </c>
      <c r="V274" s="19">
        <f ca="1">IF(RAND()&lt;P_Zero,0,IF(RAND()&lt;CondReturn,_xlfn.LOGNORM.INV(RAND(),MV2,Sigma1),IF(RAND()&lt;CondGood,_xlfn.LOGNORM.INV(RAND(),MV3,Sigma2),MIN(MaxMultiple,Xm/(1-RAND())^(1/Alpha)))))</f>
        <v>0</v>
      </c>
      <c r="W274" s="19">
        <f ca="1">IF(RAND()&lt;P_Zero,0,IF(RAND()&lt;CondReturn,_xlfn.LOGNORM.INV(RAND(),MV2,Sigma1),IF(RAND()&lt;CondGood,_xlfn.LOGNORM.INV(RAND(),MV3,Sigma2),MIN(MaxMultiple,Xm/(1-RAND())^(1/Alpha)))))</f>
        <v>0</v>
      </c>
      <c r="X274" s="19">
        <f ca="1">IF(RAND()&lt;P_Zero,0,IF(RAND()&lt;CondReturn,_xlfn.LOGNORM.INV(RAND(),MV2,Sigma1),IF(RAND()&lt;CondGood,_xlfn.LOGNORM.INV(RAND(),MV3,Sigma2),MIN(MaxMultiple,Xm/(1-RAND())^(1/Alpha)))))</f>
        <v>0</v>
      </c>
      <c r="Y274" s="19">
        <f ca="1">IF(RAND()&lt;P_Zero,0,IF(RAND()&lt;CondReturn,_xlfn.LOGNORM.INV(RAND(),MV2,Sigma1),IF(RAND()&lt;CondGood,_xlfn.LOGNORM.INV(RAND(),MV3,Sigma2),MIN(MaxMultiple,Xm/(1-RAND())^(1/Alpha)))))</f>
        <v>21.33994251333387</v>
      </c>
      <c r="Z274" s="19">
        <f ca="1">IF(RAND()&lt;P_Zero,0,IF(RAND()&lt;CondReturn,_xlfn.LOGNORM.INV(RAND(),MV2,Sigma1),IF(RAND()&lt;CondGood,_xlfn.LOGNORM.INV(RAND(),MV3,Sigma2),MIN(MaxMultiple,Xm/(1-RAND())^(1/Alpha)))))</f>
        <v>0.36877612739947296</v>
      </c>
      <c r="AA274" s="19">
        <f ca="1">IF(RAND()&lt;P_Zero,0,IF(RAND()&lt;CondReturn,_xlfn.LOGNORM.INV(RAND(),MV2,Sigma1),IF(RAND()&lt;CondGood,_xlfn.LOGNORM.INV(RAND(),MV3,Sigma2),MIN(MaxMultiple,Xm/(1-RAND())^(1/Alpha)))))</f>
        <v>0.64191510757576153</v>
      </c>
      <c r="AB274" s="19">
        <f t="shared" ca="1" si="32"/>
        <v>2.6873722379545186</v>
      </c>
      <c r="AC274" s="14">
        <f t="shared" ca="1" si="33"/>
        <v>128993867.4218169</v>
      </c>
      <c r="AD274" s="14">
        <f t="shared" ca="1" si="34"/>
        <v>80993867.4218169</v>
      </c>
      <c r="AE274" s="14">
        <f t="shared" si="35"/>
        <v>55628399.869093813</v>
      </c>
      <c r="AF274" s="14">
        <f t="shared" ca="1" si="36"/>
        <v>25365467.552723087</v>
      </c>
      <c r="AG274" s="14">
        <f t="shared" ca="1" si="37"/>
        <v>5073093.5105446177</v>
      </c>
      <c r="AH274" s="14">
        <f t="shared" ca="1" si="38"/>
        <v>123920773.91127229</v>
      </c>
      <c r="AI274" s="19">
        <f t="shared" ca="1" si="39"/>
        <v>2.0653462318545381</v>
      </c>
    </row>
    <row r="275" spans="2:35" x14ac:dyDescent="0.2">
      <c r="B275" s="1">
        <v>270</v>
      </c>
      <c r="C275" s="19">
        <f ca="1">IF(RAND()&lt;P_Zero,0,IF(RAND()&lt;CondReturn,_xlfn.LOGNORM.INV(RAND(),MV2,Sigma1),IF(RAND()&lt;CondGood,_xlfn.LOGNORM.INV(RAND(),MV3,Sigma2),MIN(MaxMultiple,Xm/(1-RAND())^(1/Alpha)))))</f>
        <v>1.6477931707586175</v>
      </c>
      <c r="D275" s="19">
        <f ca="1">IF(RAND()&lt;P_Zero,0,IF(RAND()&lt;CondReturn,_xlfn.LOGNORM.INV(RAND(),MV2,Sigma1),IF(RAND()&lt;CondGood,_xlfn.LOGNORM.INV(RAND(),MV3,Sigma2),MIN(MaxMultiple,Xm/(1-RAND())^(1/Alpha)))))</f>
        <v>0.72559737840668947</v>
      </c>
      <c r="E275" s="19">
        <f ca="1">IF(RAND()&lt;P_Zero,0,IF(RAND()&lt;CondReturn,_xlfn.LOGNORM.INV(RAND(),MV2,Sigma1),IF(RAND()&lt;CondGood,_xlfn.LOGNORM.INV(RAND(),MV3,Sigma2),MIN(MaxMultiple,Xm/(1-RAND())^(1/Alpha)))))</f>
        <v>1.8150133491567173</v>
      </c>
      <c r="F275" s="19">
        <f ca="1">IF(RAND()&lt;P_Zero,0,IF(RAND()&lt;CondReturn,_xlfn.LOGNORM.INV(RAND(),MV2,Sigma1),IF(RAND()&lt;CondGood,_xlfn.LOGNORM.INV(RAND(),MV3,Sigma2),MIN(MaxMultiple,Xm/(1-RAND())^(1/Alpha)))))</f>
        <v>1.8619926096856223</v>
      </c>
      <c r="G275" s="19">
        <f ca="1">IF(RAND()&lt;P_Zero,0,IF(RAND()&lt;CondReturn,_xlfn.LOGNORM.INV(RAND(),MV2,Sigma1),IF(RAND()&lt;CondGood,_xlfn.LOGNORM.INV(RAND(),MV3,Sigma2),MIN(MaxMultiple,Xm/(1-RAND())^(1/Alpha)))))</f>
        <v>2.3977508275748352</v>
      </c>
      <c r="H275" s="19">
        <f ca="1">IF(RAND()&lt;P_Zero,0,IF(RAND()&lt;CondReturn,_xlfn.LOGNORM.INV(RAND(),MV2,Sigma1),IF(RAND()&lt;CondGood,_xlfn.LOGNORM.INV(RAND(),MV3,Sigma2),MIN(MaxMultiple,Xm/(1-RAND())^(1/Alpha)))))</f>
        <v>0</v>
      </c>
      <c r="I275" s="19">
        <f ca="1">IF(RAND()&lt;P_Zero,0,IF(RAND()&lt;CondReturn,_xlfn.LOGNORM.INV(RAND(),MV2,Sigma1),IF(RAND()&lt;CondGood,_xlfn.LOGNORM.INV(RAND(),MV3,Sigma2),MIN(MaxMultiple,Xm/(1-RAND())^(1/Alpha)))))</f>
        <v>0</v>
      </c>
      <c r="J275" s="19">
        <f ca="1">IF(RAND()&lt;P_Zero,0,IF(RAND()&lt;CondReturn,_xlfn.LOGNORM.INV(RAND(),MV2,Sigma1),IF(RAND()&lt;CondGood,_xlfn.LOGNORM.INV(RAND(),MV3,Sigma2),MIN(MaxMultiple,Xm/(1-RAND())^(1/Alpha)))))</f>
        <v>1.3491212621717736</v>
      </c>
      <c r="K275" s="19">
        <f ca="1">IF(RAND()&lt;P_Zero,0,IF(RAND()&lt;CondReturn,_xlfn.LOGNORM.INV(RAND(),MV2,Sigma1),IF(RAND()&lt;CondGood,_xlfn.LOGNORM.INV(RAND(),MV3,Sigma2),MIN(MaxMultiple,Xm/(1-RAND())^(1/Alpha)))))</f>
        <v>0</v>
      </c>
      <c r="L275" s="19">
        <f ca="1">IF(RAND()&lt;P_Zero,0,IF(RAND()&lt;CondReturn,_xlfn.LOGNORM.INV(RAND(),MV2,Sigma1),IF(RAND()&lt;CondGood,_xlfn.LOGNORM.INV(RAND(),MV3,Sigma2),MIN(MaxMultiple,Xm/(1-RAND())^(1/Alpha)))))</f>
        <v>0</v>
      </c>
      <c r="M275" s="19">
        <f ca="1">IF(RAND()&lt;P_Zero,0,IF(RAND()&lt;CondReturn,_xlfn.LOGNORM.INV(RAND(),MV2,Sigma1),IF(RAND()&lt;CondGood,_xlfn.LOGNORM.INV(RAND(),MV3,Sigma2),MIN(MaxMultiple,Xm/(1-RAND())^(1/Alpha)))))</f>
        <v>0</v>
      </c>
      <c r="N275" s="19">
        <f ca="1">IF(RAND()&lt;P_Zero,0,IF(RAND()&lt;CondReturn,_xlfn.LOGNORM.INV(RAND(),MV2,Sigma1),IF(RAND()&lt;CondGood,_xlfn.LOGNORM.INV(RAND(),MV3,Sigma2),MIN(MaxMultiple,Xm/(1-RAND())^(1/Alpha)))))</f>
        <v>0.63324981101147515</v>
      </c>
      <c r="O275" s="19">
        <f ca="1">IF(RAND()&lt;P_Zero,0,IF(RAND()&lt;CondReturn,_xlfn.LOGNORM.INV(RAND(),MV2,Sigma1),IF(RAND()&lt;CondGood,_xlfn.LOGNORM.INV(RAND(),MV3,Sigma2),MIN(MaxMultiple,Xm/(1-RAND())^(1/Alpha)))))</f>
        <v>1.2383245369973053</v>
      </c>
      <c r="P275" s="19">
        <f ca="1">IF(RAND()&lt;P_Zero,0,IF(RAND()&lt;CondReturn,_xlfn.LOGNORM.INV(RAND(),MV2,Sigma1),IF(RAND()&lt;CondGood,_xlfn.LOGNORM.INV(RAND(),MV3,Sigma2),MIN(MaxMultiple,Xm/(1-RAND())^(1/Alpha)))))</f>
        <v>0</v>
      </c>
      <c r="Q275" s="19">
        <f ca="1">IF(RAND()&lt;P_Zero,0,IF(RAND()&lt;CondReturn,_xlfn.LOGNORM.INV(RAND(),MV2,Sigma1),IF(RAND()&lt;CondGood,_xlfn.LOGNORM.INV(RAND(),MV3,Sigma2),MIN(MaxMultiple,Xm/(1-RAND())^(1/Alpha)))))</f>
        <v>1.9058830384153176</v>
      </c>
      <c r="R275" s="19">
        <f ca="1">IF(RAND()&lt;P_Zero,0,IF(RAND()&lt;CondReturn,_xlfn.LOGNORM.INV(RAND(),MV2,Sigma1),IF(RAND()&lt;CondGood,_xlfn.LOGNORM.INV(RAND(),MV3,Sigma2),MIN(MaxMultiple,Xm/(1-RAND())^(1/Alpha)))))</f>
        <v>0.86422254569163082</v>
      </c>
      <c r="S275" s="19">
        <f ca="1">IF(RAND()&lt;P_Zero,0,IF(RAND()&lt;CondReturn,_xlfn.LOGNORM.INV(RAND(),MV2,Sigma1),IF(RAND()&lt;CondGood,_xlfn.LOGNORM.INV(RAND(),MV3,Sigma2),MIN(MaxMultiple,Xm/(1-RAND())^(1/Alpha)))))</f>
        <v>0</v>
      </c>
      <c r="T275" s="19">
        <f ca="1">IF(RAND()&lt;P_Zero,0,IF(RAND()&lt;CondReturn,_xlfn.LOGNORM.INV(RAND(),MV2,Sigma1),IF(RAND()&lt;CondGood,_xlfn.LOGNORM.INV(RAND(),MV3,Sigma2),MIN(MaxMultiple,Xm/(1-RAND())^(1/Alpha)))))</f>
        <v>0.88666554126782371</v>
      </c>
      <c r="U275" s="19">
        <f ca="1">IF(RAND()&lt;P_Zero,0,IF(RAND()&lt;CondReturn,_xlfn.LOGNORM.INV(RAND(),MV2,Sigma1),IF(RAND()&lt;CondGood,_xlfn.LOGNORM.INV(RAND(),MV3,Sigma2),MIN(MaxMultiple,Xm/(1-RAND())^(1/Alpha)))))</f>
        <v>0</v>
      </c>
      <c r="V275" s="19">
        <f ca="1">IF(RAND()&lt;P_Zero,0,IF(RAND()&lt;CondReturn,_xlfn.LOGNORM.INV(RAND(),MV2,Sigma1),IF(RAND()&lt;CondGood,_xlfn.LOGNORM.INV(RAND(),MV3,Sigma2),MIN(MaxMultiple,Xm/(1-RAND())^(1/Alpha)))))</f>
        <v>1.1286350692280882</v>
      </c>
      <c r="W275" s="19">
        <f ca="1">IF(RAND()&lt;P_Zero,0,IF(RAND()&lt;CondReturn,_xlfn.LOGNORM.INV(RAND(),MV2,Sigma1),IF(RAND()&lt;CondGood,_xlfn.LOGNORM.INV(RAND(),MV3,Sigma2),MIN(MaxMultiple,Xm/(1-RAND())^(1/Alpha)))))</f>
        <v>1.2508131344507156</v>
      </c>
      <c r="X275" s="19">
        <f ca="1">IF(RAND()&lt;P_Zero,0,IF(RAND()&lt;CondReturn,_xlfn.LOGNORM.INV(RAND(),MV2,Sigma1),IF(RAND()&lt;CondGood,_xlfn.LOGNORM.INV(RAND(),MV3,Sigma2),MIN(MaxMultiple,Xm/(1-RAND())^(1/Alpha)))))</f>
        <v>1.2627566876600058</v>
      </c>
      <c r="Y275" s="19">
        <f ca="1">IF(RAND()&lt;P_Zero,0,IF(RAND()&lt;CondReturn,_xlfn.LOGNORM.INV(RAND(),MV2,Sigma1),IF(RAND()&lt;CondGood,_xlfn.LOGNORM.INV(RAND(),MV3,Sigma2),MIN(MaxMultiple,Xm/(1-RAND())^(1/Alpha)))))</f>
        <v>0</v>
      </c>
      <c r="Z275" s="19">
        <f ca="1">IF(RAND()&lt;P_Zero,0,IF(RAND()&lt;CondReturn,_xlfn.LOGNORM.INV(RAND(),MV2,Sigma1),IF(RAND()&lt;CondGood,_xlfn.LOGNORM.INV(RAND(),MV3,Sigma2),MIN(MaxMultiple,Xm/(1-RAND())^(1/Alpha)))))</f>
        <v>0</v>
      </c>
      <c r="AA275" s="19">
        <f ca="1">IF(RAND()&lt;P_Zero,0,IF(RAND()&lt;CondReturn,_xlfn.LOGNORM.INV(RAND(),MV2,Sigma1),IF(RAND()&lt;CondGood,_xlfn.LOGNORM.INV(RAND(),MV3,Sigma2),MIN(MaxMultiple,Xm/(1-RAND())^(1/Alpha)))))</f>
        <v>220.27223684699828</v>
      </c>
      <c r="AB275" s="19">
        <f t="shared" ca="1" si="32"/>
        <v>9.5696022323789958</v>
      </c>
      <c r="AC275" s="14">
        <f t="shared" ca="1" si="33"/>
        <v>459340907.15419179</v>
      </c>
      <c r="AD275" s="14">
        <f t="shared" ca="1" si="34"/>
        <v>411340907.15419179</v>
      </c>
      <c r="AE275" s="14">
        <f t="shared" si="35"/>
        <v>55628399.869093813</v>
      </c>
      <c r="AF275" s="14">
        <f t="shared" ca="1" si="36"/>
        <v>355712507.28509796</v>
      </c>
      <c r="AG275" s="14">
        <f t="shared" ca="1" si="37"/>
        <v>71142501.457019597</v>
      </c>
      <c r="AH275" s="14">
        <f t="shared" ca="1" si="38"/>
        <v>388198405.69717216</v>
      </c>
      <c r="AI275" s="19">
        <f t="shared" ca="1" si="39"/>
        <v>6.4699734282862025</v>
      </c>
    </row>
    <row r="276" spans="2:35" x14ac:dyDescent="0.2">
      <c r="B276" s="1">
        <v>271</v>
      </c>
      <c r="C276" s="19">
        <f ca="1">IF(RAND()&lt;P_Zero,0,IF(RAND()&lt;CondReturn,_xlfn.LOGNORM.INV(RAND(),MV2,Sigma1),IF(RAND()&lt;CondGood,_xlfn.LOGNORM.INV(RAND(),MV3,Sigma2),MIN(MaxMultiple,Xm/(1-RAND())^(1/Alpha)))))</f>
        <v>2.4855598839000144</v>
      </c>
      <c r="D276" s="19">
        <f ca="1">IF(RAND()&lt;P_Zero,0,IF(RAND()&lt;CondReturn,_xlfn.LOGNORM.INV(RAND(),MV2,Sigma1),IF(RAND()&lt;CondGood,_xlfn.LOGNORM.INV(RAND(),MV3,Sigma2),MIN(MaxMultiple,Xm/(1-RAND())^(1/Alpha)))))</f>
        <v>2.1826673983418541</v>
      </c>
      <c r="E276" s="19">
        <f ca="1">IF(RAND()&lt;P_Zero,0,IF(RAND()&lt;CondReturn,_xlfn.LOGNORM.INV(RAND(),MV2,Sigma1),IF(RAND()&lt;CondGood,_xlfn.LOGNORM.INV(RAND(),MV3,Sigma2),MIN(MaxMultiple,Xm/(1-RAND())^(1/Alpha)))))</f>
        <v>0</v>
      </c>
      <c r="F276" s="19">
        <f ca="1">IF(RAND()&lt;P_Zero,0,IF(RAND()&lt;CondReturn,_xlfn.LOGNORM.INV(RAND(),MV2,Sigma1),IF(RAND()&lt;CondGood,_xlfn.LOGNORM.INV(RAND(),MV3,Sigma2),MIN(MaxMultiple,Xm/(1-RAND())^(1/Alpha)))))</f>
        <v>0</v>
      </c>
      <c r="G276" s="19">
        <f ca="1">IF(RAND()&lt;P_Zero,0,IF(RAND()&lt;CondReturn,_xlfn.LOGNORM.INV(RAND(),MV2,Sigma1),IF(RAND()&lt;CondGood,_xlfn.LOGNORM.INV(RAND(),MV3,Sigma2),MIN(MaxMultiple,Xm/(1-RAND())^(1/Alpha)))))</f>
        <v>1.1076624030397799</v>
      </c>
      <c r="H276" s="19">
        <f ca="1">IF(RAND()&lt;P_Zero,0,IF(RAND()&lt;CondReturn,_xlfn.LOGNORM.INV(RAND(),MV2,Sigma1),IF(RAND()&lt;CondGood,_xlfn.LOGNORM.INV(RAND(),MV3,Sigma2),MIN(MaxMultiple,Xm/(1-RAND())^(1/Alpha)))))</f>
        <v>1.1116375402245253</v>
      </c>
      <c r="I276" s="19">
        <f ca="1">IF(RAND()&lt;P_Zero,0,IF(RAND()&lt;CondReturn,_xlfn.LOGNORM.INV(RAND(),MV2,Sigma1),IF(RAND()&lt;CondGood,_xlfn.LOGNORM.INV(RAND(),MV3,Sigma2),MIN(MaxMultiple,Xm/(1-RAND())^(1/Alpha)))))</f>
        <v>31.95345555617396</v>
      </c>
      <c r="J276" s="19">
        <f ca="1">IF(RAND()&lt;P_Zero,0,IF(RAND()&lt;CondReturn,_xlfn.LOGNORM.INV(RAND(),MV2,Sigma1),IF(RAND()&lt;CondGood,_xlfn.LOGNORM.INV(RAND(),MV3,Sigma2),MIN(MaxMultiple,Xm/(1-RAND())^(1/Alpha)))))</f>
        <v>0</v>
      </c>
      <c r="K276" s="19">
        <f ca="1">IF(RAND()&lt;P_Zero,0,IF(RAND()&lt;CondReturn,_xlfn.LOGNORM.INV(RAND(),MV2,Sigma1),IF(RAND()&lt;CondGood,_xlfn.LOGNORM.INV(RAND(),MV3,Sigma2),MIN(MaxMultiple,Xm/(1-RAND())^(1/Alpha)))))</f>
        <v>2.7192084413737092</v>
      </c>
      <c r="L276" s="19">
        <f ca="1">IF(RAND()&lt;P_Zero,0,IF(RAND()&lt;CondReturn,_xlfn.LOGNORM.INV(RAND(),MV2,Sigma1),IF(RAND()&lt;CondGood,_xlfn.LOGNORM.INV(RAND(),MV3,Sigma2),MIN(MaxMultiple,Xm/(1-RAND())^(1/Alpha)))))</f>
        <v>0</v>
      </c>
      <c r="M276" s="19">
        <f ca="1">IF(RAND()&lt;P_Zero,0,IF(RAND()&lt;CondReturn,_xlfn.LOGNORM.INV(RAND(),MV2,Sigma1),IF(RAND()&lt;CondGood,_xlfn.LOGNORM.INV(RAND(),MV3,Sigma2),MIN(MaxMultiple,Xm/(1-RAND())^(1/Alpha)))))</f>
        <v>3.54491451361995</v>
      </c>
      <c r="N276" s="19">
        <f ca="1">IF(RAND()&lt;P_Zero,0,IF(RAND()&lt;CondReturn,_xlfn.LOGNORM.INV(RAND(),MV2,Sigma1),IF(RAND()&lt;CondGood,_xlfn.LOGNORM.INV(RAND(),MV3,Sigma2),MIN(MaxMultiple,Xm/(1-RAND())^(1/Alpha)))))</f>
        <v>1.2829361964325525</v>
      </c>
      <c r="O276" s="19">
        <f ca="1">IF(RAND()&lt;P_Zero,0,IF(RAND()&lt;CondReturn,_xlfn.LOGNORM.INV(RAND(),MV2,Sigma1),IF(RAND()&lt;CondGood,_xlfn.LOGNORM.INV(RAND(),MV3,Sigma2),MIN(MaxMultiple,Xm/(1-RAND())^(1/Alpha)))))</f>
        <v>0</v>
      </c>
      <c r="P276" s="19">
        <f ca="1">IF(RAND()&lt;P_Zero,0,IF(RAND()&lt;CondReturn,_xlfn.LOGNORM.INV(RAND(),MV2,Sigma1),IF(RAND()&lt;CondGood,_xlfn.LOGNORM.INV(RAND(),MV3,Sigma2),MIN(MaxMultiple,Xm/(1-RAND())^(1/Alpha)))))</f>
        <v>0.94407197139074384</v>
      </c>
      <c r="Q276" s="19">
        <f ca="1">IF(RAND()&lt;P_Zero,0,IF(RAND()&lt;CondReturn,_xlfn.LOGNORM.INV(RAND(),MV2,Sigma1),IF(RAND()&lt;CondGood,_xlfn.LOGNORM.INV(RAND(),MV3,Sigma2),MIN(MaxMultiple,Xm/(1-RAND())^(1/Alpha)))))</f>
        <v>1.2038148248399421</v>
      </c>
      <c r="R276" s="19">
        <f ca="1">IF(RAND()&lt;P_Zero,0,IF(RAND()&lt;CondReturn,_xlfn.LOGNORM.INV(RAND(),MV2,Sigma1),IF(RAND()&lt;CondGood,_xlfn.LOGNORM.INV(RAND(),MV3,Sigma2),MIN(MaxMultiple,Xm/(1-RAND())^(1/Alpha)))))</f>
        <v>0.94930537168252016</v>
      </c>
      <c r="S276" s="19">
        <f ca="1">IF(RAND()&lt;P_Zero,0,IF(RAND()&lt;CondReturn,_xlfn.LOGNORM.INV(RAND(),MV2,Sigma1),IF(RAND()&lt;CondGood,_xlfn.LOGNORM.INV(RAND(),MV3,Sigma2),MIN(MaxMultiple,Xm/(1-RAND())^(1/Alpha)))))</f>
        <v>2.7571368069756348</v>
      </c>
      <c r="T276" s="19">
        <f ca="1">IF(RAND()&lt;P_Zero,0,IF(RAND()&lt;CondReturn,_xlfn.LOGNORM.INV(RAND(),MV2,Sigma1),IF(RAND()&lt;CondGood,_xlfn.LOGNORM.INV(RAND(),MV3,Sigma2),MIN(MaxMultiple,Xm/(1-RAND())^(1/Alpha)))))</f>
        <v>0.75743256532057057</v>
      </c>
      <c r="U276" s="19">
        <f ca="1">IF(RAND()&lt;P_Zero,0,IF(RAND()&lt;CondReturn,_xlfn.LOGNORM.INV(RAND(),MV2,Sigma1),IF(RAND()&lt;CondGood,_xlfn.LOGNORM.INV(RAND(),MV3,Sigma2),MIN(MaxMultiple,Xm/(1-RAND())^(1/Alpha)))))</f>
        <v>1.7240253670479462</v>
      </c>
      <c r="V276" s="19">
        <f ca="1">IF(RAND()&lt;P_Zero,0,IF(RAND()&lt;CondReturn,_xlfn.LOGNORM.INV(RAND(),MV2,Sigma1),IF(RAND()&lt;CondGood,_xlfn.LOGNORM.INV(RAND(),MV3,Sigma2),MIN(MaxMultiple,Xm/(1-RAND())^(1/Alpha)))))</f>
        <v>0.81457649637207452</v>
      </c>
      <c r="W276" s="19">
        <f ca="1">IF(RAND()&lt;P_Zero,0,IF(RAND()&lt;CondReturn,_xlfn.LOGNORM.INV(RAND(),MV2,Sigma1),IF(RAND()&lt;CondGood,_xlfn.LOGNORM.INV(RAND(),MV3,Sigma2),MIN(MaxMultiple,Xm/(1-RAND())^(1/Alpha)))))</f>
        <v>0.465681672393847</v>
      </c>
      <c r="X276" s="19">
        <f ca="1">IF(RAND()&lt;P_Zero,0,IF(RAND()&lt;CondReturn,_xlfn.LOGNORM.INV(RAND(),MV2,Sigma1),IF(RAND()&lt;CondGood,_xlfn.LOGNORM.INV(RAND(),MV3,Sigma2),MIN(MaxMultiple,Xm/(1-RAND())^(1/Alpha)))))</f>
        <v>0</v>
      </c>
      <c r="Y276" s="19">
        <f ca="1">IF(RAND()&lt;P_Zero,0,IF(RAND()&lt;CondReturn,_xlfn.LOGNORM.INV(RAND(),MV2,Sigma1),IF(RAND()&lt;CondGood,_xlfn.LOGNORM.INV(RAND(),MV3,Sigma2),MIN(MaxMultiple,Xm/(1-RAND())^(1/Alpha)))))</f>
        <v>0</v>
      </c>
      <c r="Z276" s="19">
        <f ca="1">IF(RAND()&lt;P_Zero,0,IF(RAND()&lt;CondReturn,_xlfn.LOGNORM.INV(RAND(),MV2,Sigma1),IF(RAND()&lt;CondGood,_xlfn.LOGNORM.INV(RAND(),MV3,Sigma2),MIN(MaxMultiple,Xm/(1-RAND())^(1/Alpha)))))</f>
        <v>0</v>
      </c>
      <c r="AA276" s="19">
        <f ca="1">IF(RAND()&lt;P_Zero,0,IF(RAND()&lt;CondReturn,_xlfn.LOGNORM.INV(RAND(),MV2,Sigma1),IF(RAND()&lt;CondGood,_xlfn.LOGNORM.INV(RAND(),MV3,Sigma2),MIN(MaxMultiple,Xm/(1-RAND())^(1/Alpha)))))</f>
        <v>0</v>
      </c>
      <c r="AB276" s="19">
        <f t="shared" ca="1" si="32"/>
        <v>2.2401634803651849</v>
      </c>
      <c r="AC276" s="14">
        <f t="shared" ca="1" si="33"/>
        <v>107527847.05752887</v>
      </c>
      <c r="AD276" s="14">
        <f t="shared" ca="1" si="34"/>
        <v>59527847.057528868</v>
      </c>
      <c r="AE276" s="14">
        <f t="shared" si="35"/>
        <v>55628399.869093813</v>
      </c>
      <c r="AF276" s="14">
        <f t="shared" ca="1" si="36"/>
        <v>3899447.1884350553</v>
      </c>
      <c r="AG276" s="14">
        <f t="shared" ca="1" si="37"/>
        <v>779889.43768701109</v>
      </c>
      <c r="AH276" s="14">
        <f t="shared" ca="1" si="38"/>
        <v>106747957.61984186</v>
      </c>
      <c r="AI276" s="19">
        <f t="shared" ca="1" si="39"/>
        <v>1.7791326269973644</v>
      </c>
    </row>
    <row r="277" spans="2:35" x14ac:dyDescent="0.2">
      <c r="B277" s="1">
        <v>272</v>
      </c>
      <c r="C277" s="19">
        <f ca="1">IF(RAND()&lt;P_Zero,0,IF(RAND()&lt;CondReturn,_xlfn.LOGNORM.INV(RAND(),MV2,Sigma1),IF(RAND()&lt;CondGood,_xlfn.LOGNORM.INV(RAND(),MV3,Sigma2),MIN(MaxMultiple,Xm/(1-RAND())^(1/Alpha)))))</f>
        <v>0.79889959786597842</v>
      </c>
      <c r="D277" s="19">
        <f ca="1">IF(RAND()&lt;P_Zero,0,IF(RAND()&lt;CondReturn,_xlfn.LOGNORM.INV(RAND(),MV2,Sigma1),IF(RAND()&lt;CondGood,_xlfn.LOGNORM.INV(RAND(),MV3,Sigma2),MIN(MaxMultiple,Xm/(1-RAND())^(1/Alpha)))))</f>
        <v>0.68816709759758332</v>
      </c>
      <c r="E277" s="19">
        <f ca="1">IF(RAND()&lt;P_Zero,0,IF(RAND()&lt;CondReturn,_xlfn.LOGNORM.INV(RAND(),MV2,Sigma1),IF(RAND()&lt;CondGood,_xlfn.LOGNORM.INV(RAND(),MV3,Sigma2),MIN(MaxMultiple,Xm/(1-RAND())^(1/Alpha)))))</f>
        <v>0</v>
      </c>
      <c r="F277" s="19">
        <f ca="1">IF(RAND()&lt;P_Zero,0,IF(RAND()&lt;CondReturn,_xlfn.LOGNORM.INV(RAND(),MV2,Sigma1),IF(RAND()&lt;CondGood,_xlfn.LOGNORM.INV(RAND(),MV3,Sigma2),MIN(MaxMultiple,Xm/(1-RAND())^(1/Alpha)))))</f>
        <v>0.31676342881937875</v>
      </c>
      <c r="G277" s="19">
        <f ca="1">IF(RAND()&lt;P_Zero,0,IF(RAND()&lt;CondReturn,_xlfn.LOGNORM.INV(RAND(),MV2,Sigma1),IF(RAND()&lt;CondGood,_xlfn.LOGNORM.INV(RAND(),MV3,Sigma2),MIN(MaxMultiple,Xm/(1-RAND())^(1/Alpha)))))</f>
        <v>0</v>
      </c>
      <c r="H277" s="19">
        <f ca="1">IF(RAND()&lt;P_Zero,0,IF(RAND()&lt;CondReturn,_xlfn.LOGNORM.INV(RAND(),MV2,Sigma1),IF(RAND()&lt;CondGood,_xlfn.LOGNORM.INV(RAND(),MV3,Sigma2),MIN(MaxMultiple,Xm/(1-RAND())^(1/Alpha)))))</f>
        <v>0</v>
      </c>
      <c r="I277" s="19">
        <f ca="1">IF(RAND()&lt;P_Zero,0,IF(RAND()&lt;CondReturn,_xlfn.LOGNORM.INV(RAND(),MV2,Sigma1),IF(RAND()&lt;CondGood,_xlfn.LOGNORM.INV(RAND(),MV3,Sigma2),MIN(MaxMultiple,Xm/(1-RAND())^(1/Alpha)))))</f>
        <v>1.1830639206709126</v>
      </c>
      <c r="J277" s="19">
        <f ca="1">IF(RAND()&lt;P_Zero,0,IF(RAND()&lt;CondReturn,_xlfn.LOGNORM.INV(RAND(),MV2,Sigma1),IF(RAND()&lt;CondGood,_xlfn.LOGNORM.INV(RAND(),MV3,Sigma2),MIN(MaxMultiple,Xm/(1-RAND())^(1/Alpha)))))</f>
        <v>0</v>
      </c>
      <c r="K277" s="19">
        <f ca="1">IF(RAND()&lt;P_Zero,0,IF(RAND()&lt;CondReturn,_xlfn.LOGNORM.INV(RAND(),MV2,Sigma1),IF(RAND()&lt;CondGood,_xlfn.LOGNORM.INV(RAND(),MV3,Sigma2),MIN(MaxMultiple,Xm/(1-RAND())^(1/Alpha)))))</f>
        <v>0</v>
      </c>
      <c r="L277" s="19">
        <f ca="1">IF(RAND()&lt;P_Zero,0,IF(RAND()&lt;CondReturn,_xlfn.LOGNORM.INV(RAND(),MV2,Sigma1),IF(RAND()&lt;CondGood,_xlfn.LOGNORM.INV(RAND(),MV3,Sigma2),MIN(MaxMultiple,Xm/(1-RAND())^(1/Alpha)))))</f>
        <v>0.67685222382667398</v>
      </c>
      <c r="M277" s="19">
        <f ca="1">IF(RAND()&lt;P_Zero,0,IF(RAND()&lt;CondReturn,_xlfn.LOGNORM.INV(RAND(),MV2,Sigma1),IF(RAND()&lt;CondGood,_xlfn.LOGNORM.INV(RAND(),MV3,Sigma2),MIN(MaxMultiple,Xm/(1-RAND())^(1/Alpha)))))</f>
        <v>0.84006440160018092</v>
      </c>
      <c r="N277" s="19">
        <f ca="1">IF(RAND()&lt;P_Zero,0,IF(RAND()&lt;CondReturn,_xlfn.LOGNORM.INV(RAND(),MV2,Sigma1),IF(RAND()&lt;CondGood,_xlfn.LOGNORM.INV(RAND(),MV3,Sigma2),MIN(MaxMultiple,Xm/(1-RAND())^(1/Alpha)))))</f>
        <v>0</v>
      </c>
      <c r="O277" s="19">
        <f ca="1">IF(RAND()&lt;P_Zero,0,IF(RAND()&lt;CondReturn,_xlfn.LOGNORM.INV(RAND(),MV2,Sigma1),IF(RAND()&lt;CondGood,_xlfn.LOGNORM.INV(RAND(),MV3,Sigma2),MIN(MaxMultiple,Xm/(1-RAND())^(1/Alpha)))))</f>
        <v>0</v>
      </c>
      <c r="P277" s="19">
        <f ca="1">IF(RAND()&lt;P_Zero,0,IF(RAND()&lt;CondReturn,_xlfn.LOGNORM.INV(RAND(),MV2,Sigma1),IF(RAND()&lt;CondGood,_xlfn.LOGNORM.INV(RAND(),MV3,Sigma2),MIN(MaxMultiple,Xm/(1-RAND())^(1/Alpha)))))</f>
        <v>0.31535407392011094</v>
      </c>
      <c r="Q277" s="19">
        <f ca="1">IF(RAND()&lt;P_Zero,0,IF(RAND()&lt;CondReturn,_xlfn.LOGNORM.INV(RAND(),MV2,Sigma1),IF(RAND()&lt;CondGood,_xlfn.LOGNORM.INV(RAND(),MV3,Sigma2),MIN(MaxMultiple,Xm/(1-RAND())^(1/Alpha)))))</f>
        <v>1.2448719535762929</v>
      </c>
      <c r="R277" s="19">
        <f ca="1">IF(RAND()&lt;P_Zero,0,IF(RAND()&lt;CondReturn,_xlfn.LOGNORM.INV(RAND(),MV2,Sigma1),IF(RAND()&lt;CondGood,_xlfn.LOGNORM.INV(RAND(),MV3,Sigma2),MIN(MaxMultiple,Xm/(1-RAND())^(1/Alpha)))))</f>
        <v>0</v>
      </c>
      <c r="S277" s="19">
        <f ca="1">IF(RAND()&lt;P_Zero,0,IF(RAND()&lt;CondReturn,_xlfn.LOGNORM.INV(RAND(),MV2,Sigma1),IF(RAND()&lt;CondGood,_xlfn.LOGNORM.INV(RAND(),MV3,Sigma2),MIN(MaxMultiple,Xm/(1-RAND())^(1/Alpha)))))</f>
        <v>0.77620722978084056</v>
      </c>
      <c r="T277" s="19">
        <f ca="1">IF(RAND()&lt;P_Zero,0,IF(RAND()&lt;CondReturn,_xlfn.LOGNORM.INV(RAND(),MV2,Sigma1),IF(RAND()&lt;CondGood,_xlfn.LOGNORM.INV(RAND(),MV3,Sigma2),MIN(MaxMultiple,Xm/(1-RAND())^(1/Alpha)))))</f>
        <v>0</v>
      </c>
      <c r="U277" s="19">
        <f ca="1">IF(RAND()&lt;P_Zero,0,IF(RAND()&lt;CondReturn,_xlfn.LOGNORM.INV(RAND(),MV2,Sigma1),IF(RAND()&lt;CondGood,_xlfn.LOGNORM.INV(RAND(),MV3,Sigma2),MIN(MaxMultiple,Xm/(1-RAND())^(1/Alpha)))))</f>
        <v>0</v>
      </c>
      <c r="V277" s="19">
        <f ca="1">IF(RAND()&lt;P_Zero,0,IF(RAND()&lt;CondReturn,_xlfn.LOGNORM.INV(RAND(),MV2,Sigma1),IF(RAND()&lt;CondGood,_xlfn.LOGNORM.INV(RAND(),MV3,Sigma2),MIN(MaxMultiple,Xm/(1-RAND())^(1/Alpha)))))</f>
        <v>1.1825111144736491</v>
      </c>
      <c r="W277" s="19">
        <f ca="1">IF(RAND()&lt;P_Zero,0,IF(RAND()&lt;CondReturn,_xlfn.LOGNORM.INV(RAND(),MV2,Sigma1),IF(RAND()&lt;CondGood,_xlfn.LOGNORM.INV(RAND(),MV3,Sigma2),MIN(MaxMultiple,Xm/(1-RAND())^(1/Alpha)))))</f>
        <v>10.062543392478966</v>
      </c>
      <c r="X277" s="19">
        <f ca="1">IF(RAND()&lt;P_Zero,0,IF(RAND()&lt;CondReturn,_xlfn.LOGNORM.INV(RAND(),MV2,Sigma1),IF(RAND()&lt;CondGood,_xlfn.LOGNORM.INV(RAND(),MV3,Sigma2),MIN(MaxMultiple,Xm/(1-RAND())^(1/Alpha)))))</f>
        <v>0.86423536164809467</v>
      </c>
      <c r="Y277" s="19">
        <f ca="1">IF(RAND()&lt;P_Zero,0,IF(RAND()&lt;CondReturn,_xlfn.LOGNORM.INV(RAND(),MV2,Sigma1),IF(RAND()&lt;CondGood,_xlfn.LOGNORM.INV(RAND(),MV3,Sigma2),MIN(MaxMultiple,Xm/(1-RAND())^(1/Alpha)))))</f>
        <v>0</v>
      </c>
      <c r="Z277" s="19">
        <f ca="1">IF(RAND()&lt;P_Zero,0,IF(RAND()&lt;CondReturn,_xlfn.LOGNORM.INV(RAND(),MV2,Sigma1),IF(RAND()&lt;CondGood,_xlfn.LOGNORM.INV(RAND(),MV3,Sigma2),MIN(MaxMultiple,Xm/(1-RAND())^(1/Alpha)))))</f>
        <v>0.41702563533662945</v>
      </c>
      <c r="AA277" s="19">
        <f ca="1">IF(RAND()&lt;P_Zero,0,IF(RAND()&lt;CondReturn,_xlfn.LOGNORM.INV(RAND(),MV2,Sigma1),IF(RAND()&lt;CondGood,_xlfn.LOGNORM.INV(RAND(),MV3,Sigma2),MIN(MaxMultiple,Xm/(1-RAND())^(1/Alpha)))))</f>
        <v>2.6247817418393793</v>
      </c>
      <c r="AB277" s="19">
        <f t="shared" ca="1" si="32"/>
        <v>0.8796536469373869</v>
      </c>
      <c r="AC277" s="14">
        <f t="shared" ca="1" si="33"/>
        <v>42223375.052994572</v>
      </c>
      <c r="AD277" s="14">
        <f t="shared" ca="1" si="34"/>
        <v>-5776624.9470054284</v>
      </c>
      <c r="AE277" s="14">
        <f t="shared" si="35"/>
        <v>55628399.869093813</v>
      </c>
      <c r="AF277" s="14">
        <f t="shared" ca="1" si="36"/>
        <v>0</v>
      </c>
      <c r="AG277" s="14">
        <f t="shared" ca="1" si="37"/>
        <v>0</v>
      </c>
      <c r="AH277" s="14">
        <f t="shared" ca="1" si="38"/>
        <v>42223375.052994572</v>
      </c>
      <c r="AI277" s="19">
        <f t="shared" ca="1" si="39"/>
        <v>0.70372291754990957</v>
      </c>
    </row>
    <row r="278" spans="2:35" x14ac:dyDescent="0.2">
      <c r="B278" s="1">
        <v>273</v>
      </c>
      <c r="C278" s="19">
        <f ca="1">IF(RAND()&lt;P_Zero,0,IF(RAND()&lt;CondReturn,_xlfn.LOGNORM.INV(RAND(),MV2,Sigma1),IF(RAND()&lt;CondGood,_xlfn.LOGNORM.INV(RAND(),MV3,Sigma2),MIN(MaxMultiple,Xm/(1-RAND())^(1/Alpha)))))</f>
        <v>0.92688618036124815</v>
      </c>
      <c r="D278" s="19">
        <f ca="1">IF(RAND()&lt;P_Zero,0,IF(RAND()&lt;CondReturn,_xlfn.LOGNORM.INV(RAND(),MV2,Sigma1),IF(RAND()&lt;CondGood,_xlfn.LOGNORM.INV(RAND(),MV3,Sigma2),MIN(MaxMultiple,Xm/(1-RAND())^(1/Alpha)))))</f>
        <v>0.49466031560078072</v>
      </c>
      <c r="E278" s="19">
        <f ca="1">IF(RAND()&lt;P_Zero,0,IF(RAND()&lt;CondReturn,_xlfn.LOGNORM.INV(RAND(),MV2,Sigma1),IF(RAND()&lt;CondGood,_xlfn.LOGNORM.INV(RAND(),MV3,Sigma2),MIN(MaxMultiple,Xm/(1-RAND())^(1/Alpha)))))</f>
        <v>0</v>
      </c>
      <c r="F278" s="19">
        <f ca="1">IF(RAND()&lt;P_Zero,0,IF(RAND()&lt;CondReturn,_xlfn.LOGNORM.INV(RAND(),MV2,Sigma1),IF(RAND()&lt;CondGood,_xlfn.LOGNORM.INV(RAND(),MV3,Sigma2),MIN(MaxMultiple,Xm/(1-RAND())^(1/Alpha)))))</f>
        <v>14.429077096527651</v>
      </c>
      <c r="G278" s="19">
        <f ca="1">IF(RAND()&lt;P_Zero,0,IF(RAND()&lt;CondReturn,_xlfn.LOGNORM.INV(RAND(),MV2,Sigma1),IF(RAND()&lt;CondGood,_xlfn.LOGNORM.INV(RAND(),MV3,Sigma2),MIN(MaxMultiple,Xm/(1-RAND())^(1/Alpha)))))</f>
        <v>0</v>
      </c>
      <c r="H278" s="19">
        <f ca="1">IF(RAND()&lt;P_Zero,0,IF(RAND()&lt;CondReturn,_xlfn.LOGNORM.INV(RAND(),MV2,Sigma1),IF(RAND()&lt;CondGood,_xlfn.LOGNORM.INV(RAND(),MV3,Sigma2),MIN(MaxMultiple,Xm/(1-RAND())^(1/Alpha)))))</f>
        <v>0</v>
      </c>
      <c r="I278" s="19">
        <f ca="1">IF(RAND()&lt;P_Zero,0,IF(RAND()&lt;CondReturn,_xlfn.LOGNORM.INV(RAND(),MV2,Sigma1),IF(RAND()&lt;CondGood,_xlfn.LOGNORM.INV(RAND(),MV3,Sigma2),MIN(MaxMultiple,Xm/(1-RAND())^(1/Alpha)))))</f>
        <v>0</v>
      </c>
      <c r="J278" s="19">
        <f ca="1">IF(RAND()&lt;P_Zero,0,IF(RAND()&lt;CondReturn,_xlfn.LOGNORM.INV(RAND(),MV2,Sigma1),IF(RAND()&lt;CondGood,_xlfn.LOGNORM.INV(RAND(),MV3,Sigma2),MIN(MaxMultiple,Xm/(1-RAND())^(1/Alpha)))))</f>
        <v>0.861528121131379</v>
      </c>
      <c r="K278" s="19">
        <f ca="1">IF(RAND()&lt;P_Zero,0,IF(RAND()&lt;CondReturn,_xlfn.LOGNORM.INV(RAND(),MV2,Sigma1),IF(RAND()&lt;CondGood,_xlfn.LOGNORM.INV(RAND(),MV3,Sigma2),MIN(MaxMultiple,Xm/(1-RAND())^(1/Alpha)))))</f>
        <v>0</v>
      </c>
      <c r="L278" s="19">
        <f ca="1">IF(RAND()&lt;P_Zero,0,IF(RAND()&lt;CondReturn,_xlfn.LOGNORM.INV(RAND(),MV2,Sigma1),IF(RAND()&lt;CondGood,_xlfn.LOGNORM.INV(RAND(),MV3,Sigma2),MIN(MaxMultiple,Xm/(1-RAND())^(1/Alpha)))))</f>
        <v>17.678538306283084</v>
      </c>
      <c r="M278" s="19">
        <f ca="1">IF(RAND()&lt;P_Zero,0,IF(RAND()&lt;CondReturn,_xlfn.LOGNORM.INV(RAND(),MV2,Sigma1),IF(RAND()&lt;CondGood,_xlfn.LOGNORM.INV(RAND(),MV3,Sigma2),MIN(MaxMultiple,Xm/(1-RAND())^(1/Alpha)))))</f>
        <v>1.085833628251637</v>
      </c>
      <c r="N278" s="19">
        <f ca="1">IF(RAND()&lt;P_Zero,0,IF(RAND()&lt;CondReturn,_xlfn.LOGNORM.INV(RAND(),MV2,Sigma1),IF(RAND()&lt;CondGood,_xlfn.LOGNORM.INV(RAND(),MV3,Sigma2),MIN(MaxMultiple,Xm/(1-RAND())^(1/Alpha)))))</f>
        <v>0</v>
      </c>
      <c r="O278" s="19">
        <f ca="1">IF(RAND()&lt;P_Zero,0,IF(RAND()&lt;CondReturn,_xlfn.LOGNORM.INV(RAND(),MV2,Sigma1),IF(RAND()&lt;CondGood,_xlfn.LOGNORM.INV(RAND(),MV3,Sigma2),MIN(MaxMultiple,Xm/(1-RAND())^(1/Alpha)))))</f>
        <v>0</v>
      </c>
      <c r="P278" s="19">
        <f ca="1">IF(RAND()&lt;P_Zero,0,IF(RAND()&lt;CondReturn,_xlfn.LOGNORM.INV(RAND(),MV2,Sigma1),IF(RAND()&lt;CondGood,_xlfn.LOGNORM.INV(RAND(),MV3,Sigma2),MIN(MaxMultiple,Xm/(1-RAND())^(1/Alpha)))))</f>
        <v>1.0066411488065299</v>
      </c>
      <c r="Q278" s="19">
        <f ca="1">IF(RAND()&lt;P_Zero,0,IF(RAND()&lt;CondReturn,_xlfn.LOGNORM.INV(RAND(),MV2,Sigma1),IF(RAND()&lt;CondGood,_xlfn.LOGNORM.INV(RAND(),MV3,Sigma2),MIN(MaxMultiple,Xm/(1-RAND())^(1/Alpha)))))</f>
        <v>0</v>
      </c>
      <c r="R278" s="19">
        <f ca="1">IF(RAND()&lt;P_Zero,0,IF(RAND()&lt;CondReturn,_xlfn.LOGNORM.INV(RAND(),MV2,Sigma1),IF(RAND()&lt;CondGood,_xlfn.LOGNORM.INV(RAND(),MV3,Sigma2),MIN(MaxMultiple,Xm/(1-RAND())^(1/Alpha)))))</f>
        <v>2.0207883947135534</v>
      </c>
      <c r="S278" s="19">
        <f ca="1">IF(RAND()&lt;P_Zero,0,IF(RAND()&lt;CondReturn,_xlfn.LOGNORM.INV(RAND(),MV2,Sigma1),IF(RAND()&lt;CondGood,_xlfn.LOGNORM.INV(RAND(),MV3,Sigma2),MIN(MaxMultiple,Xm/(1-RAND())^(1/Alpha)))))</f>
        <v>0.54561664888975014</v>
      </c>
      <c r="T278" s="19">
        <f ca="1">IF(RAND()&lt;P_Zero,0,IF(RAND()&lt;CondReturn,_xlfn.LOGNORM.INV(RAND(),MV2,Sigma1),IF(RAND()&lt;CondGood,_xlfn.LOGNORM.INV(RAND(),MV3,Sigma2),MIN(MaxMultiple,Xm/(1-RAND())^(1/Alpha)))))</f>
        <v>0</v>
      </c>
      <c r="U278" s="19">
        <f ca="1">IF(RAND()&lt;P_Zero,0,IF(RAND()&lt;CondReturn,_xlfn.LOGNORM.INV(RAND(),MV2,Sigma1),IF(RAND()&lt;CondGood,_xlfn.LOGNORM.INV(RAND(),MV3,Sigma2),MIN(MaxMultiple,Xm/(1-RAND())^(1/Alpha)))))</f>
        <v>0.56545036515805214</v>
      </c>
      <c r="V278" s="19">
        <f ca="1">IF(RAND()&lt;P_Zero,0,IF(RAND()&lt;CondReturn,_xlfn.LOGNORM.INV(RAND(),MV2,Sigma1),IF(RAND()&lt;CondGood,_xlfn.LOGNORM.INV(RAND(),MV3,Sigma2),MIN(MaxMultiple,Xm/(1-RAND())^(1/Alpha)))))</f>
        <v>0.89248916771677811</v>
      </c>
      <c r="W278" s="19">
        <f ca="1">IF(RAND()&lt;P_Zero,0,IF(RAND()&lt;CondReturn,_xlfn.LOGNORM.INV(RAND(),MV2,Sigma1),IF(RAND()&lt;CondGood,_xlfn.LOGNORM.INV(RAND(),MV3,Sigma2),MIN(MaxMultiple,Xm/(1-RAND())^(1/Alpha)))))</f>
        <v>0.67169811081329034</v>
      </c>
      <c r="X278" s="19">
        <f ca="1">IF(RAND()&lt;P_Zero,0,IF(RAND()&lt;CondReturn,_xlfn.LOGNORM.INV(RAND(),MV2,Sigma1),IF(RAND()&lt;CondGood,_xlfn.LOGNORM.INV(RAND(),MV3,Sigma2),MIN(MaxMultiple,Xm/(1-RAND())^(1/Alpha)))))</f>
        <v>0</v>
      </c>
      <c r="Y278" s="19">
        <f ca="1">IF(RAND()&lt;P_Zero,0,IF(RAND()&lt;CondReturn,_xlfn.LOGNORM.INV(RAND(),MV2,Sigma1),IF(RAND()&lt;CondGood,_xlfn.LOGNORM.INV(RAND(),MV3,Sigma2),MIN(MaxMultiple,Xm/(1-RAND())^(1/Alpha)))))</f>
        <v>0.57166271920548262</v>
      </c>
      <c r="Z278" s="19">
        <f ca="1">IF(RAND()&lt;P_Zero,0,IF(RAND()&lt;CondReturn,_xlfn.LOGNORM.INV(RAND(),MV2,Sigma1),IF(RAND()&lt;CondGood,_xlfn.LOGNORM.INV(RAND(),MV3,Sigma2),MIN(MaxMultiple,Xm/(1-RAND())^(1/Alpha)))))</f>
        <v>0</v>
      </c>
      <c r="AA278" s="19">
        <f ca="1">IF(RAND()&lt;P_Zero,0,IF(RAND()&lt;CondReturn,_xlfn.LOGNORM.INV(RAND(),MV2,Sigma1),IF(RAND()&lt;CondGood,_xlfn.LOGNORM.INV(RAND(),MV3,Sigma2),MIN(MaxMultiple,Xm/(1-RAND())^(1/Alpha)))))</f>
        <v>0</v>
      </c>
      <c r="AB278" s="19">
        <f t="shared" ca="1" si="32"/>
        <v>1.6700348081383682</v>
      </c>
      <c r="AC278" s="14">
        <f t="shared" ca="1" si="33"/>
        <v>80161670.79064168</v>
      </c>
      <c r="AD278" s="14">
        <f t="shared" ca="1" si="34"/>
        <v>32161670.79064168</v>
      </c>
      <c r="AE278" s="14">
        <f t="shared" si="35"/>
        <v>55628399.869093813</v>
      </c>
      <c r="AF278" s="14">
        <f t="shared" ca="1" si="36"/>
        <v>0</v>
      </c>
      <c r="AG278" s="14">
        <f t="shared" ca="1" si="37"/>
        <v>0</v>
      </c>
      <c r="AH278" s="14">
        <f t="shared" ca="1" si="38"/>
        <v>80161670.79064168</v>
      </c>
      <c r="AI278" s="19">
        <f t="shared" ca="1" si="39"/>
        <v>1.3360278465106947</v>
      </c>
    </row>
    <row r="279" spans="2:35" x14ac:dyDescent="0.2">
      <c r="B279" s="1">
        <v>274</v>
      </c>
      <c r="C279" s="19">
        <f ca="1">IF(RAND()&lt;P_Zero,0,IF(RAND()&lt;CondReturn,_xlfn.LOGNORM.INV(RAND(),MV2,Sigma1),IF(RAND()&lt;CondGood,_xlfn.LOGNORM.INV(RAND(),MV3,Sigma2),MIN(MaxMultiple,Xm/(1-RAND())^(1/Alpha)))))</f>
        <v>0</v>
      </c>
      <c r="D279" s="19">
        <f ca="1">IF(RAND()&lt;P_Zero,0,IF(RAND()&lt;CondReturn,_xlfn.LOGNORM.INV(RAND(),MV2,Sigma1),IF(RAND()&lt;CondGood,_xlfn.LOGNORM.INV(RAND(),MV3,Sigma2),MIN(MaxMultiple,Xm/(1-RAND())^(1/Alpha)))))</f>
        <v>0</v>
      </c>
      <c r="E279" s="19">
        <f ca="1">IF(RAND()&lt;P_Zero,0,IF(RAND()&lt;CondReturn,_xlfn.LOGNORM.INV(RAND(),MV2,Sigma1),IF(RAND()&lt;CondGood,_xlfn.LOGNORM.INV(RAND(),MV3,Sigma2),MIN(MaxMultiple,Xm/(1-RAND())^(1/Alpha)))))</f>
        <v>0</v>
      </c>
      <c r="F279" s="19">
        <f ca="1">IF(RAND()&lt;P_Zero,0,IF(RAND()&lt;CondReturn,_xlfn.LOGNORM.INV(RAND(),MV2,Sigma1),IF(RAND()&lt;CondGood,_xlfn.LOGNORM.INV(RAND(),MV3,Sigma2),MIN(MaxMultiple,Xm/(1-RAND())^(1/Alpha)))))</f>
        <v>0</v>
      </c>
      <c r="G279" s="19">
        <f ca="1">IF(RAND()&lt;P_Zero,0,IF(RAND()&lt;CondReturn,_xlfn.LOGNORM.INV(RAND(),MV2,Sigma1),IF(RAND()&lt;CondGood,_xlfn.LOGNORM.INV(RAND(),MV3,Sigma2),MIN(MaxMultiple,Xm/(1-RAND())^(1/Alpha)))))</f>
        <v>0</v>
      </c>
      <c r="H279" s="19">
        <f ca="1">IF(RAND()&lt;P_Zero,0,IF(RAND()&lt;CondReturn,_xlfn.LOGNORM.INV(RAND(),MV2,Sigma1),IF(RAND()&lt;CondGood,_xlfn.LOGNORM.INV(RAND(),MV3,Sigma2),MIN(MaxMultiple,Xm/(1-RAND())^(1/Alpha)))))</f>
        <v>0.74040961635787006</v>
      </c>
      <c r="I279" s="19">
        <f ca="1">IF(RAND()&lt;P_Zero,0,IF(RAND()&lt;CondReturn,_xlfn.LOGNORM.INV(RAND(),MV2,Sigma1),IF(RAND()&lt;CondGood,_xlfn.LOGNORM.INV(RAND(),MV3,Sigma2),MIN(MaxMultiple,Xm/(1-RAND())^(1/Alpha)))))</f>
        <v>1.1488041664448825</v>
      </c>
      <c r="J279" s="19">
        <f ca="1">IF(RAND()&lt;P_Zero,0,IF(RAND()&lt;CondReturn,_xlfn.LOGNORM.INV(RAND(),MV2,Sigma1),IF(RAND()&lt;CondGood,_xlfn.LOGNORM.INV(RAND(),MV3,Sigma2),MIN(MaxMultiple,Xm/(1-RAND())^(1/Alpha)))))</f>
        <v>1.7593840782068855</v>
      </c>
      <c r="K279" s="19">
        <f ca="1">IF(RAND()&lt;P_Zero,0,IF(RAND()&lt;CondReturn,_xlfn.LOGNORM.INV(RAND(),MV2,Sigma1),IF(RAND()&lt;CondGood,_xlfn.LOGNORM.INV(RAND(),MV3,Sigma2),MIN(MaxMultiple,Xm/(1-RAND())^(1/Alpha)))))</f>
        <v>1.8439918862744564</v>
      </c>
      <c r="L279" s="19">
        <f ca="1">IF(RAND()&lt;P_Zero,0,IF(RAND()&lt;CondReturn,_xlfn.LOGNORM.INV(RAND(),MV2,Sigma1),IF(RAND()&lt;CondGood,_xlfn.LOGNORM.INV(RAND(),MV3,Sigma2),MIN(MaxMultiple,Xm/(1-RAND())^(1/Alpha)))))</f>
        <v>1.3488536713492383</v>
      </c>
      <c r="M279" s="19">
        <f ca="1">IF(RAND()&lt;P_Zero,0,IF(RAND()&lt;CondReturn,_xlfn.LOGNORM.INV(RAND(),MV2,Sigma1),IF(RAND()&lt;CondGood,_xlfn.LOGNORM.INV(RAND(),MV3,Sigma2),MIN(MaxMultiple,Xm/(1-RAND())^(1/Alpha)))))</f>
        <v>1.3195700440579996</v>
      </c>
      <c r="N279" s="19">
        <f ca="1">IF(RAND()&lt;P_Zero,0,IF(RAND()&lt;CondReturn,_xlfn.LOGNORM.INV(RAND(),MV2,Sigma1),IF(RAND()&lt;CondGood,_xlfn.LOGNORM.INV(RAND(),MV3,Sigma2),MIN(MaxMultiple,Xm/(1-RAND())^(1/Alpha)))))</f>
        <v>0</v>
      </c>
      <c r="O279" s="19">
        <f ca="1">IF(RAND()&lt;P_Zero,0,IF(RAND()&lt;CondReturn,_xlfn.LOGNORM.INV(RAND(),MV2,Sigma1),IF(RAND()&lt;CondGood,_xlfn.LOGNORM.INV(RAND(),MV3,Sigma2),MIN(MaxMultiple,Xm/(1-RAND())^(1/Alpha)))))</f>
        <v>1.1896950364262038</v>
      </c>
      <c r="P279" s="19">
        <f ca="1">IF(RAND()&lt;P_Zero,0,IF(RAND()&lt;CondReturn,_xlfn.LOGNORM.INV(RAND(),MV2,Sigma1),IF(RAND()&lt;CondGood,_xlfn.LOGNORM.INV(RAND(),MV3,Sigma2),MIN(MaxMultiple,Xm/(1-RAND())^(1/Alpha)))))</f>
        <v>0</v>
      </c>
      <c r="Q279" s="19">
        <f ca="1">IF(RAND()&lt;P_Zero,0,IF(RAND()&lt;CondReturn,_xlfn.LOGNORM.INV(RAND(),MV2,Sigma1),IF(RAND()&lt;CondGood,_xlfn.LOGNORM.INV(RAND(),MV3,Sigma2),MIN(MaxMultiple,Xm/(1-RAND())^(1/Alpha)))))</f>
        <v>0</v>
      </c>
      <c r="R279" s="19">
        <f ca="1">IF(RAND()&lt;P_Zero,0,IF(RAND()&lt;CondReturn,_xlfn.LOGNORM.INV(RAND(),MV2,Sigma1),IF(RAND()&lt;CondGood,_xlfn.LOGNORM.INV(RAND(),MV3,Sigma2),MIN(MaxMultiple,Xm/(1-RAND())^(1/Alpha)))))</f>
        <v>1.8498254282646183</v>
      </c>
      <c r="S279" s="19">
        <f ca="1">IF(RAND()&lt;P_Zero,0,IF(RAND()&lt;CondReturn,_xlfn.LOGNORM.INV(RAND(),MV2,Sigma1),IF(RAND()&lt;CondGood,_xlfn.LOGNORM.INV(RAND(),MV3,Sigma2),MIN(MaxMultiple,Xm/(1-RAND())^(1/Alpha)))))</f>
        <v>0.85556570119781838</v>
      </c>
      <c r="T279" s="19">
        <f ca="1">IF(RAND()&lt;P_Zero,0,IF(RAND()&lt;CondReturn,_xlfn.LOGNORM.INV(RAND(),MV2,Sigma1),IF(RAND()&lt;CondGood,_xlfn.LOGNORM.INV(RAND(),MV3,Sigma2),MIN(MaxMultiple,Xm/(1-RAND())^(1/Alpha)))))</f>
        <v>1.355610822664874</v>
      </c>
      <c r="U279" s="19">
        <f ca="1">IF(RAND()&lt;P_Zero,0,IF(RAND()&lt;CondReturn,_xlfn.LOGNORM.INV(RAND(),MV2,Sigma1),IF(RAND()&lt;CondGood,_xlfn.LOGNORM.INV(RAND(),MV3,Sigma2),MIN(MaxMultiple,Xm/(1-RAND())^(1/Alpha)))))</f>
        <v>1.5058813743694253</v>
      </c>
      <c r="V279" s="19">
        <f ca="1">IF(RAND()&lt;P_Zero,0,IF(RAND()&lt;CondReturn,_xlfn.LOGNORM.INV(RAND(),MV2,Sigma1),IF(RAND()&lt;CondGood,_xlfn.LOGNORM.INV(RAND(),MV3,Sigma2),MIN(MaxMultiple,Xm/(1-RAND())^(1/Alpha)))))</f>
        <v>0</v>
      </c>
      <c r="W279" s="19">
        <f ca="1">IF(RAND()&lt;P_Zero,0,IF(RAND()&lt;CondReturn,_xlfn.LOGNORM.INV(RAND(),MV2,Sigma1),IF(RAND()&lt;CondGood,_xlfn.LOGNORM.INV(RAND(),MV3,Sigma2),MIN(MaxMultiple,Xm/(1-RAND())^(1/Alpha)))))</f>
        <v>0</v>
      </c>
      <c r="X279" s="19">
        <f ca="1">IF(RAND()&lt;P_Zero,0,IF(RAND()&lt;CondReturn,_xlfn.LOGNORM.INV(RAND(),MV2,Sigma1),IF(RAND()&lt;CondGood,_xlfn.LOGNORM.INV(RAND(),MV3,Sigma2),MIN(MaxMultiple,Xm/(1-RAND())^(1/Alpha)))))</f>
        <v>1.4421843294761121</v>
      </c>
      <c r="Y279" s="19">
        <f ca="1">IF(RAND()&lt;P_Zero,0,IF(RAND()&lt;CondReturn,_xlfn.LOGNORM.INV(RAND(),MV2,Sigma1),IF(RAND()&lt;CondGood,_xlfn.LOGNORM.INV(RAND(),MV3,Sigma2),MIN(MaxMultiple,Xm/(1-RAND())^(1/Alpha)))))</f>
        <v>0.5232376297048863</v>
      </c>
      <c r="Z279" s="19">
        <f ca="1">IF(RAND()&lt;P_Zero,0,IF(RAND()&lt;CondReturn,_xlfn.LOGNORM.INV(RAND(),MV2,Sigma1),IF(RAND()&lt;CondGood,_xlfn.LOGNORM.INV(RAND(),MV3,Sigma2),MIN(MaxMultiple,Xm/(1-RAND())^(1/Alpha)))))</f>
        <v>0</v>
      </c>
      <c r="AA279" s="19">
        <f ca="1">IF(RAND()&lt;P_Zero,0,IF(RAND()&lt;CondReturn,_xlfn.LOGNORM.INV(RAND(),MV2,Sigma1),IF(RAND()&lt;CondGood,_xlfn.LOGNORM.INV(RAND(),MV3,Sigma2),MIN(MaxMultiple,Xm/(1-RAND())^(1/Alpha)))))</f>
        <v>0</v>
      </c>
      <c r="AB279" s="19">
        <f t="shared" ca="1" si="32"/>
        <v>0.6753205513918108</v>
      </c>
      <c r="AC279" s="14">
        <f t="shared" ca="1" si="33"/>
        <v>32415386.466806918</v>
      </c>
      <c r="AD279" s="14">
        <f t="shared" ca="1" si="34"/>
        <v>-15584613.533193082</v>
      </c>
      <c r="AE279" s="14">
        <f t="shared" si="35"/>
        <v>55628399.869093813</v>
      </c>
      <c r="AF279" s="14">
        <f t="shared" ca="1" si="36"/>
        <v>0</v>
      </c>
      <c r="AG279" s="14">
        <f t="shared" ca="1" si="37"/>
        <v>0</v>
      </c>
      <c r="AH279" s="14">
        <f t="shared" ca="1" si="38"/>
        <v>32415386.466806918</v>
      </c>
      <c r="AI279" s="19">
        <f t="shared" ca="1" si="39"/>
        <v>0.54025644111344862</v>
      </c>
    </row>
    <row r="280" spans="2:35" x14ac:dyDescent="0.2">
      <c r="B280" s="1">
        <v>275</v>
      </c>
      <c r="C280" s="19">
        <f ca="1">IF(RAND()&lt;P_Zero,0,IF(RAND()&lt;CondReturn,_xlfn.LOGNORM.INV(RAND(),MV2,Sigma1),IF(RAND()&lt;CondGood,_xlfn.LOGNORM.INV(RAND(),MV3,Sigma2),MIN(MaxMultiple,Xm/(1-RAND())^(1/Alpha)))))</f>
        <v>0</v>
      </c>
      <c r="D280" s="19">
        <f ca="1">IF(RAND()&lt;P_Zero,0,IF(RAND()&lt;CondReturn,_xlfn.LOGNORM.INV(RAND(),MV2,Sigma1),IF(RAND()&lt;CondGood,_xlfn.LOGNORM.INV(RAND(),MV3,Sigma2),MIN(MaxMultiple,Xm/(1-RAND())^(1/Alpha)))))</f>
        <v>0</v>
      </c>
      <c r="E280" s="19">
        <f ca="1">IF(RAND()&lt;P_Zero,0,IF(RAND()&lt;CondReturn,_xlfn.LOGNORM.INV(RAND(),MV2,Sigma1),IF(RAND()&lt;CondGood,_xlfn.LOGNORM.INV(RAND(),MV3,Sigma2),MIN(MaxMultiple,Xm/(1-RAND())^(1/Alpha)))))</f>
        <v>0</v>
      </c>
      <c r="F280" s="19">
        <f ca="1">IF(RAND()&lt;P_Zero,0,IF(RAND()&lt;CondReturn,_xlfn.LOGNORM.INV(RAND(),MV2,Sigma1),IF(RAND()&lt;CondGood,_xlfn.LOGNORM.INV(RAND(),MV3,Sigma2),MIN(MaxMultiple,Xm/(1-RAND())^(1/Alpha)))))</f>
        <v>0</v>
      </c>
      <c r="G280" s="19">
        <f ca="1">IF(RAND()&lt;P_Zero,0,IF(RAND()&lt;CondReturn,_xlfn.LOGNORM.INV(RAND(),MV2,Sigma1),IF(RAND()&lt;CondGood,_xlfn.LOGNORM.INV(RAND(),MV3,Sigma2),MIN(MaxMultiple,Xm/(1-RAND())^(1/Alpha)))))</f>
        <v>0.36807536936656426</v>
      </c>
      <c r="H280" s="19">
        <f ca="1">IF(RAND()&lt;P_Zero,0,IF(RAND()&lt;CondReturn,_xlfn.LOGNORM.INV(RAND(),MV2,Sigma1),IF(RAND()&lt;CondGood,_xlfn.LOGNORM.INV(RAND(),MV3,Sigma2),MIN(MaxMultiple,Xm/(1-RAND())^(1/Alpha)))))</f>
        <v>1.7661824463778093</v>
      </c>
      <c r="I280" s="19">
        <f ca="1">IF(RAND()&lt;P_Zero,0,IF(RAND()&lt;CondReturn,_xlfn.LOGNORM.INV(RAND(),MV2,Sigma1),IF(RAND()&lt;CondGood,_xlfn.LOGNORM.INV(RAND(),MV3,Sigma2),MIN(MaxMultiple,Xm/(1-RAND())^(1/Alpha)))))</f>
        <v>1.2559175382448835</v>
      </c>
      <c r="J280" s="19">
        <f ca="1">IF(RAND()&lt;P_Zero,0,IF(RAND()&lt;CondReturn,_xlfn.LOGNORM.INV(RAND(),MV2,Sigma1),IF(RAND()&lt;CondGood,_xlfn.LOGNORM.INV(RAND(),MV3,Sigma2),MIN(MaxMultiple,Xm/(1-RAND())^(1/Alpha)))))</f>
        <v>0</v>
      </c>
      <c r="K280" s="19">
        <f ca="1">IF(RAND()&lt;P_Zero,0,IF(RAND()&lt;CondReturn,_xlfn.LOGNORM.INV(RAND(),MV2,Sigma1),IF(RAND()&lt;CondGood,_xlfn.LOGNORM.INV(RAND(),MV3,Sigma2),MIN(MaxMultiple,Xm/(1-RAND())^(1/Alpha)))))</f>
        <v>0</v>
      </c>
      <c r="L280" s="19">
        <f ca="1">IF(RAND()&lt;P_Zero,0,IF(RAND()&lt;CondReturn,_xlfn.LOGNORM.INV(RAND(),MV2,Sigma1),IF(RAND()&lt;CondGood,_xlfn.LOGNORM.INV(RAND(),MV3,Sigma2),MIN(MaxMultiple,Xm/(1-RAND())^(1/Alpha)))))</f>
        <v>0.80218109142584348</v>
      </c>
      <c r="M280" s="19">
        <f ca="1">IF(RAND()&lt;P_Zero,0,IF(RAND()&lt;CondReturn,_xlfn.LOGNORM.INV(RAND(),MV2,Sigma1),IF(RAND()&lt;CondGood,_xlfn.LOGNORM.INV(RAND(),MV3,Sigma2),MIN(MaxMultiple,Xm/(1-RAND())^(1/Alpha)))))</f>
        <v>0</v>
      </c>
      <c r="N280" s="19">
        <f ca="1">IF(RAND()&lt;P_Zero,0,IF(RAND()&lt;CondReturn,_xlfn.LOGNORM.INV(RAND(),MV2,Sigma1),IF(RAND()&lt;CondGood,_xlfn.LOGNORM.INV(RAND(),MV3,Sigma2),MIN(MaxMultiple,Xm/(1-RAND())^(1/Alpha)))))</f>
        <v>1.1566644950265998</v>
      </c>
      <c r="O280" s="19">
        <f ca="1">IF(RAND()&lt;P_Zero,0,IF(RAND()&lt;CondReturn,_xlfn.LOGNORM.INV(RAND(),MV2,Sigma1),IF(RAND()&lt;CondGood,_xlfn.LOGNORM.INV(RAND(),MV3,Sigma2),MIN(MaxMultiple,Xm/(1-RAND())^(1/Alpha)))))</f>
        <v>1.5555193427491498</v>
      </c>
      <c r="P280" s="19">
        <f ca="1">IF(RAND()&lt;P_Zero,0,IF(RAND()&lt;CondReturn,_xlfn.LOGNORM.INV(RAND(),MV2,Sigma1),IF(RAND()&lt;CondGood,_xlfn.LOGNORM.INV(RAND(),MV3,Sigma2),MIN(MaxMultiple,Xm/(1-RAND())^(1/Alpha)))))</f>
        <v>39.518377436305016</v>
      </c>
      <c r="Q280" s="19">
        <f ca="1">IF(RAND()&lt;P_Zero,0,IF(RAND()&lt;CondReturn,_xlfn.LOGNORM.INV(RAND(),MV2,Sigma1),IF(RAND()&lt;CondGood,_xlfn.LOGNORM.INV(RAND(),MV3,Sigma2),MIN(MaxMultiple,Xm/(1-RAND())^(1/Alpha)))))</f>
        <v>1.5494252451901309</v>
      </c>
      <c r="R280" s="19">
        <f ca="1">IF(RAND()&lt;P_Zero,0,IF(RAND()&lt;CondReturn,_xlfn.LOGNORM.INV(RAND(),MV2,Sigma1),IF(RAND()&lt;CondGood,_xlfn.LOGNORM.INV(RAND(),MV3,Sigma2),MIN(MaxMultiple,Xm/(1-RAND())^(1/Alpha)))))</f>
        <v>19.196524121488743</v>
      </c>
      <c r="S280" s="19">
        <f ca="1">IF(RAND()&lt;P_Zero,0,IF(RAND()&lt;CondReturn,_xlfn.LOGNORM.INV(RAND(),MV2,Sigma1),IF(RAND()&lt;CondGood,_xlfn.LOGNORM.INV(RAND(),MV3,Sigma2),MIN(MaxMultiple,Xm/(1-RAND())^(1/Alpha)))))</f>
        <v>0</v>
      </c>
      <c r="T280" s="19">
        <f ca="1">IF(RAND()&lt;P_Zero,0,IF(RAND()&lt;CondReturn,_xlfn.LOGNORM.INV(RAND(),MV2,Sigma1),IF(RAND()&lt;CondGood,_xlfn.LOGNORM.INV(RAND(),MV3,Sigma2),MIN(MaxMultiple,Xm/(1-RAND())^(1/Alpha)))))</f>
        <v>0</v>
      </c>
      <c r="U280" s="19">
        <f ca="1">IF(RAND()&lt;P_Zero,0,IF(RAND()&lt;CondReturn,_xlfn.LOGNORM.INV(RAND(),MV2,Sigma1),IF(RAND()&lt;CondGood,_xlfn.LOGNORM.INV(RAND(),MV3,Sigma2),MIN(MaxMultiple,Xm/(1-RAND())^(1/Alpha)))))</f>
        <v>0.83593981772309689</v>
      </c>
      <c r="V280" s="19">
        <f ca="1">IF(RAND()&lt;P_Zero,0,IF(RAND()&lt;CondReturn,_xlfn.LOGNORM.INV(RAND(),MV2,Sigma1),IF(RAND()&lt;CondGood,_xlfn.LOGNORM.INV(RAND(),MV3,Sigma2),MIN(MaxMultiple,Xm/(1-RAND())^(1/Alpha)))))</f>
        <v>0.71115892965500593</v>
      </c>
      <c r="W280" s="19">
        <f ca="1">IF(RAND()&lt;P_Zero,0,IF(RAND()&lt;CondReturn,_xlfn.LOGNORM.INV(RAND(),MV2,Sigma1),IF(RAND()&lt;CondGood,_xlfn.LOGNORM.INV(RAND(),MV3,Sigma2),MIN(MaxMultiple,Xm/(1-RAND())^(1/Alpha)))))</f>
        <v>0.36229696038831533</v>
      </c>
      <c r="X280" s="19">
        <f ca="1">IF(RAND()&lt;P_Zero,0,IF(RAND()&lt;CondReturn,_xlfn.LOGNORM.INV(RAND(),MV2,Sigma1),IF(RAND()&lt;CondGood,_xlfn.LOGNORM.INV(RAND(),MV3,Sigma2),MIN(MaxMultiple,Xm/(1-RAND())^(1/Alpha)))))</f>
        <v>0</v>
      </c>
      <c r="Y280" s="19">
        <f ca="1">IF(RAND()&lt;P_Zero,0,IF(RAND()&lt;CondReturn,_xlfn.LOGNORM.INV(RAND(),MV2,Sigma1),IF(RAND()&lt;CondGood,_xlfn.LOGNORM.INV(RAND(),MV3,Sigma2),MIN(MaxMultiple,Xm/(1-RAND())^(1/Alpha)))))</f>
        <v>1.0165063645901089</v>
      </c>
      <c r="Z280" s="19">
        <f ca="1">IF(RAND()&lt;P_Zero,0,IF(RAND()&lt;CondReturn,_xlfn.LOGNORM.INV(RAND(),MV2,Sigma1),IF(RAND()&lt;CondGood,_xlfn.LOGNORM.INV(RAND(),MV3,Sigma2),MIN(MaxMultiple,Xm/(1-RAND())^(1/Alpha)))))</f>
        <v>1.1673577244449256</v>
      </c>
      <c r="AA280" s="19">
        <f ca="1">IF(RAND()&lt;P_Zero,0,IF(RAND()&lt;CondReturn,_xlfn.LOGNORM.INV(RAND(),MV2,Sigma1),IF(RAND()&lt;CondGood,_xlfn.LOGNORM.INV(RAND(),MV3,Sigma2),MIN(MaxMultiple,Xm/(1-RAND())^(1/Alpha)))))</f>
        <v>0.26719649622002434</v>
      </c>
      <c r="AB280" s="19">
        <f t="shared" ca="1" si="32"/>
        <v>2.8611729351678492</v>
      </c>
      <c r="AC280" s="14">
        <f t="shared" ca="1" si="33"/>
        <v>137336300.88805676</v>
      </c>
      <c r="AD280" s="14">
        <f t="shared" ca="1" si="34"/>
        <v>89336300.888056755</v>
      </c>
      <c r="AE280" s="14">
        <f t="shared" si="35"/>
        <v>55628399.869093813</v>
      </c>
      <c r="AF280" s="14">
        <f t="shared" ca="1" si="36"/>
        <v>33707901.018962942</v>
      </c>
      <c r="AG280" s="14">
        <f t="shared" ca="1" si="37"/>
        <v>6741580.2037925888</v>
      </c>
      <c r="AH280" s="14">
        <f t="shared" ca="1" si="38"/>
        <v>130594720.68426417</v>
      </c>
      <c r="AI280" s="19">
        <f t="shared" ca="1" si="39"/>
        <v>2.1765786780710696</v>
      </c>
    </row>
    <row r="281" spans="2:35" x14ac:dyDescent="0.2">
      <c r="B281" s="1">
        <v>276</v>
      </c>
      <c r="C281" s="19">
        <f ca="1">IF(RAND()&lt;P_Zero,0,IF(RAND()&lt;CondReturn,_xlfn.LOGNORM.INV(RAND(),MV2,Sigma1),IF(RAND()&lt;CondGood,_xlfn.LOGNORM.INV(RAND(),MV3,Sigma2),MIN(MaxMultiple,Xm/(1-RAND())^(1/Alpha)))))</f>
        <v>0.7044965541885595</v>
      </c>
      <c r="D281" s="19">
        <f ca="1">IF(RAND()&lt;P_Zero,0,IF(RAND()&lt;CondReturn,_xlfn.LOGNORM.INV(RAND(),MV2,Sigma1),IF(RAND()&lt;CondGood,_xlfn.LOGNORM.INV(RAND(),MV3,Sigma2),MIN(MaxMultiple,Xm/(1-RAND())^(1/Alpha)))))</f>
        <v>0</v>
      </c>
      <c r="E281" s="19">
        <f ca="1">IF(RAND()&lt;P_Zero,0,IF(RAND()&lt;CondReturn,_xlfn.LOGNORM.INV(RAND(),MV2,Sigma1),IF(RAND()&lt;CondGood,_xlfn.LOGNORM.INV(RAND(),MV3,Sigma2),MIN(MaxMultiple,Xm/(1-RAND())^(1/Alpha)))))</f>
        <v>1.0911698495021098</v>
      </c>
      <c r="F281" s="19">
        <f ca="1">IF(RAND()&lt;P_Zero,0,IF(RAND()&lt;CondReturn,_xlfn.LOGNORM.INV(RAND(),MV2,Sigma1),IF(RAND()&lt;CondGood,_xlfn.LOGNORM.INV(RAND(),MV3,Sigma2),MIN(MaxMultiple,Xm/(1-RAND())^(1/Alpha)))))</f>
        <v>15.910760194469248</v>
      </c>
      <c r="G281" s="19">
        <f ca="1">IF(RAND()&lt;P_Zero,0,IF(RAND()&lt;CondReturn,_xlfn.LOGNORM.INV(RAND(),MV2,Sigma1),IF(RAND()&lt;CondGood,_xlfn.LOGNORM.INV(RAND(),MV3,Sigma2),MIN(MaxMultiple,Xm/(1-RAND())^(1/Alpha)))))</f>
        <v>1.2511127203243859</v>
      </c>
      <c r="H281" s="19">
        <f ca="1">IF(RAND()&lt;P_Zero,0,IF(RAND()&lt;CondReturn,_xlfn.LOGNORM.INV(RAND(),MV2,Sigma1),IF(RAND()&lt;CondGood,_xlfn.LOGNORM.INV(RAND(),MV3,Sigma2),MIN(MaxMultiple,Xm/(1-RAND())^(1/Alpha)))))</f>
        <v>0</v>
      </c>
      <c r="I281" s="19">
        <f ca="1">IF(RAND()&lt;P_Zero,0,IF(RAND()&lt;CondReturn,_xlfn.LOGNORM.INV(RAND(),MV2,Sigma1),IF(RAND()&lt;CondGood,_xlfn.LOGNORM.INV(RAND(),MV3,Sigma2),MIN(MaxMultiple,Xm/(1-RAND())^(1/Alpha)))))</f>
        <v>1.7508590233190113</v>
      </c>
      <c r="J281" s="19">
        <f ca="1">IF(RAND()&lt;P_Zero,0,IF(RAND()&lt;CondReturn,_xlfn.LOGNORM.INV(RAND(),MV2,Sigma1),IF(RAND()&lt;CondGood,_xlfn.LOGNORM.INV(RAND(),MV3,Sigma2),MIN(MaxMultiple,Xm/(1-RAND())^(1/Alpha)))))</f>
        <v>1.8633650056099831</v>
      </c>
      <c r="K281" s="19">
        <f ca="1">IF(RAND()&lt;P_Zero,0,IF(RAND()&lt;CondReturn,_xlfn.LOGNORM.INV(RAND(),MV2,Sigma1),IF(RAND()&lt;CondGood,_xlfn.LOGNORM.INV(RAND(),MV3,Sigma2),MIN(MaxMultiple,Xm/(1-RAND())^(1/Alpha)))))</f>
        <v>0.75247700259201078</v>
      </c>
      <c r="L281" s="19">
        <f ca="1">IF(RAND()&lt;P_Zero,0,IF(RAND()&lt;CondReturn,_xlfn.LOGNORM.INV(RAND(),MV2,Sigma1),IF(RAND()&lt;CondGood,_xlfn.LOGNORM.INV(RAND(),MV3,Sigma2),MIN(MaxMultiple,Xm/(1-RAND())^(1/Alpha)))))</f>
        <v>0</v>
      </c>
      <c r="M281" s="19">
        <f ca="1">IF(RAND()&lt;P_Zero,0,IF(RAND()&lt;CondReturn,_xlfn.LOGNORM.INV(RAND(),MV2,Sigma1),IF(RAND()&lt;CondGood,_xlfn.LOGNORM.INV(RAND(),MV3,Sigma2),MIN(MaxMultiple,Xm/(1-RAND())^(1/Alpha)))))</f>
        <v>0.80383353016510428</v>
      </c>
      <c r="N281" s="19">
        <f ca="1">IF(RAND()&lt;P_Zero,0,IF(RAND()&lt;CondReturn,_xlfn.LOGNORM.INV(RAND(),MV2,Sigma1),IF(RAND()&lt;CondGood,_xlfn.LOGNORM.INV(RAND(),MV3,Sigma2),MIN(MaxMultiple,Xm/(1-RAND())^(1/Alpha)))))</f>
        <v>0.99794819852000072</v>
      </c>
      <c r="O281" s="19">
        <f ca="1">IF(RAND()&lt;P_Zero,0,IF(RAND()&lt;CondReturn,_xlfn.LOGNORM.INV(RAND(),MV2,Sigma1),IF(RAND()&lt;CondGood,_xlfn.LOGNORM.INV(RAND(),MV3,Sigma2),MIN(MaxMultiple,Xm/(1-RAND())^(1/Alpha)))))</f>
        <v>0</v>
      </c>
      <c r="P281" s="19">
        <f ca="1">IF(RAND()&lt;P_Zero,0,IF(RAND()&lt;CondReturn,_xlfn.LOGNORM.INV(RAND(),MV2,Sigma1),IF(RAND()&lt;CondGood,_xlfn.LOGNORM.INV(RAND(),MV3,Sigma2),MIN(MaxMultiple,Xm/(1-RAND())^(1/Alpha)))))</f>
        <v>0.37506446214981642</v>
      </c>
      <c r="Q281" s="19">
        <f ca="1">IF(RAND()&lt;P_Zero,0,IF(RAND()&lt;CondReturn,_xlfn.LOGNORM.INV(RAND(),MV2,Sigma1),IF(RAND()&lt;CondGood,_xlfn.LOGNORM.INV(RAND(),MV3,Sigma2),MIN(MaxMultiple,Xm/(1-RAND())^(1/Alpha)))))</f>
        <v>0</v>
      </c>
      <c r="R281" s="19">
        <f ca="1">IF(RAND()&lt;P_Zero,0,IF(RAND()&lt;CondReturn,_xlfn.LOGNORM.INV(RAND(),MV2,Sigma1),IF(RAND()&lt;CondGood,_xlfn.LOGNORM.INV(RAND(),MV3,Sigma2),MIN(MaxMultiple,Xm/(1-RAND())^(1/Alpha)))))</f>
        <v>0.46968882778066068</v>
      </c>
      <c r="S281" s="19">
        <f ca="1">IF(RAND()&lt;P_Zero,0,IF(RAND()&lt;CondReturn,_xlfn.LOGNORM.INV(RAND(),MV2,Sigma1),IF(RAND()&lt;CondGood,_xlfn.LOGNORM.INV(RAND(),MV3,Sigma2),MIN(MaxMultiple,Xm/(1-RAND())^(1/Alpha)))))</f>
        <v>3.5231674310865482</v>
      </c>
      <c r="T281" s="19">
        <f ca="1">IF(RAND()&lt;P_Zero,0,IF(RAND()&lt;CondReturn,_xlfn.LOGNORM.INV(RAND(),MV2,Sigma1),IF(RAND()&lt;CondGood,_xlfn.LOGNORM.INV(RAND(),MV3,Sigma2),MIN(MaxMultiple,Xm/(1-RAND())^(1/Alpha)))))</f>
        <v>0</v>
      </c>
      <c r="U281" s="19">
        <f ca="1">IF(RAND()&lt;P_Zero,0,IF(RAND()&lt;CondReturn,_xlfn.LOGNORM.INV(RAND(),MV2,Sigma1),IF(RAND()&lt;CondGood,_xlfn.LOGNORM.INV(RAND(),MV3,Sigma2),MIN(MaxMultiple,Xm/(1-RAND())^(1/Alpha)))))</f>
        <v>1.2614061535723666</v>
      </c>
      <c r="V281" s="19">
        <f ca="1">IF(RAND()&lt;P_Zero,0,IF(RAND()&lt;CondReturn,_xlfn.LOGNORM.INV(RAND(),MV2,Sigma1),IF(RAND()&lt;CondGood,_xlfn.LOGNORM.INV(RAND(),MV3,Sigma2),MIN(MaxMultiple,Xm/(1-RAND())^(1/Alpha)))))</f>
        <v>0</v>
      </c>
      <c r="W281" s="19">
        <f ca="1">IF(RAND()&lt;P_Zero,0,IF(RAND()&lt;CondReturn,_xlfn.LOGNORM.INV(RAND(),MV2,Sigma1),IF(RAND()&lt;CondGood,_xlfn.LOGNORM.INV(RAND(),MV3,Sigma2),MIN(MaxMultiple,Xm/(1-RAND())^(1/Alpha)))))</f>
        <v>10.623936552768864</v>
      </c>
      <c r="X281" s="19">
        <f ca="1">IF(RAND()&lt;P_Zero,0,IF(RAND()&lt;CondReturn,_xlfn.LOGNORM.INV(RAND(),MV2,Sigma1),IF(RAND()&lt;CondGood,_xlfn.LOGNORM.INV(RAND(),MV3,Sigma2),MIN(MaxMultiple,Xm/(1-RAND())^(1/Alpha)))))</f>
        <v>0</v>
      </c>
      <c r="Y281" s="19">
        <f ca="1">IF(RAND()&lt;P_Zero,0,IF(RAND()&lt;CondReturn,_xlfn.LOGNORM.INV(RAND(),MV2,Sigma1),IF(RAND()&lt;CondGood,_xlfn.LOGNORM.INV(RAND(),MV3,Sigma2),MIN(MaxMultiple,Xm/(1-RAND())^(1/Alpha)))))</f>
        <v>0.60351373746208836</v>
      </c>
      <c r="Z281" s="19">
        <f ca="1">IF(RAND()&lt;P_Zero,0,IF(RAND()&lt;CondReturn,_xlfn.LOGNORM.INV(RAND(),MV2,Sigma1),IF(RAND()&lt;CondGood,_xlfn.LOGNORM.INV(RAND(),MV3,Sigma2),MIN(MaxMultiple,Xm/(1-RAND())^(1/Alpha)))))</f>
        <v>0.52913280228432591</v>
      </c>
      <c r="AA281" s="19">
        <f ca="1">IF(RAND()&lt;P_Zero,0,IF(RAND()&lt;CondReturn,_xlfn.LOGNORM.INV(RAND(),MV2,Sigma1),IF(RAND()&lt;CondGood,_xlfn.LOGNORM.INV(RAND(),MV3,Sigma2),MIN(MaxMultiple,Xm/(1-RAND())^(1/Alpha)))))</f>
        <v>0</v>
      </c>
      <c r="AB281" s="19">
        <f t="shared" ca="1" si="32"/>
        <v>1.700477281831803</v>
      </c>
      <c r="AC281" s="14">
        <f t="shared" ca="1" si="33"/>
        <v>81622909.527926549</v>
      </c>
      <c r="AD281" s="14">
        <f t="shared" ca="1" si="34"/>
        <v>33622909.527926549</v>
      </c>
      <c r="AE281" s="14">
        <f t="shared" si="35"/>
        <v>55628399.869093813</v>
      </c>
      <c r="AF281" s="14">
        <f t="shared" ca="1" si="36"/>
        <v>0</v>
      </c>
      <c r="AG281" s="14">
        <f t="shared" ca="1" si="37"/>
        <v>0</v>
      </c>
      <c r="AH281" s="14">
        <f t="shared" ca="1" si="38"/>
        <v>81622909.527926549</v>
      </c>
      <c r="AI281" s="19">
        <f t="shared" ca="1" si="39"/>
        <v>1.3603818254654425</v>
      </c>
    </row>
    <row r="282" spans="2:35" x14ac:dyDescent="0.2">
      <c r="B282" s="1">
        <v>277</v>
      </c>
      <c r="C282" s="19">
        <f ca="1">IF(RAND()&lt;P_Zero,0,IF(RAND()&lt;CondReturn,_xlfn.LOGNORM.INV(RAND(),MV2,Sigma1),IF(RAND()&lt;CondGood,_xlfn.LOGNORM.INV(RAND(),MV3,Sigma2),MIN(MaxMultiple,Xm/(1-RAND())^(1/Alpha)))))</f>
        <v>0</v>
      </c>
      <c r="D282" s="19">
        <f ca="1">IF(RAND()&lt;P_Zero,0,IF(RAND()&lt;CondReturn,_xlfn.LOGNORM.INV(RAND(),MV2,Sigma1),IF(RAND()&lt;CondGood,_xlfn.LOGNORM.INV(RAND(),MV3,Sigma2),MIN(MaxMultiple,Xm/(1-RAND())^(1/Alpha)))))</f>
        <v>0</v>
      </c>
      <c r="E282" s="19">
        <f ca="1">IF(RAND()&lt;P_Zero,0,IF(RAND()&lt;CondReturn,_xlfn.LOGNORM.INV(RAND(),MV2,Sigma1),IF(RAND()&lt;CondGood,_xlfn.LOGNORM.INV(RAND(),MV3,Sigma2),MIN(MaxMultiple,Xm/(1-RAND())^(1/Alpha)))))</f>
        <v>0</v>
      </c>
      <c r="F282" s="19">
        <f ca="1">IF(RAND()&lt;P_Zero,0,IF(RAND()&lt;CondReturn,_xlfn.LOGNORM.INV(RAND(),MV2,Sigma1),IF(RAND()&lt;CondGood,_xlfn.LOGNORM.INV(RAND(),MV3,Sigma2),MIN(MaxMultiple,Xm/(1-RAND())^(1/Alpha)))))</f>
        <v>0.81751374251896036</v>
      </c>
      <c r="G282" s="19">
        <f ca="1">IF(RAND()&lt;P_Zero,0,IF(RAND()&lt;CondReturn,_xlfn.LOGNORM.INV(RAND(),MV2,Sigma1),IF(RAND()&lt;CondGood,_xlfn.LOGNORM.INV(RAND(),MV3,Sigma2),MIN(MaxMultiple,Xm/(1-RAND())^(1/Alpha)))))</f>
        <v>0</v>
      </c>
      <c r="H282" s="19">
        <f ca="1">IF(RAND()&lt;P_Zero,0,IF(RAND()&lt;CondReturn,_xlfn.LOGNORM.INV(RAND(),MV2,Sigma1),IF(RAND()&lt;CondGood,_xlfn.LOGNORM.INV(RAND(),MV3,Sigma2),MIN(MaxMultiple,Xm/(1-RAND())^(1/Alpha)))))</f>
        <v>0</v>
      </c>
      <c r="I282" s="19">
        <f ca="1">IF(RAND()&lt;P_Zero,0,IF(RAND()&lt;CondReturn,_xlfn.LOGNORM.INV(RAND(),MV2,Sigma1),IF(RAND()&lt;CondGood,_xlfn.LOGNORM.INV(RAND(),MV3,Sigma2),MIN(MaxMultiple,Xm/(1-RAND())^(1/Alpha)))))</f>
        <v>0</v>
      </c>
      <c r="J282" s="19">
        <f ca="1">IF(RAND()&lt;P_Zero,0,IF(RAND()&lt;CondReturn,_xlfn.LOGNORM.INV(RAND(),MV2,Sigma1),IF(RAND()&lt;CondGood,_xlfn.LOGNORM.INV(RAND(),MV3,Sigma2),MIN(MaxMultiple,Xm/(1-RAND())^(1/Alpha)))))</f>
        <v>0</v>
      </c>
      <c r="K282" s="19">
        <f ca="1">IF(RAND()&lt;P_Zero,0,IF(RAND()&lt;CondReturn,_xlfn.LOGNORM.INV(RAND(),MV2,Sigma1),IF(RAND()&lt;CondGood,_xlfn.LOGNORM.INV(RAND(),MV3,Sigma2),MIN(MaxMultiple,Xm/(1-RAND())^(1/Alpha)))))</f>
        <v>0</v>
      </c>
      <c r="L282" s="19">
        <f ca="1">IF(RAND()&lt;P_Zero,0,IF(RAND()&lt;CondReturn,_xlfn.LOGNORM.INV(RAND(),MV2,Sigma1),IF(RAND()&lt;CondGood,_xlfn.LOGNORM.INV(RAND(),MV3,Sigma2),MIN(MaxMultiple,Xm/(1-RAND())^(1/Alpha)))))</f>
        <v>0</v>
      </c>
      <c r="M282" s="19">
        <f ca="1">IF(RAND()&lt;P_Zero,0,IF(RAND()&lt;CondReturn,_xlfn.LOGNORM.INV(RAND(),MV2,Sigma1),IF(RAND()&lt;CondGood,_xlfn.LOGNORM.INV(RAND(),MV3,Sigma2),MIN(MaxMultiple,Xm/(1-RAND())^(1/Alpha)))))</f>
        <v>0.76086208476114103</v>
      </c>
      <c r="N282" s="19">
        <f ca="1">IF(RAND()&lt;P_Zero,0,IF(RAND()&lt;CondReturn,_xlfn.LOGNORM.INV(RAND(),MV2,Sigma1),IF(RAND()&lt;CondGood,_xlfn.LOGNORM.INV(RAND(),MV3,Sigma2),MIN(MaxMultiple,Xm/(1-RAND())^(1/Alpha)))))</f>
        <v>0</v>
      </c>
      <c r="O282" s="19">
        <f ca="1">IF(RAND()&lt;P_Zero,0,IF(RAND()&lt;CondReturn,_xlfn.LOGNORM.INV(RAND(),MV2,Sigma1),IF(RAND()&lt;CondGood,_xlfn.LOGNORM.INV(RAND(),MV3,Sigma2),MIN(MaxMultiple,Xm/(1-RAND())^(1/Alpha)))))</f>
        <v>1.1048666232610622</v>
      </c>
      <c r="P282" s="19">
        <f ca="1">IF(RAND()&lt;P_Zero,0,IF(RAND()&lt;CondReturn,_xlfn.LOGNORM.INV(RAND(),MV2,Sigma1),IF(RAND()&lt;CondGood,_xlfn.LOGNORM.INV(RAND(),MV3,Sigma2),MIN(MaxMultiple,Xm/(1-RAND())^(1/Alpha)))))</f>
        <v>0</v>
      </c>
      <c r="Q282" s="19">
        <f ca="1">IF(RAND()&lt;P_Zero,0,IF(RAND()&lt;CondReturn,_xlfn.LOGNORM.INV(RAND(),MV2,Sigma1),IF(RAND()&lt;CondGood,_xlfn.LOGNORM.INV(RAND(),MV3,Sigma2),MIN(MaxMultiple,Xm/(1-RAND())^(1/Alpha)))))</f>
        <v>1.4669264735950323</v>
      </c>
      <c r="R282" s="19">
        <f ca="1">IF(RAND()&lt;P_Zero,0,IF(RAND()&lt;CondReturn,_xlfn.LOGNORM.INV(RAND(),MV2,Sigma1),IF(RAND()&lt;CondGood,_xlfn.LOGNORM.INV(RAND(),MV3,Sigma2),MIN(MaxMultiple,Xm/(1-RAND())^(1/Alpha)))))</f>
        <v>1.515889646576688</v>
      </c>
      <c r="S282" s="19">
        <f ca="1">IF(RAND()&lt;P_Zero,0,IF(RAND()&lt;CondReturn,_xlfn.LOGNORM.INV(RAND(),MV2,Sigma1),IF(RAND()&lt;CondGood,_xlfn.LOGNORM.INV(RAND(),MV3,Sigma2),MIN(MaxMultiple,Xm/(1-RAND())^(1/Alpha)))))</f>
        <v>0</v>
      </c>
      <c r="T282" s="19">
        <f ca="1">IF(RAND()&lt;P_Zero,0,IF(RAND()&lt;CondReturn,_xlfn.LOGNORM.INV(RAND(),MV2,Sigma1),IF(RAND()&lt;CondGood,_xlfn.LOGNORM.INV(RAND(),MV3,Sigma2),MIN(MaxMultiple,Xm/(1-RAND())^(1/Alpha)))))</f>
        <v>2.774716046063892</v>
      </c>
      <c r="U282" s="19">
        <f ca="1">IF(RAND()&lt;P_Zero,0,IF(RAND()&lt;CondReturn,_xlfn.LOGNORM.INV(RAND(),MV2,Sigma1),IF(RAND()&lt;CondGood,_xlfn.LOGNORM.INV(RAND(),MV3,Sigma2),MIN(MaxMultiple,Xm/(1-RAND())^(1/Alpha)))))</f>
        <v>0.97208122863103108</v>
      </c>
      <c r="V282" s="19">
        <f ca="1">IF(RAND()&lt;P_Zero,0,IF(RAND()&lt;CondReturn,_xlfn.LOGNORM.INV(RAND(),MV2,Sigma1),IF(RAND()&lt;CondGood,_xlfn.LOGNORM.INV(RAND(),MV3,Sigma2),MIN(MaxMultiple,Xm/(1-RAND())^(1/Alpha)))))</f>
        <v>11.184334952862354</v>
      </c>
      <c r="W282" s="19">
        <f ca="1">IF(RAND()&lt;P_Zero,0,IF(RAND()&lt;CondReturn,_xlfn.LOGNORM.INV(RAND(),MV2,Sigma1),IF(RAND()&lt;CondGood,_xlfn.LOGNORM.INV(RAND(),MV3,Sigma2),MIN(MaxMultiple,Xm/(1-RAND())^(1/Alpha)))))</f>
        <v>1.2259599095486724</v>
      </c>
      <c r="X282" s="19">
        <f ca="1">IF(RAND()&lt;P_Zero,0,IF(RAND()&lt;CondReturn,_xlfn.LOGNORM.INV(RAND(),MV2,Sigma1),IF(RAND()&lt;CondGood,_xlfn.LOGNORM.INV(RAND(),MV3,Sigma2),MIN(MaxMultiple,Xm/(1-RAND())^(1/Alpha)))))</f>
        <v>0</v>
      </c>
      <c r="Y282" s="19">
        <f ca="1">IF(RAND()&lt;P_Zero,0,IF(RAND()&lt;CondReturn,_xlfn.LOGNORM.INV(RAND(),MV2,Sigma1),IF(RAND()&lt;CondGood,_xlfn.LOGNORM.INV(RAND(),MV3,Sigma2),MIN(MaxMultiple,Xm/(1-RAND())^(1/Alpha)))))</f>
        <v>0</v>
      </c>
      <c r="Z282" s="19">
        <f ca="1">IF(RAND()&lt;P_Zero,0,IF(RAND()&lt;CondReturn,_xlfn.LOGNORM.INV(RAND(),MV2,Sigma1),IF(RAND()&lt;CondGood,_xlfn.LOGNORM.INV(RAND(),MV3,Sigma2),MIN(MaxMultiple,Xm/(1-RAND())^(1/Alpha)))))</f>
        <v>66.539744350047528</v>
      </c>
      <c r="AA282" s="19">
        <f ca="1">IF(RAND()&lt;P_Zero,0,IF(RAND()&lt;CondReturn,_xlfn.LOGNORM.INV(RAND(),MV2,Sigma1),IF(RAND()&lt;CondGood,_xlfn.LOGNORM.INV(RAND(),MV3,Sigma2),MIN(MaxMultiple,Xm/(1-RAND())^(1/Alpha)))))</f>
        <v>0.88201377204212472</v>
      </c>
      <c r="AB282" s="19">
        <f t="shared" ca="1" si="32"/>
        <v>3.5697963531963395</v>
      </c>
      <c r="AC282" s="14">
        <f t="shared" ca="1" si="33"/>
        <v>171350224.9534243</v>
      </c>
      <c r="AD282" s="14">
        <f t="shared" ca="1" si="34"/>
        <v>123350224.9534243</v>
      </c>
      <c r="AE282" s="14">
        <f t="shared" si="35"/>
        <v>55628399.869093813</v>
      </c>
      <c r="AF282" s="14">
        <f t="shared" ca="1" si="36"/>
        <v>67721825.084330499</v>
      </c>
      <c r="AG282" s="14">
        <f t="shared" ca="1" si="37"/>
        <v>13544365.016866101</v>
      </c>
      <c r="AH282" s="14">
        <f t="shared" ca="1" si="38"/>
        <v>157805859.93655822</v>
      </c>
      <c r="AI282" s="19">
        <f t="shared" ca="1" si="39"/>
        <v>2.6300976656093038</v>
      </c>
    </row>
    <row r="283" spans="2:35" x14ac:dyDescent="0.2">
      <c r="B283" s="1">
        <v>278</v>
      </c>
      <c r="C283" s="19">
        <f ca="1">IF(RAND()&lt;P_Zero,0,IF(RAND()&lt;CondReturn,_xlfn.LOGNORM.INV(RAND(),MV2,Sigma1),IF(RAND()&lt;CondGood,_xlfn.LOGNORM.INV(RAND(),MV3,Sigma2),MIN(MaxMultiple,Xm/(1-RAND())^(1/Alpha)))))</f>
        <v>0</v>
      </c>
      <c r="D283" s="19">
        <f ca="1">IF(RAND()&lt;P_Zero,0,IF(RAND()&lt;CondReturn,_xlfn.LOGNORM.INV(RAND(),MV2,Sigma1),IF(RAND()&lt;CondGood,_xlfn.LOGNORM.INV(RAND(),MV3,Sigma2),MIN(MaxMultiple,Xm/(1-RAND())^(1/Alpha)))))</f>
        <v>1.1891978892189445</v>
      </c>
      <c r="E283" s="19">
        <f ca="1">IF(RAND()&lt;P_Zero,0,IF(RAND()&lt;CondReturn,_xlfn.LOGNORM.INV(RAND(),MV2,Sigma1),IF(RAND()&lt;CondGood,_xlfn.LOGNORM.INV(RAND(),MV3,Sigma2),MIN(MaxMultiple,Xm/(1-RAND())^(1/Alpha)))))</f>
        <v>0</v>
      </c>
      <c r="F283" s="19">
        <f ca="1">IF(RAND()&lt;P_Zero,0,IF(RAND()&lt;CondReturn,_xlfn.LOGNORM.INV(RAND(),MV2,Sigma1),IF(RAND()&lt;CondGood,_xlfn.LOGNORM.INV(RAND(),MV3,Sigma2),MIN(MaxMultiple,Xm/(1-RAND())^(1/Alpha)))))</f>
        <v>0.76527616234651963</v>
      </c>
      <c r="G283" s="19">
        <f ca="1">IF(RAND()&lt;P_Zero,0,IF(RAND()&lt;CondReturn,_xlfn.LOGNORM.INV(RAND(),MV2,Sigma1),IF(RAND()&lt;CondGood,_xlfn.LOGNORM.INV(RAND(),MV3,Sigma2),MIN(MaxMultiple,Xm/(1-RAND())^(1/Alpha)))))</f>
        <v>0.82920295756116524</v>
      </c>
      <c r="H283" s="19">
        <f ca="1">IF(RAND()&lt;P_Zero,0,IF(RAND()&lt;CondReturn,_xlfn.LOGNORM.INV(RAND(),MV2,Sigma1),IF(RAND()&lt;CondGood,_xlfn.LOGNORM.INV(RAND(),MV3,Sigma2),MIN(MaxMultiple,Xm/(1-RAND())^(1/Alpha)))))</f>
        <v>0</v>
      </c>
      <c r="I283" s="19">
        <f ca="1">IF(RAND()&lt;P_Zero,0,IF(RAND()&lt;CondReturn,_xlfn.LOGNORM.INV(RAND(),MV2,Sigma1),IF(RAND()&lt;CondGood,_xlfn.LOGNORM.INV(RAND(),MV3,Sigma2),MIN(MaxMultiple,Xm/(1-RAND())^(1/Alpha)))))</f>
        <v>0.35685272102655669</v>
      </c>
      <c r="J283" s="19">
        <f ca="1">IF(RAND()&lt;P_Zero,0,IF(RAND()&lt;CondReturn,_xlfn.LOGNORM.INV(RAND(),MV2,Sigma1),IF(RAND()&lt;CondGood,_xlfn.LOGNORM.INV(RAND(),MV3,Sigma2),MIN(MaxMultiple,Xm/(1-RAND())^(1/Alpha)))))</f>
        <v>1.0341695329240435</v>
      </c>
      <c r="K283" s="19">
        <f ca="1">IF(RAND()&lt;P_Zero,0,IF(RAND()&lt;CondReturn,_xlfn.LOGNORM.INV(RAND(),MV2,Sigma1),IF(RAND()&lt;CondGood,_xlfn.LOGNORM.INV(RAND(),MV3,Sigma2),MIN(MaxMultiple,Xm/(1-RAND())^(1/Alpha)))))</f>
        <v>0</v>
      </c>
      <c r="L283" s="19">
        <f ca="1">IF(RAND()&lt;P_Zero,0,IF(RAND()&lt;CondReturn,_xlfn.LOGNORM.INV(RAND(),MV2,Sigma1),IF(RAND()&lt;CondGood,_xlfn.LOGNORM.INV(RAND(),MV3,Sigma2),MIN(MaxMultiple,Xm/(1-RAND())^(1/Alpha)))))</f>
        <v>0</v>
      </c>
      <c r="M283" s="19">
        <f ca="1">IF(RAND()&lt;P_Zero,0,IF(RAND()&lt;CondReturn,_xlfn.LOGNORM.INV(RAND(),MV2,Sigma1),IF(RAND()&lt;CondGood,_xlfn.LOGNORM.INV(RAND(),MV3,Sigma2),MIN(MaxMultiple,Xm/(1-RAND())^(1/Alpha)))))</f>
        <v>0.3713195458514934</v>
      </c>
      <c r="N283" s="19">
        <f ca="1">IF(RAND()&lt;P_Zero,0,IF(RAND()&lt;CondReturn,_xlfn.LOGNORM.INV(RAND(),MV2,Sigma1),IF(RAND()&lt;CondGood,_xlfn.LOGNORM.INV(RAND(),MV3,Sigma2),MIN(MaxMultiple,Xm/(1-RAND())^(1/Alpha)))))</f>
        <v>0.52620752187027175</v>
      </c>
      <c r="O283" s="19">
        <f ca="1">IF(RAND()&lt;P_Zero,0,IF(RAND()&lt;CondReturn,_xlfn.LOGNORM.INV(RAND(),MV2,Sigma1),IF(RAND()&lt;CondGood,_xlfn.LOGNORM.INV(RAND(),MV3,Sigma2),MIN(MaxMultiple,Xm/(1-RAND())^(1/Alpha)))))</f>
        <v>0</v>
      </c>
      <c r="P283" s="19">
        <f ca="1">IF(RAND()&lt;P_Zero,0,IF(RAND()&lt;CondReturn,_xlfn.LOGNORM.INV(RAND(),MV2,Sigma1),IF(RAND()&lt;CondGood,_xlfn.LOGNORM.INV(RAND(),MV3,Sigma2),MIN(MaxMultiple,Xm/(1-RAND())^(1/Alpha)))))</f>
        <v>0.77926692675810205</v>
      </c>
      <c r="Q283" s="19">
        <f ca="1">IF(RAND()&lt;P_Zero,0,IF(RAND()&lt;CondReturn,_xlfn.LOGNORM.INV(RAND(),MV2,Sigma1),IF(RAND()&lt;CondGood,_xlfn.LOGNORM.INV(RAND(),MV3,Sigma2),MIN(MaxMultiple,Xm/(1-RAND())^(1/Alpha)))))</f>
        <v>0</v>
      </c>
      <c r="R283" s="19">
        <f ca="1">IF(RAND()&lt;P_Zero,0,IF(RAND()&lt;CondReturn,_xlfn.LOGNORM.INV(RAND(),MV2,Sigma1),IF(RAND()&lt;CondGood,_xlfn.LOGNORM.INV(RAND(),MV3,Sigma2),MIN(MaxMultiple,Xm/(1-RAND())^(1/Alpha)))))</f>
        <v>0.49337441330004345</v>
      </c>
      <c r="S283" s="19">
        <f ca="1">IF(RAND()&lt;P_Zero,0,IF(RAND()&lt;CondReturn,_xlfn.LOGNORM.INV(RAND(),MV2,Sigma1),IF(RAND()&lt;CondGood,_xlfn.LOGNORM.INV(RAND(),MV3,Sigma2),MIN(MaxMultiple,Xm/(1-RAND())^(1/Alpha)))))</f>
        <v>0</v>
      </c>
      <c r="T283" s="19">
        <f ca="1">IF(RAND()&lt;P_Zero,0,IF(RAND()&lt;CondReturn,_xlfn.LOGNORM.INV(RAND(),MV2,Sigma1),IF(RAND()&lt;CondGood,_xlfn.LOGNORM.INV(RAND(),MV3,Sigma2),MIN(MaxMultiple,Xm/(1-RAND())^(1/Alpha)))))</f>
        <v>1.5244752954328229</v>
      </c>
      <c r="U283" s="19">
        <f ca="1">IF(RAND()&lt;P_Zero,0,IF(RAND()&lt;CondReturn,_xlfn.LOGNORM.INV(RAND(),MV2,Sigma1),IF(RAND()&lt;CondGood,_xlfn.LOGNORM.INV(RAND(),MV3,Sigma2),MIN(MaxMultiple,Xm/(1-RAND())^(1/Alpha)))))</f>
        <v>0.63087532470263552</v>
      </c>
      <c r="V283" s="19">
        <f ca="1">IF(RAND()&lt;P_Zero,0,IF(RAND()&lt;CondReturn,_xlfn.LOGNORM.INV(RAND(),MV2,Sigma1),IF(RAND()&lt;CondGood,_xlfn.LOGNORM.INV(RAND(),MV3,Sigma2),MIN(MaxMultiple,Xm/(1-RAND())^(1/Alpha)))))</f>
        <v>0</v>
      </c>
      <c r="W283" s="19">
        <f ca="1">IF(RAND()&lt;P_Zero,0,IF(RAND()&lt;CondReturn,_xlfn.LOGNORM.INV(RAND(),MV2,Sigma1),IF(RAND()&lt;CondGood,_xlfn.LOGNORM.INV(RAND(),MV3,Sigma2),MIN(MaxMultiple,Xm/(1-RAND())^(1/Alpha)))))</f>
        <v>1.4955967769774421</v>
      </c>
      <c r="X283" s="19">
        <f ca="1">IF(RAND()&lt;P_Zero,0,IF(RAND()&lt;CondReturn,_xlfn.LOGNORM.INV(RAND(),MV2,Sigma1),IF(RAND()&lt;CondGood,_xlfn.LOGNORM.INV(RAND(),MV3,Sigma2),MIN(MaxMultiple,Xm/(1-RAND())^(1/Alpha)))))</f>
        <v>1.1735600440431444</v>
      </c>
      <c r="Y283" s="19">
        <f ca="1">IF(RAND()&lt;P_Zero,0,IF(RAND()&lt;CondReturn,_xlfn.LOGNORM.INV(RAND(),MV2,Sigma1),IF(RAND()&lt;CondGood,_xlfn.LOGNORM.INV(RAND(),MV3,Sigma2),MIN(MaxMultiple,Xm/(1-RAND())^(1/Alpha)))))</f>
        <v>0</v>
      </c>
      <c r="Z283" s="19">
        <f ca="1">IF(RAND()&lt;P_Zero,0,IF(RAND()&lt;CondReturn,_xlfn.LOGNORM.INV(RAND(),MV2,Sigma1),IF(RAND()&lt;CondGood,_xlfn.LOGNORM.INV(RAND(),MV3,Sigma2),MIN(MaxMultiple,Xm/(1-RAND())^(1/Alpha)))))</f>
        <v>0.50448000623847999</v>
      </c>
      <c r="AA283" s="19">
        <f ca="1">IF(RAND()&lt;P_Zero,0,IF(RAND()&lt;CondReturn,_xlfn.LOGNORM.INV(RAND(),MV2,Sigma1),IF(RAND()&lt;CondGood,_xlfn.LOGNORM.INV(RAND(),MV3,Sigma2),MIN(MaxMultiple,Xm/(1-RAND())^(1/Alpha)))))</f>
        <v>0</v>
      </c>
      <c r="AB283" s="19">
        <f t="shared" ca="1" si="32"/>
        <v>0.46695420473006666</v>
      </c>
      <c r="AC283" s="14">
        <f t="shared" ca="1" si="33"/>
        <v>22413801.827043198</v>
      </c>
      <c r="AD283" s="14">
        <f t="shared" ca="1" si="34"/>
        <v>-25586198.172956802</v>
      </c>
      <c r="AE283" s="14">
        <f t="shared" si="35"/>
        <v>55628399.869093813</v>
      </c>
      <c r="AF283" s="14">
        <f t="shared" ca="1" si="36"/>
        <v>0</v>
      </c>
      <c r="AG283" s="14">
        <f t="shared" ca="1" si="37"/>
        <v>0</v>
      </c>
      <c r="AH283" s="14">
        <f t="shared" ca="1" si="38"/>
        <v>22413801.827043198</v>
      </c>
      <c r="AI283" s="19">
        <f t="shared" ca="1" si="39"/>
        <v>0.3735633637840533</v>
      </c>
    </row>
    <row r="284" spans="2:35" x14ac:dyDescent="0.2">
      <c r="B284" s="1">
        <v>279</v>
      </c>
      <c r="C284" s="19">
        <f ca="1">IF(RAND()&lt;P_Zero,0,IF(RAND()&lt;CondReturn,_xlfn.LOGNORM.INV(RAND(),MV2,Sigma1),IF(RAND()&lt;CondGood,_xlfn.LOGNORM.INV(RAND(),MV3,Sigma2),MIN(MaxMultiple,Xm/(1-RAND())^(1/Alpha)))))</f>
        <v>0</v>
      </c>
      <c r="D284" s="19">
        <f ca="1">IF(RAND()&lt;P_Zero,0,IF(RAND()&lt;CondReturn,_xlfn.LOGNORM.INV(RAND(),MV2,Sigma1),IF(RAND()&lt;CondGood,_xlfn.LOGNORM.INV(RAND(),MV3,Sigma2),MIN(MaxMultiple,Xm/(1-RAND())^(1/Alpha)))))</f>
        <v>0</v>
      </c>
      <c r="E284" s="19">
        <f ca="1">IF(RAND()&lt;P_Zero,0,IF(RAND()&lt;CondReturn,_xlfn.LOGNORM.INV(RAND(),MV2,Sigma1),IF(RAND()&lt;CondGood,_xlfn.LOGNORM.INV(RAND(),MV3,Sigma2),MIN(MaxMultiple,Xm/(1-RAND())^(1/Alpha)))))</f>
        <v>0</v>
      </c>
      <c r="F284" s="19">
        <f ca="1">IF(RAND()&lt;P_Zero,0,IF(RAND()&lt;CondReturn,_xlfn.LOGNORM.INV(RAND(),MV2,Sigma1),IF(RAND()&lt;CondGood,_xlfn.LOGNORM.INV(RAND(),MV3,Sigma2),MIN(MaxMultiple,Xm/(1-RAND())^(1/Alpha)))))</f>
        <v>0</v>
      </c>
      <c r="G284" s="19">
        <f ca="1">IF(RAND()&lt;P_Zero,0,IF(RAND()&lt;CondReturn,_xlfn.LOGNORM.INV(RAND(),MV2,Sigma1),IF(RAND()&lt;CondGood,_xlfn.LOGNORM.INV(RAND(),MV3,Sigma2),MIN(MaxMultiple,Xm/(1-RAND())^(1/Alpha)))))</f>
        <v>1.3294091218979525</v>
      </c>
      <c r="H284" s="19">
        <f ca="1">IF(RAND()&lt;P_Zero,0,IF(RAND()&lt;CondReturn,_xlfn.LOGNORM.INV(RAND(),MV2,Sigma1),IF(RAND()&lt;CondGood,_xlfn.LOGNORM.INV(RAND(),MV3,Sigma2),MIN(MaxMultiple,Xm/(1-RAND())^(1/Alpha)))))</f>
        <v>0</v>
      </c>
      <c r="I284" s="19">
        <f ca="1">IF(RAND()&lt;P_Zero,0,IF(RAND()&lt;CondReturn,_xlfn.LOGNORM.INV(RAND(),MV2,Sigma1),IF(RAND()&lt;CondGood,_xlfn.LOGNORM.INV(RAND(),MV3,Sigma2),MIN(MaxMultiple,Xm/(1-RAND())^(1/Alpha)))))</f>
        <v>0</v>
      </c>
      <c r="J284" s="19">
        <f ca="1">IF(RAND()&lt;P_Zero,0,IF(RAND()&lt;CondReturn,_xlfn.LOGNORM.INV(RAND(),MV2,Sigma1),IF(RAND()&lt;CondGood,_xlfn.LOGNORM.INV(RAND(),MV3,Sigma2),MIN(MaxMultiple,Xm/(1-RAND())^(1/Alpha)))))</f>
        <v>1.1767758159204074</v>
      </c>
      <c r="K284" s="19">
        <f ca="1">IF(RAND()&lt;P_Zero,0,IF(RAND()&lt;CondReturn,_xlfn.LOGNORM.INV(RAND(),MV2,Sigma1),IF(RAND()&lt;CondGood,_xlfn.LOGNORM.INV(RAND(),MV3,Sigma2),MIN(MaxMultiple,Xm/(1-RAND())^(1/Alpha)))))</f>
        <v>2.9952198417990203</v>
      </c>
      <c r="L284" s="19">
        <f ca="1">IF(RAND()&lt;P_Zero,0,IF(RAND()&lt;CondReturn,_xlfn.LOGNORM.INV(RAND(),MV2,Sigma1),IF(RAND()&lt;CondGood,_xlfn.LOGNORM.INV(RAND(),MV3,Sigma2),MIN(MaxMultiple,Xm/(1-RAND())^(1/Alpha)))))</f>
        <v>0.92613078231908985</v>
      </c>
      <c r="M284" s="19">
        <f ca="1">IF(RAND()&lt;P_Zero,0,IF(RAND()&lt;CondReturn,_xlfn.LOGNORM.INV(RAND(),MV2,Sigma1),IF(RAND()&lt;CondGood,_xlfn.LOGNORM.INV(RAND(),MV3,Sigma2),MIN(MaxMultiple,Xm/(1-RAND())^(1/Alpha)))))</f>
        <v>0</v>
      </c>
      <c r="N284" s="19">
        <f ca="1">IF(RAND()&lt;P_Zero,0,IF(RAND()&lt;CondReturn,_xlfn.LOGNORM.INV(RAND(),MV2,Sigma1),IF(RAND()&lt;CondGood,_xlfn.LOGNORM.INV(RAND(),MV3,Sigma2),MIN(MaxMultiple,Xm/(1-RAND())^(1/Alpha)))))</f>
        <v>1.6729529158401562</v>
      </c>
      <c r="O284" s="19">
        <f ca="1">IF(RAND()&lt;P_Zero,0,IF(RAND()&lt;CondReturn,_xlfn.LOGNORM.INV(RAND(),MV2,Sigma1),IF(RAND()&lt;CondGood,_xlfn.LOGNORM.INV(RAND(),MV3,Sigma2),MIN(MaxMultiple,Xm/(1-RAND())^(1/Alpha)))))</f>
        <v>0</v>
      </c>
      <c r="P284" s="19">
        <f ca="1">IF(RAND()&lt;P_Zero,0,IF(RAND()&lt;CondReturn,_xlfn.LOGNORM.INV(RAND(),MV2,Sigma1),IF(RAND()&lt;CondGood,_xlfn.LOGNORM.INV(RAND(),MV3,Sigma2),MIN(MaxMultiple,Xm/(1-RAND())^(1/Alpha)))))</f>
        <v>0.56569698833303483</v>
      </c>
      <c r="Q284" s="19">
        <f ca="1">IF(RAND()&lt;P_Zero,0,IF(RAND()&lt;CondReturn,_xlfn.LOGNORM.INV(RAND(),MV2,Sigma1),IF(RAND()&lt;CondGood,_xlfn.LOGNORM.INV(RAND(),MV3,Sigma2),MIN(MaxMultiple,Xm/(1-RAND())^(1/Alpha)))))</f>
        <v>0.74232297102116629</v>
      </c>
      <c r="R284" s="19">
        <f ca="1">IF(RAND()&lt;P_Zero,0,IF(RAND()&lt;CondReturn,_xlfn.LOGNORM.INV(RAND(),MV2,Sigma1),IF(RAND()&lt;CondGood,_xlfn.LOGNORM.INV(RAND(),MV3,Sigma2),MIN(MaxMultiple,Xm/(1-RAND())^(1/Alpha)))))</f>
        <v>0.70137838823235121</v>
      </c>
      <c r="S284" s="19">
        <f ca="1">IF(RAND()&lt;P_Zero,0,IF(RAND()&lt;CondReturn,_xlfn.LOGNORM.INV(RAND(),MV2,Sigma1),IF(RAND()&lt;CondGood,_xlfn.LOGNORM.INV(RAND(),MV3,Sigma2),MIN(MaxMultiple,Xm/(1-RAND())^(1/Alpha)))))</f>
        <v>0</v>
      </c>
      <c r="T284" s="19">
        <f ca="1">IF(RAND()&lt;P_Zero,0,IF(RAND()&lt;CondReturn,_xlfn.LOGNORM.INV(RAND(),MV2,Sigma1),IF(RAND()&lt;CondGood,_xlfn.LOGNORM.INV(RAND(),MV3,Sigma2),MIN(MaxMultiple,Xm/(1-RAND())^(1/Alpha)))))</f>
        <v>0</v>
      </c>
      <c r="U284" s="19">
        <f ca="1">IF(RAND()&lt;P_Zero,0,IF(RAND()&lt;CondReturn,_xlfn.LOGNORM.INV(RAND(),MV2,Sigma1),IF(RAND()&lt;CondGood,_xlfn.LOGNORM.INV(RAND(),MV3,Sigma2),MIN(MaxMultiple,Xm/(1-RAND())^(1/Alpha)))))</f>
        <v>1.1138029677422039</v>
      </c>
      <c r="V284" s="19">
        <f ca="1">IF(RAND()&lt;P_Zero,0,IF(RAND()&lt;CondReturn,_xlfn.LOGNORM.INV(RAND(),MV2,Sigma1),IF(RAND()&lt;CondGood,_xlfn.LOGNORM.INV(RAND(),MV3,Sigma2),MIN(MaxMultiple,Xm/(1-RAND())^(1/Alpha)))))</f>
        <v>0.49648480575899684</v>
      </c>
      <c r="W284" s="19">
        <f ca="1">IF(RAND()&lt;P_Zero,0,IF(RAND()&lt;CondReturn,_xlfn.LOGNORM.INV(RAND(),MV2,Sigma1),IF(RAND()&lt;CondGood,_xlfn.LOGNORM.INV(RAND(),MV3,Sigma2),MIN(MaxMultiple,Xm/(1-RAND())^(1/Alpha)))))</f>
        <v>0</v>
      </c>
      <c r="X284" s="19">
        <f ca="1">IF(RAND()&lt;P_Zero,0,IF(RAND()&lt;CondReturn,_xlfn.LOGNORM.INV(RAND(),MV2,Sigma1),IF(RAND()&lt;CondGood,_xlfn.LOGNORM.INV(RAND(),MV3,Sigma2),MIN(MaxMultiple,Xm/(1-RAND())^(1/Alpha)))))</f>
        <v>0</v>
      </c>
      <c r="Y284" s="19">
        <f ca="1">IF(RAND()&lt;P_Zero,0,IF(RAND()&lt;CondReturn,_xlfn.LOGNORM.INV(RAND(),MV2,Sigma1),IF(RAND()&lt;CondGood,_xlfn.LOGNORM.INV(RAND(),MV3,Sigma2),MIN(MaxMultiple,Xm/(1-RAND())^(1/Alpha)))))</f>
        <v>0.78355440598162995</v>
      </c>
      <c r="Z284" s="19">
        <f ca="1">IF(RAND()&lt;P_Zero,0,IF(RAND()&lt;CondReturn,_xlfn.LOGNORM.INV(RAND(),MV2,Sigma1),IF(RAND()&lt;CondGood,_xlfn.LOGNORM.INV(RAND(),MV3,Sigma2),MIN(MaxMultiple,Xm/(1-RAND())^(1/Alpha)))))</f>
        <v>2.2022180592113019</v>
      </c>
      <c r="AA284" s="19">
        <f ca="1">IF(RAND()&lt;P_Zero,0,IF(RAND()&lt;CondReturn,_xlfn.LOGNORM.INV(RAND(),MV2,Sigma1),IF(RAND()&lt;CondGood,_xlfn.LOGNORM.INV(RAND(),MV3,Sigma2),MIN(MaxMultiple,Xm/(1-RAND())^(1/Alpha)))))</f>
        <v>1.4589759215902165</v>
      </c>
      <c r="AB284" s="19">
        <f t="shared" ca="1" si="32"/>
        <v>0.64659691942590103</v>
      </c>
      <c r="AC284" s="14">
        <f t="shared" ca="1" si="33"/>
        <v>31036652.132443249</v>
      </c>
      <c r="AD284" s="14">
        <f t="shared" ca="1" si="34"/>
        <v>-16963347.867556751</v>
      </c>
      <c r="AE284" s="14">
        <f t="shared" si="35"/>
        <v>55628399.869093813</v>
      </c>
      <c r="AF284" s="14">
        <f t="shared" ca="1" si="36"/>
        <v>0</v>
      </c>
      <c r="AG284" s="14">
        <f t="shared" ca="1" si="37"/>
        <v>0</v>
      </c>
      <c r="AH284" s="14">
        <f t="shared" ca="1" si="38"/>
        <v>31036652.132443249</v>
      </c>
      <c r="AI284" s="19">
        <f t="shared" ca="1" si="39"/>
        <v>0.51727753554072087</v>
      </c>
    </row>
    <row r="285" spans="2:35" x14ac:dyDescent="0.2">
      <c r="B285" s="1">
        <v>280</v>
      </c>
      <c r="C285" s="19">
        <f ca="1">IF(RAND()&lt;P_Zero,0,IF(RAND()&lt;CondReturn,_xlfn.LOGNORM.INV(RAND(),MV2,Sigma1),IF(RAND()&lt;CondGood,_xlfn.LOGNORM.INV(RAND(),MV3,Sigma2),MIN(MaxMultiple,Xm/(1-RAND())^(1/Alpha)))))</f>
        <v>0</v>
      </c>
      <c r="D285" s="19">
        <f ca="1">IF(RAND()&lt;P_Zero,0,IF(RAND()&lt;CondReturn,_xlfn.LOGNORM.INV(RAND(),MV2,Sigma1),IF(RAND()&lt;CondGood,_xlfn.LOGNORM.INV(RAND(),MV3,Sigma2),MIN(MaxMultiple,Xm/(1-RAND())^(1/Alpha)))))</f>
        <v>0</v>
      </c>
      <c r="E285" s="19">
        <f ca="1">IF(RAND()&lt;P_Zero,0,IF(RAND()&lt;CondReturn,_xlfn.LOGNORM.INV(RAND(),MV2,Sigma1),IF(RAND()&lt;CondGood,_xlfn.LOGNORM.INV(RAND(),MV3,Sigma2),MIN(MaxMultiple,Xm/(1-RAND())^(1/Alpha)))))</f>
        <v>0.92805145177656412</v>
      </c>
      <c r="F285" s="19">
        <f ca="1">IF(RAND()&lt;P_Zero,0,IF(RAND()&lt;CondReturn,_xlfn.LOGNORM.INV(RAND(),MV2,Sigma1),IF(RAND()&lt;CondGood,_xlfn.LOGNORM.INV(RAND(),MV3,Sigma2),MIN(MaxMultiple,Xm/(1-RAND())^(1/Alpha)))))</f>
        <v>0.33199636823330553</v>
      </c>
      <c r="G285" s="19">
        <f ca="1">IF(RAND()&lt;P_Zero,0,IF(RAND()&lt;CondReturn,_xlfn.LOGNORM.INV(RAND(),MV2,Sigma1),IF(RAND()&lt;CondGood,_xlfn.LOGNORM.INV(RAND(),MV3,Sigma2),MIN(MaxMultiple,Xm/(1-RAND())^(1/Alpha)))))</f>
        <v>0.73503023591223637</v>
      </c>
      <c r="H285" s="19">
        <f ca="1">IF(RAND()&lt;P_Zero,0,IF(RAND()&lt;CondReturn,_xlfn.LOGNORM.INV(RAND(),MV2,Sigma1),IF(RAND()&lt;CondGood,_xlfn.LOGNORM.INV(RAND(),MV3,Sigma2),MIN(MaxMultiple,Xm/(1-RAND())^(1/Alpha)))))</f>
        <v>0</v>
      </c>
      <c r="I285" s="19">
        <f ca="1">IF(RAND()&lt;P_Zero,0,IF(RAND()&lt;CondReturn,_xlfn.LOGNORM.INV(RAND(),MV2,Sigma1),IF(RAND()&lt;CondGood,_xlfn.LOGNORM.INV(RAND(),MV3,Sigma2),MIN(MaxMultiple,Xm/(1-RAND())^(1/Alpha)))))</f>
        <v>0.87007987114020513</v>
      </c>
      <c r="J285" s="19">
        <f ca="1">IF(RAND()&lt;P_Zero,0,IF(RAND()&lt;CondReturn,_xlfn.LOGNORM.INV(RAND(),MV2,Sigma1),IF(RAND()&lt;CondGood,_xlfn.LOGNORM.INV(RAND(),MV3,Sigma2),MIN(MaxMultiple,Xm/(1-RAND())^(1/Alpha)))))</f>
        <v>0.44683141186458797</v>
      </c>
      <c r="K285" s="19">
        <f ca="1">IF(RAND()&lt;P_Zero,0,IF(RAND()&lt;CondReturn,_xlfn.LOGNORM.INV(RAND(),MV2,Sigma1),IF(RAND()&lt;CondGood,_xlfn.LOGNORM.INV(RAND(),MV3,Sigma2),MIN(MaxMultiple,Xm/(1-RAND())^(1/Alpha)))))</f>
        <v>121.07079264586002</v>
      </c>
      <c r="L285" s="19">
        <f ca="1">IF(RAND()&lt;P_Zero,0,IF(RAND()&lt;CondReturn,_xlfn.LOGNORM.INV(RAND(),MV2,Sigma1),IF(RAND()&lt;CondGood,_xlfn.LOGNORM.INV(RAND(),MV3,Sigma2),MIN(MaxMultiple,Xm/(1-RAND())^(1/Alpha)))))</f>
        <v>0</v>
      </c>
      <c r="M285" s="19">
        <f ca="1">IF(RAND()&lt;P_Zero,0,IF(RAND()&lt;CondReturn,_xlfn.LOGNORM.INV(RAND(),MV2,Sigma1),IF(RAND()&lt;CondGood,_xlfn.LOGNORM.INV(RAND(),MV3,Sigma2),MIN(MaxMultiple,Xm/(1-RAND())^(1/Alpha)))))</f>
        <v>0.73096878370809293</v>
      </c>
      <c r="N285" s="19">
        <f ca="1">IF(RAND()&lt;P_Zero,0,IF(RAND()&lt;CondReturn,_xlfn.LOGNORM.INV(RAND(),MV2,Sigma1),IF(RAND()&lt;CondGood,_xlfn.LOGNORM.INV(RAND(),MV3,Sigma2),MIN(MaxMultiple,Xm/(1-RAND())^(1/Alpha)))))</f>
        <v>0</v>
      </c>
      <c r="O285" s="19">
        <f ca="1">IF(RAND()&lt;P_Zero,0,IF(RAND()&lt;CondReturn,_xlfn.LOGNORM.INV(RAND(),MV2,Sigma1),IF(RAND()&lt;CondGood,_xlfn.LOGNORM.INV(RAND(),MV3,Sigma2),MIN(MaxMultiple,Xm/(1-RAND())^(1/Alpha)))))</f>
        <v>11.180829234769224</v>
      </c>
      <c r="P285" s="19">
        <f ca="1">IF(RAND()&lt;P_Zero,0,IF(RAND()&lt;CondReturn,_xlfn.LOGNORM.INV(RAND(),MV2,Sigma1),IF(RAND()&lt;CondGood,_xlfn.LOGNORM.INV(RAND(),MV3,Sigma2),MIN(MaxMultiple,Xm/(1-RAND())^(1/Alpha)))))</f>
        <v>0</v>
      </c>
      <c r="Q285" s="19">
        <f ca="1">IF(RAND()&lt;P_Zero,0,IF(RAND()&lt;CondReturn,_xlfn.LOGNORM.INV(RAND(),MV2,Sigma1),IF(RAND()&lt;CondGood,_xlfn.LOGNORM.INV(RAND(),MV3,Sigma2),MIN(MaxMultiple,Xm/(1-RAND())^(1/Alpha)))))</f>
        <v>1.2295895886567882</v>
      </c>
      <c r="R285" s="19">
        <f ca="1">IF(RAND()&lt;P_Zero,0,IF(RAND()&lt;CondReturn,_xlfn.LOGNORM.INV(RAND(),MV2,Sigma1),IF(RAND()&lt;CondGood,_xlfn.LOGNORM.INV(RAND(),MV3,Sigma2),MIN(MaxMultiple,Xm/(1-RAND())^(1/Alpha)))))</f>
        <v>0.55743040197332772</v>
      </c>
      <c r="S285" s="19">
        <f ca="1">IF(RAND()&lt;P_Zero,0,IF(RAND()&lt;CondReturn,_xlfn.LOGNORM.INV(RAND(),MV2,Sigma1),IF(RAND()&lt;CondGood,_xlfn.LOGNORM.INV(RAND(),MV3,Sigma2),MIN(MaxMultiple,Xm/(1-RAND())^(1/Alpha)))))</f>
        <v>1.1249016011761621</v>
      </c>
      <c r="T285" s="19">
        <f ca="1">IF(RAND()&lt;P_Zero,0,IF(RAND()&lt;CondReturn,_xlfn.LOGNORM.INV(RAND(),MV2,Sigma1),IF(RAND()&lt;CondGood,_xlfn.LOGNORM.INV(RAND(),MV3,Sigma2),MIN(MaxMultiple,Xm/(1-RAND())^(1/Alpha)))))</f>
        <v>1.0562966318756131</v>
      </c>
      <c r="U285" s="19">
        <f ca="1">IF(RAND()&lt;P_Zero,0,IF(RAND()&lt;CondReturn,_xlfn.LOGNORM.INV(RAND(),MV2,Sigma1),IF(RAND()&lt;CondGood,_xlfn.LOGNORM.INV(RAND(),MV3,Sigma2),MIN(MaxMultiple,Xm/(1-RAND())^(1/Alpha)))))</f>
        <v>0</v>
      </c>
      <c r="V285" s="19">
        <f ca="1">IF(RAND()&lt;P_Zero,0,IF(RAND()&lt;CondReturn,_xlfn.LOGNORM.INV(RAND(),MV2,Sigma1),IF(RAND()&lt;CondGood,_xlfn.LOGNORM.INV(RAND(),MV3,Sigma2),MIN(MaxMultiple,Xm/(1-RAND())^(1/Alpha)))))</f>
        <v>0.73288498999552343</v>
      </c>
      <c r="W285" s="19">
        <f ca="1">IF(RAND()&lt;P_Zero,0,IF(RAND()&lt;CondReturn,_xlfn.LOGNORM.INV(RAND(),MV2,Sigma1),IF(RAND()&lt;CondGood,_xlfn.LOGNORM.INV(RAND(),MV3,Sigma2),MIN(MaxMultiple,Xm/(1-RAND())^(1/Alpha)))))</f>
        <v>0</v>
      </c>
      <c r="X285" s="19">
        <f ca="1">IF(RAND()&lt;P_Zero,0,IF(RAND()&lt;CondReturn,_xlfn.LOGNORM.INV(RAND(),MV2,Sigma1),IF(RAND()&lt;CondGood,_xlfn.LOGNORM.INV(RAND(),MV3,Sigma2),MIN(MaxMultiple,Xm/(1-RAND())^(1/Alpha)))))</f>
        <v>0</v>
      </c>
      <c r="Y285" s="19">
        <f ca="1">IF(RAND()&lt;P_Zero,0,IF(RAND()&lt;CondReturn,_xlfn.LOGNORM.INV(RAND(),MV2,Sigma1),IF(RAND()&lt;CondGood,_xlfn.LOGNORM.INV(RAND(),MV3,Sigma2),MIN(MaxMultiple,Xm/(1-RAND())^(1/Alpha)))))</f>
        <v>1.1696737621918258</v>
      </c>
      <c r="Z285" s="19">
        <f ca="1">IF(RAND()&lt;P_Zero,0,IF(RAND()&lt;CondReturn,_xlfn.LOGNORM.INV(RAND(),MV2,Sigma1),IF(RAND()&lt;CondGood,_xlfn.LOGNORM.INV(RAND(),MV3,Sigma2),MIN(MaxMultiple,Xm/(1-RAND())^(1/Alpha)))))</f>
        <v>0</v>
      </c>
      <c r="AA285" s="19">
        <f ca="1">IF(RAND()&lt;P_Zero,0,IF(RAND()&lt;CondReturn,_xlfn.LOGNORM.INV(RAND(),MV2,Sigma1),IF(RAND()&lt;CondGood,_xlfn.LOGNORM.INV(RAND(),MV3,Sigma2),MIN(MaxMultiple,Xm/(1-RAND())^(1/Alpha)))))</f>
        <v>0</v>
      </c>
      <c r="AB285" s="19">
        <f t="shared" ca="1" si="32"/>
        <v>5.6866142791653393</v>
      </c>
      <c r="AC285" s="14">
        <f t="shared" ca="1" si="33"/>
        <v>272957485.39993632</v>
      </c>
      <c r="AD285" s="14">
        <f t="shared" ca="1" si="34"/>
        <v>224957485.39993632</v>
      </c>
      <c r="AE285" s="14">
        <f t="shared" si="35"/>
        <v>55628399.869093813</v>
      </c>
      <c r="AF285" s="14">
        <f t="shared" ca="1" si="36"/>
        <v>169329085.53084251</v>
      </c>
      <c r="AG285" s="14">
        <f t="shared" ca="1" si="37"/>
        <v>33865817.106168501</v>
      </c>
      <c r="AH285" s="14">
        <f t="shared" ca="1" si="38"/>
        <v>239091668.29376781</v>
      </c>
      <c r="AI285" s="19">
        <f t="shared" ca="1" si="39"/>
        <v>3.9848611382294634</v>
      </c>
    </row>
    <row r="286" spans="2:35" x14ac:dyDescent="0.2">
      <c r="B286" s="1">
        <v>281</v>
      </c>
      <c r="C286" s="19">
        <f ca="1">IF(RAND()&lt;P_Zero,0,IF(RAND()&lt;CondReturn,_xlfn.LOGNORM.INV(RAND(),MV2,Sigma1),IF(RAND()&lt;CondGood,_xlfn.LOGNORM.INV(RAND(),MV3,Sigma2),MIN(MaxMultiple,Xm/(1-RAND())^(1/Alpha)))))</f>
        <v>1.41240764460535</v>
      </c>
      <c r="D286" s="19">
        <f ca="1">IF(RAND()&lt;P_Zero,0,IF(RAND()&lt;CondReturn,_xlfn.LOGNORM.INV(RAND(),MV2,Sigma1),IF(RAND()&lt;CondGood,_xlfn.LOGNORM.INV(RAND(),MV3,Sigma2),MIN(MaxMultiple,Xm/(1-RAND())^(1/Alpha)))))</f>
        <v>1.5292612130983532</v>
      </c>
      <c r="E286" s="19">
        <f ca="1">IF(RAND()&lt;P_Zero,0,IF(RAND()&lt;CondReturn,_xlfn.LOGNORM.INV(RAND(),MV2,Sigma1),IF(RAND()&lt;CondGood,_xlfn.LOGNORM.INV(RAND(),MV3,Sigma2),MIN(MaxMultiple,Xm/(1-RAND())^(1/Alpha)))))</f>
        <v>0</v>
      </c>
      <c r="F286" s="19">
        <f ca="1">IF(RAND()&lt;P_Zero,0,IF(RAND()&lt;CondReturn,_xlfn.LOGNORM.INV(RAND(),MV2,Sigma1),IF(RAND()&lt;CondGood,_xlfn.LOGNORM.INV(RAND(),MV3,Sigma2),MIN(MaxMultiple,Xm/(1-RAND())^(1/Alpha)))))</f>
        <v>0</v>
      </c>
      <c r="G286" s="19">
        <f ca="1">IF(RAND()&lt;P_Zero,0,IF(RAND()&lt;CondReturn,_xlfn.LOGNORM.INV(RAND(),MV2,Sigma1),IF(RAND()&lt;CondGood,_xlfn.LOGNORM.INV(RAND(),MV3,Sigma2),MIN(MaxMultiple,Xm/(1-RAND())^(1/Alpha)))))</f>
        <v>0</v>
      </c>
      <c r="H286" s="19">
        <f ca="1">IF(RAND()&lt;P_Zero,0,IF(RAND()&lt;CondReturn,_xlfn.LOGNORM.INV(RAND(),MV2,Sigma1),IF(RAND()&lt;CondGood,_xlfn.LOGNORM.INV(RAND(),MV3,Sigma2),MIN(MaxMultiple,Xm/(1-RAND())^(1/Alpha)))))</f>
        <v>0</v>
      </c>
      <c r="I286" s="19">
        <f ca="1">IF(RAND()&lt;P_Zero,0,IF(RAND()&lt;CondReturn,_xlfn.LOGNORM.INV(RAND(),MV2,Sigma1),IF(RAND()&lt;CondGood,_xlfn.LOGNORM.INV(RAND(),MV3,Sigma2),MIN(MaxMultiple,Xm/(1-RAND())^(1/Alpha)))))</f>
        <v>0</v>
      </c>
      <c r="J286" s="19">
        <f ca="1">IF(RAND()&lt;P_Zero,0,IF(RAND()&lt;CondReturn,_xlfn.LOGNORM.INV(RAND(),MV2,Sigma1),IF(RAND()&lt;CondGood,_xlfn.LOGNORM.INV(RAND(),MV3,Sigma2),MIN(MaxMultiple,Xm/(1-RAND())^(1/Alpha)))))</f>
        <v>1.5740302059149545</v>
      </c>
      <c r="K286" s="19">
        <f ca="1">IF(RAND()&lt;P_Zero,0,IF(RAND()&lt;CondReturn,_xlfn.LOGNORM.INV(RAND(),MV2,Sigma1),IF(RAND()&lt;CondGood,_xlfn.LOGNORM.INV(RAND(),MV3,Sigma2),MIN(MaxMultiple,Xm/(1-RAND())^(1/Alpha)))))</f>
        <v>0.97751839584213218</v>
      </c>
      <c r="L286" s="19">
        <f ca="1">IF(RAND()&lt;P_Zero,0,IF(RAND()&lt;CondReturn,_xlfn.LOGNORM.INV(RAND(),MV2,Sigma1),IF(RAND()&lt;CondGood,_xlfn.LOGNORM.INV(RAND(),MV3,Sigma2),MIN(MaxMultiple,Xm/(1-RAND())^(1/Alpha)))))</f>
        <v>0</v>
      </c>
      <c r="M286" s="19">
        <f ca="1">IF(RAND()&lt;P_Zero,0,IF(RAND()&lt;CondReturn,_xlfn.LOGNORM.INV(RAND(),MV2,Sigma1),IF(RAND()&lt;CondGood,_xlfn.LOGNORM.INV(RAND(),MV3,Sigma2),MIN(MaxMultiple,Xm/(1-RAND())^(1/Alpha)))))</f>
        <v>2.9068879236728509</v>
      </c>
      <c r="N286" s="19">
        <f ca="1">IF(RAND()&lt;P_Zero,0,IF(RAND()&lt;CondReturn,_xlfn.LOGNORM.INV(RAND(),MV2,Sigma1),IF(RAND()&lt;CondGood,_xlfn.LOGNORM.INV(RAND(),MV3,Sigma2),MIN(MaxMultiple,Xm/(1-RAND())^(1/Alpha)))))</f>
        <v>0</v>
      </c>
      <c r="O286" s="19">
        <f ca="1">IF(RAND()&lt;P_Zero,0,IF(RAND()&lt;CondReturn,_xlfn.LOGNORM.INV(RAND(),MV2,Sigma1),IF(RAND()&lt;CondGood,_xlfn.LOGNORM.INV(RAND(),MV3,Sigma2),MIN(MaxMultiple,Xm/(1-RAND())^(1/Alpha)))))</f>
        <v>0.89666635238828907</v>
      </c>
      <c r="P286" s="19">
        <f ca="1">IF(RAND()&lt;P_Zero,0,IF(RAND()&lt;CondReturn,_xlfn.LOGNORM.INV(RAND(),MV2,Sigma1),IF(RAND()&lt;CondGood,_xlfn.LOGNORM.INV(RAND(),MV3,Sigma2),MIN(MaxMultiple,Xm/(1-RAND())^(1/Alpha)))))</f>
        <v>0</v>
      </c>
      <c r="Q286" s="19">
        <f ca="1">IF(RAND()&lt;P_Zero,0,IF(RAND()&lt;CondReturn,_xlfn.LOGNORM.INV(RAND(),MV2,Sigma1),IF(RAND()&lt;CondGood,_xlfn.LOGNORM.INV(RAND(),MV3,Sigma2),MIN(MaxMultiple,Xm/(1-RAND())^(1/Alpha)))))</f>
        <v>0</v>
      </c>
      <c r="R286" s="19">
        <f ca="1">IF(RAND()&lt;P_Zero,0,IF(RAND()&lt;CondReturn,_xlfn.LOGNORM.INV(RAND(),MV2,Sigma1),IF(RAND()&lt;CondGood,_xlfn.LOGNORM.INV(RAND(),MV3,Sigma2),MIN(MaxMultiple,Xm/(1-RAND())^(1/Alpha)))))</f>
        <v>22.116356560173507</v>
      </c>
      <c r="S286" s="19">
        <f ca="1">IF(RAND()&lt;P_Zero,0,IF(RAND()&lt;CondReturn,_xlfn.LOGNORM.INV(RAND(),MV2,Sigma1),IF(RAND()&lt;CondGood,_xlfn.LOGNORM.INV(RAND(),MV3,Sigma2),MIN(MaxMultiple,Xm/(1-RAND())^(1/Alpha)))))</f>
        <v>1.4549978917147908</v>
      </c>
      <c r="T286" s="19">
        <f ca="1">IF(RAND()&lt;P_Zero,0,IF(RAND()&lt;CondReturn,_xlfn.LOGNORM.INV(RAND(),MV2,Sigma1),IF(RAND()&lt;CondGood,_xlfn.LOGNORM.INV(RAND(),MV3,Sigma2),MIN(MaxMultiple,Xm/(1-RAND())^(1/Alpha)))))</f>
        <v>0.52883409436408613</v>
      </c>
      <c r="U286" s="19">
        <f ca="1">IF(RAND()&lt;P_Zero,0,IF(RAND()&lt;CondReturn,_xlfn.LOGNORM.INV(RAND(),MV2,Sigma1),IF(RAND()&lt;CondGood,_xlfn.LOGNORM.INV(RAND(),MV3,Sigma2),MIN(MaxMultiple,Xm/(1-RAND())^(1/Alpha)))))</f>
        <v>0.3857963802418139</v>
      </c>
      <c r="V286" s="19">
        <f ca="1">IF(RAND()&lt;P_Zero,0,IF(RAND()&lt;CondReturn,_xlfn.LOGNORM.INV(RAND(),MV2,Sigma1),IF(RAND()&lt;CondGood,_xlfn.LOGNORM.INV(RAND(),MV3,Sigma2),MIN(MaxMultiple,Xm/(1-RAND())^(1/Alpha)))))</f>
        <v>17.759326144464087</v>
      </c>
      <c r="W286" s="19">
        <f ca="1">IF(RAND()&lt;P_Zero,0,IF(RAND()&lt;CondReturn,_xlfn.LOGNORM.INV(RAND(),MV2,Sigma1),IF(RAND()&lt;CondGood,_xlfn.LOGNORM.INV(RAND(),MV3,Sigma2),MIN(MaxMultiple,Xm/(1-RAND())^(1/Alpha)))))</f>
        <v>13.519666790117375</v>
      </c>
      <c r="X286" s="19">
        <f ca="1">IF(RAND()&lt;P_Zero,0,IF(RAND()&lt;CondReturn,_xlfn.LOGNORM.INV(RAND(),MV2,Sigma1),IF(RAND()&lt;CondGood,_xlfn.LOGNORM.INV(RAND(),MV3,Sigma2),MIN(MaxMultiple,Xm/(1-RAND())^(1/Alpha)))))</f>
        <v>0.50159987700551845</v>
      </c>
      <c r="Y286" s="19">
        <f ca="1">IF(RAND()&lt;P_Zero,0,IF(RAND()&lt;CondReturn,_xlfn.LOGNORM.INV(RAND(),MV2,Sigma1),IF(RAND()&lt;CondGood,_xlfn.LOGNORM.INV(RAND(),MV3,Sigma2),MIN(MaxMultiple,Xm/(1-RAND())^(1/Alpha)))))</f>
        <v>0</v>
      </c>
      <c r="Z286" s="19">
        <f ca="1">IF(RAND()&lt;P_Zero,0,IF(RAND()&lt;CondReturn,_xlfn.LOGNORM.INV(RAND(),MV2,Sigma1),IF(RAND()&lt;CondGood,_xlfn.LOGNORM.INV(RAND(),MV3,Sigma2),MIN(MaxMultiple,Xm/(1-RAND())^(1/Alpha)))))</f>
        <v>1.1497268790894086</v>
      </c>
      <c r="AA286" s="19">
        <f ca="1">IF(RAND()&lt;P_Zero,0,IF(RAND()&lt;CondReturn,_xlfn.LOGNORM.INV(RAND(),MV2,Sigma1),IF(RAND()&lt;CondGood,_xlfn.LOGNORM.INV(RAND(),MV3,Sigma2),MIN(MaxMultiple,Xm/(1-RAND())^(1/Alpha)))))</f>
        <v>0</v>
      </c>
      <c r="AB286" s="19">
        <f t="shared" ca="1" si="32"/>
        <v>2.6685230541077005</v>
      </c>
      <c r="AC286" s="14">
        <f t="shared" ca="1" si="33"/>
        <v>128089106.59716962</v>
      </c>
      <c r="AD286" s="14">
        <f t="shared" ca="1" si="34"/>
        <v>80089106.597169623</v>
      </c>
      <c r="AE286" s="14">
        <f t="shared" si="35"/>
        <v>55628399.869093813</v>
      </c>
      <c r="AF286" s="14">
        <f t="shared" ca="1" si="36"/>
        <v>24460706.72807581</v>
      </c>
      <c r="AG286" s="14">
        <f t="shared" ca="1" si="37"/>
        <v>4892141.3456151625</v>
      </c>
      <c r="AH286" s="14">
        <f t="shared" ca="1" si="38"/>
        <v>123196965.25155446</v>
      </c>
      <c r="AI286" s="19">
        <f t="shared" ca="1" si="39"/>
        <v>2.0532827541925744</v>
      </c>
    </row>
    <row r="287" spans="2:35" x14ac:dyDescent="0.2">
      <c r="B287" s="1">
        <v>282</v>
      </c>
      <c r="C287" s="19">
        <f ca="1">IF(RAND()&lt;P_Zero,0,IF(RAND()&lt;CondReturn,_xlfn.LOGNORM.INV(RAND(),MV2,Sigma1),IF(RAND()&lt;CondGood,_xlfn.LOGNORM.INV(RAND(),MV3,Sigma2),MIN(MaxMultiple,Xm/(1-RAND())^(1/Alpha)))))</f>
        <v>0</v>
      </c>
      <c r="D287" s="19">
        <f ca="1">IF(RAND()&lt;P_Zero,0,IF(RAND()&lt;CondReturn,_xlfn.LOGNORM.INV(RAND(),MV2,Sigma1),IF(RAND()&lt;CondGood,_xlfn.LOGNORM.INV(RAND(),MV3,Sigma2),MIN(MaxMultiple,Xm/(1-RAND())^(1/Alpha)))))</f>
        <v>0</v>
      </c>
      <c r="E287" s="19">
        <f ca="1">IF(RAND()&lt;P_Zero,0,IF(RAND()&lt;CondReturn,_xlfn.LOGNORM.INV(RAND(),MV2,Sigma1),IF(RAND()&lt;CondGood,_xlfn.LOGNORM.INV(RAND(),MV3,Sigma2),MIN(MaxMultiple,Xm/(1-RAND())^(1/Alpha)))))</f>
        <v>1.8099916996892702</v>
      </c>
      <c r="F287" s="19">
        <f ca="1">IF(RAND()&lt;P_Zero,0,IF(RAND()&lt;CondReturn,_xlfn.LOGNORM.INV(RAND(),MV2,Sigma1),IF(RAND()&lt;CondGood,_xlfn.LOGNORM.INV(RAND(),MV3,Sigma2),MIN(MaxMultiple,Xm/(1-RAND())^(1/Alpha)))))</f>
        <v>25.347281681686198</v>
      </c>
      <c r="G287" s="19">
        <f ca="1">IF(RAND()&lt;P_Zero,0,IF(RAND()&lt;CondReturn,_xlfn.LOGNORM.INV(RAND(),MV2,Sigma1),IF(RAND()&lt;CondGood,_xlfn.LOGNORM.INV(RAND(),MV3,Sigma2),MIN(MaxMultiple,Xm/(1-RAND())^(1/Alpha)))))</f>
        <v>0</v>
      </c>
      <c r="H287" s="19">
        <f ca="1">IF(RAND()&lt;P_Zero,0,IF(RAND()&lt;CondReturn,_xlfn.LOGNORM.INV(RAND(),MV2,Sigma1),IF(RAND()&lt;CondGood,_xlfn.LOGNORM.INV(RAND(),MV3,Sigma2),MIN(MaxMultiple,Xm/(1-RAND())^(1/Alpha)))))</f>
        <v>0.74905032845984376</v>
      </c>
      <c r="I287" s="19">
        <f ca="1">IF(RAND()&lt;P_Zero,0,IF(RAND()&lt;CondReturn,_xlfn.LOGNORM.INV(RAND(),MV2,Sigma1),IF(RAND()&lt;CondGood,_xlfn.LOGNORM.INV(RAND(),MV3,Sigma2),MIN(MaxMultiple,Xm/(1-RAND())^(1/Alpha)))))</f>
        <v>1.4284100780750892</v>
      </c>
      <c r="J287" s="19">
        <f ca="1">IF(RAND()&lt;P_Zero,0,IF(RAND()&lt;CondReturn,_xlfn.LOGNORM.INV(RAND(),MV2,Sigma1),IF(RAND()&lt;CondGood,_xlfn.LOGNORM.INV(RAND(),MV3,Sigma2),MIN(MaxMultiple,Xm/(1-RAND())^(1/Alpha)))))</f>
        <v>0</v>
      </c>
      <c r="K287" s="19">
        <f ca="1">IF(RAND()&lt;P_Zero,0,IF(RAND()&lt;CondReturn,_xlfn.LOGNORM.INV(RAND(),MV2,Sigma1),IF(RAND()&lt;CondGood,_xlfn.LOGNORM.INV(RAND(),MV3,Sigma2),MIN(MaxMultiple,Xm/(1-RAND())^(1/Alpha)))))</f>
        <v>0</v>
      </c>
      <c r="L287" s="19">
        <f ca="1">IF(RAND()&lt;P_Zero,0,IF(RAND()&lt;CondReturn,_xlfn.LOGNORM.INV(RAND(),MV2,Sigma1),IF(RAND()&lt;CondGood,_xlfn.LOGNORM.INV(RAND(),MV3,Sigma2),MIN(MaxMultiple,Xm/(1-RAND())^(1/Alpha)))))</f>
        <v>0.66892033978146404</v>
      </c>
      <c r="M287" s="19">
        <f ca="1">IF(RAND()&lt;P_Zero,0,IF(RAND()&lt;CondReturn,_xlfn.LOGNORM.INV(RAND(),MV2,Sigma1),IF(RAND()&lt;CondGood,_xlfn.LOGNORM.INV(RAND(),MV3,Sigma2),MIN(MaxMultiple,Xm/(1-RAND())^(1/Alpha)))))</f>
        <v>0.96577355783513907</v>
      </c>
      <c r="N287" s="19">
        <f ca="1">IF(RAND()&lt;P_Zero,0,IF(RAND()&lt;CondReturn,_xlfn.LOGNORM.INV(RAND(),MV2,Sigma1),IF(RAND()&lt;CondGood,_xlfn.LOGNORM.INV(RAND(),MV3,Sigma2),MIN(MaxMultiple,Xm/(1-RAND())^(1/Alpha)))))</f>
        <v>0</v>
      </c>
      <c r="O287" s="19">
        <f ca="1">IF(RAND()&lt;P_Zero,0,IF(RAND()&lt;CondReturn,_xlfn.LOGNORM.INV(RAND(),MV2,Sigma1),IF(RAND()&lt;CondGood,_xlfn.LOGNORM.INV(RAND(),MV3,Sigma2),MIN(MaxMultiple,Xm/(1-RAND())^(1/Alpha)))))</f>
        <v>0.84770513627613864</v>
      </c>
      <c r="P287" s="19">
        <f ca="1">IF(RAND()&lt;P_Zero,0,IF(RAND()&lt;CondReturn,_xlfn.LOGNORM.INV(RAND(),MV2,Sigma1),IF(RAND()&lt;CondGood,_xlfn.LOGNORM.INV(RAND(),MV3,Sigma2),MIN(MaxMultiple,Xm/(1-RAND())^(1/Alpha)))))</f>
        <v>1.1874674680450568</v>
      </c>
      <c r="Q287" s="19">
        <f ca="1">IF(RAND()&lt;P_Zero,0,IF(RAND()&lt;CondReturn,_xlfn.LOGNORM.INV(RAND(),MV2,Sigma1),IF(RAND()&lt;CondGood,_xlfn.LOGNORM.INV(RAND(),MV3,Sigma2),MIN(MaxMultiple,Xm/(1-RAND())^(1/Alpha)))))</f>
        <v>1.0706318445342879</v>
      </c>
      <c r="R287" s="19">
        <f ca="1">IF(RAND()&lt;P_Zero,0,IF(RAND()&lt;CondReturn,_xlfn.LOGNORM.INV(RAND(),MV2,Sigma1),IF(RAND()&lt;CondGood,_xlfn.LOGNORM.INV(RAND(),MV3,Sigma2),MIN(MaxMultiple,Xm/(1-RAND())^(1/Alpha)))))</f>
        <v>1.203497589202279</v>
      </c>
      <c r="S287" s="19">
        <f ca="1">IF(RAND()&lt;P_Zero,0,IF(RAND()&lt;CondReturn,_xlfn.LOGNORM.INV(RAND(),MV2,Sigma1),IF(RAND()&lt;CondGood,_xlfn.LOGNORM.INV(RAND(),MV3,Sigma2),MIN(MaxMultiple,Xm/(1-RAND())^(1/Alpha)))))</f>
        <v>0.6587156189062805</v>
      </c>
      <c r="T287" s="19">
        <f ca="1">IF(RAND()&lt;P_Zero,0,IF(RAND()&lt;CondReturn,_xlfn.LOGNORM.INV(RAND(),MV2,Sigma1),IF(RAND()&lt;CondGood,_xlfn.LOGNORM.INV(RAND(),MV3,Sigma2),MIN(MaxMultiple,Xm/(1-RAND())^(1/Alpha)))))</f>
        <v>22.627519190934944</v>
      </c>
      <c r="U287" s="19">
        <f ca="1">IF(RAND()&lt;P_Zero,0,IF(RAND()&lt;CondReturn,_xlfn.LOGNORM.INV(RAND(),MV2,Sigma1),IF(RAND()&lt;CondGood,_xlfn.LOGNORM.INV(RAND(),MV3,Sigma2),MIN(MaxMultiple,Xm/(1-RAND())^(1/Alpha)))))</f>
        <v>0</v>
      </c>
      <c r="V287" s="19">
        <f ca="1">IF(RAND()&lt;P_Zero,0,IF(RAND()&lt;CondReturn,_xlfn.LOGNORM.INV(RAND(),MV2,Sigma1),IF(RAND()&lt;CondGood,_xlfn.LOGNORM.INV(RAND(),MV3,Sigma2),MIN(MaxMultiple,Xm/(1-RAND())^(1/Alpha)))))</f>
        <v>1.2249716530264985</v>
      </c>
      <c r="W287" s="19">
        <f ca="1">IF(RAND()&lt;P_Zero,0,IF(RAND()&lt;CondReturn,_xlfn.LOGNORM.INV(RAND(),MV2,Sigma1),IF(RAND()&lt;CondGood,_xlfn.LOGNORM.INV(RAND(),MV3,Sigma2),MIN(MaxMultiple,Xm/(1-RAND())^(1/Alpha)))))</f>
        <v>0.9402088580612874</v>
      </c>
      <c r="X287" s="19">
        <f ca="1">IF(RAND()&lt;P_Zero,0,IF(RAND()&lt;CondReturn,_xlfn.LOGNORM.INV(RAND(),MV2,Sigma1),IF(RAND()&lt;CondGood,_xlfn.LOGNORM.INV(RAND(),MV3,Sigma2),MIN(MaxMultiple,Xm/(1-RAND())^(1/Alpha)))))</f>
        <v>0.88914198844322889</v>
      </c>
      <c r="Y287" s="19">
        <f ca="1">IF(RAND()&lt;P_Zero,0,IF(RAND()&lt;CondReturn,_xlfn.LOGNORM.INV(RAND(),MV2,Sigma1),IF(RAND()&lt;CondGood,_xlfn.LOGNORM.INV(RAND(),MV3,Sigma2),MIN(MaxMultiple,Xm/(1-RAND())^(1/Alpha)))))</f>
        <v>0</v>
      </c>
      <c r="Z287" s="19">
        <f ca="1">IF(RAND()&lt;P_Zero,0,IF(RAND()&lt;CondReturn,_xlfn.LOGNORM.INV(RAND(),MV2,Sigma1),IF(RAND()&lt;CondGood,_xlfn.LOGNORM.INV(RAND(),MV3,Sigma2),MIN(MaxMultiple,Xm/(1-RAND())^(1/Alpha)))))</f>
        <v>0</v>
      </c>
      <c r="AA287" s="19">
        <f ca="1">IF(RAND()&lt;P_Zero,0,IF(RAND()&lt;CondReturn,_xlfn.LOGNORM.INV(RAND(),MV2,Sigma1),IF(RAND()&lt;CondGood,_xlfn.LOGNORM.INV(RAND(),MV3,Sigma2),MIN(MaxMultiple,Xm/(1-RAND())^(1/Alpha)))))</f>
        <v>0</v>
      </c>
      <c r="AB287" s="19">
        <f t="shared" ca="1" si="32"/>
        <v>2.4647714813182806</v>
      </c>
      <c r="AC287" s="14">
        <f t="shared" ca="1" si="33"/>
        <v>118309031.10327747</v>
      </c>
      <c r="AD287" s="14">
        <f t="shared" ca="1" si="34"/>
        <v>70309031.103277475</v>
      </c>
      <c r="AE287" s="14">
        <f t="shared" si="35"/>
        <v>55628399.869093813</v>
      </c>
      <c r="AF287" s="14">
        <f t="shared" ca="1" si="36"/>
        <v>14680631.234183662</v>
      </c>
      <c r="AG287" s="14">
        <f t="shared" ca="1" si="37"/>
        <v>2936126.2468367326</v>
      </c>
      <c r="AH287" s="14">
        <f t="shared" ca="1" si="38"/>
        <v>115372904.85644074</v>
      </c>
      <c r="AI287" s="19">
        <f t="shared" ca="1" si="39"/>
        <v>1.9228817476073456</v>
      </c>
    </row>
    <row r="288" spans="2:35" x14ac:dyDescent="0.2">
      <c r="B288" s="1">
        <v>283</v>
      </c>
      <c r="C288" s="19">
        <f ca="1">IF(RAND()&lt;P_Zero,0,IF(RAND()&lt;CondReturn,_xlfn.LOGNORM.INV(RAND(),MV2,Sigma1),IF(RAND()&lt;CondGood,_xlfn.LOGNORM.INV(RAND(),MV3,Sigma2),MIN(MaxMultiple,Xm/(1-RAND())^(1/Alpha)))))</f>
        <v>0</v>
      </c>
      <c r="D288" s="19">
        <f ca="1">IF(RAND()&lt;P_Zero,0,IF(RAND()&lt;CondReturn,_xlfn.LOGNORM.INV(RAND(),MV2,Sigma1),IF(RAND()&lt;CondGood,_xlfn.LOGNORM.INV(RAND(),MV3,Sigma2),MIN(MaxMultiple,Xm/(1-RAND())^(1/Alpha)))))</f>
        <v>18.384569626604176</v>
      </c>
      <c r="E288" s="19">
        <f ca="1">IF(RAND()&lt;P_Zero,0,IF(RAND()&lt;CondReturn,_xlfn.LOGNORM.INV(RAND(),MV2,Sigma1),IF(RAND()&lt;CondGood,_xlfn.LOGNORM.INV(RAND(),MV3,Sigma2),MIN(MaxMultiple,Xm/(1-RAND())^(1/Alpha)))))</f>
        <v>0</v>
      </c>
      <c r="F288" s="19">
        <f ca="1">IF(RAND()&lt;P_Zero,0,IF(RAND()&lt;CondReturn,_xlfn.LOGNORM.INV(RAND(),MV2,Sigma1),IF(RAND()&lt;CondGood,_xlfn.LOGNORM.INV(RAND(),MV3,Sigma2),MIN(MaxMultiple,Xm/(1-RAND())^(1/Alpha)))))</f>
        <v>0.7748041452076434</v>
      </c>
      <c r="G288" s="19">
        <f ca="1">IF(RAND()&lt;P_Zero,0,IF(RAND()&lt;CondReturn,_xlfn.LOGNORM.INV(RAND(),MV2,Sigma1),IF(RAND()&lt;CondGood,_xlfn.LOGNORM.INV(RAND(),MV3,Sigma2),MIN(MaxMultiple,Xm/(1-RAND())^(1/Alpha)))))</f>
        <v>0</v>
      </c>
      <c r="H288" s="19">
        <f ca="1">IF(RAND()&lt;P_Zero,0,IF(RAND()&lt;CondReturn,_xlfn.LOGNORM.INV(RAND(),MV2,Sigma1),IF(RAND()&lt;CondGood,_xlfn.LOGNORM.INV(RAND(),MV3,Sigma2),MIN(MaxMultiple,Xm/(1-RAND())^(1/Alpha)))))</f>
        <v>0.90313819003157436</v>
      </c>
      <c r="I288" s="19">
        <f ca="1">IF(RAND()&lt;P_Zero,0,IF(RAND()&lt;CondReturn,_xlfn.LOGNORM.INV(RAND(),MV2,Sigma1),IF(RAND()&lt;CondGood,_xlfn.LOGNORM.INV(RAND(),MV3,Sigma2),MIN(MaxMultiple,Xm/(1-RAND())^(1/Alpha)))))</f>
        <v>1.5055807258004079</v>
      </c>
      <c r="J288" s="19">
        <f ca="1">IF(RAND()&lt;P_Zero,0,IF(RAND()&lt;CondReturn,_xlfn.LOGNORM.INV(RAND(),MV2,Sigma1),IF(RAND()&lt;CondGood,_xlfn.LOGNORM.INV(RAND(),MV3,Sigma2),MIN(MaxMultiple,Xm/(1-RAND())^(1/Alpha)))))</f>
        <v>1.3147565163343082</v>
      </c>
      <c r="K288" s="19">
        <f ca="1">IF(RAND()&lt;P_Zero,0,IF(RAND()&lt;CondReturn,_xlfn.LOGNORM.INV(RAND(),MV2,Sigma1),IF(RAND()&lt;CondGood,_xlfn.LOGNORM.INV(RAND(),MV3,Sigma2),MIN(MaxMultiple,Xm/(1-RAND())^(1/Alpha)))))</f>
        <v>0</v>
      </c>
      <c r="L288" s="19">
        <f ca="1">IF(RAND()&lt;P_Zero,0,IF(RAND()&lt;CondReturn,_xlfn.LOGNORM.INV(RAND(),MV2,Sigma1),IF(RAND()&lt;CondGood,_xlfn.LOGNORM.INV(RAND(),MV3,Sigma2),MIN(MaxMultiple,Xm/(1-RAND())^(1/Alpha)))))</f>
        <v>1.3150742199488856</v>
      </c>
      <c r="M288" s="19">
        <f ca="1">IF(RAND()&lt;P_Zero,0,IF(RAND()&lt;CondReturn,_xlfn.LOGNORM.INV(RAND(),MV2,Sigma1),IF(RAND()&lt;CondGood,_xlfn.LOGNORM.INV(RAND(),MV3,Sigma2),MIN(MaxMultiple,Xm/(1-RAND())^(1/Alpha)))))</f>
        <v>1.2715460892490835</v>
      </c>
      <c r="N288" s="19">
        <f ca="1">IF(RAND()&lt;P_Zero,0,IF(RAND()&lt;CondReturn,_xlfn.LOGNORM.INV(RAND(),MV2,Sigma1),IF(RAND()&lt;CondGood,_xlfn.LOGNORM.INV(RAND(),MV3,Sigma2),MIN(MaxMultiple,Xm/(1-RAND())^(1/Alpha)))))</f>
        <v>0</v>
      </c>
      <c r="O288" s="19">
        <f ca="1">IF(RAND()&lt;P_Zero,0,IF(RAND()&lt;CondReturn,_xlfn.LOGNORM.INV(RAND(),MV2,Sigma1),IF(RAND()&lt;CondGood,_xlfn.LOGNORM.INV(RAND(),MV3,Sigma2),MIN(MaxMultiple,Xm/(1-RAND())^(1/Alpha)))))</f>
        <v>1.3504446519574422</v>
      </c>
      <c r="P288" s="19">
        <f ca="1">IF(RAND()&lt;P_Zero,0,IF(RAND()&lt;CondReturn,_xlfn.LOGNORM.INV(RAND(),MV2,Sigma1),IF(RAND()&lt;CondGood,_xlfn.LOGNORM.INV(RAND(),MV3,Sigma2),MIN(MaxMultiple,Xm/(1-RAND())^(1/Alpha)))))</f>
        <v>0.89267657103153375</v>
      </c>
      <c r="Q288" s="19">
        <f ca="1">IF(RAND()&lt;P_Zero,0,IF(RAND()&lt;CondReturn,_xlfn.LOGNORM.INV(RAND(),MV2,Sigma1),IF(RAND()&lt;CondGood,_xlfn.LOGNORM.INV(RAND(),MV3,Sigma2),MIN(MaxMultiple,Xm/(1-RAND())^(1/Alpha)))))</f>
        <v>0</v>
      </c>
      <c r="R288" s="19">
        <f ca="1">IF(RAND()&lt;P_Zero,0,IF(RAND()&lt;CondReturn,_xlfn.LOGNORM.INV(RAND(),MV2,Sigma1),IF(RAND()&lt;CondGood,_xlfn.LOGNORM.INV(RAND(),MV3,Sigma2),MIN(MaxMultiple,Xm/(1-RAND())^(1/Alpha)))))</f>
        <v>0</v>
      </c>
      <c r="S288" s="19">
        <f ca="1">IF(RAND()&lt;P_Zero,0,IF(RAND()&lt;CondReturn,_xlfn.LOGNORM.INV(RAND(),MV2,Sigma1),IF(RAND()&lt;CondGood,_xlfn.LOGNORM.INV(RAND(),MV3,Sigma2),MIN(MaxMultiple,Xm/(1-RAND())^(1/Alpha)))))</f>
        <v>0</v>
      </c>
      <c r="T288" s="19">
        <f ca="1">IF(RAND()&lt;P_Zero,0,IF(RAND()&lt;CondReturn,_xlfn.LOGNORM.INV(RAND(),MV2,Sigma1),IF(RAND()&lt;CondGood,_xlfn.LOGNORM.INV(RAND(),MV3,Sigma2),MIN(MaxMultiple,Xm/(1-RAND())^(1/Alpha)))))</f>
        <v>0.77714510963270034</v>
      </c>
      <c r="U288" s="19">
        <f ca="1">IF(RAND()&lt;P_Zero,0,IF(RAND()&lt;CondReturn,_xlfn.LOGNORM.INV(RAND(),MV2,Sigma1),IF(RAND()&lt;CondGood,_xlfn.LOGNORM.INV(RAND(),MV3,Sigma2),MIN(MaxMultiple,Xm/(1-RAND())^(1/Alpha)))))</f>
        <v>13.169620985931552</v>
      </c>
      <c r="V288" s="19">
        <f ca="1">IF(RAND()&lt;P_Zero,0,IF(RAND()&lt;CondReturn,_xlfn.LOGNORM.INV(RAND(),MV2,Sigma1),IF(RAND()&lt;CondGood,_xlfn.LOGNORM.INV(RAND(),MV3,Sigma2),MIN(MaxMultiple,Xm/(1-RAND())^(1/Alpha)))))</f>
        <v>0</v>
      </c>
      <c r="W288" s="19">
        <f ca="1">IF(RAND()&lt;P_Zero,0,IF(RAND()&lt;CondReturn,_xlfn.LOGNORM.INV(RAND(),MV2,Sigma1),IF(RAND()&lt;CondGood,_xlfn.LOGNORM.INV(RAND(),MV3,Sigma2),MIN(MaxMultiple,Xm/(1-RAND())^(1/Alpha)))))</f>
        <v>1.5086608005462936</v>
      </c>
      <c r="X288" s="19">
        <f ca="1">IF(RAND()&lt;P_Zero,0,IF(RAND()&lt;CondReturn,_xlfn.LOGNORM.INV(RAND(),MV2,Sigma1),IF(RAND()&lt;CondGood,_xlfn.LOGNORM.INV(RAND(),MV3,Sigma2),MIN(MaxMultiple,Xm/(1-RAND())^(1/Alpha)))))</f>
        <v>0.64754502654526691</v>
      </c>
      <c r="Y288" s="19">
        <f ca="1">IF(RAND()&lt;P_Zero,0,IF(RAND()&lt;CondReturn,_xlfn.LOGNORM.INV(RAND(),MV2,Sigma1),IF(RAND()&lt;CondGood,_xlfn.LOGNORM.INV(RAND(),MV3,Sigma2),MIN(MaxMultiple,Xm/(1-RAND())^(1/Alpha)))))</f>
        <v>31.397938437086701</v>
      </c>
      <c r="Z288" s="19">
        <f ca="1">IF(RAND()&lt;P_Zero,0,IF(RAND()&lt;CondReturn,_xlfn.LOGNORM.INV(RAND(),MV2,Sigma1),IF(RAND()&lt;CondGood,_xlfn.LOGNORM.INV(RAND(),MV3,Sigma2),MIN(MaxMultiple,Xm/(1-RAND())^(1/Alpha)))))</f>
        <v>0</v>
      </c>
      <c r="AA288" s="19">
        <f ca="1">IF(RAND()&lt;P_Zero,0,IF(RAND()&lt;CondReturn,_xlfn.LOGNORM.INV(RAND(),MV2,Sigma1),IF(RAND()&lt;CondGood,_xlfn.LOGNORM.INV(RAND(),MV3,Sigma2),MIN(MaxMultiple,Xm/(1-RAND())^(1/Alpha)))))</f>
        <v>0.43109347156239552</v>
      </c>
      <c r="AB288" s="19">
        <f t="shared" ca="1" si="32"/>
        <v>3.0257837826987988</v>
      </c>
      <c r="AC288" s="14">
        <f t="shared" ca="1" si="33"/>
        <v>145237621.56954235</v>
      </c>
      <c r="AD288" s="14">
        <f t="shared" ca="1" si="34"/>
        <v>97237621.569542348</v>
      </c>
      <c r="AE288" s="14">
        <f t="shared" si="35"/>
        <v>55628399.869093813</v>
      </c>
      <c r="AF288" s="14">
        <f t="shared" ca="1" si="36"/>
        <v>41609221.700448535</v>
      </c>
      <c r="AG288" s="14">
        <f t="shared" ca="1" si="37"/>
        <v>8321844.3400897076</v>
      </c>
      <c r="AH288" s="14">
        <f t="shared" ca="1" si="38"/>
        <v>136915777.22945264</v>
      </c>
      <c r="AI288" s="19">
        <f t="shared" ca="1" si="39"/>
        <v>2.2819296204908772</v>
      </c>
    </row>
    <row r="289" spans="2:35" x14ac:dyDescent="0.2">
      <c r="B289" s="1">
        <v>284</v>
      </c>
      <c r="C289" s="19">
        <f ca="1">IF(RAND()&lt;P_Zero,0,IF(RAND()&lt;CondReturn,_xlfn.LOGNORM.INV(RAND(),MV2,Sigma1),IF(RAND()&lt;CondGood,_xlfn.LOGNORM.INV(RAND(),MV3,Sigma2),MIN(MaxMultiple,Xm/(1-RAND())^(1/Alpha)))))</f>
        <v>0.57744515288902154</v>
      </c>
      <c r="D289" s="19">
        <f ca="1">IF(RAND()&lt;P_Zero,0,IF(RAND()&lt;CondReturn,_xlfn.LOGNORM.INV(RAND(),MV2,Sigma1),IF(RAND()&lt;CondGood,_xlfn.LOGNORM.INV(RAND(),MV3,Sigma2),MIN(MaxMultiple,Xm/(1-RAND())^(1/Alpha)))))</f>
        <v>2.4359513122783563</v>
      </c>
      <c r="E289" s="19">
        <f ca="1">IF(RAND()&lt;P_Zero,0,IF(RAND()&lt;CondReturn,_xlfn.LOGNORM.INV(RAND(),MV2,Sigma1),IF(RAND()&lt;CondGood,_xlfn.LOGNORM.INV(RAND(),MV3,Sigma2),MIN(MaxMultiple,Xm/(1-RAND())^(1/Alpha)))))</f>
        <v>0.52550883379213542</v>
      </c>
      <c r="F289" s="19">
        <f ca="1">IF(RAND()&lt;P_Zero,0,IF(RAND()&lt;CondReturn,_xlfn.LOGNORM.INV(RAND(),MV2,Sigma1),IF(RAND()&lt;CondGood,_xlfn.LOGNORM.INV(RAND(),MV3,Sigma2),MIN(MaxMultiple,Xm/(1-RAND())^(1/Alpha)))))</f>
        <v>0.74247141069961775</v>
      </c>
      <c r="G289" s="19">
        <f ca="1">IF(RAND()&lt;P_Zero,0,IF(RAND()&lt;CondReturn,_xlfn.LOGNORM.INV(RAND(),MV2,Sigma1),IF(RAND()&lt;CondGood,_xlfn.LOGNORM.INV(RAND(),MV3,Sigma2),MIN(MaxMultiple,Xm/(1-RAND())^(1/Alpha)))))</f>
        <v>0</v>
      </c>
      <c r="H289" s="19">
        <f ca="1">IF(RAND()&lt;P_Zero,0,IF(RAND()&lt;CondReturn,_xlfn.LOGNORM.INV(RAND(),MV2,Sigma1),IF(RAND()&lt;CondGood,_xlfn.LOGNORM.INV(RAND(),MV3,Sigma2),MIN(MaxMultiple,Xm/(1-RAND())^(1/Alpha)))))</f>
        <v>0.74992575464893019</v>
      </c>
      <c r="I289" s="19">
        <f ca="1">IF(RAND()&lt;P_Zero,0,IF(RAND()&lt;CondReturn,_xlfn.LOGNORM.INV(RAND(),MV2,Sigma1),IF(RAND()&lt;CondGood,_xlfn.LOGNORM.INV(RAND(),MV3,Sigma2),MIN(MaxMultiple,Xm/(1-RAND())^(1/Alpha)))))</f>
        <v>0</v>
      </c>
      <c r="J289" s="19">
        <f ca="1">IF(RAND()&lt;P_Zero,0,IF(RAND()&lt;CondReturn,_xlfn.LOGNORM.INV(RAND(),MV2,Sigma1),IF(RAND()&lt;CondGood,_xlfn.LOGNORM.INV(RAND(),MV3,Sigma2),MIN(MaxMultiple,Xm/(1-RAND())^(1/Alpha)))))</f>
        <v>0</v>
      </c>
      <c r="K289" s="19">
        <f ca="1">IF(RAND()&lt;P_Zero,0,IF(RAND()&lt;CondReturn,_xlfn.LOGNORM.INV(RAND(),MV2,Sigma1),IF(RAND()&lt;CondGood,_xlfn.LOGNORM.INV(RAND(),MV3,Sigma2),MIN(MaxMultiple,Xm/(1-RAND())^(1/Alpha)))))</f>
        <v>0</v>
      </c>
      <c r="L289" s="19">
        <f ca="1">IF(RAND()&lt;P_Zero,0,IF(RAND()&lt;CondReturn,_xlfn.LOGNORM.INV(RAND(),MV2,Sigma1),IF(RAND()&lt;CondGood,_xlfn.LOGNORM.INV(RAND(),MV3,Sigma2),MIN(MaxMultiple,Xm/(1-RAND())^(1/Alpha)))))</f>
        <v>1.2916451293693096</v>
      </c>
      <c r="M289" s="19">
        <f ca="1">IF(RAND()&lt;P_Zero,0,IF(RAND()&lt;CondReturn,_xlfn.LOGNORM.INV(RAND(),MV2,Sigma1),IF(RAND()&lt;CondGood,_xlfn.LOGNORM.INV(RAND(),MV3,Sigma2),MIN(MaxMultiple,Xm/(1-RAND())^(1/Alpha)))))</f>
        <v>0.82035658916471332</v>
      </c>
      <c r="N289" s="19">
        <f ca="1">IF(RAND()&lt;P_Zero,0,IF(RAND()&lt;CondReturn,_xlfn.LOGNORM.INV(RAND(),MV2,Sigma1),IF(RAND()&lt;CondGood,_xlfn.LOGNORM.INV(RAND(),MV3,Sigma2),MIN(MaxMultiple,Xm/(1-RAND())^(1/Alpha)))))</f>
        <v>0</v>
      </c>
      <c r="O289" s="19">
        <f ca="1">IF(RAND()&lt;P_Zero,0,IF(RAND()&lt;CondReturn,_xlfn.LOGNORM.INV(RAND(),MV2,Sigma1),IF(RAND()&lt;CondGood,_xlfn.LOGNORM.INV(RAND(),MV3,Sigma2),MIN(MaxMultiple,Xm/(1-RAND())^(1/Alpha)))))</f>
        <v>1.4279135426902034</v>
      </c>
      <c r="P289" s="19">
        <f ca="1">IF(RAND()&lt;P_Zero,0,IF(RAND()&lt;CondReturn,_xlfn.LOGNORM.INV(RAND(),MV2,Sigma1),IF(RAND()&lt;CondGood,_xlfn.LOGNORM.INV(RAND(),MV3,Sigma2),MIN(MaxMultiple,Xm/(1-RAND())^(1/Alpha)))))</f>
        <v>2.6936668063569069</v>
      </c>
      <c r="Q289" s="19">
        <f ca="1">IF(RAND()&lt;P_Zero,0,IF(RAND()&lt;CondReturn,_xlfn.LOGNORM.INV(RAND(),MV2,Sigma1),IF(RAND()&lt;CondGood,_xlfn.LOGNORM.INV(RAND(),MV3,Sigma2),MIN(MaxMultiple,Xm/(1-RAND())^(1/Alpha)))))</f>
        <v>0.23500047804501487</v>
      </c>
      <c r="R289" s="19">
        <f ca="1">IF(RAND()&lt;P_Zero,0,IF(RAND()&lt;CondReturn,_xlfn.LOGNORM.INV(RAND(),MV2,Sigma1),IF(RAND()&lt;CondGood,_xlfn.LOGNORM.INV(RAND(),MV3,Sigma2),MIN(MaxMultiple,Xm/(1-RAND())^(1/Alpha)))))</f>
        <v>0</v>
      </c>
      <c r="S289" s="19">
        <f ca="1">IF(RAND()&lt;P_Zero,0,IF(RAND()&lt;CondReturn,_xlfn.LOGNORM.INV(RAND(),MV2,Sigma1),IF(RAND()&lt;CondGood,_xlfn.LOGNORM.INV(RAND(),MV3,Sigma2),MIN(MaxMultiple,Xm/(1-RAND())^(1/Alpha)))))</f>
        <v>0</v>
      </c>
      <c r="T289" s="19">
        <f ca="1">IF(RAND()&lt;P_Zero,0,IF(RAND()&lt;CondReturn,_xlfn.LOGNORM.INV(RAND(),MV2,Sigma1),IF(RAND()&lt;CondGood,_xlfn.LOGNORM.INV(RAND(),MV3,Sigma2),MIN(MaxMultiple,Xm/(1-RAND())^(1/Alpha)))))</f>
        <v>0.47977490562992126</v>
      </c>
      <c r="U289" s="19">
        <f ca="1">IF(RAND()&lt;P_Zero,0,IF(RAND()&lt;CondReturn,_xlfn.LOGNORM.INV(RAND(),MV2,Sigma1),IF(RAND()&lt;CondGood,_xlfn.LOGNORM.INV(RAND(),MV3,Sigma2),MIN(MaxMultiple,Xm/(1-RAND())^(1/Alpha)))))</f>
        <v>0.57816258526664666</v>
      </c>
      <c r="V289" s="19">
        <f ca="1">IF(RAND()&lt;P_Zero,0,IF(RAND()&lt;CondReturn,_xlfn.LOGNORM.INV(RAND(),MV2,Sigma1),IF(RAND()&lt;CondGood,_xlfn.LOGNORM.INV(RAND(),MV3,Sigma2),MIN(MaxMultiple,Xm/(1-RAND())^(1/Alpha)))))</f>
        <v>0.96734946277049827</v>
      </c>
      <c r="W289" s="19">
        <f ca="1">IF(RAND()&lt;P_Zero,0,IF(RAND()&lt;CondReturn,_xlfn.LOGNORM.INV(RAND(),MV2,Sigma1),IF(RAND()&lt;CondGood,_xlfn.LOGNORM.INV(RAND(),MV3,Sigma2),MIN(MaxMultiple,Xm/(1-RAND())^(1/Alpha)))))</f>
        <v>1.2521141262850675</v>
      </c>
      <c r="X289" s="19">
        <f ca="1">IF(RAND()&lt;P_Zero,0,IF(RAND()&lt;CondReturn,_xlfn.LOGNORM.INV(RAND(),MV2,Sigma1),IF(RAND()&lt;CondGood,_xlfn.LOGNORM.INV(RAND(),MV3,Sigma2),MIN(MaxMultiple,Xm/(1-RAND())^(1/Alpha)))))</f>
        <v>0</v>
      </c>
      <c r="Y289" s="19">
        <f ca="1">IF(RAND()&lt;P_Zero,0,IF(RAND()&lt;CondReturn,_xlfn.LOGNORM.INV(RAND(),MV2,Sigma1),IF(RAND()&lt;CondGood,_xlfn.LOGNORM.INV(RAND(),MV3,Sigma2),MIN(MaxMultiple,Xm/(1-RAND())^(1/Alpha)))))</f>
        <v>17.570801741641226</v>
      </c>
      <c r="Z289" s="19">
        <f ca="1">IF(RAND()&lt;P_Zero,0,IF(RAND()&lt;CondReturn,_xlfn.LOGNORM.INV(RAND(),MV2,Sigma1),IF(RAND()&lt;CondGood,_xlfn.LOGNORM.INV(RAND(),MV3,Sigma2),MIN(MaxMultiple,Xm/(1-RAND())^(1/Alpha)))))</f>
        <v>25.425054388491134</v>
      </c>
      <c r="AA289" s="19">
        <f ca="1">IF(RAND()&lt;P_Zero,0,IF(RAND()&lt;CondReturn,_xlfn.LOGNORM.INV(RAND(),MV2,Sigma1),IF(RAND()&lt;CondGood,_xlfn.LOGNORM.INV(RAND(),MV3,Sigma2),MIN(MaxMultiple,Xm/(1-RAND())^(1/Alpha)))))</f>
        <v>181.52526937715453</v>
      </c>
      <c r="AB289" s="19">
        <f t="shared" ca="1" si="32"/>
        <v>9.5719364638869298</v>
      </c>
      <c r="AC289" s="14">
        <f t="shared" ca="1" si="33"/>
        <v>459452950.26657265</v>
      </c>
      <c r="AD289" s="14">
        <f t="shared" ca="1" si="34"/>
        <v>411452950.26657265</v>
      </c>
      <c r="AE289" s="14">
        <f t="shared" si="35"/>
        <v>55628399.869093813</v>
      </c>
      <c r="AF289" s="14">
        <f t="shared" ca="1" si="36"/>
        <v>355824550.39747882</v>
      </c>
      <c r="AG289" s="14">
        <f t="shared" ca="1" si="37"/>
        <v>71164910.079495773</v>
      </c>
      <c r="AH289" s="14">
        <f t="shared" ca="1" si="38"/>
        <v>388288040.18707687</v>
      </c>
      <c r="AI289" s="19">
        <f t="shared" ca="1" si="39"/>
        <v>6.4714673364512807</v>
      </c>
    </row>
    <row r="290" spans="2:35" x14ac:dyDescent="0.2">
      <c r="B290" s="1">
        <v>285</v>
      </c>
      <c r="C290" s="19">
        <f ca="1">IF(RAND()&lt;P_Zero,0,IF(RAND()&lt;CondReturn,_xlfn.LOGNORM.INV(RAND(),MV2,Sigma1),IF(RAND()&lt;CondGood,_xlfn.LOGNORM.INV(RAND(),MV3,Sigma2),MIN(MaxMultiple,Xm/(1-RAND())^(1/Alpha)))))</f>
        <v>0.90246646012613041</v>
      </c>
      <c r="D290" s="19">
        <f ca="1">IF(RAND()&lt;P_Zero,0,IF(RAND()&lt;CondReturn,_xlfn.LOGNORM.INV(RAND(),MV2,Sigma1),IF(RAND()&lt;CondGood,_xlfn.LOGNORM.INV(RAND(),MV3,Sigma2),MIN(MaxMultiple,Xm/(1-RAND())^(1/Alpha)))))</f>
        <v>0.63220386208178625</v>
      </c>
      <c r="E290" s="19">
        <f ca="1">IF(RAND()&lt;P_Zero,0,IF(RAND()&lt;CondReturn,_xlfn.LOGNORM.INV(RAND(),MV2,Sigma1),IF(RAND()&lt;CondGood,_xlfn.LOGNORM.INV(RAND(),MV3,Sigma2),MIN(MaxMultiple,Xm/(1-RAND())^(1/Alpha)))))</f>
        <v>0</v>
      </c>
      <c r="F290" s="19">
        <f ca="1">IF(RAND()&lt;P_Zero,0,IF(RAND()&lt;CondReturn,_xlfn.LOGNORM.INV(RAND(),MV2,Sigma1),IF(RAND()&lt;CondGood,_xlfn.LOGNORM.INV(RAND(),MV3,Sigma2),MIN(MaxMultiple,Xm/(1-RAND())^(1/Alpha)))))</f>
        <v>0.69647253389183039</v>
      </c>
      <c r="G290" s="19">
        <f ca="1">IF(RAND()&lt;P_Zero,0,IF(RAND()&lt;CondReturn,_xlfn.LOGNORM.INV(RAND(),MV2,Sigma1),IF(RAND()&lt;CondGood,_xlfn.LOGNORM.INV(RAND(),MV3,Sigma2),MIN(MaxMultiple,Xm/(1-RAND())^(1/Alpha)))))</f>
        <v>0.68560437277457231</v>
      </c>
      <c r="H290" s="19">
        <f ca="1">IF(RAND()&lt;P_Zero,0,IF(RAND()&lt;CondReturn,_xlfn.LOGNORM.INV(RAND(),MV2,Sigma1),IF(RAND()&lt;CondGood,_xlfn.LOGNORM.INV(RAND(),MV3,Sigma2),MIN(MaxMultiple,Xm/(1-RAND())^(1/Alpha)))))</f>
        <v>1.1804637698026039</v>
      </c>
      <c r="I290" s="19">
        <f ca="1">IF(RAND()&lt;P_Zero,0,IF(RAND()&lt;CondReturn,_xlfn.LOGNORM.INV(RAND(),MV2,Sigma1),IF(RAND()&lt;CondGood,_xlfn.LOGNORM.INV(RAND(),MV3,Sigma2),MIN(MaxMultiple,Xm/(1-RAND())^(1/Alpha)))))</f>
        <v>0</v>
      </c>
      <c r="J290" s="19">
        <f ca="1">IF(RAND()&lt;P_Zero,0,IF(RAND()&lt;CondReturn,_xlfn.LOGNORM.INV(RAND(),MV2,Sigma1),IF(RAND()&lt;CondGood,_xlfn.LOGNORM.INV(RAND(),MV3,Sigma2),MIN(MaxMultiple,Xm/(1-RAND())^(1/Alpha)))))</f>
        <v>0</v>
      </c>
      <c r="K290" s="19">
        <f ca="1">IF(RAND()&lt;P_Zero,0,IF(RAND()&lt;CondReturn,_xlfn.LOGNORM.INV(RAND(),MV2,Sigma1),IF(RAND()&lt;CondGood,_xlfn.LOGNORM.INV(RAND(),MV3,Sigma2),MIN(MaxMultiple,Xm/(1-RAND())^(1/Alpha)))))</f>
        <v>0.91610463702458134</v>
      </c>
      <c r="L290" s="19">
        <f ca="1">IF(RAND()&lt;P_Zero,0,IF(RAND()&lt;CondReturn,_xlfn.LOGNORM.INV(RAND(),MV2,Sigma1),IF(RAND()&lt;CondGood,_xlfn.LOGNORM.INV(RAND(),MV3,Sigma2),MIN(MaxMultiple,Xm/(1-RAND())^(1/Alpha)))))</f>
        <v>1.0361793253208709</v>
      </c>
      <c r="M290" s="19">
        <f ca="1">IF(RAND()&lt;P_Zero,0,IF(RAND()&lt;CondReturn,_xlfn.LOGNORM.INV(RAND(),MV2,Sigma1),IF(RAND()&lt;CondGood,_xlfn.LOGNORM.INV(RAND(),MV3,Sigma2),MIN(MaxMultiple,Xm/(1-RAND())^(1/Alpha)))))</f>
        <v>0</v>
      </c>
      <c r="N290" s="19">
        <f ca="1">IF(RAND()&lt;P_Zero,0,IF(RAND()&lt;CondReturn,_xlfn.LOGNORM.INV(RAND(),MV2,Sigma1),IF(RAND()&lt;CondGood,_xlfn.LOGNORM.INV(RAND(),MV3,Sigma2),MIN(MaxMultiple,Xm/(1-RAND())^(1/Alpha)))))</f>
        <v>0</v>
      </c>
      <c r="O290" s="19">
        <f ca="1">IF(RAND()&lt;P_Zero,0,IF(RAND()&lt;CondReturn,_xlfn.LOGNORM.INV(RAND(),MV2,Sigma1),IF(RAND()&lt;CondGood,_xlfn.LOGNORM.INV(RAND(),MV3,Sigma2),MIN(MaxMultiple,Xm/(1-RAND())^(1/Alpha)))))</f>
        <v>0</v>
      </c>
      <c r="P290" s="19">
        <f ca="1">IF(RAND()&lt;P_Zero,0,IF(RAND()&lt;CondReturn,_xlfn.LOGNORM.INV(RAND(),MV2,Sigma1),IF(RAND()&lt;CondGood,_xlfn.LOGNORM.INV(RAND(),MV3,Sigma2),MIN(MaxMultiple,Xm/(1-RAND())^(1/Alpha)))))</f>
        <v>11.458377020340745</v>
      </c>
      <c r="Q290" s="19">
        <f ca="1">IF(RAND()&lt;P_Zero,0,IF(RAND()&lt;CondReturn,_xlfn.LOGNORM.INV(RAND(),MV2,Sigma1),IF(RAND()&lt;CondGood,_xlfn.LOGNORM.INV(RAND(),MV3,Sigma2),MIN(MaxMultiple,Xm/(1-RAND())^(1/Alpha)))))</f>
        <v>0</v>
      </c>
      <c r="R290" s="19">
        <f ca="1">IF(RAND()&lt;P_Zero,0,IF(RAND()&lt;CondReturn,_xlfn.LOGNORM.INV(RAND(),MV2,Sigma1),IF(RAND()&lt;CondGood,_xlfn.LOGNORM.INV(RAND(),MV3,Sigma2),MIN(MaxMultiple,Xm/(1-RAND())^(1/Alpha)))))</f>
        <v>0.76178893032805972</v>
      </c>
      <c r="S290" s="19">
        <f ca="1">IF(RAND()&lt;P_Zero,0,IF(RAND()&lt;CondReturn,_xlfn.LOGNORM.INV(RAND(),MV2,Sigma1),IF(RAND()&lt;CondGood,_xlfn.LOGNORM.INV(RAND(),MV3,Sigma2),MIN(MaxMultiple,Xm/(1-RAND())^(1/Alpha)))))</f>
        <v>1.3020804494191724</v>
      </c>
      <c r="T290" s="19">
        <f ca="1">IF(RAND()&lt;P_Zero,0,IF(RAND()&lt;CondReturn,_xlfn.LOGNORM.INV(RAND(),MV2,Sigma1),IF(RAND()&lt;CondGood,_xlfn.LOGNORM.INV(RAND(),MV3,Sigma2),MIN(MaxMultiple,Xm/(1-RAND())^(1/Alpha)))))</f>
        <v>0.92262365537657343</v>
      </c>
      <c r="U290" s="19">
        <f ca="1">IF(RAND()&lt;P_Zero,0,IF(RAND()&lt;CondReturn,_xlfn.LOGNORM.INV(RAND(),MV2,Sigma1),IF(RAND()&lt;CondGood,_xlfn.LOGNORM.INV(RAND(),MV3,Sigma2),MIN(MaxMultiple,Xm/(1-RAND())^(1/Alpha)))))</f>
        <v>0.84937994250541271</v>
      </c>
      <c r="V290" s="19">
        <f ca="1">IF(RAND()&lt;P_Zero,0,IF(RAND()&lt;CondReturn,_xlfn.LOGNORM.INV(RAND(),MV2,Sigma1),IF(RAND()&lt;CondGood,_xlfn.LOGNORM.INV(RAND(),MV3,Sigma2),MIN(MaxMultiple,Xm/(1-RAND())^(1/Alpha)))))</f>
        <v>0.65399579117768603</v>
      </c>
      <c r="W290" s="19">
        <f ca="1">IF(RAND()&lt;P_Zero,0,IF(RAND()&lt;CondReturn,_xlfn.LOGNORM.INV(RAND(),MV2,Sigma1),IF(RAND()&lt;CondGood,_xlfn.LOGNORM.INV(RAND(),MV3,Sigma2),MIN(MaxMultiple,Xm/(1-RAND())^(1/Alpha)))))</f>
        <v>0</v>
      </c>
      <c r="X290" s="19">
        <f ca="1">IF(RAND()&lt;P_Zero,0,IF(RAND()&lt;CondReturn,_xlfn.LOGNORM.INV(RAND(),MV2,Sigma1),IF(RAND()&lt;CondGood,_xlfn.LOGNORM.INV(RAND(),MV3,Sigma2),MIN(MaxMultiple,Xm/(1-RAND())^(1/Alpha)))))</f>
        <v>12.269021360258492</v>
      </c>
      <c r="Y290" s="19">
        <f ca="1">IF(RAND()&lt;P_Zero,0,IF(RAND()&lt;CondReturn,_xlfn.LOGNORM.INV(RAND(),MV2,Sigma1),IF(RAND()&lt;CondGood,_xlfn.LOGNORM.INV(RAND(),MV3,Sigma2),MIN(MaxMultiple,Xm/(1-RAND())^(1/Alpha)))))</f>
        <v>1.0201810450977362</v>
      </c>
      <c r="Z290" s="19">
        <f ca="1">IF(RAND()&lt;P_Zero,0,IF(RAND()&lt;CondReturn,_xlfn.LOGNORM.INV(RAND(),MV2,Sigma1),IF(RAND()&lt;CondGood,_xlfn.LOGNORM.INV(RAND(),MV3,Sigma2),MIN(MaxMultiple,Xm/(1-RAND())^(1/Alpha)))))</f>
        <v>0</v>
      </c>
      <c r="AA290" s="19">
        <f ca="1">IF(RAND()&lt;P_Zero,0,IF(RAND()&lt;CondReturn,_xlfn.LOGNORM.INV(RAND(),MV2,Sigma1),IF(RAND()&lt;CondGood,_xlfn.LOGNORM.INV(RAND(),MV3,Sigma2),MIN(MaxMultiple,Xm/(1-RAND())^(1/Alpha)))))</f>
        <v>0</v>
      </c>
      <c r="AB290" s="19">
        <f t="shared" ca="1" si="32"/>
        <v>1.4114777262210501</v>
      </c>
      <c r="AC290" s="14">
        <f t="shared" ca="1" si="33"/>
        <v>67750930.858610407</v>
      </c>
      <c r="AD290" s="14">
        <f t="shared" ca="1" si="34"/>
        <v>19750930.858610407</v>
      </c>
      <c r="AE290" s="14">
        <f t="shared" si="35"/>
        <v>55628399.869093813</v>
      </c>
      <c r="AF290" s="14">
        <f t="shared" ca="1" si="36"/>
        <v>0</v>
      </c>
      <c r="AG290" s="14">
        <f t="shared" ca="1" si="37"/>
        <v>0</v>
      </c>
      <c r="AH290" s="14">
        <f t="shared" ca="1" si="38"/>
        <v>67750930.858610407</v>
      </c>
      <c r="AI290" s="19">
        <f t="shared" ca="1" si="39"/>
        <v>1.1291821809768401</v>
      </c>
    </row>
    <row r="291" spans="2:35" x14ac:dyDescent="0.2">
      <c r="B291" s="1">
        <v>286</v>
      </c>
      <c r="C291" s="19">
        <f ca="1">IF(RAND()&lt;P_Zero,0,IF(RAND()&lt;CondReturn,_xlfn.LOGNORM.INV(RAND(),MV2,Sigma1),IF(RAND()&lt;CondGood,_xlfn.LOGNORM.INV(RAND(),MV3,Sigma2),MIN(MaxMultiple,Xm/(1-RAND())^(1/Alpha)))))</f>
        <v>0</v>
      </c>
      <c r="D291" s="19">
        <f ca="1">IF(RAND()&lt;P_Zero,0,IF(RAND()&lt;CondReturn,_xlfn.LOGNORM.INV(RAND(),MV2,Sigma1),IF(RAND()&lt;CondGood,_xlfn.LOGNORM.INV(RAND(),MV3,Sigma2),MIN(MaxMultiple,Xm/(1-RAND())^(1/Alpha)))))</f>
        <v>1.2582689199539667</v>
      </c>
      <c r="E291" s="19">
        <f ca="1">IF(RAND()&lt;P_Zero,0,IF(RAND()&lt;CondReturn,_xlfn.LOGNORM.INV(RAND(),MV2,Sigma1),IF(RAND()&lt;CondGood,_xlfn.LOGNORM.INV(RAND(),MV3,Sigma2),MIN(MaxMultiple,Xm/(1-RAND())^(1/Alpha)))))</f>
        <v>0.93098064867106611</v>
      </c>
      <c r="F291" s="19">
        <f ca="1">IF(RAND()&lt;P_Zero,0,IF(RAND()&lt;CondReturn,_xlfn.LOGNORM.INV(RAND(),MV2,Sigma1),IF(RAND()&lt;CondGood,_xlfn.LOGNORM.INV(RAND(),MV3,Sigma2),MIN(MaxMultiple,Xm/(1-RAND())^(1/Alpha)))))</f>
        <v>10.087380079440162</v>
      </c>
      <c r="G291" s="19">
        <f ca="1">IF(RAND()&lt;P_Zero,0,IF(RAND()&lt;CondReturn,_xlfn.LOGNORM.INV(RAND(),MV2,Sigma1),IF(RAND()&lt;CondGood,_xlfn.LOGNORM.INV(RAND(),MV3,Sigma2),MIN(MaxMultiple,Xm/(1-RAND())^(1/Alpha)))))</f>
        <v>0.66739566283408347</v>
      </c>
      <c r="H291" s="19">
        <f ca="1">IF(RAND()&lt;P_Zero,0,IF(RAND()&lt;CondReturn,_xlfn.LOGNORM.INV(RAND(),MV2,Sigma1),IF(RAND()&lt;CondGood,_xlfn.LOGNORM.INV(RAND(),MV3,Sigma2),MIN(MaxMultiple,Xm/(1-RAND())^(1/Alpha)))))</f>
        <v>0</v>
      </c>
      <c r="I291" s="19">
        <f ca="1">IF(RAND()&lt;P_Zero,0,IF(RAND()&lt;CondReturn,_xlfn.LOGNORM.INV(RAND(),MV2,Sigma1),IF(RAND()&lt;CondGood,_xlfn.LOGNORM.INV(RAND(),MV3,Sigma2),MIN(MaxMultiple,Xm/(1-RAND())^(1/Alpha)))))</f>
        <v>0.78038092284798755</v>
      </c>
      <c r="J291" s="19">
        <f ca="1">IF(RAND()&lt;P_Zero,0,IF(RAND()&lt;CondReturn,_xlfn.LOGNORM.INV(RAND(),MV2,Sigma1),IF(RAND()&lt;CondGood,_xlfn.LOGNORM.INV(RAND(),MV3,Sigma2),MIN(MaxMultiple,Xm/(1-RAND())^(1/Alpha)))))</f>
        <v>0.91933450113020043</v>
      </c>
      <c r="K291" s="19">
        <f ca="1">IF(RAND()&lt;P_Zero,0,IF(RAND()&lt;CondReturn,_xlfn.LOGNORM.INV(RAND(),MV2,Sigma1),IF(RAND()&lt;CondGood,_xlfn.LOGNORM.INV(RAND(),MV3,Sigma2),MIN(MaxMultiple,Xm/(1-RAND())^(1/Alpha)))))</f>
        <v>0.82899998287536358</v>
      </c>
      <c r="L291" s="19">
        <f ca="1">IF(RAND()&lt;P_Zero,0,IF(RAND()&lt;CondReturn,_xlfn.LOGNORM.INV(RAND(),MV2,Sigma1),IF(RAND()&lt;CondGood,_xlfn.LOGNORM.INV(RAND(),MV3,Sigma2),MIN(MaxMultiple,Xm/(1-RAND())^(1/Alpha)))))</f>
        <v>0</v>
      </c>
      <c r="M291" s="19">
        <f ca="1">IF(RAND()&lt;P_Zero,0,IF(RAND()&lt;CondReturn,_xlfn.LOGNORM.INV(RAND(),MV2,Sigma1),IF(RAND()&lt;CondGood,_xlfn.LOGNORM.INV(RAND(),MV3,Sigma2),MIN(MaxMultiple,Xm/(1-RAND())^(1/Alpha)))))</f>
        <v>0</v>
      </c>
      <c r="N291" s="19">
        <f ca="1">IF(RAND()&lt;P_Zero,0,IF(RAND()&lt;CondReturn,_xlfn.LOGNORM.INV(RAND(),MV2,Sigma1),IF(RAND()&lt;CondGood,_xlfn.LOGNORM.INV(RAND(),MV3,Sigma2),MIN(MaxMultiple,Xm/(1-RAND())^(1/Alpha)))))</f>
        <v>1.6042126945105939</v>
      </c>
      <c r="O291" s="19">
        <f ca="1">IF(RAND()&lt;P_Zero,0,IF(RAND()&lt;CondReturn,_xlfn.LOGNORM.INV(RAND(),MV2,Sigma1),IF(RAND()&lt;CondGood,_xlfn.LOGNORM.INV(RAND(),MV3,Sigma2),MIN(MaxMultiple,Xm/(1-RAND())^(1/Alpha)))))</f>
        <v>0.46827177063641628</v>
      </c>
      <c r="P291" s="19">
        <f ca="1">IF(RAND()&lt;P_Zero,0,IF(RAND()&lt;CondReturn,_xlfn.LOGNORM.INV(RAND(),MV2,Sigma1),IF(RAND()&lt;CondGood,_xlfn.LOGNORM.INV(RAND(),MV3,Sigma2),MIN(MaxMultiple,Xm/(1-RAND())^(1/Alpha)))))</f>
        <v>0</v>
      </c>
      <c r="Q291" s="19">
        <f ca="1">IF(RAND()&lt;P_Zero,0,IF(RAND()&lt;CondReturn,_xlfn.LOGNORM.INV(RAND(),MV2,Sigma1),IF(RAND()&lt;CondGood,_xlfn.LOGNORM.INV(RAND(),MV3,Sigma2),MIN(MaxMultiple,Xm/(1-RAND())^(1/Alpha)))))</f>
        <v>0</v>
      </c>
      <c r="R291" s="19">
        <f ca="1">IF(RAND()&lt;P_Zero,0,IF(RAND()&lt;CondReturn,_xlfn.LOGNORM.INV(RAND(),MV2,Sigma1),IF(RAND()&lt;CondGood,_xlfn.LOGNORM.INV(RAND(),MV3,Sigma2),MIN(MaxMultiple,Xm/(1-RAND())^(1/Alpha)))))</f>
        <v>0.71300843187256169</v>
      </c>
      <c r="S291" s="19">
        <f ca="1">IF(RAND()&lt;P_Zero,0,IF(RAND()&lt;CondReturn,_xlfn.LOGNORM.INV(RAND(),MV2,Sigma1),IF(RAND()&lt;CondGood,_xlfn.LOGNORM.INV(RAND(),MV3,Sigma2),MIN(MaxMultiple,Xm/(1-RAND())^(1/Alpha)))))</f>
        <v>0</v>
      </c>
      <c r="T291" s="19">
        <f ca="1">IF(RAND()&lt;P_Zero,0,IF(RAND()&lt;CondReturn,_xlfn.LOGNORM.INV(RAND(),MV2,Sigma1),IF(RAND()&lt;CondGood,_xlfn.LOGNORM.INV(RAND(),MV3,Sigma2),MIN(MaxMultiple,Xm/(1-RAND())^(1/Alpha)))))</f>
        <v>1.1991266200536226</v>
      </c>
      <c r="U291" s="19">
        <f ca="1">IF(RAND()&lt;P_Zero,0,IF(RAND()&lt;CondReturn,_xlfn.LOGNORM.INV(RAND(),MV2,Sigma1),IF(RAND()&lt;CondGood,_xlfn.LOGNORM.INV(RAND(),MV3,Sigma2),MIN(MaxMultiple,Xm/(1-RAND())^(1/Alpha)))))</f>
        <v>0</v>
      </c>
      <c r="V291" s="19">
        <f ca="1">IF(RAND()&lt;P_Zero,0,IF(RAND()&lt;CondReturn,_xlfn.LOGNORM.INV(RAND(),MV2,Sigma1),IF(RAND()&lt;CondGood,_xlfn.LOGNORM.INV(RAND(),MV3,Sigma2),MIN(MaxMultiple,Xm/(1-RAND())^(1/Alpha)))))</f>
        <v>0</v>
      </c>
      <c r="W291" s="19">
        <f ca="1">IF(RAND()&lt;P_Zero,0,IF(RAND()&lt;CondReturn,_xlfn.LOGNORM.INV(RAND(),MV2,Sigma1),IF(RAND()&lt;CondGood,_xlfn.LOGNORM.INV(RAND(),MV3,Sigma2),MIN(MaxMultiple,Xm/(1-RAND())^(1/Alpha)))))</f>
        <v>0</v>
      </c>
      <c r="X291" s="19">
        <f ca="1">IF(RAND()&lt;P_Zero,0,IF(RAND()&lt;CondReturn,_xlfn.LOGNORM.INV(RAND(),MV2,Sigma1),IF(RAND()&lt;CondGood,_xlfn.LOGNORM.INV(RAND(),MV3,Sigma2),MIN(MaxMultiple,Xm/(1-RAND())^(1/Alpha)))))</f>
        <v>0.71013417525545341</v>
      </c>
      <c r="Y291" s="19">
        <f ca="1">IF(RAND()&lt;P_Zero,0,IF(RAND()&lt;CondReturn,_xlfn.LOGNORM.INV(RAND(),MV2,Sigma1),IF(RAND()&lt;CondGood,_xlfn.LOGNORM.INV(RAND(),MV3,Sigma2),MIN(MaxMultiple,Xm/(1-RAND())^(1/Alpha)))))</f>
        <v>0.6395952361354762</v>
      </c>
      <c r="Z291" s="19">
        <f ca="1">IF(RAND()&lt;P_Zero,0,IF(RAND()&lt;CondReturn,_xlfn.LOGNORM.INV(RAND(),MV2,Sigma1),IF(RAND()&lt;CondGood,_xlfn.LOGNORM.INV(RAND(),MV3,Sigma2),MIN(MaxMultiple,Xm/(1-RAND())^(1/Alpha)))))</f>
        <v>0.7803021113133225</v>
      </c>
      <c r="AA291" s="19">
        <f ca="1">IF(RAND()&lt;P_Zero,0,IF(RAND()&lt;CondReturn,_xlfn.LOGNORM.INV(RAND(),MV2,Sigma1),IF(RAND()&lt;CondGood,_xlfn.LOGNORM.INV(RAND(),MV3,Sigma2),MIN(MaxMultiple,Xm/(1-RAND())^(1/Alpha)))))</f>
        <v>0.87797660224765173</v>
      </c>
      <c r="AB291" s="19">
        <f t="shared" ca="1" si="32"/>
        <v>0.89861473439111739</v>
      </c>
      <c r="AC291" s="14">
        <f t="shared" ca="1" si="33"/>
        <v>43133507.250773631</v>
      </c>
      <c r="AD291" s="14">
        <f t="shared" ca="1" si="34"/>
        <v>-4866492.749226369</v>
      </c>
      <c r="AE291" s="14">
        <f t="shared" si="35"/>
        <v>55628399.869093813</v>
      </c>
      <c r="AF291" s="14">
        <f t="shared" ca="1" si="36"/>
        <v>0</v>
      </c>
      <c r="AG291" s="14">
        <f t="shared" ca="1" si="37"/>
        <v>0</v>
      </c>
      <c r="AH291" s="14">
        <f t="shared" ca="1" si="38"/>
        <v>43133507.250773631</v>
      </c>
      <c r="AI291" s="19">
        <f t="shared" ca="1" si="39"/>
        <v>0.71889178751289384</v>
      </c>
    </row>
    <row r="292" spans="2:35" x14ac:dyDescent="0.2">
      <c r="B292" s="1">
        <v>287</v>
      </c>
      <c r="C292" s="19">
        <f ca="1">IF(RAND()&lt;P_Zero,0,IF(RAND()&lt;CondReturn,_xlfn.LOGNORM.INV(RAND(),MV2,Sigma1),IF(RAND()&lt;CondGood,_xlfn.LOGNORM.INV(RAND(),MV3,Sigma2),MIN(MaxMultiple,Xm/(1-RAND())^(1/Alpha)))))</f>
        <v>1.9232671713909091</v>
      </c>
      <c r="D292" s="19">
        <f ca="1">IF(RAND()&lt;P_Zero,0,IF(RAND()&lt;CondReturn,_xlfn.LOGNORM.INV(RAND(),MV2,Sigma1),IF(RAND()&lt;CondGood,_xlfn.LOGNORM.INV(RAND(),MV3,Sigma2),MIN(MaxMultiple,Xm/(1-RAND())^(1/Alpha)))))</f>
        <v>1.1048099802541564</v>
      </c>
      <c r="E292" s="19">
        <f ca="1">IF(RAND()&lt;P_Zero,0,IF(RAND()&lt;CondReturn,_xlfn.LOGNORM.INV(RAND(),MV2,Sigma1),IF(RAND()&lt;CondGood,_xlfn.LOGNORM.INV(RAND(),MV3,Sigma2),MIN(MaxMultiple,Xm/(1-RAND())^(1/Alpha)))))</f>
        <v>0</v>
      </c>
      <c r="F292" s="19">
        <f ca="1">IF(RAND()&lt;P_Zero,0,IF(RAND()&lt;CondReturn,_xlfn.LOGNORM.INV(RAND(),MV2,Sigma1),IF(RAND()&lt;CondGood,_xlfn.LOGNORM.INV(RAND(),MV3,Sigma2),MIN(MaxMultiple,Xm/(1-RAND())^(1/Alpha)))))</f>
        <v>0.47527038914234215</v>
      </c>
      <c r="G292" s="19">
        <f ca="1">IF(RAND()&lt;P_Zero,0,IF(RAND()&lt;CondReturn,_xlfn.LOGNORM.INV(RAND(),MV2,Sigma1),IF(RAND()&lt;CondGood,_xlfn.LOGNORM.INV(RAND(),MV3,Sigma2),MIN(MaxMultiple,Xm/(1-RAND())^(1/Alpha)))))</f>
        <v>0</v>
      </c>
      <c r="H292" s="19">
        <f ca="1">IF(RAND()&lt;P_Zero,0,IF(RAND()&lt;CondReturn,_xlfn.LOGNORM.INV(RAND(),MV2,Sigma1),IF(RAND()&lt;CondGood,_xlfn.LOGNORM.INV(RAND(),MV3,Sigma2),MIN(MaxMultiple,Xm/(1-RAND())^(1/Alpha)))))</f>
        <v>1.1247080487513128</v>
      </c>
      <c r="I292" s="19">
        <f ca="1">IF(RAND()&lt;P_Zero,0,IF(RAND()&lt;CondReturn,_xlfn.LOGNORM.INV(RAND(),MV2,Sigma1),IF(RAND()&lt;CondGood,_xlfn.LOGNORM.INV(RAND(),MV3,Sigma2),MIN(MaxMultiple,Xm/(1-RAND())^(1/Alpha)))))</f>
        <v>0.68066334567037068</v>
      </c>
      <c r="J292" s="19">
        <f ca="1">IF(RAND()&lt;P_Zero,0,IF(RAND()&lt;CondReturn,_xlfn.LOGNORM.INV(RAND(),MV2,Sigma1),IF(RAND()&lt;CondGood,_xlfn.LOGNORM.INV(RAND(),MV3,Sigma2),MIN(MaxMultiple,Xm/(1-RAND())^(1/Alpha)))))</f>
        <v>0</v>
      </c>
      <c r="K292" s="19">
        <f ca="1">IF(RAND()&lt;P_Zero,0,IF(RAND()&lt;CondReturn,_xlfn.LOGNORM.INV(RAND(),MV2,Sigma1),IF(RAND()&lt;CondGood,_xlfn.LOGNORM.INV(RAND(),MV3,Sigma2),MIN(MaxMultiple,Xm/(1-RAND())^(1/Alpha)))))</f>
        <v>0</v>
      </c>
      <c r="L292" s="19">
        <f ca="1">IF(RAND()&lt;P_Zero,0,IF(RAND()&lt;CondReturn,_xlfn.LOGNORM.INV(RAND(),MV2,Sigma1),IF(RAND()&lt;CondGood,_xlfn.LOGNORM.INV(RAND(),MV3,Sigma2),MIN(MaxMultiple,Xm/(1-RAND())^(1/Alpha)))))</f>
        <v>0.53243841036805828</v>
      </c>
      <c r="M292" s="19">
        <f ca="1">IF(RAND()&lt;P_Zero,0,IF(RAND()&lt;CondReturn,_xlfn.LOGNORM.INV(RAND(),MV2,Sigma1),IF(RAND()&lt;CondGood,_xlfn.LOGNORM.INV(RAND(),MV3,Sigma2),MIN(MaxMultiple,Xm/(1-RAND())^(1/Alpha)))))</f>
        <v>1.0805782227945651</v>
      </c>
      <c r="N292" s="19">
        <f ca="1">IF(RAND()&lt;P_Zero,0,IF(RAND()&lt;CondReturn,_xlfn.LOGNORM.INV(RAND(),MV2,Sigma1),IF(RAND()&lt;CondGood,_xlfn.LOGNORM.INV(RAND(),MV3,Sigma2),MIN(MaxMultiple,Xm/(1-RAND())^(1/Alpha)))))</f>
        <v>0</v>
      </c>
      <c r="O292" s="19">
        <f ca="1">IF(RAND()&lt;P_Zero,0,IF(RAND()&lt;CondReturn,_xlfn.LOGNORM.INV(RAND(),MV2,Sigma1),IF(RAND()&lt;CondGood,_xlfn.LOGNORM.INV(RAND(),MV3,Sigma2),MIN(MaxMultiple,Xm/(1-RAND())^(1/Alpha)))))</f>
        <v>0</v>
      </c>
      <c r="P292" s="19">
        <f ca="1">IF(RAND()&lt;P_Zero,0,IF(RAND()&lt;CondReturn,_xlfn.LOGNORM.INV(RAND(),MV2,Sigma1),IF(RAND()&lt;CondGood,_xlfn.LOGNORM.INV(RAND(),MV3,Sigma2),MIN(MaxMultiple,Xm/(1-RAND())^(1/Alpha)))))</f>
        <v>1.637794344598265</v>
      </c>
      <c r="Q292" s="19">
        <f ca="1">IF(RAND()&lt;P_Zero,0,IF(RAND()&lt;CondReturn,_xlfn.LOGNORM.INV(RAND(),MV2,Sigma1),IF(RAND()&lt;CondGood,_xlfn.LOGNORM.INV(RAND(),MV3,Sigma2),MIN(MaxMultiple,Xm/(1-RAND())^(1/Alpha)))))</f>
        <v>13.17489834542525</v>
      </c>
      <c r="R292" s="19">
        <f ca="1">IF(RAND()&lt;P_Zero,0,IF(RAND()&lt;CondReturn,_xlfn.LOGNORM.INV(RAND(),MV2,Sigma1),IF(RAND()&lt;CondGood,_xlfn.LOGNORM.INV(RAND(),MV3,Sigma2),MIN(MaxMultiple,Xm/(1-RAND())^(1/Alpha)))))</f>
        <v>22.039436236350284</v>
      </c>
      <c r="S292" s="19">
        <f ca="1">IF(RAND()&lt;P_Zero,0,IF(RAND()&lt;CondReturn,_xlfn.LOGNORM.INV(RAND(),MV2,Sigma1),IF(RAND()&lt;CondGood,_xlfn.LOGNORM.INV(RAND(),MV3,Sigma2),MIN(MaxMultiple,Xm/(1-RAND())^(1/Alpha)))))</f>
        <v>0.47918611218647006</v>
      </c>
      <c r="T292" s="19">
        <f ca="1">IF(RAND()&lt;P_Zero,0,IF(RAND()&lt;CondReturn,_xlfn.LOGNORM.INV(RAND(),MV2,Sigma1),IF(RAND()&lt;CondGood,_xlfn.LOGNORM.INV(RAND(),MV3,Sigma2),MIN(MaxMultiple,Xm/(1-RAND())^(1/Alpha)))))</f>
        <v>0</v>
      </c>
      <c r="U292" s="19">
        <f ca="1">IF(RAND()&lt;P_Zero,0,IF(RAND()&lt;CondReturn,_xlfn.LOGNORM.INV(RAND(),MV2,Sigma1),IF(RAND()&lt;CondGood,_xlfn.LOGNORM.INV(RAND(),MV3,Sigma2),MIN(MaxMultiple,Xm/(1-RAND())^(1/Alpha)))))</f>
        <v>0.44697907464085118</v>
      </c>
      <c r="V292" s="19">
        <f ca="1">IF(RAND()&lt;P_Zero,0,IF(RAND()&lt;CondReturn,_xlfn.LOGNORM.INV(RAND(),MV2,Sigma1),IF(RAND()&lt;CondGood,_xlfn.LOGNORM.INV(RAND(),MV3,Sigma2),MIN(MaxMultiple,Xm/(1-RAND())^(1/Alpha)))))</f>
        <v>0</v>
      </c>
      <c r="W292" s="19">
        <f ca="1">IF(RAND()&lt;P_Zero,0,IF(RAND()&lt;CondReturn,_xlfn.LOGNORM.INV(RAND(),MV2,Sigma1),IF(RAND()&lt;CondGood,_xlfn.LOGNORM.INV(RAND(),MV3,Sigma2),MIN(MaxMultiple,Xm/(1-RAND())^(1/Alpha)))))</f>
        <v>0</v>
      </c>
      <c r="X292" s="19">
        <f ca="1">IF(RAND()&lt;P_Zero,0,IF(RAND()&lt;CondReturn,_xlfn.LOGNORM.INV(RAND(),MV2,Sigma1),IF(RAND()&lt;CondGood,_xlfn.LOGNORM.INV(RAND(),MV3,Sigma2),MIN(MaxMultiple,Xm/(1-RAND())^(1/Alpha)))))</f>
        <v>0.97148381663588113</v>
      </c>
      <c r="Y292" s="19">
        <f ca="1">IF(RAND()&lt;P_Zero,0,IF(RAND()&lt;CondReturn,_xlfn.LOGNORM.INV(RAND(),MV2,Sigma1),IF(RAND()&lt;CondGood,_xlfn.LOGNORM.INV(RAND(),MV3,Sigma2),MIN(MaxMultiple,Xm/(1-RAND())^(1/Alpha)))))</f>
        <v>0.5147723410319881</v>
      </c>
      <c r="Z292" s="19">
        <f ca="1">IF(RAND()&lt;P_Zero,0,IF(RAND()&lt;CondReturn,_xlfn.LOGNORM.INV(RAND(),MV2,Sigma1),IF(RAND()&lt;CondGood,_xlfn.LOGNORM.INV(RAND(),MV3,Sigma2),MIN(MaxMultiple,Xm/(1-RAND())^(1/Alpha)))))</f>
        <v>0.71080735288007024</v>
      </c>
      <c r="AA292" s="19">
        <f ca="1">IF(RAND()&lt;P_Zero,0,IF(RAND()&lt;CondReturn,_xlfn.LOGNORM.INV(RAND(),MV2,Sigma1),IF(RAND()&lt;CondGood,_xlfn.LOGNORM.INV(RAND(),MV3,Sigma2),MIN(MaxMultiple,Xm/(1-RAND())^(1/Alpha)))))</f>
        <v>0</v>
      </c>
      <c r="AB292" s="19">
        <f t="shared" ca="1" si="32"/>
        <v>1.8758837276848306</v>
      </c>
      <c r="AC292" s="14">
        <f t="shared" ca="1" si="33"/>
        <v>90042418.92887187</v>
      </c>
      <c r="AD292" s="14">
        <f t="shared" ca="1" si="34"/>
        <v>42042418.92887187</v>
      </c>
      <c r="AE292" s="14">
        <f t="shared" si="35"/>
        <v>55628399.869093813</v>
      </c>
      <c r="AF292" s="14">
        <f t="shared" ca="1" si="36"/>
        <v>0</v>
      </c>
      <c r="AG292" s="14">
        <f t="shared" ca="1" si="37"/>
        <v>0</v>
      </c>
      <c r="AH292" s="14">
        <f t="shared" ca="1" si="38"/>
        <v>90042418.92887187</v>
      </c>
      <c r="AI292" s="19">
        <f t="shared" ca="1" si="39"/>
        <v>1.5007069821478645</v>
      </c>
    </row>
    <row r="293" spans="2:35" x14ac:dyDescent="0.2">
      <c r="B293" s="1">
        <v>288</v>
      </c>
      <c r="C293" s="19">
        <f ca="1">IF(RAND()&lt;P_Zero,0,IF(RAND()&lt;CondReturn,_xlfn.LOGNORM.INV(RAND(),MV2,Sigma1),IF(RAND()&lt;CondGood,_xlfn.LOGNORM.INV(RAND(),MV3,Sigma2),MIN(MaxMultiple,Xm/(1-RAND())^(1/Alpha)))))</f>
        <v>1.6710684773715239</v>
      </c>
      <c r="D293" s="19">
        <f ca="1">IF(RAND()&lt;P_Zero,0,IF(RAND()&lt;CondReturn,_xlfn.LOGNORM.INV(RAND(),MV2,Sigma1),IF(RAND()&lt;CondGood,_xlfn.LOGNORM.INV(RAND(),MV3,Sigma2),MIN(MaxMultiple,Xm/(1-RAND())^(1/Alpha)))))</f>
        <v>0</v>
      </c>
      <c r="E293" s="19">
        <f ca="1">IF(RAND()&lt;P_Zero,0,IF(RAND()&lt;CondReturn,_xlfn.LOGNORM.INV(RAND(),MV2,Sigma1),IF(RAND()&lt;CondGood,_xlfn.LOGNORM.INV(RAND(),MV3,Sigma2),MIN(MaxMultiple,Xm/(1-RAND())^(1/Alpha)))))</f>
        <v>1.5106846710961588</v>
      </c>
      <c r="F293" s="19">
        <f ca="1">IF(RAND()&lt;P_Zero,0,IF(RAND()&lt;CondReturn,_xlfn.LOGNORM.INV(RAND(),MV2,Sigma1),IF(RAND()&lt;CondGood,_xlfn.LOGNORM.INV(RAND(),MV3,Sigma2),MIN(MaxMultiple,Xm/(1-RAND())^(1/Alpha)))))</f>
        <v>0</v>
      </c>
      <c r="G293" s="19">
        <f ca="1">IF(RAND()&lt;P_Zero,0,IF(RAND()&lt;CondReturn,_xlfn.LOGNORM.INV(RAND(),MV2,Sigma1),IF(RAND()&lt;CondGood,_xlfn.LOGNORM.INV(RAND(),MV3,Sigma2),MIN(MaxMultiple,Xm/(1-RAND())^(1/Alpha)))))</f>
        <v>0</v>
      </c>
      <c r="H293" s="19">
        <f ca="1">IF(RAND()&lt;P_Zero,0,IF(RAND()&lt;CondReturn,_xlfn.LOGNORM.INV(RAND(),MV2,Sigma1),IF(RAND()&lt;CondGood,_xlfn.LOGNORM.INV(RAND(),MV3,Sigma2),MIN(MaxMultiple,Xm/(1-RAND())^(1/Alpha)))))</f>
        <v>0</v>
      </c>
      <c r="I293" s="19">
        <f ca="1">IF(RAND()&lt;P_Zero,0,IF(RAND()&lt;CondReturn,_xlfn.LOGNORM.INV(RAND(),MV2,Sigma1),IF(RAND()&lt;CondGood,_xlfn.LOGNORM.INV(RAND(),MV3,Sigma2),MIN(MaxMultiple,Xm/(1-RAND())^(1/Alpha)))))</f>
        <v>1.9945559840258555</v>
      </c>
      <c r="J293" s="19">
        <f ca="1">IF(RAND()&lt;P_Zero,0,IF(RAND()&lt;CondReturn,_xlfn.LOGNORM.INV(RAND(),MV2,Sigma1),IF(RAND()&lt;CondGood,_xlfn.LOGNORM.INV(RAND(),MV3,Sigma2),MIN(MaxMultiple,Xm/(1-RAND())^(1/Alpha)))))</f>
        <v>1.0848002018198581</v>
      </c>
      <c r="K293" s="19">
        <f ca="1">IF(RAND()&lt;P_Zero,0,IF(RAND()&lt;CondReturn,_xlfn.LOGNORM.INV(RAND(),MV2,Sigma1),IF(RAND()&lt;CondGood,_xlfn.LOGNORM.INV(RAND(),MV3,Sigma2),MIN(MaxMultiple,Xm/(1-RAND())^(1/Alpha)))))</f>
        <v>0</v>
      </c>
      <c r="L293" s="19">
        <f ca="1">IF(RAND()&lt;P_Zero,0,IF(RAND()&lt;CondReturn,_xlfn.LOGNORM.INV(RAND(),MV2,Sigma1),IF(RAND()&lt;CondGood,_xlfn.LOGNORM.INV(RAND(),MV3,Sigma2),MIN(MaxMultiple,Xm/(1-RAND())^(1/Alpha)))))</f>
        <v>0.73964424574119458</v>
      </c>
      <c r="M293" s="19">
        <f ca="1">IF(RAND()&lt;P_Zero,0,IF(RAND()&lt;CondReturn,_xlfn.LOGNORM.INV(RAND(),MV2,Sigma1),IF(RAND()&lt;CondGood,_xlfn.LOGNORM.INV(RAND(),MV3,Sigma2),MIN(MaxMultiple,Xm/(1-RAND())^(1/Alpha)))))</f>
        <v>1.6232337207282261</v>
      </c>
      <c r="N293" s="19">
        <f ca="1">IF(RAND()&lt;P_Zero,0,IF(RAND()&lt;CondReturn,_xlfn.LOGNORM.INV(RAND(),MV2,Sigma1),IF(RAND()&lt;CondGood,_xlfn.LOGNORM.INV(RAND(),MV3,Sigma2),MIN(MaxMultiple,Xm/(1-RAND())^(1/Alpha)))))</f>
        <v>0.96178918980144101</v>
      </c>
      <c r="O293" s="19">
        <f ca="1">IF(RAND()&lt;P_Zero,0,IF(RAND()&lt;CondReturn,_xlfn.LOGNORM.INV(RAND(),MV2,Sigma1),IF(RAND()&lt;CondGood,_xlfn.LOGNORM.INV(RAND(),MV3,Sigma2),MIN(MaxMultiple,Xm/(1-RAND())^(1/Alpha)))))</f>
        <v>0</v>
      </c>
      <c r="P293" s="19">
        <f ca="1">IF(RAND()&lt;P_Zero,0,IF(RAND()&lt;CondReturn,_xlfn.LOGNORM.INV(RAND(),MV2,Sigma1),IF(RAND()&lt;CondGood,_xlfn.LOGNORM.INV(RAND(),MV3,Sigma2),MIN(MaxMultiple,Xm/(1-RAND())^(1/Alpha)))))</f>
        <v>16.297945187020904</v>
      </c>
      <c r="Q293" s="19">
        <f ca="1">IF(RAND()&lt;P_Zero,0,IF(RAND()&lt;CondReturn,_xlfn.LOGNORM.INV(RAND(),MV2,Sigma1),IF(RAND()&lt;CondGood,_xlfn.LOGNORM.INV(RAND(),MV3,Sigma2),MIN(MaxMultiple,Xm/(1-RAND())^(1/Alpha)))))</f>
        <v>0.97154213401560408</v>
      </c>
      <c r="R293" s="19">
        <f ca="1">IF(RAND()&lt;P_Zero,0,IF(RAND()&lt;CondReturn,_xlfn.LOGNORM.INV(RAND(),MV2,Sigma1),IF(RAND()&lt;CondGood,_xlfn.LOGNORM.INV(RAND(),MV3,Sigma2),MIN(MaxMultiple,Xm/(1-RAND())^(1/Alpha)))))</f>
        <v>0</v>
      </c>
      <c r="S293" s="19">
        <f ca="1">IF(RAND()&lt;P_Zero,0,IF(RAND()&lt;CondReturn,_xlfn.LOGNORM.INV(RAND(),MV2,Sigma1),IF(RAND()&lt;CondGood,_xlfn.LOGNORM.INV(RAND(),MV3,Sigma2),MIN(MaxMultiple,Xm/(1-RAND())^(1/Alpha)))))</f>
        <v>1.0757872272772639</v>
      </c>
      <c r="T293" s="19">
        <f ca="1">IF(RAND()&lt;P_Zero,0,IF(RAND()&lt;CondReturn,_xlfn.LOGNORM.INV(RAND(),MV2,Sigma1),IF(RAND()&lt;CondGood,_xlfn.LOGNORM.INV(RAND(),MV3,Sigma2),MIN(MaxMultiple,Xm/(1-RAND())^(1/Alpha)))))</f>
        <v>1.0662644635069443</v>
      </c>
      <c r="U293" s="19">
        <f ca="1">IF(RAND()&lt;P_Zero,0,IF(RAND()&lt;CondReturn,_xlfn.LOGNORM.INV(RAND(),MV2,Sigma1),IF(RAND()&lt;CondGood,_xlfn.LOGNORM.INV(RAND(),MV3,Sigma2),MIN(MaxMultiple,Xm/(1-RAND())^(1/Alpha)))))</f>
        <v>0</v>
      </c>
      <c r="V293" s="19">
        <f ca="1">IF(RAND()&lt;P_Zero,0,IF(RAND()&lt;CondReturn,_xlfn.LOGNORM.INV(RAND(),MV2,Sigma1),IF(RAND()&lt;CondGood,_xlfn.LOGNORM.INV(RAND(),MV3,Sigma2),MIN(MaxMultiple,Xm/(1-RAND())^(1/Alpha)))))</f>
        <v>0</v>
      </c>
      <c r="W293" s="19">
        <f ca="1">IF(RAND()&lt;P_Zero,0,IF(RAND()&lt;CondReturn,_xlfn.LOGNORM.INV(RAND(),MV2,Sigma1),IF(RAND()&lt;CondGood,_xlfn.LOGNORM.INV(RAND(),MV3,Sigma2),MIN(MaxMultiple,Xm/(1-RAND())^(1/Alpha)))))</f>
        <v>1.0856533437252851</v>
      </c>
      <c r="X293" s="19">
        <f ca="1">IF(RAND()&lt;P_Zero,0,IF(RAND()&lt;CondReturn,_xlfn.LOGNORM.INV(RAND(),MV2,Sigma1),IF(RAND()&lt;CondGood,_xlfn.LOGNORM.INV(RAND(),MV3,Sigma2),MIN(MaxMultiple,Xm/(1-RAND())^(1/Alpha)))))</f>
        <v>0</v>
      </c>
      <c r="Y293" s="19">
        <f ca="1">IF(RAND()&lt;P_Zero,0,IF(RAND()&lt;CondReturn,_xlfn.LOGNORM.INV(RAND(),MV2,Sigma1),IF(RAND()&lt;CondGood,_xlfn.LOGNORM.INV(RAND(),MV3,Sigma2),MIN(MaxMultiple,Xm/(1-RAND())^(1/Alpha)))))</f>
        <v>0</v>
      </c>
      <c r="Z293" s="19">
        <f ca="1">IF(RAND()&lt;P_Zero,0,IF(RAND()&lt;CondReturn,_xlfn.LOGNORM.INV(RAND(),MV2,Sigma1),IF(RAND()&lt;CondGood,_xlfn.LOGNORM.INV(RAND(),MV3,Sigma2),MIN(MaxMultiple,Xm/(1-RAND())^(1/Alpha)))))</f>
        <v>1.1107734214344964</v>
      </c>
      <c r="AA293" s="19">
        <f ca="1">IF(RAND()&lt;P_Zero,0,IF(RAND()&lt;CondReturn,_xlfn.LOGNORM.INV(RAND(),MV2,Sigma1),IF(RAND()&lt;CondGood,_xlfn.LOGNORM.INV(RAND(),MV3,Sigma2),MIN(MaxMultiple,Xm/(1-RAND())^(1/Alpha)))))</f>
        <v>1.2879630430816518</v>
      </c>
      <c r="AB293" s="19">
        <f t="shared" ca="1" si="32"/>
        <v>1.2992682124258561</v>
      </c>
      <c r="AC293" s="14">
        <f t="shared" ca="1" si="33"/>
        <v>62364874.196441092</v>
      </c>
      <c r="AD293" s="14">
        <f t="shared" ca="1" si="34"/>
        <v>14364874.196441092</v>
      </c>
      <c r="AE293" s="14">
        <f t="shared" si="35"/>
        <v>55628399.869093813</v>
      </c>
      <c r="AF293" s="14">
        <f t="shared" ca="1" si="36"/>
        <v>0</v>
      </c>
      <c r="AG293" s="14">
        <f t="shared" ca="1" si="37"/>
        <v>0</v>
      </c>
      <c r="AH293" s="14">
        <f t="shared" ca="1" si="38"/>
        <v>62364874.196441092</v>
      </c>
      <c r="AI293" s="19">
        <f t="shared" ca="1" si="39"/>
        <v>1.0394145699406849</v>
      </c>
    </row>
    <row r="294" spans="2:35" x14ac:dyDescent="0.2">
      <c r="B294" s="1">
        <v>289</v>
      </c>
      <c r="C294" s="19">
        <f ca="1">IF(RAND()&lt;P_Zero,0,IF(RAND()&lt;CondReturn,_xlfn.LOGNORM.INV(RAND(),MV2,Sigma1),IF(RAND()&lt;CondGood,_xlfn.LOGNORM.INV(RAND(),MV3,Sigma2),MIN(MaxMultiple,Xm/(1-RAND())^(1/Alpha)))))</f>
        <v>0</v>
      </c>
      <c r="D294" s="19">
        <f ca="1">IF(RAND()&lt;P_Zero,0,IF(RAND()&lt;CondReturn,_xlfn.LOGNORM.INV(RAND(),MV2,Sigma1),IF(RAND()&lt;CondGood,_xlfn.LOGNORM.INV(RAND(),MV3,Sigma2),MIN(MaxMultiple,Xm/(1-RAND())^(1/Alpha)))))</f>
        <v>0.52678224267720863</v>
      </c>
      <c r="E294" s="19">
        <f ca="1">IF(RAND()&lt;P_Zero,0,IF(RAND()&lt;CondReturn,_xlfn.LOGNORM.INV(RAND(),MV2,Sigma1),IF(RAND()&lt;CondGood,_xlfn.LOGNORM.INV(RAND(),MV3,Sigma2),MIN(MaxMultiple,Xm/(1-RAND())^(1/Alpha)))))</f>
        <v>1.5715612090733702</v>
      </c>
      <c r="F294" s="19">
        <f ca="1">IF(RAND()&lt;P_Zero,0,IF(RAND()&lt;CondReturn,_xlfn.LOGNORM.INV(RAND(),MV2,Sigma1),IF(RAND()&lt;CondGood,_xlfn.LOGNORM.INV(RAND(),MV3,Sigma2),MIN(MaxMultiple,Xm/(1-RAND())^(1/Alpha)))))</f>
        <v>0.81848752396381186</v>
      </c>
      <c r="G294" s="19">
        <f ca="1">IF(RAND()&lt;P_Zero,0,IF(RAND()&lt;CondReturn,_xlfn.LOGNORM.INV(RAND(),MV2,Sigma1),IF(RAND()&lt;CondGood,_xlfn.LOGNORM.INV(RAND(),MV3,Sigma2),MIN(MaxMultiple,Xm/(1-RAND())^(1/Alpha)))))</f>
        <v>0</v>
      </c>
      <c r="H294" s="19">
        <f ca="1">IF(RAND()&lt;P_Zero,0,IF(RAND()&lt;CondReturn,_xlfn.LOGNORM.INV(RAND(),MV2,Sigma1),IF(RAND()&lt;CondGood,_xlfn.LOGNORM.INV(RAND(),MV3,Sigma2),MIN(MaxMultiple,Xm/(1-RAND())^(1/Alpha)))))</f>
        <v>0</v>
      </c>
      <c r="I294" s="19">
        <f ca="1">IF(RAND()&lt;P_Zero,0,IF(RAND()&lt;CondReturn,_xlfn.LOGNORM.INV(RAND(),MV2,Sigma1),IF(RAND()&lt;CondGood,_xlfn.LOGNORM.INV(RAND(),MV3,Sigma2),MIN(MaxMultiple,Xm/(1-RAND())^(1/Alpha)))))</f>
        <v>0</v>
      </c>
      <c r="J294" s="19">
        <f ca="1">IF(RAND()&lt;P_Zero,0,IF(RAND()&lt;CondReturn,_xlfn.LOGNORM.INV(RAND(),MV2,Sigma1),IF(RAND()&lt;CondGood,_xlfn.LOGNORM.INV(RAND(),MV3,Sigma2),MIN(MaxMultiple,Xm/(1-RAND())^(1/Alpha)))))</f>
        <v>0</v>
      </c>
      <c r="K294" s="19">
        <f ca="1">IF(RAND()&lt;P_Zero,0,IF(RAND()&lt;CondReturn,_xlfn.LOGNORM.INV(RAND(),MV2,Sigma1),IF(RAND()&lt;CondGood,_xlfn.LOGNORM.INV(RAND(),MV3,Sigma2),MIN(MaxMultiple,Xm/(1-RAND())^(1/Alpha)))))</f>
        <v>55.069204643692281</v>
      </c>
      <c r="L294" s="19">
        <f ca="1">IF(RAND()&lt;P_Zero,0,IF(RAND()&lt;CondReturn,_xlfn.LOGNORM.INV(RAND(),MV2,Sigma1),IF(RAND()&lt;CondGood,_xlfn.LOGNORM.INV(RAND(),MV3,Sigma2),MIN(MaxMultiple,Xm/(1-RAND())^(1/Alpha)))))</f>
        <v>1.1412364746438026</v>
      </c>
      <c r="M294" s="19">
        <f ca="1">IF(RAND()&lt;P_Zero,0,IF(RAND()&lt;CondReturn,_xlfn.LOGNORM.INV(RAND(),MV2,Sigma1),IF(RAND()&lt;CondGood,_xlfn.LOGNORM.INV(RAND(),MV3,Sigma2),MIN(MaxMultiple,Xm/(1-RAND())^(1/Alpha)))))</f>
        <v>1.5724259186766305</v>
      </c>
      <c r="N294" s="19">
        <f ca="1">IF(RAND()&lt;P_Zero,0,IF(RAND()&lt;CondReturn,_xlfn.LOGNORM.INV(RAND(),MV2,Sigma1),IF(RAND()&lt;CondGood,_xlfn.LOGNORM.INV(RAND(),MV3,Sigma2),MIN(MaxMultiple,Xm/(1-RAND())^(1/Alpha)))))</f>
        <v>0.75236056229597381</v>
      </c>
      <c r="O294" s="19">
        <f ca="1">IF(RAND()&lt;P_Zero,0,IF(RAND()&lt;CondReturn,_xlfn.LOGNORM.INV(RAND(),MV2,Sigma1),IF(RAND()&lt;CondGood,_xlfn.LOGNORM.INV(RAND(),MV3,Sigma2),MIN(MaxMultiple,Xm/(1-RAND())^(1/Alpha)))))</f>
        <v>0</v>
      </c>
      <c r="P294" s="19">
        <f ca="1">IF(RAND()&lt;P_Zero,0,IF(RAND()&lt;CondReturn,_xlfn.LOGNORM.INV(RAND(),MV2,Sigma1),IF(RAND()&lt;CondGood,_xlfn.LOGNORM.INV(RAND(),MV3,Sigma2),MIN(MaxMultiple,Xm/(1-RAND())^(1/Alpha)))))</f>
        <v>0.59368243459249559</v>
      </c>
      <c r="Q294" s="19">
        <f ca="1">IF(RAND()&lt;P_Zero,0,IF(RAND()&lt;CondReturn,_xlfn.LOGNORM.INV(RAND(),MV2,Sigma1),IF(RAND()&lt;CondGood,_xlfn.LOGNORM.INV(RAND(),MV3,Sigma2),MIN(MaxMultiple,Xm/(1-RAND())^(1/Alpha)))))</f>
        <v>0.7001578377850145</v>
      </c>
      <c r="R294" s="19">
        <f ca="1">IF(RAND()&lt;P_Zero,0,IF(RAND()&lt;CondReturn,_xlfn.LOGNORM.INV(RAND(),MV2,Sigma1),IF(RAND()&lt;CondGood,_xlfn.LOGNORM.INV(RAND(),MV3,Sigma2),MIN(MaxMultiple,Xm/(1-RAND())^(1/Alpha)))))</f>
        <v>0</v>
      </c>
      <c r="S294" s="19">
        <f ca="1">IF(RAND()&lt;P_Zero,0,IF(RAND()&lt;CondReturn,_xlfn.LOGNORM.INV(RAND(),MV2,Sigma1),IF(RAND()&lt;CondGood,_xlfn.LOGNORM.INV(RAND(),MV3,Sigma2),MIN(MaxMultiple,Xm/(1-RAND())^(1/Alpha)))))</f>
        <v>0.71675042550133383</v>
      </c>
      <c r="T294" s="19">
        <f ca="1">IF(RAND()&lt;P_Zero,0,IF(RAND()&lt;CondReturn,_xlfn.LOGNORM.INV(RAND(),MV2,Sigma1),IF(RAND()&lt;CondGood,_xlfn.LOGNORM.INV(RAND(),MV3,Sigma2),MIN(MaxMultiple,Xm/(1-RAND())^(1/Alpha)))))</f>
        <v>13.82306654715838</v>
      </c>
      <c r="U294" s="19">
        <f ca="1">IF(RAND()&lt;P_Zero,0,IF(RAND()&lt;CondReturn,_xlfn.LOGNORM.INV(RAND(),MV2,Sigma1),IF(RAND()&lt;CondGood,_xlfn.LOGNORM.INV(RAND(),MV3,Sigma2),MIN(MaxMultiple,Xm/(1-RAND())^(1/Alpha)))))</f>
        <v>0</v>
      </c>
      <c r="V294" s="19">
        <f ca="1">IF(RAND()&lt;P_Zero,0,IF(RAND()&lt;CondReturn,_xlfn.LOGNORM.INV(RAND(),MV2,Sigma1),IF(RAND()&lt;CondGood,_xlfn.LOGNORM.INV(RAND(),MV3,Sigma2),MIN(MaxMultiple,Xm/(1-RAND())^(1/Alpha)))))</f>
        <v>0</v>
      </c>
      <c r="W294" s="19">
        <f ca="1">IF(RAND()&lt;P_Zero,0,IF(RAND()&lt;CondReturn,_xlfn.LOGNORM.INV(RAND(),MV2,Sigma1),IF(RAND()&lt;CondGood,_xlfn.LOGNORM.INV(RAND(),MV3,Sigma2),MIN(MaxMultiple,Xm/(1-RAND())^(1/Alpha)))))</f>
        <v>1.9647428211154496</v>
      </c>
      <c r="X294" s="19">
        <f ca="1">IF(RAND()&lt;P_Zero,0,IF(RAND()&lt;CondReturn,_xlfn.LOGNORM.INV(RAND(),MV2,Sigma1),IF(RAND()&lt;CondGood,_xlfn.LOGNORM.INV(RAND(),MV3,Sigma2),MIN(MaxMultiple,Xm/(1-RAND())^(1/Alpha)))))</f>
        <v>4.1888015002879486</v>
      </c>
      <c r="Y294" s="19">
        <f ca="1">IF(RAND()&lt;P_Zero,0,IF(RAND()&lt;CondReturn,_xlfn.LOGNORM.INV(RAND(),MV2,Sigma1),IF(RAND()&lt;CondGood,_xlfn.LOGNORM.INV(RAND(),MV3,Sigma2),MIN(MaxMultiple,Xm/(1-RAND())^(1/Alpha)))))</f>
        <v>1.0481049765282924</v>
      </c>
      <c r="Z294" s="19">
        <f ca="1">IF(RAND()&lt;P_Zero,0,IF(RAND()&lt;CondReturn,_xlfn.LOGNORM.INV(RAND(),MV2,Sigma1),IF(RAND()&lt;CondGood,_xlfn.LOGNORM.INV(RAND(),MV3,Sigma2),MIN(MaxMultiple,Xm/(1-RAND())^(1/Alpha)))))</f>
        <v>0</v>
      </c>
      <c r="AA294" s="19">
        <f ca="1">IF(RAND()&lt;P_Zero,0,IF(RAND()&lt;CondReturn,_xlfn.LOGNORM.INV(RAND(),MV2,Sigma1),IF(RAND()&lt;CondGood,_xlfn.LOGNORM.INV(RAND(),MV3,Sigma2),MIN(MaxMultiple,Xm/(1-RAND())^(1/Alpha)))))</f>
        <v>0</v>
      </c>
      <c r="AB294" s="19">
        <f t="shared" ca="1" si="32"/>
        <v>3.3794946047196799</v>
      </c>
      <c r="AC294" s="14">
        <f t="shared" ca="1" si="33"/>
        <v>162215741.02654463</v>
      </c>
      <c r="AD294" s="14">
        <f t="shared" ca="1" si="34"/>
        <v>114215741.02654463</v>
      </c>
      <c r="AE294" s="14">
        <f t="shared" si="35"/>
        <v>55628399.869093813</v>
      </c>
      <c r="AF294" s="14">
        <f t="shared" ca="1" si="36"/>
        <v>58587341.157450818</v>
      </c>
      <c r="AG294" s="14">
        <f t="shared" ca="1" si="37"/>
        <v>11717468.231490165</v>
      </c>
      <c r="AH294" s="14">
        <f t="shared" ca="1" si="38"/>
        <v>150498272.79505447</v>
      </c>
      <c r="AI294" s="19">
        <f t="shared" ca="1" si="39"/>
        <v>2.5083045465842413</v>
      </c>
    </row>
    <row r="295" spans="2:35" x14ac:dyDescent="0.2">
      <c r="B295" s="1">
        <v>290</v>
      </c>
      <c r="C295" s="19">
        <f ca="1">IF(RAND()&lt;P_Zero,0,IF(RAND()&lt;CondReturn,_xlfn.LOGNORM.INV(RAND(),MV2,Sigma1),IF(RAND()&lt;CondGood,_xlfn.LOGNORM.INV(RAND(),MV3,Sigma2),MIN(MaxMultiple,Xm/(1-RAND())^(1/Alpha)))))</f>
        <v>0.50267358740642609</v>
      </c>
      <c r="D295" s="19">
        <f ca="1">IF(RAND()&lt;P_Zero,0,IF(RAND()&lt;CondReturn,_xlfn.LOGNORM.INV(RAND(),MV2,Sigma1),IF(RAND()&lt;CondGood,_xlfn.LOGNORM.INV(RAND(),MV3,Sigma2),MIN(MaxMultiple,Xm/(1-RAND())^(1/Alpha)))))</f>
        <v>0</v>
      </c>
      <c r="E295" s="19">
        <f ca="1">IF(RAND()&lt;P_Zero,0,IF(RAND()&lt;CondReturn,_xlfn.LOGNORM.INV(RAND(),MV2,Sigma1),IF(RAND()&lt;CondGood,_xlfn.LOGNORM.INV(RAND(),MV3,Sigma2),MIN(MaxMultiple,Xm/(1-RAND())^(1/Alpha)))))</f>
        <v>0.60924373315101976</v>
      </c>
      <c r="F295" s="19">
        <f ca="1">IF(RAND()&lt;P_Zero,0,IF(RAND()&lt;CondReturn,_xlfn.LOGNORM.INV(RAND(),MV2,Sigma1),IF(RAND()&lt;CondGood,_xlfn.LOGNORM.INV(RAND(),MV3,Sigma2),MIN(MaxMultiple,Xm/(1-RAND())^(1/Alpha)))))</f>
        <v>203.14886174860621</v>
      </c>
      <c r="G295" s="19">
        <f ca="1">IF(RAND()&lt;P_Zero,0,IF(RAND()&lt;CondReturn,_xlfn.LOGNORM.INV(RAND(),MV2,Sigma1),IF(RAND()&lt;CondGood,_xlfn.LOGNORM.INV(RAND(),MV3,Sigma2),MIN(MaxMultiple,Xm/(1-RAND())^(1/Alpha)))))</f>
        <v>0.98694225503703681</v>
      </c>
      <c r="H295" s="19">
        <f ca="1">IF(RAND()&lt;P_Zero,0,IF(RAND()&lt;CondReturn,_xlfn.LOGNORM.INV(RAND(),MV2,Sigma1),IF(RAND()&lt;CondGood,_xlfn.LOGNORM.INV(RAND(),MV3,Sigma2),MIN(MaxMultiple,Xm/(1-RAND())^(1/Alpha)))))</f>
        <v>0.61664679132568778</v>
      </c>
      <c r="I295" s="19">
        <f ca="1">IF(RAND()&lt;P_Zero,0,IF(RAND()&lt;CondReturn,_xlfn.LOGNORM.INV(RAND(),MV2,Sigma1),IF(RAND()&lt;CondGood,_xlfn.LOGNORM.INV(RAND(),MV3,Sigma2),MIN(MaxMultiple,Xm/(1-RAND())^(1/Alpha)))))</f>
        <v>0.52922404688008606</v>
      </c>
      <c r="J295" s="19">
        <f ca="1">IF(RAND()&lt;P_Zero,0,IF(RAND()&lt;CondReturn,_xlfn.LOGNORM.INV(RAND(),MV2,Sigma1),IF(RAND()&lt;CondGood,_xlfn.LOGNORM.INV(RAND(),MV3,Sigma2),MIN(MaxMultiple,Xm/(1-RAND())^(1/Alpha)))))</f>
        <v>0.79136875373897053</v>
      </c>
      <c r="K295" s="19">
        <f ca="1">IF(RAND()&lt;P_Zero,0,IF(RAND()&lt;CondReturn,_xlfn.LOGNORM.INV(RAND(),MV2,Sigma1),IF(RAND()&lt;CondGood,_xlfn.LOGNORM.INV(RAND(),MV3,Sigma2),MIN(MaxMultiple,Xm/(1-RAND())^(1/Alpha)))))</f>
        <v>0</v>
      </c>
      <c r="L295" s="19">
        <f ca="1">IF(RAND()&lt;P_Zero,0,IF(RAND()&lt;CondReturn,_xlfn.LOGNORM.INV(RAND(),MV2,Sigma1),IF(RAND()&lt;CondGood,_xlfn.LOGNORM.INV(RAND(),MV3,Sigma2),MIN(MaxMultiple,Xm/(1-RAND())^(1/Alpha)))))</f>
        <v>2.8483326391241275</v>
      </c>
      <c r="M295" s="19">
        <f ca="1">IF(RAND()&lt;P_Zero,0,IF(RAND()&lt;CondReturn,_xlfn.LOGNORM.INV(RAND(),MV2,Sigma1),IF(RAND()&lt;CondGood,_xlfn.LOGNORM.INV(RAND(),MV3,Sigma2),MIN(MaxMultiple,Xm/(1-RAND())^(1/Alpha)))))</f>
        <v>0</v>
      </c>
      <c r="N295" s="19">
        <f ca="1">IF(RAND()&lt;P_Zero,0,IF(RAND()&lt;CondReturn,_xlfn.LOGNORM.INV(RAND(),MV2,Sigma1),IF(RAND()&lt;CondGood,_xlfn.LOGNORM.INV(RAND(),MV3,Sigma2),MIN(MaxMultiple,Xm/(1-RAND())^(1/Alpha)))))</f>
        <v>0.56424962419925084</v>
      </c>
      <c r="O295" s="19">
        <f ca="1">IF(RAND()&lt;P_Zero,0,IF(RAND()&lt;CondReturn,_xlfn.LOGNORM.INV(RAND(),MV2,Sigma1),IF(RAND()&lt;CondGood,_xlfn.LOGNORM.INV(RAND(),MV3,Sigma2),MIN(MaxMultiple,Xm/(1-RAND())^(1/Alpha)))))</f>
        <v>39.105691678478109</v>
      </c>
      <c r="P295" s="19">
        <f ca="1">IF(RAND()&lt;P_Zero,0,IF(RAND()&lt;CondReturn,_xlfn.LOGNORM.INV(RAND(),MV2,Sigma1),IF(RAND()&lt;CondGood,_xlfn.LOGNORM.INV(RAND(),MV3,Sigma2),MIN(MaxMultiple,Xm/(1-RAND())^(1/Alpha)))))</f>
        <v>0.84023397268437316</v>
      </c>
      <c r="Q295" s="19">
        <f ca="1">IF(RAND()&lt;P_Zero,0,IF(RAND()&lt;CondReturn,_xlfn.LOGNORM.INV(RAND(),MV2,Sigma1),IF(RAND()&lt;CondGood,_xlfn.LOGNORM.INV(RAND(),MV3,Sigma2),MIN(MaxMultiple,Xm/(1-RAND())^(1/Alpha)))))</f>
        <v>0.97439407534002798</v>
      </c>
      <c r="R295" s="19">
        <f ca="1">IF(RAND()&lt;P_Zero,0,IF(RAND()&lt;CondReturn,_xlfn.LOGNORM.INV(RAND(),MV2,Sigma1),IF(RAND()&lt;CondGood,_xlfn.LOGNORM.INV(RAND(),MV3,Sigma2),MIN(MaxMultiple,Xm/(1-RAND())^(1/Alpha)))))</f>
        <v>0</v>
      </c>
      <c r="S295" s="19">
        <f ca="1">IF(RAND()&lt;P_Zero,0,IF(RAND()&lt;CondReturn,_xlfn.LOGNORM.INV(RAND(),MV2,Sigma1),IF(RAND()&lt;CondGood,_xlfn.LOGNORM.INV(RAND(),MV3,Sigma2),MIN(MaxMultiple,Xm/(1-RAND())^(1/Alpha)))))</f>
        <v>1.0696436492947987</v>
      </c>
      <c r="T295" s="19">
        <f ca="1">IF(RAND()&lt;P_Zero,0,IF(RAND()&lt;CondReturn,_xlfn.LOGNORM.INV(RAND(),MV2,Sigma1),IF(RAND()&lt;CondGood,_xlfn.LOGNORM.INV(RAND(),MV3,Sigma2),MIN(MaxMultiple,Xm/(1-RAND())^(1/Alpha)))))</f>
        <v>0.7003895597131522</v>
      </c>
      <c r="U295" s="19">
        <f ca="1">IF(RAND()&lt;P_Zero,0,IF(RAND()&lt;CondReturn,_xlfn.LOGNORM.INV(RAND(),MV2,Sigma1),IF(RAND()&lt;CondGood,_xlfn.LOGNORM.INV(RAND(),MV3,Sigma2),MIN(MaxMultiple,Xm/(1-RAND())^(1/Alpha)))))</f>
        <v>0</v>
      </c>
      <c r="V295" s="19">
        <f ca="1">IF(RAND()&lt;P_Zero,0,IF(RAND()&lt;CondReturn,_xlfn.LOGNORM.INV(RAND(),MV2,Sigma1),IF(RAND()&lt;CondGood,_xlfn.LOGNORM.INV(RAND(),MV3,Sigma2),MIN(MaxMultiple,Xm/(1-RAND())^(1/Alpha)))))</f>
        <v>0</v>
      </c>
      <c r="W295" s="19">
        <f ca="1">IF(RAND()&lt;P_Zero,0,IF(RAND()&lt;CondReturn,_xlfn.LOGNORM.INV(RAND(),MV2,Sigma1),IF(RAND()&lt;CondGood,_xlfn.LOGNORM.INV(RAND(),MV3,Sigma2),MIN(MaxMultiple,Xm/(1-RAND())^(1/Alpha)))))</f>
        <v>0</v>
      </c>
      <c r="X295" s="19">
        <f ca="1">IF(RAND()&lt;P_Zero,0,IF(RAND()&lt;CondReturn,_xlfn.LOGNORM.INV(RAND(),MV2,Sigma1),IF(RAND()&lt;CondGood,_xlfn.LOGNORM.INV(RAND(),MV3,Sigma2),MIN(MaxMultiple,Xm/(1-RAND())^(1/Alpha)))))</f>
        <v>0.76876665522797738</v>
      </c>
      <c r="Y295" s="19">
        <f ca="1">IF(RAND()&lt;P_Zero,0,IF(RAND()&lt;CondReturn,_xlfn.LOGNORM.INV(RAND(),MV2,Sigma1),IF(RAND()&lt;CondGood,_xlfn.LOGNORM.INV(RAND(),MV3,Sigma2),MIN(MaxMultiple,Xm/(1-RAND())^(1/Alpha)))))</f>
        <v>0</v>
      </c>
      <c r="Z295" s="19">
        <f ca="1">IF(RAND()&lt;P_Zero,0,IF(RAND()&lt;CondReturn,_xlfn.LOGNORM.INV(RAND(),MV2,Sigma1),IF(RAND()&lt;CondGood,_xlfn.LOGNORM.INV(RAND(),MV3,Sigma2),MIN(MaxMultiple,Xm/(1-RAND())^(1/Alpha)))))</f>
        <v>0</v>
      </c>
      <c r="AA295" s="19">
        <f ca="1">IF(RAND()&lt;P_Zero,0,IF(RAND()&lt;CondReturn,_xlfn.LOGNORM.INV(RAND(),MV2,Sigma1),IF(RAND()&lt;CondGood,_xlfn.LOGNORM.INV(RAND(),MV3,Sigma2),MIN(MaxMultiple,Xm/(1-RAND())^(1/Alpha)))))</f>
        <v>1.2922942456297357</v>
      </c>
      <c r="AB295" s="19">
        <f t="shared" ca="1" si="32"/>
        <v>10.213958280633477</v>
      </c>
      <c r="AC295" s="14">
        <f t="shared" ca="1" si="33"/>
        <v>490269997.47040689</v>
      </c>
      <c r="AD295" s="14">
        <f t="shared" ca="1" si="34"/>
        <v>442269997.47040689</v>
      </c>
      <c r="AE295" s="14">
        <f t="shared" si="35"/>
        <v>55628399.869093813</v>
      </c>
      <c r="AF295" s="14">
        <f t="shared" ca="1" si="36"/>
        <v>386641597.60131305</v>
      </c>
      <c r="AG295" s="14">
        <f t="shared" ca="1" si="37"/>
        <v>77328319.520262614</v>
      </c>
      <c r="AH295" s="14">
        <f t="shared" ca="1" si="38"/>
        <v>412941677.95014429</v>
      </c>
      <c r="AI295" s="19">
        <f t="shared" ca="1" si="39"/>
        <v>6.8823612991690712</v>
      </c>
    </row>
    <row r="296" spans="2:35" x14ac:dyDescent="0.2">
      <c r="B296" s="1">
        <v>291</v>
      </c>
      <c r="C296" s="19">
        <f ca="1">IF(RAND()&lt;P_Zero,0,IF(RAND()&lt;CondReturn,_xlfn.LOGNORM.INV(RAND(),MV2,Sigma1),IF(RAND()&lt;CondGood,_xlfn.LOGNORM.INV(RAND(),MV3,Sigma2),MIN(MaxMultiple,Xm/(1-RAND())^(1/Alpha)))))</f>
        <v>0</v>
      </c>
      <c r="D296" s="19">
        <f ca="1">IF(RAND()&lt;P_Zero,0,IF(RAND()&lt;CondReturn,_xlfn.LOGNORM.INV(RAND(),MV2,Sigma1),IF(RAND()&lt;CondGood,_xlfn.LOGNORM.INV(RAND(),MV3,Sigma2),MIN(MaxMultiple,Xm/(1-RAND())^(1/Alpha)))))</f>
        <v>1.0124851084284361</v>
      </c>
      <c r="E296" s="19">
        <f ca="1">IF(RAND()&lt;P_Zero,0,IF(RAND()&lt;CondReturn,_xlfn.LOGNORM.INV(RAND(),MV2,Sigma1),IF(RAND()&lt;CondGood,_xlfn.LOGNORM.INV(RAND(),MV3,Sigma2),MIN(MaxMultiple,Xm/(1-RAND())^(1/Alpha)))))</f>
        <v>0.91866148032921813</v>
      </c>
      <c r="F296" s="19">
        <f ca="1">IF(RAND()&lt;P_Zero,0,IF(RAND()&lt;CondReturn,_xlfn.LOGNORM.INV(RAND(),MV2,Sigma1),IF(RAND()&lt;CondGood,_xlfn.LOGNORM.INV(RAND(),MV3,Sigma2),MIN(MaxMultiple,Xm/(1-RAND())^(1/Alpha)))))</f>
        <v>1.3961297929076435</v>
      </c>
      <c r="G296" s="19">
        <f ca="1">IF(RAND()&lt;P_Zero,0,IF(RAND()&lt;CondReturn,_xlfn.LOGNORM.INV(RAND(),MV2,Sigma1),IF(RAND()&lt;CondGood,_xlfn.LOGNORM.INV(RAND(),MV3,Sigma2),MIN(MaxMultiple,Xm/(1-RAND())^(1/Alpha)))))</f>
        <v>0.95402106907700768</v>
      </c>
      <c r="H296" s="19">
        <f ca="1">IF(RAND()&lt;P_Zero,0,IF(RAND()&lt;CondReturn,_xlfn.LOGNORM.INV(RAND(),MV2,Sigma1),IF(RAND()&lt;CondGood,_xlfn.LOGNORM.INV(RAND(),MV3,Sigma2),MIN(MaxMultiple,Xm/(1-RAND())^(1/Alpha)))))</f>
        <v>0.91531196866292497</v>
      </c>
      <c r="I296" s="19">
        <f ca="1">IF(RAND()&lt;P_Zero,0,IF(RAND()&lt;CondReturn,_xlfn.LOGNORM.INV(RAND(),MV2,Sigma1),IF(RAND()&lt;CondGood,_xlfn.LOGNORM.INV(RAND(),MV3,Sigma2),MIN(MaxMultiple,Xm/(1-RAND())^(1/Alpha)))))</f>
        <v>1.329436049200744</v>
      </c>
      <c r="J296" s="19">
        <f ca="1">IF(RAND()&lt;P_Zero,0,IF(RAND()&lt;CondReturn,_xlfn.LOGNORM.INV(RAND(),MV2,Sigma1),IF(RAND()&lt;CondGood,_xlfn.LOGNORM.INV(RAND(),MV3,Sigma2),MIN(MaxMultiple,Xm/(1-RAND())^(1/Alpha)))))</f>
        <v>0</v>
      </c>
      <c r="K296" s="19">
        <f ca="1">IF(RAND()&lt;P_Zero,0,IF(RAND()&lt;CondReturn,_xlfn.LOGNORM.INV(RAND(),MV2,Sigma1),IF(RAND()&lt;CondGood,_xlfn.LOGNORM.INV(RAND(),MV3,Sigma2),MIN(MaxMultiple,Xm/(1-RAND())^(1/Alpha)))))</f>
        <v>0</v>
      </c>
      <c r="L296" s="19">
        <f ca="1">IF(RAND()&lt;P_Zero,0,IF(RAND()&lt;CondReturn,_xlfn.LOGNORM.INV(RAND(),MV2,Sigma1),IF(RAND()&lt;CondGood,_xlfn.LOGNORM.INV(RAND(),MV3,Sigma2),MIN(MaxMultiple,Xm/(1-RAND())^(1/Alpha)))))</f>
        <v>155.52783549902625</v>
      </c>
      <c r="M296" s="19">
        <f ca="1">IF(RAND()&lt;P_Zero,0,IF(RAND()&lt;CondReturn,_xlfn.LOGNORM.INV(RAND(),MV2,Sigma1),IF(RAND()&lt;CondGood,_xlfn.LOGNORM.INV(RAND(),MV3,Sigma2),MIN(MaxMultiple,Xm/(1-RAND())^(1/Alpha)))))</f>
        <v>0</v>
      </c>
      <c r="N296" s="19">
        <f ca="1">IF(RAND()&lt;P_Zero,0,IF(RAND()&lt;CondReturn,_xlfn.LOGNORM.INV(RAND(),MV2,Sigma1),IF(RAND()&lt;CondGood,_xlfn.LOGNORM.INV(RAND(),MV3,Sigma2),MIN(MaxMultiple,Xm/(1-RAND())^(1/Alpha)))))</f>
        <v>15.057118252590751</v>
      </c>
      <c r="O296" s="19">
        <f ca="1">IF(RAND()&lt;P_Zero,0,IF(RAND()&lt;CondReturn,_xlfn.LOGNORM.INV(RAND(),MV2,Sigma1),IF(RAND()&lt;CondGood,_xlfn.LOGNORM.INV(RAND(),MV3,Sigma2),MIN(MaxMultiple,Xm/(1-RAND())^(1/Alpha)))))</f>
        <v>0.34607747376744141</v>
      </c>
      <c r="P296" s="19">
        <f ca="1">IF(RAND()&lt;P_Zero,0,IF(RAND()&lt;CondReturn,_xlfn.LOGNORM.INV(RAND(),MV2,Sigma1),IF(RAND()&lt;CondGood,_xlfn.LOGNORM.INV(RAND(),MV3,Sigma2),MIN(MaxMultiple,Xm/(1-RAND())^(1/Alpha)))))</f>
        <v>2.0671842911577487</v>
      </c>
      <c r="Q296" s="19">
        <f ca="1">IF(RAND()&lt;P_Zero,0,IF(RAND()&lt;CondReturn,_xlfn.LOGNORM.INV(RAND(),MV2,Sigma1),IF(RAND()&lt;CondGood,_xlfn.LOGNORM.INV(RAND(),MV3,Sigma2),MIN(MaxMultiple,Xm/(1-RAND())^(1/Alpha)))))</f>
        <v>0</v>
      </c>
      <c r="R296" s="19">
        <f ca="1">IF(RAND()&lt;P_Zero,0,IF(RAND()&lt;CondReturn,_xlfn.LOGNORM.INV(RAND(),MV2,Sigma1),IF(RAND()&lt;CondGood,_xlfn.LOGNORM.INV(RAND(),MV3,Sigma2),MIN(MaxMultiple,Xm/(1-RAND())^(1/Alpha)))))</f>
        <v>0</v>
      </c>
      <c r="S296" s="19">
        <f ca="1">IF(RAND()&lt;P_Zero,0,IF(RAND()&lt;CondReturn,_xlfn.LOGNORM.INV(RAND(),MV2,Sigma1),IF(RAND()&lt;CondGood,_xlfn.LOGNORM.INV(RAND(),MV3,Sigma2),MIN(MaxMultiple,Xm/(1-RAND())^(1/Alpha)))))</f>
        <v>0</v>
      </c>
      <c r="T296" s="19">
        <f ca="1">IF(RAND()&lt;P_Zero,0,IF(RAND()&lt;CondReturn,_xlfn.LOGNORM.INV(RAND(),MV2,Sigma1),IF(RAND()&lt;CondGood,_xlfn.LOGNORM.INV(RAND(),MV3,Sigma2),MIN(MaxMultiple,Xm/(1-RAND())^(1/Alpha)))))</f>
        <v>0</v>
      </c>
      <c r="U296" s="19">
        <f ca="1">IF(RAND()&lt;P_Zero,0,IF(RAND()&lt;CondReturn,_xlfn.LOGNORM.INV(RAND(),MV2,Sigma1),IF(RAND()&lt;CondGood,_xlfn.LOGNORM.INV(RAND(),MV3,Sigma2),MIN(MaxMultiple,Xm/(1-RAND())^(1/Alpha)))))</f>
        <v>0.84634255568859418</v>
      </c>
      <c r="V296" s="19">
        <f ca="1">IF(RAND()&lt;P_Zero,0,IF(RAND()&lt;CondReturn,_xlfn.LOGNORM.INV(RAND(),MV2,Sigma1),IF(RAND()&lt;CondGood,_xlfn.LOGNORM.INV(RAND(),MV3,Sigma2),MIN(MaxMultiple,Xm/(1-RAND())^(1/Alpha)))))</f>
        <v>0.9883870579805929</v>
      </c>
      <c r="W296" s="19">
        <f ca="1">IF(RAND()&lt;P_Zero,0,IF(RAND()&lt;CondReturn,_xlfn.LOGNORM.INV(RAND(),MV2,Sigma1),IF(RAND()&lt;CondGood,_xlfn.LOGNORM.INV(RAND(),MV3,Sigma2),MIN(MaxMultiple,Xm/(1-RAND())^(1/Alpha)))))</f>
        <v>11.05978528100187</v>
      </c>
      <c r="X296" s="19">
        <f ca="1">IF(RAND()&lt;P_Zero,0,IF(RAND()&lt;CondReturn,_xlfn.LOGNORM.INV(RAND(),MV2,Sigma1),IF(RAND()&lt;CondGood,_xlfn.LOGNORM.INV(RAND(),MV3,Sigma2),MIN(MaxMultiple,Xm/(1-RAND())^(1/Alpha)))))</f>
        <v>1.5225584831356822</v>
      </c>
      <c r="Y296" s="19">
        <f ca="1">IF(RAND()&lt;P_Zero,0,IF(RAND()&lt;CondReturn,_xlfn.LOGNORM.INV(RAND(),MV2,Sigma1),IF(RAND()&lt;CondGood,_xlfn.LOGNORM.INV(RAND(),MV3,Sigma2),MIN(MaxMultiple,Xm/(1-RAND())^(1/Alpha)))))</f>
        <v>0.53196217115446398</v>
      </c>
      <c r="Z296" s="19">
        <f ca="1">IF(RAND()&lt;P_Zero,0,IF(RAND()&lt;CondReturn,_xlfn.LOGNORM.INV(RAND(),MV2,Sigma1),IF(RAND()&lt;CondGood,_xlfn.LOGNORM.INV(RAND(),MV3,Sigma2),MIN(MaxMultiple,Xm/(1-RAND())^(1/Alpha)))))</f>
        <v>2.5124486981413536</v>
      </c>
      <c r="AA296" s="19">
        <f ca="1">IF(RAND()&lt;P_Zero,0,IF(RAND()&lt;CondReturn,_xlfn.LOGNORM.INV(RAND(),MV2,Sigma1),IF(RAND()&lt;CondGood,_xlfn.LOGNORM.INV(RAND(),MV3,Sigma2),MIN(MaxMultiple,Xm/(1-RAND())^(1/Alpha)))))</f>
        <v>1.4944022505022685</v>
      </c>
      <c r="AB296" s="19">
        <f t="shared" ca="1" si="32"/>
        <v>7.9392058993101218</v>
      </c>
      <c r="AC296" s="14">
        <f t="shared" ca="1" si="33"/>
        <v>381081883.16688585</v>
      </c>
      <c r="AD296" s="14">
        <f t="shared" ca="1" si="34"/>
        <v>333081883.16688585</v>
      </c>
      <c r="AE296" s="14">
        <f t="shared" si="35"/>
        <v>55628399.869093813</v>
      </c>
      <c r="AF296" s="14">
        <f t="shared" ca="1" si="36"/>
        <v>277453483.29779202</v>
      </c>
      <c r="AG296" s="14">
        <f t="shared" ca="1" si="37"/>
        <v>55490696.659558408</v>
      </c>
      <c r="AH296" s="14">
        <f t="shared" ca="1" si="38"/>
        <v>325591186.50732744</v>
      </c>
      <c r="AI296" s="19">
        <f t="shared" ca="1" si="39"/>
        <v>5.4265197751221237</v>
      </c>
    </row>
    <row r="297" spans="2:35" x14ac:dyDescent="0.2">
      <c r="B297" s="1">
        <v>292</v>
      </c>
      <c r="C297" s="19">
        <f ca="1">IF(RAND()&lt;P_Zero,0,IF(RAND()&lt;CondReturn,_xlfn.LOGNORM.INV(RAND(),MV2,Sigma1),IF(RAND()&lt;CondGood,_xlfn.LOGNORM.INV(RAND(),MV3,Sigma2),MIN(MaxMultiple,Xm/(1-RAND())^(1/Alpha)))))</f>
        <v>0.83263366422225482</v>
      </c>
      <c r="D297" s="19">
        <f ca="1">IF(RAND()&lt;P_Zero,0,IF(RAND()&lt;CondReturn,_xlfn.LOGNORM.INV(RAND(),MV2,Sigma1),IF(RAND()&lt;CondGood,_xlfn.LOGNORM.INV(RAND(),MV3,Sigma2),MIN(MaxMultiple,Xm/(1-RAND())^(1/Alpha)))))</f>
        <v>0</v>
      </c>
      <c r="E297" s="19">
        <f ca="1">IF(RAND()&lt;P_Zero,0,IF(RAND()&lt;CondReturn,_xlfn.LOGNORM.INV(RAND(),MV2,Sigma1),IF(RAND()&lt;CondGood,_xlfn.LOGNORM.INV(RAND(),MV3,Sigma2),MIN(MaxMultiple,Xm/(1-RAND())^(1/Alpha)))))</f>
        <v>0</v>
      </c>
      <c r="F297" s="19">
        <f ca="1">IF(RAND()&lt;P_Zero,0,IF(RAND()&lt;CondReturn,_xlfn.LOGNORM.INV(RAND(),MV2,Sigma1),IF(RAND()&lt;CondGood,_xlfn.LOGNORM.INV(RAND(),MV3,Sigma2),MIN(MaxMultiple,Xm/(1-RAND())^(1/Alpha)))))</f>
        <v>0</v>
      </c>
      <c r="G297" s="19">
        <f ca="1">IF(RAND()&lt;P_Zero,0,IF(RAND()&lt;CondReturn,_xlfn.LOGNORM.INV(RAND(),MV2,Sigma1),IF(RAND()&lt;CondGood,_xlfn.LOGNORM.INV(RAND(),MV3,Sigma2),MIN(MaxMultiple,Xm/(1-RAND())^(1/Alpha)))))</f>
        <v>0</v>
      </c>
      <c r="H297" s="19">
        <f ca="1">IF(RAND()&lt;P_Zero,0,IF(RAND()&lt;CondReturn,_xlfn.LOGNORM.INV(RAND(),MV2,Sigma1),IF(RAND()&lt;CondGood,_xlfn.LOGNORM.INV(RAND(),MV3,Sigma2),MIN(MaxMultiple,Xm/(1-RAND())^(1/Alpha)))))</f>
        <v>3.1948433578964854</v>
      </c>
      <c r="I297" s="19">
        <f ca="1">IF(RAND()&lt;P_Zero,0,IF(RAND()&lt;CondReturn,_xlfn.LOGNORM.INV(RAND(),MV2,Sigma1),IF(RAND()&lt;CondGood,_xlfn.LOGNORM.INV(RAND(),MV3,Sigma2),MIN(MaxMultiple,Xm/(1-RAND())^(1/Alpha)))))</f>
        <v>0</v>
      </c>
      <c r="J297" s="19">
        <f ca="1">IF(RAND()&lt;P_Zero,0,IF(RAND()&lt;CondReturn,_xlfn.LOGNORM.INV(RAND(),MV2,Sigma1),IF(RAND()&lt;CondGood,_xlfn.LOGNORM.INV(RAND(),MV3,Sigma2),MIN(MaxMultiple,Xm/(1-RAND())^(1/Alpha)))))</f>
        <v>93.92268069200972</v>
      </c>
      <c r="K297" s="19">
        <f ca="1">IF(RAND()&lt;P_Zero,0,IF(RAND()&lt;CondReturn,_xlfn.LOGNORM.INV(RAND(),MV2,Sigma1),IF(RAND()&lt;CondGood,_xlfn.LOGNORM.INV(RAND(),MV3,Sigma2),MIN(MaxMultiple,Xm/(1-RAND())^(1/Alpha)))))</f>
        <v>0</v>
      </c>
      <c r="L297" s="19">
        <f ca="1">IF(RAND()&lt;P_Zero,0,IF(RAND()&lt;CondReturn,_xlfn.LOGNORM.INV(RAND(),MV2,Sigma1),IF(RAND()&lt;CondGood,_xlfn.LOGNORM.INV(RAND(),MV3,Sigma2),MIN(MaxMultiple,Xm/(1-RAND())^(1/Alpha)))))</f>
        <v>1.9079081065019929</v>
      </c>
      <c r="M297" s="19">
        <f ca="1">IF(RAND()&lt;P_Zero,0,IF(RAND()&lt;CondReturn,_xlfn.LOGNORM.INV(RAND(),MV2,Sigma1),IF(RAND()&lt;CondGood,_xlfn.LOGNORM.INV(RAND(),MV3,Sigma2),MIN(MaxMultiple,Xm/(1-RAND())^(1/Alpha)))))</f>
        <v>0</v>
      </c>
      <c r="N297" s="19">
        <f ca="1">IF(RAND()&lt;P_Zero,0,IF(RAND()&lt;CondReturn,_xlfn.LOGNORM.INV(RAND(),MV2,Sigma1),IF(RAND()&lt;CondGood,_xlfn.LOGNORM.INV(RAND(),MV3,Sigma2),MIN(MaxMultiple,Xm/(1-RAND())^(1/Alpha)))))</f>
        <v>0</v>
      </c>
      <c r="O297" s="19">
        <f ca="1">IF(RAND()&lt;P_Zero,0,IF(RAND()&lt;CondReturn,_xlfn.LOGNORM.INV(RAND(),MV2,Sigma1),IF(RAND()&lt;CondGood,_xlfn.LOGNORM.INV(RAND(),MV3,Sigma2),MIN(MaxMultiple,Xm/(1-RAND())^(1/Alpha)))))</f>
        <v>1.0286061370725113</v>
      </c>
      <c r="P297" s="19">
        <f ca="1">IF(RAND()&lt;P_Zero,0,IF(RAND()&lt;CondReturn,_xlfn.LOGNORM.INV(RAND(),MV2,Sigma1),IF(RAND()&lt;CondGood,_xlfn.LOGNORM.INV(RAND(),MV3,Sigma2),MIN(MaxMultiple,Xm/(1-RAND())^(1/Alpha)))))</f>
        <v>0</v>
      </c>
      <c r="Q297" s="19">
        <f ca="1">IF(RAND()&lt;P_Zero,0,IF(RAND()&lt;CondReturn,_xlfn.LOGNORM.INV(RAND(),MV2,Sigma1),IF(RAND()&lt;CondGood,_xlfn.LOGNORM.INV(RAND(),MV3,Sigma2),MIN(MaxMultiple,Xm/(1-RAND())^(1/Alpha)))))</f>
        <v>0</v>
      </c>
      <c r="R297" s="19">
        <f ca="1">IF(RAND()&lt;P_Zero,0,IF(RAND()&lt;CondReturn,_xlfn.LOGNORM.INV(RAND(),MV2,Sigma1),IF(RAND()&lt;CondGood,_xlfn.LOGNORM.INV(RAND(),MV3,Sigma2),MIN(MaxMultiple,Xm/(1-RAND())^(1/Alpha)))))</f>
        <v>300</v>
      </c>
      <c r="S297" s="19">
        <f ca="1">IF(RAND()&lt;P_Zero,0,IF(RAND()&lt;CondReturn,_xlfn.LOGNORM.INV(RAND(),MV2,Sigma1),IF(RAND()&lt;CondGood,_xlfn.LOGNORM.INV(RAND(),MV3,Sigma2),MIN(MaxMultiple,Xm/(1-RAND())^(1/Alpha)))))</f>
        <v>0</v>
      </c>
      <c r="T297" s="19">
        <f ca="1">IF(RAND()&lt;P_Zero,0,IF(RAND()&lt;CondReturn,_xlfn.LOGNORM.INV(RAND(),MV2,Sigma1),IF(RAND()&lt;CondGood,_xlfn.LOGNORM.INV(RAND(),MV3,Sigma2),MIN(MaxMultiple,Xm/(1-RAND())^(1/Alpha)))))</f>
        <v>3.0364921190003131</v>
      </c>
      <c r="U297" s="19">
        <f ca="1">IF(RAND()&lt;P_Zero,0,IF(RAND()&lt;CondReturn,_xlfn.LOGNORM.INV(RAND(),MV2,Sigma1),IF(RAND()&lt;CondGood,_xlfn.LOGNORM.INV(RAND(),MV3,Sigma2),MIN(MaxMultiple,Xm/(1-RAND())^(1/Alpha)))))</f>
        <v>0.77544703869141396</v>
      </c>
      <c r="V297" s="19">
        <f ca="1">IF(RAND()&lt;P_Zero,0,IF(RAND()&lt;CondReturn,_xlfn.LOGNORM.INV(RAND(),MV2,Sigma1),IF(RAND()&lt;CondGood,_xlfn.LOGNORM.INV(RAND(),MV3,Sigma2),MIN(MaxMultiple,Xm/(1-RAND())^(1/Alpha)))))</f>
        <v>37.91534483518938</v>
      </c>
      <c r="W297" s="19">
        <f ca="1">IF(RAND()&lt;P_Zero,0,IF(RAND()&lt;CondReturn,_xlfn.LOGNORM.INV(RAND(),MV2,Sigma1),IF(RAND()&lt;CondGood,_xlfn.LOGNORM.INV(RAND(),MV3,Sigma2),MIN(MaxMultiple,Xm/(1-RAND())^(1/Alpha)))))</f>
        <v>0</v>
      </c>
      <c r="X297" s="19">
        <f ca="1">IF(RAND()&lt;P_Zero,0,IF(RAND()&lt;CondReturn,_xlfn.LOGNORM.INV(RAND(),MV2,Sigma1),IF(RAND()&lt;CondGood,_xlfn.LOGNORM.INV(RAND(),MV3,Sigma2),MIN(MaxMultiple,Xm/(1-RAND())^(1/Alpha)))))</f>
        <v>0</v>
      </c>
      <c r="Y297" s="19">
        <f ca="1">IF(RAND()&lt;P_Zero,0,IF(RAND()&lt;CondReturn,_xlfn.LOGNORM.INV(RAND(),MV2,Sigma1),IF(RAND()&lt;CondGood,_xlfn.LOGNORM.INV(RAND(),MV3,Sigma2),MIN(MaxMultiple,Xm/(1-RAND())^(1/Alpha)))))</f>
        <v>14.877767727370385</v>
      </c>
      <c r="Z297" s="19">
        <f ca="1">IF(RAND()&lt;P_Zero,0,IF(RAND()&lt;CondReturn,_xlfn.LOGNORM.INV(RAND(),MV2,Sigma1),IF(RAND()&lt;CondGood,_xlfn.LOGNORM.INV(RAND(),MV3,Sigma2),MIN(MaxMultiple,Xm/(1-RAND())^(1/Alpha)))))</f>
        <v>0</v>
      </c>
      <c r="AA297" s="19">
        <f ca="1">IF(RAND()&lt;P_Zero,0,IF(RAND()&lt;CondReturn,_xlfn.LOGNORM.INV(RAND(),MV2,Sigma1),IF(RAND()&lt;CondGood,_xlfn.LOGNORM.INV(RAND(),MV3,Sigma2),MIN(MaxMultiple,Xm/(1-RAND())^(1/Alpha)))))</f>
        <v>0.46811066398137541</v>
      </c>
      <c r="AB297" s="19">
        <f t="shared" ca="1" si="32"/>
        <v>18.318393373677431</v>
      </c>
      <c r="AC297" s="14">
        <f t="shared" ca="1" si="33"/>
        <v>879282881.93651664</v>
      </c>
      <c r="AD297" s="14">
        <f t="shared" ca="1" si="34"/>
        <v>831282881.93651664</v>
      </c>
      <c r="AE297" s="14">
        <f t="shared" si="35"/>
        <v>55628399.869093813</v>
      </c>
      <c r="AF297" s="14">
        <f t="shared" ca="1" si="36"/>
        <v>775654482.06742287</v>
      </c>
      <c r="AG297" s="14">
        <f t="shared" ca="1" si="37"/>
        <v>155130896.41348457</v>
      </c>
      <c r="AH297" s="14">
        <f t="shared" ca="1" si="38"/>
        <v>724151985.52303207</v>
      </c>
      <c r="AI297" s="19">
        <f t="shared" ca="1" si="39"/>
        <v>12.0691997587172</v>
      </c>
    </row>
    <row r="298" spans="2:35" x14ac:dyDescent="0.2">
      <c r="B298" s="1">
        <v>293</v>
      </c>
      <c r="C298" s="19">
        <f ca="1">IF(RAND()&lt;P_Zero,0,IF(RAND()&lt;CondReturn,_xlfn.LOGNORM.INV(RAND(),MV2,Sigma1),IF(RAND()&lt;CondGood,_xlfn.LOGNORM.INV(RAND(),MV3,Sigma2),MIN(MaxMultiple,Xm/(1-RAND())^(1/Alpha)))))</f>
        <v>0.86762015611051146</v>
      </c>
      <c r="D298" s="19">
        <f ca="1">IF(RAND()&lt;P_Zero,0,IF(RAND()&lt;CondReturn,_xlfn.LOGNORM.INV(RAND(),MV2,Sigma1),IF(RAND()&lt;CondGood,_xlfn.LOGNORM.INV(RAND(),MV3,Sigma2),MIN(MaxMultiple,Xm/(1-RAND())^(1/Alpha)))))</f>
        <v>0.62759135006590094</v>
      </c>
      <c r="E298" s="19">
        <f ca="1">IF(RAND()&lt;P_Zero,0,IF(RAND()&lt;CondReturn,_xlfn.LOGNORM.INV(RAND(),MV2,Sigma1),IF(RAND()&lt;CondGood,_xlfn.LOGNORM.INV(RAND(),MV3,Sigma2),MIN(MaxMultiple,Xm/(1-RAND())^(1/Alpha)))))</f>
        <v>0.61463483276016662</v>
      </c>
      <c r="F298" s="19">
        <f ca="1">IF(RAND()&lt;P_Zero,0,IF(RAND()&lt;CondReturn,_xlfn.LOGNORM.INV(RAND(),MV2,Sigma1),IF(RAND()&lt;CondGood,_xlfn.LOGNORM.INV(RAND(),MV3,Sigma2),MIN(MaxMultiple,Xm/(1-RAND())^(1/Alpha)))))</f>
        <v>0</v>
      </c>
      <c r="G298" s="19">
        <f ca="1">IF(RAND()&lt;P_Zero,0,IF(RAND()&lt;CondReturn,_xlfn.LOGNORM.INV(RAND(),MV2,Sigma1),IF(RAND()&lt;CondGood,_xlfn.LOGNORM.INV(RAND(),MV3,Sigma2),MIN(MaxMultiple,Xm/(1-RAND())^(1/Alpha)))))</f>
        <v>11.967107765383584</v>
      </c>
      <c r="H298" s="19">
        <f ca="1">IF(RAND()&lt;P_Zero,0,IF(RAND()&lt;CondReturn,_xlfn.LOGNORM.INV(RAND(),MV2,Sigma1),IF(RAND()&lt;CondGood,_xlfn.LOGNORM.INV(RAND(),MV3,Sigma2),MIN(MaxMultiple,Xm/(1-RAND())^(1/Alpha)))))</f>
        <v>1.3208456941402351</v>
      </c>
      <c r="I298" s="19">
        <f ca="1">IF(RAND()&lt;P_Zero,0,IF(RAND()&lt;CondReturn,_xlfn.LOGNORM.INV(RAND(),MV2,Sigma1),IF(RAND()&lt;CondGood,_xlfn.LOGNORM.INV(RAND(),MV3,Sigma2),MIN(MaxMultiple,Xm/(1-RAND())^(1/Alpha)))))</f>
        <v>0.85718788555201952</v>
      </c>
      <c r="J298" s="19">
        <f ca="1">IF(RAND()&lt;P_Zero,0,IF(RAND()&lt;CondReturn,_xlfn.LOGNORM.INV(RAND(),MV2,Sigma1),IF(RAND()&lt;CondGood,_xlfn.LOGNORM.INV(RAND(),MV3,Sigma2),MIN(MaxMultiple,Xm/(1-RAND())^(1/Alpha)))))</f>
        <v>0</v>
      </c>
      <c r="K298" s="19">
        <f ca="1">IF(RAND()&lt;P_Zero,0,IF(RAND()&lt;CondReturn,_xlfn.LOGNORM.INV(RAND(),MV2,Sigma1),IF(RAND()&lt;CondGood,_xlfn.LOGNORM.INV(RAND(),MV3,Sigma2),MIN(MaxMultiple,Xm/(1-RAND())^(1/Alpha)))))</f>
        <v>0.38632768817540036</v>
      </c>
      <c r="L298" s="19">
        <f ca="1">IF(RAND()&lt;P_Zero,0,IF(RAND()&lt;CondReturn,_xlfn.LOGNORM.INV(RAND(),MV2,Sigma1),IF(RAND()&lt;CondGood,_xlfn.LOGNORM.INV(RAND(),MV3,Sigma2),MIN(MaxMultiple,Xm/(1-RAND())^(1/Alpha)))))</f>
        <v>1.4568846476060291</v>
      </c>
      <c r="M298" s="19">
        <f ca="1">IF(RAND()&lt;P_Zero,0,IF(RAND()&lt;CondReturn,_xlfn.LOGNORM.INV(RAND(),MV2,Sigma1),IF(RAND()&lt;CondGood,_xlfn.LOGNORM.INV(RAND(),MV3,Sigma2),MIN(MaxMultiple,Xm/(1-RAND())^(1/Alpha)))))</f>
        <v>1.1620824408359198</v>
      </c>
      <c r="N298" s="19">
        <f ca="1">IF(RAND()&lt;P_Zero,0,IF(RAND()&lt;CondReturn,_xlfn.LOGNORM.INV(RAND(),MV2,Sigma1),IF(RAND()&lt;CondGood,_xlfn.LOGNORM.INV(RAND(),MV3,Sigma2),MIN(MaxMultiple,Xm/(1-RAND())^(1/Alpha)))))</f>
        <v>1.4657209700535128</v>
      </c>
      <c r="O298" s="19">
        <f ca="1">IF(RAND()&lt;P_Zero,0,IF(RAND()&lt;CondReturn,_xlfn.LOGNORM.INV(RAND(),MV2,Sigma1),IF(RAND()&lt;CondGood,_xlfn.LOGNORM.INV(RAND(),MV3,Sigma2),MIN(MaxMultiple,Xm/(1-RAND())^(1/Alpha)))))</f>
        <v>1.9514974775912353</v>
      </c>
      <c r="P298" s="19">
        <f ca="1">IF(RAND()&lt;P_Zero,0,IF(RAND()&lt;CondReturn,_xlfn.LOGNORM.INV(RAND(),MV2,Sigma1),IF(RAND()&lt;CondGood,_xlfn.LOGNORM.INV(RAND(),MV3,Sigma2),MIN(MaxMultiple,Xm/(1-RAND())^(1/Alpha)))))</f>
        <v>0.90852084785724518</v>
      </c>
      <c r="Q298" s="19">
        <f ca="1">IF(RAND()&lt;P_Zero,0,IF(RAND()&lt;CondReturn,_xlfn.LOGNORM.INV(RAND(),MV2,Sigma1),IF(RAND()&lt;CondGood,_xlfn.LOGNORM.INV(RAND(),MV3,Sigma2),MIN(MaxMultiple,Xm/(1-RAND())^(1/Alpha)))))</f>
        <v>12.095315841938294</v>
      </c>
      <c r="R298" s="19">
        <f ca="1">IF(RAND()&lt;P_Zero,0,IF(RAND()&lt;CondReturn,_xlfn.LOGNORM.INV(RAND(),MV2,Sigma1),IF(RAND()&lt;CondGood,_xlfn.LOGNORM.INV(RAND(),MV3,Sigma2),MIN(MaxMultiple,Xm/(1-RAND())^(1/Alpha)))))</f>
        <v>1.0030823008677672</v>
      </c>
      <c r="S298" s="19">
        <f ca="1">IF(RAND()&lt;P_Zero,0,IF(RAND()&lt;CondReturn,_xlfn.LOGNORM.INV(RAND(),MV2,Sigma1),IF(RAND()&lt;CondGood,_xlfn.LOGNORM.INV(RAND(),MV3,Sigma2),MIN(MaxMultiple,Xm/(1-RAND())^(1/Alpha)))))</f>
        <v>0.82238771751114059</v>
      </c>
      <c r="T298" s="19">
        <f ca="1">IF(RAND()&lt;P_Zero,0,IF(RAND()&lt;CondReturn,_xlfn.LOGNORM.INV(RAND(),MV2,Sigma1),IF(RAND()&lt;CondGood,_xlfn.LOGNORM.INV(RAND(),MV3,Sigma2),MIN(MaxMultiple,Xm/(1-RAND())^(1/Alpha)))))</f>
        <v>1.1511567560110627</v>
      </c>
      <c r="U298" s="19">
        <f ca="1">IF(RAND()&lt;P_Zero,0,IF(RAND()&lt;CondReturn,_xlfn.LOGNORM.INV(RAND(),MV2,Sigma1),IF(RAND()&lt;CondGood,_xlfn.LOGNORM.INV(RAND(),MV3,Sigma2),MIN(MaxMultiple,Xm/(1-RAND())^(1/Alpha)))))</f>
        <v>22.926794178957987</v>
      </c>
      <c r="V298" s="19">
        <f ca="1">IF(RAND()&lt;P_Zero,0,IF(RAND()&lt;CondReturn,_xlfn.LOGNORM.INV(RAND(),MV2,Sigma1),IF(RAND()&lt;CondGood,_xlfn.LOGNORM.INV(RAND(),MV3,Sigma2),MIN(MaxMultiple,Xm/(1-RAND())^(1/Alpha)))))</f>
        <v>0.80019580189507078</v>
      </c>
      <c r="W298" s="19">
        <f ca="1">IF(RAND()&lt;P_Zero,0,IF(RAND()&lt;CondReturn,_xlfn.LOGNORM.INV(RAND(),MV2,Sigma1),IF(RAND()&lt;CondGood,_xlfn.LOGNORM.INV(RAND(),MV3,Sigma2),MIN(MaxMultiple,Xm/(1-RAND())^(1/Alpha)))))</f>
        <v>1.3462663654094031</v>
      </c>
      <c r="X298" s="19">
        <f ca="1">IF(RAND()&lt;P_Zero,0,IF(RAND()&lt;CondReturn,_xlfn.LOGNORM.INV(RAND(),MV2,Sigma1),IF(RAND()&lt;CondGood,_xlfn.LOGNORM.INV(RAND(),MV3,Sigma2),MIN(MaxMultiple,Xm/(1-RAND())^(1/Alpha)))))</f>
        <v>0</v>
      </c>
      <c r="Y298" s="19">
        <f ca="1">IF(RAND()&lt;P_Zero,0,IF(RAND()&lt;CondReturn,_xlfn.LOGNORM.INV(RAND(),MV2,Sigma1),IF(RAND()&lt;CondGood,_xlfn.LOGNORM.INV(RAND(),MV3,Sigma2),MIN(MaxMultiple,Xm/(1-RAND())^(1/Alpha)))))</f>
        <v>0</v>
      </c>
      <c r="Z298" s="19">
        <f ca="1">IF(RAND()&lt;P_Zero,0,IF(RAND()&lt;CondReturn,_xlfn.LOGNORM.INV(RAND(),MV2,Sigma1),IF(RAND()&lt;CondGood,_xlfn.LOGNORM.INV(RAND(),MV3,Sigma2),MIN(MaxMultiple,Xm/(1-RAND())^(1/Alpha)))))</f>
        <v>0</v>
      </c>
      <c r="AA298" s="19">
        <f ca="1">IF(RAND()&lt;P_Zero,0,IF(RAND()&lt;CondReturn,_xlfn.LOGNORM.INV(RAND(),MV2,Sigma1),IF(RAND()&lt;CondGood,_xlfn.LOGNORM.INV(RAND(),MV3,Sigma2),MIN(MaxMultiple,Xm/(1-RAND())^(1/Alpha)))))</f>
        <v>0</v>
      </c>
      <c r="AB298" s="19">
        <f t="shared" ca="1" si="32"/>
        <v>2.5492488287488997</v>
      </c>
      <c r="AC298" s="14">
        <f t="shared" ca="1" si="33"/>
        <v>122363943.77994719</v>
      </c>
      <c r="AD298" s="14">
        <f t="shared" ca="1" si="34"/>
        <v>74363943.779947191</v>
      </c>
      <c r="AE298" s="14">
        <f t="shared" si="35"/>
        <v>55628399.869093813</v>
      </c>
      <c r="AF298" s="14">
        <f t="shared" ca="1" si="36"/>
        <v>18735543.910853378</v>
      </c>
      <c r="AG298" s="14">
        <f t="shared" ca="1" si="37"/>
        <v>3747108.7821706757</v>
      </c>
      <c r="AH298" s="14">
        <f t="shared" ca="1" si="38"/>
        <v>118616834.99777651</v>
      </c>
      <c r="AI298" s="19">
        <f t="shared" ca="1" si="39"/>
        <v>1.9769472499629419</v>
      </c>
    </row>
    <row r="299" spans="2:35" x14ac:dyDescent="0.2">
      <c r="B299" s="1">
        <v>294</v>
      </c>
      <c r="C299" s="19">
        <f ca="1">IF(RAND()&lt;P_Zero,0,IF(RAND()&lt;CondReturn,_xlfn.LOGNORM.INV(RAND(),MV2,Sigma1),IF(RAND()&lt;CondGood,_xlfn.LOGNORM.INV(RAND(),MV3,Sigma2),MIN(MaxMultiple,Xm/(1-RAND())^(1/Alpha)))))</f>
        <v>0.64496545164252173</v>
      </c>
      <c r="D299" s="19">
        <f ca="1">IF(RAND()&lt;P_Zero,0,IF(RAND()&lt;CondReturn,_xlfn.LOGNORM.INV(RAND(),MV2,Sigma1),IF(RAND()&lt;CondGood,_xlfn.LOGNORM.INV(RAND(),MV3,Sigma2),MIN(MaxMultiple,Xm/(1-RAND())^(1/Alpha)))))</f>
        <v>1.2000026905944006</v>
      </c>
      <c r="E299" s="19">
        <f ca="1">IF(RAND()&lt;P_Zero,0,IF(RAND()&lt;CondReturn,_xlfn.LOGNORM.INV(RAND(),MV2,Sigma1),IF(RAND()&lt;CondGood,_xlfn.LOGNORM.INV(RAND(),MV3,Sigma2),MIN(MaxMultiple,Xm/(1-RAND())^(1/Alpha)))))</f>
        <v>0.97600270444088044</v>
      </c>
      <c r="F299" s="19">
        <f ca="1">IF(RAND()&lt;P_Zero,0,IF(RAND()&lt;CondReturn,_xlfn.LOGNORM.INV(RAND(),MV2,Sigma1),IF(RAND()&lt;CondGood,_xlfn.LOGNORM.INV(RAND(),MV3,Sigma2),MIN(MaxMultiple,Xm/(1-RAND())^(1/Alpha)))))</f>
        <v>0.53692625778842573</v>
      </c>
      <c r="G299" s="19">
        <f ca="1">IF(RAND()&lt;P_Zero,0,IF(RAND()&lt;CondReturn,_xlfn.LOGNORM.INV(RAND(),MV2,Sigma1),IF(RAND()&lt;CondGood,_xlfn.LOGNORM.INV(RAND(),MV3,Sigma2),MIN(MaxMultiple,Xm/(1-RAND())^(1/Alpha)))))</f>
        <v>0</v>
      </c>
      <c r="H299" s="19">
        <f ca="1">IF(RAND()&lt;P_Zero,0,IF(RAND()&lt;CondReturn,_xlfn.LOGNORM.INV(RAND(),MV2,Sigma1),IF(RAND()&lt;CondGood,_xlfn.LOGNORM.INV(RAND(),MV3,Sigma2),MIN(MaxMultiple,Xm/(1-RAND())^(1/Alpha)))))</f>
        <v>0.88659680666855056</v>
      </c>
      <c r="I299" s="19">
        <f ca="1">IF(RAND()&lt;P_Zero,0,IF(RAND()&lt;CondReturn,_xlfn.LOGNORM.INV(RAND(),MV2,Sigma1),IF(RAND()&lt;CondGood,_xlfn.LOGNORM.INV(RAND(),MV3,Sigma2),MIN(MaxMultiple,Xm/(1-RAND())^(1/Alpha)))))</f>
        <v>1.1551156775888929</v>
      </c>
      <c r="J299" s="19">
        <f ca="1">IF(RAND()&lt;P_Zero,0,IF(RAND()&lt;CondReturn,_xlfn.LOGNORM.INV(RAND(),MV2,Sigma1),IF(RAND()&lt;CondGood,_xlfn.LOGNORM.INV(RAND(),MV3,Sigma2),MIN(MaxMultiple,Xm/(1-RAND())^(1/Alpha)))))</f>
        <v>0</v>
      </c>
      <c r="K299" s="19">
        <f ca="1">IF(RAND()&lt;P_Zero,0,IF(RAND()&lt;CondReturn,_xlfn.LOGNORM.INV(RAND(),MV2,Sigma1),IF(RAND()&lt;CondGood,_xlfn.LOGNORM.INV(RAND(),MV3,Sigma2),MIN(MaxMultiple,Xm/(1-RAND())^(1/Alpha)))))</f>
        <v>0</v>
      </c>
      <c r="L299" s="19">
        <f ca="1">IF(RAND()&lt;P_Zero,0,IF(RAND()&lt;CondReturn,_xlfn.LOGNORM.INV(RAND(),MV2,Sigma1),IF(RAND()&lt;CondGood,_xlfn.LOGNORM.INV(RAND(),MV3,Sigma2),MIN(MaxMultiple,Xm/(1-RAND())^(1/Alpha)))))</f>
        <v>0</v>
      </c>
      <c r="M299" s="19">
        <f ca="1">IF(RAND()&lt;P_Zero,0,IF(RAND()&lt;CondReturn,_xlfn.LOGNORM.INV(RAND(),MV2,Sigma1),IF(RAND()&lt;CondGood,_xlfn.LOGNORM.INV(RAND(),MV3,Sigma2),MIN(MaxMultiple,Xm/(1-RAND())^(1/Alpha)))))</f>
        <v>0.95501959608143228</v>
      </c>
      <c r="N299" s="19">
        <f ca="1">IF(RAND()&lt;P_Zero,0,IF(RAND()&lt;CondReturn,_xlfn.LOGNORM.INV(RAND(),MV2,Sigma1),IF(RAND()&lt;CondGood,_xlfn.LOGNORM.INV(RAND(),MV3,Sigma2),MIN(MaxMultiple,Xm/(1-RAND())^(1/Alpha)))))</f>
        <v>0</v>
      </c>
      <c r="O299" s="19">
        <f ca="1">IF(RAND()&lt;P_Zero,0,IF(RAND()&lt;CondReturn,_xlfn.LOGNORM.INV(RAND(),MV2,Sigma1),IF(RAND()&lt;CondGood,_xlfn.LOGNORM.INV(RAND(),MV3,Sigma2),MIN(MaxMultiple,Xm/(1-RAND())^(1/Alpha)))))</f>
        <v>81.333497169409114</v>
      </c>
      <c r="P299" s="19">
        <f ca="1">IF(RAND()&lt;P_Zero,0,IF(RAND()&lt;CondReturn,_xlfn.LOGNORM.INV(RAND(),MV2,Sigma1),IF(RAND()&lt;CondGood,_xlfn.LOGNORM.INV(RAND(),MV3,Sigma2),MIN(MaxMultiple,Xm/(1-RAND())^(1/Alpha)))))</f>
        <v>1.1064251746507885</v>
      </c>
      <c r="Q299" s="19">
        <f ca="1">IF(RAND()&lt;P_Zero,0,IF(RAND()&lt;CondReturn,_xlfn.LOGNORM.INV(RAND(),MV2,Sigma1),IF(RAND()&lt;CondGood,_xlfn.LOGNORM.INV(RAND(),MV3,Sigma2),MIN(MaxMultiple,Xm/(1-RAND())^(1/Alpha)))))</f>
        <v>1.6047384102084155</v>
      </c>
      <c r="R299" s="19">
        <f ca="1">IF(RAND()&lt;P_Zero,0,IF(RAND()&lt;CondReturn,_xlfn.LOGNORM.INV(RAND(),MV2,Sigma1),IF(RAND()&lt;CondGood,_xlfn.LOGNORM.INV(RAND(),MV3,Sigma2),MIN(MaxMultiple,Xm/(1-RAND())^(1/Alpha)))))</f>
        <v>0.31960913606493824</v>
      </c>
      <c r="S299" s="19">
        <f ca="1">IF(RAND()&lt;P_Zero,0,IF(RAND()&lt;CondReturn,_xlfn.LOGNORM.INV(RAND(),MV2,Sigma1),IF(RAND()&lt;CondGood,_xlfn.LOGNORM.INV(RAND(),MV3,Sigma2),MIN(MaxMultiple,Xm/(1-RAND())^(1/Alpha)))))</f>
        <v>0</v>
      </c>
      <c r="T299" s="19">
        <f ca="1">IF(RAND()&lt;P_Zero,0,IF(RAND()&lt;CondReturn,_xlfn.LOGNORM.INV(RAND(),MV2,Sigma1),IF(RAND()&lt;CondGood,_xlfn.LOGNORM.INV(RAND(),MV3,Sigma2),MIN(MaxMultiple,Xm/(1-RAND())^(1/Alpha)))))</f>
        <v>11.514652074139869</v>
      </c>
      <c r="U299" s="19">
        <f ca="1">IF(RAND()&lt;P_Zero,0,IF(RAND()&lt;CondReturn,_xlfn.LOGNORM.INV(RAND(),MV2,Sigma1),IF(RAND()&lt;CondGood,_xlfn.LOGNORM.INV(RAND(),MV3,Sigma2),MIN(MaxMultiple,Xm/(1-RAND())^(1/Alpha)))))</f>
        <v>14.452112059019383</v>
      </c>
      <c r="V299" s="19">
        <f ca="1">IF(RAND()&lt;P_Zero,0,IF(RAND()&lt;CondReturn,_xlfn.LOGNORM.INV(RAND(),MV2,Sigma1),IF(RAND()&lt;CondGood,_xlfn.LOGNORM.INV(RAND(),MV3,Sigma2),MIN(MaxMultiple,Xm/(1-RAND())^(1/Alpha)))))</f>
        <v>0.57319038421291768</v>
      </c>
      <c r="W299" s="19">
        <f ca="1">IF(RAND()&lt;P_Zero,0,IF(RAND()&lt;CondReturn,_xlfn.LOGNORM.INV(RAND(),MV2,Sigma1),IF(RAND()&lt;CondGood,_xlfn.LOGNORM.INV(RAND(),MV3,Sigma2),MIN(MaxMultiple,Xm/(1-RAND())^(1/Alpha)))))</f>
        <v>0</v>
      </c>
      <c r="X299" s="19">
        <f ca="1">IF(RAND()&lt;P_Zero,0,IF(RAND()&lt;CondReturn,_xlfn.LOGNORM.INV(RAND(),MV2,Sigma1),IF(RAND()&lt;CondGood,_xlfn.LOGNORM.INV(RAND(),MV3,Sigma2),MIN(MaxMultiple,Xm/(1-RAND())^(1/Alpha)))))</f>
        <v>0</v>
      </c>
      <c r="Y299" s="19">
        <f ca="1">IF(RAND()&lt;P_Zero,0,IF(RAND()&lt;CondReturn,_xlfn.LOGNORM.INV(RAND(),MV2,Sigma1),IF(RAND()&lt;CondGood,_xlfn.LOGNORM.INV(RAND(),MV3,Sigma2),MIN(MaxMultiple,Xm/(1-RAND())^(1/Alpha)))))</f>
        <v>0.76124258437864667</v>
      </c>
      <c r="Z299" s="19">
        <f ca="1">IF(RAND()&lt;P_Zero,0,IF(RAND()&lt;CondReturn,_xlfn.LOGNORM.INV(RAND(),MV2,Sigma1),IF(RAND()&lt;CondGood,_xlfn.LOGNORM.INV(RAND(),MV3,Sigma2),MIN(MaxMultiple,Xm/(1-RAND())^(1/Alpha)))))</f>
        <v>0</v>
      </c>
      <c r="AA299" s="19">
        <f ca="1">IF(RAND()&lt;P_Zero,0,IF(RAND()&lt;CondReturn,_xlfn.LOGNORM.INV(RAND(),MV2,Sigma1),IF(RAND()&lt;CondGood,_xlfn.LOGNORM.INV(RAND(),MV3,Sigma2),MIN(MaxMultiple,Xm/(1-RAND())^(1/Alpha)))))</f>
        <v>0.73119979451676387</v>
      </c>
      <c r="AB299" s="19">
        <f t="shared" ca="1" si="32"/>
        <v>4.7500518388562387</v>
      </c>
      <c r="AC299" s="14">
        <f t="shared" ca="1" si="33"/>
        <v>228002488.26509947</v>
      </c>
      <c r="AD299" s="14">
        <f t="shared" ca="1" si="34"/>
        <v>180002488.26509947</v>
      </c>
      <c r="AE299" s="14">
        <f t="shared" si="35"/>
        <v>55628399.869093813</v>
      </c>
      <c r="AF299" s="14">
        <f t="shared" ca="1" si="36"/>
        <v>124374088.39600566</v>
      </c>
      <c r="AG299" s="14">
        <f t="shared" ca="1" si="37"/>
        <v>24874817.679201134</v>
      </c>
      <c r="AH299" s="14">
        <f t="shared" ca="1" si="38"/>
        <v>203127670.58589834</v>
      </c>
      <c r="AI299" s="19">
        <f t="shared" ca="1" si="39"/>
        <v>3.3854611764316389</v>
      </c>
    </row>
    <row r="300" spans="2:35" x14ac:dyDescent="0.2">
      <c r="B300" s="1">
        <v>295</v>
      </c>
      <c r="C300" s="19">
        <f ca="1">IF(RAND()&lt;P_Zero,0,IF(RAND()&lt;CondReturn,_xlfn.LOGNORM.INV(RAND(),MV2,Sigma1),IF(RAND()&lt;CondGood,_xlfn.LOGNORM.INV(RAND(),MV3,Sigma2),MIN(MaxMultiple,Xm/(1-RAND())^(1/Alpha)))))</f>
        <v>0.5141053769822842</v>
      </c>
      <c r="D300" s="19">
        <f ca="1">IF(RAND()&lt;P_Zero,0,IF(RAND()&lt;CondReturn,_xlfn.LOGNORM.INV(RAND(),MV2,Sigma1),IF(RAND()&lt;CondGood,_xlfn.LOGNORM.INV(RAND(),MV3,Sigma2),MIN(MaxMultiple,Xm/(1-RAND())^(1/Alpha)))))</f>
        <v>0</v>
      </c>
      <c r="E300" s="19">
        <f ca="1">IF(RAND()&lt;P_Zero,0,IF(RAND()&lt;CondReturn,_xlfn.LOGNORM.INV(RAND(),MV2,Sigma1),IF(RAND()&lt;CondGood,_xlfn.LOGNORM.INV(RAND(),MV3,Sigma2),MIN(MaxMultiple,Xm/(1-RAND())^(1/Alpha)))))</f>
        <v>1.1188971017839351</v>
      </c>
      <c r="F300" s="19">
        <f ca="1">IF(RAND()&lt;P_Zero,0,IF(RAND()&lt;CondReturn,_xlfn.LOGNORM.INV(RAND(),MV2,Sigma1),IF(RAND()&lt;CondGood,_xlfn.LOGNORM.INV(RAND(),MV3,Sigma2),MIN(MaxMultiple,Xm/(1-RAND())^(1/Alpha)))))</f>
        <v>0</v>
      </c>
      <c r="G300" s="19">
        <f ca="1">IF(RAND()&lt;P_Zero,0,IF(RAND()&lt;CondReturn,_xlfn.LOGNORM.INV(RAND(),MV2,Sigma1),IF(RAND()&lt;CondGood,_xlfn.LOGNORM.INV(RAND(),MV3,Sigma2),MIN(MaxMultiple,Xm/(1-RAND())^(1/Alpha)))))</f>
        <v>1.6146077899197473</v>
      </c>
      <c r="H300" s="19">
        <f ca="1">IF(RAND()&lt;P_Zero,0,IF(RAND()&lt;CondReturn,_xlfn.LOGNORM.INV(RAND(),MV2,Sigma1),IF(RAND()&lt;CondGood,_xlfn.LOGNORM.INV(RAND(),MV3,Sigma2),MIN(MaxMultiple,Xm/(1-RAND())^(1/Alpha)))))</f>
        <v>0</v>
      </c>
      <c r="I300" s="19">
        <f ca="1">IF(RAND()&lt;P_Zero,0,IF(RAND()&lt;CondReturn,_xlfn.LOGNORM.INV(RAND(),MV2,Sigma1),IF(RAND()&lt;CondGood,_xlfn.LOGNORM.INV(RAND(),MV3,Sigma2),MIN(MaxMultiple,Xm/(1-RAND())^(1/Alpha)))))</f>
        <v>0</v>
      </c>
      <c r="J300" s="19">
        <f ca="1">IF(RAND()&lt;P_Zero,0,IF(RAND()&lt;CondReturn,_xlfn.LOGNORM.INV(RAND(),MV2,Sigma1),IF(RAND()&lt;CondGood,_xlfn.LOGNORM.INV(RAND(),MV3,Sigma2),MIN(MaxMultiple,Xm/(1-RAND())^(1/Alpha)))))</f>
        <v>0</v>
      </c>
      <c r="K300" s="19">
        <f ca="1">IF(RAND()&lt;P_Zero,0,IF(RAND()&lt;CondReturn,_xlfn.LOGNORM.INV(RAND(),MV2,Sigma1),IF(RAND()&lt;CondGood,_xlfn.LOGNORM.INV(RAND(),MV3,Sigma2),MIN(MaxMultiple,Xm/(1-RAND())^(1/Alpha)))))</f>
        <v>1.1580523488711119</v>
      </c>
      <c r="L300" s="19">
        <f ca="1">IF(RAND()&lt;P_Zero,0,IF(RAND()&lt;CondReturn,_xlfn.LOGNORM.INV(RAND(),MV2,Sigma1),IF(RAND()&lt;CondGood,_xlfn.LOGNORM.INV(RAND(),MV3,Sigma2),MIN(MaxMultiple,Xm/(1-RAND())^(1/Alpha)))))</f>
        <v>0.92385653195756534</v>
      </c>
      <c r="M300" s="19">
        <f ca="1">IF(RAND()&lt;P_Zero,0,IF(RAND()&lt;CondReturn,_xlfn.LOGNORM.INV(RAND(),MV2,Sigma1),IF(RAND()&lt;CondGood,_xlfn.LOGNORM.INV(RAND(),MV3,Sigma2),MIN(MaxMultiple,Xm/(1-RAND())^(1/Alpha)))))</f>
        <v>1.5775888374806726</v>
      </c>
      <c r="N300" s="19">
        <f ca="1">IF(RAND()&lt;P_Zero,0,IF(RAND()&lt;CondReturn,_xlfn.LOGNORM.INV(RAND(),MV2,Sigma1),IF(RAND()&lt;CondGood,_xlfn.LOGNORM.INV(RAND(),MV3,Sigma2),MIN(MaxMultiple,Xm/(1-RAND())^(1/Alpha)))))</f>
        <v>1.0043439168967081</v>
      </c>
      <c r="O300" s="19">
        <f ca="1">IF(RAND()&lt;P_Zero,0,IF(RAND()&lt;CondReturn,_xlfn.LOGNORM.INV(RAND(),MV2,Sigma1),IF(RAND()&lt;CondGood,_xlfn.LOGNORM.INV(RAND(),MV3,Sigma2),MIN(MaxMultiple,Xm/(1-RAND())^(1/Alpha)))))</f>
        <v>0.97770875128608881</v>
      </c>
      <c r="P300" s="19">
        <f ca="1">IF(RAND()&lt;P_Zero,0,IF(RAND()&lt;CondReturn,_xlfn.LOGNORM.INV(RAND(),MV2,Sigma1),IF(RAND()&lt;CondGood,_xlfn.LOGNORM.INV(RAND(),MV3,Sigma2),MIN(MaxMultiple,Xm/(1-RAND())^(1/Alpha)))))</f>
        <v>0</v>
      </c>
      <c r="Q300" s="19">
        <f ca="1">IF(RAND()&lt;P_Zero,0,IF(RAND()&lt;CondReturn,_xlfn.LOGNORM.INV(RAND(),MV2,Sigma1),IF(RAND()&lt;CondGood,_xlfn.LOGNORM.INV(RAND(),MV3,Sigma2),MIN(MaxMultiple,Xm/(1-RAND())^(1/Alpha)))))</f>
        <v>1.386940109410602</v>
      </c>
      <c r="R300" s="19">
        <f ca="1">IF(RAND()&lt;P_Zero,0,IF(RAND()&lt;CondReturn,_xlfn.LOGNORM.INV(RAND(),MV2,Sigma1),IF(RAND()&lt;CondGood,_xlfn.LOGNORM.INV(RAND(),MV3,Sigma2),MIN(MaxMultiple,Xm/(1-RAND())^(1/Alpha)))))</f>
        <v>0</v>
      </c>
      <c r="S300" s="19">
        <f ca="1">IF(RAND()&lt;P_Zero,0,IF(RAND()&lt;CondReturn,_xlfn.LOGNORM.INV(RAND(),MV2,Sigma1),IF(RAND()&lt;CondGood,_xlfn.LOGNORM.INV(RAND(),MV3,Sigma2),MIN(MaxMultiple,Xm/(1-RAND())^(1/Alpha)))))</f>
        <v>0.70439373777903636</v>
      </c>
      <c r="T300" s="19">
        <f ca="1">IF(RAND()&lt;P_Zero,0,IF(RAND()&lt;CondReturn,_xlfn.LOGNORM.INV(RAND(),MV2,Sigma1),IF(RAND()&lt;CondGood,_xlfn.LOGNORM.INV(RAND(),MV3,Sigma2),MIN(MaxMultiple,Xm/(1-RAND())^(1/Alpha)))))</f>
        <v>1.2350579591008197</v>
      </c>
      <c r="U300" s="19">
        <f ca="1">IF(RAND()&lt;P_Zero,0,IF(RAND()&lt;CondReturn,_xlfn.LOGNORM.INV(RAND(),MV2,Sigma1),IF(RAND()&lt;CondGood,_xlfn.LOGNORM.INV(RAND(),MV3,Sigma2),MIN(MaxMultiple,Xm/(1-RAND())^(1/Alpha)))))</f>
        <v>0.4233917688675457</v>
      </c>
      <c r="V300" s="19">
        <f ca="1">IF(RAND()&lt;P_Zero,0,IF(RAND()&lt;CondReturn,_xlfn.LOGNORM.INV(RAND(),MV2,Sigma1),IF(RAND()&lt;CondGood,_xlfn.LOGNORM.INV(RAND(),MV3,Sigma2),MIN(MaxMultiple,Xm/(1-RAND())^(1/Alpha)))))</f>
        <v>300</v>
      </c>
      <c r="W300" s="19">
        <f ca="1">IF(RAND()&lt;P_Zero,0,IF(RAND()&lt;CondReturn,_xlfn.LOGNORM.INV(RAND(),MV2,Sigma1),IF(RAND()&lt;CondGood,_xlfn.LOGNORM.INV(RAND(),MV3,Sigma2),MIN(MaxMultiple,Xm/(1-RAND())^(1/Alpha)))))</f>
        <v>0.86386380674974839</v>
      </c>
      <c r="X300" s="19">
        <f ca="1">IF(RAND()&lt;P_Zero,0,IF(RAND()&lt;CondReturn,_xlfn.LOGNORM.INV(RAND(),MV2,Sigma1),IF(RAND()&lt;CondGood,_xlfn.LOGNORM.INV(RAND(),MV3,Sigma2),MIN(MaxMultiple,Xm/(1-RAND())^(1/Alpha)))))</f>
        <v>0</v>
      </c>
      <c r="Y300" s="19">
        <f ca="1">IF(RAND()&lt;P_Zero,0,IF(RAND()&lt;CondReturn,_xlfn.LOGNORM.INV(RAND(),MV2,Sigma1),IF(RAND()&lt;CondGood,_xlfn.LOGNORM.INV(RAND(),MV3,Sigma2),MIN(MaxMultiple,Xm/(1-RAND())^(1/Alpha)))))</f>
        <v>0.31545959368101106</v>
      </c>
      <c r="Z300" s="19">
        <f ca="1">IF(RAND()&lt;P_Zero,0,IF(RAND()&lt;CondReturn,_xlfn.LOGNORM.INV(RAND(),MV2,Sigma1),IF(RAND()&lt;CondGood,_xlfn.LOGNORM.INV(RAND(),MV3,Sigma2),MIN(MaxMultiple,Xm/(1-RAND())^(1/Alpha)))))</f>
        <v>1.0350693919600185</v>
      </c>
      <c r="AA300" s="19">
        <f ca="1">IF(RAND()&lt;P_Zero,0,IF(RAND()&lt;CondReturn,_xlfn.LOGNORM.INV(RAND(),MV2,Sigma1),IF(RAND()&lt;CondGood,_xlfn.LOGNORM.INV(RAND(),MV3,Sigma2),MIN(MaxMultiple,Xm/(1-RAND())^(1/Alpha)))))</f>
        <v>0.8800428690931249</v>
      </c>
      <c r="AB300" s="19">
        <f t="shared" ca="1" si="32"/>
        <v>12.6293351956728</v>
      </c>
      <c r="AC300" s="14">
        <f t="shared" ca="1" si="33"/>
        <v>606208089.39229441</v>
      </c>
      <c r="AD300" s="14">
        <f t="shared" ca="1" si="34"/>
        <v>558208089.39229441</v>
      </c>
      <c r="AE300" s="14">
        <f t="shared" si="35"/>
        <v>55628399.869093813</v>
      </c>
      <c r="AF300" s="14">
        <f t="shared" ca="1" si="36"/>
        <v>502579689.52320057</v>
      </c>
      <c r="AG300" s="14">
        <f t="shared" ca="1" si="37"/>
        <v>100515937.90464012</v>
      </c>
      <c r="AH300" s="14">
        <f t="shared" ca="1" si="38"/>
        <v>505692151.48765427</v>
      </c>
      <c r="AI300" s="19">
        <f t="shared" ca="1" si="39"/>
        <v>8.4282025247942371</v>
      </c>
    </row>
    <row r="301" spans="2:35" x14ac:dyDescent="0.2">
      <c r="B301" s="1">
        <v>296</v>
      </c>
      <c r="C301" s="19">
        <f ca="1">IF(RAND()&lt;P_Zero,0,IF(RAND()&lt;CondReturn,_xlfn.LOGNORM.INV(RAND(),MV2,Sigma1),IF(RAND()&lt;CondGood,_xlfn.LOGNORM.INV(RAND(),MV3,Sigma2),MIN(MaxMultiple,Xm/(1-RAND())^(1/Alpha)))))</f>
        <v>0.88084729181161037</v>
      </c>
      <c r="D301" s="19">
        <f ca="1">IF(RAND()&lt;P_Zero,0,IF(RAND()&lt;CondReturn,_xlfn.LOGNORM.INV(RAND(),MV2,Sigma1),IF(RAND()&lt;CondGood,_xlfn.LOGNORM.INV(RAND(),MV3,Sigma2),MIN(MaxMultiple,Xm/(1-RAND())^(1/Alpha)))))</f>
        <v>0</v>
      </c>
      <c r="E301" s="19">
        <f ca="1">IF(RAND()&lt;P_Zero,0,IF(RAND()&lt;CondReturn,_xlfn.LOGNORM.INV(RAND(),MV2,Sigma1),IF(RAND()&lt;CondGood,_xlfn.LOGNORM.INV(RAND(),MV3,Sigma2),MIN(MaxMultiple,Xm/(1-RAND())^(1/Alpha)))))</f>
        <v>0</v>
      </c>
      <c r="F301" s="19">
        <f ca="1">IF(RAND()&lt;P_Zero,0,IF(RAND()&lt;CondReturn,_xlfn.LOGNORM.INV(RAND(),MV2,Sigma1),IF(RAND()&lt;CondGood,_xlfn.LOGNORM.INV(RAND(),MV3,Sigma2),MIN(MaxMultiple,Xm/(1-RAND())^(1/Alpha)))))</f>
        <v>1.7044555576116265</v>
      </c>
      <c r="G301" s="19">
        <f ca="1">IF(RAND()&lt;P_Zero,0,IF(RAND()&lt;CondReturn,_xlfn.LOGNORM.INV(RAND(),MV2,Sigma1),IF(RAND()&lt;CondGood,_xlfn.LOGNORM.INV(RAND(),MV3,Sigma2),MIN(MaxMultiple,Xm/(1-RAND())^(1/Alpha)))))</f>
        <v>0</v>
      </c>
      <c r="H301" s="19">
        <f ca="1">IF(RAND()&lt;P_Zero,0,IF(RAND()&lt;CondReturn,_xlfn.LOGNORM.INV(RAND(),MV2,Sigma1),IF(RAND()&lt;CondGood,_xlfn.LOGNORM.INV(RAND(),MV3,Sigma2),MIN(MaxMultiple,Xm/(1-RAND())^(1/Alpha)))))</f>
        <v>0.82365056163891792</v>
      </c>
      <c r="I301" s="19">
        <f ca="1">IF(RAND()&lt;P_Zero,0,IF(RAND()&lt;CondReturn,_xlfn.LOGNORM.INV(RAND(),MV2,Sigma1),IF(RAND()&lt;CondGood,_xlfn.LOGNORM.INV(RAND(),MV3,Sigma2),MIN(MaxMultiple,Xm/(1-RAND())^(1/Alpha)))))</f>
        <v>0.58289931575868437</v>
      </c>
      <c r="J301" s="19">
        <f ca="1">IF(RAND()&lt;P_Zero,0,IF(RAND()&lt;CondReturn,_xlfn.LOGNORM.INV(RAND(),MV2,Sigma1),IF(RAND()&lt;CondGood,_xlfn.LOGNORM.INV(RAND(),MV3,Sigma2),MIN(MaxMultiple,Xm/(1-RAND())^(1/Alpha)))))</f>
        <v>1.2593081199251657</v>
      </c>
      <c r="K301" s="19">
        <f ca="1">IF(RAND()&lt;P_Zero,0,IF(RAND()&lt;CondReturn,_xlfn.LOGNORM.INV(RAND(),MV2,Sigma1),IF(RAND()&lt;CondGood,_xlfn.LOGNORM.INV(RAND(),MV3,Sigma2),MIN(MaxMultiple,Xm/(1-RAND())^(1/Alpha)))))</f>
        <v>0.90465247439294705</v>
      </c>
      <c r="L301" s="19">
        <f ca="1">IF(RAND()&lt;P_Zero,0,IF(RAND()&lt;CondReturn,_xlfn.LOGNORM.INV(RAND(),MV2,Sigma1),IF(RAND()&lt;CondGood,_xlfn.LOGNORM.INV(RAND(),MV3,Sigma2),MIN(MaxMultiple,Xm/(1-RAND())^(1/Alpha)))))</f>
        <v>0</v>
      </c>
      <c r="M301" s="19">
        <f ca="1">IF(RAND()&lt;P_Zero,0,IF(RAND()&lt;CondReturn,_xlfn.LOGNORM.INV(RAND(),MV2,Sigma1),IF(RAND()&lt;CondGood,_xlfn.LOGNORM.INV(RAND(),MV3,Sigma2),MIN(MaxMultiple,Xm/(1-RAND())^(1/Alpha)))))</f>
        <v>0.94782080499326682</v>
      </c>
      <c r="N301" s="19">
        <f ca="1">IF(RAND()&lt;P_Zero,0,IF(RAND()&lt;CondReturn,_xlfn.LOGNORM.INV(RAND(),MV2,Sigma1),IF(RAND()&lt;CondGood,_xlfn.LOGNORM.INV(RAND(),MV3,Sigma2),MIN(MaxMultiple,Xm/(1-RAND())^(1/Alpha)))))</f>
        <v>0.87423859818404481</v>
      </c>
      <c r="O301" s="19">
        <f ca="1">IF(RAND()&lt;P_Zero,0,IF(RAND()&lt;CondReturn,_xlfn.LOGNORM.INV(RAND(),MV2,Sigma1),IF(RAND()&lt;CondGood,_xlfn.LOGNORM.INV(RAND(),MV3,Sigma2),MIN(MaxMultiple,Xm/(1-RAND())^(1/Alpha)))))</f>
        <v>1.5994099516402605</v>
      </c>
      <c r="P301" s="19">
        <f ca="1">IF(RAND()&lt;P_Zero,0,IF(RAND()&lt;CondReturn,_xlfn.LOGNORM.INV(RAND(),MV2,Sigma1),IF(RAND()&lt;CondGood,_xlfn.LOGNORM.INV(RAND(),MV3,Sigma2),MIN(MaxMultiple,Xm/(1-RAND())^(1/Alpha)))))</f>
        <v>0</v>
      </c>
      <c r="Q301" s="19">
        <f ca="1">IF(RAND()&lt;P_Zero,0,IF(RAND()&lt;CondReturn,_xlfn.LOGNORM.INV(RAND(),MV2,Sigma1),IF(RAND()&lt;CondGood,_xlfn.LOGNORM.INV(RAND(),MV3,Sigma2),MIN(MaxMultiple,Xm/(1-RAND())^(1/Alpha)))))</f>
        <v>0</v>
      </c>
      <c r="R301" s="19">
        <f ca="1">IF(RAND()&lt;P_Zero,0,IF(RAND()&lt;CondReturn,_xlfn.LOGNORM.INV(RAND(),MV2,Sigma1),IF(RAND()&lt;CondGood,_xlfn.LOGNORM.INV(RAND(),MV3,Sigma2),MIN(MaxMultiple,Xm/(1-RAND())^(1/Alpha)))))</f>
        <v>0</v>
      </c>
      <c r="S301" s="19">
        <f ca="1">IF(RAND()&lt;P_Zero,0,IF(RAND()&lt;CondReturn,_xlfn.LOGNORM.INV(RAND(),MV2,Sigma1),IF(RAND()&lt;CondGood,_xlfn.LOGNORM.INV(RAND(),MV3,Sigma2),MIN(MaxMultiple,Xm/(1-RAND())^(1/Alpha)))))</f>
        <v>1.7200000652693526</v>
      </c>
      <c r="T301" s="19">
        <f ca="1">IF(RAND()&lt;P_Zero,0,IF(RAND()&lt;CondReturn,_xlfn.LOGNORM.INV(RAND(),MV2,Sigma1),IF(RAND()&lt;CondGood,_xlfn.LOGNORM.INV(RAND(),MV3,Sigma2),MIN(MaxMultiple,Xm/(1-RAND())^(1/Alpha)))))</f>
        <v>27.283310617315347</v>
      </c>
      <c r="U301" s="19">
        <f ca="1">IF(RAND()&lt;P_Zero,0,IF(RAND()&lt;CondReturn,_xlfn.LOGNORM.INV(RAND(),MV2,Sigma1),IF(RAND()&lt;CondGood,_xlfn.LOGNORM.INV(RAND(),MV3,Sigma2),MIN(MaxMultiple,Xm/(1-RAND())^(1/Alpha)))))</f>
        <v>14.689342737491067</v>
      </c>
      <c r="V301" s="19">
        <f ca="1">IF(RAND()&lt;P_Zero,0,IF(RAND()&lt;CondReturn,_xlfn.LOGNORM.INV(RAND(),MV2,Sigma1),IF(RAND()&lt;CondGood,_xlfn.LOGNORM.INV(RAND(),MV3,Sigma2),MIN(MaxMultiple,Xm/(1-RAND())^(1/Alpha)))))</f>
        <v>1.2849517464156592</v>
      </c>
      <c r="W301" s="19">
        <f ca="1">IF(RAND()&lt;P_Zero,0,IF(RAND()&lt;CondReturn,_xlfn.LOGNORM.INV(RAND(),MV2,Sigma1),IF(RAND()&lt;CondGood,_xlfn.LOGNORM.INV(RAND(),MV3,Sigma2),MIN(MaxMultiple,Xm/(1-RAND())^(1/Alpha)))))</f>
        <v>0</v>
      </c>
      <c r="X301" s="19">
        <f ca="1">IF(RAND()&lt;P_Zero,0,IF(RAND()&lt;CondReturn,_xlfn.LOGNORM.INV(RAND(),MV2,Sigma1),IF(RAND()&lt;CondGood,_xlfn.LOGNORM.INV(RAND(),MV3,Sigma2),MIN(MaxMultiple,Xm/(1-RAND())^(1/Alpha)))))</f>
        <v>16.273127913416673</v>
      </c>
      <c r="Y301" s="19">
        <f ca="1">IF(RAND()&lt;P_Zero,0,IF(RAND()&lt;CondReturn,_xlfn.LOGNORM.INV(RAND(),MV2,Sigma1),IF(RAND()&lt;CondGood,_xlfn.LOGNORM.INV(RAND(),MV3,Sigma2),MIN(MaxMultiple,Xm/(1-RAND())^(1/Alpha)))))</f>
        <v>0.69892215632713472</v>
      </c>
      <c r="Z301" s="19">
        <f ca="1">IF(RAND()&lt;P_Zero,0,IF(RAND()&lt;CondReturn,_xlfn.LOGNORM.INV(RAND(),MV2,Sigma1),IF(RAND()&lt;CondGood,_xlfn.LOGNORM.INV(RAND(),MV3,Sigma2),MIN(MaxMultiple,Xm/(1-RAND())^(1/Alpha)))))</f>
        <v>0.56608416034971221</v>
      </c>
      <c r="AA301" s="19">
        <f ca="1">IF(RAND()&lt;P_Zero,0,IF(RAND()&lt;CondReturn,_xlfn.LOGNORM.INV(RAND(),MV2,Sigma1),IF(RAND()&lt;CondGood,_xlfn.LOGNORM.INV(RAND(),MV3,Sigma2),MIN(MaxMultiple,Xm/(1-RAND())^(1/Alpha)))))</f>
        <v>0</v>
      </c>
      <c r="AB301" s="19">
        <f t="shared" ca="1" si="32"/>
        <v>2.8837208829016583</v>
      </c>
      <c r="AC301" s="14">
        <f t="shared" ca="1" si="33"/>
        <v>138418602.37927958</v>
      </c>
      <c r="AD301" s="14">
        <f t="shared" ca="1" si="34"/>
        <v>90418602.379279584</v>
      </c>
      <c r="AE301" s="14">
        <f t="shared" si="35"/>
        <v>55628399.869093813</v>
      </c>
      <c r="AF301" s="14">
        <f t="shared" ca="1" si="36"/>
        <v>34790202.510185771</v>
      </c>
      <c r="AG301" s="14">
        <f t="shared" ca="1" si="37"/>
        <v>6958040.5020371545</v>
      </c>
      <c r="AH301" s="14">
        <f t="shared" ca="1" si="38"/>
        <v>131460561.87724243</v>
      </c>
      <c r="AI301" s="19">
        <f t="shared" ca="1" si="39"/>
        <v>2.1910093646207072</v>
      </c>
    </row>
    <row r="302" spans="2:35" x14ac:dyDescent="0.2">
      <c r="B302" s="1">
        <v>297</v>
      </c>
      <c r="C302" s="19">
        <f ca="1">IF(RAND()&lt;P_Zero,0,IF(RAND()&lt;CondReturn,_xlfn.LOGNORM.INV(RAND(),MV2,Sigma1),IF(RAND()&lt;CondGood,_xlfn.LOGNORM.INV(RAND(),MV3,Sigma2),MIN(MaxMultiple,Xm/(1-RAND())^(1/Alpha)))))</f>
        <v>0</v>
      </c>
      <c r="D302" s="19">
        <f ca="1">IF(RAND()&lt;P_Zero,0,IF(RAND()&lt;CondReturn,_xlfn.LOGNORM.INV(RAND(),MV2,Sigma1),IF(RAND()&lt;CondGood,_xlfn.LOGNORM.INV(RAND(),MV3,Sigma2),MIN(MaxMultiple,Xm/(1-RAND())^(1/Alpha)))))</f>
        <v>74.506760227140191</v>
      </c>
      <c r="E302" s="19">
        <f ca="1">IF(RAND()&lt;P_Zero,0,IF(RAND()&lt;CondReturn,_xlfn.LOGNORM.INV(RAND(),MV2,Sigma1),IF(RAND()&lt;CondGood,_xlfn.LOGNORM.INV(RAND(),MV3,Sigma2),MIN(MaxMultiple,Xm/(1-RAND())^(1/Alpha)))))</f>
        <v>0</v>
      </c>
      <c r="F302" s="19">
        <f ca="1">IF(RAND()&lt;P_Zero,0,IF(RAND()&lt;CondReturn,_xlfn.LOGNORM.INV(RAND(),MV2,Sigma1),IF(RAND()&lt;CondGood,_xlfn.LOGNORM.INV(RAND(),MV3,Sigma2),MIN(MaxMultiple,Xm/(1-RAND())^(1/Alpha)))))</f>
        <v>0</v>
      </c>
      <c r="G302" s="19">
        <f ca="1">IF(RAND()&lt;P_Zero,0,IF(RAND()&lt;CondReturn,_xlfn.LOGNORM.INV(RAND(),MV2,Sigma1),IF(RAND()&lt;CondGood,_xlfn.LOGNORM.INV(RAND(),MV3,Sigma2),MIN(MaxMultiple,Xm/(1-RAND())^(1/Alpha)))))</f>
        <v>1.4530184910629742</v>
      </c>
      <c r="H302" s="19">
        <f ca="1">IF(RAND()&lt;P_Zero,0,IF(RAND()&lt;CondReturn,_xlfn.LOGNORM.INV(RAND(),MV2,Sigma1),IF(RAND()&lt;CondGood,_xlfn.LOGNORM.INV(RAND(),MV3,Sigma2),MIN(MaxMultiple,Xm/(1-RAND())^(1/Alpha)))))</f>
        <v>1.7084298149375419</v>
      </c>
      <c r="I302" s="19">
        <f ca="1">IF(RAND()&lt;P_Zero,0,IF(RAND()&lt;CondReturn,_xlfn.LOGNORM.INV(RAND(),MV2,Sigma1),IF(RAND()&lt;CondGood,_xlfn.LOGNORM.INV(RAND(),MV3,Sigma2),MIN(MaxMultiple,Xm/(1-RAND())^(1/Alpha)))))</f>
        <v>1.6868366546171025</v>
      </c>
      <c r="J302" s="19">
        <f ca="1">IF(RAND()&lt;P_Zero,0,IF(RAND()&lt;CondReturn,_xlfn.LOGNORM.INV(RAND(),MV2,Sigma1),IF(RAND()&lt;CondGood,_xlfn.LOGNORM.INV(RAND(),MV3,Sigma2),MIN(MaxMultiple,Xm/(1-RAND())^(1/Alpha)))))</f>
        <v>0.72897033532424249</v>
      </c>
      <c r="K302" s="19">
        <f ca="1">IF(RAND()&lt;P_Zero,0,IF(RAND()&lt;CondReturn,_xlfn.LOGNORM.INV(RAND(),MV2,Sigma1),IF(RAND()&lt;CondGood,_xlfn.LOGNORM.INV(RAND(),MV3,Sigma2),MIN(MaxMultiple,Xm/(1-RAND())^(1/Alpha)))))</f>
        <v>0</v>
      </c>
      <c r="L302" s="19">
        <f ca="1">IF(RAND()&lt;P_Zero,0,IF(RAND()&lt;CondReturn,_xlfn.LOGNORM.INV(RAND(),MV2,Sigma1),IF(RAND()&lt;CondGood,_xlfn.LOGNORM.INV(RAND(),MV3,Sigma2),MIN(MaxMultiple,Xm/(1-RAND())^(1/Alpha)))))</f>
        <v>1.7437255041719575</v>
      </c>
      <c r="M302" s="19">
        <f ca="1">IF(RAND()&lt;P_Zero,0,IF(RAND()&lt;CondReturn,_xlfn.LOGNORM.INV(RAND(),MV2,Sigma1),IF(RAND()&lt;CondGood,_xlfn.LOGNORM.INV(RAND(),MV3,Sigma2),MIN(MaxMultiple,Xm/(1-RAND())^(1/Alpha)))))</f>
        <v>24.250856923733465</v>
      </c>
      <c r="N302" s="19">
        <f ca="1">IF(RAND()&lt;P_Zero,0,IF(RAND()&lt;CondReturn,_xlfn.LOGNORM.INV(RAND(),MV2,Sigma1),IF(RAND()&lt;CondGood,_xlfn.LOGNORM.INV(RAND(),MV3,Sigma2),MIN(MaxMultiple,Xm/(1-RAND())^(1/Alpha)))))</f>
        <v>0</v>
      </c>
      <c r="O302" s="19">
        <f ca="1">IF(RAND()&lt;P_Zero,0,IF(RAND()&lt;CondReturn,_xlfn.LOGNORM.INV(RAND(),MV2,Sigma1),IF(RAND()&lt;CondGood,_xlfn.LOGNORM.INV(RAND(),MV3,Sigma2),MIN(MaxMultiple,Xm/(1-RAND())^(1/Alpha)))))</f>
        <v>0.96196086533622704</v>
      </c>
      <c r="P302" s="19">
        <f ca="1">IF(RAND()&lt;P_Zero,0,IF(RAND()&lt;CondReturn,_xlfn.LOGNORM.INV(RAND(),MV2,Sigma1),IF(RAND()&lt;CondGood,_xlfn.LOGNORM.INV(RAND(),MV3,Sigma2),MIN(MaxMultiple,Xm/(1-RAND())^(1/Alpha)))))</f>
        <v>0</v>
      </c>
      <c r="Q302" s="19">
        <f ca="1">IF(RAND()&lt;P_Zero,0,IF(RAND()&lt;CondReturn,_xlfn.LOGNORM.INV(RAND(),MV2,Sigma1),IF(RAND()&lt;CondGood,_xlfn.LOGNORM.INV(RAND(),MV3,Sigma2),MIN(MaxMultiple,Xm/(1-RAND())^(1/Alpha)))))</f>
        <v>14.964680689282371</v>
      </c>
      <c r="R302" s="19">
        <f ca="1">IF(RAND()&lt;P_Zero,0,IF(RAND()&lt;CondReturn,_xlfn.LOGNORM.INV(RAND(),MV2,Sigma1),IF(RAND()&lt;CondGood,_xlfn.LOGNORM.INV(RAND(),MV3,Sigma2),MIN(MaxMultiple,Xm/(1-RAND())^(1/Alpha)))))</f>
        <v>1.7739331646466099</v>
      </c>
      <c r="S302" s="19">
        <f ca="1">IF(RAND()&lt;P_Zero,0,IF(RAND()&lt;CondReturn,_xlfn.LOGNORM.INV(RAND(),MV2,Sigma1),IF(RAND()&lt;CondGood,_xlfn.LOGNORM.INV(RAND(),MV3,Sigma2),MIN(MaxMultiple,Xm/(1-RAND())^(1/Alpha)))))</f>
        <v>0</v>
      </c>
      <c r="T302" s="19">
        <f ca="1">IF(RAND()&lt;P_Zero,0,IF(RAND()&lt;CondReturn,_xlfn.LOGNORM.INV(RAND(),MV2,Sigma1),IF(RAND()&lt;CondGood,_xlfn.LOGNORM.INV(RAND(),MV3,Sigma2),MIN(MaxMultiple,Xm/(1-RAND())^(1/Alpha)))))</f>
        <v>1.4379887807472169</v>
      </c>
      <c r="U302" s="19">
        <f ca="1">IF(RAND()&lt;P_Zero,0,IF(RAND()&lt;CondReturn,_xlfn.LOGNORM.INV(RAND(),MV2,Sigma1),IF(RAND()&lt;CondGood,_xlfn.LOGNORM.INV(RAND(),MV3,Sigma2),MIN(MaxMultiple,Xm/(1-RAND())^(1/Alpha)))))</f>
        <v>0</v>
      </c>
      <c r="V302" s="19">
        <f ca="1">IF(RAND()&lt;P_Zero,0,IF(RAND()&lt;CondReturn,_xlfn.LOGNORM.INV(RAND(),MV2,Sigma1),IF(RAND()&lt;CondGood,_xlfn.LOGNORM.INV(RAND(),MV3,Sigma2),MIN(MaxMultiple,Xm/(1-RAND())^(1/Alpha)))))</f>
        <v>2.2040461938910187</v>
      </c>
      <c r="W302" s="19">
        <f ca="1">IF(RAND()&lt;P_Zero,0,IF(RAND()&lt;CondReturn,_xlfn.LOGNORM.INV(RAND(),MV2,Sigma1),IF(RAND()&lt;CondGood,_xlfn.LOGNORM.INV(RAND(),MV3,Sigma2),MIN(MaxMultiple,Xm/(1-RAND())^(1/Alpha)))))</f>
        <v>39.298188255064282</v>
      </c>
      <c r="X302" s="19">
        <f ca="1">IF(RAND()&lt;P_Zero,0,IF(RAND()&lt;CondReturn,_xlfn.LOGNORM.INV(RAND(),MV2,Sigma1),IF(RAND()&lt;CondGood,_xlfn.LOGNORM.INV(RAND(),MV3,Sigma2),MIN(MaxMultiple,Xm/(1-RAND())^(1/Alpha)))))</f>
        <v>0</v>
      </c>
      <c r="Y302" s="19">
        <f ca="1">IF(RAND()&lt;P_Zero,0,IF(RAND()&lt;CondReturn,_xlfn.LOGNORM.INV(RAND(),MV2,Sigma1),IF(RAND()&lt;CondGood,_xlfn.LOGNORM.INV(RAND(),MV3,Sigma2),MIN(MaxMultiple,Xm/(1-RAND())^(1/Alpha)))))</f>
        <v>0</v>
      </c>
      <c r="Z302" s="19">
        <f ca="1">IF(RAND()&lt;P_Zero,0,IF(RAND()&lt;CondReturn,_xlfn.LOGNORM.INV(RAND(),MV2,Sigma1),IF(RAND()&lt;CondGood,_xlfn.LOGNORM.INV(RAND(),MV3,Sigma2),MIN(MaxMultiple,Xm/(1-RAND())^(1/Alpha)))))</f>
        <v>0</v>
      </c>
      <c r="AA302" s="19">
        <f ca="1">IF(RAND()&lt;P_Zero,0,IF(RAND()&lt;CondReturn,_xlfn.LOGNORM.INV(RAND(),MV2,Sigma1),IF(RAND()&lt;CondGood,_xlfn.LOGNORM.INV(RAND(),MV3,Sigma2),MIN(MaxMultiple,Xm/(1-RAND())^(1/Alpha)))))</f>
        <v>1.1135533872003509</v>
      </c>
      <c r="AB302" s="19">
        <f t="shared" ca="1" si="32"/>
        <v>6.7133179714862221</v>
      </c>
      <c r="AC302" s="14">
        <f t="shared" ca="1" si="33"/>
        <v>322239262.63133866</v>
      </c>
      <c r="AD302" s="14">
        <f t="shared" ca="1" si="34"/>
        <v>274239262.63133866</v>
      </c>
      <c r="AE302" s="14">
        <f t="shared" si="35"/>
        <v>55628399.869093813</v>
      </c>
      <c r="AF302" s="14">
        <f t="shared" ca="1" si="36"/>
        <v>218610862.76224485</v>
      </c>
      <c r="AG302" s="14">
        <f t="shared" ca="1" si="37"/>
        <v>43722172.552448973</v>
      </c>
      <c r="AH302" s="14">
        <f t="shared" ca="1" si="38"/>
        <v>278517090.07888967</v>
      </c>
      <c r="AI302" s="19">
        <f t="shared" ca="1" si="39"/>
        <v>4.6419515013148276</v>
      </c>
    </row>
    <row r="303" spans="2:35" x14ac:dyDescent="0.2">
      <c r="B303" s="1">
        <v>298</v>
      </c>
      <c r="C303" s="19">
        <f ca="1">IF(RAND()&lt;P_Zero,0,IF(RAND()&lt;CondReturn,_xlfn.LOGNORM.INV(RAND(),MV2,Sigma1),IF(RAND()&lt;CondGood,_xlfn.LOGNORM.INV(RAND(),MV3,Sigma2),MIN(MaxMultiple,Xm/(1-RAND())^(1/Alpha)))))</f>
        <v>0.96970397367504058</v>
      </c>
      <c r="D303" s="19">
        <f ca="1">IF(RAND()&lt;P_Zero,0,IF(RAND()&lt;CondReturn,_xlfn.LOGNORM.INV(RAND(),MV2,Sigma1),IF(RAND()&lt;CondGood,_xlfn.LOGNORM.INV(RAND(),MV3,Sigma2),MIN(MaxMultiple,Xm/(1-RAND())^(1/Alpha)))))</f>
        <v>0</v>
      </c>
      <c r="E303" s="19">
        <f ca="1">IF(RAND()&lt;P_Zero,0,IF(RAND()&lt;CondReturn,_xlfn.LOGNORM.INV(RAND(),MV2,Sigma1),IF(RAND()&lt;CondGood,_xlfn.LOGNORM.INV(RAND(),MV3,Sigma2),MIN(MaxMultiple,Xm/(1-RAND())^(1/Alpha)))))</f>
        <v>0.32407607407078137</v>
      </c>
      <c r="F303" s="19">
        <f ca="1">IF(RAND()&lt;P_Zero,0,IF(RAND()&lt;CondReturn,_xlfn.LOGNORM.INV(RAND(),MV2,Sigma1),IF(RAND()&lt;CondGood,_xlfn.LOGNORM.INV(RAND(),MV3,Sigma2),MIN(MaxMultiple,Xm/(1-RAND())^(1/Alpha)))))</f>
        <v>1.0652391001224011</v>
      </c>
      <c r="G303" s="19">
        <f ca="1">IF(RAND()&lt;P_Zero,0,IF(RAND()&lt;CondReturn,_xlfn.LOGNORM.INV(RAND(),MV2,Sigma1),IF(RAND()&lt;CondGood,_xlfn.LOGNORM.INV(RAND(),MV3,Sigma2),MIN(MaxMultiple,Xm/(1-RAND())^(1/Alpha)))))</f>
        <v>0</v>
      </c>
      <c r="H303" s="19">
        <f ca="1">IF(RAND()&lt;P_Zero,0,IF(RAND()&lt;CondReturn,_xlfn.LOGNORM.INV(RAND(),MV2,Sigma1),IF(RAND()&lt;CondGood,_xlfn.LOGNORM.INV(RAND(),MV3,Sigma2),MIN(MaxMultiple,Xm/(1-RAND())^(1/Alpha)))))</f>
        <v>0.98518884799197082</v>
      </c>
      <c r="I303" s="19">
        <f ca="1">IF(RAND()&lt;P_Zero,0,IF(RAND()&lt;CondReturn,_xlfn.LOGNORM.INV(RAND(),MV2,Sigma1),IF(RAND()&lt;CondGood,_xlfn.LOGNORM.INV(RAND(),MV3,Sigma2),MIN(MaxMultiple,Xm/(1-RAND())^(1/Alpha)))))</f>
        <v>0</v>
      </c>
      <c r="J303" s="19">
        <f ca="1">IF(RAND()&lt;P_Zero,0,IF(RAND()&lt;CondReturn,_xlfn.LOGNORM.INV(RAND(),MV2,Sigma1),IF(RAND()&lt;CondGood,_xlfn.LOGNORM.INV(RAND(),MV3,Sigma2),MIN(MaxMultiple,Xm/(1-RAND())^(1/Alpha)))))</f>
        <v>0</v>
      </c>
      <c r="K303" s="19">
        <f ca="1">IF(RAND()&lt;P_Zero,0,IF(RAND()&lt;CondReturn,_xlfn.LOGNORM.INV(RAND(),MV2,Sigma1),IF(RAND()&lt;CondGood,_xlfn.LOGNORM.INV(RAND(),MV3,Sigma2),MIN(MaxMultiple,Xm/(1-RAND())^(1/Alpha)))))</f>
        <v>1.2996764366813303</v>
      </c>
      <c r="L303" s="19">
        <f ca="1">IF(RAND()&lt;P_Zero,0,IF(RAND()&lt;CondReturn,_xlfn.LOGNORM.INV(RAND(),MV2,Sigma1),IF(RAND()&lt;CondGood,_xlfn.LOGNORM.INV(RAND(),MV3,Sigma2),MIN(MaxMultiple,Xm/(1-RAND())^(1/Alpha)))))</f>
        <v>0.83233877412042767</v>
      </c>
      <c r="M303" s="19">
        <f ca="1">IF(RAND()&lt;P_Zero,0,IF(RAND()&lt;CondReturn,_xlfn.LOGNORM.INV(RAND(),MV2,Sigma1),IF(RAND()&lt;CondGood,_xlfn.LOGNORM.INV(RAND(),MV3,Sigma2),MIN(MaxMultiple,Xm/(1-RAND())^(1/Alpha)))))</f>
        <v>0</v>
      </c>
      <c r="N303" s="19">
        <f ca="1">IF(RAND()&lt;P_Zero,0,IF(RAND()&lt;CondReturn,_xlfn.LOGNORM.INV(RAND(),MV2,Sigma1),IF(RAND()&lt;CondGood,_xlfn.LOGNORM.INV(RAND(),MV3,Sigma2),MIN(MaxMultiple,Xm/(1-RAND())^(1/Alpha)))))</f>
        <v>0</v>
      </c>
      <c r="O303" s="19">
        <f ca="1">IF(RAND()&lt;P_Zero,0,IF(RAND()&lt;CondReturn,_xlfn.LOGNORM.INV(RAND(),MV2,Sigma1),IF(RAND()&lt;CondGood,_xlfn.LOGNORM.INV(RAND(),MV3,Sigma2),MIN(MaxMultiple,Xm/(1-RAND())^(1/Alpha)))))</f>
        <v>0</v>
      </c>
      <c r="P303" s="19">
        <f ca="1">IF(RAND()&lt;P_Zero,0,IF(RAND()&lt;CondReturn,_xlfn.LOGNORM.INV(RAND(),MV2,Sigma1),IF(RAND()&lt;CondGood,_xlfn.LOGNORM.INV(RAND(),MV3,Sigma2),MIN(MaxMultiple,Xm/(1-RAND())^(1/Alpha)))))</f>
        <v>0</v>
      </c>
      <c r="Q303" s="19">
        <f ca="1">IF(RAND()&lt;P_Zero,0,IF(RAND()&lt;CondReturn,_xlfn.LOGNORM.INV(RAND(),MV2,Sigma1),IF(RAND()&lt;CondGood,_xlfn.LOGNORM.INV(RAND(),MV3,Sigma2),MIN(MaxMultiple,Xm/(1-RAND())^(1/Alpha)))))</f>
        <v>1.5653962637139376</v>
      </c>
      <c r="R303" s="19">
        <f ca="1">IF(RAND()&lt;P_Zero,0,IF(RAND()&lt;CondReturn,_xlfn.LOGNORM.INV(RAND(),MV2,Sigma1),IF(RAND()&lt;CondGood,_xlfn.LOGNORM.INV(RAND(),MV3,Sigma2),MIN(MaxMultiple,Xm/(1-RAND())^(1/Alpha)))))</f>
        <v>0.94397006633745562</v>
      </c>
      <c r="S303" s="19">
        <f ca="1">IF(RAND()&lt;P_Zero,0,IF(RAND()&lt;CondReturn,_xlfn.LOGNORM.INV(RAND(),MV2,Sigma1),IF(RAND()&lt;CondGood,_xlfn.LOGNORM.INV(RAND(),MV3,Sigma2),MIN(MaxMultiple,Xm/(1-RAND())^(1/Alpha)))))</f>
        <v>0</v>
      </c>
      <c r="T303" s="19">
        <f ca="1">IF(RAND()&lt;P_Zero,0,IF(RAND()&lt;CondReturn,_xlfn.LOGNORM.INV(RAND(),MV2,Sigma1),IF(RAND()&lt;CondGood,_xlfn.LOGNORM.INV(RAND(),MV3,Sigma2),MIN(MaxMultiple,Xm/(1-RAND())^(1/Alpha)))))</f>
        <v>0.42002472815780739</v>
      </c>
      <c r="U303" s="19">
        <f ca="1">IF(RAND()&lt;P_Zero,0,IF(RAND()&lt;CondReturn,_xlfn.LOGNORM.INV(RAND(),MV2,Sigma1),IF(RAND()&lt;CondGood,_xlfn.LOGNORM.INV(RAND(),MV3,Sigma2),MIN(MaxMultiple,Xm/(1-RAND())^(1/Alpha)))))</f>
        <v>0.62036482373198676</v>
      </c>
      <c r="V303" s="19">
        <f ca="1">IF(RAND()&lt;P_Zero,0,IF(RAND()&lt;CondReturn,_xlfn.LOGNORM.INV(RAND(),MV2,Sigma1),IF(RAND()&lt;CondGood,_xlfn.LOGNORM.INV(RAND(),MV3,Sigma2),MIN(MaxMultiple,Xm/(1-RAND())^(1/Alpha)))))</f>
        <v>0.90982322194761445</v>
      </c>
      <c r="W303" s="19">
        <f ca="1">IF(RAND()&lt;P_Zero,0,IF(RAND()&lt;CondReturn,_xlfn.LOGNORM.INV(RAND(),MV2,Sigma1),IF(RAND()&lt;CondGood,_xlfn.LOGNORM.INV(RAND(),MV3,Sigma2),MIN(MaxMultiple,Xm/(1-RAND())^(1/Alpha)))))</f>
        <v>0</v>
      </c>
      <c r="X303" s="19">
        <f ca="1">IF(RAND()&lt;P_Zero,0,IF(RAND()&lt;CondReturn,_xlfn.LOGNORM.INV(RAND(),MV2,Sigma1),IF(RAND()&lt;CondGood,_xlfn.LOGNORM.INV(RAND(),MV3,Sigma2),MIN(MaxMultiple,Xm/(1-RAND())^(1/Alpha)))))</f>
        <v>0.86444733908722071</v>
      </c>
      <c r="Y303" s="19">
        <f ca="1">IF(RAND()&lt;P_Zero,0,IF(RAND()&lt;CondReturn,_xlfn.LOGNORM.INV(RAND(),MV2,Sigma1),IF(RAND()&lt;CondGood,_xlfn.LOGNORM.INV(RAND(),MV3,Sigma2),MIN(MaxMultiple,Xm/(1-RAND())^(1/Alpha)))))</f>
        <v>0</v>
      </c>
      <c r="Z303" s="19">
        <f ca="1">IF(RAND()&lt;P_Zero,0,IF(RAND()&lt;CondReturn,_xlfn.LOGNORM.INV(RAND(),MV2,Sigma1),IF(RAND()&lt;CondGood,_xlfn.LOGNORM.INV(RAND(),MV3,Sigma2),MIN(MaxMultiple,Xm/(1-RAND())^(1/Alpha)))))</f>
        <v>0</v>
      </c>
      <c r="AA303" s="19">
        <f ca="1">IF(RAND()&lt;P_Zero,0,IF(RAND()&lt;CondReturn,_xlfn.LOGNORM.INV(RAND(),MV2,Sigma1),IF(RAND()&lt;CondGood,_xlfn.LOGNORM.INV(RAND(),MV3,Sigma2),MIN(MaxMultiple,Xm/(1-RAND())^(1/Alpha)))))</f>
        <v>0</v>
      </c>
      <c r="AB303" s="19">
        <f t="shared" ca="1" si="32"/>
        <v>0.43200998598551898</v>
      </c>
      <c r="AC303" s="14">
        <f t="shared" ca="1" si="33"/>
        <v>20736479.327304911</v>
      </c>
      <c r="AD303" s="14">
        <f t="shared" ca="1" si="34"/>
        <v>-27263520.672695089</v>
      </c>
      <c r="AE303" s="14">
        <f t="shared" si="35"/>
        <v>55628399.869093813</v>
      </c>
      <c r="AF303" s="14">
        <f t="shared" ca="1" si="36"/>
        <v>0</v>
      </c>
      <c r="AG303" s="14">
        <f t="shared" ca="1" si="37"/>
        <v>0</v>
      </c>
      <c r="AH303" s="14">
        <f t="shared" ca="1" si="38"/>
        <v>20736479.327304911</v>
      </c>
      <c r="AI303" s="19">
        <f t="shared" ca="1" si="39"/>
        <v>0.3456079887884152</v>
      </c>
    </row>
    <row r="304" spans="2:35" x14ac:dyDescent="0.2">
      <c r="B304" s="1">
        <v>299</v>
      </c>
      <c r="C304" s="19">
        <f ca="1">IF(RAND()&lt;P_Zero,0,IF(RAND()&lt;CondReturn,_xlfn.LOGNORM.INV(RAND(),MV2,Sigma1),IF(RAND()&lt;CondGood,_xlfn.LOGNORM.INV(RAND(),MV3,Sigma2),MIN(MaxMultiple,Xm/(1-RAND())^(1/Alpha)))))</f>
        <v>1.2445365642669557</v>
      </c>
      <c r="D304" s="19">
        <f ca="1">IF(RAND()&lt;P_Zero,0,IF(RAND()&lt;CondReturn,_xlfn.LOGNORM.INV(RAND(),MV2,Sigma1),IF(RAND()&lt;CondGood,_xlfn.LOGNORM.INV(RAND(),MV3,Sigma2),MIN(MaxMultiple,Xm/(1-RAND())^(1/Alpha)))))</f>
        <v>0</v>
      </c>
      <c r="E304" s="19">
        <f ca="1">IF(RAND()&lt;P_Zero,0,IF(RAND()&lt;CondReturn,_xlfn.LOGNORM.INV(RAND(),MV2,Sigma1),IF(RAND()&lt;CondGood,_xlfn.LOGNORM.INV(RAND(),MV3,Sigma2),MIN(MaxMultiple,Xm/(1-RAND())^(1/Alpha)))))</f>
        <v>0.96010176668773328</v>
      </c>
      <c r="F304" s="19">
        <f ca="1">IF(RAND()&lt;P_Zero,0,IF(RAND()&lt;CondReturn,_xlfn.LOGNORM.INV(RAND(),MV2,Sigma1),IF(RAND()&lt;CondGood,_xlfn.LOGNORM.INV(RAND(),MV3,Sigma2),MIN(MaxMultiple,Xm/(1-RAND())^(1/Alpha)))))</f>
        <v>0</v>
      </c>
      <c r="G304" s="19">
        <f ca="1">IF(RAND()&lt;P_Zero,0,IF(RAND()&lt;CondReturn,_xlfn.LOGNORM.INV(RAND(),MV2,Sigma1),IF(RAND()&lt;CondGood,_xlfn.LOGNORM.INV(RAND(),MV3,Sigma2),MIN(MaxMultiple,Xm/(1-RAND())^(1/Alpha)))))</f>
        <v>20.020420963498349</v>
      </c>
      <c r="H304" s="19">
        <f ca="1">IF(RAND()&lt;P_Zero,0,IF(RAND()&lt;CondReturn,_xlfn.LOGNORM.INV(RAND(),MV2,Sigma1),IF(RAND()&lt;CondGood,_xlfn.LOGNORM.INV(RAND(),MV3,Sigma2),MIN(MaxMultiple,Xm/(1-RAND())^(1/Alpha)))))</f>
        <v>1.6407779086355534</v>
      </c>
      <c r="I304" s="19">
        <f ca="1">IF(RAND()&lt;P_Zero,0,IF(RAND()&lt;CondReturn,_xlfn.LOGNORM.INV(RAND(),MV2,Sigma1),IF(RAND()&lt;CondGood,_xlfn.LOGNORM.INV(RAND(),MV3,Sigma2),MIN(MaxMultiple,Xm/(1-RAND())^(1/Alpha)))))</f>
        <v>1.3375343409630651</v>
      </c>
      <c r="J304" s="19">
        <f ca="1">IF(RAND()&lt;P_Zero,0,IF(RAND()&lt;CondReturn,_xlfn.LOGNORM.INV(RAND(),MV2,Sigma1),IF(RAND()&lt;CondGood,_xlfn.LOGNORM.INV(RAND(),MV3,Sigma2),MIN(MaxMultiple,Xm/(1-RAND())^(1/Alpha)))))</f>
        <v>0</v>
      </c>
      <c r="K304" s="19">
        <f ca="1">IF(RAND()&lt;P_Zero,0,IF(RAND()&lt;CondReturn,_xlfn.LOGNORM.INV(RAND(),MV2,Sigma1),IF(RAND()&lt;CondGood,_xlfn.LOGNORM.INV(RAND(),MV3,Sigma2),MIN(MaxMultiple,Xm/(1-RAND())^(1/Alpha)))))</f>
        <v>1.4184906893368219</v>
      </c>
      <c r="L304" s="19">
        <f ca="1">IF(RAND()&lt;P_Zero,0,IF(RAND()&lt;CondReturn,_xlfn.LOGNORM.INV(RAND(),MV2,Sigma1),IF(RAND()&lt;CondGood,_xlfn.LOGNORM.INV(RAND(),MV3,Sigma2),MIN(MaxMultiple,Xm/(1-RAND())^(1/Alpha)))))</f>
        <v>1.3058623885063521</v>
      </c>
      <c r="M304" s="19">
        <f ca="1">IF(RAND()&lt;P_Zero,0,IF(RAND()&lt;CondReturn,_xlfn.LOGNORM.INV(RAND(),MV2,Sigma1),IF(RAND()&lt;CondGood,_xlfn.LOGNORM.INV(RAND(),MV3,Sigma2),MIN(MaxMultiple,Xm/(1-RAND())^(1/Alpha)))))</f>
        <v>0</v>
      </c>
      <c r="N304" s="19">
        <f ca="1">IF(RAND()&lt;P_Zero,0,IF(RAND()&lt;CondReturn,_xlfn.LOGNORM.INV(RAND(),MV2,Sigma1),IF(RAND()&lt;CondGood,_xlfn.LOGNORM.INV(RAND(),MV3,Sigma2),MIN(MaxMultiple,Xm/(1-RAND())^(1/Alpha)))))</f>
        <v>1.1496465074307878</v>
      </c>
      <c r="O304" s="19">
        <f ca="1">IF(RAND()&lt;P_Zero,0,IF(RAND()&lt;CondReturn,_xlfn.LOGNORM.INV(RAND(),MV2,Sigma1),IF(RAND()&lt;CondGood,_xlfn.LOGNORM.INV(RAND(),MV3,Sigma2),MIN(MaxMultiple,Xm/(1-RAND())^(1/Alpha)))))</f>
        <v>0.48449836029648996</v>
      </c>
      <c r="P304" s="19">
        <f ca="1">IF(RAND()&lt;P_Zero,0,IF(RAND()&lt;CondReturn,_xlfn.LOGNORM.INV(RAND(),MV2,Sigma1),IF(RAND()&lt;CondGood,_xlfn.LOGNORM.INV(RAND(),MV3,Sigma2),MIN(MaxMultiple,Xm/(1-RAND())^(1/Alpha)))))</f>
        <v>0.92801122876497133</v>
      </c>
      <c r="Q304" s="19">
        <f ca="1">IF(RAND()&lt;P_Zero,0,IF(RAND()&lt;CondReturn,_xlfn.LOGNORM.INV(RAND(),MV2,Sigma1),IF(RAND()&lt;CondGood,_xlfn.LOGNORM.INV(RAND(),MV3,Sigma2),MIN(MaxMultiple,Xm/(1-RAND())^(1/Alpha)))))</f>
        <v>0.42029480377768558</v>
      </c>
      <c r="R304" s="19">
        <f ca="1">IF(RAND()&lt;P_Zero,0,IF(RAND()&lt;CondReturn,_xlfn.LOGNORM.INV(RAND(),MV2,Sigma1),IF(RAND()&lt;CondGood,_xlfn.LOGNORM.INV(RAND(),MV3,Sigma2),MIN(MaxMultiple,Xm/(1-RAND())^(1/Alpha)))))</f>
        <v>0</v>
      </c>
      <c r="S304" s="19">
        <f ca="1">IF(RAND()&lt;P_Zero,0,IF(RAND()&lt;CondReturn,_xlfn.LOGNORM.INV(RAND(),MV2,Sigma1),IF(RAND()&lt;CondGood,_xlfn.LOGNORM.INV(RAND(),MV3,Sigma2),MIN(MaxMultiple,Xm/(1-RAND())^(1/Alpha)))))</f>
        <v>0.74945562896908657</v>
      </c>
      <c r="T304" s="19">
        <f ca="1">IF(RAND()&lt;P_Zero,0,IF(RAND()&lt;CondReturn,_xlfn.LOGNORM.INV(RAND(),MV2,Sigma1),IF(RAND()&lt;CondGood,_xlfn.LOGNORM.INV(RAND(),MV3,Sigma2),MIN(MaxMultiple,Xm/(1-RAND())^(1/Alpha)))))</f>
        <v>10.203720197819964</v>
      </c>
      <c r="U304" s="19">
        <f ca="1">IF(RAND()&lt;P_Zero,0,IF(RAND()&lt;CondReturn,_xlfn.LOGNORM.INV(RAND(),MV2,Sigma1),IF(RAND()&lt;CondGood,_xlfn.LOGNORM.INV(RAND(),MV3,Sigma2),MIN(MaxMultiple,Xm/(1-RAND())^(1/Alpha)))))</f>
        <v>0.63142434463916342</v>
      </c>
      <c r="V304" s="19">
        <f ca="1">IF(RAND()&lt;P_Zero,0,IF(RAND()&lt;CondReturn,_xlfn.LOGNORM.INV(RAND(),MV2,Sigma1),IF(RAND()&lt;CondGood,_xlfn.LOGNORM.INV(RAND(),MV3,Sigma2),MIN(MaxMultiple,Xm/(1-RAND())^(1/Alpha)))))</f>
        <v>0</v>
      </c>
      <c r="W304" s="19">
        <f ca="1">IF(RAND()&lt;P_Zero,0,IF(RAND()&lt;CondReturn,_xlfn.LOGNORM.INV(RAND(),MV2,Sigma1),IF(RAND()&lt;CondGood,_xlfn.LOGNORM.INV(RAND(),MV3,Sigma2),MIN(MaxMultiple,Xm/(1-RAND())^(1/Alpha)))))</f>
        <v>2.4785552209660828</v>
      </c>
      <c r="X304" s="19">
        <f ca="1">IF(RAND()&lt;P_Zero,0,IF(RAND()&lt;CondReturn,_xlfn.LOGNORM.INV(RAND(),MV2,Sigma1),IF(RAND()&lt;CondGood,_xlfn.LOGNORM.INV(RAND(),MV3,Sigma2),MIN(MaxMultiple,Xm/(1-RAND())^(1/Alpha)))))</f>
        <v>49.83593081884603</v>
      </c>
      <c r="Y304" s="19">
        <f ca="1">IF(RAND()&lt;P_Zero,0,IF(RAND()&lt;CondReturn,_xlfn.LOGNORM.INV(RAND(),MV2,Sigma1),IF(RAND()&lt;CondGood,_xlfn.LOGNORM.INV(RAND(),MV3,Sigma2),MIN(MaxMultiple,Xm/(1-RAND())^(1/Alpha)))))</f>
        <v>0.9578391320161096</v>
      </c>
      <c r="Z304" s="19">
        <f ca="1">IF(RAND()&lt;P_Zero,0,IF(RAND()&lt;CondReturn,_xlfn.LOGNORM.INV(RAND(),MV2,Sigma1),IF(RAND()&lt;CondGood,_xlfn.LOGNORM.INV(RAND(),MV3,Sigma2),MIN(MaxMultiple,Xm/(1-RAND())^(1/Alpha)))))</f>
        <v>0.48511304077025097</v>
      </c>
      <c r="AA304" s="19">
        <f ca="1">IF(RAND()&lt;P_Zero,0,IF(RAND()&lt;CondReturn,_xlfn.LOGNORM.INV(RAND(),MV2,Sigma1),IF(RAND()&lt;CondGood,_xlfn.LOGNORM.INV(RAND(),MV3,Sigma2),MIN(MaxMultiple,Xm/(1-RAND())^(1/Alpha)))))</f>
        <v>0.83392790886548385</v>
      </c>
      <c r="AB304" s="19">
        <f t="shared" ca="1" si="32"/>
        <v>3.8834456726022775</v>
      </c>
      <c r="AC304" s="14">
        <f t="shared" ca="1" si="33"/>
        <v>186405392.28490931</v>
      </c>
      <c r="AD304" s="14">
        <f t="shared" ca="1" si="34"/>
        <v>138405392.28490931</v>
      </c>
      <c r="AE304" s="14">
        <f t="shared" si="35"/>
        <v>55628399.869093813</v>
      </c>
      <c r="AF304" s="14">
        <f t="shared" ca="1" si="36"/>
        <v>82776992.415815502</v>
      </c>
      <c r="AG304" s="14">
        <f t="shared" ca="1" si="37"/>
        <v>16555398.483163102</v>
      </c>
      <c r="AH304" s="14">
        <f t="shared" ca="1" si="38"/>
        <v>169849993.80174622</v>
      </c>
      <c r="AI304" s="19">
        <f t="shared" ca="1" si="39"/>
        <v>2.8308332300291035</v>
      </c>
    </row>
    <row r="305" spans="2:35" x14ac:dyDescent="0.2">
      <c r="B305" s="1">
        <v>300</v>
      </c>
      <c r="C305" s="19">
        <f ca="1">IF(RAND()&lt;P_Zero,0,IF(RAND()&lt;CondReturn,_xlfn.LOGNORM.INV(RAND(),MV2,Sigma1),IF(RAND()&lt;CondGood,_xlfn.LOGNORM.INV(RAND(),MV3,Sigma2),MIN(MaxMultiple,Xm/(1-RAND())^(1/Alpha)))))</f>
        <v>0</v>
      </c>
      <c r="D305" s="19">
        <f ca="1">IF(RAND()&lt;P_Zero,0,IF(RAND()&lt;CondReturn,_xlfn.LOGNORM.INV(RAND(),MV2,Sigma1),IF(RAND()&lt;CondGood,_xlfn.LOGNORM.INV(RAND(),MV3,Sigma2),MIN(MaxMultiple,Xm/(1-RAND())^(1/Alpha)))))</f>
        <v>2.4154106691491606</v>
      </c>
      <c r="E305" s="19">
        <f ca="1">IF(RAND()&lt;P_Zero,0,IF(RAND()&lt;CondReturn,_xlfn.LOGNORM.INV(RAND(),MV2,Sigma1),IF(RAND()&lt;CondGood,_xlfn.LOGNORM.INV(RAND(),MV3,Sigma2),MIN(MaxMultiple,Xm/(1-RAND())^(1/Alpha)))))</f>
        <v>0</v>
      </c>
      <c r="F305" s="19">
        <f ca="1">IF(RAND()&lt;P_Zero,0,IF(RAND()&lt;CondReturn,_xlfn.LOGNORM.INV(RAND(),MV2,Sigma1),IF(RAND()&lt;CondGood,_xlfn.LOGNORM.INV(RAND(),MV3,Sigma2),MIN(MaxMultiple,Xm/(1-RAND())^(1/Alpha)))))</f>
        <v>0.81037012977613798</v>
      </c>
      <c r="G305" s="19">
        <f ca="1">IF(RAND()&lt;P_Zero,0,IF(RAND()&lt;CondReturn,_xlfn.LOGNORM.INV(RAND(),MV2,Sigma1),IF(RAND()&lt;CondGood,_xlfn.LOGNORM.INV(RAND(),MV3,Sigma2),MIN(MaxMultiple,Xm/(1-RAND())^(1/Alpha)))))</f>
        <v>0.76525302045838794</v>
      </c>
      <c r="H305" s="19">
        <f ca="1">IF(RAND()&lt;P_Zero,0,IF(RAND()&lt;CondReturn,_xlfn.LOGNORM.INV(RAND(),MV2,Sigma1),IF(RAND()&lt;CondGood,_xlfn.LOGNORM.INV(RAND(),MV3,Sigma2),MIN(MaxMultiple,Xm/(1-RAND())^(1/Alpha)))))</f>
        <v>0</v>
      </c>
      <c r="I305" s="19">
        <f ca="1">IF(RAND()&lt;P_Zero,0,IF(RAND()&lt;CondReturn,_xlfn.LOGNORM.INV(RAND(),MV2,Sigma1),IF(RAND()&lt;CondGood,_xlfn.LOGNORM.INV(RAND(),MV3,Sigma2),MIN(MaxMultiple,Xm/(1-RAND())^(1/Alpha)))))</f>
        <v>27.356418366520234</v>
      </c>
      <c r="J305" s="19">
        <f ca="1">IF(RAND()&lt;P_Zero,0,IF(RAND()&lt;CondReturn,_xlfn.LOGNORM.INV(RAND(),MV2,Sigma1),IF(RAND()&lt;CondGood,_xlfn.LOGNORM.INV(RAND(),MV3,Sigma2),MIN(MaxMultiple,Xm/(1-RAND())^(1/Alpha)))))</f>
        <v>1.1265880133887194</v>
      </c>
      <c r="K305" s="19">
        <f ca="1">IF(RAND()&lt;P_Zero,0,IF(RAND()&lt;CondReturn,_xlfn.LOGNORM.INV(RAND(),MV2,Sigma1),IF(RAND()&lt;CondGood,_xlfn.LOGNORM.INV(RAND(),MV3,Sigma2),MIN(MaxMultiple,Xm/(1-RAND())^(1/Alpha)))))</f>
        <v>0</v>
      </c>
      <c r="L305" s="19">
        <f ca="1">IF(RAND()&lt;P_Zero,0,IF(RAND()&lt;CondReturn,_xlfn.LOGNORM.INV(RAND(),MV2,Sigma1),IF(RAND()&lt;CondGood,_xlfn.LOGNORM.INV(RAND(),MV3,Sigma2),MIN(MaxMultiple,Xm/(1-RAND())^(1/Alpha)))))</f>
        <v>0.4603168894197715</v>
      </c>
      <c r="M305" s="19">
        <f ca="1">IF(RAND()&lt;P_Zero,0,IF(RAND()&lt;CondReturn,_xlfn.LOGNORM.INV(RAND(),MV2,Sigma1),IF(RAND()&lt;CondGood,_xlfn.LOGNORM.INV(RAND(),MV3,Sigma2),MIN(MaxMultiple,Xm/(1-RAND())^(1/Alpha)))))</f>
        <v>21.776692640060372</v>
      </c>
      <c r="N305" s="19">
        <f ca="1">IF(RAND()&lt;P_Zero,0,IF(RAND()&lt;CondReturn,_xlfn.LOGNORM.INV(RAND(),MV2,Sigma1),IF(RAND()&lt;CondGood,_xlfn.LOGNORM.INV(RAND(),MV3,Sigma2),MIN(MaxMultiple,Xm/(1-RAND())^(1/Alpha)))))</f>
        <v>2.6731032708640829</v>
      </c>
      <c r="O305" s="19">
        <f ca="1">IF(RAND()&lt;P_Zero,0,IF(RAND()&lt;CondReturn,_xlfn.LOGNORM.INV(RAND(),MV2,Sigma1),IF(RAND()&lt;CondGood,_xlfn.LOGNORM.INV(RAND(),MV3,Sigma2),MIN(MaxMultiple,Xm/(1-RAND())^(1/Alpha)))))</f>
        <v>1.0376798177779876</v>
      </c>
      <c r="P305" s="19">
        <f ca="1">IF(RAND()&lt;P_Zero,0,IF(RAND()&lt;CondReturn,_xlfn.LOGNORM.INV(RAND(),MV2,Sigma1),IF(RAND()&lt;CondGood,_xlfn.LOGNORM.INV(RAND(),MV3,Sigma2),MIN(MaxMultiple,Xm/(1-RAND())^(1/Alpha)))))</f>
        <v>0</v>
      </c>
      <c r="Q305" s="19">
        <f ca="1">IF(RAND()&lt;P_Zero,0,IF(RAND()&lt;CondReturn,_xlfn.LOGNORM.INV(RAND(),MV2,Sigma1),IF(RAND()&lt;CondGood,_xlfn.LOGNORM.INV(RAND(),MV3,Sigma2),MIN(MaxMultiple,Xm/(1-RAND())^(1/Alpha)))))</f>
        <v>0</v>
      </c>
      <c r="R305" s="19">
        <f ca="1">IF(RAND()&lt;P_Zero,0,IF(RAND()&lt;CondReturn,_xlfn.LOGNORM.INV(RAND(),MV2,Sigma1),IF(RAND()&lt;CondGood,_xlfn.LOGNORM.INV(RAND(),MV3,Sigma2),MIN(MaxMultiple,Xm/(1-RAND())^(1/Alpha)))))</f>
        <v>0.7807673906573297</v>
      </c>
      <c r="S305" s="19">
        <f ca="1">IF(RAND()&lt;P_Zero,0,IF(RAND()&lt;CondReturn,_xlfn.LOGNORM.INV(RAND(),MV2,Sigma1),IF(RAND()&lt;CondGood,_xlfn.LOGNORM.INV(RAND(),MV3,Sigma2),MIN(MaxMultiple,Xm/(1-RAND())^(1/Alpha)))))</f>
        <v>0</v>
      </c>
      <c r="T305" s="19">
        <f ca="1">IF(RAND()&lt;P_Zero,0,IF(RAND()&lt;CondReturn,_xlfn.LOGNORM.INV(RAND(),MV2,Sigma1),IF(RAND()&lt;CondGood,_xlfn.LOGNORM.INV(RAND(),MV3,Sigma2),MIN(MaxMultiple,Xm/(1-RAND())^(1/Alpha)))))</f>
        <v>0.62166131231329702</v>
      </c>
      <c r="U305" s="19">
        <f ca="1">IF(RAND()&lt;P_Zero,0,IF(RAND()&lt;CondReturn,_xlfn.LOGNORM.INV(RAND(),MV2,Sigma1),IF(RAND()&lt;CondGood,_xlfn.LOGNORM.INV(RAND(),MV3,Sigma2),MIN(MaxMultiple,Xm/(1-RAND())^(1/Alpha)))))</f>
        <v>1.8016875747791221</v>
      </c>
      <c r="V305" s="19">
        <f ca="1">IF(RAND()&lt;P_Zero,0,IF(RAND()&lt;CondReturn,_xlfn.LOGNORM.INV(RAND(),MV2,Sigma1),IF(RAND()&lt;CondGood,_xlfn.LOGNORM.INV(RAND(),MV3,Sigma2),MIN(MaxMultiple,Xm/(1-RAND())^(1/Alpha)))))</f>
        <v>0.61764285557273657</v>
      </c>
      <c r="W305" s="19">
        <f ca="1">IF(RAND()&lt;P_Zero,0,IF(RAND()&lt;CondReturn,_xlfn.LOGNORM.INV(RAND(),MV2,Sigma1),IF(RAND()&lt;CondGood,_xlfn.LOGNORM.INV(RAND(),MV3,Sigma2),MIN(MaxMultiple,Xm/(1-RAND())^(1/Alpha)))))</f>
        <v>0</v>
      </c>
      <c r="X305" s="19">
        <f ca="1">IF(RAND()&lt;P_Zero,0,IF(RAND()&lt;CondReturn,_xlfn.LOGNORM.INV(RAND(),MV2,Sigma1),IF(RAND()&lt;CondGood,_xlfn.LOGNORM.INV(RAND(),MV3,Sigma2),MIN(MaxMultiple,Xm/(1-RAND())^(1/Alpha)))))</f>
        <v>1.2859260549730762</v>
      </c>
      <c r="Y305" s="19">
        <f ca="1">IF(RAND()&lt;P_Zero,0,IF(RAND()&lt;CondReturn,_xlfn.LOGNORM.INV(RAND(),MV2,Sigma1),IF(RAND()&lt;CondGood,_xlfn.LOGNORM.INV(RAND(),MV3,Sigma2),MIN(MaxMultiple,Xm/(1-RAND())^(1/Alpha)))))</f>
        <v>0.77076628068101649</v>
      </c>
      <c r="Z305" s="19">
        <f ca="1">IF(RAND()&lt;P_Zero,0,IF(RAND()&lt;CondReturn,_xlfn.LOGNORM.INV(RAND(),MV2,Sigma1),IF(RAND()&lt;CondGood,_xlfn.LOGNORM.INV(RAND(),MV3,Sigma2),MIN(MaxMultiple,Xm/(1-RAND())^(1/Alpha)))))</f>
        <v>0.63486269272144291</v>
      </c>
      <c r="AA305" s="19">
        <f ca="1">IF(RAND()&lt;P_Zero,0,IF(RAND()&lt;CondReturn,_xlfn.LOGNORM.INV(RAND(),MV2,Sigma1),IF(RAND()&lt;CondGood,_xlfn.LOGNORM.INV(RAND(),MV3,Sigma2),MIN(MaxMultiple,Xm/(1-RAND())^(1/Alpha)))))</f>
        <v>0</v>
      </c>
      <c r="AB305" s="19">
        <f t="shared" ca="1" si="32"/>
        <v>2.5974058791645156</v>
      </c>
      <c r="AC305" s="14">
        <f t="shared" ca="1" si="33"/>
        <v>124675482.19989675</v>
      </c>
      <c r="AD305" s="14">
        <f t="shared" ca="1" si="34"/>
        <v>76675482.199896753</v>
      </c>
      <c r="AE305" s="14">
        <f t="shared" si="35"/>
        <v>55628399.869093813</v>
      </c>
      <c r="AF305" s="14">
        <f t="shared" ca="1" si="36"/>
        <v>21047082.33080294</v>
      </c>
      <c r="AG305" s="14">
        <f t="shared" ca="1" si="37"/>
        <v>4209416.466160588</v>
      </c>
      <c r="AH305" s="14">
        <f t="shared" ca="1" si="38"/>
        <v>120466065.73373616</v>
      </c>
      <c r="AI305" s="19">
        <f t="shared" ca="1" si="39"/>
        <v>2.0077677622289358</v>
      </c>
    </row>
    <row r="306" spans="2:35" x14ac:dyDescent="0.2">
      <c r="B306" s="1">
        <v>301</v>
      </c>
      <c r="C306" s="19">
        <f ca="1">IF(RAND()&lt;P_Zero,0,IF(RAND()&lt;CondReturn,_xlfn.LOGNORM.INV(RAND(),MV2,Sigma1),IF(RAND()&lt;CondGood,_xlfn.LOGNORM.INV(RAND(),MV3,Sigma2),MIN(MaxMultiple,Xm/(1-RAND())^(1/Alpha)))))</f>
        <v>1.2796424929939405</v>
      </c>
      <c r="D306" s="19">
        <f ca="1">IF(RAND()&lt;P_Zero,0,IF(RAND()&lt;CondReturn,_xlfn.LOGNORM.INV(RAND(),MV2,Sigma1),IF(RAND()&lt;CondGood,_xlfn.LOGNORM.INV(RAND(),MV3,Sigma2),MIN(MaxMultiple,Xm/(1-RAND())^(1/Alpha)))))</f>
        <v>21.864804152013271</v>
      </c>
      <c r="E306" s="19">
        <f ca="1">IF(RAND()&lt;P_Zero,0,IF(RAND()&lt;CondReturn,_xlfn.LOGNORM.INV(RAND(),MV2,Sigma1),IF(RAND()&lt;CondGood,_xlfn.LOGNORM.INV(RAND(),MV3,Sigma2),MIN(MaxMultiple,Xm/(1-RAND())^(1/Alpha)))))</f>
        <v>0</v>
      </c>
      <c r="F306" s="19">
        <f ca="1">IF(RAND()&lt;P_Zero,0,IF(RAND()&lt;CondReturn,_xlfn.LOGNORM.INV(RAND(),MV2,Sigma1),IF(RAND()&lt;CondGood,_xlfn.LOGNORM.INV(RAND(),MV3,Sigma2),MIN(MaxMultiple,Xm/(1-RAND())^(1/Alpha)))))</f>
        <v>0.67774157110620858</v>
      </c>
      <c r="G306" s="19">
        <f ca="1">IF(RAND()&lt;P_Zero,0,IF(RAND()&lt;CondReturn,_xlfn.LOGNORM.INV(RAND(),MV2,Sigma1),IF(RAND()&lt;CondGood,_xlfn.LOGNORM.INV(RAND(),MV3,Sigma2),MIN(MaxMultiple,Xm/(1-RAND())^(1/Alpha)))))</f>
        <v>0.96297250973027615</v>
      </c>
      <c r="H306" s="19">
        <f ca="1">IF(RAND()&lt;P_Zero,0,IF(RAND()&lt;CondReturn,_xlfn.LOGNORM.INV(RAND(),MV2,Sigma1),IF(RAND()&lt;CondGood,_xlfn.LOGNORM.INV(RAND(),MV3,Sigma2),MIN(MaxMultiple,Xm/(1-RAND())^(1/Alpha)))))</f>
        <v>0</v>
      </c>
      <c r="I306" s="19">
        <f ca="1">IF(RAND()&lt;P_Zero,0,IF(RAND()&lt;CondReturn,_xlfn.LOGNORM.INV(RAND(),MV2,Sigma1),IF(RAND()&lt;CondGood,_xlfn.LOGNORM.INV(RAND(),MV3,Sigma2),MIN(MaxMultiple,Xm/(1-RAND())^(1/Alpha)))))</f>
        <v>0</v>
      </c>
      <c r="J306" s="19">
        <f ca="1">IF(RAND()&lt;P_Zero,0,IF(RAND()&lt;CondReturn,_xlfn.LOGNORM.INV(RAND(),MV2,Sigma1),IF(RAND()&lt;CondGood,_xlfn.LOGNORM.INV(RAND(),MV3,Sigma2),MIN(MaxMultiple,Xm/(1-RAND())^(1/Alpha)))))</f>
        <v>0</v>
      </c>
      <c r="K306" s="19">
        <f ca="1">IF(RAND()&lt;P_Zero,0,IF(RAND()&lt;CondReturn,_xlfn.LOGNORM.INV(RAND(),MV2,Sigma1),IF(RAND()&lt;CondGood,_xlfn.LOGNORM.INV(RAND(),MV3,Sigma2),MIN(MaxMultiple,Xm/(1-RAND())^(1/Alpha)))))</f>
        <v>0.48401623440998498</v>
      </c>
      <c r="L306" s="19">
        <f ca="1">IF(RAND()&lt;P_Zero,0,IF(RAND()&lt;CondReturn,_xlfn.LOGNORM.INV(RAND(),MV2,Sigma1),IF(RAND()&lt;CondGood,_xlfn.LOGNORM.INV(RAND(),MV3,Sigma2),MIN(MaxMultiple,Xm/(1-RAND())^(1/Alpha)))))</f>
        <v>11.392280011080171</v>
      </c>
      <c r="M306" s="19">
        <f ca="1">IF(RAND()&lt;P_Zero,0,IF(RAND()&lt;CondReturn,_xlfn.LOGNORM.INV(RAND(),MV2,Sigma1),IF(RAND()&lt;CondGood,_xlfn.LOGNORM.INV(RAND(),MV3,Sigma2),MIN(MaxMultiple,Xm/(1-RAND())^(1/Alpha)))))</f>
        <v>0.57256518419751967</v>
      </c>
      <c r="N306" s="19">
        <f ca="1">IF(RAND()&lt;P_Zero,0,IF(RAND()&lt;CondReturn,_xlfn.LOGNORM.INV(RAND(),MV2,Sigma1),IF(RAND()&lt;CondGood,_xlfn.LOGNORM.INV(RAND(),MV3,Sigma2),MIN(MaxMultiple,Xm/(1-RAND())^(1/Alpha)))))</f>
        <v>0</v>
      </c>
      <c r="O306" s="19">
        <f ca="1">IF(RAND()&lt;P_Zero,0,IF(RAND()&lt;CondReturn,_xlfn.LOGNORM.INV(RAND(),MV2,Sigma1),IF(RAND()&lt;CondGood,_xlfn.LOGNORM.INV(RAND(),MV3,Sigma2),MIN(MaxMultiple,Xm/(1-RAND())^(1/Alpha)))))</f>
        <v>0.68303284856133306</v>
      </c>
      <c r="P306" s="19">
        <f ca="1">IF(RAND()&lt;P_Zero,0,IF(RAND()&lt;CondReturn,_xlfn.LOGNORM.INV(RAND(),MV2,Sigma1),IF(RAND()&lt;CondGood,_xlfn.LOGNORM.INV(RAND(),MV3,Sigma2),MIN(MaxMultiple,Xm/(1-RAND())^(1/Alpha)))))</f>
        <v>0</v>
      </c>
      <c r="Q306" s="19">
        <f ca="1">IF(RAND()&lt;P_Zero,0,IF(RAND()&lt;CondReturn,_xlfn.LOGNORM.INV(RAND(),MV2,Sigma1),IF(RAND()&lt;CondGood,_xlfn.LOGNORM.INV(RAND(),MV3,Sigma2),MIN(MaxMultiple,Xm/(1-RAND())^(1/Alpha)))))</f>
        <v>0</v>
      </c>
      <c r="R306" s="19">
        <f ca="1">IF(RAND()&lt;P_Zero,0,IF(RAND()&lt;CondReturn,_xlfn.LOGNORM.INV(RAND(),MV2,Sigma1),IF(RAND()&lt;CondGood,_xlfn.LOGNORM.INV(RAND(),MV3,Sigma2),MIN(MaxMultiple,Xm/(1-RAND())^(1/Alpha)))))</f>
        <v>0.82463166606295057</v>
      </c>
      <c r="S306" s="19">
        <f ca="1">IF(RAND()&lt;P_Zero,0,IF(RAND()&lt;CondReturn,_xlfn.LOGNORM.INV(RAND(),MV2,Sigma1),IF(RAND()&lt;CondGood,_xlfn.LOGNORM.INV(RAND(),MV3,Sigma2),MIN(MaxMultiple,Xm/(1-RAND())^(1/Alpha)))))</f>
        <v>1.4831435909248945</v>
      </c>
      <c r="T306" s="19">
        <f ca="1">IF(RAND()&lt;P_Zero,0,IF(RAND()&lt;CondReturn,_xlfn.LOGNORM.INV(RAND(),MV2,Sigma1),IF(RAND()&lt;CondGood,_xlfn.LOGNORM.INV(RAND(),MV3,Sigma2),MIN(MaxMultiple,Xm/(1-RAND())^(1/Alpha)))))</f>
        <v>1.2236692401067597</v>
      </c>
      <c r="U306" s="19">
        <f ca="1">IF(RAND()&lt;P_Zero,0,IF(RAND()&lt;CondReturn,_xlfn.LOGNORM.INV(RAND(),MV2,Sigma1),IF(RAND()&lt;CondGood,_xlfn.LOGNORM.INV(RAND(),MV3,Sigma2),MIN(MaxMultiple,Xm/(1-RAND())^(1/Alpha)))))</f>
        <v>0.47891539688604179</v>
      </c>
      <c r="V306" s="19">
        <f ca="1">IF(RAND()&lt;P_Zero,0,IF(RAND()&lt;CondReturn,_xlfn.LOGNORM.INV(RAND(),MV2,Sigma1),IF(RAND()&lt;CondGood,_xlfn.LOGNORM.INV(RAND(),MV3,Sigma2),MIN(MaxMultiple,Xm/(1-RAND())^(1/Alpha)))))</f>
        <v>0.34437730163363722</v>
      </c>
      <c r="W306" s="19">
        <f ca="1">IF(RAND()&lt;P_Zero,0,IF(RAND()&lt;CondReturn,_xlfn.LOGNORM.INV(RAND(),MV2,Sigma1),IF(RAND()&lt;CondGood,_xlfn.LOGNORM.INV(RAND(),MV3,Sigma2),MIN(MaxMultiple,Xm/(1-RAND())^(1/Alpha)))))</f>
        <v>10.223533690468408</v>
      </c>
      <c r="X306" s="19">
        <f ca="1">IF(RAND()&lt;P_Zero,0,IF(RAND()&lt;CondReturn,_xlfn.LOGNORM.INV(RAND(),MV2,Sigma1),IF(RAND()&lt;CondGood,_xlfn.LOGNORM.INV(RAND(),MV3,Sigma2),MIN(MaxMultiple,Xm/(1-RAND())^(1/Alpha)))))</f>
        <v>1.8191010569204138</v>
      </c>
      <c r="Y306" s="19">
        <f ca="1">IF(RAND()&lt;P_Zero,0,IF(RAND()&lt;CondReturn,_xlfn.LOGNORM.INV(RAND(),MV2,Sigma1),IF(RAND()&lt;CondGood,_xlfn.LOGNORM.INV(RAND(),MV3,Sigma2),MIN(MaxMultiple,Xm/(1-RAND())^(1/Alpha)))))</f>
        <v>0</v>
      </c>
      <c r="Z306" s="19">
        <f ca="1">IF(RAND()&lt;P_Zero,0,IF(RAND()&lt;CondReturn,_xlfn.LOGNORM.INV(RAND(),MV2,Sigma1),IF(RAND()&lt;CondGood,_xlfn.LOGNORM.INV(RAND(),MV3,Sigma2),MIN(MaxMultiple,Xm/(1-RAND())^(1/Alpha)))))</f>
        <v>1.0219537318164515</v>
      </c>
      <c r="AA306" s="19">
        <f ca="1">IF(RAND()&lt;P_Zero,0,IF(RAND()&lt;CondReturn,_xlfn.LOGNORM.INV(RAND(),MV2,Sigma1),IF(RAND()&lt;CondGood,_xlfn.LOGNORM.INV(RAND(),MV3,Sigma2),MIN(MaxMultiple,Xm/(1-RAND())^(1/Alpha)))))</f>
        <v>0.38219646029574</v>
      </c>
      <c r="AB306" s="19">
        <f t="shared" ca="1" si="32"/>
        <v>2.2287430855683201</v>
      </c>
      <c r="AC306" s="14">
        <f t="shared" ca="1" si="33"/>
        <v>106979668.10727936</v>
      </c>
      <c r="AD306" s="14">
        <f t="shared" ca="1" si="34"/>
        <v>58979668.10727936</v>
      </c>
      <c r="AE306" s="14">
        <f t="shared" si="35"/>
        <v>55628399.869093813</v>
      </c>
      <c r="AF306" s="14">
        <f t="shared" ca="1" si="36"/>
        <v>3351268.2381855473</v>
      </c>
      <c r="AG306" s="14">
        <f t="shared" ca="1" si="37"/>
        <v>670253.64763710951</v>
      </c>
      <c r="AH306" s="14">
        <f t="shared" ca="1" si="38"/>
        <v>106309414.45964225</v>
      </c>
      <c r="AI306" s="19">
        <f t="shared" ca="1" si="39"/>
        <v>1.7718235743273707</v>
      </c>
    </row>
    <row r="307" spans="2:35" x14ac:dyDescent="0.2">
      <c r="B307" s="1">
        <v>302</v>
      </c>
      <c r="C307" s="19">
        <f ca="1">IF(RAND()&lt;P_Zero,0,IF(RAND()&lt;CondReturn,_xlfn.LOGNORM.INV(RAND(),MV2,Sigma1),IF(RAND()&lt;CondGood,_xlfn.LOGNORM.INV(RAND(),MV3,Sigma2),MIN(MaxMultiple,Xm/(1-RAND())^(1/Alpha)))))</f>
        <v>0</v>
      </c>
      <c r="D307" s="19">
        <f ca="1">IF(RAND()&lt;P_Zero,0,IF(RAND()&lt;CondReturn,_xlfn.LOGNORM.INV(RAND(),MV2,Sigma1),IF(RAND()&lt;CondGood,_xlfn.LOGNORM.INV(RAND(),MV3,Sigma2),MIN(MaxMultiple,Xm/(1-RAND())^(1/Alpha)))))</f>
        <v>0</v>
      </c>
      <c r="E307" s="19">
        <f ca="1">IF(RAND()&lt;P_Zero,0,IF(RAND()&lt;CondReturn,_xlfn.LOGNORM.INV(RAND(),MV2,Sigma1),IF(RAND()&lt;CondGood,_xlfn.LOGNORM.INV(RAND(),MV3,Sigma2),MIN(MaxMultiple,Xm/(1-RAND())^(1/Alpha)))))</f>
        <v>0</v>
      </c>
      <c r="F307" s="19">
        <f ca="1">IF(RAND()&lt;P_Zero,0,IF(RAND()&lt;CondReturn,_xlfn.LOGNORM.INV(RAND(),MV2,Sigma1),IF(RAND()&lt;CondGood,_xlfn.LOGNORM.INV(RAND(),MV3,Sigma2),MIN(MaxMultiple,Xm/(1-RAND())^(1/Alpha)))))</f>
        <v>0</v>
      </c>
      <c r="G307" s="19">
        <f ca="1">IF(RAND()&lt;P_Zero,0,IF(RAND()&lt;CondReturn,_xlfn.LOGNORM.INV(RAND(),MV2,Sigma1),IF(RAND()&lt;CondGood,_xlfn.LOGNORM.INV(RAND(),MV3,Sigma2),MIN(MaxMultiple,Xm/(1-RAND())^(1/Alpha)))))</f>
        <v>16.797731227970296</v>
      </c>
      <c r="H307" s="19">
        <f ca="1">IF(RAND()&lt;P_Zero,0,IF(RAND()&lt;CondReturn,_xlfn.LOGNORM.INV(RAND(),MV2,Sigma1),IF(RAND()&lt;CondGood,_xlfn.LOGNORM.INV(RAND(),MV3,Sigma2),MIN(MaxMultiple,Xm/(1-RAND())^(1/Alpha)))))</f>
        <v>0.55688154804861245</v>
      </c>
      <c r="I307" s="19">
        <f ca="1">IF(RAND()&lt;P_Zero,0,IF(RAND()&lt;CondReturn,_xlfn.LOGNORM.INV(RAND(),MV2,Sigma1),IF(RAND()&lt;CondGood,_xlfn.LOGNORM.INV(RAND(),MV3,Sigma2),MIN(MaxMultiple,Xm/(1-RAND())^(1/Alpha)))))</f>
        <v>34.77032045342807</v>
      </c>
      <c r="J307" s="19">
        <f ca="1">IF(RAND()&lt;P_Zero,0,IF(RAND()&lt;CondReturn,_xlfn.LOGNORM.INV(RAND(),MV2,Sigma1),IF(RAND()&lt;CondGood,_xlfn.LOGNORM.INV(RAND(),MV3,Sigma2),MIN(MaxMultiple,Xm/(1-RAND())^(1/Alpha)))))</f>
        <v>0.68596852384628426</v>
      </c>
      <c r="K307" s="19">
        <f ca="1">IF(RAND()&lt;P_Zero,0,IF(RAND()&lt;CondReturn,_xlfn.LOGNORM.INV(RAND(),MV2,Sigma1),IF(RAND()&lt;CondGood,_xlfn.LOGNORM.INV(RAND(),MV3,Sigma2),MIN(MaxMultiple,Xm/(1-RAND())^(1/Alpha)))))</f>
        <v>0</v>
      </c>
      <c r="L307" s="19">
        <f ca="1">IF(RAND()&lt;P_Zero,0,IF(RAND()&lt;CondReturn,_xlfn.LOGNORM.INV(RAND(),MV2,Sigma1),IF(RAND()&lt;CondGood,_xlfn.LOGNORM.INV(RAND(),MV3,Sigma2),MIN(MaxMultiple,Xm/(1-RAND())^(1/Alpha)))))</f>
        <v>0</v>
      </c>
      <c r="M307" s="19">
        <f ca="1">IF(RAND()&lt;P_Zero,0,IF(RAND()&lt;CondReturn,_xlfn.LOGNORM.INV(RAND(),MV2,Sigma1),IF(RAND()&lt;CondGood,_xlfn.LOGNORM.INV(RAND(),MV3,Sigma2),MIN(MaxMultiple,Xm/(1-RAND())^(1/Alpha)))))</f>
        <v>1.1093723070519592</v>
      </c>
      <c r="N307" s="19">
        <f ca="1">IF(RAND()&lt;P_Zero,0,IF(RAND()&lt;CondReturn,_xlfn.LOGNORM.INV(RAND(),MV2,Sigma1),IF(RAND()&lt;CondGood,_xlfn.LOGNORM.INV(RAND(),MV3,Sigma2),MIN(MaxMultiple,Xm/(1-RAND())^(1/Alpha)))))</f>
        <v>0</v>
      </c>
      <c r="O307" s="19">
        <f ca="1">IF(RAND()&lt;P_Zero,0,IF(RAND()&lt;CondReturn,_xlfn.LOGNORM.INV(RAND(),MV2,Sigma1),IF(RAND()&lt;CondGood,_xlfn.LOGNORM.INV(RAND(),MV3,Sigma2),MIN(MaxMultiple,Xm/(1-RAND())^(1/Alpha)))))</f>
        <v>0.73062101763153853</v>
      </c>
      <c r="P307" s="19">
        <f ca="1">IF(RAND()&lt;P_Zero,0,IF(RAND()&lt;CondReturn,_xlfn.LOGNORM.INV(RAND(),MV2,Sigma1),IF(RAND()&lt;CondGood,_xlfn.LOGNORM.INV(RAND(),MV3,Sigma2),MIN(MaxMultiple,Xm/(1-RAND())^(1/Alpha)))))</f>
        <v>0.78889144247312093</v>
      </c>
      <c r="Q307" s="19">
        <f ca="1">IF(RAND()&lt;P_Zero,0,IF(RAND()&lt;CondReturn,_xlfn.LOGNORM.INV(RAND(),MV2,Sigma1),IF(RAND()&lt;CondGood,_xlfn.LOGNORM.INV(RAND(),MV3,Sigma2),MIN(MaxMultiple,Xm/(1-RAND())^(1/Alpha)))))</f>
        <v>0.89185836553014375</v>
      </c>
      <c r="R307" s="19">
        <f ca="1">IF(RAND()&lt;P_Zero,0,IF(RAND()&lt;CondReturn,_xlfn.LOGNORM.INV(RAND(),MV2,Sigma1),IF(RAND()&lt;CondGood,_xlfn.LOGNORM.INV(RAND(),MV3,Sigma2),MIN(MaxMultiple,Xm/(1-RAND())^(1/Alpha)))))</f>
        <v>0</v>
      </c>
      <c r="S307" s="19">
        <f ca="1">IF(RAND()&lt;P_Zero,0,IF(RAND()&lt;CondReturn,_xlfn.LOGNORM.INV(RAND(),MV2,Sigma1),IF(RAND()&lt;CondGood,_xlfn.LOGNORM.INV(RAND(),MV3,Sigma2),MIN(MaxMultiple,Xm/(1-RAND())^(1/Alpha)))))</f>
        <v>2.5594323607424063</v>
      </c>
      <c r="T307" s="19">
        <f ca="1">IF(RAND()&lt;P_Zero,0,IF(RAND()&lt;CondReturn,_xlfn.LOGNORM.INV(RAND(),MV2,Sigma1),IF(RAND()&lt;CondGood,_xlfn.LOGNORM.INV(RAND(),MV3,Sigma2),MIN(MaxMultiple,Xm/(1-RAND())^(1/Alpha)))))</f>
        <v>0</v>
      </c>
      <c r="U307" s="19">
        <f ca="1">IF(RAND()&lt;P_Zero,0,IF(RAND()&lt;CondReturn,_xlfn.LOGNORM.INV(RAND(),MV2,Sigma1),IF(RAND()&lt;CondGood,_xlfn.LOGNORM.INV(RAND(),MV3,Sigma2),MIN(MaxMultiple,Xm/(1-RAND())^(1/Alpha)))))</f>
        <v>0</v>
      </c>
      <c r="V307" s="19">
        <f ca="1">IF(RAND()&lt;P_Zero,0,IF(RAND()&lt;CondReturn,_xlfn.LOGNORM.INV(RAND(),MV2,Sigma1),IF(RAND()&lt;CondGood,_xlfn.LOGNORM.INV(RAND(),MV3,Sigma2),MIN(MaxMultiple,Xm/(1-RAND())^(1/Alpha)))))</f>
        <v>0.9676641672369487</v>
      </c>
      <c r="W307" s="19">
        <f ca="1">IF(RAND()&lt;P_Zero,0,IF(RAND()&lt;CondReturn,_xlfn.LOGNORM.INV(RAND(),MV2,Sigma1),IF(RAND()&lt;CondGood,_xlfn.LOGNORM.INV(RAND(),MV3,Sigma2),MIN(MaxMultiple,Xm/(1-RAND())^(1/Alpha)))))</f>
        <v>0.7734774470090876</v>
      </c>
      <c r="X307" s="19">
        <f ca="1">IF(RAND()&lt;P_Zero,0,IF(RAND()&lt;CondReturn,_xlfn.LOGNORM.INV(RAND(),MV2,Sigma1),IF(RAND()&lt;CondGood,_xlfn.LOGNORM.INV(RAND(),MV3,Sigma2),MIN(MaxMultiple,Xm/(1-RAND())^(1/Alpha)))))</f>
        <v>0.57723782408424595</v>
      </c>
      <c r="Y307" s="19">
        <f ca="1">IF(RAND()&lt;P_Zero,0,IF(RAND()&lt;CondReturn,_xlfn.LOGNORM.INV(RAND(),MV2,Sigma1),IF(RAND()&lt;CondGood,_xlfn.LOGNORM.INV(RAND(),MV3,Sigma2),MIN(MaxMultiple,Xm/(1-RAND())^(1/Alpha)))))</f>
        <v>0</v>
      </c>
      <c r="Z307" s="19">
        <f ca="1">IF(RAND()&lt;P_Zero,0,IF(RAND()&lt;CondReturn,_xlfn.LOGNORM.INV(RAND(),MV2,Sigma1),IF(RAND()&lt;CondGood,_xlfn.LOGNORM.INV(RAND(),MV3,Sigma2),MIN(MaxMultiple,Xm/(1-RAND())^(1/Alpha)))))</f>
        <v>1.0137513241672538</v>
      </c>
      <c r="AA307" s="19">
        <f ca="1">IF(RAND()&lt;P_Zero,0,IF(RAND()&lt;CondReturn,_xlfn.LOGNORM.INV(RAND(),MV2,Sigma1),IF(RAND()&lt;CondGood,_xlfn.LOGNORM.INV(RAND(),MV3,Sigma2),MIN(MaxMultiple,Xm/(1-RAND())^(1/Alpha)))))</f>
        <v>0.50995432871839053</v>
      </c>
      <c r="AB307" s="19">
        <f t="shared" ca="1" si="32"/>
        <v>2.5093264935175341</v>
      </c>
      <c r="AC307" s="14">
        <f t="shared" ca="1" si="33"/>
        <v>120447671.68884164</v>
      </c>
      <c r="AD307" s="14">
        <f t="shared" ca="1" si="34"/>
        <v>72447671.688841641</v>
      </c>
      <c r="AE307" s="14">
        <f t="shared" si="35"/>
        <v>55628399.869093813</v>
      </c>
      <c r="AF307" s="14">
        <f t="shared" ca="1" si="36"/>
        <v>16819271.819747828</v>
      </c>
      <c r="AG307" s="14">
        <f t="shared" ca="1" si="37"/>
        <v>3363854.3639495657</v>
      </c>
      <c r="AH307" s="14">
        <f t="shared" ca="1" si="38"/>
        <v>117083817.32489207</v>
      </c>
      <c r="AI307" s="19">
        <f t="shared" ca="1" si="39"/>
        <v>1.9513969554148678</v>
      </c>
    </row>
    <row r="308" spans="2:35" x14ac:dyDescent="0.2">
      <c r="B308" s="1">
        <v>303</v>
      </c>
      <c r="C308" s="19">
        <f ca="1">IF(RAND()&lt;P_Zero,0,IF(RAND()&lt;CondReturn,_xlfn.LOGNORM.INV(RAND(),MV2,Sigma1),IF(RAND()&lt;CondGood,_xlfn.LOGNORM.INV(RAND(),MV3,Sigma2),MIN(MaxMultiple,Xm/(1-RAND())^(1/Alpha)))))</f>
        <v>0</v>
      </c>
      <c r="D308" s="19">
        <f ca="1">IF(RAND()&lt;P_Zero,0,IF(RAND()&lt;CondReturn,_xlfn.LOGNORM.INV(RAND(),MV2,Sigma1),IF(RAND()&lt;CondGood,_xlfn.LOGNORM.INV(RAND(),MV3,Sigma2),MIN(MaxMultiple,Xm/(1-RAND())^(1/Alpha)))))</f>
        <v>16.311346941978059</v>
      </c>
      <c r="E308" s="19">
        <f ca="1">IF(RAND()&lt;P_Zero,0,IF(RAND()&lt;CondReturn,_xlfn.LOGNORM.INV(RAND(),MV2,Sigma1),IF(RAND()&lt;CondGood,_xlfn.LOGNORM.INV(RAND(),MV3,Sigma2),MIN(MaxMultiple,Xm/(1-RAND())^(1/Alpha)))))</f>
        <v>0</v>
      </c>
      <c r="F308" s="19">
        <f ca="1">IF(RAND()&lt;P_Zero,0,IF(RAND()&lt;CondReturn,_xlfn.LOGNORM.INV(RAND(),MV2,Sigma1),IF(RAND()&lt;CondGood,_xlfn.LOGNORM.INV(RAND(),MV3,Sigma2),MIN(MaxMultiple,Xm/(1-RAND())^(1/Alpha)))))</f>
        <v>19.980423241880189</v>
      </c>
      <c r="G308" s="19">
        <f ca="1">IF(RAND()&lt;P_Zero,0,IF(RAND()&lt;CondReturn,_xlfn.LOGNORM.INV(RAND(),MV2,Sigma1),IF(RAND()&lt;CondGood,_xlfn.LOGNORM.INV(RAND(),MV3,Sigma2),MIN(MaxMultiple,Xm/(1-RAND())^(1/Alpha)))))</f>
        <v>0</v>
      </c>
      <c r="H308" s="19">
        <f ca="1">IF(RAND()&lt;P_Zero,0,IF(RAND()&lt;CondReturn,_xlfn.LOGNORM.INV(RAND(),MV2,Sigma1),IF(RAND()&lt;CondGood,_xlfn.LOGNORM.INV(RAND(),MV3,Sigma2),MIN(MaxMultiple,Xm/(1-RAND())^(1/Alpha)))))</f>
        <v>0.96930668279239629</v>
      </c>
      <c r="I308" s="19">
        <f ca="1">IF(RAND()&lt;P_Zero,0,IF(RAND()&lt;CondReturn,_xlfn.LOGNORM.INV(RAND(),MV2,Sigma1),IF(RAND()&lt;CondGood,_xlfn.LOGNORM.INV(RAND(),MV3,Sigma2),MIN(MaxMultiple,Xm/(1-RAND())^(1/Alpha)))))</f>
        <v>26.839951427848497</v>
      </c>
      <c r="J308" s="19">
        <f ca="1">IF(RAND()&lt;P_Zero,0,IF(RAND()&lt;CondReturn,_xlfn.LOGNORM.INV(RAND(),MV2,Sigma1),IF(RAND()&lt;CondGood,_xlfn.LOGNORM.INV(RAND(),MV3,Sigma2),MIN(MaxMultiple,Xm/(1-RAND())^(1/Alpha)))))</f>
        <v>55.93789396263918</v>
      </c>
      <c r="K308" s="19">
        <f ca="1">IF(RAND()&lt;P_Zero,0,IF(RAND()&lt;CondReturn,_xlfn.LOGNORM.INV(RAND(),MV2,Sigma1),IF(RAND()&lt;CondGood,_xlfn.LOGNORM.INV(RAND(),MV3,Sigma2),MIN(MaxMultiple,Xm/(1-RAND())^(1/Alpha)))))</f>
        <v>0.80620622138079157</v>
      </c>
      <c r="L308" s="19">
        <f ca="1">IF(RAND()&lt;P_Zero,0,IF(RAND()&lt;CondReturn,_xlfn.LOGNORM.INV(RAND(),MV2,Sigma1),IF(RAND()&lt;CondGood,_xlfn.LOGNORM.INV(RAND(),MV3,Sigma2),MIN(MaxMultiple,Xm/(1-RAND())^(1/Alpha)))))</f>
        <v>0</v>
      </c>
      <c r="M308" s="19">
        <f ca="1">IF(RAND()&lt;P_Zero,0,IF(RAND()&lt;CondReturn,_xlfn.LOGNORM.INV(RAND(),MV2,Sigma1),IF(RAND()&lt;CondGood,_xlfn.LOGNORM.INV(RAND(),MV3,Sigma2),MIN(MaxMultiple,Xm/(1-RAND())^(1/Alpha)))))</f>
        <v>0.4088444251397495</v>
      </c>
      <c r="N308" s="19">
        <f ca="1">IF(RAND()&lt;P_Zero,0,IF(RAND()&lt;CondReturn,_xlfn.LOGNORM.INV(RAND(),MV2,Sigma1),IF(RAND()&lt;CondGood,_xlfn.LOGNORM.INV(RAND(),MV3,Sigma2),MIN(MaxMultiple,Xm/(1-RAND())^(1/Alpha)))))</f>
        <v>0</v>
      </c>
      <c r="O308" s="19">
        <f ca="1">IF(RAND()&lt;P_Zero,0,IF(RAND()&lt;CondReturn,_xlfn.LOGNORM.INV(RAND(),MV2,Sigma1),IF(RAND()&lt;CondGood,_xlfn.LOGNORM.INV(RAND(),MV3,Sigma2),MIN(MaxMultiple,Xm/(1-RAND())^(1/Alpha)))))</f>
        <v>0</v>
      </c>
      <c r="P308" s="19">
        <f ca="1">IF(RAND()&lt;P_Zero,0,IF(RAND()&lt;CondReturn,_xlfn.LOGNORM.INV(RAND(),MV2,Sigma1),IF(RAND()&lt;CondGood,_xlfn.LOGNORM.INV(RAND(),MV3,Sigma2),MIN(MaxMultiple,Xm/(1-RAND())^(1/Alpha)))))</f>
        <v>0</v>
      </c>
      <c r="Q308" s="19">
        <f ca="1">IF(RAND()&lt;P_Zero,0,IF(RAND()&lt;CondReturn,_xlfn.LOGNORM.INV(RAND(),MV2,Sigma1),IF(RAND()&lt;CondGood,_xlfn.LOGNORM.INV(RAND(),MV3,Sigma2),MIN(MaxMultiple,Xm/(1-RAND())^(1/Alpha)))))</f>
        <v>0</v>
      </c>
      <c r="R308" s="19">
        <f ca="1">IF(RAND()&lt;P_Zero,0,IF(RAND()&lt;CondReturn,_xlfn.LOGNORM.INV(RAND(),MV2,Sigma1),IF(RAND()&lt;CondGood,_xlfn.LOGNORM.INV(RAND(),MV3,Sigma2),MIN(MaxMultiple,Xm/(1-RAND())^(1/Alpha)))))</f>
        <v>0.28839601133060017</v>
      </c>
      <c r="S308" s="19">
        <f ca="1">IF(RAND()&lt;P_Zero,0,IF(RAND()&lt;CondReturn,_xlfn.LOGNORM.INV(RAND(),MV2,Sigma1),IF(RAND()&lt;CondGood,_xlfn.LOGNORM.INV(RAND(),MV3,Sigma2),MIN(MaxMultiple,Xm/(1-RAND())^(1/Alpha)))))</f>
        <v>1.9194452093882877</v>
      </c>
      <c r="T308" s="19">
        <f ca="1">IF(RAND()&lt;P_Zero,0,IF(RAND()&lt;CondReturn,_xlfn.LOGNORM.INV(RAND(),MV2,Sigma1),IF(RAND()&lt;CondGood,_xlfn.LOGNORM.INV(RAND(),MV3,Sigma2),MIN(MaxMultiple,Xm/(1-RAND())^(1/Alpha)))))</f>
        <v>0.83567261019345718</v>
      </c>
      <c r="U308" s="19">
        <f ca="1">IF(RAND()&lt;P_Zero,0,IF(RAND()&lt;CondReturn,_xlfn.LOGNORM.INV(RAND(),MV2,Sigma1),IF(RAND()&lt;CondGood,_xlfn.LOGNORM.INV(RAND(),MV3,Sigma2),MIN(MaxMultiple,Xm/(1-RAND())^(1/Alpha)))))</f>
        <v>0.53933282279158745</v>
      </c>
      <c r="V308" s="19">
        <f ca="1">IF(RAND()&lt;P_Zero,0,IF(RAND()&lt;CondReturn,_xlfn.LOGNORM.INV(RAND(),MV2,Sigma1),IF(RAND()&lt;CondGood,_xlfn.LOGNORM.INV(RAND(),MV3,Sigma2),MIN(MaxMultiple,Xm/(1-RAND())^(1/Alpha)))))</f>
        <v>0</v>
      </c>
      <c r="W308" s="19">
        <f ca="1">IF(RAND()&lt;P_Zero,0,IF(RAND()&lt;CondReturn,_xlfn.LOGNORM.INV(RAND(),MV2,Sigma1),IF(RAND()&lt;CondGood,_xlfn.LOGNORM.INV(RAND(),MV3,Sigma2),MIN(MaxMultiple,Xm/(1-RAND())^(1/Alpha)))))</f>
        <v>0.72134319536218361</v>
      </c>
      <c r="X308" s="19">
        <f ca="1">IF(RAND()&lt;P_Zero,0,IF(RAND()&lt;CondReturn,_xlfn.LOGNORM.INV(RAND(),MV2,Sigma1),IF(RAND()&lt;CondGood,_xlfn.LOGNORM.INV(RAND(),MV3,Sigma2),MIN(MaxMultiple,Xm/(1-RAND())^(1/Alpha)))))</f>
        <v>1.8985055149456771</v>
      </c>
      <c r="Y308" s="19">
        <f ca="1">IF(RAND()&lt;P_Zero,0,IF(RAND()&lt;CondReturn,_xlfn.LOGNORM.INV(RAND(),MV2,Sigma1),IF(RAND()&lt;CondGood,_xlfn.LOGNORM.INV(RAND(),MV3,Sigma2),MIN(MaxMultiple,Xm/(1-RAND())^(1/Alpha)))))</f>
        <v>0</v>
      </c>
      <c r="Z308" s="19">
        <f ca="1">IF(RAND()&lt;P_Zero,0,IF(RAND()&lt;CondReturn,_xlfn.LOGNORM.INV(RAND(),MV2,Sigma1),IF(RAND()&lt;CondGood,_xlfn.LOGNORM.INV(RAND(),MV3,Sigma2),MIN(MaxMultiple,Xm/(1-RAND())^(1/Alpha)))))</f>
        <v>1.2380782451336014</v>
      </c>
      <c r="AA308" s="19">
        <f ca="1">IF(RAND()&lt;P_Zero,0,IF(RAND()&lt;CondReturn,_xlfn.LOGNORM.INV(RAND(),MV2,Sigma1),IF(RAND()&lt;CondGood,_xlfn.LOGNORM.INV(RAND(),MV3,Sigma2),MIN(MaxMultiple,Xm/(1-RAND())^(1/Alpha)))))</f>
        <v>0</v>
      </c>
      <c r="AB308" s="19">
        <f t="shared" ca="1" si="32"/>
        <v>5.1477898605121712</v>
      </c>
      <c r="AC308" s="14">
        <f t="shared" ca="1" si="33"/>
        <v>247093913.30458421</v>
      </c>
      <c r="AD308" s="14">
        <f t="shared" ca="1" si="34"/>
        <v>199093913.30458421</v>
      </c>
      <c r="AE308" s="14">
        <f t="shared" si="35"/>
        <v>55628399.869093813</v>
      </c>
      <c r="AF308" s="14">
        <f t="shared" ca="1" si="36"/>
        <v>143465513.4354904</v>
      </c>
      <c r="AG308" s="14">
        <f t="shared" ca="1" si="37"/>
        <v>28693102.687098082</v>
      </c>
      <c r="AH308" s="14">
        <f t="shared" ca="1" si="38"/>
        <v>218400810.61748612</v>
      </c>
      <c r="AI308" s="19">
        <f t="shared" ca="1" si="39"/>
        <v>3.6400135102914355</v>
      </c>
    </row>
    <row r="309" spans="2:35" x14ac:dyDescent="0.2">
      <c r="B309" s="1">
        <v>304</v>
      </c>
      <c r="C309" s="19">
        <f ca="1">IF(RAND()&lt;P_Zero,0,IF(RAND()&lt;CondReturn,_xlfn.LOGNORM.INV(RAND(),MV2,Sigma1),IF(RAND()&lt;CondGood,_xlfn.LOGNORM.INV(RAND(),MV3,Sigma2),MIN(MaxMultiple,Xm/(1-RAND())^(1/Alpha)))))</f>
        <v>0</v>
      </c>
      <c r="D309" s="19">
        <f ca="1">IF(RAND()&lt;P_Zero,0,IF(RAND()&lt;CondReturn,_xlfn.LOGNORM.INV(RAND(),MV2,Sigma1),IF(RAND()&lt;CondGood,_xlfn.LOGNORM.INV(RAND(),MV3,Sigma2),MIN(MaxMultiple,Xm/(1-RAND())^(1/Alpha)))))</f>
        <v>0.51400840869999753</v>
      </c>
      <c r="E309" s="19">
        <f ca="1">IF(RAND()&lt;P_Zero,0,IF(RAND()&lt;CondReturn,_xlfn.LOGNORM.INV(RAND(),MV2,Sigma1),IF(RAND()&lt;CondGood,_xlfn.LOGNORM.INV(RAND(),MV3,Sigma2),MIN(MaxMultiple,Xm/(1-RAND())^(1/Alpha)))))</f>
        <v>1.5836178926027178</v>
      </c>
      <c r="F309" s="19">
        <f ca="1">IF(RAND()&lt;P_Zero,0,IF(RAND()&lt;CondReturn,_xlfn.LOGNORM.INV(RAND(),MV2,Sigma1),IF(RAND()&lt;CondGood,_xlfn.LOGNORM.INV(RAND(),MV3,Sigma2),MIN(MaxMultiple,Xm/(1-RAND())^(1/Alpha)))))</f>
        <v>0</v>
      </c>
      <c r="G309" s="19">
        <f ca="1">IF(RAND()&lt;P_Zero,0,IF(RAND()&lt;CondReturn,_xlfn.LOGNORM.INV(RAND(),MV2,Sigma1),IF(RAND()&lt;CondGood,_xlfn.LOGNORM.INV(RAND(),MV3,Sigma2),MIN(MaxMultiple,Xm/(1-RAND())^(1/Alpha)))))</f>
        <v>0</v>
      </c>
      <c r="H309" s="19">
        <f ca="1">IF(RAND()&lt;P_Zero,0,IF(RAND()&lt;CondReturn,_xlfn.LOGNORM.INV(RAND(),MV2,Sigma1),IF(RAND()&lt;CondGood,_xlfn.LOGNORM.INV(RAND(),MV3,Sigma2),MIN(MaxMultiple,Xm/(1-RAND())^(1/Alpha)))))</f>
        <v>1.1525530655606593</v>
      </c>
      <c r="I309" s="19">
        <f ca="1">IF(RAND()&lt;P_Zero,0,IF(RAND()&lt;CondReturn,_xlfn.LOGNORM.INV(RAND(),MV2,Sigma1),IF(RAND()&lt;CondGood,_xlfn.LOGNORM.INV(RAND(),MV3,Sigma2),MIN(MaxMultiple,Xm/(1-RAND())^(1/Alpha)))))</f>
        <v>0.54062173029409333</v>
      </c>
      <c r="J309" s="19">
        <f ca="1">IF(RAND()&lt;P_Zero,0,IF(RAND()&lt;CondReturn,_xlfn.LOGNORM.INV(RAND(),MV2,Sigma1),IF(RAND()&lt;CondGood,_xlfn.LOGNORM.INV(RAND(),MV3,Sigma2),MIN(MaxMultiple,Xm/(1-RAND())^(1/Alpha)))))</f>
        <v>0</v>
      </c>
      <c r="K309" s="19">
        <f ca="1">IF(RAND()&lt;P_Zero,0,IF(RAND()&lt;CondReturn,_xlfn.LOGNORM.INV(RAND(),MV2,Sigma1),IF(RAND()&lt;CondGood,_xlfn.LOGNORM.INV(RAND(),MV3,Sigma2),MIN(MaxMultiple,Xm/(1-RAND())^(1/Alpha)))))</f>
        <v>0</v>
      </c>
      <c r="L309" s="19">
        <f ca="1">IF(RAND()&lt;P_Zero,0,IF(RAND()&lt;CondReturn,_xlfn.LOGNORM.INV(RAND(),MV2,Sigma1),IF(RAND()&lt;CondGood,_xlfn.LOGNORM.INV(RAND(),MV3,Sigma2),MIN(MaxMultiple,Xm/(1-RAND())^(1/Alpha)))))</f>
        <v>0</v>
      </c>
      <c r="M309" s="19">
        <f ca="1">IF(RAND()&lt;P_Zero,0,IF(RAND()&lt;CondReturn,_xlfn.LOGNORM.INV(RAND(),MV2,Sigma1),IF(RAND()&lt;CondGood,_xlfn.LOGNORM.INV(RAND(),MV3,Sigma2),MIN(MaxMultiple,Xm/(1-RAND())^(1/Alpha)))))</f>
        <v>0</v>
      </c>
      <c r="N309" s="19">
        <f ca="1">IF(RAND()&lt;P_Zero,0,IF(RAND()&lt;CondReturn,_xlfn.LOGNORM.INV(RAND(),MV2,Sigma1),IF(RAND()&lt;CondGood,_xlfn.LOGNORM.INV(RAND(),MV3,Sigma2),MIN(MaxMultiple,Xm/(1-RAND())^(1/Alpha)))))</f>
        <v>0</v>
      </c>
      <c r="O309" s="19">
        <f ca="1">IF(RAND()&lt;P_Zero,0,IF(RAND()&lt;CondReturn,_xlfn.LOGNORM.INV(RAND(),MV2,Sigma1),IF(RAND()&lt;CondGood,_xlfn.LOGNORM.INV(RAND(),MV3,Sigma2),MIN(MaxMultiple,Xm/(1-RAND())^(1/Alpha)))))</f>
        <v>0</v>
      </c>
      <c r="P309" s="19">
        <f ca="1">IF(RAND()&lt;P_Zero,0,IF(RAND()&lt;CondReturn,_xlfn.LOGNORM.INV(RAND(),MV2,Sigma1),IF(RAND()&lt;CondGood,_xlfn.LOGNORM.INV(RAND(),MV3,Sigma2),MIN(MaxMultiple,Xm/(1-RAND())^(1/Alpha)))))</f>
        <v>0.61836023612290714</v>
      </c>
      <c r="Q309" s="19">
        <f ca="1">IF(RAND()&lt;P_Zero,0,IF(RAND()&lt;CondReturn,_xlfn.LOGNORM.INV(RAND(),MV2,Sigma1),IF(RAND()&lt;CondGood,_xlfn.LOGNORM.INV(RAND(),MV3,Sigma2),MIN(MaxMultiple,Xm/(1-RAND())^(1/Alpha)))))</f>
        <v>1.6565373713805231</v>
      </c>
      <c r="R309" s="19">
        <f ca="1">IF(RAND()&lt;P_Zero,0,IF(RAND()&lt;CondReturn,_xlfn.LOGNORM.INV(RAND(),MV2,Sigma1),IF(RAND()&lt;CondGood,_xlfn.LOGNORM.INV(RAND(),MV3,Sigma2),MIN(MaxMultiple,Xm/(1-RAND())^(1/Alpha)))))</f>
        <v>1.9058857544380527</v>
      </c>
      <c r="S309" s="19">
        <f ca="1">IF(RAND()&lt;P_Zero,0,IF(RAND()&lt;CondReturn,_xlfn.LOGNORM.INV(RAND(),MV2,Sigma1),IF(RAND()&lt;CondGood,_xlfn.LOGNORM.INV(RAND(),MV3,Sigma2),MIN(MaxMultiple,Xm/(1-RAND())^(1/Alpha)))))</f>
        <v>0</v>
      </c>
      <c r="T309" s="19">
        <f ca="1">IF(RAND()&lt;P_Zero,0,IF(RAND()&lt;CondReturn,_xlfn.LOGNORM.INV(RAND(),MV2,Sigma1),IF(RAND()&lt;CondGood,_xlfn.LOGNORM.INV(RAND(),MV3,Sigma2),MIN(MaxMultiple,Xm/(1-RAND())^(1/Alpha)))))</f>
        <v>0.59665191460915212</v>
      </c>
      <c r="U309" s="19">
        <f ca="1">IF(RAND()&lt;P_Zero,0,IF(RAND()&lt;CondReturn,_xlfn.LOGNORM.INV(RAND(),MV2,Sigma1),IF(RAND()&lt;CondGood,_xlfn.LOGNORM.INV(RAND(),MV3,Sigma2),MIN(MaxMultiple,Xm/(1-RAND())^(1/Alpha)))))</f>
        <v>0</v>
      </c>
      <c r="V309" s="19">
        <f ca="1">IF(RAND()&lt;P_Zero,0,IF(RAND()&lt;CondReturn,_xlfn.LOGNORM.INV(RAND(),MV2,Sigma1),IF(RAND()&lt;CondGood,_xlfn.LOGNORM.INV(RAND(),MV3,Sigma2),MIN(MaxMultiple,Xm/(1-RAND())^(1/Alpha)))))</f>
        <v>0</v>
      </c>
      <c r="W309" s="19">
        <f ca="1">IF(RAND()&lt;P_Zero,0,IF(RAND()&lt;CondReturn,_xlfn.LOGNORM.INV(RAND(),MV2,Sigma1),IF(RAND()&lt;CondGood,_xlfn.LOGNORM.INV(RAND(),MV3,Sigma2),MIN(MaxMultiple,Xm/(1-RAND())^(1/Alpha)))))</f>
        <v>1.1659920901249106</v>
      </c>
      <c r="X309" s="19">
        <f ca="1">IF(RAND()&lt;P_Zero,0,IF(RAND()&lt;CondReturn,_xlfn.LOGNORM.INV(RAND(),MV2,Sigma1),IF(RAND()&lt;CondGood,_xlfn.LOGNORM.INV(RAND(),MV3,Sigma2),MIN(MaxMultiple,Xm/(1-RAND())^(1/Alpha)))))</f>
        <v>0</v>
      </c>
      <c r="Y309" s="19">
        <f ca="1">IF(RAND()&lt;P_Zero,0,IF(RAND()&lt;CondReturn,_xlfn.LOGNORM.INV(RAND(),MV2,Sigma1),IF(RAND()&lt;CondGood,_xlfn.LOGNORM.INV(RAND(),MV3,Sigma2),MIN(MaxMultiple,Xm/(1-RAND())^(1/Alpha)))))</f>
        <v>1.8206926984806444</v>
      </c>
      <c r="Z309" s="19">
        <f ca="1">IF(RAND()&lt;P_Zero,0,IF(RAND()&lt;CondReturn,_xlfn.LOGNORM.INV(RAND(),MV2,Sigma1),IF(RAND()&lt;CondGood,_xlfn.LOGNORM.INV(RAND(),MV3,Sigma2),MIN(MaxMultiple,Xm/(1-RAND())^(1/Alpha)))))</f>
        <v>0.86467131860101487</v>
      </c>
      <c r="AA309" s="19">
        <f ca="1">IF(RAND()&lt;P_Zero,0,IF(RAND()&lt;CondReturn,_xlfn.LOGNORM.INV(RAND(),MV2,Sigma1),IF(RAND()&lt;CondGood,_xlfn.LOGNORM.INV(RAND(),MV3,Sigma2),MIN(MaxMultiple,Xm/(1-RAND())^(1/Alpha)))))</f>
        <v>0</v>
      </c>
      <c r="AB309" s="19">
        <f t="shared" ca="1" si="32"/>
        <v>0.496783699236587</v>
      </c>
      <c r="AC309" s="14">
        <f t="shared" ca="1" si="33"/>
        <v>23845617.563356176</v>
      </c>
      <c r="AD309" s="14">
        <f t="shared" ca="1" si="34"/>
        <v>-24154382.436643824</v>
      </c>
      <c r="AE309" s="14">
        <f t="shared" si="35"/>
        <v>55628399.869093813</v>
      </c>
      <c r="AF309" s="14">
        <f t="shared" ca="1" si="36"/>
        <v>0</v>
      </c>
      <c r="AG309" s="14">
        <f t="shared" ca="1" si="37"/>
        <v>0</v>
      </c>
      <c r="AH309" s="14">
        <f t="shared" ca="1" si="38"/>
        <v>23845617.563356176</v>
      </c>
      <c r="AI309" s="19">
        <f t="shared" ca="1" si="39"/>
        <v>0.39742695938926959</v>
      </c>
    </row>
    <row r="310" spans="2:35" x14ac:dyDescent="0.2">
      <c r="B310" s="1">
        <v>305</v>
      </c>
      <c r="C310" s="19">
        <f ca="1">IF(RAND()&lt;P_Zero,0,IF(RAND()&lt;CondReturn,_xlfn.LOGNORM.INV(RAND(),MV2,Sigma1),IF(RAND()&lt;CondGood,_xlfn.LOGNORM.INV(RAND(),MV3,Sigma2),MIN(MaxMultiple,Xm/(1-RAND())^(1/Alpha)))))</f>
        <v>1.6172619941064348</v>
      </c>
      <c r="D310" s="19">
        <f ca="1">IF(RAND()&lt;P_Zero,0,IF(RAND()&lt;CondReturn,_xlfn.LOGNORM.INV(RAND(),MV2,Sigma1),IF(RAND()&lt;CondGood,_xlfn.LOGNORM.INV(RAND(),MV3,Sigma2),MIN(MaxMultiple,Xm/(1-RAND())^(1/Alpha)))))</f>
        <v>0.96233316494058263</v>
      </c>
      <c r="E310" s="19">
        <f ca="1">IF(RAND()&lt;P_Zero,0,IF(RAND()&lt;CondReturn,_xlfn.LOGNORM.INV(RAND(),MV2,Sigma1),IF(RAND()&lt;CondGood,_xlfn.LOGNORM.INV(RAND(),MV3,Sigma2),MIN(MaxMultiple,Xm/(1-RAND())^(1/Alpha)))))</f>
        <v>0</v>
      </c>
      <c r="F310" s="19">
        <f ca="1">IF(RAND()&lt;P_Zero,0,IF(RAND()&lt;CondReturn,_xlfn.LOGNORM.INV(RAND(),MV2,Sigma1),IF(RAND()&lt;CondGood,_xlfn.LOGNORM.INV(RAND(),MV3,Sigma2),MIN(MaxMultiple,Xm/(1-RAND())^(1/Alpha)))))</f>
        <v>0.66771786718192538</v>
      </c>
      <c r="G310" s="19">
        <f ca="1">IF(RAND()&lt;P_Zero,0,IF(RAND()&lt;CondReturn,_xlfn.LOGNORM.INV(RAND(),MV2,Sigma1),IF(RAND()&lt;CondGood,_xlfn.LOGNORM.INV(RAND(),MV3,Sigma2),MIN(MaxMultiple,Xm/(1-RAND())^(1/Alpha)))))</f>
        <v>0.76020223261688569</v>
      </c>
      <c r="H310" s="19">
        <f ca="1">IF(RAND()&lt;P_Zero,0,IF(RAND()&lt;CondReturn,_xlfn.LOGNORM.INV(RAND(),MV2,Sigma1),IF(RAND()&lt;CondGood,_xlfn.LOGNORM.INV(RAND(),MV3,Sigma2),MIN(MaxMultiple,Xm/(1-RAND())^(1/Alpha)))))</f>
        <v>0</v>
      </c>
      <c r="I310" s="19">
        <f ca="1">IF(RAND()&lt;P_Zero,0,IF(RAND()&lt;CondReturn,_xlfn.LOGNORM.INV(RAND(),MV2,Sigma1),IF(RAND()&lt;CondGood,_xlfn.LOGNORM.INV(RAND(),MV3,Sigma2),MIN(MaxMultiple,Xm/(1-RAND())^(1/Alpha)))))</f>
        <v>0.95042757543906131</v>
      </c>
      <c r="J310" s="19">
        <f ca="1">IF(RAND()&lt;P_Zero,0,IF(RAND()&lt;CondReturn,_xlfn.LOGNORM.INV(RAND(),MV2,Sigma1),IF(RAND()&lt;CondGood,_xlfn.LOGNORM.INV(RAND(),MV3,Sigma2),MIN(MaxMultiple,Xm/(1-RAND())^(1/Alpha)))))</f>
        <v>0.47384932655317258</v>
      </c>
      <c r="K310" s="19">
        <f ca="1">IF(RAND()&lt;P_Zero,0,IF(RAND()&lt;CondReturn,_xlfn.LOGNORM.INV(RAND(),MV2,Sigma1),IF(RAND()&lt;CondGood,_xlfn.LOGNORM.INV(RAND(),MV3,Sigma2),MIN(MaxMultiple,Xm/(1-RAND())^(1/Alpha)))))</f>
        <v>0</v>
      </c>
      <c r="L310" s="19">
        <f ca="1">IF(RAND()&lt;P_Zero,0,IF(RAND()&lt;CondReturn,_xlfn.LOGNORM.INV(RAND(),MV2,Sigma1),IF(RAND()&lt;CondGood,_xlfn.LOGNORM.INV(RAND(),MV3,Sigma2),MIN(MaxMultiple,Xm/(1-RAND())^(1/Alpha)))))</f>
        <v>0.69780943613744828</v>
      </c>
      <c r="M310" s="19">
        <f ca="1">IF(RAND()&lt;P_Zero,0,IF(RAND()&lt;CondReturn,_xlfn.LOGNORM.INV(RAND(),MV2,Sigma1),IF(RAND()&lt;CondGood,_xlfn.LOGNORM.INV(RAND(),MV3,Sigma2),MIN(MaxMultiple,Xm/(1-RAND())^(1/Alpha)))))</f>
        <v>0.76499164353265636</v>
      </c>
      <c r="N310" s="19">
        <f ca="1">IF(RAND()&lt;P_Zero,0,IF(RAND()&lt;CondReturn,_xlfn.LOGNORM.INV(RAND(),MV2,Sigma1),IF(RAND()&lt;CondGood,_xlfn.LOGNORM.INV(RAND(),MV3,Sigma2),MIN(MaxMultiple,Xm/(1-RAND())^(1/Alpha)))))</f>
        <v>0</v>
      </c>
      <c r="O310" s="19">
        <f ca="1">IF(RAND()&lt;P_Zero,0,IF(RAND()&lt;CondReturn,_xlfn.LOGNORM.INV(RAND(),MV2,Sigma1),IF(RAND()&lt;CondGood,_xlfn.LOGNORM.INV(RAND(),MV3,Sigma2),MIN(MaxMultiple,Xm/(1-RAND())^(1/Alpha)))))</f>
        <v>0</v>
      </c>
      <c r="P310" s="19">
        <f ca="1">IF(RAND()&lt;P_Zero,0,IF(RAND()&lt;CondReturn,_xlfn.LOGNORM.INV(RAND(),MV2,Sigma1),IF(RAND()&lt;CondGood,_xlfn.LOGNORM.INV(RAND(),MV3,Sigma2),MIN(MaxMultiple,Xm/(1-RAND())^(1/Alpha)))))</f>
        <v>0</v>
      </c>
      <c r="Q310" s="19">
        <f ca="1">IF(RAND()&lt;P_Zero,0,IF(RAND()&lt;CondReturn,_xlfn.LOGNORM.INV(RAND(),MV2,Sigma1),IF(RAND()&lt;CondGood,_xlfn.LOGNORM.INV(RAND(),MV3,Sigma2),MIN(MaxMultiple,Xm/(1-RAND())^(1/Alpha)))))</f>
        <v>1.3465856919546637</v>
      </c>
      <c r="R310" s="19">
        <f ca="1">IF(RAND()&lt;P_Zero,0,IF(RAND()&lt;CondReturn,_xlfn.LOGNORM.INV(RAND(),MV2,Sigma1),IF(RAND()&lt;CondGood,_xlfn.LOGNORM.INV(RAND(),MV3,Sigma2),MIN(MaxMultiple,Xm/(1-RAND())^(1/Alpha)))))</f>
        <v>0</v>
      </c>
      <c r="S310" s="19">
        <f ca="1">IF(RAND()&lt;P_Zero,0,IF(RAND()&lt;CondReturn,_xlfn.LOGNORM.INV(RAND(),MV2,Sigma1),IF(RAND()&lt;CondGood,_xlfn.LOGNORM.INV(RAND(),MV3,Sigma2),MIN(MaxMultiple,Xm/(1-RAND())^(1/Alpha)))))</f>
        <v>0</v>
      </c>
      <c r="T310" s="19">
        <f ca="1">IF(RAND()&lt;P_Zero,0,IF(RAND()&lt;CondReturn,_xlfn.LOGNORM.INV(RAND(),MV2,Sigma1),IF(RAND()&lt;CondGood,_xlfn.LOGNORM.INV(RAND(),MV3,Sigma2),MIN(MaxMultiple,Xm/(1-RAND())^(1/Alpha)))))</f>
        <v>0.78102235257376595</v>
      </c>
      <c r="U310" s="19">
        <f ca="1">IF(RAND()&lt;P_Zero,0,IF(RAND()&lt;CondReturn,_xlfn.LOGNORM.INV(RAND(),MV2,Sigma1),IF(RAND()&lt;CondGood,_xlfn.LOGNORM.INV(RAND(),MV3,Sigma2),MIN(MaxMultiple,Xm/(1-RAND())^(1/Alpha)))))</f>
        <v>1.1565059958492132</v>
      </c>
      <c r="V310" s="19">
        <f ca="1">IF(RAND()&lt;P_Zero,0,IF(RAND()&lt;CondReturn,_xlfn.LOGNORM.INV(RAND(),MV2,Sigma1),IF(RAND()&lt;CondGood,_xlfn.LOGNORM.INV(RAND(),MV3,Sigma2),MIN(MaxMultiple,Xm/(1-RAND())^(1/Alpha)))))</f>
        <v>0</v>
      </c>
      <c r="W310" s="19">
        <f ca="1">IF(RAND()&lt;P_Zero,0,IF(RAND()&lt;CondReturn,_xlfn.LOGNORM.INV(RAND(),MV2,Sigma1),IF(RAND()&lt;CondGood,_xlfn.LOGNORM.INV(RAND(),MV3,Sigma2),MIN(MaxMultiple,Xm/(1-RAND())^(1/Alpha)))))</f>
        <v>0.69936207721343169</v>
      </c>
      <c r="X310" s="19">
        <f ca="1">IF(RAND()&lt;P_Zero,0,IF(RAND()&lt;CondReturn,_xlfn.LOGNORM.INV(RAND(),MV2,Sigma1),IF(RAND()&lt;CondGood,_xlfn.LOGNORM.INV(RAND(),MV3,Sigma2),MIN(MaxMultiple,Xm/(1-RAND())^(1/Alpha)))))</f>
        <v>2.3766452306633545</v>
      </c>
      <c r="Y310" s="19">
        <f ca="1">IF(RAND()&lt;P_Zero,0,IF(RAND()&lt;CondReturn,_xlfn.LOGNORM.INV(RAND(),MV2,Sigma1),IF(RAND()&lt;CondGood,_xlfn.LOGNORM.INV(RAND(),MV3,Sigma2),MIN(MaxMultiple,Xm/(1-RAND())^(1/Alpha)))))</f>
        <v>0</v>
      </c>
      <c r="Z310" s="19">
        <f ca="1">IF(RAND()&lt;P_Zero,0,IF(RAND()&lt;CondReturn,_xlfn.LOGNORM.INV(RAND(),MV2,Sigma1),IF(RAND()&lt;CondGood,_xlfn.LOGNORM.INV(RAND(),MV3,Sigma2),MIN(MaxMultiple,Xm/(1-RAND())^(1/Alpha)))))</f>
        <v>0</v>
      </c>
      <c r="AA310" s="19">
        <f ca="1">IF(RAND()&lt;P_Zero,0,IF(RAND()&lt;CondReturn,_xlfn.LOGNORM.INV(RAND(),MV2,Sigma1),IF(RAND()&lt;CondGood,_xlfn.LOGNORM.INV(RAND(),MV3,Sigma2),MIN(MaxMultiple,Xm/(1-RAND())^(1/Alpha)))))</f>
        <v>0</v>
      </c>
      <c r="AB310" s="19">
        <f t="shared" ca="1" si="32"/>
        <v>0.53018858355050391</v>
      </c>
      <c r="AC310" s="14">
        <f t="shared" ca="1" si="33"/>
        <v>25449052.010424189</v>
      </c>
      <c r="AD310" s="14">
        <f t="shared" ca="1" si="34"/>
        <v>-22550947.989575811</v>
      </c>
      <c r="AE310" s="14">
        <f t="shared" si="35"/>
        <v>55628399.869093813</v>
      </c>
      <c r="AF310" s="14">
        <f t="shared" ca="1" si="36"/>
        <v>0</v>
      </c>
      <c r="AG310" s="14">
        <f t="shared" ca="1" si="37"/>
        <v>0</v>
      </c>
      <c r="AH310" s="14">
        <f t="shared" ca="1" si="38"/>
        <v>25449052.010424189</v>
      </c>
      <c r="AI310" s="19">
        <f t="shared" ca="1" si="39"/>
        <v>0.42415086684040315</v>
      </c>
    </row>
    <row r="311" spans="2:35" x14ac:dyDescent="0.2">
      <c r="B311" s="1">
        <v>306</v>
      </c>
      <c r="C311" s="19">
        <f ca="1">IF(RAND()&lt;P_Zero,0,IF(RAND()&lt;CondReturn,_xlfn.LOGNORM.INV(RAND(),MV2,Sigma1),IF(RAND()&lt;CondGood,_xlfn.LOGNORM.INV(RAND(),MV3,Sigma2),MIN(MaxMultiple,Xm/(1-RAND())^(1/Alpha)))))</f>
        <v>0.69197033025856947</v>
      </c>
      <c r="D311" s="19">
        <f ca="1">IF(RAND()&lt;P_Zero,0,IF(RAND()&lt;CondReturn,_xlfn.LOGNORM.INV(RAND(),MV2,Sigma1),IF(RAND()&lt;CondGood,_xlfn.LOGNORM.INV(RAND(),MV3,Sigma2),MIN(MaxMultiple,Xm/(1-RAND())^(1/Alpha)))))</f>
        <v>0</v>
      </c>
      <c r="E311" s="19">
        <f ca="1">IF(RAND()&lt;P_Zero,0,IF(RAND()&lt;CondReturn,_xlfn.LOGNORM.INV(RAND(),MV2,Sigma1),IF(RAND()&lt;CondGood,_xlfn.LOGNORM.INV(RAND(),MV3,Sigma2),MIN(MaxMultiple,Xm/(1-RAND())^(1/Alpha)))))</f>
        <v>0</v>
      </c>
      <c r="F311" s="19">
        <f ca="1">IF(RAND()&lt;P_Zero,0,IF(RAND()&lt;CondReturn,_xlfn.LOGNORM.INV(RAND(),MV2,Sigma1),IF(RAND()&lt;CondGood,_xlfn.LOGNORM.INV(RAND(),MV3,Sigma2),MIN(MaxMultiple,Xm/(1-RAND())^(1/Alpha)))))</f>
        <v>0</v>
      </c>
      <c r="G311" s="19">
        <f ca="1">IF(RAND()&lt;P_Zero,0,IF(RAND()&lt;CondReturn,_xlfn.LOGNORM.INV(RAND(),MV2,Sigma1),IF(RAND()&lt;CondGood,_xlfn.LOGNORM.INV(RAND(),MV3,Sigma2),MIN(MaxMultiple,Xm/(1-RAND())^(1/Alpha)))))</f>
        <v>0</v>
      </c>
      <c r="H311" s="19">
        <f ca="1">IF(RAND()&lt;P_Zero,0,IF(RAND()&lt;CondReturn,_xlfn.LOGNORM.INV(RAND(),MV2,Sigma1),IF(RAND()&lt;CondGood,_xlfn.LOGNORM.INV(RAND(),MV3,Sigma2),MIN(MaxMultiple,Xm/(1-RAND())^(1/Alpha)))))</f>
        <v>0</v>
      </c>
      <c r="I311" s="19">
        <f ca="1">IF(RAND()&lt;P_Zero,0,IF(RAND()&lt;CondReturn,_xlfn.LOGNORM.INV(RAND(),MV2,Sigma1),IF(RAND()&lt;CondGood,_xlfn.LOGNORM.INV(RAND(),MV3,Sigma2),MIN(MaxMultiple,Xm/(1-RAND())^(1/Alpha)))))</f>
        <v>1.2663040861667612</v>
      </c>
      <c r="J311" s="19">
        <f ca="1">IF(RAND()&lt;P_Zero,0,IF(RAND()&lt;CondReturn,_xlfn.LOGNORM.INV(RAND(),MV2,Sigma1),IF(RAND()&lt;CondGood,_xlfn.LOGNORM.INV(RAND(),MV3,Sigma2),MIN(MaxMultiple,Xm/(1-RAND())^(1/Alpha)))))</f>
        <v>0.56742921386468959</v>
      </c>
      <c r="K311" s="19">
        <f ca="1">IF(RAND()&lt;P_Zero,0,IF(RAND()&lt;CondReturn,_xlfn.LOGNORM.INV(RAND(),MV2,Sigma1),IF(RAND()&lt;CondGood,_xlfn.LOGNORM.INV(RAND(),MV3,Sigma2),MIN(MaxMultiple,Xm/(1-RAND())^(1/Alpha)))))</f>
        <v>0</v>
      </c>
      <c r="L311" s="19">
        <f ca="1">IF(RAND()&lt;P_Zero,0,IF(RAND()&lt;CondReturn,_xlfn.LOGNORM.INV(RAND(),MV2,Sigma1),IF(RAND()&lt;CondGood,_xlfn.LOGNORM.INV(RAND(),MV3,Sigma2),MIN(MaxMultiple,Xm/(1-RAND())^(1/Alpha)))))</f>
        <v>0.87386733211727208</v>
      </c>
      <c r="M311" s="19">
        <f ca="1">IF(RAND()&lt;P_Zero,0,IF(RAND()&lt;CondReturn,_xlfn.LOGNORM.INV(RAND(),MV2,Sigma1),IF(RAND()&lt;CondGood,_xlfn.LOGNORM.INV(RAND(),MV3,Sigma2),MIN(MaxMultiple,Xm/(1-RAND())^(1/Alpha)))))</f>
        <v>12.053325014188303</v>
      </c>
      <c r="N311" s="19">
        <f ca="1">IF(RAND()&lt;P_Zero,0,IF(RAND()&lt;CondReturn,_xlfn.LOGNORM.INV(RAND(),MV2,Sigma1),IF(RAND()&lt;CondGood,_xlfn.LOGNORM.INV(RAND(),MV3,Sigma2),MIN(MaxMultiple,Xm/(1-RAND())^(1/Alpha)))))</f>
        <v>1.3428886675809832</v>
      </c>
      <c r="O311" s="19">
        <f ca="1">IF(RAND()&lt;P_Zero,0,IF(RAND()&lt;CondReturn,_xlfn.LOGNORM.INV(RAND(),MV2,Sigma1),IF(RAND()&lt;CondGood,_xlfn.LOGNORM.INV(RAND(),MV3,Sigma2),MIN(MaxMultiple,Xm/(1-RAND())^(1/Alpha)))))</f>
        <v>0</v>
      </c>
      <c r="P311" s="19">
        <f ca="1">IF(RAND()&lt;P_Zero,0,IF(RAND()&lt;CondReturn,_xlfn.LOGNORM.INV(RAND(),MV2,Sigma1),IF(RAND()&lt;CondGood,_xlfn.LOGNORM.INV(RAND(),MV3,Sigma2),MIN(MaxMultiple,Xm/(1-RAND())^(1/Alpha)))))</f>
        <v>0.65606550109989148</v>
      </c>
      <c r="Q311" s="19">
        <f ca="1">IF(RAND()&lt;P_Zero,0,IF(RAND()&lt;CondReturn,_xlfn.LOGNORM.INV(RAND(),MV2,Sigma1),IF(RAND()&lt;CondGood,_xlfn.LOGNORM.INV(RAND(),MV3,Sigma2),MIN(MaxMultiple,Xm/(1-RAND())^(1/Alpha)))))</f>
        <v>0.44528463590229816</v>
      </c>
      <c r="R311" s="19">
        <f ca="1">IF(RAND()&lt;P_Zero,0,IF(RAND()&lt;CondReturn,_xlfn.LOGNORM.INV(RAND(),MV2,Sigma1),IF(RAND()&lt;CondGood,_xlfn.LOGNORM.INV(RAND(),MV3,Sigma2),MIN(MaxMultiple,Xm/(1-RAND())^(1/Alpha)))))</f>
        <v>0</v>
      </c>
      <c r="S311" s="19">
        <f ca="1">IF(RAND()&lt;P_Zero,0,IF(RAND()&lt;CondReturn,_xlfn.LOGNORM.INV(RAND(),MV2,Sigma1),IF(RAND()&lt;CondGood,_xlfn.LOGNORM.INV(RAND(),MV3,Sigma2),MIN(MaxMultiple,Xm/(1-RAND())^(1/Alpha)))))</f>
        <v>2.2435346032007555</v>
      </c>
      <c r="T311" s="19">
        <f ca="1">IF(RAND()&lt;P_Zero,0,IF(RAND()&lt;CondReturn,_xlfn.LOGNORM.INV(RAND(),MV2,Sigma1),IF(RAND()&lt;CondGood,_xlfn.LOGNORM.INV(RAND(),MV3,Sigma2),MIN(MaxMultiple,Xm/(1-RAND())^(1/Alpha)))))</f>
        <v>0.67142926500597988</v>
      </c>
      <c r="U311" s="19">
        <f ca="1">IF(RAND()&lt;P_Zero,0,IF(RAND()&lt;CondReturn,_xlfn.LOGNORM.INV(RAND(),MV2,Sigma1),IF(RAND()&lt;CondGood,_xlfn.LOGNORM.INV(RAND(),MV3,Sigma2),MIN(MaxMultiple,Xm/(1-RAND())^(1/Alpha)))))</f>
        <v>0</v>
      </c>
      <c r="V311" s="19">
        <f ca="1">IF(RAND()&lt;P_Zero,0,IF(RAND()&lt;CondReturn,_xlfn.LOGNORM.INV(RAND(),MV2,Sigma1),IF(RAND()&lt;CondGood,_xlfn.LOGNORM.INV(RAND(),MV3,Sigma2),MIN(MaxMultiple,Xm/(1-RAND())^(1/Alpha)))))</f>
        <v>0.69238951051317155</v>
      </c>
      <c r="W311" s="19">
        <f ca="1">IF(RAND()&lt;P_Zero,0,IF(RAND()&lt;CondReturn,_xlfn.LOGNORM.INV(RAND(),MV2,Sigma1),IF(RAND()&lt;CondGood,_xlfn.LOGNORM.INV(RAND(),MV3,Sigma2),MIN(MaxMultiple,Xm/(1-RAND())^(1/Alpha)))))</f>
        <v>0</v>
      </c>
      <c r="X311" s="19">
        <f ca="1">IF(RAND()&lt;P_Zero,0,IF(RAND()&lt;CondReturn,_xlfn.LOGNORM.INV(RAND(),MV2,Sigma1),IF(RAND()&lt;CondGood,_xlfn.LOGNORM.INV(RAND(),MV3,Sigma2),MIN(MaxMultiple,Xm/(1-RAND())^(1/Alpha)))))</f>
        <v>5.9537701229320934</v>
      </c>
      <c r="Y311" s="19">
        <f ca="1">IF(RAND()&lt;P_Zero,0,IF(RAND()&lt;CondReturn,_xlfn.LOGNORM.INV(RAND(),MV2,Sigma1),IF(RAND()&lt;CondGood,_xlfn.LOGNORM.INV(RAND(),MV3,Sigma2),MIN(MaxMultiple,Xm/(1-RAND())^(1/Alpha)))))</f>
        <v>0</v>
      </c>
      <c r="Z311" s="19">
        <f ca="1">IF(RAND()&lt;P_Zero,0,IF(RAND()&lt;CondReturn,_xlfn.LOGNORM.INV(RAND(),MV2,Sigma1),IF(RAND()&lt;CondGood,_xlfn.LOGNORM.INV(RAND(),MV3,Sigma2),MIN(MaxMultiple,Xm/(1-RAND())^(1/Alpha)))))</f>
        <v>1.0355157339955043</v>
      </c>
      <c r="AA311" s="19">
        <f ca="1">IF(RAND()&lt;P_Zero,0,IF(RAND()&lt;CondReturn,_xlfn.LOGNORM.INV(RAND(),MV2,Sigma1),IF(RAND()&lt;CondGood,_xlfn.LOGNORM.INV(RAND(),MV3,Sigma2),MIN(MaxMultiple,Xm/(1-RAND())^(1/Alpha)))))</f>
        <v>0.67728290482485098</v>
      </c>
      <c r="AB311" s="19">
        <f t="shared" ca="1" si="32"/>
        <v>1.1668422768660447</v>
      </c>
      <c r="AC311" s="14">
        <f t="shared" ca="1" si="33"/>
        <v>56008429.289570145</v>
      </c>
      <c r="AD311" s="14">
        <f t="shared" ca="1" si="34"/>
        <v>8008429.2895701453</v>
      </c>
      <c r="AE311" s="14">
        <f t="shared" si="35"/>
        <v>55628399.869093813</v>
      </c>
      <c r="AF311" s="14">
        <f t="shared" ca="1" si="36"/>
        <v>0</v>
      </c>
      <c r="AG311" s="14">
        <f t="shared" ca="1" si="37"/>
        <v>0</v>
      </c>
      <c r="AH311" s="14">
        <f t="shared" ca="1" si="38"/>
        <v>56008429.289570145</v>
      </c>
      <c r="AI311" s="19">
        <f t="shared" ca="1" si="39"/>
        <v>0.93347382149283575</v>
      </c>
    </row>
    <row r="312" spans="2:35" x14ac:dyDescent="0.2">
      <c r="B312" s="1">
        <v>307</v>
      </c>
      <c r="C312" s="19">
        <f ca="1">IF(RAND()&lt;P_Zero,0,IF(RAND()&lt;CondReturn,_xlfn.LOGNORM.INV(RAND(),MV2,Sigma1),IF(RAND()&lt;CondGood,_xlfn.LOGNORM.INV(RAND(),MV3,Sigma2),MIN(MaxMultiple,Xm/(1-RAND())^(1/Alpha)))))</f>
        <v>0</v>
      </c>
      <c r="D312" s="19">
        <f ca="1">IF(RAND()&lt;P_Zero,0,IF(RAND()&lt;CondReturn,_xlfn.LOGNORM.INV(RAND(),MV2,Sigma1),IF(RAND()&lt;CondGood,_xlfn.LOGNORM.INV(RAND(),MV3,Sigma2),MIN(MaxMultiple,Xm/(1-RAND())^(1/Alpha)))))</f>
        <v>1.0200004517744938</v>
      </c>
      <c r="E312" s="19">
        <f ca="1">IF(RAND()&lt;P_Zero,0,IF(RAND()&lt;CondReturn,_xlfn.LOGNORM.INV(RAND(),MV2,Sigma1),IF(RAND()&lt;CondGood,_xlfn.LOGNORM.INV(RAND(),MV3,Sigma2),MIN(MaxMultiple,Xm/(1-RAND())^(1/Alpha)))))</f>
        <v>0.59605471752048822</v>
      </c>
      <c r="F312" s="19">
        <f ca="1">IF(RAND()&lt;P_Zero,0,IF(RAND()&lt;CondReturn,_xlfn.LOGNORM.INV(RAND(),MV2,Sigma1),IF(RAND()&lt;CondGood,_xlfn.LOGNORM.INV(RAND(),MV3,Sigma2),MIN(MaxMultiple,Xm/(1-RAND())^(1/Alpha)))))</f>
        <v>1.399605953188251</v>
      </c>
      <c r="G312" s="19">
        <f ca="1">IF(RAND()&lt;P_Zero,0,IF(RAND()&lt;CondReturn,_xlfn.LOGNORM.INV(RAND(),MV2,Sigma1),IF(RAND()&lt;CondGood,_xlfn.LOGNORM.INV(RAND(),MV3,Sigma2),MIN(MaxMultiple,Xm/(1-RAND())^(1/Alpha)))))</f>
        <v>14.76661071574506</v>
      </c>
      <c r="H312" s="19">
        <f ca="1">IF(RAND()&lt;P_Zero,0,IF(RAND()&lt;CondReturn,_xlfn.LOGNORM.INV(RAND(),MV2,Sigma1),IF(RAND()&lt;CondGood,_xlfn.LOGNORM.INV(RAND(),MV3,Sigma2),MIN(MaxMultiple,Xm/(1-RAND())^(1/Alpha)))))</f>
        <v>0.90832972887315322</v>
      </c>
      <c r="I312" s="19">
        <f ca="1">IF(RAND()&lt;P_Zero,0,IF(RAND()&lt;CondReturn,_xlfn.LOGNORM.INV(RAND(),MV2,Sigma1),IF(RAND()&lt;CondGood,_xlfn.LOGNORM.INV(RAND(),MV3,Sigma2),MIN(MaxMultiple,Xm/(1-RAND())^(1/Alpha)))))</f>
        <v>22.565337321769881</v>
      </c>
      <c r="J312" s="19">
        <f ca="1">IF(RAND()&lt;P_Zero,0,IF(RAND()&lt;CondReturn,_xlfn.LOGNORM.INV(RAND(),MV2,Sigma1),IF(RAND()&lt;CondGood,_xlfn.LOGNORM.INV(RAND(),MV3,Sigma2),MIN(MaxMultiple,Xm/(1-RAND())^(1/Alpha)))))</f>
        <v>0</v>
      </c>
      <c r="K312" s="19">
        <f ca="1">IF(RAND()&lt;P_Zero,0,IF(RAND()&lt;CondReturn,_xlfn.LOGNORM.INV(RAND(),MV2,Sigma1),IF(RAND()&lt;CondGood,_xlfn.LOGNORM.INV(RAND(),MV3,Sigma2),MIN(MaxMultiple,Xm/(1-RAND())^(1/Alpha)))))</f>
        <v>0</v>
      </c>
      <c r="L312" s="19">
        <f ca="1">IF(RAND()&lt;P_Zero,0,IF(RAND()&lt;CondReturn,_xlfn.LOGNORM.INV(RAND(),MV2,Sigma1),IF(RAND()&lt;CondGood,_xlfn.LOGNORM.INV(RAND(),MV3,Sigma2),MIN(MaxMultiple,Xm/(1-RAND())^(1/Alpha)))))</f>
        <v>13.826988521038929</v>
      </c>
      <c r="M312" s="19">
        <f ca="1">IF(RAND()&lt;P_Zero,0,IF(RAND()&lt;CondReturn,_xlfn.LOGNORM.INV(RAND(),MV2,Sigma1),IF(RAND()&lt;CondGood,_xlfn.LOGNORM.INV(RAND(),MV3,Sigma2),MIN(MaxMultiple,Xm/(1-RAND())^(1/Alpha)))))</f>
        <v>0</v>
      </c>
      <c r="N312" s="19">
        <f ca="1">IF(RAND()&lt;P_Zero,0,IF(RAND()&lt;CondReturn,_xlfn.LOGNORM.INV(RAND(),MV2,Sigma1),IF(RAND()&lt;CondGood,_xlfn.LOGNORM.INV(RAND(),MV3,Sigma2),MIN(MaxMultiple,Xm/(1-RAND())^(1/Alpha)))))</f>
        <v>1.2423866364965543</v>
      </c>
      <c r="O312" s="19">
        <f ca="1">IF(RAND()&lt;P_Zero,0,IF(RAND()&lt;CondReturn,_xlfn.LOGNORM.INV(RAND(),MV2,Sigma1),IF(RAND()&lt;CondGood,_xlfn.LOGNORM.INV(RAND(),MV3,Sigma2),MIN(MaxMultiple,Xm/(1-RAND())^(1/Alpha)))))</f>
        <v>25.573501183793685</v>
      </c>
      <c r="P312" s="19">
        <f ca="1">IF(RAND()&lt;P_Zero,0,IF(RAND()&lt;CondReturn,_xlfn.LOGNORM.INV(RAND(),MV2,Sigma1),IF(RAND()&lt;CondGood,_xlfn.LOGNORM.INV(RAND(),MV3,Sigma2),MIN(MaxMultiple,Xm/(1-RAND())^(1/Alpha)))))</f>
        <v>1.2928186324554289</v>
      </c>
      <c r="Q312" s="19">
        <f ca="1">IF(RAND()&lt;P_Zero,0,IF(RAND()&lt;CondReturn,_xlfn.LOGNORM.INV(RAND(),MV2,Sigma1),IF(RAND()&lt;CondGood,_xlfn.LOGNORM.INV(RAND(),MV3,Sigma2),MIN(MaxMultiple,Xm/(1-RAND())^(1/Alpha)))))</f>
        <v>0.8536139915844656</v>
      </c>
      <c r="R312" s="19">
        <f ca="1">IF(RAND()&lt;P_Zero,0,IF(RAND()&lt;CondReturn,_xlfn.LOGNORM.INV(RAND(),MV2,Sigma1),IF(RAND()&lt;CondGood,_xlfn.LOGNORM.INV(RAND(),MV3,Sigma2),MIN(MaxMultiple,Xm/(1-RAND())^(1/Alpha)))))</f>
        <v>0</v>
      </c>
      <c r="S312" s="19">
        <f ca="1">IF(RAND()&lt;P_Zero,0,IF(RAND()&lt;CondReturn,_xlfn.LOGNORM.INV(RAND(),MV2,Sigma1),IF(RAND()&lt;CondGood,_xlfn.LOGNORM.INV(RAND(),MV3,Sigma2),MIN(MaxMultiple,Xm/(1-RAND())^(1/Alpha)))))</f>
        <v>0.91127515143198101</v>
      </c>
      <c r="T312" s="19">
        <f ca="1">IF(RAND()&lt;P_Zero,0,IF(RAND()&lt;CondReturn,_xlfn.LOGNORM.INV(RAND(),MV2,Sigma1),IF(RAND()&lt;CondGood,_xlfn.LOGNORM.INV(RAND(),MV3,Sigma2),MIN(MaxMultiple,Xm/(1-RAND())^(1/Alpha)))))</f>
        <v>0</v>
      </c>
      <c r="U312" s="19">
        <f ca="1">IF(RAND()&lt;P_Zero,0,IF(RAND()&lt;CondReturn,_xlfn.LOGNORM.INV(RAND(),MV2,Sigma1),IF(RAND()&lt;CondGood,_xlfn.LOGNORM.INV(RAND(),MV3,Sigma2),MIN(MaxMultiple,Xm/(1-RAND())^(1/Alpha)))))</f>
        <v>0.52483403315949639</v>
      </c>
      <c r="V312" s="19">
        <f ca="1">IF(RAND()&lt;P_Zero,0,IF(RAND()&lt;CondReturn,_xlfn.LOGNORM.INV(RAND(),MV2,Sigma1),IF(RAND()&lt;CondGood,_xlfn.LOGNORM.INV(RAND(),MV3,Sigma2),MIN(MaxMultiple,Xm/(1-RAND())^(1/Alpha)))))</f>
        <v>0.70665939651548271</v>
      </c>
      <c r="W312" s="19">
        <f ca="1">IF(RAND()&lt;P_Zero,0,IF(RAND()&lt;CondReturn,_xlfn.LOGNORM.INV(RAND(),MV2,Sigma1),IF(RAND()&lt;CondGood,_xlfn.LOGNORM.INV(RAND(),MV3,Sigma2),MIN(MaxMultiple,Xm/(1-RAND())^(1/Alpha)))))</f>
        <v>1.5330870580646982</v>
      </c>
      <c r="X312" s="19">
        <f ca="1">IF(RAND()&lt;P_Zero,0,IF(RAND()&lt;CondReturn,_xlfn.LOGNORM.INV(RAND(),MV2,Sigma1),IF(RAND()&lt;CondGood,_xlfn.LOGNORM.INV(RAND(),MV3,Sigma2),MIN(MaxMultiple,Xm/(1-RAND())^(1/Alpha)))))</f>
        <v>0.72219282244858818</v>
      </c>
      <c r="Y312" s="19">
        <f ca="1">IF(RAND()&lt;P_Zero,0,IF(RAND()&lt;CondReturn,_xlfn.LOGNORM.INV(RAND(),MV2,Sigma1),IF(RAND()&lt;CondGood,_xlfn.LOGNORM.INV(RAND(),MV3,Sigma2),MIN(MaxMultiple,Xm/(1-RAND())^(1/Alpha)))))</f>
        <v>0.99434154433968669</v>
      </c>
      <c r="Z312" s="19">
        <f ca="1">IF(RAND()&lt;P_Zero,0,IF(RAND()&lt;CondReturn,_xlfn.LOGNORM.INV(RAND(),MV2,Sigma1),IF(RAND()&lt;CondGood,_xlfn.LOGNORM.INV(RAND(),MV3,Sigma2),MIN(MaxMultiple,Xm/(1-RAND())^(1/Alpha)))))</f>
        <v>1.5063037155829255</v>
      </c>
      <c r="AA312" s="19">
        <f ca="1">IF(RAND()&lt;P_Zero,0,IF(RAND()&lt;CondReturn,_xlfn.LOGNORM.INV(RAND(),MV2,Sigma1),IF(RAND()&lt;CondGood,_xlfn.LOGNORM.INV(RAND(),MV3,Sigma2),MIN(MaxMultiple,Xm/(1-RAND())^(1/Alpha)))))</f>
        <v>0</v>
      </c>
      <c r="AB312" s="19">
        <f t="shared" ca="1" si="32"/>
        <v>3.6377576630313295</v>
      </c>
      <c r="AC312" s="14">
        <f t="shared" ca="1" si="33"/>
        <v>174612367.82550383</v>
      </c>
      <c r="AD312" s="14">
        <f t="shared" ca="1" si="34"/>
        <v>126612367.82550383</v>
      </c>
      <c r="AE312" s="14">
        <f t="shared" si="35"/>
        <v>55628399.869093813</v>
      </c>
      <c r="AF312" s="14">
        <f t="shared" ca="1" si="36"/>
        <v>70983967.956410021</v>
      </c>
      <c r="AG312" s="14">
        <f t="shared" ca="1" si="37"/>
        <v>14196793.591282004</v>
      </c>
      <c r="AH312" s="14">
        <f t="shared" ca="1" si="38"/>
        <v>160415574.23422182</v>
      </c>
      <c r="AI312" s="19">
        <f t="shared" ca="1" si="39"/>
        <v>2.673592903903697</v>
      </c>
    </row>
    <row r="313" spans="2:35" x14ac:dyDescent="0.2">
      <c r="B313" s="1">
        <v>308</v>
      </c>
      <c r="C313" s="19">
        <f ca="1">IF(RAND()&lt;P_Zero,0,IF(RAND()&lt;CondReturn,_xlfn.LOGNORM.INV(RAND(),MV2,Sigma1),IF(RAND()&lt;CondGood,_xlfn.LOGNORM.INV(RAND(),MV3,Sigma2),MIN(MaxMultiple,Xm/(1-RAND())^(1/Alpha)))))</f>
        <v>0</v>
      </c>
      <c r="D313" s="19">
        <f ca="1">IF(RAND()&lt;P_Zero,0,IF(RAND()&lt;CondReturn,_xlfn.LOGNORM.INV(RAND(),MV2,Sigma1),IF(RAND()&lt;CondGood,_xlfn.LOGNORM.INV(RAND(),MV3,Sigma2),MIN(MaxMultiple,Xm/(1-RAND())^(1/Alpha)))))</f>
        <v>0</v>
      </c>
      <c r="E313" s="19">
        <f ca="1">IF(RAND()&lt;P_Zero,0,IF(RAND()&lt;CondReturn,_xlfn.LOGNORM.INV(RAND(),MV2,Sigma1),IF(RAND()&lt;CondGood,_xlfn.LOGNORM.INV(RAND(),MV3,Sigma2),MIN(MaxMultiple,Xm/(1-RAND())^(1/Alpha)))))</f>
        <v>0.52619570881858113</v>
      </c>
      <c r="F313" s="19">
        <f ca="1">IF(RAND()&lt;P_Zero,0,IF(RAND()&lt;CondReturn,_xlfn.LOGNORM.INV(RAND(),MV2,Sigma1),IF(RAND()&lt;CondGood,_xlfn.LOGNORM.INV(RAND(),MV3,Sigma2),MIN(MaxMultiple,Xm/(1-RAND())^(1/Alpha)))))</f>
        <v>0</v>
      </c>
      <c r="G313" s="19">
        <f ca="1">IF(RAND()&lt;P_Zero,0,IF(RAND()&lt;CondReturn,_xlfn.LOGNORM.INV(RAND(),MV2,Sigma1),IF(RAND()&lt;CondGood,_xlfn.LOGNORM.INV(RAND(),MV3,Sigma2),MIN(MaxMultiple,Xm/(1-RAND())^(1/Alpha)))))</f>
        <v>0</v>
      </c>
      <c r="H313" s="19">
        <f ca="1">IF(RAND()&lt;P_Zero,0,IF(RAND()&lt;CondReturn,_xlfn.LOGNORM.INV(RAND(),MV2,Sigma1),IF(RAND()&lt;CondGood,_xlfn.LOGNORM.INV(RAND(),MV3,Sigma2),MIN(MaxMultiple,Xm/(1-RAND())^(1/Alpha)))))</f>
        <v>1.1093252952129442</v>
      </c>
      <c r="I313" s="19">
        <f ca="1">IF(RAND()&lt;P_Zero,0,IF(RAND()&lt;CondReturn,_xlfn.LOGNORM.INV(RAND(),MV2,Sigma1),IF(RAND()&lt;CondGood,_xlfn.LOGNORM.INV(RAND(),MV3,Sigma2),MIN(MaxMultiple,Xm/(1-RAND())^(1/Alpha)))))</f>
        <v>25.7553235980393</v>
      </c>
      <c r="J313" s="19">
        <f ca="1">IF(RAND()&lt;P_Zero,0,IF(RAND()&lt;CondReturn,_xlfn.LOGNORM.INV(RAND(),MV2,Sigma1),IF(RAND()&lt;CondGood,_xlfn.LOGNORM.INV(RAND(),MV3,Sigma2),MIN(MaxMultiple,Xm/(1-RAND())^(1/Alpha)))))</f>
        <v>0</v>
      </c>
      <c r="K313" s="19">
        <f ca="1">IF(RAND()&lt;P_Zero,0,IF(RAND()&lt;CondReturn,_xlfn.LOGNORM.INV(RAND(),MV2,Sigma1),IF(RAND()&lt;CondGood,_xlfn.LOGNORM.INV(RAND(),MV3,Sigma2),MIN(MaxMultiple,Xm/(1-RAND())^(1/Alpha)))))</f>
        <v>0</v>
      </c>
      <c r="L313" s="19">
        <f ca="1">IF(RAND()&lt;P_Zero,0,IF(RAND()&lt;CondReturn,_xlfn.LOGNORM.INV(RAND(),MV2,Sigma1),IF(RAND()&lt;CondGood,_xlfn.LOGNORM.INV(RAND(),MV3,Sigma2),MIN(MaxMultiple,Xm/(1-RAND())^(1/Alpha)))))</f>
        <v>12.087761502424581</v>
      </c>
      <c r="M313" s="19">
        <f ca="1">IF(RAND()&lt;P_Zero,0,IF(RAND()&lt;CondReturn,_xlfn.LOGNORM.INV(RAND(),MV2,Sigma1),IF(RAND()&lt;CondGood,_xlfn.LOGNORM.INV(RAND(),MV3,Sigma2),MIN(MaxMultiple,Xm/(1-RAND())^(1/Alpha)))))</f>
        <v>1.9388751350943589</v>
      </c>
      <c r="N313" s="19">
        <f ca="1">IF(RAND()&lt;P_Zero,0,IF(RAND()&lt;CondReturn,_xlfn.LOGNORM.INV(RAND(),MV2,Sigma1),IF(RAND()&lt;CondGood,_xlfn.LOGNORM.INV(RAND(),MV3,Sigma2),MIN(MaxMultiple,Xm/(1-RAND())^(1/Alpha)))))</f>
        <v>1.940406962305127</v>
      </c>
      <c r="O313" s="19">
        <f ca="1">IF(RAND()&lt;P_Zero,0,IF(RAND()&lt;CondReturn,_xlfn.LOGNORM.INV(RAND(),MV2,Sigma1),IF(RAND()&lt;CondGood,_xlfn.LOGNORM.INV(RAND(),MV3,Sigma2),MIN(MaxMultiple,Xm/(1-RAND())^(1/Alpha)))))</f>
        <v>0</v>
      </c>
      <c r="P313" s="19">
        <f ca="1">IF(RAND()&lt;P_Zero,0,IF(RAND()&lt;CondReturn,_xlfn.LOGNORM.INV(RAND(),MV2,Sigma1),IF(RAND()&lt;CondGood,_xlfn.LOGNORM.INV(RAND(),MV3,Sigma2),MIN(MaxMultiple,Xm/(1-RAND())^(1/Alpha)))))</f>
        <v>1.093111986488325</v>
      </c>
      <c r="Q313" s="19">
        <f ca="1">IF(RAND()&lt;P_Zero,0,IF(RAND()&lt;CondReturn,_xlfn.LOGNORM.INV(RAND(),MV2,Sigma1),IF(RAND()&lt;CondGood,_xlfn.LOGNORM.INV(RAND(),MV3,Sigma2),MIN(MaxMultiple,Xm/(1-RAND())^(1/Alpha)))))</f>
        <v>0.51615687247255782</v>
      </c>
      <c r="R313" s="19">
        <f ca="1">IF(RAND()&lt;P_Zero,0,IF(RAND()&lt;CondReturn,_xlfn.LOGNORM.INV(RAND(),MV2,Sigma1),IF(RAND()&lt;CondGood,_xlfn.LOGNORM.INV(RAND(),MV3,Sigma2),MIN(MaxMultiple,Xm/(1-RAND())^(1/Alpha)))))</f>
        <v>2.0921143102166799</v>
      </c>
      <c r="S313" s="19">
        <f ca="1">IF(RAND()&lt;P_Zero,0,IF(RAND()&lt;CondReturn,_xlfn.LOGNORM.INV(RAND(),MV2,Sigma1),IF(RAND()&lt;CondGood,_xlfn.LOGNORM.INV(RAND(),MV3,Sigma2),MIN(MaxMultiple,Xm/(1-RAND())^(1/Alpha)))))</f>
        <v>0</v>
      </c>
      <c r="T313" s="19">
        <f ca="1">IF(RAND()&lt;P_Zero,0,IF(RAND()&lt;CondReturn,_xlfn.LOGNORM.INV(RAND(),MV2,Sigma1),IF(RAND()&lt;CondGood,_xlfn.LOGNORM.INV(RAND(),MV3,Sigma2),MIN(MaxMultiple,Xm/(1-RAND())^(1/Alpha)))))</f>
        <v>1.3344427532253358</v>
      </c>
      <c r="U313" s="19">
        <f ca="1">IF(RAND()&lt;P_Zero,0,IF(RAND()&lt;CondReturn,_xlfn.LOGNORM.INV(RAND(),MV2,Sigma1),IF(RAND()&lt;CondGood,_xlfn.LOGNORM.INV(RAND(),MV3,Sigma2),MIN(MaxMultiple,Xm/(1-RAND())^(1/Alpha)))))</f>
        <v>0.67805317907989548</v>
      </c>
      <c r="V313" s="19">
        <f ca="1">IF(RAND()&lt;P_Zero,0,IF(RAND()&lt;CondReturn,_xlfn.LOGNORM.INV(RAND(),MV2,Sigma1),IF(RAND()&lt;CondGood,_xlfn.LOGNORM.INV(RAND(),MV3,Sigma2),MIN(MaxMultiple,Xm/(1-RAND())^(1/Alpha)))))</f>
        <v>0.95524406740557732</v>
      </c>
      <c r="W313" s="19">
        <f ca="1">IF(RAND()&lt;P_Zero,0,IF(RAND()&lt;CondReturn,_xlfn.LOGNORM.INV(RAND(),MV2,Sigma1),IF(RAND()&lt;CondGood,_xlfn.LOGNORM.INV(RAND(),MV3,Sigma2),MIN(MaxMultiple,Xm/(1-RAND())^(1/Alpha)))))</f>
        <v>0</v>
      </c>
      <c r="X313" s="19">
        <f ca="1">IF(RAND()&lt;P_Zero,0,IF(RAND()&lt;CondReturn,_xlfn.LOGNORM.INV(RAND(),MV2,Sigma1),IF(RAND()&lt;CondGood,_xlfn.LOGNORM.INV(RAND(),MV3,Sigma2),MIN(MaxMultiple,Xm/(1-RAND())^(1/Alpha)))))</f>
        <v>1.8956077240561997</v>
      </c>
      <c r="Y313" s="19">
        <f ca="1">IF(RAND()&lt;P_Zero,0,IF(RAND()&lt;CondReturn,_xlfn.LOGNORM.INV(RAND(),MV2,Sigma1),IF(RAND()&lt;CondGood,_xlfn.LOGNORM.INV(RAND(),MV3,Sigma2),MIN(MaxMultiple,Xm/(1-RAND())^(1/Alpha)))))</f>
        <v>1.166109144841343</v>
      </c>
      <c r="Z313" s="19">
        <f ca="1">IF(RAND()&lt;P_Zero,0,IF(RAND()&lt;CondReturn,_xlfn.LOGNORM.INV(RAND(),MV2,Sigma1),IF(RAND()&lt;CondGood,_xlfn.LOGNORM.INV(RAND(),MV3,Sigma2),MIN(MaxMultiple,Xm/(1-RAND())^(1/Alpha)))))</f>
        <v>0.43777274390504478</v>
      </c>
      <c r="AA313" s="19">
        <f ca="1">IF(RAND()&lt;P_Zero,0,IF(RAND()&lt;CondReturn,_xlfn.LOGNORM.INV(RAND(),MV2,Sigma1),IF(RAND()&lt;CondGood,_xlfn.LOGNORM.INV(RAND(),MV3,Sigma2),MIN(MaxMultiple,Xm/(1-RAND())^(1/Alpha)))))</f>
        <v>1.3185391194841547</v>
      </c>
      <c r="AB313" s="19">
        <f t="shared" ca="1" si="32"/>
        <v>2.1938016041228003</v>
      </c>
      <c r="AC313" s="14">
        <f t="shared" ca="1" si="33"/>
        <v>105302476.99789442</v>
      </c>
      <c r="AD313" s="14">
        <f t="shared" ca="1" si="34"/>
        <v>57302476.997894421</v>
      </c>
      <c r="AE313" s="14">
        <f t="shared" si="35"/>
        <v>55628399.869093813</v>
      </c>
      <c r="AF313" s="14">
        <f t="shared" ca="1" si="36"/>
        <v>1674077.1288006082</v>
      </c>
      <c r="AG313" s="14">
        <f t="shared" ca="1" si="37"/>
        <v>334815.42576012167</v>
      </c>
      <c r="AH313" s="14">
        <f t="shared" ca="1" si="38"/>
        <v>104967661.5721343</v>
      </c>
      <c r="AI313" s="19">
        <f t="shared" ca="1" si="39"/>
        <v>1.7494610262022383</v>
      </c>
    </row>
    <row r="314" spans="2:35" x14ac:dyDescent="0.2">
      <c r="B314" s="1">
        <v>309</v>
      </c>
      <c r="C314" s="19">
        <f ca="1">IF(RAND()&lt;P_Zero,0,IF(RAND()&lt;CondReturn,_xlfn.LOGNORM.INV(RAND(),MV2,Sigma1),IF(RAND()&lt;CondGood,_xlfn.LOGNORM.INV(RAND(),MV3,Sigma2),MIN(MaxMultiple,Xm/(1-RAND())^(1/Alpha)))))</f>
        <v>1.8663327172443847</v>
      </c>
      <c r="D314" s="19">
        <f ca="1">IF(RAND()&lt;P_Zero,0,IF(RAND()&lt;CondReturn,_xlfn.LOGNORM.INV(RAND(),MV2,Sigma1),IF(RAND()&lt;CondGood,_xlfn.LOGNORM.INV(RAND(),MV3,Sigma2),MIN(MaxMultiple,Xm/(1-RAND())^(1/Alpha)))))</f>
        <v>0</v>
      </c>
      <c r="E314" s="19">
        <f ca="1">IF(RAND()&lt;P_Zero,0,IF(RAND()&lt;CondReturn,_xlfn.LOGNORM.INV(RAND(),MV2,Sigma1),IF(RAND()&lt;CondGood,_xlfn.LOGNORM.INV(RAND(),MV3,Sigma2),MIN(MaxMultiple,Xm/(1-RAND())^(1/Alpha)))))</f>
        <v>1.0122107372309159</v>
      </c>
      <c r="F314" s="19">
        <f ca="1">IF(RAND()&lt;P_Zero,0,IF(RAND()&lt;CondReturn,_xlfn.LOGNORM.INV(RAND(),MV2,Sigma1),IF(RAND()&lt;CondGood,_xlfn.LOGNORM.INV(RAND(),MV3,Sigma2),MIN(MaxMultiple,Xm/(1-RAND())^(1/Alpha)))))</f>
        <v>0</v>
      </c>
      <c r="G314" s="19">
        <f ca="1">IF(RAND()&lt;P_Zero,0,IF(RAND()&lt;CondReturn,_xlfn.LOGNORM.INV(RAND(),MV2,Sigma1),IF(RAND()&lt;CondGood,_xlfn.LOGNORM.INV(RAND(),MV3,Sigma2),MIN(MaxMultiple,Xm/(1-RAND())^(1/Alpha)))))</f>
        <v>0</v>
      </c>
      <c r="H314" s="19">
        <f ca="1">IF(RAND()&lt;P_Zero,0,IF(RAND()&lt;CondReturn,_xlfn.LOGNORM.INV(RAND(),MV2,Sigma1),IF(RAND()&lt;CondGood,_xlfn.LOGNORM.INV(RAND(),MV3,Sigma2),MIN(MaxMultiple,Xm/(1-RAND())^(1/Alpha)))))</f>
        <v>0</v>
      </c>
      <c r="I314" s="19">
        <f ca="1">IF(RAND()&lt;P_Zero,0,IF(RAND()&lt;CondReturn,_xlfn.LOGNORM.INV(RAND(),MV2,Sigma1),IF(RAND()&lt;CondGood,_xlfn.LOGNORM.INV(RAND(),MV3,Sigma2),MIN(MaxMultiple,Xm/(1-RAND())^(1/Alpha)))))</f>
        <v>0</v>
      </c>
      <c r="J314" s="19">
        <f ca="1">IF(RAND()&lt;P_Zero,0,IF(RAND()&lt;CondReturn,_xlfn.LOGNORM.INV(RAND(),MV2,Sigma1),IF(RAND()&lt;CondGood,_xlfn.LOGNORM.INV(RAND(),MV3,Sigma2),MIN(MaxMultiple,Xm/(1-RAND())^(1/Alpha)))))</f>
        <v>0</v>
      </c>
      <c r="K314" s="19">
        <f ca="1">IF(RAND()&lt;P_Zero,0,IF(RAND()&lt;CondReturn,_xlfn.LOGNORM.INV(RAND(),MV2,Sigma1),IF(RAND()&lt;CondGood,_xlfn.LOGNORM.INV(RAND(),MV3,Sigma2),MIN(MaxMultiple,Xm/(1-RAND())^(1/Alpha)))))</f>
        <v>0</v>
      </c>
      <c r="L314" s="19">
        <f ca="1">IF(RAND()&lt;P_Zero,0,IF(RAND()&lt;CondReturn,_xlfn.LOGNORM.INV(RAND(),MV2,Sigma1),IF(RAND()&lt;CondGood,_xlfn.LOGNORM.INV(RAND(),MV3,Sigma2),MIN(MaxMultiple,Xm/(1-RAND())^(1/Alpha)))))</f>
        <v>0</v>
      </c>
      <c r="M314" s="19">
        <f ca="1">IF(RAND()&lt;P_Zero,0,IF(RAND()&lt;CondReturn,_xlfn.LOGNORM.INV(RAND(),MV2,Sigma1),IF(RAND()&lt;CondGood,_xlfn.LOGNORM.INV(RAND(),MV3,Sigma2),MIN(MaxMultiple,Xm/(1-RAND())^(1/Alpha)))))</f>
        <v>0.35262286924547537</v>
      </c>
      <c r="N314" s="19">
        <f ca="1">IF(RAND()&lt;P_Zero,0,IF(RAND()&lt;CondReturn,_xlfn.LOGNORM.INV(RAND(),MV2,Sigma1),IF(RAND()&lt;CondGood,_xlfn.LOGNORM.INV(RAND(),MV3,Sigma2),MIN(MaxMultiple,Xm/(1-RAND())^(1/Alpha)))))</f>
        <v>0.85216580379116913</v>
      </c>
      <c r="O314" s="19">
        <f ca="1">IF(RAND()&lt;P_Zero,0,IF(RAND()&lt;CondReturn,_xlfn.LOGNORM.INV(RAND(),MV2,Sigma1),IF(RAND()&lt;CondGood,_xlfn.LOGNORM.INV(RAND(),MV3,Sigma2),MIN(MaxMultiple,Xm/(1-RAND())^(1/Alpha)))))</f>
        <v>1.0554475675713031</v>
      </c>
      <c r="P314" s="19">
        <f ca="1">IF(RAND()&lt;P_Zero,0,IF(RAND()&lt;CondReturn,_xlfn.LOGNORM.INV(RAND(),MV2,Sigma1),IF(RAND()&lt;CondGood,_xlfn.LOGNORM.INV(RAND(),MV3,Sigma2),MIN(MaxMultiple,Xm/(1-RAND())^(1/Alpha)))))</f>
        <v>17.822162983596431</v>
      </c>
      <c r="Q314" s="19">
        <f ca="1">IF(RAND()&lt;P_Zero,0,IF(RAND()&lt;CondReturn,_xlfn.LOGNORM.INV(RAND(),MV2,Sigma1),IF(RAND()&lt;CondGood,_xlfn.LOGNORM.INV(RAND(),MV3,Sigma2),MIN(MaxMultiple,Xm/(1-RAND())^(1/Alpha)))))</f>
        <v>0</v>
      </c>
      <c r="R314" s="19">
        <f ca="1">IF(RAND()&lt;P_Zero,0,IF(RAND()&lt;CondReturn,_xlfn.LOGNORM.INV(RAND(),MV2,Sigma1),IF(RAND()&lt;CondGood,_xlfn.LOGNORM.INV(RAND(),MV3,Sigma2),MIN(MaxMultiple,Xm/(1-RAND())^(1/Alpha)))))</f>
        <v>0</v>
      </c>
      <c r="S314" s="19">
        <f ca="1">IF(RAND()&lt;P_Zero,0,IF(RAND()&lt;CondReturn,_xlfn.LOGNORM.INV(RAND(),MV2,Sigma1),IF(RAND()&lt;CondGood,_xlfn.LOGNORM.INV(RAND(),MV3,Sigma2),MIN(MaxMultiple,Xm/(1-RAND())^(1/Alpha)))))</f>
        <v>0</v>
      </c>
      <c r="T314" s="19">
        <f ca="1">IF(RAND()&lt;P_Zero,0,IF(RAND()&lt;CondReturn,_xlfn.LOGNORM.INV(RAND(),MV2,Sigma1),IF(RAND()&lt;CondGood,_xlfn.LOGNORM.INV(RAND(),MV3,Sigma2),MIN(MaxMultiple,Xm/(1-RAND())^(1/Alpha)))))</f>
        <v>0</v>
      </c>
      <c r="U314" s="19">
        <f ca="1">IF(RAND()&lt;P_Zero,0,IF(RAND()&lt;CondReturn,_xlfn.LOGNORM.INV(RAND(),MV2,Sigma1),IF(RAND()&lt;CondGood,_xlfn.LOGNORM.INV(RAND(),MV3,Sigma2),MIN(MaxMultiple,Xm/(1-RAND())^(1/Alpha)))))</f>
        <v>12.159077037710992</v>
      </c>
      <c r="V314" s="19">
        <f ca="1">IF(RAND()&lt;P_Zero,0,IF(RAND()&lt;CondReturn,_xlfn.LOGNORM.INV(RAND(),MV2,Sigma1),IF(RAND()&lt;CondGood,_xlfn.LOGNORM.INV(RAND(),MV3,Sigma2),MIN(MaxMultiple,Xm/(1-RAND())^(1/Alpha)))))</f>
        <v>0.74698980311791086</v>
      </c>
      <c r="W314" s="19">
        <f ca="1">IF(RAND()&lt;P_Zero,0,IF(RAND()&lt;CondReturn,_xlfn.LOGNORM.INV(RAND(),MV2,Sigma1),IF(RAND()&lt;CondGood,_xlfn.LOGNORM.INV(RAND(),MV3,Sigma2),MIN(MaxMultiple,Xm/(1-RAND())^(1/Alpha)))))</f>
        <v>0.51441767754189749</v>
      </c>
      <c r="X314" s="19">
        <f ca="1">IF(RAND()&lt;P_Zero,0,IF(RAND()&lt;CondReturn,_xlfn.LOGNORM.INV(RAND(),MV2,Sigma1),IF(RAND()&lt;CondGood,_xlfn.LOGNORM.INV(RAND(),MV3,Sigma2),MIN(MaxMultiple,Xm/(1-RAND())^(1/Alpha)))))</f>
        <v>0</v>
      </c>
      <c r="Y314" s="19">
        <f ca="1">IF(RAND()&lt;P_Zero,0,IF(RAND()&lt;CondReturn,_xlfn.LOGNORM.INV(RAND(),MV2,Sigma1),IF(RAND()&lt;CondGood,_xlfn.LOGNORM.INV(RAND(),MV3,Sigma2),MIN(MaxMultiple,Xm/(1-RAND())^(1/Alpha)))))</f>
        <v>2.9815770935704529</v>
      </c>
      <c r="Z314" s="19">
        <f ca="1">IF(RAND()&lt;P_Zero,0,IF(RAND()&lt;CondReturn,_xlfn.LOGNORM.INV(RAND(),MV2,Sigma1),IF(RAND()&lt;CondGood,_xlfn.LOGNORM.INV(RAND(),MV3,Sigma2),MIN(MaxMultiple,Xm/(1-RAND())^(1/Alpha)))))</f>
        <v>1.901714305858593</v>
      </c>
      <c r="AA314" s="19">
        <f ca="1">IF(RAND()&lt;P_Zero,0,IF(RAND()&lt;CondReturn,_xlfn.LOGNORM.INV(RAND(),MV2,Sigma1),IF(RAND()&lt;CondGood,_xlfn.LOGNORM.INV(RAND(),MV3,Sigma2),MIN(MaxMultiple,Xm/(1-RAND())^(1/Alpha)))))</f>
        <v>0</v>
      </c>
      <c r="AB314" s="19">
        <f t="shared" ca="1" si="32"/>
        <v>1.6505887438591811</v>
      </c>
      <c r="AC314" s="14">
        <f t="shared" ca="1" si="33"/>
        <v>79228259.705240697</v>
      </c>
      <c r="AD314" s="14">
        <f t="shared" ca="1" si="34"/>
        <v>31228259.705240697</v>
      </c>
      <c r="AE314" s="14">
        <f t="shared" si="35"/>
        <v>55628399.869093813</v>
      </c>
      <c r="AF314" s="14">
        <f t="shared" ca="1" si="36"/>
        <v>0</v>
      </c>
      <c r="AG314" s="14">
        <f t="shared" ca="1" si="37"/>
        <v>0</v>
      </c>
      <c r="AH314" s="14">
        <f t="shared" ca="1" si="38"/>
        <v>79228259.705240697</v>
      </c>
      <c r="AI314" s="19">
        <f t="shared" ca="1" si="39"/>
        <v>1.320470995087345</v>
      </c>
    </row>
    <row r="315" spans="2:35" x14ac:dyDescent="0.2">
      <c r="B315" s="1">
        <v>310</v>
      </c>
      <c r="C315" s="19">
        <f ca="1">IF(RAND()&lt;P_Zero,0,IF(RAND()&lt;CondReturn,_xlfn.LOGNORM.INV(RAND(),MV2,Sigma1),IF(RAND()&lt;CondGood,_xlfn.LOGNORM.INV(RAND(),MV3,Sigma2),MIN(MaxMultiple,Xm/(1-RAND())^(1/Alpha)))))</f>
        <v>0.93290473085601711</v>
      </c>
      <c r="D315" s="19">
        <f ca="1">IF(RAND()&lt;P_Zero,0,IF(RAND()&lt;CondReturn,_xlfn.LOGNORM.INV(RAND(),MV2,Sigma1),IF(RAND()&lt;CondGood,_xlfn.LOGNORM.INV(RAND(),MV3,Sigma2),MIN(MaxMultiple,Xm/(1-RAND())^(1/Alpha)))))</f>
        <v>1.1041117712525925</v>
      </c>
      <c r="E315" s="19">
        <f ca="1">IF(RAND()&lt;P_Zero,0,IF(RAND()&lt;CondReturn,_xlfn.LOGNORM.INV(RAND(),MV2,Sigma1),IF(RAND()&lt;CondGood,_xlfn.LOGNORM.INV(RAND(),MV3,Sigma2),MIN(MaxMultiple,Xm/(1-RAND())^(1/Alpha)))))</f>
        <v>1.8463400653513042</v>
      </c>
      <c r="F315" s="19">
        <f ca="1">IF(RAND()&lt;P_Zero,0,IF(RAND()&lt;CondReturn,_xlfn.LOGNORM.INV(RAND(),MV2,Sigma1),IF(RAND()&lt;CondGood,_xlfn.LOGNORM.INV(RAND(),MV3,Sigma2),MIN(MaxMultiple,Xm/(1-RAND())^(1/Alpha)))))</f>
        <v>0</v>
      </c>
      <c r="G315" s="19">
        <f ca="1">IF(RAND()&lt;P_Zero,0,IF(RAND()&lt;CondReturn,_xlfn.LOGNORM.INV(RAND(),MV2,Sigma1),IF(RAND()&lt;CondGood,_xlfn.LOGNORM.INV(RAND(),MV3,Sigma2),MIN(MaxMultiple,Xm/(1-RAND())^(1/Alpha)))))</f>
        <v>0.92357855934893529</v>
      </c>
      <c r="H315" s="19">
        <f ca="1">IF(RAND()&lt;P_Zero,0,IF(RAND()&lt;CondReturn,_xlfn.LOGNORM.INV(RAND(),MV2,Sigma1),IF(RAND()&lt;CondGood,_xlfn.LOGNORM.INV(RAND(),MV3,Sigma2),MIN(MaxMultiple,Xm/(1-RAND())^(1/Alpha)))))</f>
        <v>0.96745202377883499</v>
      </c>
      <c r="I315" s="19">
        <f ca="1">IF(RAND()&lt;P_Zero,0,IF(RAND()&lt;CondReturn,_xlfn.LOGNORM.INV(RAND(),MV2,Sigma1),IF(RAND()&lt;CondGood,_xlfn.LOGNORM.INV(RAND(),MV3,Sigma2),MIN(MaxMultiple,Xm/(1-RAND())^(1/Alpha)))))</f>
        <v>0</v>
      </c>
      <c r="J315" s="19">
        <f ca="1">IF(RAND()&lt;P_Zero,0,IF(RAND()&lt;CondReturn,_xlfn.LOGNORM.INV(RAND(),MV2,Sigma1),IF(RAND()&lt;CondGood,_xlfn.LOGNORM.INV(RAND(),MV3,Sigma2),MIN(MaxMultiple,Xm/(1-RAND())^(1/Alpha)))))</f>
        <v>0.73612462497084608</v>
      </c>
      <c r="K315" s="19">
        <f ca="1">IF(RAND()&lt;P_Zero,0,IF(RAND()&lt;CondReturn,_xlfn.LOGNORM.INV(RAND(),MV2,Sigma1),IF(RAND()&lt;CondGood,_xlfn.LOGNORM.INV(RAND(),MV3,Sigma2),MIN(MaxMultiple,Xm/(1-RAND())^(1/Alpha)))))</f>
        <v>1.1967544430131389</v>
      </c>
      <c r="L315" s="19">
        <f ca="1">IF(RAND()&lt;P_Zero,0,IF(RAND()&lt;CondReturn,_xlfn.LOGNORM.INV(RAND(),MV2,Sigma1),IF(RAND()&lt;CondGood,_xlfn.LOGNORM.INV(RAND(),MV3,Sigma2),MIN(MaxMultiple,Xm/(1-RAND())^(1/Alpha)))))</f>
        <v>0</v>
      </c>
      <c r="M315" s="19">
        <f ca="1">IF(RAND()&lt;P_Zero,0,IF(RAND()&lt;CondReturn,_xlfn.LOGNORM.INV(RAND(),MV2,Sigma1),IF(RAND()&lt;CondGood,_xlfn.LOGNORM.INV(RAND(),MV3,Sigma2),MIN(MaxMultiple,Xm/(1-RAND())^(1/Alpha)))))</f>
        <v>0.40376831955727971</v>
      </c>
      <c r="N315" s="19">
        <f ca="1">IF(RAND()&lt;P_Zero,0,IF(RAND()&lt;CondReturn,_xlfn.LOGNORM.INV(RAND(),MV2,Sigma1),IF(RAND()&lt;CondGood,_xlfn.LOGNORM.INV(RAND(),MV3,Sigma2),MIN(MaxMultiple,Xm/(1-RAND())^(1/Alpha)))))</f>
        <v>0</v>
      </c>
      <c r="O315" s="19">
        <f ca="1">IF(RAND()&lt;P_Zero,0,IF(RAND()&lt;CondReturn,_xlfn.LOGNORM.INV(RAND(),MV2,Sigma1),IF(RAND()&lt;CondGood,_xlfn.LOGNORM.INV(RAND(),MV3,Sigma2),MIN(MaxMultiple,Xm/(1-RAND())^(1/Alpha)))))</f>
        <v>0</v>
      </c>
      <c r="P315" s="19">
        <f ca="1">IF(RAND()&lt;P_Zero,0,IF(RAND()&lt;CondReturn,_xlfn.LOGNORM.INV(RAND(),MV2,Sigma1),IF(RAND()&lt;CondGood,_xlfn.LOGNORM.INV(RAND(),MV3,Sigma2),MIN(MaxMultiple,Xm/(1-RAND())^(1/Alpha)))))</f>
        <v>0</v>
      </c>
      <c r="Q315" s="19">
        <f ca="1">IF(RAND()&lt;P_Zero,0,IF(RAND()&lt;CondReturn,_xlfn.LOGNORM.INV(RAND(),MV2,Sigma1),IF(RAND()&lt;CondGood,_xlfn.LOGNORM.INV(RAND(),MV3,Sigma2),MIN(MaxMultiple,Xm/(1-RAND())^(1/Alpha)))))</f>
        <v>0.65741508426891815</v>
      </c>
      <c r="R315" s="19">
        <f ca="1">IF(RAND()&lt;P_Zero,0,IF(RAND()&lt;CondReturn,_xlfn.LOGNORM.INV(RAND(),MV2,Sigma1),IF(RAND()&lt;CondGood,_xlfn.LOGNORM.INV(RAND(),MV3,Sigma2),MIN(MaxMultiple,Xm/(1-RAND())^(1/Alpha)))))</f>
        <v>1.0051261066149177</v>
      </c>
      <c r="S315" s="19">
        <f ca="1">IF(RAND()&lt;P_Zero,0,IF(RAND()&lt;CondReturn,_xlfn.LOGNORM.INV(RAND(),MV2,Sigma1),IF(RAND()&lt;CondGood,_xlfn.LOGNORM.INV(RAND(),MV3,Sigma2),MIN(MaxMultiple,Xm/(1-RAND())^(1/Alpha)))))</f>
        <v>0.70182809612028363</v>
      </c>
      <c r="T315" s="19">
        <f ca="1">IF(RAND()&lt;P_Zero,0,IF(RAND()&lt;CondReturn,_xlfn.LOGNORM.INV(RAND(),MV2,Sigma1),IF(RAND()&lt;CondGood,_xlfn.LOGNORM.INV(RAND(),MV3,Sigma2),MIN(MaxMultiple,Xm/(1-RAND())^(1/Alpha)))))</f>
        <v>23.011763434697624</v>
      </c>
      <c r="U315" s="19">
        <f ca="1">IF(RAND()&lt;P_Zero,0,IF(RAND()&lt;CondReturn,_xlfn.LOGNORM.INV(RAND(),MV2,Sigma1),IF(RAND()&lt;CondGood,_xlfn.LOGNORM.INV(RAND(),MV3,Sigma2),MIN(MaxMultiple,Xm/(1-RAND())^(1/Alpha)))))</f>
        <v>1.8779383591786651</v>
      </c>
      <c r="V315" s="19">
        <f ca="1">IF(RAND()&lt;P_Zero,0,IF(RAND()&lt;CondReturn,_xlfn.LOGNORM.INV(RAND(),MV2,Sigma1),IF(RAND()&lt;CondGood,_xlfn.LOGNORM.INV(RAND(),MV3,Sigma2),MIN(MaxMultiple,Xm/(1-RAND())^(1/Alpha)))))</f>
        <v>0.90476879608691807</v>
      </c>
      <c r="W315" s="19">
        <f ca="1">IF(RAND()&lt;P_Zero,0,IF(RAND()&lt;CondReturn,_xlfn.LOGNORM.INV(RAND(),MV2,Sigma1),IF(RAND()&lt;CondGood,_xlfn.LOGNORM.INV(RAND(),MV3,Sigma2),MIN(MaxMultiple,Xm/(1-RAND())^(1/Alpha)))))</f>
        <v>17.41415730312325</v>
      </c>
      <c r="X315" s="19">
        <f ca="1">IF(RAND()&lt;P_Zero,0,IF(RAND()&lt;CondReturn,_xlfn.LOGNORM.INV(RAND(),MV2,Sigma1),IF(RAND()&lt;CondGood,_xlfn.LOGNORM.INV(RAND(),MV3,Sigma2),MIN(MaxMultiple,Xm/(1-RAND())^(1/Alpha)))))</f>
        <v>0</v>
      </c>
      <c r="Y315" s="19">
        <f ca="1">IF(RAND()&lt;P_Zero,0,IF(RAND()&lt;CondReturn,_xlfn.LOGNORM.INV(RAND(),MV2,Sigma1),IF(RAND()&lt;CondGood,_xlfn.LOGNORM.INV(RAND(),MV3,Sigma2),MIN(MaxMultiple,Xm/(1-RAND())^(1/Alpha)))))</f>
        <v>0.64526886169433884</v>
      </c>
      <c r="Z315" s="19">
        <f ca="1">IF(RAND()&lt;P_Zero,0,IF(RAND()&lt;CondReturn,_xlfn.LOGNORM.INV(RAND(),MV2,Sigma1),IF(RAND()&lt;CondGood,_xlfn.LOGNORM.INV(RAND(),MV3,Sigma2),MIN(MaxMultiple,Xm/(1-RAND())^(1/Alpha)))))</f>
        <v>0.82751488884794611</v>
      </c>
      <c r="AA315" s="19">
        <f ca="1">IF(RAND()&lt;P_Zero,0,IF(RAND()&lt;CondReturn,_xlfn.LOGNORM.INV(RAND(),MV2,Sigma1),IF(RAND()&lt;CondGood,_xlfn.LOGNORM.INV(RAND(),MV3,Sigma2),MIN(MaxMultiple,Xm/(1-RAND())^(1/Alpha)))))</f>
        <v>0.45727985016094319</v>
      </c>
      <c r="AB315" s="19">
        <f t="shared" ca="1" si="32"/>
        <v>2.2245638127569105</v>
      </c>
      <c r="AC315" s="14">
        <f t="shared" ca="1" si="33"/>
        <v>106779063.01233171</v>
      </c>
      <c r="AD315" s="14">
        <f t="shared" ca="1" si="34"/>
        <v>58779063.012331709</v>
      </c>
      <c r="AE315" s="14">
        <f t="shared" si="35"/>
        <v>55628399.869093813</v>
      </c>
      <c r="AF315" s="14">
        <f t="shared" ca="1" si="36"/>
        <v>3150663.1432378963</v>
      </c>
      <c r="AG315" s="14">
        <f t="shared" ca="1" si="37"/>
        <v>630132.62864757935</v>
      </c>
      <c r="AH315" s="14">
        <f t="shared" ca="1" si="38"/>
        <v>106148930.38368413</v>
      </c>
      <c r="AI315" s="19">
        <f t="shared" ca="1" si="39"/>
        <v>1.7691488397280688</v>
      </c>
    </row>
    <row r="316" spans="2:35" x14ac:dyDescent="0.2">
      <c r="B316" s="1">
        <v>311</v>
      </c>
      <c r="C316" s="19">
        <f ca="1">IF(RAND()&lt;P_Zero,0,IF(RAND()&lt;CondReturn,_xlfn.LOGNORM.INV(RAND(),MV2,Sigma1),IF(RAND()&lt;CondGood,_xlfn.LOGNORM.INV(RAND(),MV3,Sigma2),MIN(MaxMultiple,Xm/(1-RAND())^(1/Alpha)))))</f>
        <v>0</v>
      </c>
      <c r="D316" s="19">
        <f ca="1">IF(RAND()&lt;P_Zero,0,IF(RAND()&lt;CondReturn,_xlfn.LOGNORM.INV(RAND(),MV2,Sigma1),IF(RAND()&lt;CondGood,_xlfn.LOGNORM.INV(RAND(),MV3,Sigma2),MIN(MaxMultiple,Xm/(1-RAND())^(1/Alpha)))))</f>
        <v>1.0354734291938408</v>
      </c>
      <c r="E316" s="19">
        <f ca="1">IF(RAND()&lt;P_Zero,0,IF(RAND()&lt;CondReturn,_xlfn.LOGNORM.INV(RAND(),MV2,Sigma1),IF(RAND()&lt;CondGood,_xlfn.LOGNORM.INV(RAND(),MV3,Sigma2),MIN(MaxMultiple,Xm/(1-RAND())^(1/Alpha)))))</f>
        <v>0</v>
      </c>
      <c r="F316" s="19">
        <f ca="1">IF(RAND()&lt;P_Zero,0,IF(RAND()&lt;CondReturn,_xlfn.LOGNORM.INV(RAND(),MV2,Sigma1),IF(RAND()&lt;CondGood,_xlfn.LOGNORM.INV(RAND(),MV3,Sigma2),MIN(MaxMultiple,Xm/(1-RAND())^(1/Alpha)))))</f>
        <v>0</v>
      </c>
      <c r="G316" s="19">
        <f ca="1">IF(RAND()&lt;P_Zero,0,IF(RAND()&lt;CondReturn,_xlfn.LOGNORM.INV(RAND(),MV2,Sigma1),IF(RAND()&lt;CondGood,_xlfn.LOGNORM.INV(RAND(),MV3,Sigma2),MIN(MaxMultiple,Xm/(1-RAND())^(1/Alpha)))))</f>
        <v>0.92200193768657368</v>
      </c>
      <c r="H316" s="19">
        <f ca="1">IF(RAND()&lt;P_Zero,0,IF(RAND()&lt;CondReturn,_xlfn.LOGNORM.INV(RAND(),MV2,Sigma1),IF(RAND()&lt;CondGood,_xlfn.LOGNORM.INV(RAND(),MV3,Sigma2),MIN(MaxMultiple,Xm/(1-RAND())^(1/Alpha)))))</f>
        <v>0</v>
      </c>
      <c r="I316" s="19">
        <f ca="1">IF(RAND()&lt;P_Zero,0,IF(RAND()&lt;CondReturn,_xlfn.LOGNORM.INV(RAND(),MV2,Sigma1),IF(RAND()&lt;CondGood,_xlfn.LOGNORM.INV(RAND(),MV3,Sigma2),MIN(MaxMultiple,Xm/(1-RAND())^(1/Alpha)))))</f>
        <v>0</v>
      </c>
      <c r="J316" s="19">
        <f ca="1">IF(RAND()&lt;P_Zero,0,IF(RAND()&lt;CondReturn,_xlfn.LOGNORM.INV(RAND(),MV2,Sigma1),IF(RAND()&lt;CondGood,_xlfn.LOGNORM.INV(RAND(),MV3,Sigma2),MIN(MaxMultiple,Xm/(1-RAND())^(1/Alpha)))))</f>
        <v>1.2174369006053589</v>
      </c>
      <c r="K316" s="19">
        <f ca="1">IF(RAND()&lt;P_Zero,0,IF(RAND()&lt;CondReturn,_xlfn.LOGNORM.INV(RAND(),MV2,Sigma1),IF(RAND()&lt;CondGood,_xlfn.LOGNORM.INV(RAND(),MV3,Sigma2),MIN(MaxMultiple,Xm/(1-RAND())^(1/Alpha)))))</f>
        <v>0.59412270734436012</v>
      </c>
      <c r="L316" s="19">
        <f ca="1">IF(RAND()&lt;P_Zero,0,IF(RAND()&lt;CondReturn,_xlfn.LOGNORM.INV(RAND(),MV2,Sigma1),IF(RAND()&lt;CondGood,_xlfn.LOGNORM.INV(RAND(),MV3,Sigma2),MIN(MaxMultiple,Xm/(1-RAND())^(1/Alpha)))))</f>
        <v>1.2165024136291482</v>
      </c>
      <c r="M316" s="19">
        <f ca="1">IF(RAND()&lt;P_Zero,0,IF(RAND()&lt;CondReturn,_xlfn.LOGNORM.INV(RAND(),MV2,Sigma1),IF(RAND()&lt;CondGood,_xlfn.LOGNORM.INV(RAND(),MV3,Sigma2),MIN(MaxMultiple,Xm/(1-RAND())^(1/Alpha)))))</f>
        <v>0</v>
      </c>
      <c r="N316" s="19">
        <f ca="1">IF(RAND()&lt;P_Zero,0,IF(RAND()&lt;CondReturn,_xlfn.LOGNORM.INV(RAND(),MV2,Sigma1),IF(RAND()&lt;CondGood,_xlfn.LOGNORM.INV(RAND(),MV3,Sigma2),MIN(MaxMultiple,Xm/(1-RAND())^(1/Alpha)))))</f>
        <v>0</v>
      </c>
      <c r="O316" s="19">
        <f ca="1">IF(RAND()&lt;P_Zero,0,IF(RAND()&lt;CondReturn,_xlfn.LOGNORM.INV(RAND(),MV2,Sigma1),IF(RAND()&lt;CondGood,_xlfn.LOGNORM.INV(RAND(),MV3,Sigma2),MIN(MaxMultiple,Xm/(1-RAND())^(1/Alpha)))))</f>
        <v>0</v>
      </c>
      <c r="P316" s="19">
        <f ca="1">IF(RAND()&lt;P_Zero,0,IF(RAND()&lt;CondReturn,_xlfn.LOGNORM.INV(RAND(),MV2,Sigma1),IF(RAND()&lt;CondGood,_xlfn.LOGNORM.INV(RAND(),MV3,Sigma2),MIN(MaxMultiple,Xm/(1-RAND())^(1/Alpha)))))</f>
        <v>1.0172107935070027</v>
      </c>
      <c r="Q316" s="19">
        <f ca="1">IF(RAND()&lt;P_Zero,0,IF(RAND()&lt;CondReturn,_xlfn.LOGNORM.INV(RAND(),MV2,Sigma1),IF(RAND()&lt;CondGood,_xlfn.LOGNORM.INV(RAND(),MV3,Sigma2),MIN(MaxMultiple,Xm/(1-RAND())^(1/Alpha)))))</f>
        <v>1.169733677554522</v>
      </c>
      <c r="R316" s="19">
        <f ca="1">IF(RAND()&lt;P_Zero,0,IF(RAND()&lt;CondReturn,_xlfn.LOGNORM.INV(RAND(),MV2,Sigma1),IF(RAND()&lt;CondGood,_xlfn.LOGNORM.INV(RAND(),MV3,Sigma2),MIN(MaxMultiple,Xm/(1-RAND())^(1/Alpha)))))</f>
        <v>0.81299739362063006</v>
      </c>
      <c r="S316" s="19">
        <f ca="1">IF(RAND()&lt;P_Zero,0,IF(RAND()&lt;CondReturn,_xlfn.LOGNORM.INV(RAND(),MV2,Sigma1),IF(RAND()&lt;CondGood,_xlfn.LOGNORM.INV(RAND(),MV3,Sigma2),MIN(MaxMultiple,Xm/(1-RAND())^(1/Alpha)))))</f>
        <v>0</v>
      </c>
      <c r="T316" s="19">
        <f ca="1">IF(RAND()&lt;P_Zero,0,IF(RAND()&lt;CondReturn,_xlfn.LOGNORM.INV(RAND(),MV2,Sigma1),IF(RAND()&lt;CondGood,_xlfn.LOGNORM.INV(RAND(),MV3,Sigma2),MIN(MaxMultiple,Xm/(1-RAND())^(1/Alpha)))))</f>
        <v>0</v>
      </c>
      <c r="U316" s="19">
        <f ca="1">IF(RAND()&lt;P_Zero,0,IF(RAND()&lt;CondReturn,_xlfn.LOGNORM.INV(RAND(),MV2,Sigma1),IF(RAND()&lt;CondGood,_xlfn.LOGNORM.INV(RAND(),MV3,Sigma2),MIN(MaxMultiple,Xm/(1-RAND())^(1/Alpha)))))</f>
        <v>0</v>
      </c>
      <c r="V316" s="19">
        <f ca="1">IF(RAND()&lt;P_Zero,0,IF(RAND()&lt;CondReturn,_xlfn.LOGNORM.INV(RAND(),MV2,Sigma1),IF(RAND()&lt;CondGood,_xlfn.LOGNORM.INV(RAND(),MV3,Sigma2),MIN(MaxMultiple,Xm/(1-RAND())^(1/Alpha)))))</f>
        <v>1.0160864925374544</v>
      </c>
      <c r="W316" s="19">
        <f ca="1">IF(RAND()&lt;P_Zero,0,IF(RAND()&lt;CondReturn,_xlfn.LOGNORM.INV(RAND(),MV2,Sigma1),IF(RAND()&lt;CondGood,_xlfn.LOGNORM.INV(RAND(),MV3,Sigma2),MIN(MaxMultiple,Xm/(1-RAND())^(1/Alpha)))))</f>
        <v>1.2106318020453548</v>
      </c>
      <c r="X316" s="19">
        <f ca="1">IF(RAND()&lt;P_Zero,0,IF(RAND()&lt;CondReturn,_xlfn.LOGNORM.INV(RAND(),MV2,Sigma1),IF(RAND()&lt;CondGood,_xlfn.LOGNORM.INV(RAND(),MV3,Sigma2),MIN(MaxMultiple,Xm/(1-RAND())^(1/Alpha)))))</f>
        <v>0</v>
      </c>
      <c r="Y316" s="19">
        <f ca="1">IF(RAND()&lt;P_Zero,0,IF(RAND()&lt;CondReturn,_xlfn.LOGNORM.INV(RAND(),MV2,Sigma1),IF(RAND()&lt;CondGood,_xlfn.LOGNORM.INV(RAND(),MV3,Sigma2),MIN(MaxMultiple,Xm/(1-RAND())^(1/Alpha)))))</f>
        <v>0.33060797369214756</v>
      </c>
      <c r="Z316" s="19">
        <f ca="1">IF(RAND()&lt;P_Zero,0,IF(RAND()&lt;CondReturn,_xlfn.LOGNORM.INV(RAND(),MV2,Sigma1),IF(RAND()&lt;CondGood,_xlfn.LOGNORM.INV(RAND(),MV3,Sigma2),MIN(MaxMultiple,Xm/(1-RAND())^(1/Alpha)))))</f>
        <v>21.34332822377322</v>
      </c>
      <c r="AA316" s="19">
        <f ca="1">IF(RAND()&lt;P_Zero,0,IF(RAND()&lt;CondReturn,_xlfn.LOGNORM.INV(RAND(),MV2,Sigma1),IF(RAND()&lt;CondGood,_xlfn.LOGNORM.INV(RAND(),MV3,Sigma2),MIN(MaxMultiple,Xm/(1-RAND())^(1/Alpha)))))</f>
        <v>2.5714228088007878</v>
      </c>
      <c r="AB316" s="19">
        <f t="shared" ca="1" si="32"/>
        <v>1.3783022621596159</v>
      </c>
      <c r="AC316" s="14">
        <f t="shared" ca="1" si="33"/>
        <v>66158508.583661564</v>
      </c>
      <c r="AD316" s="14">
        <f t="shared" ca="1" si="34"/>
        <v>18158508.583661564</v>
      </c>
      <c r="AE316" s="14">
        <f t="shared" si="35"/>
        <v>55628399.869093813</v>
      </c>
      <c r="AF316" s="14">
        <f t="shared" ca="1" si="36"/>
        <v>0</v>
      </c>
      <c r="AG316" s="14">
        <f t="shared" ca="1" si="37"/>
        <v>0</v>
      </c>
      <c r="AH316" s="14">
        <f t="shared" ca="1" si="38"/>
        <v>66158508.583661564</v>
      </c>
      <c r="AI316" s="19">
        <f t="shared" ca="1" si="39"/>
        <v>1.1026418097276927</v>
      </c>
    </row>
    <row r="317" spans="2:35" x14ac:dyDescent="0.2">
      <c r="B317" s="1">
        <v>312</v>
      </c>
      <c r="C317" s="19">
        <f ca="1">IF(RAND()&lt;P_Zero,0,IF(RAND()&lt;CondReturn,_xlfn.LOGNORM.INV(RAND(),MV2,Sigma1),IF(RAND()&lt;CondGood,_xlfn.LOGNORM.INV(RAND(),MV3,Sigma2),MIN(MaxMultiple,Xm/(1-RAND())^(1/Alpha)))))</f>
        <v>1.3474544738215779</v>
      </c>
      <c r="D317" s="19">
        <f ca="1">IF(RAND()&lt;P_Zero,0,IF(RAND()&lt;CondReturn,_xlfn.LOGNORM.INV(RAND(),MV2,Sigma1),IF(RAND()&lt;CondGood,_xlfn.LOGNORM.INV(RAND(),MV3,Sigma2),MIN(MaxMultiple,Xm/(1-RAND())^(1/Alpha)))))</f>
        <v>0.44877435537250276</v>
      </c>
      <c r="E317" s="19">
        <f ca="1">IF(RAND()&lt;P_Zero,0,IF(RAND()&lt;CondReturn,_xlfn.LOGNORM.INV(RAND(),MV2,Sigma1),IF(RAND()&lt;CondGood,_xlfn.LOGNORM.INV(RAND(),MV3,Sigma2),MIN(MaxMultiple,Xm/(1-RAND())^(1/Alpha)))))</f>
        <v>0</v>
      </c>
      <c r="F317" s="19">
        <f ca="1">IF(RAND()&lt;P_Zero,0,IF(RAND()&lt;CondReturn,_xlfn.LOGNORM.INV(RAND(),MV2,Sigma1),IF(RAND()&lt;CondGood,_xlfn.LOGNORM.INV(RAND(),MV3,Sigma2),MIN(MaxMultiple,Xm/(1-RAND())^(1/Alpha)))))</f>
        <v>0.83868719861373009</v>
      </c>
      <c r="G317" s="19">
        <f ca="1">IF(RAND()&lt;P_Zero,0,IF(RAND()&lt;CondReturn,_xlfn.LOGNORM.INV(RAND(),MV2,Sigma1),IF(RAND()&lt;CondGood,_xlfn.LOGNORM.INV(RAND(),MV3,Sigma2),MIN(MaxMultiple,Xm/(1-RAND())^(1/Alpha)))))</f>
        <v>93.430908786078419</v>
      </c>
      <c r="H317" s="19">
        <f ca="1">IF(RAND()&lt;P_Zero,0,IF(RAND()&lt;CondReturn,_xlfn.LOGNORM.INV(RAND(),MV2,Sigma1),IF(RAND()&lt;CondGood,_xlfn.LOGNORM.INV(RAND(),MV3,Sigma2),MIN(MaxMultiple,Xm/(1-RAND())^(1/Alpha)))))</f>
        <v>0</v>
      </c>
      <c r="I317" s="19">
        <f ca="1">IF(RAND()&lt;P_Zero,0,IF(RAND()&lt;CondReturn,_xlfn.LOGNORM.INV(RAND(),MV2,Sigma1),IF(RAND()&lt;CondGood,_xlfn.LOGNORM.INV(RAND(),MV3,Sigma2),MIN(MaxMultiple,Xm/(1-RAND())^(1/Alpha)))))</f>
        <v>30.420738936757868</v>
      </c>
      <c r="J317" s="19">
        <f ca="1">IF(RAND()&lt;P_Zero,0,IF(RAND()&lt;CondReturn,_xlfn.LOGNORM.INV(RAND(),MV2,Sigma1),IF(RAND()&lt;CondGood,_xlfn.LOGNORM.INV(RAND(),MV3,Sigma2),MIN(MaxMultiple,Xm/(1-RAND())^(1/Alpha)))))</f>
        <v>0</v>
      </c>
      <c r="K317" s="19">
        <f ca="1">IF(RAND()&lt;P_Zero,0,IF(RAND()&lt;CondReturn,_xlfn.LOGNORM.INV(RAND(),MV2,Sigma1),IF(RAND()&lt;CondGood,_xlfn.LOGNORM.INV(RAND(),MV3,Sigma2),MIN(MaxMultiple,Xm/(1-RAND())^(1/Alpha)))))</f>
        <v>1.5508127336235016</v>
      </c>
      <c r="L317" s="19">
        <f ca="1">IF(RAND()&lt;P_Zero,0,IF(RAND()&lt;CondReturn,_xlfn.LOGNORM.INV(RAND(),MV2,Sigma1),IF(RAND()&lt;CondGood,_xlfn.LOGNORM.INV(RAND(),MV3,Sigma2),MIN(MaxMultiple,Xm/(1-RAND())^(1/Alpha)))))</f>
        <v>0</v>
      </c>
      <c r="M317" s="19">
        <f ca="1">IF(RAND()&lt;P_Zero,0,IF(RAND()&lt;CondReturn,_xlfn.LOGNORM.INV(RAND(),MV2,Sigma1),IF(RAND()&lt;CondGood,_xlfn.LOGNORM.INV(RAND(),MV3,Sigma2),MIN(MaxMultiple,Xm/(1-RAND())^(1/Alpha)))))</f>
        <v>0</v>
      </c>
      <c r="N317" s="19">
        <f ca="1">IF(RAND()&lt;P_Zero,0,IF(RAND()&lt;CondReturn,_xlfn.LOGNORM.INV(RAND(),MV2,Sigma1),IF(RAND()&lt;CondGood,_xlfn.LOGNORM.INV(RAND(),MV3,Sigma2),MIN(MaxMultiple,Xm/(1-RAND())^(1/Alpha)))))</f>
        <v>160.36476003964239</v>
      </c>
      <c r="O317" s="19">
        <f ca="1">IF(RAND()&lt;P_Zero,0,IF(RAND()&lt;CondReturn,_xlfn.LOGNORM.INV(RAND(),MV2,Sigma1),IF(RAND()&lt;CondGood,_xlfn.LOGNORM.INV(RAND(),MV3,Sigma2),MIN(MaxMultiple,Xm/(1-RAND())^(1/Alpha)))))</f>
        <v>0.8972334838936713</v>
      </c>
      <c r="P317" s="19">
        <f ca="1">IF(RAND()&lt;P_Zero,0,IF(RAND()&lt;CondReturn,_xlfn.LOGNORM.INV(RAND(),MV2,Sigma1),IF(RAND()&lt;CondGood,_xlfn.LOGNORM.INV(RAND(),MV3,Sigma2),MIN(MaxMultiple,Xm/(1-RAND())^(1/Alpha)))))</f>
        <v>0.81883670261246133</v>
      </c>
      <c r="Q317" s="19">
        <f ca="1">IF(RAND()&lt;P_Zero,0,IF(RAND()&lt;CondReturn,_xlfn.LOGNORM.INV(RAND(),MV2,Sigma1),IF(RAND()&lt;CondGood,_xlfn.LOGNORM.INV(RAND(),MV3,Sigma2),MIN(MaxMultiple,Xm/(1-RAND())^(1/Alpha)))))</f>
        <v>0</v>
      </c>
      <c r="R317" s="19">
        <f ca="1">IF(RAND()&lt;P_Zero,0,IF(RAND()&lt;CondReturn,_xlfn.LOGNORM.INV(RAND(),MV2,Sigma1),IF(RAND()&lt;CondGood,_xlfn.LOGNORM.INV(RAND(),MV3,Sigma2),MIN(MaxMultiple,Xm/(1-RAND())^(1/Alpha)))))</f>
        <v>0</v>
      </c>
      <c r="S317" s="19">
        <f ca="1">IF(RAND()&lt;P_Zero,0,IF(RAND()&lt;CondReturn,_xlfn.LOGNORM.INV(RAND(),MV2,Sigma1),IF(RAND()&lt;CondGood,_xlfn.LOGNORM.INV(RAND(),MV3,Sigma2),MIN(MaxMultiple,Xm/(1-RAND())^(1/Alpha)))))</f>
        <v>0.70739946795576536</v>
      </c>
      <c r="T317" s="19">
        <f ca="1">IF(RAND()&lt;P_Zero,0,IF(RAND()&lt;CondReturn,_xlfn.LOGNORM.INV(RAND(),MV2,Sigma1),IF(RAND()&lt;CondGood,_xlfn.LOGNORM.INV(RAND(),MV3,Sigma2),MIN(MaxMultiple,Xm/(1-RAND())^(1/Alpha)))))</f>
        <v>0</v>
      </c>
      <c r="U317" s="19">
        <f ca="1">IF(RAND()&lt;P_Zero,0,IF(RAND()&lt;CondReturn,_xlfn.LOGNORM.INV(RAND(),MV2,Sigma1),IF(RAND()&lt;CondGood,_xlfn.LOGNORM.INV(RAND(),MV3,Sigma2),MIN(MaxMultiple,Xm/(1-RAND())^(1/Alpha)))))</f>
        <v>18.554384227792458</v>
      </c>
      <c r="V317" s="19">
        <f ca="1">IF(RAND()&lt;P_Zero,0,IF(RAND()&lt;CondReturn,_xlfn.LOGNORM.INV(RAND(),MV2,Sigma1),IF(RAND()&lt;CondGood,_xlfn.LOGNORM.INV(RAND(),MV3,Sigma2),MIN(MaxMultiple,Xm/(1-RAND())^(1/Alpha)))))</f>
        <v>10.396109212146293</v>
      </c>
      <c r="W317" s="19">
        <f ca="1">IF(RAND()&lt;P_Zero,0,IF(RAND()&lt;CondReturn,_xlfn.LOGNORM.INV(RAND(),MV2,Sigma1),IF(RAND()&lt;CondGood,_xlfn.LOGNORM.INV(RAND(),MV3,Sigma2),MIN(MaxMultiple,Xm/(1-RAND())^(1/Alpha)))))</f>
        <v>0</v>
      </c>
      <c r="X317" s="19">
        <f ca="1">IF(RAND()&lt;P_Zero,0,IF(RAND()&lt;CondReturn,_xlfn.LOGNORM.INV(RAND(),MV2,Sigma1),IF(RAND()&lt;CondGood,_xlfn.LOGNORM.INV(RAND(),MV3,Sigma2),MIN(MaxMultiple,Xm/(1-RAND())^(1/Alpha)))))</f>
        <v>0</v>
      </c>
      <c r="Y317" s="19">
        <f ca="1">IF(RAND()&lt;P_Zero,0,IF(RAND()&lt;CondReturn,_xlfn.LOGNORM.INV(RAND(),MV2,Sigma1),IF(RAND()&lt;CondGood,_xlfn.LOGNORM.INV(RAND(),MV3,Sigma2),MIN(MaxMultiple,Xm/(1-RAND())^(1/Alpha)))))</f>
        <v>1.020757297167556</v>
      </c>
      <c r="Z317" s="19">
        <f ca="1">IF(RAND()&lt;P_Zero,0,IF(RAND()&lt;CondReturn,_xlfn.LOGNORM.INV(RAND(),MV2,Sigma1),IF(RAND()&lt;CondGood,_xlfn.LOGNORM.INV(RAND(),MV3,Sigma2),MIN(MaxMultiple,Xm/(1-RAND())^(1/Alpha)))))</f>
        <v>3.2719421989855255</v>
      </c>
      <c r="AA317" s="19">
        <f ca="1">IF(RAND()&lt;P_Zero,0,IF(RAND()&lt;CondReturn,_xlfn.LOGNORM.INV(RAND(),MV2,Sigma1),IF(RAND()&lt;CondGood,_xlfn.LOGNORM.INV(RAND(),MV3,Sigma2),MIN(MaxMultiple,Xm/(1-RAND())^(1/Alpha)))))</f>
        <v>0</v>
      </c>
      <c r="AB317" s="19">
        <f t="shared" ca="1" si="32"/>
        <v>12.962751964578551</v>
      </c>
      <c r="AC317" s="14">
        <f t="shared" ca="1" si="33"/>
        <v>622212094.29977047</v>
      </c>
      <c r="AD317" s="14">
        <f t="shared" ca="1" si="34"/>
        <v>574212094.29977047</v>
      </c>
      <c r="AE317" s="14">
        <f t="shared" si="35"/>
        <v>55628399.869093813</v>
      </c>
      <c r="AF317" s="14">
        <f t="shared" ca="1" si="36"/>
        <v>518583694.43067664</v>
      </c>
      <c r="AG317" s="14">
        <f t="shared" ca="1" si="37"/>
        <v>103716738.88613534</v>
      </c>
      <c r="AH317" s="14">
        <f t="shared" ca="1" si="38"/>
        <v>518495355.41363513</v>
      </c>
      <c r="AI317" s="19">
        <f t="shared" ca="1" si="39"/>
        <v>8.6415892568939192</v>
      </c>
    </row>
    <row r="318" spans="2:35" x14ac:dyDescent="0.2">
      <c r="B318" s="1">
        <v>313</v>
      </c>
      <c r="C318" s="19">
        <f ca="1">IF(RAND()&lt;P_Zero,0,IF(RAND()&lt;CondReturn,_xlfn.LOGNORM.INV(RAND(),MV2,Sigma1),IF(RAND()&lt;CondGood,_xlfn.LOGNORM.INV(RAND(),MV3,Sigma2),MIN(MaxMultiple,Xm/(1-RAND())^(1/Alpha)))))</f>
        <v>0</v>
      </c>
      <c r="D318" s="19">
        <f ca="1">IF(RAND()&lt;P_Zero,0,IF(RAND()&lt;CondReturn,_xlfn.LOGNORM.INV(RAND(),MV2,Sigma1),IF(RAND()&lt;CondGood,_xlfn.LOGNORM.INV(RAND(),MV3,Sigma2),MIN(MaxMultiple,Xm/(1-RAND())^(1/Alpha)))))</f>
        <v>10.831642336144213</v>
      </c>
      <c r="E318" s="19">
        <f ca="1">IF(RAND()&lt;P_Zero,0,IF(RAND()&lt;CondReturn,_xlfn.LOGNORM.INV(RAND(),MV2,Sigma1),IF(RAND()&lt;CondGood,_xlfn.LOGNORM.INV(RAND(),MV3,Sigma2),MIN(MaxMultiple,Xm/(1-RAND())^(1/Alpha)))))</f>
        <v>0</v>
      </c>
      <c r="F318" s="19">
        <f ca="1">IF(RAND()&lt;P_Zero,0,IF(RAND()&lt;CondReturn,_xlfn.LOGNORM.INV(RAND(),MV2,Sigma1),IF(RAND()&lt;CondGood,_xlfn.LOGNORM.INV(RAND(),MV3,Sigma2),MIN(MaxMultiple,Xm/(1-RAND())^(1/Alpha)))))</f>
        <v>1.3278771444603024</v>
      </c>
      <c r="G318" s="19">
        <f ca="1">IF(RAND()&lt;P_Zero,0,IF(RAND()&lt;CondReturn,_xlfn.LOGNORM.INV(RAND(),MV2,Sigma1),IF(RAND()&lt;CondGood,_xlfn.LOGNORM.INV(RAND(),MV3,Sigma2),MIN(MaxMultiple,Xm/(1-RAND())^(1/Alpha)))))</f>
        <v>0.70421551423396278</v>
      </c>
      <c r="H318" s="19">
        <f ca="1">IF(RAND()&lt;P_Zero,0,IF(RAND()&lt;CondReturn,_xlfn.LOGNORM.INV(RAND(),MV2,Sigma1),IF(RAND()&lt;CondGood,_xlfn.LOGNORM.INV(RAND(),MV3,Sigma2),MIN(MaxMultiple,Xm/(1-RAND())^(1/Alpha)))))</f>
        <v>1.0662435390145866</v>
      </c>
      <c r="I318" s="19">
        <f ca="1">IF(RAND()&lt;P_Zero,0,IF(RAND()&lt;CondReturn,_xlfn.LOGNORM.INV(RAND(),MV2,Sigma1),IF(RAND()&lt;CondGood,_xlfn.LOGNORM.INV(RAND(),MV3,Sigma2),MIN(MaxMultiple,Xm/(1-RAND())^(1/Alpha)))))</f>
        <v>1.60038937195471</v>
      </c>
      <c r="J318" s="19">
        <f ca="1">IF(RAND()&lt;P_Zero,0,IF(RAND()&lt;CondReturn,_xlfn.LOGNORM.INV(RAND(),MV2,Sigma1),IF(RAND()&lt;CondGood,_xlfn.LOGNORM.INV(RAND(),MV3,Sigma2),MIN(MaxMultiple,Xm/(1-RAND())^(1/Alpha)))))</f>
        <v>0</v>
      </c>
      <c r="K318" s="19">
        <f ca="1">IF(RAND()&lt;P_Zero,0,IF(RAND()&lt;CondReturn,_xlfn.LOGNORM.INV(RAND(),MV2,Sigma1),IF(RAND()&lt;CondGood,_xlfn.LOGNORM.INV(RAND(),MV3,Sigma2),MIN(MaxMultiple,Xm/(1-RAND())^(1/Alpha)))))</f>
        <v>0</v>
      </c>
      <c r="L318" s="19">
        <f ca="1">IF(RAND()&lt;P_Zero,0,IF(RAND()&lt;CondReturn,_xlfn.LOGNORM.INV(RAND(),MV2,Sigma1),IF(RAND()&lt;CondGood,_xlfn.LOGNORM.INV(RAND(),MV3,Sigma2),MIN(MaxMultiple,Xm/(1-RAND())^(1/Alpha)))))</f>
        <v>1.5636750861135253</v>
      </c>
      <c r="M318" s="19">
        <f ca="1">IF(RAND()&lt;P_Zero,0,IF(RAND()&lt;CondReturn,_xlfn.LOGNORM.INV(RAND(),MV2,Sigma1),IF(RAND()&lt;CondGood,_xlfn.LOGNORM.INV(RAND(),MV3,Sigma2),MIN(MaxMultiple,Xm/(1-RAND())^(1/Alpha)))))</f>
        <v>0.5083112823231879</v>
      </c>
      <c r="N318" s="19">
        <f ca="1">IF(RAND()&lt;P_Zero,0,IF(RAND()&lt;CondReturn,_xlfn.LOGNORM.INV(RAND(),MV2,Sigma1),IF(RAND()&lt;CondGood,_xlfn.LOGNORM.INV(RAND(),MV3,Sigma2),MIN(MaxMultiple,Xm/(1-RAND())^(1/Alpha)))))</f>
        <v>0.72928354585524602</v>
      </c>
      <c r="O318" s="19">
        <f ca="1">IF(RAND()&lt;P_Zero,0,IF(RAND()&lt;CondReturn,_xlfn.LOGNORM.INV(RAND(),MV2,Sigma1),IF(RAND()&lt;CondGood,_xlfn.LOGNORM.INV(RAND(),MV3,Sigma2),MIN(MaxMultiple,Xm/(1-RAND())^(1/Alpha)))))</f>
        <v>1.1865343882029979</v>
      </c>
      <c r="P318" s="19">
        <f ca="1">IF(RAND()&lt;P_Zero,0,IF(RAND()&lt;CondReturn,_xlfn.LOGNORM.INV(RAND(),MV2,Sigma1),IF(RAND()&lt;CondGood,_xlfn.LOGNORM.INV(RAND(),MV3,Sigma2),MIN(MaxMultiple,Xm/(1-RAND())^(1/Alpha)))))</f>
        <v>0.80132724614162021</v>
      </c>
      <c r="Q318" s="19">
        <f ca="1">IF(RAND()&lt;P_Zero,0,IF(RAND()&lt;CondReturn,_xlfn.LOGNORM.INV(RAND(),MV2,Sigma1),IF(RAND()&lt;CondGood,_xlfn.LOGNORM.INV(RAND(),MV3,Sigma2),MIN(MaxMultiple,Xm/(1-RAND())^(1/Alpha)))))</f>
        <v>0.49647985612748763</v>
      </c>
      <c r="R318" s="19">
        <f ca="1">IF(RAND()&lt;P_Zero,0,IF(RAND()&lt;CondReturn,_xlfn.LOGNORM.INV(RAND(),MV2,Sigma1),IF(RAND()&lt;CondGood,_xlfn.LOGNORM.INV(RAND(),MV3,Sigma2),MIN(MaxMultiple,Xm/(1-RAND())^(1/Alpha)))))</f>
        <v>0</v>
      </c>
      <c r="S318" s="19">
        <f ca="1">IF(RAND()&lt;P_Zero,0,IF(RAND()&lt;CondReturn,_xlfn.LOGNORM.INV(RAND(),MV2,Sigma1),IF(RAND()&lt;CondGood,_xlfn.LOGNORM.INV(RAND(),MV3,Sigma2),MIN(MaxMultiple,Xm/(1-RAND())^(1/Alpha)))))</f>
        <v>0</v>
      </c>
      <c r="T318" s="19">
        <f ca="1">IF(RAND()&lt;P_Zero,0,IF(RAND()&lt;CondReturn,_xlfn.LOGNORM.INV(RAND(),MV2,Sigma1),IF(RAND()&lt;CondGood,_xlfn.LOGNORM.INV(RAND(),MV3,Sigma2),MIN(MaxMultiple,Xm/(1-RAND())^(1/Alpha)))))</f>
        <v>1.4786063651065804</v>
      </c>
      <c r="U318" s="19">
        <f ca="1">IF(RAND()&lt;P_Zero,0,IF(RAND()&lt;CondReturn,_xlfn.LOGNORM.INV(RAND(),MV2,Sigma1),IF(RAND()&lt;CondGood,_xlfn.LOGNORM.INV(RAND(),MV3,Sigma2),MIN(MaxMultiple,Xm/(1-RAND())^(1/Alpha)))))</f>
        <v>0.86613790044587879</v>
      </c>
      <c r="V318" s="19">
        <f ca="1">IF(RAND()&lt;P_Zero,0,IF(RAND()&lt;CondReturn,_xlfn.LOGNORM.INV(RAND(),MV2,Sigma1),IF(RAND()&lt;CondGood,_xlfn.LOGNORM.INV(RAND(),MV3,Sigma2),MIN(MaxMultiple,Xm/(1-RAND())^(1/Alpha)))))</f>
        <v>0</v>
      </c>
      <c r="W318" s="19">
        <f ca="1">IF(RAND()&lt;P_Zero,0,IF(RAND()&lt;CondReturn,_xlfn.LOGNORM.INV(RAND(),MV2,Sigma1),IF(RAND()&lt;CondGood,_xlfn.LOGNORM.INV(RAND(),MV3,Sigma2),MIN(MaxMultiple,Xm/(1-RAND())^(1/Alpha)))))</f>
        <v>0</v>
      </c>
      <c r="X318" s="19">
        <f ca="1">IF(RAND()&lt;P_Zero,0,IF(RAND()&lt;CondReturn,_xlfn.LOGNORM.INV(RAND(),MV2,Sigma1),IF(RAND()&lt;CondGood,_xlfn.LOGNORM.INV(RAND(),MV3,Sigma2),MIN(MaxMultiple,Xm/(1-RAND())^(1/Alpha)))))</f>
        <v>0</v>
      </c>
      <c r="Y318" s="19">
        <f ca="1">IF(RAND()&lt;P_Zero,0,IF(RAND()&lt;CondReturn,_xlfn.LOGNORM.INV(RAND(),MV2,Sigma1),IF(RAND()&lt;CondGood,_xlfn.LOGNORM.INV(RAND(),MV3,Sigma2),MIN(MaxMultiple,Xm/(1-RAND())^(1/Alpha)))))</f>
        <v>19.38493216962576</v>
      </c>
      <c r="Z318" s="19">
        <f ca="1">IF(RAND()&lt;P_Zero,0,IF(RAND()&lt;CondReturn,_xlfn.LOGNORM.INV(RAND(),MV2,Sigma1),IF(RAND()&lt;CondGood,_xlfn.LOGNORM.INV(RAND(),MV3,Sigma2),MIN(MaxMultiple,Xm/(1-RAND())^(1/Alpha)))))</f>
        <v>0</v>
      </c>
      <c r="AA318" s="19">
        <f ca="1">IF(RAND()&lt;P_Zero,0,IF(RAND()&lt;CondReturn,_xlfn.LOGNORM.INV(RAND(),MV2,Sigma1),IF(RAND()&lt;CondGood,_xlfn.LOGNORM.INV(RAND(),MV3,Sigma2),MIN(MaxMultiple,Xm/(1-RAND())^(1/Alpha)))))</f>
        <v>1.0574315488518706</v>
      </c>
      <c r="AB318" s="19">
        <f t="shared" ca="1" si="32"/>
        <v>1.7441234917840771</v>
      </c>
      <c r="AC318" s="14">
        <f t="shared" ca="1" si="33"/>
        <v>83717927.605635703</v>
      </c>
      <c r="AD318" s="14">
        <f t="shared" ca="1" si="34"/>
        <v>35717927.605635703</v>
      </c>
      <c r="AE318" s="14">
        <f t="shared" si="35"/>
        <v>55628399.869093813</v>
      </c>
      <c r="AF318" s="14">
        <f t="shared" ca="1" si="36"/>
        <v>0</v>
      </c>
      <c r="AG318" s="14">
        <f t="shared" ca="1" si="37"/>
        <v>0</v>
      </c>
      <c r="AH318" s="14">
        <f t="shared" ca="1" si="38"/>
        <v>83717927.605635703</v>
      </c>
      <c r="AI318" s="19">
        <f t="shared" ca="1" si="39"/>
        <v>1.3952987934272618</v>
      </c>
    </row>
    <row r="319" spans="2:35" x14ac:dyDescent="0.2">
      <c r="B319" s="1">
        <v>314</v>
      </c>
      <c r="C319" s="19">
        <f ca="1">IF(RAND()&lt;P_Zero,0,IF(RAND()&lt;CondReturn,_xlfn.LOGNORM.INV(RAND(),MV2,Sigma1),IF(RAND()&lt;CondGood,_xlfn.LOGNORM.INV(RAND(),MV3,Sigma2),MIN(MaxMultiple,Xm/(1-RAND())^(1/Alpha)))))</f>
        <v>1.0771721344468166</v>
      </c>
      <c r="D319" s="19">
        <f ca="1">IF(RAND()&lt;P_Zero,0,IF(RAND()&lt;CondReturn,_xlfn.LOGNORM.INV(RAND(),MV2,Sigma1),IF(RAND()&lt;CondGood,_xlfn.LOGNORM.INV(RAND(),MV3,Sigma2),MIN(MaxMultiple,Xm/(1-RAND())^(1/Alpha)))))</f>
        <v>1.5204735022349998</v>
      </c>
      <c r="E319" s="19">
        <f ca="1">IF(RAND()&lt;P_Zero,0,IF(RAND()&lt;CondReturn,_xlfn.LOGNORM.INV(RAND(),MV2,Sigma1),IF(RAND()&lt;CondGood,_xlfn.LOGNORM.INV(RAND(),MV3,Sigma2),MIN(MaxMultiple,Xm/(1-RAND())^(1/Alpha)))))</f>
        <v>1.1308891627925917</v>
      </c>
      <c r="F319" s="19">
        <f ca="1">IF(RAND()&lt;P_Zero,0,IF(RAND()&lt;CondReturn,_xlfn.LOGNORM.INV(RAND(),MV2,Sigma1),IF(RAND()&lt;CondGood,_xlfn.LOGNORM.INV(RAND(),MV3,Sigma2),MIN(MaxMultiple,Xm/(1-RAND())^(1/Alpha)))))</f>
        <v>2.1826122702386699</v>
      </c>
      <c r="G319" s="19">
        <f ca="1">IF(RAND()&lt;P_Zero,0,IF(RAND()&lt;CondReturn,_xlfn.LOGNORM.INV(RAND(),MV2,Sigma1),IF(RAND()&lt;CondGood,_xlfn.LOGNORM.INV(RAND(),MV3,Sigma2),MIN(MaxMultiple,Xm/(1-RAND())^(1/Alpha)))))</f>
        <v>0</v>
      </c>
      <c r="H319" s="19">
        <f ca="1">IF(RAND()&lt;P_Zero,0,IF(RAND()&lt;CondReturn,_xlfn.LOGNORM.INV(RAND(),MV2,Sigma1),IF(RAND()&lt;CondGood,_xlfn.LOGNORM.INV(RAND(),MV3,Sigma2),MIN(MaxMultiple,Xm/(1-RAND())^(1/Alpha)))))</f>
        <v>0.61418175577798151</v>
      </c>
      <c r="I319" s="19">
        <f ca="1">IF(RAND()&lt;P_Zero,0,IF(RAND()&lt;CondReturn,_xlfn.LOGNORM.INV(RAND(),MV2,Sigma1),IF(RAND()&lt;CondGood,_xlfn.LOGNORM.INV(RAND(),MV3,Sigma2),MIN(MaxMultiple,Xm/(1-RAND())^(1/Alpha)))))</f>
        <v>0</v>
      </c>
      <c r="J319" s="19">
        <f ca="1">IF(RAND()&lt;P_Zero,0,IF(RAND()&lt;CondReturn,_xlfn.LOGNORM.INV(RAND(),MV2,Sigma1),IF(RAND()&lt;CondGood,_xlfn.LOGNORM.INV(RAND(),MV3,Sigma2),MIN(MaxMultiple,Xm/(1-RAND())^(1/Alpha)))))</f>
        <v>1.1339571463043152</v>
      </c>
      <c r="K319" s="19">
        <f ca="1">IF(RAND()&lt;P_Zero,0,IF(RAND()&lt;CondReturn,_xlfn.LOGNORM.INV(RAND(),MV2,Sigma1),IF(RAND()&lt;CondGood,_xlfn.LOGNORM.INV(RAND(),MV3,Sigma2),MIN(MaxMultiple,Xm/(1-RAND())^(1/Alpha)))))</f>
        <v>0</v>
      </c>
      <c r="L319" s="19">
        <f ca="1">IF(RAND()&lt;P_Zero,0,IF(RAND()&lt;CondReturn,_xlfn.LOGNORM.INV(RAND(),MV2,Sigma1),IF(RAND()&lt;CondGood,_xlfn.LOGNORM.INV(RAND(),MV3,Sigma2),MIN(MaxMultiple,Xm/(1-RAND())^(1/Alpha)))))</f>
        <v>2.1332869159802512</v>
      </c>
      <c r="M319" s="19">
        <f ca="1">IF(RAND()&lt;P_Zero,0,IF(RAND()&lt;CondReturn,_xlfn.LOGNORM.INV(RAND(),MV2,Sigma1),IF(RAND()&lt;CondGood,_xlfn.LOGNORM.INV(RAND(),MV3,Sigma2),MIN(MaxMultiple,Xm/(1-RAND())^(1/Alpha)))))</f>
        <v>2.1073159309149503</v>
      </c>
      <c r="N319" s="19">
        <f ca="1">IF(RAND()&lt;P_Zero,0,IF(RAND()&lt;CondReturn,_xlfn.LOGNORM.INV(RAND(),MV2,Sigma1),IF(RAND()&lt;CondGood,_xlfn.LOGNORM.INV(RAND(),MV3,Sigma2),MIN(MaxMultiple,Xm/(1-RAND())^(1/Alpha)))))</f>
        <v>1.6063649051794993</v>
      </c>
      <c r="O319" s="19">
        <f ca="1">IF(RAND()&lt;P_Zero,0,IF(RAND()&lt;CondReturn,_xlfn.LOGNORM.INV(RAND(),MV2,Sigma1),IF(RAND()&lt;CondGood,_xlfn.LOGNORM.INV(RAND(),MV3,Sigma2),MIN(MaxMultiple,Xm/(1-RAND())^(1/Alpha)))))</f>
        <v>1.3815280019578053</v>
      </c>
      <c r="P319" s="19">
        <f ca="1">IF(RAND()&lt;P_Zero,0,IF(RAND()&lt;CondReturn,_xlfn.LOGNORM.INV(RAND(),MV2,Sigma1),IF(RAND()&lt;CondGood,_xlfn.LOGNORM.INV(RAND(),MV3,Sigma2),MIN(MaxMultiple,Xm/(1-RAND())^(1/Alpha)))))</f>
        <v>0.89494051954952281</v>
      </c>
      <c r="Q319" s="19">
        <f ca="1">IF(RAND()&lt;P_Zero,0,IF(RAND()&lt;CondReturn,_xlfn.LOGNORM.INV(RAND(),MV2,Sigma1),IF(RAND()&lt;CondGood,_xlfn.LOGNORM.INV(RAND(),MV3,Sigma2),MIN(MaxMultiple,Xm/(1-RAND())^(1/Alpha)))))</f>
        <v>1.2471927208230373</v>
      </c>
      <c r="R319" s="19">
        <f ca="1">IF(RAND()&lt;P_Zero,0,IF(RAND()&lt;CondReturn,_xlfn.LOGNORM.INV(RAND(),MV2,Sigma1),IF(RAND()&lt;CondGood,_xlfn.LOGNORM.INV(RAND(),MV3,Sigma2),MIN(MaxMultiple,Xm/(1-RAND())^(1/Alpha)))))</f>
        <v>1.2735827468219518</v>
      </c>
      <c r="S319" s="19">
        <f ca="1">IF(RAND()&lt;P_Zero,0,IF(RAND()&lt;CondReturn,_xlfn.LOGNORM.INV(RAND(),MV2,Sigma1),IF(RAND()&lt;CondGood,_xlfn.LOGNORM.INV(RAND(),MV3,Sigma2),MIN(MaxMultiple,Xm/(1-RAND())^(1/Alpha)))))</f>
        <v>0.77130052609273103</v>
      </c>
      <c r="T319" s="19">
        <f ca="1">IF(RAND()&lt;P_Zero,0,IF(RAND()&lt;CondReturn,_xlfn.LOGNORM.INV(RAND(),MV2,Sigma1),IF(RAND()&lt;CondGood,_xlfn.LOGNORM.INV(RAND(),MV3,Sigma2),MIN(MaxMultiple,Xm/(1-RAND())^(1/Alpha)))))</f>
        <v>23.008872952475674</v>
      </c>
      <c r="U319" s="19">
        <f ca="1">IF(RAND()&lt;P_Zero,0,IF(RAND()&lt;CondReturn,_xlfn.LOGNORM.INV(RAND(),MV2,Sigma1),IF(RAND()&lt;CondGood,_xlfn.LOGNORM.INV(RAND(),MV3,Sigma2),MIN(MaxMultiple,Xm/(1-RAND())^(1/Alpha)))))</f>
        <v>0</v>
      </c>
      <c r="V319" s="19">
        <f ca="1">IF(RAND()&lt;P_Zero,0,IF(RAND()&lt;CondReturn,_xlfn.LOGNORM.INV(RAND(),MV2,Sigma1),IF(RAND()&lt;CondGood,_xlfn.LOGNORM.INV(RAND(),MV3,Sigma2),MIN(MaxMultiple,Xm/(1-RAND())^(1/Alpha)))))</f>
        <v>0</v>
      </c>
      <c r="W319" s="19">
        <f ca="1">IF(RAND()&lt;P_Zero,0,IF(RAND()&lt;CondReturn,_xlfn.LOGNORM.INV(RAND(),MV2,Sigma1),IF(RAND()&lt;CondGood,_xlfn.LOGNORM.INV(RAND(),MV3,Sigma2),MIN(MaxMultiple,Xm/(1-RAND())^(1/Alpha)))))</f>
        <v>0</v>
      </c>
      <c r="X319" s="19">
        <f ca="1">IF(RAND()&lt;P_Zero,0,IF(RAND()&lt;CondReturn,_xlfn.LOGNORM.INV(RAND(),MV2,Sigma1),IF(RAND()&lt;CondGood,_xlfn.LOGNORM.INV(RAND(),MV3,Sigma2),MIN(MaxMultiple,Xm/(1-RAND())^(1/Alpha)))))</f>
        <v>1.9825483058795739</v>
      </c>
      <c r="Y319" s="19">
        <f ca="1">IF(RAND()&lt;P_Zero,0,IF(RAND()&lt;CondReturn,_xlfn.LOGNORM.INV(RAND(),MV2,Sigma1),IF(RAND()&lt;CondGood,_xlfn.LOGNORM.INV(RAND(),MV3,Sigma2),MIN(MaxMultiple,Xm/(1-RAND())^(1/Alpha)))))</f>
        <v>2.1546847064080099</v>
      </c>
      <c r="Z319" s="19">
        <f ca="1">IF(RAND()&lt;P_Zero,0,IF(RAND()&lt;CondReturn,_xlfn.LOGNORM.INV(RAND(),MV2,Sigma1),IF(RAND()&lt;CondGood,_xlfn.LOGNORM.INV(RAND(),MV3,Sigma2),MIN(MaxMultiple,Xm/(1-RAND())^(1/Alpha)))))</f>
        <v>0</v>
      </c>
      <c r="AA319" s="19">
        <f ca="1">IF(RAND()&lt;P_Zero,0,IF(RAND()&lt;CondReturn,_xlfn.LOGNORM.INV(RAND(),MV2,Sigma1),IF(RAND()&lt;CondGood,_xlfn.LOGNORM.INV(RAND(),MV3,Sigma2),MIN(MaxMultiple,Xm/(1-RAND())^(1/Alpha)))))</f>
        <v>0</v>
      </c>
      <c r="AB319" s="19">
        <f t="shared" ca="1" si="32"/>
        <v>1.8488361681551353</v>
      </c>
      <c r="AC319" s="14">
        <f t="shared" ca="1" si="33"/>
        <v>88744136.071446493</v>
      </c>
      <c r="AD319" s="14">
        <f t="shared" ca="1" si="34"/>
        <v>40744136.071446493</v>
      </c>
      <c r="AE319" s="14">
        <f t="shared" si="35"/>
        <v>55628399.869093813</v>
      </c>
      <c r="AF319" s="14">
        <f t="shared" ca="1" si="36"/>
        <v>0</v>
      </c>
      <c r="AG319" s="14">
        <f t="shared" ca="1" si="37"/>
        <v>0</v>
      </c>
      <c r="AH319" s="14">
        <f t="shared" ca="1" si="38"/>
        <v>88744136.071446493</v>
      </c>
      <c r="AI319" s="19">
        <f t="shared" ca="1" si="39"/>
        <v>1.4790689345241081</v>
      </c>
    </row>
    <row r="320" spans="2:35" x14ac:dyDescent="0.2">
      <c r="B320" s="1">
        <v>315</v>
      </c>
      <c r="C320" s="19">
        <f ca="1">IF(RAND()&lt;P_Zero,0,IF(RAND()&lt;CondReturn,_xlfn.LOGNORM.INV(RAND(),MV2,Sigma1),IF(RAND()&lt;CondGood,_xlfn.LOGNORM.INV(RAND(),MV3,Sigma2),MIN(MaxMultiple,Xm/(1-RAND())^(1/Alpha)))))</f>
        <v>0</v>
      </c>
      <c r="D320" s="19">
        <f ca="1">IF(RAND()&lt;P_Zero,0,IF(RAND()&lt;CondReturn,_xlfn.LOGNORM.INV(RAND(),MV2,Sigma1),IF(RAND()&lt;CondGood,_xlfn.LOGNORM.INV(RAND(),MV3,Sigma2),MIN(MaxMultiple,Xm/(1-RAND())^(1/Alpha)))))</f>
        <v>1.1533436130749404</v>
      </c>
      <c r="E320" s="19">
        <f ca="1">IF(RAND()&lt;P_Zero,0,IF(RAND()&lt;CondReturn,_xlfn.LOGNORM.INV(RAND(),MV2,Sigma1),IF(RAND()&lt;CondGood,_xlfn.LOGNORM.INV(RAND(),MV3,Sigma2),MIN(MaxMultiple,Xm/(1-RAND())^(1/Alpha)))))</f>
        <v>0.94735409156913986</v>
      </c>
      <c r="F320" s="19">
        <f ca="1">IF(RAND()&lt;P_Zero,0,IF(RAND()&lt;CondReturn,_xlfn.LOGNORM.INV(RAND(),MV2,Sigma1),IF(RAND()&lt;CondGood,_xlfn.LOGNORM.INV(RAND(),MV3,Sigma2),MIN(MaxMultiple,Xm/(1-RAND())^(1/Alpha)))))</f>
        <v>0.92079287879303784</v>
      </c>
      <c r="G320" s="19">
        <f ca="1">IF(RAND()&lt;P_Zero,0,IF(RAND()&lt;CondReturn,_xlfn.LOGNORM.INV(RAND(),MV2,Sigma1),IF(RAND()&lt;CondGood,_xlfn.LOGNORM.INV(RAND(),MV3,Sigma2),MIN(MaxMultiple,Xm/(1-RAND())^(1/Alpha)))))</f>
        <v>154.03110343188075</v>
      </c>
      <c r="H320" s="19">
        <f ca="1">IF(RAND()&lt;P_Zero,0,IF(RAND()&lt;CondReturn,_xlfn.LOGNORM.INV(RAND(),MV2,Sigma1),IF(RAND()&lt;CondGood,_xlfn.LOGNORM.INV(RAND(),MV3,Sigma2),MIN(MaxMultiple,Xm/(1-RAND())^(1/Alpha)))))</f>
        <v>0.63468666002700669</v>
      </c>
      <c r="I320" s="19">
        <f ca="1">IF(RAND()&lt;P_Zero,0,IF(RAND()&lt;CondReturn,_xlfn.LOGNORM.INV(RAND(),MV2,Sigma1),IF(RAND()&lt;CondGood,_xlfn.LOGNORM.INV(RAND(),MV3,Sigma2),MIN(MaxMultiple,Xm/(1-RAND())^(1/Alpha)))))</f>
        <v>0.90624090587107475</v>
      </c>
      <c r="J320" s="19">
        <f ca="1">IF(RAND()&lt;P_Zero,0,IF(RAND()&lt;CondReturn,_xlfn.LOGNORM.INV(RAND(),MV2,Sigma1),IF(RAND()&lt;CondGood,_xlfn.LOGNORM.INV(RAND(),MV3,Sigma2),MIN(MaxMultiple,Xm/(1-RAND())^(1/Alpha)))))</f>
        <v>0.82769847828463927</v>
      </c>
      <c r="K320" s="19">
        <f ca="1">IF(RAND()&lt;P_Zero,0,IF(RAND()&lt;CondReturn,_xlfn.LOGNORM.INV(RAND(),MV2,Sigma1),IF(RAND()&lt;CondGood,_xlfn.LOGNORM.INV(RAND(),MV3,Sigma2),MIN(MaxMultiple,Xm/(1-RAND())^(1/Alpha)))))</f>
        <v>0</v>
      </c>
      <c r="L320" s="19">
        <f ca="1">IF(RAND()&lt;P_Zero,0,IF(RAND()&lt;CondReturn,_xlfn.LOGNORM.INV(RAND(),MV2,Sigma1),IF(RAND()&lt;CondGood,_xlfn.LOGNORM.INV(RAND(),MV3,Sigma2),MIN(MaxMultiple,Xm/(1-RAND())^(1/Alpha)))))</f>
        <v>124.93061322948965</v>
      </c>
      <c r="M320" s="19">
        <f ca="1">IF(RAND()&lt;P_Zero,0,IF(RAND()&lt;CondReturn,_xlfn.LOGNORM.INV(RAND(),MV2,Sigma1),IF(RAND()&lt;CondGood,_xlfn.LOGNORM.INV(RAND(),MV3,Sigma2),MIN(MaxMultiple,Xm/(1-RAND())^(1/Alpha)))))</f>
        <v>0.43050399663031458</v>
      </c>
      <c r="N320" s="19">
        <f ca="1">IF(RAND()&lt;P_Zero,0,IF(RAND()&lt;CondReturn,_xlfn.LOGNORM.INV(RAND(),MV2,Sigma1),IF(RAND()&lt;CondGood,_xlfn.LOGNORM.INV(RAND(),MV3,Sigma2),MIN(MaxMultiple,Xm/(1-RAND())^(1/Alpha)))))</f>
        <v>0</v>
      </c>
      <c r="O320" s="19">
        <f ca="1">IF(RAND()&lt;P_Zero,0,IF(RAND()&lt;CondReturn,_xlfn.LOGNORM.INV(RAND(),MV2,Sigma1),IF(RAND()&lt;CondGood,_xlfn.LOGNORM.INV(RAND(),MV3,Sigma2),MIN(MaxMultiple,Xm/(1-RAND())^(1/Alpha)))))</f>
        <v>20.608779302878141</v>
      </c>
      <c r="P320" s="19">
        <f ca="1">IF(RAND()&lt;P_Zero,0,IF(RAND()&lt;CondReturn,_xlfn.LOGNORM.INV(RAND(),MV2,Sigma1),IF(RAND()&lt;CondGood,_xlfn.LOGNORM.INV(RAND(),MV3,Sigma2),MIN(MaxMultiple,Xm/(1-RAND())^(1/Alpha)))))</f>
        <v>0</v>
      </c>
      <c r="Q320" s="19">
        <f ca="1">IF(RAND()&lt;P_Zero,0,IF(RAND()&lt;CondReturn,_xlfn.LOGNORM.INV(RAND(),MV2,Sigma1),IF(RAND()&lt;CondGood,_xlfn.LOGNORM.INV(RAND(),MV3,Sigma2),MIN(MaxMultiple,Xm/(1-RAND())^(1/Alpha)))))</f>
        <v>1.3294478641546983</v>
      </c>
      <c r="R320" s="19">
        <f ca="1">IF(RAND()&lt;P_Zero,0,IF(RAND()&lt;CondReturn,_xlfn.LOGNORM.INV(RAND(),MV2,Sigma1),IF(RAND()&lt;CondGood,_xlfn.LOGNORM.INV(RAND(),MV3,Sigma2),MIN(MaxMultiple,Xm/(1-RAND())^(1/Alpha)))))</f>
        <v>40.416132233201274</v>
      </c>
      <c r="S320" s="19">
        <f ca="1">IF(RAND()&lt;P_Zero,0,IF(RAND()&lt;CondReturn,_xlfn.LOGNORM.INV(RAND(),MV2,Sigma1),IF(RAND()&lt;CondGood,_xlfn.LOGNORM.INV(RAND(),MV3,Sigma2),MIN(MaxMultiple,Xm/(1-RAND())^(1/Alpha)))))</f>
        <v>0</v>
      </c>
      <c r="T320" s="19">
        <f ca="1">IF(RAND()&lt;P_Zero,0,IF(RAND()&lt;CondReturn,_xlfn.LOGNORM.INV(RAND(),MV2,Sigma1),IF(RAND()&lt;CondGood,_xlfn.LOGNORM.INV(RAND(),MV3,Sigma2),MIN(MaxMultiple,Xm/(1-RAND())^(1/Alpha)))))</f>
        <v>1.2846898922627161</v>
      </c>
      <c r="U320" s="19">
        <f ca="1">IF(RAND()&lt;P_Zero,0,IF(RAND()&lt;CondReturn,_xlfn.LOGNORM.INV(RAND(),MV2,Sigma1),IF(RAND()&lt;CondGood,_xlfn.LOGNORM.INV(RAND(),MV3,Sigma2),MIN(MaxMultiple,Xm/(1-RAND())^(1/Alpha)))))</f>
        <v>1.5037648815518556</v>
      </c>
      <c r="V320" s="19">
        <f ca="1">IF(RAND()&lt;P_Zero,0,IF(RAND()&lt;CondReturn,_xlfn.LOGNORM.INV(RAND(),MV2,Sigma1),IF(RAND()&lt;CondGood,_xlfn.LOGNORM.INV(RAND(),MV3,Sigma2),MIN(MaxMultiple,Xm/(1-RAND())^(1/Alpha)))))</f>
        <v>0.83377087316617227</v>
      </c>
      <c r="W320" s="19">
        <f ca="1">IF(RAND()&lt;P_Zero,0,IF(RAND()&lt;CondReturn,_xlfn.LOGNORM.INV(RAND(),MV2,Sigma1),IF(RAND()&lt;CondGood,_xlfn.LOGNORM.INV(RAND(),MV3,Sigma2),MIN(MaxMultiple,Xm/(1-RAND())^(1/Alpha)))))</f>
        <v>1.2646942545821611</v>
      </c>
      <c r="X320" s="19">
        <f ca="1">IF(RAND()&lt;P_Zero,0,IF(RAND()&lt;CondReturn,_xlfn.LOGNORM.INV(RAND(),MV2,Sigma1),IF(RAND()&lt;CondGood,_xlfn.LOGNORM.INV(RAND(),MV3,Sigma2),MIN(MaxMultiple,Xm/(1-RAND())^(1/Alpha)))))</f>
        <v>1.9623524424403165</v>
      </c>
      <c r="Y320" s="19">
        <f ca="1">IF(RAND()&lt;P_Zero,0,IF(RAND()&lt;CondReturn,_xlfn.LOGNORM.INV(RAND(),MV2,Sigma1),IF(RAND()&lt;CondGood,_xlfn.LOGNORM.INV(RAND(),MV3,Sigma2),MIN(MaxMultiple,Xm/(1-RAND())^(1/Alpha)))))</f>
        <v>0.89983007507417545</v>
      </c>
      <c r="Z320" s="19">
        <f ca="1">IF(RAND()&lt;P_Zero,0,IF(RAND()&lt;CondReturn,_xlfn.LOGNORM.INV(RAND(),MV2,Sigma1),IF(RAND()&lt;CondGood,_xlfn.LOGNORM.INV(RAND(),MV3,Sigma2),MIN(MaxMultiple,Xm/(1-RAND())^(1/Alpha)))))</f>
        <v>1.5262872317696428</v>
      </c>
      <c r="AA320" s="19">
        <f ca="1">IF(RAND()&lt;P_Zero,0,IF(RAND()&lt;CondReturn,_xlfn.LOGNORM.INV(RAND(),MV2,Sigma1),IF(RAND()&lt;CondGood,_xlfn.LOGNORM.INV(RAND(),MV3,Sigma2),MIN(MaxMultiple,Xm/(1-RAND())^(1/Alpha)))))</f>
        <v>0.70248357831807196</v>
      </c>
      <c r="AB320" s="19">
        <f t="shared" ca="1" si="32"/>
        <v>14.284582796600787</v>
      </c>
      <c r="AC320" s="14">
        <f t="shared" ca="1" si="33"/>
        <v>685659974.23683774</v>
      </c>
      <c r="AD320" s="14">
        <f t="shared" ca="1" si="34"/>
        <v>637659974.23683774</v>
      </c>
      <c r="AE320" s="14">
        <f t="shared" si="35"/>
        <v>55628399.869093813</v>
      </c>
      <c r="AF320" s="14">
        <f t="shared" ca="1" si="36"/>
        <v>582031574.36774397</v>
      </c>
      <c r="AG320" s="14">
        <f t="shared" ca="1" si="37"/>
        <v>116406314.87354881</v>
      </c>
      <c r="AH320" s="14">
        <f t="shared" ca="1" si="38"/>
        <v>569253659.36328888</v>
      </c>
      <c r="AI320" s="19">
        <f t="shared" ca="1" si="39"/>
        <v>9.4875609893881485</v>
      </c>
    </row>
    <row r="321" spans="2:35" x14ac:dyDescent="0.2">
      <c r="B321" s="1">
        <v>316</v>
      </c>
      <c r="C321" s="19">
        <f ca="1">IF(RAND()&lt;P_Zero,0,IF(RAND()&lt;CondReturn,_xlfn.LOGNORM.INV(RAND(),MV2,Sigma1),IF(RAND()&lt;CondGood,_xlfn.LOGNORM.INV(RAND(),MV3,Sigma2),MIN(MaxMultiple,Xm/(1-RAND())^(1/Alpha)))))</f>
        <v>0</v>
      </c>
      <c r="D321" s="19">
        <f ca="1">IF(RAND()&lt;P_Zero,0,IF(RAND()&lt;CondReturn,_xlfn.LOGNORM.INV(RAND(),MV2,Sigma1),IF(RAND()&lt;CondGood,_xlfn.LOGNORM.INV(RAND(),MV3,Sigma2),MIN(MaxMultiple,Xm/(1-RAND())^(1/Alpha)))))</f>
        <v>0</v>
      </c>
      <c r="E321" s="19">
        <f ca="1">IF(RAND()&lt;P_Zero,0,IF(RAND()&lt;CondReturn,_xlfn.LOGNORM.INV(RAND(),MV2,Sigma1),IF(RAND()&lt;CondGood,_xlfn.LOGNORM.INV(RAND(),MV3,Sigma2),MIN(MaxMultiple,Xm/(1-RAND())^(1/Alpha)))))</f>
        <v>0.59833478954158015</v>
      </c>
      <c r="F321" s="19">
        <f ca="1">IF(RAND()&lt;P_Zero,0,IF(RAND()&lt;CondReturn,_xlfn.LOGNORM.INV(RAND(),MV2,Sigma1),IF(RAND()&lt;CondGood,_xlfn.LOGNORM.INV(RAND(),MV3,Sigma2),MIN(MaxMultiple,Xm/(1-RAND())^(1/Alpha)))))</f>
        <v>0</v>
      </c>
      <c r="G321" s="19">
        <f ca="1">IF(RAND()&lt;P_Zero,0,IF(RAND()&lt;CondReturn,_xlfn.LOGNORM.INV(RAND(),MV2,Sigma1),IF(RAND()&lt;CondGood,_xlfn.LOGNORM.INV(RAND(),MV3,Sigma2),MIN(MaxMultiple,Xm/(1-RAND())^(1/Alpha)))))</f>
        <v>1.1289738445999553</v>
      </c>
      <c r="H321" s="19">
        <f ca="1">IF(RAND()&lt;P_Zero,0,IF(RAND()&lt;CondReturn,_xlfn.LOGNORM.INV(RAND(),MV2,Sigma1),IF(RAND()&lt;CondGood,_xlfn.LOGNORM.INV(RAND(),MV3,Sigma2),MIN(MaxMultiple,Xm/(1-RAND())^(1/Alpha)))))</f>
        <v>0</v>
      </c>
      <c r="I321" s="19">
        <f ca="1">IF(RAND()&lt;P_Zero,0,IF(RAND()&lt;CondReturn,_xlfn.LOGNORM.INV(RAND(),MV2,Sigma1),IF(RAND()&lt;CondGood,_xlfn.LOGNORM.INV(RAND(),MV3,Sigma2),MIN(MaxMultiple,Xm/(1-RAND())^(1/Alpha)))))</f>
        <v>0</v>
      </c>
      <c r="J321" s="19">
        <f ca="1">IF(RAND()&lt;P_Zero,0,IF(RAND()&lt;CondReturn,_xlfn.LOGNORM.INV(RAND(),MV2,Sigma1),IF(RAND()&lt;CondGood,_xlfn.LOGNORM.INV(RAND(),MV3,Sigma2),MIN(MaxMultiple,Xm/(1-RAND())^(1/Alpha)))))</f>
        <v>0</v>
      </c>
      <c r="K321" s="19">
        <f ca="1">IF(RAND()&lt;P_Zero,0,IF(RAND()&lt;CondReturn,_xlfn.LOGNORM.INV(RAND(),MV2,Sigma1),IF(RAND()&lt;CondGood,_xlfn.LOGNORM.INV(RAND(),MV3,Sigma2),MIN(MaxMultiple,Xm/(1-RAND())^(1/Alpha)))))</f>
        <v>3.2468561568943204</v>
      </c>
      <c r="L321" s="19">
        <f ca="1">IF(RAND()&lt;P_Zero,0,IF(RAND()&lt;CondReturn,_xlfn.LOGNORM.INV(RAND(),MV2,Sigma1),IF(RAND()&lt;CondGood,_xlfn.LOGNORM.INV(RAND(),MV3,Sigma2),MIN(MaxMultiple,Xm/(1-RAND())^(1/Alpha)))))</f>
        <v>0</v>
      </c>
      <c r="M321" s="19">
        <f ca="1">IF(RAND()&lt;P_Zero,0,IF(RAND()&lt;CondReturn,_xlfn.LOGNORM.INV(RAND(),MV2,Sigma1),IF(RAND()&lt;CondGood,_xlfn.LOGNORM.INV(RAND(),MV3,Sigma2),MIN(MaxMultiple,Xm/(1-RAND())^(1/Alpha)))))</f>
        <v>0</v>
      </c>
      <c r="N321" s="19">
        <f ca="1">IF(RAND()&lt;P_Zero,0,IF(RAND()&lt;CondReturn,_xlfn.LOGNORM.INV(RAND(),MV2,Sigma1),IF(RAND()&lt;CondGood,_xlfn.LOGNORM.INV(RAND(),MV3,Sigma2),MIN(MaxMultiple,Xm/(1-RAND())^(1/Alpha)))))</f>
        <v>1.1448451686169674</v>
      </c>
      <c r="O321" s="19">
        <f ca="1">IF(RAND()&lt;P_Zero,0,IF(RAND()&lt;CondReturn,_xlfn.LOGNORM.INV(RAND(),MV2,Sigma1),IF(RAND()&lt;CondGood,_xlfn.LOGNORM.INV(RAND(),MV3,Sigma2),MIN(MaxMultiple,Xm/(1-RAND())^(1/Alpha)))))</f>
        <v>0.37307904799410485</v>
      </c>
      <c r="P321" s="19">
        <f ca="1">IF(RAND()&lt;P_Zero,0,IF(RAND()&lt;CondReturn,_xlfn.LOGNORM.INV(RAND(),MV2,Sigma1),IF(RAND()&lt;CondGood,_xlfn.LOGNORM.INV(RAND(),MV3,Sigma2),MIN(MaxMultiple,Xm/(1-RAND())^(1/Alpha)))))</f>
        <v>0.72238103280791388</v>
      </c>
      <c r="Q321" s="19">
        <f ca="1">IF(RAND()&lt;P_Zero,0,IF(RAND()&lt;CondReturn,_xlfn.LOGNORM.INV(RAND(),MV2,Sigma1),IF(RAND()&lt;CondGood,_xlfn.LOGNORM.INV(RAND(),MV3,Sigma2),MIN(MaxMultiple,Xm/(1-RAND())^(1/Alpha)))))</f>
        <v>0</v>
      </c>
      <c r="R321" s="19">
        <f ca="1">IF(RAND()&lt;P_Zero,0,IF(RAND()&lt;CondReturn,_xlfn.LOGNORM.INV(RAND(),MV2,Sigma1),IF(RAND()&lt;CondGood,_xlfn.LOGNORM.INV(RAND(),MV3,Sigma2),MIN(MaxMultiple,Xm/(1-RAND())^(1/Alpha)))))</f>
        <v>0.44269581958169996</v>
      </c>
      <c r="S321" s="19">
        <f ca="1">IF(RAND()&lt;P_Zero,0,IF(RAND()&lt;CondReturn,_xlfn.LOGNORM.INV(RAND(),MV2,Sigma1),IF(RAND()&lt;CondGood,_xlfn.LOGNORM.INV(RAND(),MV3,Sigma2),MIN(MaxMultiple,Xm/(1-RAND())^(1/Alpha)))))</f>
        <v>1.4164604434013255</v>
      </c>
      <c r="T321" s="19">
        <f ca="1">IF(RAND()&lt;P_Zero,0,IF(RAND()&lt;CondReturn,_xlfn.LOGNORM.INV(RAND(),MV2,Sigma1),IF(RAND()&lt;CondGood,_xlfn.LOGNORM.INV(RAND(),MV3,Sigma2),MIN(MaxMultiple,Xm/(1-RAND())^(1/Alpha)))))</f>
        <v>0.34233058924429471</v>
      </c>
      <c r="U321" s="19">
        <f ca="1">IF(RAND()&lt;P_Zero,0,IF(RAND()&lt;CondReturn,_xlfn.LOGNORM.INV(RAND(),MV2,Sigma1),IF(RAND()&lt;CondGood,_xlfn.LOGNORM.INV(RAND(),MV3,Sigma2),MIN(MaxMultiple,Xm/(1-RAND())^(1/Alpha)))))</f>
        <v>0</v>
      </c>
      <c r="V321" s="19">
        <f ca="1">IF(RAND()&lt;P_Zero,0,IF(RAND()&lt;CondReturn,_xlfn.LOGNORM.INV(RAND(),MV2,Sigma1),IF(RAND()&lt;CondGood,_xlfn.LOGNORM.INV(RAND(),MV3,Sigma2),MIN(MaxMultiple,Xm/(1-RAND())^(1/Alpha)))))</f>
        <v>0</v>
      </c>
      <c r="W321" s="19">
        <f ca="1">IF(RAND()&lt;P_Zero,0,IF(RAND()&lt;CondReturn,_xlfn.LOGNORM.INV(RAND(),MV2,Sigma1),IF(RAND()&lt;CondGood,_xlfn.LOGNORM.INV(RAND(),MV3,Sigma2),MIN(MaxMultiple,Xm/(1-RAND())^(1/Alpha)))))</f>
        <v>0</v>
      </c>
      <c r="X321" s="19">
        <f ca="1">IF(RAND()&lt;P_Zero,0,IF(RAND()&lt;CondReturn,_xlfn.LOGNORM.INV(RAND(),MV2,Sigma1),IF(RAND()&lt;CondGood,_xlfn.LOGNORM.INV(RAND(),MV3,Sigma2),MIN(MaxMultiple,Xm/(1-RAND())^(1/Alpha)))))</f>
        <v>0</v>
      </c>
      <c r="Y321" s="19">
        <f ca="1">IF(RAND()&lt;P_Zero,0,IF(RAND()&lt;CondReturn,_xlfn.LOGNORM.INV(RAND(),MV2,Sigma1),IF(RAND()&lt;CondGood,_xlfn.LOGNORM.INV(RAND(),MV3,Sigma2),MIN(MaxMultiple,Xm/(1-RAND())^(1/Alpha)))))</f>
        <v>13.597809941633573</v>
      </c>
      <c r="Z321" s="19">
        <f ca="1">IF(RAND()&lt;P_Zero,0,IF(RAND()&lt;CondReturn,_xlfn.LOGNORM.INV(RAND(),MV2,Sigma1),IF(RAND()&lt;CondGood,_xlfn.LOGNORM.INV(RAND(),MV3,Sigma2),MIN(MaxMultiple,Xm/(1-RAND())^(1/Alpha)))))</f>
        <v>35.970551404706285</v>
      </c>
      <c r="AA321" s="19">
        <f ca="1">IF(RAND()&lt;P_Zero,0,IF(RAND()&lt;CondReturn,_xlfn.LOGNORM.INV(RAND(),MV2,Sigma1),IF(RAND()&lt;CondGood,_xlfn.LOGNORM.INV(RAND(),MV3,Sigma2),MIN(MaxMultiple,Xm/(1-RAND())^(1/Alpha)))))</f>
        <v>1.5247605565300171</v>
      </c>
      <c r="AB321" s="19">
        <f t="shared" ca="1" si="32"/>
        <v>2.4203631518220816</v>
      </c>
      <c r="AC321" s="14">
        <f t="shared" ca="1" si="33"/>
        <v>116177431.28745992</v>
      </c>
      <c r="AD321" s="14">
        <f t="shared" ca="1" si="34"/>
        <v>68177431.287459925</v>
      </c>
      <c r="AE321" s="14">
        <f t="shared" si="35"/>
        <v>55628399.869093813</v>
      </c>
      <c r="AF321" s="14">
        <f t="shared" ca="1" si="36"/>
        <v>12549031.418366112</v>
      </c>
      <c r="AG321" s="14">
        <f t="shared" ca="1" si="37"/>
        <v>2509806.2836732226</v>
      </c>
      <c r="AH321" s="14">
        <f t="shared" ca="1" si="38"/>
        <v>113667625.0037867</v>
      </c>
      <c r="AI321" s="19">
        <f t="shared" ca="1" si="39"/>
        <v>1.8944604167297783</v>
      </c>
    </row>
    <row r="322" spans="2:35" x14ac:dyDescent="0.2">
      <c r="B322" s="1">
        <v>317</v>
      </c>
      <c r="C322" s="19">
        <f ca="1">IF(RAND()&lt;P_Zero,0,IF(RAND()&lt;CondReturn,_xlfn.LOGNORM.INV(RAND(),MV2,Sigma1),IF(RAND()&lt;CondGood,_xlfn.LOGNORM.INV(RAND(),MV3,Sigma2),MIN(MaxMultiple,Xm/(1-RAND())^(1/Alpha)))))</f>
        <v>0</v>
      </c>
      <c r="D322" s="19">
        <f ca="1">IF(RAND()&lt;P_Zero,0,IF(RAND()&lt;CondReturn,_xlfn.LOGNORM.INV(RAND(),MV2,Sigma1),IF(RAND()&lt;CondGood,_xlfn.LOGNORM.INV(RAND(),MV3,Sigma2),MIN(MaxMultiple,Xm/(1-RAND())^(1/Alpha)))))</f>
        <v>1.1316756946956237</v>
      </c>
      <c r="E322" s="19">
        <f ca="1">IF(RAND()&lt;P_Zero,0,IF(RAND()&lt;CondReturn,_xlfn.LOGNORM.INV(RAND(),MV2,Sigma1),IF(RAND()&lt;CondGood,_xlfn.LOGNORM.INV(RAND(),MV3,Sigma2),MIN(MaxMultiple,Xm/(1-RAND())^(1/Alpha)))))</f>
        <v>1.0467037364861482</v>
      </c>
      <c r="F322" s="19">
        <f ca="1">IF(RAND()&lt;P_Zero,0,IF(RAND()&lt;CondReturn,_xlfn.LOGNORM.INV(RAND(),MV2,Sigma1),IF(RAND()&lt;CondGood,_xlfn.LOGNORM.INV(RAND(),MV3,Sigma2),MIN(MaxMultiple,Xm/(1-RAND())^(1/Alpha)))))</f>
        <v>0</v>
      </c>
      <c r="G322" s="19">
        <f ca="1">IF(RAND()&lt;P_Zero,0,IF(RAND()&lt;CondReturn,_xlfn.LOGNORM.INV(RAND(),MV2,Sigma1),IF(RAND()&lt;CondGood,_xlfn.LOGNORM.INV(RAND(),MV3,Sigma2),MIN(MaxMultiple,Xm/(1-RAND())^(1/Alpha)))))</f>
        <v>0.8085432820353895</v>
      </c>
      <c r="H322" s="19">
        <f ca="1">IF(RAND()&lt;P_Zero,0,IF(RAND()&lt;CondReturn,_xlfn.LOGNORM.INV(RAND(),MV2,Sigma1),IF(RAND()&lt;CondGood,_xlfn.LOGNORM.INV(RAND(),MV3,Sigma2),MIN(MaxMultiple,Xm/(1-RAND())^(1/Alpha)))))</f>
        <v>0</v>
      </c>
      <c r="I322" s="19">
        <f ca="1">IF(RAND()&lt;P_Zero,0,IF(RAND()&lt;CondReturn,_xlfn.LOGNORM.INV(RAND(),MV2,Sigma1),IF(RAND()&lt;CondGood,_xlfn.LOGNORM.INV(RAND(),MV3,Sigma2),MIN(MaxMultiple,Xm/(1-RAND())^(1/Alpha)))))</f>
        <v>0</v>
      </c>
      <c r="J322" s="19">
        <f ca="1">IF(RAND()&lt;P_Zero,0,IF(RAND()&lt;CondReturn,_xlfn.LOGNORM.INV(RAND(),MV2,Sigma1),IF(RAND()&lt;CondGood,_xlfn.LOGNORM.INV(RAND(),MV3,Sigma2),MIN(MaxMultiple,Xm/(1-RAND())^(1/Alpha)))))</f>
        <v>0</v>
      </c>
      <c r="K322" s="19">
        <f ca="1">IF(RAND()&lt;P_Zero,0,IF(RAND()&lt;CondReturn,_xlfn.LOGNORM.INV(RAND(),MV2,Sigma1),IF(RAND()&lt;CondGood,_xlfn.LOGNORM.INV(RAND(),MV3,Sigma2),MIN(MaxMultiple,Xm/(1-RAND())^(1/Alpha)))))</f>
        <v>0</v>
      </c>
      <c r="L322" s="19">
        <f ca="1">IF(RAND()&lt;P_Zero,0,IF(RAND()&lt;CondReturn,_xlfn.LOGNORM.INV(RAND(),MV2,Sigma1),IF(RAND()&lt;CondGood,_xlfn.LOGNORM.INV(RAND(),MV3,Sigma2),MIN(MaxMultiple,Xm/(1-RAND())^(1/Alpha)))))</f>
        <v>0</v>
      </c>
      <c r="M322" s="19">
        <f ca="1">IF(RAND()&lt;P_Zero,0,IF(RAND()&lt;CondReturn,_xlfn.LOGNORM.INV(RAND(),MV2,Sigma1),IF(RAND()&lt;CondGood,_xlfn.LOGNORM.INV(RAND(),MV3,Sigma2),MIN(MaxMultiple,Xm/(1-RAND())^(1/Alpha)))))</f>
        <v>0.62365373780435496</v>
      </c>
      <c r="N322" s="19">
        <f ca="1">IF(RAND()&lt;P_Zero,0,IF(RAND()&lt;CondReturn,_xlfn.LOGNORM.INV(RAND(),MV2,Sigma1),IF(RAND()&lt;CondGood,_xlfn.LOGNORM.INV(RAND(),MV3,Sigma2),MIN(MaxMultiple,Xm/(1-RAND())^(1/Alpha)))))</f>
        <v>0</v>
      </c>
      <c r="O322" s="19">
        <f ca="1">IF(RAND()&lt;P_Zero,0,IF(RAND()&lt;CondReturn,_xlfn.LOGNORM.INV(RAND(),MV2,Sigma1),IF(RAND()&lt;CondGood,_xlfn.LOGNORM.INV(RAND(),MV3,Sigma2),MIN(MaxMultiple,Xm/(1-RAND())^(1/Alpha)))))</f>
        <v>0</v>
      </c>
      <c r="P322" s="19">
        <f ca="1">IF(RAND()&lt;P_Zero,0,IF(RAND()&lt;CondReturn,_xlfn.LOGNORM.INV(RAND(),MV2,Sigma1),IF(RAND()&lt;CondGood,_xlfn.LOGNORM.INV(RAND(),MV3,Sigma2),MIN(MaxMultiple,Xm/(1-RAND())^(1/Alpha)))))</f>
        <v>0.76508915224626295</v>
      </c>
      <c r="Q322" s="19">
        <f ca="1">IF(RAND()&lt;P_Zero,0,IF(RAND()&lt;CondReturn,_xlfn.LOGNORM.INV(RAND(),MV2,Sigma1),IF(RAND()&lt;CondGood,_xlfn.LOGNORM.INV(RAND(),MV3,Sigma2),MIN(MaxMultiple,Xm/(1-RAND())^(1/Alpha)))))</f>
        <v>1.2968102337250698</v>
      </c>
      <c r="R322" s="19">
        <f ca="1">IF(RAND()&lt;P_Zero,0,IF(RAND()&lt;CondReturn,_xlfn.LOGNORM.INV(RAND(),MV2,Sigma1),IF(RAND()&lt;CondGood,_xlfn.LOGNORM.INV(RAND(),MV3,Sigma2),MIN(MaxMultiple,Xm/(1-RAND())^(1/Alpha)))))</f>
        <v>1.3644981837549179</v>
      </c>
      <c r="S322" s="19">
        <f ca="1">IF(RAND()&lt;P_Zero,0,IF(RAND()&lt;CondReturn,_xlfn.LOGNORM.INV(RAND(),MV2,Sigma1),IF(RAND()&lt;CondGood,_xlfn.LOGNORM.INV(RAND(),MV3,Sigma2),MIN(MaxMultiple,Xm/(1-RAND())^(1/Alpha)))))</f>
        <v>0.68743161959839449</v>
      </c>
      <c r="T322" s="19">
        <f ca="1">IF(RAND()&lt;P_Zero,0,IF(RAND()&lt;CondReturn,_xlfn.LOGNORM.INV(RAND(),MV2,Sigma1),IF(RAND()&lt;CondGood,_xlfn.LOGNORM.INV(RAND(),MV3,Sigma2),MIN(MaxMultiple,Xm/(1-RAND())^(1/Alpha)))))</f>
        <v>0.68846134075662235</v>
      </c>
      <c r="U322" s="19">
        <f ca="1">IF(RAND()&lt;P_Zero,0,IF(RAND()&lt;CondReturn,_xlfn.LOGNORM.INV(RAND(),MV2,Sigma1),IF(RAND()&lt;CondGood,_xlfn.LOGNORM.INV(RAND(),MV3,Sigma2),MIN(MaxMultiple,Xm/(1-RAND())^(1/Alpha)))))</f>
        <v>0.54813553691801375</v>
      </c>
      <c r="V322" s="19">
        <f ca="1">IF(RAND()&lt;P_Zero,0,IF(RAND()&lt;CondReturn,_xlfn.LOGNORM.INV(RAND(),MV2,Sigma1),IF(RAND()&lt;CondGood,_xlfn.LOGNORM.INV(RAND(),MV3,Sigma2),MIN(MaxMultiple,Xm/(1-RAND())^(1/Alpha)))))</f>
        <v>0</v>
      </c>
      <c r="W322" s="19">
        <f ca="1">IF(RAND()&lt;P_Zero,0,IF(RAND()&lt;CondReturn,_xlfn.LOGNORM.INV(RAND(),MV2,Sigma1),IF(RAND()&lt;CondGood,_xlfn.LOGNORM.INV(RAND(),MV3,Sigma2),MIN(MaxMultiple,Xm/(1-RAND())^(1/Alpha)))))</f>
        <v>1.5193494150778633</v>
      </c>
      <c r="X322" s="19">
        <f ca="1">IF(RAND()&lt;P_Zero,0,IF(RAND()&lt;CondReturn,_xlfn.LOGNORM.INV(RAND(),MV2,Sigma1),IF(RAND()&lt;CondGood,_xlfn.LOGNORM.INV(RAND(),MV3,Sigma2),MIN(MaxMultiple,Xm/(1-RAND())^(1/Alpha)))))</f>
        <v>12.441217404501714</v>
      </c>
      <c r="Y322" s="19">
        <f ca="1">IF(RAND()&lt;P_Zero,0,IF(RAND()&lt;CondReturn,_xlfn.LOGNORM.INV(RAND(),MV2,Sigma1),IF(RAND()&lt;CondGood,_xlfn.LOGNORM.INV(RAND(),MV3,Sigma2),MIN(MaxMultiple,Xm/(1-RAND())^(1/Alpha)))))</f>
        <v>0</v>
      </c>
      <c r="Z322" s="19">
        <f ca="1">IF(RAND()&lt;P_Zero,0,IF(RAND()&lt;CondReturn,_xlfn.LOGNORM.INV(RAND(),MV2,Sigma1),IF(RAND()&lt;CondGood,_xlfn.LOGNORM.INV(RAND(),MV3,Sigma2),MIN(MaxMultiple,Xm/(1-RAND())^(1/Alpha)))))</f>
        <v>0</v>
      </c>
      <c r="AA322" s="19">
        <f ca="1">IF(RAND()&lt;P_Zero,0,IF(RAND()&lt;CondReturn,_xlfn.LOGNORM.INV(RAND(),MV2,Sigma1),IF(RAND()&lt;CondGood,_xlfn.LOGNORM.INV(RAND(),MV3,Sigma2),MIN(MaxMultiple,Xm/(1-RAND())^(1/Alpha)))))</f>
        <v>1.3068810588135831</v>
      </c>
      <c r="AB322" s="19">
        <f t="shared" ca="1" si="32"/>
        <v>0.96913801585655834</v>
      </c>
      <c r="AC322" s="14">
        <f t="shared" ca="1" si="33"/>
        <v>46518624.761114798</v>
      </c>
      <c r="AD322" s="14">
        <f t="shared" ca="1" si="34"/>
        <v>-1481375.2388852015</v>
      </c>
      <c r="AE322" s="14">
        <f t="shared" si="35"/>
        <v>55628399.869093813</v>
      </c>
      <c r="AF322" s="14">
        <f t="shared" ca="1" si="36"/>
        <v>0</v>
      </c>
      <c r="AG322" s="14">
        <f t="shared" ca="1" si="37"/>
        <v>0</v>
      </c>
      <c r="AH322" s="14">
        <f t="shared" ca="1" si="38"/>
        <v>46518624.761114798</v>
      </c>
      <c r="AI322" s="19">
        <f t="shared" ca="1" si="39"/>
        <v>0.77531041268524659</v>
      </c>
    </row>
    <row r="323" spans="2:35" x14ac:dyDescent="0.2">
      <c r="B323" s="1">
        <v>318</v>
      </c>
      <c r="C323" s="19">
        <f ca="1">IF(RAND()&lt;P_Zero,0,IF(RAND()&lt;CondReturn,_xlfn.LOGNORM.INV(RAND(),MV2,Sigma1),IF(RAND()&lt;CondGood,_xlfn.LOGNORM.INV(RAND(),MV3,Sigma2),MIN(MaxMultiple,Xm/(1-RAND())^(1/Alpha)))))</f>
        <v>43.346959172368102</v>
      </c>
      <c r="D323" s="19">
        <f ca="1">IF(RAND()&lt;P_Zero,0,IF(RAND()&lt;CondReturn,_xlfn.LOGNORM.INV(RAND(),MV2,Sigma1),IF(RAND()&lt;CondGood,_xlfn.LOGNORM.INV(RAND(),MV3,Sigma2),MIN(MaxMultiple,Xm/(1-RAND())^(1/Alpha)))))</f>
        <v>1.0463376261514854</v>
      </c>
      <c r="E323" s="19">
        <f ca="1">IF(RAND()&lt;P_Zero,0,IF(RAND()&lt;CondReturn,_xlfn.LOGNORM.INV(RAND(),MV2,Sigma1),IF(RAND()&lt;CondGood,_xlfn.LOGNORM.INV(RAND(),MV3,Sigma2),MIN(MaxMultiple,Xm/(1-RAND())^(1/Alpha)))))</f>
        <v>1.5409286618657805</v>
      </c>
      <c r="F323" s="19">
        <f ca="1">IF(RAND()&lt;P_Zero,0,IF(RAND()&lt;CondReturn,_xlfn.LOGNORM.INV(RAND(),MV2,Sigma1),IF(RAND()&lt;CondGood,_xlfn.LOGNORM.INV(RAND(),MV3,Sigma2),MIN(MaxMultiple,Xm/(1-RAND())^(1/Alpha)))))</f>
        <v>10.332636000202132</v>
      </c>
      <c r="G323" s="19">
        <f ca="1">IF(RAND()&lt;P_Zero,0,IF(RAND()&lt;CondReturn,_xlfn.LOGNORM.INV(RAND(),MV2,Sigma1),IF(RAND()&lt;CondGood,_xlfn.LOGNORM.INV(RAND(),MV3,Sigma2),MIN(MaxMultiple,Xm/(1-RAND())^(1/Alpha)))))</f>
        <v>2.5800933537922868</v>
      </c>
      <c r="H323" s="19">
        <f ca="1">IF(RAND()&lt;P_Zero,0,IF(RAND()&lt;CondReturn,_xlfn.LOGNORM.INV(RAND(),MV2,Sigma1),IF(RAND()&lt;CondGood,_xlfn.LOGNORM.INV(RAND(),MV3,Sigma2),MIN(MaxMultiple,Xm/(1-RAND())^(1/Alpha)))))</f>
        <v>27.471711804549571</v>
      </c>
      <c r="I323" s="19">
        <f ca="1">IF(RAND()&lt;P_Zero,0,IF(RAND()&lt;CondReturn,_xlfn.LOGNORM.INV(RAND(),MV2,Sigma1),IF(RAND()&lt;CondGood,_xlfn.LOGNORM.INV(RAND(),MV3,Sigma2),MIN(MaxMultiple,Xm/(1-RAND())^(1/Alpha)))))</f>
        <v>0.77621774418430123</v>
      </c>
      <c r="J323" s="19">
        <f ca="1">IF(RAND()&lt;P_Zero,0,IF(RAND()&lt;CondReturn,_xlfn.LOGNORM.INV(RAND(),MV2,Sigma1),IF(RAND()&lt;CondGood,_xlfn.LOGNORM.INV(RAND(),MV3,Sigma2),MIN(MaxMultiple,Xm/(1-RAND())^(1/Alpha)))))</f>
        <v>0</v>
      </c>
      <c r="K323" s="19">
        <f ca="1">IF(RAND()&lt;P_Zero,0,IF(RAND()&lt;CondReturn,_xlfn.LOGNORM.INV(RAND(),MV2,Sigma1),IF(RAND()&lt;CondGood,_xlfn.LOGNORM.INV(RAND(),MV3,Sigma2),MIN(MaxMultiple,Xm/(1-RAND())^(1/Alpha)))))</f>
        <v>0</v>
      </c>
      <c r="L323" s="19">
        <f ca="1">IF(RAND()&lt;P_Zero,0,IF(RAND()&lt;CondReturn,_xlfn.LOGNORM.INV(RAND(),MV2,Sigma1),IF(RAND()&lt;CondGood,_xlfn.LOGNORM.INV(RAND(),MV3,Sigma2),MIN(MaxMultiple,Xm/(1-RAND())^(1/Alpha)))))</f>
        <v>0.672571269539739</v>
      </c>
      <c r="M323" s="19">
        <f ca="1">IF(RAND()&lt;P_Zero,0,IF(RAND()&lt;CondReturn,_xlfn.LOGNORM.INV(RAND(),MV2,Sigma1),IF(RAND()&lt;CondGood,_xlfn.LOGNORM.INV(RAND(),MV3,Sigma2),MIN(MaxMultiple,Xm/(1-RAND())^(1/Alpha)))))</f>
        <v>0</v>
      </c>
      <c r="N323" s="19">
        <f ca="1">IF(RAND()&lt;P_Zero,0,IF(RAND()&lt;CondReturn,_xlfn.LOGNORM.INV(RAND(),MV2,Sigma1),IF(RAND()&lt;CondGood,_xlfn.LOGNORM.INV(RAND(),MV3,Sigma2),MIN(MaxMultiple,Xm/(1-RAND())^(1/Alpha)))))</f>
        <v>2.103813343047761</v>
      </c>
      <c r="O323" s="19">
        <f ca="1">IF(RAND()&lt;P_Zero,0,IF(RAND()&lt;CondReturn,_xlfn.LOGNORM.INV(RAND(),MV2,Sigma1),IF(RAND()&lt;CondGood,_xlfn.LOGNORM.INV(RAND(),MV3,Sigma2),MIN(MaxMultiple,Xm/(1-RAND())^(1/Alpha)))))</f>
        <v>1.8439347347581456</v>
      </c>
      <c r="P323" s="19">
        <f ca="1">IF(RAND()&lt;P_Zero,0,IF(RAND()&lt;CondReturn,_xlfn.LOGNORM.INV(RAND(),MV2,Sigma1),IF(RAND()&lt;CondGood,_xlfn.LOGNORM.INV(RAND(),MV3,Sigma2),MIN(MaxMultiple,Xm/(1-RAND())^(1/Alpha)))))</f>
        <v>1.0046163230639893</v>
      </c>
      <c r="Q323" s="19">
        <f ca="1">IF(RAND()&lt;P_Zero,0,IF(RAND()&lt;CondReturn,_xlfn.LOGNORM.INV(RAND(),MV2,Sigma1),IF(RAND()&lt;CondGood,_xlfn.LOGNORM.INV(RAND(),MV3,Sigma2),MIN(MaxMultiple,Xm/(1-RAND())^(1/Alpha)))))</f>
        <v>0.79503051972524175</v>
      </c>
      <c r="R323" s="19">
        <f ca="1">IF(RAND()&lt;P_Zero,0,IF(RAND()&lt;CondReturn,_xlfn.LOGNORM.INV(RAND(),MV2,Sigma1),IF(RAND()&lt;CondGood,_xlfn.LOGNORM.INV(RAND(),MV3,Sigma2),MIN(MaxMultiple,Xm/(1-RAND())^(1/Alpha)))))</f>
        <v>17.8507419416297</v>
      </c>
      <c r="S323" s="19">
        <f ca="1">IF(RAND()&lt;P_Zero,0,IF(RAND()&lt;CondReturn,_xlfn.LOGNORM.INV(RAND(),MV2,Sigma1),IF(RAND()&lt;CondGood,_xlfn.LOGNORM.INV(RAND(),MV3,Sigma2),MIN(MaxMultiple,Xm/(1-RAND())^(1/Alpha)))))</f>
        <v>2.2719743513058104</v>
      </c>
      <c r="T323" s="19">
        <f ca="1">IF(RAND()&lt;P_Zero,0,IF(RAND()&lt;CondReturn,_xlfn.LOGNORM.INV(RAND(),MV2,Sigma1),IF(RAND()&lt;CondGood,_xlfn.LOGNORM.INV(RAND(),MV3,Sigma2),MIN(MaxMultiple,Xm/(1-RAND())^(1/Alpha)))))</f>
        <v>0</v>
      </c>
      <c r="U323" s="19">
        <f ca="1">IF(RAND()&lt;P_Zero,0,IF(RAND()&lt;CondReturn,_xlfn.LOGNORM.INV(RAND(),MV2,Sigma1),IF(RAND()&lt;CondGood,_xlfn.LOGNORM.INV(RAND(),MV3,Sigma2),MIN(MaxMultiple,Xm/(1-RAND())^(1/Alpha)))))</f>
        <v>0</v>
      </c>
      <c r="V323" s="19">
        <f ca="1">IF(RAND()&lt;P_Zero,0,IF(RAND()&lt;CondReturn,_xlfn.LOGNORM.INV(RAND(),MV2,Sigma1),IF(RAND()&lt;CondGood,_xlfn.LOGNORM.INV(RAND(),MV3,Sigma2),MIN(MaxMultiple,Xm/(1-RAND())^(1/Alpha)))))</f>
        <v>0.64653680867402474</v>
      </c>
      <c r="W323" s="19">
        <f ca="1">IF(RAND()&lt;P_Zero,0,IF(RAND()&lt;CondReturn,_xlfn.LOGNORM.INV(RAND(),MV2,Sigma1),IF(RAND()&lt;CondGood,_xlfn.LOGNORM.INV(RAND(),MV3,Sigma2),MIN(MaxMultiple,Xm/(1-RAND())^(1/Alpha)))))</f>
        <v>0</v>
      </c>
      <c r="X323" s="19">
        <f ca="1">IF(RAND()&lt;P_Zero,0,IF(RAND()&lt;CondReturn,_xlfn.LOGNORM.INV(RAND(),MV2,Sigma1),IF(RAND()&lt;CondGood,_xlfn.LOGNORM.INV(RAND(),MV3,Sigma2),MIN(MaxMultiple,Xm/(1-RAND())^(1/Alpha)))))</f>
        <v>0</v>
      </c>
      <c r="Y323" s="19">
        <f ca="1">IF(RAND()&lt;P_Zero,0,IF(RAND()&lt;CondReturn,_xlfn.LOGNORM.INV(RAND(),MV2,Sigma1),IF(RAND()&lt;CondGood,_xlfn.LOGNORM.INV(RAND(),MV3,Sigma2),MIN(MaxMultiple,Xm/(1-RAND())^(1/Alpha)))))</f>
        <v>1.4620887119679502</v>
      </c>
      <c r="Z323" s="19">
        <f ca="1">IF(RAND()&lt;P_Zero,0,IF(RAND()&lt;CondReturn,_xlfn.LOGNORM.INV(RAND(),MV2,Sigma1),IF(RAND()&lt;CondGood,_xlfn.LOGNORM.INV(RAND(),MV3,Sigma2),MIN(MaxMultiple,Xm/(1-RAND())^(1/Alpha)))))</f>
        <v>0</v>
      </c>
      <c r="AA323" s="19">
        <f ca="1">IF(RAND()&lt;P_Zero,0,IF(RAND()&lt;CondReturn,_xlfn.LOGNORM.INV(RAND(),MV2,Sigma1),IF(RAND()&lt;CondGood,_xlfn.LOGNORM.INV(RAND(),MV3,Sigma2),MIN(MaxMultiple,Xm/(1-RAND())^(1/Alpha)))))</f>
        <v>15.446620592124791</v>
      </c>
      <c r="AB323" s="19">
        <f t="shared" ca="1" si="32"/>
        <v>5.247712518358032</v>
      </c>
      <c r="AC323" s="14">
        <f t="shared" ca="1" si="33"/>
        <v>251890200.88118553</v>
      </c>
      <c r="AD323" s="14">
        <f t="shared" ca="1" si="34"/>
        <v>203890200.88118553</v>
      </c>
      <c r="AE323" s="14">
        <f t="shared" si="35"/>
        <v>55628399.869093813</v>
      </c>
      <c r="AF323" s="14">
        <f t="shared" ca="1" si="36"/>
        <v>148261801.01209173</v>
      </c>
      <c r="AG323" s="14">
        <f t="shared" ca="1" si="37"/>
        <v>29652360.202418346</v>
      </c>
      <c r="AH323" s="14">
        <f t="shared" ca="1" si="38"/>
        <v>222237840.67876717</v>
      </c>
      <c r="AI323" s="19">
        <f t="shared" ca="1" si="39"/>
        <v>3.7039640113127863</v>
      </c>
    </row>
    <row r="324" spans="2:35" x14ac:dyDescent="0.2">
      <c r="B324" s="1">
        <v>319</v>
      </c>
      <c r="C324" s="19">
        <f ca="1">IF(RAND()&lt;P_Zero,0,IF(RAND()&lt;CondReturn,_xlfn.LOGNORM.INV(RAND(),MV2,Sigma1),IF(RAND()&lt;CondGood,_xlfn.LOGNORM.INV(RAND(),MV3,Sigma2),MIN(MaxMultiple,Xm/(1-RAND())^(1/Alpha)))))</f>
        <v>0</v>
      </c>
      <c r="D324" s="19">
        <f ca="1">IF(RAND()&lt;P_Zero,0,IF(RAND()&lt;CondReturn,_xlfn.LOGNORM.INV(RAND(),MV2,Sigma1),IF(RAND()&lt;CondGood,_xlfn.LOGNORM.INV(RAND(),MV3,Sigma2),MIN(MaxMultiple,Xm/(1-RAND())^(1/Alpha)))))</f>
        <v>2.2193284353550768</v>
      </c>
      <c r="E324" s="19">
        <f ca="1">IF(RAND()&lt;P_Zero,0,IF(RAND()&lt;CondReturn,_xlfn.LOGNORM.INV(RAND(),MV2,Sigma1),IF(RAND()&lt;CondGood,_xlfn.LOGNORM.INV(RAND(),MV3,Sigma2),MIN(MaxMultiple,Xm/(1-RAND())^(1/Alpha)))))</f>
        <v>0</v>
      </c>
      <c r="F324" s="19">
        <f ca="1">IF(RAND()&lt;P_Zero,0,IF(RAND()&lt;CondReturn,_xlfn.LOGNORM.INV(RAND(),MV2,Sigma1),IF(RAND()&lt;CondGood,_xlfn.LOGNORM.INV(RAND(),MV3,Sigma2),MIN(MaxMultiple,Xm/(1-RAND())^(1/Alpha)))))</f>
        <v>0.83631571257988091</v>
      </c>
      <c r="G324" s="19">
        <f ca="1">IF(RAND()&lt;P_Zero,0,IF(RAND()&lt;CondReturn,_xlfn.LOGNORM.INV(RAND(),MV2,Sigma1),IF(RAND()&lt;CondGood,_xlfn.LOGNORM.INV(RAND(),MV3,Sigma2),MIN(MaxMultiple,Xm/(1-RAND())^(1/Alpha)))))</f>
        <v>0.67106936896408131</v>
      </c>
      <c r="H324" s="19">
        <f ca="1">IF(RAND()&lt;P_Zero,0,IF(RAND()&lt;CondReturn,_xlfn.LOGNORM.INV(RAND(),MV2,Sigma1),IF(RAND()&lt;CondGood,_xlfn.LOGNORM.INV(RAND(),MV3,Sigma2),MIN(MaxMultiple,Xm/(1-RAND())^(1/Alpha)))))</f>
        <v>33.3104357964882</v>
      </c>
      <c r="I324" s="19">
        <f ca="1">IF(RAND()&lt;P_Zero,0,IF(RAND()&lt;CondReturn,_xlfn.LOGNORM.INV(RAND(),MV2,Sigma1),IF(RAND()&lt;CondGood,_xlfn.LOGNORM.INV(RAND(),MV3,Sigma2),MIN(MaxMultiple,Xm/(1-RAND())^(1/Alpha)))))</f>
        <v>1.0528851317413208</v>
      </c>
      <c r="J324" s="19">
        <f ca="1">IF(RAND()&lt;P_Zero,0,IF(RAND()&lt;CondReturn,_xlfn.LOGNORM.INV(RAND(),MV2,Sigma1),IF(RAND()&lt;CondGood,_xlfn.LOGNORM.INV(RAND(),MV3,Sigma2),MIN(MaxMultiple,Xm/(1-RAND())^(1/Alpha)))))</f>
        <v>0.54749469410465879</v>
      </c>
      <c r="K324" s="19">
        <f ca="1">IF(RAND()&lt;P_Zero,0,IF(RAND()&lt;CondReturn,_xlfn.LOGNORM.INV(RAND(),MV2,Sigma1),IF(RAND()&lt;CondGood,_xlfn.LOGNORM.INV(RAND(),MV3,Sigma2),MIN(MaxMultiple,Xm/(1-RAND())^(1/Alpha)))))</f>
        <v>0.62211391691985007</v>
      </c>
      <c r="L324" s="19">
        <f ca="1">IF(RAND()&lt;P_Zero,0,IF(RAND()&lt;CondReturn,_xlfn.LOGNORM.INV(RAND(),MV2,Sigma1),IF(RAND()&lt;CondGood,_xlfn.LOGNORM.INV(RAND(),MV3,Sigma2),MIN(MaxMultiple,Xm/(1-RAND())^(1/Alpha)))))</f>
        <v>0.51956038461690923</v>
      </c>
      <c r="M324" s="19">
        <f ca="1">IF(RAND()&lt;P_Zero,0,IF(RAND()&lt;CondReturn,_xlfn.LOGNORM.INV(RAND(),MV2,Sigma1),IF(RAND()&lt;CondGood,_xlfn.LOGNORM.INV(RAND(),MV3,Sigma2),MIN(MaxMultiple,Xm/(1-RAND())^(1/Alpha)))))</f>
        <v>0.7912695456641935</v>
      </c>
      <c r="N324" s="19">
        <f ca="1">IF(RAND()&lt;P_Zero,0,IF(RAND()&lt;CondReturn,_xlfn.LOGNORM.INV(RAND(),MV2,Sigma1),IF(RAND()&lt;CondGood,_xlfn.LOGNORM.INV(RAND(),MV3,Sigma2),MIN(MaxMultiple,Xm/(1-RAND())^(1/Alpha)))))</f>
        <v>0</v>
      </c>
      <c r="O324" s="19">
        <f ca="1">IF(RAND()&lt;P_Zero,0,IF(RAND()&lt;CondReturn,_xlfn.LOGNORM.INV(RAND(),MV2,Sigma1),IF(RAND()&lt;CondGood,_xlfn.LOGNORM.INV(RAND(),MV3,Sigma2),MIN(MaxMultiple,Xm/(1-RAND())^(1/Alpha)))))</f>
        <v>0.75685365280356987</v>
      </c>
      <c r="P324" s="19">
        <f ca="1">IF(RAND()&lt;P_Zero,0,IF(RAND()&lt;CondReturn,_xlfn.LOGNORM.INV(RAND(),MV2,Sigma1),IF(RAND()&lt;CondGood,_xlfn.LOGNORM.INV(RAND(),MV3,Sigma2),MIN(MaxMultiple,Xm/(1-RAND())^(1/Alpha)))))</f>
        <v>0</v>
      </c>
      <c r="Q324" s="19">
        <f ca="1">IF(RAND()&lt;P_Zero,0,IF(RAND()&lt;CondReturn,_xlfn.LOGNORM.INV(RAND(),MV2,Sigma1),IF(RAND()&lt;CondGood,_xlfn.LOGNORM.INV(RAND(),MV3,Sigma2),MIN(MaxMultiple,Xm/(1-RAND())^(1/Alpha)))))</f>
        <v>32.841075063328248</v>
      </c>
      <c r="R324" s="19">
        <f ca="1">IF(RAND()&lt;P_Zero,0,IF(RAND()&lt;CondReturn,_xlfn.LOGNORM.INV(RAND(),MV2,Sigma1),IF(RAND()&lt;CondGood,_xlfn.LOGNORM.INV(RAND(),MV3,Sigma2),MIN(MaxMultiple,Xm/(1-RAND())^(1/Alpha)))))</f>
        <v>11.035784185962118</v>
      </c>
      <c r="S324" s="19">
        <f ca="1">IF(RAND()&lt;P_Zero,0,IF(RAND()&lt;CondReturn,_xlfn.LOGNORM.INV(RAND(),MV2,Sigma1),IF(RAND()&lt;CondGood,_xlfn.LOGNORM.INV(RAND(),MV3,Sigma2),MIN(MaxMultiple,Xm/(1-RAND())^(1/Alpha)))))</f>
        <v>1.7557670204400957</v>
      </c>
      <c r="T324" s="19">
        <f ca="1">IF(RAND()&lt;P_Zero,0,IF(RAND()&lt;CondReturn,_xlfn.LOGNORM.INV(RAND(),MV2,Sigma1),IF(RAND()&lt;CondGood,_xlfn.LOGNORM.INV(RAND(),MV3,Sigma2),MIN(MaxMultiple,Xm/(1-RAND())^(1/Alpha)))))</f>
        <v>0</v>
      </c>
      <c r="U324" s="19">
        <f ca="1">IF(RAND()&lt;P_Zero,0,IF(RAND()&lt;CondReturn,_xlfn.LOGNORM.INV(RAND(),MV2,Sigma1),IF(RAND()&lt;CondGood,_xlfn.LOGNORM.INV(RAND(),MV3,Sigma2),MIN(MaxMultiple,Xm/(1-RAND())^(1/Alpha)))))</f>
        <v>0.79853571794026268</v>
      </c>
      <c r="V324" s="19">
        <f ca="1">IF(RAND()&lt;P_Zero,0,IF(RAND()&lt;CondReturn,_xlfn.LOGNORM.INV(RAND(),MV2,Sigma1),IF(RAND()&lt;CondGood,_xlfn.LOGNORM.INV(RAND(),MV3,Sigma2),MIN(MaxMultiple,Xm/(1-RAND())^(1/Alpha)))))</f>
        <v>1.4026365902457665</v>
      </c>
      <c r="W324" s="19">
        <f ca="1">IF(RAND()&lt;P_Zero,0,IF(RAND()&lt;CondReturn,_xlfn.LOGNORM.INV(RAND(),MV2,Sigma1),IF(RAND()&lt;CondGood,_xlfn.LOGNORM.INV(RAND(),MV3,Sigma2),MIN(MaxMultiple,Xm/(1-RAND())^(1/Alpha)))))</f>
        <v>0</v>
      </c>
      <c r="X324" s="19">
        <f ca="1">IF(RAND()&lt;P_Zero,0,IF(RAND()&lt;CondReturn,_xlfn.LOGNORM.INV(RAND(),MV2,Sigma1),IF(RAND()&lt;CondGood,_xlfn.LOGNORM.INV(RAND(),MV3,Sigma2),MIN(MaxMultiple,Xm/(1-RAND())^(1/Alpha)))))</f>
        <v>0</v>
      </c>
      <c r="Y324" s="19">
        <f ca="1">IF(RAND()&lt;P_Zero,0,IF(RAND()&lt;CondReturn,_xlfn.LOGNORM.INV(RAND(),MV2,Sigma1),IF(RAND()&lt;CondGood,_xlfn.LOGNORM.INV(RAND(),MV3,Sigma2),MIN(MaxMultiple,Xm/(1-RAND())^(1/Alpha)))))</f>
        <v>0.62064496198416164</v>
      </c>
      <c r="Z324" s="19">
        <f ca="1">IF(RAND()&lt;P_Zero,0,IF(RAND()&lt;CondReturn,_xlfn.LOGNORM.INV(RAND(),MV2,Sigma1),IF(RAND()&lt;CondGood,_xlfn.LOGNORM.INV(RAND(),MV3,Sigma2),MIN(MaxMultiple,Xm/(1-RAND())^(1/Alpha)))))</f>
        <v>0</v>
      </c>
      <c r="AA324" s="19">
        <f ca="1">IF(RAND()&lt;P_Zero,0,IF(RAND()&lt;CondReturn,_xlfn.LOGNORM.INV(RAND(),MV2,Sigma1),IF(RAND()&lt;CondGood,_xlfn.LOGNORM.INV(RAND(),MV3,Sigma2),MIN(MaxMultiple,Xm/(1-RAND())^(1/Alpha)))))</f>
        <v>1.100781684903281</v>
      </c>
      <c r="AB324" s="19">
        <f t="shared" ca="1" si="32"/>
        <v>3.6353020745616664</v>
      </c>
      <c r="AC324" s="14">
        <f t="shared" ca="1" si="33"/>
        <v>174494499.57896</v>
      </c>
      <c r="AD324" s="14">
        <f t="shared" ca="1" si="34"/>
        <v>126494499.57896</v>
      </c>
      <c r="AE324" s="14">
        <f t="shared" si="35"/>
        <v>55628399.869093813</v>
      </c>
      <c r="AF324" s="14">
        <f t="shared" ca="1" si="36"/>
        <v>70866099.709866196</v>
      </c>
      <c r="AG324" s="14">
        <f t="shared" ca="1" si="37"/>
        <v>14173219.941973239</v>
      </c>
      <c r="AH324" s="14">
        <f t="shared" ca="1" si="38"/>
        <v>160321279.63698676</v>
      </c>
      <c r="AI324" s="19">
        <f t="shared" ca="1" si="39"/>
        <v>2.6720213272831126</v>
      </c>
    </row>
    <row r="325" spans="2:35" x14ac:dyDescent="0.2">
      <c r="B325" s="1">
        <v>320</v>
      </c>
      <c r="C325" s="19">
        <f ca="1">IF(RAND()&lt;P_Zero,0,IF(RAND()&lt;CondReturn,_xlfn.LOGNORM.INV(RAND(),MV2,Sigma1),IF(RAND()&lt;CondGood,_xlfn.LOGNORM.INV(RAND(),MV3,Sigma2),MIN(MaxMultiple,Xm/(1-RAND())^(1/Alpha)))))</f>
        <v>1.3030574000148953</v>
      </c>
      <c r="D325" s="19">
        <f ca="1">IF(RAND()&lt;P_Zero,0,IF(RAND()&lt;CondReturn,_xlfn.LOGNORM.INV(RAND(),MV2,Sigma1),IF(RAND()&lt;CondGood,_xlfn.LOGNORM.INV(RAND(),MV3,Sigma2),MIN(MaxMultiple,Xm/(1-RAND())^(1/Alpha)))))</f>
        <v>0</v>
      </c>
      <c r="E325" s="19">
        <f ca="1">IF(RAND()&lt;P_Zero,0,IF(RAND()&lt;CondReturn,_xlfn.LOGNORM.INV(RAND(),MV2,Sigma1),IF(RAND()&lt;CondGood,_xlfn.LOGNORM.INV(RAND(),MV3,Sigma2),MIN(MaxMultiple,Xm/(1-RAND())^(1/Alpha)))))</f>
        <v>0.7829328050932336</v>
      </c>
      <c r="F325" s="19">
        <f ca="1">IF(RAND()&lt;P_Zero,0,IF(RAND()&lt;CondReturn,_xlfn.LOGNORM.INV(RAND(),MV2,Sigma1),IF(RAND()&lt;CondGood,_xlfn.LOGNORM.INV(RAND(),MV3,Sigma2),MIN(MaxMultiple,Xm/(1-RAND())^(1/Alpha)))))</f>
        <v>0.97342948903658399</v>
      </c>
      <c r="G325" s="19">
        <f ca="1">IF(RAND()&lt;P_Zero,0,IF(RAND()&lt;CondReturn,_xlfn.LOGNORM.INV(RAND(),MV2,Sigma1),IF(RAND()&lt;CondGood,_xlfn.LOGNORM.INV(RAND(),MV3,Sigma2),MIN(MaxMultiple,Xm/(1-RAND())^(1/Alpha)))))</f>
        <v>1.5026008864306009</v>
      </c>
      <c r="H325" s="19">
        <f ca="1">IF(RAND()&lt;P_Zero,0,IF(RAND()&lt;CondReturn,_xlfn.LOGNORM.INV(RAND(),MV2,Sigma1),IF(RAND()&lt;CondGood,_xlfn.LOGNORM.INV(RAND(),MV3,Sigma2),MIN(MaxMultiple,Xm/(1-RAND())^(1/Alpha)))))</f>
        <v>0</v>
      </c>
      <c r="I325" s="19">
        <f ca="1">IF(RAND()&lt;P_Zero,0,IF(RAND()&lt;CondReturn,_xlfn.LOGNORM.INV(RAND(),MV2,Sigma1),IF(RAND()&lt;CondGood,_xlfn.LOGNORM.INV(RAND(),MV3,Sigma2),MIN(MaxMultiple,Xm/(1-RAND())^(1/Alpha)))))</f>
        <v>2.3098928419362044</v>
      </c>
      <c r="J325" s="19">
        <f ca="1">IF(RAND()&lt;P_Zero,0,IF(RAND()&lt;CondReturn,_xlfn.LOGNORM.INV(RAND(),MV2,Sigma1),IF(RAND()&lt;CondGood,_xlfn.LOGNORM.INV(RAND(),MV3,Sigma2),MIN(MaxMultiple,Xm/(1-RAND())^(1/Alpha)))))</f>
        <v>1.0979669379176946</v>
      </c>
      <c r="K325" s="19">
        <f ca="1">IF(RAND()&lt;P_Zero,0,IF(RAND()&lt;CondReturn,_xlfn.LOGNORM.INV(RAND(),MV2,Sigma1),IF(RAND()&lt;CondGood,_xlfn.LOGNORM.INV(RAND(),MV3,Sigma2),MIN(MaxMultiple,Xm/(1-RAND())^(1/Alpha)))))</f>
        <v>0.55150325575087455</v>
      </c>
      <c r="L325" s="19">
        <f ca="1">IF(RAND()&lt;P_Zero,0,IF(RAND()&lt;CondReturn,_xlfn.LOGNORM.INV(RAND(),MV2,Sigma1),IF(RAND()&lt;CondGood,_xlfn.LOGNORM.INV(RAND(),MV3,Sigma2),MIN(MaxMultiple,Xm/(1-RAND())^(1/Alpha)))))</f>
        <v>0</v>
      </c>
      <c r="M325" s="19">
        <f ca="1">IF(RAND()&lt;P_Zero,0,IF(RAND()&lt;CondReturn,_xlfn.LOGNORM.INV(RAND(),MV2,Sigma1),IF(RAND()&lt;CondGood,_xlfn.LOGNORM.INV(RAND(),MV3,Sigma2),MIN(MaxMultiple,Xm/(1-RAND())^(1/Alpha)))))</f>
        <v>0</v>
      </c>
      <c r="N325" s="19">
        <f ca="1">IF(RAND()&lt;P_Zero,0,IF(RAND()&lt;CondReturn,_xlfn.LOGNORM.INV(RAND(),MV2,Sigma1),IF(RAND()&lt;CondGood,_xlfn.LOGNORM.INV(RAND(),MV3,Sigma2),MIN(MaxMultiple,Xm/(1-RAND())^(1/Alpha)))))</f>
        <v>0</v>
      </c>
      <c r="O325" s="19">
        <f ca="1">IF(RAND()&lt;P_Zero,0,IF(RAND()&lt;CondReturn,_xlfn.LOGNORM.INV(RAND(),MV2,Sigma1),IF(RAND()&lt;CondGood,_xlfn.LOGNORM.INV(RAND(),MV3,Sigma2),MIN(MaxMultiple,Xm/(1-RAND())^(1/Alpha)))))</f>
        <v>22.181538916439241</v>
      </c>
      <c r="P325" s="19">
        <f ca="1">IF(RAND()&lt;P_Zero,0,IF(RAND()&lt;CondReturn,_xlfn.LOGNORM.INV(RAND(),MV2,Sigma1),IF(RAND()&lt;CondGood,_xlfn.LOGNORM.INV(RAND(),MV3,Sigma2),MIN(MaxMultiple,Xm/(1-RAND())^(1/Alpha)))))</f>
        <v>40.079633292910444</v>
      </c>
      <c r="Q325" s="19">
        <f ca="1">IF(RAND()&lt;P_Zero,0,IF(RAND()&lt;CondReturn,_xlfn.LOGNORM.INV(RAND(),MV2,Sigma1),IF(RAND()&lt;CondGood,_xlfn.LOGNORM.INV(RAND(),MV3,Sigma2),MIN(MaxMultiple,Xm/(1-RAND())^(1/Alpha)))))</f>
        <v>0</v>
      </c>
      <c r="R325" s="19">
        <f ca="1">IF(RAND()&lt;P_Zero,0,IF(RAND()&lt;CondReturn,_xlfn.LOGNORM.INV(RAND(),MV2,Sigma1),IF(RAND()&lt;CondGood,_xlfn.LOGNORM.INV(RAND(),MV3,Sigma2),MIN(MaxMultiple,Xm/(1-RAND())^(1/Alpha)))))</f>
        <v>0.9223249213568312</v>
      </c>
      <c r="S325" s="19">
        <f ca="1">IF(RAND()&lt;P_Zero,0,IF(RAND()&lt;CondReturn,_xlfn.LOGNORM.INV(RAND(),MV2,Sigma1),IF(RAND()&lt;CondGood,_xlfn.LOGNORM.INV(RAND(),MV3,Sigma2),MIN(MaxMultiple,Xm/(1-RAND())^(1/Alpha)))))</f>
        <v>0.57945514166105805</v>
      </c>
      <c r="T325" s="19">
        <f ca="1">IF(RAND()&lt;P_Zero,0,IF(RAND()&lt;CondReturn,_xlfn.LOGNORM.INV(RAND(),MV2,Sigma1),IF(RAND()&lt;CondGood,_xlfn.LOGNORM.INV(RAND(),MV3,Sigma2),MIN(MaxMultiple,Xm/(1-RAND())^(1/Alpha)))))</f>
        <v>0.7286476965908748</v>
      </c>
      <c r="U325" s="19">
        <f ca="1">IF(RAND()&lt;P_Zero,0,IF(RAND()&lt;CondReturn,_xlfn.LOGNORM.INV(RAND(),MV2,Sigma1),IF(RAND()&lt;CondGood,_xlfn.LOGNORM.INV(RAND(),MV3,Sigma2),MIN(MaxMultiple,Xm/(1-RAND())^(1/Alpha)))))</f>
        <v>1.0432339274231532</v>
      </c>
      <c r="V325" s="19">
        <f ca="1">IF(RAND()&lt;P_Zero,0,IF(RAND()&lt;CondReturn,_xlfn.LOGNORM.INV(RAND(),MV2,Sigma1),IF(RAND()&lt;CondGood,_xlfn.LOGNORM.INV(RAND(),MV3,Sigma2),MIN(MaxMultiple,Xm/(1-RAND())^(1/Alpha)))))</f>
        <v>0</v>
      </c>
      <c r="W325" s="19">
        <f ca="1">IF(RAND()&lt;P_Zero,0,IF(RAND()&lt;CondReturn,_xlfn.LOGNORM.INV(RAND(),MV2,Sigma1),IF(RAND()&lt;CondGood,_xlfn.LOGNORM.INV(RAND(),MV3,Sigma2),MIN(MaxMultiple,Xm/(1-RAND())^(1/Alpha)))))</f>
        <v>1.0353993755858586</v>
      </c>
      <c r="X325" s="19">
        <f ca="1">IF(RAND()&lt;P_Zero,0,IF(RAND()&lt;CondReturn,_xlfn.LOGNORM.INV(RAND(),MV2,Sigma1),IF(RAND()&lt;CondGood,_xlfn.LOGNORM.INV(RAND(),MV3,Sigma2),MIN(MaxMultiple,Xm/(1-RAND())^(1/Alpha)))))</f>
        <v>0</v>
      </c>
      <c r="Y325" s="19">
        <f ca="1">IF(RAND()&lt;P_Zero,0,IF(RAND()&lt;CondReturn,_xlfn.LOGNORM.INV(RAND(),MV2,Sigma1),IF(RAND()&lt;CondGood,_xlfn.LOGNORM.INV(RAND(),MV3,Sigma2),MIN(MaxMultiple,Xm/(1-RAND())^(1/Alpha)))))</f>
        <v>0.83026002463385362</v>
      </c>
      <c r="Z325" s="19">
        <f ca="1">IF(RAND()&lt;P_Zero,0,IF(RAND()&lt;CondReturn,_xlfn.LOGNORM.INV(RAND(),MV2,Sigma1),IF(RAND()&lt;CondGood,_xlfn.LOGNORM.INV(RAND(),MV3,Sigma2),MIN(MaxMultiple,Xm/(1-RAND())^(1/Alpha)))))</f>
        <v>11.499068031742969</v>
      </c>
      <c r="AA325" s="19">
        <f ca="1">IF(RAND()&lt;P_Zero,0,IF(RAND()&lt;CondReturn,_xlfn.LOGNORM.INV(RAND(),MV2,Sigma1),IF(RAND()&lt;CondGood,_xlfn.LOGNORM.INV(RAND(),MV3,Sigma2),MIN(MaxMultiple,Xm/(1-RAND())^(1/Alpha)))))</f>
        <v>0</v>
      </c>
      <c r="AB325" s="19">
        <f t="shared" ca="1" si="32"/>
        <v>3.4968377977809748</v>
      </c>
      <c r="AC325" s="14">
        <f t="shared" ca="1" si="33"/>
        <v>167848214.2934868</v>
      </c>
      <c r="AD325" s="14">
        <f t="shared" ca="1" si="34"/>
        <v>119848214.2934868</v>
      </c>
      <c r="AE325" s="14">
        <f t="shared" si="35"/>
        <v>55628399.869093813</v>
      </c>
      <c r="AF325" s="14">
        <f t="shared" ca="1" si="36"/>
        <v>64219814.424392991</v>
      </c>
      <c r="AG325" s="14">
        <f t="shared" ca="1" si="37"/>
        <v>12843962.884878598</v>
      </c>
      <c r="AH325" s="14">
        <f t="shared" ca="1" si="38"/>
        <v>155004251.4086082</v>
      </c>
      <c r="AI325" s="19">
        <f t="shared" ca="1" si="39"/>
        <v>2.5834041901434701</v>
      </c>
    </row>
    <row r="326" spans="2:35" x14ac:dyDescent="0.2">
      <c r="B326" s="1">
        <v>321</v>
      </c>
      <c r="C326" s="19">
        <f ca="1">IF(RAND()&lt;P_Zero,0,IF(RAND()&lt;CondReturn,_xlfn.LOGNORM.INV(RAND(),MV2,Sigma1),IF(RAND()&lt;CondGood,_xlfn.LOGNORM.INV(RAND(),MV3,Sigma2),MIN(MaxMultiple,Xm/(1-RAND())^(1/Alpha)))))</f>
        <v>0</v>
      </c>
      <c r="D326" s="19">
        <f ca="1">IF(RAND()&lt;P_Zero,0,IF(RAND()&lt;CondReturn,_xlfn.LOGNORM.INV(RAND(),MV2,Sigma1),IF(RAND()&lt;CondGood,_xlfn.LOGNORM.INV(RAND(),MV3,Sigma2),MIN(MaxMultiple,Xm/(1-RAND())^(1/Alpha)))))</f>
        <v>0.95599276918200282</v>
      </c>
      <c r="E326" s="19">
        <f ca="1">IF(RAND()&lt;P_Zero,0,IF(RAND()&lt;CondReturn,_xlfn.LOGNORM.INV(RAND(),MV2,Sigma1),IF(RAND()&lt;CondGood,_xlfn.LOGNORM.INV(RAND(),MV3,Sigma2),MIN(MaxMultiple,Xm/(1-RAND())^(1/Alpha)))))</f>
        <v>1.2946351071041375</v>
      </c>
      <c r="F326" s="19">
        <f ca="1">IF(RAND()&lt;P_Zero,0,IF(RAND()&lt;CondReturn,_xlfn.LOGNORM.INV(RAND(),MV2,Sigma1),IF(RAND()&lt;CondGood,_xlfn.LOGNORM.INV(RAND(),MV3,Sigma2),MIN(MaxMultiple,Xm/(1-RAND())^(1/Alpha)))))</f>
        <v>1.0337754383819127</v>
      </c>
      <c r="G326" s="19">
        <f ca="1">IF(RAND()&lt;P_Zero,0,IF(RAND()&lt;CondReturn,_xlfn.LOGNORM.INV(RAND(),MV2,Sigma1),IF(RAND()&lt;CondGood,_xlfn.LOGNORM.INV(RAND(),MV3,Sigma2),MIN(MaxMultiple,Xm/(1-RAND())^(1/Alpha)))))</f>
        <v>0</v>
      </c>
      <c r="H326" s="19">
        <f ca="1">IF(RAND()&lt;P_Zero,0,IF(RAND()&lt;CondReturn,_xlfn.LOGNORM.INV(RAND(),MV2,Sigma1),IF(RAND()&lt;CondGood,_xlfn.LOGNORM.INV(RAND(),MV3,Sigma2),MIN(MaxMultiple,Xm/(1-RAND())^(1/Alpha)))))</f>
        <v>1.0236325290825123</v>
      </c>
      <c r="I326" s="19">
        <f ca="1">IF(RAND()&lt;P_Zero,0,IF(RAND()&lt;CondReturn,_xlfn.LOGNORM.INV(RAND(),MV2,Sigma1),IF(RAND()&lt;CondGood,_xlfn.LOGNORM.INV(RAND(),MV3,Sigma2),MIN(MaxMultiple,Xm/(1-RAND())^(1/Alpha)))))</f>
        <v>0.32339752281645678</v>
      </c>
      <c r="J326" s="19">
        <f ca="1">IF(RAND()&lt;P_Zero,0,IF(RAND()&lt;CondReturn,_xlfn.LOGNORM.INV(RAND(),MV2,Sigma1),IF(RAND()&lt;CondGood,_xlfn.LOGNORM.INV(RAND(),MV3,Sigma2),MIN(MaxMultiple,Xm/(1-RAND())^(1/Alpha)))))</f>
        <v>0.68972080847994821</v>
      </c>
      <c r="K326" s="19">
        <f ca="1">IF(RAND()&lt;P_Zero,0,IF(RAND()&lt;CondReturn,_xlfn.LOGNORM.INV(RAND(),MV2,Sigma1),IF(RAND()&lt;CondGood,_xlfn.LOGNORM.INV(RAND(),MV3,Sigma2),MIN(MaxMultiple,Xm/(1-RAND())^(1/Alpha)))))</f>
        <v>0</v>
      </c>
      <c r="L326" s="19">
        <f ca="1">IF(RAND()&lt;P_Zero,0,IF(RAND()&lt;CondReturn,_xlfn.LOGNORM.INV(RAND(),MV2,Sigma1),IF(RAND()&lt;CondGood,_xlfn.LOGNORM.INV(RAND(),MV3,Sigma2),MIN(MaxMultiple,Xm/(1-RAND())^(1/Alpha)))))</f>
        <v>1.3853019849684873</v>
      </c>
      <c r="M326" s="19">
        <f ca="1">IF(RAND()&lt;P_Zero,0,IF(RAND()&lt;CondReturn,_xlfn.LOGNORM.INV(RAND(),MV2,Sigma1),IF(RAND()&lt;CondGood,_xlfn.LOGNORM.INV(RAND(),MV3,Sigma2),MIN(MaxMultiple,Xm/(1-RAND())^(1/Alpha)))))</f>
        <v>0.98467607787975187</v>
      </c>
      <c r="N326" s="19">
        <f ca="1">IF(RAND()&lt;P_Zero,0,IF(RAND()&lt;CondReturn,_xlfn.LOGNORM.INV(RAND(),MV2,Sigma1),IF(RAND()&lt;CondGood,_xlfn.LOGNORM.INV(RAND(),MV3,Sigma2),MIN(MaxMultiple,Xm/(1-RAND())^(1/Alpha)))))</f>
        <v>10.317996772592242</v>
      </c>
      <c r="O326" s="19">
        <f ca="1">IF(RAND()&lt;P_Zero,0,IF(RAND()&lt;CondReturn,_xlfn.LOGNORM.INV(RAND(),MV2,Sigma1),IF(RAND()&lt;CondGood,_xlfn.LOGNORM.INV(RAND(),MV3,Sigma2),MIN(MaxMultiple,Xm/(1-RAND())^(1/Alpha)))))</f>
        <v>0</v>
      </c>
      <c r="P326" s="19">
        <f ca="1">IF(RAND()&lt;P_Zero,0,IF(RAND()&lt;CondReturn,_xlfn.LOGNORM.INV(RAND(),MV2,Sigma1),IF(RAND()&lt;CondGood,_xlfn.LOGNORM.INV(RAND(),MV3,Sigma2),MIN(MaxMultiple,Xm/(1-RAND())^(1/Alpha)))))</f>
        <v>1.2235664667824355</v>
      </c>
      <c r="Q326" s="19">
        <f ca="1">IF(RAND()&lt;P_Zero,0,IF(RAND()&lt;CondReturn,_xlfn.LOGNORM.INV(RAND(),MV2,Sigma1),IF(RAND()&lt;CondGood,_xlfn.LOGNORM.INV(RAND(),MV3,Sigma2),MIN(MaxMultiple,Xm/(1-RAND())^(1/Alpha)))))</f>
        <v>1.6019884496433752</v>
      </c>
      <c r="R326" s="19">
        <f ca="1">IF(RAND()&lt;P_Zero,0,IF(RAND()&lt;CondReturn,_xlfn.LOGNORM.INV(RAND(),MV2,Sigma1),IF(RAND()&lt;CondGood,_xlfn.LOGNORM.INV(RAND(),MV3,Sigma2),MIN(MaxMultiple,Xm/(1-RAND())^(1/Alpha)))))</f>
        <v>0</v>
      </c>
      <c r="S326" s="19">
        <f ca="1">IF(RAND()&lt;P_Zero,0,IF(RAND()&lt;CondReturn,_xlfn.LOGNORM.INV(RAND(),MV2,Sigma1),IF(RAND()&lt;CondGood,_xlfn.LOGNORM.INV(RAND(),MV3,Sigma2),MIN(MaxMultiple,Xm/(1-RAND())^(1/Alpha)))))</f>
        <v>3.3649523758088811</v>
      </c>
      <c r="T326" s="19">
        <f ca="1">IF(RAND()&lt;P_Zero,0,IF(RAND()&lt;CondReturn,_xlfn.LOGNORM.INV(RAND(),MV2,Sigma1),IF(RAND()&lt;CondGood,_xlfn.LOGNORM.INV(RAND(),MV3,Sigma2),MIN(MaxMultiple,Xm/(1-RAND())^(1/Alpha)))))</f>
        <v>0.97314200155883601</v>
      </c>
      <c r="U326" s="19">
        <f ca="1">IF(RAND()&lt;P_Zero,0,IF(RAND()&lt;CondReturn,_xlfn.LOGNORM.INV(RAND(),MV2,Sigma1),IF(RAND()&lt;CondGood,_xlfn.LOGNORM.INV(RAND(),MV3,Sigma2),MIN(MaxMultiple,Xm/(1-RAND())^(1/Alpha)))))</f>
        <v>0.39271451960918347</v>
      </c>
      <c r="V326" s="19">
        <f ca="1">IF(RAND()&lt;P_Zero,0,IF(RAND()&lt;CondReturn,_xlfn.LOGNORM.INV(RAND(),MV2,Sigma1),IF(RAND()&lt;CondGood,_xlfn.LOGNORM.INV(RAND(),MV3,Sigma2),MIN(MaxMultiple,Xm/(1-RAND())^(1/Alpha)))))</f>
        <v>0</v>
      </c>
      <c r="W326" s="19">
        <f ca="1">IF(RAND()&lt;P_Zero,0,IF(RAND()&lt;CondReturn,_xlfn.LOGNORM.INV(RAND(),MV2,Sigma1),IF(RAND()&lt;CondGood,_xlfn.LOGNORM.INV(RAND(),MV3,Sigma2),MIN(MaxMultiple,Xm/(1-RAND())^(1/Alpha)))))</f>
        <v>1.8111887704386727</v>
      </c>
      <c r="X326" s="19">
        <f ca="1">IF(RAND()&lt;P_Zero,0,IF(RAND()&lt;CondReturn,_xlfn.LOGNORM.INV(RAND(),MV2,Sigma1),IF(RAND()&lt;CondGood,_xlfn.LOGNORM.INV(RAND(),MV3,Sigma2),MIN(MaxMultiple,Xm/(1-RAND())^(1/Alpha)))))</f>
        <v>0</v>
      </c>
      <c r="Y326" s="19">
        <f ca="1">IF(RAND()&lt;P_Zero,0,IF(RAND()&lt;CondReturn,_xlfn.LOGNORM.INV(RAND(),MV2,Sigma1),IF(RAND()&lt;CondGood,_xlfn.LOGNORM.INV(RAND(),MV3,Sigma2),MIN(MaxMultiple,Xm/(1-RAND())^(1/Alpha)))))</f>
        <v>2.2810253382414816</v>
      </c>
      <c r="Z326" s="19">
        <f ca="1">IF(RAND()&lt;P_Zero,0,IF(RAND()&lt;CondReturn,_xlfn.LOGNORM.INV(RAND(),MV2,Sigma1),IF(RAND()&lt;CondGood,_xlfn.LOGNORM.INV(RAND(),MV3,Sigma2),MIN(MaxMultiple,Xm/(1-RAND())^(1/Alpha)))))</f>
        <v>0</v>
      </c>
      <c r="AA326" s="19">
        <f ca="1">IF(RAND()&lt;P_Zero,0,IF(RAND()&lt;CondReturn,_xlfn.LOGNORM.INV(RAND(),MV2,Sigma1),IF(RAND()&lt;CondGood,_xlfn.LOGNORM.INV(RAND(),MV3,Sigma2),MIN(MaxMultiple,Xm/(1-RAND())^(1/Alpha)))))</f>
        <v>0</v>
      </c>
      <c r="AB326" s="19">
        <f t="shared" ref="AB326:AB389" ca="1" si="40">AVERAGE(C326:AA326)</f>
        <v>1.1863082773028126</v>
      </c>
      <c r="AC326" s="14">
        <f t="shared" ref="AC326:AC389" ca="1" si="41">AB326*InvestableCapital</f>
        <v>56942797.310535006</v>
      </c>
      <c r="AD326" s="14">
        <f t="shared" ref="AD326:AD389" ca="1" si="42">AC326-InvestableCapital</f>
        <v>8942797.3105350062</v>
      </c>
      <c r="AE326" s="14">
        <f t="shared" ref="AE326:AE389" si="43">HurdleToggle*InvestableCapital*((1+HurdleRate)^FeeYears-1)</f>
        <v>55628399.869093813</v>
      </c>
      <c r="AF326" s="14">
        <f t="shared" ref="AF326:AF389" ca="1" si="44">MAX(0,AD326-AE326)</f>
        <v>0</v>
      </c>
      <c r="AG326" s="14">
        <f t="shared" ref="AG326:AG389" ca="1" si="45">CarryRate*AF326</f>
        <v>0</v>
      </c>
      <c r="AH326" s="14">
        <f t="shared" ref="AH326:AH389" ca="1" si="46">AC326-AG326</f>
        <v>56942797.310535006</v>
      </c>
      <c r="AI326" s="19">
        <f t="shared" ref="AI326:AI389" ca="1" si="47">AH326/FundSize</f>
        <v>0.94904662184225008</v>
      </c>
    </row>
    <row r="327" spans="2:35" x14ac:dyDescent="0.2">
      <c r="B327" s="1">
        <v>322</v>
      </c>
      <c r="C327" s="19">
        <f ca="1">IF(RAND()&lt;P_Zero,0,IF(RAND()&lt;CondReturn,_xlfn.LOGNORM.INV(RAND(),MV2,Sigma1),IF(RAND()&lt;CondGood,_xlfn.LOGNORM.INV(RAND(),MV3,Sigma2),MIN(MaxMultiple,Xm/(1-RAND())^(1/Alpha)))))</f>
        <v>0</v>
      </c>
      <c r="D327" s="19">
        <f ca="1">IF(RAND()&lt;P_Zero,0,IF(RAND()&lt;CondReturn,_xlfn.LOGNORM.INV(RAND(),MV2,Sigma1),IF(RAND()&lt;CondGood,_xlfn.LOGNORM.INV(RAND(),MV3,Sigma2),MIN(MaxMultiple,Xm/(1-RAND())^(1/Alpha)))))</f>
        <v>0</v>
      </c>
      <c r="E327" s="19">
        <f ca="1">IF(RAND()&lt;P_Zero,0,IF(RAND()&lt;CondReturn,_xlfn.LOGNORM.INV(RAND(),MV2,Sigma1),IF(RAND()&lt;CondGood,_xlfn.LOGNORM.INV(RAND(),MV3,Sigma2),MIN(MaxMultiple,Xm/(1-RAND())^(1/Alpha)))))</f>
        <v>0.73829799223281989</v>
      </c>
      <c r="F327" s="19">
        <f ca="1">IF(RAND()&lt;P_Zero,0,IF(RAND()&lt;CondReturn,_xlfn.LOGNORM.INV(RAND(),MV2,Sigma1),IF(RAND()&lt;CondGood,_xlfn.LOGNORM.INV(RAND(),MV3,Sigma2),MIN(MaxMultiple,Xm/(1-RAND())^(1/Alpha)))))</f>
        <v>0</v>
      </c>
      <c r="G327" s="19">
        <f ca="1">IF(RAND()&lt;P_Zero,0,IF(RAND()&lt;CondReturn,_xlfn.LOGNORM.INV(RAND(),MV2,Sigma1),IF(RAND()&lt;CondGood,_xlfn.LOGNORM.INV(RAND(),MV3,Sigma2),MIN(MaxMultiple,Xm/(1-RAND())^(1/Alpha)))))</f>
        <v>0.58127720416952944</v>
      </c>
      <c r="H327" s="19">
        <f ca="1">IF(RAND()&lt;P_Zero,0,IF(RAND()&lt;CondReturn,_xlfn.LOGNORM.INV(RAND(),MV2,Sigma1),IF(RAND()&lt;CondGood,_xlfn.LOGNORM.INV(RAND(),MV3,Sigma2),MIN(MaxMultiple,Xm/(1-RAND())^(1/Alpha)))))</f>
        <v>1.3165916097333901</v>
      </c>
      <c r="I327" s="19">
        <f ca="1">IF(RAND()&lt;P_Zero,0,IF(RAND()&lt;CondReturn,_xlfn.LOGNORM.INV(RAND(),MV2,Sigma1),IF(RAND()&lt;CondGood,_xlfn.LOGNORM.INV(RAND(),MV3,Sigma2),MIN(MaxMultiple,Xm/(1-RAND())^(1/Alpha)))))</f>
        <v>1.7663871667356568</v>
      </c>
      <c r="J327" s="19">
        <f ca="1">IF(RAND()&lt;P_Zero,0,IF(RAND()&lt;CondReturn,_xlfn.LOGNORM.INV(RAND(),MV2,Sigma1),IF(RAND()&lt;CondGood,_xlfn.LOGNORM.INV(RAND(),MV3,Sigma2),MIN(MaxMultiple,Xm/(1-RAND())^(1/Alpha)))))</f>
        <v>0</v>
      </c>
      <c r="K327" s="19">
        <f ca="1">IF(RAND()&lt;P_Zero,0,IF(RAND()&lt;CondReturn,_xlfn.LOGNORM.INV(RAND(),MV2,Sigma1),IF(RAND()&lt;CondGood,_xlfn.LOGNORM.INV(RAND(),MV3,Sigma2),MIN(MaxMultiple,Xm/(1-RAND())^(1/Alpha)))))</f>
        <v>1.095251947858076</v>
      </c>
      <c r="L327" s="19">
        <f ca="1">IF(RAND()&lt;P_Zero,0,IF(RAND()&lt;CondReturn,_xlfn.LOGNORM.INV(RAND(),MV2,Sigma1),IF(RAND()&lt;CondGood,_xlfn.LOGNORM.INV(RAND(),MV3,Sigma2),MIN(MaxMultiple,Xm/(1-RAND())^(1/Alpha)))))</f>
        <v>0.39335362682390856</v>
      </c>
      <c r="M327" s="19">
        <f ca="1">IF(RAND()&lt;P_Zero,0,IF(RAND()&lt;CondReturn,_xlfn.LOGNORM.INV(RAND(),MV2,Sigma1),IF(RAND()&lt;CondGood,_xlfn.LOGNORM.INV(RAND(),MV3,Sigma2),MIN(MaxMultiple,Xm/(1-RAND())^(1/Alpha)))))</f>
        <v>1.1018591528890658</v>
      </c>
      <c r="N327" s="19">
        <f ca="1">IF(RAND()&lt;P_Zero,0,IF(RAND()&lt;CondReturn,_xlfn.LOGNORM.INV(RAND(),MV2,Sigma1),IF(RAND()&lt;CondGood,_xlfn.LOGNORM.INV(RAND(),MV3,Sigma2),MIN(MaxMultiple,Xm/(1-RAND())^(1/Alpha)))))</f>
        <v>1.5556674086940585</v>
      </c>
      <c r="O327" s="19">
        <f ca="1">IF(RAND()&lt;P_Zero,0,IF(RAND()&lt;CondReturn,_xlfn.LOGNORM.INV(RAND(),MV2,Sigma1),IF(RAND()&lt;CondGood,_xlfn.LOGNORM.INV(RAND(),MV3,Sigma2),MIN(MaxMultiple,Xm/(1-RAND())^(1/Alpha)))))</f>
        <v>23.77441319009807</v>
      </c>
      <c r="P327" s="19">
        <f ca="1">IF(RAND()&lt;P_Zero,0,IF(RAND()&lt;CondReturn,_xlfn.LOGNORM.INV(RAND(),MV2,Sigma1),IF(RAND()&lt;CondGood,_xlfn.LOGNORM.INV(RAND(),MV3,Sigma2),MIN(MaxMultiple,Xm/(1-RAND())^(1/Alpha)))))</f>
        <v>0.58964705854458321</v>
      </c>
      <c r="Q327" s="19">
        <f ca="1">IF(RAND()&lt;P_Zero,0,IF(RAND()&lt;CondReturn,_xlfn.LOGNORM.INV(RAND(),MV2,Sigma1),IF(RAND()&lt;CondGood,_xlfn.LOGNORM.INV(RAND(),MV3,Sigma2),MIN(MaxMultiple,Xm/(1-RAND())^(1/Alpha)))))</f>
        <v>1.410275053892817</v>
      </c>
      <c r="R327" s="19">
        <f ca="1">IF(RAND()&lt;P_Zero,0,IF(RAND()&lt;CondReturn,_xlfn.LOGNORM.INV(RAND(),MV2,Sigma1),IF(RAND()&lt;CondGood,_xlfn.LOGNORM.INV(RAND(),MV3,Sigma2),MIN(MaxMultiple,Xm/(1-RAND())^(1/Alpha)))))</f>
        <v>0</v>
      </c>
      <c r="S327" s="19">
        <f ca="1">IF(RAND()&lt;P_Zero,0,IF(RAND()&lt;CondReturn,_xlfn.LOGNORM.INV(RAND(),MV2,Sigma1),IF(RAND()&lt;CondGood,_xlfn.LOGNORM.INV(RAND(),MV3,Sigma2),MIN(MaxMultiple,Xm/(1-RAND())^(1/Alpha)))))</f>
        <v>20.339795980849736</v>
      </c>
      <c r="T327" s="19">
        <f ca="1">IF(RAND()&lt;P_Zero,0,IF(RAND()&lt;CondReturn,_xlfn.LOGNORM.INV(RAND(),MV2,Sigma1),IF(RAND()&lt;CondGood,_xlfn.LOGNORM.INV(RAND(),MV3,Sigma2),MIN(MaxMultiple,Xm/(1-RAND())^(1/Alpha)))))</f>
        <v>0.85720742648972903</v>
      </c>
      <c r="U327" s="19">
        <f ca="1">IF(RAND()&lt;P_Zero,0,IF(RAND()&lt;CondReturn,_xlfn.LOGNORM.INV(RAND(),MV2,Sigma1),IF(RAND()&lt;CondGood,_xlfn.LOGNORM.INV(RAND(),MV3,Sigma2),MIN(MaxMultiple,Xm/(1-RAND())^(1/Alpha)))))</f>
        <v>1.0689321734025952</v>
      </c>
      <c r="V327" s="19">
        <f ca="1">IF(RAND()&lt;P_Zero,0,IF(RAND()&lt;CondReturn,_xlfn.LOGNORM.INV(RAND(),MV2,Sigma1),IF(RAND()&lt;CondGood,_xlfn.LOGNORM.INV(RAND(),MV3,Sigma2),MIN(MaxMultiple,Xm/(1-RAND())^(1/Alpha)))))</f>
        <v>0</v>
      </c>
      <c r="W327" s="19">
        <f ca="1">IF(RAND()&lt;P_Zero,0,IF(RAND()&lt;CondReturn,_xlfn.LOGNORM.INV(RAND(),MV2,Sigma1),IF(RAND()&lt;CondGood,_xlfn.LOGNORM.INV(RAND(),MV3,Sigma2),MIN(MaxMultiple,Xm/(1-RAND())^(1/Alpha)))))</f>
        <v>3.6879459447349134</v>
      </c>
      <c r="X327" s="19">
        <f ca="1">IF(RAND()&lt;P_Zero,0,IF(RAND()&lt;CondReturn,_xlfn.LOGNORM.INV(RAND(),MV2,Sigma1),IF(RAND()&lt;CondGood,_xlfn.LOGNORM.INV(RAND(),MV3,Sigma2),MIN(MaxMultiple,Xm/(1-RAND())^(1/Alpha)))))</f>
        <v>2.5409850782685464</v>
      </c>
      <c r="Y327" s="19">
        <f ca="1">IF(RAND()&lt;P_Zero,0,IF(RAND()&lt;CondReturn,_xlfn.LOGNORM.INV(RAND(),MV2,Sigma1),IF(RAND()&lt;CondGood,_xlfn.LOGNORM.INV(RAND(),MV3,Sigma2),MIN(MaxMultiple,Xm/(1-RAND())^(1/Alpha)))))</f>
        <v>1.2734887604938376</v>
      </c>
      <c r="Z327" s="19">
        <f ca="1">IF(RAND()&lt;P_Zero,0,IF(RAND()&lt;CondReturn,_xlfn.LOGNORM.INV(RAND(),MV2,Sigma1),IF(RAND()&lt;CondGood,_xlfn.LOGNORM.INV(RAND(),MV3,Sigma2),MIN(MaxMultiple,Xm/(1-RAND())^(1/Alpha)))))</f>
        <v>0.34577291363003426</v>
      </c>
      <c r="AA327" s="19">
        <f ca="1">IF(RAND()&lt;P_Zero,0,IF(RAND()&lt;CondReturn,_xlfn.LOGNORM.INV(RAND(),MV2,Sigma1),IF(RAND()&lt;CondGood,_xlfn.LOGNORM.INV(RAND(),MV3,Sigma2),MIN(MaxMultiple,Xm/(1-RAND())^(1/Alpha)))))</f>
        <v>0</v>
      </c>
      <c r="AB327" s="19">
        <f t="shared" ca="1" si="40"/>
        <v>2.5774859875816549</v>
      </c>
      <c r="AC327" s="14">
        <f t="shared" ca="1" si="41"/>
        <v>123719327.40391944</v>
      </c>
      <c r="AD327" s="14">
        <f t="shared" ca="1" si="42"/>
        <v>75719327.403919443</v>
      </c>
      <c r="AE327" s="14">
        <f t="shared" si="43"/>
        <v>55628399.869093813</v>
      </c>
      <c r="AF327" s="14">
        <f t="shared" ca="1" si="44"/>
        <v>20090927.53482563</v>
      </c>
      <c r="AG327" s="14">
        <f t="shared" ca="1" si="45"/>
        <v>4018185.5069651264</v>
      </c>
      <c r="AH327" s="14">
        <f t="shared" ca="1" si="46"/>
        <v>119701141.89695431</v>
      </c>
      <c r="AI327" s="19">
        <f t="shared" ca="1" si="47"/>
        <v>1.9950190316159053</v>
      </c>
    </row>
    <row r="328" spans="2:35" x14ac:dyDescent="0.2">
      <c r="B328" s="1">
        <v>323</v>
      </c>
      <c r="C328" s="19">
        <f ca="1">IF(RAND()&lt;P_Zero,0,IF(RAND()&lt;CondReturn,_xlfn.LOGNORM.INV(RAND(),MV2,Sigma1),IF(RAND()&lt;CondGood,_xlfn.LOGNORM.INV(RAND(),MV3,Sigma2),MIN(MaxMultiple,Xm/(1-RAND())^(1/Alpha)))))</f>
        <v>0.4766268049494401</v>
      </c>
      <c r="D328" s="19">
        <f ca="1">IF(RAND()&lt;P_Zero,0,IF(RAND()&lt;CondReturn,_xlfn.LOGNORM.INV(RAND(),MV2,Sigma1),IF(RAND()&lt;CondGood,_xlfn.LOGNORM.INV(RAND(),MV3,Sigma2),MIN(MaxMultiple,Xm/(1-RAND())^(1/Alpha)))))</f>
        <v>0.26216913933448582</v>
      </c>
      <c r="E328" s="19">
        <f ca="1">IF(RAND()&lt;P_Zero,0,IF(RAND()&lt;CondReturn,_xlfn.LOGNORM.INV(RAND(),MV2,Sigma1),IF(RAND()&lt;CondGood,_xlfn.LOGNORM.INV(RAND(),MV3,Sigma2),MIN(MaxMultiple,Xm/(1-RAND())^(1/Alpha)))))</f>
        <v>0.9176333999863393</v>
      </c>
      <c r="F328" s="19">
        <f ca="1">IF(RAND()&lt;P_Zero,0,IF(RAND()&lt;CondReturn,_xlfn.LOGNORM.INV(RAND(),MV2,Sigma1),IF(RAND()&lt;CondGood,_xlfn.LOGNORM.INV(RAND(),MV3,Sigma2),MIN(MaxMultiple,Xm/(1-RAND())^(1/Alpha)))))</f>
        <v>1.7348956056453801</v>
      </c>
      <c r="G328" s="19">
        <f ca="1">IF(RAND()&lt;P_Zero,0,IF(RAND()&lt;CondReturn,_xlfn.LOGNORM.INV(RAND(),MV2,Sigma1),IF(RAND()&lt;CondGood,_xlfn.LOGNORM.INV(RAND(),MV3,Sigma2),MIN(MaxMultiple,Xm/(1-RAND())^(1/Alpha)))))</f>
        <v>1.299927023979462</v>
      </c>
      <c r="H328" s="19">
        <f ca="1">IF(RAND()&lt;P_Zero,0,IF(RAND()&lt;CondReturn,_xlfn.LOGNORM.INV(RAND(),MV2,Sigma1),IF(RAND()&lt;CondGood,_xlfn.LOGNORM.INV(RAND(),MV3,Sigma2),MIN(MaxMultiple,Xm/(1-RAND())^(1/Alpha)))))</f>
        <v>29.155519969352401</v>
      </c>
      <c r="I328" s="19">
        <f ca="1">IF(RAND()&lt;P_Zero,0,IF(RAND()&lt;CondReturn,_xlfn.LOGNORM.INV(RAND(),MV2,Sigma1),IF(RAND()&lt;CondGood,_xlfn.LOGNORM.INV(RAND(),MV3,Sigma2),MIN(MaxMultiple,Xm/(1-RAND())^(1/Alpha)))))</f>
        <v>0.92061782258730418</v>
      </c>
      <c r="J328" s="19">
        <f ca="1">IF(RAND()&lt;P_Zero,0,IF(RAND()&lt;CondReturn,_xlfn.LOGNORM.INV(RAND(),MV2,Sigma1),IF(RAND()&lt;CondGood,_xlfn.LOGNORM.INV(RAND(),MV3,Sigma2),MIN(MaxMultiple,Xm/(1-RAND())^(1/Alpha)))))</f>
        <v>0.81099855934529741</v>
      </c>
      <c r="K328" s="19">
        <f ca="1">IF(RAND()&lt;P_Zero,0,IF(RAND()&lt;CondReturn,_xlfn.LOGNORM.INV(RAND(),MV2,Sigma1),IF(RAND()&lt;CondGood,_xlfn.LOGNORM.INV(RAND(),MV3,Sigma2),MIN(MaxMultiple,Xm/(1-RAND())^(1/Alpha)))))</f>
        <v>0</v>
      </c>
      <c r="L328" s="19">
        <f ca="1">IF(RAND()&lt;P_Zero,0,IF(RAND()&lt;CondReturn,_xlfn.LOGNORM.INV(RAND(),MV2,Sigma1),IF(RAND()&lt;CondGood,_xlfn.LOGNORM.INV(RAND(),MV3,Sigma2),MIN(MaxMultiple,Xm/(1-RAND())^(1/Alpha)))))</f>
        <v>11.624728669550835</v>
      </c>
      <c r="M328" s="19">
        <f ca="1">IF(RAND()&lt;P_Zero,0,IF(RAND()&lt;CondReturn,_xlfn.LOGNORM.INV(RAND(),MV2,Sigma1),IF(RAND()&lt;CondGood,_xlfn.LOGNORM.INV(RAND(),MV3,Sigma2),MIN(MaxMultiple,Xm/(1-RAND())^(1/Alpha)))))</f>
        <v>1.0261231841845151</v>
      </c>
      <c r="N328" s="19">
        <f ca="1">IF(RAND()&lt;P_Zero,0,IF(RAND()&lt;CondReturn,_xlfn.LOGNORM.INV(RAND(),MV2,Sigma1),IF(RAND()&lt;CondGood,_xlfn.LOGNORM.INV(RAND(),MV3,Sigma2),MIN(MaxMultiple,Xm/(1-RAND())^(1/Alpha)))))</f>
        <v>1.1181809900028066</v>
      </c>
      <c r="O328" s="19">
        <f ca="1">IF(RAND()&lt;P_Zero,0,IF(RAND()&lt;CondReturn,_xlfn.LOGNORM.INV(RAND(),MV2,Sigma1),IF(RAND()&lt;CondGood,_xlfn.LOGNORM.INV(RAND(),MV3,Sigma2),MIN(MaxMultiple,Xm/(1-RAND())^(1/Alpha)))))</f>
        <v>1.0464395349478586</v>
      </c>
      <c r="P328" s="19">
        <f ca="1">IF(RAND()&lt;P_Zero,0,IF(RAND()&lt;CondReturn,_xlfn.LOGNORM.INV(RAND(),MV2,Sigma1),IF(RAND()&lt;CondGood,_xlfn.LOGNORM.INV(RAND(),MV3,Sigma2),MIN(MaxMultiple,Xm/(1-RAND())^(1/Alpha)))))</f>
        <v>25.384877754959717</v>
      </c>
      <c r="Q328" s="19">
        <f ca="1">IF(RAND()&lt;P_Zero,0,IF(RAND()&lt;CondReturn,_xlfn.LOGNORM.INV(RAND(),MV2,Sigma1),IF(RAND()&lt;CondGood,_xlfn.LOGNORM.INV(RAND(),MV3,Sigma2),MIN(MaxMultiple,Xm/(1-RAND())^(1/Alpha)))))</f>
        <v>12.558121421688336</v>
      </c>
      <c r="R328" s="19">
        <f ca="1">IF(RAND()&lt;P_Zero,0,IF(RAND()&lt;CondReturn,_xlfn.LOGNORM.INV(RAND(),MV2,Sigma1),IF(RAND()&lt;CondGood,_xlfn.LOGNORM.INV(RAND(),MV3,Sigma2),MIN(MaxMultiple,Xm/(1-RAND())^(1/Alpha)))))</f>
        <v>0.51329456326769995</v>
      </c>
      <c r="S328" s="19">
        <f ca="1">IF(RAND()&lt;P_Zero,0,IF(RAND()&lt;CondReturn,_xlfn.LOGNORM.INV(RAND(),MV2,Sigma1),IF(RAND()&lt;CondGood,_xlfn.LOGNORM.INV(RAND(),MV3,Sigma2),MIN(MaxMultiple,Xm/(1-RAND())^(1/Alpha)))))</f>
        <v>2.6732340838851196</v>
      </c>
      <c r="T328" s="19">
        <f ca="1">IF(RAND()&lt;P_Zero,0,IF(RAND()&lt;CondReturn,_xlfn.LOGNORM.INV(RAND(),MV2,Sigma1),IF(RAND()&lt;CondGood,_xlfn.LOGNORM.INV(RAND(),MV3,Sigma2),MIN(MaxMultiple,Xm/(1-RAND())^(1/Alpha)))))</f>
        <v>0.99552432044584238</v>
      </c>
      <c r="U328" s="19">
        <f ca="1">IF(RAND()&lt;P_Zero,0,IF(RAND()&lt;CondReturn,_xlfn.LOGNORM.INV(RAND(),MV2,Sigma1),IF(RAND()&lt;CondGood,_xlfn.LOGNORM.INV(RAND(),MV3,Sigma2),MIN(MaxMultiple,Xm/(1-RAND())^(1/Alpha)))))</f>
        <v>1.3336768613349832</v>
      </c>
      <c r="V328" s="19">
        <f ca="1">IF(RAND()&lt;P_Zero,0,IF(RAND()&lt;CondReturn,_xlfn.LOGNORM.INV(RAND(),MV2,Sigma1),IF(RAND()&lt;CondGood,_xlfn.LOGNORM.INV(RAND(),MV3,Sigma2),MIN(MaxMultiple,Xm/(1-RAND())^(1/Alpha)))))</f>
        <v>0</v>
      </c>
      <c r="W328" s="19">
        <f ca="1">IF(RAND()&lt;P_Zero,0,IF(RAND()&lt;CondReturn,_xlfn.LOGNORM.INV(RAND(),MV2,Sigma1),IF(RAND()&lt;CondGood,_xlfn.LOGNORM.INV(RAND(),MV3,Sigma2),MIN(MaxMultiple,Xm/(1-RAND())^(1/Alpha)))))</f>
        <v>0.69753259917865984</v>
      </c>
      <c r="X328" s="19">
        <f ca="1">IF(RAND()&lt;P_Zero,0,IF(RAND()&lt;CondReturn,_xlfn.LOGNORM.INV(RAND(),MV2,Sigma1),IF(RAND()&lt;CondGood,_xlfn.LOGNORM.INV(RAND(),MV3,Sigma2),MIN(MaxMultiple,Xm/(1-RAND())^(1/Alpha)))))</f>
        <v>0.43630108628076975</v>
      </c>
      <c r="Y328" s="19">
        <f ca="1">IF(RAND()&lt;P_Zero,0,IF(RAND()&lt;CondReturn,_xlfn.LOGNORM.INV(RAND(),MV2,Sigma1),IF(RAND()&lt;CondGood,_xlfn.LOGNORM.INV(RAND(),MV3,Sigma2),MIN(MaxMultiple,Xm/(1-RAND())^(1/Alpha)))))</f>
        <v>17.759661815573409</v>
      </c>
      <c r="Z328" s="19">
        <f ca="1">IF(RAND()&lt;P_Zero,0,IF(RAND()&lt;CondReturn,_xlfn.LOGNORM.INV(RAND(),MV2,Sigma1),IF(RAND()&lt;CondGood,_xlfn.LOGNORM.INV(RAND(),MV3,Sigma2),MIN(MaxMultiple,Xm/(1-RAND())^(1/Alpha)))))</f>
        <v>0.76062280947053706</v>
      </c>
      <c r="AA328" s="19">
        <f ca="1">IF(RAND()&lt;P_Zero,0,IF(RAND()&lt;CondReturn,_xlfn.LOGNORM.INV(RAND(),MV2,Sigma1),IF(RAND()&lt;CondGood,_xlfn.LOGNORM.INV(RAND(),MV3,Sigma2),MIN(MaxMultiple,Xm/(1-RAND())^(1/Alpha)))))</f>
        <v>0.56944765998866531</v>
      </c>
      <c r="AB328" s="19">
        <f t="shared" ca="1" si="40"/>
        <v>4.563046227197594</v>
      </c>
      <c r="AC328" s="14">
        <f t="shared" ca="1" si="41"/>
        <v>219026218.9054845</v>
      </c>
      <c r="AD328" s="14">
        <f t="shared" ca="1" si="42"/>
        <v>171026218.9054845</v>
      </c>
      <c r="AE328" s="14">
        <f t="shared" si="43"/>
        <v>55628399.869093813</v>
      </c>
      <c r="AF328" s="14">
        <f t="shared" ca="1" si="44"/>
        <v>115397819.03639069</v>
      </c>
      <c r="AG328" s="14">
        <f t="shared" ca="1" si="45"/>
        <v>23079563.807278141</v>
      </c>
      <c r="AH328" s="14">
        <f t="shared" ca="1" si="46"/>
        <v>195946655.09820634</v>
      </c>
      <c r="AI328" s="19">
        <f t="shared" ca="1" si="47"/>
        <v>3.2657775849701056</v>
      </c>
    </row>
    <row r="329" spans="2:35" x14ac:dyDescent="0.2">
      <c r="B329" s="1">
        <v>324</v>
      </c>
      <c r="C329" s="19">
        <f ca="1">IF(RAND()&lt;P_Zero,0,IF(RAND()&lt;CondReturn,_xlfn.LOGNORM.INV(RAND(),MV2,Sigma1),IF(RAND()&lt;CondGood,_xlfn.LOGNORM.INV(RAND(),MV3,Sigma2),MIN(MaxMultiple,Xm/(1-RAND())^(1/Alpha)))))</f>
        <v>0</v>
      </c>
      <c r="D329" s="19">
        <f ca="1">IF(RAND()&lt;P_Zero,0,IF(RAND()&lt;CondReturn,_xlfn.LOGNORM.INV(RAND(),MV2,Sigma1),IF(RAND()&lt;CondGood,_xlfn.LOGNORM.INV(RAND(),MV3,Sigma2),MIN(MaxMultiple,Xm/(1-RAND())^(1/Alpha)))))</f>
        <v>0.98589474982827452</v>
      </c>
      <c r="E329" s="19">
        <f ca="1">IF(RAND()&lt;P_Zero,0,IF(RAND()&lt;CondReturn,_xlfn.LOGNORM.INV(RAND(),MV2,Sigma1),IF(RAND()&lt;CondGood,_xlfn.LOGNORM.INV(RAND(),MV3,Sigma2),MIN(MaxMultiple,Xm/(1-RAND())^(1/Alpha)))))</f>
        <v>1.5602576629009359</v>
      </c>
      <c r="F329" s="19">
        <f ca="1">IF(RAND()&lt;P_Zero,0,IF(RAND()&lt;CondReturn,_xlfn.LOGNORM.INV(RAND(),MV2,Sigma1),IF(RAND()&lt;CondGood,_xlfn.LOGNORM.INV(RAND(),MV3,Sigma2),MIN(MaxMultiple,Xm/(1-RAND())^(1/Alpha)))))</f>
        <v>0.45546739679995624</v>
      </c>
      <c r="G329" s="19">
        <f ca="1">IF(RAND()&lt;P_Zero,0,IF(RAND()&lt;CondReturn,_xlfn.LOGNORM.INV(RAND(),MV2,Sigma1),IF(RAND()&lt;CondGood,_xlfn.LOGNORM.INV(RAND(),MV3,Sigma2),MIN(MaxMultiple,Xm/(1-RAND())^(1/Alpha)))))</f>
        <v>0</v>
      </c>
      <c r="H329" s="19">
        <f ca="1">IF(RAND()&lt;P_Zero,0,IF(RAND()&lt;CondReturn,_xlfn.LOGNORM.INV(RAND(),MV2,Sigma1),IF(RAND()&lt;CondGood,_xlfn.LOGNORM.INV(RAND(),MV3,Sigma2),MIN(MaxMultiple,Xm/(1-RAND())^(1/Alpha)))))</f>
        <v>1.4445196697127562</v>
      </c>
      <c r="I329" s="19">
        <f ca="1">IF(RAND()&lt;P_Zero,0,IF(RAND()&lt;CondReturn,_xlfn.LOGNORM.INV(RAND(),MV2,Sigma1),IF(RAND()&lt;CondGood,_xlfn.LOGNORM.INV(RAND(),MV3,Sigma2),MIN(MaxMultiple,Xm/(1-RAND())^(1/Alpha)))))</f>
        <v>0.43425845183732797</v>
      </c>
      <c r="J329" s="19">
        <f ca="1">IF(RAND()&lt;P_Zero,0,IF(RAND()&lt;CondReturn,_xlfn.LOGNORM.INV(RAND(),MV2,Sigma1),IF(RAND()&lt;CondGood,_xlfn.LOGNORM.INV(RAND(),MV3,Sigma2),MIN(MaxMultiple,Xm/(1-RAND())^(1/Alpha)))))</f>
        <v>0</v>
      </c>
      <c r="K329" s="19">
        <f ca="1">IF(RAND()&lt;P_Zero,0,IF(RAND()&lt;CondReturn,_xlfn.LOGNORM.INV(RAND(),MV2,Sigma1),IF(RAND()&lt;CondGood,_xlfn.LOGNORM.INV(RAND(),MV3,Sigma2),MIN(MaxMultiple,Xm/(1-RAND())^(1/Alpha)))))</f>
        <v>13.247161474988413</v>
      </c>
      <c r="L329" s="19">
        <f ca="1">IF(RAND()&lt;P_Zero,0,IF(RAND()&lt;CondReturn,_xlfn.LOGNORM.INV(RAND(),MV2,Sigma1),IF(RAND()&lt;CondGood,_xlfn.LOGNORM.INV(RAND(),MV3,Sigma2),MIN(MaxMultiple,Xm/(1-RAND())^(1/Alpha)))))</f>
        <v>1.1599484165174963</v>
      </c>
      <c r="M329" s="19">
        <f ca="1">IF(RAND()&lt;P_Zero,0,IF(RAND()&lt;CondReturn,_xlfn.LOGNORM.INV(RAND(),MV2,Sigma1),IF(RAND()&lt;CondGood,_xlfn.LOGNORM.INV(RAND(),MV3,Sigma2),MIN(MaxMultiple,Xm/(1-RAND())^(1/Alpha)))))</f>
        <v>0.82431706809243221</v>
      </c>
      <c r="N329" s="19">
        <f ca="1">IF(RAND()&lt;P_Zero,0,IF(RAND()&lt;CondReturn,_xlfn.LOGNORM.INV(RAND(),MV2,Sigma1),IF(RAND()&lt;CondGood,_xlfn.LOGNORM.INV(RAND(),MV3,Sigma2),MIN(MaxMultiple,Xm/(1-RAND())^(1/Alpha)))))</f>
        <v>0</v>
      </c>
      <c r="O329" s="19">
        <f ca="1">IF(RAND()&lt;P_Zero,0,IF(RAND()&lt;CondReturn,_xlfn.LOGNORM.INV(RAND(),MV2,Sigma1),IF(RAND()&lt;CondGood,_xlfn.LOGNORM.INV(RAND(),MV3,Sigma2),MIN(MaxMultiple,Xm/(1-RAND())^(1/Alpha)))))</f>
        <v>0</v>
      </c>
      <c r="P329" s="19">
        <f ca="1">IF(RAND()&lt;P_Zero,0,IF(RAND()&lt;CondReturn,_xlfn.LOGNORM.INV(RAND(),MV2,Sigma1),IF(RAND()&lt;CondGood,_xlfn.LOGNORM.INV(RAND(),MV3,Sigma2),MIN(MaxMultiple,Xm/(1-RAND())^(1/Alpha)))))</f>
        <v>14.521028190930201</v>
      </c>
      <c r="Q329" s="19">
        <f ca="1">IF(RAND()&lt;P_Zero,0,IF(RAND()&lt;CondReturn,_xlfn.LOGNORM.INV(RAND(),MV2,Sigma1),IF(RAND()&lt;CondGood,_xlfn.LOGNORM.INV(RAND(),MV3,Sigma2),MIN(MaxMultiple,Xm/(1-RAND())^(1/Alpha)))))</f>
        <v>0</v>
      </c>
      <c r="R329" s="19">
        <f ca="1">IF(RAND()&lt;P_Zero,0,IF(RAND()&lt;CondReturn,_xlfn.LOGNORM.INV(RAND(),MV2,Sigma1),IF(RAND()&lt;CondGood,_xlfn.LOGNORM.INV(RAND(),MV3,Sigma2),MIN(MaxMultiple,Xm/(1-RAND())^(1/Alpha)))))</f>
        <v>0</v>
      </c>
      <c r="S329" s="19">
        <f ca="1">IF(RAND()&lt;P_Zero,0,IF(RAND()&lt;CondReturn,_xlfn.LOGNORM.INV(RAND(),MV2,Sigma1),IF(RAND()&lt;CondGood,_xlfn.LOGNORM.INV(RAND(),MV3,Sigma2),MIN(MaxMultiple,Xm/(1-RAND())^(1/Alpha)))))</f>
        <v>0.65289593189747419</v>
      </c>
      <c r="T329" s="19">
        <f ca="1">IF(RAND()&lt;P_Zero,0,IF(RAND()&lt;CondReturn,_xlfn.LOGNORM.INV(RAND(),MV2,Sigma1),IF(RAND()&lt;CondGood,_xlfn.LOGNORM.INV(RAND(),MV3,Sigma2),MIN(MaxMultiple,Xm/(1-RAND())^(1/Alpha)))))</f>
        <v>0</v>
      </c>
      <c r="U329" s="19">
        <f ca="1">IF(RAND()&lt;P_Zero,0,IF(RAND()&lt;CondReturn,_xlfn.LOGNORM.INV(RAND(),MV2,Sigma1),IF(RAND()&lt;CondGood,_xlfn.LOGNORM.INV(RAND(),MV3,Sigma2),MIN(MaxMultiple,Xm/(1-RAND())^(1/Alpha)))))</f>
        <v>0.7386001930164291</v>
      </c>
      <c r="V329" s="19">
        <f ca="1">IF(RAND()&lt;P_Zero,0,IF(RAND()&lt;CondReturn,_xlfn.LOGNORM.INV(RAND(),MV2,Sigma1),IF(RAND()&lt;CondGood,_xlfn.LOGNORM.INV(RAND(),MV3,Sigma2),MIN(MaxMultiple,Xm/(1-RAND())^(1/Alpha)))))</f>
        <v>0.4097884265647419</v>
      </c>
      <c r="W329" s="19">
        <f ca="1">IF(RAND()&lt;P_Zero,0,IF(RAND()&lt;CondReturn,_xlfn.LOGNORM.INV(RAND(),MV2,Sigma1),IF(RAND()&lt;CondGood,_xlfn.LOGNORM.INV(RAND(),MV3,Sigma2),MIN(MaxMultiple,Xm/(1-RAND())^(1/Alpha)))))</f>
        <v>1.9033596979868574</v>
      </c>
      <c r="X329" s="19">
        <f ca="1">IF(RAND()&lt;P_Zero,0,IF(RAND()&lt;CondReturn,_xlfn.LOGNORM.INV(RAND(),MV2,Sigma1),IF(RAND()&lt;CondGood,_xlfn.LOGNORM.INV(RAND(),MV3,Sigma2),MIN(MaxMultiple,Xm/(1-RAND())^(1/Alpha)))))</f>
        <v>1.0139351298601313</v>
      </c>
      <c r="Y329" s="19">
        <f ca="1">IF(RAND()&lt;P_Zero,0,IF(RAND()&lt;CondReturn,_xlfn.LOGNORM.INV(RAND(),MV2,Sigma1),IF(RAND()&lt;CondGood,_xlfn.LOGNORM.INV(RAND(),MV3,Sigma2),MIN(MaxMultiple,Xm/(1-RAND())^(1/Alpha)))))</f>
        <v>0</v>
      </c>
      <c r="Z329" s="19">
        <f ca="1">IF(RAND()&lt;P_Zero,0,IF(RAND()&lt;CondReturn,_xlfn.LOGNORM.INV(RAND(),MV2,Sigma1),IF(RAND()&lt;CondGood,_xlfn.LOGNORM.INV(RAND(),MV3,Sigma2),MIN(MaxMultiple,Xm/(1-RAND())^(1/Alpha)))))</f>
        <v>0.88395722687116118</v>
      </c>
      <c r="AA329" s="19">
        <f ca="1">IF(RAND()&lt;P_Zero,0,IF(RAND()&lt;CondReturn,_xlfn.LOGNORM.INV(RAND(),MV2,Sigma1),IF(RAND()&lt;CondGood,_xlfn.LOGNORM.INV(RAND(),MV3,Sigma2),MIN(MaxMultiple,Xm/(1-RAND())^(1/Alpha)))))</f>
        <v>1.1349794377715681</v>
      </c>
      <c r="AB329" s="19">
        <f t="shared" ca="1" si="40"/>
        <v>1.6548147650230467</v>
      </c>
      <c r="AC329" s="14">
        <f t="shared" ca="1" si="41"/>
        <v>79431108.721106246</v>
      </c>
      <c r="AD329" s="14">
        <f t="shared" ca="1" si="42"/>
        <v>31431108.721106246</v>
      </c>
      <c r="AE329" s="14">
        <f t="shared" si="43"/>
        <v>55628399.869093813</v>
      </c>
      <c r="AF329" s="14">
        <f t="shared" ca="1" si="44"/>
        <v>0</v>
      </c>
      <c r="AG329" s="14">
        <f t="shared" ca="1" si="45"/>
        <v>0</v>
      </c>
      <c r="AH329" s="14">
        <f t="shared" ca="1" si="46"/>
        <v>79431108.721106246</v>
      </c>
      <c r="AI329" s="19">
        <f t="shared" ca="1" si="47"/>
        <v>1.3238518120184375</v>
      </c>
    </row>
    <row r="330" spans="2:35" x14ac:dyDescent="0.2">
      <c r="B330" s="1">
        <v>325</v>
      </c>
      <c r="C330" s="19">
        <f ca="1">IF(RAND()&lt;P_Zero,0,IF(RAND()&lt;CondReturn,_xlfn.LOGNORM.INV(RAND(),MV2,Sigma1),IF(RAND()&lt;CondGood,_xlfn.LOGNORM.INV(RAND(),MV3,Sigma2),MIN(MaxMultiple,Xm/(1-RAND())^(1/Alpha)))))</f>
        <v>2.5522423557744394</v>
      </c>
      <c r="D330" s="19">
        <f ca="1">IF(RAND()&lt;P_Zero,0,IF(RAND()&lt;CondReturn,_xlfn.LOGNORM.INV(RAND(),MV2,Sigma1),IF(RAND()&lt;CondGood,_xlfn.LOGNORM.INV(RAND(),MV3,Sigma2),MIN(MaxMultiple,Xm/(1-RAND())^(1/Alpha)))))</f>
        <v>1.6458049605306935</v>
      </c>
      <c r="E330" s="19">
        <f ca="1">IF(RAND()&lt;P_Zero,0,IF(RAND()&lt;CondReturn,_xlfn.LOGNORM.INV(RAND(),MV2,Sigma1),IF(RAND()&lt;CondGood,_xlfn.LOGNORM.INV(RAND(),MV3,Sigma2),MIN(MaxMultiple,Xm/(1-RAND())^(1/Alpha)))))</f>
        <v>0</v>
      </c>
      <c r="F330" s="19">
        <f ca="1">IF(RAND()&lt;P_Zero,0,IF(RAND()&lt;CondReturn,_xlfn.LOGNORM.INV(RAND(),MV2,Sigma1),IF(RAND()&lt;CondGood,_xlfn.LOGNORM.INV(RAND(),MV3,Sigma2),MIN(MaxMultiple,Xm/(1-RAND())^(1/Alpha)))))</f>
        <v>1.7980710440290855</v>
      </c>
      <c r="G330" s="19">
        <f ca="1">IF(RAND()&lt;P_Zero,0,IF(RAND()&lt;CondReturn,_xlfn.LOGNORM.INV(RAND(),MV2,Sigma1),IF(RAND()&lt;CondGood,_xlfn.LOGNORM.INV(RAND(),MV3,Sigma2),MIN(MaxMultiple,Xm/(1-RAND())^(1/Alpha)))))</f>
        <v>0.99577006137338731</v>
      </c>
      <c r="H330" s="19">
        <f ca="1">IF(RAND()&lt;P_Zero,0,IF(RAND()&lt;CondReturn,_xlfn.LOGNORM.INV(RAND(),MV2,Sigma1),IF(RAND()&lt;CondGood,_xlfn.LOGNORM.INV(RAND(),MV3,Sigma2),MIN(MaxMultiple,Xm/(1-RAND())^(1/Alpha)))))</f>
        <v>0.5712649540816831</v>
      </c>
      <c r="I330" s="19">
        <f ca="1">IF(RAND()&lt;P_Zero,0,IF(RAND()&lt;CondReturn,_xlfn.LOGNORM.INV(RAND(),MV2,Sigma1),IF(RAND()&lt;CondGood,_xlfn.LOGNORM.INV(RAND(),MV3,Sigma2),MIN(MaxMultiple,Xm/(1-RAND())^(1/Alpha)))))</f>
        <v>0</v>
      </c>
      <c r="J330" s="19">
        <f ca="1">IF(RAND()&lt;P_Zero,0,IF(RAND()&lt;CondReturn,_xlfn.LOGNORM.INV(RAND(),MV2,Sigma1),IF(RAND()&lt;CondGood,_xlfn.LOGNORM.INV(RAND(),MV3,Sigma2),MIN(MaxMultiple,Xm/(1-RAND())^(1/Alpha)))))</f>
        <v>2.0896465610300567</v>
      </c>
      <c r="K330" s="19">
        <f ca="1">IF(RAND()&lt;P_Zero,0,IF(RAND()&lt;CondReturn,_xlfn.LOGNORM.INV(RAND(),MV2,Sigma1),IF(RAND()&lt;CondGood,_xlfn.LOGNORM.INV(RAND(),MV3,Sigma2),MIN(MaxMultiple,Xm/(1-RAND())^(1/Alpha)))))</f>
        <v>1.3818882902223641</v>
      </c>
      <c r="L330" s="19">
        <f ca="1">IF(RAND()&lt;P_Zero,0,IF(RAND()&lt;CondReturn,_xlfn.LOGNORM.INV(RAND(),MV2,Sigma1),IF(RAND()&lt;CondGood,_xlfn.LOGNORM.INV(RAND(),MV3,Sigma2),MIN(MaxMultiple,Xm/(1-RAND())^(1/Alpha)))))</f>
        <v>0.96049484495417292</v>
      </c>
      <c r="M330" s="19">
        <f ca="1">IF(RAND()&lt;P_Zero,0,IF(RAND()&lt;CondReturn,_xlfn.LOGNORM.INV(RAND(),MV2,Sigma1),IF(RAND()&lt;CondGood,_xlfn.LOGNORM.INV(RAND(),MV3,Sigma2),MIN(MaxMultiple,Xm/(1-RAND())^(1/Alpha)))))</f>
        <v>0</v>
      </c>
      <c r="N330" s="19">
        <f ca="1">IF(RAND()&lt;P_Zero,0,IF(RAND()&lt;CondReturn,_xlfn.LOGNORM.INV(RAND(),MV2,Sigma1),IF(RAND()&lt;CondGood,_xlfn.LOGNORM.INV(RAND(),MV3,Sigma2),MIN(MaxMultiple,Xm/(1-RAND())^(1/Alpha)))))</f>
        <v>0.79091052454512478</v>
      </c>
      <c r="O330" s="19">
        <f ca="1">IF(RAND()&lt;P_Zero,0,IF(RAND()&lt;CondReturn,_xlfn.LOGNORM.INV(RAND(),MV2,Sigma1),IF(RAND()&lt;CondGood,_xlfn.LOGNORM.INV(RAND(),MV3,Sigma2),MIN(MaxMultiple,Xm/(1-RAND())^(1/Alpha)))))</f>
        <v>1.2269240047937289</v>
      </c>
      <c r="P330" s="19">
        <f ca="1">IF(RAND()&lt;P_Zero,0,IF(RAND()&lt;CondReturn,_xlfn.LOGNORM.INV(RAND(),MV2,Sigma1),IF(RAND()&lt;CondGood,_xlfn.LOGNORM.INV(RAND(),MV3,Sigma2),MIN(MaxMultiple,Xm/(1-RAND())^(1/Alpha)))))</f>
        <v>0.59507133274140023</v>
      </c>
      <c r="Q330" s="19">
        <f ca="1">IF(RAND()&lt;P_Zero,0,IF(RAND()&lt;CondReturn,_xlfn.LOGNORM.INV(RAND(),MV2,Sigma1),IF(RAND()&lt;CondGood,_xlfn.LOGNORM.INV(RAND(),MV3,Sigma2),MIN(MaxMultiple,Xm/(1-RAND())^(1/Alpha)))))</f>
        <v>44.196849139612972</v>
      </c>
      <c r="R330" s="19">
        <f ca="1">IF(RAND()&lt;P_Zero,0,IF(RAND()&lt;CondReturn,_xlfn.LOGNORM.INV(RAND(),MV2,Sigma1),IF(RAND()&lt;CondGood,_xlfn.LOGNORM.INV(RAND(),MV3,Sigma2),MIN(MaxMultiple,Xm/(1-RAND())^(1/Alpha)))))</f>
        <v>0</v>
      </c>
      <c r="S330" s="19">
        <f ca="1">IF(RAND()&lt;P_Zero,0,IF(RAND()&lt;CondReturn,_xlfn.LOGNORM.INV(RAND(),MV2,Sigma1),IF(RAND()&lt;CondGood,_xlfn.LOGNORM.INV(RAND(),MV3,Sigma2),MIN(MaxMultiple,Xm/(1-RAND())^(1/Alpha)))))</f>
        <v>0.8257067355209633</v>
      </c>
      <c r="T330" s="19">
        <f ca="1">IF(RAND()&lt;P_Zero,0,IF(RAND()&lt;CondReturn,_xlfn.LOGNORM.INV(RAND(),MV2,Sigma1),IF(RAND()&lt;CondGood,_xlfn.LOGNORM.INV(RAND(),MV3,Sigma2),MIN(MaxMultiple,Xm/(1-RAND())^(1/Alpha)))))</f>
        <v>0.42832700935285056</v>
      </c>
      <c r="U330" s="19">
        <f ca="1">IF(RAND()&lt;P_Zero,0,IF(RAND()&lt;CondReturn,_xlfn.LOGNORM.INV(RAND(),MV2,Sigma1),IF(RAND()&lt;CondGood,_xlfn.LOGNORM.INV(RAND(),MV3,Sigma2),MIN(MaxMultiple,Xm/(1-RAND())^(1/Alpha)))))</f>
        <v>0</v>
      </c>
      <c r="V330" s="19">
        <f ca="1">IF(RAND()&lt;P_Zero,0,IF(RAND()&lt;CondReturn,_xlfn.LOGNORM.INV(RAND(),MV2,Sigma1),IF(RAND()&lt;CondGood,_xlfn.LOGNORM.INV(RAND(),MV3,Sigma2),MIN(MaxMultiple,Xm/(1-RAND())^(1/Alpha)))))</f>
        <v>1.7850167546135889</v>
      </c>
      <c r="W330" s="19">
        <f ca="1">IF(RAND()&lt;P_Zero,0,IF(RAND()&lt;CondReturn,_xlfn.LOGNORM.INV(RAND(),MV2,Sigma1),IF(RAND()&lt;CondGood,_xlfn.LOGNORM.INV(RAND(),MV3,Sigma2),MIN(MaxMultiple,Xm/(1-RAND())^(1/Alpha)))))</f>
        <v>0</v>
      </c>
      <c r="X330" s="19">
        <f ca="1">IF(RAND()&lt;P_Zero,0,IF(RAND()&lt;CondReturn,_xlfn.LOGNORM.INV(RAND(),MV2,Sigma1),IF(RAND()&lt;CondGood,_xlfn.LOGNORM.INV(RAND(),MV3,Sigma2),MIN(MaxMultiple,Xm/(1-RAND())^(1/Alpha)))))</f>
        <v>0</v>
      </c>
      <c r="Y330" s="19">
        <f ca="1">IF(RAND()&lt;P_Zero,0,IF(RAND()&lt;CondReturn,_xlfn.LOGNORM.INV(RAND(),MV2,Sigma1),IF(RAND()&lt;CondGood,_xlfn.LOGNORM.INV(RAND(),MV3,Sigma2),MIN(MaxMultiple,Xm/(1-RAND())^(1/Alpha)))))</f>
        <v>1.6302797172804944</v>
      </c>
      <c r="Z330" s="19">
        <f ca="1">IF(RAND()&lt;P_Zero,0,IF(RAND()&lt;CondReturn,_xlfn.LOGNORM.INV(RAND(),MV2,Sigma1),IF(RAND()&lt;CondGood,_xlfn.LOGNORM.INV(RAND(),MV3,Sigma2),MIN(MaxMultiple,Xm/(1-RAND())^(1/Alpha)))))</f>
        <v>1.1830342179798914</v>
      </c>
      <c r="AA330" s="19">
        <f ca="1">IF(RAND()&lt;P_Zero,0,IF(RAND()&lt;CondReturn,_xlfn.LOGNORM.INV(RAND(),MV2,Sigma1),IF(RAND()&lt;CondGood,_xlfn.LOGNORM.INV(RAND(),MV3,Sigma2),MIN(MaxMultiple,Xm/(1-RAND())^(1/Alpha)))))</f>
        <v>0</v>
      </c>
      <c r="AB330" s="19">
        <f t="shared" ca="1" si="40"/>
        <v>2.5862921003374755</v>
      </c>
      <c r="AC330" s="14">
        <f t="shared" ca="1" si="41"/>
        <v>124142020.81619883</v>
      </c>
      <c r="AD330" s="14">
        <f t="shared" ca="1" si="42"/>
        <v>76142020.816198826</v>
      </c>
      <c r="AE330" s="14">
        <f t="shared" si="43"/>
        <v>55628399.869093813</v>
      </c>
      <c r="AF330" s="14">
        <f t="shared" ca="1" si="44"/>
        <v>20513620.947105013</v>
      </c>
      <c r="AG330" s="14">
        <f t="shared" ca="1" si="45"/>
        <v>4102724.1894210028</v>
      </c>
      <c r="AH330" s="14">
        <f t="shared" ca="1" si="46"/>
        <v>120039296.62677783</v>
      </c>
      <c r="AI330" s="19">
        <f t="shared" ca="1" si="47"/>
        <v>2.0006549437796304</v>
      </c>
    </row>
    <row r="331" spans="2:35" x14ac:dyDescent="0.2">
      <c r="B331" s="1">
        <v>326</v>
      </c>
      <c r="C331" s="19">
        <f ca="1">IF(RAND()&lt;P_Zero,0,IF(RAND()&lt;CondReturn,_xlfn.LOGNORM.INV(RAND(),MV2,Sigma1),IF(RAND()&lt;CondGood,_xlfn.LOGNORM.INV(RAND(),MV3,Sigma2),MIN(MaxMultiple,Xm/(1-RAND())^(1/Alpha)))))</f>
        <v>31.572333850728377</v>
      </c>
      <c r="D331" s="19">
        <f ca="1">IF(RAND()&lt;P_Zero,0,IF(RAND()&lt;CondReturn,_xlfn.LOGNORM.INV(RAND(),MV2,Sigma1),IF(RAND()&lt;CondGood,_xlfn.LOGNORM.INV(RAND(),MV3,Sigma2),MIN(MaxMultiple,Xm/(1-RAND())^(1/Alpha)))))</f>
        <v>0.2177387196551118</v>
      </c>
      <c r="E331" s="19">
        <f ca="1">IF(RAND()&lt;P_Zero,0,IF(RAND()&lt;CondReturn,_xlfn.LOGNORM.INV(RAND(),MV2,Sigma1),IF(RAND()&lt;CondGood,_xlfn.LOGNORM.INV(RAND(),MV3,Sigma2),MIN(MaxMultiple,Xm/(1-RAND())^(1/Alpha)))))</f>
        <v>50.837798978402496</v>
      </c>
      <c r="F331" s="19">
        <f ca="1">IF(RAND()&lt;P_Zero,0,IF(RAND()&lt;CondReturn,_xlfn.LOGNORM.INV(RAND(),MV2,Sigma1),IF(RAND()&lt;CondGood,_xlfn.LOGNORM.INV(RAND(),MV3,Sigma2),MIN(MaxMultiple,Xm/(1-RAND())^(1/Alpha)))))</f>
        <v>22.916689732256305</v>
      </c>
      <c r="G331" s="19">
        <f ca="1">IF(RAND()&lt;P_Zero,0,IF(RAND()&lt;CondReturn,_xlfn.LOGNORM.INV(RAND(),MV2,Sigma1),IF(RAND()&lt;CondGood,_xlfn.LOGNORM.INV(RAND(),MV3,Sigma2),MIN(MaxMultiple,Xm/(1-RAND())^(1/Alpha)))))</f>
        <v>1.4573750354051127</v>
      </c>
      <c r="H331" s="19">
        <f ca="1">IF(RAND()&lt;P_Zero,0,IF(RAND()&lt;CondReturn,_xlfn.LOGNORM.INV(RAND(),MV2,Sigma1),IF(RAND()&lt;CondGood,_xlfn.LOGNORM.INV(RAND(),MV3,Sigma2),MIN(MaxMultiple,Xm/(1-RAND())^(1/Alpha)))))</f>
        <v>1.5404711562160567</v>
      </c>
      <c r="I331" s="19">
        <f ca="1">IF(RAND()&lt;P_Zero,0,IF(RAND()&lt;CondReturn,_xlfn.LOGNORM.INV(RAND(),MV2,Sigma1),IF(RAND()&lt;CondGood,_xlfn.LOGNORM.INV(RAND(),MV3,Sigma2),MIN(MaxMultiple,Xm/(1-RAND())^(1/Alpha)))))</f>
        <v>0</v>
      </c>
      <c r="J331" s="19">
        <f ca="1">IF(RAND()&lt;P_Zero,0,IF(RAND()&lt;CondReturn,_xlfn.LOGNORM.INV(RAND(),MV2,Sigma1),IF(RAND()&lt;CondGood,_xlfn.LOGNORM.INV(RAND(),MV3,Sigma2),MIN(MaxMultiple,Xm/(1-RAND())^(1/Alpha)))))</f>
        <v>1.224917003983401</v>
      </c>
      <c r="K331" s="19">
        <f ca="1">IF(RAND()&lt;P_Zero,0,IF(RAND()&lt;CondReturn,_xlfn.LOGNORM.INV(RAND(),MV2,Sigma1),IF(RAND()&lt;CondGood,_xlfn.LOGNORM.INV(RAND(),MV3,Sigma2),MIN(MaxMultiple,Xm/(1-RAND())^(1/Alpha)))))</f>
        <v>0</v>
      </c>
      <c r="L331" s="19">
        <f ca="1">IF(RAND()&lt;P_Zero,0,IF(RAND()&lt;CondReturn,_xlfn.LOGNORM.INV(RAND(),MV2,Sigma1),IF(RAND()&lt;CondGood,_xlfn.LOGNORM.INV(RAND(),MV3,Sigma2),MIN(MaxMultiple,Xm/(1-RAND())^(1/Alpha)))))</f>
        <v>0</v>
      </c>
      <c r="M331" s="19">
        <f ca="1">IF(RAND()&lt;P_Zero,0,IF(RAND()&lt;CondReturn,_xlfn.LOGNORM.INV(RAND(),MV2,Sigma1),IF(RAND()&lt;CondGood,_xlfn.LOGNORM.INV(RAND(),MV3,Sigma2),MIN(MaxMultiple,Xm/(1-RAND())^(1/Alpha)))))</f>
        <v>0</v>
      </c>
      <c r="N331" s="19">
        <f ca="1">IF(RAND()&lt;P_Zero,0,IF(RAND()&lt;CondReturn,_xlfn.LOGNORM.INV(RAND(),MV2,Sigma1),IF(RAND()&lt;CondGood,_xlfn.LOGNORM.INV(RAND(),MV3,Sigma2),MIN(MaxMultiple,Xm/(1-RAND())^(1/Alpha)))))</f>
        <v>0.38602140325964601</v>
      </c>
      <c r="O331" s="19">
        <f ca="1">IF(RAND()&lt;P_Zero,0,IF(RAND()&lt;CondReturn,_xlfn.LOGNORM.INV(RAND(),MV2,Sigma1),IF(RAND()&lt;CondGood,_xlfn.LOGNORM.INV(RAND(),MV3,Sigma2),MIN(MaxMultiple,Xm/(1-RAND())^(1/Alpha)))))</f>
        <v>0.60236578109096173</v>
      </c>
      <c r="P331" s="19">
        <f ca="1">IF(RAND()&lt;P_Zero,0,IF(RAND()&lt;CondReturn,_xlfn.LOGNORM.INV(RAND(),MV2,Sigma1),IF(RAND()&lt;CondGood,_xlfn.LOGNORM.INV(RAND(),MV3,Sigma2),MIN(MaxMultiple,Xm/(1-RAND())^(1/Alpha)))))</f>
        <v>0</v>
      </c>
      <c r="Q331" s="19">
        <f ca="1">IF(RAND()&lt;P_Zero,0,IF(RAND()&lt;CondReturn,_xlfn.LOGNORM.INV(RAND(),MV2,Sigma1),IF(RAND()&lt;CondGood,_xlfn.LOGNORM.INV(RAND(),MV3,Sigma2),MIN(MaxMultiple,Xm/(1-RAND())^(1/Alpha)))))</f>
        <v>0</v>
      </c>
      <c r="R331" s="19">
        <f ca="1">IF(RAND()&lt;P_Zero,0,IF(RAND()&lt;CondReturn,_xlfn.LOGNORM.INV(RAND(),MV2,Sigma1),IF(RAND()&lt;CondGood,_xlfn.LOGNORM.INV(RAND(),MV3,Sigma2),MIN(MaxMultiple,Xm/(1-RAND())^(1/Alpha)))))</f>
        <v>0.8554457096626521</v>
      </c>
      <c r="S331" s="19">
        <f ca="1">IF(RAND()&lt;P_Zero,0,IF(RAND()&lt;CondReturn,_xlfn.LOGNORM.INV(RAND(),MV2,Sigma1),IF(RAND()&lt;CondGood,_xlfn.LOGNORM.INV(RAND(),MV3,Sigma2),MIN(MaxMultiple,Xm/(1-RAND())^(1/Alpha)))))</f>
        <v>0</v>
      </c>
      <c r="T331" s="19">
        <f ca="1">IF(RAND()&lt;P_Zero,0,IF(RAND()&lt;CondReturn,_xlfn.LOGNORM.INV(RAND(),MV2,Sigma1),IF(RAND()&lt;CondGood,_xlfn.LOGNORM.INV(RAND(),MV3,Sigma2),MIN(MaxMultiple,Xm/(1-RAND())^(1/Alpha)))))</f>
        <v>1.9275714323844704</v>
      </c>
      <c r="U331" s="19">
        <f ca="1">IF(RAND()&lt;P_Zero,0,IF(RAND()&lt;CondReturn,_xlfn.LOGNORM.INV(RAND(),MV2,Sigma1),IF(RAND()&lt;CondGood,_xlfn.LOGNORM.INV(RAND(),MV3,Sigma2),MIN(MaxMultiple,Xm/(1-RAND())^(1/Alpha)))))</f>
        <v>0.39224298940381769</v>
      </c>
      <c r="V331" s="19">
        <f ca="1">IF(RAND()&lt;P_Zero,0,IF(RAND()&lt;CondReturn,_xlfn.LOGNORM.INV(RAND(),MV2,Sigma1),IF(RAND()&lt;CondGood,_xlfn.LOGNORM.INV(RAND(),MV3,Sigma2),MIN(MaxMultiple,Xm/(1-RAND())^(1/Alpha)))))</f>
        <v>0.64142866350466243</v>
      </c>
      <c r="W331" s="19">
        <f ca="1">IF(RAND()&lt;P_Zero,0,IF(RAND()&lt;CondReturn,_xlfn.LOGNORM.INV(RAND(),MV2,Sigma1),IF(RAND()&lt;CondGood,_xlfn.LOGNORM.INV(RAND(),MV3,Sigma2),MIN(MaxMultiple,Xm/(1-RAND())^(1/Alpha)))))</f>
        <v>0</v>
      </c>
      <c r="X331" s="19">
        <f ca="1">IF(RAND()&lt;P_Zero,0,IF(RAND()&lt;CondReturn,_xlfn.LOGNORM.INV(RAND(),MV2,Sigma1),IF(RAND()&lt;CondGood,_xlfn.LOGNORM.INV(RAND(),MV3,Sigma2),MIN(MaxMultiple,Xm/(1-RAND())^(1/Alpha)))))</f>
        <v>0.50398630529878141</v>
      </c>
      <c r="Y331" s="19">
        <f ca="1">IF(RAND()&lt;P_Zero,0,IF(RAND()&lt;CondReturn,_xlfn.LOGNORM.INV(RAND(),MV2,Sigma1),IF(RAND()&lt;CondGood,_xlfn.LOGNORM.INV(RAND(),MV3,Sigma2),MIN(MaxMultiple,Xm/(1-RAND())^(1/Alpha)))))</f>
        <v>0</v>
      </c>
      <c r="Z331" s="19">
        <f ca="1">IF(RAND()&lt;P_Zero,0,IF(RAND()&lt;CondReturn,_xlfn.LOGNORM.INV(RAND(),MV2,Sigma1),IF(RAND()&lt;CondGood,_xlfn.LOGNORM.INV(RAND(),MV3,Sigma2),MIN(MaxMultiple,Xm/(1-RAND())^(1/Alpha)))))</f>
        <v>0</v>
      </c>
      <c r="AA331" s="19">
        <f ca="1">IF(RAND()&lt;P_Zero,0,IF(RAND()&lt;CondReturn,_xlfn.LOGNORM.INV(RAND(),MV2,Sigma1),IF(RAND()&lt;CondGood,_xlfn.LOGNORM.INV(RAND(),MV3,Sigma2),MIN(MaxMultiple,Xm/(1-RAND())^(1/Alpha)))))</f>
        <v>2.1657076640904562</v>
      </c>
      <c r="AB331" s="19">
        <f t="shared" ca="1" si="40"/>
        <v>4.689683777013693</v>
      </c>
      <c r="AC331" s="14">
        <f t="shared" ca="1" si="41"/>
        <v>225104821.29665726</v>
      </c>
      <c r="AD331" s="14">
        <f t="shared" ca="1" si="42"/>
        <v>177104821.29665726</v>
      </c>
      <c r="AE331" s="14">
        <f t="shared" si="43"/>
        <v>55628399.869093813</v>
      </c>
      <c r="AF331" s="14">
        <f t="shared" ca="1" si="44"/>
        <v>121476421.42756346</v>
      </c>
      <c r="AG331" s="14">
        <f t="shared" ca="1" si="45"/>
        <v>24295284.285512693</v>
      </c>
      <c r="AH331" s="14">
        <f t="shared" ca="1" si="46"/>
        <v>200809537.01114458</v>
      </c>
      <c r="AI331" s="19">
        <f t="shared" ca="1" si="47"/>
        <v>3.3468256168524095</v>
      </c>
    </row>
    <row r="332" spans="2:35" x14ac:dyDescent="0.2">
      <c r="B332" s="1">
        <v>327</v>
      </c>
      <c r="C332" s="19">
        <f ca="1">IF(RAND()&lt;P_Zero,0,IF(RAND()&lt;CondReturn,_xlfn.LOGNORM.INV(RAND(),MV2,Sigma1),IF(RAND()&lt;CondGood,_xlfn.LOGNORM.INV(RAND(),MV3,Sigma2),MIN(MaxMultiple,Xm/(1-RAND())^(1/Alpha)))))</f>
        <v>0</v>
      </c>
      <c r="D332" s="19">
        <f ca="1">IF(RAND()&lt;P_Zero,0,IF(RAND()&lt;CondReturn,_xlfn.LOGNORM.INV(RAND(),MV2,Sigma1),IF(RAND()&lt;CondGood,_xlfn.LOGNORM.INV(RAND(),MV3,Sigma2),MIN(MaxMultiple,Xm/(1-RAND())^(1/Alpha)))))</f>
        <v>18.238376453896688</v>
      </c>
      <c r="E332" s="19">
        <f ca="1">IF(RAND()&lt;P_Zero,0,IF(RAND()&lt;CondReturn,_xlfn.LOGNORM.INV(RAND(),MV2,Sigma1),IF(RAND()&lt;CondGood,_xlfn.LOGNORM.INV(RAND(),MV3,Sigma2),MIN(MaxMultiple,Xm/(1-RAND())^(1/Alpha)))))</f>
        <v>0</v>
      </c>
      <c r="F332" s="19">
        <f ca="1">IF(RAND()&lt;P_Zero,0,IF(RAND()&lt;CondReturn,_xlfn.LOGNORM.INV(RAND(),MV2,Sigma1),IF(RAND()&lt;CondGood,_xlfn.LOGNORM.INV(RAND(),MV3,Sigma2),MIN(MaxMultiple,Xm/(1-RAND())^(1/Alpha)))))</f>
        <v>0</v>
      </c>
      <c r="G332" s="19">
        <f ca="1">IF(RAND()&lt;P_Zero,0,IF(RAND()&lt;CondReturn,_xlfn.LOGNORM.INV(RAND(),MV2,Sigma1),IF(RAND()&lt;CondGood,_xlfn.LOGNORM.INV(RAND(),MV3,Sigma2),MIN(MaxMultiple,Xm/(1-RAND())^(1/Alpha)))))</f>
        <v>1.1803183884110271</v>
      </c>
      <c r="H332" s="19">
        <f ca="1">IF(RAND()&lt;P_Zero,0,IF(RAND()&lt;CondReturn,_xlfn.LOGNORM.INV(RAND(),MV2,Sigma1),IF(RAND()&lt;CondGood,_xlfn.LOGNORM.INV(RAND(),MV3,Sigma2),MIN(MaxMultiple,Xm/(1-RAND())^(1/Alpha)))))</f>
        <v>1.1906393245394264</v>
      </c>
      <c r="I332" s="19">
        <f ca="1">IF(RAND()&lt;P_Zero,0,IF(RAND()&lt;CondReturn,_xlfn.LOGNORM.INV(RAND(),MV2,Sigma1),IF(RAND()&lt;CondGood,_xlfn.LOGNORM.INV(RAND(),MV3,Sigma2),MIN(MaxMultiple,Xm/(1-RAND())^(1/Alpha)))))</f>
        <v>0.56233614187102288</v>
      </c>
      <c r="J332" s="19">
        <f ca="1">IF(RAND()&lt;P_Zero,0,IF(RAND()&lt;CondReturn,_xlfn.LOGNORM.INV(RAND(),MV2,Sigma1),IF(RAND()&lt;CondGood,_xlfn.LOGNORM.INV(RAND(),MV3,Sigma2),MIN(MaxMultiple,Xm/(1-RAND())^(1/Alpha)))))</f>
        <v>0</v>
      </c>
      <c r="K332" s="19">
        <f ca="1">IF(RAND()&lt;P_Zero,0,IF(RAND()&lt;CondReturn,_xlfn.LOGNORM.INV(RAND(),MV2,Sigma1),IF(RAND()&lt;CondGood,_xlfn.LOGNORM.INV(RAND(),MV3,Sigma2),MIN(MaxMultiple,Xm/(1-RAND())^(1/Alpha)))))</f>
        <v>0.800057999970196</v>
      </c>
      <c r="L332" s="19">
        <f ca="1">IF(RAND()&lt;P_Zero,0,IF(RAND()&lt;CondReturn,_xlfn.LOGNORM.INV(RAND(),MV2,Sigma1),IF(RAND()&lt;CondGood,_xlfn.LOGNORM.INV(RAND(),MV3,Sigma2),MIN(MaxMultiple,Xm/(1-RAND())^(1/Alpha)))))</f>
        <v>1.3301042892102903</v>
      </c>
      <c r="M332" s="19">
        <f ca="1">IF(RAND()&lt;P_Zero,0,IF(RAND()&lt;CondReturn,_xlfn.LOGNORM.INV(RAND(),MV2,Sigma1),IF(RAND()&lt;CondGood,_xlfn.LOGNORM.INV(RAND(),MV3,Sigma2),MIN(MaxMultiple,Xm/(1-RAND())^(1/Alpha)))))</f>
        <v>0.61371591538184889</v>
      </c>
      <c r="N332" s="19">
        <f ca="1">IF(RAND()&lt;P_Zero,0,IF(RAND()&lt;CondReturn,_xlfn.LOGNORM.INV(RAND(),MV2,Sigma1),IF(RAND()&lt;CondGood,_xlfn.LOGNORM.INV(RAND(),MV3,Sigma2),MIN(MaxMultiple,Xm/(1-RAND())^(1/Alpha)))))</f>
        <v>0</v>
      </c>
      <c r="O332" s="19">
        <f ca="1">IF(RAND()&lt;P_Zero,0,IF(RAND()&lt;CondReturn,_xlfn.LOGNORM.INV(RAND(),MV2,Sigma1),IF(RAND()&lt;CondGood,_xlfn.LOGNORM.INV(RAND(),MV3,Sigma2),MIN(MaxMultiple,Xm/(1-RAND())^(1/Alpha)))))</f>
        <v>0</v>
      </c>
      <c r="P332" s="19">
        <f ca="1">IF(RAND()&lt;P_Zero,0,IF(RAND()&lt;CondReturn,_xlfn.LOGNORM.INV(RAND(),MV2,Sigma1),IF(RAND()&lt;CondGood,_xlfn.LOGNORM.INV(RAND(),MV3,Sigma2),MIN(MaxMultiple,Xm/(1-RAND())^(1/Alpha)))))</f>
        <v>1.6729041259757942</v>
      </c>
      <c r="Q332" s="19">
        <f ca="1">IF(RAND()&lt;P_Zero,0,IF(RAND()&lt;CondReturn,_xlfn.LOGNORM.INV(RAND(),MV2,Sigma1),IF(RAND()&lt;CondGood,_xlfn.LOGNORM.INV(RAND(),MV3,Sigma2),MIN(MaxMultiple,Xm/(1-RAND())^(1/Alpha)))))</f>
        <v>0.51048027924193362</v>
      </c>
      <c r="R332" s="19">
        <f ca="1">IF(RAND()&lt;P_Zero,0,IF(RAND()&lt;CondReturn,_xlfn.LOGNORM.INV(RAND(),MV2,Sigma1),IF(RAND()&lt;CondGood,_xlfn.LOGNORM.INV(RAND(),MV3,Sigma2),MIN(MaxMultiple,Xm/(1-RAND())^(1/Alpha)))))</f>
        <v>1.0073433307180755</v>
      </c>
      <c r="S332" s="19">
        <f ca="1">IF(RAND()&lt;P_Zero,0,IF(RAND()&lt;CondReturn,_xlfn.LOGNORM.INV(RAND(),MV2,Sigma1),IF(RAND()&lt;CondGood,_xlfn.LOGNORM.INV(RAND(),MV3,Sigma2),MIN(MaxMultiple,Xm/(1-RAND())^(1/Alpha)))))</f>
        <v>0</v>
      </c>
      <c r="T332" s="19">
        <f ca="1">IF(RAND()&lt;P_Zero,0,IF(RAND()&lt;CondReturn,_xlfn.LOGNORM.INV(RAND(),MV2,Sigma1),IF(RAND()&lt;CondGood,_xlfn.LOGNORM.INV(RAND(),MV3,Sigma2),MIN(MaxMultiple,Xm/(1-RAND())^(1/Alpha)))))</f>
        <v>2.0047712125546147</v>
      </c>
      <c r="U332" s="19">
        <f ca="1">IF(RAND()&lt;P_Zero,0,IF(RAND()&lt;CondReturn,_xlfn.LOGNORM.INV(RAND(),MV2,Sigma1),IF(RAND()&lt;CondGood,_xlfn.LOGNORM.INV(RAND(),MV3,Sigma2),MIN(MaxMultiple,Xm/(1-RAND())^(1/Alpha)))))</f>
        <v>0.49697132119027154</v>
      </c>
      <c r="V332" s="19">
        <f ca="1">IF(RAND()&lt;P_Zero,0,IF(RAND()&lt;CondReturn,_xlfn.LOGNORM.INV(RAND(),MV2,Sigma1),IF(RAND()&lt;CondGood,_xlfn.LOGNORM.INV(RAND(),MV3,Sigma2),MIN(MaxMultiple,Xm/(1-RAND())^(1/Alpha)))))</f>
        <v>0.8089554729818399</v>
      </c>
      <c r="W332" s="19">
        <f ca="1">IF(RAND()&lt;P_Zero,0,IF(RAND()&lt;CondReturn,_xlfn.LOGNORM.INV(RAND(),MV2,Sigma1),IF(RAND()&lt;CondGood,_xlfn.LOGNORM.INV(RAND(),MV3,Sigma2),MIN(MaxMultiple,Xm/(1-RAND())^(1/Alpha)))))</f>
        <v>0.7678503717461439</v>
      </c>
      <c r="X332" s="19">
        <f ca="1">IF(RAND()&lt;P_Zero,0,IF(RAND()&lt;CondReturn,_xlfn.LOGNORM.INV(RAND(),MV2,Sigma1),IF(RAND()&lt;CondGood,_xlfn.LOGNORM.INV(RAND(),MV3,Sigma2),MIN(MaxMultiple,Xm/(1-RAND())^(1/Alpha)))))</f>
        <v>2.5677611950125314</v>
      </c>
      <c r="Y332" s="19">
        <f ca="1">IF(RAND()&lt;P_Zero,0,IF(RAND()&lt;CondReturn,_xlfn.LOGNORM.INV(RAND(),MV2,Sigma1),IF(RAND()&lt;CondGood,_xlfn.LOGNORM.INV(RAND(),MV3,Sigma2),MIN(MaxMultiple,Xm/(1-RAND())^(1/Alpha)))))</f>
        <v>1.7013729051558928</v>
      </c>
      <c r="Z332" s="19">
        <f ca="1">IF(RAND()&lt;P_Zero,0,IF(RAND()&lt;CondReturn,_xlfn.LOGNORM.INV(RAND(),MV2,Sigma1),IF(RAND()&lt;CondGood,_xlfn.LOGNORM.INV(RAND(),MV3,Sigma2),MIN(MaxMultiple,Xm/(1-RAND())^(1/Alpha)))))</f>
        <v>0</v>
      </c>
      <c r="AA332" s="19">
        <f ca="1">IF(RAND()&lt;P_Zero,0,IF(RAND()&lt;CondReturn,_xlfn.LOGNORM.INV(RAND(),MV2,Sigma1),IF(RAND()&lt;CondGood,_xlfn.LOGNORM.INV(RAND(),MV3,Sigma2),MIN(MaxMultiple,Xm/(1-RAND())^(1/Alpha)))))</f>
        <v>0</v>
      </c>
      <c r="AB332" s="19">
        <f t="shared" ca="1" si="40"/>
        <v>1.4181583491143039</v>
      </c>
      <c r="AC332" s="14">
        <f t="shared" ca="1" si="41"/>
        <v>68071600.757486582</v>
      </c>
      <c r="AD332" s="14">
        <f t="shared" ca="1" si="42"/>
        <v>20071600.757486582</v>
      </c>
      <c r="AE332" s="14">
        <f t="shared" si="43"/>
        <v>55628399.869093813</v>
      </c>
      <c r="AF332" s="14">
        <f t="shared" ca="1" si="44"/>
        <v>0</v>
      </c>
      <c r="AG332" s="14">
        <f t="shared" ca="1" si="45"/>
        <v>0</v>
      </c>
      <c r="AH332" s="14">
        <f t="shared" ca="1" si="46"/>
        <v>68071600.757486582</v>
      </c>
      <c r="AI332" s="19">
        <f t="shared" ca="1" si="47"/>
        <v>1.134526679291443</v>
      </c>
    </row>
    <row r="333" spans="2:35" x14ac:dyDescent="0.2">
      <c r="B333" s="1">
        <v>328</v>
      </c>
      <c r="C333" s="19">
        <f ca="1">IF(RAND()&lt;P_Zero,0,IF(RAND()&lt;CondReturn,_xlfn.LOGNORM.INV(RAND(),MV2,Sigma1),IF(RAND()&lt;CondGood,_xlfn.LOGNORM.INV(RAND(),MV3,Sigma2),MIN(MaxMultiple,Xm/(1-RAND())^(1/Alpha)))))</f>
        <v>0</v>
      </c>
      <c r="D333" s="19">
        <f ca="1">IF(RAND()&lt;P_Zero,0,IF(RAND()&lt;CondReturn,_xlfn.LOGNORM.INV(RAND(),MV2,Sigma1),IF(RAND()&lt;CondGood,_xlfn.LOGNORM.INV(RAND(),MV3,Sigma2),MIN(MaxMultiple,Xm/(1-RAND())^(1/Alpha)))))</f>
        <v>78.789889851473163</v>
      </c>
      <c r="E333" s="19">
        <f ca="1">IF(RAND()&lt;P_Zero,0,IF(RAND()&lt;CondReturn,_xlfn.LOGNORM.INV(RAND(),MV2,Sigma1),IF(RAND()&lt;CondGood,_xlfn.LOGNORM.INV(RAND(),MV3,Sigma2),MIN(MaxMultiple,Xm/(1-RAND())^(1/Alpha)))))</f>
        <v>0</v>
      </c>
      <c r="F333" s="19">
        <f ca="1">IF(RAND()&lt;P_Zero,0,IF(RAND()&lt;CondReturn,_xlfn.LOGNORM.INV(RAND(),MV2,Sigma1),IF(RAND()&lt;CondGood,_xlfn.LOGNORM.INV(RAND(),MV3,Sigma2),MIN(MaxMultiple,Xm/(1-RAND())^(1/Alpha)))))</f>
        <v>0.92771312606363998</v>
      </c>
      <c r="G333" s="19">
        <f ca="1">IF(RAND()&lt;P_Zero,0,IF(RAND()&lt;CondReturn,_xlfn.LOGNORM.INV(RAND(),MV2,Sigma1),IF(RAND()&lt;CondGood,_xlfn.LOGNORM.INV(RAND(),MV3,Sigma2),MIN(MaxMultiple,Xm/(1-RAND())^(1/Alpha)))))</f>
        <v>0</v>
      </c>
      <c r="H333" s="19">
        <f ca="1">IF(RAND()&lt;P_Zero,0,IF(RAND()&lt;CondReturn,_xlfn.LOGNORM.INV(RAND(),MV2,Sigma1),IF(RAND()&lt;CondGood,_xlfn.LOGNORM.INV(RAND(),MV3,Sigma2),MIN(MaxMultiple,Xm/(1-RAND())^(1/Alpha)))))</f>
        <v>0.61173090064751601</v>
      </c>
      <c r="I333" s="19">
        <f ca="1">IF(RAND()&lt;P_Zero,0,IF(RAND()&lt;CondReturn,_xlfn.LOGNORM.INV(RAND(),MV2,Sigma1),IF(RAND()&lt;CondGood,_xlfn.LOGNORM.INV(RAND(),MV3,Sigma2),MIN(MaxMultiple,Xm/(1-RAND())^(1/Alpha)))))</f>
        <v>1.0195552318333563</v>
      </c>
      <c r="J333" s="19">
        <f ca="1">IF(RAND()&lt;P_Zero,0,IF(RAND()&lt;CondReturn,_xlfn.LOGNORM.INV(RAND(),MV2,Sigma1),IF(RAND()&lt;CondGood,_xlfn.LOGNORM.INV(RAND(),MV3,Sigma2),MIN(MaxMultiple,Xm/(1-RAND())^(1/Alpha)))))</f>
        <v>2.42771116737915</v>
      </c>
      <c r="K333" s="19">
        <f ca="1">IF(RAND()&lt;P_Zero,0,IF(RAND()&lt;CondReturn,_xlfn.LOGNORM.INV(RAND(),MV2,Sigma1),IF(RAND()&lt;CondGood,_xlfn.LOGNORM.INV(RAND(),MV3,Sigma2),MIN(MaxMultiple,Xm/(1-RAND())^(1/Alpha)))))</f>
        <v>0.95482252808232837</v>
      </c>
      <c r="L333" s="19">
        <f ca="1">IF(RAND()&lt;P_Zero,0,IF(RAND()&lt;CondReturn,_xlfn.LOGNORM.INV(RAND(),MV2,Sigma1),IF(RAND()&lt;CondGood,_xlfn.LOGNORM.INV(RAND(),MV3,Sigma2),MIN(MaxMultiple,Xm/(1-RAND())^(1/Alpha)))))</f>
        <v>0</v>
      </c>
      <c r="M333" s="19">
        <f ca="1">IF(RAND()&lt;P_Zero,0,IF(RAND()&lt;CondReturn,_xlfn.LOGNORM.INV(RAND(),MV2,Sigma1),IF(RAND()&lt;CondGood,_xlfn.LOGNORM.INV(RAND(),MV3,Sigma2),MIN(MaxMultiple,Xm/(1-RAND())^(1/Alpha)))))</f>
        <v>1.4034982815082824</v>
      </c>
      <c r="N333" s="19">
        <f ca="1">IF(RAND()&lt;P_Zero,0,IF(RAND()&lt;CondReturn,_xlfn.LOGNORM.INV(RAND(),MV2,Sigma1),IF(RAND()&lt;CondGood,_xlfn.LOGNORM.INV(RAND(),MV3,Sigma2),MIN(MaxMultiple,Xm/(1-RAND())^(1/Alpha)))))</f>
        <v>0.75071818862535566</v>
      </c>
      <c r="O333" s="19">
        <f ca="1">IF(RAND()&lt;P_Zero,0,IF(RAND()&lt;CondReturn,_xlfn.LOGNORM.INV(RAND(),MV2,Sigma1),IF(RAND()&lt;CondGood,_xlfn.LOGNORM.INV(RAND(),MV3,Sigma2),MIN(MaxMultiple,Xm/(1-RAND())^(1/Alpha)))))</f>
        <v>0.62127079528354712</v>
      </c>
      <c r="P333" s="19">
        <f ca="1">IF(RAND()&lt;P_Zero,0,IF(RAND()&lt;CondReturn,_xlfn.LOGNORM.INV(RAND(),MV2,Sigma1),IF(RAND()&lt;CondGood,_xlfn.LOGNORM.INV(RAND(),MV3,Sigma2),MIN(MaxMultiple,Xm/(1-RAND())^(1/Alpha)))))</f>
        <v>1.4713787679139461</v>
      </c>
      <c r="Q333" s="19">
        <f ca="1">IF(RAND()&lt;P_Zero,0,IF(RAND()&lt;CondReturn,_xlfn.LOGNORM.INV(RAND(),MV2,Sigma1),IF(RAND()&lt;CondGood,_xlfn.LOGNORM.INV(RAND(),MV3,Sigma2),MIN(MaxMultiple,Xm/(1-RAND())^(1/Alpha)))))</f>
        <v>2.5574966648162571</v>
      </c>
      <c r="R333" s="19">
        <f ca="1">IF(RAND()&lt;P_Zero,0,IF(RAND()&lt;CondReturn,_xlfn.LOGNORM.INV(RAND(),MV2,Sigma1),IF(RAND()&lt;CondGood,_xlfn.LOGNORM.INV(RAND(),MV3,Sigma2),MIN(MaxMultiple,Xm/(1-RAND())^(1/Alpha)))))</f>
        <v>1.0801449329995811</v>
      </c>
      <c r="S333" s="19">
        <f ca="1">IF(RAND()&lt;P_Zero,0,IF(RAND()&lt;CondReturn,_xlfn.LOGNORM.INV(RAND(),MV2,Sigma1),IF(RAND()&lt;CondGood,_xlfn.LOGNORM.INV(RAND(),MV3,Sigma2),MIN(MaxMultiple,Xm/(1-RAND())^(1/Alpha)))))</f>
        <v>0</v>
      </c>
      <c r="T333" s="19">
        <f ca="1">IF(RAND()&lt;P_Zero,0,IF(RAND()&lt;CondReturn,_xlfn.LOGNORM.INV(RAND(),MV2,Sigma1),IF(RAND()&lt;CondGood,_xlfn.LOGNORM.INV(RAND(),MV3,Sigma2),MIN(MaxMultiple,Xm/(1-RAND())^(1/Alpha)))))</f>
        <v>0</v>
      </c>
      <c r="U333" s="19">
        <f ca="1">IF(RAND()&lt;P_Zero,0,IF(RAND()&lt;CondReturn,_xlfn.LOGNORM.INV(RAND(),MV2,Sigma1),IF(RAND()&lt;CondGood,_xlfn.LOGNORM.INV(RAND(),MV3,Sigma2),MIN(MaxMultiple,Xm/(1-RAND())^(1/Alpha)))))</f>
        <v>0.70257932088154451</v>
      </c>
      <c r="V333" s="19">
        <f ca="1">IF(RAND()&lt;P_Zero,0,IF(RAND()&lt;CondReturn,_xlfn.LOGNORM.INV(RAND(),MV2,Sigma1),IF(RAND()&lt;CondGood,_xlfn.LOGNORM.INV(RAND(),MV3,Sigma2),MIN(MaxMultiple,Xm/(1-RAND())^(1/Alpha)))))</f>
        <v>0</v>
      </c>
      <c r="W333" s="19">
        <f ca="1">IF(RAND()&lt;P_Zero,0,IF(RAND()&lt;CondReturn,_xlfn.LOGNORM.INV(RAND(),MV2,Sigma1),IF(RAND()&lt;CondGood,_xlfn.LOGNORM.INV(RAND(),MV3,Sigma2),MIN(MaxMultiple,Xm/(1-RAND())^(1/Alpha)))))</f>
        <v>1.1688480797655647</v>
      </c>
      <c r="X333" s="19">
        <f ca="1">IF(RAND()&lt;P_Zero,0,IF(RAND()&lt;CondReturn,_xlfn.LOGNORM.INV(RAND(),MV2,Sigma1),IF(RAND()&lt;CondGood,_xlfn.LOGNORM.INV(RAND(),MV3,Sigma2),MIN(MaxMultiple,Xm/(1-RAND())^(1/Alpha)))))</f>
        <v>0</v>
      </c>
      <c r="Y333" s="19">
        <f ca="1">IF(RAND()&lt;P_Zero,0,IF(RAND()&lt;CondReturn,_xlfn.LOGNORM.INV(RAND(),MV2,Sigma1),IF(RAND()&lt;CondGood,_xlfn.LOGNORM.INV(RAND(),MV3,Sigma2),MIN(MaxMultiple,Xm/(1-RAND())^(1/Alpha)))))</f>
        <v>0</v>
      </c>
      <c r="Z333" s="19">
        <f ca="1">IF(RAND()&lt;P_Zero,0,IF(RAND()&lt;CondReturn,_xlfn.LOGNORM.INV(RAND(),MV2,Sigma1),IF(RAND()&lt;CondGood,_xlfn.LOGNORM.INV(RAND(),MV3,Sigma2),MIN(MaxMultiple,Xm/(1-RAND())^(1/Alpha)))))</f>
        <v>0</v>
      </c>
      <c r="AA333" s="19">
        <f ca="1">IF(RAND()&lt;P_Zero,0,IF(RAND()&lt;CondReturn,_xlfn.LOGNORM.INV(RAND(),MV2,Sigma1),IF(RAND()&lt;CondGood,_xlfn.LOGNORM.INV(RAND(),MV3,Sigma2),MIN(MaxMultiple,Xm/(1-RAND())^(1/Alpha)))))</f>
        <v>1.0729769203334878</v>
      </c>
      <c r="AB333" s="19">
        <f t="shared" ca="1" si="40"/>
        <v>3.8224133903042685</v>
      </c>
      <c r="AC333" s="14">
        <f t="shared" ca="1" si="41"/>
        <v>183475842.7346049</v>
      </c>
      <c r="AD333" s="14">
        <f t="shared" ca="1" si="42"/>
        <v>135475842.7346049</v>
      </c>
      <c r="AE333" s="14">
        <f t="shared" si="43"/>
        <v>55628399.869093813</v>
      </c>
      <c r="AF333" s="14">
        <f t="shared" ca="1" si="44"/>
        <v>79847442.86551109</v>
      </c>
      <c r="AG333" s="14">
        <f t="shared" ca="1" si="45"/>
        <v>15969488.573102219</v>
      </c>
      <c r="AH333" s="14">
        <f t="shared" ca="1" si="46"/>
        <v>167506354.16150269</v>
      </c>
      <c r="AI333" s="19">
        <f t="shared" ca="1" si="47"/>
        <v>2.7917725693583781</v>
      </c>
    </row>
    <row r="334" spans="2:35" x14ac:dyDescent="0.2">
      <c r="B334" s="1">
        <v>329</v>
      </c>
      <c r="C334" s="19">
        <f ca="1">IF(RAND()&lt;P_Zero,0,IF(RAND()&lt;CondReturn,_xlfn.LOGNORM.INV(RAND(),MV2,Sigma1),IF(RAND()&lt;CondGood,_xlfn.LOGNORM.INV(RAND(),MV3,Sigma2),MIN(MaxMultiple,Xm/(1-RAND())^(1/Alpha)))))</f>
        <v>0</v>
      </c>
      <c r="D334" s="19">
        <f ca="1">IF(RAND()&lt;P_Zero,0,IF(RAND()&lt;CondReturn,_xlfn.LOGNORM.INV(RAND(),MV2,Sigma1),IF(RAND()&lt;CondGood,_xlfn.LOGNORM.INV(RAND(),MV3,Sigma2),MIN(MaxMultiple,Xm/(1-RAND())^(1/Alpha)))))</f>
        <v>0.94294276123581766</v>
      </c>
      <c r="E334" s="19">
        <f ca="1">IF(RAND()&lt;P_Zero,0,IF(RAND()&lt;CondReturn,_xlfn.LOGNORM.INV(RAND(),MV2,Sigma1),IF(RAND()&lt;CondGood,_xlfn.LOGNORM.INV(RAND(),MV3,Sigma2),MIN(MaxMultiple,Xm/(1-RAND())^(1/Alpha)))))</f>
        <v>0.52114132772878385</v>
      </c>
      <c r="F334" s="19">
        <f ca="1">IF(RAND()&lt;P_Zero,0,IF(RAND()&lt;CondReturn,_xlfn.LOGNORM.INV(RAND(),MV2,Sigma1),IF(RAND()&lt;CondGood,_xlfn.LOGNORM.INV(RAND(),MV3,Sigma2),MIN(MaxMultiple,Xm/(1-RAND())^(1/Alpha)))))</f>
        <v>0</v>
      </c>
      <c r="G334" s="19">
        <f ca="1">IF(RAND()&lt;P_Zero,0,IF(RAND()&lt;CondReturn,_xlfn.LOGNORM.INV(RAND(),MV2,Sigma1),IF(RAND()&lt;CondGood,_xlfn.LOGNORM.INV(RAND(),MV3,Sigma2),MIN(MaxMultiple,Xm/(1-RAND())^(1/Alpha)))))</f>
        <v>0.59776266247018084</v>
      </c>
      <c r="H334" s="19">
        <f ca="1">IF(RAND()&lt;P_Zero,0,IF(RAND()&lt;CondReturn,_xlfn.LOGNORM.INV(RAND(),MV2,Sigma1),IF(RAND()&lt;CondGood,_xlfn.LOGNORM.INV(RAND(),MV3,Sigma2),MIN(MaxMultiple,Xm/(1-RAND())^(1/Alpha)))))</f>
        <v>2.9818137593502545</v>
      </c>
      <c r="I334" s="19">
        <f ca="1">IF(RAND()&lt;P_Zero,0,IF(RAND()&lt;CondReturn,_xlfn.LOGNORM.INV(RAND(),MV2,Sigma1),IF(RAND()&lt;CondGood,_xlfn.LOGNORM.INV(RAND(),MV3,Sigma2),MIN(MaxMultiple,Xm/(1-RAND())^(1/Alpha)))))</f>
        <v>1.1799384519675109</v>
      </c>
      <c r="J334" s="19">
        <f ca="1">IF(RAND()&lt;P_Zero,0,IF(RAND()&lt;CondReturn,_xlfn.LOGNORM.INV(RAND(),MV2,Sigma1),IF(RAND()&lt;CondGood,_xlfn.LOGNORM.INV(RAND(),MV3,Sigma2),MIN(MaxMultiple,Xm/(1-RAND())^(1/Alpha)))))</f>
        <v>0</v>
      </c>
      <c r="K334" s="19">
        <f ca="1">IF(RAND()&lt;P_Zero,0,IF(RAND()&lt;CondReturn,_xlfn.LOGNORM.INV(RAND(),MV2,Sigma1),IF(RAND()&lt;CondGood,_xlfn.LOGNORM.INV(RAND(),MV3,Sigma2),MIN(MaxMultiple,Xm/(1-RAND())^(1/Alpha)))))</f>
        <v>1.8570639966263787</v>
      </c>
      <c r="L334" s="19">
        <f ca="1">IF(RAND()&lt;P_Zero,0,IF(RAND()&lt;CondReturn,_xlfn.LOGNORM.INV(RAND(),MV2,Sigma1),IF(RAND()&lt;CondGood,_xlfn.LOGNORM.INV(RAND(),MV3,Sigma2),MIN(MaxMultiple,Xm/(1-RAND())^(1/Alpha)))))</f>
        <v>18.317230874835005</v>
      </c>
      <c r="M334" s="19">
        <f ca="1">IF(RAND()&lt;P_Zero,0,IF(RAND()&lt;CondReturn,_xlfn.LOGNORM.INV(RAND(),MV2,Sigma1),IF(RAND()&lt;CondGood,_xlfn.LOGNORM.INV(RAND(),MV3,Sigma2),MIN(MaxMultiple,Xm/(1-RAND())^(1/Alpha)))))</f>
        <v>0</v>
      </c>
      <c r="N334" s="19">
        <f ca="1">IF(RAND()&lt;P_Zero,0,IF(RAND()&lt;CondReturn,_xlfn.LOGNORM.INV(RAND(),MV2,Sigma1),IF(RAND()&lt;CondGood,_xlfn.LOGNORM.INV(RAND(),MV3,Sigma2),MIN(MaxMultiple,Xm/(1-RAND())^(1/Alpha)))))</f>
        <v>2.6209890608329398</v>
      </c>
      <c r="O334" s="19">
        <f ca="1">IF(RAND()&lt;P_Zero,0,IF(RAND()&lt;CondReturn,_xlfn.LOGNORM.INV(RAND(),MV2,Sigma1),IF(RAND()&lt;CondGood,_xlfn.LOGNORM.INV(RAND(),MV3,Sigma2),MIN(MaxMultiple,Xm/(1-RAND())^(1/Alpha)))))</f>
        <v>1.5169404248049683</v>
      </c>
      <c r="P334" s="19">
        <f ca="1">IF(RAND()&lt;P_Zero,0,IF(RAND()&lt;CondReturn,_xlfn.LOGNORM.INV(RAND(),MV2,Sigma1),IF(RAND()&lt;CondGood,_xlfn.LOGNORM.INV(RAND(),MV3,Sigma2),MIN(MaxMultiple,Xm/(1-RAND())^(1/Alpha)))))</f>
        <v>0</v>
      </c>
      <c r="Q334" s="19">
        <f ca="1">IF(RAND()&lt;P_Zero,0,IF(RAND()&lt;CondReturn,_xlfn.LOGNORM.INV(RAND(),MV2,Sigma1),IF(RAND()&lt;CondGood,_xlfn.LOGNORM.INV(RAND(),MV3,Sigma2),MIN(MaxMultiple,Xm/(1-RAND())^(1/Alpha)))))</f>
        <v>0.93988483633405528</v>
      </c>
      <c r="R334" s="19">
        <f ca="1">IF(RAND()&lt;P_Zero,0,IF(RAND()&lt;CondReturn,_xlfn.LOGNORM.INV(RAND(),MV2,Sigma1),IF(RAND()&lt;CondGood,_xlfn.LOGNORM.INV(RAND(),MV3,Sigma2),MIN(MaxMultiple,Xm/(1-RAND())^(1/Alpha)))))</f>
        <v>0</v>
      </c>
      <c r="S334" s="19">
        <f ca="1">IF(RAND()&lt;P_Zero,0,IF(RAND()&lt;CondReturn,_xlfn.LOGNORM.INV(RAND(),MV2,Sigma1),IF(RAND()&lt;CondGood,_xlfn.LOGNORM.INV(RAND(),MV3,Sigma2),MIN(MaxMultiple,Xm/(1-RAND())^(1/Alpha)))))</f>
        <v>0</v>
      </c>
      <c r="T334" s="19">
        <f ca="1">IF(RAND()&lt;P_Zero,0,IF(RAND()&lt;CondReturn,_xlfn.LOGNORM.INV(RAND(),MV2,Sigma1),IF(RAND()&lt;CondGood,_xlfn.LOGNORM.INV(RAND(),MV3,Sigma2),MIN(MaxMultiple,Xm/(1-RAND())^(1/Alpha)))))</f>
        <v>1.6028926573644604</v>
      </c>
      <c r="U334" s="19">
        <f ca="1">IF(RAND()&lt;P_Zero,0,IF(RAND()&lt;CondReturn,_xlfn.LOGNORM.INV(RAND(),MV2,Sigma1),IF(RAND()&lt;CondGood,_xlfn.LOGNORM.INV(RAND(),MV3,Sigma2),MIN(MaxMultiple,Xm/(1-RAND())^(1/Alpha)))))</f>
        <v>0</v>
      </c>
      <c r="V334" s="19">
        <f ca="1">IF(RAND()&lt;P_Zero,0,IF(RAND()&lt;CondReturn,_xlfn.LOGNORM.INV(RAND(),MV2,Sigma1),IF(RAND()&lt;CondGood,_xlfn.LOGNORM.INV(RAND(),MV3,Sigma2),MIN(MaxMultiple,Xm/(1-RAND())^(1/Alpha)))))</f>
        <v>58.529816787098504</v>
      </c>
      <c r="W334" s="19">
        <f ca="1">IF(RAND()&lt;P_Zero,0,IF(RAND()&lt;CondReturn,_xlfn.LOGNORM.INV(RAND(),MV2,Sigma1),IF(RAND()&lt;CondGood,_xlfn.LOGNORM.INV(RAND(),MV3,Sigma2),MIN(MaxMultiple,Xm/(1-RAND())^(1/Alpha)))))</f>
        <v>298.93451052313526</v>
      </c>
      <c r="X334" s="19">
        <f ca="1">IF(RAND()&lt;P_Zero,0,IF(RAND()&lt;CondReturn,_xlfn.LOGNORM.INV(RAND(),MV2,Sigma1),IF(RAND()&lt;CondGood,_xlfn.LOGNORM.INV(RAND(),MV3,Sigma2),MIN(MaxMultiple,Xm/(1-RAND())^(1/Alpha)))))</f>
        <v>0</v>
      </c>
      <c r="Y334" s="19">
        <f ca="1">IF(RAND()&lt;P_Zero,0,IF(RAND()&lt;CondReturn,_xlfn.LOGNORM.INV(RAND(),MV2,Sigma1),IF(RAND()&lt;CondGood,_xlfn.LOGNORM.INV(RAND(),MV3,Sigma2),MIN(MaxMultiple,Xm/(1-RAND())^(1/Alpha)))))</f>
        <v>0</v>
      </c>
      <c r="Z334" s="19">
        <f ca="1">IF(RAND()&lt;P_Zero,0,IF(RAND()&lt;CondReturn,_xlfn.LOGNORM.INV(RAND(),MV2,Sigma1),IF(RAND()&lt;CondGood,_xlfn.LOGNORM.INV(RAND(),MV3,Sigma2),MIN(MaxMultiple,Xm/(1-RAND())^(1/Alpha)))))</f>
        <v>1.7975848843417468</v>
      </c>
      <c r="AA334" s="19">
        <f ca="1">IF(RAND()&lt;P_Zero,0,IF(RAND()&lt;CondReturn,_xlfn.LOGNORM.INV(RAND(),MV2,Sigma1),IF(RAND()&lt;CondGood,_xlfn.LOGNORM.INV(RAND(),MV3,Sigma2),MIN(MaxMultiple,Xm/(1-RAND())^(1/Alpha)))))</f>
        <v>1.0019176427321033</v>
      </c>
      <c r="AB334" s="19">
        <f t="shared" ca="1" si="40"/>
        <v>15.73369722603432</v>
      </c>
      <c r="AC334" s="14">
        <f t="shared" ca="1" si="41"/>
        <v>755217466.84964728</v>
      </c>
      <c r="AD334" s="14">
        <f t="shared" ca="1" si="42"/>
        <v>707217466.84964728</v>
      </c>
      <c r="AE334" s="14">
        <f t="shared" si="43"/>
        <v>55628399.869093813</v>
      </c>
      <c r="AF334" s="14">
        <f t="shared" ca="1" si="44"/>
        <v>651589066.98055351</v>
      </c>
      <c r="AG334" s="14">
        <f t="shared" ca="1" si="45"/>
        <v>130317813.39611071</v>
      </c>
      <c r="AH334" s="14">
        <f t="shared" ca="1" si="46"/>
        <v>624899653.45353651</v>
      </c>
      <c r="AI334" s="19">
        <f t="shared" ca="1" si="47"/>
        <v>10.414994224225609</v>
      </c>
    </row>
    <row r="335" spans="2:35" x14ac:dyDescent="0.2">
      <c r="B335" s="1">
        <v>330</v>
      </c>
      <c r="C335" s="19">
        <f ca="1">IF(RAND()&lt;P_Zero,0,IF(RAND()&lt;CondReturn,_xlfn.LOGNORM.INV(RAND(),MV2,Sigma1),IF(RAND()&lt;CondGood,_xlfn.LOGNORM.INV(RAND(),MV3,Sigma2),MIN(MaxMultiple,Xm/(1-RAND())^(1/Alpha)))))</f>
        <v>0</v>
      </c>
      <c r="D335" s="19">
        <f ca="1">IF(RAND()&lt;P_Zero,0,IF(RAND()&lt;CondReturn,_xlfn.LOGNORM.INV(RAND(),MV2,Sigma1),IF(RAND()&lt;CondGood,_xlfn.LOGNORM.INV(RAND(),MV3,Sigma2),MIN(MaxMultiple,Xm/(1-RAND())^(1/Alpha)))))</f>
        <v>0</v>
      </c>
      <c r="E335" s="19">
        <f ca="1">IF(RAND()&lt;P_Zero,0,IF(RAND()&lt;CondReturn,_xlfn.LOGNORM.INV(RAND(),MV2,Sigma1),IF(RAND()&lt;CondGood,_xlfn.LOGNORM.INV(RAND(),MV3,Sigma2),MIN(MaxMultiple,Xm/(1-RAND())^(1/Alpha)))))</f>
        <v>0</v>
      </c>
      <c r="F335" s="19">
        <f ca="1">IF(RAND()&lt;P_Zero,0,IF(RAND()&lt;CondReturn,_xlfn.LOGNORM.INV(RAND(),MV2,Sigma1),IF(RAND()&lt;CondGood,_xlfn.LOGNORM.INV(RAND(),MV3,Sigma2),MIN(MaxMultiple,Xm/(1-RAND())^(1/Alpha)))))</f>
        <v>0</v>
      </c>
      <c r="G335" s="19">
        <f ca="1">IF(RAND()&lt;P_Zero,0,IF(RAND()&lt;CondReturn,_xlfn.LOGNORM.INV(RAND(),MV2,Sigma1),IF(RAND()&lt;CondGood,_xlfn.LOGNORM.INV(RAND(),MV3,Sigma2),MIN(MaxMultiple,Xm/(1-RAND())^(1/Alpha)))))</f>
        <v>21.294314157002535</v>
      </c>
      <c r="H335" s="19">
        <f ca="1">IF(RAND()&lt;P_Zero,0,IF(RAND()&lt;CondReturn,_xlfn.LOGNORM.INV(RAND(),MV2,Sigma1),IF(RAND()&lt;CondGood,_xlfn.LOGNORM.INV(RAND(),MV3,Sigma2),MIN(MaxMultiple,Xm/(1-RAND())^(1/Alpha)))))</f>
        <v>1.2618054405987187</v>
      </c>
      <c r="I335" s="19">
        <f ca="1">IF(RAND()&lt;P_Zero,0,IF(RAND()&lt;CondReturn,_xlfn.LOGNORM.INV(RAND(),MV2,Sigma1),IF(RAND()&lt;CondGood,_xlfn.LOGNORM.INV(RAND(),MV3,Sigma2),MIN(MaxMultiple,Xm/(1-RAND())^(1/Alpha)))))</f>
        <v>1.0620527767109371</v>
      </c>
      <c r="J335" s="19">
        <f ca="1">IF(RAND()&lt;P_Zero,0,IF(RAND()&lt;CondReturn,_xlfn.LOGNORM.INV(RAND(),MV2,Sigma1),IF(RAND()&lt;CondGood,_xlfn.LOGNORM.INV(RAND(),MV3,Sigma2),MIN(MaxMultiple,Xm/(1-RAND())^(1/Alpha)))))</f>
        <v>0.70951722979631504</v>
      </c>
      <c r="K335" s="19">
        <f ca="1">IF(RAND()&lt;P_Zero,0,IF(RAND()&lt;CondReturn,_xlfn.LOGNORM.INV(RAND(),MV2,Sigma1),IF(RAND()&lt;CondGood,_xlfn.LOGNORM.INV(RAND(),MV3,Sigma2),MIN(MaxMultiple,Xm/(1-RAND())^(1/Alpha)))))</f>
        <v>1.6790599302040334</v>
      </c>
      <c r="L335" s="19">
        <f ca="1">IF(RAND()&lt;P_Zero,0,IF(RAND()&lt;CondReturn,_xlfn.LOGNORM.INV(RAND(),MV2,Sigma1),IF(RAND()&lt;CondGood,_xlfn.LOGNORM.INV(RAND(),MV3,Sigma2),MIN(MaxMultiple,Xm/(1-RAND())^(1/Alpha)))))</f>
        <v>0.64762977730569504</v>
      </c>
      <c r="M335" s="19">
        <f ca="1">IF(RAND()&lt;P_Zero,0,IF(RAND()&lt;CondReturn,_xlfn.LOGNORM.INV(RAND(),MV2,Sigma1),IF(RAND()&lt;CondGood,_xlfn.LOGNORM.INV(RAND(),MV3,Sigma2),MIN(MaxMultiple,Xm/(1-RAND())^(1/Alpha)))))</f>
        <v>0.5319313078256418</v>
      </c>
      <c r="N335" s="19">
        <f ca="1">IF(RAND()&lt;P_Zero,0,IF(RAND()&lt;CondReturn,_xlfn.LOGNORM.INV(RAND(),MV2,Sigma1),IF(RAND()&lt;CondGood,_xlfn.LOGNORM.INV(RAND(),MV3,Sigma2),MIN(MaxMultiple,Xm/(1-RAND())^(1/Alpha)))))</f>
        <v>0</v>
      </c>
      <c r="O335" s="19">
        <f ca="1">IF(RAND()&lt;P_Zero,0,IF(RAND()&lt;CondReturn,_xlfn.LOGNORM.INV(RAND(),MV2,Sigma1),IF(RAND()&lt;CondGood,_xlfn.LOGNORM.INV(RAND(),MV3,Sigma2),MIN(MaxMultiple,Xm/(1-RAND())^(1/Alpha)))))</f>
        <v>0</v>
      </c>
      <c r="P335" s="19">
        <f ca="1">IF(RAND()&lt;P_Zero,0,IF(RAND()&lt;CondReturn,_xlfn.LOGNORM.INV(RAND(),MV2,Sigma1),IF(RAND()&lt;CondGood,_xlfn.LOGNORM.INV(RAND(),MV3,Sigma2),MIN(MaxMultiple,Xm/(1-RAND())^(1/Alpha)))))</f>
        <v>1.3660651360924116</v>
      </c>
      <c r="Q335" s="19">
        <f ca="1">IF(RAND()&lt;P_Zero,0,IF(RAND()&lt;CondReturn,_xlfn.LOGNORM.INV(RAND(),MV2,Sigma1),IF(RAND()&lt;CondGood,_xlfn.LOGNORM.INV(RAND(),MV3,Sigma2),MIN(MaxMultiple,Xm/(1-RAND())^(1/Alpha)))))</f>
        <v>0.64907373470182805</v>
      </c>
      <c r="R335" s="19">
        <f ca="1">IF(RAND()&lt;P_Zero,0,IF(RAND()&lt;CondReturn,_xlfn.LOGNORM.INV(RAND(),MV2,Sigma1),IF(RAND()&lt;CondGood,_xlfn.LOGNORM.INV(RAND(),MV3,Sigma2),MIN(MaxMultiple,Xm/(1-RAND())^(1/Alpha)))))</f>
        <v>0.48557580484288454</v>
      </c>
      <c r="S335" s="19">
        <f ca="1">IF(RAND()&lt;P_Zero,0,IF(RAND()&lt;CondReturn,_xlfn.LOGNORM.INV(RAND(),MV2,Sigma1),IF(RAND()&lt;CondGood,_xlfn.LOGNORM.INV(RAND(),MV3,Sigma2),MIN(MaxMultiple,Xm/(1-RAND())^(1/Alpha)))))</f>
        <v>0.92955185573400334</v>
      </c>
      <c r="T335" s="19">
        <f ca="1">IF(RAND()&lt;P_Zero,0,IF(RAND()&lt;CondReturn,_xlfn.LOGNORM.INV(RAND(),MV2,Sigma1),IF(RAND()&lt;CondGood,_xlfn.LOGNORM.INV(RAND(),MV3,Sigma2),MIN(MaxMultiple,Xm/(1-RAND())^(1/Alpha)))))</f>
        <v>14.687889078231469</v>
      </c>
      <c r="U335" s="19">
        <f ca="1">IF(RAND()&lt;P_Zero,0,IF(RAND()&lt;CondReturn,_xlfn.LOGNORM.INV(RAND(),MV2,Sigma1),IF(RAND()&lt;CondGood,_xlfn.LOGNORM.INV(RAND(),MV3,Sigma2),MIN(MaxMultiple,Xm/(1-RAND())^(1/Alpha)))))</f>
        <v>0.95903990554523433</v>
      </c>
      <c r="V335" s="19">
        <f ca="1">IF(RAND()&lt;P_Zero,0,IF(RAND()&lt;CondReturn,_xlfn.LOGNORM.INV(RAND(),MV2,Sigma1),IF(RAND()&lt;CondGood,_xlfn.LOGNORM.INV(RAND(),MV3,Sigma2),MIN(MaxMultiple,Xm/(1-RAND())^(1/Alpha)))))</f>
        <v>0.67505345551982354</v>
      </c>
      <c r="W335" s="19">
        <f ca="1">IF(RAND()&lt;P_Zero,0,IF(RAND()&lt;CondReturn,_xlfn.LOGNORM.INV(RAND(),MV2,Sigma1),IF(RAND()&lt;CondGood,_xlfn.LOGNORM.INV(RAND(),MV3,Sigma2),MIN(MaxMultiple,Xm/(1-RAND())^(1/Alpha)))))</f>
        <v>0.86309915970650009</v>
      </c>
      <c r="X335" s="19">
        <f ca="1">IF(RAND()&lt;P_Zero,0,IF(RAND()&lt;CondReturn,_xlfn.LOGNORM.INV(RAND(),MV2,Sigma1),IF(RAND()&lt;CondGood,_xlfn.LOGNORM.INV(RAND(),MV3,Sigma2),MIN(MaxMultiple,Xm/(1-RAND())^(1/Alpha)))))</f>
        <v>0</v>
      </c>
      <c r="Y335" s="19">
        <f ca="1">IF(RAND()&lt;P_Zero,0,IF(RAND()&lt;CondReturn,_xlfn.LOGNORM.INV(RAND(),MV2,Sigma1),IF(RAND()&lt;CondGood,_xlfn.LOGNORM.INV(RAND(),MV3,Sigma2),MIN(MaxMultiple,Xm/(1-RAND())^(1/Alpha)))))</f>
        <v>0</v>
      </c>
      <c r="Z335" s="19">
        <f ca="1">IF(RAND()&lt;P_Zero,0,IF(RAND()&lt;CondReturn,_xlfn.LOGNORM.INV(RAND(),MV2,Sigma1),IF(RAND()&lt;CondGood,_xlfn.LOGNORM.INV(RAND(),MV3,Sigma2),MIN(MaxMultiple,Xm/(1-RAND())^(1/Alpha)))))</f>
        <v>1.5263248193919647</v>
      </c>
      <c r="AA335" s="19">
        <f ca="1">IF(RAND()&lt;P_Zero,0,IF(RAND()&lt;CondReturn,_xlfn.LOGNORM.INV(RAND(),MV2,Sigma1),IF(RAND()&lt;CondGood,_xlfn.LOGNORM.INV(RAND(),MV3,Sigma2),MIN(MaxMultiple,Xm/(1-RAND())^(1/Alpha)))))</f>
        <v>1.3549673231713559</v>
      </c>
      <c r="AB335" s="19">
        <f t="shared" ca="1" si="40"/>
        <v>2.027318035695254</v>
      </c>
      <c r="AC335" s="14">
        <f t="shared" ca="1" si="41"/>
        <v>97311265.713372201</v>
      </c>
      <c r="AD335" s="14">
        <f t="shared" ca="1" si="42"/>
        <v>49311265.713372201</v>
      </c>
      <c r="AE335" s="14">
        <f t="shared" si="43"/>
        <v>55628399.869093813</v>
      </c>
      <c r="AF335" s="14">
        <f t="shared" ca="1" si="44"/>
        <v>0</v>
      </c>
      <c r="AG335" s="14">
        <f t="shared" ca="1" si="45"/>
        <v>0</v>
      </c>
      <c r="AH335" s="14">
        <f t="shared" ca="1" si="46"/>
        <v>97311265.713372201</v>
      </c>
      <c r="AI335" s="19">
        <f t="shared" ca="1" si="47"/>
        <v>1.6218544285562033</v>
      </c>
    </row>
    <row r="336" spans="2:35" x14ac:dyDescent="0.2">
      <c r="B336" s="1">
        <v>331</v>
      </c>
      <c r="C336" s="19">
        <f ca="1">IF(RAND()&lt;P_Zero,0,IF(RAND()&lt;CondReturn,_xlfn.LOGNORM.INV(RAND(),MV2,Sigma1),IF(RAND()&lt;CondGood,_xlfn.LOGNORM.INV(RAND(),MV3,Sigma2),MIN(MaxMultiple,Xm/(1-RAND())^(1/Alpha)))))</f>
        <v>1.6531084696166862</v>
      </c>
      <c r="D336" s="19">
        <f ca="1">IF(RAND()&lt;P_Zero,0,IF(RAND()&lt;CondReturn,_xlfn.LOGNORM.INV(RAND(),MV2,Sigma1),IF(RAND()&lt;CondGood,_xlfn.LOGNORM.INV(RAND(),MV3,Sigma2),MIN(MaxMultiple,Xm/(1-RAND())^(1/Alpha)))))</f>
        <v>0</v>
      </c>
      <c r="E336" s="19">
        <f ca="1">IF(RAND()&lt;P_Zero,0,IF(RAND()&lt;CondReturn,_xlfn.LOGNORM.INV(RAND(),MV2,Sigma1),IF(RAND()&lt;CondGood,_xlfn.LOGNORM.INV(RAND(),MV3,Sigma2),MIN(MaxMultiple,Xm/(1-RAND())^(1/Alpha)))))</f>
        <v>0</v>
      </c>
      <c r="F336" s="19">
        <f ca="1">IF(RAND()&lt;P_Zero,0,IF(RAND()&lt;CondReturn,_xlfn.LOGNORM.INV(RAND(),MV2,Sigma1),IF(RAND()&lt;CondGood,_xlfn.LOGNORM.INV(RAND(),MV3,Sigma2),MIN(MaxMultiple,Xm/(1-RAND())^(1/Alpha)))))</f>
        <v>0</v>
      </c>
      <c r="G336" s="19">
        <f ca="1">IF(RAND()&lt;P_Zero,0,IF(RAND()&lt;CondReturn,_xlfn.LOGNORM.INV(RAND(),MV2,Sigma1),IF(RAND()&lt;CondGood,_xlfn.LOGNORM.INV(RAND(),MV3,Sigma2),MIN(MaxMultiple,Xm/(1-RAND())^(1/Alpha)))))</f>
        <v>0.62181458924932054</v>
      </c>
      <c r="H336" s="19">
        <f ca="1">IF(RAND()&lt;P_Zero,0,IF(RAND()&lt;CondReturn,_xlfn.LOGNORM.INV(RAND(),MV2,Sigma1),IF(RAND()&lt;CondGood,_xlfn.LOGNORM.INV(RAND(),MV3,Sigma2),MIN(MaxMultiple,Xm/(1-RAND())^(1/Alpha)))))</f>
        <v>1.0654806162798196</v>
      </c>
      <c r="I336" s="19">
        <f ca="1">IF(RAND()&lt;P_Zero,0,IF(RAND()&lt;CondReturn,_xlfn.LOGNORM.INV(RAND(),MV2,Sigma1),IF(RAND()&lt;CondGood,_xlfn.LOGNORM.INV(RAND(),MV3,Sigma2),MIN(MaxMultiple,Xm/(1-RAND())^(1/Alpha)))))</f>
        <v>0</v>
      </c>
      <c r="J336" s="19">
        <f ca="1">IF(RAND()&lt;P_Zero,0,IF(RAND()&lt;CondReturn,_xlfn.LOGNORM.INV(RAND(),MV2,Sigma1),IF(RAND()&lt;CondGood,_xlfn.LOGNORM.INV(RAND(),MV3,Sigma2),MIN(MaxMultiple,Xm/(1-RAND())^(1/Alpha)))))</f>
        <v>0.47493230876651016</v>
      </c>
      <c r="K336" s="19">
        <f ca="1">IF(RAND()&lt;P_Zero,0,IF(RAND()&lt;CondReturn,_xlfn.LOGNORM.INV(RAND(),MV2,Sigma1),IF(RAND()&lt;CondGood,_xlfn.LOGNORM.INV(RAND(),MV3,Sigma2),MIN(MaxMultiple,Xm/(1-RAND())^(1/Alpha)))))</f>
        <v>0</v>
      </c>
      <c r="L336" s="19">
        <f ca="1">IF(RAND()&lt;P_Zero,0,IF(RAND()&lt;CondReturn,_xlfn.LOGNORM.INV(RAND(),MV2,Sigma1),IF(RAND()&lt;CondGood,_xlfn.LOGNORM.INV(RAND(),MV3,Sigma2),MIN(MaxMultiple,Xm/(1-RAND())^(1/Alpha)))))</f>
        <v>1.2808955797509467</v>
      </c>
      <c r="M336" s="19">
        <f ca="1">IF(RAND()&lt;P_Zero,0,IF(RAND()&lt;CondReturn,_xlfn.LOGNORM.INV(RAND(),MV2,Sigma1),IF(RAND()&lt;CondGood,_xlfn.LOGNORM.INV(RAND(),MV3,Sigma2),MIN(MaxMultiple,Xm/(1-RAND())^(1/Alpha)))))</f>
        <v>1.6677516333311069</v>
      </c>
      <c r="N336" s="19">
        <f ca="1">IF(RAND()&lt;P_Zero,0,IF(RAND()&lt;CondReturn,_xlfn.LOGNORM.INV(RAND(),MV2,Sigma1),IF(RAND()&lt;CondGood,_xlfn.LOGNORM.INV(RAND(),MV3,Sigma2),MIN(MaxMultiple,Xm/(1-RAND())^(1/Alpha)))))</f>
        <v>0</v>
      </c>
      <c r="O336" s="19">
        <f ca="1">IF(RAND()&lt;P_Zero,0,IF(RAND()&lt;CondReturn,_xlfn.LOGNORM.INV(RAND(),MV2,Sigma1),IF(RAND()&lt;CondGood,_xlfn.LOGNORM.INV(RAND(),MV3,Sigma2),MIN(MaxMultiple,Xm/(1-RAND())^(1/Alpha)))))</f>
        <v>0.81859692805011286</v>
      </c>
      <c r="P336" s="19">
        <f ca="1">IF(RAND()&lt;P_Zero,0,IF(RAND()&lt;CondReturn,_xlfn.LOGNORM.INV(RAND(),MV2,Sigma1),IF(RAND()&lt;CondGood,_xlfn.LOGNORM.INV(RAND(),MV3,Sigma2),MIN(MaxMultiple,Xm/(1-RAND())^(1/Alpha)))))</f>
        <v>0</v>
      </c>
      <c r="Q336" s="19">
        <f ca="1">IF(RAND()&lt;P_Zero,0,IF(RAND()&lt;CondReturn,_xlfn.LOGNORM.INV(RAND(),MV2,Sigma1),IF(RAND()&lt;CondGood,_xlfn.LOGNORM.INV(RAND(),MV3,Sigma2),MIN(MaxMultiple,Xm/(1-RAND())^(1/Alpha)))))</f>
        <v>0</v>
      </c>
      <c r="R336" s="19">
        <f ca="1">IF(RAND()&lt;P_Zero,0,IF(RAND()&lt;CondReturn,_xlfn.LOGNORM.INV(RAND(),MV2,Sigma1),IF(RAND()&lt;CondGood,_xlfn.LOGNORM.INV(RAND(),MV3,Sigma2),MIN(MaxMultiple,Xm/(1-RAND())^(1/Alpha)))))</f>
        <v>19.288055639801208</v>
      </c>
      <c r="S336" s="19">
        <f ca="1">IF(RAND()&lt;P_Zero,0,IF(RAND()&lt;CondReturn,_xlfn.LOGNORM.INV(RAND(),MV2,Sigma1),IF(RAND()&lt;CondGood,_xlfn.LOGNORM.INV(RAND(),MV3,Sigma2),MIN(MaxMultiple,Xm/(1-RAND())^(1/Alpha)))))</f>
        <v>1.0411475447244409</v>
      </c>
      <c r="T336" s="19">
        <f ca="1">IF(RAND()&lt;P_Zero,0,IF(RAND()&lt;CondReturn,_xlfn.LOGNORM.INV(RAND(),MV2,Sigma1),IF(RAND()&lt;CondGood,_xlfn.LOGNORM.INV(RAND(),MV3,Sigma2),MIN(MaxMultiple,Xm/(1-RAND())^(1/Alpha)))))</f>
        <v>0</v>
      </c>
      <c r="U336" s="19">
        <f ca="1">IF(RAND()&lt;P_Zero,0,IF(RAND()&lt;CondReturn,_xlfn.LOGNORM.INV(RAND(),MV2,Sigma1),IF(RAND()&lt;CondGood,_xlfn.LOGNORM.INV(RAND(),MV3,Sigma2),MIN(MaxMultiple,Xm/(1-RAND())^(1/Alpha)))))</f>
        <v>1.6652685850360571</v>
      </c>
      <c r="V336" s="19">
        <f ca="1">IF(RAND()&lt;P_Zero,0,IF(RAND()&lt;CondReturn,_xlfn.LOGNORM.INV(RAND(),MV2,Sigma1),IF(RAND()&lt;CondGood,_xlfn.LOGNORM.INV(RAND(),MV3,Sigma2),MIN(MaxMultiple,Xm/(1-RAND())^(1/Alpha)))))</f>
        <v>1.2642067962233856</v>
      </c>
      <c r="W336" s="19">
        <f ca="1">IF(RAND()&lt;P_Zero,0,IF(RAND()&lt;CondReturn,_xlfn.LOGNORM.INV(RAND(),MV2,Sigma1),IF(RAND()&lt;CondGood,_xlfn.LOGNORM.INV(RAND(),MV3,Sigma2),MIN(MaxMultiple,Xm/(1-RAND())^(1/Alpha)))))</f>
        <v>0</v>
      </c>
      <c r="X336" s="19">
        <f ca="1">IF(RAND()&lt;P_Zero,0,IF(RAND()&lt;CondReturn,_xlfn.LOGNORM.INV(RAND(),MV2,Sigma1),IF(RAND()&lt;CondGood,_xlfn.LOGNORM.INV(RAND(),MV3,Sigma2),MIN(MaxMultiple,Xm/(1-RAND())^(1/Alpha)))))</f>
        <v>1.8546575200125037</v>
      </c>
      <c r="Y336" s="19">
        <f ca="1">IF(RAND()&lt;P_Zero,0,IF(RAND()&lt;CondReturn,_xlfn.LOGNORM.INV(RAND(),MV2,Sigma1),IF(RAND()&lt;CondGood,_xlfn.LOGNORM.INV(RAND(),MV3,Sigma2),MIN(MaxMultiple,Xm/(1-RAND())^(1/Alpha)))))</f>
        <v>0</v>
      </c>
      <c r="Z336" s="19">
        <f ca="1">IF(RAND()&lt;P_Zero,0,IF(RAND()&lt;CondReturn,_xlfn.LOGNORM.INV(RAND(),MV2,Sigma1),IF(RAND()&lt;CondGood,_xlfn.LOGNORM.INV(RAND(),MV3,Sigma2),MIN(MaxMultiple,Xm/(1-RAND())^(1/Alpha)))))</f>
        <v>2.1845499165710174</v>
      </c>
      <c r="AA336" s="19">
        <f ca="1">IF(RAND()&lt;P_Zero,0,IF(RAND()&lt;CondReturn,_xlfn.LOGNORM.INV(RAND(),MV2,Sigma1),IF(RAND()&lt;CondGood,_xlfn.LOGNORM.INV(RAND(),MV3,Sigma2),MIN(MaxMultiple,Xm/(1-RAND())^(1/Alpha)))))</f>
        <v>0.8889712665185483</v>
      </c>
      <c r="AB336" s="19">
        <f t="shared" ca="1" si="40"/>
        <v>1.4307774957572661</v>
      </c>
      <c r="AC336" s="14">
        <f t="shared" ca="1" si="41"/>
        <v>68677319.796348765</v>
      </c>
      <c r="AD336" s="14">
        <f t="shared" ca="1" si="42"/>
        <v>20677319.796348765</v>
      </c>
      <c r="AE336" s="14">
        <f t="shared" si="43"/>
        <v>55628399.869093813</v>
      </c>
      <c r="AF336" s="14">
        <f t="shared" ca="1" si="44"/>
        <v>0</v>
      </c>
      <c r="AG336" s="14">
        <f t="shared" ca="1" si="45"/>
        <v>0</v>
      </c>
      <c r="AH336" s="14">
        <f t="shared" ca="1" si="46"/>
        <v>68677319.796348765</v>
      </c>
      <c r="AI336" s="19">
        <f t="shared" ca="1" si="47"/>
        <v>1.1446219966058127</v>
      </c>
    </row>
    <row r="337" spans="2:35" x14ac:dyDescent="0.2">
      <c r="B337" s="1">
        <v>332</v>
      </c>
      <c r="C337" s="19">
        <f ca="1">IF(RAND()&lt;P_Zero,0,IF(RAND()&lt;CondReturn,_xlfn.LOGNORM.INV(RAND(),MV2,Sigma1),IF(RAND()&lt;CondGood,_xlfn.LOGNORM.INV(RAND(),MV3,Sigma2),MIN(MaxMultiple,Xm/(1-RAND())^(1/Alpha)))))</f>
        <v>0</v>
      </c>
      <c r="D337" s="19">
        <f ca="1">IF(RAND()&lt;P_Zero,0,IF(RAND()&lt;CondReturn,_xlfn.LOGNORM.INV(RAND(),MV2,Sigma1),IF(RAND()&lt;CondGood,_xlfn.LOGNORM.INV(RAND(),MV3,Sigma2),MIN(MaxMultiple,Xm/(1-RAND())^(1/Alpha)))))</f>
        <v>0</v>
      </c>
      <c r="E337" s="19">
        <f ca="1">IF(RAND()&lt;P_Zero,0,IF(RAND()&lt;CondReturn,_xlfn.LOGNORM.INV(RAND(),MV2,Sigma1),IF(RAND()&lt;CondGood,_xlfn.LOGNORM.INV(RAND(),MV3,Sigma2),MIN(MaxMultiple,Xm/(1-RAND())^(1/Alpha)))))</f>
        <v>0.41625262765751225</v>
      </c>
      <c r="F337" s="19">
        <f ca="1">IF(RAND()&lt;P_Zero,0,IF(RAND()&lt;CondReturn,_xlfn.LOGNORM.INV(RAND(),MV2,Sigma1),IF(RAND()&lt;CondGood,_xlfn.LOGNORM.INV(RAND(),MV3,Sigma2),MIN(MaxMultiple,Xm/(1-RAND())^(1/Alpha)))))</f>
        <v>0</v>
      </c>
      <c r="G337" s="19">
        <f ca="1">IF(RAND()&lt;P_Zero,0,IF(RAND()&lt;CondReturn,_xlfn.LOGNORM.INV(RAND(),MV2,Sigma1),IF(RAND()&lt;CondGood,_xlfn.LOGNORM.INV(RAND(),MV3,Sigma2),MIN(MaxMultiple,Xm/(1-RAND())^(1/Alpha)))))</f>
        <v>14.275618524563322</v>
      </c>
      <c r="H337" s="19">
        <f ca="1">IF(RAND()&lt;P_Zero,0,IF(RAND()&lt;CondReturn,_xlfn.LOGNORM.INV(RAND(),MV2,Sigma1),IF(RAND()&lt;CondGood,_xlfn.LOGNORM.INV(RAND(),MV3,Sigma2),MIN(MaxMultiple,Xm/(1-RAND())^(1/Alpha)))))</f>
        <v>0</v>
      </c>
      <c r="I337" s="19">
        <f ca="1">IF(RAND()&lt;P_Zero,0,IF(RAND()&lt;CondReturn,_xlfn.LOGNORM.INV(RAND(),MV2,Sigma1),IF(RAND()&lt;CondGood,_xlfn.LOGNORM.INV(RAND(),MV3,Sigma2),MIN(MaxMultiple,Xm/(1-RAND())^(1/Alpha)))))</f>
        <v>1.2992873246304377</v>
      </c>
      <c r="J337" s="19">
        <f ca="1">IF(RAND()&lt;P_Zero,0,IF(RAND()&lt;CondReturn,_xlfn.LOGNORM.INV(RAND(),MV2,Sigma1),IF(RAND()&lt;CondGood,_xlfn.LOGNORM.INV(RAND(),MV3,Sigma2),MIN(MaxMultiple,Xm/(1-RAND())^(1/Alpha)))))</f>
        <v>0</v>
      </c>
      <c r="K337" s="19">
        <f ca="1">IF(RAND()&lt;P_Zero,0,IF(RAND()&lt;CondReturn,_xlfn.LOGNORM.INV(RAND(),MV2,Sigma1),IF(RAND()&lt;CondGood,_xlfn.LOGNORM.INV(RAND(),MV3,Sigma2),MIN(MaxMultiple,Xm/(1-RAND())^(1/Alpha)))))</f>
        <v>28.82431536680642</v>
      </c>
      <c r="L337" s="19">
        <f ca="1">IF(RAND()&lt;P_Zero,0,IF(RAND()&lt;CondReturn,_xlfn.LOGNORM.INV(RAND(),MV2,Sigma1),IF(RAND()&lt;CondGood,_xlfn.LOGNORM.INV(RAND(),MV3,Sigma2),MIN(MaxMultiple,Xm/(1-RAND())^(1/Alpha)))))</f>
        <v>1.1321961174106618</v>
      </c>
      <c r="M337" s="19">
        <f ca="1">IF(RAND()&lt;P_Zero,0,IF(RAND()&lt;CondReturn,_xlfn.LOGNORM.INV(RAND(),MV2,Sigma1),IF(RAND()&lt;CondGood,_xlfn.LOGNORM.INV(RAND(),MV3,Sigma2),MIN(MaxMultiple,Xm/(1-RAND())^(1/Alpha)))))</f>
        <v>0.65993744988933456</v>
      </c>
      <c r="N337" s="19">
        <f ca="1">IF(RAND()&lt;P_Zero,0,IF(RAND()&lt;CondReturn,_xlfn.LOGNORM.INV(RAND(),MV2,Sigma1),IF(RAND()&lt;CondGood,_xlfn.LOGNORM.INV(RAND(),MV3,Sigma2),MIN(MaxMultiple,Xm/(1-RAND())^(1/Alpha)))))</f>
        <v>0</v>
      </c>
      <c r="O337" s="19">
        <f ca="1">IF(RAND()&lt;P_Zero,0,IF(RAND()&lt;CondReturn,_xlfn.LOGNORM.INV(RAND(),MV2,Sigma1),IF(RAND()&lt;CondGood,_xlfn.LOGNORM.INV(RAND(),MV3,Sigma2),MIN(MaxMultiple,Xm/(1-RAND())^(1/Alpha)))))</f>
        <v>1.5256021641255404</v>
      </c>
      <c r="P337" s="19">
        <f ca="1">IF(RAND()&lt;P_Zero,0,IF(RAND()&lt;CondReturn,_xlfn.LOGNORM.INV(RAND(),MV2,Sigma1),IF(RAND()&lt;CondGood,_xlfn.LOGNORM.INV(RAND(),MV3,Sigma2),MIN(MaxMultiple,Xm/(1-RAND())^(1/Alpha)))))</f>
        <v>0</v>
      </c>
      <c r="Q337" s="19">
        <f ca="1">IF(RAND()&lt;P_Zero,0,IF(RAND()&lt;CondReturn,_xlfn.LOGNORM.INV(RAND(),MV2,Sigma1),IF(RAND()&lt;CondGood,_xlfn.LOGNORM.INV(RAND(),MV3,Sigma2),MIN(MaxMultiple,Xm/(1-RAND())^(1/Alpha)))))</f>
        <v>0</v>
      </c>
      <c r="R337" s="19">
        <f ca="1">IF(RAND()&lt;P_Zero,0,IF(RAND()&lt;CondReturn,_xlfn.LOGNORM.INV(RAND(),MV2,Sigma1),IF(RAND()&lt;CondGood,_xlfn.LOGNORM.INV(RAND(),MV3,Sigma2),MIN(MaxMultiple,Xm/(1-RAND())^(1/Alpha)))))</f>
        <v>0.64224297988698986</v>
      </c>
      <c r="S337" s="19">
        <f ca="1">IF(RAND()&lt;P_Zero,0,IF(RAND()&lt;CondReturn,_xlfn.LOGNORM.INV(RAND(),MV2,Sigma1),IF(RAND()&lt;CondGood,_xlfn.LOGNORM.INV(RAND(),MV3,Sigma2),MIN(MaxMultiple,Xm/(1-RAND())^(1/Alpha)))))</f>
        <v>0.48028792024788974</v>
      </c>
      <c r="T337" s="19">
        <f ca="1">IF(RAND()&lt;P_Zero,0,IF(RAND()&lt;CondReturn,_xlfn.LOGNORM.INV(RAND(),MV2,Sigma1),IF(RAND()&lt;CondGood,_xlfn.LOGNORM.INV(RAND(),MV3,Sigma2),MIN(MaxMultiple,Xm/(1-RAND())^(1/Alpha)))))</f>
        <v>0.56943500689153792</v>
      </c>
      <c r="U337" s="19">
        <f ca="1">IF(RAND()&lt;P_Zero,0,IF(RAND()&lt;CondReturn,_xlfn.LOGNORM.INV(RAND(),MV2,Sigma1),IF(RAND()&lt;CondGood,_xlfn.LOGNORM.INV(RAND(),MV3,Sigma2),MIN(MaxMultiple,Xm/(1-RAND())^(1/Alpha)))))</f>
        <v>0</v>
      </c>
      <c r="V337" s="19">
        <f ca="1">IF(RAND()&lt;P_Zero,0,IF(RAND()&lt;CondReturn,_xlfn.LOGNORM.INV(RAND(),MV2,Sigma1),IF(RAND()&lt;CondGood,_xlfn.LOGNORM.INV(RAND(),MV3,Sigma2),MIN(MaxMultiple,Xm/(1-RAND())^(1/Alpha)))))</f>
        <v>1.2268297467385776</v>
      </c>
      <c r="W337" s="19">
        <f ca="1">IF(RAND()&lt;P_Zero,0,IF(RAND()&lt;CondReturn,_xlfn.LOGNORM.INV(RAND(),MV2,Sigma1),IF(RAND()&lt;CondGood,_xlfn.LOGNORM.INV(RAND(),MV3,Sigma2),MIN(MaxMultiple,Xm/(1-RAND())^(1/Alpha)))))</f>
        <v>0.62895524211575804</v>
      </c>
      <c r="X337" s="19">
        <f ca="1">IF(RAND()&lt;P_Zero,0,IF(RAND()&lt;CondReturn,_xlfn.LOGNORM.INV(RAND(),MV2,Sigma1),IF(RAND()&lt;CondGood,_xlfn.LOGNORM.INV(RAND(),MV3,Sigma2),MIN(MaxMultiple,Xm/(1-RAND())^(1/Alpha)))))</f>
        <v>1.0728701280883055</v>
      </c>
      <c r="Y337" s="19">
        <f ca="1">IF(RAND()&lt;P_Zero,0,IF(RAND()&lt;CondReturn,_xlfn.LOGNORM.INV(RAND(),MV2,Sigma1),IF(RAND()&lt;CondGood,_xlfn.LOGNORM.INV(RAND(),MV3,Sigma2),MIN(MaxMultiple,Xm/(1-RAND())^(1/Alpha)))))</f>
        <v>1.045372952051457</v>
      </c>
      <c r="Z337" s="19">
        <f ca="1">IF(RAND()&lt;P_Zero,0,IF(RAND()&lt;CondReturn,_xlfn.LOGNORM.INV(RAND(),MV2,Sigma1),IF(RAND()&lt;CondGood,_xlfn.LOGNORM.INV(RAND(),MV3,Sigma2),MIN(MaxMultiple,Xm/(1-RAND())^(1/Alpha)))))</f>
        <v>1.0930124180742899</v>
      </c>
      <c r="AA337" s="19">
        <f ca="1">IF(RAND()&lt;P_Zero,0,IF(RAND()&lt;CondReturn,_xlfn.LOGNORM.INV(RAND(),MV2,Sigma1),IF(RAND()&lt;CondGood,_xlfn.LOGNORM.INV(RAND(),MV3,Sigma2),MIN(MaxMultiple,Xm/(1-RAND())^(1/Alpha)))))</f>
        <v>1.128384793557123</v>
      </c>
      <c r="AB337" s="19">
        <f t="shared" ca="1" si="40"/>
        <v>2.2408240305094065</v>
      </c>
      <c r="AC337" s="14">
        <f t="shared" ca="1" si="41"/>
        <v>107559553.46445151</v>
      </c>
      <c r="AD337" s="14">
        <f t="shared" ca="1" si="42"/>
        <v>59559553.464451507</v>
      </c>
      <c r="AE337" s="14">
        <f t="shared" si="43"/>
        <v>55628399.869093813</v>
      </c>
      <c r="AF337" s="14">
        <f t="shared" ca="1" si="44"/>
        <v>3931153.5953576937</v>
      </c>
      <c r="AG337" s="14">
        <f t="shared" ca="1" si="45"/>
        <v>786230.71907153877</v>
      </c>
      <c r="AH337" s="14">
        <f t="shared" ca="1" si="46"/>
        <v>106773322.74537997</v>
      </c>
      <c r="AI337" s="19">
        <f t="shared" ca="1" si="47"/>
        <v>1.7795553790896661</v>
      </c>
    </row>
    <row r="338" spans="2:35" x14ac:dyDescent="0.2">
      <c r="B338" s="1">
        <v>333</v>
      </c>
      <c r="C338" s="19">
        <f ca="1">IF(RAND()&lt;P_Zero,0,IF(RAND()&lt;CondReturn,_xlfn.LOGNORM.INV(RAND(),MV2,Sigma1),IF(RAND()&lt;CondGood,_xlfn.LOGNORM.INV(RAND(),MV3,Sigma2),MIN(MaxMultiple,Xm/(1-RAND())^(1/Alpha)))))</f>
        <v>2.9186222255677934</v>
      </c>
      <c r="D338" s="19">
        <f ca="1">IF(RAND()&lt;P_Zero,0,IF(RAND()&lt;CondReturn,_xlfn.LOGNORM.INV(RAND(),MV2,Sigma1),IF(RAND()&lt;CondGood,_xlfn.LOGNORM.INV(RAND(),MV3,Sigma2),MIN(MaxMultiple,Xm/(1-RAND())^(1/Alpha)))))</f>
        <v>0.75253154257215182</v>
      </c>
      <c r="E338" s="19">
        <f ca="1">IF(RAND()&lt;P_Zero,0,IF(RAND()&lt;CondReturn,_xlfn.LOGNORM.INV(RAND(),MV2,Sigma1),IF(RAND()&lt;CondGood,_xlfn.LOGNORM.INV(RAND(),MV3,Sigma2),MIN(MaxMultiple,Xm/(1-RAND())^(1/Alpha)))))</f>
        <v>61.500731364113008</v>
      </c>
      <c r="F338" s="19">
        <f ca="1">IF(RAND()&lt;P_Zero,0,IF(RAND()&lt;CondReturn,_xlfn.LOGNORM.INV(RAND(),MV2,Sigma1),IF(RAND()&lt;CondGood,_xlfn.LOGNORM.INV(RAND(),MV3,Sigma2),MIN(MaxMultiple,Xm/(1-RAND())^(1/Alpha)))))</f>
        <v>11.682414175441084</v>
      </c>
      <c r="G338" s="19">
        <f ca="1">IF(RAND()&lt;P_Zero,0,IF(RAND()&lt;CondReturn,_xlfn.LOGNORM.INV(RAND(),MV2,Sigma1),IF(RAND()&lt;CondGood,_xlfn.LOGNORM.INV(RAND(),MV3,Sigma2),MIN(MaxMultiple,Xm/(1-RAND())^(1/Alpha)))))</f>
        <v>0</v>
      </c>
      <c r="H338" s="19">
        <f ca="1">IF(RAND()&lt;P_Zero,0,IF(RAND()&lt;CondReturn,_xlfn.LOGNORM.INV(RAND(),MV2,Sigma1),IF(RAND()&lt;CondGood,_xlfn.LOGNORM.INV(RAND(),MV3,Sigma2),MIN(MaxMultiple,Xm/(1-RAND())^(1/Alpha)))))</f>
        <v>0.40991841030892723</v>
      </c>
      <c r="I338" s="19">
        <f ca="1">IF(RAND()&lt;P_Zero,0,IF(RAND()&lt;CondReturn,_xlfn.LOGNORM.INV(RAND(),MV2,Sigma1),IF(RAND()&lt;CondGood,_xlfn.LOGNORM.INV(RAND(),MV3,Sigma2),MIN(MaxMultiple,Xm/(1-RAND())^(1/Alpha)))))</f>
        <v>0.70038840312853656</v>
      </c>
      <c r="J338" s="19">
        <f ca="1">IF(RAND()&lt;P_Zero,0,IF(RAND()&lt;CondReturn,_xlfn.LOGNORM.INV(RAND(),MV2,Sigma1),IF(RAND()&lt;CondGood,_xlfn.LOGNORM.INV(RAND(),MV3,Sigma2),MIN(MaxMultiple,Xm/(1-RAND())^(1/Alpha)))))</f>
        <v>0</v>
      </c>
      <c r="K338" s="19">
        <f ca="1">IF(RAND()&lt;P_Zero,0,IF(RAND()&lt;CondReturn,_xlfn.LOGNORM.INV(RAND(),MV2,Sigma1),IF(RAND()&lt;CondGood,_xlfn.LOGNORM.INV(RAND(),MV3,Sigma2),MIN(MaxMultiple,Xm/(1-RAND())^(1/Alpha)))))</f>
        <v>0.62183810154389052</v>
      </c>
      <c r="L338" s="19">
        <f ca="1">IF(RAND()&lt;P_Zero,0,IF(RAND()&lt;CondReturn,_xlfn.LOGNORM.INV(RAND(),MV2,Sigma1),IF(RAND()&lt;CondGood,_xlfn.LOGNORM.INV(RAND(),MV3,Sigma2),MIN(MaxMultiple,Xm/(1-RAND())^(1/Alpha)))))</f>
        <v>1.0807143016647405</v>
      </c>
      <c r="M338" s="19">
        <f ca="1">IF(RAND()&lt;P_Zero,0,IF(RAND()&lt;CondReturn,_xlfn.LOGNORM.INV(RAND(),MV2,Sigma1),IF(RAND()&lt;CondGood,_xlfn.LOGNORM.INV(RAND(),MV3,Sigma2),MIN(MaxMultiple,Xm/(1-RAND())^(1/Alpha)))))</f>
        <v>0.68189378397795131</v>
      </c>
      <c r="N338" s="19">
        <f ca="1">IF(RAND()&lt;P_Zero,0,IF(RAND()&lt;CondReturn,_xlfn.LOGNORM.INV(RAND(),MV2,Sigma1),IF(RAND()&lt;CondGood,_xlfn.LOGNORM.INV(RAND(),MV3,Sigma2),MIN(MaxMultiple,Xm/(1-RAND())^(1/Alpha)))))</f>
        <v>0</v>
      </c>
      <c r="O338" s="19">
        <f ca="1">IF(RAND()&lt;P_Zero,0,IF(RAND()&lt;CondReturn,_xlfn.LOGNORM.INV(RAND(),MV2,Sigma1),IF(RAND()&lt;CondGood,_xlfn.LOGNORM.INV(RAND(),MV3,Sigma2),MIN(MaxMultiple,Xm/(1-RAND())^(1/Alpha)))))</f>
        <v>0.28515472994769009</v>
      </c>
      <c r="P338" s="19">
        <f ca="1">IF(RAND()&lt;P_Zero,0,IF(RAND()&lt;CondReturn,_xlfn.LOGNORM.INV(RAND(),MV2,Sigma1),IF(RAND()&lt;CondGood,_xlfn.LOGNORM.INV(RAND(),MV3,Sigma2),MIN(MaxMultiple,Xm/(1-RAND())^(1/Alpha)))))</f>
        <v>0.52973084658742275</v>
      </c>
      <c r="Q338" s="19">
        <f ca="1">IF(RAND()&lt;P_Zero,0,IF(RAND()&lt;CondReturn,_xlfn.LOGNORM.INV(RAND(),MV2,Sigma1),IF(RAND()&lt;CondGood,_xlfn.LOGNORM.INV(RAND(),MV3,Sigma2),MIN(MaxMultiple,Xm/(1-RAND())^(1/Alpha)))))</f>
        <v>0</v>
      </c>
      <c r="R338" s="19">
        <f ca="1">IF(RAND()&lt;P_Zero,0,IF(RAND()&lt;CondReturn,_xlfn.LOGNORM.INV(RAND(),MV2,Sigma1),IF(RAND()&lt;CondGood,_xlfn.LOGNORM.INV(RAND(),MV3,Sigma2),MIN(MaxMultiple,Xm/(1-RAND())^(1/Alpha)))))</f>
        <v>0</v>
      </c>
      <c r="S338" s="19">
        <f ca="1">IF(RAND()&lt;P_Zero,0,IF(RAND()&lt;CondReturn,_xlfn.LOGNORM.INV(RAND(),MV2,Sigma1),IF(RAND()&lt;CondGood,_xlfn.LOGNORM.INV(RAND(),MV3,Sigma2),MIN(MaxMultiple,Xm/(1-RAND())^(1/Alpha)))))</f>
        <v>0.76303491865638651</v>
      </c>
      <c r="T338" s="19">
        <f ca="1">IF(RAND()&lt;P_Zero,0,IF(RAND()&lt;CondReturn,_xlfn.LOGNORM.INV(RAND(),MV2,Sigma1),IF(RAND()&lt;CondGood,_xlfn.LOGNORM.INV(RAND(),MV3,Sigma2),MIN(MaxMultiple,Xm/(1-RAND())^(1/Alpha)))))</f>
        <v>0</v>
      </c>
      <c r="U338" s="19">
        <f ca="1">IF(RAND()&lt;P_Zero,0,IF(RAND()&lt;CondReturn,_xlfn.LOGNORM.INV(RAND(),MV2,Sigma1),IF(RAND()&lt;CondGood,_xlfn.LOGNORM.INV(RAND(),MV3,Sigma2),MIN(MaxMultiple,Xm/(1-RAND())^(1/Alpha)))))</f>
        <v>1.0121331840119701</v>
      </c>
      <c r="V338" s="19">
        <f ca="1">IF(RAND()&lt;P_Zero,0,IF(RAND()&lt;CondReturn,_xlfn.LOGNORM.INV(RAND(),MV2,Sigma1),IF(RAND()&lt;CondGood,_xlfn.LOGNORM.INV(RAND(),MV3,Sigma2),MIN(MaxMultiple,Xm/(1-RAND())^(1/Alpha)))))</f>
        <v>0.44345379215404923</v>
      </c>
      <c r="W338" s="19">
        <f ca="1">IF(RAND()&lt;P_Zero,0,IF(RAND()&lt;CondReturn,_xlfn.LOGNORM.INV(RAND(),MV2,Sigma1),IF(RAND()&lt;CondGood,_xlfn.LOGNORM.INV(RAND(),MV3,Sigma2),MIN(MaxMultiple,Xm/(1-RAND())^(1/Alpha)))))</f>
        <v>1.150966811855191</v>
      </c>
      <c r="X338" s="19">
        <f ca="1">IF(RAND()&lt;P_Zero,0,IF(RAND()&lt;CondReturn,_xlfn.LOGNORM.INV(RAND(),MV2,Sigma1),IF(RAND()&lt;CondGood,_xlfn.LOGNORM.INV(RAND(),MV3,Sigma2),MIN(MaxMultiple,Xm/(1-RAND())^(1/Alpha)))))</f>
        <v>0</v>
      </c>
      <c r="Y338" s="19">
        <f ca="1">IF(RAND()&lt;P_Zero,0,IF(RAND()&lt;CondReturn,_xlfn.LOGNORM.INV(RAND(),MV2,Sigma1),IF(RAND()&lt;CondGood,_xlfn.LOGNORM.INV(RAND(),MV3,Sigma2),MIN(MaxMultiple,Xm/(1-RAND())^(1/Alpha)))))</f>
        <v>0</v>
      </c>
      <c r="Z338" s="19">
        <f ca="1">IF(RAND()&lt;P_Zero,0,IF(RAND()&lt;CondReturn,_xlfn.LOGNORM.INV(RAND(),MV2,Sigma1),IF(RAND()&lt;CondGood,_xlfn.LOGNORM.INV(RAND(),MV3,Sigma2),MIN(MaxMultiple,Xm/(1-RAND())^(1/Alpha)))))</f>
        <v>0.61995474275949969</v>
      </c>
      <c r="AA338" s="19">
        <f ca="1">IF(RAND()&lt;P_Zero,0,IF(RAND()&lt;CondReturn,_xlfn.LOGNORM.INV(RAND(),MV2,Sigma1),IF(RAND()&lt;CondGood,_xlfn.LOGNORM.INV(RAND(),MV3,Sigma2),MIN(MaxMultiple,Xm/(1-RAND())^(1/Alpha)))))</f>
        <v>1.3471989522600243</v>
      </c>
      <c r="AB338" s="19">
        <f t="shared" ca="1" si="40"/>
        <v>3.4600272114620134</v>
      </c>
      <c r="AC338" s="14">
        <f t="shared" ca="1" si="41"/>
        <v>166081306.15017664</v>
      </c>
      <c r="AD338" s="14">
        <f t="shared" ca="1" si="42"/>
        <v>118081306.15017664</v>
      </c>
      <c r="AE338" s="14">
        <f t="shared" si="43"/>
        <v>55628399.869093813</v>
      </c>
      <c r="AF338" s="14">
        <f t="shared" ca="1" si="44"/>
        <v>62452906.281082831</v>
      </c>
      <c r="AG338" s="14">
        <f t="shared" ca="1" si="45"/>
        <v>12490581.256216567</v>
      </c>
      <c r="AH338" s="14">
        <f t="shared" ca="1" si="46"/>
        <v>153590724.89396009</v>
      </c>
      <c r="AI338" s="19">
        <f t="shared" ca="1" si="47"/>
        <v>2.5598454148993346</v>
      </c>
    </row>
    <row r="339" spans="2:35" x14ac:dyDescent="0.2">
      <c r="B339" s="1">
        <v>334</v>
      </c>
      <c r="C339" s="19">
        <f ca="1">IF(RAND()&lt;P_Zero,0,IF(RAND()&lt;CondReturn,_xlfn.LOGNORM.INV(RAND(),MV2,Sigma1),IF(RAND()&lt;CondGood,_xlfn.LOGNORM.INV(RAND(),MV3,Sigma2),MIN(MaxMultiple,Xm/(1-RAND())^(1/Alpha)))))</f>
        <v>0</v>
      </c>
      <c r="D339" s="19">
        <f ca="1">IF(RAND()&lt;P_Zero,0,IF(RAND()&lt;CondReturn,_xlfn.LOGNORM.INV(RAND(),MV2,Sigma1),IF(RAND()&lt;CondGood,_xlfn.LOGNORM.INV(RAND(),MV3,Sigma2),MIN(MaxMultiple,Xm/(1-RAND())^(1/Alpha)))))</f>
        <v>0</v>
      </c>
      <c r="E339" s="19">
        <f ca="1">IF(RAND()&lt;P_Zero,0,IF(RAND()&lt;CondReturn,_xlfn.LOGNORM.INV(RAND(),MV2,Sigma1),IF(RAND()&lt;CondGood,_xlfn.LOGNORM.INV(RAND(),MV3,Sigma2),MIN(MaxMultiple,Xm/(1-RAND())^(1/Alpha)))))</f>
        <v>1.6310711206261641</v>
      </c>
      <c r="F339" s="19">
        <f ca="1">IF(RAND()&lt;P_Zero,0,IF(RAND()&lt;CondReturn,_xlfn.LOGNORM.INV(RAND(),MV2,Sigma1),IF(RAND()&lt;CondGood,_xlfn.LOGNORM.INV(RAND(),MV3,Sigma2),MIN(MaxMultiple,Xm/(1-RAND())^(1/Alpha)))))</f>
        <v>0</v>
      </c>
      <c r="G339" s="19">
        <f ca="1">IF(RAND()&lt;P_Zero,0,IF(RAND()&lt;CondReturn,_xlfn.LOGNORM.INV(RAND(),MV2,Sigma1),IF(RAND()&lt;CondGood,_xlfn.LOGNORM.INV(RAND(),MV3,Sigma2),MIN(MaxMultiple,Xm/(1-RAND())^(1/Alpha)))))</f>
        <v>0.95913730187047885</v>
      </c>
      <c r="H339" s="19">
        <f ca="1">IF(RAND()&lt;P_Zero,0,IF(RAND()&lt;CondReturn,_xlfn.LOGNORM.INV(RAND(),MV2,Sigma1),IF(RAND()&lt;CondGood,_xlfn.LOGNORM.INV(RAND(),MV3,Sigma2),MIN(MaxMultiple,Xm/(1-RAND())^(1/Alpha)))))</f>
        <v>1.397606402790887</v>
      </c>
      <c r="I339" s="19">
        <f ca="1">IF(RAND()&lt;P_Zero,0,IF(RAND()&lt;CondReturn,_xlfn.LOGNORM.INV(RAND(),MV2,Sigma1),IF(RAND()&lt;CondGood,_xlfn.LOGNORM.INV(RAND(),MV3,Sigma2),MIN(MaxMultiple,Xm/(1-RAND())^(1/Alpha)))))</f>
        <v>0</v>
      </c>
      <c r="J339" s="19">
        <f ca="1">IF(RAND()&lt;P_Zero,0,IF(RAND()&lt;CondReturn,_xlfn.LOGNORM.INV(RAND(),MV2,Sigma1),IF(RAND()&lt;CondGood,_xlfn.LOGNORM.INV(RAND(),MV3,Sigma2),MIN(MaxMultiple,Xm/(1-RAND())^(1/Alpha)))))</f>
        <v>0.74809549418528454</v>
      </c>
      <c r="K339" s="19">
        <f ca="1">IF(RAND()&lt;P_Zero,0,IF(RAND()&lt;CondReturn,_xlfn.LOGNORM.INV(RAND(),MV2,Sigma1),IF(RAND()&lt;CondGood,_xlfn.LOGNORM.INV(RAND(),MV3,Sigma2),MIN(MaxMultiple,Xm/(1-RAND())^(1/Alpha)))))</f>
        <v>0</v>
      </c>
      <c r="L339" s="19">
        <f ca="1">IF(RAND()&lt;P_Zero,0,IF(RAND()&lt;CondReturn,_xlfn.LOGNORM.INV(RAND(),MV2,Sigma1),IF(RAND()&lt;CondGood,_xlfn.LOGNORM.INV(RAND(),MV3,Sigma2),MIN(MaxMultiple,Xm/(1-RAND())^(1/Alpha)))))</f>
        <v>1.5458610554266883</v>
      </c>
      <c r="M339" s="19">
        <f ca="1">IF(RAND()&lt;P_Zero,0,IF(RAND()&lt;CondReturn,_xlfn.LOGNORM.INV(RAND(),MV2,Sigma1),IF(RAND()&lt;CondGood,_xlfn.LOGNORM.INV(RAND(),MV3,Sigma2),MIN(MaxMultiple,Xm/(1-RAND())^(1/Alpha)))))</f>
        <v>0.49993298322315544</v>
      </c>
      <c r="N339" s="19">
        <f ca="1">IF(RAND()&lt;P_Zero,0,IF(RAND()&lt;CondReturn,_xlfn.LOGNORM.INV(RAND(),MV2,Sigma1),IF(RAND()&lt;CondGood,_xlfn.LOGNORM.INV(RAND(),MV3,Sigma2),MIN(MaxMultiple,Xm/(1-RAND())^(1/Alpha)))))</f>
        <v>0</v>
      </c>
      <c r="O339" s="19">
        <f ca="1">IF(RAND()&lt;P_Zero,0,IF(RAND()&lt;CondReturn,_xlfn.LOGNORM.INV(RAND(),MV2,Sigma1),IF(RAND()&lt;CondGood,_xlfn.LOGNORM.INV(RAND(),MV3,Sigma2),MIN(MaxMultiple,Xm/(1-RAND())^(1/Alpha)))))</f>
        <v>0.7198561447411197</v>
      </c>
      <c r="P339" s="19">
        <f ca="1">IF(RAND()&lt;P_Zero,0,IF(RAND()&lt;CondReturn,_xlfn.LOGNORM.INV(RAND(),MV2,Sigma1),IF(RAND()&lt;CondGood,_xlfn.LOGNORM.INV(RAND(),MV3,Sigma2),MIN(MaxMultiple,Xm/(1-RAND())^(1/Alpha)))))</f>
        <v>0</v>
      </c>
      <c r="Q339" s="19">
        <f ca="1">IF(RAND()&lt;P_Zero,0,IF(RAND()&lt;CondReturn,_xlfn.LOGNORM.INV(RAND(),MV2,Sigma1),IF(RAND()&lt;CondGood,_xlfn.LOGNORM.INV(RAND(),MV3,Sigma2),MIN(MaxMultiple,Xm/(1-RAND())^(1/Alpha)))))</f>
        <v>0</v>
      </c>
      <c r="R339" s="19">
        <f ca="1">IF(RAND()&lt;P_Zero,0,IF(RAND()&lt;CondReturn,_xlfn.LOGNORM.INV(RAND(),MV2,Sigma1),IF(RAND()&lt;CondGood,_xlfn.LOGNORM.INV(RAND(),MV3,Sigma2),MIN(MaxMultiple,Xm/(1-RAND())^(1/Alpha)))))</f>
        <v>0</v>
      </c>
      <c r="S339" s="19">
        <f ca="1">IF(RAND()&lt;P_Zero,0,IF(RAND()&lt;CondReturn,_xlfn.LOGNORM.INV(RAND(),MV2,Sigma1),IF(RAND()&lt;CondGood,_xlfn.LOGNORM.INV(RAND(),MV3,Sigma2),MIN(MaxMultiple,Xm/(1-RAND())^(1/Alpha)))))</f>
        <v>0</v>
      </c>
      <c r="T339" s="19">
        <f ca="1">IF(RAND()&lt;P_Zero,0,IF(RAND()&lt;CondReturn,_xlfn.LOGNORM.INV(RAND(),MV2,Sigma1),IF(RAND()&lt;CondGood,_xlfn.LOGNORM.INV(RAND(),MV3,Sigma2),MIN(MaxMultiple,Xm/(1-RAND())^(1/Alpha)))))</f>
        <v>0.75479115457808976</v>
      </c>
      <c r="U339" s="19">
        <f ca="1">IF(RAND()&lt;P_Zero,0,IF(RAND()&lt;CondReturn,_xlfn.LOGNORM.INV(RAND(),MV2,Sigma1),IF(RAND()&lt;CondGood,_xlfn.LOGNORM.INV(RAND(),MV3,Sigma2),MIN(MaxMultiple,Xm/(1-RAND())^(1/Alpha)))))</f>
        <v>0</v>
      </c>
      <c r="V339" s="19">
        <f ca="1">IF(RAND()&lt;P_Zero,0,IF(RAND()&lt;CondReturn,_xlfn.LOGNORM.INV(RAND(),MV2,Sigma1),IF(RAND()&lt;CondGood,_xlfn.LOGNORM.INV(RAND(),MV3,Sigma2),MIN(MaxMultiple,Xm/(1-RAND())^(1/Alpha)))))</f>
        <v>0</v>
      </c>
      <c r="W339" s="19">
        <f ca="1">IF(RAND()&lt;P_Zero,0,IF(RAND()&lt;CondReturn,_xlfn.LOGNORM.INV(RAND(),MV2,Sigma1),IF(RAND()&lt;CondGood,_xlfn.LOGNORM.INV(RAND(),MV3,Sigma2),MIN(MaxMultiple,Xm/(1-RAND())^(1/Alpha)))))</f>
        <v>0.82920078017152987</v>
      </c>
      <c r="X339" s="19">
        <f ca="1">IF(RAND()&lt;P_Zero,0,IF(RAND()&lt;CondReturn,_xlfn.LOGNORM.INV(RAND(),MV2,Sigma1),IF(RAND()&lt;CondGood,_xlfn.LOGNORM.INV(RAND(),MV3,Sigma2),MIN(MaxMultiple,Xm/(1-RAND())^(1/Alpha)))))</f>
        <v>0.88953957380406012</v>
      </c>
      <c r="Y339" s="19">
        <f ca="1">IF(RAND()&lt;P_Zero,0,IF(RAND()&lt;CondReturn,_xlfn.LOGNORM.INV(RAND(),MV2,Sigma1),IF(RAND()&lt;CondGood,_xlfn.LOGNORM.INV(RAND(),MV3,Sigma2),MIN(MaxMultiple,Xm/(1-RAND())^(1/Alpha)))))</f>
        <v>0</v>
      </c>
      <c r="Z339" s="19">
        <f ca="1">IF(RAND()&lt;P_Zero,0,IF(RAND()&lt;CondReturn,_xlfn.LOGNORM.INV(RAND(),MV2,Sigma1),IF(RAND()&lt;CondGood,_xlfn.LOGNORM.INV(RAND(),MV3,Sigma2),MIN(MaxMultiple,Xm/(1-RAND())^(1/Alpha)))))</f>
        <v>1.439850716448495</v>
      </c>
      <c r="AA339" s="19">
        <f ca="1">IF(RAND()&lt;P_Zero,0,IF(RAND()&lt;CondReturn,_xlfn.LOGNORM.INV(RAND(),MV2,Sigma1),IF(RAND()&lt;CondGood,_xlfn.LOGNORM.INV(RAND(),MV3,Sigma2),MIN(MaxMultiple,Xm/(1-RAND())^(1/Alpha)))))</f>
        <v>0</v>
      </c>
      <c r="AB339" s="19">
        <f t="shared" ca="1" si="40"/>
        <v>0.4565977091146381</v>
      </c>
      <c r="AC339" s="14">
        <f t="shared" ca="1" si="41"/>
        <v>21916690.037502628</v>
      </c>
      <c r="AD339" s="14">
        <f t="shared" ca="1" si="42"/>
        <v>-26083309.962497372</v>
      </c>
      <c r="AE339" s="14">
        <f t="shared" si="43"/>
        <v>55628399.869093813</v>
      </c>
      <c r="AF339" s="14">
        <f t="shared" ca="1" si="44"/>
        <v>0</v>
      </c>
      <c r="AG339" s="14">
        <f t="shared" ca="1" si="45"/>
        <v>0</v>
      </c>
      <c r="AH339" s="14">
        <f t="shared" ca="1" si="46"/>
        <v>21916690.037502628</v>
      </c>
      <c r="AI339" s="19">
        <f t="shared" ca="1" si="47"/>
        <v>0.36527816729171048</v>
      </c>
    </row>
    <row r="340" spans="2:35" x14ac:dyDescent="0.2">
      <c r="B340" s="1">
        <v>335</v>
      </c>
      <c r="C340" s="19">
        <f ca="1">IF(RAND()&lt;P_Zero,0,IF(RAND()&lt;CondReturn,_xlfn.LOGNORM.INV(RAND(),MV2,Sigma1),IF(RAND()&lt;CondGood,_xlfn.LOGNORM.INV(RAND(),MV3,Sigma2),MIN(MaxMultiple,Xm/(1-RAND())^(1/Alpha)))))</f>
        <v>0.85785581015023793</v>
      </c>
      <c r="D340" s="19">
        <f ca="1">IF(RAND()&lt;P_Zero,0,IF(RAND()&lt;CondReturn,_xlfn.LOGNORM.INV(RAND(),MV2,Sigma1),IF(RAND()&lt;CondGood,_xlfn.LOGNORM.INV(RAND(),MV3,Sigma2),MIN(MaxMultiple,Xm/(1-RAND())^(1/Alpha)))))</f>
        <v>0.6333992776680174</v>
      </c>
      <c r="E340" s="19">
        <f ca="1">IF(RAND()&lt;P_Zero,0,IF(RAND()&lt;CondReturn,_xlfn.LOGNORM.INV(RAND(),MV2,Sigma1),IF(RAND()&lt;CondGood,_xlfn.LOGNORM.INV(RAND(),MV3,Sigma2),MIN(MaxMultiple,Xm/(1-RAND())^(1/Alpha)))))</f>
        <v>4.6089582553078934</v>
      </c>
      <c r="F340" s="19">
        <f ca="1">IF(RAND()&lt;P_Zero,0,IF(RAND()&lt;CondReturn,_xlfn.LOGNORM.INV(RAND(),MV2,Sigma1),IF(RAND()&lt;CondGood,_xlfn.LOGNORM.INV(RAND(),MV3,Sigma2),MIN(MaxMultiple,Xm/(1-RAND())^(1/Alpha)))))</f>
        <v>0.94035062830959792</v>
      </c>
      <c r="G340" s="19">
        <f ca="1">IF(RAND()&lt;P_Zero,0,IF(RAND()&lt;CondReturn,_xlfn.LOGNORM.INV(RAND(),MV2,Sigma1),IF(RAND()&lt;CondGood,_xlfn.LOGNORM.INV(RAND(),MV3,Sigma2),MIN(MaxMultiple,Xm/(1-RAND())^(1/Alpha)))))</f>
        <v>0.94786646412645559</v>
      </c>
      <c r="H340" s="19">
        <f ca="1">IF(RAND()&lt;P_Zero,0,IF(RAND()&lt;CondReturn,_xlfn.LOGNORM.INV(RAND(),MV2,Sigma1),IF(RAND()&lt;CondGood,_xlfn.LOGNORM.INV(RAND(),MV3,Sigma2),MIN(MaxMultiple,Xm/(1-RAND())^(1/Alpha)))))</f>
        <v>0</v>
      </c>
      <c r="I340" s="19">
        <f ca="1">IF(RAND()&lt;P_Zero,0,IF(RAND()&lt;CondReturn,_xlfn.LOGNORM.INV(RAND(),MV2,Sigma1),IF(RAND()&lt;CondGood,_xlfn.LOGNORM.INV(RAND(),MV3,Sigma2),MIN(MaxMultiple,Xm/(1-RAND())^(1/Alpha)))))</f>
        <v>0</v>
      </c>
      <c r="J340" s="19">
        <f ca="1">IF(RAND()&lt;P_Zero,0,IF(RAND()&lt;CondReturn,_xlfn.LOGNORM.INV(RAND(),MV2,Sigma1),IF(RAND()&lt;CondGood,_xlfn.LOGNORM.INV(RAND(),MV3,Sigma2),MIN(MaxMultiple,Xm/(1-RAND())^(1/Alpha)))))</f>
        <v>0.51405903808037501</v>
      </c>
      <c r="K340" s="19">
        <f ca="1">IF(RAND()&lt;P_Zero,0,IF(RAND()&lt;CondReturn,_xlfn.LOGNORM.INV(RAND(),MV2,Sigma1),IF(RAND()&lt;CondGood,_xlfn.LOGNORM.INV(RAND(),MV3,Sigma2),MIN(MaxMultiple,Xm/(1-RAND())^(1/Alpha)))))</f>
        <v>0</v>
      </c>
      <c r="L340" s="19">
        <f ca="1">IF(RAND()&lt;P_Zero,0,IF(RAND()&lt;CondReturn,_xlfn.LOGNORM.INV(RAND(),MV2,Sigma1),IF(RAND()&lt;CondGood,_xlfn.LOGNORM.INV(RAND(),MV3,Sigma2),MIN(MaxMultiple,Xm/(1-RAND())^(1/Alpha)))))</f>
        <v>0.44722317678082901</v>
      </c>
      <c r="M340" s="19">
        <f ca="1">IF(RAND()&lt;P_Zero,0,IF(RAND()&lt;CondReturn,_xlfn.LOGNORM.INV(RAND(),MV2,Sigma1),IF(RAND()&lt;CondGood,_xlfn.LOGNORM.INV(RAND(),MV3,Sigma2),MIN(MaxMultiple,Xm/(1-RAND())^(1/Alpha)))))</f>
        <v>12.308146780247752</v>
      </c>
      <c r="N340" s="19">
        <f ca="1">IF(RAND()&lt;P_Zero,0,IF(RAND()&lt;CondReturn,_xlfn.LOGNORM.INV(RAND(),MV2,Sigma1),IF(RAND()&lt;CondGood,_xlfn.LOGNORM.INV(RAND(),MV3,Sigma2),MIN(MaxMultiple,Xm/(1-RAND())^(1/Alpha)))))</f>
        <v>44.869039903586994</v>
      </c>
      <c r="O340" s="19">
        <f ca="1">IF(RAND()&lt;P_Zero,0,IF(RAND()&lt;CondReturn,_xlfn.LOGNORM.INV(RAND(),MV2,Sigma1),IF(RAND()&lt;CondGood,_xlfn.LOGNORM.INV(RAND(),MV3,Sigma2),MIN(MaxMultiple,Xm/(1-RAND())^(1/Alpha)))))</f>
        <v>0</v>
      </c>
      <c r="P340" s="19">
        <f ca="1">IF(RAND()&lt;P_Zero,0,IF(RAND()&lt;CondReturn,_xlfn.LOGNORM.INV(RAND(),MV2,Sigma1),IF(RAND()&lt;CondGood,_xlfn.LOGNORM.INV(RAND(),MV3,Sigma2),MIN(MaxMultiple,Xm/(1-RAND())^(1/Alpha)))))</f>
        <v>0.36649322960521585</v>
      </c>
      <c r="Q340" s="19">
        <f ca="1">IF(RAND()&lt;P_Zero,0,IF(RAND()&lt;CondReturn,_xlfn.LOGNORM.INV(RAND(),MV2,Sigma1),IF(RAND()&lt;CondGood,_xlfn.LOGNORM.INV(RAND(),MV3,Sigma2),MIN(MaxMultiple,Xm/(1-RAND())^(1/Alpha)))))</f>
        <v>0</v>
      </c>
      <c r="R340" s="19">
        <f ca="1">IF(RAND()&lt;P_Zero,0,IF(RAND()&lt;CondReturn,_xlfn.LOGNORM.INV(RAND(),MV2,Sigma1),IF(RAND()&lt;CondGood,_xlfn.LOGNORM.INV(RAND(),MV3,Sigma2),MIN(MaxMultiple,Xm/(1-RAND())^(1/Alpha)))))</f>
        <v>0.77876553898317225</v>
      </c>
      <c r="S340" s="19">
        <f ca="1">IF(RAND()&lt;P_Zero,0,IF(RAND()&lt;CondReturn,_xlfn.LOGNORM.INV(RAND(),MV2,Sigma1),IF(RAND()&lt;CondGood,_xlfn.LOGNORM.INV(RAND(),MV3,Sigma2),MIN(MaxMultiple,Xm/(1-RAND())^(1/Alpha)))))</f>
        <v>0.53621990178414758</v>
      </c>
      <c r="T340" s="19">
        <f ca="1">IF(RAND()&lt;P_Zero,0,IF(RAND()&lt;CondReturn,_xlfn.LOGNORM.INV(RAND(),MV2,Sigma1),IF(RAND()&lt;CondGood,_xlfn.LOGNORM.INV(RAND(),MV3,Sigma2),MIN(MaxMultiple,Xm/(1-RAND())^(1/Alpha)))))</f>
        <v>0</v>
      </c>
      <c r="U340" s="19">
        <f ca="1">IF(RAND()&lt;P_Zero,0,IF(RAND()&lt;CondReturn,_xlfn.LOGNORM.INV(RAND(),MV2,Sigma1),IF(RAND()&lt;CondGood,_xlfn.LOGNORM.INV(RAND(),MV3,Sigma2),MIN(MaxMultiple,Xm/(1-RAND())^(1/Alpha)))))</f>
        <v>0</v>
      </c>
      <c r="V340" s="19">
        <f ca="1">IF(RAND()&lt;P_Zero,0,IF(RAND()&lt;CondReturn,_xlfn.LOGNORM.INV(RAND(),MV2,Sigma1),IF(RAND()&lt;CondGood,_xlfn.LOGNORM.INV(RAND(),MV3,Sigma2),MIN(MaxMultiple,Xm/(1-RAND())^(1/Alpha)))))</f>
        <v>0</v>
      </c>
      <c r="W340" s="19">
        <f ca="1">IF(RAND()&lt;P_Zero,0,IF(RAND()&lt;CondReturn,_xlfn.LOGNORM.INV(RAND(),MV2,Sigma1),IF(RAND()&lt;CondGood,_xlfn.LOGNORM.INV(RAND(),MV3,Sigma2),MIN(MaxMultiple,Xm/(1-RAND())^(1/Alpha)))))</f>
        <v>0</v>
      </c>
      <c r="X340" s="19">
        <f ca="1">IF(RAND()&lt;P_Zero,0,IF(RAND()&lt;CondReturn,_xlfn.LOGNORM.INV(RAND(),MV2,Sigma1),IF(RAND()&lt;CondGood,_xlfn.LOGNORM.INV(RAND(),MV3,Sigma2),MIN(MaxMultiple,Xm/(1-RAND())^(1/Alpha)))))</f>
        <v>0.81627877957686612</v>
      </c>
      <c r="Y340" s="19">
        <f ca="1">IF(RAND()&lt;P_Zero,0,IF(RAND()&lt;CondReturn,_xlfn.LOGNORM.INV(RAND(),MV2,Sigma1),IF(RAND()&lt;CondGood,_xlfn.LOGNORM.INV(RAND(),MV3,Sigma2),MIN(MaxMultiple,Xm/(1-RAND())^(1/Alpha)))))</f>
        <v>1.35493115436809</v>
      </c>
      <c r="Z340" s="19">
        <f ca="1">IF(RAND()&lt;P_Zero,0,IF(RAND()&lt;CondReturn,_xlfn.LOGNORM.INV(RAND(),MV2,Sigma1),IF(RAND()&lt;CondGood,_xlfn.LOGNORM.INV(RAND(),MV3,Sigma2),MIN(MaxMultiple,Xm/(1-RAND())^(1/Alpha)))))</f>
        <v>1.0782728283141825</v>
      </c>
      <c r="AA340" s="19">
        <f ca="1">IF(RAND()&lt;P_Zero,0,IF(RAND()&lt;CondReturn,_xlfn.LOGNORM.INV(RAND(),MV2,Sigma1),IF(RAND()&lt;CondGood,_xlfn.LOGNORM.INV(RAND(),MV3,Sigma2),MIN(MaxMultiple,Xm/(1-RAND())^(1/Alpha)))))</f>
        <v>0</v>
      </c>
      <c r="AB340" s="19">
        <f t="shared" ca="1" si="40"/>
        <v>2.8423144306755925</v>
      </c>
      <c r="AC340" s="14">
        <f t="shared" ca="1" si="41"/>
        <v>136431092.67242843</v>
      </c>
      <c r="AD340" s="14">
        <f t="shared" ca="1" si="42"/>
        <v>88431092.672428429</v>
      </c>
      <c r="AE340" s="14">
        <f t="shared" si="43"/>
        <v>55628399.869093813</v>
      </c>
      <c r="AF340" s="14">
        <f t="shared" ca="1" si="44"/>
        <v>32802692.803334616</v>
      </c>
      <c r="AG340" s="14">
        <f t="shared" ca="1" si="45"/>
        <v>6560538.5606669234</v>
      </c>
      <c r="AH340" s="14">
        <f t="shared" ca="1" si="46"/>
        <v>129870554.11176151</v>
      </c>
      <c r="AI340" s="19">
        <f t="shared" ca="1" si="47"/>
        <v>2.1645092351960251</v>
      </c>
    </row>
    <row r="341" spans="2:35" x14ac:dyDescent="0.2">
      <c r="B341" s="1">
        <v>336</v>
      </c>
      <c r="C341" s="19">
        <f ca="1">IF(RAND()&lt;P_Zero,0,IF(RAND()&lt;CondReturn,_xlfn.LOGNORM.INV(RAND(),MV2,Sigma1),IF(RAND()&lt;CondGood,_xlfn.LOGNORM.INV(RAND(),MV3,Sigma2),MIN(MaxMultiple,Xm/(1-RAND())^(1/Alpha)))))</f>
        <v>0</v>
      </c>
      <c r="D341" s="19">
        <f ca="1">IF(RAND()&lt;P_Zero,0,IF(RAND()&lt;CondReturn,_xlfn.LOGNORM.INV(RAND(),MV2,Sigma1),IF(RAND()&lt;CondGood,_xlfn.LOGNORM.INV(RAND(),MV3,Sigma2),MIN(MaxMultiple,Xm/(1-RAND())^(1/Alpha)))))</f>
        <v>11.470431814043112</v>
      </c>
      <c r="E341" s="19">
        <f ca="1">IF(RAND()&lt;P_Zero,0,IF(RAND()&lt;CondReturn,_xlfn.LOGNORM.INV(RAND(),MV2,Sigma1),IF(RAND()&lt;CondGood,_xlfn.LOGNORM.INV(RAND(),MV3,Sigma2),MIN(MaxMultiple,Xm/(1-RAND())^(1/Alpha)))))</f>
        <v>0</v>
      </c>
      <c r="F341" s="19">
        <f ca="1">IF(RAND()&lt;P_Zero,0,IF(RAND()&lt;CondReturn,_xlfn.LOGNORM.INV(RAND(),MV2,Sigma1),IF(RAND()&lt;CondGood,_xlfn.LOGNORM.INV(RAND(),MV3,Sigma2),MIN(MaxMultiple,Xm/(1-RAND())^(1/Alpha)))))</f>
        <v>0</v>
      </c>
      <c r="G341" s="19">
        <f ca="1">IF(RAND()&lt;P_Zero,0,IF(RAND()&lt;CondReturn,_xlfn.LOGNORM.INV(RAND(),MV2,Sigma1),IF(RAND()&lt;CondGood,_xlfn.LOGNORM.INV(RAND(),MV3,Sigma2),MIN(MaxMultiple,Xm/(1-RAND())^(1/Alpha)))))</f>
        <v>0</v>
      </c>
      <c r="H341" s="19">
        <f ca="1">IF(RAND()&lt;P_Zero,0,IF(RAND()&lt;CondReturn,_xlfn.LOGNORM.INV(RAND(),MV2,Sigma1),IF(RAND()&lt;CondGood,_xlfn.LOGNORM.INV(RAND(),MV3,Sigma2),MIN(MaxMultiple,Xm/(1-RAND())^(1/Alpha)))))</f>
        <v>0</v>
      </c>
      <c r="I341" s="19">
        <f ca="1">IF(RAND()&lt;P_Zero,0,IF(RAND()&lt;CondReturn,_xlfn.LOGNORM.INV(RAND(),MV2,Sigma1),IF(RAND()&lt;CondGood,_xlfn.LOGNORM.INV(RAND(),MV3,Sigma2),MIN(MaxMultiple,Xm/(1-RAND())^(1/Alpha)))))</f>
        <v>0</v>
      </c>
      <c r="J341" s="19">
        <f ca="1">IF(RAND()&lt;P_Zero,0,IF(RAND()&lt;CondReturn,_xlfn.LOGNORM.INV(RAND(),MV2,Sigma1),IF(RAND()&lt;CondGood,_xlfn.LOGNORM.INV(RAND(),MV3,Sigma2),MIN(MaxMultiple,Xm/(1-RAND())^(1/Alpha)))))</f>
        <v>0</v>
      </c>
      <c r="K341" s="19">
        <f ca="1">IF(RAND()&lt;P_Zero,0,IF(RAND()&lt;CondReturn,_xlfn.LOGNORM.INV(RAND(),MV2,Sigma1),IF(RAND()&lt;CondGood,_xlfn.LOGNORM.INV(RAND(),MV3,Sigma2),MIN(MaxMultiple,Xm/(1-RAND())^(1/Alpha)))))</f>
        <v>2.3658475378206059</v>
      </c>
      <c r="L341" s="19">
        <f ca="1">IF(RAND()&lt;P_Zero,0,IF(RAND()&lt;CondReturn,_xlfn.LOGNORM.INV(RAND(),MV2,Sigma1),IF(RAND()&lt;CondGood,_xlfn.LOGNORM.INV(RAND(),MV3,Sigma2),MIN(MaxMultiple,Xm/(1-RAND())^(1/Alpha)))))</f>
        <v>0.66144201909234923</v>
      </c>
      <c r="M341" s="19">
        <f ca="1">IF(RAND()&lt;P_Zero,0,IF(RAND()&lt;CondReturn,_xlfn.LOGNORM.INV(RAND(),MV2,Sigma1),IF(RAND()&lt;CondGood,_xlfn.LOGNORM.INV(RAND(),MV3,Sigma2),MIN(MaxMultiple,Xm/(1-RAND())^(1/Alpha)))))</f>
        <v>1.5661112834216633</v>
      </c>
      <c r="N341" s="19">
        <f ca="1">IF(RAND()&lt;P_Zero,0,IF(RAND()&lt;CondReturn,_xlfn.LOGNORM.INV(RAND(),MV2,Sigma1),IF(RAND()&lt;CondGood,_xlfn.LOGNORM.INV(RAND(),MV3,Sigma2),MIN(MaxMultiple,Xm/(1-RAND())^(1/Alpha)))))</f>
        <v>1.3699800052865014</v>
      </c>
      <c r="O341" s="19">
        <f ca="1">IF(RAND()&lt;P_Zero,0,IF(RAND()&lt;CondReturn,_xlfn.LOGNORM.INV(RAND(),MV2,Sigma1),IF(RAND()&lt;CondGood,_xlfn.LOGNORM.INV(RAND(),MV3,Sigma2),MIN(MaxMultiple,Xm/(1-RAND())^(1/Alpha)))))</f>
        <v>0.51270437087112553</v>
      </c>
      <c r="P341" s="19">
        <f ca="1">IF(RAND()&lt;P_Zero,0,IF(RAND()&lt;CondReturn,_xlfn.LOGNORM.INV(RAND(),MV2,Sigma1),IF(RAND()&lt;CondGood,_xlfn.LOGNORM.INV(RAND(),MV3,Sigma2),MIN(MaxMultiple,Xm/(1-RAND())^(1/Alpha)))))</f>
        <v>23.57936911353876</v>
      </c>
      <c r="Q341" s="19">
        <f ca="1">IF(RAND()&lt;P_Zero,0,IF(RAND()&lt;CondReturn,_xlfn.LOGNORM.INV(RAND(),MV2,Sigma1),IF(RAND()&lt;CondGood,_xlfn.LOGNORM.INV(RAND(),MV3,Sigma2),MIN(MaxMultiple,Xm/(1-RAND())^(1/Alpha)))))</f>
        <v>0.96635023590865843</v>
      </c>
      <c r="R341" s="19">
        <f ca="1">IF(RAND()&lt;P_Zero,0,IF(RAND()&lt;CondReturn,_xlfn.LOGNORM.INV(RAND(),MV2,Sigma1),IF(RAND()&lt;CondGood,_xlfn.LOGNORM.INV(RAND(),MV3,Sigma2),MIN(MaxMultiple,Xm/(1-RAND())^(1/Alpha)))))</f>
        <v>0.65634377025776913</v>
      </c>
      <c r="S341" s="19">
        <f ca="1">IF(RAND()&lt;P_Zero,0,IF(RAND()&lt;CondReturn,_xlfn.LOGNORM.INV(RAND(),MV2,Sigma1),IF(RAND()&lt;CondGood,_xlfn.LOGNORM.INV(RAND(),MV3,Sigma2),MIN(MaxMultiple,Xm/(1-RAND())^(1/Alpha)))))</f>
        <v>0</v>
      </c>
      <c r="T341" s="19">
        <f ca="1">IF(RAND()&lt;P_Zero,0,IF(RAND()&lt;CondReturn,_xlfn.LOGNORM.INV(RAND(),MV2,Sigma1),IF(RAND()&lt;CondGood,_xlfn.LOGNORM.INV(RAND(),MV3,Sigma2),MIN(MaxMultiple,Xm/(1-RAND())^(1/Alpha)))))</f>
        <v>0.63064776529157796</v>
      </c>
      <c r="U341" s="19">
        <f ca="1">IF(RAND()&lt;P_Zero,0,IF(RAND()&lt;CondReturn,_xlfn.LOGNORM.INV(RAND(),MV2,Sigma1),IF(RAND()&lt;CondGood,_xlfn.LOGNORM.INV(RAND(),MV3,Sigma2),MIN(MaxMultiple,Xm/(1-RAND())^(1/Alpha)))))</f>
        <v>1.4790171476288951</v>
      </c>
      <c r="V341" s="19">
        <f ca="1">IF(RAND()&lt;P_Zero,0,IF(RAND()&lt;CondReturn,_xlfn.LOGNORM.INV(RAND(),MV2,Sigma1),IF(RAND()&lt;CondGood,_xlfn.LOGNORM.INV(RAND(),MV3,Sigma2),MIN(MaxMultiple,Xm/(1-RAND())^(1/Alpha)))))</f>
        <v>1.070838615146916</v>
      </c>
      <c r="W341" s="19">
        <f ca="1">IF(RAND()&lt;P_Zero,0,IF(RAND()&lt;CondReturn,_xlfn.LOGNORM.INV(RAND(),MV2,Sigma1),IF(RAND()&lt;CondGood,_xlfn.LOGNORM.INV(RAND(),MV3,Sigma2),MIN(MaxMultiple,Xm/(1-RAND())^(1/Alpha)))))</f>
        <v>0</v>
      </c>
      <c r="X341" s="19">
        <f ca="1">IF(RAND()&lt;P_Zero,0,IF(RAND()&lt;CondReturn,_xlfn.LOGNORM.INV(RAND(),MV2,Sigma1),IF(RAND()&lt;CondGood,_xlfn.LOGNORM.INV(RAND(),MV3,Sigma2),MIN(MaxMultiple,Xm/(1-RAND())^(1/Alpha)))))</f>
        <v>0</v>
      </c>
      <c r="Y341" s="19">
        <f ca="1">IF(RAND()&lt;P_Zero,0,IF(RAND()&lt;CondReturn,_xlfn.LOGNORM.INV(RAND(),MV2,Sigma1),IF(RAND()&lt;CondGood,_xlfn.LOGNORM.INV(RAND(),MV3,Sigma2),MIN(MaxMultiple,Xm/(1-RAND())^(1/Alpha)))))</f>
        <v>0.65758015879510678</v>
      </c>
      <c r="Z341" s="19">
        <f ca="1">IF(RAND()&lt;P_Zero,0,IF(RAND()&lt;CondReturn,_xlfn.LOGNORM.INV(RAND(),MV2,Sigma1),IF(RAND()&lt;CondGood,_xlfn.LOGNORM.INV(RAND(),MV3,Sigma2),MIN(MaxMultiple,Xm/(1-RAND())^(1/Alpha)))))</f>
        <v>0.74300787148106495</v>
      </c>
      <c r="AA341" s="19">
        <f ca="1">IF(RAND()&lt;P_Zero,0,IF(RAND()&lt;CondReturn,_xlfn.LOGNORM.INV(RAND(),MV2,Sigma1),IF(RAND()&lt;CondGood,_xlfn.LOGNORM.INV(RAND(),MV3,Sigma2),MIN(MaxMultiple,Xm/(1-RAND())^(1/Alpha)))))</f>
        <v>2.1080378677952161</v>
      </c>
      <c r="AB341" s="19">
        <f t="shared" ca="1" si="40"/>
        <v>1.993508383055173</v>
      </c>
      <c r="AC341" s="14">
        <f t="shared" ca="1" si="41"/>
        <v>95688402.386648297</v>
      </c>
      <c r="AD341" s="14">
        <f t="shared" ca="1" si="42"/>
        <v>47688402.386648297</v>
      </c>
      <c r="AE341" s="14">
        <f t="shared" si="43"/>
        <v>55628399.869093813</v>
      </c>
      <c r="AF341" s="14">
        <f t="shared" ca="1" si="44"/>
        <v>0</v>
      </c>
      <c r="AG341" s="14">
        <f t="shared" ca="1" si="45"/>
        <v>0</v>
      </c>
      <c r="AH341" s="14">
        <f t="shared" ca="1" si="46"/>
        <v>95688402.386648297</v>
      </c>
      <c r="AI341" s="19">
        <f t="shared" ca="1" si="47"/>
        <v>1.5948067064441382</v>
      </c>
    </row>
    <row r="342" spans="2:35" x14ac:dyDescent="0.2">
      <c r="B342" s="1">
        <v>337</v>
      </c>
      <c r="C342" s="19">
        <f ca="1">IF(RAND()&lt;P_Zero,0,IF(RAND()&lt;CondReturn,_xlfn.LOGNORM.INV(RAND(),MV2,Sigma1),IF(RAND()&lt;CondGood,_xlfn.LOGNORM.INV(RAND(),MV3,Sigma2),MIN(MaxMultiple,Xm/(1-RAND())^(1/Alpha)))))</f>
        <v>0.86816884573914221</v>
      </c>
      <c r="D342" s="19">
        <f ca="1">IF(RAND()&lt;P_Zero,0,IF(RAND()&lt;CondReturn,_xlfn.LOGNORM.INV(RAND(),MV2,Sigma1),IF(RAND()&lt;CondGood,_xlfn.LOGNORM.INV(RAND(),MV3,Sigma2),MIN(MaxMultiple,Xm/(1-RAND())^(1/Alpha)))))</f>
        <v>0</v>
      </c>
      <c r="E342" s="19">
        <f ca="1">IF(RAND()&lt;P_Zero,0,IF(RAND()&lt;CondReturn,_xlfn.LOGNORM.INV(RAND(),MV2,Sigma1),IF(RAND()&lt;CondGood,_xlfn.LOGNORM.INV(RAND(),MV3,Sigma2),MIN(MaxMultiple,Xm/(1-RAND())^(1/Alpha)))))</f>
        <v>0.5538405676513416</v>
      </c>
      <c r="F342" s="19">
        <f ca="1">IF(RAND()&lt;P_Zero,0,IF(RAND()&lt;CondReturn,_xlfn.LOGNORM.INV(RAND(),MV2,Sigma1),IF(RAND()&lt;CondGood,_xlfn.LOGNORM.INV(RAND(),MV3,Sigma2),MIN(MaxMultiple,Xm/(1-RAND())^(1/Alpha)))))</f>
        <v>0.76156557768728816</v>
      </c>
      <c r="G342" s="19">
        <f ca="1">IF(RAND()&lt;P_Zero,0,IF(RAND()&lt;CondReturn,_xlfn.LOGNORM.INV(RAND(),MV2,Sigma1),IF(RAND()&lt;CondGood,_xlfn.LOGNORM.INV(RAND(),MV3,Sigma2),MIN(MaxMultiple,Xm/(1-RAND())^(1/Alpha)))))</f>
        <v>0.70594520440232844</v>
      </c>
      <c r="H342" s="19">
        <f ca="1">IF(RAND()&lt;P_Zero,0,IF(RAND()&lt;CondReturn,_xlfn.LOGNORM.INV(RAND(),MV2,Sigma1),IF(RAND()&lt;CondGood,_xlfn.LOGNORM.INV(RAND(),MV3,Sigma2),MIN(MaxMultiple,Xm/(1-RAND())^(1/Alpha)))))</f>
        <v>0</v>
      </c>
      <c r="I342" s="19">
        <f ca="1">IF(RAND()&lt;P_Zero,0,IF(RAND()&lt;CondReturn,_xlfn.LOGNORM.INV(RAND(),MV2,Sigma1),IF(RAND()&lt;CondGood,_xlfn.LOGNORM.INV(RAND(),MV3,Sigma2),MIN(MaxMultiple,Xm/(1-RAND())^(1/Alpha)))))</f>
        <v>1.782072251998861</v>
      </c>
      <c r="J342" s="19">
        <f ca="1">IF(RAND()&lt;P_Zero,0,IF(RAND()&lt;CondReturn,_xlfn.LOGNORM.INV(RAND(),MV2,Sigma1),IF(RAND()&lt;CondGood,_xlfn.LOGNORM.INV(RAND(),MV3,Sigma2),MIN(MaxMultiple,Xm/(1-RAND())^(1/Alpha)))))</f>
        <v>1.3390956837252732</v>
      </c>
      <c r="K342" s="19">
        <f ca="1">IF(RAND()&lt;P_Zero,0,IF(RAND()&lt;CondReturn,_xlfn.LOGNORM.INV(RAND(),MV2,Sigma1),IF(RAND()&lt;CondGood,_xlfn.LOGNORM.INV(RAND(),MV3,Sigma2),MIN(MaxMultiple,Xm/(1-RAND())^(1/Alpha)))))</f>
        <v>22.688748050855704</v>
      </c>
      <c r="L342" s="19">
        <f ca="1">IF(RAND()&lt;P_Zero,0,IF(RAND()&lt;CondReturn,_xlfn.LOGNORM.INV(RAND(),MV2,Sigma1),IF(RAND()&lt;CondGood,_xlfn.LOGNORM.INV(RAND(),MV3,Sigma2),MIN(MaxMultiple,Xm/(1-RAND())^(1/Alpha)))))</f>
        <v>0</v>
      </c>
      <c r="M342" s="19">
        <f ca="1">IF(RAND()&lt;P_Zero,0,IF(RAND()&lt;CondReturn,_xlfn.LOGNORM.INV(RAND(),MV2,Sigma1),IF(RAND()&lt;CondGood,_xlfn.LOGNORM.INV(RAND(),MV3,Sigma2),MIN(MaxMultiple,Xm/(1-RAND())^(1/Alpha)))))</f>
        <v>0</v>
      </c>
      <c r="N342" s="19">
        <f ca="1">IF(RAND()&lt;P_Zero,0,IF(RAND()&lt;CondReturn,_xlfn.LOGNORM.INV(RAND(),MV2,Sigma1),IF(RAND()&lt;CondGood,_xlfn.LOGNORM.INV(RAND(),MV3,Sigma2),MIN(MaxMultiple,Xm/(1-RAND())^(1/Alpha)))))</f>
        <v>0</v>
      </c>
      <c r="O342" s="19">
        <f ca="1">IF(RAND()&lt;P_Zero,0,IF(RAND()&lt;CondReturn,_xlfn.LOGNORM.INV(RAND(),MV2,Sigma1),IF(RAND()&lt;CondGood,_xlfn.LOGNORM.INV(RAND(),MV3,Sigma2),MIN(MaxMultiple,Xm/(1-RAND())^(1/Alpha)))))</f>
        <v>0.87606420189159395</v>
      </c>
      <c r="P342" s="19">
        <f ca="1">IF(RAND()&lt;P_Zero,0,IF(RAND()&lt;CondReturn,_xlfn.LOGNORM.INV(RAND(),MV2,Sigma1),IF(RAND()&lt;CondGood,_xlfn.LOGNORM.INV(RAND(),MV3,Sigma2),MIN(MaxMultiple,Xm/(1-RAND())^(1/Alpha)))))</f>
        <v>0</v>
      </c>
      <c r="Q342" s="19">
        <f ca="1">IF(RAND()&lt;P_Zero,0,IF(RAND()&lt;CondReturn,_xlfn.LOGNORM.INV(RAND(),MV2,Sigma1),IF(RAND()&lt;CondGood,_xlfn.LOGNORM.INV(RAND(),MV3,Sigma2),MIN(MaxMultiple,Xm/(1-RAND())^(1/Alpha)))))</f>
        <v>1.0282551492793146</v>
      </c>
      <c r="R342" s="19">
        <f ca="1">IF(RAND()&lt;P_Zero,0,IF(RAND()&lt;CondReturn,_xlfn.LOGNORM.INV(RAND(),MV2,Sigma1),IF(RAND()&lt;CondGood,_xlfn.LOGNORM.INV(RAND(),MV3,Sigma2),MIN(MaxMultiple,Xm/(1-RAND())^(1/Alpha)))))</f>
        <v>1.6412445252671219</v>
      </c>
      <c r="S342" s="19">
        <f ca="1">IF(RAND()&lt;P_Zero,0,IF(RAND()&lt;CondReturn,_xlfn.LOGNORM.INV(RAND(),MV2,Sigma1),IF(RAND()&lt;CondGood,_xlfn.LOGNORM.INV(RAND(),MV3,Sigma2),MIN(MaxMultiple,Xm/(1-RAND())^(1/Alpha)))))</f>
        <v>0</v>
      </c>
      <c r="T342" s="19">
        <f ca="1">IF(RAND()&lt;P_Zero,0,IF(RAND()&lt;CondReturn,_xlfn.LOGNORM.INV(RAND(),MV2,Sigma1),IF(RAND()&lt;CondGood,_xlfn.LOGNORM.INV(RAND(),MV3,Sigma2),MIN(MaxMultiple,Xm/(1-RAND())^(1/Alpha)))))</f>
        <v>2.0514601056450106</v>
      </c>
      <c r="U342" s="19">
        <f ca="1">IF(RAND()&lt;P_Zero,0,IF(RAND()&lt;CondReturn,_xlfn.LOGNORM.INV(RAND(),MV2,Sigma1),IF(RAND()&lt;CondGood,_xlfn.LOGNORM.INV(RAND(),MV3,Sigma2),MIN(MaxMultiple,Xm/(1-RAND())^(1/Alpha)))))</f>
        <v>1.5651078682714092</v>
      </c>
      <c r="V342" s="19">
        <f ca="1">IF(RAND()&lt;P_Zero,0,IF(RAND()&lt;CondReturn,_xlfn.LOGNORM.INV(RAND(),MV2,Sigma1),IF(RAND()&lt;CondGood,_xlfn.LOGNORM.INV(RAND(),MV3,Sigma2),MIN(MaxMultiple,Xm/(1-RAND())^(1/Alpha)))))</f>
        <v>37.087200005687166</v>
      </c>
      <c r="W342" s="19">
        <f ca="1">IF(RAND()&lt;P_Zero,0,IF(RAND()&lt;CondReturn,_xlfn.LOGNORM.INV(RAND(),MV2,Sigma1),IF(RAND()&lt;CondGood,_xlfn.LOGNORM.INV(RAND(),MV3,Sigma2),MIN(MaxMultiple,Xm/(1-RAND())^(1/Alpha)))))</f>
        <v>0.71340714579034836</v>
      </c>
      <c r="X342" s="19">
        <f ca="1">IF(RAND()&lt;P_Zero,0,IF(RAND()&lt;CondReturn,_xlfn.LOGNORM.INV(RAND(),MV2,Sigma1),IF(RAND()&lt;CondGood,_xlfn.LOGNORM.INV(RAND(),MV3,Sigma2),MIN(MaxMultiple,Xm/(1-RAND())^(1/Alpha)))))</f>
        <v>0.97958147850325983</v>
      </c>
      <c r="Y342" s="19">
        <f ca="1">IF(RAND()&lt;P_Zero,0,IF(RAND()&lt;CondReturn,_xlfn.LOGNORM.INV(RAND(),MV2,Sigma1),IF(RAND()&lt;CondGood,_xlfn.LOGNORM.INV(RAND(),MV3,Sigma2),MIN(MaxMultiple,Xm/(1-RAND())^(1/Alpha)))))</f>
        <v>0.68320101734113992</v>
      </c>
      <c r="Z342" s="19">
        <f ca="1">IF(RAND()&lt;P_Zero,0,IF(RAND()&lt;CondReturn,_xlfn.LOGNORM.INV(RAND(),MV2,Sigma1),IF(RAND()&lt;CondGood,_xlfn.LOGNORM.INV(RAND(),MV3,Sigma2),MIN(MaxMultiple,Xm/(1-RAND())^(1/Alpha)))))</f>
        <v>0.96682521990806725</v>
      </c>
      <c r="AA342" s="19">
        <f ca="1">IF(RAND()&lt;P_Zero,0,IF(RAND()&lt;CondReturn,_xlfn.LOGNORM.INV(RAND(),MV2,Sigma1),IF(RAND()&lt;CondGood,_xlfn.LOGNORM.INV(RAND(),MV3,Sigma2),MIN(MaxMultiple,Xm/(1-RAND())^(1/Alpha)))))</f>
        <v>1.0070750254839005</v>
      </c>
      <c r="AB342" s="19">
        <f t="shared" ca="1" si="40"/>
        <v>3.0919543170051309</v>
      </c>
      <c r="AC342" s="14">
        <f t="shared" ca="1" si="41"/>
        <v>148413807.21624628</v>
      </c>
      <c r="AD342" s="14">
        <f t="shared" ca="1" si="42"/>
        <v>100413807.21624628</v>
      </c>
      <c r="AE342" s="14">
        <f t="shared" si="43"/>
        <v>55628399.869093813</v>
      </c>
      <c r="AF342" s="14">
        <f t="shared" ca="1" si="44"/>
        <v>44785407.347152464</v>
      </c>
      <c r="AG342" s="14">
        <f t="shared" ca="1" si="45"/>
        <v>8957081.4694304932</v>
      </c>
      <c r="AH342" s="14">
        <f t="shared" ca="1" si="46"/>
        <v>139456725.74681577</v>
      </c>
      <c r="AI342" s="19">
        <f t="shared" ca="1" si="47"/>
        <v>2.3242787624469297</v>
      </c>
    </row>
    <row r="343" spans="2:35" x14ac:dyDescent="0.2">
      <c r="B343" s="1">
        <v>338</v>
      </c>
      <c r="C343" s="19">
        <f ca="1">IF(RAND()&lt;P_Zero,0,IF(RAND()&lt;CondReturn,_xlfn.LOGNORM.INV(RAND(),MV2,Sigma1),IF(RAND()&lt;CondGood,_xlfn.LOGNORM.INV(RAND(),MV3,Sigma2),MIN(MaxMultiple,Xm/(1-RAND())^(1/Alpha)))))</f>
        <v>1.0670855394965066</v>
      </c>
      <c r="D343" s="19">
        <f ca="1">IF(RAND()&lt;P_Zero,0,IF(RAND()&lt;CondReturn,_xlfn.LOGNORM.INV(RAND(),MV2,Sigma1),IF(RAND()&lt;CondGood,_xlfn.LOGNORM.INV(RAND(),MV3,Sigma2),MIN(MaxMultiple,Xm/(1-RAND())^(1/Alpha)))))</f>
        <v>0</v>
      </c>
      <c r="E343" s="19">
        <f ca="1">IF(RAND()&lt;P_Zero,0,IF(RAND()&lt;CondReturn,_xlfn.LOGNORM.INV(RAND(),MV2,Sigma1),IF(RAND()&lt;CondGood,_xlfn.LOGNORM.INV(RAND(),MV3,Sigma2),MIN(MaxMultiple,Xm/(1-RAND())^(1/Alpha)))))</f>
        <v>0</v>
      </c>
      <c r="F343" s="19">
        <f ca="1">IF(RAND()&lt;P_Zero,0,IF(RAND()&lt;CondReturn,_xlfn.LOGNORM.INV(RAND(),MV2,Sigma1),IF(RAND()&lt;CondGood,_xlfn.LOGNORM.INV(RAND(),MV3,Sigma2),MIN(MaxMultiple,Xm/(1-RAND())^(1/Alpha)))))</f>
        <v>0</v>
      </c>
      <c r="G343" s="19">
        <f ca="1">IF(RAND()&lt;P_Zero,0,IF(RAND()&lt;CondReturn,_xlfn.LOGNORM.INV(RAND(),MV2,Sigma1),IF(RAND()&lt;CondGood,_xlfn.LOGNORM.INV(RAND(),MV3,Sigma2),MIN(MaxMultiple,Xm/(1-RAND())^(1/Alpha)))))</f>
        <v>0.8061287228687255</v>
      </c>
      <c r="H343" s="19">
        <f ca="1">IF(RAND()&lt;P_Zero,0,IF(RAND()&lt;CondReturn,_xlfn.LOGNORM.INV(RAND(),MV2,Sigma1),IF(RAND()&lt;CondGood,_xlfn.LOGNORM.INV(RAND(),MV3,Sigma2),MIN(MaxMultiple,Xm/(1-RAND())^(1/Alpha)))))</f>
        <v>0.41963251017118075</v>
      </c>
      <c r="I343" s="19">
        <f ca="1">IF(RAND()&lt;P_Zero,0,IF(RAND()&lt;CondReturn,_xlfn.LOGNORM.INV(RAND(),MV2,Sigma1),IF(RAND()&lt;CondGood,_xlfn.LOGNORM.INV(RAND(),MV3,Sigma2),MIN(MaxMultiple,Xm/(1-RAND())^(1/Alpha)))))</f>
        <v>0</v>
      </c>
      <c r="J343" s="19">
        <f ca="1">IF(RAND()&lt;P_Zero,0,IF(RAND()&lt;CondReturn,_xlfn.LOGNORM.INV(RAND(),MV2,Sigma1),IF(RAND()&lt;CondGood,_xlfn.LOGNORM.INV(RAND(),MV3,Sigma2),MIN(MaxMultiple,Xm/(1-RAND())^(1/Alpha)))))</f>
        <v>0</v>
      </c>
      <c r="K343" s="19">
        <f ca="1">IF(RAND()&lt;P_Zero,0,IF(RAND()&lt;CondReturn,_xlfn.LOGNORM.INV(RAND(),MV2,Sigma1),IF(RAND()&lt;CondGood,_xlfn.LOGNORM.INV(RAND(),MV3,Sigma2),MIN(MaxMultiple,Xm/(1-RAND())^(1/Alpha)))))</f>
        <v>0.83041154253631644</v>
      </c>
      <c r="L343" s="19">
        <f ca="1">IF(RAND()&lt;P_Zero,0,IF(RAND()&lt;CondReturn,_xlfn.LOGNORM.INV(RAND(),MV2,Sigma1),IF(RAND()&lt;CondGood,_xlfn.LOGNORM.INV(RAND(),MV3,Sigma2),MIN(MaxMultiple,Xm/(1-RAND())^(1/Alpha)))))</f>
        <v>0.4703250577446742</v>
      </c>
      <c r="M343" s="19">
        <f ca="1">IF(RAND()&lt;P_Zero,0,IF(RAND()&lt;CondReturn,_xlfn.LOGNORM.INV(RAND(),MV2,Sigma1),IF(RAND()&lt;CondGood,_xlfn.LOGNORM.INV(RAND(),MV3,Sigma2),MIN(MaxMultiple,Xm/(1-RAND())^(1/Alpha)))))</f>
        <v>0</v>
      </c>
      <c r="N343" s="19">
        <f ca="1">IF(RAND()&lt;P_Zero,0,IF(RAND()&lt;CondReturn,_xlfn.LOGNORM.INV(RAND(),MV2,Sigma1),IF(RAND()&lt;CondGood,_xlfn.LOGNORM.INV(RAND(),MV3,Sigma2),MIN(MaxMultiple,Xm/(1-RAND())^(1/Alpha)))))</f>
        <v>0.77277736415168452</v>
      </c>
      <c r="O343" s="19">
        <f ca="1">IF(RAND()&lt;P_Zero,0,IF(RAND()&lt;CondReturn,_xlfn.LOGNORM.INV(RAND(),MV2,Sigma1),IF(RAND()&lt;CondGood,_xlfn.LOGNORM.INV(RAND(),MV3,Sigma2),MIN(MaxMultiple,Xm/(1-RAND())^(1/Alpha)))))</f>
        <v>1.2085829780830433</v>
      </c>
      <c r="P343" s="19">
        <f ca="1">IF(RAND()&lt;P_Zero,0,IF(RAND()&lt;CondReturn,_xlfn.LOGNORM.INV(RAND(),MV2,Sigma1),IF(RAND()&lt;CondGood,_xlfn.LOGNORM.INV(RAND(),MV3,Sigma2),MIN(MaxMultiple,Xm/(1-RAND())^(1/Alpha)))))</f>
        <v>11.790412855714068</v>
      </c>
      <c r="Q343" s="19">
        <f ca="1">IF(RAND()&lt;P_Zero,0,IF(RAND()&lt;CondReturn,_xlfn.LOGNORM.INV(RAND(),MV2,Sigma1),IF(RAND()&lt;CondGood,_xlfn.LOGNORM.INV(RAND(),MV3,Sigma2),MIN(MaxMultiple,Xm/(1-RAND())^(1/Alpha)))))</f>
        <v>1.2790303283221418</v>
      </c>
      <c r="R343" s="19">
        <f ca="1">IF(RAND()&lt;P_Zero,0,IF(RAND()&lt;CondReturn,_xlfn.LOGNORM.INV(RAND(),MV2,Sigma1),IF(RAND()&lt;CondGood,_xlfn.LOGNORM.INV(RAND(),MV3,Sigma2),MIN(MaxMultiple,Xm/(1-RAND())^(1/Alpha)))))</f>
        <v>16.471054720302575</v>
      </c>
      <c r="S343" s="19">
        <f ca="1">IF(RAND()&lt;P_Zero,0,IF(RAND()&lt;CondReturn,_xlfn.LOGNORM.INV(RAND(),MV2,Sigma1),IF(RAND()&lt;CondGood,_xlfn.LOGNORM.INV(RAND(),MV3,Sigma2),MIN(MaxMultiple,Xm/(1-RAND())^(1/Alpha)))))</f>
        <v>0</v>
      </c>
      <c r="T343" s="19">
        <f ca="1">IF(RAND()&lt;P_Zero,0,IF(RAND()&lt;CondReturn,_xlfn.LOGNORM.INV(RAND(),MV2,Sigma1),IF(RAND()&lt;CondGood,_xlfn.LOGNORM.INV(RAND(),MV3,Sigma2),MIN(MaxMultiple,Xm/(1-RAND())^(1/Alpha)))))</f>
        <v>0</v>
      </c>
      <c r="U343" s="19">
        <f ca="1">IF(RAND()&lt;P_Zero,0,IF(RAND()&lt;CondReturn,_xlfn.LOGNORM.INV(RAND(),MV2,Sigma1),IF(RAND()&lt;CondGood,_xlfn.LOGNORM.INV(RAND(),MV3,Sigma2),MIN(MaxMultiple,Xm/(1-RAND())^(1/Alpha)))))</f>
        <v>0</v>
      </c>
      <c r="V343" s="19">
        <f ca="1">IF(RAND()&lt;P_Zero,0,IF(RAND()&lt;CondReturn,_xlfn.LOGNORM.INV(RAND(),MV2,Sigma1),IF(RAND()&lt;CondGood,_xlfn.LOGNORM.INV(RAND(),MV3,Sigma2),MIN(MaxMultiple,Xm/(1-RAND())^(1/Alpha)))))</f>
        <v>1.5956942491665649</v>
      </c>
      <c r="W343" s="19">
        <f ca="1">IF(RAND()&lt;P_Zero,0,IF(RAND()&lt;CondReturn,_xlfn.LOGNORM.INV(RAND(),MV2,Sigma1),IF(RAND()&lt;CondGood,_xlfn.LOGNORM.INV(RAND(),MV3,Sigma2),MIN(MaxMultiple,Xm/(1-RAND())^(1/Alpha)))))</f>
        <v>0.58368253640768542</v>
      </c>
      <c r="X343" s="19">
        <f ca="1">IF(RAND()&lt;P_Zero,0,IF(RAND()&lt;CondReturn,_xlfn.LOGNORM.INV(RAND(),MV2,Sigma1),IF(RAND()&lt;CondGood,_xlfn.LOGNORM.INV(RAND(),MV3,Sigma2),MIN(MaxMultiple,Xm/(1-RAND())^(1/Alpha)))))</f>
        <v>1.9367939342721625</v>
      </c>
      <c r="Y343" s="19">
        <f ca="1">IF(RAND()&lt;P_Zero,0,IF(RAND()&lt;CondReturn,_xlfn.LOGNORM.INV(RAND(),MV2,Sigma1),IF(RAND()&lt;CondGood,_xlfn.LOGNORM.INV(RAND(),MV3,Sigma2),MIN(MaxMultiple,Xm/(1-RAND())^(1/Alpha)))))</f>
        <v>1.8454985237806043</v>
      </c>
      <c r="Z343" s="19">
        <f ca="1">IF(RAND()&lt;P_Zero,0,IF(RAND()&lt;CondReturn,_xlfn.LOGNORM.INV(RAND(),MV2,Sigma1),IF(RAND()&lt;CondGood,_xlfn.LOGNORM.INV(RAND(),MV3,Sigma2),MIN(MaxMultiple,Xm/(1-RAND())^(1/Alpha)))))</f>
        <v>0.97533343486074542</v>
      </c>
      <c r="AA343" s="19">
        <f ca="1">IF(RAND()&lt;P_Zero,0,IF(RAND()&lt;CondReturn,_xlfn.LOGNORM.INV(RAND(),MV2,Sigma1),IF(RAND()&lt;CondGood,_xlfn.LOGNORM.INV(RAND(),MV3,Sigma2),MIN(MaxMultiple,Xm/(1-RAND())^(1/Alpha)))))</f>
        <v>0</v>
      </c>
      <c r="AB343" s="19">
        <f t="shared" ca="1" si="40"/>
        <v>1.6820977719151471</v>
      </c>
      <c r="AC343" s="14">
        <f t="shared" ca="1" si="41"/>
        <v>80740693.05192706</v>
      </c>
      <c r="AD343" s="14">
        <f t="shared" ca="1" si="42"/>
        <v>32740693.05192706</v>
      </c>
      <c r="AE343" s="14">
        <f t="shared" si="43"/>
        <v>55628399.869093813</v>
      </c>
      <c r="AF343" s="14">
        <f t="shared" ca="1" si="44"/>
        <v>0</v>
      </c>
      <c r="AG343" s="14">
        <f t="shared" ca="1" si="45"/>
        <v>0</v>
      </c>
      <c r="AH343" s="14">
        <f t="shared" ca="1" si="46"/>
        <v>80740693.05192706</v>
      </c>
      <c r="AI343" s="19">
        <f t="shared" ca="1" si="47"/>
        <v>1.3456782175321176</v>
      </c>
    </row>
    <row r="344" spans="2:35" x14ac:dyDescent="0.2">
      <c r="B344" s="1">
        <v>339</v>
      </c>
      <c r="C344" s="19">
        <f ca="1">IF(RAND()&lt;P_Zero,0,IF(RAND()&lt;CondReturn,_xlfn.LOGNORM.INV(RAND(),MV2,Sigma1),IF(RAND()&lt;CondGood,_xlfn.LOGNORM.INV(RAND(),MV3,Sigma2),MIN(MaxMultiple,Xm/(1-RAND())^(1/Alpha)))))</f>
        <v>1.8497267739652279</v>
      </c>
      <c r="D344" s="19">
        <f ca="1">IF(RAND()&lt;P_Zero,0,IF(RAND()&lt;CondReturn,_xlfn.LOGNORM.INV(RAND(),MV2,Sigma1),IF(RAND()&lt;CondGood,_xlfn.LOGNORM.INV(RAND(),MV3,Sigma2),MIN(MaxMultiple,Xm/(1-RAND())^(1/Alpha)))))</f>
        <v>1.6517228330533642</v>
      </c>
      <c r="E344" s="19">
        <f ca="1">IF(RAND()&lt;P_Zero,0,IF(RAND()&lt;CondReturn,_xlfn.LOGNORM.INV(RAND(),MV2,Sigma1),IF(RAND()&lt;CondGood,_xlfn.LOGNORM.INV(RAND(),MV3,Sigma2),MIN(MaxMultiple,Xm/(1-RAND())^(1/Alpha)))))</f>
        <v>0</v>
      </c>
      <c r="F344" s="19">
        <f ca="1">IF(RAND()&lt;P_Zero,0,IF(RAND()&lt;CondReturn,_xlfn.LOGNORM.INV(RAND(),MV2,Sigma1),IF(RAND()&lt;CondGood,_xlfn.LOGNORM.INV(RAND(),MV3,Sigma2),MIN(MaxMultiple,Xm/(1-RAND())^(1/Alpha)))))</f>
        <v>10.256405171837166</v>
      </c>
      <c r="G344" s="19">
        <f ca="1">IF(RAND()&lt;P_Zero,0,IF(RAND()&lt;CondReturn,_xlfn.LOGNORM.INV(RAND(),MV2,Sigma1),IF(RAND()&lt;CondGood,_xlfn.LOGNORM.INV(RAND(),MV3,Sigma2),MIN(MaxMultiple,Xm/(1-RAND())^(1/Alpha)))))</f>
        <v>0</v>
      </c>
      <c r="H344" s="19">
        <f ca="1">IF(RAND()&lt;P_Zero,0,IF(RAND()&lt;CondReturn,_xlfn.LOGNORM.INV(RAND(),MV2,Sigma1),IF(RAND()&lt;CondGood,_xlfn.LOGNORM.INV(RAND(),MV3,Sigma2),MIN(MaxMultiple,Xm/(1-RAND())^(1/Alpha)))))</f>
        <v>0</v>
      </c>
      <c r="I344" s="19">
        <f ca="1">IF(RAND()&lt;P_Zero,0,IF(RAND()&lt;CondReturn,_xlfn.LOGNORM.INV(RAND(),MV2,Sigma1),IF(RAND()&lt;CondGood,_xlfn.LOGNORM.INV(RAND(),MV3,Sigma2),MIN(MaxMultiple,Xm/(1-RAND())^(1/Alpha)))))</f>
        <v>1.9784037468808708</v>
      </c>
      <c r="J344" s="19">
        <f ca="1">IF(RAND()&lt;P_Zero,0,IF(RAND()&lt;CondReturn,_xlfn.LOGNORM.INV(RAND(),MV2,Sigma1),IF(RAND()&lt;CondGood,_xlfn.LOGNORM.INV(RAND(),MV3,Sigma2),MIN(MaxMultiple,Xm/(1-RAND())^(1/Alpha)))))</f>
        <v>1.9032453201979613</v>
      </c>
      <c r="K344" s="19">
        <f ca="1">IF(RAND()&lt;P_Zero,0,IF(RAND()&lt;CondReturn,_xlfn.LOGNORM.INV(RAND(),MV2,Sigma1),IF(RAND()&lt;CondGood,_xlfn.LOGNORM.INV(RAND(),MV3,Sigma2),MIN(MaxMultiple,Xm/(1-RAND())^(1/Alpha)))))</f>
        <v>0.609955446321925</v>
      </c>
      <c r="L344" s="19">
        <f ca="1">IF(RAND()&lt;P_Zero,0,IF(RAND()&lt;CondReturn,_xlfn.LOGNORM.INV(RAND(),MV2,Sigma1),IF(RAND()&lt;CondGood,_xlfn.LOGNORM.INV(RAND(),MV3,Sigma2),MIN(MaxMultiple,Xm/(1-RAND())^(1/Alpha)))))</f>
        <v>0</v>
      </c>
      <c r="M344" s="19">
        <f ca="1">IF(RAND()&lt;P_Zero,0,IF(RAND()&lt;CondReturn,_xlfn.LOGNORM.INV(RAND(),MV2,Sigma1),IF(RAND()&lt;CondGood,_xlfn.LOGNORM.INV(RAND(),MV3,Sigma2),MIN(MaxMultiple,Xm/(1-RAND())^(1/Alpha)))))</f>
        <v>0.8952666225329069</v>
      </c>
      <c r="N344" s="19">
        <f ca="1">IF(RAND()&lt;P_Zero,0,IF(RAND()&lt;CondReturn,_xlfn.LOGNORM.INV(RAND(),MV2,Sigma1),IF(RAND()&lt;CondGood,_xlfn.LOGNORM.INV(RAND(),MV3,Sigma2),MIN(MaxMultiple,Xm/(1-RAND())^(1/Alpha)))))</f>
        <v>1.0320736872432386</v>
      </c>
      <c r="O344" s="19">
        <f ca="1">IF(RAND()&lt;P_Zero,0,IF(RAND()&lt;CondReturn,_xlfn.LOGNORM.INV(RAND(),MV2,Sigma1),IF(RAND()&lt;CondGood,_xlfn.LOGNORM.INV(RAND(),MV3,Sigma2),MIN(MaxMultiple,Xm/(1-RAND())^(1/Alpha)))))</f>
        <v>1.9229018729649303</v>
      </c>
      <c r="P344" s="19">
        <f ca="1">IF(RAND()&lt;P_Zero,0,IF(RAND()&lt;CondReturn,_xlfn.LOGNORM.INV(RAND(),MV2,Sigma1),IF(RAND()&lt;CondGood,_xlfn.LOGNORM.INV(RAND(),MV3,Sigma2),MIN(MaxMultiple,Xm/(1-RAND())^(1/Alpha)))))</f>
        <v>0</v>
      </c>
      <c r="Q344" s="19">
        <f ca="1">IF(RAND()&lt;P_Zero,0,IF(RAND()&lt;CondReturn,_xlfn.LOGNORM.INV(RAND(),MV2,Sigma1),IF(RAND()&lt;CondGood,_xlfn.LOGNORM.INV(RAND(),MV3,Sigma2),MIN(MaxMultiple,Xm/(1-RAND())^(1/Alpha)))))</f>
        <v>21.408812391383311</v>
      </c>
      <c r="R344" s="19">
        <f ca="1">IF(RAND()&lt;P_Zero,0,IF(RAND()&lt;CondReturn,_xlfn.LOGNORM.INV(RAND(),MV2,Sigma1),IF(RAND()&lt;CondGood,_xlfn.LOGNORM.INV(RAND(),MV3,Sigma2),MIN(MaxMultiple,Xm/(1-RAND())^(1/Alpha)))))</f>
        <v>0.89901177716731895</v>
      </c>
      <c r="S344" s="19">
        <f ca="1">IF(RAND()&lt;P_Zero,0,IF(RAND()&lt;CondReturn,_xlfn.LOGNORM.INV(RAND(),MV2,Sigma1),IF(RAND()&lt;CondGood,_xlfn.LOGNORM.INV(RAND(),MV3,Sigma2),MIN(MaxMultiple,Xm/(1-RAND())^(1/Alpha)))))</f>
        <v>0</v>
      </c>
      <c r="T344" s="19">
        <f ca="1">IF(RAND()&lt;P_Zero,0,IF(RAND()&lt;CondReturn,_xlfn.LOGNORM.INV(RAND(),MV2,Sigma1),IF(RAND()&lt;CondGood,_xlfn.LOGNORM.INV(RAND(),MV3,Sigma2),MIN(MaxMultiple,Xm/(1-RAND())^(1/Alpha)))))</f>
        <v>0.38063534341498723</v>
      </c>
      <c r="U344" s="19">
        <f ca="1">IF(RAND()&lt;P_Zero,0,IF(RAND()&lt;CondReturn,_xlfn.LOGNORM.INV(RAND(),MV2,Sigma1),IF(RAND()&lt;CondGood,_xlfn.LOGNORM.INV(RAND(),MV3,Sigma2),MIN(MaxMultiple,Xm/(1-RAND())^(1/Alpha)))))</f>
        <v>0.44835398701505191</v>
      </c>
      <c r="V344" s="19">
        <f ca="1">IF(RAND()&lt;P_Zero,0,IF(RAND()&lt;CondReturn,_xlfn.LOGNORM.INV(RAND(),MV2,Sigma1),IF(RAND()&lt;CondGood,_xlfn.LOGNORM.INV(RAND(),MV3,Sigma2),MIN(MaxMultiple,Xm/(1-RAND())^(1/Alpha)))))</f>
        <v>1.1611385834951424</v>
      </c>
      <c r="W344" s="19">
        <f ca="1">IF(RAND()&lt;P_Zero,0,IF(RAND()&lt;CondReturn,_xlfn.LOGNORM.INV(RAND(),MV2,Sigma1),IF(RAND()&lt;CondGood,_xlfn.LOGNORM.INV(RAND(),MV3,Sigma2),MIN(MaxMultiple,Xm/(1-RAND())^(1/Alpha)))))</f>
        <v>0</v>
      </c>
      <c r="X344" s="19">
        <f ca="1">IF(RAND()&lt;P_Zero,0,IF(RAND()&lt;CondReturn,_xlfn.LOGNORM.INV(RAND(),MV2,Sigma1),IF(RAND()&lt;CondGood,_xlfn.LOGNORM.INV(RAND(),MV3,Sigma2),MIN(MaxMultiple,Xm/(1-RAND())^(1/Alpha)))))</f>
        <v>0</v>
      </c>
      <c r="Y344" s="19">
        <f ca="1">IF(RAND()&lt;P_Zero,0,IF(RAND()&lt;CondReturn,_xlfn.LOGNORM.INV(RAND(),MV2,Sigma1),IF(RAND()&lt;CondGood,_xlfn.LOGNORM.INV(RAND(),MV3,Sigma2),MIN(MaxMultiple,Xm/(1-RAND())^(1/Alpha)))))</f>
        <v>0.63287120859990631</v>
      </c>
      <c r="Z344" s="19">
        <f ca="1">IF(RAND()&lt;P_Zero,0,IF(RAND()&lt;CondReturn,_xlfn.LOGNORM.INV(RAND(),MV2,Sigma1),IF(RAND()&lt;CondGood,_xlfn.LOGNORM.INV(RAND(),MV3,Sigma2),MIN(MaxMultiple,Xm/(1-RAND())^(1/Alpha)))))</f>
        <v>1.0473602485991678</v>
      </c>
      <c r="AA344" s="19">
        <f ca="1">IF(RAND()&lt;P_Zero,0,IF(RAND()&lt;CondReturn,_xlfn.LOGNORM.INV(RAND(),MV2,Sigma1),IF(RAND()&lt;CondGood,_xlfn.LOGNORM.INV(RAND(),MV3,Sigma2),MIN(MaxMultiple,Xm/(1-RAND())^(1/Alpha)))))</f>
        <v>0.6432418346865636</v>
      </c>
      <c r="AB344" s="19">
        <f t="shared" ca="1" si="40"/>
        <v>1.9488450739743621</v>
      </c>
      <c r="AC344" s="14">
        <f t="shared" ca="1" si="41"/>
        <v>93544563.550769389</v>
      </c>
      <c r="AD344" s="14">
        <f t="shared" ca="1" si="42"/>
        <v>45544563.550769389</v>
      </c>
      <c r="AE344" s="14">
        <f t="shared" si="43"/>
        <v>55628399.869093813</v>
      </c>
      <c r="AF344" s="14">
        <f t="shared" ca="1" si="44"/>
        <v>0</v>
      </c>
      <c r="AG344" s="14">
        <f t="shared" ca="1" si="45"/>
        <v>0</v>
      </c>
      <c r="AH344" s="14">
        <f t="shared" ca="1" si="46"/>
        <v>93544563.550769389</v>
      </c>
      <c r="AI344" s="19">
        <f t="shared" ca="1" si="47"/>
        <v>1.5590760591794899</v>
      </c>
    </row>
    <row r="345" spans="2:35" x14ac:dyDescent="0.2">
      <c r="B345" s="1">
        <v>340</v>
      </c>
      <c r="C345" s="19">
        <f ca="1">IF(RAND()&lt;P_Zero,0,IF(RAND()&lt;CondReturn,_xlfn.LOGNORM.INV(RAND(),MV2,Sigma1),IF(RAND()&lt;CondGood,_xlfn.LOGNORM.INV(RAND(),MV3,Sigma2),MIN(MaxMultiple,Xm/(1-RAND())^(1/Alpha)))))</f>
        <v>0.76804275129999644</v>
      </c>
      <c r="D345" s="19">
        <f ca="1">IF(RAND()&lt;P_Zero,0,IF(RAND()&lt;CondReturn,_xlfn.LOGNORM.INV(RAND(),MV2,Sigma1),IF(RAND()&lt;CondGood,_xlfn.LOGNORM.INV(RAND(),MV3,Sigma2),MIN(MaxMultiple,Xm/(1-RAND())^(1/Alpha)))))</f>
        <v>1.2781456956413715</v>
      </c>
      <c r="E345" s="19">
        <f ca="1">IF(RAND()&lt;P_Zero,0,IF(RAND()&lt;CondReturn,_xlfn.LOGNORM.INV(RAND(),MV2,Sigma1),IF(RAND()&lt;CondGood,_xlfn.LOGNORM.INV(RAND(),MV3,Sigma2),MIN(MaxMultiple,Xm/(1-RAND())^(1/Alpha)))))</f>
        <v>1.3446233175176634</v>
      </c>
      <c r="F345" s="19">
        <f ca="1">IF(RAND()&lt;P_Zero,0,IF(RAND()&lt;CondReturn,_xlfn.LOGNORM.INV(RAND(),MV2,Sigma1),IF(RAND()&lt;CondGood,_xlfn.LOGNORM.INV(RAND(),MV3,Sigma2),MIN(MaxMultiple,Xm/(1-RAND())^(1/Alpha)))))</f>
        <v>1.0650601004071893</v>
      </c>
      <c r="G345" s="19">
        <f ca="1">IF(RAND()&lt;P_Zero,0,IF(RAND()&lt;CondReturn,_xlfn.LOGNORM.INV(RAND(),MV2,Sigma1),IF(RAND()&lt;CondGood,_xlfn.LOGNORM.INV(RAND(),MV3,Sigma2),MIN(MaxMultiple,Xm/(1-RAND())^(1/Alpha)))))</f>
        <v>0.80790891442871282</v>
      </c>
      <c r="H345" s="19">
        <f ca="1">IF(RAND()&lt;P_Zero,0,IF(RAND()&lt;CondReturn,_xlfn.LOGNORM.INV(RAND(),MV2,Sigma1),IF(RAND()&lt;CondGood,_xlfn.LOGNORM.INV(RAND(),MV3,Sigma2),MIN(MaxMultiple,Xm/(1-RAND())^(1/Alpha)))))</f>
        <v>2.712788591720813</v>
      </c>
      <c r="I345" s="19">
        <f ca="1">IF(RAND()&lt;P_Zero,0,IF(RAND()&lt;CondReturn,_xlfn.LOGNORM.INV(RAND(),MV2,Sigma1),IF(RAND()&lt;CondGood,_xlfn.LOGNORM.INV(RAND(),MV3,Sigma2),MIN(MaxMultiple,Xm/(1-RAND())^(1/Alpha)))))</f>
        <v>0</v>
      </c>
      <c r="J345" s="19">
        <f ca="1">IF(RAND()&lt;P_Zero,0,IF(RAND()&lt;CondReturn,_xlfn.LOGNORM.INV(RAND(),MV2,Sigma1),IF(RAND()&lt;CondGood,_xlfn.LOGNORM.INV(RAND(),MV3,Sigma2),MIN(MaxMultiple,Xm/(1-RAND())^(1/Alpha)))))</f>
        <v>0</v>
      </c>
      <c r="K345" s="19">
        <f ca="1">IF(RAND()&lt;P_Zero,0,IF(RAND()&lt;CondReturn,_xlfn.LOGNORM.INV(RAND(),MV2,Sigma1),IF(RAND()&lt;CondGood,_xlfn.LOGNORM.INV(RAND(),MV3,Sigma2),MIN(MaxMultiple,Xm/(1-RAND())^(1/Alpha)))))</f>
        <v>0.79430570304479997</v>
      </c>
      <c r="L345" s="19">
        <f ca="1">IF(RAND()&lt;P_Zero,0,IF(RAND()&lt;CondReturn,_xlfn.LOGNORM.INV(RAND(),MV2,Sigma1),IF(RAND()&lt;CondGood,_xlfn.LOGNORM.INV(RAND(),MV3,Sigma2),MIN(MaxMultiple,Xm/(1-RAND())^(1/Alpha)))))</f>
        <v>0</v>
      </c>
      <c r="M345" s="19">
        <f ca="1">IF(RAND()&lt;P_Zero,0,IF(RAND()&lt;CondReturn,_xlfn.LOGNORM.INV(RAND(),MV2,Sigma1),IF(RAND()&lt;CondGood,_xlfn.LOGNORM.INV(RAND(),MV3,Sigma2),MIN(MaxMultiple,Xm/(1-RAND())^(1/Alpha)))))</f>
        <v>0</v>
      </c>
      <c r="N345" s="19">
        <f ca="1">IF(RAND()&lt;P_Zero,0,IF(RAND()&lt;CondReturn,_xlfn.LOGNORM.INV(RAND(),MV2,Sigma1),IF(RAND()&lt;CondGood,_xlfn.LOGNORM.INV(RAND(),MV3,Sigma2),MIN(MaxMultiple,Xm/(1-RAND())^(1/Alpha)))))</f>
        <v>0</v>
      </c>
      <c r="O345" s="19">
        <f ca="1">IF(RAND()&lt;P_Zero,0,IF(RAND()&lt;CondReturn,_xlfn.LOGNORM.INV(RAND(),MV2,Sigma1),IF(RAND()&lt;CondGood,_xlfn.LOGNORM.INV(RAND(),MV3,Sigma2),MIN(MaxMultiple,Xm/(1-RAND())^(1/Alpha)))))</f>
        <v>1.5565097235595469</v>
      </c>
      <c r="P345" s="19">
        <f ca="1">IF(RAND()&lt;P_Zero,0,IF(RAND()&lt;CondReturn,_xlfn.LOGNORM.INV(RAND(),MV2,Sigma1),IF(RAND()&lt;CondGood,_xlfn.LOGNORM.INV(RAND(),MV3,Sigma2),MIN(MaxMultiple,Xm/(1-RAND())^(1/Alpha)))))</f>
        <v>0</v>
      </c>
      <c r="Q345" s="19">
        <f ca="1">IF(RAND()&lt;P_Zero,0,IF(RAND()&lt;CondReturn,_xlfn.LOGNORM.INV(RAND(),MV2,Sigma1),IF(RAND()&lt;CondGood,_xlfn.LOGNORM.INV(RAND(),MV3,Sigma2),MIN(MaxMultiple,Xm/(1-RAND())^(1/Alpha)))))</f>
        <v>0</v>
      </c>
      <c r="R345" s="19">
        <f ca="1">IF(RAND()&lt;P_Zero,0,IF(RAND()&lt;CondReturn,_xlfn.LOGNORM.INV(RAND(),MV2,Sigma1),IF(RAND()&lt;CondGood,_xlfn.LOGNORM.INV(RAND(),MV3,Sigma2),MIN(MaxMultiple,Xm/(1-RAND())^(1/Alpha)))))</f>
        <v>0</v>
      </c>
      <c r="S345" s="19">
        <f ca="1">IF(RAND()&lt;P_Zero,0,IF(RAND()&lt;CondReturn,_xlfn.LOGNORM.INV(RAND(),MV2,Sigma1),IF(RAND()&lt;CondGood,_xlfn.LOGNORM.INV(RAND(),MV3,Sigma2),MIN(MaxMultiple,Xm/(1-RAND())^(1/Alpha)))))</f>
        <v>0</v>
      </c>
      <c r="T345" s="19">
        <f ca="1">IF(RAND()&lt;P_Zero,0,IF(RAND()&lt;CondReturn,_xlfn.LOGNORM.INV(RAND(),MV2,Sigma1),IF(RAND()&lt;CondGood,_xlfn.LOGNORM.INV(RAND(),MV3,Sigma2),MIN(MaxMultiple,Xm/(1-RAND())^(1/Alpha)))))</f>
        <v>0</v>
      </c>
      <c r="U345" s="19">
        <f ca="1">IF(RAND()&lt;P_Zero,0,IF(RAND()&lt;CondReturn,_xlfn.LOGNORM.INV(RAND(),MV2,Sigma1),IF(RAND()&lt;CondGood,_xlfn.LOGNORM.INV(RAND(),MV3,Sigma2),MIN(MaxMultiple,Xm/(1-RAND())^(1/Alpha)))))</f>
        <v>0.91811147815060135</v>
      </c>
      <c r="V345" s="19">
        <f ca="1">IF(RAND()&lt;P_Zero,0,IF(RAND()&lt;CondReturn,_xlfn.LOGNORM.INV(RAND(),MV2,Sigma1),IF(RAND()&lt;CondGood,_xlfn.LOGNORM.INV(RAND(),MV3,Sigma2),MIN(MaxMultiple,Xm/(1-RAND())^(1/Alpha)))))</f>
        <v>0</v>
      </c>
      <c r="W345" s="19">
        <f ca="1">IF(RAND()&lt;P_Zero,0,IF(RAND()&lt;CondReturn,_xlfn.LOGNORM.INV(RAND(),MV2,Sigma1),IF(RAND()&lt;CondGood,_xlfn.LOGNORM.INV(RAND(),MV3,Sigma2),MIN(MaxMultiple,Xm/(1-RAND())^(1/Alpha)))))</f>
        <v>0.54868116241627951</v>
      </c>
      <c r="X345" s="19">
        <f ca="1">IF(RAND()&lt;P_Zero,0,IF(RAND()&lt;CondReturn,_xlfn.LOGNORM.INV(RAND(),MV2,Sigma1),IF(RAND()&lt;CondGood,_xlfn.LOGNORM.INV(RAND(),MV3,Sigma2),MIN(MaxMultiple,Xm/(1-RAND())^(1/Alpha)))))</f>
        <v>0.35523396506357102</v>
      </c>
      <c r="Y345" s="19">
        <f ca="1">IF(RAND()&lt;P_Zero,0,IF(RAND()&lt;CondReturn,_xlfn.LOGNORM.INV(RAND(),MV2,Sigma1),IF(RAND()&lt;CondGood,_xlfn.LOGNORM.INV(RAND(),MV3,Sigma2),MIN(MaxMultiple,Xm/(1-RAND())^(1/Alpha)))))</f>
        <v>0.8578833514330787</v>
      </c>
      <c r="Z345" s="19">
        <f ca="1">IF(RAND()&lt;P_Zero,0,IF(RAND()&lt;CondReturn,_xlfn.LOGNORM.INV(RAND(),MV2,Sigma1),IF(RAND()&lt;CondGood,_xlfn.LOGNORM.INV(RAND(),MV3,Sigma2),MIN(MaxMultiple,Xm/(1-RAND())^(1/Alpha)))))</f>
        <v>0.67975620871856968</v>
      </c>
      <c r="AA345" s="19">
        <f ca="1">IF(RAND()&lt;P_Zero,0,IF(RAND()&lt;CondReturn,_xlfn.LOGNORM.INV(RAND(),MV2,Sigma1),IF(RAND()&lt;CondGood,_xlfn.LOGNORM.INV(RAND(),MV3,Sigma2),MIN(MaxMultiple,Xm/(1-RAND())^(1/Alpha)))))</f>
        <v>1.4104107487976778</v>
      </c>
      <c r="AB345" s="19">
        <f t="shared" ca="1" si="40"/>
        <v>0.60389846848799478</v>
      </c>
      <c r="AC345" s="14">
        <f t="shared" ca="1" si="41"/>
        <v>28987126.487423748</v>
      </c>
      <c r="AD345" s="14">
        <f t="shared" ca="1" si="42"/>
        <v>-19012873.512576252</v>
      </c>
      <c r="AE345" s="14">
        <f t="shared" si="43"/>
        <v>55628399.869093813</v>
      </c>
      <c r="AF345" s="14">
        <f t="shared" ca="1" si="44"/>
        <v>0</v>
      </c>
      <c r="AG345" s="14">
        <f t="shared" ca="1" si="45"/>
        <v>0</v>
      </c>
      <c r="AH345" s="14">
        <f t="shared" ca="1" si="46"/>
        <v>28987126.487423748</v>
      </c>
      <c r="AI345" s="19">
        <f t="shared" ca="1" si="47"/>
        <v>0.48311877479039578</v>
      </c>
    </row>
    <row r="346" spans="2:35" x14ac:dyDescent="0.2">
      <c r="B346" s="1">
        <v>341</v>
      </c>
      <c r="C346" s="19">
        <f ca="1">IF(RAND()&lt;P_Zero,0,IF(RAND()&lt;CondReturn,_xlfn.LOGNORM.INV(RAND(),MV2,Sigma1),IF(RAND()&lt;CondGood,_xlfn.LOGNORM.INV(RAND(),MV3,Sigma2),MIN(MaxMultiple,Xm/(1-RAND())^(1/Alpha)))))</f>
        <v>0</v>
      </c>
      <c r="D346" s="19">
        <f ca="1">IF(RAND()&lt;P_Zero,0,IF(RAND()&lt;CondReturn,_xlfn.LOGNORM.INV(RAND(),MV2,Sigma1),IF(RAND()&lt;CondGood,_xlfn.LOGNORM.INV(RAND(),MV3,Sigma2),MIN(MaxMultiple,Xm/(1-RAND())^(1/Alpha)))))</f>
        <v>41.644851157579716</v>
      </c>
      <c r="E346" s="19">
        <f ca="1">IF(RAND()&lt;P_Zero,0,IF(RAND()&lt;CondReturn,_xlfn.LOGNORM.INV(RAND(),MV2,Sigma1),IF(RAND()&lt;CondGood,_xlfn.LOGNORM.INV(RAND(),MV3,Sigma2),MIN(MaxMultiple,Xm/(1-RAND())^(1/Alpha)))))</f>
        <v>0.38605474829892106</v>
      </c>
      <c r="F346" s="19">
        <f ca="1">IF(RAND()&lt;P_Zero,0,IF(RAND()&lt;CondReturn,_xlfn.LOGNORM.INV(RAND(),MV2,Sigma1),IF(RAND()&lt;CondGood,_xlfn.LOGNORM.INV(RAND(),MV3,Sigma2),MIN(MaxMultiple,Xm/(1-RAND())^(1/Alpha)))))</f>
        <v>1.7017047443625115</v>
      </c>
      <c r="G346" s="19">
        <f ca="1">IF(RAND()&lt;P_Zero,0,IF(RAND()&lt;CondReturn,_xlfn.LOGNORM.INV(RAND(),MV2,Sigma1),IF(RAND()&lt;CondGood,_xlfn.LOGNORM.INV(RAND(),MV3,Sigma2),MIN(MaxMultiple,Xm/(1-RAND())^(1/Alpha)))))</f>
        <v>1.3618061112830864</v>
      </c>
      <c r="H346" s="19">
        <f ca="1">IF(RAND()&lt;P_Zero,0,IF(RAND()&lt;CondReturn,_xlfn.LOGNORM.INV(RAND(),MV2,Sigma1),IF(RAND()&lt;CondGood,_xlfn.LOGNORM.INV(RAND(),MV3,Sigma2),MIN(MaxMultiple,Xm/(1-RAND())^(1/Alpha)))))</f>
        <v>0</v>
      </c>
      <c r="I346" s="19">
        <f ca="1">IF(RAND()&lt;P_Zero,0,IF(RAND()&lt;CondReturn,_xlfn.LOGNORM.INV(RAND(),MV2,Sigma1),IF(RAND()&lt;CondGood,_xlfn.LOGNORM.INV(RAND(),MV3,Sigma2),MIN(MaxMultiple,Xm/(1-RAND())^(1/Alpha)))))</f>
        <v>0</v>
      </c>
      <c r="J346" s="19">
        <f ca="1">IF(RAND()&lt;P_Zero,0,IF(RAND()&lt;CondReturn,_xlfn.LOGNORM.INV(RAND(),MV2,Sigma1),IF(RAND()&lt;CondGood,_xlfn.LOGNORM.INV(RAND(),MV3,Sigma2),MIN(MaxMultiple,Xm/(1-RAND())^(1/Alpha)))))</f>
        <v>0</v>
      </c>
      <c r="K346" s="19">
        <f ca="1">IF(RAND()&lt;P_Zero,0,IF(RAND()&lt;CondReturn,_xlfn.LOGNORM.INV(RAND(),MV2,Sigma1),IF(RAND()&lt;CondGood,_xlfn.LOGNORM.INV(RAND(),MV3,Sigma2),MIN(MaxMultiple,Xm/(1-RAND())^(1/Alpha)))))</f>
        <v>0</v>
      </c>
      <c r="L346" s="19">
        <f ca="1">IF(RAND()&lt;P_Zero,0,IF(RAND()&lt;CondReturn,_xlfn.LOGNORM.INV(RAND(),MV2,Sigma1),IF(RAND()&lt;CondGood,_xlfn.LOGNORM.INV(RAND(),MV3,Sigma2),MIN(MaxMultiple,Xm/(1-RAND())^(1/Alpha)))))</f>
        <v>0</v>
      </c>
      <c r="M346" s="19">
        <f ca="1">IF(RAND()&lt;P_Zero,0,IF(RAND()&lt;CondReturn,_xlfn.LOGNORM.INV(RAND(),MV2,Sigma1),IF(RAND()&lt;CondGood,_xlfn.LOGNORM.INV(RAND(),MV3,Sigma2),MIN(MaxMultiple,Xm/(1-RAND())^(1/Alpha)))))</f>
        <v>0</v>
      </c>
      <c r="N346" s="19">
        <f ca="1">IF(RAND()&lt;P_Zero,0,IF(RAND()&lt;CondReturn,_xlfn.LOGNORM.INV(RAND(),MV2,Sigma1),IF(RAND()&lt;CondGood,_xlfn.LOGNORM.INV(RAND(),MV3,Sigma2),MIN(MaxMultiple,Xm/(1-RAND())^(1/Alpha)))))</f>
        <v>0</v>
      </c>
      <c r="O346" s="19">
        <f ca="1">IF(RAND()&lt;P_Zero,0,IF(RAND()&lt;CondReturn,_xlfn.LOGNORM.INV(RAND(),MV2,Sigma1),IF(RAND()&lt;CondGood,_xlfn.LOGNORM.INV(RAND(),MV3,Sigma2),MIN(MaxMultiple,Xm/(1-RAND())^(1/Alpha)))))</f>
        <v>0</v>
      </c>
      <c r="P346" s="19">
        <f ca="1">IF(RAND()&lt;P_Zero,0,IF(RAND()&lt;CondReturn,_xlfn.LOGNORM.INV(RAND(),MV2,Sigma1),IF(RAND()&lt;CondGood,_xlfn.LOGNORM.INV(RAND(),MV3,Sigma2),MIN(MaxMultiple,Xm/(1-RAND())^(1/Alpha)))))</f>
        <v>0.58561844549449882</v>
      </c>
      <c r="Q346" s="19">
        <f ca="1">IF(RAND()&lt;P_Zero,0,IF(RAND()&lt;CondReturn,_xlfn.LOGNORM.INV(RAND(),MV2,Sigma1),IF(RAND()&lt;CondGood,_xlfn.LOGNORM.INV(RAND(),MV3,Sigma2),MIN(MaxMultiple,Xm/(1-RAND())^(1/Alpha)))))</f>
        <v>0.67432403681079223</v>
      </c>
      <c r="R346" s="19">
        <f ca="1">IF(RAND()&lt;P_Zero,0,IF(RAND()&lt;CondReturn,_xlfn.LOGNORM.INV(RAND(),MV2,Sigma1),IF(RAND()&lt;CondGood,_xlfn.LOGNORM.INV(RAND(),MV3,Sigma2),MIN(MaxMultiple,Xm/(1-RAND())^(1/Alpha)))))</f>
        <v>0</v>
      </c>
      <c r="S346" s="19">
        <f ca="1">IF(RAND()&lt;P_Zero,0,IF(RAND()&lt;CondReturn,_xlfn.LOGNORM.INV(RAND(),MV2,Sigma1),IF(RAND()&lt;CondGood,_xlfn.LOGNORM.INV(RAND(),MV3,Sigma2),MIN(MaxMultiple,Xm/(1-RAND())^(1/Alpha)))))</f>
        <v>0</v>
      </c>
      <c r="T346" s="19">
        <f ca="1">IF(RAND()&lt;P_Zero,0,IF(RAND()&lt;CondReturn,_xlfn.LOGNORM.INV(RAND(),MV2,Sigma1),IF(RAND()&lt;CondGood,_xlfn.LOGNORM.INV(RAND(),MV3,Sigma2),MIN(MaxMultiple,Xm/(1-RAND())^(1/Alpha)))))</f>
        <v>0</v>
      </c>
      <c r="U346" s="19">
        <f ca="1">IF(RAND()&lt;P_Zero,0,IF(RAND()&lt;CondReturn,_xlfn.LOGNORM.INV(RAND(),MV2,Sigma1),IF(RAND()&lt;CondGood,_xlfn.LOGNORM.INV(RAND(),MV3,Sigma2),MIN(MaxMultiple,Xm/(1-RAND())^(1/Alpha)))))</f>
        <v>2.1782320875963692</v>
      </c>
      <c r="V346" s="19">
        <f ca="1">IF(RAND()&lt;P_Zero,0,IF(RAND()&lt;CondReturn,_xlfn.LOGNORM.INV(RAND(),MV2,Sigma1),IF(RAND()&lt;CondGood,_xlfn.LOGNORM.INV(RAND(),MV3,Sigma2),MIN(MaxMultiple,Xm/(1-RAND())^(1/Alpha)))))</f>
        <v>0</v>
      </c>
      <c r="W346" s="19">
        <f ca="1">IF(RAND()&lt;P_Zero,0,IF(RAND()&lt;CondReturn,_xlfn.LOGNORM.INV(RAND(),MV2,Sigma1),IF(RAND()&lt;CondGood,_xlfn.LOGNORM.INV(RAND(),MV3,Sigma2),MIN(MaxMultiple,Xm/(1-RAND())^(1/Alpha)))))</f>
        <v>36.348256013028248</v>
      </c>
      <c r="X346" s="19">
        <f ca="1">IF(RAND()&lt;P_Zero,0,IF(RAND()&lt;CondReturn,_xlfn.LOGNORM.INV(RAND(),MV2,Sigma1),IF(RAND()&lt;CondGood,_xlfn.LOGNORM.INV(RAND(),MV3,Sigma2),MIN(MaxMultiple,Xm/(1-RAND())^(1/Alpha)))))</f>
        <v>1.1433377147097137</v>
      </c>
      <c r="Y346" s="19">
        <f ca="1">IF(RAND()&lt;P_Zero,0,IF(RAND()&lt;CondReturn,_xlfn.LOGNORM.INV(RAND(),MV2,Sigma1),IF(RAND()&lt;CondGood,_xlfn.LOGNORM.INV(RAND(),MV3,Sigma2),MIN(MaxMultiple,Xm/(1-RAND())^(1/Alpha)))))</f>
        <v>0</v>
      </c>
      <c r="Z346" s="19">
        <f ca="1">IF(RAND()&lt;P_Zero,0,IF(RAND()&lt;CondReturn,_xlfn.LOGNORM.INV(RAND(),MV2,Sigma1),IF(RAND()&lt;CondGood,_xlfn.LOGNORM.INV(RAND(),MV3,Sigma2),MIN(MaxMultiple,Xm/(1-RAND())^(1/Alpha)))))</f>
        <v>0</v>
      </c>
      <c r="AA346" s="19">
        <f ca="1">IF(RAND()&lt;P_Zero,0,IF(RAND()&lt;CondReturn,_xlfn.LOGNORM.INV(RAND(),MV2,Sigma1),IF(RAND()&lt;CondGood,_xlfn.LOGNORM.INV(RAND(),MV3,Sigma2),MIN(MaxMultiple,Xm/(1-RAND())^(1/Alpha)))))</f>
        <v>32.999206574464964</v>
      </c>
      <c r="AB346" s="19">
        <f t="shared" ca="1" si="40"/>
        <v>4.7609356653451531</v>
      </c>
      <c r="AC346" s="14">
        <f t="shared" ca="1" si="41"/>
        <v>228524911.93656734</v>
      </c>
      <c r="AD346" s="14">
        <f t="shared" ca="1" si="42"/>
        <v>180524911.93656734</v>
      </c>
      <c r="AE346" s="14">
        <f t="shared" si="43"/>
        <v>55628399.869093813</v>
      </c>
      <c r="AF346" s="14">
        <f t="shared" ca="1" si="44"/>
        <v>124896512.06747353</v>
      </c>
      <c r="AG346" s="14">
        <f t="shared" ca="1" si="45"/>
        <v>24979302.413494706</v>
      </c>
      <c r="AH346" s="14">
        <f t="shared" ca="1" si="46"/>
        <v>203545609.52307263</v>
      </c>
      <c r="AI346" s="19">
        <f t="shared" ca="1" si="47"/>
        <v>3.3924268253845438</v>
      </c>
    </row>
    <row r="347" spans="2:35" x14ac:dyDescent="0.2">
      <c r="B347" s="1">
        <v>342</v>
      </c>
      <c r="C347" s="19">
        <f ca="1">IF(RAND()&lt;P_Zero,0,IF(RAND()&lt;CondReturn,_xlfn.LOGNORM.INV(RAND(),MV2,Sigma1),IF(RAND()&lt;CondGood,_xlfn.LOGNORM.INV(RAND(),MV3,Sigma2),MIN(MaxMultiple,Xm/(1-RAND())^(1/Alpha)))))</f>
        <v>0</v>
      </c>
      <c r="D347" s="19">
        <f ca="1">IF(RAND()&lt;P_Zero,0,IF(RAND()&lt;CondReturn,_xlfn.LOGNORM.INV(RAND(),MV2,Sigma1),IF(RAND()&lt;CondGood,_xlfn.LOGNORM.INV(RAND(),MV3,Sigma2),MIN(MaxMultiple,Xm/(1-RAND())^(1/Alpha)))))</f>
        <v>0.93290737638518473</v>
      </c>
      <c r="E347" s="19">
        <f ca="1">IF(RAND()&lt;P_Zero,0,IF(RAND()&lt;CondReturn,_xlfn.LOGNORM.INV(RAND(),MV2,Sigma1),IF(RAND()&lt;CondGood,_xlfn.LOGNORM.INV(RAND(),MV3,Sigma2),MIN(MaxMultiple,Xm/(1-RAND())^(1/Alpha)))))</f>
        <v>0</v>
      </c>
      <c r="F347" s="19">
        <f ca="1">IF(RAND()&lt;P_Zero,0,IF(RAND()&lt;CondReturn,_xlfn.LOGNORM.INV(RAND(),MV2,Sigma1),IF(RAND()&lt;CondGood,_xlfn.LOGNORM.INV(RAND(),MV3,Sigma2),MIN(MaxMultiple,Xm/(1-RAND())^(1/Alpha)))))</f>
        <v>0.3734051609202495</v>
      </c>
      <c r="G347" s="19">
        <f ca="1">IF(RAND()&lt;P_Zero,0,IF(RAND()&lt;CondReturn,_xlfn.LOGNORM.INV(RAND(),MV2,Sigma1),IF(RAND()&lt;CondGood,_xlfn.LOGNORM.INV(RAND(),MV3,Sigma2),MIN(MaxMultiple,Xm/(1-RAND())^(1/Alpha)))))</f>
        <v>0</v>
      </c>
      <c r="H347" s="19">
        <f ca="1">IF(RAND()&lt;P_Zero,0,IF(RAND()&lt;CondReturn,_xlfn.LOGNORM.INV(RAND(),MV2,Sigma1),IF(RAND()&lt;CondGood,_xlfn.LOGNORM.INV(RAND(),MV3,Sigma2),MIN(MaxMultiple,Xm/(1-RAND())^(1/Alpha)))))</f>
        <v>0</v>
      </c>
      <c r="I347" s="19">
        <f ca="1">IF(RAND()&lt;P_Zero,0,IF(RAND()&lt;CondReturn,_xlfn.LOGNORM.INV(RAND(),MV2,Sigma1),IF(RAND()&lt;CondGood,_xlfn.LOGNORM.INV(RAND(),MV3,Sigma2),MIN(MaxMultiple,Xm/(1-RAND())^(1/Alpha)))))</f>
        <v>0.53534057799002543</v>
      </c>
      <c r="J347" s="19">
        <f ca="1">IF(RAND()&lt;P_Zero,0,IF(RAND()&lt;CondReturn,_xlfn.LOGNORM.INV(RAND(),MV2,Sigma1),IF(RAND()&lt;CondGood,_xlfn.LOGNORM.INV(RAND(),MV3,Sigma2),MIN(MaxMultiple,Xm/(1-RAND())^(1/Alpha)))))</f>
        <v>0.53364663901103526</v>
      </c>
      <c r="K347" s="19">
        <f ca="1">IF(RAND()&lt;P_Zero,0,IF(RAND()&lt;CondReturn,_xlfn.LOGNORM.INV(RAND(),MV2,Sigma1),IF(RAND()&lt;CondGood,_xlfn.LOGNORM.INV(RAND(),MV3,Sigma2),MIN(MaxMultiple,Xm/(1-RAND())^(1/Alpha)))))</f>
        <v>2.0711482198242428</v>
      </c>
      <c r="L347" s="19">
        <f ca="1">IF(RAND()&lt;P_Zero,0,IF(RAND()&lt;CondReturn,_xlfn.LOGNORM.INV(RAND(),MV2,Sigma1),IF(RAND()&lt;CondGood,_xlfn.LOGNORM.INV(RAND(),MV3,Sigma2),MIN(MaxMultiple,Xm/(1-RAND())^(1/Alpha)))))</f>
        <v>55.470802903550243</v>
      </c>
      <c r="M347" s="19">
        <f ca="1">IF(RAND()&lt;P_Zero,0,IF(RAND()&lt;CondReturn,_xlfn.LOGNORM.INV(RAND(),MV2,Sigma1),IF(RAND()&lt;CondGood,_xlfn.LOGNORM.INV(RAND(),MV3,Sigma2),MIN(MaxMultiple,Xm/(1-RAND())^(1/Alpha)))))</f>
        <v>0.8174318792837193</v>
      </c>
      <c r="N347" s="19">
        <f ca="1">IF(RAND()&lt;P_Zero,0,IF(RAND()&lt;CondReturn,_xlfn.LOGNORM.INV(RAND(),MV2,Sigma1),IF(RAND()&lt;CondGood,_xlfn.LOGNORM.INV(RAND(),MV3,Sigma2),MIN(MaxMultiple,Xm/(1-RAND())^(1/Alpha)))))</f>
        <v>0.91948954266770933</v>
      </c>
      <c r="O347" s="19">
        <f ca="1">IF(RAND()&lt;P_Zero,0,IF(RAND()&lt;CondReturn,_xlfn.LOGNORM.INV(RAND(),MV2,Sigma1),IF(RAND()&lt;CondGood,_xlfn.LOGNORM.INV(RAND(),MV3,Sigma2),MIN(MaxMultiple,Xm/(1-RAND())^(1/Alpha)))))</f>
        <v>0</v>
      </c>
      <c r="P347" s="19">
        <f ca="1">IF(RAND()&lt;P_Zero,0,IF(RAND()&lt;CondReturn,_xlfn.LOGNORM.INV(RAND(),MV2,Sigma1),IF(RAND()&lt;CondGood,_xlfn.LOGNORM.INV(RAND(),MV3,Sigma2),MIN(MaxMultiple,Xm/(1-RAND())^(1/Alpha)))))</f>
        <v>0.84369374951378939</v>
      </c>
      <c r="Q347" s="19">
        <f ca="1">IF(RAND()&lt;P_Zero,0,IF(RAND()&lt;CondReturn,_xlfn.LOGNORM.INV(RAND(),MV2,Sigma1),IF(RAND()&lt;CondGood,_xlfn.LOGNORM.INV(RAND(),MV3,Sigma2),MIN(MaxMultiple,Xm/(1-RAND())^(1/Alpha)))))</f>
        <v>0</v>
      </c>
      <c r="R347" s="19">
        <f ca="1">IF(RAND()&lt;P_Zero,0,IF(RAND()&lt;CondReturn,_xlfn.LOGNORM.INV(RAND(),MV2,Sigma1),IF(RAND()&lt;CondGood,_xlfn.LOGNORM.INV(RAND(),MV3,Sigma2),MIN(MaxMultiple,Xm/(1-RAND())^(1/Alpha)))))</f>
        <v>2.4838884760930449</v>
      </c>
      <c r="S347" s="19">
        <f ca="1">IF(RAND()&lt;P_Zero,0,IF(RAND()&lt;CondReturn,_xlfn.LOGNORM.INV(RAND(),MV2,Sigma1),IF(RAND()&lt;CondGood,_xlfn.LOGNORM.INV(RAND(),MV3,Sigma2),MIN(MaxMultiple,Xm/(1-RAND())^(1/Alpha)))))</f>
        <v>1.5075669603534885</v>
      </c>
      <c r="T347" s="19">
        <f ca="1">IF(RAND()&lt;P_Zero,0,IF(RAND()&lt;CondReturn,_xlfn.LOGNORM.INV(RAND(),MV2,Sigma1),IF(RAND()&lt;CondGood,_xlfn.LOGNORM.INV(RAND(),MV3,Sigma2),MIN(MaxMultiple,Xm/(1-RAND())^(1/Alpha)))))</f>
        <v>1.8662750943780646</v>
      </c>
      <c r="U347" s="19">
        <f ca="1">IF(RAND()&lt;P_Zero,0,IF(RAND()&lt;CondReturn,_xlfn.LOGNORM.INV(RAND(),MV2,Sigma1),IF(RAND()&lt;CondGood,_xlfn.LOGNORM.INV(RAND(),MV3,Sigma2),MIN(MaxMultiple,Xm/(1-RAND())^(1/Alpha)))))</f>
        <v>0</v>
      </c>
      <c r="V347" s="19">
        <f ca="1">IF(RAND()&lt;P_Zero,0,IF(RAND()&lt;CondReturn,_xlfn.LOGNORM.INV(RAND(),MV2,Sigma1),IF(RAND()&lt;CondGood,_xlfn.LOGNORM.INV(RAND(),MV3,Sigma2),MIN(MaxMultiple,Xm/(1-RAND())^(1/Alpha)))))</f>
        <v>0</v>
      </c>
      <c r="W347" s="19">
        <f ca="1">IF(RAND()&lt;P_Zero,0,IF(RAND()&lt;CondReturn,_xlfn.LOGNORM.INV(RAND(),MV2,Sigma1),IF(RAND()&lt;CondGood,_xlfn.LOGNORM.INV(RAND(),MV3,Sigma2),MIN(MaxMultiple,Xm/(1-RAND())^(1/Alpha)))))</f>
        <v>0</v>
      </c>
      <c r="X347" s="19">
        <f ca="1">IF(RAND()&lt;P_Zero,0,IF(RAND()&lt;CondReturn,_xlfn.LOGNORM.INV(RAND(),MV2,Sigma1),IF(RAND()&lt;CondGood,_xlfn.LOGNORM.INV(RAND(),MV3,Sigma2),MIN(MaxMultiple,Xm/(1-RAND())^(1/Alpha)))))</f>
        <v>0.47956339220893784</v>
      </c>
      <c r="Y347" s="19">
        <f ca="1">IF(RAND()&lt;P_Zero,0,IF(RAND()&lt;CondReturn,_xlfn.LOGNORM.INV(RAND(),MV2,Sigma1),IF(RAND()&lt;CondGood,_xlfn.LOGNORM.INV(RAND(),MV3,Sigma2),MIN(MaxMultiple,Xm/(1-RAND())^(1/Alpha)))))</f>
        <v>0.79875065616012297</v>
      </c>
      <c r="Z347" s="19">
        <f ca="1">IF(RAND()&lt;P_Zero,0,IF(RAND()&lt;CondReturn,_xlfn.LOGNORM.INV(RAND(),MV2,Sigma1),IF(RAND()&lt;CondGood,_xlfn.LOGNORM.INV(RAND(),MV3,Sigma2),MIN(MaxMultiple,Xm/(1-RAND())^(1/Alpha)))))</f>
        <v>0.69568124762909789</v>
      </c>
      <c r="AA347" s="19">
        <f ca="1">IF(RAND()&lt;P_Zero,0,IF(RAND()&lt;CondReturn,_xlfn.LOGNORM.INV(RAND(),MV2,Sigma1),IF(RAND()&lt;CondGood,_xlfn.LOGNORM.INV(RAND(),MV3,Sigma2),MIN(MaxMultiple,Xm/(1-RAND())^(1/Alpha)))))</f>
        <v>0</v>
      </c>
      <c r="AB347" s="19">
        <f t="shared" ca="1" si="40"/>
        <v>2.8131836750387582</v>
      </c>
      <c r="AC347" s="14">
        <f t="shared" ca="1" si="41"/>
        <v>135032816.40186039</v>
      </c>
      <c r="AD347" s="14">
        <f t="shared" ca="1" si="42"/>
        <v>87032816.401860386</v>
      </c>
      <c r="AE347" s="14">
        <f t="shared" si="43"/>
        <v>55628399.869093813</v>
      </c>
      <c r="AF347" s="14">
        <f t="shared" ca="1" si="44"/>
        <v>31404416.532766573</v>
      </c>
      <c r="AG347" s="14">
        <f t="shared" ca="1" si="45"/>
        <v>6280883.3065533154</v>
      </c>
      <c r="AH347" s="14">
        <f t="shared" ca="1" si="46"/>
        <v>128751933.09530707</v>
      </c>
      <c r="AI347" s="19">
        <f t="shared" ca="1" si="47"/>
        <v>2.145865551588451</v>
      </c>
    </row>
    <row r="348" spans="2:35" x14ac:dyDescent="0.2">
      <c r="B348" s="1">
        <v>343</v>
      </c>
      <c r="C348" s="19">
        <f ca="1">IF(RAND()&lt;P_Zero,0,IF(RAND()&lt;CondReturn,_xlfn.LOGNORM.INV(RAND(),MV2,Sigma1),IF(RAND()&lt;CondGood,_xlfn.LOGNORM.INV(RAND(),MV3,Sigma2),MIN(MaxMultiple,Xm/(1-RAND())^(1/Alpha)))))</f>
        <v>0</v>
      </c>
      <c r="D348" s="19">
        <f ca="1">IF(RAND()&lt;P_Zero,0,IF(RAND()&lt;CondReturn,_xlfn.LOGNORM.INV(RAND(),MV2,Sigma1),IF(RAND()&lt;CondGood,_xlfn.LOGNORM.INV(RAND(),MV3,Sigma2),MIN(MaxMultiple,Xm/(1-RAND())^(1/Alpha)))))</f>
        <v>15.59996753857366</v>
      </c>
      <c r="E348" s="19">
        <f ca="1">IF(RAND()&lt;P_Zero,0,IF(RAND()&lt;CondReturn,_xlfn.LOGNORM.INV(RAND(),MV2,Sigma1),IF(RAND()&lt;CondGood,_xlfn.LOGNORM.INV(RAND(),MV3,Sigma2),MIN(MaxMultiple,Xm/(1-RAND())^(1/Alpha)))))</f>
        <v>1.9215819544542545</v>
      </c>
      <c r="F348" s="19">
        <f ca="1">IF(RAND()&lt;P_Zero,0,IF(RAND()&lt;CondReturn,_xlfn.LOGNORM.INV(RAND(),MV2,Sigma1),IF(RAND()&lt;CondGood,_xlfn.LOGNORM.INV(RAND(),MV3,Sigma2),MIN(MaxMultiple,Xm/(1-RAND())^(1/Alpha)))))</f>
        <v>0</v>
      </c>
      <c r="G348" s="19">
        <f ca="1">IF(RAND()&lt;P_Zero,0,IF(RAND()&lt;CondReturn,_xlfn.LOGNORM.INV(RAND(),MV2,Sigma1),IF(RAND()&lt;CondGood,_xlfn.LOGNORM.INV(RAND(),MV3,Sigma2),MIN(MaxMultiple,Xm/(1-RAND())^(1/Alpha)))))</f>
        <v>1.387459587862679</v>
      </c>
      <c r="H348" s="19">
        <f ca="1">IF(RAND()&lt;P_Zero,0,IF(RAND()&lt;CondReturn,_xlfn.LOGNORM.INV(RAND(),MV2,Sigma1),IF(RAND()&lt;CondGood,_xlfn.LOGNORM.INV(RAND(),MV3,Sigma2),MIN(MaxMultiple,Xm/(1-RAND())^(1/Alpha)))))</f>
        <v>0</v>
      </c>
      <c r="I348" s="19">
        <f ca="1">IF(RAND()&lt;P_Zero,0,IF(RAND()&lt;CondReturn,_xlfn.LOGNORM.INV(RAND(),MV2,Sigma1),IF(RAND()&lt;CondGood,_xlfn.LOGNORM.INV(RAND(),MV3,Sigma2),MIN(MaxMultiple,Xm/(1-RAND())^(1/Alpha)))))</f>
        <v>0.69738535481597363</v>
      </c>
      <c r="J348" s="19">
        <f ca="1">IF(RAND()&lt;P_Zero,0,IF(RAND()&lt;CondReturn,_xlfn.LOGNORM.INV(RAND(),MV2,Sigma1),IF(RAND()&lt;CondGood,_xlfn.LOGNORM.INV(RAND(),MV3,Sigma2),MIN(MaxMultiple,Xm/(1-RAND())^(1/Alpha)))))</f>
        <v>1.2446794707779423</v>
      </c>
      <c r="K348" s="19">
        <f ca="1">IF(RAND()&lt;P_Zero,0,IF(RAND()&lt;CondReturn,_xlfn.LOGNORM.INV(RAND(),MV2,Sigma1),IF(RAND()&lt;CondGood,_xlfn.LOGNORM.INV(RAND(),MV3,Sigma2),MIN(MaxMultiple,Xm/(1-RAND())^(1/Alpha)))))</f>
        <v>30.436441104273971</v>
      </c>
      <c r="L348" s="19">
        <f ca="1">IF(RAND()&lt;P_Zero,0,IF(RAND()&lt;CondReturn,_xlfn.LOGNORM.INV(RAND(),MV2,Sigma1),IF(RAND()&lt;CondGood,_xlfn.LOGNORM.INV(RAND(),MV3,Sigma2),MIN(MaxMultiple,Xm/(1-RAND())^(1/Alpha)))))</f>
        <v>1.2338107984712869</v>
      </c>
      <c r="M348" s="19">
        <f ca="1">IF(RAND()&lt;P_Zero,0,IF(RAND()&lt;CondReturn,_xlfn.LOGNORM.INV(RAND(),MV2,Sigma1),IF(RAND()&lt;CondGood,_xlfn.LOGNORM.INV(RAND(),MV3,Sigma2),MIN(MaxMultiple,Xm/(1-RAND())^(1/Alpha)))))</f>
        <v>0</v>
      </c>
      <c r="N348" s="19">
        <f ca="1">IF(RAND()&lt;P_Zero,0,IF(RAND()&lt;CondReturn,_xlfn.LOGNORM.INV(RAND(),MV2,Sigma1),IF(RAND()&lt;CondGood,_xlfn.LOGNORM.INV(RAND(),MV3,Sigma2),MIN(MaxMultiple,Xm/(1-RAND())^(1/Alpha)))))</f>
        <v>0</v>
      </c>
      <c r="O348" s="19">
        <f ca="1">IF(RAND()&lt;P_Zero,0,IF(RAND()&lt;CondReturn,_xlfn.LOGNORM.INV(RAND(),MV2,Sigma1),IF(RAND()&lt;CondGood,_xlfn.LOGNORM.INV(RAND(),MV3,Sigma2),MIN(MaxMultiple,Xm/(1-RAND())^(1/Alpha)))))</f>
        <v>0</v>
      </c>
      <c r="P348" s="19">
        <f ca="1">IF(RAND()&lt;P_Zero,0,IF(RAND()&lt;CondReturn,_xlfn.LOGNORM.INV(RAND(),MV2,Sigma1),IF(RAND()&lt;CondGood,_xlfn.LOGNORM.INV(RAND(),MV3,Sigma2),MIN(MaxMultiple,Xm/(1-RAND())^(1/Alpha)))))</f>
        <v>0</v>
      </c>
      <c r="Q348" s="19">
        <f ca="1">IF(RAND()&lt;P_Zero,0,IF(RAND()&lt;CondReturn,_xlfn.LOGNORM.INV(RAND(),MV2,Sigma1),IF(RAND()&lt;CondGood,_xlfn.LOGNORM.INV(RAND(),MV3,Sigma2),MIN(MaxMultiple,Xm/(1-RAND())^(1/Alpha)))))</f>
        <v>0.71997431961475189</v>
      </c>
      <c r="R348" s="19">
        <f ca="1">IF(RAND()&lt;P_Zero,0,IF(RAND()&lt;CondReturn,_xlfn.LOGNORM.INV(RAND(),MV2,Sigma1),IF(RAND()&lt;CondGood,_xlfn.LOGNORM.INV(RAND(),MV3,Sigma2),MIN(MaxMultiple,Xm/(1-RAND())^(1/Alpha)))))</f>
        <v>14.826357744116434</v>
      </c>
      <c r="S348" s="19">
        <f ca="1">IF(RAND()&lt;P_Zero,0,IF(RAND()&lt;CondReturn,_xlfn.LOGNORM.INV(RAND(),MV2,Sigma1),IF(RAND()&lt;CondGood,_xlfn.LOGNORM.INV(RAND(),MV3,Sigma2),MIN(MaxMultiple,Xm/(1-RAND())^(1/Alpha)))))</f>
        <v>1.2771903260934387</v>
      </c>
      <c r="T348" s="19">
        <f ca="1">IF(RAND()&lt;P_Zero,0,IF(RAND()&lt;CondReturn,_xlfn.LOGNORM.INV(RAND(),MV2,Sigma1),IF(RAND()&lt;CondGood,_xlfn.LOGNORM.INV(RAND(),MV3,Sigma2),MIN(MaxMultiple,Xm/(1-RAND())^(1/Alpha)))))</f>
        <v>0</v>
      </c>
      <c r="U348" s="19">
        <f ca="1">IF(RAND()&lt;P_Zero,0,IF(RAND()&lt;CondReturn,_xlfn.LOGNORM.INV(RAND(),MV2,Sigma1),IF(RAND()&lt;CondGood,_xlfn.LOGNORM.INV(RAND(),MV3,Sigma2),MIN(MaxMultiple,Xm/(1-RAND())^(1/Alpha)))))</f>
        <v>0.88633268546541</v>
      </c>
      <c r="V348" s="19">
        <f ca="1">IF(RAND()&lt;P_Zero,0,IF(RAND()&lt;CondReturn,_xlfn.LOGNORM.INV(RAND(),MV2,Sigma1),IF(RAND()&lt;CondGood,_xlfn.LOGNORM.INV(RAND(),MV3,Sigma2),MIN(MaxMultiple,Xm/(1-RAND())^(1/Alpha)))))</f>
        <v>0</v>
      </c>
      <c r="W348" s="19">
        <f ca="1">IF(RAND()&lt;P_Zero,0,IF(RAND()&lt;CondReturn,_xlfn.LOGNORM.INV(RAND(),MV2,Sigma1),IF(RAND()&lt;CondGood,_xlfn.LOGNORM.INV(RAND(),MV3,Sigma2),MIN(MaxMultiple,Xm/(1-RAND())^(1/Alpha)))))</f>
        <v>1.4555684440175447</v>
      </c>
      <c r="X348" s="19">
        <f ca="1">IF(RAND()&lt;P_Zero,0,IF(RAND()&lt;CondReturn,_xlfn.LOGNORM.INV(RAND(),MV2,Sigma1),IF(RAND()&lt;CondGood,_xlfn.LOGNORM.INV(RAND(),MV3,Sigma2),MIN(MaxMultiple,Xm/(1-RAND())^(1/Alpha)))))</f>
        <v>46.412766559584192</v>
      </c>
      <c r="Y348" s="19">
        <f ca="1">IF(RAND()&lt;P_Zero,0,IF(RAND()&lt;CondReturn,_xlfn.LOGNORM.INV(RAND(),MV2,Sigma1),IF(RAND()&lt;CondGood,_xlfn.LOGNORM.INV(RAND(),MV3,Sigma2),MIN(MaxMultiple,Xm/(1-RAND())^(1/Alpha)))))</f>
        <v>0.47180039790132</v>
      </c>
      <c r="Z348" s="19">
        <f ca="1">IF(RAND()&lt;P_Zero,0,IF(RAND()&lt;CondReturn,_xlfn.LOGNORM.INV(RAND(),MV2,Sigma1),IF(RAND()&lt;CondGood,_xlfn.LOGNORM.INV(RAND(),MV3,Sigma2),MIN(MaxMultiple,Xm/(1-RAND())^(1/Alpha)))))</f>
        <v>0</v>
      </c>
      <c r="AA348" s="19">
        <f ca="1">IF(RAND()&lt;P_Zero,0,IF(RAND()&lt;CondReturn,_xlfn.LOGNORM.INV(RAND(),MV2,Sigma1),IF(RAND()&lt;CondGood,_xlfn.LOGNORM.INV(RAND(),MV3,Sigma2),MIN(MaxMultiple,Xm/(1-RAND())^(1/Alpha)))))</f>
        <v>0.72856044519413665</v>
      </c>
      <c r="AB348" s="19">
        <f t="shared" ca="1" si="40"/>
        <v>4.7719950692486783</v>
      </c>
      <c r="AC348" s="14">
        <f t="shared" ca="1" si="41"/>
        <v>229055763.32393655</v>
      </c>
      <c r="AD348" s="14">
        <f t="shared" ca="1" si="42"/>
        <v>181055763.32393655</v>
      </c>
      <c r="AE348" s="14">
        <f t="shared" si="43"/>
        <v>55628399.869093813</v>
      </c>
      <c r="AF348" s="14">
        <f t="shared" ca="1" si="44"/>
        <v>125427363.45484275</v>
      </c>
      <c r="AG348" s="14">
        <f t="shared" ca="1" si="45"/>
        <v>25085472.690968551</v>
      </c>
      <c r="AH348" s="14">
        <f t="shared" ca="1" si="46"/>
        <v>203970290.63296801</v>
      </c>
      <c r="AI348" s="19">
        <f t="shared" ca="1" si="47"/>
        <v>3.3995048438827999</v>
      </c>
    </row>
    <row r="349" spans="2:35" x14ac:dyDescent="0.2">
      <c r="B349" s="1">
        <v>344</v>
      </c>
      <c r="C349" s="19">
        <f ca="1">IF(RAND()&lt;P_Zero,0,IF(RAND()&lt;CondReturn,_xlfn.LOGNORM.INV(RAND(),MV2,Sigma1),IF(RAND()&lt;CondGood,_xlfn.LOGNORM.INV(RAND(),MV3,Sigma2),MIN(MaxMultiple,Xm/(1-RAND())^(1/Alpha)))))</f>
        <v>0.77411479361790458</v>
      </c>
      <c r="D349" s="19">
        <f ca="1">IF(RAND()&lt;P_Zero,0,IF(RAND()&lt;CondReturn,_xlfn.LOGNORM.INV(RAND(),MV2,Sigma1),IF(RAND()&lt;CondGood,_xlfn.LOGNORM.INV(RAND(),MV3,Sigma2),MIN(MaxMultiple,Xm/(1-RAND())^(1/Alpha)))))</f>
        <v>0</v>
      </c>
      <c r="E349" s="19">
        <f ca="1">IF(RAND()&lt;P_Zero,0,IF(RAND()&lt;CondReturn,_xlfn.LOGNORM.INV(RAND(),MV2,Sigma1),IF(RAND()&lt;CondGood,_xlfn.LOGNORM.INV(RAND(),MV3,Sigma2),MIN(MaxMultiple,Xm/(1-RAND())^(1/Alpha)))))</f>
        <v>0.72212698297347355</v>
      </c>
      <c r="F349" s="19">
        <f ca="1">IF(RAND()&lt;P_Zero,0,IF(RAND()&lt;CondReturn,_xlfn.LOGNORM.INV(RAND(),MV2,Sigma1),IF(RAND()&lt;CondGood,_xlfn.LOGNORM.INV(RAND(),MV3,Sigma2),MIN(MaxMultiple,Xm/(1-RAND())^(1/Alpha)))))</f>
        <v>1.4781819537949488</v>
      </c>
      <c r="G349" s="19">
        <f ca="1">IF(RAND()&lt;P_Zero,0,IF(RAND()&lt;CondReturn,_xlfn.LOGNORM.INV(RAND(),MV2,Sigma1),IF(RAND()&lt;CondGood,_xlfn.LOGNORM.INV(RAND(),MV3,Sigma2),MIN(MaxMultiple,Xm/(1-RAND())^(1/Alpha)))))</f>
        <v>0</v>
      </c>
      <c r="H349" s="19">
        <f ca="1">IF(RAND()&lt;P_Zero,0,IF(RAND()&lt;CondReturn,_xlfn.LOGNORM.INV(RAND(),MV2,Sigma1),IF(RAND()&lt;CondGood,_xlfn.LOGNORM.INV(RAND(),MV3,Sigma2),MIN(MaxMultiple,Xm/(1-RAND())^(1/Alpha)))))</f>
        <v>1.3763805928589286</v>
      </c>
      <c r="I349" s="19">
        <f ca="1">IF(RAND()&lt;P_Zero,0,IF(RAND()&lt;CondReturn,_xlfn.LOGNORM.INV(RAND(),MV2,Sigma1),IF(RAND()&lt;CondGood,_xlfn.LOGNORM.INV(RAND(),MV3,Sigma2),MIN(MaxMultiple,Xm/(1-RAND())^(1/Alpha)))))</f>
        <v>0</v>
      </c>
      <c r="J349" s="19">
        <f ca="1">IF(RAND()&lt;P_Zero,0,IF(RAND()&lt;CondReturn,_xlfn.LOGNORM.INV(RAND(),MV2,Sigma1),IF(RAND()&lt;CondGood,_xlfn.LOGNORM.INV(RAND(),MV3,Sigma2),MIN(MaxMultiple,Xm/(1-RAND())^(1/Alpha)))))</f>
        <v>0</v>
      </c>
      <c r="K349" s="19">
        <f ca="1">IF(RAND()&lt;P_Zero,0,IF(RAND()&lt;CondReturn,_xlfn.LOGNORM.INV(RAND(),MV2,Sigma1),IF(RAND()&lt;CondGood,_xlfn.LOGNORM.INV(RAND(),MV3,Sigma2),MIN(MaxMultiple,Xm/(1-RAND())^(1/Alpha)))))</f>
        <v>0.43920094452579134</v>
      </c>
      <c r="L349" s="19">
        <f ca="1">IF(RAND()&lt;P_Zero,0,IF(RAND()&lt;CondReturn,_xlfn.LOGNORM.INV(RAND(),MV2,Sigma1),IF(RAND()&lt;CondGood,_xlfn.LOGNORM.INV(RAND(),MV3,Sigma2),MIN(MaxMultiple,Xm/(1-RAND())^(1/Alpha)))))</f>
        <v>0</v>
      </c>
      <c r="M349" s="19">
        <f ca="1">IF(RAND()&lt;P_Zero,0,IF(RAND()&lt;CondReturn,_xlfn.LOGNORM.INV(RAND(),MV2,Sigma1),IF(RAND()&lt;CondGood,_xlfn.LOGNORM.INV(RAND(),MV3,Sigma2),MIN(MaxMultiple,Xm/(1-RAND())^(1/Alpha)))))</f>
        <v>11.024767667418885</v>
      </c>
      <c r="N349" s="19">
        <f ca="1">IF(RAND()&lt;P_Zero,0,IF(RAND()&lt;CondReturn,_xlfn.LOGNORM.INV(RAND(),MV2,Sigma1),IF(RAND()&lt;CondGood,_xlfn.LOGNORM.INV(RAND(),MV3,Sigma2),MIN(MaxMultiple,Xm/(1-RAND())^(1/Alpha)))))</f>
        <v>0</v>
      </c>
      <c r="O349" s="19">
        <f ca="1">IF(RAND()&lt;P_Zero,0,IF(RAND()&lt;CondReturn,_xlfn.LOGNORM.INV(RAND(),MV2,Sigma1),IF(RAND()&lt;CondGood,_xlfn.LOGNORM.INV(RAND(),MV3,Sigma2),MIN(MaxMultiple,Xm/(1-RAND())^(1/Alpha)))))</f>
        <v>1.4297687934355594</v>
      </c>
      <c r="P349" s="19">
        <f ca="1">IF(RAND()&lt;P_Zero,0,IF(RAND()&lt;CondReturn,_xlfn.LOGNORM.INV(RAND(),MV2,Sigma1),IF(RAND()&lt;CondGood,_xlfn.LOGNORM.INV(RAND(),MV3,Sigma2),MIN(MaxMultiple,Xm/(1-RAND())^(1/Alpha)))))</f>
        <v>0</v>
      </c>
      <c r="Q349" s="19">
        <f ca="1">IF(RAND()&lt;P_Zero,0,IF(RAND()&lt;CondReturn,_xlfn.LOGNORM.INV(RAND(),MV2,Sigma1),IF(RAND()&lt;CondGood,_xlfn.LOGNORM.INV(RAND(),MV3,Sigma2),MIN(MaxMultiple,Xm/(1-RAND())^(1/Alpha)))))</f>
        <v>0.72753357583696077</v>
      </c>
      <c r="R349" s="19">
        <f ca="1">IF(RAND()&lt;P_Zero,0,IF(RAND()&lt;CondReturn,_xlfn.LOGNORM.INV(RAND(),MV2,Sigma1),IF(RAND()&lt;CondGood,_xlfn.LOGNORM.INV(RAND(),MV3,Sigma2),MIN(MaxMultiple,Xm/(1-RAND())^(1/Alpha)))))</f>
        <v>0</v>
      </c>
      <c r="S349" s="19">
        <f ca="1">IF(RAND()&lt;P_Zero,0,IF(RAND()&lt;CondReturn,_xlfn.LOGNORM.INV(RAND(),MV2,Sigma1),IF(RAND()&lt;CondGood,_xlfn.LOGNORM.INV(RAND(),MV3,Sigma2),MIN(MaxMultiple,Xm/(1-RAND())^(1/Alpha)))))</f>
        <v>0</v>
      </c>
      <c r="T349" s="19">
        <f ca="1">IF(RAND()&lt;P_Zero,0,IF(RAND()&lt;CondReturn,_xlfn.LOGNORM.INV(RAND(),MV2,Sigma1),IF(RAND()&lt;CondGood,_xlfn.LOGNORM.INV(RAND(),MV3,Sigma2),MIN(MaxMultiple,Xm/(1-RAND())^(1/Alpha)))))</f>
        <v>1.5500011839608387</v>
      </c>
      <c r="U349" s="19">
        <f ca="1">IF(RAND()&lt;P_Zero,0,IF(RAND()&lt;CondReturn,_xlfn.LOGNORM.INV(RAND(),MV2,Sigma1),IF(RAND()&lt;CondGood,_xlfn.LOGNORM.INV(RAND(),MV3,Sigma2),MIN(MaxMultiple,Xm/(1-RAND())^(1/Alpha)))))</f>
        <v>1.2956419527063645</v>
      </c>
      <c r="V349" s="19">
        <f ca="1">IF(RAND()&lt;P_Zero,0,IF(RAND()&lt;CondReturn,_xlfn.LOGNORM.INV(RAND(),MV2,Sigma1),IF(RAND()&lt;CondGood,_xlfn.LOGNORM.INV(RAND(),MV3,Sigma2),MIN(MaxMultiple,Xm/(1-RAND())^(1/Alpha)))))</f>
        <v>0.41995128369264656</v>
      </c>
      <c r="W349" s="19">
        <f ca="1">IF(RAND()&lt;P_Zero,0,IF(RAND()&lt;CondReturn,_xlfn.LOGNORM.INV(RAND(),MV2,Sigma1),IF(RAND()&lt;CondGood,_xlfn.LOGNORM.INV(RAND(),MV3,Sigma2),MIN(MaxMultiple,Xm/(1-RAND())^(1/Alpha)))))</f>
        <v>1.2805807693511626</v>
      </c>
      <c r="X349" s="19">
        <f ca="1">IF(RAND()&lt;P_Zero,0,IF(RAND()&lt;CondReturn,_xlfn.LOGNORM.INV(RAND(),MV2,Sigma1),IF(RAND()&lt;CondGood,_xlfn.LOGNORM.INV(RAND(),MV3,Sigma2),MIN(MaxMultiple,Xm/(1-RAND())^(1/Alpha)))))</f>
        <v>1.3093591057179037</v>
      </c>
      <c r="Y349" s="19">
        <f ca="1">IF(RAND()&lt;P_Zero,0,IF(RAND()&lt;CondReturn,_xlfn.LOGNORM.INV(RAND(),MV2,Sigma1),IF(RAND()&lt;CondGood,_xlfn.LOGNORM.INV(RAND(),MV3,Sigma2),MIN(MaxMultiple,Xm/(1-RAND())^(1/Alpha)))))</f>
        <v>1.4124638354845493</v>
      </c>
      <c r="Z349" s="19">
        <f ca="1">IF(RAND()&lt;P_Zero,0,IF(RAND()&lt;CondReturn,_xlfn.LOGNORM.INV(RAND(),MV2,Sigma1),IF(RAND()&lt;CondGood,_xlfn.LOGNORM.INV(RAND(),MV3,Sigma2),MIN(MaxMultiple,Xm/(1-RAND())^(1/Alpha)))))</f>
        <v>0</v>
      </c>
      <c r="AA349" s="19">
        <f ca="1">IF(RAND()&lt;P_Zero,0,IF(RAND()&lt;CondReturn,_xlfn.LOGNORM.INV(RAND(),MV2,Sigma1),IF(RAND()&lt;CondGood,_xlfn.LOGNORM.INV(RAND(),MV3,Sigma2),MIN(MaxMultiple,Xm/(1-RAND())^(1/Alpha)))))</f>
        <v>1.9892522711436975</v>
      </c>
      <c r="AB349" s="19">
        <f t="shared" ca="1" si="40"/>
        <v>1.0891730282607845</v>
      </c>
      <c r="AC349" s="14">
        <f t="shared" ca="1" si="41"/>
        <v>52280305.356517658</v>
      </c>
      <c r="AD349" s="14">
        <f t="shared" ca="1" si="42"/>
        <v>4280305.3565176576</v>
      </c>
      <c r="AE349" s="14">
        <f t="shared" si="43"/>
        <v>55628399.869093813</v>
      </c>
      <c r="AF349" s="14">
        <f t="shared" ca="1" si="44"/>
        <v>0</v>
      </c>
      <c r="AG349" s="14">
        <f t="shared" ca="1" si="45"/>
        <v>0</v>
      </c>
      <c r="AH349" s="14">
        <f t="shared" ca="1" si="46"/>
        <v>52280305.356517658</v>
      </c>
      <c r="AI349" s="19">
        <f t="shared" ca="1" si="47"/>
        <v>0.87133842260862759</v>
      </c>
    </row>
    <row r="350" spans="2:35" x14ac:dyDescent="0.2">
      <c r="B350" s="1">
        <v>345</v>
      </c>
      <c r="C350" s="19">
        <f ca="1">IF(RAND()&lt;P_Zero,0,IF(RAND()&lt;CondReturn,_xlfn.LOGNORM.INV(RAND(),MV2,Sigma1),IF(RAND()&lt;CondGood,_xlfn.LOGNORM.INV(RAND(),MV3,Sigma2),MIN(MaxMultiple,Xm/(1-RAND())^(1/Alpha)))))</f>
        <v>17.506036715113879</v>
      </c>
      <c r="D350" s="19">
        <f ca="1">IF(RAND()&lt;P_Zero,0,IF(RAND()&lt;CondReturn,_xlfn.LOGNORM.INV(RAND(),MV2,Sigma1),IF(RAND()&lt;CondGood,_xlfn.LOGNORM.INV(RAND(),MV3,Sigma2),MIN(MaxMultiple,Xm/(1-RAND())^(1/Alpha)))))</f>
        <v>0</v>
      </c>
      <c r="E350" s="19">
        <f ca="1">IF(RAND()&lt;P_Zero,0,IF(RAND()&lt;CondReturn,_xlfn.LOGNORM.INV(RAND(),MV2,Sigma1),IF(RAND()&lt;CondGood,_xlfn.LOGNORM.INV(RAND(),MV3,Sigma2),MIN(MaxMultiple,Xm/(1-RAND())^(1/Alpha)))))</f>
        <v>0.84450135719719688</v>
      </c>
      <c r="F350" s="19">
        <f ca="1">IF(RAND()&lt;P_Zero,0,IF(RAND()&lt;CondReturn,_xlfn.LOGNORM.INV(RAND(),MV2,Sigma1),IF(RAND()&lt;CondGood,_xlfn.LOGNORM.INV(RAND(),MV3,Sigma2),MIN(MaxMultiple,Xm/(1-RAND())^(1/Alpha)))))</f>
        <v>0.88232838675811132</v>
      </c>
      <c r="G350" s="19">
        <f ca="1">IF(RAND()&lt;P_Zero,0,IF(RAND()&lt;CondReturn,_xlfn.LOGNORM.INV(RAND(),MV2,Sigma1),IF(RAND()&lt;CondGood,_xlfn.LOGNORM.INV(RAND(),MV3,Sigma2),MIN(MaxMultiple,Xm/(1-RAND())^(1/Alpha)))))</f>
        <v>0</v>
      </c>
      <c r="H350" s="19">
        <f ca="1">IF(RAND()&lt;P_Zero,0,IF(RAND()&lt;CondReturn,_xlfn.LOGNORM.INV(RAND(),MV2,Sigma1),IF(RAND()&lt;CondGood,_xlfn.LOGNORM.INV(RAND(),MV3,Sigma2),MIN(MaxMultiple,Xm/(1-RAND())^(1/Alpha)))))</f>
        <v>0.8773202574202229</v>
      </c>
      <c r="I350" s="19">
        <f ca="1">IF(RAND()&lt;P_Zero,0,IF(RAND()&lt;CondReturn,_xlfn.LOGNORM.INV(RAND(),MV2,Sigma1),IF(RAND()&lt;CondGood,_xlfn.LOGNORM.INV(RAND(),MV3,Sigma2),MIN(MaxMultiple,Xm/(1-RAND())^(1/Alpha)))))</f>
        <v>0</v>
      </c>
      <c r="J350" s="19">
        <f ca="1">IF(RAND()&lt;P_Zero,0,IF(RAND()&lt;CondReturn,_xlfn.LOGNORM.INV(RAND(),MV2,Sigma1),IF(RAND()&lt;CondGood,_xlfn.LOGNORM.INV(RAND(),MV3,Sigma2),MIN(MaxMultiple,Xm/(1-RAND())^(1/Alpha)))))</f>
        <v>0</v>
      </c>
      <c r="K350" s="19">
        <f ca="1">IF(RAND()&lt;P_Zero,0,IF(RAND()&lt;CondReturn,_xlfn.LOGNORM.INV(RAND(),MV2,Sigma1),IF(RAND()&lt;CondGood,_xlfn.LOGNORM.INV(RAND(),MV3,Sigma2),MIN(MaxMultiple,Xm/(1-RAND())^(1/Alpha)))))</f>
        <v>0</v>
      </c>
      <c r="L350" s="19">
        <f ca="1">IF(RAND()&lt;P_Zero,0,IF(RAND()&lt;CondReturn,_xlfn.LOGNORM.INV(RAND(),MV2,Sigma1),IF(RAND()&lt;CondGood,_xlfn.LOGNORM.INV(RAND(),MV3,Sigma2),MIN(MaxMultiple,Xm/(1-RAND())^(1/Alpha)))))</f>
        <v>0</v>
      </c>
      <c r="M350" s="19">
        <f ca="1">IF(RAND()&lt;P_Zero,0,IF(RAND()&lt;CondReturn,_xlfn.LOGNORM.INV(RAND(),MV2,Sigma1),IF(RAND()&lt;CondGood,_xlfn.LOGNORM.INV(RAND(),MV3,Sigma2),MIN(MaxMultiple,Xm/(1-RAND())^(1/Alpha)))))</f>
        <v>0.94135273220533755</v>
      </c>
      <c r="N350" s="19">
        <f ca="1">IF(RAND()&lt;P_Zero,0,IF(RAND()&lt;CondReturn,_xlfn.LOGNORM.INV(RAND(),MV2,Sigma1),IF(RAND()&lt;CondGood,_xlfn.LOGNORM.INV(RAND(),MV3,Sigma2),MIN(MaxMultiple,Xm/(1-RAND())^(1/Alpha)))))</f>
        <v>0.40342908771435976</v>
      </c>
      <c r="O350" s="19">
        <f ca="1">IF(RAND()&lt;P_Zero,0,IF(RAND()&lt;CondReturn,_xlfn.LOGNORM.INV(RAND(),MV2,Sigma1),IF(RAND()&lt;CondGood,_xlfn.LOGNORM.INV(RAND(),MV3,Sigma2),MIN(MaxMultiple,Xm/(1-RAND())^(1/Alpha)))))</f>
        <v>0.93628040552611902</v>
      </c>
      <c r="P350" s="19">
        <f ca="1">IF(RAND()&lt;P_Zero,0,IF(RAND()&lt;CondReturn,_xlfn.LOGNORM.INV(RAND(),MV2,Sigma1),IF(RAND()&lt;CondGood,_xlfn.LOGNORM.INV(RAND(),MV3,Sigma2),MIN(MaxMultiple,Xm/(1-RAND())^(1/Alpha)))))</f>
        <v>0</v>
      </c>
      <c r="Q350" s="19">
        <f ca="1">IF(RAND()&lt;P_Zero,0,IF(RAND()&lt;CondReturn,_xlfn.LOGNORM.INV(RAND(),MV2,Sigma1),IF(RAND()&lt;CondGood,_xlfn.LOGNORM.INV(RAND(),MV3,Sigma2),MIN(MaxMultiple,Xm/(1-RAND())^(1/Alpha)))))</f>
        <v>0</v>
      </c>
      <c r="R350" s="19">
        <f ca="1">IF(RAND()&lt;P_Zero,0,IF(RAND()&lt;CondReturn,_xlfn.LOGNORM.INV(RAND(),MV2,Sigma1),IF(RAND()&lt;CondGood,_xlfn.LOGNORM.INV(RAND(),MV3,Sigma2),MIN(MaxMultiple,Xm/(1-RAND())^(1/Alpha)))))</f>
        <v>0.94775224122297175</v>
      </c>
      <c r="S350" s="19">
        <f ca="1">IF(RAND()&lt;P_Zero,0,IF(RAND()&lt;CondReturn,_xlfn.LOGNORM.INV(RAND(),MV2,Sigma1),IF(RAND()&lt;CondGood,_xlfn.LOGNORM.INV(RAND(),MV3,Sigma2),MIN(MaxMultiple,Xm/(1-RAND())^(1/Alpha)))))</f>
        <v>13.689616091089345</v>
      </c>
      <c r="T350" s="19">
        <f ca="1">IF(RAND()&lt;P_Zero,0,IF(RAND()&lt;CondReturn,_xlfn.LOGNORM.INV(RAND(),MV2,Sigma1),IF(RAND()&lt;CondGood,_xlfn.LOGNORM.INV(RAND(),MV3,Sigma2),MIN(MaxMultiple,Xm/(1-RAND())^(1/Alpha)))))</f>
        <v>1.8226672580432959</v>
      </c>
      <c r="U350" s="19">
        <f ca="1">IF(RAND()&lt;P_Zero,0,IF(RAND()&lt;CondReturn,_xlfn.LOGNORM.INV(RAND(),MV2,Sigma1),IF(RAND()&lt;CondGood,_xlfn.LOGNORM.INV(RAND(),MV3,Sigma2),MIN(MaxMultiple,Xm/(1-RAND())^(1/Alpha)))))</f>
        <v>0.49726219247769943</v>
      </c>
      <c r="V350" s="19">
        <f ca="1">IF(RAND()&lt;P_Zero,0,IF(RAND()&lt;CondReturn,_xlfn.LOGNORM.INV(RAND(),MV2,Sigma1),IF(RAND()&lt;CondGood,_xlfn.LOGNORM.INV(RAND(),MV3,Sigma2),MIN(MaxMultiple,Xm/(1-RAND())^(1/Alpha)))))</f>
        <v>0.79885380684701557</v>
      </c>
      <c r="W350" s="19">
        <f ca="1">IF(RAND()&lt;P_Zero,0,IF(RAND()&lt;CondReturn,_xlfn.LOGNORM.INV(RAND(),MV2,Sigma1),IF(RAND()&lt;CondGood,_xlfn.LOGNORM.INV(RAND(),MV3,Sigma2),MIN(MaxMultiple,Xm/(1-RAND())^(1/Alpha)))))</f>
        <v>51.305708242385705</v>
      </c>
      <c r="X350" s="19">
        <f ca="1">IF(RAND()&lt;P_Zero,0,IF(RAND()&lt;CondReturn,_xlfn.LOGNORM.INV(RAND(),MV2,Sigma1),IF(RAND()&lt;CondGood,_xlfn.LOGNORM.INV(RAND(),MV3,Sigma2),MIN(MaxMultiple,Xm/(1-RAND())^(1/Alpha)))))</f>
        <v>0.73585850918932239</v>
      </c>
      <c r="Y350" s="19">
        <f ca="1">IF(RAND()&lt;P_Zero,0,IF(RAND()&lt;CondReturn,_xlfn.LOGNORM.INV(RAND(),MV2,Sigma1),IF(RAND()&lt;CondGood,_xlfn.LOGNORM.INV(RAND(),MV3,Sigma2),MIN(MaxMultiple,Xm/(1-RAND())^(1/Alpha)))))</f>
        <v>0.50201774320064396</v>
      </c>
      <c r="Z350" s="19">
        <f ca="1">IF(RAND()&lt;P_Zero,0,IF(RAND()&lt;CondReturn,_xlfn.LOGNORM.INV(RAND(),MV2,Sigma1),IF(RAND()&lt;CondGood,_xlfn.LOGNORM.INV(RAND(),MV3,Sigma2),MIN(MaxMultiple,Xm/(1-RAND())^(1/Alpha)))))</f>
        <v>0</v>
      </c>
      <c r="AA350" s="19">
        <f ca="1">IF(RAND()&lt;P_Zero,0,IF(RAND()&lt;CondReturn,_xlfn.LOGNORM.INV(RAND(),MV2,Sigma1),IF(RAND()&lt;CondGood,_xlfn.LOGNORM.INV(RAND(),MV3,Sigma2),MIN(MaxMultiple,Xm/(1-RAND())^(1/Alpha)))))</f>
        <v>1.236891691809525</v>
      </c>
      <c r="AB350" s="19">
        <f t="shared" ca="1" si="40"/>
        <v>3.7571150687280301</v>
      </c>
      <c r="AC350" s="14">
        <f t="shared" ca="1" si="41"/>
        <v>180341523.29894546</v>
      </c>
      <c r="AD350" s="14">
        <f t="shared" ca="1" si="42"/>
        <v>132341523.29894546</v>
      </c>
      <c r="AE350" s="14">
        <f t="shared" si="43"/>
        <v>55628399.869093813</v>
      </c>
      <c r="AF350" s="14">
        <f t="shared" ca="1" si="44"/>
        <v>76713123.429851651</v>
      </c>
      <c r="AG350" s="14">
        <f t="shared" ca="1" si="45"/>
        <v>15342624.685970331</v>
      </c>
      <c r="AH350" s="14">
        <f t="shared" ca="1" si="46"/>
        <v>164998898.61297512</v>
      </c>
      <c r="AI350" s="19">
        <f t="shared" ca="1" si="47"/>
        <v>2.7499816435495852</v>
      </c>
    </row>
    <row r="351" spans="2:35" x14ac:dyDescent="0.2">
      <c r="B351" s="1">
        <v>346</v>
      </c>
      <c r="C351" s="19">
        <f ca="1">IF(RAND()&lt;P_Zero,0,IF(RAND()&lt;CondReturn,_xlfn.LOGNORM.INV(RAND(),MV2,Sigma1),IF(RAND()&lt;CondGood,_xlfn.LOGNORM.INV(RAND(),MV3,Sigma2),MIN(MaxMultiple,Xm/(1-RAND())^(1/Alpha)))))</f>
        <v>0</v>
      </c>
      <c r="D351" s="19">
        <f ca="1">IF(RAND()&lt;P_Zero,0,IF(RAND()&lt;CondReturn,_xlfn.LOGNORM.INV(RAND(),MV2,Sigma1),IF(RAND()&lt;CondGood,_xlfn.LOGNORM.INV(RAND(),MV3,Sigma2),MIN(MaxMultiple,Xm/(1-RAND())^(1/Alpha)))))</f>
        <v>0.91267166729762483</v>
      </c>
      <c r="E351" s="19">
        <f ca="1">IF(RAND()&lt;P_Zero,0,IF(RAND()&lt;CondReturn,_xlfn.LOGNORM.INV(RAND(),MV2,Sigma1),IF(RAND()&lt;CondGood,_xlfn.LOGNORM.INV(RAND(),MV3,Sigma2),MIN(MaxMultiple,Xm/(1-RAND())^(1/Alpha)))))</f>
        <v>0.60545878727751878</v>
      </c>
      <c r="F351" s="19">
        <f ca="1">IF(RAND()&lt;P_Zero,0,IF(RAND()&lt;CondReturn,_xlfn.LOGNORM.INV(RAND(),MV2,Sigma1),IF(RAND()&lt;CondGood,_xlfn.LOGNORM.INV(RAND(),MV3,Sigma2),MIN(MaxMultiple,Xm/(1-RAND())^(1/Alpha)))))</f>
        <v>11.354991122883485</v>
      </c>
      <c r="G351" s="19">
        <f ca="1">IF(RAND()&lt;P_Zero,0,IF(RAND()&lt;CondReturn,_xlfn.LOGNORM.INV(RAND(),MV2,Sigma1),IF(RAND()&lt;CondGood,_xlfn.LOGNORM.INV(RAND(),MV3,Sigma2),MIN(MaxMultiple,Xm/(1-RAND())^(1/Alpha)))))</f>
        <v>1.7025603420688871</v>
      </c>
      <c r="H351" s="19">
        <f ca="1">IF(RAND()&lt;P_Zero,0,IF(RAND()&lt;CondReturn,_xlfn.LOGNORM.INV(RAND(),MV2,Sigma1),IF(RAND()&lt;CondGood,_xlfn.LOGNORM.INV(RAND(),MV3,Sigma2),MIN(MaxMultiple,Xm/(1-RAND())^(1/Alpha)))))</f>
        <v>0</v>
      </c>
      <c r="I351" s="19">
        <f ca="1">IF(RAND()&lt;P_Zero,0,IF(RAND()&lt;CondReturn,_xlfn.LOGNORM.INV(RAND(),MV2,Sigma1),IF(RAND()&lt;CondGood,_xlfn.LOGNORM.INV(RAND(),MV3,Sigma2),MIN(MaxMultiple,Xm/(1-RAND())^(1/Alpha)))))</f>
        <v>0.56159857371337984</v>
      </c>
      <c r="J351" s="19">
        <f ca="1">IF(RAND()&lt;P_Zero,0,IF(RAND()&lt;CondReturn,_xlfn.LOGNORM.INV(RAND(),MV2,Sigma1),IF(RAND()&lt;CondGood,_xlfn.LOGNORM.INV(RAND(),MV3,Sigma2),MIN(MaxMultiple,Xm/(1-RAND())^(1/Alpha)))))</f>
        <v>0</v>
      </c>
      <c r="K351" s="19">
        <f ca="1">IF(RAND()&lt;P_Zero,0,IF(RAND()&lt;CondReturn,_xlfn.LOGNORM.INV(RAND(),MV2,Sigma1),IF(RAND()&lt;CondGood,_xlfn.LOGNORM.INV(RAND(),MV3,Sigma2),MIN(MaxMultiple,Xm/(1-RAND())^(1/Alpha)))))</f>
        <v>0.8044625725781348</v>
      </c>
      <c r="L351" s="19">
        <f ca="1">IF(RAND()&lt;P_Zero,0,IF(RAND()&lt;CondReturn,_xlfn.LOGNORM.INV(RAND(),MV2,Sigma1),IF(RAND()&lt;CondGood,_xlfn.LOGNORM.INV(RAND(),MV3,Sigma2),MIN(MaxMultiple,Xm/(1-RAND())^(1/Alpha)))))</f>
        <v>1.3105110070543073</v>
      </c>
      <c r="M351" s="19">
        <f ca="1">IF(RAND()&lt;P_Zero,0,IF(RAND()&lt;CondReturn,_xlfn.LOGNORM.INV(RAND(),MV2,Sigma1),IF(RAND()&lt;CondGood,_xlfn.LOGNORM.INV(RAND(),MV3,Sigma2),MIN(MaxMultiple,Xm/(1-RAND())^(1/Alpha)))))</f>
        <v>0</v>
      </c>
      <c r="N351" s="19">
        <f ca="1">IF(RAND()&lt;P_Zero,0,IF(RAND()&lt;CondReturn,_xlfn.LOGNORM.INV(RAND(),MV2,Sigma1),IF(RAND()&lt;CondGood,_xlfn.LOGNORM.INV(RAND(),MV3,Sigma2),MIN(MaxMultiple,Xm/(1-RAND())^(1/Alpha)))))</f>
        <v>0.96546120094982668</v>
      </c>
      <c r="O351" s="19">
        <f ca="1">IF(RAND()&lt;P_Zero,0,IF(RAND()&lt;CondReturn,_xlfn.LOGNORM.INV(RAND(),MV2,Sigma1),IF(RAND()&lt;CondGood,_xlfn.LOGNORM.INV(RAND(),MV3,Sigma2),MIN(MaxMultiple,Xm/(1-RAND())^(1/Alpha)))))</f>
        <v>0.82103839459647021</v>
      </c>
      <c r="P351" s="19">
        <f ca="1">IF(RAND()&lt;P_Zero,0,IF(RAND()&lt;CondReturn,_xlfn.LOGNORM.INV(RAND(),MV2,Sigma1),IF(RAND()&lt;CondGood,_xlfn.LOGNORM.INV(RAND(),MV3,Sigma2),MIN(MaxMultiple,Xm/(1-RAND())^(1/Alpha)))))</f>
        <v>0</v>
      </c>
      <c r="Q351" s="19">
        <f ca="1">IF(RAND()&lt;P_Zero,0,IF(RAND()&lt;CondReturn,_xlfn.LOGNORM.INV(RAND(),MV2,Sigma1),IF(RAND()&lt;CondGood,_xlfn.LOGNORM.INV(RAND(),MV3,Sigma2),MIN(MaxMultiple,Xm/(1-RAND())^(1/Alpha)))))</f>
        <v>0</v>
      </c>
      <c r="R351" s="19">
        <f ca="1">IF(RAND()&lt;P_Zero,0,IF(RAND()&lt;CondReturn,_xlfn.LOGNORM.INV(RAND(),MV2,Sigma1),IF(RAND()&lt;CondGood,_xlfn.LOGNORM.INV(RAND(),MV3,Sigma2),MIN(MaxMultiple,Xm/(1-RAND())^(1/Alpha)))))</f>
        <v>0.40522276186933232</v>
      </c>
      <c r="S351" s="19">
        <f ca="1">IF(RAND()&lt;P_Zero,0,IF(RAND()&lt;CondReturn,_xlfn.LOGNORM.INV(RAND(),MV2,Sigma1),IF(RAND()&lt;CondGood,_xlfn.LOGNORM.INV(RAND(),MV3,Sigma2),MIN(MaxMultiple,Xm/(1-RAND())^(1/Alpha)))))</f>
        <v>0</v>
      </c>
      <c r="T351" s="19">
        <f ca="1">IF(RAND()&lt;P_Zero,0,IF(RAND()&lt;CondReturn,_xlfn.LOGNORM.INV(RAND(),MV2,Sigma1),IF(RAND()&lt;CondGood,_xlfn.LOGNORM.INV(RAND(),MV3,Sigma2),MIN(MaxMultiple,Xm/(1-RAND())^(1/Alpha)))))</f>
        <v>0.52199296278825769</v>
      </c>
      <c r="U351" s="19">
        <f ca="1">IF(RAND()&lt;P_Zero,0,IF(RAND()&lt;CondReturn,_xlfn.LOGNORM.INV(RAND(),MV2,Sigma1),IF(RAND()&lt;CondGood,_xlfn.LOGNORM.INV(RAND(),MV3,Sigma2),MIN(MaxMultiple,Xm/(1-RAND())^(1/Alpha)))))</f>
        <v>0.94063744234907654</v>
      </c>
      <c r="V351" s="19">
        <f ca="1">IF(RAND()&lt;P_Zero,0,IF(RAND()&lt;CondReturn,_xlfn.LOGNORM.INV(RAND(),MV2,Sigma1),IF(RAND()&lt;CondGood,_xlfn.LOGNORM.INV(RAND(),MV3,Sigma2),MIN(MaxMultiple,Xm/(1-RAND())^(1/Alpha)))))</f>
        <v>1.1314745352409052</v>
      </c>
      <c r="W351" s="19">
        <f ca="1">IF(RAND()&lt;P_Zero,0,IF(RAND()&lt;CondReturn,_xlfn.LOGNORM.INV(RAND(),MV2,Sigma1),IF(RAND()&lt;CondGood,_xlfn.LOGNORM.INV(RAND(),MV3,Sigma2),MIN(MaxMultiple,Xm/(1-RAND())^(1/Alpha)))))</f>
        <v>0.96972087501711501</v>
      </c>
      <c r="X351" s="19">
        <f ca="1">IF(RAND()&lt;P_Zero,0,IF(RAND()&lt;CondReturn,_xlfn.LOGNORM.INV(RAND(),MV2,Sigma1),IF(RAND()&lt;CondGood,_xlfn.LOGNORM.INV(RAND(),MV3,Sigma2),MIN(MaxMultiple,Xm/(1-RAND())^(1/Alpha)))))</f>
        <v>0.57923665209971054</v>
      </c>
      <c r="Y351" s="19">
        <f ca="1">IF(RAND()&lt;P_Zero,0,IF(RAND()&lt;CondReturn,_xlfn.LOGNORM.INV(RAND(),MV2,Sigma1),IF(RAND()&lt;CondGood,_xlfn.LOGNORM.INV(RAND(),MV3,Sigma2),MIN(MaxMultiple,Xm/(1-RAND())^(1/Alpha)))))</f>
        <v>1.2005436674150827</v>
      </c>
      <c r="Z351" s="19">
        <f ca="1">IF(RAND()&lt;P_Zero,0,IF(RAND()&lt;CondReturn,_xlfn.LOGNORM.INV(RAND(),MV2,Sigma1),IF(RAND()&lt;CondGood,_xlfn.LOGNORM.INV(RAND(),MV3,Sigma2),MIN(MaxMultiple,Xm/(1-RAND())^(1/Alpha)))))</f>
        <v>0.98311329744649434</v>
      </c>
      <c r="AA351" s="19">
        <f ca="1">IF(RAND()&lt;P_Zero,0,IF(RAND()&lt;CondReturn,_xlfn.LOGNORM.INV(RAND(),MV2,Sigma1),IF(RAND()&lt;CondGood,_xlfn.LOGNORM.INV(RAND(),MV3,Sigma2),MIN(MaxMultiple,Xm/(1-RAND())^(1/Alpha)))))</f>
        <v>0</v>
      </c>
      <c r="AB351" s="19">
        <f t="shared" ca="1" si="40"/>
        <v>1.0308278345058239</v>
      </c>
      <c r="AC351" s="14">
        <f t="shared" ca="1" si="41"/>
        <v>49479736.056279548</v>
      </c>
      <c r="AD351" s="14">
        <f t="shared" ca="1" si="42"/>
        <v>1479736.0562795475</v>
      </c>
      <c r="AE351" s="14">
        <f t="shared" si="43"/>
        <v>55628399.869093813</v>
      </c>
      <c r="AF351" s="14">
        <f t="shared" ca="1" si="44"/>
        <v>0</v>
      </c>
      <c r="AG351" s="14">
        <f t="shared" ca="1" si="45"/>
        <v>0</v>
      </c>
      <c r="AH351" s="14">
        <f t="shared" ca="1" si="46"/>
        <v>49479736.056279548</v>
      </c>
      <c r="AI351" s="19">
        <f t="shared" ca="1" si="47"/>
        <v>0.8246622676046591</v>
      </c>
    </row>
    <row r="352" spans="2:35" x14ac:dyDescent="0.2">
      <c r="B352" s="1">
        <v>347</v>
      </c>
      <c r="C352" s="19">
        <f ca="1">IF(RAND()&lt;P_Zero,0,IF(RAND()&lt;CondReturn,_xlfn.LOGNORM.INV(RAND(),MV2,Sigma1),IF(RAND()&lt;CondGood,_xlfn.LOGNORM.INV(RAND(),MV3,Sigma2),MIN(MaxMultiple,Xm/(1-RAND())^(1/Alpha)))))</f>
        <v>0</v>
      </c>
      <c r="D352" s="19">
        <f ca="1">IF(RAND()&lt;P_Zero,0,IF(RAND()&lt;CondReturn,_xlfn.LOGNORM.INV(RAND(),MV2,Sigma1),IF(RAND()&lt;CondGood,_xlfn.LOGNORM.INV(RAND(),MV3,Sigma2),MIN(MaxMultiple,Xm/(1-RAND())^(1/Alpha)))))</f>
        <v>1.1988759055048366</v>
      </c>
      <c r="E352" s="19">
        <f ca="1">IF(RAND()&lt;P_Zero,0,IF(RAND()&lt;CondReturn,_xlfn.LOGNORM.INV(RAND(),MV2,Sigma1),IF(RAND()&lt;CondGood,_xlfn.LOGNORM.INV(RAND(),MV3,Sigma2),MIN(MaxMultiple,Xm/(1-RAND())^(1/Alpha)))))</f>
        <v>0</v>
      </c>
      <c r="F352" s="19">
        <f ca="1">IF(RAND()&lt;P_Zero,0,IF(RAND()&lt;CondReturn,_xlfn.LOGNORM.INV(RAND(),MV2,Sigma1),IF(RAND()&lt;CondGood,_xlfn.LOGNORM.INV(RAND(),MV3,Sigma2),MIN(MaxMultiple,Xm/(1-RAND())^(1/Alpha)))))</f>
        <v>0.72335252055207055</v>
      </c>
      <c r="G352" s="19">
        <f ca="1">IF(RAND()&lt;P_Zero,0,IF(RAND()&lt;CondReturn,_xlfn.LOGNORM.INV(RAND(),MV2,Sigma1),IF(RAND()&lt;CondGood,_xlfn.LOGNORM.INV(RAND(),MV3,Sigma2),MIN(MaxMultiple,Xm/(1-RAND())^(1/Alpha)))))</f>
        <v>0.82145921911067277</v>
      </c>
      <c r="H352" s="19">
        <f ca="1">IF(RAND()&lt;P_Zero,0,IF(RAND()&lt;CondReturn,_xlfn.LOGNORM.INV(RAND(),MV2,Sigma1),IF(RAND()&lt;CondGood,_xlfn.LOGNORM.INV(RAND(),MV3,Sigma2),MIN(MaxMultiple,Xm/(1-RAND())^(1/Alpha)))))</f>
        <v>0</v>
      </c>
      <c r="I352" s="19">
        <f ca="1">IF(RAND()&lt;P_Zero,0,IF(RAND()&lt;CondReturn,_xlfn.LOGNORM.INV(RAND(),MV2,Sigma1),IF(RAND()&lt;CondGood,_xlfn.LOGNORM.INV(RAND(),MV3,Sigma2),MIN(MaxMultiple,Xm/(1-RAND())^(1/Alpha)))))</f>
        <v>0</v>
      </c>
      <c r="J352" s="19">
        <f ca="1">IF(RAND()&lt;P_Zero,0,IF(RAND()&lt;CondReturn,_xlfn.LOGNORM.INV(RAND(),MV2,Sigma1),IF(RAND()&lt;CondGood,_xlfn.LOGNORM.INV(RAND(),MV3,Sigma2),MIN(MaxMultiple,Xm/(1-RAND())^(1/Alpha)))))</f>
        <v>0</v>
      </c>
      <c r="K352" s="19">
        <f ca="1">IF(RAND()&lt;P_Zero,0,IF(RAND()&lt;CondReturn,_xlfn.LOGNORM.INV(RAND(),MV2,Sigma1),IF(RAND()&lt;CondGood,_xlfn.LOGNORM.INV(RAND(),MV3,Sigma2),MIN(MaxMultiple,Xm/(1-RAND())^(1/Alpha)))))</f>
        <v>0</v>
      </c>
      <c r="L352" s="19">
        <f ca="1">IF(RAND()&lt;P_Zero,0,IF(RAND()&lt;CondReturn,_xlfn.LOGNORM.INV(RAND(),MV2,Sigma1),IF(RAND()&lt;CondGood,_xlfn.LOGNORM.INV(RAND(),MV3,Sigma2),MIN(MaxMultiple,Xm/(1-RAND())^(1/Alpha)))))</f>
        <v>0.53563210355656365</v>
      </c>
      <c r="M352" s="19">
        <f ca="1">IF(RAND()&lt;P_Zero,0,IF(RAND()&lt;CondReturn,_xlfn.LOGNORM.INV(RAND(),MV2,Sigma1),IF(RAND()&lt;CondGood,_xlfn.LOGNORM.INV(RAND(),MV3,Sigma2),MIN(MaxMultiple,Xm/(1-RAND())^(1/Alpha)))))</f>
        <v>0.97559850917674906</v>
      </c>
      <c r="N352" s="19">
        <f ca="1">IF(RAND()&lt;P_Zero,0,IF(RAND()&lt;CondReturn,_xlfn.LOGNORM.INV(RAND(),MV2,Sigma1),IF(RAND()&lt;CondGood,_xlfn.LOGNORM.INV(RAND(),MV3,Sigma2),MIN(MaxMultiple,Xm/(1-RAND())^(1/Alpha)))))</f>
        <v>0</v>
      </c>
      <c r="O352" s="19">
        <f ca="1">IF(RAND()&lt;P_Zero,0,IF(RAND()&lt;CondReturn,_xlfn.LOGNORM.INV(RAND(),MV2,Sigma1),IF(RAND()&lt;CondGood,_xlfn.LOGNORM.INV(RAND(),MV3,Sigma2),MIN(MaxMultiple,Xm/(1-RAND())^(1/Alpha)))))</f>
        <v>0</v>
      </c>
      <c r="P352" s="19">
        <f ca="1">IF(RAND()&lt;P_Zero,0,IF(RAND()&lt;CondReturn,_xlfn.LOGNORM.INV(RAND(),MV2,Sigma1),IF(RAND()&lt;CondGood,_xlfn.LOGNORM.INV(RAND(),MV3,Sigma2),MIN(MaxMultiple,Xm/(1-RAND())^(1/Alpha)))))</f>
        <v>0</v>
      </c>
      <c r="Q352" s="19">
        <f ca="1">IF(RAND()&lt;P_Zero,0,IF(RAND()&lt;CondReturn,_xlfn.LOGNORM.INV(RAND(),MV2,Sigma1),IF(RAND()&lt;CondGood,_xlfn.LOGNORM.INV(RAND(),MV3,Sigma2),MIN(MaxMultiple,Xm/(1-RAND())^(1/Alpha)))))</f>
        <v>0.42664631527865771</v>
      </c>
      <c r="R352" s="19">
        <f ca="1">IF(RAND()&lt;P_Zero,0,IF(RAND()&lt;CondReturn,_xlfn.LOGNORM.INV(RAND(),MV2,Sigma1),IF(RAND()&lt;CondGood,_xlfn.LOGNORM.INV(RAND(),MV3,Sigma2),MIN(MaxMultiple,Xm/(1-RAND())^(1/Alpha)))))</f>
        <v>0</v>
      </c>
      <c r="S352" s="19">
        <f ca="1">IF(RAND()&lt;P_Zero,0,IF(RAND()&lt;CondReturn,_xlfn.LOGNORM.INV(RAND(),MV2,Sigma1),IF(RAND()&lt;CondGood,_xlfn.LOGNORM.INV(RAND(),MV3,Sigma2),MIN(MaxMultiple,Xm/(1-RAND())^(1/Alpha)))))</f>
        <v>0</v>
      </c>
      <c r="T352" s="19">
        <f ca="1">IF(RAND()&lt;P_Zero,0,IF(RAND()&lt;CondReturn,_xlfn.LOGNORM.INV(RAND(),MV2,Sigma1),IF(RAND()&lt;CondGood,_xlfn.LOGNORM.INV(RAND(),MV3,Sigma2),MIN(MaxMultiple,Xm/(1-RAND())^(1/Alpha)))))</f>
        <v>0.97534835428927413</v>
      </c>
      <c r="U352" s="19">
        <f ca="1">IF(RAND()&lt;P_Zero,0,IF(RAND()&lt;CondReturn,_xlfn.LOGNORM.INV(RAND(),MV2,Sigma1),IF(RAND()&lt;CondGood,_xlfn.LOGNORM.INV(RAND(),MV3,Sigma2),MIN(MaxMultiple,Xm/(1-RAND())^(1/Alpha)))))</f>
        <v>17.101069077644365</v>
      </c>
      <c r="V352" s="19">
        <f ca="1">IF(RAND()&lt;P_Zero,0,IF(RAND()&lt;CondReturn,_xlfn.LOGNORM.INV(RAND(),MV2,Sigma1),IF(RAND()&lt;CondGood,_xlfn.LOGNORM.INV(RAND(),MV3,Sigma2),MIN(MaxMultiple,Xm/(1-RAND())^(1/Alpha)))))</f>
        <v>13.372717567578604</v>
      </c>
      <c r="W352" s="19">
        <f ca="1">IF(RAND()&lt;P_Zero,0,IF(RAND()&lt;CondReturn,_xlfn.LOGNORM.INV(RAND(),MV2,Sigma1),IF(RAND()&lt;CondGood,_xlfn.LOGNORM.INV(RAND(),MV3,Sigma2),MIN(MaxMultiple,Xm/(1-RAND())^(1/Alpha)))))</f>
        <v>0</v>
      </c>
      <c r="X352" s="19">
        <f ca="1">IF(RAND()&lt;P_Zero,0,IF(RAND()&lt;CondReturn,_xlfn.LOGNORM.INV(RAND(),MV2,Sigma1),IF(RAND()&lt;CondGood,_xlfn.LOGNORM.INV(RAND(),MV3,Sigma2),MIN(MaxMultiple,Xm/(1-RAND())^(1/Alpha)))))</f>
        <v>0.49936028366848023</v>
      </c>
      <c r="Y352" s="19">
        <f ca="1">IF(RAND()&lt;P_Zero,0,IF(RAND()&lt;CondReturn,_xlfn.LOGNORM.INV(RAND(),MV2,Sigma1),IF(RAND()&lt;CondGood,_xlfn.LOGNORM.INV(RAND(),MV3,Sigma2),MIN(MaxMultiple,Xm/(1-RAND())^(1/Alpha)))))</f>
        <v>0</v>
      </c>
      <c r="Z352" s="19">
        <f ca="1">IF(RAND()&lt;P_Zero,0,IF(RAND()&lt;CondReturn,_xlfn.LOGNORM.INV(RAND(),MV2,Sigma1),IF(RAND()&lt;CondGood,_xlfn.LOGNORM.INV(RAND(),MV3,Sigma2),MIN(MaxMultiple,Xm/(1-RAND())^(1/Alpha)))))</f>
        <v>1.2070408959863868</v>
      </c>
      <c r="AA352" s="19">
        <f ca="1">IF(RAND()&lt;P_Zero,0,IF(RAND()&lt;CondReturn,_xlfn.LOGNORM.INV(RAND(),MV2,Sigma1),IF(RAND()&lt;CondGood,_xlfn.LOGNORM.INV(RAND(),MV3,Sigma2),MIN(MaxMultiple,Xm/(1-RAND())^(1/Alpha)))))</f>
        <v>0</v>
      </c>
      <c r="AB352" s="19">
        <f t="shared" ca="1" si="40"/>
        <v>1.5134840300938666</v>
      </c>
      <c r="AC352" s="14">
        <f t="shared" ca="1" si="41"/>
        <v>72647233.444505602</v>
      </c>
      <c r="AD352" s="14">
        <f t="shared" ca="1" si="42"/>
        <v>24647233.444505602</v>
      </c>
      <c r="AE352" s="14">
        <f t="shared" si="43"/>
        <v>55628399.869093813</v>
      </c>
      <c r="AF352" s="14">
        <f t="shared" ca="1" si="44"/>
        <v>0</v>
      </c>
      <c r="AG352" s="14">
        <f t="shared" ca="1" si="45"/>
        <v>0</v>
      </c>
      <c r="AH352" s="14">
        <f t="shared" ca="1" si="46"/>
        <v>72647233.444505602</v>
      </c>
      <c r="AI352" s="19">
        <f t="shared" ca="1" si="47"/>
        <v>1.2107872240750934</v>
      </c>
    </row>
    <row r="353" spans="2:35" x14ac:dyDescent="0.2">
      <c r="B353" s="1">
        <v>348</v>
      </c>
      <c r="C353" s="19">
        <f ca="1">IF(RAND()&lt;P_Zero,0,IF(RAND()&lt;CondReturn,_xlfn.LOGNORM.INV(RAND(),MV2,Sigma1),IF(RAND()&lt;CondGood,_xlfn.LOGNORM.INV(RAND(),MV3,Sigma2),MIN(MaxMultiple,Xm/(1-RAND())^(1/Alpha)))))</f>
        <v>127.63689017399919</v>
      </c>
      <c r="D353" s="19">
        <f ca="1">IF(RAND()&lt;P_Zero,0,IF(RAND()&lt;CondReturn,_xlfn.LOGNORM.INV(RAND(),MV2,Sigma1),IF(RAND()&lt;CondGood,_xlfn.LOGNORM.INV(RAND(),MV3,Sigma2),MIN(MaxMultiple,Xm/(1-RAND())^(1/Alpha)))))</f>
        <v>0</v>
      </c>
      <c r="E353" s="19">
        <f ca="1">IF(RAND()&lt;P_Zero,0,IF(RAND()&lt;CondReturn,_xlfn.LOGNORM.INV(RAND(),MV2,Sigma1),IF(RAND()&lt;CondGood,_xlfn.LOGNORM.INV(RAND(),MV3,Sigma2),MIN(MaxMultiple,Xm/(1-RAND())^(1/Alpha)))))</f>
        <v>1.7670725383067742</v>
      </c>
      <c r="F353" s="19">
        <f ca="1">IF(RAND()&lt;P_Zero,0,IF(RAND()&lt;CondReturn,_xlfn.LOGNORM.INV(RAND(),MV2,Sigma1),IF(RAND()&lt;CondGood,_xlfn.LOGNORM.INV(RAND(),MV3,Sigma2),MIN(MaxMultiple,Xm/(1-RAND())^(1/Alpha)))))</f>
        <v>1.2619890122280886</v>
      </c>
      <c r="G353" s="19">
        <f ca="1">IF(RAND()&lt;P_Zero,0,IF(RAND()&lt;CondReturn,_xlfn.LOGNORM.INV(RAND(),MV2,Sigma1),IF(RAND()&lt;CondGood,_xlfn.LOGNORM.INV(RAND(),MV3,Sigma2),MIN(MaxMultiple,Xm/(1-RAND())^(1/Alpha)))))</f>
        <v>0.82878551531442302</v>
      </c>
      <c r="H353" s="19">
        <f ca="1">IF(RAND()&lt;P_Zero,0,IF(RAND()&lt;CondReturn,_xlfn.LOGNORM.INV(RAND(),MV2,Sigma1),IF(RAND()&lt;CondGood,_xlfn.LOGNORM.INV(RAND(),MV3,Sigma2),MIN(MaxMultiple,Xm/(1-RAND())^(1/Alpha)))))</f>
        <v>0.64767429838614732</v>
      </c>
      <c r="I353" s="19">
        <f ca="1">IF(RAND()&lt;P_Zero,0,IF(RAND()&lt;CondReturn,_xlfn.LOGNORM.INV(RAND(),MV2,Sigma1),IF(RAND()&lt;CondGood,_xlfn.LOGNORM.INV(RAND(),MV3,Sigma2),MIN(MaxMultiple,Xm/(1-RAND())^(1/Alpha)))))</f>
        <v>0</v>
      </c>
      <c r="J353" s="19">
        <f ca="1">IF(RAND()&lt;P_Zero,0,IF(RAND()&lt;CondReturn,_xlfn.LOGNORM.INV(RAND(),MV2,Sigma1),IF(RAND()&lt;CondGood,_xlfn.LOGNORM.INV(RAND(),MV3,Sigma2),MIN(MaxMultiple,Xm/(1-RAND())^(1/Alpha)))))</f>
        <v>1.1243814174041562</v>
      </c>
      <c r="K353" s="19">
        <f ca="1">IF(RAND()&lt;P_Zero,0,IF(RAND()&lt;CondReturn,_xlfn.LOGNORM.INV(RAND(),MV2,Sigma1),IF(RAND()&lt;CondGood,_xlfn.LOGNORM.INV(RAND(),MV3,Sigma2),MIN(MaxMultiple,Xm/(1-RAND())^(1/Alpha)))))</f>
        <v>1.1790361231686384</v>
      </c>
      <c r="L353" s="19">
        <f ca="1">IF(RAND()&lt;P_Zero,0,IF(RAND()&lt;CondReturn,_xlfn.LOGNORM.INV(RAND(),MV2,Sigma1),IF(RAND()&lt;CondGood,_xlfn.LOGNORM.INV(RAND(),MV3,Sigma2),MIN(MaxMultiple,Xm/(1-RAND())^(1/Alpha)))))</f>
        <v>1.4265344326691676</v>
      </c>
      <c r="M353" s="19">
        <f ca="1">IF(RAND()&lt;P_Zero,0,IF(RAND()&lt;CondReturn,_xlfn.LOGNORM.INV(RAND(),MV2,Sigma1),IF(RAND()&lt;CondGood,_xlfn.LOGNORM.INV(RAND(),MV3,Sigma2),MIN(MaxMultiple,Xm/(1-RAND())^(1/Alpha)))))</f>
        <v>0.96487833660452782</v>
      </c>
      <c r="N353" s="19">
        <f ca="1">IF(RAND()&lt;P_Zero,0,IF(RAND()&lt;CondReturn,_xlfn.LOGNORM.INV(RAND(),MV2,Sigma1),IF(RAND()&lt;CondGood,_xlfn.LOGNORM.INV(RAND(),MV3,Sigma2),MIN(MaxMultiple,Xm/(1-RAND())^(1/Alpha)))))</f>
        <v>1.4954161195497016</v>
      </c>
      <c r="O353" s="19">
        <f ca="1">IF(RAND()&lt;P_Zero,0,IF(RAND()&lt;CondReturn,_xlfn.LOGNORM.INV(RAND(),MV2,Sigma1),IF(RAND()&lt;CondGood,_xlfn.LOGNORM.INV(RAND(),MV3,Sigma2),MIN(MaxMultiple,Xm/(1-RAND())^(1/Alpha)))))</f>
        <v>0.50330326574287387</v>
      </c>
      <c r="P353" s="19">
        <f ca="1">IF(RAND()&lt;P_Zero,0,IF(RAND()&lt;CondReturn,_xlfn.LOGNORM.INV(RAND(),MV2,Sigma1),IF(RAND()&lt;CondGood,_xlfn.LOGNORM.INV(RAND(),MV3,Sigma2),MIN(MaxMultiple,Xm/(1-RAND())^(1/Alpha)))))</f>
        <v>0</v>
      </c>
      <c r="Q353" s="19">
        <f ca="1">IF(RAND()&lt;P_Zero,0,IF(RAND()&lt;CondReturn,_xlfn.LOGNORM.INV(RAND(),MV2,Sigma1),IF(RAND()&lt;CondGood,_xlfn.LOGNORM.INV(RAND(),MV3,Sigma2),MIN(MaxMultiple,Xm/(1-RAND())^(1/Alpha)))))</f>
        <v>27.116166821581913</v>
      </c>
      <c r="R353" s="19">
        <f ca="1">IF(RAND()&lt;P_Zero,0,IF(RAND()&lt;CondReturn,_xlfn.LOGNORM.INV(RAND(),MV2,Sigma1),IF(RAND()&lt;CondGood,_xlfn.LOGNORM.INV(RAND(),MV3,Sigma2),MIN(MaxMultiple,Xm/(1-RAND())^(1/Alpha)))))</f>
        <v>0</v>
      </c>
      <c r="S353" s="19">
        <f ca="1">IF(RAND()&lt;P_Zero,0,IF(RAND()&lt;CondReturn,_xlfn.LOGNORM.INV(RAND(),MV2,Sigma1),IF(RAND()&lt;CondGood,_xlfn.LOGNORM.INV(RAND(),MV3,Sigma2),MIN(MaxMultiple,Xm/(1-RAND())^(1/Alpha)))))</f>
        <v>0.75482727010815021</v>
      </c>
      <c r="T353" s="19">
        <f ca="1">IF(RAND()&lt;P_Zero,0,IF(RAND()&lt;CondReturn,_xlfn.LOGNORM.INV(RAND(),MV2,Sigma1),IF(RAND()&lt;CondGood,_xlfn.LOGNORM.INV(RAND(),MV3,Sigma2),MIN(MaxMultiple,Xm/(1-RAND())^(1/Alpha)))))</f>
        <v>0</v>
      </c>
      <c r="U353" s="19">
        <f ca="1">IF(RAND()&lt;P_Zero,0,IF(RAND()&lt;CondReturn,_xlfn.LOGNORM.INV(RAND(),MV2,Sigma1),IF(RAND()&lt;CondGood,_xlfn.LOGNORM.INV(RAND(),MV3,Sigma2),MIN(MaxMultiple,Xm/(1-RAND())^(1/Alpha)))))</f>
        <v>2.0614836055268801</v>
      </c>
      <c r="V353" s="19">
        <f ca="1">IF(RAND()&lt;P_Zero,0,IF(RAND()&lt;CondReturn,_xlfn.LOGNORM.INV(RAND(),MV2,Sigma1),IF(RAND()&lt;CondGood,_xlfn.LOGNORM.INV(RAND(),MV3,Sigma2),MIN(MaxMultiple,Xm/(1-RAND())^(1/Alpha)))))</f>
        <v>0</v>
      </c>
      <c r="W353" s="19">
        <f ca="1">IF(RAND()&lt;P_Zero,0,IF(RAND()&lt;CondReturn,_xlfn.LOGNORM.INV(RAND(),MV2,Sigma1),IF(RAND()&lt;CondGood,_xlfn.LOGNORM.INV(RAND(),MV3,Sigma2),MIN(MaxMultiple,Xm/(1-RAND())^(1/Alpha)))))</f>
        <v>1.5942161204393461</v>
      </c>
      <c r="X353" s="19">
        <f ca="1">IF(RAND()&lt;P_Zero,0,IF(RAND()&lt;CondReturn,_xlfn.LOGNORM.INV(RAND(),MV2,Sigma1),IF(RAND()&lt;CondGood,_xlfn.LOGNORM.INV(RAND(),MV3,Sigma2),MIN(MaxMultiple,Xm/(1-RAND())^(1/Alpha)))))</f>
        <v>1.1114349686046645</v>
      </c>
      <c r="Y353" s="19">
        <f ca="1">IF(RAND()&lt;P_Zero,0,IF(RAND()&lt;CondReturn,_xlfn.LOGNORM.INV(RAND(),MV2,Sigma1),IF(RAND()&lt;CondGood,_xlfn.LOGNORM.INV(RAND(),MV3,Sigma2),MIN(MaxMultiple,Xm/(1-RAND())^(1/Alpha)))))</f>
        <v>1.1881271354349618</v>
      </c>
      <c r="Z353" s="19">
        <f ca="1">IF(RAND()&lt;P_Zero,0,IF(RAND()&lt;CondReturn,_xlfn.LOGNORM.INV(RAND(),MV2,Sigma1),IF(RAND()&lt;CondGood,_xlfn.LOGNORM.INV(RAND(),MV3,Sigma2),MIN(MaxMultiple,Xm/(1-RAND())^(1/Alpha)))))</f>
        <v>0</v>
      </c>
      <c r="AA353" s="19">
        <f ca="1">IF(RAND()&lt;P_Zero,0,IF(RAND()&lt;CondReturn,_xlfn.LOGNORM.INV(RAND(),MV2,Sigma1),IF(RAND()&lt;CondGood,_xlfn.LOGNORM.INV(RAND(),MV3,Sigma2),MIN(MaxMultiple,Xm/(1-RAND())^(1/Alpha)))))</f>
        <v>0</v>
      </c>
      <c r="AB353" s="19">
        <f t="shared" ca="1" si="40"/>
        <v>6.9064886862027848</v>
      </c>
      <c r="AC353" s="14">
        <f t="shared" ca="1" si="41"/>
        <v>331511456.93773365</v>
      </c>
      <c r="AD353" s="14">
        <f t="shared" ca="1" si="42"/>
        <v>283511456.93773365</v>
      </c>
      <c r="AE353" s="14">
        <f t="shared" si="43"/>
        <v>55628399.869093813</v>
      </c>
      <c r="AF353" s="14">
        <f t="shared" ca="1" si="44"/>
        <v>227883057.06863984</v>
      </c>
      <c r="AG353" s="14">
        <f t="shared" ca="1" si="45"/>
        <v>45576611.413727969</v>
      </c>
      <c r="AH353" s="14">
        <f t="shared" ca="1" si="46"/>
        <v>285934845.52400565</v>
      </c>
      <c r="AI353" s="19">
        <f t="shared" ca="1" si="47"/>
        <v>4.7655807587334271</v>
      </c>
    </row>
    <row r="354" spans="2:35" x14ac:dyDescent="0.2">
      <c r="B354" s="1">
        <v>349</v>
      </c>
      <c r="C354" s="19">
        <f ca="1">IF(RAND()&lt;P_Zero,0,IF(RAND()&lt;CondReturn,_xlfn.LOGNORM.INV(RAND(),MV2,Sigma1),IF(RAND()&lt;CondGood,_xlfn.LOGNORM.INV(RAND(),MV3,Sigma2),MIN(MaxMultiple,Xm/(1-RAND())^(1/Alpha)))))</f>
        <v>0.98056084420114931</v>
      </c>
      <c r="D354" s="19">
        <f ca="1">IF(RAND()&lt;P_Zero,0,IF(RAND()&lt;CondReturn,_xlfn.LOGNORM.INV(RAND(),MV2,Sigma1),IF(RAND()&lt;CondGood,_xlfn.LOGNORM.INV(RAND(),MV3,Sigma2),MIN(MaxMultiple,Xm/(1-RAND())^(1/Alpha)))))</f>
        <v>0.58838964511361891</v>
      </c>
      <c r="E354" s="19">
        <f ca="1">IF(RAND()&lt;P_Zero,0,IF(RAND()&lt;CondReturn,_xlfn.LOGNORM.INV(RAND(),MV2,Sigma1),IF(RAND()&lt;CondGood,_xlfn.LOGNORM.INV(RAND(),MV3,Sigma2),MIN(MaxMultiple,Xm/(1-RAND())^(1/Alpha)))))</f>
        <v>1.2555239819510715</v>
      </c>
      <c r="F354" s="19">
        <f ca="1">IF(RAND()&lt;P_Zero,0,IF(RAND()&lt;CondReturn,_xlfn.LOGNORM.INV(RAND(),MV2,Sigma1),IF(RAND()&lt;CondGood,_xlfn.LOGNORM.INV(RAND(),MV3,Sigma2),MIN(MaxMultiple,Xm/(1-RAND())^(1/Alpha)))))</f>
        <v>0</v>
      </c>
      <c r="G354" s="19">
        <f ca="1">IF(RAND()&lt;P_Zero,0,IF(RAND()&lt;CondReturn,_xlfn.LOGNORM.INV(RAND(),MV2,Sigma1),IF(RAND()&lt;CondGood,_xlfn.LOGNORM.INV(RAND(),MV3,Sigma2),MIN(MaxMultiple,Xm/(1-RAND())^(1/Alpha)))))</f>
        <v>0</v>
      </c>
      <c r="H354" s="19">
        <f ca="1">IF(RAND()&lt;P_Zero,0,IF(RAND()&lt;CondReturn,_xlfn.LOGNORM.INV(RAND(),MV2,Sigma1),IF(RAND()&lt;CondGood,_xlfn.LOGNORM.INV(RAND(),MV3,Sigma2),MIN(MaxMultiple,Xm/(1-RAND())^(1/Alpha)))))</f>
        <v>1.333390320735621</v>
      </c>
      <c r="I354" s="19">
        <f ca="1">IF(RAND()&lt;P_Zero,0,IF(RAND()&lt;CondReturn,_xlfn.LOGNORM.INV(RAND(),MV2,Sigma1),IF(RAND()&lt;CondGood,_xlfn.LOGNORM.INV(RAND(),MV3,Sigma2),MIN(MaxMultiple,Xm/(1-RAND())^(1/Alpha)))))</f>
        <v>55.457569866340855</v>
      </c>
      <c r="J354" s="19">
        <f ca="1">IF(RAND()&lt;P_Zero,0,IF(RAND()&lt;CondReturn,_xlfn.LOGNORM.INV(RAND(),MV2,Sigma1),IF(RAND()&lt;CondGood,_xlfn.LOGNORM.INV(RAND(),MV3,Sigma2),MIN(MaxMultiple,Xm/(1-RAND())^(1/Alpha)))))</f>
        <v>1.0350805265097029</v>
      </c>
      <c r="K354" s="19">
        <f ca="1">IF(RAND()&lt;P_Zero,0,IF(RAND()&lt;CondReturn,_xlfn.LOGNORM.INV(RAND(),MV2,Sigma1),IF(RAND()&lt;CondGood,_xlfn.LOGNORM.INV(RAND(),MV3,Sigma2),MIN(MaxMultiple,Xm/(1-RAND())^(1/Alpha)))))</f>
        <v>0.50845880193417103</v>
      </c>
      <c r="L354" s="19">
        <f ca="1">IF(RAND()&lt;P_Zero,0,IF(RAND()&lt;CondReturn,_xlfn.LOGNORM.INV(RAND(),MV2,Sigma1),IF(RAND()&lt;CondGood,_xlfn.LOGNORM.INV(RAND(),MV3,Sigma2),MIN(MaxMultiple,Xm/(1-RAND())^(1/Alpha)))))</f>
        <v>0.82780667778622918</v>
      </c>
      <c r="M354" s="19">
        <f ca="1">IF(RAND()&lt;P_Zero,0,IF(RAND()&lt;CondReturn,_xlfn.LOGNORM.INV(RAND(),MV2,Sigma1),IF(RAND()&lt;CondGood,_xlfn.LOGNORM.INV(RAND(),MV3,Sigma2),MIN(MaxMultiple,Xm/(1-RAND())^(1/Alpha)))))</f>
        <v>0</v>
      </c>
      <c r="N354" s="19">
        <f ca="1">IF(RAND()&lt;P_Zero,0,IF(RAND()&lt;CondReturn,_xlfn.LOGNORM.INV(RAND(),MV2,Sigma1),IF(RAND()&lt;CondGood,_xlfn.LOGNORM.INV(RAND(),MV3,Sigma2),MIN(MaxMultiple,Xm/(1-RAND())^(1/Alpha)))))</f>
        <v>0.70522699732773475</v>
      </c>
      <c r="O354" s="19">
        <f ca="1">IF(RAND()&lt;P_Zero,0,IF(RAND()&lt;CondReturn,_xlfn.LOGNORM.INV(RAND(),MV2,Sigma1),IF(RAND()&lt;CondGood,_xlfn.LOGNORM.INV(RAND(),MV3,Sigma2),MIN(MaxMultiple,Xm/(1-RAND())^(1/Alpha)))))</f>
        <v>1.4068461412078399</v>
      </c>
      <c r="P354" s="19">
        <f ca="1">IF(RAND()&lt;P_Zero,0,IF(RAND()&lt;CondReturn,_xlfn.LOGNORM.INV(RAND(),MV2,Sigma1),IF(RAND()&lt;CondGood,_xlfn.LOGNORM.INV(RAND(),MV3,Sigma2),MIN(MaxMultiple,Xm/(1-RAND())^(1/Alpha)))))</f>
        <v>1.7282609038478689</v>
      </c>
      <c r="Q354" s="19">
        <f ca="1">IF(RAND()&lt;P_Zero,0,IF(RAND()&lt;CondReturn,_xlfn.LOGNORM.INV(RAND(),MV2,Sigma1),IF(RAND()&lt;CondGood,_xlfn.LOGNORM.INV(RAND(),MV3,Sigma2),MIN(MaxMultiple,Xm/(1-RAND())^(1/Alpha)))))</f>
        <v>0</v>
      </c>
      <c r="R354" s="19">
        <f ca="1">IF(RAND()&lt;P_Zero,0,IF(RAND()&lt;CondReturn,_xlfn.LOGNORM.INV(RAND(),MV2,Sigma1),IF(RAND()&lt;CondGood,_xlfn.LOGNORM.INV(RAND(),MV3,Sigma2),MIN(MaxMultiple,Xm/(1-RAND())^(1/Alpha)))))</f>
        <v>0</v>
      </c>
      <c r="S354" s="19">
        <f ca="1">IF(RAND()&lt;P_Zero,0,IF(RAND()&lt;CondReturn,_xlfn.LOGNORM.INV(RAND(),MV2,Sigma1),IF(RAND()&lt;CondGood,_xlfn.LOGNORM.INV(RAND(),MV3,Sigma2),MIN(MaxMultiple,Xm/(1-RAND())^(1/Alpha)))))</f>
        <v>1.2418821406393494</v>
      </c>
      <c r="T354" s="19">
        <f ca="1">IF(RAND()&lt;P_Zero,0,IF(RAND()&lt;CondReturn,_xlfn.LOGNORM.INV(RAND(),MV2,Sigma1),IF(RAND()&lt;CondGood,_xlfn.LOGNORM.INV(RAND(),MV3,Sigma2),MIN(MaxMultiple,Xm/(1-RAND())^(1/Alpha)))))</f>
        <v>1.2774739923164957</v>
      </c>
      <c r="U354" s="19">
        <f ca="1">IF(RAND()&lt;P_Zero,0,IF(RAND()&lt;CondReturn,_xlfn.LOGNORM.INV(RAND(),MV2,Sigma1),IF(RAND()&lt;CondGood,_xlfn.LOGNORM.INV(RAND(),MV3,Sigma2),MIN(MaxMultiple,Xm/(1-RAND())^(1/Alpha)))))</f>
        <v>0</v>
      </c>
      <c r="V354" s="19">
        <f ca="1">IF(RAND()&lt;P_Zero,0,IF(RAND()&lt;CondReturn,_xlfn.LOGNORM.INV(RAND(),MV2,Sigma1),IF(RAND()&lt;CondGood,_xlfn.LOGNORM.INV(RAND(),MV3,Sigma2),MIN(MaxMultiple,Xm/(1-RAND())^(1/Alpha)))))</f>
        <v>0</v>
      </c>
      <c r="W354" s="19">
        <f ca="1">IF(RAND()&lt;P_Zero,0,IF(RAND()&lt;CondReturn,_xlfn.LOGNORM.INV(RAND(),MV2,Sigma1),IF(RAND()&lt;CondGood,_xlfn.LOGNORM.INV(RAND(),MV3,Sigma2),MIN(MaxMultiple,Xm/(1-RAND())^(1/Alpha)))))</f>
        <v>1.9337605474065607</v>
      </c>
      <c r="X354" s="19">
        <f ca="1">IF(RAND()&lt;P_Zero,0,IF(RAND()&lt;CondReturn,_xlfn.LOGNORM.INV(RAND(),MV2,Sigma1),IF(RAND()&lt;CondGood,_xlfn.LOGNORM.INV(RAND(),MV3,Sigma2),MIN(MaxMultiple,Xm/(1-RAND())^(1/Alpha)))))</f>
        <v>1.7329163021109768</v>
      </c>
      <c r="Y354" s="19">
        <f ca="1">IF(RAND()&lt;P_Zero,0,IF(RAND()&lt;CondReturn,_xlfn.LOGNORM.INV(RAND(),MV2,Sigma1),IF(RAND()&lt;CondGood,_xlfn.LOGNORM.INV(RAND(),MV3,Sigma2),MIN(MaxMultiple,Xm/(1-RAND())^(1/Alpha)))))</f>
        <v>0</v>
      </c>
      <c r="Z354" s="19">
        <f ca="1">IF(RAND()&lt;P_Zero,0,IF(RAND()&lt;CondReturn,_xlfn.LOGNORM.INV(RAND(),MV2,Sigma1),IF(RAND()&lt;CondGood,_xlfn.LOGNORM.INV(RAND(),MV3,Sigma2),MIN(MaxMultiple,Xm/(1-RAND())^(1/Alpha)))))</f>
        <v>0</v>
      </c>
      <c r="AA354" s="19">
        <f ca="1">IF(RAND()&lt;P_Zero,0,IF(RAND()&lt;CondReturn,_xlfn.LOGNORM.INV(RAND(),MV2,Sigma1),IF(RAND()&lt;CondGood,_xlfn.LOGNORM.INV(RAND(),MV3,Sigma2),MIN(MaxMultiple,Xm/(1-RAND())^(1/Alpha)))))</f>
        <v>0</v>
      </c>
      <c r="AB354" s="19">
        <f t="shared" ca="1" si="40"/>
        <v>2.8805259075771699</v>
      </c>
      <c r="AC354" s="14">
        <f t="shared" ca="1" si="41"/>
        <v>138265243.56370416</v>
      </c>
      <c r="AD354" s="14">
        <f t="shared" ca="1" si="42"/>
        <v>90265243.563704163</v>
      </c>
      <c r="AE354" s="14">
        <f t="shared" si="43"/>
        <v>55628399.869093813</v>
      </c>
      <c r="AF354" s="14">
        <f t="shared" ca="1" si="44"/>
        <v>34636843.69461035</v>
      </c>
      <c r="AG354" s="14">
        <f t="shared" ca="1" si="45"/>
        <v>6927368.7389220707</v>
      </c>
      <c r="AH354" s="14">
        <f t="shared" ca="1" si="46"/>
        <v>131337874.82478209</v>
      </c>
      <c r="AI354" s="19">
        <f t="shared" ca="1" si="47"/>
        <v>2.1889645804130349</v>
      </c>
    </row>
    <row r="355" spans="2:35" x14ac:dyDescent="0.2">
      <c r="B355" s="1">
        <v>350</v>
      </c>
      <c r="C355" s="19">
        <f ca="1">IF(RAND()&lt;P_Zero,0,IF(RAND()&lt;CondReturn,_xlfn.LOGNORM.INV(RAND(),MV2,Sigma1),IF(RAND()&lt;CondGood,_xlfn.LOGNORM.INV(RAND(),MV3,Sigma2),MIN(MaxMultiple,Xm/(1-RAND())^(1/Alpha)))))</f>
        <v>1.0064173469779278</v>
      </c>
      <c r="D355" s="19">
        <f ca="1">IF(RAND()&lt;P_Zero,0,IF(RAND()&lt;CondReturn,_xlfn.LOGNORM.INV(RAND(),MV2,Sigma1),IF(RAND()&lt;CondGood,_xlfn.LOGNORM.INV(RAND(),MV3,Sigma2),MIN(MaxMultiple,Xm/(1-RAND())^(1/Alpha)))))</f>
        <v>0</v>
      </c>
      <c r="E355" s="19">
        <f ca="1">IF(RAND()&lt;P_Zero,0,IF(RAND()&lt;CondReturn,_xlfn.LOGNORM.INV(RAND(),MV2,Sigma1),IF(RAND()&lt;CondGood,_xlfn.LOGNORM.INV(RAND(),MV3,Sigma2),MIN(MaxMultiple,Xm/(1-RAND())^(1/Alpha)))))</f>
        <v>0</v>
      </c>
      <c r="F355" s="19">
        <f ca="1">IF(RAND()&lt;P_Zero,0,IF(RAND()&lt;CondReturn,_xlfn.LOGNORM.INV(RAND(),MV2,Sigma1),IF(RAND()&lt;CondGood,_xlfn.LOGNORM.INV(RAND(),MV3,Sigma2),MIN(MaxMultiple,Xm/(1-RAND())^(1/Alpha)))))</f>
        <v>1.5763189681230527</v>
      </c>
      <c r="G355" s="19">
        <f ca="1">IF(RAND()&lt;P_Zero,0,IF(RAND()&lt;CondReturn,_xlfn.LOGNORM.INV(RAND(),MV2,Sigma1),IF(RAND()&lt;CondGood,_xlfn.LOGNORM.INV(RAND(),MV3,Sigma2),MIN(MaxMultiple,Xm/(1-RAND())^(1/Alpha)))))</f>
        <v>0.52397522252970441</v>
      </c>
      <c r="H355" s="19">
        <f ca="1">IF(RAND()&lt;P_Zero,0,IF(RAND()&lt;CondReturn,_xlfn.LOGNORM.INV(RAND(),MV2,Sigma1),IF(RAND()&lt;CondGood,_xlfn.LOGNORM.INV(RAND(),MV3,Sigma2),MIN(MaxMultiple,Xm/(1-RAND())^(1/Alpha)))))</f>
        <v>0.98126117118369705</v>
      </c>
      <c r="I355" s="19">
        <f ca="1">IF(RAND()&lt;P_Zero,0,IF(RAND()&lt;CondReturn,_xlfn.LOGNORM.INV(RAND(),MV2,Sigma1),IF(RAND()&lt;CondGood,_xlfn.LOGNORM.INV(RAND(),MV3,Sigma2),MIN(MaxMultiple,Xm/(1-RAND())^(1/Alpha)))))</f>
        <v>1.0353174207913771</v>
      </c>
      <c r="J355" s="19">
        <f ca="1">IF(RAND()&lt;P_Zero,0,IF(RAND()&lt;CondReturn,_xlfn.LOGNORM.INV(RAND(),MV2,Sigma1),IF(RAND()&lt;CondGood,_xlfn.LOGNORM.INV(RAND(),MV3,Sigma2),MIN(MaxMultiple,Xm/(1-RAND())^(1/Alpha)))))</f>
        <v>1.1454039635448856</v>
      </c>
      <c r="K355" s="19">
        <f ca="1">IF(RAND()&lt;P_Zero,0,IF(RAND()&lt;CondReturn,_xlfn.LOGNORM.INV(RAND(),MV2,Sigma1),IF(RAND()&lt;CondGood,_xlfn.LOGNORM.INV(RAND(),MV3,Sigma2),MIN(MaxMultiple,Xm/(1-RAND())^(1/Alpha)))))</f>
        <v>0</v>
      </c>
      <c r="L355" s="19">
        <f ca="1">IF(RAND()&lt;P_Zero,0,IF(RAND()&lt;CondReturn,_xlfn.LOGNORM.INV(RAND(),MV2,Sigma1),IF(RAND()&lt;CondGood,_xlfn.LOGNORM.INV(RAND(),MV3,Sigma2),MIN(MaxMultiple,Xm/(1-RAND())^(1/Alpha)))))</f>
        <v>0.50759512202439305</v>
      </c>
      <c r="M355" s="19">
        <f ca="1">IF(RAND()&lt;P_Zero,0,IF(RAND()&lt;CondReturn,_xlfn.LOGNORM.INV(RAND(),MV2,Sigma1),IF(RAND()&lt;CondGood,_xlfn.LOGNORM.INV(RAND(),MV3,Sigma2),MIN(MaxMultiple,Xm/(1-RAND())^(1/Alpha)))))</f>
        <v>0</v>
      </c>
      <c r="N355" s="19">
        <f ca="1">IF(RAND()&lt;P_Zero,0,IF(RAND()&lt;CondReturn,_xlfn.LOGNORM.INV(RAND(),MV2,Sigma1),IF(RAND()&lt;CondGood,_xlfn.LOGNORM.INV(RAND(),MV3,Sigma2),MIN(MaxMultiple,Xm/(1-RAND())^(1/Alpha)))))</f>
        <v>0.93415095665212489</v>
      </c>
      <c r="O355" s="19">
        <f ca="1">IF(RAND()&lt;P_Zero,0,IF(RAND()&lt;CondReturn,_xlfn.LOGNORM.INV(RAND(),MV2,Sigma1),IF(RAND()&lt;CondGood,_xlfn.LOGNORM.INV(RAND(),MV3,Sigma2),MIN(MaxMultiple,Xm/(1-RAND())^(1/Alpha)))))</f>
        <v>0</v>
      </c>
      <c r="P355" s="19">
        <f ca="1">IF(RAND()&lt;P_Zero,0,IF(RAND()&lt;CondReturn,_xlfn.LOGNORM.INV(RAND(),MV2,Sigma1),IF(RAND()&lt;CondGood,_xlfn.LOGNORM.INV(RAND(),MV3,Sigma2),MIN(MaxMultiple,Xm/(1-RAND())^(1/Alpha)))))</f>
        <v>0.86188432719007357</v>
      </c>
      <c r="Q355" s="19">
        <f ca="1">IF(RAND()&lt;P_Zero,0,IF(RAND()&lt;CondReturn,_xlfn.LOGNORM.INV(RAND(),MV2,Sigma1),IF(RAND()&lt;CondGood,_xlfn.LOGNORM.INV(RAND(),MV3,Sigma2),MIN(MaxMultiple,Xm/(1-RAND())^(1/Alpha)))))</f>
        <v>0.50201505666567414</v>
      </c>
      <c r="R355" s="19">
        <f ca="1">IF(RAND()&lt;P_Zero,0,IF(RAND()&lt;CondReturn,_xlfn.LOGNORM.INV(RAND(),MV2,Sigma1),IF(RAND()&lt;CondGood,_xlfn.LOGNORM.INV(RAND(),MV3,Sigma2),MIN(MaxMultiple,Xm/(1-RAND())^(1/Alpha)))))</f>
        <v>0.94883075663129146</v>
      </c>
      <c r="S355" s="19">
        <f ca="1">IF(RAND()&lt;P_Zero,0,IF(RAND()&lt;CondReturn,_xlfn.LOGNORM.INV(RAND(),MV2,Sigma1),IF(RAND()&lt;CondGood,_xlfn.LOGNORM.INV(RAND(),MV3,Sigma2),MIN(MaxMultiple,Xm/(1-RAND())^(1/Alpha)))))</f>
        <v>0.62459713176130882</v>
      </c>
      <c r="T355" s="19">
        <f ca="1">IF(RAND()&lt;P_Zero,0,IF(RAND()&lt;CondReturn,_xlfn.LOGNORM.INV(RAND(),MV2,Sigma1),IF(RAND()&lt;CondGood,_xlfn.LOGNORM.INV(RAND(),MV3,Sigma2),MIN(MaxMultiple,Xm/(1-RAND())^(1/Alpha)))))</f>
        <v>0</v>
      </c>
      <c r="U355" s="19">
        <f ca="1">IF(RAND()&lt;P_Zero,0,IF(RAND()&lt;CondReturn,_xlfn.LOGNORM.INV(RAND(),MV2,Sigma1),IF(RAND()&lt;CondGood,_xlfn.LOGNORM.INV(RAND(),MV3,Sigma2),MIN(MaxMultiple,Xm/(1-RAND())^(1/Alpha)))))</f>
        <v>0</v>
      </c>
      <c r="V355" s="19">
        <f ca="1">IF(RAND()&lt;P_Zero,0,IF(RAND()&lt;CondReturn,_xlfn.LOGNORM.INV(RAND(),MV2,Sigma1),IF(RAND()&lt;CondGood,_xlfn.LOGNORM.INV(RAND(),MV3,Sigma2),MIN(MaxMultiple,Xm/(1-RAND())^(1/Alpha)))))</f>
        <v>0</v>
      </c>
      <c r="W355" s="19">
        <f ca="1">IF(RAND()&lt;P_Zero,0,IF(RAND()&lt;CondReturn,_xlfn.LOGNORM.INV(RAND(),MV2,Sigma1),IF(RAND()&lt;CondGood,_xlfn.LOGNORM.INV(RAND(),MV3,Sigma2),MIN(MaxMultiple,Xm/(1-RAND())^(1/Alpha)))))</f>
        <v>1.1847636687910998</v>
      </c>
      <c r="X355" s="19">
        <f ca="1">IF(RAND()&lt;P_Zero,0,IF(RAND()&lt;CondReturn,_xlfn.LOGNORM.INV(RAND(),MV2,Sigma1),IF(RAND()&lt;CondGood,_xlfn.LOGNORM.INV(RAND(),MV3,Sigma2),MIN(MaxMultiple,Xm/(1-RAND())^(1/Alpha)))))</f>
        <v>1.492201919534188</v>
      </c>
      <c r="Y355" s="19">
        <f ca="1">IF(RAND()&lt;P_Zero,0,IF(RAND()&lt;CondReturn,_xlfn.LOGNORM.INV(RAND(),MV2,Sigma1),IF(RAND()&lt;CondGood,_xlfn.LOGNORM.INV(RAND(),MV3,Sigma2),MIN(MaxMultiple,Xm/(1-RAND())^(1/Alpha)))))</f>
        <v>0.86203250665556608</v>
      </c>
      <c r="Z355" s="19">
        <f ca="1">IF(RAND()&lt;P_Zero,0,IF(RAND()&lt;CondReturn,_xlfn.LOGNORM.INV(RAND(),MV2,Sigma1),IF(RAND()&lt;CondGood,_xlfn.LOGNORM.INV(RAND(),MV3,Sigma2),MIN(MaxMultiple,Xm/(1-RAND())^(1/Alpha)))))</f>
        <v>1.490432141079636</v>
      </c>
      <c r="AA355" s="19">
        <f ca="1">IF(RAND()&lt;P_Zero,0,IF(RAND()&lt;CondReturn,_xlfn.LOGNORM.INV(RAND(),MV2,Sigma1),IF(RAND()&lt;CondGood,_xlfn.LOGNORM.INV(RAND(),MV3,Sigma2),MIN(MaxMultiple,Xm/(1-RAND())^(1/Alpha)))))</f>
        <v>0.94406504853016071</v>
      </c>
      <c r="AB355" s="19">
        <f t="shared" ca="1" si="40"/>
        <v>0.66485050914664656</v>
      </c>
      <c r="AC355" s="14">
        <f t="shared" ca="1" si="41"/>
        <v>31912824.439039037</v>
      </c>
      <c r="AD355" s="14">
        <f t="shared" ca="1" si="42"/>
        <v>-16087175.560960963</v>
      </c>
      <c r="AE355" s="14">
        <f t="shared" si="43"/>
        <v>55628399.869093813</v>
      </c>
      <c r="AF355" s="14">
        <f t="shared" ca="1" si="44"/>
        <v>0</v>
      </c>
      <c r="AG355" s="14">
        <f t="shared" ca="1" si="45"/>
        <v>0</v>
      </c>
      <c r="AH355" s="14">
        <f t="shared" ca="1" si="46"/>
        <v>31912824.439039037</v>
      </c>
      <c r="AI355" s="19">
        <f t="shared" ca="1" si="47"/>
        <v>0.53188040731731723</v>
      </c>
    </row>
    <row r="356" spans="2:35" x14ac:dyDescent="0.2">
      <c r="B356" s="1">
        <v>351</v>
      </c>
      <c r="C356" s="19">
        <f ca="1">IF(RAND()&lt;P_Zero,0,IF(RAND()&lt;CondReturn,_xlfn.LOGNORM.INV(RAND(),MV2,Sigma1),IF(RAND()&lt;CondGood,_xlfn.LOGNORM.INV(RAND(),MV3,Sigma2),MIN(MaxMultiple,Xm/(1-RAND())^(1/Alpha)))))</f>
        <v>0</v>
      </c>
      <c r="D356" s="19">
        <f ca="1">IF(RAND()&lt;P_Zero,0,IF(RAND()&lt;CondReturn,_xlfn.LOGNORM.INV(RAND(),MV2,Sigma1),IF(RAND()&lt;CondGood,_xlfn.LOGNORM.INV(RAND(),MV3,Sigma2),MIN(MaxMultiple,Xm/(1-RAND())^(1/Alpha)))))</f>
        <v>0</v>
      </c>
      <c r="E356" s="19">
        <f ca="1">IF(RAND()&lt;P_Zero,0,IF(RAND()&lt;CondReturn,_xlfn.LOGNORM.INV(RAND(),MV2,Sigma1),IF(RAND()&lt;CondGood,_xlfn.LOGNORM.INV(RAND(),MV3,Sigma2),MIN(MaxMultiple,Xm/(1-RAND())^(1/Alpha)))))</f>
        <v>0.67615182264714269</v>
      </c>
      <c r="F356" s="19">
        <f ca="1">IF(RAND()&lt;P_Zero,0,IF(RAND()&lt;CondReturn,_xlfn.LOGNORM.INV(RAND(),MV2,Sigma1),IF(RAND()&lt;CondGood,_xlfn.LOGNORM.INV(RAND(),MV3,Sigma2),MIN(MaxMultiple,Xm/(1-RAND())^(1/Alpha)))))</f>
        <v>22.875846633323128</v>
      </c>
      <c r="G356" s="19">
        <f ca="1">IF(RAND()&lt;P_Zero,0,IF(RAND()&lt;CondReturn,_xlfn.LOGNORM.INV(RAND(),MV2,Sigma1),IF(RAND()&lt;CondGood,_xlfn.LOGNORM.INV(RAND(),MV3,Sigma2),MIN(MaxMultiple,Xm/(1-RAND())^(1/Alpha)))))</f>
        <v>0</v>
      </c>
      <c r="H356" s="19">
        <f ca="1">IF(RAND()&lt;P_Zero,0,IF(RAND()&lt;CondReturn,_xlfn.LOGNORM.INV(RAND(),MV2,Sigma1),IF(RAND()&lt;CondGood,_xlfn.LOGNORM.INV(RAND(),MV3,Sigma2),MIN(MaxMultiple,Xm/(1-RAND())^(1/Alpha)))))</f>
        <v>0.94546771179914635</v>
      </c>
      <c r="I356" s="19">
        <f ca="1">IF(RAND()&lt;P_Zero,0,IF(RAND()&lt;CondReturn,_xlfn.LOGNORM.INV(RAND(),MV2,Sigma1),IF(RAND()&lt;CondGood,_xlfn.LOGNORM.INV(RAND(),MV3,Sigma2),MIN(MaxMultiple,Xm/(1-RAND())^(1/Alpha)))))</f>
        <v>11.478002068504532</v>
      </c>
      <c r="J356" s="19">
        <f ca="1">IF(RAND()&lt;P_Zero,0,IF(RAND()&lt;CondReturn,_xlfn.LOGNORM.INV(RAND(),MV2,Sigma1),IF(RAND()&lt;CondGood,_xlfn.LOGNORM.INV(RAND(),MV3,Sigma2),MIN(MaxMultiple,Xm/(1-RAND())^(1/Alpha)))))</f>
        <v>21.38550333408168</v>
      </c>
      <c r="K356" s="19">
        <f ca="1">IF(RAND()&lt;P_Zero,0,IF(RAND()&lt;CondReturn,_xlfn.LOGNORM.INV(RAND(),MV2,Sigma1),IF(RAND()&lt;CondGood,_xlfn.LOGNORM.INV(RAND(),MV3,Sigma2),MIN(MaxMultiple,Xm/(1-RAND())^(1/Alpha)))))</f>
        <v>0</v>
      </c>
      <c r="L356" s="19">
        <f ca="1">IF(RAND()&lt;P_Zero,0,IF(RAND()&lt;CondReturn,_xlfn.LOGNORM.INV(RAND(),MV2,Sigma1),IF(RAND()&lt;CondGood,_xlfn.LOGNORM.INV(RAND(),MV3,Sigma2),MIN(MaxMultiple,Xm/(1-RAND())^(1/Alpha)))))</f>
        <v>0.45771984881086153</v>
      </c>
      <c r="M356" s="19">
        <f ca="1">IF(RAND()&lt;P_Zero,0,IF(RAND()&lt;CondReturn,_xlfn.LOGNORM.INV(RAND(),MV2,Sigma1),IF(RAND()&lt;CondGood,_xlfn.LOGNORM.INV(RAND(),MV3,Sigma2),MIN(MaxMultiple,Xm/(1-RAND())^(1/Alpha)))))</f>
        <v>0</v>
      </c>
      <c r="N356" s="19">
        <f ca="1">IF(RAND()&lt;P_Zero,0,IF(RAND()&lt;CondReturn,_xlfn.LOGNORM.INV(RAND(),MV2,Sigma1),IF(RAND()&lt;CondGood,_xlfn.LOGNORM.INV(RAND(),MV3,Sigma2),MIN(MaxMultiple,Xm/(1-RAND())^(1/Alpha)))))</f>
        <v>55.482786045001866</v>
      </c>
      <c r="O356" s="19">
        <f ca="1">IF(RAND()&lt;P_Zero,0,IF(RAND()&lt;CondReturn,_xlfn.LOGNORM.INV(RAND(),MV2,Sigma1),IF(RAND()&lt;CondGood,_xlfn.LOGNORM.INV(RAND(),MV3,Sigma2),MIN(MaxMultiple,Xm/(1-RAND())^(1/Alpha)))))</f>
        <v>0</v>
      </c>
      <c r="P356" s="19">
        <f ca="1">IF(RAND()&lt;P_Zero,0,IF(RAND()&lt;CondReturn,_xlfn.LOGNORM.INV(RAND(),MV2,Sigma1),IF(RAND()&lt;CondGood,_xlfn.LOGNORM.INV(RAND(),MV3,Sigma2),MIN(MaxMultiple,Xm/(1-RAND())^(1/Alpha)))))</f>
        <v>0</v>
      </c>
      <c r="Q356" s="19">
        <f ca="1">IF(RAND()&lt;P_Zero,0,IF(RAND()&lt;CondReturn,_xlfn.LOGNORM.INV(RAND(),MV2,Sigma1),IF(RAND()&lt;CondGood,_xlfn.LOGNORM.INV(RAND(),MV3,Sigma2),MIN(MaxMultiple,Xm/(1-RAND())^(1/Alpha)))))</f>
        <v>0</v>
      </c>
      <c r="R356" s="19">
        <f ca="1">IF(RAND()&lt;P_Zero,0,IF(RAND()&lt;CondReturn,_xlfn.LOGNORM.INV(RAND(),MV2,Sigma1),IF(RAND()&lt;CondGood,_xlfn.LOGNORM.INV(RAND(),MV3,Sigma2),MIN(MaxMultiple,Xm/(1-RAND())^(1/Alpha)))))</f>
        <v>1.4234031237473759</v>
      </c>
      <c r="S356" s="19">
        <f ca="1">IF(RAND()&lt;P_Zero,0,IF(RAND()&lt;CondReturn,_xlfn.LOGNORM.INV(RAND(),MV2,Sigma1),IF(RAND()&lt;CondGood,_xlfn.LOGNORM.INV(RAND(),MV3,Sigma2),MIN(MaxMultiple,Xm/(1-RAND())^(1/Alpha)))))</f>
        <v>0</v>
      </c>
      <c r="T356" s="19">
        <f ca="1">IF(RAND()&lt;P_Zero,0,IF(RAND()&lt;CondReturn,_xlfn.LOGNORM.INV(RAND(),MV2,Sigma1),IF(RAND()&lt;CondGood,_xlfn.LOGNORM.INV(RAND(),MV3,Sigma2),MIN(MaxMultiple,Xm/(1-RAND())^(1/Alpha)))))</f>
        <v>0.66375477254174209</v>
      </c>
      <c r="U356" s="19">
        <f ca="1">IF(RAND()&lt;P_Zero,0,IF(RAND()&lt;CondReturn,_xlfn.LOGNORM.INV(RAND(),MV2,Sigma1),IF(RAND()&lt;CondGood,_xlfn.LOGNORM.INV(RAND(),MV3,Sigma2),MIN(MaxMultiple,Xm/(1-RAND())^(1/Alpha)))))</f>
        <v>1.0760524019806024</v>
      </c>
      <c r="V356" s="19">
        <f ca="1">IF(RAND()&lt;P_Zero,0,IF(RAND()&lt;CondReturn,_xlfn.LOGNORM.INV(RAND(),MV2,Sigma1),IF(RAND()&lt;CondGood,_xlfn.LOGNORM.INV(RAND(),MV3,Sigma2),MIN(MaxMultiple,Xm/(1-RAND())^(1/Alpha)))))</f>
        <v>0.94468515971130318</v>
      </c>
      <c r="W356" s="19">
        <f ca="1">IF(RAND()&lt;P_Zero,0,IF(RAND()&lt;CondReturn,_xlfn.LOGNORM.INV(RAND(),MV2,Sigma1),IF(RAND()&lt;CondGood,_xlfn.LOGNORM.INV(RAND(),MV3,Sigma2),MIN(MaxMultiple,Xm/(1-RAND())^(1/Alpha)))))</f>
        <v>0.71702503070401336</v>
      </c>
      <c r="X356" s="19">
        <f ca="1">IF(RAND()&lt;P_Zero,0,IF(RAND()&lt;CondReturn,_xlfn.LOGNORM.INV(RAND(),MV2,Sigma1),IF(RAND()&lt;CondGood,_xlfn.LOGNORM.INV(RAND(),MV3,Sigma2),MIN(MaxMultiple,Xm/(1-RAND())^(1/Alpha)))))</f>
        <v>3.3910478313818766</v>
      </c>
      <c r="Y356" s="19">
        <f ca="1">IF(RAND()&lt;P_Zero,0,IF(RAND()&lt;CondReturn,_xlfn.LOGNORM.INV(RAND(),MV2,Sigma1),IF(RAND()&lt;CondGood,_xlfn.LOGNORM.INV(RAND(),MV3,Sigma2),MIN(MaxMultiple,Xm/(1-RAND())^(1/Alpha)))))</f>
        <v>1.7968670552852866</v>
      </c>
      <c r="Z356" s="19">
        <f ca="1">IF(RAND()&lt;P_Zero,0,IF(RAND()&lt;CondReturn,_xlfn.LOGNORM.INV(RAND(),MV2,Sigma1),IF(RAND()&lt;CondGood,_xlfn.LOGNORM.INV(RAND(),MV3,Sigma2),MIN(MaxMultiple,Xm/(1-RAND())^(1/Alpha)))))</f>
        <v>0.93380465386888223</v>
      </c>
      <c r="AA356" s="19">
        <f ca="1">IF(RAND()&lt;P_Zero,0,IF(RAND()&lt;CondReturn,_xlfn.LOGNORM.INV(RAND(),MV2,Sigma1),IF(RAND()&lt;CondGood,_xlfn.LOGNORM.INV(RAND(),MV3,Sigma2),MIN(MaxMultiple,Xm/(1-RAND())^(1/Alpha)))))</f>
        <v>0</v>
      </c>
      <c r="AB356" s="19">
        <f t="shared" ca="1" si="40"/>
        <v>4.9699246997355768</v>
      </c>
      <c r="AC356" s="14">
        <f t="shared" ca="1" si="41"/>
        <v>238556385.58730769</v>
      </c>
      <c r="AD356" s="14">
        <f t="shared" ca="1" si="42"/>
        <v>190556385.58730769</v>
      </c>
      <c r="AE356" s="14">
        <f t="shared" si="43"/>
        <v>55628399.869093813</v>
      </c>
      <c r="AF356" s="14">
        <f t="shared" ca="1" si="44"/>
        <v>134927985.71821389</v>
      </c>
      <c r="AG356" s="14">
        <f t="shared" ca="1" si="45"/>
        <v>26985597.143642779</v>
      </c>
      <c r="AH356" s="14">
        <f t="shared" ca="1" si="46"/>
        <v>211570788.44366491</v>
      </c>
      <c r="AI356" s="19">
        <f t="shared" ca="1" si="47"/>
        <v>3.5261798073944153</v>
      </c>
    </row>
    <row r="357" spans="2:35" x14ac:dyDescent="0.2">
      <c r="B357" s="1">
        <v>352</v>
      </c>
      <c r="C357" s="19">
        <f ca="1">IF(RAND()&lt;P_Zero,0,IF(RAND()&lt;CondReturn,_xlfn.LOGNORM.INV(RAND(),MV2,Sigma1),IF(RAND()&lt;CondGood,_xlfn.LOGNORM.INV(RAND(),MV3,Sigma2),MIN(MaxMultiple,Xm/(1-RAND())^(1/Alpha)))))</f>
        <v>16.055921966422943</v>
      </c>
      <c r="D357" s="19">
        <f ca="1">IF(RAND()&lt;P_Zero,0,IF(RAND()&lt;CondReturn,_xlfn.LOGNORM.INV(RAND(),MV2,Sigma1),IF(RAND()&lt;CondGood,_xlfn.LOGNORM.INV(RAND(),MV3,Sigma2),MIN(MaxMultiple,Xm/(1-RAND())^(1/Alpha)))))</f>
        <v>1.4700333393672287</v>
      </c>
      <c r="E357" s="19">
        <f ca="1">IF(RAND()&lt;P_Zero,0,IF(RAND()&lt;CondReturn,_xlfn.LOGNORM.INV(RAND(),MV2,Sigma1),IF(RAND()&lt;CondGood,_xlfn.LOGNORM.INV(RAND(),MV3,Sigma2),MIN(MaxMultiple,Xm/(1-RAND())^(1/Alpha)))))</f>
        <v>0</v>
      </c>
      <c r="F357" s="19">
        <f ca="1">IF(RAND()&lt;P_Zero,0,IF(RAND()&lt;CondReturn,_xlfn.LOGNORM.INV(RAND(),MV2,Sigma1),IF(RAND()&lt;CondGood,_xlfn.LOGNORM.INV(RAND(),MV3,Sigma2),MIN(MaxMultiple,Xm/(1-RAND())^(1/Alpha)))))</f>
        <v>1.9821981838355485</v>
      </c>
      <c r="G357" s="19">
        <f ca="1">IF(RAND()&lt;P_Zero,0,IF(RAND()&lt;CondReturn,_xlfn.LOGNORM.INV(RAND(),MV2,Sigma1),IF(RAND()&lt;CondGood,_xlfn.LOGNORM.INV(RAND(),MV3,Sigma2),MIN(MaxMultiple,Xm/(1-RAND())^(1/Alpha)))))</f>
        <v>0</v>
      </c>
      <c r="H357" s="19">
        <f ca="1">IF(RAND()&lt;P_Zero,0,IF(RAND()&lt;CondReturn,_xlfn.LOGNORM.INV(RAND(),MV2,Sigma1),IF(RAND()&lt;CondGood,_xlfn.LOGNORM.INV(RAND(),MV3,Sigma2),MIN(MaxMultiple,Xm/(1-RAND())^(1/Alpha)))))</f>
        <v>0</v>
      </c>
      <c r="I357" s="19">
        <f ca="1">IF(RAND()&lt;P_Zero,0,IF(RAND()&lt;CondReturn,_xlfn.LOGNORM.INV(RAND(),MV2,Sigma1),IF(RAND()&lt;CondGood,_xlfn.LOGNORM.INV(RAND(),MV3,Sigma2),MIN(MaxMultiple,Xm/(1-RAND())^(1/Alpha)))))</f>
        <v>1.2051658529310152</v>
      </c>
      <c r="J357" s="19">
        <f ca="1">IF(RAND()&lt;P_Zero,0,IF(RAND()&lt;CondReturn,_xlfn.LOGNORM.INV(RAND(),MV2,Sigma1),IF(RAND()&lt;CondGood,_xlfn.LOGNORM.INV(RAND(),MV3,Sigma2),MIN(MaxMultiple,Xm/(1-RAND())^(1/Alpha)))))</f>
        <v>0.42323348543021821</v>
      </c>
      <c r="K357" s="19">
        <f ca="1">IF(RAND()&lt;P_Zero,0,IF(RAND()&lt;CondReturn,_xlfn.LOGNORM.INV(RAND(),MV2,Sigma1),IF(RAND()&lt;CondGood,_xlfn.LOGNORM.INV(RAND(),MV3,Sigma2),MIN(MaxMultiple,Xm/(1-RAND())^(1/Alpha)))))</f>
        <v>1.5622627130003657</v>
      </c>
      <c r="L357" s="19">
        <f ca="1">IF(RAND()&lt;P_Zero,0,IF(RAND()&lt;CondReturn,_xlfn.LOGNORM.INV(RAND(),MV2,Sigma1),IF(RAND()&lt;CondGood,_xlfn.LOGNORM.INV(RAND(),MV3,Sigma2),MIN(MaxMultiple,Xm/(1-RAND())^(1/Alpha)))))</f>
        <v>0</v>
      </c>
      <c r="M357" s="19">
        <f ca="1">IF(RAND()&lt;P_Zero,0,IF(RAND()&lt;CondReturn,_xlfn.LOGNORM.INV(RAND(),MV2,Sigma1),IF(RAND()&lt;CondGood,_xlfn.LOGNORM.INV(RAND(),MV3,Sigma2),MIN(MaxMultiple,Xm/(1-RAND())^(1/Alpha)))))</f>
        <v>1.329870058290276</v>
      </c>
      <c r="N357" s="19">
        <f ca="1">IF(RAND()&lt;P_Zero,0,IF(RAND()&lt;CondReturn,_xlfn.LOGNORM.INV(RAND(),MV2,Sigma1),IF(RAND()&lt;CondGood,_xlfn.LOGNORM.INV(RAND(),MV3,Sigma2),MIN(MaxMultiple,Xm/(1-RAND())^(1/Alpha)))))</f>
        <v>0</v>
      </c>
      <c r="O357" s="19">
        <f ca="1">IF(RAND()&lt;P_Zero,0,IF(RAND()&lt;CondReturn,_xlfn.LOGNORM.INV(RAND(),MV2,Sigma1),IF(RAND()&lt;CondGood,_xlfn.LOGNORM.INV(RAND(),MV3,Sigma2),MIN(MaxMultiple,Xm/(1-RAND())^(1/Alpha)))))</f>
        <v>1.9852173219913292</v>
      </c>
      <c r="P357" s="19">
        <f ca="1">IF(RAND()&lt;P_Zero,0,IF(RAND()&lt;CondReturn,_xlfn.LOGNORM.INV(RAND(),MV2,Sigma1),IF(RAND()&lt;CondGood,_xlfn.LOGNORM.INV(RAND(),MV3,Sigma2),MIN(MaxMultiple,Xm/(1-RAND())^(1/Alpha)))))</f>
        <v>0</v>
      </c>
      <c r="Q357" s="19">
        <f ca="1">IF(RAND()&lt;P_Zero,0,IF(RAND()&lt;CondReturn,_xlfn.LOGNORM.INV(RAND(),MV2,Sigma1),IF(RAND()&lt;CondGood,_xlfn.LOGNORM.INV(RAND(),MV3,Sigma2),MIN(MaxMultiple,Xm/(1-RAND())^(1/Alpha)))))</f>
        <v>300</v>
      </c>
      <c r="R357" s="19">
        <f ca="1">IF(RAND()&lt;P_Zero,0,IF(RAND()&lt;CondReturn,_xlfn.LOGNORM.INV(RAND(),MV2,Sigma1),IF(RAND()&lt;CondGood,_xlfn.LOGNORM.INV(RAND(),MV3,Sigma2),MIN(MaxMultiple,Xm/(1-RAND())^(1/Alpha)))))</f>
        <v>1.1601898277439966</v>
      </c>
      <c r="S357" s="19">
        <f ca="1">IF(RAND()&lt;P_Zero,0,IF(RAND()&lt;CondReturn,_xlfn.LOGNORM.INV(RAND(),MV2,Sigma1),IF(RAND()&lt;CondGood,_xlfn.LOGNORM.INV(RAND(),MV3,Sigma2),MIN(MaxMultiple,Xm/(1-RAND())^(1/Alpha)))))</f>
        <v>0</v>
      </c>
      <c r="T357" s="19">
        <f ca="1">IF(RAND()&lt;P_Zero,0,IF(RAND()&lt;CondReturn,_xlfn.LOGNORM.INV(RAND(),MV2,Sigma1),IF(RAND()&lt;CondGood,_xlfn.LOGNORM.INV(RAND(),MV3,Sigma2),MIN(MaxMultiple,Xm/(1-RAND())^(1/Alpha)))))</f>
        <v>14.241991014276527</v>
      </c>
      <c r="U357" s="19">
        <f ca="1">IF(RAND()&lt;P_Zero,0,IF(RAND()&lt;CondReturn,_xlfn.LOGNORM.INV(RAND(),MV2,Sigma1),IF(RAND()&lt;CondGood,_xlfn.LOGNORM.INV(RAND(),MV3,Sigma2),MIN(MaxMultiple,Xm/(1-RAND())^(1/Alpha)))))</f>
        <v>0.96295402625649518</v>
      </c>
      <c r="V357" s="19">
        <f ca="1">IF(RAND()&lt;P_Zero,0,IF(RAND()&lt;CondReturn,_xlfn.LOGNORM.INV(RAND(),MV2,Sigma1),IF(RAND()&lt;CondGood,_xlfn.LOGNORM.INV(RAND(),MV3,Sigma2),MIN(MaxMultiple,Xm/(1-RAND())^(1/Alpha)))))</f>
        <v>0.94503933452791267</v>
      </c>
      <c r="W357" s="19">
        <f ca="1">IF(RAND()&lt;P_Zero,0,IF(RAND()&lt;CondReturn,_xlfn.LOGNORM.INV(RAND(),MV2,Sigma1),IF(RAND()&lt;CondGood,_xlfn.LOGNORM.INV(RAND(),MV3,Sigma2),MIN(MaxMultiple,Xm/(1-RAND())^(1/Alpha)))))</f>
        <v>0</v>
      </c>
      <c r="X357" s="19">
        <f ca="1">IF(RAND()&lt;P_Zero,0,IF(RAND()&lt;CondReturn,_xlfn.LOGNORM.INV(RAND(),MV2,Sigma1),IF(RAND()&lt;CondGood,_xlfn.LOGNORM.INV(RAND(),MV3,Sigma2),MIN(MaxMultiple,Xm/(1-RAND())^(1/Alpha)))))</f>
        <v>10.544578324590024</v>
      </c>
      <c r="Y357" s="19">
        <f ca="1">IF(RAND()&lt;P_Zero,0,IF(RAND()&lt;CondReturn,_xlfn.LOGNORM.INV(RAND(),MV2,Sigma1),IF(RAND()&lt;CondGood,_xlfn.LOGNORM.INV(RAND(),MV3,Sigma2),MIN(MaxMultiple,Xm/(1-RAND())^(1/Alpha)))))</f>
        <v>0.94216283453349037</v>
      </c>
      <c r="Z357" s="19">
        <f ca="1">IF(RAND()&lt;P_Zero,0,IF(RAND()&lt;CondReturn,_xlfn.LOGNORM.INV(RAND(),MV2,Sigma1),IF(RAND()&lt;CondGood,_xlfn.LOGNORM.INV(RAND(),MV3,Sigma2),MIN(MaxMultiple,Xm/(1-RAND())^(1/Alpha)))))</f>
        <v>1.0094346767477138</v>
      </c>
      <c r="AA357" s="19">
        <f ca="1">IF(RAND()&lt;P_Zero,0,IF(RAND()&lt;CondReturn,_xlfn.LOGNORM.INV(RAND(),MV2,Sigma1),IF(RAND()&lt;CondGood,_xlfn.LOGNORM.INV(RAND(),MV3,Sigma2),MIN(MaxMultiple,Xm/(1-RAND())^(1/Alpha)))))</f>
        <v>1.0975668719417411</v>
      </c>
      <c r="AB357" s="19">
        <f t="shared" ca="1" si="40"/>
        <v>14.276712793275474</v>
      </c>
      <c r="AC357" s="14">
        <f t="shared" ca="1" si="41"/>
        <v>685282214.0772227</v>
      </c>
      <c r="AD357" s="14">
        <f t="shared" ca="1" si="42"/>
        <v>637282214.0772227</v>
      </c>
      <c r="AE357" s="14">
        <f t="shared" si="43"/>
        <v>55628399.869093813</v>
      </c>
      <c r="AF357" s="14">
        <f t="shared" ca="1" si="44"/>
        <v>581653814.20812893</v>
      </c>
      <c r="AG357" s="14">
        <f t="shared" ca="1" si="45"/>
        <v>116330762.84162579</v>
      </c>
      <c r="AH357" s="14">
        <f t="shared" ca="1" si="46"/>
        <v>568951451.2355969</v>
      </c>
      <c r="AI357" s="19">
        <f t="shared" ca="1" si="47"/>
        <v>9.4825241872599477</v>
      </c>
    </row>
    <row r="358" spans="2:35" x14ac:dyDescent="0.2">
      <c r="B358" s="1">
        <v>353</v>
      </c>
      <c r="C358" s="19">
        <f ca="1">IF(RAND()&lt;P_Zero,0,IF(RAND()&lt;CondReturn,_xlfn.LOGNORM.INV(RAND(),MV2,Sigma1),IF(RAND()&lt;CondGood,_xlfn.LOGNORM.INV(RAND(),MV3,Sigma2),MIN(MaxMultiple,Xm/(1-RAND())^(1/Alpha)))))</f>
        <v>0</v>
      </c>
      <c r="D358" s="19">
        <f ca="1">IF(RAND()&lt;P_Zero,0,IF(RAND()&lt;CondReturn,_xlfn.LOGNORM.INV(RAND(),MV2,Sigma1),IF(RAND()&lt;CondGood,_xlfn.LOGNORM.INV(RAND(),MV3,Sigma2),MIN(MaxMultiple,Xm/(1-RAND())^(1/Alpha)))))</f>
        <v>0</v>
      </c>
      <c r="E358" s="19">
        <f ca="1">IF(RAND()&lt;P_Zero,0,IF(RAND()&lt;CondReturn,_xlfn.LOGNORM.INV(RAND(),MV2,Sigma1),IF(RAND()&lt;CondGood,_xlfn.LOGNORM.INV(RAND(),MV3,Sigma2),MIN(MaxMultiple,Xm/(1-RAND())^(1/Alpha)))))</f>
        <v>0</v>
      </c>
      <c r="F358" s="19">
        <f ca="1">IF(RAND()&lt;P_Zero,0,IF(RAND()&lt;CondReturn,_xlfn.LOGNORM.INV(RAND(),MV2,Sigma1),IF(RAND()&lt;CondGood,_xlfn.LOGNORM.INV(RAND(),MV3,Sigma2),MIN(MaxMultiple,Xm/(1-RAND())^(1/Alpha)))))</f>
        <v>0.63053967417919765</v>
      </c>
      <c r="G358" s="19">
        <f ca="1">IF(RAND()&lt;P_Zero,0,IF(RAND()&lt;CondReturn,_xlfn.LOGNORM.INV(RAND(),MV2,Sigma1),IF(RAND()&lt;CondGood,_xlfn.LOGNORM.INV(RAND(),MV3,Sigma2),MIN(MaxMultiple,Xm/(1-RAND())^(1/Alpha)))))</f>
        <v>0.63039052221666791</v>
      </c>
      <c r="H358" s="19">
        <f ca="1">IF(RAND()&lt;P_Zero,0,IF(RAND()&lt;CondReturn,_xlfn.LOGNORM.INV(RAND(),MV2,Sigma1),IF(RAND()&lt;CondGood,_xlfn.LOGNORM.INV(RAND(),MV3,Sigma2),MIN(MaxMultiple,Xm/(1-RAND())^(1/Alpha)))))</f>
        <v>0</v>
      </c>
      <c r="I358" s="19">
        <f ca="1">IF(RAND()&lt;P_Zero,0,IF(RAND()&lt;CondReturn,_xlfn.LOGNORM.INV(RAND(),MV2,Sigma1),IF(RAND()&lt;CondGood,_xlfn.LOGNORM.INV(RAND(),MV3,Sigma2),MIN(MaxMultiple,Xm/(1-RAND())^(1/Alpha)))))</f>
        <v>0</v>
      </c>
      <c r="J358" s="19">
        <f ca="1">IF(RAND()&lt;P_Zero,0,IF(RAND()&lt;CondReturn,_xlfn.LOGNORM.INV(RAND(),MV2,Sigma1),IF(RAND()&lt;CondGood,_xlfn.LOGNORM.INV(RAND(),MV3,Sigma2),MIN(MaxMultiple,Xm/(1-RAND())^(1/Alpha)))))</f>
        <v>0</v>
      </c>
      <c r="K358" s="19">
        <f ca="1">IF(RAND()&lt;P_Zero,0,IF(RAND()&lt;CondReturn,_xlfn.LOGNORM.INV(RAND(),MV2,Sigma1),IF(RAND()&lt;CondGood,_xlfn.LOGNORM.INV(RAND(),MV3,Sigma2),MIN(MaxMultiple,Xm/(1-RAND())^(1/Alpha)))))</f>
        <v>0</v>
      </c>
      <c r="L358" s="19">
        <f ca="1">IF(RAND()&lt;P_Zero,0,IF(RAND()&lt;CondReturn,_xlfn.LOGNORM.INV(RAND(),MV2,Sigma1),IF(RAND()&lt;CondGood,_xlfn.LOGNORM.INV(RAND(),MV3,Sigma2),MIN(MaxMultiple,Xm/(1-RAND())^(1/Alpha)))))</f>
        <v>1.3745382279658316</v>
      </c>
      <c r="M358" s="19">
        <f ca="1">IF(RAND()&lt;P_Zero,0,IF(RAND()&lt;CondReturn,_xlfn.LOGNORM.INV(RAND(),MV2,Sigma1),IF(RAND()&lt;CondGood,_xlfn.LOGNORM.INV(RAND(),MV3,Sigma2),MIN(MaxMultiple,Xm/(1-RAND())^(1/Alpha)))))</f>
        <v>0.93290850388463087</v>
      </c>
      <c r="N358" s="19">
        <f ca="1">IF(RAND()&lt;P_Zero,0,IF(RAND()&lt;CondReturn,_xlfn.LOGNORM.INV(RAND(),MV2,Sigma1),IF(RAND()&lt;CondGood,_xlfn.LOGNORM.INV(RAND(),MV3,Sigma2),MIN(MaxMultiple,Xm/(1-RAND())^(1/Alpha)))))</f>
        <v>0.9120623955055297</v>
      </c>
      <c r="O358" s="19">
        <f ca="1">IF(RAND()&lt;P_Zero,0,IF(RAND()&lt;CondReturn,_xlfn.LOGNORM.INV(RAND(),MV2,Sigma1),IF(RAND()&lt;CondGood,_xlfn.LOGNORM.INV(RAND(),MV3,Sigma2),MIN(MaxMultiple,Xm/(1-RAND())^(1/Alpha)))))</f>
        <v>0</v>
      </c>
      <c r="P358" s="19">
        <f ca="1">IF(RAND()&lt;P_Zero,0,IF(RAND()&lt;CondReturn,_xlfn.LOGNORM.INV(RAND(),MV2,Sigma1),IF(RAND()&lt;CondGood,_xlfn.LOGNORM.INV(RAND(),MV3,Sigma2),MIN(MaxMultiple,Xm/(1-RAND())^(1/Alpha)))))</f>
        <v>1.6723458561373634</v>
      </c>
      <c r="Q358" s="19">
        <f ca="1">IF(RAND()&lt;P_Zero,0,IF(RAND()&lt;CondReturn,_xlfn.LOGNORM.INV(RAND(),MV2,Sigma1),IF(RAND()&lt;CondGood,_xlfn.LOGNORM.INV(RAND(),MV3,Sigma2),MIN(MaxMultiple,Xm/(1-RAND())^(1/Alpha)))))</f>
        <v>1.4779031193091854</v>
      </c>
      <c r="R358" s="19">
        <f ca="1">IF(RAND()&lt;P_Zero,0,IF(RAND()&lt;CondReturn,_xlfn.LOGNORM.INV(RAND(),MV2,Sigma1),IF(RAND()&lt;CondGood,_xlfn.LOGNORM.INV(RAND(),MV3,Sigma2),MIN(MaxMultiple,Xm/(1-RAND())^(1/Alpha)))))</f>
        <v>0</v>
      </c>
      <c r="S358" s="19">
        <f ca="1">IF(RAND()&lt;P_Zero,0,IF(RAND()&lt;CondReturn,_xlfn.LOGNORM.INV(RAND(),MV2,Sigma1),IF(RAND()&lt;CondGood,_xlfn.LOGNORM.INV(RAND(),MV3,Sigma2),MIN(MaxMultiple,Xm/(1-RAND())^(1/Alpha)))))</f>
        <v>1.4214435813451283</v>
      </c>
      <c r="T358" s="19">
        <f ca="1">IF(RAND()&lt;P_Zero,0,IF(RAND()&lt;CondReturn,_xlfn.LOGNORM.INV(RAND(),MV2,Sigma1),IF(RAND()&lt;CondGood,_xlfn.LOGNORM.INV(RAND(),MV3,Sigma2),MIN(MaxMultiple,Xm/(1-RAND())^(1/Alpha)))))</f>
        <v>0</v>
      </c>
      <c r="U358" s="19">
        <f ca="1">IF(RAND()&lt;P_Zero,0,IF(RAND()&lt;CondReturn,_xlfn.LOGNORM.INV(RAND(),MV2,Sigma1),IF(RAND()&lt;CondGood,_xlfn.LOGNORM.INV(RAND(),MV3,Sigma2),MIN(MaxMultiple,Xm/(1-RAND())^(1/Alpha)))))</f>
        <v>1.7937055255901615</v>
      </c>
      <c r="V358" s="19">
        <f ca="1">IF(RAND()&lt;P_Zero,0,IF(RAND()&lt;CondReturn,_xlfn.LOGNORM.INV(RAND(),MV2,Sigma1),IF(RAND()&lt;CondGood,_xlfn.LOGNORM.INV(RAND(),MV3,Sigma2),MIN(MaxMultiple,Xm/(1-RAND())^(1/Alpha)))))</f>
        <v>0</v>
      </c>
      <c r="W358" s="19">
        <f ca="1">IF(RAND()&lt;P_Zero,0,IF(RAND()&lt;CondReturn,_xlfn.LOGNORM.INV(RAND(),MV2,Sigma1),IF(RAND()&lt;CondGood,_xlfn.LOGNORM.INV(RAND(),MV3,Sigma2),MIN(MaxMultiple,Xm/(1-RAND())^(1/Alpha)))))</f>
        <v>1.7849316650967584</v>
      </c>
      <c r="X358" s="19">
        <f ca="1">IF(RAND()&lt;P_Zero,0,IF(RAND()&lt;CondReturn,_xlfn.LOGNORM.INV(RAND(),MV2,Sigma1),IF(RAND()&lt;CondGood,_xlfn.LOGNORM.INV(RAND(),MV3,Sigma2),MIN(MaxMultiple,Xm/(1-RAND())^(1/Alpha)))))</f>
        <v>0</v>
      </c>
      <c r="Y358" s="19">
        <f ca="1">IF(RAND()&lt;P_Zero,0,IF(RAND()&lt;CondReturn,_xlfn.LOGNORM.INV(RAND(),MV2,Sigma1),IF(RAND()&lt;CondGood,_xlfn.LOGNORM.INV(RAND(),MV3,Sigma2),MIN(MaxMultiple,Xm/(1-RAND())^(1/Alpha)))))</f>
        <v>0</v>
      </c>
      <c r="Z358" s="19">
        <f ca="1">IF(RAND()&lt;P_Zero,0,IF(RAND()&lt;CondReturn,_xlfn.LOGNORM.INV(RAND(),MV2,Sigma1),IF(RAND()&lt;CondGood,_xlfn.LOGNORM.INV(RAND(),MV3,Sigma2),MIN(MaxMultiple,Xm/(1-RAND())^(1/Alpha)))))</f>
        <v>0</v>
      </c>
      <c r="AA358" s="19">
        <f ca="1">IF(RAND()&lt;P_Zero,0,IF(RAND()&lt;CondReturn,_xlfn.LOGNORM.INV(RAND(),MV2,Sigma1),IF(RAND()&lt;CondGood,_xlfn.LOGNORM.INV(RAND(),MV3,Sigma2),MIN(MaxMultiple,Xm/(1-RAND())^(1/Alpha)))))</f>
        <v>0</v>
      </c>
      <c r="AB358" s="19">
        <f t="shared" ca="1" si="40"/>
        <v>0.50523076284921808</v>
      </c>
      <c r="AC358" s="14">
        <f t="shared" ca="1" si="41"/>
        <v>24251076.616762467</v>
      </c>
      <c r="AD358" s="14">
        <f t="shared" ca="1" si="42"/>
        <v>-23748923.383237533</v>
      </c>
      <c r="AE358" s="14">
        <f t="shared" si="43"/>
        <v>55628399.869093813</v>
      </c>
      <c r="AF358" s="14">
        <f t="shared" ca="1" si="44"/>
        <v>0</v>
      </c>
      <c r="AG358" s="14">
        <f t="shared" ca="1" si="45"/>
        <v>0</v>
      </c>
      <c r="AH358" s="14">
        <f t="shared" ca="1" si="46"/>
        <v>24251076.616762467</v>
      </c>
      <c r="AI358" s="19">
        <f t="shared" ca="1" si="47"/>
        <v>0.40418461027937447</v>
      </c>
    </row>
    <row r="359" spans="2:35" x14ac:dyDescent="0.2">
      <c r="B359" s="1">
        <v>354</v>
      </c>
      <c r="C359" s="19">
        <f ca="1">IF(RAND()&lt;P_Zero,0,IF(RAND()&lt;CondReturn,_xlfn.LOGNORM.INV(RAND(),MV2,Sigma1),IF(RAND()&lt;CondGood,_xlfn.LOGNORM.INV(RAND(),MV3,Sigma2),MIN(MaxMultiple,Xm/(1-RAND())^(1/Alpha)))))</f>
        <v>0.48979140974679997</v>
      </c>
      <c r="D359" s="19">
        <f ca="1">IF(RAND()&lt;P_Zero,0,IF(RAND()&lt;CondReturn,_xlfn.LOGNORM.INV(RAND(),MV2,Sigma1),IF(RAND()&lt;CondGood,_xlfn.LOGNORM.INV(RAND(),MV3,Sigma2),MIN(MaxMultiple,Xm/(1-RAND())^(1/Alpha)))))</f>
        <v>1.7542683428199926</v>
      </c>
      <c r="E359" s="19">
        <f ca="1">IF(RAND()&lt;P_Zero,0,IF(RAND()&lt;CondReturn,_xlfn.LOGNORM.INV(RAND(),MV2,Sigma1),IF(RAND()&lt;CondGood,_xlfn.LOGNORM.INV(RAND(),MV3,Sigma2),MIN(MaxMultiple,Xm/(1-RAND())^(1/Alpha)))))</f>
        <v>0.95840858645196814</v>
      </c>
      <c r="F359" s="19">
        <f ca="1">IF(RAND()&lt;P_Zero,0,IF(RAND()&lt;CondReturn,_xlfn.LOGNORM.INV(RAND(),MV2,Sigma1),IF(RAND()&lt;CondGood,_xlfn.LOGNORM.INV(RAND(),MV3,Sigma2),MIN(MaxMultiple,Xm/(1-RAND())^(1/Alpha)))))</f>
        <v>1.3899087285489327</v>
      </c>
      <c r="G359" s="19">
        <f ca="1">IF(RAND()&lt;P_Zero,0,IF(RAND()&lt;CondReturn,_xlfn.LOGNORM.INV(RAND(),MV2,Sigma1),IF(RAND()&lt;CondGood,_xlfn.LOGNORM.INV(RAND(),MV3,Sigma2),MIN(MaxMultiple,Xm/(1-RAND())^(1/Alpha)))))</f>
        <v>0.95609395347569359</v>
      </c>
      <c r="H359" s="19">
        <f ca="1">IF(RAND()&lt;P_Zero,0,IF(RAND()&lt;CondReturn,_xlfn.LOGNORM.INV(RAND(),MV2,Sigma1),IF(RAND()&lt;CondGood,_xlfn.LOGNORM.INV(RAND(),MV3,Sigma2),MIN(MaxMultiple,Xm/(1-RAND())^(1/Alpha)))))</f>
        <v>0</v>
      </c>
      <c r="I359" s="19">
        <f ca="1">IF(RAND()&lt;P_Zero,0,IF(RAND()&lt;CondReturn,_xlfn.LOGNORM.INV(RAND(),MV2,Sigma1),IF(RAND()&lt;CondGood,_xlfn.LOGNORM.INV(RAND(),MV3,Sigma2),MIN(MaxMultiple,Xm/(1-RAND())^(1/Alpha)))))</f>
        <v>0</v>
      </c>
      <c r="J359" s="19">
        <f ca="1">IF(RAND()&lt;P_Zero,0,IF(RAND()&lt;CondReturn,_xlfn.LOGNORM.INV(RAND(),MV2,Sigma1),IF(RAND()&lt;CondGood,_xlfn.LOGNORM.INV(RAND(),MV3,Sigma2),MIN(MaxMultiple,Xm/(1-RAND())^(1/Alpha)))))</f>
        <v>1.716130152886262</v>
      </c>
      <c r="K359" s="19">
        <f ca="1">IF(RAND()&lt;P_Zero,0,IF(RAND()&lt;CondReturn,_xlfn.LOGNORM.INV(RAND(),MV2,Sigma1),IF(RAND()&lt;CondGood,_xlfn.LOGNORM.INV(RAND(),MV3,Sigma2),MIN(MaxMultiple,Xm/(1-RAND())^(1/Alpha)))))</f>
        <v>0</v>
      </c>
      <c r="L359" s="19">
        <f ca="1">IF(RAND()&lt;P_Zero,0,IF(RAND()&lt;CondReturn,_xlfn.LOGNORM.INV(RAND(),MV2,Sigma1),IF(RAND()&lt;CondGood,_xlfn.LOGNORM.INV(RAND(),MV3,Sigma2),MIN(MaxMultiple,Xm/(1-RAND())^(1/Alpha)))))</f>
        <v>26.429966672921267</v>
      </c>
      <c r="M359" s="19">
        <f ca="1">IF(RAND()&lt;P_Zero,0,IF(RAND()&lt;CondReturn,_xlfn.LOGNORM.INV(RAND(),MV2,Sigma1),IF(RAND()&lt;CondGood,_xlfn.LOGNORM.INV(RAND(),MV3,Sigma2),MIN(MaxMultiple,Xm/(1-RAND())^(1/Alpha)))))</f>
        <v>0.9019216536756095</v>
      </c>
      <c r="N359" s="19">
        <f ca="1">IF(RAND()&lt;P_Zero,0,IF(RAND()&lt;CondReturn,_xlfn.LOGNORM.INV(RAND(),MV2,Sigma1),IF(RAND()&lt;CondGood,_xlfn.LOGNORM.INV(RAND(),MV3,Sigma2),MIN(MaxMultiple,Xm/(1-RAND())^(1/Alpha)))))</f>
        <v>18.512579712193592</v>
      </c>
      <c r="O359" s="19">
        <f ca="1">IF(RAND()&lt;P_Zero,0,IF(RAND()&lt;CondReturn,_xlfn.LOGNORM.INV(RAND(),MV2,Sigma1),IF(RAND()&lt;CondGood,_xlfn.LOGNORM.INV(RAND(),MV3,Sigma2),MIN(MaxMultiple,Xm/(1-RAND())^(1/Alpha)))))</f>
        <v>0.59055963534087486</v>
      </c>
      <c r="P359" s="19">
        <f ca="1">IF(RAND()&lt;P_Zero,0,IF(RAND()&lt;CondReturn,_xlfn.LOGNORM.INV(RAND(),MV2,Sigma1),IF(RAND()&lt;CondGood,_xlfn.LOGNORM.INV(RAND(),MV3,Sigma2),MIN(MaxMultiple,Xm/(1-RAND())^(1/Alpha)))))</f>
        <v>0.62784344677068582</v>
      </c>
      <c r="Q359" s="19">
        <f ca="1">IF(RAND()&lt;P_Zero,0,IF(RAND()&lt;CondReturn,_xlfn.LOGNORM.INV(RAND(),MV2,Sigma1),IF(RAND()&lt;CondGood,_xlfn.LOGNORM.INV(RAND(),MV3,Sigma2),MIN(MaxMultiple,Xm/(1-RAND())^(1/Alpha)))))</f>
        <v>0</v>
      </c>
      <c r="R359" s="19">
        <f ca="1">IF(RAND()&lt;P_Zero,0,IF(RAND()&lt;CondReturn,_xlfn.LOGNORM.INV(RAND(),MV2,Sigma1),IF(RAND()&lt;CondGood,_xlfn.LOGNORM.INV(RAND(),MV3,Sigma2),MIN(MaxMultiple,Xm/(1-RAND())^(1/Alpha)))))</f>
        <v>1.8392172157563738</v>
      </c>
      <c r="S359" s="19">
        <f ca="1">IF(RAND()&lt;P_Zero,0,IF(RAND()&lt;CondReturn,_xlfn.LOGNORM.INV(RAND(),MV2,Sigma1),IF(RAND()&lt;CondGood,_xlfn.LOGNORM.INV(RAND(),MV3,Sigma2),MIN(MaxMultiple,Xm/(1-RAND())^(1/Alpha)))))</f>
        <v>0.67137526804020509</v>
      </c>
      <c r="T359" s="19">
        <f ca="1">IF(RAND()&lt;P_Zero,0,IF(RAND()&lt;CondReturn,_xlfn.LOGNORM.INV(RAND(),MV2,Sigma1),IF(RAND()&lt;CondGood,_xlfn.LOGNORM.INV(RAND(),MV3,Sigma2),MIN(MaxMultiple,Xm/(1-RAND())^(1/Alpha)))))</f>
        <v>0</v>
      </c>
      <c r="U359" s="19">
        <f ca="1">IF(RAND()&lt;P_Zero,0,IF(RAND()&lt;CondReturn,_xlfn.LOGNORM.INV(RAND(),MV2,Sigma1),IF(RAND()&lt;CondGood,_xlfn.LOGNORM.INV(RAND(),MV3,Sigma2),MIN(MaxMultiple,Xm/(1-RAND())^(1/Alpha)))))</f>
        <v>0</v>
      </c>
      <c r="V359" s="19">
        <f ca="1">IF(RAND()&lt;P_Zero,0,IF(RAND()&lt;CondReturn,_xlfn.LOGNORM.INV(RAND(),MV2,Sigma1),IF(RAND()&lt;CondGood,_xlfn.LOGNORM.INV(RAND(),MV3,Sigma2),MIN(MaxMultiple,Xm/(1-RAND())^(1/Alpha)))))</f>
        <v>0</v>
      </c>
      <c r="W359" s="19">
        <f ca="1">IF(RAND()&lt;P_Zero,0,IF(RAND()&lt;CondReturn,_xlfn.LOGNORM.INV(RAND(),MV2,Sigma1),IF(RAND()&lt;CondGood,_xlfn.LOGNORM.INV(RAND(),MV3,Sigma2),MIN(MaxMultiple,Xm/(1-RAND())^(1/Alpha)))))</f>
        <v>0</v>
      </c>
      <c r="X359" s="19">
        <f ca="1">IF(RAND()&lt;P_Zero,0,IF(RAND()&lt;CondReturn,_xlfn.LOGNORM.INV(RAND(),MV2,Sigma1),IF(RAND()&lt;CondGood,_xlfn.LOGNORM.INV(RAND(),MV3,Sigma2),MIN(MaxMultiple,Xm/(1-RAND())^(1/Alpha)))))</f>
        <v>0</v>
      </c>
      <c r="Y359" s="19">
        <f ca="1">IF(RAND()&lt;P_Zero,0,IF(RAND()&lt;CondReturn,_xlfn.LOGNORM.INV(RAND(),MV2,Sigma1),IF(RAND()&lt;CondGood,_xlfn.LOGNORM.INV(RAND(),MV3,Sigma2),MIN(MaxMultiple,Xm/(1-RAND())^(1/Alpha)))))</f>
        <v>0.54724161429195162</v>
      </c>
      <c r="Z359" s="19">
        <f ca="1">IF(RAND()&lt;P_Zero,0,IF(RAND()&lt;CondReturn,_xlfn.LOGNORM.INV(RAND(),MV2,Sigma1),IF(RAND()&lt;CondGood,_xlfn.LOGNORM.INV(RAND(),MV3,Sigma2),MIN(MaxMultiple,Xm/(1-RAND())^(1/Alpha)))))</f>
        <v>1.0338221761395539</v>
      </c>
      <c r="AA359" s="19">
        <f ca="1">IF(RAND()&lt;P_Zero,0,IF(RAND()&lt;CondReturn,_xlfn.LOGNORM.INV(RAND(),MV2,Sigma1),IF(RAND()&lt;CondGood,_xlfn.LOGNORM.INV(RAND(),MV3,Sigma2),MIN(MaxMultiple,Xm/(1-RAND())^(1/Alpha)))))</f>
        <v>0</v>
      </c>
      <c r="AB359" s="19">
        <f t="shared" ca="1" si="40"/>
        <v>2.3367651427623901</v>
      </c>
      <c r="AC359" s="14">
        <f t="shared" ca="1" si="41"/>
        <v>112164726.85259472</v>
      </c>
      <c r="AD359" s="14">
        <f t="shared" ca="1" si="42"/>
        <v>64164726.852594718</v>
      </c>
      <c r="AE359" s="14">
        <f t="shared" si="43"/>
        <v>55628399.869093813</v>
      </c>
      <c r="AF359" s="14">
        <f t="shared" ca="1" si="44"/>
        <v>8536326.9835009053</v>
      </c>
      <c r="AG359" s="14">
        <f t="shared" ca="1" si="45"/>
        <v>1707265.3967001811</v>
      </c>
      <c r="AH359" s="14">
        <f t="shared" ca="1" si="46"/>
        <v>110457461.45589453</v>
      </c>
      <c r="AI359" s="19">
        <f t="shared" ca="1" si="47"/>
        <v>1.8409576909315755</v>
      </c>
    </row>
    <row r="360" spans="2:35" x14ac:dyDescent="0.2">
      <c r="B360" s="1">
        <v>355</v>
      </c>
      <c r="C360" s="19">
        <f ca="1">IF(RAND()&lt;P_Zero,0,IF(RAND()&lt;CondReturn,_xlfn.LOGNORM.INV(RAND(),MV2,Sigma1),IF(RAND()&lt;CondGood,_xlfn.LOGNORM.INV(RAND(),MV3,Sigma2),MIN(MaxMultiple,Xm/(1-RAND())^(1/Alpha)))))</f>
        <v>0</v>
      </c>
      <c r="D360" s="19">
        <f ca="1">IF(RAND()&lt;P_Zero,0,IF(RAND()&lt;CondReturn,_xlfn.LOGNORM.INV(RAND(),MV2,Sigma1),IF(RAND()&lt;CondGood,_xlfn.LOGNORM.INV(RAND(),MV3,Sigma2),MIN(MaxMultiple,Xm/(1-RAND())^(1/Alpha)))))</f>
        <v>1.0491716951847458</v>
      </c>
      <c r="E360" s="19">
        <f ca="1">IF(RAND()&lt;P_Zero,0,IF(RAND()&lt;CondReturn,_xlfn.LOGNORM.INV(RAND(),MV2,Sigma1),IF(RAND()&lt;CondGood,_xlfn.LOGNORM.INV(RAND(),MV3,Sigma2),MIN(MaxMultiple,Xm/(1-RAND())^(1/Alpha)))))</f>
        <v>0</v>
      </c>
      <c r="F360" s="19">
        <f ca="1">IF(RAND()&lt;P_Zero,0,IF(RAND()&lt;CondReturn,_xlfn.LOGNORM.INV(RAND(),MV2,Sigma1),IF(RAND()&lt;CondGood,_xlfn.LOGNORM.INV(RAND(),MV3,Sigma2),MIN(MaxMultiple,Xm/(1-RAND())^(1/Alpha)))))</f>
        <v>3.1845336863788112</v>
      </c>
      <c r="G360" s="19">
        <f ca="1">IF(RAND()&lt;P_Zero,0,IF(RAND()&lt;CondReturn,_xlfn.LOGNORM.INV(RAND(),MV2,Sigma1),IF(RAND()&lt;CondGood,_xlfn.LOGNORM.INV(RAND(),MV3,Sigma2),MIN(MaxMultiple,Xm/(1-RAND())^(1/Alpha)))))</f>
        <v>0</v>
      </c>
      <c r="H360" s="19">
        <f ca="1">IF(RAND()&lt;P_Zero,0,IF(RAND()&lt;CondReturn,_xlfn.LOGNORM.INV(RAND(),MV2,Sigma1),IF(RAND()&lt;CondGood,_xlfn.LOGNORM.INV(RAND(),MV3,Sigma2),MIN(MaxMultiple,Xm/(1-RAND())^(1/Alpha)))))</f>
        <v>0.89889514902616563</v>
      </c>
      <c r="I360" s="19">
        <f ca="1">IF(RAND()&lt;P_Zero,0,IF(RAND()&lt;CondReturn,_xlfn.LOGNORM.INV(RAND(),MV2,Sigma1),IF(RAND()&lt;CondGood,_xlfn.LOGNORM.INV(RAND(),MV3,Sigma2),MIN(MaxMultiple,Xm/(1-RAND())^(1/Alpha)))))</f>
        <v>0.53908741497827428</v>
      </c>
      <c r="J360" s="19">
        <f ca="1">IF(RAND()&lt;P_Zero,0,IF(RAND()&lt;CondReturn,_xlfn.LOGNORM.INV(RAND(),MV2,Sigma1),IF(RAND()&lt;CondGood,_xlfn.LOGNORM.INV(RAND(),MV3,Sigma2),MIN(MaxMultiple,Xm/(1-RAND())^(1/Alpha)))))</f>
        <v>18.033718514290957</v>
      </c>
      <c r="K360" s="19">
        <f ca="1">IF(RAND()&lt;P_Zero,0,IF(RAND()&lt;CondReturn,_xlfn.LOGNORM.INV(RAND(),MV2,Sigma1),IF(RAND()&lt;CondGood,_xlfn.LOGNORM.INV(RAND(),MV3,Sigma2),MIN(MaxMultiple,Xm/(1-RAND())^(1/Alpha)))))</f>
        <v>3.4925630146695017</v>
      </c>
      <c r="L360" s="19">
        <f ca="1">IF(RAND()&lt;P_Zero,0,IF(RAND()&lt;CondReturn,_xlfn.LOGNORM.INV(RAND(),MV2,Sigma1),IF(RAND()&lt;CondGood,_xlfn.LOGNORM.INV(RAND(),MV3,Sigma2),MIN(MaxMultiple,Xm/(1-RAND())^(1/Alpha)))))</f>
        <v>0.57639653735326413</v>
      </c>
      <c r="M360" s="19">
        <f ca="1">IF(RAND()&lt;P_Zero,0,IF(RAND()&lt;CondReturn,_xlfn.LOGNORM.INV(RAND(),MV2,Sigma1),IF(RAND()&lt;CondGood,_xlfn.LOGNORM.INV(RAND(),MV3,Sigma2),MIN(MaxMultiple,Xm/(1-RAND())^(1/Alpha)))))</f>
        <v>0</v>
      </c>
      <c r="N360" s="19">
        <f ca="1">IF(RAND()&lt;P_Zero,0,IF(RAND()&lt;CondReturn,_xlfn.LOGNORM.INV(RAND(),MV2,Sigma1),IF(RAND()&lt;CondGood,_xlfn.LOGNORM.INV(RAND(),MV3,Sigma2),MIN(MaxMultiple,Xm/(1-RAND())^(1/Alpha)))))</f>
        <v>0.64393430160669596</v>
      </c>
      <c r="O360" s="19">
        <f ca="1">IF(RAND()&lt;P_Zero,0,IF(RAND()&lt;CondReturn,_xlfn.LOGNORM.INV(RAND(),MV2,Sigma1),IF(RAND()&lt;CondGood,_xlfn.LOGNORM.INV(RAND(),MV3,Sigma2),MIN(MaxMultiple,Xm/(1-RAND())^(1/Alpha)))))</f>
        <v>0.81888614883333655</v>
      </c>
      <c r="P360" s="19">
        <f ca="1">IF(RAND()&lt;P_Zero,0,IF(RAND()&lt;CondReturn,_xlfn.LOGNORM.INV(RAND(),MV2,Sigma1),IF(RAND()&lt;CondGood,_xlfn.LOGNORM.INV(RAND(),MV3,Sigma2),MIN(MaxMultiple,Xm/(1-RAND())^(1/Alpha)))))</f>
        <v>0.44092565358991836</v>
      </c>
      <c r="Q360" s="19">
        <f ca="1">IF(RAND()&lt;P_Zero,0,IF(RAND()&lt;CondReturn,_xlfn.LOGNORM.INV(RAND(),MV2,Sigma1),IF(RAND()&lt;CondGood,_xlfn.LOGNORM.INV(RAND(),MV3,Sigma2),MIN(MaxMultiple,Xm/(1-RAND())^(1/Alpha)))))</f>
        <v>0.84752732167036815</v>
      </c>
      <c r="R360" s="19">
        <f ca="1">IF(RAND()&lt;P_Zero,0,IF(RAND()&lt;CondReturn,_xlfn.LOGNORM.INV(RAND(),MV2,Sigma1),IF(RAND()&lt;CondGood,_xlfn.LOGNORM.INV(RAND(),MV3,Sigma2),MIN(MaxMultiple,Xm/(1-RAND())^(1/Alpha)))))</f>
        <v>36.868829163378805</v>
      </c>
      <c r="S360" s="19">
        <f ca="1">IF(RAND()&lt;P_Zero,0,IF(RAND()&lt;CondReturn,_xlfn.LOGNORM.INV(RAND(),MV2,Sigma1),IF(RAND()&lt;CondGood,_xlfn.LOGNORM.INV(RAND(),MV3,Sigma2),MIN(MaxMultiple,Xm/(1-RAND())^(1/Alpha)))))</f>
        <v>0</v>
      </c>
      <c r="T360" s="19">
        <f ca="1">IF(RAND()&lt;P_Zero,0,IF(RAND()&lt;CondReturn,_xlfn.LOGNORM.INV(RAND(),MV2,Sigma1),IF(RAND()&lt;CondGood,_xlfn.LOGNORM.INV(RAND(),MV3,Sigma2),MIN(MaxMultiple,Xm/(1-RAND())^(1/Alpha)))))</f>
        <v>0</v>
      </c>
      <c r="U360" s="19">
        <f ca="1">IF(RAND()&lt;P_Zero,0,IF(RAND()&lt;CondReturn,_xlfn.LOGNORM.INV(RAND(),MV2,Sigma1),IF(RAND()&lt;CondGood,_xlfn.LOGNORM.INV(RAND(),MV3,Sigma2),MIN(MaxMultiple,Xm/(1-RAND())^(1/Alpha)))))</f>
        <v>1.2791971236356192</v>
      </c>
      <c r="V360" s="19">
        <f ca="1">IF(RAND()&lt;P_Zero,0,IF(RAND()&lt;CondReturn,_xlfn.LOGNORM.INV(RAND(),MV2,Sigma1),IF(RAND()&lt;CondGood,_xlfn.LOGNORM.INV(RAND(),MV3,Sigma2),MIN(MaxMultiple,Xm/(1-RAND())^(1/Alpha)))))</f>
        <v>20.537614578924355</v>
      </c>
      <c r="W360" s="19">
        <f ca="1">IF(RAND()&lt;P_Zero,0,IF(RAND()&lt;CondReturn,_xlfn.LOGNORM.INV(RAND(),MV2,Sigma1),IF(RAND()&lt;CondGood,_xlfn.LOGNORM.INV(RAND(),MV3,Sigma2),MIN(MaxMultiple,Xm/(1-RAND())^(1/Alpha)))))</f>
        <v>21.382865397390361</v>
      </c>
      <c r="X360" s="19">
        <f ca="1">IF(RAND()&lt;P_Zero,0,IF(RAND()&lt;CondReturn,_xlfn.LOGNORM.INV(RAND(),MV2,Sigma1),IF(RAND()&lt;CondGood,_xlfn.LOGNORM.INV(RAND(),MV3,Sigma2),MIN(MaxMultiple,Xm/(1-RAND())^(1/Alpha)))))</f>
        <v>0</v>
      </c>
      <c r="Y360" s="19">
        <f ca="1">IF(RAND()&lt;P_Zero,0,IF(RAND()&lt;CondReturn,_xlfn.LOGNORM.INV(RAND(),MV2,Sigma1),IF(RAND()&lt;CondGood,_xlfn.LOGNORM.INV(RAND(),MV3,Sigma2),MIN(MaxMultiple,Xm/(1-RAND())^(1/Alpha)))))</f>
        <v>0.31642412799430492</v>
      </c>
      <c r="Z360" s="19">
        <f ca="1">IF(RAND()&lt;P_Zero,0,IF(RAND()&lt;CondReturn,_xlfn.LOGNORM.INV(RAND(),MV2,Sigma1),IF(RAND()&lt;CondGood,_xlfn.LOGNORM.INV(RAND(),MV3,Sigma2),MIN(MaxMultiple,Xm/(1-RAND())^(1/Alpha)))))</f>
        <v>1.2619484283402769</v>
      </c>
      <c r="AA360" s="19">
        <f ca="1">IF(RAND()&lt;P_Zero,0,IF(RAND()&lt;CondReturn,_xlfn.LOGNORM.INV(RAND(),MV2,Sigma1),IF(RAND()&lt;CondGood,_xlfn.LOGNORM.INV(RAND(),MV3,Sigma2),MIN(MaxMultiple,Xm/(1-RAND())^(1/Alpha)))))</f>
        <v>0.84190452212109257</v>
      </c>
      <c r="AB360" s="19">
        <f t="shared" ca="1" si="40"/>
        <v>4.5205769111746745</v>
      </c>
      <c r="AC360" s="14">
        <f t="shared" ca="1" si="41"/>
        <v>216987691.73638439</v>
      </c>
      <c r="AD360" s="14">
        <f t="shared" ca="1" si="42"/>
        <v>168987691.73638439</v>
      </c>
      <c r="AE360" s="14">
        <f t="shared" si="43"/>
        <v>55628399.869093813</v>
      </c>
      <c r="AF360" s="14">
        <f t="shared" ca="1" si="44"/>
        <v>113359291.86729059</v>
      </c>
      <c r="AG360" s="14">
        <f t="shared" ca="1" si="45"/>
        <v>22671858.373458117</v>
      </c>
      <c r="AH360" s="14">
        <f t="shared" ca="1" si="46"/>
        <v>194315833.36292627</v>
      </c>
      <c r="AI360" s="19">
        <f t="shared" ca="1" si="47"/>
        <v>3.238597222715438</v>
      </c>
    </row>
    <row r="361" spans="2:35" x14ac:dyDescent="0.2">
      <c r="B361" s="1">
        <v>356</v>
      </c>
      <c r="C361" s="19">
        <f ca="1">IF(RAND()&lt;P_Zero,0,IF(RAND()&lt;CondReturn,_xlfn.LOGNORM.INV(RAND(),MV2,Sigma1),IF(RAND()&lt;CondGood,_xlfn.LOGNORM.INV(RAND(),MV3,Sigma2),MIN(MaxMultiple,Xm/(1-RAND())^(1/Alpha)))))</f>
        <v>0</v>
      </c>
      <c r="D361" s="19">
        <f ca="1">IF(RAND()&lt;P_Zero,0,IF(RAND()&lt;CondReturn,_xlfn.LOGNORM.INV(RAND(),MV2,Sigma1),IF(RAND()&lt;CondGood,_xlfn.LOGNORM.INV(RAND(),MV3,Sigma2),MIN(MaxMultiple,Xm/(1-RAND())^(1/Alpha)))))</f>
        <v>0</v>
      </c>
      <c r="E361" s="19">
        <f ca="1">IF(RAND()&lt;P_Zero,0,IF(RAND()&lt;CondReturn,_xlfn.LOGNORM.INV(RAND(),MV2,Sigma1),IF(RAND()&lt;CondGood,_xlfn.LOGNORM.INV(RAND(),MV3,Sigma2),MIN(MaxMultiple,Xm/(1-RAND())^(1/Alpha)))))</f>
        <v>0</v>
      </c>
      <c r="F361" s="19">
        <f ca="1">IF(RAND()&lt;P_Zero,0,IF(RAND()&lt;CondReturn,_xlfn.LOGNORM.INV(RAND(),MV2,Sigma1),IF(RAND()&lt;CondGood,_xlfn.LOGNORM.INV(RAND(),MV3,Sigma2),MIN(MaxMultiple,Xm/(1-RAND())^(1/Alpha)))))</f>
        <v>0</v>
      </c>
      <c r="G361" s="19">
        <f ca="1">IF(RAND()&lt;P_Zero,0,IF(RAND()&lt;CondReturn,_xlfn.LOGNORM.INV(RAND(),MV2,Sigma1),IF(RAND()&lt;CondGood,_xlfn.LOGNORM.INV(RAND(),MV3,Sigma2),MIN(MaxMultiple,Xm/(1-RAND())^(1/Alpha)))))</f>
        <v>0.56042901205329265</v>
      </c>
      <c r="H361" s="19">
        <f ca="1">IF(RAND()&lt;P_Zero,0,IF(RAND()&lt;CondReturn,_xlfn.LOGNORM.INV(RAND(),MV2,Sigma1),IF(RAND()&lt;CondGood,_xlfn.LOGNORM.INV(RAND(),MV3,Sigma2),MIN(MaxMultiple,Xm/(1-RAND())^(1/Alpha)))))</f>
        <v>0</v>
      </c>
      <c r="I361" s="19">
        <f ca="1">IF(RAND()&lt;P_Zero,0,IF(RAND()&lt;CondReturn,_xlfn.LOGNORM.INV(RAND(),MV2,Sigma1),IF(RAND()&lt;CondGood,_xlfn.LOGNORM.INV(RAND(),MV3,Sigma2),MIN(MaxMultiple,Xm/(1-RAND())^(1/Alpha)))))</f>
        <v>0</v>
      </c>
      <c r="J361" s="19">
        <f ca="1">IF(RAND()&lt;P_Zero,0,IF(RAND()&lt;CondReturn,_xlfn.LOGNORM.INV(RAND(),MV2,Sigma1),IF(RAND()&lt;CondGood,_xlfn.LOGNORM.INV(RAND(),MV3,Sigma2),MIN(MaxMultiple,Xm/(1-RAND())^(1/Alpha)))))</f>
        <v>1.4369162083710183</v>
      </c>
      <c r="K361" s="19">
        <f ca="1">IF(RAND()&lt;P_Zero,0,IF(RAND()&lt;CondReturn,_xlfn.LOGNORM.INV(RAND(),MV2,Sigma1),IF(RAND()&lt;CondGood,_xlfn.LOGNORM.INV(RAND(),MV3,Sigma2),MIN(MaxMultiple,Xm/(1-RAND())^(1/Alpha)))))</f>
        <v>0</v>
      </c>
      <c r="L361" s="19">
        <f ca="1">IF(RAND()&lt;P_Zero,0,IF(RAND()&lt;CondReturn,_xlfn.LOGNORM.INV(RAND(),MV2,Sigma1),IF(RAND()&lt;CondGood,_xlfn.LOGNORM.INV(RAND(),MV3,Sigma2),MIN(MaxMultiple,Xm/(1-RAND())^(1/Alpha)))))</f>
        <v>11.488949653853421</v>
      </c>
      <c r="M361" s="19">
        <f ca="1">IF(RAND()&lt;P_Zero,0,IF(RAND()&lt;CondReturn,_xlfn.LOGNORM.INV(RAND(),MV2,Sigma1),IF(RAND()&lt;CondGood,_xlfn.LOGNORM.INV(RAND(),MV3,Sigma2),MIN(MaxMultiple,Xm/(1-RAND())^(1/Alpha)))))</f>
        <v>0.62583011789566623</v>
      </c>
      <c r="N361" s="19">
        <f ca="1">IF(RAND()&lt;P_Zero,0,IF(RAND()&lt;CondReturn,_xlfn.LOGNORM.INV(RAND(),MV2,Sigma1),IF(RAND()&lt;CondGood,_xlfn.LOGNORM.INV(RAND(),MV3,Sigma2),MIN(MaxMultiple,Xm/(1-RAND())^(1/Alpha)))))</f>
        <v>0</v>
      </c>
      <c r="O361" s="19">
        <f ca="1">IF(RAND()&lt;P_Zero,0,IF(RAND()&lt;CondReturn,_xlfn.LOGNORM.INV(RAND(),MV2,Sigma1),IF(RAND()&lt;CondGood,_xlfn.LOGNORM.INV(RAND(),MV3,Sigma2),MIN(MaxMultiple,Xm/(1-RAND())^(1/Alpha)))))</f>
        <v>2.7579128585148776</v>
      </c>
      <c r="P361" s="19">
        <f ca="1">IF(RAND()&lt;P_Zero,0,IF(RAND()&lt;CondReturn,_xlfn.LOGNORM.INV(RAND(),MV2,Sigma1),IF(RAND()&lt;CondGood,_xlfn.LOGNORM.INV(RAND(),MV3,Sigma2),MIN(MaxMultiple,Xm/(1-RAND())^(1/Alpha)))))</f>
        <v>0.47704774239258635</v>
      </c>
      <c r="Q361" s="19">
        <f ca="1">IF(RAND()&lt;P_Zero,0,IF(RAND()&lt;CondReturn,_xlfn.LOGNORM.INV(RAND(),MV2,Sigma1),IF(RAND()&lt;CondGood,_xlfn.LOGNORM.INV(RAND(),MV3,Sigma2),MIN(MaxMultiple,Xm/(1-RAND())^(1/Alpha)))))</f>
        <v>0</v>
      </c>
      <c r="R361" s="19">
        <f ca="1">IF(RAND()&lt;P_Zero,0,IF(RAND()&lt;CondReturn,_xlfn.LOGNORM.INV(RAND(),MV2,Sigma1),IF(RAND()&lt;CondGood,_xlfn.LOGNORM.INV(RAND(),MV3,Sigma2),MIN(MaxMultiple,Xm/(1-RAND())^(1/Alpha)))))</f>
        <v>0</v>
      </c>
      <c r="S361" s="19">
        <f ca="1">IF(RAND()&lt;P_Zero,0,IF(RAND()&lt;CondReturn,_xlfn.LOGNORM.INV(RAND(),MV2,Sigma1),IF(RAND()&lt;CondGood,_xlfn.LOGNORM.INV(RAND(),MV3,Sigma2),MIN(MaxMultiple,Xm/(1-RAND())^(1/Alpha)))))</f>
        <v>1.6532974755886136</v>
      </c>
      <c r="T361" s="19">
        <f ca="1">IF(RAND()&lt;P_Zero,0,IF(RAND()&lt;CondReturn,_xlfn.LOGNORM.INV(RAND(),MV2,Sigma1),IF(RAND()&lt;CondGood,_xlfn.LOGNORM.INV(RAND(),MV3,Sigma2),MIN(MaxMultiple,Xm/(1-RAND())^(1/Alpha)))))</f>
        <v>0.78589203966608956</v>
      </c>
      <c r="U361" s="19">
        <f ca="1">IF(RAND()&lt;P_Zero,0,IF(RAND()&lt;CondReturn,_xlfn.LOGNORM.INV(RAND(),MV2,Sigma1),IF(RAND()&lt;CondGood,_xlfn.LOGNORM.INV(RAND(),MV3,Sigma2),MIN(MaxMultiple,Xm/(1-RAND())^(1/Alpha)))))</f>
        <v>1.736821234407407</v>
      </c>
      <c r="V361" s="19">
        <f ca="1">IF(RAND()&lt;P_Zero,0,IF(RAND()&lt;CondReturn,_xlfn.LOGNORM.INV(RAND(),MV2,Sigma1),IF(RAND()&lt;CondGood,_xlfn.LOGNORM.INV(RAND(),MV3,Sigma2),MIN(MaxMultiple,Xm/(1-RAND())^(1/Alpha)))))</f>
        <v>0.9677386817490462</v>
      </c>
      <c r="W361" s="19">
        <f ca="1">IF(RAND()&lt;P_Zero,0,IF(RAND()&lt;CondReturn,_xlfn.LOGNORM.INV(RAND(),MV2,Sigma1),IF(RAND()&lt;CondGood,_xlfn.LOGNORM.INV(RAND(),MV3,Sigma2),MIN(MaxMultiple,Xm/(1-RAND())^(1/Alpha)))))</f>
        <v>1.6902058796339396</v>
      </c>
      <c r="X361" s="19">
        <f ca="1">IF(RAND()&lt;P_Zero,0,IF(RAND()&lt;CondReturn,_xlfn.LOGNORM.INV(RAND(),MV2,Sigma1),IF(RAND()&lt;CondGood,_xlfn.LOGNORM.INV(RAND(),MV3,Sigma2),MIN(MaxMultiple,Xm/(1-RAND())^(1/Alpha)))))</f>
        <v>0</v>
      </c>
      <c r="Y361" s="19">
        <f ca="1">IF(RAND()&lt;P_Zero,0,IF(RAND()&lt;CondReturn,_xlfn.LOGNORM.INV(RAND(),MV2,Sigma1),IF(RAND()&lt;CondGood,_xlfn.LOGNORM.INV(RAND(),MV3,Sigma2),MIN(MaxMultiple,Xm/(1-RAND())^(1/Alpha)))))</f>
        <v>1.2520670336837476</v>
      </c>
      <c r="Z361" s="19">
        <f ca="1">IF(RAND()&lt;P_Zero,0,IF(RAND()&lt;CondReturn,_xlfn.LOGNORM.INV(RAND(),MV2,Sigma1),IF(RAND()&lt;CondGood,_xlfn.LOGNORM.INV(RAND(),MV3,Sigma2),MIN(MaxMultiple,Xm/(1-RAND())^(1/Alpha)))))</f>
        <v>0</v>
      </c>
      <c r="AA361" s="19">
        <f ca="1">IF(RAND()&lt;P_Zero,0,IF(RAND()&lt;CondReturn,_xlfn.LOGNORM.INV(RAND(),MV2,Sigma1),IF(RAND()&lt;CondGood,_xlfn.LOGNORM.INV(RAND(),MV3,Sigma2),MIN(MaxMultiple,Xm/(1-RAND())^(1/Alpha)))))</f>
        <v>2.5921267174587794</v>
      </c>
      <c r="AB361" s="19">
        <f t="shared" ca="1" si="40"/>
        <v>1.1210093862107395</v>
      </c>
      <c r="AC361" s="14">
        <f t="shared" ca="1" si="41"/>
        <v>53808450.538115494</v>
      </c>
      <c r="AD361" s="14">
        <f t="shared" ca="1" si="42"/>
        <v>5808450.538115494</v>
      </c>
      <c r="AE361" s="14">
        <f t="shared" si="43"/>
        <v>55628399.869093813</v>
      </c>
      <c r="AF361" s="14">
        <f t="shared" ca="1" si="44"/>
        <v>0</v>
      </c>
      <c r="AG361" s="14">
        <f t="shared" ca="1" si="45"/>
        <v>0</v>
      </c>
      <c r="AH361" s="14">
        <f t="shared" ca="1" si="46"/>
        <v>53808450.538115494</v>
      </c>
      <c r="AI361" s="19">
        <f t="shared" ca="1" si="47"/>
        <v>0.89680750896859152</v>
      </c>
    </row>
    <row r="362" spans="2:35" x14ac:dyDescent="0.2">
      <c r="B362" s="1">
        <v>357</v>
      </c>
      <c r="C362" s="19">
        <f ca="1">IF(RAND()&lt;P_Zero,0,IF(RAND()&lt;CondReturn,_xlfn.LOGNORM.INV(RAND(),MV2,Sigma1),IF(RAND()&lt;CondGood,_xlfn.LOGNORM.INV(RAND(),MV3,Sigma2),MIN(MaxMultiple,Xm/(1-RAND())^(1/Alpha)))))</f>
        <v>0.9692959276623011</v>
      </c>
      <c r="D362" s="19">
        <f ca="1">IF(RAND()&lt;P_Zero,0,IF(RAND()&lt;CondReturn,_xlfn.LOGNORM.INV(RAND(),MV2,Sigma1),IF(RAND()&lt;CondGood,_xlfn.LOGNORM.INV(RAND(),MV3,Sigma2),MIN(MaxMultiple,Xm/(1-RAND())^(1/Alpha)))))</f>
        <v>131.7052677286176</v>
      </c>
      <c r="E362" s="19">
        <f ca="1">IF(RAND()&lt;P_Zero,0,IF(RAND()&lt;CondReturn,_xlfn.LOGNORM.INV(RAND(),MV2,Sigma1),IF(RAND()&lt;CondGood,_xlfn.LOGNORM.INV(RAND(),MV3,Sigma2),MIN(MaxMultiple,Xm/(1-RAND())^(1/Alpha)))))</f>
        <v>0.97342084695282027</v>
      </c>
      <c r="F362" s="19">
        <f ca="1">IF(RAND()&lt;P_Zero,0,IF(RAND()&lt;CondReturn,_xlfn.LOGNORM.INV(RAND(),MV2,Sigma1),IF(RAND()&lt;CondGood,_xlfn.LOGNORM.INV(RAND(),MV3,Sigma2),MIN(MaxMultiple,Xm/(1-RAND())^(1/Alpha)))))</f>
        <v>0</v>
      </c>
      <c r="G362" s="19">
        <f ca="1">IF(RAND()&lt;P_Zero,0,IF(RAND()&lt;CondReturn,_xlfn.LOGNORM.INV(RAND(),MV2,Sigma1),IF(RAND()&lt;CondGood,_xlfn.LOGNORM.INV(RAND(),MV3,Sigma2),MIN(MaxMultiple,Xm/(1-RAND())^(1/Alpha)))))</f>
        <v>0.90785321171480737</v>
      </c>
      <c r="H362" s="19">
        <f ca="1">IF(RAND()&lt;P_Zero,0,IF(RAND()&lt;CondReturn,_xlfn.LOGNORM.INV(RAND(),MV2,Sigma1),IF(RAND()&lt;CondGood,_xlfn.LOGNORM.INV(RAND(),MV3,Sigma2),MIN(MaxMultiple,Xm/(1-RAND())^(1/Alpha)))))</f>
        <v>0.5932889870084691</v>
      </c>
      <c r="I362" s="19">
        <f ca="1">IF(RAND()&lt;P_Zero,0,IF(RAND()&lt;CondReturn,_xlfn.LOGNORM.INV(RAND(),MV2,Sigma1),IF(RAND()&lt;CondGood,_xlfn.LOGNORM.INV(RAND(),MV3,Sigma2),MIN(MaxMultiple,Xm/(1-RAND())^(1/Alpha)))))</f>
        <v>0</v>
      </c>
      <c r="J362" s="19">
        <f ca="1">IF(RAND()&lt;P_Zero,0,IF(RAND()&lt;CondReturn,_xlfn.LOGNORM.INV(RAND(),MV2,Sigma1),IF(RAND()&lt;CondGood,_xlfn.LOGNORM.INV(RAND(),MV3,Sigma2),MIN(MaxMultiple,Xm/(1-RAND())^(1/Alpha)))))</f>
        <v>1.4020764894609006</v>
      </c>
      <c r="K362" s="19">
        <f ca="1">IF(RAND()&lt;P_Zero,0,IF(RAND()&lt;CondReturn,_xlfn.LOGNORM.INV(RAND(),MV2,Sigma1),IF(RAND()&lt;CondGood,_xlfn.LOGNORM.INV(RAND(),MV3,Sigma2),MIN(MaxMultiple,Xm/(1-RAND())^(1/Alpha)))))</f>
        <v>66.727995029461155</v>
      </c>
      <c r="L362" s="19">
        <f ca="1">IF(RAND()&lt;P_Zero,0,IF(RAND()&lt;CondReturn,_xlfn.LOGNORM.INV(RAND(),MV2,Sigma1),IF(RAND()&lt;CondGood,_xlfn.LOGNORM.INV(RAND(),MV3,Sigma2),MIN(MaxMultiple,Xm/(1-RAND())^(1/Alpha)))))</f>
        <v>12.108159795598755</v>
      </c>
      <c r="M362" s="19">
        <f ca="1">IF(RAND()&lt;P_Zero,0,IF(RAND()&lt;CondReturn,_xlfn.LOGNORM.INV(RAND(),MV2,Sigma1),IF(RAND()&lt;CondGood,_xlfn.LOGNORM.INV(RAND(),MV3,Sigma2),MIN(MaxMultiple,Xm/(1-RAND())^(1/Alpha)))))</f>
        <v>0</v>
      </c>
      <c r="N362" s="19">
        <f ca="1">IF(RAND()&lt;P_Zero,0,IF(RAND()&lt;CondReturn,_xlfn.LOGNORM.INV(RAND(),MV2,Sigma1),IF(RAND()&lt;CondGood,_xlfn.LOGNORM.INV(RAND(),MV3,Sigma2),MIN(MaxMultiple,Xm/(1-RAND())^(1/Alpha)))))</f>
        <v>1.9420770985461195</v>
      </c>
      <c r="O362" s="19">
        <f ca="1">IF(RAND()&lt;P_Zero,0,IF(RAND()&lt;CondReturn,_xlfn.LOGNORM.INV(RAND(),MV2,Sigma1),IF(RAND()&lt;CondGood,_xlfn.LOGNORM.INV(RAND(),MV3,Sigma2),MIN(MaxMultiple,Xm/(1-RAND())^(1/Alpha)))))</f>
        <v>1.6712770562962322</v>
      </c>
      <c r="P362" s="19">
        <f ca="1">IF(RAND()&lt;P_Zero,0,IF(RAND()&lt;CondReturn,_xlfn.LOGNORM.INV(RAND(),MV2,Sigma1),IF(RAND()&lt;CondGood,_xlfn.LOGNORM.INV(RAND(),MV3,Sigma2),MIN(MaxMultiple,Xm/(1-RAND())^(1/Alpha)))))</f>
        <v>15.755885227836448</v>
      </c>
      <c r="Q362" s="19">
        <f ca="1">IF(RAND()&lt;P_Zero,0,IF(RAND()&lt;CondReturn,_xlfn.LOGNORM.INV(RAND(),MV2,Sigma1),IF(RAND()&lt;CondGood,_xlfn.LOGNORM.INV(RAND(),MV3,Sigma2),MIN(MaxMultiple,Xm/(1-RAND())^(1/Alpha)))))</f>
        <v>0</v>
      </c>
      <c r="R362" s="19">
        <f ca="1">IF(RAND()&lt;P_Zero,0,IF(RAND()&lt;CondReturn,_xlfn.LOGNORM.INV(RAND(),MV2,Sigma1),IF(RAND()&lt;CondGood,_xlfn.LOGNORM.INV(RAND(),MV3,Sigma2),MIN(MaxMultiple,Xm/(1-RAND())^(1/Alpha)))))</f>
        <v>1.1110873016243157</v>
      </c>
      <c r="S362" s="19">
        <f ca="1">IF(RAND()&lt;P_Zero,0,IF(RAND()&lt;CondReturn,_xlfn.LOGNORM.INV(RAND(),MV2,Sigma1),IF(RAND()&lt;CondGood,_xlfn.LOGNORM.INV(RAND(),MV3,Sigma2),MIN(MaxMultiple,Xm/(1-RAND())^(1/Alpha)))))</f>
        <v>1.3138568333247758</v>
      </c>
      <c r="T362" s="19">
        <f ca="1">IF(RAND()&lt;P_Zero,0,IF(RAND()&lt;CondReturn,_xlfn.LOGNORM.INV(RAND(),MV2,Sigma1),IF(RAND()&lt;CondGood,_xlfn.LOGNORM.INV(RAND(),MV3,Sigma2),MIN(MaxMultiple,Xm/(1-RAND())^(1/Alpha)))))</f>
        <v>1.3505767066815635</v>
      </c>
      <c r="U362" s="19">
        <f ca="1">IF(RAND()&lt;P_Zero,0,IF(RAND()&lt;CondReturn,_xlfn.LOGNORM.INV(RAND(),MV2,Sigma1),IF(RAND()&lt;CondGood,_xlfn.LOGNORM.INV(RAND(),MV3,Sigma2),MIN(MaxMultiple,Xm/(1-RAND())^(1/Alpha)))))</f>
        <v>0</v>
      </c>
      <c r="V362" s="19">
        <f ca="1">IF(RAND()&lt;P_Zero,0,IF(RAND()&lt;CondReturn,_xlfn.LOGNORM.INV(RAND(),MV2,Sigma1),IF(RAND()&lt;CondGood,_xlfn.LOGNORM.INV(RAND(),MV3,Sigma2),MIN(MaxMultiple,Xm/(1-RAND())^(1/Alpha)))))</f>
        <v>0</v>
      </c>
      <c r="W362" s="19">
        <f ca="1">IF(RAND()&lt;P_Zero,0,IF(RAND()&lt;CondReturn,_xlfn.LOGNORM.INV(RAND(),MV2,Sigma1),IF(RAND()&lt;CondGood,_xlfn.LOGNORM.INV(RAND(),MV3,Sigma2),MIN(MaxMultiple,Xm/(1-RAND())^(1/Alpha)))))</f>
        <v>0.90809699589844628</v>
      </c>
      <c r="X362" s="19">
        <f ca="1">IF(RAND()&lt;P_Zero,0,IF(RAND()&lt;CondReturn,_xlfn.LOGNORM.INV(RAND(),MV2,Sigma1),IF(RAND()&lt;CondGood,_xlfn.LOGNORM.INV(RAND(),MV3,Sigma2),MIN(MaxMultiple,Xm/(1-RAND())^(1/Alpha)))))</f>
        <v>55.273690304042752</v>
      </c>
      <c r="Y362" s="19">
        <f ca="1">IF(RAND()&lt;P_Zero,0,IF(RAND()&lt;CondReturn,_xlfn.LOGNORM.INV(RAND(),MV2,Sigma1),IF(RAND()&lt;CondGood,_xlfn.LOGNORM.INV(RAND(),MV3,Sigma2),MIN(MaxMultiple,Xm/(1-RAND())^(1/Alpha)))))</f>
        <v>22.992561656915477</v>
      </c>
      <c r="Z362" s="19">
        <f ca="1">IF(RAND()&lt;P_Zero,0,IF(RAND()&lt;CondReturn,_xlfn.LOGNORM.INV(RAND(),MV2,Sigma1),IF(RAND()&lt;CondGood,_xlfn.LOGNORM.INV(RAND(),MV3,Sigma2),MIN(MaxMultiple,Xm/(1-RAND())^(1/Alpha)))))</f>
        <v>11.379612430732807</v>
      </c>
      <c r="AA362" s="19">
        <f ca="1">IF(RAND()&lt;P_Zero,0,IF(RAND()&lt;CondReturn,_xlfn.LOGNORM.INV(RAND(),MV2,Sigma1),IF(RAND()&lt;CondGood,_xlfn.LOGNORM.INV(RAND(),MV3,Sigma2),MIN(MaxMultiple,Xm/(1-RAND())^(1/Alpha)))))</f>
        <v>1.531851540808334</v>
      </c>
      <c r="AB362" s="19">
        <f t="shared" ca="1" si="40"/>
        <v>13.224717246767364</v>
      </c>
      <c r="AC362" s="14">
        <f t="shared" ca="1" si="41"/>
        <v>634786427.84483349</v>
      </c>
      <c r="AD362" s="14">
        <f t="shared" ca="1" si="42"/>
        <v>586786427.84483349</v>
      </c>
      <c r="AE362" s="14">
        <f t="shared" si="43"/>
        <v>55628399.869093813</v>
      </c>
      <c r="AF362" s="14">
        <f t="shared" ca="1" si="44"/>
        <v>531158027.97573966</v>
      </c>
      <c r="AG362" s="14">
        <f t="shared" ca="1" si="45"/>
        <v>106231605.59514794</v>
      </c>
      <c r="AH362" s="14">
        <f t="shared" ca="1" si="46"/>
        <v>528554822.24968553</v>
      </c>
      <c r="AI362" s="19">
        <f t="shared" ca="1" si="47"/>
        <v>8.8092470374947585</v>
      </c>
    </row>
    <row r="363" spans="2:35" x14ac:dyDescent="0.2">
      <c r="B363" s="1">
        <v>358</v>
      </c>
      <c r="C363" s="19">
        <f ca="1">IF(RAND()&lt;P_Zero,0,IF(RAND()&lt;CondReturn,_xlfn.LOGNORM.INV(RAND(),MV2,Sigma1),IF(RAND()&lt;CondGood,_xlfn.LOGNORM.INV(RAND(),MV3,Sigma2),MIN(MaxMultiple,Xm/(1-RAND())^(1/Alpha)))))</f>
        <v>0</v>
      </c>
      <c r="D363" s="19">
        <f ca="1">IF(RAND()&lt;P_Zero,0,IF(RAND()&lt;CondReturn,_xlfn.LOGNORM.INV(RAND(),MV2,Sigma1),IF(RAND()&lt;CondGood,_xlfn.LOGNORM.INV(RAND(),MV3,Sigma2),MIN(MaxMultiple,Xm/(1-RAND())^(1/Alpha)))))</f>
        <v>0</v>
      </c>
      <c r="E363" s="19">
        <f ca="1">IF(RAND()&lt;P_Zero,0,IF(RAND()&lt;CondReturn,_xlfn.LOGNORM.INV(RAND(),MV2,Sigma1),IF(RAND()&lt;CondGood,_xlfn.LOGNORM.INV(RAND(),MV3,Sigma2),MIN(MaxMultiple,Xm/(1-RAND())^(1/Alpha)))))</f>
        <v>0</v>
      </c>
      <c r="F363" s="19">
        <f ca="1">IF(RAND()&lt;P_Zero,0,IF(RAND()&lt;CondReturn,_xlfn.LOGNORM.INV(RAND(),MV2,Sigma1),IF(RAND()&lt;CondGood,_xlfn.LOGNORM.INV(RAND(),MV3,Sigma2),MIN(MaxMultiple,Xm/(1-RAND())^(1/Alpha)))))</f>
        <v>0</v>
      </c>
      <c r="G363" s="19">
        <f ca="1">IF(RAND()&lt;P_Zero,0,IF(RAND()&lt;CondReturn,_xlfn.LOGNORM.INV(RAND(),MV2,Sigma1),IF(RAND()&lt;CondGood,_xlfn.LOGNORM.INV(RAND(),MV3,Sigma2),MIN(MaxMultiple,Xm/(1-RAND())^(1/Alpha)))))</f>
        <v>0</v>
      </c>
      <c r="H363" s="19">
        <f ca="1">IF(RAND()&lt;P_Zero,0,IF(RAND()&lt;CondReturn,_xlfn.LOGNORM.INV(RAND(),MV2,Sigma1),IF(RAND()&lt;CondGood,_xlfn.LOGNORM.INV(RAND(),MV3,Sigma2),MIN(MaxMultiple,Xm/(1-RAND())^(1/Alpha)))))</f>
        <v>0.56692486926164631</v>
      </c>
      <c r="I363" s="19">
        <f ca="1">IF(RAND()&lt;P_Zero,0,IF(RAND()&lt;CondReturn,_xlfn.LOGNORM.INV(RAND(),MV2,Sigma1),IF(RAND()&lt;CondGood,_xlfn.LOGNORM.INV(RAND(),MV3,Sigma2),MIN(MaxMultiple,Xm/(1-RAND())^(1/Alpha)))))</f>
        <v>0</v>
      </c>
      <c r="J363" s="19">
        <f ca="1">IF(RAND()&lt;P_Zero,0,IF(RAND()&lt;CondReturn,_xlfn.LOGNORM.INV(RAND(),MV2,Sigma1),IF(RAND()&lt;CondGood,_xlfn.LOGNORM.INV(RAND(),MV3,Sigma2),MIN(MaxMultiple,Xm/(1-RAND())^(1/Alpha)))))</f>
        <v>16.705829328245947</v>
      </c>
      <c r="K363" s="19">
        <f ca="1">IF(RAND()&lt;P_Zero,0,IF(RAND()&lt;CondReturn,_xlfn.LOGNORM.INV(RAND(),MV2,Sigma1),IF(RAND()&lt;CondGood,_xlfn.LOGNORM.INV(RAND(),MV3,Sigma2),MIN(MaxMultiple,Xm/(1-RAND())^(1/Alpha)))))</f>
        <v>0</v>
      </c>
      <c r="L363" s="19">
        <f ca="1">IF(RAND()&lt;P_Zero,0,IF(RAND()&lt;CondReturn,_xlfn.LOGNORM.INV(RAND(),MV2,Sigma1),IF(RAND()&lt;CondGood,_xlfn.LOGNORM.INV(RAND(),MV3,Sigma2),MIN(MaxMultiple,Xm/(1-RAND())^(1/Alpha)))))</f>
        <v>0.38206623906014314</v>
      </c>
      <c r="M363" s="19">
        <f ca="1">IF(RAND()&lt;P_Zero,0,IF(RAND()&lt;CondReturn,_xlfn.LOGNORM.INV(RAND(),MV2,Sigma1),IF(RAND()&lt;CondGood,_xlfn.LOGNORM.INV(RAND(),MV3,Sigma2),MIN(MaxMultiple,Xm/(1-RAND())^(1/Alpha)))))</f>
        <v>1.5617668044910646</v>
      </c>
      <c r="N363" s="19">
        <f ca="1">IF(RAND()&lt;P_Zero,0,IF(RAND()&lt;CondReturn,_xlfn.LOGNORM.INV(RAND(),MV2,Sigma1),IF(RAND()&lt;CondGood,_xlfn.LOGNORM.INV(RAND(),MV3,Sigma2),MIN(MaxMultiple,Xm/(1-RAND())^(1/Alpha)))))</f>
        <v>1.1378690709796908</v>
      </c>
      <c r="O363" s="19">
        <f ca="1">IF(RAND()&lt;P_Zero,0,IF(RAND()&lt;CondReturn,_xlfn.LOGNORM.INV(RAND(),MV2,Sigma1),IF(RAND()&lt;CondGood,_xlfn.LOGNORM.INV(RAND(),MV3,Sigma2),MIN(MaxMultiple,Xm/(1-RAND())^(1/Alpha)))))</f>
        <v>1.365492433687983</v>
      </c>
      <c r="P363" s="19">
        <f ca="1">IF(RAND()&lt;P_Zero,0,IF(RAND()&lt;CondReturn,_xlfn.LOGNORM.INV(RAND(),MV2,Sigma1),IF(RAND()&lt;CondGood,_xlfn.LOGNORM.INV(RAND(),MV3,Sigma2),MIN(MaxMultiple,Xm/(1-RAND())^(1/Alpha)))))</f>
        <v>1.5961261125772317</v>
      </c>
      <c r="Q363" s="19">
        <f ca="1">IF(RAND()&lt;P_Zero,0,IF(RAND()&lt;CondReturn,_xlfn.LOGNORM.INV(RAND(),MV2,Sigma1),IF(RAND()&lt;CondGood,_xlfn.LOGNORM.INV(RAND(),MV3,Sigma2),MIN(MaxMultiple,Xm/(1-RAND())^(1/Alpha)))))</f>
        <v>0.4888119911494187</v>
      </c>
      <c r="R363" s="19">
        <f ca="1">IF(RAND()&lt;P_Zero,0,IF(RAND()&lt;CondReturn,_xlfn.LOGNORM.INV(RAND(),MV2,Sigma1),IF(RAND()&lt;CondGood,_xlfn.LOGNORM.INV(RAND(),MV3,Sigma2),MIN(MaxMultiple,Xm/(1-RAND())^(1/Alpha)))))</f>
        <v>0.86909039187090431</v>
      </c>
      <c r="S363" s="19">
        <f ca="1">IF(RAND()&lt;P_Zero,0,IF(RAND()&lt;CondReturn,_xlfn.LOGNORM.INV(RAND(),MV2,Sigma1),IF(RAND()&lt;CondGood,_xlfn.LOGNORM.INV(RAND(),MV3,Sigma2),MIN(MaxMultiple,Xm/(1-RAND())^(1/Alpha)))))</f>
        <v>0</v>
      </c>
      <c r="T363" s="19">
        <f ca="1">IF(RAND()&lt;P_Zero,0,IF(RAND()&lt;CondReturn,_xlfn.LOGNORM.INV(RAND(),MV2,Sigma1),IF(RAND()&lt;CondGood,_xlfn.LOGNORM.INV(RAND(),MV3,Sigma2),MIN(MaxMultiple,Xm/(1-RAND())^(1/Alpha)))))</f>
        <v>1.0118137279224193</v>
      </c>
      <c r="U363" s="19">
        <f ca="1">IF(RAND()&lt;P_Zero,0,IF(RAND()&lt;CondReturn,_xlfn.LOGNORM.INV(RAND(),MV2,Sigma1),IF(RAND()&lt;CondGood,_xlfn.LOGNORM.INV(RAND(),MV3,Sigma2),MIN(MaxMultiple,Xm/(1-RAND())^(1/Alpha)))))</f>
        <v>0</v>
      </c>
      <c r="V363" s="19">
        <f ca="1">IF(RAND()&lt;P_Zero,0,IF(RAND()&lt;CondReturn,_xlfn.LOGNORM.INV(RAND(),MV2,Sigma1),IF(RAND()&lt;CondGood,_xlfn.LOGNORM.INV(RAND(),MV3,Sigma2),MIN(MaxMultiple,Xm/(1-RAND())^(1/Alpha)))))</f>
        <v>0</v>
      </c>
      <c r="W363" s="19">
        <f ca="1">IF(RAND()&lt;P_Zero,0,IF(RAND()&lt;CondReturn,_xlfn.LOGNORM.INV(RAND(),MV2,Sigma1),IF(RAND()&lt;CondGood,_xlfn.LOGNORM.INV(RAND(),MV3,Sigma2),MIN(MaxMultiple,Xm/(1-RAND())^(1/Alpha)))))</f>
        <v>0</v>
      </c>
      <c r="X363" s="19">
        <f ca="1">IF(RAND()&lt;P_Zero,0,IF(RAND()&lt;CondReturn,_xlfn.LOGNORM.INV(RAND(),MV2,Sigma1),IF(RAND()&lt;CondGood,_xlfn.LOGNORM.INV(RAND(),MV3,Sigma2),MIN(MaxMultiple,Xm/(1-RAND())^(1/Alpha)))))</f>
        <v>0</v>
      </c>
      <c r="Y363" s="19">
        <f ca="1">IF(RAND()&lt;P_Zero,0,IF(RAND()&lt;CondReturn,_xlfn.LOGNORM.INV(RAND(),MV2,Sigma1),IF(RAND()&lt;CondGood,_xlfn.LOGNORM.INV(RAND(),MV3,Sigma2),MIN(MaxMultiple,Xm/(1-RAND())^(1/Alpha)))))</f>
        <v>28.919865731862398</v>
      </c>
      <c r="Z363" s="19">
        <f ca="1">IF(RAND()&lt;P_Zero,0,IF(RAND()&lt;CondReturn,_xlfn.LOGNORM.INV(RAND(),MV2,Sigma1),IF(RAND()&lt;CondGood,_xlfn.LOGNORM.INV(RAND(),MV3,Sigma2),MIN(MaxMultiple,Xm/(1-RAND())^(1/Alpha)))))</f>
        <v>0.9893948079029814</v>
      </c>
      <c r="AA363" s="19">
        <f ca="1">IF(RAND()&lt;P_Zero,0,IF(RAND()&lt;CondReturn,_xlfn.LOGNORM.INV(RAND(),MV2,Sigma1),IF(RAND()&lt;CondGood,_xlfn.LOGNORM.INV(RAND(),MV3,Sigma2),MIN(MaxMultiple,Xm/(1-RAND())^(1/Alpha)))))</f>
        <v>0</v>
      </c>
      <c r="AB363" s="19">
        <f t="shared" ca="1" si="40"/>
        <v>2.2238020603604731</v>
      </c>
      <c r="AC363" s="14">
        <f t="shared" ca="1" si="41"/>
        <v>106742498.89730272</v>
      </c>
      <c r="AD363" s="14">
        <f t="shared" ca="1" si="42"/>
        <v>58742498.897302717</v>
      </c>
      <c r="AE363" s="14">
        <f t="shared" si="43"/>
        <v>55628399.869093813</v>
      </c>
      <c r="AF363" s="14">
        <f t="shared" ca="1" si="44"/>
        <v>3114099.028208904</v>
      </c>
      <c r="AG363" s="14">
        <f t="shared" ca="1" si="45"/>
        <v>622819.80564178084</v>
      </c>
      <c r="AH363" s="14">
        <f t="shared" ca="1" si="46"/>
        <v>106119679.09166093</v>
      </c>
      <c r="AI363" s="19">
        <f t="shared" ca="1" si="47"/>
        <v>1.7686613181943489</v>
      </c>
    </row>
    <row r="364" spans="2:35" x14ac:dyDescent="0.2">
      <c r="B364" s="1">
        <v>359</v>
      </c>
      <c r="C364" s="19">
        <f ca="1">IF(RAND()&lt;P_Zero,0,IF(RAND()&lt;CondReturn,_xlfn.LOGNORM.INV(RAND(),MV2,Sigma1),IF(RAND()&lt;CondGood,_xlfn.LOGNORM.INV(RAND(),MV3,Sigma2),MIN(MaxMultiple,Xm/(1-RAND())^(1/Alpha)))))</f>
        <v>11.204014126630112</v>
      </c>
      <c r="D364" s="19">
        <f ca="1">IF(RAND()&lt;P_Zero,0,IF(RAND()&lt;CondReturn,_xlfn.LOGNORM.INV(RAND(),MV2,Sigma1),IF(RAND()&lt;CondGood,_xlfn.LOGNORM.INV(RAND(),MV3,Sigma2),MIN(MaxMultiple,Xm/(1-RAND())^(1/Alpha)))))</f>
        <v>0.83492114203664192</v>
      </c>
      <c r="E364" s="19">
        <f ca="1">IF(RAND()&lt;P_Zero,0,IF(RAND()&lt;CondReturn,_xlfn.LOGNORM.INV(RAND(),MV2,Sigma1),IF(RAND()&lt;CondGood,_xlfn.LOGNORM.INV(RAND(),MV3,Sigma2),MIN(MaxMultiple,Xm/(1-RAND())^(1/Alpha)))))</f>
        <v>0</v>
      </c>
      <c r="F364" s="19">
        <f ca="1">IF(RAND()&lt;P_Zero,0,IF(RAND()&lt;CondReturn,_xlfn.LOGNORM.INV(RAND(),MV2,Sigma1),IF(RAND()&lt;CondGood,_xlfn.LOGNORM.INV(RAND(),MV3,Sigma2),MIN(MaxMultiple,Xm/(1-RAND())^(1/Alpha)))))</f>
        <v>15.1150681926297</v>
      </c>
      <c r="G364" s="19">
        <f ca="1">IF(RAND()&lt;P_Zero,0,IF(RAND()&lt;CondReturn,_xlfn.LOGNORM.INV(RAND(),MV2,Sigma1),IF(RAND()&lt;CondGood,_xlfn.LOGNORM.INV(RAND(),MV3,Sigma2),MIN(MaxMultiple,Xm/(1-RAND())^(1/Alpha)))))</f>
        <v>0</v>
      </c>
      <c r="H364" s="19">
        <f ca="1">IF(RAND()&lt;P_Zero,0,IF(RAND()&lt;CondReturn,_xlfn.LOGNORM.INV(RAND(),MV2,Sigma1),IF(RAND()&lt;CondGood,_xlfn.LOGNORM.INV(RAND(),MV3,Sigma2),MIN(MaxMultiple,Xm/(1-RAND())^(1/Alpha)))))</f>
        <v>0.61246247252566566</v>
      </c>
      <c r="I364" s="19">
        <f ca="1">IF(RAND()&lt;P_Zero,0,IF(RAND()&lt;CondReturn,_xlfn.LOGNORM.INV(RAND(),MV2,Sigma1),IF(RAND()&lt;CondGood,_xlfn.LOGNORM.INV(RAND(),MV3,Sigma2),MIN(MaxMultiple,Xm/(1-RAND())^(1/Alpha)))))</f>
        <v>17.165006450548283</v>
      </c>
      <c r="J364" s="19">
        <f ca="1">IF(RAND()&lt;P_Zero,0,IF(RAND()&lt;CondReturn,_xlfn.LOGNORM.INV(RAND(),MV2,Sigma1),IF(RAND()&lt;CondGood,_xlfn.LOGNORM.INV(RAND(),MV3,Sigma2),MIN(MaxMultiple,Xm/(1-RAND())^(1/Alpha)))))</f>
        <v>1.0036429883299298</v>
      </c>
      <c r="K364" s="19">
        <f ca="1">IF(RAND()&lt;P_Zero,0,IF(RAND()&lt;CondReturn,_xlfn.LOGNORM.INV(RAND(),MV2,Sigma1),IF(RAND()&lt;CondGood,_xlfn.LOGNORM.INV(RAND(),MV3,Sigma2),MIN(MaxMultiple,Xm/(1-RAND())^(1/Alpha)))))</f>
        <v>1.4134099813099541</v>
      </c>
      <c r="L364" s="19">
        <f ca="1">IF(RAND()&lt;P_Zero,0,IF(RAND()&lt;CondReturn,_xlfn.LOGNORM.INV(RAND(),MV2,Sigma1),IF(RAND()&lt;CondGood,_xlfn.LOGNORM.INV(RAND(),MV3,Sigma2),MIN(MaxMultiple,Xm/(1-RAND())^(1/Alpha)))))</f>
        <v>0.38762680986709075</v>
      </c>
      <c r="M364" s="19">
        <f ca="1">IF(RAND()&lt;P_Zero,0,IF(RAND()&lt;CondReturn,_xlfn.LOGNORM.INV(RAND(),MV2,Sigma1),IF(RAND()&lt;CondGood,_xlfn.LOGNORM.INV(RAND(),MV3,Sigma2),MIN(MaxMultiple,Xm/(1-RAND())^(1/Alpha)))))</f>
        <v>0.64481990696968949</v>
      </c>
      <c r="N364" s="19">
        <f ca="1">IF(RAND()&lt;P_Zero,0,IF(RAND()&lt;CondReturn,_xlfn.LOGNORM.INV(RAND(),MV2,Sigma1),IF(RAND()&lt;CondGood,_xlfn.LOGNORM.INV(RAND(),MV3,Sigma2),MIN(MaxMultiple,Xm/(1-RAND())^(1/Alpha)))))</f>
        <v>1.7054783635471531</v>
      </c>
      <c r="O364" s="19">
        <f ca="1">IF(RAND()&lt;P_Zero,0,IF(RAND()&lt;CondReturn,_xlfn.LOGNORM.INV(RAND(),MV2,Sigma1),IF(RAND()&lt;CondGood,_xlfn.LOGNORM.INV(RAND(),MV3,Sigma2),MIN(MaxMultiple,Xm/(1-RAND())^(1/Alpha)))))</f>
        <v>0</v>
      </c>
      <c r="P364" s="19">
        <f ca="1">IF(RAND()&lt;P_Zero,0,IF(RAND()&lt;CondReturn,_xlfn.LOGNORM.INV(RAND(),MV2,Sigma1),IF(RAND()&lt;CondGood,_xlfn.LOGNORM.INV(RAND(),MV3,Sigma2),MIN(MaxMultiple,Xm/(1-RAND())^(1/Alpha)))))</f>
        <v>14.098037932844008</v>
      </c>
      <c r="Q364" s="19">
        <f ca="1">IF(RAND()&lt;P_Zero,0,IF(RAND()&lt;CondReturn,_xlfn.LOGNORM.INV(RAND(),MV2,Sigma1),IF(RAND()&lt;CondGood,_xlfn.LOGNORM.INV(RAND(),MV3,Sigma2),MIN(MaxMultiple,Xm/(1-RAND())^(1/Alpha)))))</f>
        <v>0</v>
      </c>
      <c r="R364" s="19">
        <f ca="1">IF(RAND()&lt;P_Zero,0,IF(RAND()&lt;CondReturn,_xlfn.LOGNORM.INV(RAND(),MV2,Sigma1),IF(RAND()&lt;CondGood,_xlfn.LOGNORM.INV(RAND(),MV3,Sigma2),MIN(MaxMultiple,Xm/(1-RAND())^(1/Alpha)))))</f>
        <v>0</v>
      </c>
      <c r="S364" s="19">
        <f ca="1">IF(RAND()&lt;P_Zero,0,IF(RAND()&lt;CondReturn,_xlfn.LOGNORM.INV(RAND(),MV2,Sigma1),IF(RAND()&lt;CondGood,_xlfn.LOGNORM.INV(RAND(),MV3,Sigma2),MIN(MaxMultiple,Xm/(1-RAND())^(1/Alpha)))))</f>
        <v>0</v>
      </c>
      <c r="T364" s="19">
        <f ca="1">IF(RAND()&lt;P_Zero,0,IF(RAND()&lt;CondReturn,_xlfn.LOGNORM.INV(RAND(),MV2,Sigma1),IF(RAND()&lt;CondGood,_xlfn.LOGNORM.INV(RAND(),MV3,Sigma2),MIN(MaxMultiple,Xm/(1-RAND())^(1/Alpha)))))</f>
        <v>0</v>
      </c>
      <c r="U364" s="19">
        <f ca="1">IF(RAND()&lt;P_Zero,0,IF(RAND()&lt;CondReturn,_xlfn.LOGNORM.INV(RAND(),MV2,Sigma1),IF(RAND()&lt;CondGood,_xlfn.LOGNORM.INV(RAND(),MV3,Sigma2),MIN(MaxMultiple,Xm/(1-RAND())^(1/Alpha)))))</f>
        <v>0.42888965062846279</v>
      </c>
      <c r="V364" s="19">
        <f ca="1">IF(RAND()&lt;P_Zero,0,IF(RAND()&lt;CondReturn,_xlfn.LOGNORM.INV(RAND(),MV2,Sigma1),IF(RAND()&lt;CondGood,_xlfn.LOGNORM.INV(RAND(),MV3,Sigma2),MIN(MaxMultiple,Xm/(1-RAND())^(1/Alpha)))))</f>
        <v>0</v>
      </c>
      <c r="W364" s="19">
        <f ca="1">IF(RAND()&lt;P_Zero,0,IF(RAND()&lt;CondReturn,_xlfn.LOGNORM.INV(RAND(),MV2,Sigma1),IF(RAND()&lt;CondGood,_xlfn.LOGNORM.INV(RAND(),MV3,Sigma2),MIN(MaxMultiple,Xm/(1-RAND())^(1/Alpha)))))</f>
        <v>0</v>
      </c>
      <c r="X364" s="19">
        <f ca="1">IF(RAND()&lt;P_Zero,0,IF(RAND()&lt;CondReturn,_xlfn.LOGNORM.INV(RAND(),MV2,Sigma1),IF(RAND()&lt;CondGood,_xlfn.LOGNORM.INV(RAND(),MV3,Sigma2),MIN(MaxMultiple,Xm/(1-RAND())^(1/Alpha)))))</f>
        <v>0.69894714306009176</v>
      </c>
      <c r="Y364" s="19">
        <f ca="1">IF(RAND()&lt;P_Zero,0,IF(RAND()&lt;CondReturn,_xlfn.LOGNORM.INV(RAND(),MV2,Sigma1),IF(RAND()&lt;CondGood,_xlfn.LOGNORM.INV(RAND(),MV3,Sigma2),MIN(MaxMultiple,Xm/(1-RAND())^(1/Alpha)))))</f>
        <v>1.7272437864910495</v>
      </c>
      <c r="Z364" s="19">
        <f ca="1">IF(RAND()&lt;P_Zero,0,IF(RAND()&lt;CondReturn,_xlfn.LOGNORM.INV(RAND(),MV2,Sigma1),IF(RAND()&lt;CondGood,_xlfn.LOGNORM.INV(RAND(),MV3,Sigma2),MIN(MaxMultiple,Xm/(1-RAND())^(1/Alpha)))))</f>
        <v>17.953063492365811</v>
      </c>
      <c r="AA364" s="19">
        <f ca="1">IF(RAND()&lt;P_Zero,0,IF(RAND()&lt;CondReturn,_xlfn.LOGNORM.INV(RAND(),MV2,Sigma1),IF(RAND()&lt;CondGood,_xlfn.LOGNORM.INV(RAND(),MV3,Sigma2),MIN(MaxMultiple,Xm/(1-RAND())^(1/Alpha)))))</f>
        <v>1.0612248515696485</v>
      </c>
      <c r="AB364" s="19">
        <f t="shared" ca="1" si="40"/>
        <v>3.4421542916541319</v>
      </c>
      <c r="AC364" s="14">
        <f t="shared" ca="1" si="41"/>
        <v>165223405.99939832</v>
      </c>
      <c r="AD364" s="14">
        <f t="shared" ca="1" si="42"/>
        <v>117223405.99939832</v>
      </c>
      <c r="AE364" s="14">
        <f t="shared" si="43"/>
        <v>55628399.869093813</v>
      </c>
      <c r="AF364" s="14">
        <f t="shared" ca="1" si="44"/>
        <v>61595006.130304508</v>
      </c>
      <c r="AG364" s="14">
        <f t="shared" ca="1" si="45"/>
        <v>12319001.226060903</v>
      </c>
      <c r="AH364" s="14">
        <f t="shared" ca="1" si="46"/>
        <v>152904404.77333742</v>
      </c>
      <c r="AI364" s="19">
        <f t="shared" ca="1" si="47"/>
        <v>2.5484067462222906</v>
      </c>
    </row>
    <row r="365" spans="2:35" x14ac:dyDescent="0.2">
      <c r="B365" s="1">
        <v>360</v>
      </c>
      <c r="C365" s="19">
        <f ca="1">IF(RAND()&lt;P_Zero,0,IF(RAND()&lt;CondReturn,_xlfn.LOGNORM.INV(RAND(),MV2,Sigma1),IF(RAND()&lt;CondGood,_xlfn.LOGNORM.INV(RAND(),MV3,Sigma2),MIN(MaxMultiple,Xm/(1-RAND())^(1/Alpha)))))</f>
        <v>0</v>
      </c>
      <c r="D365" s="19">
        <f ca="1">IF(RAND()&lt;P_Zero,0,IF(RAND()&lt;CondReturn,_xlfn.LOGNORM.INV(RAND(),MV2,Sigma1),IF(RAND()&lt;CondGood,_xlfn.LOGNORM.INV(RAND(),MV3,Sigma2),MIN(MaxMultiple,Xm/(1-RAND())^(1/Alpha)))))</f>
        <v>0</v>
      </c>
      <c r="E365" s="19">
        <f ca="1">IF(RAND()&lt;P_Zero,0,IF(RAND()&lt;CondReturn,_xlfn.LOGNORM.INV(RAND(),MV2,Sigma1),IF(RAND()&lt;CondGood,_xlfn.LOGNORM.INV(RAND(),MV3,Sigma2),MIN(MaxMultiple,Xm/(1-RAND())^(1/Alpha)))))</f>
        <v>0</v>
      </c>
      <c r="F365" s="19">
        <f ca="1">IF(RAND()&lt;P_Zero,0,IF(RAND()&lt;CondReturn,_xlfn.LOGNORM.INV(RAND(),MV2,Sigma1),IF(RAND()&lt;CondGood,_xlfn.LOGNORM.INV(RAND(),MV3,Sigma2),MIN(MaxMultiple,Xm/(1-RAND())^(1/Alpha)))))</f>
        <v>1.6969002524058505</v>
      </c>
      <c r="G365" s="19">
        <f ca="1">IF(RAND()&lt;P_Zero,0,IF(RAND()&lt;CondReturn,_xlfn.LOGNORM.INV(RAND(),MV2,Sigma1),IF(RAND()&lt;CondGood,_xlfn.LOGNORM.INV(RAND(),MV3,Sigma2),MIN(MaxMultiple,Xm/(1-RAND())^(1/Alpha)))))</f>
        <v>0</v>
      </c>
      <c r="H365" s="19">
        <f ca="1">IF(RAND()&lt;P_Zero,0,IF(RAND()&lt;CondReturn,_xlfn.LOGNORM.INV(RAND(),MV2,Sigma1),IF(RAND()&lt;CondGood,_xlfn.LOGNORM.INV(RAND(),MV3,Sigma2),MIN(MaxMultiple,Xm/(1-RAND())^(1/Alpha)))))</f>
        <v>1.6368913743567199</v>
      </c>
      <c r="I365" s="19">
        <f ca="1">IF(RAND()&lt;P_Zero,0,IF(RAND()&lt;CondReturn,_xlfn.LOGNORM.INV(RAND(),MV2,Sigma1),IF(RAND()&lt;CondGood,_xlfn.LOGNORM.INV(RAND(),MV3,Sigma2),MIN(MaxMultiple,Xm/(1-RAND())^(1/Alpha)))))</f>
        <v>2.4738536116743091</v>
      </c>
      <c r="J365" s="19">
        <f ca="1">IF(RAND()&lt;P_Zero,0,IF(RAND()&lt;CondReturn,_xlfn.LOGNORM.INV(RAND(),MV2,Sigma1),IF(RAND()&lt;CondGood,_xlfn.LOGNORM.INV(RAND(),MV3,Sigma2),MIN(MaxMultiple,Xm/(1-RAND())^(1/Alpha)))))</f>
        <v>11.750168086669754</v>
      </c>
      <c r="K365" s="19">
        <f ca="1">IF(RAND()&lt;P_Zero,0,IF(RAND()&lt;CondReturn,_xlfn.LOGNORM.INV(RAND(),MV2,Sigma1),IF(RAND()&lt;CondGood,_xlfn.LOGNORM.INV(RAND(),MV3,Sigma2),MIN(MaxMultiple,Xm/(1-RAND())^(1/Alpha)))))</f>
        <v>1.2457332443708466</v>
      </c>
      <c r="L365" s="19">
        <f ca="1">IF(RAND()&lt;P_Zero,0,IF(RAND()&lt;CondReturn,_xlfn.LOGNORM.INV(RAND(),MV2,Sigma1),IF(RAND()&lt;CondGood,_xlfn.LOGNORM.INV(RAND(),MV3,Sigma2),MIN(MaxMultiple,Xm/(1-RAND())^(1/Alpha)))))</f>
        <v>0.69277932292030941</v>
      </c>
      <c r="M365" s="19">
        <f ca="1">IF(RAND()&lt;P_Zero,0,IF(RAND()&lt;CondReturn,_xlfn.LOGNORM.INV(RAND(),MV2,Sigma1),IF(RAND()&lt;CondGood,_xlfn.LOGNORM.INV(RAND(),MV3,Sigma2),MIN(MaxMultiple,Xm/(1-RAND())^(1/Alpha)))))</f>
        <v>1.2380307042993866</v>
      </c>
      <c r="N365" s="19">
        <f ca="1">IF(RAND()&lt;P_Zero,0,IF(RAND()&lt;CondReturn,_xlfn.LOGNORM.INV(RAND(),MV2,Sigma1),IF(RAND()&lt;CondGood,_xlfn.LOGNORM.INV(RAND(),MV3,Sigma2),MIN(MaxMultiple,Xm/(1-RAND())^(1/Alpha)))))</f>
        <v>1.1891953893285565</v>
      </c>
      <c r="O365" s="19">
        <f ca="1">IF(RAND()&lt;P_Zero,0,IF(RAND()&lt;CondReturn,_xlfn.LOGNORM.INV(RAND(),MV2,Sigma1),IF(RAND()&lt;CondGood,_xlfn.LOGNORM.INV(RAND(),MV3,Sigma2),MIN(MaxMultiple,Xm/(1-RAND())^(1/Alpha)))))</f>
        <v>0</v>
      </c>
      <c r="P365" s="19">
        <f ca="1">IF(RAND()&lt;P_Zero,0,IF(RAND()&lt;CondReturn,_xlfn.LOGNORM.INV(RAND(),MV2,Sigma1),IF(RAND()&lt;CondGood,_xlfn.LOGNORM.INV(RAND(),MV3,Sigma2),MIN(MaxMultiple,Xm/(1-RAND())^(1/Alpha)))))</f>
        <v>0</v>
      </c>
      <c r="Q365" s="19">
        <f ca="1">IF(RAND()&lt;P_Zero,0,IF(RAND()&lt;CondReturn,_xlfn.LOGNORM.INV(RAND(),MV2,Sigma1),IF(RAND()&lt;CondGood,_xlfn.LOGNORM.INV(RAND(),MV3,Sigma2),MIN(MaxMultiple,Xm/(1-RAND())^(1/Alpha)))))</f>
        <v>0</v>
      </c>
      <c r="R365" s="19">
        <f ca="1">IF(RAND()&lt;P_Zero,0,IF(RAND()&lt;CondReturn,_xlfn.LOGNORM.INV(RAND(),MV2,Sigma1),IF(RAND()&lt;CondGood,_xlfn.LOGNORM.INV(RAND(),MV3,Sigma2),MIN(MaxMultiple,Xm/(1-RAND())^(1/Alpha)))))</f>
        <v>0.78264908975803282</v>
      </c>
      <c r="S365" s="19">
        <f ca="1">IF(RAND()&lt;P_Zero,0,IF(RAND()&lt;CondReturn,_xlfn.LOGNORM.INV(RAND(),MV2,Sigma1),IF(RAND()&lt;CondGood,_xlfn.LOGNORM.INV(RAND(),MV3,Sigma2),MIN(MaxMultiple,Xm/(1-RAND())^(1/Alpha)))))</f>
        <v>0</v>
      </c>
      <c r="T365" s="19">
        <f ca="1">IF(RAND()&lt;P_Zero,0,IF(RAND()&lt;CondReturn,_xlfn.LOGNORM.INV(RAND(),MV2,Sigma1),IF(RAND()&lt;CondGood,_xlfn.LOGNORM.INV(RAND(),MV3,Sigma2),MIN(MaxMultiple,Xm/(1-RAND())^(1/Alpha)))))</f>
        <v>1.0564004983513766</v>
      </c>
      <c r="U365" s="19">
        <f ca="1">IF(RAND()&lt;P_Zero,0,IF(RAND()&lt;CondReturn,_xlfn.LOGNORM.INV(RAND(),MV2,Sigma1),IF(RAND()&lt;CondGood,_xlfn.LOGNORM.INV(RAND(),MV3,Sigma2),MIN(MaxMultiple,Xm/(1-RAND())^(1/Alpha)))))</f>
        <v>25.822858249843911</v>
      </c>
      <c r="V365" s="19">
        <f ca="1">IF(RAND()&lt;P_Zero,0,IF(RAND()&lt;CondReturn,_xlfn.LOGNORM.INV(RAND(),MV2,Sigma1),IF(RAND()&lt;CondGood,_xlfn.LOGNORM.INV(RAND(),MV3,Sigma2),MIN(MaxMultiple,Xm/(1-RAND())^(1/Alpha)))))</f>
        <v>0</v>
      </c>
      <c r="W365" s="19">
        <f ca="1">IF(RAND()&lt;P_Zero,0,IF(RAND()&lt;CondReturn,_xlfn.LOGNORM.INV(RAND(),MV2,Sigma1),IF(RAND()&lt;CondGood,_xlfn.LOGNORM.INV(RAND(),MV3,Sigma2),MIN(MaxMultiple,Xm/(1-RAND())^(1/Alpha)))))</f>
        <v>18.62735443506628</v>
      </c>
      <c r="X365" s="19">
        <f ca="1">IF(RAND()&lt;P_Zero,0,IF(RAND()&lt;CondReturn,_xlfn.LOGNORM.INV(RAND(),MV2,Sigma1),IF(RAND()&lt;CondGood,_xlfn.LOGNORM.INV(RAND(),MV3,Sigma2),MIN(MaxMultiple,Xm/(1-RAND())^(1/Alpha)))))</f>
        <v>1.9195120985440233</v>
      </c>
      <c r="Y365" s="19">
        <f ca="1">IF(RAND()&lt;P_Zero,0,IF(RAND()&lt;CondReturn,_xlfn.LOGNORM.INV(RAND(),MV2,Sigma1),IF(RAND()&lt;CondGood,_xlfn.LOGNORM.INV(RAND(),MV3,Sigma2),MIN(MaxMultiple,Xm/(1-RAND())^(1/Alpha)))))</f>
        <v>0</v>
      </c>
      <c r="Z365" s="19">
        <f ca="1">IF(RAND()&lt;P_Zero,0,IF(RAND()&lt;CondReturn,_xlfn.LOGNORM.INV(RAND(),MV2,Sigma1),IF(RAND()&lt;CondGood,_xlfn.LOGNORM.INV(RAND(),MV3,Sigma2),MIN(MaxMultiple,Xm/(1-RAND())^(1/Alpha)))))</f>
        <v>0</v>
      </c>
      <c r="AA365" s="19">
        <f ca="1">IF(RAND()&lt;P_Zero,0,IF(RAND()&lt;CondReturn,_xlfn.LOGNORM.INV(RAND(),MV2,Sigma1),IF(RAND()&lt;CondGood,_xlfn.LOGNORM.INV(RAND(),MV3,Sigma2),MIN(MaxMultiple,Xm/(1-RAND())^(1/Alpha)))))</f>
        <v>0</v>
      </c>
      <c r="AB365" s="19">
        <f t="shared" ca="1" si="40"/>
        <v>2.8052930543035739</v>
      </c>
      <c r="AC365" s="14">
        <f t="shared" ca="1" si="41"/>
        <v>134654066.60657156</v>
      </c>
      <c r="AD365" s="14">
        <f t="shared" ca="1" si="42"/>
        <v>86654066.606571555</v>
      </c>
      <c r="AE365" s="14">
        <f t="shared" si="43"/>
        <v>55628399.869093813</v>
      </c>
      <c r="AF365" s="14">
        <f t="shared" ca="1" si="44"/>
        <v>31025666.737477742</v>
      </c>
      <c r="AG365" s="14">
        <f t="shared" ca="1" si="45"/>
        <v>6205133.3474955484</v>
      </c>
      <c r="AH365" s="14">
        <f t="shared" ca="1" si="46"/>
        <v>128448933.259076</v>
      </c>
      <c r="AI365" s="19">
        <f t="shared" ca="1" si="47"/>
        <v>2.1408155543179332</v>
      </c>
    </row>
    <row r="366" spans="2:35" x14ac:dyDescent="0.2">
      <c r="B366" s="1">
        <v>361</v>
      </c>
      <c r="C366" s="19">
        <f ca="1">IF(RAND()&lt;P_Zero,0,IF(RAND()&lt;CondReturn,_xlfn.LOGNORM.INV(RAND(),MV2,Sigma1),IF(RAND()&lt;CondGood,_xlfn.LOGNORM.INV(RAND(),MV3,Sigma2),MIN(MaxMultiple,Xm/(1-RAND())^(1/Alpha)))))</f>
        <v>0</v>
      </c>
      <c r="D366" s="19">
        <f ca="1">IF(RAND()&lt;P_Zero,0,IF(RAND()&lt;CondReturn,_xlfn.LOGNORM.INV(RAND(),MV2,Sigma1),IF(RAND()&lt;CondGood,_xlfn.LOGNORM.INV(RAND(),MV3,Sigma2),MIN(MaxMultiple,Xm/(1-RAND())^(1/Alpha)))))</f>
        <v>0.85194158700218803</v>
      </c>
      <c r="E366" s="19">
        <f ca="1">IF(RAND()&lt;P_Zero,0,IF(RAND()&lt;CondReturn,_xlfn.LOGNORM.INV(RAND(),MV2,Sigma1),IF(RAND()&lt;CondGood,_xlfn.LOGNORM.INV(RAND(),MV3,Sigma2),MIN(MaxMultiple,Xm/(1-RAND())^(1/Alpha)))))</f>
        <v>0</v>
      </c>
      <c r="F366" s="19">
        <f ca="1">IF(RAND()&lt;P_Zero,0,IF(RAND()&lt;CondReturn,_xlfn.LOGNORM.INV(RAND(),MV2,Sigma1),IF(RAND()&lt;CondGood,_xlfn.LOGNORM.INV(RAND(),MV3,Sigma2),MIN(MaxMultiple,Xm/(1-RAND())^(1/Alpha)))))</f>
        <v>0</v>
      </c>
      <c r="G366" s="19">
        <f ca="1">IF(RAND()&lt;P_Zero,0,IF(RAND()&lt;CondReturn,_xlfn.LOGNORM.INV(RAND(),MV2,Sigma1),IF(RAND()&lt;CondGood,_xlfn.LOGNORM.INV(RAND(),MV3,Sigma2),MIN(MaxMultiple,Xm/(1-RAND())^(1/Alpha)))))</f>
        <v>0.50130463312100915</v>
      </c>
      <c r="H366" s="19">
        <f ca="1">IF(RAND()&lt;P_Zero,0,IF(RAND()&lt;CondReturn,_xlfn.LOGNORM.INV(RAND(),MV2,Sigma1),IF(RAND()&lt;CondGood,_xlfn.LOGNORM.INV(RAND(),MV3,Sigma2),MIN(MaxMultiple,Xm/(1-RAND())^(1/Alpha)))))</f>
        <v>1.2152110332693937</v>
      </c>
      <c r="I366" s="19">
        <f ca="1">IF(RAND()&lt;P_Zero,0,IF(RAND()&lt;CondReturn,_xlfn.LOGNORM.INV(RAND(),MV2,Sigma1),IF(RAND()&lt;CondGood,_xlfn.LOGNORM.INV(RAND(),MV3,Sigma2),MIN(MaxMultiple,Xm/(1-RAND())^(1/Alpha)))))</f>
        <v>0</v>
      </c>
      <c r="J366" s="19">
        <f ca="1">IF(RAND()&lt;P_Zero,0,IF(RAND()&lt;CondReturn,_xlfn.LOGNORM.INV(RAND(),MV2,Sigma1),IF(RAND()&lt;CondGood,_xlfn.LOGNORM.INV(RAND(),MV3,Sigma2),MIN(MaxMultiple,Xm/(1-RAND())^(1/Alpha)))))</f>
        <v>0</v>
      </c>
      <c r="K366" s="19">
        <f ca="1">IF(RAND()&lt;P_Zero,0,IF(RAND()&lt;CondReturn,_xlfn.LOGNORM.INV(RAND(),MV2,Sigma1),IF(RAND()&lt;CondGood,_xlfn.LOGNORM.INV(RAND(),MV3,Sigma2),MIN(MaxMultiple,Xm/(1-RAND())^(1/Alpha)))))</f>
        <v>0</v>
      </c>
      <c r="L366" s="19">
        <f ca="1">IF(RAND()&lt;P_Zero,0,IF(RAND()&lt;CondReturn,_xlfn.LOGNORM.INV(RAND(),MV2,Sigma1),IF(RAND()&lt;CondGood,_xlfn.LOGNORM.INV(RAND(),MV3,Sigma2),MIN(MaxMultiple,Xm/(1-RAND())^(1/Alpha)))))</f>
        <v>0</v>
      </c>
      <c r="M366" s="19">
        <f ca="1">IF(RAND()&lt;P_Zero,0,IF(RAND()&lt;CondReturn,_xlfn.LOGNORM.INV(RAND(),MV2,Sigma1),IF(RAND()&lt;CondGood,_xlfn.LOGNORM.INV(RAND(),MV3,Sigma2),MIN(MaxMultiple,Xm/(1-RAND())^(1/Alpha)))))</f>
        <v>0.80784748450755073</v>
      </c>
      <c r="N366" s="19">
        <f ca="1">IF(RAND()&lt;P_Zero,0,IF(RAND()&lt;CondReturn,_xlfn.LOGNORM.INV(RAND(),MV2,Sigma1),IF(RAND()&lt;CondGood,_xlfn.LOGNORM.INV(RAND(),MV3,Sigma2),MIN(MaxMultiple,Xm/(1-RAND())^(1/Alpha)))))</f>
        <v>0.73852407806747566</v>
      </c>
      <c r="O366" s="19">
        <f ca="1">IF(RAND()&lt;P_Zero,0,IF(RAND()&lt;CondReturn,_xlfn.LOGNORM.INV(RAND(),MV2,Sigma1),IF(RAND()&lt;CondGood,_xlfn.LOGNORM.INV(RAND(),MV3,Sigma2),MIN(MaxMultiple,Xm/(1-RAND())^(1/Alpha)))))</f>
        <v>1.0903480106437051</v>
      </c>
      <c r="P366" s="19">
        <f ca="1">IF(RAND()&lt;P_Zero,0,IF(RAND()&lt;CondReturn,_xlfn.LOGNORM.INV(RAND(),MV2,Sigma1),IF(RAND()&lt;CondGood,_xlfn.LOGNORM.INV(RAND(),MV3,Sigma2),MIN(MaxMultiple,Xm/(1-RAND())^(1/Alpha)))))</f>
        <v>0</v>
      </c>
      <c r="Q366" s="19">
        <f ca="1">IF(RAND()&lt;P_Zero,0,IF(RAND()&lt;CondReturn,_xlfn.LOGNORM.INV(RAND(),MV2,Sigma1),IF(RAND()&lt;CondGood,_xlfn.LOGNORM.INV(RAND(),MV3,Sigma2),MIN(MaxMultiple,Xm/(1-RAND())^(1/Alpha)))))</f>
        <v>0</v>
      </c>
      <c r="R366" s="19">
        <f ca="1">IF(RAND()&lt;P_Zero,0,IF(RAND()&lt;CondReturn,_xlfn.LOGNORM.INV(RAND(),MV2,Sigma1),IF(RAND()&lt;CondGood,_xlfn.LOGNORM.INV(RAND(),MV3,Sigma2),MIN(MaxMultiple,Xm/(1-RAND())^(1/Alpha)))))</f>
        <v>0</v>
      </c>
      <c r="S366" s="19">
        <f ca="1">IF(RAND()&lt;P_Zero,0,IF(RAND()&lt;CondReturn,_xlfn.LOGNORM.INV(RAND(),MV2,Sigma1),IF(RAND()&lt;CondGood,_xlfn.LOGNORM.INV(RAND(),MV3,Sigma2),MIN(MaxMultiple,Xm/(1-RAND())^(1/Alpha)))))</f>
        <v>13.051085768469873</v>
      </c>
      <c r="T366" s="19">
        <f ca="1">IF(RAND()&lt;P_Zero,0,IF(RAND()&lt;CondReturn,_xlfn.LOGNORM.INV(RAND(),MV2,Sigma1),IF(RAND()&lt;CondGood,_xlfn.LOGNORM.INV(RAND(),MV3,Sigma2),MIN(MaxMultiple,Xm/(1-RAND())^(1/Alpha)))))</f>
        <v>1.4410333705805611</v>
      </c>
      <c r="U366" s="19">
        <f ca="1">IF(RAND()&lt;P_Zero,0,IF(RAND()&lt;CondReturn,_xlfn.LOGNORM.INV(RAND(),MV2,Sigma1),IF(RAND()&lt;CondGood,_xlfn.LOGNORM.INV(RAND(),MV3,Sigma2),MIN(MaxMultiple,Xm/(1-RAND())^(1/Alpha)))))</f>
        <v>2.0750487210799635</v>
      </c>
      <c r="V366" s="19">
        <f ca="1">IF(RAND()&lt;P_Zero,0,IF(RAND()&lt;CondReturn,_xlfn.LOGNORM.INV(RAND(),MV2,Sigma1),IF(RAND()&lt;CondGood,_xlfn.LOGNORM.INV(RAND(),MV3,Sigma2),MIN(MaxMultiple,Xm/(1-RAND())^(1/Alpha)))))</f>
        <v>12.362769114397175</v>
      </c>
      <c r="W366" s="19">
        <f ca="1">IF(RAND()&lt;P_Zero,0,IF(RAND()&lt;CondReturn,_xlfn.LOGNORM.INV(RAND(),MV2,Sigma1),IF(RAND()&lt;CondGood,_xlfn.LOGNORM.INV(RAND(),MV3,Sigma2),MIN(MaxMultiple,Xm/(1-RAND())^(1/Alpha)))))</f>
        <v>1.145586066939607</v>
      </c>
      <c r="X366" s="19">
        <f ca="1">IF(RAND()&lt;P_Zero,0,IF(RAND()&lt;CondReturn,_xlfn.LOGNORM.INV(RAND(),MV2,Sigma1),IF(RAND()&lt;CondGood,_xlfn.LOGNORM.INV(RAND(),MV3,Sigma2),MIN(MaxMultiple,Xm/(1-RAND())^(1/Alpha)))))</f>
        <v>0</v>
      </c>
      <c r="Y366" s="19">
        <f ca="1">IF(RAND()&lt;P_Zero,0,IF(RAND()&lt;CondReturn,_xlfn.LOGNORM.INV(RAND(),MV2,Sigma1),IF(RAND()&lt;CondGood,_xlfn.LOGNORM.INV(RAND(),MV3,Sigma2),MIN(MaxMultiple,Xm/(1-RAND())^(1/Alpha)))))</f>
        <v>0</v>
      </c>
      <c r="Z366" s="19">
        <f ca="1">IF(RAND()&lt;P_Zero,0,IF(RAND()&lt;CondReturn,_xlfn.LOGNORM.INV(RAND(),MV2,Sigma1),IF(RAND()&lt;CondGood,_xlfn.LOGNORM.INV(RAND(),MV3,Sigma2),MIN(MaxMultiple,Xm/(1-RAND())^(1/Alpha)))))</f>
        <v>19.664343720212699</v>
      </c>
      <c r="AA366" s="19">
        <f ca="1">IF(RAND()&lt;P_Zero,0,IF(RAND()&lt;CondReturn,_xlfn.LOGNORM.INV(RAND(),MV2,Sigma1),IF(RAND()&lt;CondGood,_xlfn.LOGNORM.INV(RAND(),MV3,Sigma2),MIN(MaxMultiple,Xm/(1-RAND())^(1/Alpha)))))</f>
        <v>0</v>
      </c>
      <c r="AB366" s="19">
        <f t="shared" ca="1" si="40"/>
        <v>2.1978017435316484</v>
      </c>
      <c r="AC366" s="14">
        <f t="shared" ca="1" si="41"/>
        <v>105494483.68951912</v>
      </c>
      <c r="AD366" s="14">
        <f t="shared" ca="1" si="42"/>
        <v>57494483.689519122</v>
      </c>
      <c r="AE366" s="14">
        <f t="shared" si="43"/>
        <v>55628399.869093813</v>
      </c>
      <c r="AF366" s="14">
        <f t="shared" ca="1" si="44"/>
        <v>1866083.8204253092</v>
      </c>
      <c r="AG366" s="14">
        <f t="shared" ca="1" si="45"/>
        <v>373216.76408506185</v>
      </c>
      <c r="AH366" s="14">
        <f t="shared" ca="1" si="46"/>
        <v>105121266.92543405</v>
      </c>
      <c r="AI366" s="19">
        <f t="shared" ca="1" si="47"/>
        <v>1.7520211154239009</v>
      </c>
    </row>
    <row r="367" spans="2:35" x14ac:dyDescent="0.2">
      <c r="B367" s="1">
        <v>362</v>
      </c>
      <c r="C367" s="19">
        <f ca="1">IF(RAND()&lt;P_Zero,0,IF(RAND()&lt;CondReturn,_xlfn.LOGNORM.INV(RAND(),MV2,Sigma1),IF(RAND()&lt;CondGood,_xlfn.LOGNORM.INV(RAND(),MV3,Sigma2),MIN(MaxMultiple,Xm/(1-RAND())^(1/Alpha)))))</f>
        <v>0</v>
      </c>
      <c r="D367" s="19">
        <f ca="1">IF(RAND()&lt;P_Zero,0,IF(RAND()&lt;CondReturn,_xlfn.LOGNORM.INV(RAND(),MV2,Sigma1),IF(RAND()&lt;CondGood,_xlfn.LOGNORM.INV(RAND(),MV3,Sigma2),MIN(MaxMultiple,Xm/(1-RAND())^(1/Alpha)))))</f>
        <v>0</v>
      </c>
      <c r="E367" s="19">
        <f ca="1">IF(RAND()&lt;P_Zero,0,IF(RAND()&lt;CondReturn,_xlfn.LOGNORM.INV(RAND(),MV2,Sigma1),IF(RAND()&lt;CondGood,_xlfn.LOGNORM.INV(RAND(),MV3,Sigma2),MIN(MaxMultiple,Xm/(1-RAND())^(1/Alpha)))))</f>
        <v>0.52283730344417279</v>
      </c>
      <c r="F367" s="19">
        <f ca="1">IF(RAND()&lt;P_Zero,0,IF(RAND()&lt;CondReturn,_xlfn.LOGNORM.INV(RAND(),MV2,Sigma1),IF(RAND()&lt;CondGood,_xlfn.LOGNORM.INV(RAND(),MV3,Sigma2),MIN(MaxMultiple,Xm/(1-RAND())^(1/Alpha)))))</f>
        <v>0.77227239972233763</v>
      </c>
      <c r="G367" s="19">
        <f ca="1">IF(RAND()&lt;P_Zero,0,IF(RAND()&lt;CondReturn,_xlfn.LOGNORM.INV(RAND(),MV2,Sigma1),IF(RAND()&lt;CondGood,_xlfn.LOGNORM.INV(RAND(),MV3,Sigma2),MIN(MaxMultiple,Xm/(1-RAND())^(1/Alpha)))))</f>
        <v>0</v>
      </c>
      <c r="H367" s="19">
        <f ca="1">IF(RAND()&lt;P_Zero,0,IF(RAND()&lt;CondReturn,_xlfn.LOGNORM.INV(RAND(),MV2,Sigma1),IF(RAND()&lt;CondGood,_xlfn.LOGNORM.INV(RAND(),MV3,Sigma2),MIN(MaxMultiple,Xm/(1-RAND())^(1/Alpha)))))</f>
        <v>0</v>
      </c>
      <c r="I367" s="19">
        <f ca="1">IF(RAND()&lt;P_Zero,0,IF(RAND()&lt;CondReturn,_xlfn.LOGNORM.INV(RAND(),MV2,Sigma1),IF(RAND()&lt;CondGood,_xlfn.LOGNORM.INV(RAND(),MV3,Sigma2),MIN(MaxMultiple,Xm/(1-RAND())^(1/Alpha)))))</f>
        <v>0.81141820915348195</v>
      </c>
      <c r="J367" s="19">
        <f ca="1">IF(RAND()&lt;P_Zero,0,IF(RAND()&lt;CondReturn,_xlfn.LOGNORM.INV(RAND(),MV2,Sigma1),IF(RAND()&lt;CondGood,_xlfn.LOGNORM.INV(RAND(),MV3,Sigma2),MIN(MaxMultiple,Xm/(1-RAND())^(1/Alpha)))))</f>
        <v>0.7359108888286201</v>
      </c>
      <c r="K367" s="19">
        <f ca="1">IF(RAND()&lt;P_Zero,0,IF(RAND()&lt;CondReturn,_xlfn.LOGNORM.INV(RAND(),MV2,Sigma1),IF(RAND()&lt;CondGood,_xlfn.LOGNORM.INV(RAND(),MV3,Sigma2),MIN(MaxMultiple,Xm/(1-RAND())^(1/Alpha)))))</f>
        <v>0.59492684220757497</v>
      </c>
      <c r="L367" s="19">
        <f ca="1">IF(RAND()&lt;P_Zero,0,IF(RAND()&lt;CondReturn,_xlfn.LOGNORM.INV(RAND(),MV2,Sigma1),IF(RAND()&lt;CondGood,_xlfn.LOGNORM.INV(RAND(),MV3,Sigma2),MIN(MaxMultiple,Xm/(1-RAND())^(1/Alpha)))))</f>
        <v>0</v>
      </c>
      <c r="M367" s="19">
        <f ca="1">IF(RAND()&lt;P_Zero,0,IF(RAND()&lt;CondReturn,_xlfn.LOGNORM.INV(RAND(),MV2,Sigma1),IF(RAND()&lt;CondGood,_xlfn.LOGNORM.INV(RAND(),MV3,Sigma2),MIN(MaxMultiple,Xm/(1-RAND())^(1/Alpha)))))</f>
        <v>109.14213280022854</v>
      </c>
      <c r="N367" s="19">
        <f ca="1">IF(RAND()&lt;P_Zero,0,IF(RAND()&lt;CondReturn,_xlfn.LOGNORM.INV(RAND(),MV2,Sigma1),IF(RAND()&lt;CondGood,_xlfn.LOGNORM.INV(RAND(),MV3,Sigma2),MIN(MaxMultiple,Xm/(1-RAND())^(1/Alpha)))))</f>
        <v>0.88387101468436968</v>
      </c>
      <c r="O367" s="19">
        <f ca="1">IF(RAND()&lt;P_Zero,0,IF(RAND()&lt;CondReturn,_xlfn.LOGNORM.INV(RAND(),MV2,Sigma1),IF(RAND()&lt;CondGood,_xlfn.LOGNORM.INV(RAND(),MV3,Sigma2),MIN(MaxMultiple,Xm/(1-RAND())^(1/Alpha)))))</f>
        <v>0</v>
      </c>
      <c r="P367" s="19">
        <f ca="1">IF(RAND()&lt;P_Zero,0,IF(RAND()&lt;CondReturn,_xlfn.LOGNORM.INV(RAND(),MV2,Sigma1),IF(RAND()&lt;CondGood,_xlfn.LOGNORM.INV(RAND(),MV3,Sigma2),MIN(MaxMultiple,Xm/(1-RAND())^(1/Alpha)))))</f>
        <v>0.62451536617016867</v>
      </c>
      <c r="Q367" s="19">
        <f ca="1">IF(RAND()&lt;P_Zero,0,IF(RAND()&lt;CondReturn,_xlfn.LOGNORM.INV(RAND(),MV2,Sigma1),IF(RAND()&lt;CondGood,_xlfn.LOGNORM.INV(RAND(),MV3,Sigma2),MIN(MaxMultiple,Xm/(1-RAND())^(1/Alpha)))))</f>
        <v>0</v>
      </c>
      <c r="R367" s="19">
        <f ca="1">IF(RAND()&lt;P_Zero,0,IF(RAND()&lt;CondReturn,_xlfn.LOGNORM.INV(RAND(),MV2,Sigma1),IF(RAND()&lt;CondGood,_xlfn.LOGNORM.INV(RAND(),MV3,Sigma2),MIN(MaxMultiple,Xm/(1-RAND())^(1/Alpha)))))</f>
        <v>0</v>
      </c>
      <c r="S367" s="19">
        <f ca="1">IF(RAND()&lt;P_Zero,0,IF(RAND()&lt;CondReturn,_xlfn.LOGNORM.INV(RAND(),MV2,Sigma1),IF(RAND()&lt;CondGood,_xlfn.LOGNORM.INV(RAND(),MV3,Sigma2),MIN(MaxMultiple,Xm/(1-RAND())^(1/Alpha)))))</f>
        <v>1.0375780388222127</v>
      </c>
      <c r="T367" s="19">
        <f ca="1">IF(RAND()&lt;P_Zero,0,IF(RAND()&lt;CondReturn,_xlfn.LOGNORM.INV(RAND(),MV2,Sigma1),IF(RAND()&lt;CondGood,_xlfn.LOGNORM.INV(RAND(),MV3,Sigma2),MIN(MaxMultiple,Xm/(1-RAND())^(1/Alpha)))))</f>
        <v>0</v>
      </c>
      <c r="U367" s="19">
        <f ca="1">IF(RAND()&lt;P_Zero,0,IF(RAND()&lt;CondReturn,_xlfn.LOGNORM.INV(RAND(),MV2,Sigma1),IF(RAND()&lt;CondGood,_xlfn.LOGNORM.INV(RAND(),MV3,Sigma2),MIN(MaxMultiple,Xm/(1-RAND())^(1/Alpha)))))</f>
        <v>0.23466506075298171</v>
      </c>
      <c r="V367" s="19">
        <f ca="1">IF(RAND()&lt;P_Zero,0,IF(RAND()&lt;CondReturn,_xlfn.LOGNORM.INV(RAND(),MV2,Sigma1),IF(RAND()&lt;CondGood,_xlfn.LOGNORM.INV(RAND(),MV3,Sigma2),MIN(MaxMultiple,Xm/(1-RAND())^(1/Alpha)))))</f>
        <v>0</v>
      </c>
      <c r="W367" s="19">
        <f ca="1">IF(RAND()&lt;P_Zero,0,IF(RAND()&lt;CondReturn,_xlfn.LOGNORM.INV(RAND(),MV2,Sigma1),IF(RAND()&lt;CondGood,_xlfn.LOGNORM.INV(RAND(),MV3,Sigma2),MIN(MaxMultiple,Xm/(1-RAND())^(1/Alpha)))))</f>
        <v>1.7012515151573546</v>
      </c>
      <c r="X367" s="19">
        <f ca="1">IF(RAND()&lt;P_Zero,0,IF(RAND()&lt;CondReturn,_xlfn.LOGNORM.INV(RAND(),MV2,Sigma1),IF(RAND()&lt;CondGood,_xlfn.LOGNORM.INV(RAND(),MV3,Sigma2),MIN(MaxMultiple,Xm/(1-RAND())^(1/Alpha)))))</f>
        <v>92.860179240427669</v>
      </c>
      <c r="Y367" s="19">
        <f ca="1">IF(RAND()&lt;P_Zero,0,IF(RAND()&lt;CondReturn,_xlfn.LOGNORM.INV(RAND(),MV2,Sigma1),IF(RAND()&lt;CondGood,_xlfn.LOGNORM.INV(RAND(),MV3,Sigma2),MIN(MaxMultiple,Xm/(1-RAND())^(1/Alpha)))))</f>
        <v>0</v>
      </c>
      <c r="Z367" s="19">
        <f ca="1">IF(RAND()&lt;P_Zero,0,IF(RAND()&lt;CondReturn,_xlfn.LOGNORM.INV(RAND(),MV2,Sigma1),IF(RAND()&lt;CondGood,_xlfn.LOGNORM.INV(RAND(),MV3,Sigma2),MIN(MaxMultiple,Xm/(1-RAND())^(1/Alpha)))))</f>
        <v>0</v>
      </c>
      <c r="AA367" s="19">
        <f ca="1">IF(RAND()&lt;P_Zero,0,IF(RAND()&lt;CondReturn,_xlfn.LOGNORM.INV(RAND(),MV2,Sigma1),IF(RAND()&lt;CondGood,_xlfn.LOGNORM.INV(RAND(),MV3,Sigma2),MIN(MaxMultiple,Xm/(1-RAND())^(1/Alpha)))))</f>
        <v>1.0571420386760073</v>
      </c>
      <c r="AB367" s="19">
        <f t="shared" ca="1" si="40"/>
        <v>8.4391480287310205</v>
      </c>
      <c r="AC367" s="14">
        <f t="shared" ca="1" si="41"/>
        <v>405079105.379089</v>
      </c>
      <c r="AD367" s="14">
        <f t="shared" ca="1" si="42"/>
        <v>357079105.379089</v>
      </c>
      <c r="AE367" s="14">
        <f t="shared" si="43"/>
        <v>55628399.869093813</v>
      </c>
      <c r="AF367" s="14">
        <f t="shared" ca="1" si="44"/>
        <v>301450705.50999516</v>
      </c>
      <c r="AG367" s="14">
        <f t="shared" ca="1" si="45"/>
        <v>60290141.101999037</v>
      </c>
      <c r="AH367" s="14">
        <f t="shared" ca="1" si="46"/>
        <v>344788964.27708995</v>
      </c>
      <c r="AI367" s="19">
        <f t="shared" ca="1" si="47"/>
        <v>5.7464827379514993</v>
      </c>
    </row>
    <row r="368" spans="2:35" x14ac:dyDescent="0.2">
      <c r="B368" s="1">
        <v>363</v>
      </c>
      <c r="C368" s="19">
        <f ca="1">IF(RAND()&lt;P_Zero,0,IF(RAND()&lt;CondReturn,_xlfn.LOGNORM.INV(RAND(),MV2,Sigma1),IF(RAND()&lt;CondGood,_xlfn.LOGNORM.INV(RAND(),MV3,Sigma2),MIN(MaxMultiple,Xm/(1-RAND())^(1/Alpha)))))</f>
        <v>0.92507164479109416</v>
      </c>
      <c r="D368" s="19">
        <f ca="1">IF(RAND()&lt;P_Zero,0,IF(RAND()&lt;CondReturn,_xlfn.LOGNORM.INV(RAND(),MV2,Sigma1),IF(RAND()&lt;CondGood,_xlfn.LOGNORM.INV(RAND(),MV3,Sigma2),MIN(MaxMultiple,Xm/(1-RAND())^(1/Alpha)))))</f>
        <v>0.64503114767467795</v>
      </c>
      <c r="E368" s="19">
        <f ca="1">IF(RAND()&lt;P_Zero,0,IF(RAND()&lt;CondReturn,_xlfn.LOGNORM.INV(RAND(),MV2,Sigma1),IF(RAND()&lt;CondGood,_xlfn.LOGNORM.INV(RAND(),MV3,Sigma2),MIN(MaxMultiple,Xm/(1-RAND())^(1/Alpha)))))</f>
        <v>0</v>
      </c>
      <c r="F368" s="19">
        <f ca="1">IF(RAND()&lt;P_Zero,0,IF(RAND()&lt;CondReturn,_xlfn.LOGNORM.INV(RAND(),MV2,Sigma1),IF(RAND()&lt;CondGood,_xlfn.LOGNORM.INV(RAND(),MV3,Sigma2),MIN(MaxMultiple,Xm/(1-RAND())^(1/Alpha)))))</f>
        <v>0.41183166145527955</v>
      </c>
      <c r="G368" s="19">
        <f ca="1">IF(RAND()&lt;P_Zero,0,IF(RAND()&lt;CondReturn,_xlfn.LOGNORM.INV(RAND(),MV2,Sigma1),IF(RAND()&lt;CondGood,_xlfn.LOGNORM.INV(RAND(),MV3,Sigma2),MIN(MaxMultiple,Xm/(1-RAND())^(1/Alpha)))))</f>
        <v>1.5300071513030113</v>
      </c>
      <c r="H368" s="19">
        <f ca="1">IF(RAND()&lt;P_Zero,0,IF(RAND()&lt;CondReturn,_xlfn.LOGNORM.INV(RAND(),MV2,Sigma1),IF(RAND()&lt;CondGood,_xlfn.LOGNORM.INV(RAND(),MV3,Sigma2),MIN(MaxMultiple,Xm/(1-RAND())^(1/Alpha)))))</f>
        <v>0.82622714798683328</v>
      </c>
      <c r="I368" s="19">
        <f ca="1">IF(RAND()&lt;P_Zero,0,IF(RAND()&lt;CondReturn,_xlfn.LOGNORM.INV(RAND(),MV2,Sigma1),IF(RAND()&lt;CondGood,_xlfn.LOGNORM.INV(RAND(),MV3,Sigma2),MIN(MaxMultiple,Xm/(1-RAND())^(1/Alpha)))))</f>
        <v>0.69897136932199977</v>
      </c>
      <c r="J368" s="19">
        <f ca="1">IF(RAND()&lt;P_Zero,0,IF(RAND()&lt;CondReturn,_xlfn.LOGNORM.INV(RAND(),MV2,Sigma1),IF(RAND()&lt;CondGood,_xlfn.LOGNORM.INV(RAND(),MV3,Sigma2),MIN(MaxMultiple,Xm/(1-RAND())^(1/Alpha)))))</f>
        <v>1.2022353004037567</v>
      </c>
      <c r="K368" s="19">
        <f ca="1">IF(RAND()&lt;P_Zero,0,IF(RAND()&lt;CondReturn,_xlfn.LOGNORM.INV(RAND(),MV2,Sigma1),IF(RAND()&lt;CondGood,_xlfn.LOGNORM.INV(RAND(),MV3,Sigma2),MIN(MaxMultiple,Xm/(1-RAND())^(1/Alpha)))))</f>
        <v>0</v>
      </c>
      <c r="L368" s="19">
        <f ca="1">IF(RAND()&lt;P_Zero,0,IF(RAND()&lt;CondReturn,_xlfn.LOGNORM.INV(RAND(),MV2,Sigma1),IF(RAND()&lt;CondGood,_xlfn.LOGNORM.INV(RAND(),MV3,Sigma2),MIN(MaxMultiple,Xm/(1-RAND())^(1/Alpha)))))</f>
        <v>1.4862563892830978</v>
      </c>
      <c r="M368" s="19">
        <f ca="1">IF(RAND()&lt;P_Zero,0,IF(RAND()&lt;CondReturn,_xlfn.LOGNORM.INV(RAND(),MV2,Sigma1),IF(RAND()&lt;CondGood,_xlfn.LOGNORM.INV(RAND(),MV3,Sigma2),MIN(MaxMultiple,Xm/(1-RAND())^(1/Alpha)))))</f>
        <v>0</v>
      </c>
      <c r="N368" s="19">
        <f ca="1">IF(RAND()&lt;P_Zero,0,IF(RAND()&lt;CondReturn,_xlfn.LOGNORM.INV(RAND(),MV2,Sigma1),IF(RAND()&lt;CondGood,_xlfn.LOGNORM.INV(RAND(),MV3,Sigma2),MIN(MaxMultiple,Xm/(1-RAND())^(1/Alpha)))))</f>
        <v>1.0373186485403729</v>
      </c>
      <c r="O368" s="19">
        <f ca="1">IF(RAND()&lt;P_Zero,0,IF(RAND()&lt;CondReturn,_xlfn.LOGNORM.INV(RAND(),MV2,Sigma1),IF(RAND()&lt;CondGood,_xlfn.LOGNORM.INV(RAND(),MV3,Sigma2),MIN(MaxMultiple,Xm/(1-RAND())^(1/Alpha)))))</f>
        <v>0</v>
      </c>
      <c r="P368" s="19">
        <f ca="1">IF(RAND()&lt;P_Zero,0,IF(RAND()&lt;CondReturn,_xlfn.LOGNORM.INV(RAND(),MV2,Sigma1),IF(RAND()&lt;CondGood,_xlfn.LOGNORM.INV(RAND(),MV3,Sigma2),MIN(MaxMultiple,Xm/(1-RAND())^(1/Alpha)))))</f>
        <v>27.587065064163998</v>
      </c>
      <c r="Q368" s="19">
        <f ca="1">IF(RAND()&lt;P_Zero,0,IF(RAND()&lt;CondReturn,_xlfn.LOGNORM.INV(RAND(),MV2,Sigma1),IF(RAND()&lt;CondGood,_xlfn.LOGNORM.INV(RAND(),MV3,Sigma2),MIN(MaxMultiple,Xm/(1-RAND())^(1/Alpha)))))</f>
        <v>0</v>
      </c>
      <c r="R368" s="19">
        <f ca="1">IF(RAND()&lt;P_Zero,0,IF(RAND()&lt;CondReturn,_xlfn.LOGNORM.INV(RAND(),MV2,Sigma1),IF(RAND()&lt;CondGood,_xlfn.LOGNORM.INV(RAND(),MV3,Sigma2),MIN(MaxMultiple,Xm/(1-RAND())^(1/Alpha)))))</f>
        <v>0</v>
      </c>
      <c r="S368" s="19">
        <f ca="1">IF(RAND()&lt;P_Zero,0,IF(RAND()&lt;CondReturn,_xlfn.LOGNORM.INV(RAND(),MV2,Sigma1),IF(RAND()&lt;CondGood,_xlfn.LOGNORM.INV(RAND(),MV3,Sigma2),MIN(MaxMultiple,Xm/(1-RAND())^(1/Alpha)))))</f>
        <v>0.89005783572093211</v>
      </c>
      <c r="T368" s="19">
        <f ca="1">IF(RAND()&lt;P_Zero,0,IF(RAND()&lt;CondReturn,_xlfn.LOGNORM.INV(RAND(),MV2,Sigma1),IF(RAND()&lt;CondGood,_xlfn.LOGNORM.INV(RAND(),MV3,Sigma2),MIN(MaxMultiple,Xm/(1-RAND())^(1/Alpha)))))</f>
        <v>0.74426556771070929</v>
      </c>
      <c r="U368" s="19">
        <f ca="1">IF(RAND()&lt;P_Zero,0,IF(RAND()&lt;CondReturn,_xlfn.LOGNORM.INV(RAND(),MV2,Sigma1),IF(RAND()&lt;CondGood,_xlfn.LOGNORM.INV(RAND(),MV3,Sigma2),MIN(MaxMultiple,Xm/(1-RAND())^(1/Alpha)))))</f>
        <v>0.71084170316259643</v>
      </c>
      <c r="V368" s="19">
        <f ca="1">IF(RAND()&lt;P_Zero,0,IF(RAND()&lt;CondReturn,_xlfn.LOGNORM.INV(RAND(),MV2,Sigma1),IF(RAND()&lt;CondGood,_xlfn.LOGNORM.INV(RAND(),MV3,Sigma2),MIN(MaxMultiple,Xm/(1-RAND())^(1/Alpha)))))</f>
        <v>0.74838471976379373</v>
      </c>
      <c r="W368" s="19">
        <f ca="1">IF(RAND()&lt;P_Zero,0,IF(RAND()&lt;CondReturn,_xlfn.LOGNORM.INV(RAND(),MV2,Sigma1),IF(RAND()&lt;CondGood,_xlfn.LOGNORM.INV(RAND(),MV3,Sigma2),MIN(MaxMultiple,Xm/(1-RAND())^(1/Alpha)))))</f>
        <v>0</v>
      </c>
      <c r="X368" s="19">
        <f ca="1">IF(RAND()&lt;P_Zero,0,IF(RAND()&lt;CondReturn,_xlfn.LOGNORM.INV(RAND(),MV2,Sigma1),IF(RAND()&lt;CondGood,_xlfn.LOGNORM.INV(RAND(),MV3,Sigma2),MIN(MaxMultiple,Xm/(1-RAND())^(1/Alpha)))))</f>
        <v>0</v>
      </c>
      <c r="Y368" s="19">
        <f ca="1">IF(RAND()&lt;P_Zero,0,IF(RAND()&lt;CondReturn,_xlfn.LOGNORM.INV(RAND(),MV2,Sigma1),IF(RAND()&lt;CondGood,_xlfn.LOGNORM.INV(RAND(),MV3,Sigma2),MIN(MaxMultiple,Xm/(1-RAND())^(1/Alpha)))))</f>
        <v>1.6731112009215896</v>
      </c>
      <c r="Z368" s="19">
        <f ca="1">IF(RAND()&lt;P_Zero,0,IF(RAND()&lt;CondReturn,_xlfn.LOGNORM.INV(RAND(),MV2,Sigma1),IF(RAND()&lt;CondGood,_xlfn.LOGNORM.INV(RAND(),MV3,Sigma2),MIN(MaxMultiple,Xm/(1-RAND())^(1/Alpha)))))</f>
        <v>0</v>
      </c>
      <c r="AA368" s="19">
        <f ca="1">IF(RAND()&lt;P_Zero,0,IF(RAND()&lt;CondReturn,_xlfn.LOGNORM.INV(RAND(),MV2,Sigma1),IF(RAND()&lt;CondGood,_xlfn.LOGNORM.INV(RAND(),MV3,Sigma2),MIN(MaxMultiple,Xm/(1-RAND())^(1/Alpha)))))</f>
        <v>0</v>
      </c>
      <c r="AB368" s="19">
        <f t="shared" ca="1" si="40"/>
        <v>1.6446670620881494</v>
      </c>
      <c r="AC368" s="14">
        <f t="shared" ca="1" si="41"/>
        <v>78944018.980231166</v>
      </c>
      <c r="AD368" s="14">
        <f t="shared" ca="1" si="42"/>
        <v>30944018.980231166</v>
      </c>
      <c r="AE368" s="14">
        <f t="shared" si="43"/>
        <v>55628399.869093813</v>
      </c>
      <c r="AF368" s="14">
        <f t="shared" ca="1" si="44"/>
        <v>0</v>
      </c>
      <c r="AG368" s="14">
        <f t="shared" ca="1" si="45"/>
        <v>0</v>
      </c>
      <c r="AH368" s="14">
        <f t="shared" ca="1" si="46"/>
        <v>78944018.980231166</v>
      </c>
      <c r="AI368" s="19">
        <f t="shared" ca="1" si="47"/>
        <v>1.3157336496705194</v>
      </c>
    </row>
    <row r="369" spans="2:35" x14ac:dyDescent="0.2">
      <c r="B369" s="1">
        <v>364</v>
      </c>
      <c r="C369" s="19">
        <f ca="1">IF(RAND()&lt;P_Zero,0,IF(RAND()&lt;CondReturn,_xlfn.LOGNORM.INV(RAND(),MV2,Sigma1),IF(RAND()&lt;CondGood,_xlfn.LOGNORM.INV(RAND(),MV3,Sigma2),MIN(MaxMultiple,Xm/(1-RAND())^(1/Alpha)))))</f>
        <v>0.32834398708034523</v>
      </c>
      <c r="D369" s="19">
        <f ca="1">IF(RAND()&lt;P_Zero,0,IF(RAND()&lt;CondReturn,_xlfn.LOGNORM.INV(RAND(),MV2,Sigma1),IF(RAND()&lt;CondGood,_xlfn.LOGNORM.INV(RAND(),MV3,Sigma2),MIN(MaxMultiple,Xm/(1-RAND())^(1/Alpha)))))</f>
        <v>0</v>
      </c>
      <c r="E369" s="19">
        <f ca="1">IF(RAND()&lt;P_Zero,0,IF(RAND()&lt;CondReturn,_xlfn.LOGNORM.INV(RAND(),MV2,Sigma1),IF(RAND()&lt;CondGood,_xlfn.LOGNORM.INV(RAND(),MV3,Sigma2),MIN(MaxMultiple,Xm/(1-RAND())^(1/Alpha)))))</f>
        <v>0.93945991735562184</v>
      </c>
      <c r="F369" s="19">
        <f ca="1">IF(RAND()&lt;P_Zero,0,IF(RAND()&lt;CondReturn,_xlfn.LOGNORM.INV(RAND(),MV2,Sigma1),IF(RAND()&lt;CondGood,_xlfn.LOGNORM.INV(RAND(),MV3,Sigma2),MIN(MaxMultiple,Xm/(1-RAND())^(1/Alpha)))))</f>
        <v>0.60637650947925514</v>
      </c>
      <c r="G369" s="19">
        <f ca="1">IF(RAND()&lt;P_Zero,0,IF(RAND()&lt;CondReturn,_xlfn.LOGNORM.INV(RAND(),MV2,Sigma1),IF(RAND()&lt;CondGood,_xlfn.LOGNORM.INV(RAND(),MV3,Sigma2),MIN(MaxMultiple,Xm/(1-RAND())^(1/Alpha)))))</f>
        <v>0.94614920913614664</v>
      </c>
      <c r="H369" s="19">
        <f ca="1">IF(RAND()&lt;P_Zero,0,IF(RAND()&lt;CondReturn,_xlfn.LOGNORM.INV(RAND(),MV2,Sigma1),IF(RAND()&lt;CondGood,_xlfn.LOGNORM.INV(RAND(),MV3,Sigma2),MIN(MaxMultiple,Xm/(1-RAND())^(1/Alpha)))))</f>
        <v>0.50222778242800548</v>
      </c>
      <c r="I369" s="19">
        <f ca="1">IF(RAND()&lt;P_Zero,0,IF(RAND()&lt;CondReturn,_xlfn.LOGNORM.INV(RAND(),MV2,Sigma1),IF(RAND()&lt;CondGood,_xlfn.LOGNORM.INV(RAND(),MV3,Sigma2),MIN(MaxMultiple,Xm/(1-RAND())^(1/Alpha)))))</f>
        <v>1.2677083589281763</v>
      </c>
      <c r="J369" s="19">
        <f ca="1">IF(RAND()&lt;P_Zero,0,IF(RAND()&lt;CondReturn,_xlfn.LOGNORM.INV(RAND(),MV2,Sigma1),IF(RAND()&lt;CondGood,_xlfn.LOGNORM.INV(RAND(),MV3,Sigma2),MIN(MaxMultiple,Xm/(1-RAND())^(1/Alpha)))))</f>
        <v>0.41102842074386858</v>
      </c>
      <c r="K369" s="19">
        <f ca="1">IF(RAND()&lt;P_Zero,0,IF(RAND()&lt;CondReturn,_xlfn.LOGNORM.INV(RAND(),MV2,Sigma1),IF(RAND()&lt;CondGood,_xlfn.LOGNORM.INV(RAND(),MV3,Sigma2),MIN(MaxMultiple,Xm/(1-RAND())^(1/Alpha)))))</f>
        <v>0</v>
      </c>
      <c r="L369" s="19">
        <f ca="1">IF(RAND()&lt;P_Zero,0,IF(RAND()&lt;CondReturn,_xlfn.LOGNORM.INV(RAND(),MV2,Sigma1),IF(RAND()&lt;CondGood,_xlfn.LOGNORM.INV(RAND(),MV3,Sigma2),MIN(MaxMultiple,Xm/(1-RAND())^(1/Alpha)))))</f>
        <v>2.2482148892774774</v>
      </c>
      <c r="M369" s="19">
        <f ca="1">IF(RAND()&lt;P_Zero,0,IF(RAND()&lt;CondReturn,_xlfn.LOGNORM.INV(RAND(),MV2,Sigma1),IF(RAND()&lt;CondGood,_xlfn.LOGNORM.INV(RAND(),MV3,Sigma2),MIN(MaxMultiple,Xm/(1-RAND())^(1/Alpha)))))</f>
        <v>0</v>
      </c>
      <c r="N369" s="19">
        <f ca="1">IF(RAND()&lt;P_Zero,0,IF(RAND()&lt;CondReturn,_xlfn.LOGNORM.INV(RAND(),MV2,Sigma1),IF(RAND()&lt;CondGood,_xlfn.LOGNORM.INV(RAND(),MV3,Sigma2),MIN(MaxMultiple,Xm/(1-RAND())^(1/Alpha)))))</f>
        <v>0</v>
      </c>
      <c r="O369" s="19">
        <f ca="1">IF(RAND()&lt;P_Zero,0,IF(RAND()&lt;CondReturn,_xlfn.LOGNORM.INV(RAND(),MV2,Sigma1),IF(RAND()&lt;CondGood,_xlfn.LOGNORM.INV(RAND(),MV3,Sigma2),MIN(MaxMultiple,Xm/(1-RAND())^(1/Alpha)))))</f>
        <v>0</v>
      </c>
      <c r="P369" s="19">
        <f ca="1">IF(RAND()&lt;P_Zero,0,IF(RAND()&lt;CondReturn,_xlfn.LOGNORM.INV(RAND(),MV2,Sigma1),IF(RAND()&lt;CondGood,_xlfn.LOGNORM.INV(RAND(),MV3,Sigma2),MIN(MaxMultiple,Xm/(1-RAND())^(1/Alpha)))))</f>
        <v>0.64744799636047212</v>
      </c>
      <c r="Q369" s="19">
        <f ca="1">IF(RAND()&lt;P_Zero,0,IF(RAND()&lt;CondReturn,_xlfn.LOGNORM.INV(RAND(),MV2,Sigma1),IF(RAND()&lt;CondGood,_xlfn.LOGNORM.INV(RAND(),MV3,Sigma2),MIN(MaxMultiple,Xm/(1-RAND())^(1/Alpha)))))</f>
        <v>0.52894688550987756</v>
      </c>
      <c r="R369" s="19">
        <f ca="1">IF(RAND()&lt;P_Zero,0,IF(RAND()&lt;CondReturn,_xlfn.LOGNORM.INV(RAND(),MV2,Sigma1),IF(RAND()&lt;CondGood,_xlfn.LOGNORM.INV(RAND(),MV3,Sigma2),MIN(MaxMultiple,Xm/(1-RAND())^(1/Alpha)))))</f>
        <v>1.676784502817718</v>
      </c>
      <c r="S369" s="19">
        <f ca="1">IF(RAND()&lt;P_Zero,0,IF(RAND()&lt;CondReturn,_xlfn.LOGNORM.INV(RAND(),MV2,Sigma1),IF(RAND()&lt;CondGood,_xlfn.LOGNORM.INV(RAND(),MV3,Sigma2),MIN(MaxMultiple,Xm/(1-RAND())^(1/Alpha)))))</f>
        <v>0</v>
      </c>
      <c r="T369" s="19">
        <f ca="1">IF(RAND()&lt;P_Zero,0,IF(RAND()&lt;CondReturn,_xlfn.LOGNORM.INV(RAND(),MV2,Sigma1),IF(RAND()&lt;CondGood,_xlfn.LOGNORM.INV(RAND(),MV3,Sigma2),MIN(MaxMultiple,Xm/(1-RAND())^(1/Alpha)))))</f>
        <v>1.6732499853931417</v>
      </c>
      <c r="U369" s="19">
        <f ca="1">IF(RAND()&lt;P_Zero,0,IF(RAND()&lt;CondReturn,_xlfn.LOGNORM.INV(RAND(),MV2,Sigma1),IF(RAND()&lt;CondGood,_xlfn.LOGNORM.INV(RAND(),MV3,Sigma2),MIN(MaxMultiple,Xm/(1-RAND())^(1/Alpha)))))</f>
        <v>0.77135013045212286</v>
      </c>
      <c r="V369" s="19">
        <f ca="1">IF(RAND()&lt;P_Zero,0,IF(RAND()&lt;CondReturn,_xlfn.LOGNORM.INV(RAND(),MV2,Sigma1),IF(RAND()&lt;CondGood,_xlfn.LOGNORM.INV(RAND(),MV3,Sigma2),MIN(MaxMultiple,Xm/(1-RAND())^(1/Alpha)))))</f>
        <v>0</v>
      </c>
      <c r="W369" s="19">
        <f ca="1">IF(RAND()&lt;P_Zero,0,IF(RAND()&lt;CondReturn,_xlfn.LOGNORM.INV(RAND(),MV2,Sigma1),IF(RAND()&lt;CondGood,_xlfn.LOGNORM.INV(RAND(),MV3,Sigma2),MIN(MaxMultiple,Xm/(1-RAND())^(1/Alpha)))))</f>
        <v>0.778107117365886</v>
      </c>
      <c r="X369" s="19">
        <f ca="1">IF(RAND()&lt;P_Zero,0,IF(RAND()&lt;CondReturn,_xlfn.LOGNORM.INV(RAND(),MV2,Sigma1),IF(RAND()&lt;CondGood,_xlfn.LOGNORM.INV(RAND(),MV3,Sigma2),MIN(MaxMultiple,Xm/(1-RAND())^(1/Alpha)))))</f>
        <v>0.39890791543911075</v>
      </c>
      <c r="Y369" s="19">
        <f ca="1">IF(RAND()&lt;P_Zero,0,IF(RAND()&lt;CondReturn,_xlfn.LOGNORM.INV(RAND(),MV2,Sigma1),IF(RAND()&lt;CondGood,_xlfn.LOGNORM.INV(RAND(),MV3,Sigma2),MIN(MaxMultiple,Xm/(1-RAND())^(1/Alpha)))))</f>
        <v>1.0004989079046263</v>
      </c>
      <c r="Z369" s="19">
        <f ca="1">IF(RAND()&lt;P_Zero,0,IF(RAND()&lt;CondReturn,_xlfn.LOGNORM.INV(RAND(),MV2,Sigma1),IF(RAND()&lt;CondGood,_xlfn.LOGNORM.INV(RAND(),MV3,Sigma2),MIN(MaxMultiple,Xm/(1-RAND())^(1/Alpha)))))</f>
        <v>0.82974731332910823</v>
      </c>
      <c r="AA369" s="19">
        <f ca="1">IF(RAND()&lt;P_Zero,0,IF(RAND()&lt;CondReturn,_xlfn.LOGNORM.INV(RAND(),MV2,Sigma1),IF(RAND()&lt;CondGood,_xlfn.LOGNORM.INV(RAND(),MV3,Sigma2),MIN(MaxMultiple,Xm/(1-RAND())^(1/Alpha)))))</f>
        <v>20.997747855212058</v>
      </c>
      <c r="AB369" s="19">
        <f t="shared" ca="1" si="40"/>
        <v>1.4620919073685206</v>
      </c>
      <c r="AC369" s="14">
        <f t="shared" ca="1" si="41"/>
        <v>70180411.553688988</v>
      </c>
      <c r="AD369" s="14">
        <f t="shared" ca="1" si="42"/>
        <v>22180411.553688988</v>
      </c>
      <c r="AE369" s="14">
        <f t="shared" si="43"/>
        <v>55628399.869093813</v>
      </c>
      <c r="AF369" s="14">
        <f t="shared" ca="1" si="44"/>
        <v>0</v>
      </c>
      <c r="AG369" s="14">
        <f t="shared" ca="1" si="45"/>
        <v>0</v>
      </c>
      <c r="AH369" s="14">
        <f t="shared" ca="1" si="46"/>
        <v>70180411.553688988</v>
      </c>
      <c r="AI369" s="19">
        <f t="shared" ca="1" si="47"/>
        <v>1.1696735258948165</v>
      </c>
    </row>
    <row r="370" spans="2:35" x14ac:dyDescent="0.2">
      <c r="B370" s="1">
        <v>365</v>
      </c>
      <c r="C370" s="19">
        <f ca="1">IF(RAND()&lt;P_Zero,0,IF(RAND()&lt;CondReturn,_xlfn.LOGNORM.INV(RAND(),MV2,Sigma1),IF(RAND()&lt;CondGood,_xlfn.LOGNORM.INV(RAND(),MV3,Sigma2),MIN(MaxMultiple,Xm/(1-RAND())^(1/Alpha)))))</f>
        <v>1.1773328850876645</v>
      </c>
      <c r="D370" s="19">
        <f ca="1">IF(RAND()&lt;P_Zero,0,IF(RAND()&lt;CondReturn,_xlfn.LOGNORM.INV(RAND(),MV2,Sigma1),IF(RAND()&lt;CondGood,_xlfn.LOGNORM.INV(RAND(),MV3,Sigma2),MIN(MaxMultiple,Xm/(1-RAND())^(1/Alpha)))))</f>
        <v>0</v>
      </c>
      <c r="E370" s="19">
        <f ca="1">IF(RAND()&lt;P_Zero,0,IF(RAND()&lt;CondReturn,_xlfn.LOGNORM.INV(RAND(),MV2,Sigma1),IF(RAND()&lt;CondGood,_xlfn.LOGNORM.INV(RAND(),MV3,Sigma2),MIN(MaxMultiple,Xm/(1-RAND())^(1/Alpha)))))</f>
        <v>0</v>
      </c>
      <c r="F370" s="19">
        <f ca="1">IF(RAND()&lt;P_Zero,0,IF(RAND()&lt;CondReturn,_xlfn.LOGNORM.INV(RAND(),MV2,Sigma1),IF(RAND()&lt;CondGood,_xlfn.LOGNORM.INV(RAND(),MV3,Sigma2),MIN(MaxMultiple,Xm/(1-RAND())^(1/Alpha)))))</f>
        <v>0</v>
      </c>
      <c r="G370" s="19">
        <f ca="1">IF(RAND()&lt;P_Zero,0,IF(RAND()&lt;CondReturn,_xlfn.LOGNORM.INV(RAND(),MV2,Sigma1),IF(RAND()&lt;CondGood,_xlfn.LOGNORM.INV(RAND(),MV3,Sigma2),MIN(MaxMultiple,Xm/(1-RAND())^(1/Alpha)))))</f>
        <v>0</v>
      </c>
      <c r="H370" s="19">
        <f ca="1">IF(RAND()&lt;P_Zero,0,IF(RAND()&lt;CondReturn,_xlfn.LOGNORM.INV(RAND(),MV2,Sigma1),IF(RAND()&lt;CondGood,_xlfn.LOGNORM.INV(RAND(),MV3,Sigma2),MIN(MaxMultiple,Xm/(1-RAND())^(1/Alpha)))))</f>
        <v>0</v>
      </c>
      <c r="I370" s="19">
        <f ca="1">IF(RAND()&lt;P_Zero,0,IF(RAND()&lt;CondReturn,_xlfn.LOGNORM.INV(RAND(),MV2,Sigma1),IF(RAND()&lt;CondGood,_xlfn.LOGNORM.INV(RAND(),MV3,Sigma2),MIN(MaxMultiple,Xm/(1-RAND())^(1/Alpha)))))</f>
        <v>0</v>
      </c>
      <c r="J370" s="19">
        <f ca="1">IF(RAND()&lt;P_Zero,0,IF(RAND()&lt;CondReturn,_xlfn.LOGNORM.INV(RAND(),MV2,Sigma1),IF(RAND()&lt;CondGood,_xlfn.LOGNORM.INV(RAND(),MV3,Sigma2),MIN(MaxMultiple,Xm/(1-RAND())^(1/Alpha)))))</f>
        <v>2.528652053720533</v>
      </c>
      <c r="K370" s="19">
        <f ca="1">IF(RAND()&lt;P_Zero,0,IF(RAND()&lt;CondReturn,_xlfn.LOGNORM.INV(RAND(),MV2,Sigma1),IF(RAND()&lt;CondGood,_xlfn.LOGNORM.INV(RAND(),MV3,Sigma2),MIN(MaxMultiple,Xm/(1-RAND())^(1/Alpha)))))</f>
        <v>1.9956851954739228</v>
      </c>
      <c r="L370" s="19">
        <f ca="1">IF(RAND()&lt;P_Zero,0,IF(RAND()&lt;CondReturn,_xlfn.LOGNORM.INV(RAND(),MV2,Sigma1),IF(RAND()&lt;CondGood,_xlfn.LOGNORM.INV(RAND(),MV3,Sigma2),MIN(MaxMultiple,Xm/(1-RAND())^(1/Alpha)))))</f>
        <v>31.76192788758992</v>
      </c>
      <c r="M370" s="19">
        <f ca="1">IF(RAND()&lt;P_Zero,0,IF(RAND()&lt;CondReturn,_xlfn.LOGNORM.INV(RAND(),MV2,Sigma1),IF(RAND()&lt;CondGood,_xlfn.LOGNORM.INV(RAND(),MV3,Sigma2),MIN(MaxMultiple,Xm/(1-RAND())^(1/Alpha)))))</f>
        <v>0</v>
      </c>
      <c r="N370" s="19">
        <f ca="1">IF(RAND()&lt;P_Zero,0,IF(RAND()&lt;CondReturn,_xlfn.LOGNORM.INV(RAND(),MV2,Sigma1),IF(RAND()&lt;CondGood,_xlfn.LOGNORM.INV(RAND(),MV3,Sigma2),MIN(MaxMultiple,Xm/(1-RAND())^(1/Alpha)))))</f>
        <v>0.66569119469217886</v>
      </c>
      <c r="O370" s="19">
        <f ca="1">IF(RAND()&lt;P_Zero,0,IF(RAND()&lt;CondReturn,_xlfn.LOGNORM.INV(RAND(),MV2,Sigma1),IF(RAND()&lt;CondGood,_xlfn.LOGNORM.INV(RAND(),MV3,Sigma2),MIN(MaxMultiple,Xm/(1-RAND())^(1/Alpha)))))</f>
        <v>0.8851587993670561</v>
      </c>
      <c r="P370" s="19">
        <f ca="1">IF(RAND()&lt;P_Zero,0,IF(RAND()&lt;CondReturn,_xlfn.LOGNORM.INV(RAND(),MV2,Sigma1),IF(RAND()&lt;CondGood,_xlfn.LOGNORM.INV(RAND(),MV3,Sigma2),MIN(MaxMultiple,Xm/(1-RAND())^(1/Alpha)))))</f>
        <v>0</v>
      </c>
      <c r="Q370" s="19">
        <f ca="1">IF(RAND()&lt;P_Zero,0,IF(RAND()&lt;CondReturn,_xlfn.LOGNORM.INV(RAND(),MV2,Sigma1),IF(RAND()&lt;CondGood,_xlfn.LOGNORM.INV(RAND(),MV3,Sigma2),MIN(MaxMultiple,Xm/(1-RAND())^(1/Alpha)))))</f>
        <v>0</v>
      </c>
      <c r="R370" s="19">
        <f ca="1">IF(RAND()&lt;P_Zero,0,IF(RAND()&lt;CondReturn,_xlfn.LOGNORM.INV(RAND(),MV2,Sigma1),IF(RAND()&lt;CondGood,_xlfn.LOGNORM.INV(RAND(),MV3,Sigma2),MIN(MaxMultiple,Xm/(1-RAND())^(1/Alpha)))))</f>
        <v>1.3694530485339169</v>
      </c>
      <c r="S370" s="19">
        <f ca="1">IF(RAND()&lt;P_Zero,0,IF(RAND()&lt;CondReturn,_xlfn.LOGNORM.INV(RAND(),MV2,Sigma1),IF(RAND()&lt;CondGood,_xlfn.LOGNORM.INV(RAND(),MV3,Sigma2),MIN(MaxMultiple,Xm/(1-RAND())^(1/Alpha)))))</f>
        <v>2.1944361096505296</v>
      </c>
      <c r="T370" s="19">
        <f ca="1">IF(RAND()&lt;P_Zero,0,IF(RAND()&lt;CondReturn,_xlfn.LOGNORM.INV(RAND(),MV2,Sigma1),IF(RAND()&lt;CondGood,_xlfn.LOGNORM.INV(RAND(),MV3,Sigma2),MIN(MaxMultiple,Xm/(1-RAND())^(1/Alpha)))))</f>
        <v>43.012767589982502</v>
      </c>
      <c r="U370" s="19">
        <f ca="1">IF(RAND()&lt;P_Zero,0,IF(RAND()&lt;CondReturn,_xlfn.LOGNORM.INV(RAND(),MV2,Sigma1),IF(RAND()&lt;CondGood,_xlfn.LOGNORM.INV(RAND(),MV3,Sigma2),MIN(MaxMultiple,Xm/(1-RAND())^(1/Alpha)))))</f>
        <v>0</v>
      </c>
      <c r="V370" s="19">
        <f ca="1">IF(RAND()&lt;P_Zero,0,IF(RAND()&lt;CondReturn,_xlfn.LOGNORM.INV(RAND(),MV2,Sigma1),IF(RAND()&lt;CondGood,_xlfn.LOGNORM.INV(RAND(),MV3,Sigma2),MIN(MaxMultiple,Xm/(1-RAND())^(1/Alpha)))))</f>
        <v>0.43939590257653827</v>
      </c>
      <c r="W370" s="19">
        <f ca="1">IF(RAND()&lt;P_Zero,0,IF(RAND()&lt;CondReturn,_xlfn.LOGNORM.INV(RAND(),MV2,Sigma1),IF(RAND()&lt;CondGood,_xlfn.LOGNORM.INV(RAND(),MV3,Sigma2),MIN(MaxMultiple,Xm/(1-RAND())^(1/Alpha)))))</f>
        <v>0.58414370802573135</v>
      </c>
      <c r="X370" s="19">
        <f ca="1">IF(RAND()&lt;P_Zero,0,IF(RAND()&lt;CondReturn,_xlfn.LOGNORM.INV(RAND(),MV2,Sigma1),IF(RAND()&lt;CondGood,_xlfn.LOGNORM.INV(RAND(),MV3,Sigma2),MIN(MaxMultiple,Xm/(1-RAND())^(1/Alpha)))))</f>
        <v>0</v>
      </c>
      <c r="Y370" s="19">
        <f ca="1">IF(RAND()&lt;P_Zero,0,IF(RAND()&lt;CondReturn,_xlfn.LOGNORM.INV(RAND(),MV2,Sigma1),IF(RAND()&lt;CondGood,_xlfn.LOGNORM.INV(RAND(),MV3,Sigma2),MIN(MaxMultiple,Xm/(1-RAND())^(1/Alpha)))))</f>
        <v>0</v>
      </c>
      <c r="Z370" s="19">
        <f ca="1">IF(RAND()&lt;P_Zero,0,IF(RAND()&lt;CondReturn,_xlfn.LOGNORM.INV(RAND(),MV2,Sigma1),IF(RAND()&lt;CondGood,_xlfn.LOGNORM.INV(RAND(),MV3,Sigma2),MIN(MaxMultiple,Xm/(1-RAND())^(1/Alpha)))))</f>
        <v>49.591484572628765</v>
      </c>
      <c r="AA370" s="19">
        <f ca="1">IF(RAND()&lt;P_Zero,0,IF(RAND()&lt;CondReturn,_xlfn.LOGNORM.INV(RAND(),MV2,Sigma1),IF(RAND()&lt;CondGood,_xlfn.LOGNORM.INV(RAND(),MV3,Sigma2),MIN(MaxMultiple,Xm/(1-RAND())^(1/Alpha)))))</f>
        <v>0.65310085417619268</v>
      </c>
      <c r="AB370" s="19">
        <f t="shared" ca="1" si="40"/>
        <v>5.4743691920602178</v>
      </c>
      <c r="AC370" s="14">
        <f t="shared" ca="1" si="41"/>
        <v>262769721.21889046</v>
      </c>
      <c r="AD370" s="14">
        <f t="shared" ca="1" si="42"/>
        <v>214769721.21889046</v>
      </c>
      <c r="AE370" s="14">
        <f t="shared" si="43"/>
        <v>55628399.869093813</v>
      </c>
      <c r="AF370" s="14">
        <f t="shared" ca="1" si="44"/>
        <v>159141321.34979665</v>
      </c>
      <c r="AG370" s="14">
        <f t="shared" ca="1" si="45"/>
        <v>31828264.269959331</v>
      </c>
      <c r="AH370" s="14">
        <f t="shared" ca="1" si="46"/>
        <v>230941456.94893113</v>
      </c>
      <c r="AI370" s="19">
        <f t="shared" ca="1" si="47"/>
        <v>3.8490242824821856</v>
      </c>
    </row>
    <row r="371" spans="2:35" x14ac:dyDescent="0.2">
      <c r="B371" s="1">
        <v>366</v>
      </c>
      <c r="C371" s="19">
        <f ca="1">IF(RAND()&lt;P_Zero,0,IF(RAND()&lt;CondReturn,_xlfn.LOGNORM.INV(RAND(),MV2,Sigma1),IF(RAND()&lt;CondGood,_xlfn.LOGNORM.INV(RAND(),MV3,Sigma2),MIN(MaxMultiple,Xm/(1-RAND())^(1/Alpha)))))</f>
        <v>0</v>
      </c>
      <c r="D371" s="19">
        <f ca="1">IF(RAND()&lt;P_Zero,0,IF(RAND()&lt;CondReturn,_xlfn.LOGNORM.INV(RAND(),MV2,Sigma1),IF(RAND()&lt;CondGood,_xlfn.LOGNORM.INV(RAND(),MV3,Sigma2),MIN(MaxMultiple,Xm/(1-RAND())^(1/Alpha)))))</f>
        <v>0.93852601676414127</v>
      </c>
      <c r="E371" s="19">
        <f ca="1">IF(RAND()&lt;P_Zero,0,IF(RAND()&lt;CondReturn,_xlfn.LOGNORM.INV(RAND(),MV2,Sigma1),IF(RAND()&lt;CondGood,_xlfn.LOGNORM.INV(RAND(),MV3,Sigma2),MIN(MaxMultiple,Xm/(1-RAND())^(1/Alpha)))))</f>
        <v>0</v>
      </c>
      <c r="F371" s="19">
        <f ca="1">IF(RAND()&lt;P_Zero,0,IF(RAND()&lt;CondReturn,_xlfn.LOGNORM.INV(RAND(),MV2,Sigma1),IF(RAND()&lt;CondGood,_xlfn.LOGNORM.INV(RAND(),MV3,Sigma2),MIN(MaxMultiple,Xm/(1-RAND())^(1/Alpha)))))</f>
        <v>0</v>
      </c>
      <c r="G371" s="19">
        <f ca="1">IF(RAND()&lt;P_Zero,0,IF(RAND()&lt;CondReturn,_xlfn.LOGNORM.INV(RAND(),MV2,Sigma1),IF(RAND()&lt;CondGood,_xlfn.LOGNORM.INV(RAND(),MV3,Sigma2),MIN(MaxMultiple,Xm/(1-RAND())^(1/Alpha)))))</f>
        <v>0.99335685610488655</v>
      </c>
      <c r="H371" s="19">
        <f ca="1">IF(RAND()&lt;P_Zero,0,IF(RAND()&lt;CondReturn,_xlfn.LOGNORM.INV(RAND(),MV2,Sigma1),IF(RAND()&lt;CondGood,_xlfn.LOGNORM.INV(RAND(),MV3,Sigma2),MIN(MaxMultiple,Xm/(1-RAND())^(1/Alpha)))))</f>
        <v>2.2191415418478093</v>
      </c>
      <c r="I371" s="19">
        <f ca="1">IF(RAND()&lt;P_Zero,0,IF(RAND()&lt;CondReturn,_xlfn.LOGNORM.INV(RAND(),MV2,Sigma1),IF(RAND()&lt;CondGood,_xlfn.LOGNORM.INV(RAND(),MV3,Sigma2),MIN(MaxMultiple,Xm/(1-RAND())^(1/Alpha)))))</f>
        <v>0</v>
      </c>
      <c r="J371" s="19">
        <f ca="1">IF(RAND()&lt;P_Zero,0,IF(RAND()&lt;CondReturn,_xlfn.LOGNORM.INV(RAND(),MV2,Sigma1),IF(RAND()&lt;CondGood,_xlfn.LOGNORM.INV(RAND(),MV3,Sigma2),MIN(MaxMultiple,Xm/(1-RAND())^(1/Alpha)))))</f>
        <v>0</v>
      </c>
      <c r="K371" s="19">
        <f ca="1">IF(RAND()&lt;P_Zero,0,IF(RAND()&lt;CondReturn,_xlfn.LOGNORM.INV(RAND(),MV2,Sigma1),IF(RAND()&lt;CondGood,_xlfn.LOGNORM.INV(RAND(),MV3,Sigma2),MIN(MaxMultiple,Xm/(1-RAND())^(1/Alpha)))))</f>
        <v>1.1182810953491542</v>
      </c>
      <c r="L371" s="19">
        <f ca="1">IF(RAND()&lt;P_Zero,0,IF(RAND()&lt;CondReturn,_xlfn.LOGNORM.INV(RAND(),MV2,Sigma1),IF(RAND()&lt;CondGood,_xlfn.LOGNORM.INV(RAND(),MV3,Sigma2),MIN(MaxMultiple,Xm/(1-RAND())^(1/Alpha)))))</f>
        <v>0</v>
      </c>
      <c r="M371" s="19">
        <f ca="1">IF(RAND()&lt;P_Zero,0,IF(RAND()&lt;CondReturn,_xlfn.LOGNORM.INV(RAND(),MV2,Sigma1),IF(RAND()&lt;CondGood,_xlfn.LOGNORM.INV(RAND(),MV3,Sigma2),MIN(MaxMultiple,Xm/(1-RAND())^(1/Alpha)))))</f>
        <v>0.99623984964920442</v>
      </c>
      <c r="N371" s="19">
        <f ca="1">IF(RAND()&lt;P_Zero,0,IF(RAND()&lt;CondReturn,_xlfn.LOGNORM.INV(RAND(),MV2,Sigma1),IF(RAND()&lt;CondGood,_xlfn.LOGNORM.INV(RAND(),MV3,Sigma2),MIN(MaxMultiple,Xm/(1-RAND())^(1/Alpha)))))</f>
        <v>0.6689756606397117</v>
      </c>
      <c r="O371" s="19">
        <f ca="1">IF(RAND()&lt;P_Zero,0,IF(RAND()&lt;CondReturn,_xlfn.LOGNORM.INV(RAND(),MV2,Sigma1),IF(RAND()&lt;CondGood,_xlfn.LOGNORM.INV(RAND(),MV3,Sigma2),MIN(MaxMultiple,Xm/(1-RAND())^(1/Alpha)))))</f>
        <v>2.5770348300107146</v>
      </c>
      <c r="P371" s="19">
        <f ca="1">IF(RAND()&lt;P_Zero,0,IF(RAND()&lt;CondReturn,_xlfn.LOGNORM.INV(RAND(),MV2,Sigma1),IF(RAND()&lt;CondGood,_xlfn.LOGNORM.INV(RAND(),MV3,Sigma2),MIN(MaxMultiple,Xm/(1-RAND())^(1/Alpha)))))</f>
        <v>0.65462841392187932</v>
      </c>
      <c r="Q371" s="19">
        <f ca="1">IF(RAND()&lt;P_Zero,0,IF(RAND()&lt;CondReturn,_xlfn.LOGNORM.INV(RAND(),MV2,Sigma1),IF(RAND()&lt;CondGood,_xlfn.LOGNORM.INV(RAND(),MV3,Sigma2),MIN(MaxMultiple,Xm/(1-RAND())^(1/Alpha)))))</f>
        <v>0</v>
      </c>
      <c r="R371" s="19">
        <f ca="1">IF(RAND()&lt;P_Zero,0,IF(RAND()&lt;CondReturn,_xlfn.LOGNORM.INV(RAND(),MV2,Sigma1),IF(RAND()&lt;CondGood,_xlfn.LOGNORM.INV(RAND(),MV3,Sigma2),MIN(MaxMultiple,Xm/(1-RAND())^(1/Alpha)))))</f>
        <v>0</v>
      </c>
      <c r="S371" s="19">
        <f ca="1">IF(RAND()&lt;P_Zero,0,IF(RAND()&lt;CondReturn,_xlfn.LOGNORM.INV(RAND(),MV2,Sigma1),IF(RAND()&lt;CondGood,_xlfn.LOGNORM.INV(RAND(),MV3,Sigma2),MIN(MaxMultiple,Xm/(1-RAND())^(1/Alpha)))))</f>
        <v>0.75407212329378603</v>
      </c>
      <c r="T371" s="19">
        <f ca="1">IF(RAND()&lt;P_Zero,0,IF(RAND()&lt;CondReturn,_xlfn.LOGNORM.INV(RAND(),MV2,Sigma1),IF(RAND()&lt;CondGood,_xlfn.LOGNORM.INV(RAND(),MV3,Sigma2),MIN(MaxMultiple,Xm/(1-RAND())^(1/Alpha)))))</f>
        <v>0</v>
      </c>
      <c r="U371" s="19">
        <f ca="1">IF(RAND()&lt;P_Zero,0,IF(RAND()&lt;CondReturn,_xlfn.LOGNORM.INV(RAND(),MV2,Sigma1),IF(RAND()&lt;CondGood,_xlfn.LOGNORM.INV(RAND(),MV3,Sigma2),MIN(MaxMultiple,Xm/(1-RAND())^(1/Alpha)))))</f>
        <v>0</v>
      </c>
      <c r="V371" s="19">
        <f ca="1">IF(RAND()&lt;P_Zero,0,IF(RAND()&lt;CondReturn,_xlfn.LOGNORM.INV(RAND(),MV2,Sigma1),IF(RAND()&lt;CondGood,_xlfn.LOGNORM.INV(RAND(),MV3,Sigma2),MIN(MaxMultiple,Xm/(1-RAND())^(1/Alpha)))))</f>
        <v>0</v>
      </c>
      <c r="W371" s="19">
        <f ca="1">IF(RAND()&lt;P_Zero,0,IF(RAND()&lt;CondReturn,_xlfn.LOGNORM.INV(RAND(),MV2,Sigma1),IF(RAND()&lt;CondGood,_xlfn.LOGNORM.INV(RAND(),MV3,Sigma2),MIN(MaxMultiple,Xm/(1-RAND())^(1/Alpha)))))</f>
        <v>0.5744644692720422</v>
      </c>
      <c r="X371" s="19">
        <f ca="1">IF(RAND()&lt;P_Zero,0,IF(RAND()&lt;CondReturn,_xlfn.LOGNORM.INV(RAND(),MV2,Sigma1),IF(RAND()&lt;CondGood,_xlfn.LOGNORM.INV(RAND(),MV3,Sigma2),MIN(MaxMultiple,Xm/(1-RAND())^(1/Alpha)))))</f>
        <v>14.849403700752273</v>
      </c>
      <c r="Y371" s="19">
        <f ca="1">IF(RAND()&lt;P_Zero,0,IF(RAND()&lt;CondReturn,_xlfn.LOGNORM.INV(RAND(),MV2,Sigma1),IF(RAND()&lt;CondGood,_xlfn.LOGNORM.INV(RAND(),MV3,Sigma2),MIN(MaxMultiple,Xm/(1-RAND())^(1/Alpha)))))</f>
        <v>0.81688959259671645</v>
      </c>
      <c r="Z371" s="19">
        <f ca="1">IF(RAND()&lt;P_Zero,0,IF(RAND()&lt;CondReturn,_xlfn.LOGNORM.INV(RAND(),MV2,Sigma1),IF(RAND()&lt;CondGood,_xlfn.LOGNORM.INV(RAND(),MV3,Sigma2),MIN(MaxMultiple,Xm/(1-RAND())^(1/Alpha)))))</f>
        <v>0.82130012099781591</v>
      </c>
      <c r="AA371" s="19">
        <f ca="1">IF(RAND()&lt;P_Zero,0,IF(RAND()&lt;CondReturn,_xlfn.LOGNORM.INV(RAND(),MV2,Sigma1),IF(RAND()&lt;CondGood,_xlfn.LOGNORM.INV(RAND(),MV3,Sigma2),MIN(MaxMultiple,Xm/(1-RAND())^(1/Alpha)))))</f>
        <v>0</v>
      </c>
      <c r="AB371" s="19">
        <f t="shared" ca="1" si="40"/>
        <v>1.1192925708480055</v>
      </c>
      <c r="AC371" s="14">
        <f t="shared" ca="1" si="41"/>
        <v>53726043.400704265</v>
      </c>
      <c r="AD371" s="14">
        <f t="shared" ca="1" si="42"/>
        <v>5726043.4007042646</v>
      </c>
      <c r="AE371" s="14">
        <f t="shared" si="43"/>
        <v>55628399.869093813</v>
      </c>
      <c r="AF371" s="14">
        <f t="shared" ca="1" si="44"/>
        <v>0</v>
      </c>
      <c r="AG371" s="14">
        <f t="shared" ca="1" si="45"/>
        <v>0</v>
      </c>
      <c r="AH371" s="14">
        <f t="shared" ca="1" si="46"/>
        <v>53726043.400704265</v>
      </c>
      <c r="AI371" s="19">
        <f t="shared" ca="1" si="47"/>
        <v>0.89543405667840437</v>
      </c>
    </row>
    <row r="372" spans="2:35" x14ac:dyDescent="0.2">
      <c r="B372" s="1">
        <v>367</v>
      </c>
      <c r="C372" s="19">
        <f ca="1">IF(RAND()&lt;P_Zero,0,IF(RAND()&lt;CondReturn,_xlfn.LOGNORM.INV(RAND(),MV2,Sigma1),IF(RAND()&lt;CondGood,_xlfn.LOGNORM.INV(RAND(),MV3,Sigma2),MIN(MaxMultiple,Xm/(1-RAND())^(1/Alpha)))))</f>
        <v>0.40993210941941699</v>
      </c>
      <c r="D372" s="19">
        <f ca="1">IF(RAND()&lt;P_Zero,0,IF(RAND()&lt;CondReturn,_xlfn.LOGNORM.INV(RAND(),MV2,Sigma1),IF(RAND()&lt;CondGood,_xlfn.LOGNORM.INV(RAND(),MV3,Sigma2),MIN(MaxMultiple,Xm/(1-RAND())^(1/Alpha)))))</f>
        <v>0</v>
      </c>
      <c r="E372" s="19">
        <f ca="1">IF(RAND()&lt;P_Zero,0,IF(RAND()&lt;CondReturn,_xlfn.LOGNORM.INV(RAND(),MV2,Sigma1),IF(RAND()&lt;CondGood,_xlfn.LOGNORM.INV(RAND(),MV3,Sigma2),MIN(MaxMultiple,Xm/(1-RAND())^(1/Alpha)))))</f>
        <v>0</v>
      </c>
      <c r="F372" s="19">
        <f ca="1">IF(RAND()&lt;P_Zero,0,IF(RAND()&lt;CondReturn,_xlfn.LOGNORM.INV(RAND(),MV2,Sigma1),IF(RAND()&lt;CondGood,_xlfn.LOGNORM.INV(RAND(),MV3,Sigma2),MIN(MaxMultiple,Xm/(1-RAND())^(1/Alpha)))))</f>
        <v>22.687046348186652</v>
      </c>
      <c r="G372" s="19">
        <f ca="1">IF(RAND()&lt;P_Zero,0,IF(RAND()&lt;CondReturn,_xlfn.LOGNORM.INV(RAND(),MV2,Sigma1),IF(RAND()&lt;CondGood,_xlfn.LOGNORM.INV(RAND(),MV3,Sigma2),MIN(MaxMultiple,Xm/(1-RAND())^(1/Alpha)))))</f>
        <v>1.2984758277378903</v>
      </c>
      <c r="H372" s="19">
        <f ca="1">IF(RAND()&lt;P_Zero,0,IF(RAND()&lt;CondReturn,_xlfn.LOGNORM.INV(RAND(),MV2,Sigma1),IF(RAND()&lt;CondGood,_xlfn.LOGNORM.INV(RAND(),MV3,Sigma2),MIN(MaxMultiple,Xm/(1-RAND())^(1/Alpha)))))</f>
        <v>0</v>
      </c>
      <c r="I372" s="19">
        <f ca="1">IF(RAND()&lt;P_Zero,0,IF(RAND()&lt;CondReturn,_xlfn.LOGNORM.INV(RAND(),MV2,Sigma1),IF(RAND()&lt;CondGood,_xlfn.LOGNORM.INV(RAND(),MV3,Sigma2),MIN(MaxMultiple,Xm/(1-RAND())^(1/Alpha)))))</f>
        <v>0</v>
      </c>
      <c r="J372" s="19">
        <f ca="1">IF(RAND()&lt;P_Zero,0,IF(RAND()&lt;CondReturn,_xlfn.LOGNORM.INV(RAND(),MV2,Sigma1),IF(RAND()&lt;CondGood,_xlfn.LOGNORM.INV(RAND(),MV3,Sigma2),MIN(MaxMultiple,Xm/(1-RAND())^(1/Alpha)))))</f>
        <v>1.6513663830251368</v>
      </c>
      <c r="K372" s="19">
        <f ca="1">IF(RAND()&lt;P_Zero,0,IF(RAND()&lt;CondReturn,_xlfn.LOGNORM.INV(RAND(),MV2,Sigma1),IF(RAND()&lt;CondGood,_xlfn.LOGNORM.INV(RAND(),MV3,Sigma2),MIN(MaxMultiple,Xm/(1-RAND())^(1/Alpha)))))</f>
        <v>1.0077398615554951</v>
      </c>
      <c r="L372" s="19">
        <f ca="1">IF(RAND()&lt;P_Zero,0,IF(RAND()&lt;CondReturn,_xlfn.LOGNORM.INV(RAND(),MV2,Sigma1),IF(RAND()&lt;CondGood,_xlfn.LOGNORM.INV(RAND(),MV3,Sigma2),MIN(MaxMultiple,Xm/(1-RAND())^(1/Alpha)))))</f>
        <v>0.72716689263788292</v>
      </c>
      <c r="M372" s="19">
        <f ca="1">IF(RAND()&lt;P_Zero,0,IF(RAND()&lt;CondReturn,_xlfn.LOGNORM.INV(RAND(),MV2,Sigma1),IF(RAND()&lt;CondGood,_xlfn.LOGNORM.INV(RAND(),MV3,Sigma2),MIN(MaxMultiple,Xm/(1-RAND())^(1/Alpha)))))</f>
        <v>1.7060276175674274</v>
      </c>
      <c r="N372" s="19">
        <f ca="1">IF(RAND()&lt;P_Zero,0,IF(RAND()&lt;CondReturn,_xlfn.LOGNORM.INV(RAND(),MV2,Sigma1),IF(RAND()&lt;CondGood,_xlfn.LOGNORM.INV(RAND(),MV3,Sigma2),MIN(MaxMultiple,Xm/(1-RAND())^(1/Alpha)))))</f>
        <v>0</v>
      </c>
      <c r="O372" s="19">
        <f ca="1">IF(RAND()&lt;P_Zero,0,IF(RAND()&lt;CondReturn,_xlfn.LOGNORM.INV(RAND(),MV2,Sigma1),IF(RAND()&lt;CondGood,_xlfn.LOGNORM.INV(RAND(),MV3,Sigma2),MIN(MaxMultiple,Xm/(1-RAND())^(1/Alpha)))))</f>
        <v>1.3651844284509969</v>
      </c>
      <c r="P372" s="19">
        <f ca="1">IF(RAND()&lt;P_Zero,0,IF(RAND()&lt;CondReturn,_xlfn.LOGNORM.INV(RAND(),MV2,Sigma1),IF(RAND()&lt;CondGood,_xlfn.LOGNORM.INV(RAND(),MV3,Sigma2),MIN(MaxMultiple,Xm/(1-RAND())^(1/Alpha)))))</f>
        <v>0</v>
      </c>
      <c r="Q372" s="19">
        <f ca="1">IF(RAND()&lt;P_Zero,0,IF(RAND()&lt;CondReturn,_xlfn.LOGNORM.INV(RAND(),MV2,Sigma1),IF(RAND()&lt;CondGood,_xlfn.LOGNORM.INV(RAND(),MV3,Sigma2),MIN(MaxMultiple,Xm/(1-RAND())^(1/Alpha)))))</f>
        <v>0</v>
      </c>
      <c r="R372" s="19">
        <f ca="1">IF(RAND()&lt;P_Zero,0,IF(RAND()&lt;CondReturn,_xlfn.LOGNORM.INV(RAND(),MV2,Sigma1),IF(RAND()&lt;CondGood,_xlfn.LOGNORM.INV(RAND(),MV3,Sigma2),MIN(MaxMultiple,Xm/(1-RAND())^(1/Alpha)))))</f>
        <v>1.1219134388950351</v>
      </c>
      <c r="S372" s="19">
        <f ca="1">IF(RAND()&lt;P_Zero,0,IF(RAND()&lt;CondReturn,_xlfn.LOGNORM.INV(RAND(),MV2,Sigma1),IF(RAND()&lt;CondGood,_xlfn.LOGNORM.INV(RAND(),MV3,Sigma2),MIN(MaxMultiple,Xm/(1-RAND())^(1/Alpha)))))</f>
        <v>0</v>
      </c>
      <c r="T372" s="19">
        <f ca="1">IF(RAND()&lt;P_Zero,0,IF(RAND()&lt;CondReturn,_xlfn.LOGNORM.INV(RAND(),MV2,Sigma1),IF(RAND()&lt;CondGood,_xlfn.LOGNORM.INV(RAND(),MV3,Sigma2),MIN(MaxMultiple,Xm/(1-RAND())^(1/Alpha)))))</f>
        <v>0.7940871479679753</v>
      </c>
      <c r="U372" s="19">
        <f ca="1">IF(RAND()&lt;P_Zero,0,IF(RAND()&lt;CondReturn,_xlfn.LOGNORM.INV(RAND(),MV2,Sigma1),IF(RAND()&lt;CondGood,_xlfn.LOGNORM.INV(RAND(),MV3,Sigma2),MIN(MaxMultiple,Xm/(1-RAND())^(1/Alpha)))))</f>
        <v>0.55766152459826257</v>
      </c>
      <c r="V372" s="19">
        <f ca="1">IF(RAND()&lt;P_Zero,0,IF(RAND()&lt;CondReturn,_xlfn.LOGNORM.INV(RAND(),MV2,Sigma1),IF(RAND()&lt;CondGood,_xlfn.LOGNORM.INV(RAND(),MV3,Sigma2),MIN(MaxMultiple,Xm/(1-RAND())^(1/Alpha)))))</f>
        <v>0</v>
      </c>
      <c r="W372" s="19">
        <f ca="1">IF(RAND()&lt;P_Zero,0,IF(RAND()&lt;CondReturn,_xlfn.LOGNORM.INV(RAND(),MV2,Sigma1),IF(RAND()&lt;CondGood,_xlfn.LOGNORM.INV(RAND(),MV3,Sigma2),MIN(MaxMultiple,Xm/(1-RAND())^(1/Alpha)))))</f>
        <v>0.54000858819087771</v>
      </c>
      <c r="X372" s="19">
        <f ca="1">IF(RAND()&lt;P_Zero,0,IF(RAND()&lt;CondReturn,_xlfn.LOGNORM.INV(RAND(),MV2,Sigma1),IF(RAND()&lt;CondGood,_xlfn.LOGNORM.INV(RAND(),MV3,Sigma2),MIN(MaxMultiple,Xm/(1-RAND())^(1/Alpha)))))</f>
        <v>0</v>
      </c>
      <c r="Y372" s="19">
        <f ca="1">IF(RAND()&lt;P_Zero,0,IF(RAND()&lt;CondReturn,_xlfn.LOGNORM.INV(RAND(),MV2,Sigma1),IF(RAND()&lt;CondGood,_xlfn.LOGNORM.INV(RAND(),MV3,Sigma2),MIN(MaxMultiple,Xm/(1-RAND())^(1/Alpha)))))</f>
        <v>1.3788742530432021</v>
      </c>
      <c r="Z372" s="19">
        <f ca="1">IF(RAND()&lt;P_Zero,0,IF(RAND()&lt;CondReturn,_xlfn.LOGNORM.INV(RAND(),MV2,Sigma1),IF(RAND()&lt;CondGood,_xlfn.LOGNORM.INV(RAND(),MV3,Sigma2),MIN(MaxMultiple,Xm/(1-RAND())^(1/Alpha)))))</f>
        <v>0.62937222238730639</v>
      </c>
      <c r="AA372" s="19">
        <f ca="1">IF(RAND()&lt;P_Zero,0,IF(RAND()&lt;CondReturn,_xlfn.LOGNORM.INV(RAND(),MV2,Sigma1),IF(RAND()&lt;CondGood,_xlfn.LOGNORM.INV(RAND(),MV3,Sigma2),MIN(MaxMultiple,Xm/(1-RAND())^(1/Alpha)))))</f>
        <v>0.48069250691378101</v>
      </c>
      <c r="AB372" s="19">
        <f t="shared" ca="1" si="40"/>
        <v>1.4542219660230935</v>
      </c>
      <c r="AC372" s="14">
        <f t="shared" ca="1" si="41"/>
        <v>69802654.369108483</v>
      </c>
      <c r="AD372" s="14">
        <f t="shared" ca="1" si="42"/>
        <v>21802654.369108483</v>
      </c>
      <c r="AE372" s="14">
        <f t="shared" si="43"/>
        <v>55628399.869093813</v>
      </c>
      <c r="AF372" s="14">
        <f t="shared" ca="1" si="44"/>
        <v>0</v>
      </c>
      <c r="AG372" s="14">
        <f t="shared" ca="1" si="45"/>
        <v>0</v>
      </c>
      <c r="AH372" s="14">
        <f t="shared" ca="1" si="46"/>
        <v>69802654.369108483</v>
      </c>
      <c r="AI372" s="19">
        <f t="shared" ca="1" si="47"/>
        <v>1.1633775728184748</v>
      </c>
    </row>
    <row r="373" spans="2:35" x14ac:dyDescent="0.2">
      <c r="B373" s="1">
        <v>368</v>
      </c>
      <c r="C373" s="19">
        <f ca="1">IF(RAND()&lt;P_Zero,0,IF(RAND()&lt;CondReturn,_xlfn.LOGNORM.INV(RAND(),MV2,Sigma1),IF(RAND()&lt;CondGood,_xlfn.LOGNORM.INV(RAND(),MV3,Sigma2),MIN(MaxMultiple,Xm/(1-RAND())^(1/Alpha)))))</f>
        <v>1.5423996134946483</v>
      </c>
      <c r="D373" s="19">
        <f ca="1">IF(RAND()&lt;P_Zero,0,IF(RAND()&lt;CondReturn,_xlfn.LOGNORM.INV(RAND(),MV2,Sigma1),IF(RAND()&lt;CondGood,_xlfn.LOGNORM.INV(RAND(),MV3,Sigma2),MIN(MaxMultiple,Xm/(1-RAND())^(1/Alpha)))))</f>
        <v>0.73256939185811776</v>
      </c>
      <c r="E373" s="19">
        <f ca="1">IF(RAND()&lt;P_Zero,0,IF(RAND()&lt;CondReturn,_xlfn.LOGNORM.INV(RAND(),MV2,Sigma1),IF(RAND()&lt;CondGood,_xlfn.LOGNORM.INV(RAND(),MV3,Sigma2),MIN(MaxMultiple,Xm/(1-RAND())^(1/Alpha)))))</f>
        <v>0</v>
      </c>
      <c r="F373" s="19">
        <f ca="1">IF(RAND()&lt;P_Zero,0,IF(RAND()&lt;CondReturn,_xlfn.LOGNORM.INV(RAND(),MV2,Sigma1),IF(RAND()&lt;CondGood,_xlfn.LOGNORM.INV(RAND(),MV3,Sigma2),MIN(MaxMultiple,Xm/(1-RAND())^(1/Alpha)))))</f>
        <v>0.50078678541338129</v>
      </c>
      <c r="G373" s="19">
        <f ca="1">IF(RAND()&lt;P_Zero,0,IF(RAND()&lt;CondReturn,_xlfn.LOGNORM.INV(RAND(),MV2,Sigma1),IF(RAND()&lt;CondGood,_xlfn.LOGNORM.INV(RAND(),MV3,Sigma2),MIN(MaxMultiple,Xm/(1-RAND())^(1/Alpha)))))</f>
        <v>1.2695094439682517</v>
      </c>
      <c r="H373" s="19">
        <f ca="1">IF(RAND()&lt;P_Zero,0,IF(RAND()&lt;CondReturn,_xlfn.LOGNORM.INV(RAND(),MV2,Sigma1),IF(RAND()&lt;CondGood,_xlfn.LOGNORM.INV(RAND(),MV3,Sigma2),MIN(MaxMultiple,Xm/(1-RAND())^(1/Alpha)))))</f>
        <v>0.76699225816006933</v>
      </c>
      <c r="I373" s="19">
        <f ca="1">IF(RAND()&lt;P_Zero,0,IF(RAND()&lt;CondReturn,_xlfn.LOGNORM.INV(RAND(),MV2,Sigma1),IF(RAND()&lt;CondGood,_xlfn.LOGNORM.INV(RAND(),MV3,Sigma2),MIN(MaxMultiple,Xm/(1-RAND())^(1/Alpha)))))</f>
        <v>1.6458998130870051</v>
      </c>
      <c r="J373" s="19">
        <f ca="1">IF(RAND()&lt;P_Zero,0,IF(RAND()&lt;CondReturn,_xlfn.LOGNORM.INV(RAND(),MV2,Sigma1),IF(RAND()&lt;CondGood,_xlfn.LOGNORM.INV(RAND(),MV3,Sigma2),MIN(MaxMultiple,Xm/(1-RAND())^(1/Alpha)))))</f>
        <v>0.85971923627040636</v>
      </c>
      <c r="K373" s="19">
        <f ca="1">IF(RAND()&lt;P_Zero,0,IF(RAND()&lt;CondReturn,_xlfn.LOGNORM.INV(RAND(),MV2,Sigma1),IF(RAND()&lt;CondGood,_xlfn.LOGNORM.INV(RAND(),MV3,Sigma2),MIN(MaxMultiple,Xm/(1-RAND())^(1/Alpha)))))</f>
        <v>15.366094552045833</v>
      </c>
      <c r="L373" s="19">
        <f ca="1">IF(RAND()&lt;P_Zero,0,IF(RAND()&lt;CondReturn,_xlfn.LOGNORM.INV(RAND(),MV2,Sigma1),IF(RAND()&lt;CondGood,_xlfn.LOGNORM.INV(RAND(),MV3,Sigma2),MIN(MaxMultiple,Xm/(1-RAND())^(1/Alpha)))))</f>
        <v>1.3859220337795144</v>
      </c>
      <c r="M373" s="19">
        <f ca="1">IF(RAND()&lt;P_Zero,0,IF(RAND()&lt;CondReturn,_xlfn.LOGNORM.INV(RAND(),MV2,Sigma1),IF(RAND()&lt;CondGood,_xlfn.LOGNORM.INV(RAND(),MV3,Sigma2),MIN(MaxMultiple,Xm/(1-RAND())^(1/Alpha)))))</f>
        <v>0</v>
      </c>
      <c r="N373" s="19">
        <f ca="1">IF(RAND()&lt;P_Zero,0,IF(RAND()&lt;CondReturn,_xlfn.LOGNORM.INV(RAND(),MV2,Sigma1),IF(RAND()&lt;CondGood,_xlfn.LOGNORM.INV(RAND(),MV3,Sigma2),MIN(MaxMultiple,Xm/(1-RAND())^(1/Alpha)))))</f>
        <v>0.92637288862270406</v>
      </c>
      <c r="O373" s="19">
        <f ca="1">IF(RAND()&lt;P_Zero,0,IF(RAND()&lt;CondReturn,_xlfn.LOGNORM.INV(RAND(),MV2,Sigma1),IF(RAND()&lt;CondGood,_xlfn.LOGNORM.INV(RAND(),MV3,Sigma2),MIN(MaxMultiple,Xm/(1-RAND())^(1/Alpha)))))</f>
        <v>0</v>
      </c>
      <c r="P373" s="19">
        <f ca="1">IF(RAND()&lt;P_Zero,0,IF(RAND()&lt;CondReturn,_xlfn.LOGNORM.INV(RAND(),MV2,Sigma1),IF(RAND()&lt;CondGood,_xlfn.LOGNORM.INV(RAND(),MV3,Sigma2),MIN(MaxMultiple,Xm/(1-RAND())^(1/Alpha)))))</f>
        <v>1.9864290229442028</v>
      </c>
      <c r="Q373" s="19">
        <f ca="1">IF(RAND()&lt;P_Zero,0,IF(RAND()&lt;CondReturn,_xlfn.LOGNORM.INV(RAND(),MV2,Sigma1),IF(RAND()&lt;CondGood,_xlfn.LOGNORM.INV(RAND(),MV3,Sigma2),MIN(MaxMultiple,Xm/(1-RAND())^(1/Alpha)))))</f>
        <v>0</v>
      </c>
      <c r="R373" s="19">
        <f ca="1">IF(RAND()&lt;P_Zero,0,IF(RAND()&lt;CondReturn,_xlfn.LOGNORM.INV(RAND(),MV2,Sigma1),IF(RAND()&lt;CondGood,_xlfn.LOGNORM.INV(RAND(),MV3,Sigma2),MIN(MaxMultiple,Xm/(1-RAND())^(1/Alpha)))))</f>
        <v>0</v>
      </c>
      <c r="S373" s="19">
        <f ca="1">IF(RAND()&lt;P_Zero,0,IF(RAND()&lt;CondReturn,_xlfn.LOGNORM.INV(RAND(),MV2,Sigma1),IF(RAND()&lt;CondGood,_xlfn.LOGNORM.INV(RAND(),MV3,Sigma2),MIN(MaxMultiple,Xm/(1-RAND())^(1/Alpha)))))</f>
        <v>2.1489985999418275</v>
      </c>
      <c r="T373" s="19">
        <f ca="1">IF(RAND()&lt;P_Zero,0,IF(RAND()&lt;CondReturn,_xlfn.LOGNORM.INV(RAND(),MV2,Sigma1),IF(RAND()&lt;CondGood,_xlfn.LOGNORM.INV(RAND(),MV3,Sigma2),MIN(MaxMultiple,Xm/(1-RAND())^(1/Alpha)))))</f>
        <v>0</v>
      </c>
      <c r="U373" s="19">
        <f ca="1">IF(RAND()&lt;P_Zero,0,IF(RAND()&lt;CondReturn,_xlfn.LOGNORM.INV(RAND(),MV2,Sigma1),IF(RAND()&lt;CondGood,_xlfn.LOGNORM.INV(RAND(),MV3,Sigma2),MIN(MaxMultiple,Xm/(1-RAND())^(1/Alpha)))))</f>
        <v>2.0111195474821146</v>
      </c>
      <c r="V373" s="19">
        <f ca="1">IF(RAND()&lt;P_Zero,0,IF(RAND()&lt;CondReturn,_xlfn.LOGNORM.INV(RAND(),MV2,Sigma1),IF(RAND()&lt;CondGood,_xlfn.LOGNORM.INV(RAND(),MV3,Sigma2),MIN(MaxMultiple,Xm/(1-RAND())^(1/Alpha)))))</f>
        <v>0</v>
      </c>
      <c r="W373" s="19">
        <f ca="1">IF(RAND()&lt;P_Zero,0,IF(RAND()&lt;CondReturn,_xlfn.LOGNORM.INV(RAND(),MV2,Sigma1),IF(RAND()&lt;CondGood,_xlfn.LOGNORM.INV(RAND(),MV3,Sigma2),MIN(MaxMultiple,Xm/(1-RAND())^(1/Alpha)))))</f>
        <v>0</v>
      </c>
      <c r="X373" s="19">
        <f ca="1">IF(RAND()&lt;P_Zero,0,IF(RAND()&lt;CondReturn,_xlfn.LOGNORM.INV(RAND(),MV2,Sigma1),IF(RAND()&lt;CondGood,_xlfn.LOGNORM.INV(RAND(),MV3,Sigma2),MIN(MaxMultiple,Xm/(1-RAND())^(1/Alpha)))))</f>
        <v>0.53766960530408481</v>
      </c>
      <c r="Y373" s="19">
        <f ca="1">IF(RAND()&lt;P_Zero,0,IF(RAND()&lt;CondReturn,_xlfn.LOGNORM.INV(RAND(),MV2,Sigma1),IF(RAND()&lt;CondGood,_xlfn.LOGNORM.INV(RAND(),MV3,Sigma2),MIN(MaxMultiple,Xm/(1-RAND())^(1/Alpha)))))</f>
        <v>1.2661339635052056</v>
      </c>
      <c r="Z373" s="19">
        <f ca="1">IF(RAND()&lt;P_Zero,0,IF(RAND()&lt;CondReturn,_xlfn.LOGNORM.INV(RAND(),MV2,Sigma1),IF(RAND()&lt;CondGood,_xlfn.LOGNORM.INV(RAND(),MV3,Sigma2),MIN(MaxMultiple,Xm/(1-RAND())^(1/Alpha)))))</f>
        <v>1.6042080473299896</v>
      </c>
      <c r="AA373" s="19">
        <f ca="1">IF(RAND()&lt;P_Zero,0,IF(RAND()&lt;CondReturn,_xlfn.LOGNORM.INV(RAND(),MV2,Sigma1),IF(RAND()&lt;CondGood,_xlfn.LOGNORM.INV(RAND(),MV3,Sigma2),MIN(MaxMultiple,Xm/(1-RAND())^(1/Alpha)))))</f>
        <v>0.69029889718338244</v>
      </c>
      <c r="AB373" s="19">
        <f t="shared" ca="1" si="40"/>
        <v>1.4096449480156295</v>
      </c>
      <c r="AC373" s="14">
        <f t="shared" ca="1" si="41"/>
        <v>67662957.504750207</v>
      </c>
      <c r="AD373" s="14">
        <f t="shared" ca="1" si="42"/>
        <v>19662957.504750207</v>
      </c>
      <c r="AE373" s="14">
        <f t="shared" si="43"/>
        <v>55628399.869093813</v>
      </c>
      <c r="AF373" s="14">
        <f t="shared" ca="1" si="44"/>
        <v>0</v>
      </c>
      <c r="AG373" s="14">
        <f t="shared" ca="1" si="45"/>
        <v>0</v>
      </c>
      <c r="AH373" s="14">
        <f t="shared" ca="1" si="46"/>
        <v>67662957.504750207</v>
      </c>
      <c r="AI373" s="19">
        <f t="shared" ca="1" si="47"/>
        <v>1.1277159584125034</v>
      </c>
    </row>
    <row r="374" spans="2:35" x14ac:dyDescent="0.2">
      <c r="B374" s="1">
        <v>369</v>
      </c>
      <c r="C374" s="19">
        <f ca="1">IF(RAND()&lt;P_Zero,0,IF(RAND()&lt;CondReturn,_xlfn.LOGNORM.INV(RAND(),MV2,Sigma1),IF(RAND()&lt;CondGood,_xlfn.LOGNORM.INV(RAND(),MV3,Sigma2),MIN(MaxMultiple,Xm/(1-RAND())^(1/Alpha)))))</f>
        <v>0</v>
      </c>
      <c r="D374" s="19">
        <f ca="1">IF(RAND()&lt;P_Zero,0,IF(RAND()&lt;CondReturn,_xlfn.LOGNORM.INV(RAND(),MV2,Sigma1),IF(RAND()&lt;CondGood,_xlfn.LOGNORM.INV(RAND(),MV3,Sigma2),MIN(MaxMultiple,Xm/(1-RAND())^(1/Alpha)))))</f>
        <v>0.70088507075018924</v>
      </c>
      <c r="E374" s="19">
        <f ca="1">IF(RAND()&lt;P_Zero,0,IF(RAND()&lt;CondReturn,_xlfn.LOGNORM.INV(RAND(),MV2,Sigma1),IF(RAND()&lt;CondGood,_xlfn.LOGNORM.INV(RAND(),MV3,Sigma2),MIN(MaxMultiple,Xm/(1-RAND())^(1/Alpha)))))</f>
        <v>0</v>
      </c>
      <c r="F374" s="19">
        <f ca="1">IF(RAND()&lt;P_Zero,0,IF(RAND()&lt;CondReturn,_xlfn.LOGNORM.INV(RAND(),MV2,Sigma1),IF(RAND()&lt;CondGood,_xlfn.LOGNORM.INV(RAND(),MV3,Sigma2),MIN(MaxMultiple,Xm/(1-RAND())^(1/Alpha)))))</f>
        <v>0</v>
      </c>
      <c r="G374" s="19">
        <f ca="1">IF(RAND()&lt;P_Zero,0,IF(RAND()&lt;CondReturn,_xlfn.LOGNORM.INV(RAND(),MV2,Sigma1),IF(RAND()&lt;CondGood,_xlfn.LOGNORM.INV(RAND(),MV3,Sigma2),MIN(MaxMultiple,Xm/(1-RAND())^(1/Alpha)))))</f>
        <v>0.79522925692771729</v>
      </c>
      <c r="H374" s="19">
        <f ca="1">IF(RAND()&lt;P_Zero,0,IF(RAND()&lt;CondReturn,_xlfn.LOGNORM.INV(RAND(),MV2,Sigma1),IF(RAND()&lt;CondGood,_xlfn.LOGNORM.INV(RAND(),MV3,Sigma2),MIN(MaxMultiple,Xm/(1-RAND())^(1/Alpha)))))</f>
        <v>0</v>
      </c>
      <c r="I374" s="19">
        <f ca="1">IF(RAND()&lt;P_Zero,0,IF(RAND()&lt;CondReturn,_xlfn.LOGNORM.INV(RAND(),MV2,Sigma1),IF(RAND()&lt;CondGood,_xlfn.LOGNORM.INV(RAND(),MV3,Sigma2),MIN(MaxMultiple,Xm/(1-RAND())^(1/Alpha)))))</f>
        <v>0</v>
      </c>
      <c r="J374" s="19">
        <f ca="1">IF(RAND()&lt;P_Zero,0,IF(RAND()&lt;CondReturn,_xlfn.LOGNORM.INV(RAND(),MV2,Sigma1),IF(RAND()&lt;CondGood,_xlfn.LOGNORM.INV(RAND(),MV3,Sigma2),MIN(MaxMultiple,Xm/(1-RAND())^(1/Alpha)))))</f>
        <v>0</v>
      </c>
      <c r="K374" s="19">
        <f ca="1">IF(RAND()&lt;P_Zero,0,IF(RAND()&lt;CondReturn,_xlfn.LOGNORM.INV(RAND(),MV2,Sigma1),IF(RAND()&lt;CondGood,_xlfn.LOGNORM.INV(RAND(),MV3,Sigma2),MIN(MaxMultiple,Xm/(1-RAND())^(1/Alpha)))))</f>
        <v>0</v>
      </c>
      <c r="L374" s="19">
        <f ca="1">IF(RAND()&lt;P_Zero,0,IF(RAND()&lt;CondReturn,_xlfn.LOGNORM.INV(RAND(),MV2,Sigma1),IF(RAND()&lt;CondGood,_xlfn.LOGNORM.INV(RAND(),MV3,Sigma2),MIN(MaxMultiple,Xm/(1-RAND())^(1/Alpha)))))</f>
        <v>0.92902342036262997</v>
      </c>
      <c r="M374" s="19">
        <f ca="1">IF(RAND()&lt;P_Zero,0,IF(RAND()&lt;CondReturn,_xlfn.LOGNORM.INV(RAND(),MV2,Sigma1),IF(RAND()&lt;CondGood,_xlfn.LOGNORM.INV(RAND(),MV3,Sigma2),MIN(MaxMultiple,Xm/(1-RAND())^(1/Alpha)))))</f>
        <v>0</v>
      </c>
      <c r="N374" s="19">
        <f ca="1">IF(RAND()&lt;P_Zero,0,IF(RAND()&lt;CondReturn,_xlfn.LOGNORM.INV(RAND(),MV2,Sigma1),IF(RAND()&lt;CondGood,_xlfn.LOGNORM.INV(RAND(),MV3,Sigma2),MIN(MaxMultiple,Xm/(1-RAND())^(1/Alpha)))))</f>
        <v>21.148885258240902</v>
      </c>
      <c r="O374" s="19">
        <f ca="1">IF(RAND()&lt;P_Zero,0,IF(RAND()&lt;CondReturn,_xlfn.LOGNORM.INV(RAND(),MV2,Sigma1),IF(RAND()&lt;CondGood,_xlfn.LOGNORM.INV(RAND(),MV3,Sigma2),MIN(MaxMultiple,Xm/(1-RAND())^(1/Alpha)))))</f>
        <v>0.97505876670102243</v>
      </c>
      <c r="P374" s="19">
        <f ca="1">IF(RAND()&lt;P_Zero,0,IF(RAND()&lt;CondReturn,_xlfn.LOGNORM.INV(RAND(),MV2,Sigma1),IF(RAND()&lt;CondGood,_xlfn.LOGNORM.INV(RAND(),MV3,Sigma2),MIN(MaxMultiple,Xm/(1-RAND())^(1/Alpha)))))</f>
        <v>0</v>
      </c>
      <c r="Q374" s="19">
        <f ca="1">IF(RAND()&lt;P_Zero,0,IF(RAND()&lt;CondReturn,_xlfn.LOGNORM.INV(RAND(),MV2,Sigma1),IF(RAND()&lt;CondGood,_xlfn.LOGNORM.INV(RAND(),MV3,Sigma2),MIN(MaxMultiple,Xm/(1-RAND())^(1/Alpha)))))</f>
        <v>1.755358172431047</v>
      </c>
      <c r="R374" s="19">
        <f ca="1">IF(RAND()&lt;P_Zero,0,IF(RAND()&lt;CondReturn,_xlfn.LOGNORM.INV(RAND(),MV2,Sigma1),IF(RAND()&lt;CondGood,_xlfn.LOGNORM.INV(RAND(),MV3,Sigma2),MIN(MaxMultiple,Xm/(1-RAND())^(1/Alpha)))))</f>
        <v>0</v>
      </c>
      <c r="S374" s="19">
        <f ca="1">IF(RAND()&lt;P_Zero,0,IF(RAND()&lt;CondReturn,_xlfn.LOGNORM.INV(RAND(),MV2,Sigma1),IF(RAND()&lt;CondGood,_xlfn.LOGNORM.INV(RAND(),MV3,Sigma2),MIN(MaxMultiple,Xm/(1-RAND())^(1/Alpha)))))</f>
        <v>0.62125636559206732</v>
      </c>
      <c r="T374" s="19">
        <f ca="1">IF(RAND()&lt;P_Zero,0,IF(RAND()&lt;CondReturn,_xlfn.LOGNORM.INV(RAND(),MV2,Sigma1),IF(RAND()&lt;CondGood,_xlfn.LOGNORM.INV(RAND(),MV3,Sigma2),MIN(MaxMultiple,Xm/(1-RAND())^(1/Alpha)))))</f>
        <v>0</v>
      </c>
      <c r="U374" s="19">
        <f ca="1">IF(RAND()&lt;P_Zero,0,IF(RAND()&lt;CondReturn,_xlfn.LOGNORM.INV(RAND(),MV2,Sigma1),IF(RAND()&lt;CondGood,_xlfn.LOGNORM.INV(RAND(),MV3,Sigma2),MIN(MaxMultiple,Xm/(1-RAND())^(1/Alpha)))))</f>
        <v>0</v>
      </c>
      <c r="V374" s="19">
        <f ca="1">IF(RAND()&lt;P_Zero,0,IF(RAND()&lt;CondReturn,_xlfn.LOGNORM.INV(RAND(),MV2,Sigma1),IF(RAND()&lt;CondGood,_xlfn.LOGNORM.INV(RAND(),MV3,Sigma2),MIN(MaxMultiple,Xm/(1-RAND())^(1/Alpha)))))</f>
        <v>0.37761198768124321</v>
      </c>
      <c r="W374" s="19">
        <f ca="1">IF(RAND()&lt;P_Zero,0,IF(RAND()&lt;CondReturn,_xlfn.LOGNORM.INV(RAND(),MV2,Sigma1),IF(RAND()&lt;CondGood,_xlfn.LOGNORM.INV(RAND(),MV3,Sigma2),MIN(MaxMultiple,Xm/(1-RAND())^(1/Alpha)))))</f>
        <v>0.82865896414406148</v>
      </c>
      <c r="X374" s="19">
        <f ca="1">IF(RAND()&lt;P_Zero,0,IF(RAND()&lt;CondReturn,_xlfn.LOGNORM.INV(RAND(),MV2,Sigma1),IF(RAND()&lt;CondGood,_xlfn.LOGNORM.INV(RAND(),MV3,Sigma2),MIN(MaxMultiple,Xm/(1-RAND())^(1/Alpha)))))</f>
        <v>2.427675277162213</v>
      </c>
      <c r="Y374" s="19">
        <f ca="1">IF(RAND()&lt;P_Zero,0,IF(RAND()&lt;CondReturn,_xlfn.LOGNORM.INV(RAND(),MV2,Sigma1),IF(RAND()&lt;CondGood,_xlfn.LOGNORM.INV(RAND(),MV3,Sigma2),MIN(MaxMultiple,Xm/(1-RAND())^(1/Alpha)))))</f>
        <v>1.3609589293694553</v>
      </c>
      <c r="Z374" s="19">
        <f ca="1">IF(RAND()&lt;P_Zero,0,IF(RAND()&lt;CondReturn,_xlfn.LOGNORM.INV(RAND(),MV2,Sigma1),IF(RAND()&lt;CondGood,_xlfn.LOGNORM.INV(RAND(),MV3,Sigma2),MIN(MaxMultiple,Xm/(1-RAND())^(1/Alpha)))))</f>
        <v>2.0610961543523518</v>
      </c>
      <c r="AA374" s="19">
        <f ca="1">IF(RAND()&lt;P_Zero,0,IF(RAND()&lt;CondReturn,_xlfn.LOGNORM.INV(RAND(),MV2,Sigma1),IF(RAND()&lt;CondGood,_xlfn.LOGNORM.INV(RAND(),MV3,Sigma2),MIN(MaxMultiple,Xm/(1-RAND())^(1/Alpha)))))</f>
        <v>2.0244576750900976</v>
      </c>
      <c r="AB374" s="19">
        <f t="shared" ca="1" si="40"/>
        <v>1.4402462119521999</v>
      </c>
      <c r="AC374" s="14">
        <f t="shared" ca="1" si="41"/>
        <v>69131818.173705593</v>
      </c>
      <c r="AD374" s="14">
        <f t="shared" ca="1" si="42"/>
        <v>21131818.173705593</v>
      </c>
      <c r="AE374" s="14">
        <f t="shared" si="43"/>
        <v>55628399.869093813</v>
      </c>
      <c r="AF374" s="14">
        <f t="shared" ca="1" si="44"/>
        <v>0</v>
      </c>
      <c r="AG374" s="14">
        <f t="shared" ca="1" si="45"/>
        <v>0</v>
      </c>
      <c r="AH374" s="14">
        <f t="shared" ca="1" si="46"/>
        <v>69131818.173705593</v>
      </c>
      <c r="AI374" s="19">
        <f t="shared" ca="1" si="47"/>
        <v>1.15219696956176</v>
      </c>
    </row>
    <row r="375" spans="2:35" x14ac:dyDescent="0.2">
      <c r="B375" s="1">
        <v>370</v>
      </c>
      <c r="C375" s="19">
        <f ca="1">IF(RAND()&lt;P_Zero,0,IF(RAND()&lt;CondReturn,_xlfn.LOGNORM.INV(RAND(),MV2,Sigma1),IF(RAND()&lt;CondGood,_xlfn.LOGNORM.INV(RAND(),MV3,Sigma2),MIN(MaxMultiple,Xm/(1-RAND())^(1/Alpha)))))</f>
        <v>1.5830123847836226</v>
      </c>
      <c r="D375" s="19">
        <f ca="1">IF(RAND()&lt;P_Zero,0,IF(RAND()&lt;CondReturn,_xlfn.LOGNORM.INV(RAND(),MV2,Sigma1),IF(RAND()&lt;CondGood,_xlfn.LOGNORM.INV(RAND(),MV3,Sigma2),MIN(MaxMultiple,Xm/(1-RAND())^(1/Alpha)))))</f>
        <v>1.0682002303499691</v>
      </c>
      <c r="E375" s="19">
        <f ca="1">IF(RAND()&lt;P_Zero,0,IF(RAND()&lt;CondReturn,_xlfn.LOGNORM.INV(RAND(),MV2,Sigma1),IF(RAND()&lt;CondGood,_xlfn.LOGNORM.INV(RAND(),MV3,Sigma2),MIN(MaxMultiple,Xm/(1-RAND())^(1/Alpha)))))</f>
        <v>1.0203774202854961</v>
      </c>
      <c r="F375" s="19">
        <f ca="1">IF(RAND()&lt;P_Zero,0,IF(RAND()&lt;CondReturn,_xlfn.LOGNORM.INV(RAND(),MV2,Sigma1),IF(RAND()&lt;CondGood,_xlfn.LOGNORM.INV(RAND(),MV3,Sigma2),MIN(MaxMultiple,Xm/(1-RAND())^(1/Alpha)))))</f>
        <v>0</v>
      </c>
      <c r="G375" s="19">
        <f ca="1">IF(RAND()&lt;P_Zero,0,IF(RAND()&lt;CondReturn,_xlfn.LOGNORM.INV(RAND(),MV2,Sigma1),IF(RAND()&lt;CondGood,_xlfn.LOGNORM.INV(RAND(),MV3,Sigma2),MIN(MaxMultiple,Xm/(1-RAND())^(1/Alpha)))))</f>
        <v>0</v>
      </c>
      <c r="H375" s="19">
        <f ca="1">IF(RAND()&lt;P_Zero,0,IF(RAND()&lt;CondReturn,_xlfn.LOGNORM.INV(RAND(),MV2,Sigma1),IF(RAND()&lt;CondGood,_xlfn.LOGNORM.INV(RAND(),MV3,Sigma2),MIN(MaxMultiple,Xm/(1-RAND())^(1/Alpha)))))</f>
        <v>0</v>
      </c>
      <c r="I375" s="19">
        <f ca="1">IF(RAND()&lt;P_Zero,0,IF(RAND()&lt;CondReturn,_xlfn.LOGNORM.INV(RAND(),MV2,Sigma1),IF(RAND()&lt;CondGood,_xlfn.LOGNORM.INV(RAND(),MV3,Sigma2),MIN(MaxMultiple,Xm/(1-RAND())^(1/Alpha)))))</f>
        <v>0</v>
      </c>
      <c r="J375" s="19">
        <f ca="1">IF(RAND()&lt;P_Zero,0,IF(RAND()&lt;CondReturn,_xlfn.LOGNORM.INV(RAND(),MV2,Sigma1),IF(RAND()&lt;CondGood,_xlfn.LOGNORM.INV(RAND(),MV3,Sigma2),MIN(MaxMultiple,Xm/(1-RAND())^(1/Alpha)))))</f>
        <v>1.2255851657678625</v>
      </c>
      <c r="K375" s="19">
        <f ca="1">IF(RAND()&lt;P_Zero,0,IF(RAND()&lt;CondReturn,_xlfn.LOGNORM.INV(RAND(),MV2,Sigma1),IF(RAND()&lt;CondGood,_xlfn.LOGNORM.INV(RAND(),MV3,Sigma2),MIN(MaxMultiple,Xm/(1-RAND())^(1/Alpha)))))</f>
        <v>0</v>
      </c>
      <c r="L375" s="19">
        <f ca="1">IF(RAND()&lt;P_Zero,0,IF(RAND()&lt;CondReturn,_xlfn.LOGNORM.INV(RAND(),MV2,Sigma1),IF(RAND()&lt;CondGood,_xlfn.LOGNORM.INV(RAND(),MV3,Sigma2),MIN(MaxMultiple,Xm/(1-RAND())^(1/Alpha)))))</f>
        <v>0.89682177078532022</v>
      </c>
      <c r="M375" s="19">
        <f ca="1">IF(RAND()&lt;P_Zero,0,IF(RAND()&lt;CondReturn,_xlfn.LOGNORM.INV(RAND(),MV2,Sigma1),IF(RAND()&lt;CondGood,_xlfn.LOGNORM.INV(RAND(),MV3,Sigma2),MIN(MaxMultiple,Xm/(1-RAND())^(1/Alpha)))))</f>
        <v>0.9211673616228796</v>
      </c>
      <c r="N375" s="19">
        <f ca="1">IF(RAND()&lt;P_Zero,0,IF(RAND()&lt;CondReturn,_xlfn.LOGNORM.INV(RAND(),MV2,Sigma1),IF(RAND()&lt;CondGood,_xlfn.LOGNORM.INV(RAND(),MV3,Sigma2),MIN(MaxMultiple,Xm/(1-RAND())^(1/Alpha)))))</f>
        <v>0</v>
      </c>
      <c r="O375" s="19">
        <f ca="1">IF(RAND()&lt;P_Zero,0,IF(RAND()&lt;CondReturn,_xlfn.LOGNORM.INV(RAND(),MV2,Sigma1),IF(RAND()&lt;CondGood,_xlfn.LOGNORM.INV(RAND(),MV3,Sigma2),MIN(MaxMultiple,Xm/(1-RAND())^(1/Alpha)))))</f>
        <v>0.6460521875288634</v>
      </c>
      <c r="P375" s="19">
        <f ca="1">IF(RAND()&lt;P_Zero,0,IF(RAND()&lt;CondReturn,_xlfn.LOGNORM.INV(RAND(),MV2,Sigma1),IF(RAND()&lt;CondGood,_xlfn.LOGNORM.INV(RAND(),MV3,Sigma2),MIN(MaxMultiple,Xm/(1-RAND())^(1/Alpha)))))</f>
        <v>0</v>
      </c>
      <c r="Q375" s="19">
        <f ca="1">IF(RAND()&lt;P_Zero,0,IF(RAND()&lt;CondReturn,_xlfn.LOGNORM.INV(RAND(),MV2,Sigma1),IF(RAND()&lt;CondGood,_xlfn.LOGNORM.INV(RAND(),MV3,Sigma2),MIN(MaxMultiple,Xm/(1-RAND())^(1/Alpha)))))</f>
        <v>1.6724287679572376</v>
      </c>
      <c r="R375" s="19">
        <f ca="1">IF(RAND()&lt;P_Zero,0,IF(RAND()&lt;CondReturn,_xlfn.LOGNORM.INV(RAND(),MV2,Sigma1),IF(RAND()&lt;CondGood,_xlfn.LOGNORM.INV(RAND(),MV3,Sigma2),MIN(MaxMultiple,Xm/(1-RAND())^(1/Alpha)))))</f>
        <v>0</v>
      </c>
      <c r="S375" s="19">
        <f ca="1">IF(RAND()&lt;P_Zero,0,IF(RAND()&lt;CondReturn,_xlfn.LOGNORM.INV(RAND(),MV2,Sigma1),IF(RAND()&lt;CondGood,_xlfn.LOGNORM.INV(RAND(),MV3,Sigma2),MIN(MaxMultiple,Xm/(1-RAND())^(1/Alpha)))))</f>
        <v>1.9543394767496429</v>
      </c>
      <c r="T375" s="19">
        <f ca="1">IF(RAND()&lt;P_Zero,0,IF(RAND()&lt;CondReturn,_xlfn.LOGNORM.INV(RAND(),MV2,Sigma1),IF(RAND()&lt;CondGood,_xlfn.LOGNORM.INV(RAND(),MV3,Sigma2),MIN(MaxMultiple,Xm/(1-RAND())^(1/Alpha)))))</f>
        <v>0.73483831454498194</v>
      </c>
      <c r="U375" s="19">
        <f ca="1">IF(RAND()&lt;P_Zero,0,IF(RAND()&lt;CondReturn,_xlfn.LOGNORM.INV(RAND(),MV2,Sigma1),IF(RAND()&lt;CondGood,_xlfn.LOGNORM.INV(RAND(),MV3,Sigma2),MIN(MaxMultiple,Xm/(1-RAND())^(1/Alpha)))))</f>
        <v>1.1329395165102445</v>
      </c>
      <c r="V375" s="19">
        <f ca="1">IF(RAND()&lt;P_Zero,0,IF(RAND()&lt;CondReturn,_xlfn.LOGNORM.INV(RAND(),MV2,Sigma1),IF(RAND()&lt;CondGood,_xlfn.LOGNORM.INV(RAND(),MV3,Sigma2),MIN(MaxMultiple,Xm/(1-RAND())^(1/Alpha)))))</f>
        <v>2.4109294927456064</v>
      </c>
      <c r="W375" s="19">
        <f ca="1">IF(RAND()&lt;P_Zero,0,IF(RAND()&lt;CondReturn,_xlfn.LOGNORM.INV(RAND(),MV2,Sigma1),IF(RAND()&lt;CondGood,_xlfn.LOGNORM.INV(RAND(),MV3,Sigma2),MIN(MaxMultiple,Xm/(1-RAND())^(1/Alpha)))))</f>
        <v>0</v>
      </c>
      <c r="X375" s="19">
        <f ca="1">IF(RAND()&lt;P_Zero,0,IF(RAND()&lt;CondReturn,_xlfn.LOGNORM.INV(RAND(),MV2,Sigma1),IF(RAND()&lt;CondGood,_xlfn.LOGNORM.INV(RAND(),MV3,Sigma2),MIN(MaxMultiple,Xm/(1-RAND())^(1/Alpha)))))</f>
        <v>0</v>
      </c>
      <c r="Y375" s="19">
        <f ca="1">IF(RAND()&lt;P_Zero,0,IF(RAND()&lt;CondReturn,_xlfn.LOGNORM.INV(RAND(),MV2,Sigma1),IF(RAND()&lt;CondGood,_xlfn.LOGNORM.INV(RAND(),MV3,Sigma2),MIN(MaxMultiple,Xm/(1-RAND())^(1/Alpha)))))</f>
        <v>0</v>
      </c>
      <c r="Z375" s="19">
        <f ca="1">IF(RAND()&lt;P_Zero,0,IF(RAND()&lt;CondReturn,_xlfn.LOGNORM.INV(RAND(),MV2,Sigma1),IF(RAND()&lt;CondGood,_xlfn.LOGNORM.INV(RAND(),MV3,Sigma2),MIN(MaxMultiple,Xm/(1-RAND())^(1/Alpha)))))</f>
        <v>0</v>
      </c>
      <c r="AA375" s="19">
        <f ca="1">IF(RAND()&lt;P_Zero,0,IF(RAND()&lt;CondReturn,_xlfn.LOGNORM.INV(RAND(),MV2,Sigma1),IF(RAND()&lt;CondGood,_xlfn.LOGNORM.INV(RAND(),MV3,Sigma2),MIN(MaxMultiple,Xm/(1-RAND())^(1/Alpha)))))</f>
        <v>2.870164084127818</v>
      </c>
      <c r="AB375" s="19">
        <f t="shared" ca="1" si="40"/>
        <v>0.72547424695038187</v>
      </c>
      <c r="AC375" s="14">
        <f t="shared" ca="1" si="41"/>
        <v>34822763.853618331</v>
      </c>
      <c r="AD375" s="14">
        <f t="shared" ca="1" si="42"/>
        <v>-13177236.146381669</v>
      </c>
      <c r="AE375" s="14">
        <f t="shared" si="43"/>
        <v>55628399.869093813</v>
      </c>
      <c r="AF375" s="14">
        <f t="shared" ca="1" si="44"/>
        <v>0</v>
      </c>
      <c r="AG375" s="14">
        <f t="shared" ca="1" si="45"/>
        <v>0</v>
      </c>
      <c r="AH375" s="14">
        <f t="shared" ca="1" si="46"/>
        <v>34822763.853618331</v>
      </c>
      <c r="AI375" s="19">
        <f t="shared" ca="1" si="47"/>
        <v>0.58037939756030554</v>
      </c>
    </row>
    <row r="376" spans="2:35" x14ac:dyDescent="0.2">
      <c r="B376" s="1">
        <v>371</v>
      </c>
      <c r="C376" s="19">
        <f ca="1">IF(RAND()&lt;P_Zero,0,IF(RAND()&lt;CondReturn,_xlfn.LOGNORM.INV(RAND(),MV2,Sigma1),IF(RAND()&lt;CondGood,_xlfn.LOGNORM.INV(RAND(),MV3,Sigma2),MIN(MaxMultiple,Xm/(1-RAND())^(1/Alpha)))))</f>
        <v>0</v>
      </c>
      <c r="D376" s="19">
        <f ca="1">IF(RAND()&lt;P_Zero,0,IF(RAND()&lt;CondReturn,_xlfn.LOGNORM.INV(RAND(),MV2,Sigma1),IF(RAND()&lt;CondGood,_xlfn.LOGNORM.INV(RAND(),MV3,Sigma2),MIN(MaxMultiple,Xm/(1-RAND())^(1/Alpha)))))</f>
        <v>1.2626876508185563</v>
      </c>
      <c r="E376" s="19">
        <f ca="1">IF(RAND()&lt;P_Zero,0,IF(RAND()&lt;CondReturn,_xlfn.LOGNORM.INV(RAND(),MV2,Sigma1),IF(RAND()&lt;CondGood,_xlfn.LOGNORM.INV(RAND(),MV3,Sigma2),MIN(MaxMultiple,Xm/(1-RAND())^(1/Alpha)))))</f>
        <v>0</v>
      </c>
      <c r="F376" s="19">
        <f ca="1">IF(RAND()&lt;P_Zero,0,IF(RAND()&lt;CondReturn,_xlfn.LOGNORM.INV(RAND(),MV2,Sigma1),IF(RAND()&lt;CondGood,_xlfn.LOGNORM.INV(RAND(),MV3,Sigma2),MIN(MaxMultiple,Xm/(1-RAND())^(1/Alpha)))))</f>
        <v>0</v>
      </c>
      <c r="G376" s="19">
        <f ca="1">IF(RAND()&lt;P_Zero,0,IF(RAND()&lt;CondReturn,_xlfn.LOGNORM.INV(RAND(),MV2,Sigma1),IF(RAND()&lt;CondGood,_xlfn.LOGNORM.INV(RAND(),MV3,Sigma2),MIN(MaxMultiple,Xm/(1-RAND())^(1/Alpha)))))</f>
        <v>1.9547758205296695</v>
      </c>
      <c r="H376" s="19">
        <f ca="1">IF(RAND()&lt;P_Zero,0,IF(RAND()&lt;CondReturn,_xlfn.LOGNORM.INV(RAND(),MV2,Sigma1),IF(RAND()&lt;CondGood,_xlfn.LOGNORM.INV(RAND(),MV3,Sigma2),MIN(MaxMultiple,Xm/(1-RAND())^(1/Alpha)))))</f>
        <v>111.6280914361911</v>
      </c>
      <c r="I376" s="19">
        <f ca="1">IF(RAND()&lt;P_Zero,0,IF(RAND()&lt;CondReturn,_xlfn.LOGNORM.INV(RAND(),MV2,Sigma1),IF(RAND()&lt;CondGood,_xlfn.LOGNORM.INV(RAND(),MV3,Sigma2),MIN(MaxMultiple,Xm/(1-RAND())^(1/Alpha)))))</f>
        <v>1.3367360051758315</v>
      </c>
      <c r="J376" s="19">
        <f ca="1">IF(RAND()&lt;P_Zero,0,IF(RAND()&lt;CondReturn,_xlfn.LOGNORM.INV(RAND(),MV2,Sigma1),IF(RAND()&lt;CondGood,_xlfn.LOGNORM.INV(RAND(),MV3,Sigma2),MIN(MaxMultiple,Xm/(1-RAND())^(1/Alpha)))))</f>
        <v>14.341374397748215</v>
      </c>
      <c r="K376" s="19">
        <f ca="1">IF(RAND()&lt;P_Zero,0,IF(RAND()&lt;CondReturn,_xlfn.LOGNORM.INV(RAND(),MV2,Sigma1),IF(RAND()&lt;CondGood,_xlfn.LOGNORM.INV(RAND(),MV3,Sigma2),MIN(MaxMultiple,Xm/(1-RAND())^(1/Alpha)))))</f>
        <v>0</v>
      </c>
      <c r="L376" s="19">
        <f ca="1">IF(RAND()&lt;P_Zero,0,IF(RAND()&lt;CondReturn,_xlfn.LOGNORM.INV(RAND(),MV2,Sigma1),IF(RAND()&lt;CondGood,_xlfn.LOGNORM.INV(RAND(),MV3,Sigma2),MIN(MaxMultiple,Xm/(1-RAND())^(1/Alpha)))))</f>
        <v>1.7600204326828437</v>
      </c>
      <c r="M376" s="19">
        <f ca="1">IF(RAND()&lt;P_Zero,0,IF(RAND()&lt;CondReturn,_xlfn.LOGNORM.INV(RAND(),MV2,Sigma1),IF(RAND()&lt;CondGood,_xlfn.LOGNORM.INV(RAND(),MV3,Sigma2),MIN(MaxMultiple,Xm/(1-RAND())^(1/Alpha)))))</f>
        <v>0</v>
      </c>
      <c r="N376" s="19">
        <f ca="1">IF(RAND()&lt;P_Zero,0,IF(RAND()&lt;CondReturn,_xlfn.LOGNORM.INV(RAND(),MV2,Sigma1),IF(RAND()&lt;CondGood,_xlfn.LOGNORM.INV(RAND(),MV3,Sigma2),MIN(MaxMultiple,Xm/(1-RAND())^(1/Alpha)))))</f>
        <v>2.7699465264404348</v>
      </c>
      <c r="O376" s="19">
        <f ca="1">IF(RAND()&lt;P_Zero,0,IF(RAND()&lt;CondReturn,_xlfn.LOGNORM.INV(RAND(),MV2,Sigma1),IF(RAND()&lt;CondGood,_xlfn.LOGNORM.INV(RAND(),MV3,Sigma2),MIN(MaxMultiple,Xm/(1-RAND())^(1/Alpha)))))</f>
        <v>155.47700915712633</v>
      </c>
      <c r="P376" s="19">
        <f ca="1">IF(RAND()&lt;P_Zero,0,IF(RAND()&lt;CondReturn,_xlfn.LOGNORM.INV(RAND(),MV2,Sigma1),IF(RAND()&lt;CondGood,_xlfn.LOGNORM.INV(RAND(),MV3,Sigma2),MIN(MaxMultiple,Xm/(1-RAND())^(1/Alpha)))))</f>
        <v>0.55548237442127046</v>
      </c>
      <c r="Q376" s="19">
        <f ca="1">IF(RAND()&lt;P_Zero,0,IF(RAND()&lt;CondReturn,_xlfn.LOGNORM.INV(RAND(),MV2,Sigma1),IF(RAND()&lt;CondGood,_xlfn.LOGNORM.INV(RAND(),MV3,Sigma2),MIN(MaxMultiple,Xm/(1-RAND())^(1/Alpha)))))</f>
        <v>1.2454961521868329</v>
      </c>
      <c r="R376" s="19">
        <f ca="1">IF(RAND()&lt;P_Zero,0,IF(RAND()&lt;CondReturn,_xlfn.LOGNORM.INV(RAND(),MV2,Sigma1),IF(RAND()&lt;CondGood,_xlfn.LOGNORM.INV(RAND(),MV3,Sigma2),MIN(MaxMultiple,Xm/(1-RAND())^(1/Alpha)))))</f>
        <v>0</v>
      </c>
      <c r="S376" s="19">
        <f ca="1">IF(RAND()&lt;P_Zero,0,IF(RAND()&lt;CondReturn,_xlfn.LOGNORM.INV(RAND(),MV2,Sigma1),IF(RAND()&lt;CondGood,_xlfn.LOGNORM.INV(RAND(),MV3,Sigma2),MIN(MaxMultiple,Xm/(1-RAND())^(1/Alpha)))))</f>
        <v>0</v>
      </c>
      <c r="T376" s="19">
        <f ca="1">IF(RAND()&lt;P_Zero,0,IF(RAND()&lt;CondReturn,_xlfn.LOGNORM.INV(RAND(),MV2,Sigma1),IF(RAND()&lt;CondGood,_xlfn.LOGNORM.INV(RAND(),MV3,Sigma2),MIN(MaxMultiple,Xm/(1-RAND())^(1/Alpha)))))</f>
        <v>2.085367040402347</v>
      </c>
      <c r="U376" s="19">
        <f ca="1">IF(RAND()&lt;P_Zero,0,IF(RAND()&lt;CondReturn,_xlfn.LOGNORM.INV(RAND(),MV2,Sigma1),IF(RAND()&lt;CondGood,_xlfn.LOGNORM.INV(RAND(),MV3,Sigma2),MIN(MaxMultiple,Xm/(1-RAND())^(1/Alpha)))))</f>
        <v>0</v>
      </c>
      <c r="V376" s="19">
        <f ca="1">IF(RAND()&lt;P_Zero,0,IF(RAND()&lt;CondReturn,_xlfn.LOGNORM.INV(RAND(),MV2,Sigma1),IF(RAND()&lt;CondGood,_xlfn.LOGNORM.INV(RAND(),MV3,Sigma2),MIN(MaxMultiple,Xm/(1-RAND())^(1/Alpha)))))</f>
        <v>0</v>
      </c>
      <c r="W376" s="19">
        <f ca="1">IF(RAND()&lt;P_Zero,0,IF(RAND()&lt;CondReturn,_xlfn.LOGNORM.INV(RAND(),MV2,Sigma1),IF(RAND()&lt;CondGood,_xlfn.LOGNORM.INV(RAND(),MV3,Sigma2),MIN(MaxMultiple,Xm/(1-RAND())^(1/Alpha)))))</f>
        <v>0</v>
      </c>
      <c r="X376" s="19">
        <f ca="1">IF(RAND()&lt;P_Zero,0,IF(RAND()&lt;CondReturn,_xlfn.LOGNORM.INV(RAND(),MV2,Sigma1),IF(RAND()&lt;CondGood,_xlfn.LOGNORM.INV(RAND(),MV3,Sigma2),MIN(MaxMultiple,Xm/(1-RAND())^(1/Alpha)))))</f>
        <v>2.1826585225995299</v>
      </c>
      <c r="Y376" s="19">
        <f ca="1">IF(RAND()&lt;P_Zero,0,IF(RAND()&lt;CondReturn,_xlfn.LOGNORM.INV(RAND(),MV2,Sigma1),IF(RAND()&lt;CondGood,_xlfn.LOGNORM.INV(RAND(),MV3,Sigma2),MIN(MaxMultiple,Xm/(1-RAND())^(1/Alpha)))))</f>
        <v>0.76447717050215314</v>
      </c>
      <c r="Z376" s="19">
        <f ca="1">IF(RAND()&lt;P_Zero,0,IF(RAND()&lt;CondReturn,_xlfn.LOGNORM.INV(RAND(),MV2,Sigma1),IF(RAND()&lt;CondGood,_xlfn.LOGNORM.INV(RAND(),MV3,Sigma2),MIN(MaxMultiple,Xm/(1-RAND())^(1/Alpha)))))</f>
        <v>0.72226598233365802</v>
      </c>
      <c r="AA376" s="19">
        <f ca="1">IF(RAND()&lt;P_Zero,0,IF(RAND()&lt;CondReturn,_xlfn.LOGNORM.INV(RAND(),MV2,Sigma1),IF(RAND()&lt;CondGood,_xlfn.LOGNORM.INV(RAND(),MV3,Sigma2),MIN(MaxMultiple,Xm/(1-RAND())^(1/Alpha)))))</f>
        <v>0.91203436299750062</v>
      </c>
      <c r="AB376" s="19">
        <f t="shared" ca="1" si="40"/>
        <v>11.95993692128625</v>
      </c>
      <c r="AC376" s="14">
        <f t="shared" ca="1" si="41"/>
        <v>574076972.22174001</v>
      </c>
      <c r="AD376" s="14">
        <f t="shared" ca="1" si="42"/>
        <v>526076972.22174001</v>
      </c>
      <c r="AE376" s="14">
        <f t="shared" si="43"/>
        <v>55628399.869093813</v>
      </c>
      <c r="AF376" s="14">
        <f t="shared" ca="1" si="44"/>
        <v>470448572.35264617</v>
      </c>
      <c r="AG376" s="14">
        <f t="shared" ca="1" si="45"/>
        <v>94089714.470529243</v>
      </c>
      <c r="AH376" s="14">
        <f t="shared" ca="1" si="46"/>
        <v>479987257.75121075</v>
      </c>
      <c r="AI376" s="19">
        <f t="shared" ca="1" si="47"/>
        <v>7.9997876291868462</v>
      </c>
    </row>
    <row r="377" spans="2:35" x14ac:dyDescent="0.2">
      <c r="B377" s="1">
        <v>372</v>
      </c>
      <c r="C377" s="19">
        <f ca="1">IF(RAND()&lt;P_Zero,0,IF(RAND()&lt;CondReturn,_xlfn.LOGNORM.INV(RAND(),MV2,Sigma1),IF(RAND()&lt;CondGood,_xlfn.LOGNORM.INV(RAND(),MV3,Sigma2),MIN(MaxMultiple,Xm/(1-RAND())^(1/Alpha)))))</f>
        <v>1.3304804326361359</v>
      </c>
      <c r="D377" s="19">
        <f ca="1">IF(RAND()&lt;P_Zero,0,IF(RAND()&lt;CondReturn,_xlfn.LOGNORM.INV(RAND(),MV2,Sigma1),IF(RAND()&lt;CondGood,_xlfn.LOGNORM.INV(RAND(),MV3,Sigma2),MIN(MaxMultiple,Xm/(1-RAND())^(1/Alpha)))))</f>
        <v>0</v>
      </c>
      <c r="E377" s="19">
        <f ca="1">IF(RAND()&lt;P_Zero,0,IF(RAND()&lt;CondReturn,_xlfn.LOGNORM.INV(RAND(),MV2,Sigma1),IF(RAND()&lt;CondGood,_xlfn.LOGNORM.INV(RAND(),MV3,Sigma2),MIN(MaxMultiple,Xm/(1-RAND())^(1/Alpha)))))</f>
        <v>20.504090432772657</v>
      </c>
      <c r="F377" s="19">
        <f ca="1">IF(RAND()&lt;P_Zero,0,IF(RAND()&lt;CondReturn,_xlfn.LOGNORM.INV(RAND(),MV2,Sigma1),IF(RAND()&lt;CondGood,_xlfn.LOGNORM.INV(RAND(),MV3,Sigma2),MIN(MaxMultiple,Xm/(1-RAND())^(1/Alpha)))))</f>
        <v>0</v>
      </c>
      <c r="G377" s="19">
        <f ca="1">IF(RAND()&lt;P_Zero,0,IF(RAND()&lt;CondReturn,_xlfn.LOGNORM.INV(RAND(),MV2,Sigma1),IF(RAND()&lt;CondGood,_xlfn.LOGNORM.INV(RAND(),MV3,Sigma2),MIN(MaxMultiple,Xm/(1-RAND())^(1/Alpha)))))</f>
        <v>0</v>
      </c>
      <c r="H377" s="19">
        <f ca="1">IF(RAND()&lt;P_Zero,0,IF(RAND()&lt;CondReturn,_xlfn.LOGNORM.INV(RAND(),MV2,Sigma1),IF(RAND()&lt;CondGood,_xlfn.LOGNORM.INV(RAND(),MV3,Sigma2),MIN(MaxMultiple,Xm/(1-RAND())^(1/Alpha)))))</f>
        <v>0</v>
      </c>
      <c r="I377" s="19">
        <f ca="1">IF(RAND()&lt;P_Zero,0,IF(RAND()&lt;CondReturn,_xlfn.LOGNORM.INV(RAND(),MV2,Sigma1),IF(RAND()&lt;CondGood,_xlfn.LOGNORM.INV(RAND(),MV3,Sigma2),MIN(MaxMultiple,Xm/(1-RAND())^(1/Alpha)))))</f>
        <v>0</v>
      </c>
      <c r="J377" s="19">
        <f ca="1">IF(RAND()&lt;P_Zero,0,IF(RAND()&lt;CondReturn,_xlfn.LOGNORM.INV(RAND(),MV2,Sigma1),IF(RAND()&lt;CondGood,_xlfn.LOGNORM.INV(RAND(),MV3,Sigma2),MIN(MaxMultiple,Xm/(1-RAND())^(1/Alpha)))))</f>
        <v>1.1423062484125399</v>
      </c>
      <c r="K377" s="19">
        <f ca="1">IF(RAND()&lt;P_Zero,0,IF(RAND()&lt;CondReturn,_xlfn.LOGNORM.INV(RAND(),MV2,Sigma1),IF(RAND()&lt;CondGood,_xlfn.LOGNORM.INV(RAND(),MV3,Sigma2),MIN(MaxMultiple,Xm/(1-RAND())^(1/Alpha)))))</f>
        <v>0</v>
      </c>
      <c r="L377" s="19">
        <f ca="1">IF(RAND()&lt;P_Zero,0,IF(RAND()&lt;CondReturn,_xlfn.LOGNORM.INV(RAND(),MV2,Sigma1),IF(RAND()&lt;CondGood,_xlfn.LOGNORM.INV(RAND(),MV3,Sigma2),MIN(MaxMultiple,Xm/(1-RAND())^(1/Alpha)))))</f>
        <v>0</v>
      </c>
      <c r="M377" s="19">
        <f ca="1">IF(RAND()&lt;P_Zero,0,IF(RAND()&lt;CondReturn,_xlfn.LOGNORM.INV(RAND(),MV2,Sigma1),IF(RAND()&lt;CondGood,_xlfn.LOGNORM.INV(RAND(),MV3,Sigma2),MIN(MaxMultiple,Xm/(1-RAND())^(1/Alpha)))))</f>
        <v>67.862342924507757</v>
      </c>
      <c r="N377" s="19">
        <f ca="1">IF(RAND()&lt;P_Zero,0,IF(RAND()&lt;CondReturn,_xlfn.LOGNORM.INV(RAND(),MV2,Sigma1),IF(RAND()&lt;CondGood,_xlfn.LOGNORM.INV(RAND(),MV3,Sigma2),MIN(MaxMultiple,Xm/(1-RAND())^(1/Alpha)))))</f>
        <v>0.49771326625291151</v>
      </c>
      <c r="O377" s="19">
        <f ca="1">IF(RAND()&lt;P_Zero,0,IF(RAND()&lt;CondReturn,_xlfn.LOGNORM.INV(RAND(),MV2,Sigma1),IF(RAND()&lt;CondGood,_xlfn.LOGNORM.INV(RAND(),MV3,Sigma2),MIN(MaxMultiple,Xm/(1-RAND())^(1/Alpha)))))</f>
        <v>0.38141140685163766</v>
      </c>
      <c r="P377" s="19">
        <f ca="1">IF(RAND()&lt;P_Zero,0,IF(RAND()&lt;CondReturn,_xlfn.LOGNORM.INV(RAND(),MV2,Sigma1),IF(RAND()&lt;CondGood,_xlfn.LOGNORM.INV(RAND(),MV3,Sigma2),MIN(MaxMultiple,Xm/(1-RAND())^(1/Alpha)))))</f>
        <v>10.391230562440846</v>
      </c>
      <c r="Q377" s="19">
        <f ca="1">IF(RAND()&lt;P_Zero,0,IF(RAND()&lt;CondReturn,_xlfn.LOGNORM.INV(RAND(),MV2,Sigma1),IF(RAND()&lt;CondGood,_xlfn.LOGNORM.INV(RAND(),MV3,Sigma2),MIN(MaxMultiple,Xm/(1-RAND())^(1/Alpha)))))</f>
        <v>0.82021059895888671</v>
      </c>
      <c r="R377" s="19">
        <f ca="1">IF(RAND()&lt;P_Zero,0,IF(RAND()&lt;CondReturn,_xlfn.LOGNORM.INV(RAND(),MV2,Sigma1),IF(RAND()&lt;CondGood,_xlfn.LOGNORM.INV(RAND(),MV3,Sigma2),MIN(MaxMultiple,Xm/(1-RAND())^(1/Alpha)))))</f>
        <v>0</v>
      </c>
      <c r="S377" s="19">
        <f ca="1">IF(RAND()&lt;P_Zero,0,IF(RAND()&lt;CondReturn,_xlfn.LOGNORM.INV(RAND(),MV2,Sigma1),IF(RAND()&lt;CondGood,_xlfn.LOGNORM.INV(RAND(),MV3,Sigma2),MIN(MaxMultiple,Xm/(1-RAND())^(1/Alpha)))))</f>
        <v>0</v>
      </c>
      <c r="T377" s="19">
        <f ca="1">IF(RAND()&lt;P_Zero,0,IF(RAND()&lt;CondReturn,_xlfn.LOGNORM.INV(RAND(),MV2,Sigma1),IF(RAND()&lt;CondGood,_xlfn.LOGNORM.INV(RAND(),MV3,Sigma2),MIN(MaxMultiple,Xm/(1-RAND())^(1/Alpha)))))</f>
        <v>0</v>
      </c>
      <c r="U377" s="19">
        <f ca="1">IF(RAND()&lt;P_Zero,0,IF(RAND()&lt;CondReturn,_xlfn.LOGNORM.INV(RAND(),MV2,Sigma1),IF(RAND()&lt;CondGood,_xlfn.LOGNORM.INV(RAND(),MV3,Sigma2),MIN(MaxMultiple,Xm/(1-RAND())^(1/Alpha)))))</f>
        <v>0.85669835902924851</v>
      </c>
      <c r="V377" s="19">
        <f ca="1">IF(RAND()&lt;P_Zero,0,IF(RAND()&lt;CondReturn,_xlfn.LOGNORM.INV(RAND(),MV2,Sigma1),IF(RAND()&lt;CondGood,_xlfn.LOGNORM.INV(RAND(),MV3,Sigma2),MIN(MaxMultiple,Xm/(1-RAND())^(1/Alpha)))))</f>
        <v>0</v>
      </c>
      <c r="W377" s="19">
        <f ca="1">IF(RAND()&lt;P_Zero,0,IF(RAND()&lt;CondReturn,_xlfn.LOGNORM.INV(RAND(),MV2,Sigma1),IF(RAND()&lt;CondGood,_xlfn.LOGNORM.INV(RAND(),MV3,Sigma2),MIN(MaxMultiple,Xm/(1-RAND())^(1/Alpha)))))</f>
        <v>0</v>
      </c>
      <c r="X377" s="19">
        <f ca="1">IF(RAND()&lt;P_Zero,0,IF(RAND()&lt;CondReturn,_xlfn.LOGNORM.INV(RAND(),MV2,Sigma1),IF(RAND()&lt;CondGood,_xlfn.LOGNORM.INV(RAND(),MV3,Sigma2),MIN(MaxMultiple,Xm/(1-RAND())^(1/Alpha)))))</f>
        <v>0.89140528324721169</v>
      </c>
      <c r="Y377" s="19">
        <f ca="1">IF(RAND()&lt;P_Zero,0,IF(RAND()&lt;CondReturn,_xlfn.LOGNORM.INV(RAND(),MV2,Sigma1),IF(RAND()&lt;CondGood,_xlfn.LOGNORM.INV(RAND(),MV3,Sigma2),MIN(MaxMultiple,Xm/(1-RAND())^(1/Alpha)))))</f>
        <v>0.73607586482325926</v>
      </c>
      <c r="Z377" s="19">
        <f ca="1">IF(RAND()&lt;P_Zero,0,IF(RAND()&lt;CondReturn,_xlfn.LOGNORM.INV(RAND(),MV2,Sigma1),IF(RAND()&lt;CondGood,_xlfn.LOGNORM.INV(RAND(),MV3,Sigma2),MIN(MaxMultiple,Xm/(1-RAND())^(1/Alpha)))))</f>
        <v>1.8299002710623391</v>
      </c>
      <c r="AA377" s="19">
        <f ca="1">IF(RAND()&lt;P_Zero,0,IF(RAND()&lt;CondReturn,_xlfn.LOGNORM.INV(RAND(),MV2,Sigma1),IF(RAND()&lt;CondGood,_xlfn.LOGNORM.INV(RAND(),MV3,Sigma2),MIN(MaxMultiple,Xm/(1-RAND())^(1/Alpha)))))</f>
        <v>0.26525368087660317</v>
      </c>
      <c r="AB377" s="19">
        <f t="shared" ca="1" si="40"/>
        <v>4.3003647732748815</v>
      </c>
      <c r="AC377" s="14">
        <f t="shared" ca="1" si="41"/>
        <v>206417509.11719432</v>
      </c>
      <c r="AD377" s="14">
        <f t="shared" ca="1" si="42"/>
        <v>158417509.11719432</v>
      </c>
      <c r="AE377" s="14">
        <f t="shared" si="43"/>
        <v>55628399.869093813</v>
      </c>
      <c r="AF377" s="14">
        <f t="shared" ca="1" si="44"/>
        <v>102789109.24810052</v>
      </c>
      <c r="AG377" s="14">
        <f t="shared" ca="1" si="45"/>
        <v>20557821.849620104</v>
      </c>
      <c r="AH377" s="14">
        <f t="shared" ca="1" si="46"/>
        <v>185859687.26757422</v>
      </c>
      <c r="AI377" s="19">
        <f t="shared" ca="1" si="47"/>
        <v>3.0976614544595704</v>
      </c>
    </row>
    <row r="378" spans="2:35" x14ac:dyDescent="0.2">
      <c r="B378" s="1">
        <v>373</v>
      </c>
      <c r="C378" s="19">
        <f ca="1">IF(RAND()&lt;P_Zero,0,IF(RAND()&lt;CondReturn,_xlfn.LOGNORM.INV(RAND(),MV2,Sigma1),IF(RAND()&lt;CondGood,_xlfn.LOGNORM.INV(RAND(),MV3,Sigma2),MIN(MaxMultiple,Xm/(1-RAND())^(1/Alpha)))))</f>
        <v>0</v>
      </c>
      <c r="D378" s="19">
        <f ca="1">IF(RAND()&lt;P_Zero,0,IF(RAND()&lt;CondReturn,_xlfn.LOGNORM.INV(RAND(),MV2,Sigma1),IF(RAND()&lt;CondGood,_xlfn.LOGNORM.INV(RAND(),MV3,Sigma2),MIN(MaxMultiple,Xm/(1-RAND())^(1/Alpha)))))</f>
        <v>0.66288510013300272</v>
      </c>
      <c r="E378" s="19">
        <f ca="1">IF(RAND()&lt;P_Zero,0,IF(RAND()&lt;CondReturn,_xlfn.LOGNORM.INV(RAND(),MV2,Sigma1),IF(RAND()&lt;CondGood,_xlfn.LOGNORM.INV(RAND(),MV3,Sigma2),MIN(MaxMultiple,Xm/(1-RAND())^(1/Alpha)))))</f>
        <v>0.90366099877206862</v>
      </c>
      <c r="F378" s="19">
        <f ca="1">IF(RAND()&lt;P_Zero,0,IF(RAND()&lt;CondReturn,_xlfn.LOGNORM.INV(RAND(),MV2,Sigma1),IF(RAND()&lt;CondGood,_xlfn.LOGNORM.INV(RAND(),MV3,Sigma2),MIN(MaxMultiple,Xm/(1-RAND())^(1/Alpha)))))</f>
        <v>0.56739063264769962</v>
      </c>
      <c r="G378" s="19">
        <f ca="1">IF(RAND()&lt;P_Zero,0,IF(RAND()&lt;CondReturn,_xlfn.LOGNORM.INV(RAND(),MV2,Sigma1),IF(RAND()&lt;CondGood,_xlfn.LOGNORM.INV(RAND(),MV3,Sigma2),MIN(MaxMultiple,Xm/(1-RAND())^(1/Alpha)))))</f>
        <v>0.98886151610532835</v>
      </c>
      <c r="H378" s="19">
        <f ca="1">IF(RAND()&lt;P_Zero,0,IF(RAND()&lt;CondReturn,_xlfn.LOGNORM.INV(RAND(),MV2,Sigma1),IF(RAND()&lt;CondGood,_xlfn.LOGNORM.INV(RAND(),MV3,Sigma2),MIN(MaxMultiple,Xm/(1-RAND())^(1/Alpha)))))</f>
        <v>1.1658992769052987</v>
      </c>
      <c r="I378" s="19">
        <f ca="1">IF(RAND()&lt;P_Zero,0,IF(RAND()&lt;CondReturn,_xlfn.LOGNORM.INV(RAND(),MV2,Sigma1),IF(RAND()&lt;CondGood,_xlfn.LOGNORM.INV(RAND(),MV3,Sigma2),MIN(MaxMultiple,Xm/(1-RAND())^(1/Alpha)))))</f>
        <v>0</v>
      </c>
      <c r="J378" s="19">
        <f ca="1">IF(RAND()&lt;P_Zero,0,IF(RAND()&lt;CondReturn,_xlfn.LOGNORM.INV(RAND(),MV2,Sigma1),IF(RAND()&lt;CondGood,_xlfn.LOGNORM.INV(RAND(),MV3,Sigma2),MIN(MaxMultiple,Xm/(1-RAND())^(1/Alpha)))))</f>
        <v>125.18431029632106</v>
      </c>
      <c r="K378" s="19">
        <f ca="1">IF(RAND()&lt;P_Zero,0,IF(RAND()&lt;CondReturn,_xlfn.LOGNORM.INV(RAND(),MV2,Sigma1),IF(RAND()&lt;CondGood,_xlfn.LOGNORM.INV(RAND(),MV3,Sigma2),MIN(MaxMultiple,Xm/(1-RAND())^(1/Alpha)))))</f>
        <v>0.69068469961610635</v>
      </c>
      <c r="L378" s="19">
        <f ca="1">IF(RAND()&lt;P_Zero,0,IF(RAND()&lt;CondReturn,_xlfn.LOGNORM.INV(RAND(),MV2,Sigma1),IF(RAND()&lt;CondGood,_xlfn.LOGNORM.INV(RAND(),MV3,Sigma2),MIN(MaxMultiple,Xm/(1-RAND())^(1/Alpha)))))</f>
        <v>0.77015565630867999</v>
      </c>
      <c r="M378" s="19">
        <f ca="1">IF(RAND()&lt;P_Zero,0,IF(RAND()&lt;CondReturn,_xlfn.LOGNORM.INV(RAND(),MV2,Sigma1),IF(RAND()&lt;CondGood,_xlfn.LOGNORM.INV(RAND(),MV3,Sigma2),MIN(MaxMultiple,Xm/(1-RAND())^(1/Alpha)))))</f>
        <v>0</v>
      </c>
      <c r="N378" s="19">
        <f ca="1">IF(RAND()&lt;P_Zero,0,IF(RAND()&lt;CondReturn,_xlfn.LOGNORM.INV(RAND(),MV2,Sigma1),IF(RAND()&lt;CondGood,_xlfn.LOGNORM.INV(RAND(),MV3,Sigma2),MIN(MaxMultiple,Xm/(1-RAND())^(1/Alpha)))))</f>
        <v>0</v>
      </c>
      <c r="O378" s="19">
        <f ca="1">IF(RAND()&lt;P_Zero,0,IF(RAND()&lt;CondReturn,_xlfn.LOGNORM.INV(RAND(),MV2,Sigma1),IF(RAND()&lt;CondGood,_xlfn.LOGNORM.INV(RAND(),MV3,Sigma2),MIN(MaxMultiple,Xm/(1-RAND())^(1/Alpha)))))</f>
        <v>1.6331799613281008</v>
      </c>
      <c r="P378" s="19">
        <f ca="1">IF(RAND()&lt;P_Zero,0,IF(RAND()&lt;CondReturn,_xlfn.LOGNORM.INV(RAND(),MV2,Sigma1),IF(RAND()&lt;CondGood,_xlfn.LOGNORM.INV(RAND(),MV3,Sigma2),MIN(MaxMultiple,Xm/(1-RAND())^(1/Alpha)))))</f>
        <v>0.79755278212559444</v>
      </c>
      <c r="Q378" s="19">
        <f ca="1">IF(RAND()&lt;P_Zero,0,IF(RAND()&lt;CondReturn,_xlfn.LOGNORM.INV(RAND(),MV2,Sigma1),IF(RAND()&lt;CondGood,_xlfn.LOGNORM.INV(RAND(),MV3,Sigma2),MIN(MaxMultiple,Xm/(1-RAND())^(1/Alpha)))))</f>
        <v>0</v>
      </c>
      <c r="R378" s="19">
        <f ca="1">IF(RAND()&lt;P_Zero,0,IF(RAND()&lt;CondReturn,_xlfn.LOGNORM.INV(RAND(),MV2,Sigma1),IF(RAND()&lt;CondGood,_xlfn.LOGNORM.INV(RAND(),MV3,Sigma2),MIN(MaxMultiple,Xm/(1-RAND())^(1/Alpha)))))</f>
        <v>0.89791594209797521</v>
      </c>
      <c r="S378" s="19">
        <f ca="1">IF(RAND()&lt;P_Zero,0,IF(RAND()&lt;CondReturn,_xlfn.LOGNORM.INV(RAND(),MV2,Sigma1),IF(RAND()&lt;CondGood,_xlfn.LOGNORM.INV(RAND(),MV3,Sigma2),MIN(MaxMultiple,Xm/(1-RAND())^(1/Alpha)))))</f>
        <v>0</v>
      </c>
      <c r="T378" s="19">
        <f ca="1">IF(RAND()&lt;P_Zero,0,IF(RAND()&lt;CondReturn,_xlfn.LOGNORM.INV(RAND(),MV2,Sigma1),IF(RAND()&lt;CondGood,_xlfn.LOGNORM.INV(RAND(),MV3,Sigma2),MIN(MaxMultiple,Xm/(1-RAND())^(1/Alpha)))))</f>
        <v>0.82788729694917351</v>
      </c>
      <c r="U378" s="19">
        <f ca="1">IF(RAND()&lt;P_Zero,0,IF(RAND()&lt;CondReturn,_xlfn.LOGNORM.INV(RAND(),MV2,Sigma1),IF(RAND()&lt;CondGood,_xlfn.LOGNORM.INV(RAND(),MV3,Sigma2),MIN(MaxMultiple,Xm/(1-RAND())^(1/Alpha)))))</f>
        <v>0</v>
      </c>
      <c r="V378" s="19">
        <f ca="1">IF(RAND()&lt;P_Zero,0,IF(RAND()&lt;CondReturn,_xlfn.LOGNORM.INV(RAND(),MV2,Sigma1),IF(RAND()&lt;CondGood,_xlfn.LOGNORM.INV(RAND(),MV3,Sigma2),MIN(MaxMultiple,Xm/(1-RAND())^(1/Alpha)))))</f>
        <v>0</v>
      </c>
      <c r="W378" s="19">
        <f ca="1">IF(RAND()&lt;P_Zero,0,IF(RAND()&lt;CondReturn,_xlfn.LOGNORM.INV(RAND(),MV2,Sigma1),IF(RAND()&lt;CondGood,_xlfn.LOGNORM.INV(RAND(),MV3,Sigma2),MIN(MaxMultiple,Xm/(1-RAND())^(1/Alpha)))))</f>
        <v>10.813777061710466</v>
      </c>
      <c r="X378" s="19">
        <f ca="1">IF(RAND()&lt;P_Zero,0,IF(RAND()&lt;CondReturn,_xlfn.LOGNORM.INV(RAND(),MV2,Sigma1),IF(RAND()&lt;CondGood,_xlfn.LOGNORM.INV(RAND(),MV3,Sigma2),MIN(MaxMultiple,Xm/(1-RAND())^(1/Alpha)))))</f>
        <v>0.91646787744182201</v>
      </c>
      <c r="Y378" s="19">
        <f ca="1">IF(RAND()&lt;P_Zero,0,IF(RAND()&lt;CondReturn,_xlfn.LOGNORM.INV(RAND(),MV2,Sigma1),IF(RAND()&lt;CondGood,_xlfn.LOGNORM.INV(RAND(),MV3,Sigma2),MIN(MaxMultiple,Xm/(1-RAND())^(1/Alpha)))))</f>
        <v>0</v>
      </c>
      <c r="Z378" s="19">
        <f ca="1">IF(RAND()&lt;P_Zero,0,IF(RAND()&lt;CondReturn,_xlfn.LOGNORM.INV(RAND(),MV2,Sigma1),IF(RAND()&lt;CondGood,_xlfn.LOGNORM.INV(RAND(),MV3,Sigma2),MIN(MaxMultiple,Xm/(1-RAND())^(1/Alpha)))))</f>
        <v>2.2253231076735043</v>
      </c>
      <c r="AA378" s="19">
        <f ca="1">IF(RAND()&lt;P_Zero,0,IF(RAND()&lt;CondReturn,_xlfn.LOGNORM.INV(RAND(),MV2,Sigma1),IF(RAND()&lt;CondGood,_xlfn.LOGNORM.INV(RAND(),MV3,Sigma2),MIN(MaxMultiple,Xm/(1-RAND())^(1/Alpha)))))</f>
        <v>1.0798190278795206</v>
      </c>
      <c r="AB378" s="19">
        <f t="shared" ca="1" si="40"/>
        <v>6.0050308493606144</v>
      </c>
      <c r="AC378" s="14">
        <f t="shared" ca="1" si="41"/>
        <v>288241480.76930946</v>
      </c>
      <c r="AD378" s="14">
        <f t="shared" ca="1" si="42"/>
        <v>240241480.76930946</v>
      </c>
      <c r="AE378" s="14">
        <f t="shared" si="43"/>
        <v>55628399.869093813</v>
      </c>
      <c r="AF378" s="14">
        <f t="shared" ca="1" si="44"/>
        <v>184613080.90021566</v>
      </c>
      <c r="AG378" s="14">
        <f t="shared" ca="1" si="45"/>
        <v>36922616.180043131</v>
      </c>
      <c r="AH378" s="14">
        <f t="shared" ca="1" si="46"/>
        <v>251318864.58926633</v>
      </c>
      <c r="AI378" s="19">
        <f t="shared" ca="1" si="47"/>
        <v>4.1886477431544389</v>
      </c>
    </row>
    <row r="379" spans="2:35" x14ac:dyDescent="0.2">
      <c r="B379" s="1">
        <v>374</v>
      </c>
      <c r="C379" s="19">
        <f ca="1">IF(RAND()&lt;P_Zero,0,IF(RAND()&lt;CondReturn,_xlfn.LOGNORM.INV(RAND(),MV2,Sigma1),IF(RAND()&lt;CondGood,_xlfn.LOGNORM.INV(RAND(),MV3,Sigma2),MIN(MaxMultiple,Xm/(1-RAND())^(1/Alpha)))))</f>
        <v>0.88825761025492012</v>
      </c>
      <c r="D379" s="19">
        <f ca="1">IF(RAND()&lt;P_Zero,0,IF(RAND()&lt;CondReturn,_xlfn.LOGNORM.INV(RAND(),MV2,Sigma1),IF(RAND()&lt;CondGood,_xlfn.LOGNORM.INV(RAND(),MV3,Sigma2),MIN(MaxMultiple,Xm/(1-RAND())^(1/Alpha)))))</f>
        <v>0</v>
      </c>
      <c r="E379" s="19">
        <f ca="1">IF(RAND()&lt;P_Zero,0,IF(RAND()&lt;CondReturn,_xlfn.LOGNORM.INV(RAND(),MV2,Sigma1),IF(RAND()&lt;CondGood,_xlfn.LOGNORM.INV(RAND(),MV3,Sigma2),MIN(MaxMultiple,Xm/(1-RAND())^(1/Alpha)))))</f>
        <v>0</v>
      </c>
      <c r="F379" s="19">
        <f ca="1">IF(RAND()&lt;P_Zero,0,IF(RAND()&lt;CondReturn,_xlfn.LOGNORM.INV(RAND(),MV2,Sigma1),IF(RAND()&lt;CondGood,_xlfn.LOGNORM.INV(RAND(),MV3,Sigma2),MIN(MaxMultiple,Xm/(1-RAND())^(1/Alpha)))))</f>
        <v>0</v>
      </c>
      <c r="G379" s="19">
        <f ca="1">IF(RAND()&lt;P_Zero,0,IF(RAND()&lt;CondReturn,_xlfn.LOGNORM.INV(RAND(),MV2,Sigma1),IF(RAND()&lt;CondGood,_xlfn.LOGNORM.INV(RAND(),MV3,Sigma2),MIN(MaxMultiple,Xm/(1-RAND())^(1/Alpha)))))</f>
        <v>0</v>
      </c>
      <c r="H379" s="19">
        <f ca="1">IF(RAND()&lt;P_Zero,0,IF(RAND()&lt;CondReturn,_xlfn.LOGNORM.INV(RAND(),MV2,Sigma1),IF(RAND()&lt;CondGood,_xlfn.LOGNORM.INV(RAND(),MV3,Sigma2),MIN(MaxMultiple,Xm/(1-RAND())^(1/Alpha)))))</f>
        <v>0</v>
      </c>
      <c r="I379" s="19">
        <f ca="1">IF(RAND()&lt;P_Zero,0,IF(RAND()&lt;CondReturn,_xlfn.LOGNORM.INV(RAND(),MV2,Sigma1),IF(RAND()&lt;CondGood,_xlfn.LOGNORM.INV(RAND(),MV3,Sigma2),MIN(MaxMultiple,Xm/(1-RAND())^(1/Alpha)))))</f>
        <v>0</v>
      </c>
      <c r="J379" s="19">
        <f ca="1">IF(RAND()&lt;P_Zero,0,IF(RAND()&lt;CondReturn,_xlfn.LOGNORM.INV(RAND(),MV2,Sigma1),IF(RAND()&lt;CondGood,_xlfn.LOGNORM.INV(RAND(),MV3,Sigma2),MIN(MaxMultiple,Xm/(1-RAND())^(1/Alpha)))))</f>
        <v>0</v>
      </c>
      <c r="K379" s="19">
        <f ca="1">IF(RAND()&lt;P_Zero,0,IF(RAND()&lt;CondReturn,_xlfn.LOGNORM.INV(RAND(),MV2,Sigma1),IF(RAND()&lt;CondGood,_xlfn.LOGNORM.INV(RAND(),MV3,Sigma2),MIN(MaxMultiple,Xm/(1-RAND())^(1/Alpha)))))</f>
        <v>0</v>
      </c>
      <c r="L379" s="19">
        <f ca="1">IF(RAND()&lt;P_Zero,0,IF(RAND()&lt;CondReturn,_xlfn.LOGNORM.INV(RAND(),MV2,Sigma1),IF(RAND()&lt;CondGood,_xlfn.LOGNORM.INV(RAND(),MV3,Sigma2),MIN(MaxMultiple,Xm/(1-RAND())^(1/Alpha)))))</f>
        <v>0.60101789874110501</v>
      </c>
      <c r="M379" s="19">
        <f ca="1">IF(RAND()&lt;P_Zero,0,IF(RAND()&lt;CondReturn,_xlfn.LOGNORM.INV(RAND(),MV2,Sigma1),IF(RAND()&lt;CondGood,_xlfn.LOGNORM.INV(RAND(),MV3,Sigma2),MIN(MaxMultiple,Xm/(1-RAND())^(1/Alpha)))))</f>
        <v>0.95393967411608993</v>
      </c>
      <c r="N379" s="19">
        <f ca="1">IF(RAND()&lt;P_Zero,0,IF(RAND()&lt;CondReturn,_xlfn.LOGNORM.INV(RAND(),MV2,Sigma1),IF(RAND()&lt;CondGood,_xlfn.LOGNORM.INV(RAND(),MV3,Sigma2),MIN(MaxMultiple,Xm/(1-RAND())^(1/Alpha)))))</f>
        <v>0</v>
      </c>
      <c r="O379" s="19">
        <f ca="1">IF(RAND()&lt;P_Zero,0,IF(RAND()&lt;CondReturn,_xlfn.LOGNORM.INV(RAND(),MV2,Sigma1),IF(RAND()&lt;CondGood,_xlfn.LOGNORM.INV(RAND(),MV3,Sigma2),MIN(MaxMultiple,Xm/(1-RAND())^(1/Alpha)))))</f>
        <v>101.20217478720066</v>
      </c>
      <c r="P379" s="19">
        <f ca="1">IF(RAND()&lt;P_Zero,0,IF(RAND()&lt;CondReturn,_xlfn.LOGNORM.INV(RAND(),MV2,Sigma1),IF(RAND()&lt;CondGood,_xlfn.LOGNORM.INV(RAND(),MV3,Sigma2),MIN(MaxMultiple,Xm/(1-RAND())^(1/Alpha)))))</f>
        <v>1.3901719289451184</v>
      </c>
      <c r="Q379" s="19">
        <f ca="1">IF(RAND()&lt;P_Zero,0,IF(RAND()&lt;CondReturn,_xlfn.LOGNORM.INV(RAND(),MV2,Sigma1),IF(RAND()&lt;CondGood,_xlfn.LOGNORM.INV(RAND(),MV3,Sigma2),MIN(MaxMultiple,Xm/(1-RAND())^(1/Alpha)))))</f>
        <v>2.1115252438649943</v>
      </c>
      <c r="R379" s="19">
        <f ca="1">IF(RAND()&lt;P_Zero,0,IF(RAND()&lt;CondReturn,_xlfn.LOGNORM.INV(RAND(),MV2,Sigma1),IF(RAND()&lt;CondGood,_xlfn.LOGNORM.INV(RAND(),MV3,Sigma2),MIN(MaxMultiple,Xm/(1-RAND())^(1/Alpha)))))</f>
        <v>1.3489228982942727</v>
      </c>
      <c r="S379" s="19">
        <f ca="1">IF(RAND()&lt;P_Zero,0,IF(RAND()&lt;CondReturn,_xlfn.LOGNORM.INV(RAND(),MV2,Sigma1),IF(RAND()&lt;CondGood,_xlfn.LOGNORM.INV(RAND(),MV3,Sigma2),MIN(MaxMultiple,Xm/(1-RAND())^(1/Alpha)))))</f>
        <v>1.3505089728406394</v>
      </c>
      <c r="T379" s="19">
        <f ca="1">IF(RAND()&lt;P_Zero,0,IF(RAND()&lt;CondReturn,_xlfn.LOGNORM.INV(RAND(),MV2,Sigma1),IF(RAND()&lt;CondGood,_xlfn.LOGNORM.INV(RAND(),MV3,Sigma2),MIN(MaxMultiple,Xm/(1-RAND())^(1/Alpha)))))</f>
        <v>0</v>
      </c>
      <c r="U379" s="19">
        <f ca="1">IF(RAND()&lt;P_Zero,0,IF(RAND()&lt;CondReturn,_xlfn.LOGNORM.INV(RAND(),MV2,Sigma1),IF(RAND()&lt;CondGood,_xlfn.LOGNORM.INV(RAND(),MV3,Sigma2),MIN(MaxMultiple,Xm/(1-RAND())^(1/Alpha)))))</f>
        <v>0</v>
      </c>
      <c r="V379" s="19">
        <f ca="1">IF(RAND()&lt;P_Zero,0,IF(RAND()&lt;CondReturn,_xlfn.LOGNORM.INV(RAND(),MV2,Sigma1),IF(RAND()&lt;CondGood,_xlfn.LOGNORM.INV(RAND(),MV3,Sigma2),MIN(MaxMultiple,Xm/(1-RAND())^(1/Alpha)))))</f>
        <v>0.83653208634456744</v>
      </c>
      <c r="W379" s="19">
        <f ca="1">IF(RAND()&lt;P_Zero,0,IF(RAND()&lt;CondReturn,_xlfn.LOGNORM.INV(RAND(),MV2,Sigma1),IF(RAND()&lt;CondGood,_xlfn.LOGNORM.INV(RAND(),MV3,Sigma2),MIN(MaxMultiple,Xm/(1-RAND())^(1/Alpha)))))</f>
        <v>0</v>
      </c>
      <c r="X379" s="19">
        <f ca="1">IF(RAND()&lt;P_Zero,0,IF(RAND()&lt;CondReturn,_xlfn.LOGNORM.INV(RAND(),MV2,Sigma1),IF(RAND()&lt;CondGood,_xlfn.LOGNORM.INV(RAND(),MV3,Sigma2),MIN(MaxMultiple,Xm/(1-RAND())^(1/Alpha)))))</f>
        <v>0</v>
      </c>
      <c r="Y379" s="19">
        <f ca="1">IF(RAND()&lt;P_Zero,0,IF(RAND()&lt;CondReturn,_xlfn.LOGNORM.INV(RAND(),MV2,Sigma1),IF(RAND()&lt;CondGood,_xlfn.LOGNORM.INV(RAND(),MV3,Sigma2),MIN(MaxMultiple,Xm/(1-RAND())^(1/Alpha)))))</f>
        <v>0</v>
      </c>
      <c r="Z379" s="19">
        <f ca="1">IF(RAND()&lt;P_Zero,0,IF(RAND()&lt;CondReturn,_xlfn.LOGNORM.INV(RAND(),MV2,Sigma1),IF(RAND()&lt;CondGood,_xlfn.LOGNORM.INV(RAND(),MV3,Sigma2),MIN(MaxMultiple,Xm/(1-RAND())^(1/Alpha)))))</f>
        <v>1.9452240117163033</v>
      </c>
      <c r="AA379" s="19">
        <f ca="1">IF(RAND()&lt;P_Zero,0,IF(RAND()&lt;CondReturn,_xlfn.LOGNORM.INV(RAND(),MV2,Sigma1),IF(RAND()&lt;CondGood,_xlfn.LOGNORM.INV(RAND(),MV3,Sigma2),MIN(MaxMultiple,Xm/(1-RAND())^(1/Alpha)))))</f>
        <v>0</v>
      </c>
      <c r="AB379" s="19">
        <f t="shared" ca="1" si="40"/>
        <v>4.5051310044927471</v>
      </c>
      <c r="AC379" s="14">
        <f t="shared" ca="1" si="41"/>
        <v>216246288.21565187</v>
      </c>
      <c r="AD379" s="14">
        <f t="shared" ca="1" si="42"/>
        <v>168246288.21565187</v>
      </c>
      <c r="AE379" s="14">
        <f t="shared" si="43"/>
        <v>55628399.869093813</v>
      </c>
      <c r="AF379" s="14">
        <f t="shared" ca="1" si="44"/>
        <v>112617888.34655806</v>
      </c>
      <c r="AG379" s="14">
        <f t="shared" ca="1" si="45"/>
        <v>22523577.669311613</v>
      </c>
      <c r="AH379" s="14">
        <f t="shared" ca="1" si="46"/>
        <v>193722710.54634026</v>
      </c>
      <c r="AI379" s="19">
        <f t="shared" ca="1" si="47"/>
        <v>3.2287118424390044</v>
      </c>
    </row>
    <row r="380" spans="2:35" x14ac:dyDescent="0.2">
      <c r="B380" s="1">
        <v>375</v>
      </c>
      <c r="C380" s="19">
        <f ca="1">IF(RAND()&lt;P_Zero,0,IF(RAND()&lt;CondReturn,_xlfn.LOGNORM.INV(RAND(),MV2,Sigma1),IF(RAND()&lt;CondGood,_xlfn.LOGNORM.INV(RAND(),MV3,Sigma2),MIN(MaxMultiple,Xm/(1-RAND())^(1/Alpha)))))</f>
        <v>0</v>
      </c>
      <c r="D380" s="19">
        <f ca="1">IF(RAND()&lt;P_Zero,0,IF(RAND()&lt;CondReturn,_xlfn.LOGNORM.INV(RAND(),MV2,Sigma1),IF(RAND()&lt;CondGood,_xlfn.LOGNORM.INV(RAND(),MV3,Sigma2),MIN(MaxMultiple,Xm/(1-RAND())^(1/Alpha)))))</f>
        <v>0.99293147741746557</v>
      </c>
      <c r="E380" s="19">
        <f ca="1">IF(RAND()&lt;P_Zero,0,IF(RAND()&lt;CondReturn,_xlfn.LOGNORM.INV(RAND(),MV2,Sigma1),IF(RAND()&lt;CondGood,_xlfn.LOGNORM.INV(RAND(),MV3,Sigma2),MIN(MaxMultiple,Xm/(1-RAND())^(1/Alpha)))))</f>
        <v>0.65921078870631999</v>
      </c>
      <c r="F380" s="19">
        <f ca="1">IF(RAND()&lt;P_Zero,0,IF(RAND()&lt;CondReturn,_xlfn.LOGNORM.INV(RAND(),MV2,Sigma1),IF(RAND()&lt;CondGood,_xlfn.LOGNORM.INV(RAND(),MV3,Sigma2),MIN(MaxMultiple,Xm/(1-RAND())^(1/Alpha)))))</f>
        <v>14.421385531531838</v>
      </c>
      <c r="G380" s="19">
        <f ca="1">IF(RAND()&lt;P_Zero,0,IF(RAND()&lt;CondReturn,_xlfn.LOGNORM.INV(RAND(),MV2,Sigma1),IF(RAND()&lt;CondGood,_xlfn.LOGNORM.INV(RAND(),MV3,Sigma2),MIN(MaxMultiple,Xm/(1-RAND())^(1/Alpha)))))</f>
        <v>0</v>
      </c>
      <c r="H380" s="19">
        <f ca="1">IF(RAND()&lt;P_Zero,0,IF(RAND()&lt;CondReturn,_xlfn.LOGNORM.INV(RAND(),MV2,Sigma1),IF(RAND()&lt;CondGood,_xlfn.LOGNORM.INV(RAND(),MV3,Sigma2),MIN(MaxMultiple,Xm/(1-RAND())^(1/Alpha)))))</f>
        <v>0</v>
      </c>
      <c r="I380" s="19">
        <f ca="1">IF(RAND()&lt;P_Zero,0,IF(RAND()&lt;CondReturn,_xlfn.LOGNORM.INV(RAND(),MV2,Sigma1),IF(RAND()&lt;CondGood,_xlfn.LOGNORM.INV(RAND(),MV3,Sigma2),MIN(MaxMultiple,Xm/(1-RAND())^(1/Alpha)))))</f>
        <v>0.58072792289514219</v>
      </c>
      <c r="J380" s="19">
        <f ca="1">IF(RAND()&lt;P_Zero,0,IF(RAND()&lt;CondReturn,_xlfn.LOGNORM.INV(RAND(),MV2,Sigma1),IF(RAND()&lt;CondGood,_xlfn.LOGNORM.INV(RAND(),MV3,Sigma2),MIN(MaxMultiple,Xm/(1-RAND())^(1/Alpha)))))</f>
        <v>0</v>
      </c>
      <c r="K380" s="19">
        <f ca="1">IF(RAND()&lt;P_Zero,0,IF(RAND()&lt;CondReturn,_xlfn.LOGNORM.INV(RAND(),MV2,Sigma1),IF(RAND()&lt;CondGood,_xlfn.LOGNORM.INV(RAND(),MV3,Sigma2),MIN(MaxMultiple,Xm/(1-RAND())^(1/Alpha)))))</f>
        <v>1.0796086059941556</v>
      </c>
      <c r="L380" s="19">
        <f ca="1">IF(RAND()&lt;P_Zero,0,IF(RAND()&lt;CondReturn,_xlfn.LOGNORM.INV(RAND(),MV2,Sigma1),IF(RAND()&lt;CondGood,_xlfn.LOGNORM.INV(RAND(),MV3,Sigma2),MIN(MaxMultiple,Xm/(1-RAND())^(1/Alpha)))))</f>
        <v>0</v>
      </c>
      <c r="M380" s="19">
        <f ca="1">IF(RAND()&lt;P_Zero,0,IF(RAND()&lt;CondReturn,_xlfn.LOGNORM.INV(RAND(),MV2,Sigma1),IF(RAND()&lt;CondGood,_xlfn.LOGNORM.INV(RAND(),MV3,Sigma2),MIN(MaxMultiple,Xm/(1-RAND())^(1/Alpha)))))</f>
        <v>0</v>
      </c>
      <c r="N380" s="19">
        <f ca="1">IF(RAND()&lt;P_Zero,0,IF(RAND()&lt;CondReturn,_xlfn.LOGNORM.INV(RAND(),MV2,Sigma1),IF(RAND()&lt;CondGood,_xlfn.LOGNORM.INV(RAND(),MV3,Sigma2),MIN(MaxMultiple,Xm/(1-RAND())^(1/Alpha)))))</f>
        <v>0</v>
      </c>
      <c r="O380" s="19">
        <f ca="1">IF(RAND()&lt;P_Zero,0,IF(RAND()&lt;CondReturn,_xlfn.LOGNORM.INV(RAND(),MV2,Sigma1),IF(RAND()&lt;CondGood,_xlfn.LOGNORM.INV(RAND(),MV3,Sigma2),MIN(MaxMultiple,Xm/(1-RAND())^(1/Alpha)))))</f>
        <v>0.86735365213091631</v>
      </c>
      <c r="P380" s="19">
        <f ca="1">IF(RAND()&lt;P_Zero,0,IF(RAND()&lt;CondReturn,_xlfn.LOGNORM.INV(RAND(),MV2,Sigma1),IF(RAND()&lt;CondGood,_xlfn.LOGNORM.INV(RAND(),MV3,Sigma2),MIN(MaxMultiple,Xm/(1-RAND())^(1/Alpha)))))</f>
        <v>45.80351222464472</v>
      </c>
      <c r="Q380" s="19">
        <f ca="1">IF(RAND()&lt;P_Zero,0,IF(RAND()&lt;CondReturn,_xlfn.LOGNORM.INV(RAND(),MV2,Sigma1),IF(RAND()&lt;CondGood,_xlfn.LOGNORM.INV(RAND(),MV3,Sigma2),MIN(MaxMultiple,Xm/(1-RAND())^(1/Alpha)))))</f>
        <v>0</v>
      </c>
      <c r="R380" s="19">
        <f ca="1">IF(RAND()&lt;P_Zero,0,IF(RAND()&lt;CondReturn,_xlfn.LOGNORM.INV(RAND(),MV2,Sigma1),IF(RAND()&lt;CondGood,_xlfn.LOGNORM.INV(RAND(),MV3,Sigma2),MIN(MaxMultiple,Xm/(1-RAND())^(1/Alpha)))))</f>
        <v>0.90657222369800639</v>
      </c>
      <c r="S380" s="19">
        <f ca="1">IF(RAND()&lt;P_Zero,0,IF(RAND()&lt;CondReturn,_xlfn.LOGNORM.INV(RAND(),MV2,Sigma1),IF(RAND()&lt;CondGood,_xlfn.LOGNORM.INV(RAND(),MV3,Sigma2),MIN(MaxMultiple,Xm/(1-RAND())^(1/Alpha)))))</f>
        <v>0</v>
      </c>
      <c r="T380" s="19">
        <f ca="1">IF(RAND()&lt;P_Zero,0,IF(RAND()&lt;CondReturn,_xlfn.LOGNORM.INV(RAND(),MV2,Sigma1),IF(RAND()&lt;CondGood,_xlfn.LOGNORM.INV(RAND(),MV3,Sigma2),MIN(MaxMultiple,Xm/(1-RAND())^(1/Alpha)))))</f>
        <v>0.90887313285373994</v>
      </c>
      <c r="U380" s="19">
        <f ca="1">IF(RAND()&lt;P_Zero,0,IF(RAND()&lt;CondReturn,_xlfn.LOGNORM.INV(RAND(),MV2,Sigma1),IF(RAND()&lt;CondGood,_xlfn.LOGNORM.INV(RAND(),MV3,Sigma2),MIN(MaxMultiple,Xm/(1-RAND())^(1/Alpha)))))</f>
        <v>0</v>
      </c>
      <c r="V380" s="19">
        <f ca="1">IF(RAND()&lt;P_Zero,0,IF(RAND()&lt;CondReturn,_xlfn.LOGNORM.INV(RAND(),MV2,Sigma1),IF(RAND()&lt;CondGood,_xlfn.LOGNORM.INV(RAND(),MV3,Sigma2),MIN(MaxMultiple,Xm/(1-RAND())^(1/Alpha)))))</f>
        <v>0</v>
      </c>
      <c r="W380" s="19">
        <f ca="1">IF(RAND()&lt;P_Zero,0,IF(RAND()&lt;CondReturn,_xlfn.LOGNORM.INV(RAND(),MV2,Sigma1),IF(RAND()&lt;CondGood,_xlfn.LOGNORM.INV(RAND(),MV3,Sigma2),MIN(MaxMultiple,Xm/(1-RAND())^(1/Alpha)))))</f>
        <v>186.72513079156283</v>
      </c>
      <c r="X380" s="19">
        <f ca="1">IF(RAND()&lt;P_Zero,0,IF(RAND()&lt;CondReturn,_xlfn.LOGNORM.INV(RAND(),MV2,Sigma1),IF(RAND()&lt;CondGood,_xlfn.LOGNORM.INV(RAND(),MV3,Sigma2),MIN(MaxMultiple,Xm/(1-RAND())^(1/Alpha)))))</f>
        <v>1.4405661253505759</v>
      </c>
      <c r="Y380" s="19">
        <f ca="1">IF(RAND()&lt;P_Zero,0,IF(RAND()&lt;CondReturn,_xlfn.LOGNORM.INV(RAND(),MV2,Sigma1),IF(RAND()&lt;CondGood,_xlfn.LOGNORM.INV(RAND(),MV3,Sigma2),MIN(MaxMultiple,Xm/(1-RAND())^(1/Alpha)))))</f>
        <v>0</v>
      </c>
      <c r="Z380" s="19">
        <f ca="1">IF(RAND()&lt;P_Zero,0,IF(RAND()&lt;CondReturn,_xlfn.LOGNORM.INV(RAND(),MV2,Sigma1),IF(RAND()&lt;CondGood,_xlfn.LOGNORM.INV(RAND(),MV3,Sigma2),MIN(MaxMultiple,Xm/(1-RAND())^(1/Alpha)))))</f>
        <v>1.634479597959543</v>
      </c>
      <c r="AA380" s="19">
        <f ca="1">IF(RAND()&lt;P_Zero,0,IF(RAND()&lt;CondReturn,_xlfn.LOGNORM.INV(RAND(),MV2,Sigma1),IF(RAND()&lt;CondGood,_xlfn.LOGNORM.INV(RAND(),MV3,Sigma2),MIN(MaxMultiple,Xm/(1-RAND())^(1/Alpha)))))</f>
        <v>0.88981614976126278</v>
      </c>
      <c r="AB380" s="19">
        <f t="shared" ca="1" si="40"/>
        <v>10.276406728980263</v>
      </c>
      <c r="AC380" s="14">
        <f t="shared" ca="1" si="41"/>
        <v>493267522.99105263</v>
      </c>
      <c r="AD380" s="14">
        <f t="shared" ca="1" si="42"/>
        <v>445267522.99105263</v>
      </c>
      <c r="AE380" s="14">
        <f t="shared" si="43"/>
        <v>55628399.869093813</v>
      </c>
      <c r="AF380" s="14">
        <f t="shared" ca="1" si="44"/>
        <v>389639123.12195879</v>
      </c>
      <c r="AG380" s="14">
        <f t="shared" ca="1" si="45"/>
        <v>77927824.624391764</v>
      </c>
      <c r="AH380" s="14">
        <f t="shared" ca="1" si="46"/>
        <v>415339698.36666083</v>
      </c>
      <c r="AI380" s="19">
        <f t="shared" ca="1" si="47"/>
        <v>6.9223283061110141</v>
      </c>
    </row>
    <row r="381" spans="2:35" x14ac:dyDescent="0.2">
      <c r="B381" s="1">
        <v>376</v>
      </c>
      <c r="C381" s="19">
        <f ca="1">IF(RAND()&lt;P_Zero,0,IF(RAND()&lt;CondReturn,_xlfn.LOGNORM.INV(RAND(),MV2,Sigma1),IF(RAND()&lt;CondGood,_xlfn.LOGNORM.INV(RAND(),MV3,Sigma2),MIN(MaxMultiple,Xm/(1-RAND())^(1/Alpha)))))</f>
        <v>0</v>
      </c>
      <c r="D381" s="19">
        <f ca="1">IF(RAND()&lt;P_Zero,0,IF(RAND()&lt;CondReturn,_xlfn.LOGNORM.INV(RAND(),MV2,Sigma1),IF(RAND()&lt;CondGood,_xlfn.LOGNORM.INV(RAND(),MV3,Sigma2),MIN(MaxMultiple,Xm/(1-RAND())^(1/Alpha)))))</f>
        <v>0</v>
      </c>
      <c r="E381" s="19">
        <f ca="1">IF(RAND()&lt;P_Zero,0,IF(RAND()&lt;CondReturn,_xlfn.LOGNORM.INV(RAND(),MV2,Sigma1),IF(RAND()&lt;CondGood,_xlfn.LOGNORM.INV(RAND(),MV3,Sigma2),MIN(MaxMultiple,Xm/(1-RAND())^(1/Alpha)))))</f>
        <v>0.66575361166670977</v>
      </c>
      <c r="F381" s="19">
        <f ca="1">IF(RAND()&lt;P_Zero,0,IF(RAND()&lt;CondReturn,_xlfn.LOGNORM.INV(RAND(),MV2,Sigma1),IF(RAND()&lt;CondGood,_xlfn.LOGNORM.INV(RAND(),MV3,Sigma2),MIN(MaxMultiple,Xm/(1-RAND())^(1/Alpha)))))</f>
        <v>0</v>
      </c>
      <c r="G381" s="19">
        <f ca="1">IF(RAND()&lt;P_Zero,0,IF(RAND()&lt;CondReturn,_xlfn.LOGNORM.INV(RAND(),MV2,Sigma1),IF(RAND()&lt;CondGood,_xlfn.LOGNORM.INV(RAND(),MV3,Sigma2),MIN(MaxMultiple,Xm/(1-RAND())^(1/Alpha)))))</f>
        <v>0</v>
      </c>
      <c r="H381" s="19">
        <f ca="1">IF(RAND()&lt;P_Zero,0,IF(RAND()&lt;CondReturn,_xlfn.LOGNORM.INV(RAND(),MV2,Sigma1),IF(RAND()&lt;CondGood,_xlfn.LOGNORM.INV(RAND(),MV3,Sigma2),MIN(MaxMultiple,Xm/(1-RAND())^(1/Alpha)))))</f>
        <v>0</v>
      </c>
      <c r="I381" s="19">
        <f ca="1">IF(RAND()&lt;P_Zero,0,IF(RAND()&lt;CondReturn,_xlfn.LOGNORM.INV(RAND(),MV2,Sigma1),IF(RAND()&lt;CondGood,_xlfn.LOGNORM.INV(RAND(),MV3,Sigma2),MIN(MaxMultiple,Xm/(1-RAND())^(1/Alpha)))))</f>
        <v>0</v>
      </c>
      <c r="J381" s="19">
        <f ca="1">IF(RAND()&lt;P_Zero,0,IF(RAND()&lt;CondReturn,_xlfn.LOGNORM.INV(RAND(),MV2,Sigma1),IF(RAND()&lt;CondGood,_xlfn.LOGNORM.INV(RAND(),MV3,Sigma2),MIN(MaxMultiple,Xm/(1-RAND())^(1/Alpha)))))</f>
        <v>0.46748087841997488</v>
      </c>
      <c r="K381" s="19">
        <f ca="1">IF(RAND()&lt;P_Zero,0,IF(RAND()&lt;CondReturn,_xlfn.LOGNORM.INV(RAND(),MV2,Sigma1),IF(RAND()&lt;CondGood,_xlfn.LOGNORM.INV(RAND(),MV3,Sigma2),MIN(MaxMultiple,Xm/(1-RAND())^(1/Alpha)))))</f>
        <v>16.88339781758317</v>
      </c>
      <c r="L381" s="19">
        <f ca="1">IF(RAND()&lt;P_Zero,0,IF(RAND()&lt;CondReturn,_xlfn.LOGNORM.INV(RAND(),MV2,Sigma1),IF(RAND()&lt;CondGood,_xlfn.LOGNORM.INV(RAND(),MV3,Sigma2),MIN(MaxMultiple,Xm/(1-RAND())^(1/Alpha)))))</f>
        <v>0</v>
      </c>
      <c r="M381" s="19">
        <f ca="1">IF(RAND()&lt;P_Zero,0,IF(RAND()&lt;CondReturn,_xlfn.LOGNORM.INV(RAND(),MV2,Sigma1),IF(RAND()&lt;CondGood,_xlfn.LOGNORM.INV(RAND(),MV3,Sigma2),MIN(MaxMultiple,Xm/(1-RAND())^(1/Alpha)))))</f>
        <v>0.89283567632626504</v>
      </c>
      <c r="N381" s="19">
        <f ca="1">IF(RAND()&lt;P_Zero,0,IF(RAND()&lt;CondReturn,_xlfn.LOGNORM.INV(RAND(),MV2,Sigma1),IF(RAND()&lt;CondGood,_xlfn.LOGNORM.INV(RAND(),MV3,Sigma2),MIN(MaxMultiple,Xm/(1-RAND())^(1/Alpha)))))</f>
        <v>0</v>
      </c>
      <c r="O381" s="19">
        <f ca="1">IF(RAND()&lt;P_Zero,0,IF(RAND()&lt;CondReturn,_xlfn.LOGNORM.INV(RAND(),MV2,Sigma1),IF(RAND()&lt;CondGood,_xlfn.LOGNORM.INV(RAND(),MV3,Sigma2),MIN(MaxMultiple,Xm/(1-RAND())^(1/Alpha)))))</f>
        <v>0.75383450553127407</v>
      </c>
      <c r="P381" s="19">
        <f ca="1">IF(RAND()&lt;P_Zero,0,IF(RAND()&lt;CondReturn,_xlfn.LOGNORM.INV(RAND(),MV2,Sigma1),IF(RAND()&lt;CondGood,_xlfn.LOGNORM.INV(RAND(),MV3,Sigma2),MIN(MaxMultiple,Xm/(1-RAND())^(1/Alpha)))))</f>
        <v>0.91375178996285722</v>
      </c>
      <c r="Q381" s="19">
        <f ca="1">IF(RAND()&lt;P_Zero,0,IF(RAND()&lt;CondReturn,_xlfn.LOGNORM.INV(RAND(),MV2,Sigma1),IF(RAND()&lt;CondGood,_xlfn.LOGNORM.INV(RAND(),MV3,Sigma2),MIN(MaxMultiple,Xm/(1-RAND())^(1/Alpha)))))</f>
        <v>27.042650725726467</v>
      </c>
      <c r="R381" s="19">
        <f ca="1">IF(RAND()&lt;P_Zero,0,IF(RAND()&lt;CondReturn,_xlfn.LOGNORM.INV(RAND(),MV2,Sigma1),IF(RAND()&lt;CondGood,_xlfn.LOGNORM.INV(RAND(),MV3,Sigma2),MIN(MaxMultiple,Xm/(1-RAND())^(1/Alpha)))))</f>
        <v>23.804790769876018</v>
      </c>
      <c r="S381" s="19">
        <f ca="1">IF(RAND()&lt;P_Zero,0,IF(RAND()&lt;CondReturn,_xlfn.LOGNORM.INV(RAND(),MV2,Sigma1),IF(RAND()&lt;CondGood,_xlfn.LOGNORM.INV(RAND(),MV3,Sigma2),MIN(MaxMultiple,Xm/(1-RAND())^(1/Alpha)))))</f>
        <v>0.85448914382419805</v>
      </c>
      <c r="T381" s="19">
        <f ca="1">IF(RAND()&lt;P_Zero,0,IF(RAND()&lt;CondReturn,_xlfn.LOGNORM.INV(RAND(),MV2,Sigma1),IF(RAND()&lt;CondGood,_xlfn.LOGNORM.INV(RAND(),MV3,Sigma2),MIN(MaxMultiple,Xm/(1-RAND())^(1/Alpha)))))</f>
        <v>61.630147010306978</v>
      </c>
      <c r="U381" s="19">
        <f ca="1">IF(RAND()&lt;P_Zero,0,IF(RAND()&lt;CondReturn,_xlfn.LOGNORM.INV(RAND(),MV2,Sigma1),IF(RAND()&lt;CondGood,_xlfn.LOGNORM.INV(RAND(),MV3,Sigma2),MIN(MaxMultiple,Xm/(1-RAND())^(1/Alpha)))))</f>
        <v>2.5772478105274343</v>
      </c>
      <c r="V381" s="19">
        <f ca="1">IF(RAND()&lt;P_Zero,0,IF(RAND()&lt;CondReturn,_xlfn.LOGNORM.INV(RAND(),MV2,Sigma1),IF(RAND()&lt;CondGood,_xlfn.LOGNORM.INV(RAND(),MV3,Sigma2),MIN(MaxMultiple,Xm/(1-RAND())^(1/Alpha)))))</f>
        <v>0</v>
      </c>
      <c r="W381" s="19">
        <f ca="1">IF(RAND()&lt;P_Zero,0,IF(RAND()&lt;CondReturn,_xlfn.LOGNORM.INV(RAND(),MV2,Sigma1),IF(RAND()&lt;CondGood,_xlfn.LOGNORM.INV(RAND(),MV3,Sigma2),MIN(MaxMultiple,Xm/(1-RAND())^(1/Alpha)))))</f>
        <v>0.68836043373838862</v>
      </c>
      <c r="X381" s="19">
        <f ca="1">IF(RAND()&lt;P_Zero,0,IF(RAND()&lt;CondReturn,_xlfn.LOGNORM.INV(RAND(),MV2,Sigma1),IF(RAND()&lt;CondGood,_xlfn.LOGNORM.INV(RAND(),MV3,Sigma2),MIN(MaxMultiple,Xm/(1-RAND())^(1/Alpha)))))</f>
        <v>0</v>
      </c>
      <c r="Y381" s="19">
        <f ca="1">IF(RAND()&lt;P_Zero,0,IF(RAND()&lt;CondReturn,_xlfn.LOGNORM.INV(RAND(),MV2,Sigma1),IF(RAND()&lt;CondGood,_xlfn.LOGNORM.INV(RAND(),MV3,Sigma2),MIN(MaxMultiple,Xm/(1-RAND())^(1/Alpha)))))</f>
        <v>0.82994091166291606</v>
      </c>
      <c r="Z381" s="19">
        <f ca="1">IF(RAND()&lt;P_Zero,0,IF(RAND()&lt;CondReturn,_xlfn.LOGNORM.INV(RAND(),MV2,Sigma1),IF(RAND()&lt;CondGood,_xlfn.LOGNORM.INV(RAND(),MV3,Sigma2),MIN(MaxMultiple,Xm/(1-RAND())^(1/Alpha)))))</f>
        <v>0</v>
      </c>
      <c r="AA381" s="19">
        <f ca="1">IF(RAND()&lt;P_Zero,0,IF(RAND()&lt;CondReturn,_xlfn.LOGNORM.INV(RAND(),MV2,Sigma1),IF(RAND()&lt;CondGood,_xlfn.LOGNORM.INV(RAND(),MV3,Sigma2),MIN(MaxMultiple,Xm/(1-RAND())^(1/Alpha)))))</f>
        <v>1.4233454192693249</v>
      </c>
      <c r="AB381" s="19">
        <f t="shared" ca="1" si="40"/>
        <v>5.5771210601768795</v>
      </c>
      <c r="AC381" s="14">
        <f t="shared" ca="1" si="41"/>
        <v>267701810.8884902</v>
      </c>
      <c r="AD381" s="14">
        <f t="shared" ca="1" si="42"/>
        <v>219701810.8884902</v>
      </c>
      <c r="AE381" s="14">
        <f t="shared" si="43"/>
        <v>55628399.869093813</v>
      </c>
      <c r="AF381" s="14">
        <f t="shared" ca="1" si="44"/>
        <v>164073411.01939639</v>
      </c>
      <c r="AG381" s="14">
        <f t="shared" ca="1" si="45"/>
        <v>32814682.203879282</v>
      </c>
      <c r="AH381" s="14">
        <f t="shared" ca="1" si="46"/>
        <v>234887128.6846109</v>
      </c>
      <c r="AI381" s="19">
        <f t="shared" ca="1" si="47"/>
        <v>3.9147854780768485</v>
      </c>
    </row>
    <row r="382" spans="2:35" x14ac:dyDescent="0.2">
      <c r="B382" s="1">
        <v>377</v>
      </c>
      <c r="C382" s="19">
        <f ca="1">IF(RAND()&lt;P_Zero,0,IF(RAND()&lt;CondReturn,_xlfn.LOGNORM.INV(RAND(),MV2,Sigma1),IF(RAND()&lt;CondGood,_xlfn.LOGNORM.INV(RAND(),MV3,Sigma2),MIN(MaxMultiple,Xm/(1-RAND())^(1/Alpha)))))</f>
        <v>0.89293403878583066</v>
      </c>
      <c r="D382" s="19">
        <f ca="1">IF(RAND()&lt;P_Zero,0,IF(RAND()&lt;CondReturn,_xlfn.LOGNORM.INV(RAND(),MV2,Sigma1),IF(RAND()&lt;CondGood,_xlfn.LOGNORM.INV(RAND(),MV3,Sigma2),MIN(MaxMultiple,Xm/(1-RAND())^(1/Alpha)))))</f>
        <v>0</v>
      </c>
      <c r="E382" s="19">
        <f ca="1">IF(RAND()&lt;P_Zero,0,IF(RAND()&lt;CondReturn,_xlfn.LOGNORM.INV(RAND(),MV2,Sigma1),IF(RAND()&lt;CondGood,_xlfn.LOGNORM.INV(RAND(),MV3,Sigma2),MIN(MaxMultiple,Xm/(1-RAND())^(1/Alpha)))))</f>
        <v>2.1028599877570664</v>
      </c>
      <c r="F382" s="19">
        <f ca="1">IF(RAND()&lt;P_Zero,0,IF(RAND()&lt;CondReturn,_xlfn.LOGNORM.INV(RAND(),MV2,Sigma1),IF(RAND()&lt;CondGood,_xlfn.LOGNORM.INV(RAND(),MV3,Sigma2),MIN(MaxMultiple,Xm/(1-RAND())^(1/Alpha)))))</f>
        <v>0</v>
      </c>
      <c r="G382" s="19">
        <f ca="1">IF(RAND()&lt;P_Zero,0,IF(RAND()&lt;CondReturn,_xlfn.LOGNORM.INV(RAND(),MV2,Sigma1),IF(RAND()&lt;CondGood,_xlfn.LOGNORM.INV(RAND(),MV3,Sigma2),MIN(MaxMultiple,Xm/(1-RAND())^(1/Alpha)))))</f>
        <v>0</v>
      </c>
      <c r="H382" s="19">
        <f ca="1">IF(RAND()&lt;P_Zero,0,IF(RAND()&lt;CondReturn,_xlfn.LOGNORM.INV(RAND(),MV2,Sigma1),IF(RAND()&lt;CondGood,_xlfn.LOGNORM.INV(RAND(),MV3,Sigma2),MIN(MaxMultiple,Xm/(1-RAND())^(1/Alpha)))))</f>
        <v>1.2841125652716898</v>
      </c>
      <c r="I382" s="19">
        <f ca="1">IF(RAND()&lt;P_Zero,0,IF(RAND()&lt;CondReturn,_xlfn.LOGNORM.INV(RAND(),MV2,Sigma1),IF(RAND()&lt;CondGood,_xlfn.LOGNORM.INV(RAND(),MV3,Sigma2),MIN(MaxMultiple,Xm/(1-RAND())^(1/Alpha)))))</f>
        <v>0</v>
      </c>
      <c r="J382" s="19">
        <f ca="1">IF(RAND()&lt;P_Zero,0,IF(RAND()&lt;CondReturn,_xlfn.LOGNORM.INV(RAND(),MV2,Sigma1),IF(RAND()&lt;CondGood,_xlfn.LOGNORM.INV(RAND(),MV3,Sigma2),MIN(MaxMultiple,Xm/(1-RAND())^(1/Alpha)))))</f>
        <v>0.39022876552865876</v>
      </c>
      <c r="K382" s="19">
        <f ca="1">IF(RAND()&lt;P_Zero,0,IF(RAND()&lt;CondReturn,_xlfn.LOGNORM.INV(RAND(),MV2,Sigma1),IF(RAND()&lt;CondGood,_xlfn.LOGNORM.INV(RAND(),MV3,Sigma2),MIN(MaxMultiple,Xm/(1-RAND())^(1/Alpha)))))</f>
        <v>0</v>
      </c>
      <c r="L382" s="19">
        <f ca="1">IF(RAND()&lt;P_Zero,0,IF(RAND()&lt;CondReturn,_xlfn.LOGNORM.INV(RAND(),MV2,Sigma1),IF(RAND()&lt;CondGood,_xlfn.LOGNORM.INV(RAND(),MV3,Sigma2),MIN(MaxMultiple,Xm/(1-RAND())^(1/Alpha)))))</f>
        <v>0.47009144477700476</v>
      </c>
      <c r="M382" s="19">
        <f ca="1">IF(RAND()&lt;P_Zero,0,IF(RAND()&lt;CondReturn,_xlfn.LOGNORM.INV(RAND(),MV2,Sigma1),IF(RAND()&lt;CondGood,_xlfn.LOGNORM.INV(RAND(),MV3,Sigma2),MIN(MaxMultiple,Xm/(1-RAND())^(1/Alpha)))))</f>
        <v>0.39409487098543822</v>
      </c>
      <c r="N382" s="19">
        <f ca="1">IF(RAND()&lt;P_Zero,0,IF(RAND()&lt;CondReturn,_xlfn.LOGNORM.INV(RAND(),MV2,Sigma1),IF(RAND()&lt;CondGood,_xlfn.LOGNORM.INV(RAND(),MV3,Sigma2),MIN(MaxMultiple,Xm/(1-RAND())^(1/Alpha)))))</f>
        <v>157.33864165549696</v>
      </c>
      <c r="O382" s="19">
        <f ca="1">IF(RAND()&lt;P_Zero,0,IF(RAND()&lt;CondReturn,_xlfn.LOGNORM.INV(RAND(),MV2,Sigma1),IF(RAND()&lt;CondGood,_xlfn.LOGNORM.INV(RAND(),MV3,Sigma2),MIN(MaxMultiple,Xm/(1-RAND())^(1/Alpha)))))</f>
        <v>0</v>
      </c>
      <c r="P382" s="19">
        <f ca="1">IF(RAND()&lt;P_Zero,0,IF(RAND()&lt;CondReturn,_xlfn.LOGNORM.INV(RAND(),MV2,Sigma1),IF(RAND()&lt;CondGood,_xlfn.LOGNORM.INV(RAND(),MV3,Sigma2),MIN(MaxMultiple,Xm/(1-RAND())^(1/Alpha)))))</f>
        <v>1.8513383440310158</v>
      </c>
      <c r="Q382" s="19">
        <f ca="1">IF(RAND()&lt;P_Zero,0,IF(RAND()&lt;CondReturn,_xlfn.LOGNORM.INV(RAND(),MV2,Sigma1),IF(RAND()&lt;CondGood,_xlfn.LOGNORM.INV(RAND(),MV3,Sigma2),MIN(MaxMultiple,Xm/(1-RAND())^(1/Alpha)))))</f>
        <v>0</v>
      </c>
      <c r="R382" s="19">
        <f ca="1">IF(RAND()&lt;P_Zero,0,IF(RAND()&lt;CondReturn,_xlfn.LOGNORM.INV(RAND(),MV2,Sigma1),IF(RAND()&lt;CondGood,_xlfn.LOGNORM.INV(RAND(),MV3,Sigma2),MIN(MaxMultiple,Xm/(1-RAND())^(1/Alpha)))))</f>
        <v>0</v>
      </c>
      <c r="S382" s="19">
        <f ca="1">IF(RAND()&lt;P_Zero,0,IF(RAND()&lt;CondReturn,_xlfn.LOGNORM.INV(RAND(),MV2,Sigma1),IF(RAND()&lt;CondGood,_xlfn.LOGNORM.INV(RAND(),MV3,Sigma2),MIN(MaxMultiple,Xm/(1-RAND())^(1/Alpha)))))</f>
        <v>0.63885899628840903</v>
      </c>
      <c r="T382" s="19">
        <f ca="1">IF(RAND()&lt;P_Zero,0,IF(RAND()&lt;CondReturn,_xlfn.LOGNORM.INV(RAND(),MV2,Sigma1),IF(RAND()&lt;CondGood,_xlfn.LOGNORM.INV(RAND(),MV3,Sigma2),MIN(MaxMultiple,Xm/(1-RAND())^(1/Alpha)))))</f>
        <v>1.2818548075088387</v>
      </c>
      <c r="U382" s="19">
        <f ca="1">IF(RAND()&lt;P_Zero,0,IF(RAND()&lt;CondReturn,_xlfn.LOGNORM.INV(RAND(),MV2,Sigma1),IF(RAND()&lt;CondGood,_xlfn.LOGNORM.INV(RAND(),MV3,Sigma2),MIN(MaxMultiple,Xm/(1-RAND())^(1/Alpha)))))</f>
        <v>1.0247688866387099</v>
      </c>
      <c r="V382" s="19">
        <f ca="1">IF(RAND()&lt;P_Zero,0,IF(RAND()&lt;CondReturn,_xlfn.LOGNORM.INV(RAND(),MV2,Sigma1),IF(RAND()&lt;CondGood,_xlfn.LOGNORM.INV(RAND(),MV3,Sigma2),MIN(MaxMultiple,Xm/(1-RAND())^(1/Alpha)))))</f>
        <v>1.944052499411657</v>
      </c>
      <c r="W382" s="19">
        <f ca="1">IF(RAND()&lt;P_Zero,0,IF(RAND()&lt;CondReturn,_xlfn.LOGNORM.INV(RAND(),MV2,Sigma1),IF(RAND()&lt;CondGood,_xlfn.LOGNORM.INV(RAND(),MV3,Sigma2),MIN(MaxMultiple,Xm/(1-RAND())^(1/Alpha)))))</f>
        <v>0</v>
      </c>
      <c r="X382" s="19">
        <f ca="1">IF(RAND()&lt;P_Zero,0,IF(RAND()&lt;CondReturn,_xlfn.LOGNORM.INV(RAND(),MV2,Sigma1),IF(RAND()&lt;CondGood,_xlfn.LOGNORM.INV(RAND(),MV3,Sigma2),MIN(MaxMultiple,Xm/(1-RAND())^(1/Alpha)))))</f>
        <v>0.55086518293895081</v>
      </c>
      <c r="Y382" s="19">
        <f ca="1">IF(RAND()&lt;P_Zero,0,IF(RAND()&lt;CondReturn,_xlfn.LOGNORM.INV(RAND(),MV2,Sigma1),IF(RAND()&lt;CondGood,_xlfn.LOGNORM.INV(RAND(),MV3,Sigma2),MIN(MaxMultiple,Xm/(1-RAND())^(1/Alpha)))))</f>
        <v>0.58295416433337921</v>
      </c>
      <c r="Z382" s="19">
        <f ca="1">IF(RAND()&lt;P_Zero,0,IF(RAND()&lt;CondReturn,_xlfn.LOGNORM.INV(RAND(),MV2,Sigma1),IF(RAND()&lt;CondGood,_xlfn.LOGNORM.INV(RAND(),MV3,Sigma2),MIN(MaxMultiple,Xm/(1-RAND())^(1/Alpha)))))</f>
        <v>0</v>
      </c>
      <c r="AA382" s="19">
        <f ca="1">IF(RAND()&lt;P_Zero,0,IF(RAND()&lt;CondReturn,_xlfn.LOGNORM.INV(RAND(),MV2,Sigma1),IF(RAND()&lt;CondGood,_xlfn.LOGNORM.INV(RAND(),MV3,Sigma2),MIN(MaxMultiple,Xm/(1-RAND())^(1/Alpha)))))</f>
        <v>0.84861131278729118</v>
      </c>
      <c r="AB382" s="19">
        <f t="shared" ca="1" si="40"/>
        <v>6.8638507009016356</v>
      </c>
      <c r="AC382" s="14">
        <f t="shared" ca="1" si="41"/>
        <v>329464833.64327854</v>
      </c>
      <c r="AD382" s="14">
        <f t="shared" ca="1" si="42"/>
        <v>281464833.64327854</v>
      </c>
      <c r="AE382" s="14">
        <f t="shared" si="43"/>
        <v>55628399.869093813</v>
      </c>
      <c r="AF382" s="14">
        <f t="shared" ca="1" si="44"/>
        <v>225836433.77418473</v>
      </c>
      <c r="AG382" s="14">
        <f t="shared" ca="1" si="45"/>
        <v>45167286.754836947</v>
      </c>
      <c r="AH382" s="14">
        <f t="shared" ca="1" si="46"/>
        <v>284297546.88844156</v>
      </c>
      <c r="AI382" s="19">
        <f t="shared" ca="1" si="47"/>
        <v>4.7382924481406929</v>
      </c>
    </row>
    <row r="383" spans="2:35" x14ac:dyDescent="0.2">
      <c r="B383" s="1">
        <v>378</v>
      </c>
      <c r="C383" s="19">
        <f ca="1">IF(RAND()&lt;P_Zero,0,IF(RAND()&lt;CondReturn,_xlfn.LOGNORM.INV(RAND(),MV2,Sigma1),IF(RAND()&lt;CondGood,_xlfn.LOGNORM.INV(RAND(),MV3,Sigma2),MIN(MaxMultiple,Xm/(1-RAND())^(1/Alpha)))))</f>
        <v>15.484853168579589</v>
      </c>
      <c r="D383" s="19">
        <f ca="1">IF(RAND()&lt;P_Zero,0,IF(RAND()&lt;CondReturn,_xlfn.LOGNORM.INV(RAND(),MV2,Sigma1),IF(RAND()&lt;CondGood,_xlfn.LOGNORM.INV(RAND(),MV3,Sigma2),MIN(MaxMultiple,Xm/(1-RAND())^(1/Alpha)))))</f>
        <v>0.68012325181281597</v>
      </c>
      <c r="E383" s="19">
        <f ca="1">IF(RAND()&lt;P_Zero,0,IF(RAND()&lt;CondReturn,_xlfn.LOGNORM.INV(RAND(),MV2,Sigma1),IF(RAND()&lt;CondGood,_xlfn.LOGNORM.INV(RAND(),MV3,Sigma2),MIN(MaxMultiple,Xm/(1-RAND())^(1/Alpha)))))</f>
        <v>1.1904760625227448</v>
      </c>
      <c r="F383" s="19">
        <f ca="1">IF(RAND()&lt;P_Zero,0,IF(RAND()&lt;CondReturn,_xlfn.LOGNORM.INV(RAND(),MV2,Sigma1),IF(RAND()&lt;CondGood,_xlfn.LOGNORM.INV(RAND(),MV3,Sigma2),MIN(MaxMultiple,Xm/(1-RAND())^(1/Alpha)))))</f>
        <v>0</v>
      </c>
      <c r="G383" s="19">
        <f ca="1">IF(RAND()&lt;P_Zero,0,IF(RAND()&lt;CondReturn,_xlfn.LOGNORM.INV(RAND(),MV2,Sigma1),IF(RAND()&lt;CondGood,_xlfn.LOGNORM.INV(RAND(),MV3,Sigma2),MIN(MaxMultiple,Xm/(1-RAND())^(1/Alpha)))))</f>
        <v>2.5174520937841551</v>
      </c>
      <c r="H383" s="19">
        <f ca="1">IF(RAND()&lt;P_Zero,0,IF(RAND()&lt;CondReturn,_xlfn.LOGNORM.INV(RAND(),MV2,Sigma1),IF(RAND()&lt;CondGood,_xlfn.LOGNORM.INV(RAND(),MV3,Sigma2),MIN(MaxMultiple,Xm/(1-RAND())^(1/Alpha)))))</f>
        <v>14.181491570672204</v>
      </c>
      <c r="I383" s="19">
        <f ca="1">IF(RAND()&lt;P_Zero,0,IF(RAND()&lt;CondReturn,_xlfn.LOGNORM.INV(RAND(),MV2,Sigma1),IF(RAND()&lt;CondGood,_xlfn.LOGNORM.INV(RAND(),MV3,Sigma2),MIN(MaxMultiple,Xm/(1-RAND())^(1/Alpha)))))</f>
        <v>11.320066806676209</v>
      </c>
      <c r="J383" s="19">
        <f ca="1">IF(RAND()&lt;P_Zero,0,IF(RAND()&lt;CondReturn,_xlfn.LOGNORM.INV(RAND(),MV2,Sigma1),IF(RAND()&lt;CondGood,_xlfn.LOGNORM.INV(RAND(),MV3,Sigma2),MIN(MaxMultiple,Xm/(1-RAND())^(1/Alpha)))))</f>
        <v>2.0531859055791788</v>
      </c>
      <c r="K383" s="19">
        <f ca="1">IF(RAND()&lt;P_Zero,0,IF(RAND()&lt;CondReturn,_xlfn.LOGNORM.INV(RAND(),MV2,Sigma1),IF(RAND()&lt;CondGood,_xlfn.LOGNORM.INV(RAND(),MV3,Sigma2),MIN(MaxMultiple,Xm/(1-RAND())^(1/Alpha)))))</f>
        <v>0</v>
      </c>
      <c r="L383" s="19">
        <f ca="1">IF(RAND()&lt;P_Zero,0,IF(RAND()&lt;CondReturn,_xlfn.LOGNORM.INV(RAND(),MV2,Sigma1),IF(RAND()&lt;CondGood,_xlfn.LOGNORM.INV(RAND(),MV3,Sigma2),MIN(MaxMultiple,Xm/(1-RAND())^(1/Alpha)))))</f>
        <v>0</v>
      </c>
      <c r="M383" s="19">
        <f ca="1">IF(RAND()&lt;P_Zero,0,IF(RAND()&lt;CondReturn,_xlfn.LOGNORM.INV(RAND(),MV2,Sigma1),IF(RAND()&lt;CondGood,_xlfn.LOGNORM.INV(RAND(),MV3,Sigma2),MIN(MaxMultiple,Xm/(1-RAND())^(1/Alpha)))))</f>
        <v>0</v>
      </c>
      <c r="N383" s="19">
        <f ca="1">IF(RAND()&lt;P_Zero,0,IF(RAND()&lt;CondReturn,_xlfn.LOGNORM.INV(RAND(),MV2,Sigma1),IF(RAND()&lt;CondGood,_xlfn.LOGNORM.INV(RAND(),MV3,Sigma2),MIN(MaxMultiple,Xm/(1-RAND())^(1/Alpha)))))</f>
        <v>0.79661328660835473</v>
      </c>
      <c r="O383" s="19">
        <f ca="1">IF(RAND()&lt;P_Zero,0,IF(RAND()&lt;CondReturn,_xlfn.LOGNORM.INV(RAND(),MV2,Sigma1),IF(RAND()&lt;CondGood,_xlfn.LOGNORM.INV(RAND(),MV3,Sigma2),MIN(MaxMultiple,Xm/(1-RAND())^(1/Alpha)))))</f>
        <v>0.74441020118771994</v>
      </c>
      <c r="P383" s="19">
        <f ca="1">IF(RAND()&lt;P_Zero,0,IF(RAND()&lt;CondReturn,_xlfn.LOGNORM.INV(RAND(),MV2,Sigma1),IF(RAND()&lt;CondGood,_xlfn.LOGNORM.INV(RAND(),MV3,Sigma2),MIN(MaxMultiple,Xm/(1-RAND())^(1/Alpha)))))</f>
        <v>0</v>
      </c>
      <c r="Q383" s="19">
        <f ca="1">IF(RAND()&lt;P_Zero,0,IF(RAND()&lt;CondReturn,_xlfn.LOGNORM.INV(RAND(),MV2,Sigma1),IF(RAND()&lt;CondGood,_xlfn.LOGNORM.INV(RAND(),MV3,Sigma2),MIN(MaxMultiple,Xm/(1-RAND())^(1/Alpha)))))</f>
        <v>2.0300698002142048</v>
      </c>
      <c r="R383" s="19">
        <f ca="1">IF(RAND()&lt;P_Zero,0,IF(RAND()&lt;CondReturn,_xlfn.LOGNORM.INV(RAND(),MV2,Sigma1),IF(RAND()&lt;CondGood,_xlfn.LOGNORM.INV(RAND(),MV3,Sigma2),MIN(MaxMultiple,Xm/(1-RAND())^(1/Alpha)))))</f>
        <v>1.7417961427458963</v>
      </c>
      <c r="S383" s="19">
        <f ca="1">IF(RAND()&lt;P_Zero,0,IF(RAND()&lt;CondReturn,_xlfn.LOGNORM.INV(RAND(),MV2,Sigma1),IF(RAND()&lt;CondGood,_xlfn.LOGNORM.INV(RAND(),MV3,Sigma2),MIN(MaxMultiple,Xm/(1-RAND())^(1/Alpha)))))</f>
        <v>0</v>
      </c>
      <c r="T383" s="19">
        <f ca="1">IF(RAND()&lt;P_Zero,0,IF(RAND()&lt;CondReturn,_xlfn.LOGNORM.INV(RAND(),MV2,Sigma1),IF(RAND()&lt;CondGood,_xlfn.LOGNORM.INV(RAND(),MV3,Sigma2),MIN(MaxMultiple,Xm/(1-RAND())^(1/Alpha)))))</f>
        <v>0</v>
      </c>
      <c r="U383" s="19">
        <f ca="1">IF(RAND()&lt;P_Zero,0,IF(RAND()&lt;CondReturn,_xlfn.LOGNORM.INV(RAND(),MV2,Sigma1),IF(RAND()&lt;CondGood,_xlfn.LOGNORM.INV(RAND(),MV3,Sigma2),MIN(MaxMultiple,Xm/(1-RAND())^(1/Alpha)))))</f>
        <v>0</v>
      </c>
      <c r="V383" s="19">
        <f ca="1">IF(RAND()&lt;P_Zero,0,IF(RAND()&lt;CondReturn,_xlfn.LOGNORM.INV(RAND(),MV2,Sigma1),IF(RAND()&lt;CondGood,_xlfn.LOGNORM.INV(RAND(),MV3,Sigma2),MIN(MaxMultiple,Xm/(1-RAND())^(1/Alpha)))))</f>
        <v>0.8458573647818467</v>
      </c>
      <c r="W383" s="19">
        <f ca="1">IF(RAND()&lt;P_Zero,0,IF(RAND()&lt;CondReturn,_xlfn.LOGNORM.INV(RAND(),MV2,Sigma1),IF(RAND()&lt;CondGood,_xlfn.LOGNORM.INV(RAND(),MV3,Sigma2),MIN(MaxMultiple,Xm/(1-RAND())^(1/Alpha)))))</f>
        <v>0</v>
      </c>
      <c r="X383" s="19">
        <f ca="1">IF(RAND()&lt;P_Zero,0,IF(RAND()&lt;CondReturn,_xlfn.LOGNORM.INV(RAND(),MV2,Sigma1),IF(RAND()&lt;CondGood,_xlfn.LOGNORM.INV(RAND(),MV3,Sigma2),MIN(MaxMultiple,Xm/(1-RAND())^(1/Alpha)))))</f>
        <v>11.755082386072795</v>
      </c>
      <c r="Y383" s="19">
        <f ca="1">IF(RAND()&lt;P_Zero,0,IF(RAND()&lt;CondReturn,_xlfn.LOGNORM.INV(RAND(),MV2,Sigma1),IF(RAND()&lt;CondGood,_xlfn.LOGNORM.INV(RAND(),MV3,Sigma2),MIN(MaxMultiple,Xm/(1-RAND())^(1/Alpha)))))</f>
        <v>1.0173314850748669</v>
      </c>
      <c r="Z383" s="19">
        <f ca="1">IF(RAND()&lt;P_Zero,0,IF(RAND()&lt;CondReturn,_xlfn.LOGNORM.INV(RAND(),MV2,Sigma1),IF(RAND()&lt;CondGood,_xlfn.LOGNORM.INV(RAND(),MV3,Sigma2),MIN(MaxMultiple,Xm/(1-RAND())^(1/Alpha)))))</f>
        <v>1.1508206670100281</v>
      </c>
      <c r="AA383" s="19">
        <f ca="1">IF(RAND()&lt;P_Zero,0,IF(RAND()&lt;CondReturn,_xlfn.LOGNORM.INV(RAND(),MV2,Sigma1),IF(RAND()&lt;CondGood,_xlfn.LOGNORM.INV(RAND(),MV3,Sigma2),MIN(MaxMultiple,Xm/(1-RAND())^(1/Alpha)))))</f>
        <v>0</v>
      </c>
      <c r="AB383" s="19">
        <f t="shared" ca="1" si="40"/>
        <v>2.7003852077329045</v>
      </c>
      <c r="AC383" s="14">
        <f t="shared" ca="1" si="41"/>
        <v>129618489.97117941</v>
      </c>
      <c r="AD383" s="14">
        <f t="shared" ca="1" si="42"/>
        <v>81618489.971179411</v>
      </c>
      <c r="AE383" s="14">
        <f t="shared" si="43"/>
        <v>55628399.869093813</v>
      </c>
      <c r="AF383" s="14">
        <f t="shared" ca="1" si="44"/>
        <v>25990090.102085598</v>
      </c>
      <c r="AG383" s="14">
        <f t="shared" ca="1" si="45"/>
        <v>5198018.0204171203</v>
      </c>
      <c r="AH383" s="14">
        <f t="shared" ca="1" si="46"/>
        <v>124420471.95076229</v>
      </c>
      <c r="AI383" s="19">
        <f t="shared" ca="1" si="47"/>
        <v>2.0736745325127046</v>
      </c>
    </row>
    <row r="384" spans="2:35" x14ac:dyDescent="0.2">
      <c r="B384" s="1">
        <v>379</v>
      </c>
      <c r="C384" s="19">
        <f ca="1">IF(RAND()&lt;P_Zero,0,IF(RAND()&lt;CondReturn,_xlfn.LOGNORM.INV(RAND(),MV2,Sigma1),IF(RAND()&lt;CondGood,_xlfn.LOGNORM.INV(RAND(),MV3,Sigma2),MIN(MaxMultiple,Xm/(1-RAND())^(1/Alpha)))))</f>
        <v>0</v>
      </c>
      <c r="D384" s="19">
        <f ca="1">IF(RAND()&lt;P_Zero,0,IF(RAND()&lt;CondReturn,_xlfn.LOGNORM.INV(RAND(),MV2,Sigma1),IF(RAND()&lt;CondGood,_xlfn.LOGNORM.INV(RAND(),MV3,Sigma2),MIN(MaxMultiple,Xm/(1-RAND())^(1/Alpha)))))</f>
        <v>0</v>
      </c>
      <c r="E384" s="19">
        <f ca="1">IF(RAND()&lt;P_Zero,0,IF(RAND()&lt;CondReturn,_xlfn.LOGNORM.INV(RAND(),MV2,Sigma1),IF(RAND()&lt;CondGood,_xlfn.LOGNORM.INV(RAND(),MV3,Sigma2),MIN(MaxMultiple,Xm/(1-RAND())^(1/Alpha)))))</f>
        <v>0.88329996694347868</v>
      </c>
      <c r="F384" s="19">
        <f ca="1">IF(RAND()&lt;P_Zero,0,IF(RAND()&lt;CondReturn,_xlfn.LOGNORM.INV(RAND(),MV2,Sigma1),IF(RAND()&lt;CondGood,_xlfn.LOGNORM.INV(RAND(),MV3,Sigma2),MIN(MaxMultiple,Xm/(1-RAND())^(1/Alpha)))))</f>
        <v>3.0386525130281115</v>
      </c>
      <c r="G384" s="19">
        <f ca="1">IF(RAND()&lt;P_Zero,0,IF(RAND()&lt;CondReturn,_xlfn.LOGNORM.INV(RAND(),MV2,Sigma1),IF(RAND()&lt;CondGood,_xlfn.LOGNORM.INV(RAND(),MV3,Sigma2),MIN(MaxMultiple,Xm/(1-RAND())^(1/Alpha)))))</f>
        <v>0</v>
      </c>
      <c r="H384" s="19">
        <f ca="1">IF(RAND()&lt;P_Zero,0,IF(RAND()&lt;CondReturn,_xlfn.LOGNORM.INV(RAND(),MV2,Sigma1),IF(RAND()&lt;CondGood,_xlfn.LOGNORM.INV(RAND(),MV3,Sigma2),MIN(MaxMultiple,Xm/(1-RAND())^(1/Alpha)))))</f>
        <v>0.95653088698790067</v>
      </c>
      <c r="I384" s="19">
        <f ca="1">IF(RAND()&lt;P_Zero,0,IF(RAND()&lt;CondReturn,_xlfn.LOGNORM.INV(RAND(),MV2,Sigma1),IF(RAND()&lt;CondGood,_xlfn.LOGNORM.INV(RAND(),MV3,Sigma2),MIN(MaxMultiple,Xm/(1-RAND())^(1/Alpha)))))</f>
        <v>0.38047663849111557</v>
      </c>
      <c r="J384" s="19">
        <f ca="1">IF(RAND()&lt;P_Zero,0,IF(RAND()&lt;CondReturn,_xlfn.LOGNORM.INV(RAND(),MV2,Sigma1),IF(RAND()&lt;CondGood,_xlfn.LOGNORM.INV(RAND(),MV3,Sigma2),MIN(MaxMultiple,Xm/(1-RAND())^(1/Alpha)))))</f>
        <v>0</v>
      </c>
      <c r="K384" s="19">
        <f ca="1">IF(RAND()&lt;P_Zero,0,IF(RAND()&lt;CondReturn,_xlfn.LOGNORM.INV(RAND(),MV2,Sigma1),IF(RAND()&lt;CondGood,_xlfn.LOGNORM.INV(RAND(),MV3,Sigma2),MIN(MaxMultiple,Xm/(1-RAND())^(1/Alpha)))))</f>
        <v>1.1659967203554165</v>
      </c>
      <c r="L384" s="19">
        <f ca="1">IF(RAND()&lt;P_Zero,0,IF(RAND()&lt;CondReturn,_xlfn.LOGNORM.INV(RAND(),MV2,Sigma1),IF(RAND()&lt;CondGood,_xlfn.LOGNORM.INV(RAND(),MV3,Sigma2),MIN(MaxMultiple,Xm/(1-RAND())^(1/Alpha)))))</f>
        <v>0.42140387270645702</v>
      </c>
      <c r="M384" s="19">
        <f ca="1">IF(RAND()&lt;P_Zero,0,IF(RAND()&lt;CondReturn,_xlfn.LOGNORM.INV(RAND(),MV2,Sigma1),IF(RAND()&lt;CondGood,_xlfn.LOGNORM.INV(RAND(),MV3,Sigma2),MIN(MaxMultiple,Xm/(1-RAND())^(1/Alpha)))))</f>
        <v>0</v>
      </c>
      <c r="N384" s="19">
        <f ca="1">IF(RAND()&lt;P_Zero,0,IF(RAND()&lt;CondReturn,_xlfn.LOGNORM.INV(RAND(),MV2,Sigma1),IF(RAND()&lt;CondGood,_xlfn.LOGNORM.INV(RAND(),MV3,Sigma2),MIN(MaxMultiple,Xm/(1-RAND())^(1/Alpha)))))</f>
        <v>0.32105450161260052</v>
      </c>
      <c r="O384" s="19">
        <f ca="1">IF(RAND()&lt;P_Zero,0,IF(RAND()&lt;CondReturn,_xlfn.LOGNORM.INV(RAND(),MV2,Sigma1),IF(RAND()&lt;CondGood,_xlfn.LOGNORM.INV(RAND(),MV3,Sigma2),MIN(MaxMultiple,Xm/(1-RAND())^(1/Alpha)))))</f>
        <v>0</v>
      </c>
      <c r="P384" s="19">
        <f ca="1">IF(RAND()&lt;P_Zero,0,IF(RAND()&lt;CondReturn,_xlfn.LOGNORM.INV(RAND(),MV2,Sigma1),IF(RAND()&lt;CondGood,_xlfn.LOGNORM.INV(RAND(),MV3,Sigma2),MIN(MaxMultiple,Xm/(1-RAND())^(1/Alpha)))))</f>
        <v>1.1560013224462351</v>
      </c>
      <c r="Q384" s="19">
        <f ca="1">IF(RAND()&lt;P_Zero,0,IF(RAND()&lt;CondReturn,_xlfn.LOGNORM.INV(RAND(),MV2,Sigma1),IF(RAND()&lt;CondGood,_xlfn.LOGNORM.INV(RAND(),MV3,Sigma2),MIN(MaxMultiple,Xm/(1-RAND())^(1/Alpha)))))</f>
        <v>0</v>
      </c>
      <c r="R384" s="19">
        <f ca="1">IF(RAND()&lt;P_Zero,0,IF(RAND()&lt;CondReturn,_xlfn.LOGNORM.INV(RAND(),MV2,Sigma1),IF(RAND()&lt;CondGood,_xlfn.LOGNORM.INV(RAND(),MV3,Sigma2),MIN(MaxMultiple,Xm/(1-RAND())^(1/Alpha)))))</f>
        <v>1.5031608905612273</v>
      </c>
      <c r="S384" s="19">
        <f ca="1">IF(RAND()&lt;P_Zero,0,IF(RAND()&lt;CondReturn,_xlfn.LOGNORM.INV(RAND(),MV2,Sigma1),IF(RAND()&lt;CondGood,_xlfn.LOGNORM.INV(RAND(),MV3,Sigma2),MIN(MaxMultiple,Xm/(1-RAND())^(1/Alpha)))))</f>
        <v>0</v>
      </c>
      <c r="T384" s="19">
        <f ca="1">IF(RAND()&lt;P_Zero,0,IF(RAND()&lt;CondReturn,_xlfn.LOGNORM.INV(RAND(),MV2,Sigma1),IF(RAND()&lt;CondGood,_xlfn.LOGNORM.INV(RAND(),MV3,Sigma2),MIN(MaxMultiple,Xm/(1-RAND())^(1/Alpha)))))</f>
        <v>0</v>
      </c>
      <c r="U384" s="19">
        <f ca="1">IF(RAND()&lt;P_Zero,0,IF(RAND()&lt;CondReturn,_xlfn.LOGNORM.INV(RAND(),MV2,Sigma1),IF(RAND()&lt;CondGood,_xlfn.LOGNORM.INV(RAND(),MV3,Sigma2),MIN(MaxMultiple,Xm/(1-RAND())^(1/Alpha)))))</f>
        <v>1.2641458901310856</v>
      </c>
      <c r="V384" s="19">
        <f ca="1">IF(RAND()&lt;P_Zero,0,IF(RAND()&lt;CondReturn,_xlfn.LOGNORM.INV(RAND(),MV2,Sigma1),IF(RAND()&lt;CondGood,_xlfn.LOGNORM.INV(RAND(),MV3,Sigma2),MIN(MaxMultiple,Xm/(1-RAND())^(1/Alpha)))))</f>
        <v>0</v>
      </c>
      <c r="W384" s="19">
        <f ca="1">IF(RAND()&lt;P_Zero,0,IF(RAND()&lt;CondReturn,_xlfn.LOGNORM.INV(RAND(),MV2,Sigma1),IF(RAND()&lt;CondGood,_xlfn.LOGNORM.INV(RAND(),MV3,Sigma2),MIN(MaxMultiple,Xm/(1-RAND())^(1/Alpha)))))</f>
        <v>0.73330871609338621</v>
      </c>
      <c r="X384" s="19">
        <f ca="1">IF(RAND()&lt;P_Zero,0,IF(RAND()&lt;CondReturn,_xlfn.LOGNORM.INV(RAND(),MV2,Sigma1),IF(RAND()&lt;CondGood,_xlfn.LOGNORM.INV(RAND(),MV3,Sigma2),MIN(MaxMultiple,Xm/(1-RAND())^(1/Alpha)))))</f>
        <v>0.90283961333482488</v>
      </c>
      <c r="Y384" s="19">
        <f ca="1">IF(RAND()&lt;P_Zero,0,IF(RAND()&lt;CondReturn,_xlfn.LOGNORM.INV(RAND(),MV2,Sigma1),IF(RAND()&lt;CondGood,_xlfn.LOGNORM.INV(RAND(),MV3,Sigma2),MIN(MaxMultiple,Xm/(1-RAND())^(1/Alpha)))))</f>
        <v>1.4936281041187125</v>
      </c>
      <c r="Z384" s="19">
        <f ca="1">IF(RAND()&lt;P_Zero,0,IF(RAND()&lt;CondReturn,_xlfn.LOGNORM.INV(RAND(),MV2,Sigma1),IF(RAND()&lt;CondGood,_xlfn.LOGNORM.INV(RAND(),MV3,Sigma2),MIN(MaxMultiple,Xm/(1-RAND())^(1/Alpha)))))</f>
        <v>0.77754246260520443</v>
      </c>
      <c r="AA384" s="19">
        <f ca="1">IF(RAND()&lt;P_Zero,0,IF(RAND()&lt;CondReturn,_xlfn.LOGNORM.INV(RAND(),MV2,Sigma1),IF(RAND()&lt;CondGood,_xlfn.LOGNORM.INV(RAND(),MV3,Sigma2),MIN(MaxMultiple,Xm/(1-RAND())^(1/Alpha)))))</f>
        <v>1.4115234544704682</v>
      </c>
      <c r="AB384" s="19">
        <f t="shared" ca="1" si="40"/>
        <v>0.65638262215544918</v>
      </c>
      <c r="AC384" s="14">
        <f t="shared" ca="1" si="41"/>
        <v>31506365.863461562</v>
      </c>
      <c r="AD384" s="14">
        <f t="shared" ca="1" si="42"/>
        <v>-16493634.136538438</v>
      </c>
      <c r="AE384" s="14">
        <f t="shared" si="43"/>
        <v>55628399.869093813</v>
      </c>
      <c r="AF384" s="14">
        <f t="shared" ca="1" si="44"/>
        <v>0</v>
      </c>
      <c r="AG384" s="14">
        <f t="shared" ca="1" si="45"/>
        <v>0</v>
      </c>
      <c r="AH384" s="14">
        <f t="shared" ca="1" si="46"/>
        <v>31506365.863461562</v>
      </c>
      <c r="AI384" s="19">
        <f t="shared" ca="1" si="47"/>
        <v>0.52510609772435934</v>
      </c>
    </row>
    <row r="385" spans="2:35" x14ac:dyDescent="0.2">
      <c r="B385" s="1">
        <v>380</v>
      </c>
      <c r="C385" s="19">
        <f ca="1">IF(RAND()&lt;P_Zero,0,IF(RAND()&lt;CondReturn,_xlfn.LOGNORM.INV(RAND(),MV2,Sigma1),IF(RAND()&lt;CondGood,_xlfn.LOGNORM.INV(RAND(),MV3,Sigma2),MIN(MaxMultiple,Xm/(1-RAND())^(1/Alpha)))))</f>
        <v>1.6576651150627919</v>
      </c>
      <c r="D385" s="19">
        <f ca="1">IF(RAND()&lt;P_Zero,0,IF(RAND()&lt;CondReturn,_xlfn.LOGNORM.INV(RAND(),MV2,Sigma1),IF(RAND()&lt;CondGood,_xlfn.LOGNORM.INV(RAND(),MV3,Sigma2),MIN(MaxMultiple,Xm/(1-RAND())^(1/Alpha)))))</f>
        <v>0</v>
      </c>
      <c r="E385" s="19">
        <f ca="1">IF(RAND()&lt;P_Zero,0,IF(RAND()&lt;CondReturn,_xlfn.LOGNORM.INV(RAND(),MV2,Sigma1),IF(RAND()&lt;CondGood,_xlfn.LOGNORM.INV(RAND(),MV3,Sigma2),MIN(MaxMultiple,Xm/(1-RAND())^(1/Alpha)))))</f>
        <v>0</v>
      </c>
      <c r="F385" s="19">
        <f ca="1">IF(RAND()&lt;P_Zero,0,IF(RAND()&lt;CondReturn,_xlfn.LOGNORM.INV(RAND(),MV2,Sigma1),IF(RAND()&lt;CondGood,_xlfn.LOGNORM.INV(RAND(),MV3,Sigma2),MIN(MaxMultiple,Xm/(1-RAND())^(1/Alpha)))))</f>
        <v>1.4089186787014156</v>
      </c>
      <c r="G385" s="19">
        <f ca="1">IF(RAND()&lt;P_Zero,0,IF(RAND()&lt;CondReturn,_xlfn.LOGNORM.INV(RAND(),MV2,Sigma1),IF(RAND()&lt;CondGood,_xlfn.LOGNORM.INV(RAND(),MV3,Sigma2),MIN(MaxMultiple,Xm/(1-RAND())^(1/Alpha)))))</f>
        <v>0</v>
      </c>
      <c r="H385" s="19">
        <f ca="1">IF(RAND()&lt;P_Zero,0,IF(RAND()&lt;CondReturn,_xlfn.LOGNORM.INV(RAND(),MV2,Sigma1),IF(RAND()&lt;CondGood,_xlfn.LOGNORM.INV(RAND(),MV3,Sigma2),MIN(MaxMultiple,Xm/(1-RAND())^(1/Alpha)))))</f>
        <v>15.834131420237004</v>
      </c>
      <c r="I385" s="19">
        <f ca="1">IF(RAND()&lt;P_Zero,0,IF(RAND()&lt;CondReturn,_xlfn.LOGNORM.INV(RAND(),MV2,Sigma1),IF(RAND()&lt;CondGood,_xlfn.LOGNORM.INV(RAND(),MV3,Sigma2),MIN(MaxMultiple,Xm/(1-RAND())^(1/Alpha)))))</f>
        <v>1.0037457747729364</v>
      </c>
      <c r="J385" s="19">
        <f ca="1">IF(RAND()&lt;P_Zero,0,IF(RAND()&lt;CondReturn,_xlfn.LOGNORM.INV(RAND(),MV2,Sigma1),IF(RAND()&lt;CondGood,_xlfn.LOGNORM.INV(RAND(),MV3,Sigma2),MIN(MaxMultiple,Xm/(1-RAND())^(1/Alpha)))))</f>
        <v>1.184937770965417</v>
      </c>
      <c r="K385" s="19">
        <f ca="1">IF(RAND()&lt;P_Zero,0,IF(RAND()&lt;CondReturn,_xlfn.LOGNORM.INV(RAND(),MV2,Sigma1),IF(RAND()&lt;CondGood,_xlfn.LOGNORM.INV(RAND(),MV3,Sigma2),MIN(MaxMultiple,Xm/(1-RAND())^(1/Alpha)))))</f>
        <v>0.62144833738210614</v>
      </c>
      <c r="L385" s="19">
        <f ca="1">IF(RAND()&lt;P_Zero,0,IF(RAND()&lt;CondReturn,_xlfn.LOGNORM.INV(RAND(),MV2,Sigma1),IF(RAND()&lt;CondGood,_xlfn.LOGNORM.INV(RAND(),MV3,Sigma2),MIN(MaxMultiple,Xm/(1-RAND())^(1/Alpha)))))</f>
        <v>0</v>
      </c>
      <c r="M385" s="19">
        <f ca="1">IF(RAND()&lt;P_Zero,0,IF(RAND()&lt;CondReturn,_xlfn.LOGNORM.INV(RAND(),MV2,Sigma1),IF(RAND()&lt;CondGood,_xlfn.LOGNORM.INV(RAND(),MV3,Sigma2),MIN(MaxMultiple,Xm/(1-RAND())^(1/Alpha)))))</f>
        <v>0.83942155315027644</v>
      </c>
      <c r="N385" s="19">
        <f ca="1">IF(RAND()&lt;P_Zero,0,IF(RAND()&lt;CondReturn,_xlfn.LOGNORM.INV(RAND(),MV2,Sigma1),IF(RAND()&lt;CondGood,_xlfn.LOGNORM.INV(RAND(),MV3,Sigma2),MIN(MaxMultiple,Xm/(1-RAND())^(1/Alpha)))))</f>
        <v>32.282058815314777</v>
      </c>
      <c r="O385" s="19">
        <f ca="1">IF(RAND()&lt;P_Zero,0,IF(RAND()&lt;CondReturn,_xlfn.LOGNORM.INV(RAND(),MV2,Sigma1),IF(RAND()&lt;CondGood,_xlfn.LOGNORM.INV(RAND(),MV3,Sigma2),MIN(MaxMultiple,Xm/(1-RAND())^(1/Alpha)))))</f>
        <v>0</v>
      </c>
      <c r="P385" s="19">
        <f ca="1">IF(RAND()&lt;P_Zero,0,IF(RAND()&lt;CondReturn,_xlfn.LOGNORM.INV(RAND(),MV2,Sigma1),IF(RAND()&lt;CondGood,_xlfn.LOGNORM.INV(RAND(),MV3,Sigma2),MIN(MaxMultiple,Xm/(1-RAND())^(1/Alpha)))))</f>
        <v>10.53087614748814</v>
      </c>
      <c r="Q385" s="19">
        <f ca="1">IF(RAND()&lt;P_Zero,0,IF(RAND()&lt;CondReturn,_xlfn.LOGNORM.INV(RAND(),MV2,Sigma1),IF(RAND()&lt;CondGood,_xlfn.LOGNORM.INV(RAND(),MV3,Sigma2),MIN(MaxMultiple,Xm/(1-RAND())^(1/Alpha)))))</f>
        <v>0</v>
      </c>
      <c r="R385" s="19">
        <f ca="1">IF(RAND()&lt;P_Zero,0,IF(RAND()&lt;CondReturn,_xlfn.LOGNORM.INV(RAND(),MV2,Sigma1),IF(RAND()&lt;CondGood,_xlfn.LOGNORM.INV(RAND(),MV3,Sigma2),MIN(MaxMultiple,Xm/(1-RAND())^(1/Alpha)))))</f>
        <v>1.0289160423008488</v>
      </c>
      <c r="S385" s="19">
        <f ca="1">IF(RAND()&lt;P_Zero,0,IF(RAND()&lt;CondReturn,_xlfn.LOGNORM.INV(RAND(),MV2,Sigma1),IF(RAND()&lt;CondGood,_xlfn.LOGNORM.INV(RAND(),MV3,Sigma2),MIN(MaxMultiple,Xm/(1-RAND())^(1/Alpha)))))</f>
        <v>0.80119229373544809</v>
      </c>
      <c r="T385" s="19">
        <f ca="1">IF(RAND()&lt;P_Zero,0,IF(RAND()&lt;CondReturn,_xlfn.LOGNORM.INV(RAND(),MV2,Sigma1),IF(RAND()&lt;CondGood,_xlfn.LOGNORM.INV(RAND(),MV3,Sigma2),MIN(MaxMultiple,Xm/(1-RAND())^(1/Alpha)))))</f>
        <v>1.1137165645524456</v>
      </c>
      <c r="U385" s="19">
        <f ca="1">IF(RAND()&lt;P_Zero,0,IF(RAND()&lt;CondReturn,_xlfn.LOGNORM.INV(RAND(),MV2,Sigma1),IF(RAND()&lt;CondGood,_xlfn.LOGNORM.INV(RAND(),MV3,Sigma2),MIN(MaxMultiple,Xm/(1-RAND())^(1/Alpha)))))</f>
        <v>0.94767587174854573</v>
      </c>
      <c r="V385" s="19">
        <f ca="1">IF(RAND()&lt;P_Zero,0,IF(RAND()&lt;CondReturn,_xlfn.LOGNORM.INV(RAND(),MV2,Sigma1),IF(RAND()&lt;CondGood,_xlfn.LOGNORM.INV(RAND(),MV3,Sigma2),MIN(MaxMultiple,Xm/(1-RAND())^(1/Alpha)))))</f>
        <v>0</v>
      </c>
      <c r="W385" s="19">
        <f ca="1">IF(RAND()&lt;P_Zero,0,IF(RAND()&lt;CondReturn,_xlfn.LOGNORM.INV(RAND(),MV2,Sigma1),IF(RAND()&lt;CondGood,_xlfn.LOGNORM.INV(RAND(),MV3,Sigma2),MIN(MaxMultiple,Xm/(1-RAND())^(1/Alpha)))))</f>
        <v>0</v>
      </c>
      <c r="X385" s="19">
        <f ca="1">IF(RAND()&lt;P_Zero,0,IF(RAND()&lt;CondReturn,_xlfn.LOGNORM.INV(RAND(),MV2,Sigma1),IF(RAND()&lt;CondGood,_xlfn.LOGNORM.INV(RAND(),MV3,Sigma2),MIN(MaxMultiple,Xm/(1-RAND())^(1/Alpha)))))</f>
        <v>1.4998283173441964</v>
      </c>
      <c r="Y385" s="19">
        <f ca="1">IF(RAND()&lt;P_Zero,0,IF(RAND()&lt;CondReturn,_xlfn.LOGNORM.INV(RAND(),MV2,Sigma1),IF(RAND()&lt;CondGood,_xlfn.LOGNORM.INV(RAND(),MV3,Sigma2),MIN(MaxMultiple,Xm/(1-RAND())^(1/Alpha)))))</f>
        <v>0.70409453851541737</v>
      </c>
      <c r="Z385" s="19">
        <f ca="1">IF(RAND()&lt;P_Zero,0,IF(RAND()&lt;CondReturn,_xlfn.LOGNORM.INV(RAND(),MV2,Sigma1),IF(RAND()&lt;CondGood,_xlfn.LOGNORM.INV(RAND(),MV3,Sigma2),MIN(MaxMultiple,Xm/(1-RAND())^(1/Alpha)))))</f>
        <v>0</v>
      </c>
      <c r="AA385" s="19">
        <f ca="1">IF(RAND()&lt;P_Zero,0,IF(RAND()&lt;CondReturn,_xlfn.LOGNORM.INV(RAND(),MV2,Sigma1),IF(RAND()&lt;CondGood,_xlfn.LOGNORM.INV(RAND(),MV3,Sigma2),MIN(MaxMultiple,Xm/(1-RAND())^(1/Alpha)))))</f>
        <v>1.7881817102339927</v>
      </c>
      <c r="AB385" s="19">
        <f t="shared" ca="1" si="40"/>
        <v>2.9298723580602308</v>
      </c>
      <c r="AC385" s="14">
        <f t="shared" ca="1" si="41"/>
        <v>140633873.18689108</v>
      </c>
      <c r="AD385" s="14">
        <f t="shared" ca="1" si="42"/>
        <v>92633873.186891079</v>
      </c>
      <c r="AE385" s="14">
        <f t="shared" si="43"/>
        <v>55628399.869093813</v>
      </c>
      <c r="AF385" s="14">
        <f t="shared" ca="1" si="44"/>
        <v>37005473.317797266</v>
      </c>
      <c r="AG385" s="14">
        <f t="shared" ca="1" si="45"/>
        <v>7401094.6635594536</v>
      </c>
      <c r="AH385" s="14">
        <f t="shared" ca="1" si="46"/>
        <v>133232778.52333163</v>
      </c>
      <c r="AI385" s="19">
        <f t="shared" ca="1" si="47"/>
        <v>2.2205463087221937</v>
      </c>
    </row>
    <row r="386" spans="2:35" x14ac:dyDescent="0.2">
      <c r="B386" s="1">
        <v>381</v>
      </c>
      <c r="C386" s="19">
        <f ca="1">IF(RAND()&lt;P_Zero,0,IF(RAND()&lt;CondReturn,_xlfn.LOGNORM.INV(RAND(),MV2,Sigma1),IF(RAND()&lt;CondGood,_xlfn.LOGNORM.INV(RAND(),MV3,Sigma2),MIN(MaxMultiple,Xm/(1-RAND())^(1/Alpha)))))</f>
        <v>32.332339836048575</v>
      </c>
      <c r="D386" s="19">
        <f ca="1">IF(RAND()&lt;P_Zero,0,IF(RAND()&lt;CondReturn,_xlfn.LOGNORM.INV(RAND(),MV2,Sigma1),IF(RAND()&lt;CondGood,_xlfn.LOGNORM.INV(RAND(),MV3,Sigma2),MIN(MaxMultiple,Xm/(1-RAND())^(1/Alpha)))))</f>
        <v>0</v>
      </c>
      <c r="E386" s="19">
        <f ca="1">IF(RAND()&lt;P_Zero,0,IF(RAND()&lt;CondReturn,_xlfn.LOGNORM.INV(RAND(),MV2,Sigma1),IF(RAND()&lt;CondGood,_xlfn.LOGNORM.INV(RAND(),MV3,Sigma2),MIN(MaxMultiple,Xm/(1-RAND())^(1/Alpha)))))</f>
        <v>1.0453623965630849</v>
      </c>
      <c r="F386" s="19">
        <f ca="1">IF(RAND()&lt;P_Zero,0,IF(RAND()&lt;CondReturn,_xlfn.LOGNORM.INV(RAND(),MV2,Sigma1),IF(RAND()&lt;CondGood,_xlfn.LOGNORM.INV(RAND(),MV3,Sigma2),MIN(MaxMultiple,Xm/(1-RAND())^(1/Alpha)))))</f>
        <v>3.3494500040375339</v>
      </c>
      <c r="G386" s="19">
        <f ca="1">IF(RAND()&lt;P_Zero,0,IF(RAND()&lt;CondReturn,_xlfn.LOGNORM.INV(RAND(),MV2,Sigma1),IF(RAND()&lt;CondGood,_xlfn.LOGNORM.INV(RAND(),MV3,Sigma2),MIN(MaxMultiple,Xm/(1-RAND())^(1/Alpha)))))</f>
        <v>1.1020135424985908</v>
      </c>
      <c r="H386" s="19">
        <f ca="1">IF(RAND()&lt;P_Zero,0,IF(RAND()&lt;CondReturn,_xlfn.LOGNORM.INV(RAND(),MV2,Sigma1),IF(RAND()&lt;CondGood,_xlfn.LOGNORM.INV(RAND(),MV3,Sigma2),MIN(MaxMultiple,Xm/(1-RAND())^(1/Alpha)))))</f>
        <v>0.54062785309657146</v>
      </c>
      <c r="I386" s="19">
        <f ca="1">IF(RAND()&lt;P_Zero,0,IF(RAND()&lt;CondReturn,_xlfn.LOGNORM.INV(RAND(),MV2,Sigma1),IF(RAND()&lt;CondGood,_xlfn.LOGNORM.INV(RAND(),MV3,Sigma2),MIN(MaxMultiple,Xm/(1-RAND())^(1/Alpha)))))</f>
        <v>0</v>
      </c>
      <c r="J386" s="19">
        <f ca="1">IF(RAND()&lt;P_Zero,0,IF(RAND()&lt;CondReturn,_xlfn.LOGNORM.INV(RAND(),MV2,Sigma1),IF(RAND()&lt;CondGood,_xlfn.LOGNORM.INV(RAND(),MV3,Sigma2),MIN(MaxMultiple,Xm/(1-RAND())^(1/Alpha)))))</f>
        <v>1.0274738704317374</v>
      </c>
      <c r="K386" s="19">
        <f ca="1">IF(RAND()&lt;P_Zero,0,IF(RAND()&lt;CondReturn,_xlfn.LOGNORM.INV(RAND(),MV2,Sigma1),IF(RAND()&lt;CondGood,_xlfn.LOGNORM.INV(RAND(),MV3,Sigma2),MIN(MaxMultiple,Xm/(1-RAND())^(1/Alpha)))))</f>
        <v>22.664096216250371</v>
      </c>
      <c r="L386" s="19">
        <f ca="1">IF(RAND()&lt;P_Zero,0,IF(RAND()&lt;CondReturn,_xlfn.LOGNORM.INV(RAND(),MV2,Sigma1),IF(RAND()&lt;CondGood,_xlfn.LOGNORM.INV(RAND(),MV3,Sigma2),MIN(MaxMultiple,Xm/(1-RAND())^(1/Alpha)))))</f>
        <v>0</v>
      </c>
      <c r="M386" s="19">
        <f ca="1">IF(RAND()&lt;P_Zero,0,IF(RAND()&lt;CondReturn,_xlfn.LOGNORM.INV(RAND(),MV2,Sigma1),IF(RAND()&lt;CondGood,_xlfn.LOGNORM.INV(RAND(),MV3,Sigma2),MIN(MaxMultiple,Xm/(1-RAND())^(1/Alpha)))))</f>
        <v>1.6835743302056263</v>
      </c>
      <c r="N386" s="19">
        <f ca="1">IF(RAND()&lt;P_Zero,0,IF(RAND()&lt;CondReturn,_xlfn.LOGNORM.INV(RAND(),MV2,Sigma1),IF(RAND()&lt;CondGood,_xlfn.LOGNORM.INV(RAND(),MV3,Sigma2),MIN(MaxMultiple,Xm/(1-RAND())^(1/Alpha)))))</f>
        <v>0</v>
      </c>
      <c r="O386" s="19">
        <f ca="1">IF(RAND()&lt;P_Zero,0,IF(RAND()&lt;CondReturn,_xlfn.LOGNORM.INV(RAND(),MV2,Sigma1),IF(RAND()&lt;CondGood,_xlfn.LOGNORM.INV(RAND(),MV3,Sigma2),MIN(MaxMultiple,Xm/(1-RAND())^(1/Alpha)))))</f>
        <v>0</v>
      </c>
      <c r="P386" s="19">
        <f ca="1">IF(RAND()&lt;P_Zero,0,IF(RAND()&lt;CondReturn,_xlfn.LOGNORM.INV(RAND(),MV2,Sigma1),IF(RAND()&lt;CondGood,_xlfn.LOGNORM.INV(RAND(),MV3,Sigma2),MIN(MaxMultiple,Xm/(1-RAND())^(1/Alpha)))))</f>
        <v>0</v>
      </c>
      <c r="Q386" s="19">
        <f ca="1">IF(RAND()&lt;P_Zero,0,IF(RAND()&lt;CondReturn,_xlfn.LOGNORM.INV(RAND(),MV2,Sigma1),IF(RAND()&lt;CondGood,_xlfn.LOGNORM.INV(RAND(),MV3,Sigma2),MIN(MaxMultiple,Xm/(1-RAND())^(1/Alpha)))))</f>
        <v>0.50777245062100662</v>
      </c>
      <c r="R386" s="19">
        <f ca="1">IF(RAND()&lt;P_Zero,0,IF(RAND()&lt;CondReturn,_xlfn.LOGNORM.INV(RAND(),MV2,Sigma1),IF(RAND()&lt;CondGood,_xlfn.LOGNORM.INV(RAND(),MV3,Sigma2),MIN(MaxMultiple,Xm/(1-RAND())^(1/Alpha)))))</f>
        <v>0</v>
      </c>
      <c r="S386" s="19">
        <f ca="1">IF(RAND()&lt;P_Zero,0,IF(RAND()&lt;CondReturn,_xlfn.LOGNORM.INV(RAND(),MV2,Sigma1),IF(RAND()&lt;CondGood,_xlfn.LOGNORM.INV(RAND(),MV3,Sigma2),MIN(MaxMultiple,Xm/(1-RAND())^(1/Alpha)))))</f>
        <v>0.71782605246494191</v>
      </c>
      <c r="T386" s="19">
        <f ca="1">IF(RAND()&lt;P_Zero,0,IF(RAND()&lt;CondReturn,_xlfn.LOGNORM.INV(RAND(),MV2,Sigma1),IF(RAND()&lt;CondGood,_xlfn.LOGNORM.INV(RAND(),MV3,Sigma2),MIN(MaxMultiple,Xm/(1-RAND())^(1/Alpha)))))</f>
        <v>0.35990958432172049</v>
      </c>
      <c r="U386" s="19">
        <f ca="1">IF(RAND()&lt;P_Zero,0,IF(RAND()&lt;CondReturn,_xlfn.LOGNORM.INV(RAND(),MV2,Sigma1),IF(RAND()&lt;CondGood,_xlfn.LOGNORM.INV(RAND(),MV3,Sigma2),MIN(MaxMultiple,Xm/(1-RAND())^(1/Alpha)))))</f>
        <v>0</v>
      </c>
      <c r="V386" s="19">
        <f ca="1">IF(RAND()&lt;P_Zero,0,IF(RAND()&lt;CondReturn,_xlfn.LOGNORM.INV(RAND(),MV2,Sigma1),IF(RAND()&lt;CondGood,_xlfn.LOGNORM.INV(RAND(),MV3,Sigma2),MIN(MaxMultiple,Xm/(1-RAND())^(1/Alpha)))))</f>
        <v>0</v>
      </c>
      <c r="W386" s="19">
        <f ca="1">IF(RAND()&lt;P_Zero,0,IF(RAND()&lt;CondReturn,_xlfn.LOGNORM.INV(RAND(),MV2,Sigma1),IF(RAND()&lt;CondGood,_xlfn.LOGNORM.INV(RAND(),MV3,Sigma2),MIN(MaxMultiple,Xm/(1-RAND())^(1/Alpha)))))</f>
        <v>0.54317253611213268</v>
      </c>
      <c r="X386" s="19">
        <f ca="1">IF(RAND()&lt;P_Zero,0,IF(RAND()&lt;CondReturn,_xlfn.LOGNORM.INV(RAND(),MV2,Sigma1),IF(RAND()&lt;CondGood,_xlfn.LOGNORM.INV(RAND(),MV3,Sigma2),MIN(MaxMultiple,Xm/(1-RAND())^(1/Alpha)))))</f>
        <v>0</v>
      </c>
      <c r="Y386" s="19">
        <f ca="1">IF(RAND()&lt;P_Zero,0,IF(RAND()&lt;CondReturn,_xlfn.LOGNORM.INV(RAND(),MV2,Sigma1),IF(RAND()&lt;CondGood,_xlfn.LOGNORM.INV(RAND(),MV3,Sigma2),MIN(MaxMultiple,Xm/(1-RAND())^(1/Alpha)))))</f>
        <v>0.41411795176477434</v>
      </c>
      <c r="Z386" s="19">
        <f ca="1">IF(RAND()&lt;P_Zero,0,IF(RAND()&lt;CondReturn,_xlfn.LOGNORM.INV(RAND(),MV2,Sigma1),IF(RAND()&lt;CondGood,_xlfn.LOGNORM.INV(RAND(),MV3,Sigma2),MIN(MaxMultiple,Xm/(1-RAND())^(1/Alpha)))))</f>
        <v>0</v>
      </c>
      <c r="AA386" s="19">
        <f ca="1">IF(RAND()&lt;P_Zero,0,IF(RAND()&lt;CondReturn,_xlfn.LOGNORM.INV(RAND(),MV2,Sigma1),IF(RAND()&lt;CondGood,_xlfn.LOGNORM.INV(RAND(),MV3,Sigma2),MIN(MaxMultiple,Xm/(1-RAND())^(1/Alpha)))))</f>
        <v>0.4658206854662762</v>
      </c>
      <c r="AB386" s="19">
        <f t="shared" ca="1" si="40"/>
        <v>2.670142292395318</v>
      </c>
      <c r="AC386" s="14">
        <f t="shared" ca="1" si="41"/>
        <v>128166830.03497526</v>
      </c>
      <c r="AD386" s="14">
        <f t="shared" ca="1" si="42"/>
        <v>80166830.03497526</v>
      </c>
      <c r="AE386" s="14">
        <f t="shared" si="43"/>
        <v>55628399.869093813</v>
      </c>
      <c r="AF386" s="14">
        <f t="shared" ca="1" si="44"/>
        <v>24538430.165881447</v>
      </c>
      <c r="AG386" s="14">
        <f t="shared" ca="1" si="45"/>
        <v>4907686.0331762899</v>
      </c>
      <c r="AH386" s="14">
        <f t="shared" ca="1" si="46"/>
        <v>123259144.00179897</v>
      </c>
      <c r="AI386" s="19">
        <f t="shared" ca="1" si="47"/>
        <v>2.0543190666966495</v>
      </c>
    </row>
    <row r="387" spans="2:35" x14ac:dyDescent="0.2">
      <c r="B387" s="1">
        <v>382</v>
      </c>
      <c r="C387" s="19">
        <f ca="1">IF(RAND()&lt;P_Zero,0,IF(RAND()&lt;CondReturn,_xlfn.LOGNORM.INV(RAND(),MV2,Sigma1),IF(RAND()&lt;CondGood,_xlfn.LOGNORM.INV(RAND(),MV3,Sigma2),MIN(MaxMultiple,Xm/(1-RAND())^(1/Alpha)))))</f>
        <v>0</v>
      </c>
      <c r="D387" s="19">
        <f ca="1">IF(RAND()&lt;P_Zero,0,IF(RAND()&lt;CondReturn,_xlfn.LOGNORM.INV(RAND(),MV2,Sigma1),IF(RAND()&lt;CondGood,_xlfn.LOGNORM.INV(RAND(),MV3,Sigma2),MIN(MaxMultiple,Xm/(1-RAND())^(1/Alpha)))))</f>
        <v>0</v>
      </c>
      <c r="E387" s="19">
        <f ca="1">IF(RAND()&lt;P_Zero,0,IF(RAND()&lt;CondReturn,_xlfn.LOGNORM.INV(RAND(),MV2,Sigma1),IF(RAND()&lt;CondGood,_xlfn.LOGNORM.INV(RAND(),MV3,Sigma2),MIN(MaxMultiple,Xm/(1-RAND())^(1/Alpha)))))</f>
        <v>1.1226094170329795</v>
      </c>
      <c r="F387" s="19">
        <f ca="1">IF(RAND()&lt;P_Zero,0,IF(RAND()&lt;CondReturn,_xlfn.LOGNORM.INV(RAND(),MV2,Sigma1),IF(RAND()&lt;CondGood,_xlfn.LOGNORM.INV(RAND(),MV3,Sigma2),MIN(MaxMultiple,Xm/(1-RAND())^(1/Alpha)))))</f>
        <v>0</v>
      </c>
      <c r="G387" s="19">
        <f ca="1">IF(RAND()&lt;P_Zero,0,IF(RAND()&lt;CondReturn,_xlfn.LOGNORM.INV(RAND(),MV2,Sigma1),IF(RAND()&lt;CondGood,_xlfn.LOGNORM.INV(RAND(),MV3,Sigma2),MIN(MaxMultiple,Xm/(1-RAND())^(1/Alpha)))))</f>
        <v>0.7834698931157591</v>
      </c>
      <c r="H387" s="19">
        <f ca="1">IF(RAND()&lt;P_Zero,0,IF(RAND()&lt;CondReturn,_xlfn.LOGNORM.INV(RAND(),MV2,Sigma1),IF(RAND()&lt;CondGood,_xlfn.LOGNORM.INV(RAND(),MV3,Sigma2),MIN(MaxMultiple,Xm/(1-RAND())^(1/Alpha)))))</f>
        <v>0.64262200156722105</v>
      </c>
      <c r="I387" s="19">
        <f ca="1">IF(RAND()&lt;P_Zero,0,IF(RAND()&lt;CondReturn,_xlfn.LOGNORM.INV(RAND(),MV2,Sigma1),IF(RAND()&lt;CondGood,_xlfn.LOGNORM.INV(RAND(),MV3,Sigma2),MIN(MaxMultiple,Xm/(1-RAND())^(1/Alpha)))))</f>
        <v>0.78436406471207831</v>
      </c>
      <c r="J387" s="19">
        <f ca="1">IF(RAND()&lt;P_Zero,0,IF(RAND()&lt;CondReturn,_xlfn.LOGNORM.INV(RAND(),MV2,Sigma1),IF(RAND()&lt;CondGood,_xlfn.LOGNORM.INV(RAND(),MV3,Sigma2),MIN(MaxMultiple,Xm/(1-RAND())^(1/Alpha)))))</f>
        <v>1.0241565136961985</v>
      </c>
      <c r="K387" s="19">
        <f ca="1">IF(RAND()&lt;P_Zero,0,IF(RAND()&lt;CondReturn,_xlfn.LOGNORM.INV(RAND(),MV2,Sigma1),IF(RAND()&lt;CondGood,_xlfn.LOGNORM.INV(RAND(),MV3,Sigma2),MIN(MaxMultiple,Xm/(1-RAND())^(1/Alpha)))))</f>
        <v>1.0040156295975755</v>
      </c>
      <c r="L387" s="19">
        <f ca="1">IF(RAND()&lt;P_Zero,0,IF(RAND()&lt;CondReturn,_xlfn.LOGNORM.INV(RAND(),MV2,Sigma1),IF(RAND()&lt;CondGood,_xlfn.LOGNORM.INV(RAND(),MV3,Sigma2),MIN(MaxMultiple,Xm/(1-RAND())^(1/Alpha)))))</f>
        <v>0.83327043686683244</v>
      </c>
      <c r="M387" s="19">
        <f ca="1">IF(RAND()&lt;P_Zero,0,IF(RAND()&lt;CondReturn,_xlfn.LOGNORM.INV(RAND(),MV2,Sigma1),IF(RAND()&lt;CondGood,_xlfn.LOGNORM.INV(RAND(),MV3,Sigma2),MIN(MaxMultiple,Xm/(1-RAND())^(1/Alpha)))))</f>
        <v>1.3011085067781623</v>
      </c>
      <c r="N387" s="19">
        <f ca="1">IF(RAND()&lt;P_Zero,0,IF(RAND()&lt;CondReturn,_xlfn.LOGNORM.INV(RAND(),MV2,Sigma1),IF(RAND()&lt;CondGood,_xlfn.LOGNORM.INV(RAND(),MV3,Sigma2),MIN(MaxMultiple,Xm/(1-RAND())^(1/Alpha)))))</f>
        <v>0.58453284321809307</v>
      </c>
      <c r="O387" s="19">
        <f ca="1">IF(RAND()&lt;P_Zero,0,IF(RAND()&lt;CondReturn,_xlfn.LOGNORM.INV(RAND(),MV2,Sigma1),IF(RAND()&lt;CondGood,_xlfn.LOGNORM.INV(RAND(),MV3,Sigma2),MIN(MaxMultiple,Xm/(1-RAND())^(1/Alpha)))))</f>
        <v>1.4687140363318916</v>
      </c>
      <c r="P387" s="19">
        <f ca="1">IF(RAND()&lt;P_Zero,0,IF(RAND()&lt;CondReturn,_xlfn.LOGNORM.INV(RAND(),MV2,Sigma1),IF(RAND()&lt;CondGood,_xlfn.LOGNORM.INV(RAND(),MV3,Sigma2),MIN(MaxMultiple,Xm/(1-RAND())^(1/Alpha)))))</f>
        <v>1.0849089901499307</v>
      </c>
      <c r="Q387" s="19">
        <f ca="1">IF(RAND()&lt;P_Zero,0,IF(RAND()&lt;CondReturn,_xlfn.LOGNORM.INV(RAND(),MV2,Sigma1),IF(RAND()&lt;CondGood,_xlfn.LOGNORM.INV(RAND(),MV3,Sigma2),MIN(MaxMultiple,Xm/(1-RAND())^(1/Alpha)))))</f>
        <v>0.80632797456932137</v>
      </c>
      <c r="R387" s="19">
        <f ca="1">IF(RAND()&lt;P_Zero,0,IF(RAND()&lt;CondReturn,_xlfn.LOGNORM.INV(RAND(),MV2,Sigma1),IF(RAND()&lt;CondGood,_xlfn.LOGNORM.INV(RAND(),MV3,Sigma2),MIN(MaxMultiple,Xm/(1-RAND())^(1/Alpha)))))</f>
        <v>0</v>
      </c>
      <c r="S387" s="19">
        <f ca="1">IF(RAND()&lt;P_Zero,0,IF(RAND()&lt;CondReturn,_xlfn.LOGNORM.INV(RAND(),MV2,Sigma1),IF(RAND()&lt;CondGood,_xlfn.LOGNORM.INV(RAND(),MV3,Sigma2),MIN(MaxMultiple,Xm/(1-RAND())^(1/Alpha)))))</f>
        <v>1.1131814562378541</v>
      </c>
      <c r="T387" s="19">
        <f ca="1">IF(RAND()&lt;P_Zero,0,IF(RAND()&lt;CondReturn,_xlfn.LOGNORM.INV(RAND(),MV2,Sigma1),IF(RAND()&lt;CondGood,_xlfn.LOGNORM.INV(RAND(),MV3,Sigma2),MIN(MaxMultiple,Xm/(1-RAND())^(1/Alpha)))))</f>
        <v>2.1707143482276288</v>
      </c>
      <c r="U387" s="19">
        <f ca="1">IF(RAND()&lt;P_Zero,0,IF(RAND()&lt;CondReturn,_xlfn.LOGNORM.INV(RAND(),MV2,Sigma1),IF(RAND()&lt;CondGood,_xlfn.LOGNORM.INV(RAND(),MV3,Sigma2),MIN(MaxMultiple,Xm/(1-RAND())^(1/Alpha)))))</f>
        <v>0.54232872223559647</v>
      </c>
      <c r="V387" s="19">
        <f ca="1">IF(RAND()&lt;P_Zero,0,IF(RAND()&lt;CondReturn,_xlfn.LOGNORM.INV(RAND(),MV2,Sigma1),IF(RAND()&lt;CondGood,_xlfn.LOGNORM.INV(RAND(),MV3,Sigma2),MIN(MaxMultiple,Xm/(1-RAND())^(1/Alpha)))))</f>
        <v>1.8757179996610471</v>
      </c>
      <c r="W387" s="19">
        <f ca="1">IF(RAND()&lt;P_Zero,0,IF(RAND()&lt;CondReturn,_xlfn.LOGNORM.INV(RAND(),MV2,Sigma1),IF(RAND()&lt;CondGood,_xlfn.LOGNORM.INV(RAND(),MV3,Sigma2),MIN(MaxMultiple,Xm/(1-RAND())^(1/Alpha)))))</f>
        <v>1.1238908626563573</v>
      </c>
      <c r="X387" s="19">
        <f ca="1">IF(RAND()&lt;P_Zero,0,IF(RAND()&lt;CondReturn,_xlfn.LOGNORM.INV(RAND(),MV2,Sigma1),IF(RAND()&lt;CondGood,_xlfn.LOGNORM.INV(RAND(),MV3,Sigma2),MIN(MaxMultiple,Xm/(1-RAND())^(1/Alpha)))))</f>
        <v>0</v>
      </c>
      <c r="Y387" s="19">
        <f ca="1">IF(RAND()&lt;P_Zero,0,IF(RAND()&lt;CondReturn,_xlfn.LOGNORM.INV(RAND(),MV2,Sigma1),IF(RAND()&lt;CondGood,_xlfn.LOGNORM.INV(RAND(),MV3,Sigma2),MIN(MaxMultiple,Xm/(1-RAND())^(1/Alpha)))))</f>
        <v>1.1959607555160259</v>
      </c>
      <c r="Z387" s="19">
        <f ca="1">IF(RAND()&lt;P_Zero,0,IF(RAND()&lt;CondReturn,_xlfn.LOGNORM.INV(RAND(),MV2,Sigma1),IF(RAND()&lt;CondGood,_xlfn.LOGNORM.INV(RAND(),MV3,Sigma2),MIN(MaxMultiple,Xm/(1-RAND())^(1/Alpha)))))</f>
        <v>1.6987959013391316</v>
      </c>
      <c r="AA387" s="19">
        <f ca="1">IF(RAND()&lt;P_Zero,0,IF(RAND()&lt;CondReturn,_xlfn.LOGNORM.INV(RAND(),MV2,Sigma1),IF(RAND()&lt;CondGood,_xlfn.LOGNORM.INV(RAND(),MV3,Sigma2),MIN(MaxMultiple,Xm/(1-RAND())^(1/Alpha)))))</f>
        <v>1.4191813873042551</v>
      </c>
      <c r="AB387" s="19">
        <f t="shared" ca="1" si="40"/>
        <v>0.90319486963255757</v>
      </c>
      <c r="AC387" s="14">
        <f t="shared" ca="1" si="41"/>
        <v>43353353.74236276</v>
      </c>
      <c r="AD387" s="14">
        <f t="shared" ca="1" si="42"/>
        <v>-4646646.25763724</v>
      </c>
      <c r="AE387" s="14">
        <f t="shared" si="43"/>
        <v>55628399.869093813</v>
      </c>
      <c r="AF387" s="14">
        <f t="shared" ca="1" si="44"/>
        <v>0</v>
      </c>
      <c r="AG387" s="14">
        <f t="shared" ca="1" si="45"/>
        <v>0</v>
      </c>
      <c r="AH387" s="14">
        <f t="shared" ca="1" si="46"/>
        <v>43353353.74236276</v>
      </c>
      <c r="AI387" s="19">
        <f t="shared" ca="1" si="47"/>
        <v>0.72255589570604595</v>
      </c>
    </row>
    <row r="388" spans="2:35" x14ac:dyDescent="0.2">
      <c r="B388" s="1">
        <v>383</v>
      </c>
      <c r="C388" s="19">
        <f ca="1">IF(RAND()&lt;P_Zero,0,IF(RAND()&lt;CondReturn,_xlfn.LOGNORM.INV(RAND(),MV2,Sigma1),IF(RAND()&lt;CondGood,_xlfn.LOGNORM.INV(RAND(),MV3,Sigma2),MIN(MaxMultiple,Xm/(1-RAND())^(1/Alpha)))))</f>
        <v>0.43948913789632721</v>
      </c>
      <c r="D388" s="19">
        <f ca="1">IF(RAND()&lt;P_Zero,0,IF(RAND()&lt;CondReturn,_xlfn.LOGNORM.INV(RAND(),MV2,Sigma1),IF(RAND()&lt;CondGood,_xlfn.LOGNORM.INV(RAND(),MV3,Sigma2),MIN(MaxMultiple,Xm/(1-RAND())^(1/Alpha)))))</f>
        <v>0</v>
      </c>
      <c r="E388" s="19">
        <f ca="1">IF(RAND()&lt;P_Zero,0,IF(RAND()&lt;CondReturn,_xlfn.LOGNORM.INV(RAND(),MV2,Sigma1),IF(RAND()&lt;CondGood,_xlfn.LOGNORM.INV(RAND(),MV3,Sigma2),MIN(MaxMultiple,Xm/(1-RAND())^(1/Alpha)))))</f>
        <v>1.627177821317229</v>
      </c>
      <c r="F388" s="19">
        <f ca="1">IF(RAND()&lt;P_Zero,0,IF(RAND()&lt;CondReturn,_xlfn.LOGNORM.INV(RAND(),MV2,Sigma1),IF(RAND()&lt;CondGood,_xlfn.LOGNORM.INV(RAND(),MV3,Sigma2),MIN(MaxMultiple,Xm/(1-RAND())^(1/Alpha)))))</f>
        <v>0</v>
      </c>
      <c r="G388" s="19">
        <f ca="1">IF(RAND()&lt;P_Zero,0,IF(RAND()&lt;CondReturn,_xlfn.LOGNORM.INV(RAND(),MV2,Sigma1),IF(RAND()&lt;CondGood,_xlfn.LOGNORM.INV(RAND(),MV3,Sigma2),MIN(MaxMultiple,Xm/(1-RAND())^(1/Alpha)))))</f>
        <v>39.090195912201509</v>
      </c>
      <c r="H388" s="19">
        <f ca="1">IF(RAND()&lt;P_Zero,0,IF(RAND()&lt;CondReturn,_xlfn.LOGNORM.INV(RAND(),MV2,Sigma1),IF(RAND()&lt;CondGood,_xlfn.LOGNORM.INV(RAND(),MV3,Sigma2),MIN(MaxMultiple,Xm/(1-RAND())^(1/Alpha)))))</f>
        <v>1.1417121047797631</v>
      </c>
      <c r="I388" s="19">
        <f ca="1">IF(RAND()&lt;P_Zero,0,IF(RAND()&lt;CondReturn,_xlfn.LOGNORM.INV(RAND(),MV2,Sigma1),IF(RAND()&lt;CondGood,_xlfn.LOGNORM.INV(RAND(),MV3,Sigma2),MIN(MaxMultiple,Xm/(1-RAND())^(1/Alpha)))))</f>
        <v>0</v>
      </c>
      <c r="J388" s="19">
        <f ca="1">IF(RAND()&lt;P_Zero,0,IF(RAND()&lt;CondReturn,_xlfn.LOGNORM.INV(RAND(),MV2,Sigma1),IF(RAND()&lt;CondGood,_xlfn.LOGNORM.INV(RAND(),MV3,Sigma2),MIN(MaxMultiple,Xm/(1-RAND())^(1/Alpha)))))</f>
        <v>0</v>
      </c>
      <c r="K388" s="19">
        <f ca="1">IF(RAND()&lt;P_Zero,0,IF(RAND()&lt;CondReturn,_xlfn.LOGNORM.INV(RAND(),MV2,Sigma1),IF(RAND()&lt;CondGood,_xlfn.LOGNORM.INV(RAND(),MV3,Sigma2),MIN(MaxMultiple,Xm/(1-RAND())^(1/Alpha)))))</f>
        <v>0</v>
      </c>
      <c r="L388" s="19">
        <f ca="1">IF(RAND()&lt;P_Zero,0,IF(RAND()&lt;CondReturn,_xlfn.LOGNORM.INV(RAND(),MV2,Sigma1),IF(RAND()&lt;CondGood,_xlfn.LOGNORM.INV(RAND(),MV3,Sigma2),MIN(MaxMultiple,Xm/(1-RAND())^(1/Alpha)))))</f>
        <v>0</v>
      </c>
      <c r="M388" s="19">
        <f ca="1">IF(RAND()&lt;P_Zero,0,IF(RAND()&lt;CondReturn,_xlfn.LOGNORM.INV(RAND(),MV2,Sigma1),IF(RAND()&lt;CondGood,_xlfn.LOGNORM.INV(RAND(),MV3,Sigma2),MIN(MaxMultiple,Xm/(1-RAND())^(1/Alpha)))))</f>
        <v>1.1961688681829346</v>
      </c>
      <c r="N388" s="19">
        <f ca="1">IF(RAND()&lt;P_Zero,0,IF(RAND()&lt;CondReturn,_xlfn.LOGNORM.INV(RAND(),MV2,Sigma1),IF(RAND()&lt;CondGood,_xlfn.LOGNORM.INV(RAND(),MV3,Sigma2),MIN(MaxMultiple,Xm/(1-RAND())^(1/Alpha)))))</f>
        <v>0</v>
      </c>
      <c r="O388" s="19">
        <f ca="1">IF(RAND()&lt;P_Zero,0,IF(RAND()&lt;CondReturn,_xlfn.LOGNORM.INV(RAND(),MV2,Sigma1),IF(RAND()&lt;CondGood,_xlfn.LOGNORM.INV(RAND(),MV3,Sigma2),MIN(MaxMultiple,Xm/(1-RAND())^(1/Alpha)))))</f>
        <v>0</v>
      </c>
      <c r="P388" s="19">
        <f ca="1">IF(RAND()&lt;P_Zero,0,IF(RAND()&lt;CondReturn,_xlfn.LOGNORM.INV(RAND(),MV2,Sigma1),IF(RAND()&lt;CondGood,_xlfn.LOGNORM.INV(RAND(),MV3,Sigma2),MIN(MaxMultiple,Xm/(1-RAND())^(1/Alpha)))))</f>
        <v>1.144227437953945</v>
      </c>
      <c r="Q388" s="19">
        <f ca="1">IF(RAND()&lt;P_Zero,0,IF(RAND()&lt;CondReturn,_xlfn.LOGNORM.INV(RAND(),MV2,Sigma1),IF(RAND()&lt;CondGood,_xlfn.LOGNORM.INV(RAND(),MV3,Sigma2),MIN(MaxMultiple,Xm/(1-RAND())^(1/Alpha)))))</f>
        <v>16.454563151880247</v>
      </c>
      <c r="R388" s="19">
        <f ca="1">IF(RAND()&lt;P_Zero,0,IF(RAND()&lt;CondReturn,_xlfn.LOGNORM.INV(RAND(),MV2,Sigma1),IF(RAND()&lt;CondGood,_xlfn.LOGNORM.INV(RAND(),MV3,Sigma2),MIN(MaxMultiple,Xm/(1-RAND())^(1/Alpha)))))</f>
        <v>1.0449820579565792</v>
      </c>
      <c r="S388" s="19">
        <f ca="1">IF(RAND()&lt;P_Zero,0,IF(RAND()&lt;CondReturn,_xlfn.LOGNORM.INV(RAND(),MV2,Sigma1),IF(RAND()&lt;CondGood,_xlfn.LOGNORM.INV(RAND(),MV3,Sigma2),MIN(MaxMultiple,Xm/(1-RAND())^(1/Alpha)))))</f>
        <v>0</v>
      </c>
      <c r="T388" s="19">
        <f ca="1">IF(RAND()&lt;P_Zero,0,IF(RAND()&lt;CondReturn,_xlfn.LOGNORM.INV(RAND(),MV2,Sigma1),IF(RAND()&lt;CondGood,_xlfn.LOGNORM.INV(RAND(),MV3,Sigma2),MIN(MaxMultiple,Xm/(1-RAND())^(1/Alpha)))))</f>
        <v>0</v>
      </c>
      <c r="U388" s="19">
        <f ca="1">IF(RAND()&lt;P_Zero,0,IF(RAND()&lt;CondReturn,_xlfn.LOGNORM.INV(RAND(),MV2,Sigma1),IF(RAND()&lt;CondGood,_xlfn.LOGNORM.INV(RAND(),MV3,Sigma2),MIN(MaxMultiple,Xm/(1-RAND())^(1/Alpha)))))</f>
        <v>0.80591709571968762</v>
      </c>
      <c r="V388" s="19">
        <f ca="1">IF(RAND()&lt;P_Zero,0,IF(RAND()&lt;CondReturn,_xlfn.LOGNORM.INV(RAND(),MV2,Sigma1),IF(RAND()&lt;CondGood,_xlfn.LOGNORM.INV(RAND(),MV3,Sigma2),MIN(MaxMultiple,Xm/(1-RAND())^(1/Alpha)))))</f>
        <v>0.52775021487232543</v>
      </c>
      <c r="W388" s="19">
        <f ca="1">IF(RAND()&lt;P_Zero,0,IF(RAND()&lt;CondReturn,_xlfn.LOGNORM.INV(RAND(),MV2,Sigma1),IF(RAND()&lt;CondGood,_xlfn.LOGNORM.INV(RAND(),MV3,Sigma2),MIN(MaxMultiple,Xm/(1-RAND())^(1/Alpha)))))</f>
        <v>0</v>
      </c>
      <c r="X388" s="19">
        <f ca="1">IF(RAND()&lt;P_Zero,0,IF(RAND()&lt;CondReturn,_xlfn.LOGNORM.INV(RAND(),MV2,Sigma1),IF(RAND()&lt;CondGood,_xlfn.LOGNORM.INV(RAND(),MV3,Sigma2),MIN(MaxMultiple,Xm/(1-RAND())^(1/Alpha)))))</f>
        <v>0</v>
      </c>
      <c r="Y388" s="19">
        <f ca="1">IF(RAND()&lt;P_Zero,0,IF(RAND()&lt;CondReturn,_xlfn.LOGNORM.INV(RAND(),MV2,Sigma1),IF(RAND()&lt;CondGood,_xlfn.LOGNORM.INV(RAND(),MV3,Sigma2),MIN(MaxMultiple,Xm/(1-RAND())^(1/Alpha)))))</f>
        <v>0</v>
      </c>
      <c r="Z388" s="19">
        <f ca="1">IF(RAND()&lt;P_Zero,0,IF(RAND()&lt;CondReturn,_xlfn.LOGNORM.INV(RAND(),MV2,Sigma1),IF(RAND()&lt;CondGood,_xlfn.LOGNORM.INV(RAND(),MV3,Sigma2),MIN(MaxMultiple,Xm/(1-RAND())^(1/Alpha)))))</f>
        <v>0.64629093108384894</v>
      </c>
      <c r="AA388" s="19">
        <f ca="1">IF(RAND()&lt;P_Zero,0,IF(RAND()&lt;CondReturn,_xlfn.LOGNORM.INV(RAND(),MV2,Sigma1),IF(RAND()&lt;CondGood,_xlfn.LOGNORM.INV(RAND(),MV3,Sigma2),MIN(MaxMultiple,Xm/(1-RAND())^(1/Alpha)))))</f>
        <v>1.1159143851669251</v>
      </c>
      <c r="AB388" s="19">
        <f t="shared" ca="1" si="40"/>
        <v>2.6093755647604535</v>
      </c>
      <c r="AC388" s="14">
        <f t="shared" ca="1" si="41"/>
        <v>125250027.10850176</v>
      </c>
      <c r="AD388" s="14">
        <f t="shared" ca="1" si="42"/>
        <v>77250027.108501762</v>
      </c>
      <c r="AE388" s="14">
        <f t="shared" si="43"/>
        <v>55628399.869093813</v>
      </c>
      <c r="AF388" s="14">
        <f t="shared" ca="1" si="44"/>
        <v>21621627.239407949</v>
      </c>
      <c r="AG388" s="14">
        <f t="shared" ca="1" si="45"/>
        <v>4324325.4478815896</v>
      </c>
      <c r="AH388" s="14">
        <f t="shared" ca="1" si="46"/>
        <v>120925701.66062017</v>
      </c>
      <c r="AI388" s="19">
        <f t="shared" ca="1" si="47"/>
        <v>2.0154283610103363</v>
      </c>
    </row>
    <row r="389" spans="2:35" x14ac:dyDescent="0.2">
      <c r="B389" s="1">
        <v>384</v>
      </c>
      <c r="C389" s="19">
        <f ca="1">IF(RAND()&lt;P_Zero,0,IF(RAND()&lt;CondReturn,_xlfn.LOGNORM.INV(RAND(),MV2,Sigma1),IF(RAND()&lt;CondGood,_xlfn.LOGNORM.INV(RAND(),MV3,Sigma2),MIN(MaxMultiple,Xm/(1-RAND())^(1/Alpha)))))</f>
        <v>41.58218370365924</v>
      </c>
      <c r="D389" s="19">
        <f ca="1">IF(RAND()&lt;P_Zero,0,IF(RAND()&lt;CondReturn,_xlfn.LOGNORM.INV(RAND(),MV2,Sigma1),IF(RAND()&lt;CondGood,_xlfn.LOGNORM.INV(RAND(),MV3,Sigma2),MIN(MaxMultiple,Xm/(1-RAND())^(1/Alpha)))))</f>
        <v>14.242252001236324</v>
      </c>
      <c r="E389" s="19">
        <f ca="1">IF(RAND()&lt;P_Zero,0,IF(RAND()&lt;CondReturn,_xlfn.LOGNORM.INV(RAND(),MV2,Sigma1),IF(RAND()&lt;CondGood,_xlfn.LOGNORM.INV(RAND(),MV3,Sigma2),MIN(MaxMultiple,Xm/(1-RAND())^(1/Alpha)))))</f>
        <v>0</v>
      </c>
      <c r="F389" s="19">
        <f ca="1">IF(RAND()&lt;P_Zero,0,IF(RAND()&lt;CondReturn,_xlfn.LOGNORM.INV(RAND(),MV2,Sigma1),IF(RAND()&lt;CondGood,_xlfn.LOGNORM.INV(RAND(),MV3,Sigma2),MIN(MaxMultiple,Xm/(1-RAND())^(1/Alpha)))))</f>
        <v>0.56495892269608794</v>
      </c>
      <c r="G389" s="19">
        <f ca="1">IF(RAND()&lt;P_Zero,0,IF(RAND()&lt;CondReturn,_xlfn.LOGNORM.INV(RAND(),MV2,Sigma1),IF(RAND()&lt;CondGood,_xlfn.LOGNORM.INV(RAND(),MV3,Sigma2),MIN(MaxMultiple,Xm/(1-RAND())^(1/Alpha)))))</f>
        <v>0</v>
      </c>
      <c r="H389" s="19">
        <f ca="1">IF(RAND()&lt;P_Zero,0,IF(RAND()&lt;CondReturn,_xlfn.LOGNORM.INV(RAND(),MV2,Sigma1),IF(RAND()&lt;CondGood,_xlfn.LOGNORM.INV(RAND(),MV3,Sigma2),MIN(MaxMultiple,Xm/(1-RAND())^(1/Alpha)))))</f>
        <v>0.85311094690299882</v>
      </c>
      <c r="I389" s="19">
        <f ca="1">IF(RAND()&lt;P_Zero,0,IF(RAND()&lt;CondReturn,_xlfn.LOGNORM.INV(RAND(),MV2,Sigma1),IF(RAND()&lt;CondGood,_xlfn.LOGNORM.INV(RAND(),MV3,Sigma2),MIN(MaxMultiple,Xm/(1-RAND())^(1/Alpha)))))</f>
        <v>1.0612574838143682</v>
      </c>
      <c r="J389" s="19">
        <f ca="1">IF(RAND()&lt;P_Zero,0,IF(RAND()&lt;CondReturn,_xlfn.LOGNORM.INV(RAND(),MV2,Sigma1),IF(RAND()&lt;CondGood,_xlfn.LOGNORM.INV(RAND(),MV3,Sigma2),MIN(MaxMultiple,Xm/(1-RAND())^(1/Alpha)))))</f>
        <v>18.832112908167989</v>
      </c>
      <c r="K389" s="19">
        <f ca="1">IF(RAND()&lt;P_Zero,0,IF(RAND()&lt;CondReturn,_xlfn.LOGNORM.INV(RAND(),MV2,Sigma1),IF(RAND()&lt;CondGood,_xlfn.LOGNORM.INV(RAND(),MV3,Sigma2),MIN(MaxMultiple,Xm/(1-RAND())^(1/Alpha)))))</f>
        <v>0</v>
      </c>
      <c r="L389" s="19">
        <f ca="1">IF(RAND()&lt;P_Zero,0,IF(RAND()&lt;CondReturn,_xlfn.LOGNORM.INV(RAND(),MV2,Sigma1),IF(RAND()&lt;CondGood,_xlfn.LOGNORM.INV(RAND(),MV3,Sigma2),MIN(MaxMultiple,Xm/(1-RAND())^(1/Alpha)))))</f>
        <v>0</v>
      </c>
      <c r="M389" s="19">
        <f ca="1">IF(RAND()&lt;P_Zero,0,IF(RAND()&lt;CondReturn,_xlfn.LOGNORM.INV(RAND(),MV2,Sigma1),IF(RAND()&lt;CondGood,_xlfn.LOGNORM.INV(RAND(),MV3,Sigma2),MIN(MaxMultiple,Xm/(1-RAND())^(1/Alpha)))))</f>
        <v>14.157017101232906</v>
      </c>
      <c r="N389" s="19">
        <f ca="1">IF(RAND()&lt;P_Zero,0,IF(RAND()&lt;CondReturn,_xlfn.LOGNORM.INV(RAND(),MV2,Sigma1),IF(RAND()&lt;CondGood,_xlfn.LOGNORM.INV(RAND(),MV3,Sigma2),MIN(MaxMultiple,Xm/(1-RAND())^(1/Alpha)))))</f>
        <v>1.6893138326923338</v>
      </c>
      <c r="O389" s="19">
        <f ca="1">IF(RAND()&lt;P_Zero,0,IF(RAND()&lt;CondReturn,_xlfn.LOGNORM.INV(RAND(),MV2,Sigma1),IF(RAND()&lt;CondGood,_xlfn.LOGNORM.INV(RAND(),MV3,Sigma2),MIN(MaxMultiple,Xm/(1-RAND())^(1/Alpha)))))</f>
        <v>1.3490266896823748</v>
      </c>
      <c r="P389" s="19">
        <f ca="1">IF(RAND()&lt;P_Zero,0,IF(RAND()&lt;CondReturn,_xlfn.LOGNORM.INV(RAND(),MV2,Sigma1),IF(RAND()&lt;CondGood,_xlfn.LOGNORM.INV(RAND(),MV3,Sigma2),MIN(MaxMultiple,Xm/(1-RAND())^(1/Alpha)))))</f>
        <v>0.8577583900164667</v>
      </c>
      <c r="Q389" s="19">
        <f ca="1">IF(RAND()&lt;P_Zero,0,IF(RAND()&lt;CondReturn,_xlfn.LOGNORM.INV(RAND(),MV2,Sigma1),IF(RAND()&lt;CondGood,_xlfn.LOGNORM.INV(RAND(),MV3,Sigma2),MIN(MaxMultiple,Xm/(1-RAND())^(1/Alpha)))))</f>
        <v>0.60869135783542461</v>
      </c>
      <c r="R389" s="19">
        <f ca="1">IF(RAND()&lt;P_Zero,0,IF(RAND()&lt;CondReturn,_xlfn.LOGNORM.INV(RAND(),MV2,Sigma1),IF(RAND()&lt;CondGood,_xlfn.LOGNORM.INV(RAND(),MV3,Sigma2),MIN(MaxMultiple,Xm/(1-RAND())^(1/Alpha)))))</f>
        <v>0</v>
      </c>
      <c r="S389" s="19">
        <f ca="1">IF(RAND()&lt;P_Zero,0,IF(RAND()&lt;CondReturn,_xlfn.LOGNORM.INV(RAND(),MV2,Sigma1),IF(RAND()&lt;CondGood,_xlfn.LOGNORM.INV(RAND(),MV3,Sigma2),MIN(MaxMultiple,Xm/(1-RAND())^(1/Alpha)))))</f>
        <v>1.8128697819373532</v>
      </c>
      <c r="T389" s="19">
        <f ca="1">IF(RAND()&lt;P_Zero,0,IF(RAND()&lt;CondReturn,_xlfn.LOGNORM.INV(RAND(),MV2,Sigma1),IF(RAND()&lt;CondGood,_xlfn.LOGNORM.INV(RAND(),MV3,Sigma2),MIN(MaxMultiple,Xm/(1-RAND())^(1/Alpha)))))</f>
        <v>0</v>
      </c>
      <c r="U389" s="19">
        <f ca="1">IF(RAND()&lt;P_Zero,0,IF(RAND()&lt;CondReturn,_xlfn.LOGNORM.INV(RAND(),MV2,Sigma1),IF(RAND()&lt;CondGood,_xlfn.LOGNORM.INV(RAND(),MV3,Sigma2),MIN(MaxMultiple,Xm/(1-RAND())^(1/Alpha)))))</f>
        <v>51.735408341988773</v>
      </c>
      <c r="V389" s="19">
        <f ca="1">IF(RAND()&lt;P_Zero,0,IF(RAND()&lt;CondReturn,_xlfn.LOGNORM.INV(RAND(),MV2,Sigma1),IF(RAND()&lt;CondGood,_xlfn.LOGNORM.INV(RAND(),MV3,Sigma2),MIN(MaxMultiple,Xm/(1-RAND())^(1/Alpha)))))</f>
        <v>2.118192309038287</v>
      </c>
      <c r="W389" s="19">
        <f ca="1">IF(RAND()&lt;P_Zero,0,IF(RAND()&lt;CondReturn,_xlfn.LOGNORM.INV(RAND(),MV2,Sigma1),IF(RAND()&lt;CondGood,_xlfn.LOGNORM.INV(RAND(),MV3,Sigma2),MIN(MaxMultiple,Xm/(1-RAND())^(1/Alpha)))))</f>
        <v>0</v>
      </c>
      <c r="X389" s="19">
        <f ca="1">IF(RAND()&lt;P_Zero,0,IF(RAND()&lt;CondReturn,_xlfn.LOGNORM.INV(RAND(),MV2,Sigma1),IF(RAND()&lt;CondGood,_xlfn.LOGNORM.INV(RAND(),MV3,Sigma2),MIN(MaxMultiple,Xm/(1-RAND())^(1/Alpha)))))</f>
        <v>66.577188298954468</v>
      </c>
      <c r="Y389" s="19">
        <f ca="1">IF(RAND()&lt;P_Zero,0,IF(RAND()&lt;CondReturn,_xlfn.LOGNORM.INV(RAND(),MV2,Sigma1),IF(RAND()&lt;CondGood,_xlfn.LOGNORM.INV(RAND(),MV3,Sigma2),MIN(MaxMultiple,Xm/(1-RAND())^(1/Alpha)))))</f>
        <v>1.028094646859951</v>
      </c>
      <c r="Z389" s="19">
        <f ca="1">IF(RAND()&lt;P_Zero,0,IF(RAND()&lt;CondReturn,_xlfn.LOGNORM.INV(RAND(),MV2,Sigma1),IF(RAND()&lt;CondGood,_xlfn.LOGNORM.INV(RAND(),MV3,Sigma2),MIN(MaxMultiple,Xm/(1-RAND())^(1/Alpha)))))</f>
        <v>0</v>
      </c>
      <c r="AA389" s="19">
        <f ca="1">IF(RAND()&lt;P_Zero,0,IF(RAND()&lt;CondReturn,_xlfn.LOGNORM.INV(RAND(),MV2,Sigma1),IF(RAND()&lt;CondGood,_xlfn.LOGNORM.INV(RAND(),MV3,Sigma2),MIN(MaxMultiple,Xm/(1-RAND())^(1/Alpha)))))</f>
        <v>138.19262986321996</v>
      </c>
      <c r="AB389" s="19">
        <f t="shared" ca="1" si="40"/>
        <v>14.290482663197412</v>
      </c>
      <c r="AC389" s="14">
        <f t="shared" ca="1" si="41"/>
        <v>685943167.83347583</v>
      </c>
      <c r="AD389" s="14">
        <f t="shared" ca="1" si="42"/>
        <v>637943167.83347583</v>
      </c>
      <c r="AE389" s="14">
        <f t="shared" si="43"/>
        <v>55628399.869093813</v>
      </c>
      <c r="AF389" s="14">
        <f t="shared" ca="1" si="44"/>
        <v>582314767.96438205</v>
      </c>
      <c r="AG389" s="14">
        <f t="shared" ca="1" si="45"/>
        <v>116462953.59287642</v>
      </c>
      <c r="AH389" s="14">
        <f t="shared" ca="1" si="46"/>
        <v>569480214.24059939</v>
      </c>
      <c r="AI389" s="19">
        <f t="shared" ca="1" si="47"/>
        <v>9.4913369040099891</v>
      </c>
    </row>
    <row r="390" spans="2:35" x14ac:dyDescent="0.2">
      <c r="B390" s="1">
        <v>385</v>
      </c>
      <c r="C390" s="19">
        <f ca="1">IF(RAND()&lt;P_Zero,0,IF(RAND()&lt;CondReturn,_xlfn.LOGNORM.INV(RAND(),MV2,Sigma1),IF(RAND()&lt;CondGood,_xlfn.LOGNORM.INV(RAND(),MV3,Sigma2),MIN(MaxMultiple,Xm/(1-RAND())^(1/Alpha)))))</f>
        <v>2.1883393483274509</v>
      </c>
      <c r="D390" s="19">
        <f ca="1">IF(RAND()&lt;P_Zero,0,IF(RAND()&lt;CondReturn,_xlfn.LOGNORM.INV(RAND(),MV2,Sigma1),IF(RAND()&lt;CondGood,_xlfn.LOGNORM.INV(RAND(),MV3,Sigma2),MIN(MaxMultiple,Xm/(1-RAND())^(1/Alpha)))))</f>
        <v>0.61963994881493611</v>
      </c>
      <c r="E390" s="19">
        <f ca="1">IF(RAND()&lt;P_Zero,0,IF(RAND()&lt;CondReturn,_xlfn.LOGNORM.INV(RAND(),MV2,Sigma1),IF(RAND()&lt;CondGood,_xlfn.LOGNORM.INV(RAND(),MV3,Sigma2),MIN(MaxMultiple,Xm/(1-RAND())^(1/Alpha)))))</f>
        <v>0</v>
      </c>
      <c r="F390" s="19">
        <f ca="1">IF(RAND()&lt;P_Zero,0,IF(RAND()&lt;CondReturn,_xlfn.LOGNORM.INV(RAND(),MV2,Sigma1),IF(RAND()&lt;CondGood,_xlfn.LOGNORM.INV(RAND(),MV3,Sigma2),MIN(MaxMultiple,Xm/(1-RAND())^(1/Alpha)))))</f>
        <v>0.74079960680157242</v>
      </c>
      <c r="G390" s="19">
        <f ca="1">IF(RAND()&lt;P_Zero,0,IF(RAND()&lt;CondReturn,_xlfn.LOGNORM.INV(RAND(),MV2,Sigma1),IF(RAND()&lt;CondGood,_xlfn.LOGNORM.INV(RAND(),MV3,Sigma2),MIN(MaxMultiple,Xm/(1-RAND())^(1/Alpha)))))</f>
        <v>0.60458907383426008</v>
      </c>
      <c r="H390" s="19">
        <f ca="1">IF(RAND()&lt;P_Zero,0,IF(RAND()&lt;CondReturn,_xlfn.LOGNORM.INV(RAND(),MV2,Sigma1),IF(RAND()&lt;CondGood,_xlfn.LOGNORM.INV(RAND(),MV3,Sigma2),MIN(MaxMultiple,Xm/(1-RAND())^(1/Alpha)))))</f>
        <v>0</v>
      </c>
      <c r="I390" s="19">
        <f ca="1">IF(RAND()&lt;P_Zero,0,IF(RAND()&lt;CondReturn,_xlfn.LOGNORM.INV(RAND(),MV2,Sigma1),IF(RAND()&lt;CondGood,_xlfn.LOGNORM.INV(RAND(),MV3,Sigma2),MIN(MaxMultiple,Xm/(1-RAND())^(1/Alpha)))))</f>
        <v>0</v>
      </c>
      <c r="J390" s="19">
        <f ca="1">IF(RAND()&lt;P_Zero,0,IF(RAND()&lt;CondReturn,_xlfn.LOGNORM.INV(RAND(),MV2,Sigma1),IF(RAND()&lt;CondGood,_xlfn.LOGNORM.INV(RAND(),MV3,Sigma2),MIN(MaxMultiple,Xm/(1-RAND())^(1/Alpha)))))</f>
        <v>0</v>
      </c>
      <c r="K390" s="19">
        <f ca="1">IF(RAND()&lt;P_Zero,0,IF(RAND()&lt;CondReturn,_xlfn.LOGNORM.INV(RAND(),MV2,Sigma1),IF(RAND()&lt;CondGood,_xlfn.LOGNORM.INV(RAND(),MV3,Sigma2),MIN(MaxMultiple,Xm/(1-RAND())^(1/Alpha)))))</f>
        <v>0</v>
      </c>
      <c r="L390" s="19">
        <f ca="1">IF(RAND()&lt;P_Zero,0,IF(RAND()&lt;CondReturn,_xlfn.LOGNORM.INV(RAND(),MV2,Sigma1),IF(RAND()&lt;CondGood,_xlfn.LOGNORM.INV(RAND(),MV3,Sigma2),MIN(MaxMultiple,Xm/(1-RAND())^(1/Alpha)))))</f>
        <v>0</v>
      </c>
      <c r="M390" s="19">
        <f ca="1">IF(RAND()&lt;P_Zero,0,IF(RAND()&lt;CondReturn,_xlfn.LOGNORM.INV(RAND(),MV2,Sigma1),IF(RAND()&lt;CondGood,_xlfn.LOGNORM.INV(RAND(),MV3,Sigma2),MIN(MaxMultiple,Xm/(1-RAND())^(1/Alpha)))))</f>
        <v>16.47655756737235</v>
      </c>
      <c r="N390" s="19">
        <f ca="1">IF(RAND()&lt;P_Zero,0,IF(RAND()&lt;CondReturn,_xlfn.LOGNORM.INV(RAND(),MV2,Sigma1),IF(RAND()&lt;CondGood,_xlfn.LOGNORM.INV(RAND(),MV3,Sigma2),MIN(MaxMultiple,Xm/(1-RAND())^(1/Alpha)))))</f>
        <v>0</v>
      </c>
      <c r="O390" s="19">
        <f ca="1">IF(RAND()&lt;P_Zero,0,IF(RAND()&lt;CondReturn,_xlfn.LOGNORM.INV(RAND(),MV2,Sigma1),IF(RAND()&lt;CondGood,_xlfn.LOGNORM.INV(RAND(),MV3,Sigma2),MIN(MaxMultiple,Xm/(1-RAND())^(1/Alpha)))))</f>
        <v>0</v>
      </c>
      <c r="P390" s="19">
        <f ca="1">IF(RAND()&lt;P_Zero,0,IF(RAND()&lt;CondReturn,_xlfn.LOGNORM.INV(RAND(),MV2,Sigma1),IF(RAND()&lt;CondGood,_xlfn.LOGNORM.INV(RAND(),MV3,Sigma2),MIN(MaxMultiple,Xm/(1-RAND())^(1/Alpha)))))</f>
        <v>300</v>
      </c>
      <c r="Q390" s="19">
        <f ca="1">IF(RAND()&lt;P_Zero,0,IF(RAND()&lt;CondReturn,_xlfn.LOGNORM.INV(RAND(),MV2,Sigma1),IF(RAND()&lt;CondGood,_xlfn.LOGNORM.INV(RAND(),MV3,Sigma2),MIN(MaxMultiple,Xm/(1-RAND())^(1/Alpha)))))</f>
        <v>0</v>
      </c>
      <c r="R390" s="19">
        <f ca="1">IF(RAND()&lt;P_Zero,0,IF(RAND()&lt;CondReturn,_xlfn.LOGNORM.INV(RAND(),MV2,Sigma1),IF(RAND()&lt;CondGood,_xlfn.LOGNORM.INV(RAND(),MV3,Sigma2),MIN(MaxMultiple,Xm/(1-RAND())^(1/Alpha)))))</f>
        <v>0</v>
      </c>
      <c r="S390" s="19">
        <f ca="1">IF(RAND()&lt;P_Zero,0,IF(RAND()&lt;CondReturn,_xlfn.LOGNORM.INV(RAND(),MV2,Sigma1),IF(RAND()&lt;CondGood,_xlfn.LOGNORM.INV(RAND(),MV3,Sigma2),MIN(MaxMultiple,Xm/(1-RAND())^(1/Alpha)))))</f>
        <v>1.2679786943621223</v>
      </c>
      <c r="T390" s="19">
        <f ca="1">IF(RAND()&lt;P_Zero,0,IF(RAND()&lt;CondReturn,_xlfn.LOGNORM.INV(RAND(),MV2,Sigma1),IF(RAND()&lt;CondGood,_xlfn.LOGNORM.INV(RAND(),MV3,Sigma2),MIN(MaxMultiple,Xm/(1-RAND())^(1/Alpha)))))</f>
        <v>16.542607480457782</v>
      </c>
      <c r="U390" s="19">
        <f ca="1">IF(RAND()&lt;P_Zero,0,IF(RAND()&lt;CondReturn,_xlfn.LOGNORM.INV(RAND(),MV2,Sigma1),IF(RAND()&lt;CondGood,_xlfn.LOGNORM.INV(RAND(),MV3,Sigma2),MIN(MaxMultiple,Xm/(1-RAND())^(1/Alpha)))))</f>
        <v>0</v>
      </c>
      <c r="V390" s="19">
        <f ca="1">IF(RAND()&lt;P_Zero,0,IF(RAND()&lt;CondReturn,_xlfn.LOGNORM.INV(RAND(),MV2,Sigma1),IF(RAND()&lt;CondGood,_xlfn.LOGNORM.INV(RAND(),MV3,Sigma2),MIN(MaxMultiple,Xm/(1-RAND())^(1/Alpha)))))</f>
        <v>1.3083325568494184</v>
      </c>
      <c r="W390" s="19">
        <f ca="1">IF(RAND()&lt;P_Zero,0,IF(RAND()&lt;CondReturn,_xlfn.LOGNORM.INV(RAND(),MV2,Sigma1),IF(RAND()&lt;CondGood,_xlfn.LOGNORM.INV(RAND(),MV3,Sigma2),MIN(MaxMultiple,Xm/(1-RAND())^(1/Alpha)))))</f>
        <v>1.2745244437707961</v>
      </c>
      <c r="X390" s="19">
        <f ca="1">IF(RAND()&lt;P_Zero,0,IF(RAND()&lt;CondReturn,_xlfn.LOGNORM.INV(RAND(),MV2,Sigma1),IF(RAND()&lt;CondGood,_xlfn.LOGNORM.INV(RAND(),MV3,Sigma2),MIN(MaxMultiple,Xm/(1-RAND())^(1/Alpha)))))</f>
        <v>1.5445050534220415</v>
      </c>
      <c r="Y390" s="19">
        <f ca="1">IF(RAND()&lt;P_Zero,0,IF(RAND()&lt;CondReturn,_xlfn.LOGNORM.INV(RAND(),MV2,Sigma1),IF(RAND()&lt;CondGood,_xlfn.LOGNORM.INV(RAND(),MV3,Sigma2),MIN(MaxMultiple,Xm/(1-RAND())^(1/Alpha)))))</f>
        <v>2.8335854025998639</v>
      </c>
      <c r="Z390" s="19">
        <f ca="1">IF(RAND()&lt;P_Zero,0,IF(RAND()&lt;CondReturn,_xlfn.LOGNORM.INV(RAND(),MV2,Sigma1),IF(RAND()&lt;CondGood,_xlfn.LOGNORM.INV(RAND(),MV3,Sigma2),MIN(MaxMultiple,Xm/(1-RAND())^(1/Alpha)))))</f>
        <v>0</v>
      </c>
      <c r="AA390" s="19">
        <f ca="1">IF(RAND()&lt;P_Zero,0,IF(RAND()&lt;CondReturn,_xlfn.LOGNORM.INV(RAND(),MV2,Sigma1),IF(RAND()&lt;CondGood,_xlfn.LOGNORM.INV(RAND(),MV3,Sigma2),MIN(MaxMultiple,Xm/(1-RAND())^(1/Alpha)))))</f>
        <v>0.51735841705224606</v>
      </c>
      <c r="AB390" s="19">
        <f t="shared" ref="AB390:AB453" ca="1" si="48">AVERAGE(C390:AA390)</f>
        <v>13.836752703746592</v>
      </c>
      <c r="AC390" s="14">
        <f t="shared" ref="AC390:AC453" ca="1" si="49">AB390*InvestableCapital</f>
        <v>664164129.77983642</v>
      </c>
      <c r="AD390" s="14">
        <f t="shared" ref="AD390:AD453" ca="1" si="50">AC390-InvestableCapital</f>
        <v>616164129.77983642</v>
      </c>
      <c r="AE390" s="14">
        <f t="shared" ref="AE390:AE453" si="51">HurdleToggle*InvestableCapital*((1+HurdleRate)^FeeYears-1)</f>
        <v>55628399.869093813</v>
      </c>
      <c r="AF390" s="14">
        <f t="shared" ref="AF390:AF453" ca="1" si="52">MAX(0,AD390-AE390)</f>
        <v>560535729.91074264</v>
      </c>
      <c r="AG390" s="14">
        <f t="shared" ref="AG390:AG453" ca="1" si="53">CarryRate*AF390</f>
        <v>112107145.98214853</v>
      </c>
      <c r="AH390" s="14">
        <f t="shared" ref="AH390:AH453" ca="1" si="54">AC390-AG390</f>
        <v>552056983.79768789</v>
      </c>
      <c r="AI390" s="19">
        <f t="shared" ref="AI390:AI453" ca="1" si="55">AH390/FundSize</f>
        <v>9.2009497299614651</v>
      </c>
    </row>
    <row r="391" spans="2:35" x14ac:dyDescent="0.2">
      <c r="B391" s="1">
        <v>386</v>
      </c>
      <c r="C391" s="19">
        <f ca="1">IF(RAND()&lt;P_Zero,0,IF(RAND()&lt;CondReturn,_xlfn.LOGNORM.INV(RAND(),MV2,Sigma1),IF(RAND()&lt;CondGood,_xlfn.LOGNORM.INV(RAND(),MV3,Sigma2),MIN(MaxMultiple,Xm/(1-RAND())^(1/Alpha)))))</f>
        <v>0.32774390395913899</v>
      </c>
      <c r="D391" s="19">
        <f ca="1">IF(RAND()&lt;P_Zero,0,IF(RAND()&lt;CondReturn,_xlfn.LOGNORM.INV(RAND(),MV2,Sigma1),IF(RAND()&lt;CondGood,_xlfn.LOGNORM.INV(RAND(),MV3,Sigma2),MIN(MaxMultiple,Xm/(1-RAND())^(1/Alpha)))))</f>
        <v>0</v>
      </c>
      <c r="E391" s="19">
        <f ca="1">IF(RAND()&lt;P_Zero,0,IF(RAND()&lt;CondReturn,_xlfn.LOGNORM.INV(RAND(),MV2,Sigma1),IF(RAND()&lt;CondGood,_xlfn.LOGNORM.INV(RAND(),MV3,Sigma2),MIN(MaxMultiple,Xm/(1-RAND())^(1/Alpha)))))</f>
        <v>0</v>
      </c>
      <c r="F391" s="19">
        <f ca="1">IF(RAND()&lt;P_Zero,0,IF(RAND()&lt;CondReturn,_xlfn.LOGNORM.INV(RAND(),MV2,Sigma1),IF(RAND()&lt;CondGood,_xlfn.LOGNORM.INV(RAND(),MV3,Sigma2),MIN(MaxMultiple,Xm/(1-RAND())^(1/Alpha)))))</f>
        <v>0.44828152582420283</v>
      </c>
      <c r="G391" s="19">
        <f ca="1">IF(RAND()&lt;P_Zero,0,IF(RAND()&lt;CondReturn,_xlfn.LOGNORM.INV(RAND(),MV2,Sigma1),IF(RAND()&lt;CondGood,_xlfn.LOGNORM.INV(RAND(),MV3,Sigma2),MIN(MaxMultiple,Xm/(1-RAND())^(1/Alpha)))))</f>
        <v>0.84103193310911217</v>
      </c>
      <c r="H391" s="19">
        <f ca="1">IF(RAND()&lt;P_Zero,0,IF(RAND()&lt;CondReturn,_xlfn.LOGNORM.INV(RAND(),MV2,Sigma1),IF(RAND()&lt;CondGood,_xlfn.LOGNORM.INV(RAND(),MV3,Sigma2),MIN(MaxMultiple,Xm/(1-RAND())^(1/Alpha)))))</f>
        <v>0.77562298355349402</v>
      </c>
      <c r="I391" s="19">
        <f ca="1">IF(RAND()&lt;P_Zero,0,IF(RAND()&lt;CondReturn,_xlfn.LOGNORM.INV(RAND(),MV2,Sigma1),IF(RAND()&lt;CondGood,_xlfn.LOGNORM.INV(RAND(),MV3,Sigma2),MIN(MaxMultiple,Xm/(1-RAND())^(1/Alpha)))))</f>
        <v>0.53180517128326121</v>
      </c>
      <c r="J391" s="19">
        <f ca="1">IF(RAND()&lt;P_Zero,0,IF(RAND()&lt;CondReturn,_xlfn.LOGNORM.INV(RAND(),MV2,Sigma1),IF(RAND()&lt;CondGood,_xlfn.LOGNORM.INV(RAND(),MV3,Sigma2),MIN(MaxMultiple,Xm/(1-RAND())^(1/Alpha)))))</f>
        <v>0</v>
      </c>
      <c r="K391" s="19">
        <f ca="1">IF(RAND()&lt;P_Zero,0,IF(RAND()&lt;CondReturn,_xlfn.LOGNORM.INV(RAND(),MV2,Sigma1),IF(RAND()&lt;CondGood,_xlfn.LOGNORM.INV(RAND(),MV3,Sigma2),MIN(MaxMultiple,Xm/(1-RAND())^(1/Alpha)))))</f>
        <v>0.61465159746513554</v>
      </c>
      <c r="L391" s="19">
        <f ca="1">IF(RAND()&lt;P_Zero,0,IF(RAND()&lt;CondReturn,_xlfn.LOGNORM.INV(RAND(),MV2,Sigma1),IF(RAND()&lt;CondGood,_xlfn.LOGNORM.INV(RAND(),MV3,Sigma2),MIN(MaxMultiple,Xm/(1-RAND())^(1/Alpha)))))</f>
        <v>0.83048011996333548</v>
      </c>
      <c r="M391" s="19">
        <f ca="1">IF(RAND()&lt;P_Zero,0,IF(RAND()&lt;CondReturn,_xlfn.LOGNORM.INV(RAND(),MV2,Sigma1),IF(RAND()&lt;CondGood,_xlfn.LOGNORM.INV(RAND(),MV3,Sigma2),MIN(MaxMultiple,Xm/(1-RAND())^(1/Alpha)))))</f>
        <v>0</v>
      </c>
      <c r="N391" s="19">
        <f ca="1">IF(RAND()&lt;P_Zero,0,IF(RAND()&lt;CondReturn,_xlfn.LOGNORM.INV(RAND(),MV2,Sigma1),IF(RAND()&lt;CondGood,_xlfn.LOGNORM.INV(RAND(),MV3,Sigma2),MIN(MaxMultiple,Xm/(1-RAND())^(1/Alpha)))))</f>
        <v>1.8812062291909317</v>
      </c>
      <c r="O391" s="19">
        <f ca="1">IF(RAND()&lt;P_Zero,0,IF(RAND()&lt;CondReturn,_xlfn.LOGNORM.INV(RAND(),MV2,Sigma1),IF(RAND()&lt;CondGood,_xlfn.LOGNORM.INV(RAND(),MV3,Sigma2),MIN(MaxMultiple,Xm/(1-RAND())^(1/Alpha)))))</f>
        <v>0.91373533497884796</v>
      </c>
      <c r="P391" s="19">
        <f ca="1">IF(RAND()&lt;P_Zero,0,IF(RAND()&lt;CondReturn,_xlfn.LOGNORM.INV(RAND(),MV2,Sigma1),IF(RAND()&lt;CondGood,_xlfn.LOGNORM.INV(RAND(),MV3,Sigma2),MIN(MaxMultiple,Xm/(1-RAND())^(1/Alpha)))))</f>
        <v>0.7684542446543724</v>
      </c>
      <c r="Q391" s="19">
        <f ca="1">IF(RAND()&lt;P_Zero,0,IF(RAND()&lt;CondReturn,_xlfn.LOGNORM.INV(RAND(),MV2,Sigma1),IF(RAND()&lt;CondGood,_xlfn.LOGNORM.INV(RAND(),MV3,Sigma2),MIN(MaxMultiple,Xm/(1-RAND())^(1/Alpha)))))</f>
        <v>2.3795685349943336</v>
      </c>
      <c r="R391" s="19">
        <f ca="1">IF(RAND()&lt;P_Zero,0,IF(RAND()&lt;CondReturn,_xlfn.LOGNORM.INV(RAND(),MV2,Sigma1),IF(RAND()&lt;CondGood,_xlfn.LOGNORM.INV(RAND(),MV3,Sigma2),MIN(MaxMultiple,Xm/(1-RAND())^(1/Alpha)))))</f>
        <v>0</v>
      </c>
      <c r="S391" s="19">
        <f ca="1">IF(RAND()&lt;P_Zero,0,IF(RAND()&lt;CondReturn,_xlfn.LOGNORM.INV(RAND(),MV2,Sigma1),IF(RAND()&lt;CondGood,_xlfn.LOGNORM.INV(RAND(),MV3,Sigma2),MIN(MaxMultiple,Xm/(1-RAND())^(1/Alpha)))))</f>
        <v>0</v>
      </c>
      <c r="T391" s="19">
        <f ca="1">IF(RAND()&lt;P_Zero,0,IF(RAND()&lt;CondReturn,_xlfn.LOGNORM.INV(RAND(),MV2,Sigma1),IF(RAND()&lt;CondGood,_xlfn.LOGNORM.INV(RAND(),MV3,Sigma2),MIN(MaxMultiple,Xm/(1-RAND())^(1/Alpha)))))</f>
        <v>0.62333906853324261</v>
      </c>
      <c r="U391" s="19">
        <f ca="1">IF(RAND()&lt;P_Zero,0,IF(RAND()&lt;CondReturn,_xlfn.LOGNORM.INV(RAND(),MV2,Sigma1),IF(RAND()&lt;CondGood,_xlfn.LOGNORM.INV(RAND(),MV3,Sigma2),MIN(MaxMultiple,Xm/(1-RAND())^(1/Alpha)))))</f>
        <v>0.33372456033881792</v>
      </c>
      <c r="V391" s="19">
        <f ca="1">IF(RAND()&lt;P_Zero,0,IF(RAND()&lt;CondReturn,_xlfn.LOGNORM.INV(RAND(),MV2,Sigma1),IF(RAND()&lt;CondGood,_xlfn.LOGNORM.INV(RAND(),MV3,Sigma2),MIN(MaxMultiple,Xm/(1-RAND())^(1/Alpha)))))</f>
        <v>12.244680425546388</v>
      </c>
      <c r="W391" s="19">
        <f ca="1">IF(RAND()&lt;P_Zero,0,IF(RAND()&lt;CondReturn,_xlfn.LOGNORM.INV(RAND(),MV2,Sigma1),IF(RAND()&lt;CondGood,_xlfn.LOGNORM.INV(RAND(),MV3,Sigma2),MIN(MaxMultiple,Xm/(1-RAND())^(1/Alpha)))))</f>
        <v>1.5046526050433762</v>
      </c>
      <c r="X391" s="19">
        <f ca="1">IF(RAND()&lt;P_Zero,0,IF(RAND()&lt;CondReturn,_xlfn.LOGNORM.INV(RAND(),MV2,Sigma1),IF(RAND()&lt;CondGood,_xlfn.LOGNORM.INV(RAND(),MV3,Sigma2),MIN(MaxMultiple,Xm/(1-RAND())^(1/Alpha)))))</f>
        <v>1.6017261876979003</v>
      </c>
      <c r="Y391" s="19">
        <f ca="1">IF(RAND()&lt;P_Zero,0,IF(RAND()&lt;CondReturn,_xlfn.LOGNORM.INV(RAND(),MV2,Sigma1),IF(RAND()&lt;CondGood,_xlfn.LOGNORM.INV(RAND(),MV3,Sigma2),MIN(MaxMultiple,Xm/(1-RAND())^(1/Alpha)))))</f>
        <v>0</v>
      </c>
      <c r="Z391" s="19">
        <f ca="1">IF(RAND()&lt;P_Zero,0,IF(RAND()&lt;CondReturn,_xlfn.LOGNORM.INV(RAND(),MV2,Sigma1),IF(RAND()&lt;CondGood,_xlfn.LOGNORM.INV(RAND(),MV3,Sigma2),MIN(MaxMultiple,Xm/(1-RAND())^(1/Alpha)))))</f>
        <v>19.77394583926802</v>
      </c>
      <c r="AA391" s="19">
        <f ca="1">IF(RAND()&lt;P_Zero,0,IF(RAND()&lt;CondReturn,_xlfn.LOGNORM.INV(RAND(),MV2,Sigma1),IF(RAND()&lt;CondGood,_xlfn.LOGNORM.INV(RAND(),MV3,Sigma2),MIN(MaxMultiple,Xm/(1-RAND())^(1/Alpha)))))</f>
        <v>0</v>
      </c>
      <c r="AB391" s="19">
        <f t="shared" ca="1" si="48"/>
        <v>1.8557860106161563</v>
      </c>
      <c r="AC391" s="14">
        <f t="shared" ca="1" si="49"/>
        <v>89077728.509575501</v>
      </c>
      <c r="AD391" s="14">
        <f t="shared" ca="1" si="50"/>
        <v>41077728.509575501</v>
      </c>
      <c r="AE391" s="14">
        <f t="shared" si="51"/>
        <v>55628399.869093813</v>
      </c>
      <c r="AF391" s="14">
        <f t="shared" ca="1" si="52"/>
        <v>0</v>
      </c>
      <c r="AG391" s="14">
        <f t="shared" ca="1" si="53"/>
        <v>0</v>
      </c>
      <c r="AH391" s="14">
        <f t="shared" ca="1" si="54"/>
        <v>89077728.509575501</v>
      </c>
      <c r="AI391" s="19">
        <f t="shared" ca="1" si="55"/>
        <v>1.4846288084929251</v>
      </c>
    </row>
    <row r="392" spans="2:35" x14ac:dyDescent="0.2">
      <c r="B392" s="1">
        <v>387</v>
      </c>
      <c r="C392" s="19">
        <f ca="1">IF(RAND()&lt;P_Zero,0,IF(RAND()&lt;CondReturn,_xlfn.LOGNORM.INV(RAND(),MV2,Sigma1),IF(RAND()&lt;CondGood,_xlfn.LOGNORM.INV(RAND(),MV3,Sigma2),MIN(MaxMultiple,Xm/(1-RAND())^(1/Alpha)))))</f>
        <v>24.462670273926253</v>
      </c>
      <c r="D392" s="19">
        <f ca="1">IF(RAND()&lt;P_Zero,0,IF(RAND()&lt;CondReturn,_xlfn.LOGNORM.INV(RAND(),MV2,Sigma1),IF(RAND()&lt;CondGood,_xlfn.LOGNORM.INV(RAND(),MV3,Sigma2),MIN(MaxMultiple,Xm/(1-RAND())^(1/Alpha)))))</f>
        <v>0.62499998624366082</v>
      </c>
      <c r="E392" s="19">
        <f ca="1">IF(RAND()&lt;P_Zero,0,IF(RAND()&lt;CondReturn,_xlfn.LOGNORM.INV(RAND(),MV2,Sigma1),IF(RAND()&lt;CondGood,_xlfn.LOGNORM.INV(RAND(),MV3,Sigma2),MIN(MaxMultiple,Xm/(1-RAND())^(1/Alpha)))))</f>
        <v>0</v>
      </c>
      <c r="F392" s="19">
        <f ca="1">IF(RAND()&lt;P_Zero,0,IF(RAND()&lt;CondReturn,_xlfn.LOGNORM.INV(RAND(),MV2,Sigma1),IF(RAND()&lt;CondGood,_xlfn.LOGNORM.INV(RAND(),MV3,Sigma2),MIN(MaxMultiple,Xm/(1-RAND())^(1/Alpha)))))</f>
        <v>0</v>
      </c>
      <c r="G392" s="19">
        <f ca="1">IF(RAND()&lt;P_Zero,0,IF(RAND()&lt;CondReturn,_xlfn.LOGNORM.INV(RAND(),MV2,Sigma1),IF(RAND()&lt;CondGood,_xlfn.LOGNORM.INV(RAND(),MV3,Sigma2),MIN(MaxMultiple,Xm/(1-RAND())^(1/Alpha)))))</f>
        <v>0</v>
      </c>
      <c r="H392" s="19">
        <f ca="1">IF(RAND()&lt;P_Zero,0,IF(RAND()&lt;CondReturn,_xlfn.LOGNORM.INV(RAND(),MV2,Sigma1),IF(RAND()&lt;CondGood,_xlfn.LOGNORM.INV(RAND(),MV3,Sigma2),MIN(MaxMultiple,Xm/(1-RAND())^(1/Alpha)))))</f>
        <v>1.5257816467259597</v>
      </c>
      <c r="I392" s="19">
        <f ca="1">IF(RAND()&lt;P_Zero,0,IF(RAND()&lt;CondReturn,_xlfn.LOGNORM.INV(RAND(),MV2,Sigma1),IF(RAND()&lt;CondGood,_xlfn.LOGNORM.INV(RAND(),MV3,Sigma2),MIN(MaxMultiple,Xm/(1-RAND())^(1/Alpha)))))</f>
        <v>1.9429322311904995</v>
      </c>
      <c r="J392" s="19">
        <f ca="1">IF(RAND()&lt;P_Zero,0,IF(RAND()&lt;CondReturn,_xlfn.LOGNORM.INV(RAND(),MV2,Sigma1),IF(RAND()&lt;CondGood,_xlfn.LOGNORM.INV(RAND(),MV3,Sigma2),MIN(MaxMultiple,Xm/(1-RAND())^(1/Alpha)))))</f>
        <v>0</v>
      </c>
      <c r="K392" s="19">
        <f ca="1">IF(RAND()&lt;P_Zero,0,IF(RAND()&lt;CondReturn,_xlfn.LOGNORM.INV(RAND(),MV2,Sigma1),IF(RAND()&lt;CondGood,_xlfn.LOGNORM.INV(RAND(),MV3,Sigma2),MIN(MaxMultiple,Xm/(1-RAND())^(1/Alpha)))))</f>
        <v>0</v>
      </c>
      <c r="L392" s="19">
        <f ca="1">IF(RAND()&lt;P_Zero,0,IF(RAND()&lt;CondReturn,_xlfn.LOGNORM.INV(RAND(),MV2,Sigma1),IF(RAND()&lt;CondGood,_xlfn.LOGNORM.INV(RAND(),MV3,Sigma2),MIN(MaxMultiple,Xm/(1-RAND())^(1/Alpha)))))</f>
        <v>0.33634168831744671</v>
      </c>
      <c r="M392" s="19">
        <f ca="1">IF(RAND()&lt;P_Zero,0,IF(RAND()&lt;CondReturn,_xlfn.LOGNORM.INV(RAND(),MV2,Sigma1),IF(RAND()&lt;CondGood,_xlfn.LOGNORM.INV(RAND(),MV3,Sigma2),MIN(MaxMultiple,Xm/(1-RAND())^(1/Alpha)))))</f>
        <v>0</v>
      </c>
      <c r="N392" s="19">
        <f ca="1">IF(RAND()&lt;P_Zero,0,IF(RAND()&lt;CondReturn,_xlfn.LOGNORM.INV(RAND(),MV2,Sigma1),IF(RAND()&lt;CondGood,_xlfn.LOGNORM.INV(RAND(),MV3,Sigma2),MIN(MaxMultiple,Xm/(1-RAND())^(1/Alpha)))))</f>
        <v>0.89141159275401749</v>
      </c>
      <c r="O392" s="19">
        <f ca="1">IF(RAND()&lt;P_Zero,0,IF(RAND()&lt;CondReturn,_xlfn.LOGNORM.INV(RAND(),MV2,Sigma1),IF(RAND()&lt;CondGood,_xlfn.LOGNORM.INV(RAND(),MV3,Sigma2),MIN(MaxMultiple,Xm/(1-RAND())^(1/Alpha)))))</f>
        <v>0</v>
      </c>
      <c r="P392" s="19">
        <f ca="1">IF(RAND()&lt;P_Zero,0,IF(RAND()&lt;CondReturn,_xlfn.LOGNORM.INV(RAND(),MV2,Sigma1),IF(RAND()&lt;CondGood,_xlfn.LOGNORM.INV(RAND(),MV3,Sigma2),MIN(MaxMultiple,Xm/(1-RAND())^(1/Alpha)))))</f>
        <v>10.115975865560367</v>
      </c>
      <c r="Q392" s="19">
        <f ca="1">IF(RAND()&lt;P_Zero,0,IF(RAND()&lt;CondReturn,_xlfn.LOGNORM.INV(RAND(),MV2,Sigma1),IF(RAND()&lt;CondGood,_xlfn.LOGNORM.INV(RAND(),MV3,Sigma2),MIN(MaxMultiple,Xm/(1-RAND())^(1/Alpha)))))</f>
        <v>0.63204329724764763</v>
      </c>
      <c r="R392" s="19">
        <f ca="1">IF(RAND()&lt;P_Zero,0,IF(RAND()&lt;CondReturn,_xlfn.LOGNORM.INV(RAND(),MV2,Sigma1),IF(RAND()&lt;CondGood,_xlfn.LOGNORM.INV(RAND(),MV3,Sigma2),MIN(MaxMultiple,Xm/(1-RAND())^(1/Alpha)))))</f>
        <v>0</v>
      </c>
      <c r="S392" s="19">
        <f ca="1">IF(RAND()&lt;P_Zero,0,IF(RAND()&lt;CondReturn,_xlfn.LOGNORM.INV(RAND(),MV2,Sigma1),IF(RAND()&lt;CondGood,_xlfn.LOGNORM.INV(RAND(),MV3,Sigma2),MIN(MaxMultiple,Xm/(1-RAND())^(1/Alpha)))))</f>
        <v>0.81776323298912756</v>
      </c>
      <c r="T392" s="19">
        <f ca="1">IF(RAND()&lt;P_Zero,0,IF(RAND()&lt;CondReturn,_xlfn.LOGNORM.INV(RAND(),MV2,Sigma1),IF(RAND()&lt;CondGood,_xlfn.LOGNORM.INV(RAND(),MV3,Sigma2),MIN(MaxMultiple,Xm/(1-RAND())^(1/Alpha)))))</f>
        <v>0</v>
      </c>
      <c r="U392" s="19">
        <f ca="1">IF(RAND()&lt;P_Zero,0,IF(RAND()&lt;CondReturn,_xlfn.LOGNORM.INV(RAND(),MV2,Sigma1),IF(RAND()&lt;CondGood,_xlfn.LOGNORM.INV(RAND(),MV3,Sigma2),MIN(MaxMultiple,Xm/(1-RAND())^(1/Alpha)))))</f>
        <v>1.784033763650962</v>
      </c>
      <c r="V392" s="19">
        <f ca="1">IF(RAND()&lt;P_Zero,0,IF(RAND()&lt;CondReturn,_xlfn.LOGNORM.INV(RAND(),MV2,Sigma1),IF(RAND()&lt;CondGood,_xlfn.LOGNORM.INV(RAND(),MV3,Sigma2),MIN(MaxMultiple,Xm/(1-RAND())^(1/Alpha)))))</f>
        <v>1.6897383052021551</v>
      </c>
      <c r="W392" s="19">
        <f ca="1">IF(RAND()&lt;P_Zero,0,IF(RAND()&lt;CondReturn,_xlfn.LOGNORM.INV(RAND(),MV2,Sigma1),IF(RAND()&lt;CondGood,_xlfn.LOGNORM.INV(RAND(),MV3,Sigma2),MIN(MaxMultiple,Xm/(1-RAND())^(1/Alpha)))))</f>
        <v>2.389603926042442</v>
      </c>
      <c r="X392" s="19">
        <f ca="1">IF(RAND()&lt;P_Zero,0,IF(RAND()&lt;CondReturn,_xlfn.LOGNORM.INV(RAND(),MV2,Sigma1),IF(RAND()&lt;CondGood,_xlfn.LOGNORM.INV(RAND(),MV3,Sigma2),MIN(MaxMultiple,Xm/(1-RAND())^(1/Alpha)))))</f>
        <v>1.3288692499644232</v>
      </c>
      <c r="Y392" s="19">
        <f ca="1">IF(RAND()&lt;P_Zero,0,IF(RAND()&lt;CondReturn,_xlfn.LOGNORM.INV(RAND(),MV2,Sigma1),IF(RAND()&lt;CondGood,_xlfn.LOGNORM.INV(RAND(),MV3,Sigma2),MIN(MaxMultiple,Xm/(1-RAND())^(1/Alpha)))))</f>
        <v>0.51437607908970528</v>
      </c>
      <c r="Z392" s="19">
        <f ca="1">IF(RAND()&lt;P_Zero,0,IF(RAND()&lt;CondReturn,_xlfn.LOGNORM.INV(RAND(),MV2,Sigma1),IF(RAND()&lt;CondGood,_xlfn.LOGNORM.INV(RAND(),MV3,Sigma2),MIN(MaxMultiple,Xm/(1-RAND())^(1/Alpha)))))</f>
        <v>0.6618783075658432</v>
      </c>
      <c r="AA392" s="19">
        <f ca="1">IF(RAND()&lt;P_Zero,0,IF(RAND()&lt;CondReturn,_xlfn.LOGNORM.INV(RAND(),MV2,Sigma1),IF(RAND()&lt;CondGood,_xlfn.LOGNORM.INV(RAND(),MV3,Sigma2),MIN(MaxMultiple,Xm/(1-RAND())^(1/Alpha)))))</f>
        <v>0.505924863102447</v>
      </c>
      <c r="AB392" s="19">
        <f t="shared" ca="1" si="48"/>
        <v>2.0089737723829186</v>
      </c>
      <c r="AC392" s="14">
        <f t="shared" ca="1" si="49"/>
        <v>96430741.0743801</v>
      </c>
      <c r="AD392" s="14">
        <f t="shared" ca="1" si="50"/>
        <v>48430741.0743801</v>
      </c>
      <c r="AE392" s="14">
        <f t="shared" si="51"/>
        <v>55628399.869093813</v>
      </c>
      <c r="AF392" s="14">
        <f t="shared" ca="1" si="52"/>
        <v>0</v>
      </c>
      <c r="AG392" s="14">
        <f t="shared" ca="1" si="53"/>
        <v>0</v>
      </c>
      <c r="AH392" s="14">
        <f t="shared" ca="1" si="54"/>
        <v>96430741.0743801</v>
      </c>
      <c r="AI392" s="19">
        <f t="shared" ca="1" si="55"/>
        <v>1.607179017906335</v>
      </c>
    </row>
    <row r="393" spans="2:35" x14ac:dyDescent="0.2">
      <c r="B393" s="1">
        <v>388</v>
      </c>
      <c r="C393" s="19">
        <f ca="1">IF(RAND()&lt;P_Zero,0,IF(RAND()&lt;CondReturn,_xlfn.LOGNORM.INV(RAND(),MV2,Sigma1),IF(RAND()&lt;CondGood,_xlfn.LOGNORM.INV(RAND(),MV3,Sigma2),MIN(MaxMultiple,Xm/(1-RAND())^(1/Alpha)))))</f>
        <v>0.72135122807501706</v>
      </c>
      <c r="D393" s="19">
        <f ca="1">IF(RAND()&lt;P_Zero,0,IF(RAND()&lt;CondReturn,_xlfn.LOGNORM.INV(RAND(),MV2,Sigma1),IF(RAND()&lt;CondGood,_xlfn.LOGNORM.INV(RAND(),MV3,Sigma2),MIN(MaxMultiple,Xm/(1-RAND())^(1/Alpha)))))</f>
        <v>0</v>
      </c>
      <c r="E393" s="19">
        <f ca="1">IF(RAND()&lt;P_Zero,0,IF(RAND()&lt;CondReturn,_xlfn.LOGNORM.INV(RAND(),MV2,Sigma1),IF(RAND()&lt;CondGood,_xlfn.LOGNORM.INV(RAND(),MV3,Sigma2),MIN(MaxMultiple,Xm/(1-RAND())^(1/Alpha)))))</f>
        <v>0.75146980540635677</v>
      </c>
      <c r="F393" s="19">
        <f ca="1">IF(RAND()&lt;P_Zero,0,IF(RAND()&lt;CondReturn,_xlfn.LOGNORM.INV(RAND(),MV2,Sigma1),IF(RAND()&lt;CondGood,_xlfn.LOGNORM.INV(RAND(),MV3,Sigma2),MIN(MaxMultiple,Xm/(1-RAND())^(1/Alpha)))))</f>
        <v>1.4276281972711278</v>
      </c>
      <c r="G393" s="19">
        <f ca="1">IF(RAND()&lt;P_Zero,0,IF(RAND()&lt;CondReturn,_xlfn.LOGNORM.INV(RAND(),MV2,Sigma1),IF(RAND()&lt;CondGood,_xlfn.LOGNORM.INV(RAND(),MV3,Sigma2),MIN(MaxMultiple,Xm/(1-RAND())^(1/Alpha)))))</f>
        <v>0</v>
      </c>
      <c r="H393" s="19">
        <f ca="1">IF(RAND()&lt;P_Zero,0,IF(RAND()&lt;CondReturn,_xlfn.LOGNORM.INV(RAND(),MV2,Sigma1),IF(RAND()&lt;CondGood,_xlfn.LOGNORM.INV(RAND(),MV3,Sigma2),MIN(MaxMultiple,Xm/(1-RAND())^(1/Alpha)))))</f>
        <v>0.49854922127769385</v>
      </c>
      <c r="I393" s="19">
        <f ca="1">IF(RAND()&lt;P_Zero,0,IF(RAND()&lt;CondReturn,_xlfn.LOGNORM.INV(RAND(),MV2,Sigma1),IF(RAND()&lt;CondGood,_xlfn.LOGNORM.INV(RAND(),MV3,Sigma2),MIN(MaxMultiple,Xm/(1-RAND())^(1/Alpha)))))</f>
        <v>48.416691082270283</v>
      </c>
      <c r="J393" s="19">
        <f ca="1">IF(RAND()&lt;P_Zero,0,IF(RAND()&lt;CondReturn,_xlfn.LOGNORM.INV(RAND(),MV2,Sigma1),IF(RAND()&lt;CondGood,_xlfn.LOGNORM.INV(RAND(),MV3,Sigma2),MIN(MaxMultiple,Xm/(1-RAND())^(1/Alpha)))))</f>
        <v>0</v>
      </c>
      <c r="K393" s="19">
        <f ca="1">IF(RAND()&lt;P_Zero,0,IF(RAND()&lt;CondReturn,_xlfn.LOGNORM.INV(RAND(),MV2,Sigma1),IF(RAND()&lt;CondGood,_xlfn.LOGNORM.INV(RAND(),MV3,Sigma2),MIN(MaxMultiple,Xm/(1-RAND())^(1/Alpha)))))</f>
        <v>37.429307109624965</v>
      </c>
      <c r="L393" s="19">
        <f ca="1">IF(RAND()&lt;P_Zero,0,IF(RAND()&lt;CondReturn,_xlfn.LOGNORM.INV(RAND(),MV2,Sigma1),IF(RAND()&lt;CondGood,_xlfn.LOGNORM.INV(RAND(),MV3,Sigma2),MIN(MaxMultiple,Xm/(1-RAND())^(1/Alpha)))))</f>
        <v>0</v>
      </c>
      <c r="M393" s="19">
        <f ca="1">IF(RAND()&lt;P_Zero,0,IF(RAND()&lt;CondReturn,_xlfn.LOGNORM.INV(RAND(),MV2,Sigma1),IF(RAND()&lt;CondGood,_xlfn.LOGNORM.INV(RAND(),MV3,Sigma2),MIN(MaxMultiple,Xm/(1-RAND())^(1/Alpha)))))</f>
        <v>0.90972474648869872</v>
      </c>
      <c r="N393" s="19">
        <f ca="1">IF(RAND()&lt;P_Zero,0,IF(RAND()&lt;CondReturn,_xlfn.LOGNORM.INV(RAND(),MV2,Sigma1),IF(RAND()&lt;CondGood,_xlfn.LOGNORM.INV(RAND(),MV3,Sigma2),MIN(MaxMultiple,Xm/(1-RAND())^(1/Alpha)))))</f>
        <v>0</v>
      </c>
      <c r="O393" s="19">
        <f ca="1">IF(RAND()&lt;P_Zero,0,IF(RAND()&lt;CondReturn,_xlfn.LOGNORM.INV(RAND(),MV2,Sigma1),IF(RAND()&lt;CondGood,_xlfn.LOGNORM.INV(RAND(),MV3,Sigma2),MIN(MaxMultiple,Xm/(1-RAND())^(1/Alpha)))))</f>
        <v>1.2092475161280665</v>
      </c>
      <c r="P393" s="19">
        <f ca="1">IF(RAND()&lt;P_Zero,0,IF(RAND()&lt;CondReturn,_xlfn.LOGNORM.INV(RAND(),MV2,Sigma1),IF(RAND()&lt;CondGood,_xlfn.LOGNORM.INV(RAND(),MV3,Sigma2),MIN(MaxMultiple,Xm/(1-RAND())^(1/Alpha)))))</f>
        <v>0.61964012875436913</v>
      </c>
      <c r="Q393" s="19">
        <f ca="1">IF(RAND()&lt;P_Zero,0,IF(RAND()&lt;CondReturn,_xlfn.LOGNORM.INV(RAND(),MV2,Sigma1),IF(RAND()&lt;CondGood,_xlfn.LOGNORM.INV(RAND(),MV3,Sigma2),MIN(MaxMultiple,Xm/(1-RAND())^(1/Alpha)))))</f>
        <v>0</v>
      </c>
      <c r="R393" s="19">
        <f ca="1">IF(RAND()&lt;P_Zero,0,IF(RAND()&lt;CondReturn,_xlfn.LOGNORM.INV(RAND(),MV2,Sigma1),IF(RAND()&lt;CondGood,_xlfn.LOGNORM.INV(RAND(),MV3,Sigma2),MIN(MaxMultiple,Xm/(1-RAND())^(1/Alpha)))))</f>
        <v>0.88435363196573835</v>
      </c>
      <c r="S393" s="19">
        <f ca="1">IF(RAND()&lt;P_Zero,0,IF(RAND()&lt;CondReturn,_xlfn.LOGNORM.INV(RAND(),MV2,Sigma1),IF(RAND()&lt;CondGood,_xlfn.LOGNORM.INV(RAND(),MV3,Sigma2),MIN(MaxMultiple,Xm/(1-RAND())^(1/Alpha)))))</f>
        <v>0</v>
      </c>
      <c r="T393" s="19">
        <f ca="1">IF(RAND()&lt;P_Zero,0,IF(RAND()&lt;CondReturn,_xlfn.LOGNORM.INV(RAND(),MV2,Sigma1),IF(RAND()&lt;CondGood,_xlfn.LOGNORM.INV(RAND(),MV3,Sigma2),MIN(MaxMultiple,Xm/(1-RAND())^(1/Alpha)))))</f>
        <v>14.593490556669195</v>
      </c>
      <c r="U393" s="19">
        <f ca="1">IF(RAND()&lt;P_Zero,0,IF(RAND()&lt;CondReturn,_xlfn.LOGNORM.INV(RAND(),MV2,Sigma1),IF(RAND()&lt;CondGood,_xlfn.LOGNORM.INV(RAND(),MV3,Sigma2),MIN(MaxMultiple,Xm/(1-RAND())^(1/Alpha)))))</f>
        <v>0</v>
      </c>
      <c r="V393" s="19">
        <f ca="1">IF(RAND()&lt;P_Zero,0,IF(RAND()&lt;CondReturn,_xlfn.LOGNORM.INV(RAND(),MV2,Sigma1),IF(RAND()&lt;CondGood,_xlfn.LOGNORM.INV(RAND(),MV3,Sigma2),MIN(MaxMultiple,Xm/(1-RAND())^(1/Alpha)))))</f>
        <v>0.65806919491639515</v>
      </c>
      <c r="W393" s="19">
        <f ca="1">IF(RAND()&lt;P_Zero,0,IF(RAND()&lt;CondReturn,_xlfn.LOGNORM.INV(RAND(),MV2,Sigma1),IF(RAND()&lt;CondGood,_xlfn.LOGNORM.INV(RAND(),MV3,Sigma2),MIN(MaxMultiple,Xm/(1-RAND())^(1/Alpha)))))</f>
        <v>0.50276199420194734</v>
      </c>
      <c r="X393" s="19">
        <f ca="1">IF(RAND()&lt;P_Zero,0,IF(RAND()&lt;CondReturn,_xlfn.LOGNORM.INV(RAND(),MV2,Sigma1),IF(RAND()&lt;CondGood,_xlfn.LOGNORM.INV(RAND(),MV3,Sigma2),MIN(MaxMultiple,Xm/(1-RAND())^(1/Alpha)))))</f>
        <v>0</v>
      </c>
      <c r="Y393" s="19">
        <f ca="1">IF(RAND()&lt;P_Zero,0,IF(RAND()&lt;CondReturn,_xlfn.LOGNORM.INV(RAND(),MV2,Sigma1),IF(RAND()&lt;CondGood,_xlfn.LOGNORM.INV(RAND(),MV3,Sigma2),MIN(MaxMultiple,Xm/(1-RAND())^(1/Alpha)))))</f>
        <v>0</v>
      </c>
      <c r="Z393" s="19">
        <f ca="1">IF(RAND()&lt;P_Zero,0,IF(RAND()&lt;CondReturn,_xlfn.LOGNORM.INV(RAND(),MV2,Sigma1),IF(RAND()&lt;CondGood,_xlfn.LOGNORM.INV(RAND(),MV3,Sigma2),MIN(MaxMultiple,Xm/(1-RAND())^(1/Alpha)))))</f>
        <v>18.377510145487221</v>
      </c>
      <c r="AA393" s="19">
        <f ca="1">IF(RAND()&lt;P_Zero,0,IF(RAND()&lt;CondReturn,_xlfn.LOGNORM.INV(RAND(),MV2,Sigma1),IF(RAND()&lt;CondGood,_xlfn.LOGNORM.INV(RAND(),MV3,Sigma2),MIN(MaxMultiple,Xm/(1-RAND())^(1/Alpha)))))</f>
        <v>1.7240491540774139</v>
      </c>
      <c r="AB393" s="19">
        <f t="shared" ca="1" si="48"/>
        <v>5.1489537485045798</v>
      </c>
      <c r="AC393" s="14">
        <f t="shared" ca="1" si="49"/>
        <v>247149779.92821983</v>
      </c>
      <c r="AD393" s="14">
        <f t="shared" ca="1" si="50"/>
        <v>199149779.92821983</v>
      </c>
      <c r="AE393" s="14">
        <f t="shared" si="51"/>
        <v>55628399.869093813</v>
      </c>
      <c r="AF393" s="14">
        <f t="shared" ca="1" si="52"/>
        <v>143521380.05912602</v>
      </c>
      <c r="AG393" s="14">
        <f t="shared" ca="1" si="53"/>
        <v>28704276.011825204</v>
      </c>
      <c r="AH393" s="14">
        <f t="shared" ca="1" si="54"/>
        <v>218445503.91639462</v>
      </c>
      <c r="AI393" s="19">
        <f t="shared" ca="1" si="55"/>
        <v>3.640758398606577</v>
      </c>
    </row>
    <row r="394" spans="2:35" x14ac:dyDescent="0.2">
      <c r="B394" s="1">
        <v>389</v>
      </c>
      <c r="C394" s="19">
        <f ca="1">IF(RAND()&lt;P_Zero,0,IF(RAND()&lt;CondReturn,_xlfn.LOGNORM.INV(RAND(),MV2,Sigma1),IF(RAND()&lt;CondGood,_xlfn.LOGNORM.INV(RAND(),MV3,Sigma2),MIN(MaxMultiple,Xm/(1-RAND())^(1/Alpha)))))</f>
        <v>0</v>
      </c>
      <c r="D394" s="19">
        <f ca="1">IF(RAND()&lt;P_Zero,0,IF(RAND()&lt;CondReturn,_xlfn.LOGNORM.INV(RAND(),MV2,Sigma1),IF(RAND()&lt;CondGood,_xlfn.LOGNORM.INV(RAND(),MV3,Sigma2),MIN(MaxMultiple,Xm/(1-RAND())^(1/Alpha)))))</f>
        <v>112.58383969565486</v>
      </c>
      <c r="E394" s="19">
        <f ca="1">IF(RAND()&lt;P_Zero,0,IF(RAND()&lt;CondReturn,_xlfn.LOGNORM.INV(RAND(),MV2,Sigma1),IF(RAND()&lt;CondGood,_xlfn.LOGNORM.INV(RAND(),MV3,Sigma2),MIN(MaxMultiple,Xm/(1-RAND())^(1/Alpha)))))</f>
        <v>1.3462281729076568</v>
      </c>
      <c r="F394" s="19">
        <f ca="1">IF(RAND()&lt;P_Zero,0,IF(RAND()&lt;CondReturn,_xlfn.LOGNORM.INV(RAND(),MV2,Sigma1),IF(RAND()&lt;CondGood,_xlfn.LOGNORM.INV(RAND(),MV3,Sigma2),MIN(MaxMultiple,Xm/(1-RAND())^(1/Alpha)))))</f>
        <v>300</v>
      </c>
      <c r="G394" s="19">
        <f ca="1">IF(RAND()&lt;P_Zero,0,IF(RAND()&lt;CondReturn,_xlfn.LOGNORM.INV(RAND(),MV2,Sigma1),IF(RAND()&lt;CondGood,_xlfn.LOGNORM.INV(RAND(),MV3,Sigma2),MIN(MaxMultiple,Xm/(1-RAND())^(1/Alpha)))))</f>
        <v>0.75801797472393562</v>
      </c>
      <c r="H394" s="19">
        <f ca="1">IF(RAND()&lt;P_Zero,0,IF(RAND()&lt;CondReturn,_xlfn.LOGNORM.INV(RAND(),MV2,Sigma1),IF(RAND()&lt;CondGood,_xlfn.LOGNORM.INV(RAND(),MV3,Sigma2),MIN(MaxMultiple,Xm/(1-RAND())^(1/Alpha)))))</f>
        <v>0</v>
      </c>
      <c r="I394" s="19">
        <f ca="1">IF(RAND()&lt;P_Zero,0,IF(RAND()&lt;CondReturn,_xlfn.LOGNORM.INV(RAND(),MV2,Sigma1),IF(RAND()&lt;CondGood,_xlfn.LOGNORM.INV(RAND(),MV3,Sigma2),MIN(MaxMultiple,Xm/(1-RAND())^(1/Alpha)))))</f>
        <v>1.7456541516192907</v>
      </c>
      <c r="J394" s="19">
        <f ca="1">IF(RAND()&lt;P_Zero,0,IF(RAND()&lt;CondReturn,_xlfn.LOGNORM.INV(RAND(),MV2,Sigma1),IF(RAND()&lt;CondGood,_xlfn.LOGNORM.INV(RAND(),MV3,Sigma2),MIN(MaxMultiple,Xm/(1-RAND())^(1/Alpha)))))</f>
        <v>0</v>
      </c>
      <c r="K394" s="19">
        <f ca="1">IF(RAND()&lt;P_Zero,0,IF(RAND()&lt;CondReturn,_xlfn.LOGNORM.INV(RAND(),MV2,Sigma1),IF(RAND()&lt;CondGood,_xlfn.LOGNORM.INV(RAND(),MV3,Sigma2),MIN(MaxMultiple,Xm/(1-RAND())^(1/Alpha)))))</f>
        <v>0</v>
      </c>
      <c r="L394" s="19">
        <f ca="1">IF(RAND()&lt;P_Zero,0,IF(RAND()&lt;CondReturn,_xlfn.LOGNORM.INV(RAND(),MV2,Sigma1),IF(RAND()&lt;CondGood,_xlfn.LOGNORM.INV(RAND(),MV3,Sigma2),MIN(MaxMultiple,Xm/(1-RAND())^(1/Alpha)))))</f>
        <v>0.80758219621051996</v>
      </c>
      <c r="M394" s="19">
        <f ca="1">IF(RAND()&lt;P_Zero,0,IF(RAND()&lt;CondReturn,_xlfn.LOGNORM.INV(RAND(),MV2,Sigma1),IF(RAND()&lt;CondGood,_xlfn.LOGNORM.INV(RAND(),MV3,Sigma2),MIN(MaxMultiple,Xm/(1-RAND())^(1/Alpha)))))</f>
        <v>26.033810951046114</v>
      </c>
      <c r="N394" s="19">
        <f ca="1">IF(RAND()&lt;P_Zero,0,IF(RAND()&lt;CondReturn,_xlfn.LOGNORM.INV(RAND(),MV2,Sigma1),IF(RAND()&lt;CondGood,_xlfn.LOGNORM.INV(RAND(),MV3,Sigma2),MIN(MaxMultiple,Xm/(1-RAND())^(1/Alpha)))))</f>
        <v>0.64596582289334803</v>
      </c>
      <c r="O394" s="19">
        <f ca="1">IF(RAND()&lt;P_Zero,0,IF(RAND()&lt;CondReturn,_xlfn.LOGNORM.INV(RAND(),MV2,Sigma1),IF(RAND()&lt;CondGood,_xlfn.LOGNORM.INV(RAND(),MV3,Sigma2),MIN(MaxMultiple,Xm/(1-RAND())^(1/Alpha)))))</f>
        <v>0</v>
      </c>
      <c r="P394" s="19">
        <f ca="1">IF(RAND()&lt;P_Zero,0,IF(RAND()&lt;CondReturn,_xlfn.LOGNORM.INV(RAND(),MV2,Sigma1),IF(RAND()&lt;CondGood,_xlfn.LOGNORM.INV(RAND(),MV3,Sigma2),MIN(MaxMultiple,Xm/(1-RAND())^(1/Alpha)))))</f>
        <v>0.85923892117946865</v>
      </c>
      <c r="Q394" s="19">
        <f ca="1">IF(RAND()&lt;P_Zero,0,IF(RAND()&lt;CondReturn,_xlfn.LOGNORM.INV(RAND(),MV2,Sigma1),IF(RAND()&lt;CondGood,_xlfn.LOGNORM.INV(RAND(),MV3,Sigma2),MIN(MaxMultiple,Xm/(1-RAND())^(1/Alpha)))))</f>
        <v>0</v>
      </c>
      <c r="R394" s="19">
        <f ca="1">IF(RAND()&lt;P_Zero,0,IF(RAND()&lt;CondReturn,_xlfn.LOGNORM.INV(RAND(),MV2,Sigma1),IF(RAND()&lt;CondGood,_xlfn.LOGNORM.INV(RAND(),MV3,Sigma2),MIN(MaxMultiple,Xm/(1-RAND())^(1/Alpha)))))</f>
        <v>1.6119404379879243</v>
      </c>
      <c r="S394" s="19">
        <f ca="1">IF(RAND()&lt;P_Zero,0,IF(RAND()&lt;CondReturn,_xlfn.LOGNORM.INV(RAND(),MV2,Sigma1),IF(RAND()&lt;CondGood,_xlfn.LOGNORM.INV(RAND(),MV3,Sigma2),MIN(MaxMultiple,Xm/(1-RAND())^(1/Alpha)))))</f>
        <v>0</v>
      </c>
      <c r="T394" s="19">
        <f ca="1">IF(RAND()&lt;P_Zero,0,IF(RAND()&lt;CondReturn,_xlfn.LOGNORM.INV(RAND(),MV2,Sigma1),IF(RAND()&lt;CondGood,_xlfn.LOGNORM.INV(RAND(),MV3,Sigma2),MIN(MaxMultiple,Xm/(1-RAND())^(1/Alpha)))))</f>
        <v>0</v>
      </c>
      <c r="U394" s="19">
        <f ca="1">IF(RAND()&lt;P_Zero,0,IF(RAND()&lt;CondReturn,_xlfn.LOGNORM.INV(RAND(),MV2,Sigma1),IF(RAND()&lt;CondGood,_xlfn.LOGNORM.INV(RAND(),MV3,Sigma2),MIN(MaxMultiple,Xm/(1-RAND())^(1/Alpha)))))</f>
        <v>0.44838241296842102</v>
      </c>
      <c r="V394" s="19">
        <f ca="1">IF(RAND()&lt;P_Zero,0,IF(RAND()&lt;CondReturn,_xlfn.LOGNORM.INV(RAND(),MV2,Sigma1),IF(RAND()&lt;CondGood,_xlfn.LOGNORM.INV(RAND(),MV3,Sigma2),MIN(MaxMultiple,Xm/(1-RAND())^(1/Alpha)))))</f>
        <v>0</v>
      </c>
      <c r="W394" s="19">
        <f ca="1">IF(RAND()&lt;P_Zero,0,IF(RAND()&lt;CondReturn,_xlfn.LOGNORM.INV(RAND(),MV2,Sigma1),IF(RAND()&lt;CondGood,_xlfn.LOGNORM.INV(RAND(),MV3,Sigma2),MIN(MaxMultiple,Xm/(1-RAND())^(1/Alpha)))))</f>
        <v>0</v>
      </c>
      <c r="X394" s="19">
        <f ca="1">IF(RAND()&lt;P_Zero,0,IF(RAND()&lt;CondReturn,_xlfn.LOGNORM.INV(RAND(),MV2,Sigma1),IF(RAND()&lt;CondGood,_xlfn.LOGNORM.INV(RAND(),MV3,Sigma2),MIN(MaxMultiple,Xm/(1-RAND())^(1/Alpha)))))</f>
        <v>0</v>
      </c>
      <c r="Y394" s="19">
        <f ca="1">IF(RAND()&lt;P_Zero,0,IF(RAND()&lt;CondReturn,_xlfn.LOGNORM.INV(RAND(),MV2,Sigma1),IF(RAND()&lt;CondGood,_xlfn.LOGNORM.INV(RAND(),MV3,Sigma2),MIN(MaxMultiple,Xm/(1-RAND())^(1/Alpha)))))</f>
        <v>0.88096678687419394</v>
      </c>
      <c r="Z394" s="19">
        <f ca="1">IF(RAND()&lt;P_Zero,0,IF(RAND()&lt;CondReturn,_xlfn.LOGNORM.INV(RAND(),MV2,Sigma1),IF(RAND()&lt;CondGood,_xlfn.LOGNORM.INV(RAND(),MV3,Sigma2),MIN(MaxMultiple,Xm/(1-RAND())^(1/Alpha)))))</f>
        <v>0.50957227639321612</v>
      </c>
      <c r="AA394" s="19">
        <f ca="1">IF(RAND()&lt;P_Zero,0,IF(RAND()&lt;CondReturn,_xlfn.LOGNORM.INV(RAND(),MV2,Sigma1),IF(RAND()&lt;CondGood,_xlfn.LOGNORM.INV(RAND(),MV3,Sigma2),MIN(MaxMultiple,Xm/(1-RAND())^(1/Alpha)))))</f>
        <v>42.29208213989714</v>
      </c>
      <c r="AB394" s="19">
        <f t="shared" ca="1" si="48"/>
        <v>19.620931277614247</v>
      </c>
      <c r="AC394" s="14">
        <f t="shared" ca="1" si="49"/>
        <v>941804701.3254838</v>
      </c>
      <c r="AD394" s="14">
        <f t="shared" ca="1" si="50"/>
        <v>893804701.3254838</v>
      </c>
      <c r="AE394" s="14">
        <f t="shared" si="51"/>
        <v>55628399.869093813</v>
      </c>
      <c r="AF394" s="14">
        <f t="shared" ca="1" si="52"/>
        <v>838176301.45639002</v>
      </c>
      <c r="AG394" s="14">
        <f t="shared" ca="1" si="53"/>
        <v>167635260.291278</v>
      </c>
      <c r="AH394" s="14">
        <f t="shared" ca="1" si="54"/>
        <v>774169441.03420579</v>
      </c>
      <c r="AI394" s="19">
        <f t="shared" ca="1" si="55"/>
        <v>12.902824017236764</v>
      </c>
    </row>
    <row r="395" spans="2:35" x14ac:dyDescent="0.2">
      <c r="B395" s="1">
        <v>390</v>
      </c>
      <c r="C395" s="19">
        <f ca="1">IF(RAND()&lt;P_Zero,0,IF(RAND()&lt;CondReturn,_xlfn.LOGNORM.INV(RAND(),MV2,Sigma1),IF(RAND()&lt;CondGood,_xlfn.LOGNORM.INV(RAND(),MV3,Sigma2),MIN(MaxMultiple,Xm/(1-RAND())^(1/Alpha)))))</f>
        <v>0.36982334565399438</v>
      </c>
      <c r="D395" s="19">
        <f ca="1">IF(RAND()&lt;P_Zero,0,IF(RAND()&lt;CondReturn,_xlfn.LOGNORM.INV(RAND(),MV2,Sigma1),IF(RAND()&lt;CondGood,_xlfn.LOGNORM.INV(RAND(),MV3,Sigma2),MIN(MaxMultiple,Xm/(1-RAND())^(1/Alpha)))))</f>
        <v>0</v>
      </c>
      <c r="E395" s="19">
        <f ca="1">IF(RAND()&lt;P_Zero,0,IF(RAND()&lt;CondReturn,_xlfn.LOGNORM.INV(RAND(),MV2,Sigma1),IF(RAND()&lt;CondGood,_xlfn.LOGNORM.INV(RAND(),MV3,Sigma2),MIN(MaxMultiple,Xm/(1-RAND())^(1/Alpha)))))</f>
        <v>0</v>
      </c>
      <c r="F395" s="19">
        <f ca="1">IF(RAND()&lt;P_Zero,0,IF(RAND()&lt;CondReturn,_xlfn.LOGNORM.INV(RAND(),MV2,Sigma1),IF(RAND()&lt;CondGood,_xlfn.LOGNORM.INV(RAND(),MV3,Sigma2),MIN(MaxMultiple,Xm/(1-RAND())^(1/Alpha)))))</f>
        <v>0</v>
      </c>
      <c r="G395" s="19">
        <f ca="1">IF(RAND()&lt;P_Zero,0,IF(RAND()&lt;CondReturn,_xlfn.LOGNORM.INV(RAND(),MV2,Sigma1),IF(RAND()&lt;CondGood,_xlfn.LOGNORM.INV(RAND(),MV3,Sigma2),MIN(MaxMultiple,Xm/(1-RAND())^(1/Alpha)))))</f>
        <v>0</v>
      </c>
      <c r="H395" s="19">
        <f ca="1">IF(RAND()&lt;P_Zero,0,IF(RAND()&lt;CondReturn,_xlfn.LOGNORM.INV(RAND(),MV2,Sigma1),IF(RAND()&lt;CondGood,_xlfn.LOGNORM.INV(RAND(),MV3,Sigma2),MIN(MaxMultiple,Xm/(1-RAND())^(1/Alpha)))))</f>
        <v>0</v>
      </c>
      <c r="I395" s="19">
        <f ca="1">IF(RAND()&lt;P_Zero,0,IF(RAND()&lt;CondReturn,_xlfn.LOGNORM.INV(RAND(),MV2,Sigma1),IF(RAND()&lt;CondGood,_xlfn.LOGNORM.INV(RAND(),MV3,Sigma2),MIN(MaxMultiple,Xm/(1-RAND())^(1/Alpha)))))</f>
        <v>0</v>
      </c>
      <c r="J395" s="19">
        <f ca="1">IF(RAND()&lt;P_Zero,0,IF(RAND()&lt;CondReturn,_xlfn.LOGNORM.INV(RAND(),MV2,Sigma1),IF(RAND()&lt;CondGood,_xlfn.LOGNORM.INV(RAND(),MV3,Sigma2),MIN(MaxMultiple,Xm/(1-RAND())^(1/Alpha)))))</f>
        <v>0</v>
      </c>
      <c r="K395" s="19">
        <f ca="1">IF(RAND()&lt;P_Zero,0,IF(RAND()&lt;CondReturn,_xlfn.LOGNORM.INV(RAND(),MV2,Sigma1),IF(RAND()&lt;CondGood,_xlfn.LOGNORM.INV(RAND(),MV3,Sigma2),MIN(MaxMultiple,Xm/(1-RAND())^(1/Alpha)))))</f>
        <v>0.6411853720056212</v>
      </c>
      <c r="L395" s="19">
        <f ca="1">IF(RAND()&lt;P_Zero,0,IF(RAND()&lt;CondReturn,_xlfn.LOGNORM.INV(RAND(),MV2,Sigma1),IF(RAND()&lt;CondGood,_xlfn.LOGNORM.INV(RAND(),MV3,Sigma2),MIN(MaxMultiple,Xm/(1-RAND())^(1/Alpha)))))</f>
        <v>0</v>
      </c>
      <c r="M395" s="19">
        <f ca="1">IF(RAND()&lt;P_Zero,0,IF(RAND()&lt;CondReturn,_xlfn.LOGNORM.INV(RAND(),MV2,Sigma1),IF(RAND()&lt;CondGood,_xlfn.LOGNORM.INV(RAND(),MV3,Sigma2),MIN(MaxMultiple,Xm/(1-RAND())^(1/Alpha)))))</f>
        <v>1.0521479067766522</v>
      </c>
      <c r="N395" s="19">
        <f ca="1">IF(RAND()&lt;P_Zero,0,IF(RAND()&lt;CondReturn,_xlfn.LOGNORM.INV(RAND(),MV2,Sigma1),IF(RAND()&lt;CondGood,_xlfn.LOGNORM.INV(RAND(),MV3,Sigma2),MIN(MaxMultiple,Xm/(1-RAND())^(1/Alpha)))))</f>
        <v>1.1199201906651615</v>
      </c>
      <c r="O395" s="19">
        <f ca="1">IF(RAND()&lt;P_Zero,0,IF(RAND()&lt;CondReturn,_xlfn.LOGNORM.INV(RAND(),MV2,Sigma1),IF(RAND()&lt;CondGood,_xlfn.LOGNORM.INV(RAND(),MV3,Sigma2),MIN(MaxMultiple,Xm/(1-RAND())^(1/Alpha)))))</f>
        <v>0.52553846138503424</v>
      </c>
      <c r="P395" s="19">
        <f ca="1">IF(RAND()&lt;P_Zero,0,IF(RAND()&lt;CondReturn,_xlfn.LOGNORM.INV(RAND(),MV2,Sigma1),IF(RAND()&lt;CondGood,_xlfn.LOGNORM.INV(RAND(),MV3,Sigma2),MIN(MaxMultiple,Xm/(1-RAND())^(1/Alpha)))))</f>
        <v>0.54606265465781745</v>
      </c>
      <c r="Q395" s="19">
        <f ca="1">IF(RAND()&lt;P_Zero,0,IF(RAND()&lt;CondReturn,_xlfn.LOGNORM.INV(RAND(),MV2,Sigma1),IF(RAND()&lt;CondGood,_xlfn.LOGNORM.INV(RAND(),MV3,Sigma2),MIN(MaxMultiple,Xm/(1-RAND())^(1/Alpha)))))</f>
        <v>1.9682344588200706</v>
      </c>
      <c r="R395" s="19">
        <f ca="1">IF(RAND()&lt;P_Zero,0,IF(RAND()&lt;CondReturn,_xlfn.LOGNORM.INV(RAND(),MV2,Sigma1),IF(RAND()&lt;CondGood,_xlfn.LOGNORM.INV(RAND(),MV3,Sigma2),MIN(MaxMultiple,Xm/(1-RAND())^(1/Alpha)))))</f>
        <v>0.56161184942371645</v>
      </c>
      <c r="S395" s="19">
        <f ca="1">IF(RAND()&lt;P_Zero,0,IF(RAND()&lt;CondReturn,_xlfn.LOGNORM.INV(RAND(),MV2,Sigma1),IF(RAND()&lt;CondGood,_xlfn.LOGNORM.INV(RAND(),MV3,Sigma2),MIN(MaxMultiple,Xm/(1-RAND())^(1/Alpha)))))</f>
        <v>1.6761939196822442</v>
      </c>
      <c r="T395" s="19">
        <f ca="1">IF(RAND()&lt;P_Zero,0,IF(RAND()&lt;CondReturn,_xlfn.LOGNORM.INV(RAND(),MV2,Sigma1),IF(RAND()&lt;CondGood,_xlfn.LOGNORM.INV(RAND(),MV3,Sigma2),MIN(MaxMultiple,Xm/(1-RAND())^(1/Alpha)))))</f>
        <v>0</v>
      </c>
      <c r="U395" s="19">
        <f ca="1">IF(RAND()&lt;P_Zero,0,IF(RAND()&lt;CondReturn,_xlfn.LOGNORM.INV(RAND(),MV2,Sigma1),IF(RAND()&lt;CondGood,_xlfn.LOGNORM.INV(RAND(),MV3,Sigma2),MIN(MaxMultiple,Xm/(1-RAND())^(1/Alpha)))))</f>
        <v>0</v>
      </c>
      <c r="V395" s="19">
        <f ca="1">IF(RAND()&lt;P_Zero,0,IF(RAND()&lt;CondReturn,_xlfn.LOGNORM.INV(RAND(),MV2,Sigma1),IF(RAND()&lt;CondGood,_xlfn.LOGNORM.INV(RAND(),MV3,Sigma2),MIN(MaxMultiple,Xm/(1-RAND())^(1/Alpha)))))</f>
        <v>0</v>
      </c>
      <c r="W395" s="19">
        <f ca="1">IF(RAND()&lt;P_Zero,0,IF(RAND()&lt;CondReturn,_xlfn.LOGNORM.INV(RAND(),MV2,Sigma1),IF(RAND()&lt;CondGood,_xlfn.LOGNORM.INV(RAND(),MV3,Sigma2),MIN(MaxMultiple,Xm/(1-RAND())^(1/Alpha)))))</f>
        <v>2.2082674342512778</v>
      </c>
      <c r="X395" s="19">
        <f ca="1">IF(RAND()&lt;P_Zero,0,IF(RAND()&lt;CondReturn,_xlfn.LOGNORM.INV(RAND(),MV2,Sigma1),IF(RAND()&lt;CondGood,_xlfn.LOGNORM.INV(RAND(),MV3,Sigma2),MIN(MaxMultiple,Xm/(1-RAND())^(1/Alpha)))))</f>
        <v>0.67800944610235592</v>
      </c>
      <c r="Y395" s="19">
        <f ca="1">IF(RAND()&lt;P_Zero,0,IF(RAND()&lt;CondReturn,_xlfn.LOGNORM.INV(RAND(),MV2,Sigma1),IF(RAND()&lt;CondGood,_xlfn.LOGNORM.INV(RAND(),MV3,Sigma2),MIN(MaxMultiple,Xm/(1-RAND())^(1/Alpha)))))</f>
        <v>0</v>
      </c>
      <c r="Z395" s="19">
        <f ca="1">IF(RAND()&lt;P_Zero,0,IF(RAND()&lt;CondReturn,_xlfn.LOGNORM.INV(RAND(),MV2,Sigma1),IF(RAND()&lt;CondGood,_xlfn.LOGNORM.INV(RAND(),MV3,Sigma2),MIN(MaxMultiple,Xm/(1-RAND())^(1/Alpha)))))</f>
        <v>0</v>
      </c>
      <c r="AA395" s="19">
        <f ca="1">IF(RAND()&lt;P_Zero,0,IF(RAND()&lt;CondReturn,_xlfn.LOGNORM.INV(RAND(),MV2,Sigma1),IF(RAND()&lt;CondGood,_xlfn.LOGNORM.INV(RAND(),MV3,Sigma2),MIN(MaxMultiple,Xm/(1-RAND())^(1/Alpha)))))</f>
        <v>0</v>
      </c>
      <c r="AB395" s="19">
        <f t="shared" ca="1" si="48"/>
        <v>0.45387980157695784</v>
      </c>
      <c r="AC395" s="14">
        <f t="shared" ca="1" si="49"/>
        <v>21786230.475693975</v>
      </c>
      <c r="AD395" s="14">
        <f t="shared" ca="1" si="50"/>
        <v>-26213769.524306025</v>
      </c>
      <c r="AE395" s="14">
        <f t="shared" si="51"/>
        <v>55628399.869093813</v>
      </c>
      <c r="AF395" s="14">
        <f t="shared" ca="1" si="52"/>
        <v>0</v>
      </c>
      <c r="AG395" s="14">
        <f t="shared" ca="1" si="53"/>
        <v>0</v>
      </c>
      <c r="AH395" s="14">
        <f t="shared" ca="1" si="54"/>
        <v>21786230.475693975</v>
      </c>
      <c r="AI395" s="19">
        <f t="shared" ca="1" si="55"/>
        <v>0.36310384126156625</v>
      </c>
    </row>
    <row r="396" spans="2:35" x14ac:dyDescent="0.2">
      <c r="B396" s="1">
        <v>391</v>
      </c>
      <c r="C396" s="19">
        <f ca="1">IF(RAND()&lt;P_Zero,0,IF(RAND()&lt;CondReturn,_xlfn.LOGNORM.INV(RAND(),MV2,Sigma1),IF(RAND()&lt;CondGood,_xlfn.LOGNORM.INV(RAND(),MV3,Sigma2),MIN(MaxMultiple,Xm/(1-RAND())^(1/Alpha)))))</f>
        <v>1.847227540061781</v>
      </c>
      <c r="D396" s="19">
        <f ca="1">IF(RAND()&lt;P_Zero,0,IF(RAND()&lt;CondReturn,_xlfn.LOGNORM.INV(RAND(),MV2,Sigma1),IF(RAND()&lt;CondGood,_xlfn.LOGNORM.INV(RAND(),MV3,Sigma2),MIN(MaxMultiple,Xm/(1-RAND())^(1/Alpha)))))</f>
        <v>0.89270741568993095</v>
      </c>
      <c r="E396" s="19">
        <f ca="1">IF(RAND()&lt;P_Zero,0,IF(RAND()&lt;CondReturn,_xlfn.LOGNORM.INV(RAND(),MV2,Sigma1),IF(RAND()&lt;CondGood,_xlfn.LOGNORM.INV(RAND(),MV3,Sigma2),MIN(MaxMultiple,Xm/(1-RAND())^(1/Alpha)))))</f>
        <v>0.64863763604240954</v>
      </c>
      <c r="F396" s="19">
        <f ca="1">IF(RAND()&lt;P_Zero,0,IF(RAND()&lt;CondReturn,_xlfn.LOGNORM.INV(RAND(),MV2,Sigma1),IF(RAND()&lt;CondGood,_xlfn.LOGNORM.INV(RAND(),MV3,Sigma2),MIN(MaxMultiple,Xm/(1-RAND())^(1/Alpha)))))</f>
        <v>0</v>
      </c>
      <c r="G396" s="19">
        <f ca="1">IF(RAND()&lt;P_Zero,0,IF(RAND()&lt;CondReturn,_xlfn.LOGNORM.INV(RAND(),MV2,Sigma1),IF(RAND()&lt;CondGood,_xlfn.LOGNORM.INV(RAND(),MV3,Sigma2),MIN(MaxMultiple,Xm/(1-RAND())^(1/Alpha)))))</f>
        <v>1.1818314158328016</v>
      </c>
      <c r="H396" s="19">
        <f ca="1">IF(RAND()&lt;P_Zero,0,IF(RAND()&lt;CondReturn,_xlfn.LOGNORM.INV(RAND(),MV2,Sigma1),IF(RAND()&lt;CondGood,_xlfn.LOGNORM.INV(RAND(),MV3,Sigma2),MIN(MaxMultiple,Xm/(1-RAND())^(1/Alpha)))))</f>
        <v>19.136867408194025</v>
      </c>
      <c r="I396" s="19">
        <f ca="1">IF(RAND()&lt;P_Zero,0,IF(RAND()&lt;CondReturn,_xlfn.LOGNORM.INV(RAND(),MV2,Sigma1),IF(RAND()&lt;CondGood,_xlfn.LOGNORM.INV(RAND(),MV3,Sigma2),MIN(MaxMultiple,Xm/(1-RAND())^(1/Alpha)))))</f>
        <v>0.53438611396475311</v>
      </c>
      <c r="J396" s="19">
        <f ca="1">IF(RAND()&lt;P_Zero,0,IF(RAND()&lt;CondReturn,_xlfn.LOGNORM.INV(RAND(),MV2,Sigma1),IF(RAND()&lt;CondGood,_xlfn.LOGNORM.INV(RAND(),MV3,Sigma2),MIN(MaxMultiple,Xm/(1-RAND())^(1/Alpha)))))</f>
        <v>0</v>
      </c>
      <c r="K396" s="19">
        <f ca="1">IF(RAND()&lt;P_Zero,0,IF(RAND()&lt;CondReturn,_xlfn.LOGNORM.INV(RAND(),MV2,Sigma1),IF(RAND()&lt;CondGood,_xlfn.LOGNORM.INV(RAND(),MV3,Sigma2),MIN(MaxMultiple,Xm/(1-RAND())^(1/Alpha)))))</f>
        <v>0.70408548668124193</v>
      </c>
      <c r="L396" s="19">
        <f ca="1">IF(RAND()&lt;P_Zero,0,IF(RAND()&lt;CondReturn,_xlfn.LOGNORM.INV(RAND(),MV2,Sigma1),IF(RAND()&lt;CondGood,_xlfn.LOGNORM.INV(RAND(),MV3,Sigma2),MIN(MaxMultiple,Xm/(1-RAND())^(1/Alpha)))))</f>
        <v>0</v>
      </c>
      <c r="M396" s="19">
        <f ca="1">IF(RAND()&lt;P_Zero,0,IF(RAND()&lt;CondReturn,_xlfn.LOGNORM.INV(RAND(),MV2,Sigma1),IF(RAND()&lt;CondGood,_xlfn.LOGNORM.INV(RAND(),MV3,Sigma2),MIN(MaxMultiple,Xm/(1-RAND())^(1/Alpha)))))</f>
        <v>12.686352700989174</v>
      </c>
      <c r="N396" s="19">
        <f ca="1">IF(RAND()&lt;P_Zero,0,IF(RAND()&lt;CondReturn,_xlfn.LOGNORM.INV(RAND(),MV2,Sigma1),IF(RAND()&lt;CondGood,_xlfn.LOGNORM.INV(RAND(),MV3,Sigma2),MIN(MaxMultiple,Xm/(1-RAND())^(1/Alpha)))))</f>
        <v>1.4370899736326164</v>
      </c>
      <c r="O396" s="19">
        <f ca="1">IF(RAND()&lt;P_Zero,0,IF(RAND()&lt;CondReturn,_xlfn.LOGNORM.INV(RAND(),MV2,Sigma1),IF(RAND()&lt;CondGood,_xlfn.LOGNORM.INV(RAND(),MV3,Sigma2),MIN(MaxMultiple,Xm/(1-RAND())^(1/Alpha)))))</f>
        <v>0.4845443240241985</v>
      </c>
      <c r="P396" s="19">
        <f ca="1">IF(RAND()&lt;P_Zero,0,IF(RAND()&lt;CondReturn,_xlfn.LOGNORM.INV(RAND(),MV2,Sigma1),IF(RAND()&lt;CondGood,_xlfn.LOGNORM.INV(RAND(),MV3,Sigma2),MIN(MaxMultiple,Xm/(1-RAND())^(1/Alpha)))))</f>
        <v>1.0784922330817381</v>
      </c>
      <c r="Q396" s="19">
        <f ca="1">IF(RAND()&lt;P_Zero,0,IF(RAND()&lt;CondReturn,_xlfn.LOGNORM.INV(RAND(),MV2,Sigma1),IF(RAND()&lt;CondGood,_xlfn.LOGNORM.INV(RAND(),MV3,Sigma2),MIN(MaxMultiple,Xm/(1-RAND())^(1/Alpha)))))</f>
        <v>0</v>
      </c>
      <c r="R396" s="19">
        <f ca="1">IF(RAND()&lt;P_Zero,0,IF(RAND()&lt;CondReturn,_xlfn.LOGNORM.INV(RAND(),MV2,Sigma1),IF(RAND()&lt;CondGood,_xlfn.LOGNORM.INV(RAND(),MV3,Sigma2),MIN(MaxMultiple,Xm/(1-RAND())^(1/Alpha)))))</f>
        <v>0</v>
      </c>
      <c r="S396" s="19">
        <f ca="1">IF(RAND()&lt;P_Zero,0,IF(RAND()&lt;CondReturn,_xlfn.LOGNORM.INV(RAND(),MV2,Sigma1),IF(RAND()&lt;CondGood,_xlfn.LOGNORM.INV(RAND(),MV3,Sigma2),MIN(MaxMultiple,Xm/(1-RAND())^(1/Alpha)))))</f>
        <v>0.92810564383477967</v>
      </c>
      <c r="T396" s="19">
        <f ca="1">IF(RAND()&lt;P_Zero,0,IF(RAND()&lt;CondReturn,_xlfn.LOGNORM.INV(RAND(),MV2,Sigma1),IF(RAND()&lt;CondGood,_xlfn.LOGNORM.INV(RAND(),MV3,Sigma2),MIN(MaxMultiple,Xm/(1-RAND())^(1/Alpha)))))</f>
        <v>0</v>
      </c>
      <c r="U396" s="19">
        <f ca="1">IF(RAND()&lt;P_Zero,0,IF(RAND()&lt;CondReturn,_xlfn.LOGNORM.INV(RAND(),MV2,Sigma1),IF(RAND()&lt;CondGood,_xlfn.LOGNORM.INV(RAND(),MV3,Sigma2),MIN(MaxMultiple,Xm/(1-RAND())^(1/Alpha)))))</f>
        <v>0</v>
      </c>
      <c r="V396" s="19">
        <f ca="1">IF(RAND()&lt;P_Zero,0,IF(RAND()&lt;CondReturn,_xlfn.LOGNORM.INV(RAND(),MV2,Sigma1),IF(RAND()&lt;CondGood,_xlfn.LOGNORM.INV(RAND(),MV3,Sigma2),MIN(MaxMultiple,Xm/(1-RAND())^(1/Alpha)))))</f>
        <v>0</v>
      </c>
      <c r="W396" s="19">
        <f ca="1">IF(RAND()&lt;P_Zero,0,IF(RAND()&lt;CondReturn,_xlfn.LOGNORM.INV(RAND(),MV2,Sigma1),IF(RAND()&lt;CondGood,_xlfn.LOGNORM.INV(RAND(),MV3,Sigma2),MIN(MaxMultiple,Xm/(1-RAND())^(1/Alpha)))))</f>
        <v>0</v>
      </c>
      <c r="X396" s="19">
        <f ca="1">IF(RAND()&lt;P_Zero,0,IF(RAND()&lt;CondReturn,_xlfn.LOGNORM.INV(RAND(),MV2,Sigma1),IF(RAND()&lt;CondGood,_xlfn.LOGNORM.INV(RAND(),MV3,Sigma2),MIN(MaxMultiple,Xm/(1-RAND())^(1/Alpha)))))</f>
        <v>0</v>
      </c>
      <c r="Y396" s="19">
        <f ca="1">IF(RAND()&lt;P_Zero,0,IF(RAND()&lt;CondReturn,_xlfn.LOGNORM.INV(RAND(),MV2,Sigma1),IF(RAND()&lt;CondGood,_xlfn.LOGNORM.INV(RAND(),MV3,Sigma2),MIN(MaxMultiple,Xm/(1-RAND())^(1/Alpha)))))</f>
        <v>0</v>
      </c>
      <c r="Z396" s="19">
        <f ca="1">IF(RAND()&lt;P_Zero,0,IF(RAND()&lt;CondReturn,_xlfn.LOGNORM.INV(RAND(),MV2,Sigma1),IF(RAND()&lt;CondGood,_xlfn.LOGNORM.INV(RAND(),MV3,Sigma2),MIN(MaxMultiple,Xm/(1-RAND())^(1/Alpha)))))</f>
        <v>0</v>
      </c>
      <c r="AA396" s="19">
        <f ca="1">IF(RAND()&lt;P_Zero,0,IF(RAND()&lt;CondReturn,_xlfn.LOGNORM.INV(RAND(),MV2,Sigma1),IF(RAND()&lt;CondGood,_xlfn.LOGNORM.INV(RAND(),MV3,Sigma2),MIN(MaxMultiple,Xm/(1-RAND())^(1/Alpha)))))</f>
        <v>0</v>
      </c>
      <c r="AB396" s="19">
        <f t="shared" ca="1" si="48"/>
        <v>1.6624131156811779</v>
      </c>
      <c r="AC396" s="14">
        <f t="shared" ca="1" si="49"/>
        <v>79795829.552696541</v>
      </c>
      <c r="AD396" s="14">
        <f t="shared" ca="1" si="50"/>
        <v>31795829.552696541</v>
      </c>
      <c r="AE396" s="14">
        <f t="shared" si="51"/>
        <v>55628399.869093813</v>
      </c>
      <c r="AF396" s="14">
        <f t="shared" ca="1" si="52"/>
        <v>0</v>
      </c>
      <c r="AG396" s="14">
        <f t="shared" ca="1" si="53"/>
        <v>0</v>
      </c>
      <c r="AH396" s="14">
        <f t="shared" ca="1" si="54"/>
        <v>79795829.552696541</v>
      </c>
      <c r="AI396" s="19">
        <f t="shared" ca="1" si="55"/>
        <v>1.3299304925449424</v>
      </c>
    </row>
    <row r="397" spans="2:35" x14ac:dyDescent="0.2">
      <c r="B397" s="1">
        <v>392</v>
      </c>
      <c r="C397" s="19">
        <f ca="1">IF(RAND()&lt;P_Zero,0,IF(RAND()&lt;CondReturn,_xlfn.LOGNORM.INV(RAND(),MV2,Sigma1),IF(RAND()&lt;CondGood,_xlfn.LOGNORM.INV(RAND(),MV3,Sigma2),MIN(MaxMultiple,Xm/(1-RAND())^(1/Alpha)))))</f>
        <v>0</v>
      </c>
      <c r="D397" s="19">
        <f ca="1">IF(RAND()&lt;P_Zero,0,IF(RAND()&lt;CondReturn,_xlfn.LOGNORM.INV(RAND(),MV2,Sigma1),IF(RAND()&lt;CondGood,_xlfn.LOGNORM.INV(RAND(),MV3,Sigma2),MIN(MaxMultiple,Xm/(1-RAND())^(1/Alpha)))))</f>
        <v>0</v>
      </c>
      <c r="E397" s="19">
        <f ca="1">IF(RAND()&lt;P_Zero,0,IF(RAND()&lt;CondReturn,_xlfn.LOGNORM.INV(RAND(),MV2,Sigma1),IF(RAND()&lt;CondGood,_xlfn.LOGNORM.INV(RAND(),MV3,Sigma2),MIN(MaxMultiple,Xm/(1-RAND())^(1/Alpha)))))</f>
        <v>0.42275925020394756</v>
      </c>
      <c r="F397" s="19">
        <f ca="1">IF(RAND()&lt;P_Zero,0,IF(RAND()&lt;CondReturn,_xlfn.LOGNORM.INV(RAND(),MV2,Sigma1),IF(RAND()&lt;CondGood,_xlfn.LOGNORM.INV(RAND(),MV3,Sigma2),MIN(MaxMultiple,Xm/(1-RAND())^(1/Alpha)))))</f>
        <v>0</v>
      </c>
      <c r="G397" s="19">
        <f ca="1">IF(RAND()&lt;P_Zero,0,IF(RAND()&lt;CondReturn,_xlfn.LOGNORM.INV(RAND(),MV2,Sigma1),IF(RAND()&lt;CondGood,_xlfn.LOGNORM.INV(RAND(),MV3,Sigma2),MIN(MaxMultiple,Xm/(1-RAND())^(1/Alpha)))))</f>
        <v>12.489114179313598</v>
      </c>
      <c r="H397" s="19">
        <f ca="1">IF(RAND()&lt;P_Zero,0,IF(RAND()&lt;CondReturn,_xlfn.LOGNORM.INV(RAND(),MV2,Sigma1),IF(RAND()&lt;CondGood,_xlfn.LOGNORM.INV(RAND(),MV3,Sigma2),MIN(MaxMultiple,Xm/(1-RAND())^(1/Alpha)))))</f>
        <v>0</v>
      </c>
      <c r="I397" s="19">
        <f ca="1">IF(RAND()&lt;P_Zero,0,IF(RAND()&lt;CondReturn,_xlfn.LOGNORM.INV(RAND(),MV2,Sigma1),IF(RAND()&lt;CondGood,_xlfn.LOGNORM.INV(RAND(),MV3,Sigma2),MIN(MaxMultiple,Xm/(1-RAND())^(1/Alpha)))))</f>
        <v>0</v>
      </c>
      <c r="J397" s="19">
        <f ca="1">IF(RAND()&lt;P_Zero,0,IF(RAND()&lt;CondReturn,_xlfn.LOGNORM.INV(RAND(),MV2,Sigma1),IF(RAND()&lt;CondGood,_xlfn.LOGNORM.INV(RAND(),MV3,Sigma2),MIN(MaxMultiple,Xm/(1-RAND())^(1/Alpha)))))</f>
        <v>0</v>
      </c>
      <c r="K397" s="19">
        <f ca="1">IF(RAND()&lt;P_Zero,0,IF(RAND()&lt;CondReturn,_xlfn.LOGNORM.INV(RAND(),MV2,Sigma1),IF(RAND()&lt;CondGood,_xlfn.LOGNORM.INV(RAND(),MV3,Sigma2),MIN(MaxMultiple,Xm/(1-RAND())^(1/Alpha)))))</f>
        <v>0.51849978808105068</v>
      </c>
      <c r="L397" s="19">
        <f ca="1">IF(RAND()&lt;P_Zero,0,IF(RAND()&lt;CondReturn,_xlfn.LOGNORM.INV(RAND(),MV2,Sigma1),IF(RAND()&lt;CondGood,_xlfn.LOGNORM.INV(RAND(),MV3,Sigma2),MIN(MaxMultiple,Xm/(1-RAND())^(1/Alpha)))))</f>
        <v>0</v>
      </c>
      <c r="M397" s="19">
        <f ca="1">IF(RAND()&lt;P_Zero,0,IF(RAND()&lt;CondReturn,_xlfn.LOGNORM.INV(RAND(),MV2,Sigma1),IF(RAND()&lt;CondGood,_xlfn.LOGNORM.INV(RAND(),MV3,Sigma2),MIN(MaxMultiple,Xm/(1-RAND())^(1/Alpha)))))</f>
        <v>0.62901122217094507</v>
      </c>
      <c r="N397" s="19">
        <f ca="1">IF(RAND()&lt;P_Zero,0,IF(RAND()&lt;CondReturn,_xlfn.LOGNORM.INV(RAND(),MV2,Sigma1),IF(RAND()&lt;CondGood,_xlfn.LOGNORM.INV(RAND(),MV3,Sigma2),MIN(MaxMultiple,Xm/(1-RAND())^(1/Alpha)))))</f>
        <v>0</v>
      </c>
      <c r="O397" s="19">
        <f ca="1">IF(RAND()&lt;P_Zero,0,IF(RAND()&lt;CondReturn,_xlfn.LOGNORM.INV(RAND(),MV2,Sigma1),IF(RAND()&lt;CondGood,_xlfn.LOGNORM.INV(RAND(),MV3,Sigma2),MIN(MaxMultiple,Xm/(1-RAND())^(1/Alpha)))))</f>
        <v>0</v>
      </c>
      <c r="P397" s="19">
        <f ca="1">IF(RAND()&lt;P_Zero,0,IF(RAND()&lt;CondReturn,_xlfn.LOGNORM.INV(RAND(),MV2,Sigma1),IF(RAND()&lt;CondGood,_xlfn.LOGNORM.INV(RAND(),MV3,Sigma2),MIN(MaxMultiple,Xm/(1-RAND())^(1/Alpha)))))</f>
        <v>0</v>
      </c>
      <c r="Q397" s="19">
        <f ca="1">IF(RAND()&lt;P_Zero,0,IF(RAND()&lt;CondReturn,_xlfn.LOGNORM.INV(RAND(),MV2,Sigma1),IF(RAND()&lt;CondGood,_xlfn.LOGNORM.INV(RAND(),MV3,Sigma2),MIN(MaxMultiple,Xm/(1-RAND())^(1/Alpha)))))</f>
        <v>0</v>
      </c>
      <c r="R397" s="19">
        <f ca="1">IF(RAND()&lt;P_Zero,0,IF(RAND()&lt;CondReturn,_xlfn.LOGNORM.INV(RAND(),MV2,Sigma1),IF(RAND()&lt;CondGood,_xlfn.LOGNORM.INV(RAND(),MV3,Sigma2),MIN(MaxMultiple,Xm/(1-RAND())^(1/Alpha)))))</f>
        <v>0</v>
      </c>
      <c r="S397" s="19">
        <f ca="1">IF(RAND()&lt;P_Zero,0,IF(RAND()&lt;CondReturn,_xlfn.LOGNORM.INV(RAND(),MV2,Sigma1),IF(RAND()&lt;CondGood,_xlfn.LOGNORM.INV(RAND(),MV3,Sigma2),MIN(MaxMultiple,Xm/(1-RAND())^(1/Alpha)))))</f>
        <v>0.5633174909067642</v>
      </c>
      <c r="T397" s="19">
        <f ca="1">IF(RAND()&lt;P_Zero,0,IF(RAND()&lt;CondReturn,_xlfn.LOGNORM.INV(RAND(),MV2,Sigma1),IF(RAND()&lt;CondGood,_xlfn.LOGNORM.INV(RAND(),MV3,Sigma2),MIN(MaxMultiple,Xm/(1-RAND())^(1/Alpha)))))</f>
        <v>0.94235363803642302</v>
      </c>
      <c r="U397" s="19">
        <f ca="1">IF(RAND()&lt;P_Zero,0,IF(RAND()&lt;CondReturn,_xlfn.LOGNORM.INV(RAND(),MV2,Sigma1),IF(RAND()&lt;CondGood,_xlfn.LOGNORM.INV(RAND(),MV3,Sigma2),MIN(MaxMultiple,Xm/(1-RAND())^(1/Alpha)))))</f>
        <v>0</v>
      </c>
      <c r="V397" s="19">
        <f ca="1">IF(RAND()&lt;P_Zero,0,IF(RAND()&lt;CondReturn,_xlfn.LOGNORM.INV(RAND(),MV2,Sigma1),IF(RAND()&lt;CondGood,_xlfn.LOGNORM.INV(RAND(),MV3,Sigma2),MIN(MaxMultiple,Xm/(1-RAND())^(1/Alpha)))))</f>
        <v>0</v>
      </c>
      <c r="W397" s="19">
        <f ca="1">IF(RAND()&lt;P_Zero,0,IF(RAND()&lt;CondReturn,_xlfn.LOGNORM.INV(RAND(),MV2,Sigma1),IF(RAND()&lt;CondGood,_xlfn.LOGNORM.INV(RAND(),MV3,Sigma2),MIN(MaxMultiple,Xm/(1-RAND())^(1/Alpha)))))</f>
        <v>1.0628261038234814</v>
      </c>
      <c r="X397" s="19">
        <f ca="1">IF(RAND()&lt;P_Zero,0,IF(RAND()&lt;CondReturn,_xlfn.LOGNORM.INV(RAND(),MV2,Sigma1),IF(RAND()&lt;CondGood,_xlfn.LOGNORM.INV(RAND(),MV3,Sigma2),MIN(MaxMultiple,Xm/(1-RAND())^(1/Alpha)))))</f>
        <v>0</v>
      </c>
      <c r="Y397" s="19">
        <f ca="1">IF(RAND()&lt;P_Zero,0,IF(RAND()&lt;CondReturn,_xlfn.LOGNORM.INV(RAND(),MV2,Sigma1),IF(RAND()&lt;CondGood,_xlfn.LOGNORM.INV(RAND(),MV3,Sigma2),MIN(MaxMultiple,Xm/(1-RAND())^(1/Alpha)))))</f>
        <v>1.3634352879689673</v>
      </c>
      <c r="Z397" s="19">
        <f ca="1">IF(RAND()&lt;P_Zero,0,IF(RAND()&lt;CondReturn,_xlfn.LOGNORM.INV(RAND(),MV2,Sigma1),IF(RAND()&lt;CondGood,_xlfn.LOGNORM.INV(RAND(),MV3,Sigma2),MIN(MaxMultiple,Xm/(1-RAND())^(1/Alpha)))))</f>
        <v>3.160078893112519</v>
      </c>
      <c r="AA397" s="19">
        <f ca="1">IF(RAND()&lt;P_Zero,0,IF(RAND()&lt;CondReturn,_xlfn.LOGNORM.INV(RAND(),MV2,Sigma1),IF(RAND()&lt;CondGood,_xlfn.LOGNORM.INV(RAND(),MV3,Sigma2),MIN(MaxMultiple,Xm/(1-RAND())^(1/Alpha)))))</f>
        <v>0.6261769792021622</v>
      </c>
      <c r="AB397" s="19">
        <f t="shared" ca="1" si="48"/>
        <v>0.87110291331279444</v>
      </c>
      <c r="AC397" s="14">
        <f t="shared" ca="1" si="49"/>
        <v>41812939.839014135</v>
      </c>
      <c r="AD397" s="14">
        <f t="shared" ca="1" si="50"/>
        <v>-6187060.1609858647</v>
      </c>
      <c r="AE397" s="14">
        <f t="shared" si="51"/>
        <v>55628399.869093813</v>
      </c>
      <c r="AF397" s="14">
        <f t="shared" ca="1" si="52"/>
        <v>0</v>
      </c>
      <c r="AG397" s="14">
        <f t="shared" ca="1" si="53"/>
        <v>0</v>
      </c>
      <c r="AH397" s="14">
        <f t="shared" ca="1" si="54"/>
        <v>41812939.839014135</v>
      </c>
      <c r="AI397" s="19">
        <f t="shared" ca="1" si="55"/>
        <v>0.69688233065023564</v>
      </c>
    </row>
    <row r="398" spans="2:35" x14ac:dyDescent="0.2">
      <c r="B398" s="1">
        <v>393</v>
      </c>
      <c r="C398" s="19">
        <f ca="1">IF(RAND()&lt;P_Zero,0,IF(RAND()&lt;CondReturn,_xlfn.LOGNORM.INV(RAND(),MV2,Sigma1),IF(RAND()&lt;CondGood,_xlfn.LOGNORM.INV(RAND(),MV3,Sigma2),MIN(MaxMultiple,Xm/(1-RAND())^(1/Alpha)))))</f>
        <v>0.57499508811170807</v>
      </c>
      <c r="D398" s="19">
        <f ca="1">IF(RAND()&lt;P_Zero,0,IF(RAND()&lt;CondReturn,_xlfn.LOGNORM.INV(RAND(),MV2,Sigma1),IF(RAND()&lt;CondGood,_xlfn.LOGNORM.INV(RAND(),MV3,Sigma2),MIN(MaxMultiple,Xm/(1-RAND())^(1/Alpha)))))</f>
        <v>0</v>
      </c>
      <c r="E398" s="19">
        <f ca="1">IF(RAND()&lt;P_Zero,0,IF(RAND()&lt;CondReturn,_xlfn.LOGNORM.INV(RAND(),MV2,Sigma1),IF(RAND()&lt;CondGood,_xlfn.LOGNORM.INV(RAND(),MV3,Sigma2),MIN(MaxMultiple,Xm/(1-RAND())^(1/Alpha)))))</f>
        <v>0.66591869250455971</v>
      </c>
      <c r="F398" s="19">
        <f ca="1">IF(RAND()&lt;P_Zero,0,IF(RAND()&lt;CondReturn,_xlfn.LOGNORM.INV(RAND(),MV2,Sigma1),IF(RAND()&lt;CondGood,_xlfn.LOGNORM.INV(RAND(),MV3,Sigma2),MIN(MaxMultiple,Xm/(1-RAND())^(1/Alpha)))))</f>
        <v>0</v>
      </c>
      <c r="G398" s="19">
        <f ca="1">IF(RAND()&lt;P_Zero,0,IF(RAND()&lt;CondReturn,_xlfn.LOGNORM.INV(RAND(),MV2,Sigma1),IF(RAND()&lt;CondGood,_xlfn.LOGNORM.INV(RAND(),MV3,Sigma2),MIN(MaxMultiple,Xm/(1-RAND())^(1/Alpha)))))</f>
        <v>1.2696608150329052</v>
      </c>
      <c r="H398" s="19">
        <f ca="1">IF(RAND()&lt;P_Zero,0,IF(RAND()&lt;CondReturn,_xlfn.LOGNORM.INV(RAND(),MV2,Sigma1),IF(RAND()&lt;CondGood,_xlfn.LOGNORM.INV(RAND(),MV3,Sigma2),MIN(MaxMultiple,Xm/(1-RAND())^(1/Alpha)))))</f>
        <v>1.1488245146491112</v>
      </c>
      <c r="I398" s="19">
        <f ca="1">IF(RAND()&lt;P_Zero,0,IF(RAND()&lt;CondReturn,_xlfn.LOGNORM.INV(RAND(),MV2,Sigma1),IF(RAND()&lt;CondGood,_xlfn.LOGNORM.INV(RAND(),MV3,Sigma2),MIN(MaxMultiple,Xm/(1-RAND())^(1/Alpha)))))</f>
        <v>0</v>
      </c>
      <c r="J398" s="19">
        <f ca="1">IF(RAND()&lt;P_Zero,0,IF(RAND()&lt;CondReturn,_xlfn.LOGNORM.INV(RAND(),MV2,Sigma1),IF(RAND()&lt;CondGood,_xlfn.LOGNORM.INV(RAND(),MV3,Sigma2),MIN(MaxMultiple,Xm/(1-RAND())^(1/Alpha)))))</f>
        <v>26.720243635120092</v>
      </c>
      <c r="K398" s="19">
        <f ca="1">IF(RAND()&lt;P_Zero,0,IF(RAND()&lt;CondReturn,_xlfn.LOGNORM.INV(RAND(),MV2,Sigma1),IF(RAND()&lt;CondGood,_xlfn.LOGNORM.INV(RAND(),MV3,Sigma2),MIN(MaxMultiple,Xm/(1-RAND())^(1/Alpha)))))</f>
        <v>0.88703118603604403</v>
      </c>
      <c r="L398" s="19">
        <f ca="1">IF(RAND()&lt;P_Zero,0,IF(RAND()&lt;CondReturn,_xlfn.LOGNORM.INV(RAND(),MV2,Sigma1),IF(RAND()&lt;CondGood,_xlfn.LOGNORM.INV(RAND(),MV3,Sigma2),MIN(MaxMultiple,Xm/(1-RAND())^(1/Alpha)))))</f>
        <v>0</v>
      </c>
      <c r="M398" s="19">
        <f ca="1">IF(RAND()&lt;P_Zero,0,IF(RAND()&lt;CondReturn,_xlfn.LOGNORM.INV(RAND(),MV2,Sigma1),IF(RAND()&lt;CondGood,_xlfn.LOGNORM.INV(RAND(),MV3,Sigma2),MIN(MaxMultiple,Xm/(1-RAND())^(1/Alpha)))))</f>
        <v>0</v>
      </c>
      <c r="N398" s="19">
        <f ca="1">IF(RAND()&lt;P_Zero,0,IF(RAND()&lt;CondReturn,_xlfn.LOGNORM.INV(RAND(),MV2,Sigma1),IF(RAND()&lt;CondGood,_xlfn.LOGNORM.INV(RAND(),MV3,Sigma2),MIN(MaxMultiple,Xm/(1-RAND())^(1/Alpha)))))</f>
        <v>0</v>
      </c>
      <c r="O398" s="19">
        <f ca="1">IF(RAND()&lt;P_Zero,0,IF(RAND()&lt;CondReturn,_xlfn.LOGNORM.INV(RAND(),MV2,Sigma1),IF(RAND()&lt;CondGood,_xlfn.LOGNORM.INV(RAND(),MV3,Sigma2),MIN(MaxMultiple,Xm/(1-RAND())^(1/Alpha)))))</f>
        <v>0</v>
      </c>
      <c r="P398" s="19">
        <f ca="1">IF(RAND()&lt;P_Zero,0,IF(RAND()&lt;CondReturn,_xlfn.LOGNORM.INV(RAND(),MV2,Sigma1),IF(RAND()&lt;CondGood,_xlfn.LOGNORM.INV(RAND(),MV3,Sigma2),MIN(MaxMultiple,Xm/(1-RAND())^(1/Alpha)))))</f>
        <v>0</v>
      </c>
      <c r="Q398" s="19">
        <f ca="1">IF(RAND()&lt;P_Zero,0,IF(RAND()&lt;CondReturn,_xlfn.LOGNORM.INV(RAND(),MV2,Sigma1),IF(RAND()&lt;CondGood,_xlfn.LOGNORM.INV(RAND(),MV3,Sigma2),MIN(MaxMultiple,Xm/(1-RAND())^(1/Alpha)))))</f>
        <v>0.45394676607635986</v>
      </c>
      <c r="R398" s="19">
        <f ca="1">IF(RAND()&lt;P_Zero,0,IF(RAND()&lt;CondReturn,_xlfn.LOGNORM.INV(RAND(),MV2,Sigma1),IF(RAND()&lt;CondGood,_xlfn.LOGNORM.INV(RAND(),MV3,Sigma2),MIN(MaxMultiple,Xm/(1-RAND())^(1/Alpha)))))</f>
        <v>0</v>
      </c>
      <c r="S398" s="19">
        <f ca="1">IF(RAND()&lt;P_Zero,0,IF(RAND()&lt;CondReturn,_xlfn.LOGNORM.INV(RAND(),MV2,Sigma1),IF(RAND()&lt;CondGood,_xlfn.LOGNORM.INV(RAND(),MV3,Sigma2),MIN(MaxMultiple,Xm/(1-RAND())^(1/Alpha)))))</f>
        <v>0.83116133158399486</v>
      </c>
      <c r="T398" s="19">
        <f ca="1">IF(RAND()&lt;P_Zero,0,IF(RAND()&lt;CondReturn,_xlfn.LOGNORM.INV(RAND(),MV2,Sigma1),IF(RAND()&lt;CondGood,_xlfn.LOGNORM.INV(RAND(),MV3,Sigma2),MIN(MaxMultiple,Xm/(1-RAND())^(1/Alpha)))))</f>
        <v>0</v>
      </c>
      <c r="U398" s="19">
        <f ca="1">IF(RAND()&lt;P_Zero,0,IF(RAND()&lt;CondReturn,_xlfn.LOGNORM.INV(RAND(),MV2,Sigma1),IF(RAND()&lt;CondGood,_xlfn.LOGNORM.INV(RAND(),MV3,Sigma2),MIN(MaxMultiple,Xm/(1-RAND())^(1/Alpha)))))</f>
        <v>0</v>
      </c>
      <c r="V398" s="19">
        <f ca="1">IF(RAND()&lt;P_Zero,0,IF(RAND()&lt;CondReturn,_xlfn.LOGNORM.INV(RAND(),MV2,Sigma1),IF(RAND()&lt;CondGood,_xlfn.LOGNORM.INV(RAND(),MV3,Sigma2),MIN(MaxMultiple,Xm/(1-RAND())^(1/Alpha)))))</f>
        <v>0.80972109025393912</v>
      </c>
      <c r="W398" s="19">
        <f ca="1">IF(RAND()&lt;P_Zero,0,IF(RAND()&lt;CondReturn,_xlfn.LOGNORM.INV(RAND(),MV2,Sigma1),IF(RAND()&lt;CondGood,_xlfn.LOGNORM.INV(RAND(),MV3,Sigma2),MIN(MaxMultiple,Xm/(1-RAND())^(1/Alpha)))))</f>
        <v>0.42503089496773477</v>
      </c>
      <c r="X398" s="19">
        <f ca="1">IF(RAND()&lt;P_Zero,0,IF(RAND()&lt;CondReturn,_xlfn.LOGNORM.INV(RAND(),MV2,Sigma1),IF(RAND()&lt;CondGood,_xlfn.LOGNORM.INV(RAND(),MV3,Sigma2),MIN(MaxMultiple,Xm/(1-RAND())^(1/Alpha)))))</f>
        <v>0</v>
      </c>
      <c r="Y398" s="19">
        <f ca="1">IF(RAND()&lt;P_Zero,0,IF(RAND()&lt;CondReturn,_xlfn.LOGNORM.INV(RAND(),MV2,Sigma1),IF(RAND()&lt;CondGood,_xlfn.LOGNORM.INV(RAND(),MV3,Sigma2),MIN(MaxMultiple,Xm/(1-RAND())^(1/Alpha)))))</f>
        <v>0</v>
      </c>
      <c r="Z398" s="19">
        <f ca="1">IF(RAND()&lt;P_Zero,0,IF(RAND()&lt;CondReturn,_xlfn.LOGNORM.INV(RAND(),MV2,Sigma1),IF(RAND()&lt;CondGood,_xlfn.LOGNORM.INV(RAND(),MV3,Sigma2),MIN(MaxMultiple,Xm/(1-RAND())^(1/Alpha)))))</f>
        <v>39.878916696871656</v>
      </c>
      <c r="AA398" s="19">
        <f ca="1">IF(RAND()&lt;P_Zero,0,IF(RAND()&lt;CondReturn,_xlfn.LOGNORM.INV(RAND(),MV2,Sigma1),IF(RAND()&lt;CondGood,_xlfn.LOGNORM.INV(RAND(),MV3,Sigma2),MIN(MaxMultiple,Xm/(1-RAND())^(1/Alpha)))))</f>
        <v>32.868915899698756</v>
      </c>
      <c r="AB398" s="19">
        <f t="shared" ca="1" si="48"/>
        <v>4.261374664436274</v>
      </c>
      <c r="AC398" s="14">
        <f t="shared" ca="1" si="49"/>
        <v>204545983.89294115</v>
      </c>
      <c r="AD398" s="14">
        <f t="shared" ca="1" si="50"/>
        <v>156545983.89294115</v>
      </c>
      <c r="AE398" s="14">
        <f t="shared" si="51"/>
        <v>55628399.869093813</v>
      </c>
      <c r="AF398" s="14">
        <f t="shared" ca="1" si="52"/>
        <v>100917584.02384734</v>
      </c>
      <c r="AG398" s="14">
        <f t="shared" ca="1" si="53"/>
        <v>20183516.804769471</v>
      </c>
      <c r="AH398" s="14">
        <f t="shared" ca="1" si="54"/>
        <v>184362467.08817166</v>
      </c>
      <c r="AI398" s="19">
        <f t="shared" ca="1" si="55"/>
        <v>3.0727077848028612</v>
      </c>
    </row>
    <row r="399" spans="2:35" x14ac:dyDescent="0.2">
      <c r="B399" s="1">
        <v>394</v>
      </c>
      <c r="C399" s="19">
        <f ca="1">IF(RAND()&lt;P_Zero,0,IF(RAND()&lt;CondReturn,_xlfn.LOGNORM.INV(RAND(),MV2,Sigma1),IF(RAND()&lt;CondGood,_xlfn.LOGNORM.INV(RAND(),MV3,Sigma2),MIN(MaxMultiple,Xm/(1-RAND())^(1/Alpha)))))</f>
        <v>0</v>
      </c>
      <c r="D399" s="19">
        <f ca="1">IF(RAND()&lt;P_Zero,0,IF(RAND()&lt;CondReturn,_xlfn.LOGNORM.INV(RAND(),MV2,Sigma1),IF(RAND()&lt;CondGood,_xlfn.LOGNORM.INV(RAND(),MV3,Sigma2),MIN(MaxMultiple,Xm/(1-RAND())^(1/Alpha)))))</f>
        <v>0</v>
      </c>
      <c r="E399" s="19">
        <f ca="1">IF(RAND()&lt;P_Zero,0,IF(RAND()&lt;CondReturn,_xlfn.LOGNORM.INV(RAND(),MV2,Sigma1),IF(RAND()&lt;CondGood,_xlfn.LOGNORM.INV(RAND(),MV3,Sigma2),MIN(MaxMultiple,Xm/(1-RAND())^(1/Alpha)))))</f>
        <v>1.1787010857788469</v>
      </c>
      <c r="F399" s="19">
        <f ca="1">IF(RAND()&lt;P_Zero,0,IF(RAND()&lt;CondReturn,_xlfn.LOGNORM.INV(RAND(),MV2,Sigma1),IF(RAND()&lt;CondGood,_xlfn.LOGNORM.INV(RAND(),MV3,Sigma2),MIN(MaxMultiple,Xm/(1-RAND())^(1/Alpha)))))</f>
        <v>0</v>
      </c>
      <c r="G399" s="19">
        <f ca="1">IF(RAND()&lt;P_Zero,0,IF(RAND()&lt;CondReturn,_xlfn.LOGNORM.INV(RAND(),MV2,Sigma1),IF(RAND()&lt;CondGood,_xlfn.LOGNORM.INV(RAND(),MV3,Sigma2),MIN(MaxMultiple,Xm/(1-RAND())^(1/Alpha)))))</f>
        <v>2.12283262484388</v>
      </c>
      <c r="H399" s="19">
        <f ca="1">IF(RAND()&lt;P_Zero,0,IF(RAND()&lt;CondReturn,_xlfn.LOGNORM.INV(RAND(),MV2,Sigma1),IF(RAND()&lt;CondGood,_xlfn.LOGNORM.INV(RAND(),MV3,Sigma2),MIN(MaxMultiple,Xm/(1-RAND())^(1/Alpha)))))</f>
        <v>0.73158158882403479</v>
      </c>
      <c r="I399" s="19">
        <f ca="1">IF(RAND()&lt;P_Zero,0,IF(RAND()&lt;CondReturn,_xlfn.LOGNORM.INV(RAND(),MV2,Sigma1),IF(RAND()&lt;CondGood,_xlfn.LOGNORM.INV(RAND(),MV3,Sigma2),MIN(MaxMultiple,Xm/(1-RAND())^(1/Alpha)))))</f>
        <v>0.91512518852204183</v>
      </c>
      <c r="J399" s="19">
        <f ca="1">IF(RAND()&lt;P_Zero,0,IF(RAND()&lt;CondReturn,_xlfn.LOGNORM.INV(RAND(),MV2,Sigma1),IF(RAND()&lt;CondGood,_xlfn.LOGNORM.INV(RAND(),MV3,Sigma2),MIN(MaxMultiple,Xm/(1-RAND())^(1/Alpha)))))</f>
        <v>0</v>
      </c>
      <c r="K399" s="19">
        <f ca="1">IF(RAND()&lt;P_Zero,0,IF(RAND()&lt;CondReturn,_xlfn.LOGNORM.INV(RAND(),MV2,Sigma1),IF(RAND()&lt;CondGood,_xlfn.LOGNORM.INV(RAND(),MV3,Sigma2),MIN(MaxMultiple,Xm/(1-RAND())^(1/Alpha)))))</f>
        <v>0.91719548587015376</v>
      </c>
      <c r="L399" s="19">
        <f ca="1">IF(RAND()&lt;P_Zero,0,IF(RAND()&lt;CondReturn,_xlfn.LOGNORM.INV(RAND(),MV2,Sigma1),IF(RAND()&lt;CondGood,_xlfn.LOGNORM.INV(RAND(),MV3,Sigma2),MIN(MaxMultiple,Xm/(1-RAND())^(1/Alpha)))))</f>
        <v>1.5888449568166692</v>
      </c>
      <c r="M399" s="19">
        <f ca="1">IF(RAND()&lt;P_Zero,0,IF(RAND()&lt;CondReturn,_xlfn.LOGNORM.INV(RAND(),MV2,Sigma1),IF(RAND()&lt;CondGood,_xlfn.LOGNORM.INV(RAND(),MV3,Sigma2),MIN(MaxMultiple,Xm/(1-RAND())^(1/Alpha)))))</f>
        <v>0.87382379034620528</v>
      </c>
      <c r="N399" s="19">
        <f ca="1">IF(RAND()&lt;P_Zero,0,IF(RAND()&lt;CondReturn,_xlfn.LOGNORM.INV(RAND(),MV2,Sigma1),IF(RAND()&lt;CondGood,_xlfn.LOGNORM.INV(RAND(),MV3,Sigma2),MIN(MaxMultiple,Xm/(1-RAND())^(1/Alpha)))))</f>
        <v>0</v>
      </c>
      <c r="O399" s="19">
        <f ca="1">IF(RAND()&lt;P_Zero,0,IF(RAND()&lt;CondReturn,_xlfn.LOGNORM.INV(RAND(),MV2,Sigma1),IF(RAND()&lt;CondGood,_xlfn.LOGNORM.INV(RAND(),MV3,Sigma2),MIN(MaxMultiple,Xm/(1-RAND())^(1/Alpha)))))</f>
        <v>2.9948915239608795</v>
      </c>
      <c r="P399" s="19">
        <f ca="1">IF(RAND()&lt;P_Zero,0,IF(RAND()&lt;CondReturn,_xlfn.LOGNORM.INV(RAND(),MV2,Sigma1),IF(RAND()&lt;CondGood,_xlfn.LOGNORM.INV(RAND(),MV3,Sigma2),MIN(MaxMultiple,Xm/(1-RAND())^(1/Alpha)))))</f>
        <v>1.2281631294340909</v>
      </c>
      <c r="Q399" s="19">
        <f ca="1">IF(RAND()&lt;P_Zero,0,IF(RAND()&lt;CondReturn,_xlfn.LOGNORM.INV(RAND(),MV2,Sigma1),IF(RAND()&lt;CondGood,_xlfn.LOGNORM.INV(RAND(),MV3,Sigma2),MIN(MaxMultiple,Xm/(1-RAND())^(1/Alpha)))))</f>
        <v>0.58374369757811972</v>
      </c>
      <c r="R399" s="19">
        <f ca="1">IF(RAND()&lt;P_Zero,0,IF(RAND()&lt;CondReturn,_xlfn.LOGNORM.INV(RAND(),MV2,Sigma1),IF(RAND()&lt;CondGood,_xlfn.LOGNORM.INV(RAND(),MV3,Sigma2),MIN(MaxMultiple,Xm/(1-RAND())^(1/Alpha)))))</f>
        <v>0.99749543897688098</v>
      </c>
      <c r="S399" s="19">
        <f ca="1">IF(RAND()&lt;P_Zero,0,IF(RAND()&lt;CondReturn,_xlfn.LOGNORM.INV(RAND(),MV2,Sigma1),IF(RAND()&lt;CondGood,_xlfn.LOGNORM.INV(RAND(),MV3,Sigma2),MIN(MaxMultiple,Xm/(1-RAND())^(1/Alpha)))))</f>
        <v>0</v>
      </c>
      <c r="T399" s="19">
        <f ca="1">IF(RAND()&lt;P_Zero,0,IF(RAND()&lt;CondReturn,_xlfn.LOGNORM.INV(RAND(),MV2,Sigma1),IF(RAND()&lt;CondGood,_xlfn.LOGNORM.INV(RAND(),MV3,Sigma2),MIN(MaxMultiple,Xm/(1-RAND())^(1/Alpha)))))</f>
        <v>0.55858044578120269</v>
      </c>
      <c r="U399" s="19">
        <f ca="1">IF(RAND()&lt;P_Zero,0,IF(RAND()&lt;CondReturn,_xlfn.LOGNORM.INV(RAND(),MV2,Sigma1),IF(RAND()&lt;CondGood,_xlfn.LOGNORM.INV(RAND(),MV3,Sigma2),MIN(MaxMultiple,Xm/(1-RAND())^(1/Alpha)))))</f>
        <v>2.1613824811604818</v>
      </c>
      <c r="V399" s="19">
        <f ca="1">IF(RAND()&lt;P_Zero,0,IF(RAND()&lt;CondReturn,_xlfn.LOGNORM.INV(RAND(),MV2,Sigma1),IF(RAND()&lt;CondGood,_xlfn.LOGNORM.INV(RAND(),MV3,Sigma2),MIN(MaxMultiple,Xm/(1-RAND())^(1/Alpha)))))</f>
        <v>0</v>
      </c>
      <c r="W399" s="19">
        <f ca="1">IF(RAND()&lt;P_Zero,0,IF(RAND()&lt;CondReturn,_xlfn.LOGNORM.INV(RAND(),MV2,Sigma1),IF(RAND()&lt;CondGood,_xlfn.LOGNORM.INV(RAND(),MV3,Sigma2),MIN(MaxMultiple,Xm/(1-RAND())^(1/Alpha)))))</f>
        <v>0</v>
      </c>
      <c r="X399" s="19">
        <f ca="1">IF(RAND()&lt;P_Zero,0,IF(RAND()&lt;CondReturn,_xlfn.LOGNORM.INV(RAND(),MV2,Sigma1),IF(RAND()&lt;CondGood,_xlfn.LOGNORM.INV(RAND(),MV3,Sigma2),MIN(MaxMultiple,Xm/(1-RAND())^(1/Alpha)))))</f>
        <v>0</v>
      </c>
      <c r="Y399" s="19">
        <f ca="1">IF(RAND()&lt;P_Zero,0,IF(RAND()&lt;CondReturn,_xlfn.LOGNORM.INV(RAND(),MV2,Sigma1),IF(RAND()&lt;CondGood,_xlfn.LOGNORM.INV(RAND(),MV3,Sigma2),MIN(MaxMultiple,Xm/(1-RAND())^(1/Alpha)))))</f>
        <v>0</v>
      </c>
      <c r="Z399" s="19">
        <f ca="1">IF(RAND()&lt;P_Zero,0,IF(RAND()&lt;CondReturn,_xlfn.LOGNORM.INV(RAND(),MV2,Sigma1),IF(RAND()&lt;CondGood,_xlfn.LOGNORM.INV(RAND(),MV3,Sigma2),MIN(MaxMultiple,Xm/(1-RAND())^(1/Alpha)))))</f>
        <v>0.9639552662585984</v>
      </c>
      <c r="AA399" s="19">
        <f ca="1">IF(RAND()&lt;P_Zero,0,IF(RAND()&lt;CondReturn,_xlfn.LOGNORM.INV(RAND(),MV2,Sigma1),IF(RAND()&lt;CondGood,_xlfn.LOGNORM.INV(RAND(),MV3,Sigma2),MIN(MaxMultiple,Xm/(1-RAND())^(1/Alpha)))))</f>
        <v>0</v>
      </c>
      <c r="AB399" s="19">
        <f t="shared" ca="1" si="48"/>
        <v>0.7126526681660833</v>
      </c>
      <c r="AC399" s="14">
        <f t="shared" ca="1" si="49"/>
        <v>34207328.071971998</v>
      </c>
      <c r="AD399" s="14">
        <f t="shared" ca="1" si="50"/>
        <v>-13792671.928028002</v>
      </c>
      <c r="AE399" s="14">
        <f t="shared" si="51"/>
        <v>55628399.869093813</v>
      </c>
      <c r="AF399" s="14">
        <f t="shared" ca="1" si="52"/>
        <v>0</v>
      </c>
      <c r="AG399" s="14">
        <f t="shared" ca="1" si="53"/>
        <v>0</v>
      </c>
      <c r="AH399" s="14">
        <f t="shared" ca="1" si="54"/>
        <v>34207328.071971998</v>
      </c>
      <c r="AI399" s="19">
        <f t="shared" ca="1" si="55"/>
        <v>0.57012213453286664</v>
      </c>
    </row>
    <row r="400" spans="2:35" x14ac:dyDescent="0.2">
      <c r="B400" s="1">
        <v>395</v>
      </c>
      <c r="C400" s="19">
        <f ca="1">IF(RAND()&lt;P_Zero,0,IF(RAND()&lt;CondReturn,_xlfn.LOGNORM.INV(RAND(),MV2,Sigma1),IF(RAND()&lt;CondGood,_xlfn.LOGNORM.INV(RAND(),MV3,Sigma2),MIN(MaxMultiple,Xm/(1-RAND())^(1/Alpha)))))</f>
        <v>0.77112039699744073</v>
      </c>
      <c r="D400" s="19">
        <f ca="1">IF(RAND()&lt;P_Zero,0,IF(RAND()&lt;CondReturn,_xlfn.LOGNORM.INV(RAND(),MV2,Sigma1),IF(RAND()&lt;CondGood,_xlfn.LOGNORM.INV(RAND(),MV3,Sigma2),MIN(MaxMultiple,Xm/(1-RAND())^(1/Alpha)))))</f>
        <v>0</v>
      </c>
      <c r="E400" s="19">
        <f ca="1">IF(RAND()&lt;P_Zero,0,IF(RAND()&lt;CondReturn,_xlfn.LOGNORM.INV(RAND(),MV2,Sigma1),IF(RAND()&lt;CondGood,_xlfn.LOGNORM.INV(RAND(),MV3,Sigma2),MIN(MaxMultiple,Xm/(1-RAND())^(1/Alpha)))))</f>
        <v>0</v>
      </c>
      <c r="F400" s="19">
        <f ca="1">IF(RAND()&lt;P_Zero,0,IF(RAND()&lt;CondReturn,_xlfn.LOGNORM.INV(RAND(),MV2,Sigma1),IF(RAND()&lt;CondGood,_xlfn.LOGNORM.INV(RAND(),MV3,Sigma2),MIN(MaxMultiple,Xm/(1-RAND())^(1/Alpha)))))</f>
        <v>18.00194811649958</v>
      </c>
      <c r="G400" s="19">
        <f ca="1">IF(RAND()&lt;P_Zero,0,IF(RAND()&lt;CondReturn,_xlfn.LOGNORM.INV(RAND(),MV2,Sigma1),IF(RAND()&lt;CondGood,_xlfn.LOGNORM.INV(RAND(),MV3,Sigma2),MIN(MaxMultiple,Xm/(1-RAND())^(1/Alpha)))))</f>
        <v>1.2085566891618196</v>
      </c>
      <c r="H400" s="19">
        <f ca="1">IF(RAND()&lt;P_Zero,0,IF(RAND()&lt;CondReturn,_xlfn.LOGNORM.INV(RAND(),MV2,Sigma1),IF(RAND()&lt;CondGood,_xlfn.LOGNORM.INV(RAND(),MV3,Sigma2),MIN(MaxMultiple,Xm/(1-RAND())^(1/Alpha)))))</f>
        <v>10.323261287366428</v>
      </c>
      <c r="I400" s="19">
        <f ca="1">IF(RAND()&lt;P_Zero,0,IF(RAND()&lt;CondReturn,_xlfn.LOGNORM.INV(RAND(),MV2,Sigma1),IF(RAND()&lt;CondGood,_xlfn.LOGNORM.INV(RAND(),MV3,Sigma2),MIN(MaxMultiple,Xm/(1-RAND())^(1/Alpha)))))</f>
        <v>2.2054030559148385</v>
      </c>
      <c r="J400" s="19">
        <f ca="1">IF(RAND()&lt;P_Zero,0,IF(RAND()&lt;CondReturn,_xlfn.LOGNORM.INV(RAND(),MV2,Sigma1),IF(RAND()&lt;CondGood,_xlfn.LOGNORM.INV(RAND(),MV3,Sigma2),MIN(MaxMultiple,Xm/(1-RAND())^(1/Alpha)))))</f>
        <v>0</v>
      </c>
      <c r="K400" s="19">
        <f ca="1">IF(RAND()&lt;P_Zero,0,IF(RAND()&lt;CondReturn,_xlfn.LOGNORM.INV(RAND(),MV2,Sigma1),IF(RAND()&lt;CondGood,_xlfn.LOGNORM.INV(RAND(),MV3,Sigma2),MIN(MaxMultiple,Xm/(1-RAND())^(1/Alpha)))))</f>
        <v>0.55298444987353523</v>
      </c>
      <c r="L400" s="19">
        <f ca="1">IF(RAND()&lt;P_Zero,0,IF(RAND()&lt;CondReturn,_xlfn.LOGNORM.INV(RAND(),MV2,Sigma1),IF(RAND()&lt;CondGood,_xlfn.LOGNORM.INV(RAND(),MV3,Sigma2),MIN(MaxMultiple,Xm/(1-RAND())^(1/Alpha)))))</f>
        <v>0.3979749368123458</v>
      </c>
      <c r="M400" s="19">
        <f ca="1">IF(RAND()&lt;P_Zero,0,IF(RAND()&lt;CondReturn,_xlfn.LOGNORM.INV(RAND(),MV2,Sigma1),IF(RAND()&lt;CondGood,_xlfn.LOGNORM.INV(RAND(),MV3,Sigma2),MIN(MaxMultiple,Xm/(1-RAND())^(1/Alpha)))))</f>
        <v>0</v>
      </c>
      <c r="N400" s="19">
        <f ca="1">IF(RAND()&lt;P_Zero,0,IF(RAND()&lt;CondReturn,_xlfn.LOGNORM.INV(RAND(),MV2,Sigma1),IF(RAND()&lt;CondGood,_xlfn.LOGNORM.INV(RAND(),MV3,Sigma2),MIN(MaxMultiple,Xm/(1-RAND())^(1/Alpha)))))</f>
        <v>1.6312655205487305</v>
      </c>
      <c r="O400" s="19">
        <f ca="1">IF(RAND()&lt;P_Zero,0,IF(RAND()&lt;CondReturn,_xlfn.LOGNORM.INV(RAND(),MV2,Sigma1),IF(RAND()&lt;CondGood,_xlfn.LOGNORM.INV(RAND(),MV3,Sigma2),MIN(MaxMultiple,Xm/(1-RAND())^(1/Alpha)))))</f>
        <v>0.72330993818750089</v>
      </c>
      <c r="P400" s="19">
        <f ca="1">IF(RAND()&lt;P_Zero,0,IF(RAND()&lt;CondReturn,_xlfn.LOGNORM.INV(RAND(),MV2,Sigma1),IF(RAND()&lt;CondGood,_xlfn.LOGNORM.INV(RAND(),MV3,Sigma2),MIN(MaxMultiple,Xm/(1-RAND())^(1/Alpha)))))</f>
        <v>0.88345013902758107</v>
      </c>
      <c r="Q400" s="19">
        <f ca="1">IF(RAND()&lt;P_Zero,0,IF(RAND()&lt;CondReturn,_xlfn.LOGNORM.INV(RAND(),MV2,Sigma1),IF(RAND()&lt;CondGood,_xlfn.LOGNORM.INV(RAND(),MV3,Sigma2),MIN(MaxMultiple,Xm/(1-RAND())^(1/Alpha)))))</f>
        <v>0.6672859971640186</v>
      </c>
      <c r="R400" s="19">
        <f ca="1">IF(RAND()&lt;P_Zero,0,IF(RAND()&lt;CondReturn,_xlfn.LOGNORM.INV(RAND(),MV2,Sigma1),IF(RAND()&lt;CondGood,_xlfn.LOGNORM.INV(RAND(),MV3,Sigma2),MIN(MaxMultiple,Xm/(1-RAND())^(1/Alpha)))))</f>
        <v>0.66427541325354389</v>
      </c>
      <c r="S400" s="19">
        <f ca="1">IF(RAND()&lt;P_Zero,0,IF(RAND()&lt;CondReturn,_xlfn.LOGNORM.INV(RAND(),MV2,Sigma1),IF(RAND()&lt;CondGood,_xlfn.LOGNORM.INV(RAND(),MV3,Sigma2),MIN(MaxMultiple,Xm/(1-RAND())^(1/Alpha)))))</f>
        <v>11.611585370440519</v>
      </c>
      <c r="T400" s="19">
        <f ca="1">IF(RAND()&lt;P_Zero,0,IF(RAND()&lt;CondReturn,_xlfn.LOGNORM.INV(RAND(),MV2,Sigma1),IF(RAND()&lt;CondGood,_xlfn.LOGNORM.INV(RAND(),MV3,Sigma2),MIN(MaxMultiple,Xm/(1-RAND())^(1/Alpha)))))</f>
        <v>1.2022128624356774</v>
      </c>
      <c r="U400" s="19">
        <f ca="1">IF(RAND()&lt;P_Zero,0,IF(RAND()&lt;CondReturn,_xlfn.LOGNORM.INV(RAND(),MV2,Sigma1),IF(RAND()&lt;CondGood,_xlfn.LOGNORM.INV(RAND(),MV3,Sigma2),MIN(MaxMultiple,Xm/(1-RAND())^(1/Alpha)))))</f>
        <v>0</v>
      </c>
      <c r="V400" s="19">
        <f ca="1">IF(RAND()&lt;P_Zero,0,IF(RAND()&lt;CondReturn,_xlfn.LOGNORM.INV(RAND(),MV2,Sigma1),IF(RAND()&lt;CondGood,_xlfn.LOGNORM.INV(RAND(),MV3,Sigma2),MIN(MaxMultiple,Xm/(1-RAND())^(1/Alpha)))))</f>
        <v>0</v>
      </c>
      <c r="W400" s="19">
        <f ca="1">IF(RAND()&lt;P_Zero,0,IF(RAND()&lt;CondReturn,_xlfn.LOGNORM.INV(RAND(),MV2,Sigma1),IF(RAND()&lt;CondGood,_xlfn.LOGNORM.INV(RAND(),MV3,Sigma2),MIN(MaxMultiple,Xm/(1-RAND())^(1/Alpha)))))</f>
        <v>0.76474004516571736</v>
      </c>
      <c r="X400" s="19">
        <f ca="1">IF(RAND()&lt;P_Zero,0,IF(RAND()&lt;CondReturn,_xlfn.LOGNORM.INV(RAND(),MV2,Sigma1),IF(RAND()&lt;CondGood,_xlfn.LOGNORM.INV(RAND(),MV3,Sigma2),MIN(MaxMultiple,Xm/(1-RAND())^(1/Alpha)))))</f>
        <v>0</v>
      </c>
      <c r="Y400" s="19">
        <f ca="1">IF(RAND()&lt;P_Zero,0,IF(RAND()&lt;CondReturn,_xlfn.LOGNORM.INV(RAND(),MV2,Sigma1),IF(RAND()&lt;CondGood,_xlfn.LOGNORM.INV(RAND(),MV3,Sigma2),MIN(MaxMultiple,Xm/(1-RAND())^(1/Alpha)))))</f>
        <v>1.9821519823695015</v>
      </c>
      <c r="Z400" s="19">
        <f ca="1">IF(RAND()&lt;P_Zero,0,IF(RAND()&lt;CondReturn,_xlfn.LOGNORM.INV(RAND(),MV2,Sigma1),IF(RAND()&lt;CondGood,_xlfn.LOGNORM.INV(RAND(),MV3,Sigma2),MIN(MaxMultiple,Xm/(1-RAND())^(1/Alpha)))))</f>
        <v>0</v>
      </c>
      <c r="AA400" s="19">
        <f ca="1">IF(RAND()&lt;P_Zero,0,IF(RAND()&lt;CondReturn,_xlfn.LOGNORM.INV(RAND(),MV2,Sigma1),IF(RAND()&lt;CondGood,_xlfn.LOGNORM.INV(RAND(),MV3,Sigma2),MIN(MaxMultiple,Xm/(1-RAND())^(1/Alpha)))))</f>
        <v>0.96257113460989496</v>
      </c>
      <c r="AB400" s="19">
        <f t="shared" ca="1" si="48"/>
        <v>2.1821638934331467</v>
      </c>
      <c r="AC400" s="14">
        <f t="shared" ca="1" si="49"/>
        <v>104743866.88479105</v>
      </c>
      <c r="AD400" s="14">
        <f t="shared" ca="1" si="50"/>
        <v>56743866.884791046</v>
      </c>
      <c r="AE400" s="14">
        <f t="shared" si="51"/>
        <v>55628399.869093813</v>
      </c>
      <c r="AF400" s="14">
        <f t="shared" ca="1" si="52"/>
        <v>1115467.0156972334</v>
      </c>
      <c r="AG400" s="14">
        <f t="shared" ca="1" si="53"/>
        <v>223093.40313944669</v>
      </c>
      <c r="AH400" s="14">
        <f t="shared" ca="1" si="54"/>
        <v>104520773.4816516</v>
      </c>
      <c r="AI400" s="19">
        <f t="shared" ca="1" si="55"/>
        <v>1.7420128913608601</v>
      </c>
    </row>
    <row r="401" spans="2:35" x14ac:dyDescent="0.2">
      <c r="B401" s="1">
        <v>396</v>
      </c>
      <c r="C401" s="19">
        <f ca="1">IF(RAND()&lt;P_Zero,0,IF(RAND()&lt;CondReturn,_xlfn.LOGNORM.INV(RAND(),MV2,Sigma1),IF(RAND()&lt;CondGood,_xlfn.LOGNORM.INV(RAND(),MV3,Sigma2),MIN(MaxMultiple,Xm/(1-RAND())^(1/Alpha)))))</f>
        <v>1.022279857411315</v>
      </c>
      <c r="D401" s="19">
        <f ca="1">IF(RAND()&lt;P_Zero,0,IF(RAND()&lt;CondReturn,_xlfn.LOGNORM.INV(RAND(),MV2,Sigma1),IF(RAND()&lt;CondGood,_xlfn.LOGNORM.INV(RAND(),MV3,Sigma2),MIN(MaxMultiple,Xm/(1-RAND())^(1/Alpha)))))</f>
        <v>0</v>
      </c>
      <c r="E401" s="19">
        <f ca="1">IF(RAND()&lt;P_Zero,0,IF(RAND()&lt;CondReturn,_xlfn.LOGNORM.INV(RAND(),MV2,Sigma1),IF(RAND()&lt;CondGood,_xlfn.LOGNORM.INV(RAND(),MV3,Sigma2),MIN(MaxMultiple,Xm/(1-RAND())^(1/Alpha)))))</f>
        <v>0.79837997586472675</v>
      </c>
      <c r="F401" s="19">
        <f ca="1">IF(RAND()&lt;P_Zero,0,IF(RAND()&lt;CondReturn,_xlfn.LOGNORM.INV(RAND(),MV2,Sigma1),IF(RAND()&lt;CondGood,_xlfn.LOGNORM.INV(RAND(),MV3,Sigma2),MIN(MaxMultiple,Xm/(1-RAND())^(1/Alpha)))))</f>
        <v>0</v>
      </c>
      <c r="G401" s="19">
        <f ca="1">IF(RAND()&lt;P_Zero,0,IF(RAND()&lt;CondReturn,_xlfn.LOGNORM.INV(RAND(),MV2,Sigma1),IF(RAND()&lt;CondGood,_xlfn.LOGNORM.INV(RAND(),MV3,Sigma2),MIN(MaxMultiple,Xm/(1-RAND())^(1/Alpha)))))</f>
        <v>0</v>
      </c>
      <c r="H401" s="19">
        <f ca="1">IF(RAND()&lt;P_Zero,0,IF(RAND()&lt;CondReturn,_xlfn.LOGNORM.INV(RAND(),MV2,Sigma1),IF(RAND()&lt;CondGood,_xlfn.LOGNORM.INV(RAND(),MV3,Sigma2),MIN(MaxMultiple,Xm/(1-RAND())^(1/Alpha)))))</f>
        <v>0</v>
      </c>
      <c r="I401" s="19">
        <f ca="1">IF(RAND()&lt;P_Zero,0,IF(RAND()&lt;CondReturn,_xlfn.LOGNORM.INV(RAND(),MV2,Sigma1),IF(RAND()&lt;CondGood,_xlfn.LOGNORM.INV(RAND(),MV3,Sigma2),MIN(MaxMultiple,Xm/(1-RAND())^(1/Alpha)))))</f>
        <v>0.73239923521172368</v>
      </c>
      <c r="J401" s="19">
        <f ca="1">IF(RAND()&lt;P_Zero,0,IF(RAND()&lt;CondReturn,_xlfn.LOGNORM.INV(RAND(),MV2,Sigma1),IF(RAND()&lt;CondGood,_xlfn.LOGNORM.INV(RAND(),MV3,Sigma2),MIN(MaxMultiple,Xm/(1-RAND())^(1/Alpha)))))</f>
        <v>2.3835702564088788</v>
      </c>
      <c r="K401" s="19">
        <f ca="1">IF(RAND()&lt;P_Zero,0,IF(RAND()&lt;CondReturn,_xlfn.LOGNORM.INV(RAND(),MV2,Sigma1),IF(RAND()&lt;CondGood,_xlfn.LOGNORM.INV(RAND(),MV3,Sigma2),MIN(MaxMultiple,Xm/(1-RAND())^(1/Alpha)))))</f>
        <v>0.73199770676810283</v>
      </c>
      <c r="L401" s="19">
        <f ca="1">IF(RAND()&lt;P_Zero,0,IF(RAND()&lt;CondReturn,_xlfn.LOGNORM.INV(RAND(),MV2,Sigma1),IF(RAND()&lt;CondGood,_xlfn.LOGNORM.INV(RAND(),MV3,Sigma2),MIN(MaxMultiple,Xm/(1-RAND())^(1/Alpha)))))</f>
        <v>0</v>
      </c>
      <c r="M401" s="19">
        <f ca="1">IF(RAND()&lt;P_Zero,0,IF(RAND()&lt;CondReturn,_xlfn.LOGNORM.INV(RAND(),MV2,Sigma1),IF(RAND()&lt;CondGood,_xlfn.LOGNORM.INV(RAND(),MV3,Sigma2),MIN(MaxMultiple,Xm/(1-RAND())^(1/Alpha)))))</f>
        <v>1.4780230443720197</v>
      </c>
      <c r="N401" s="19">
        <f ca="1">IF(RAND()&lt;P_Zero,0,IF(RAND()&lt;CondReturn,_xlfn.LOGNORM.INV(RAND(),MV2,Sigma1),IF(RAND()&lt;CondGood,_xlfn.LOGNORM.INV(RAND(),MV3,Sigma2),MIN(MaxMultiple,Xm/(1-RAND())^(1/Alpha)))))</f>
        <v>0.53705273496239203</v>
      </c>
      <c r="O401" s="19">
        <f ca="1">IF(RAND()&lt;P_Zero,0,IF(RAND()&lt;CondReturn,_xlfn.LOGNORM.INV(RAND(),MV2,Sigma1),IF(RAND()&lt;CondGood,_xlfn.LOGNORM.INV(RAND(),MV3,Sigma2),MIN(MaxMultiple,Xm/(1-RAND())^(1/Alpha)))))</f>
        <v>0</v>
      </c>
      <c r="P401" s="19">
        <f ca="1">IF(RAND()&lt;P_Zero,0,IF(RAND()&lt;CondReturn,_xlfn.LOGNORM.INV(RAND(),MV2,Sigma1),IF(RAND()&lt;CondGood,_xlfn.LOGNORM.INV(RAND(),MV3,Sigma2),MIN(MaxMultiple,Xm/(1-RAND())^(1/Alpha)))))</f>
        <v>0.49968484360465198</v>
      </c>
      <c r="Q401" s="19">
        <f ca="1">IF(RAND()&lt;P_Zero,0,IF(RAND()&lt;CondReturn,_xlfn.LOGNORM.INV(RAND(),MV2,Sigma1),IF(RAND()&lt;CondGood,_xlfn.LOGNORM.INV(RAND(),MV3,Sigma2),MIN(MaxMultiple,Xm/(1-RAND())^(1/Alpha)))))</f>
        <v>0.74816870012525727</v>
      </c>
      <c r="R401" s="19">
        <f ca="1">IF(RAND()&lt;P_Zero,0,IF(RAND()&lt;CondReturn,_xlfn.LOGNORM.INV(RAND(),MV2,Sigma1),IF(RAND()&lt;CondGood,_xlfn.LOGNORM.INV(RAND(),MV3,Sigma2),MIN(MaxMultiple,Xm/(1-RAND())^(1/Alpha)))))</f>
        <v>1.9694416006246036</v>
      </c>
      <c r="S401" s="19">
        <f ca="1">IF(RAND()&lt;P_Zero,0,IF(RAND()&lt;CondReturn,_xlfn.LOGNORM.INV(RAND(),MV2,Sigma1),IF(RAND()&lt;CondGood,_xlfn.LOGNORM.INV(RAND(),MV3,Sigma2),MIN(MaxMultiple,Xm/(1-RAND())^(1/Alpha)))))</f>
        <v>1.3830385017783577</v>
      </c>
      <c r="T401" s="19">
        <f ca="1">IF(RAND()&lt;P_Zero,0,IF(RAND()&lt;CondReturn,_xlfn.LOGNORM.INV(RAND(),MV2,Sigma1),IF(RAND()&lt;CondGood,_xlfn.LOGNORM.INV(RAND(),MV3,Sigma2),MIN(MaxMultiple,Xm/(1-RAND())^(1/Alpha)))))</f>
        <v>20.003148873607607</v>
      </c>
      <c r="U401" s="19">
        <f ca="1">IF(RAND()&lt;P_Zero,0,IF(RAND()&lt;CondReturn,_xlfn.LOGNORM.INV(RAND(),MV2,Sigma1),IF(RAND()&lt;CondGood,_xlfn.LOGNORM.INV(RAND(),MV3,Sigma2),MIN(MaxMultiple,Xm/(1-RAND())^(1/Alpha)))))</f>
        <v>1.0456672806994476</v>
      </c>
      <c r="V401" s="19">
        <f ca="1">IF(RAND()&lt;P_Zero,0,IF(RAND()&lt;CondReturn,_xlfn.LOGNORM.INV(RAND(),MV2,Sigma1),IF(RAND()&lt;CondGood,_xlfn.LOGNORM.INV(RAND(),MV3,Sigma2),MIN(MaxMultiple,Xm/(1-RAND())^(1/Alpha)))))</f>
        <v>0.95380005269970058</v>
      </c>
      <c r="W401" s="19">
        <f ca="1">IF(RAND()&lt;P_Zero,0,IF(RAND()&lt;CondReturn,_xlfn.LOGNORM.INV(RAND(),MV2,Sigma1),IF(RAND()&lt;CondGood,_xlfn.LOGNORM.INV(RAND(),MV3,Sigma2),MIN(MaxMultiple,Xm/(1-RAND())^(1/Alpha)))))</f>
        <v>0.76430247011503949</v>
      </c>
      <c r="X401" s="19">
        <f ca="1">IF(RAND()&lt;P_Zero,0,IF(RAND()&lt;CondReturn,_xlfn.LOGNORM.INV(RAND(),MV2,Sigma1),IF(RAND()&lt;CondGood,_xlfn.LOGNORM.INV(RAND(),MV3,Sigma2),MIN(MaxMultiple,Xm/(1-RAND())^(1/Alpha)))))</f>
        <v>0</v>
      </c>
      <c r="Y401" s="19">
        <f ca="1">IF(RAND()&lt;P_Zero,0,IF(RAND()&lt;CondReturn,_xlfn.LOGNORM.INV(RAND(),MV2,Sigma1),IF(RAND()&lt;CondGood,_xlfn.LOGNORM.INV(RAND(),MV3,Sigma2),MIN(MaxMultiple,Xm/(1-RAND())^(1/Alpha)))))</f>
        <v>0</v>
      </c>
      <c r="Z401" s="19">
        <f ca="1">IF(RAND()&lt;P_Zero,0,IF(RAND()&lt;CondReturn,_xlfn.LOGNORM.INV(RAND(),MV2,Sigma1),IF(RAND()&lt;CondGood,_xlfn.LOGNORM.INV(RAND(),MV3,Sigma2),MIN(MaxMultiple,Xm/(1-RAND())^(1/Alpha)))))</f>
        <v>1.7147248236687436</v>
      </c>
      <c r="AA401" s="19">
        <f ca="1">IF(RAND()&lt;P_Zero,0,IF(RAND()&lt;CondReturn,_xlfn.LOGNORM.INV(RAND(),MV2,Sigma1),IF(RAND()&lt;CondGood,_xlfn.LOGNORM.INV(RAND(),MV3,Sigma2),MIN(MaxMultiple,Xm/(1-RAND())^(1/Alpha)))))</f>
        <v>1.0444256362862807</v>
      </c>
      <c r="AB401" s="19">
        <f t="shared" ca="1" si="48"/>
        <v>1.5124042237683539</v>
      </c>
      <c r="AC401" s="14">
        <f t="shared" ca="1" si="49"/>
        <v>72595402.740880996</v>
      </c>
      <c r="AD401" s="14">
        <f t="shared" ca="1" si="50"/>
        <v>24595402.740880996</v>
      </c>
      <c r="AE401" s="14">
        <f t="shared" si="51"/>
        <v>55628399.869093813</v>
      </c>
      <c r="AF401" s="14">
        <f t="shared" ca="1" si="52"/>
        <v>0</v>
      </c>
      <c r="AG401" s="14">
        <f t="shared" ca="1" si="53"/>
        <v>0</v>
      </c>
      <c r="AH401" s="14">
        <f t="shared" ca="1" si="54"/>
        <v>72595402.740880996</v>
      </c>
      <c r="AI401" s="19">
        <f t="shared" ca="1" si="55"/>
        <v>1.2099233790146833</v>
      </c>
    </row>
    <row r="402" spans="2:35" x14ac:dyDescent="0.2">
      <c r="B402" s="1">
        <v>397</v>
      </c>
      <c r="C402" s="19">
        <f ca="1">IF(RAND()&lt;P_Zero,0,IF(RAND()&lt;CondReturn,_xlfn.LOGNORM.INV(RAND(),MV2,Sigma1),IF(RAND()&lt;CondGood,_xlfn.LOGNORM.INV(RAND(),MV3,Sigma2),MIN(MaxMultiple,Xm/(1-RAND())^(1/Alpha)))))</f>
        <v>0</v>
      </c>
      <c r="D402" s="19">
        <f ca="1">IF(RAND()&lt;P_Zero,0,IF(RAND()&lt;CondReturn,_xlfn.LOGNORM.INV(RAND(),MV2,Sigma1),IF(RAND()&lt;CondGood,_xlfn.LOGNORM.INV(RAND(),MV3,Sigma2),MIN(MaxMultiple,Xm/(1-RAND())^(1/Alpha)))))</f>
        <v>1.1515609644210081</v>
      </c>
      <c r="E402" s="19">
        <f ca="1">IF(RAND()&lt;P_Zero,0,IF(RAND()&lt;CondReturn,_xlfn.LOGNORM.INV(RAND(),MV2,Sigma1),IF(RAND()&lt;CondGood,_xlfn.LOGNORM.INV(RAND(),MV3,Sigma2),MIN(MaxMultiple,Xm/(1-RAND())^(1/Alpha)))))</f>
        <v>0</v>
      </c>
      <c r="F402" s="19">
        <f ca="1">IF(RAND()&lt;P_Zero,0,IF(RAND()&lt;CondReturn,_xlfn.LOGNORM.INV(RAND(),MV2,Sigma1),IF(RAND()&lt;CondGood,_xlfn.LOGNORM.INV(RAND(),MV3,Sigma2),MIN(MaxMultiple,Xm/(1-RAND())^(1/Alpha)))))</f>
        <v>0.49471940708493806</v>
      </c>
      <c r="G402" s="19">
        <f ca="1">IF(RAND()&lt;P_Zero,0,IF(RAND()&lt;CondReturn,_xlfn.LOGNORM.INV(RAND(),MV2,Sigma1),IF(RAND()&lt;CondGood,_xlfn.LOGNORM.INV(RAND(),MV3,Sigma2),MIN(MaxMultiple,Xm/(1-RAND())^(1/Alpha)))))</f>
        <v>1.200261069627121</v>
      </c>
      <c r="H402" s="19">
        <f ca="1">IF(RAND()&lt;P_Zero,0,IF(RAND()&lt;CondReturn,_xlfn.LOGNORM.INV(RAND(),MV2,Sigma1),IF(RAND()&lt;CondGood,_xlfn.LOGNORM.INV(RAND(),MV3,Sigma2),MIN(MaxMultiple,Xm/(1-RAND())^(1/Alpha)))))</f>
        <v>0.48019284533362011</v>
      </c>
      <c r="I402" s="19">
        <f ca="1">IF(RAND()&lt;P_Zero,0,IF(RAND()&lt;CondReturn,_xlfn.LOGNORM.INV(RAND(),MV2,Sigma1),IF(RAND()&lt;CondGood,_xlfn.LOGNORM.INV(RAND(),MV3,Sigma2),MIN(MaxMultiple,Xm/(1-RAND())^(1/Alpha)))))</f>
        <v>0</v>
      </c>
      <c r="J402" s="19">
        <f ca="1">IF(RAND()&lt;P_Zero,0,IF(RAND()&lt;CondReturn,_xlfn.LOGNORM.INV(RAND(),MV2,Sigma1),IF(RAND()&lt;CondGood,_xlfn.LOGNORM.INV(RAND(),MV3,Sigma2),MIN(MaxMultiple,Xm/(1-RAND())^(1/Alpha)))))</f>
        <v>0</v>
      </c>
      <c r="K402" s="19">
        <f ca="1">IF(RAND()&lt;P_Zero,0,IF(RAND()&lt;CondReturn,_xlfn.LOGNORM.INV(RAND(),MV2,Sigma1),IF(RAND()&lt;CondGood,_xlfn.LOGNORM.INV(RAND(),MV3,Sigma2),MIN(MaxMultiple,Xm/(1-RAND())^(1/Alpha)))))</f>
        <v>1.0042752961451564</v>
      </c>
      <c r="L402" s="19">
        <f ca="1">IF(RAND()&lt;P_Zero,0,IF(RAND()&lt;CondReturn,_xlfn.LOGNORM.INV(RAND(),MV2,Sigma1),IF(RAND()&lt;CondGood,_xlfn.LOGNORM.INV(RAND(),MV3,Sigma2),MIN(MaxMultiple,Xm/(1-RAND())^(1/Alpha)))))</f>
        <v>0</v>
      </c>
      <c r="M402" s="19">
        <f ca="1">IF(RAND()&lt;P_Zero,0,IF(RAND()&lt;CondReturn,_xlfn.LOGNORM.INV(RAND(),MV2,Sigma1),IF(RAND()&lt;CondGood,_xlfn.LOGNORM.INV(RAND(),MV3,Sigma2),MIN(MaxMultiple,Xm/(1-RAND())^(1/Alpha)))))</f>
        <v>1.3689106364702599</v>
      </c>
      <c r="N402" s="19">
        <f ca="1">IF(RAND()&lt;P_Zero,0,IF(RAND()&lt;CondReturn,_xlfn.LOGNORM.INV(RAND(),MV2,Sigma1),IF(RAND()&lt;CondGood,_xlfn.LOGNORM.INV(RAND(),MV3,Sigma2),MIN(MaxMultiple,Xm/(1-RAND())^(1/Alpha)))))</f>
        <v>3.7732183956980534</v>
      </c>
      <c r="O402" s="19">
        <f ca="1">IF(RAND()&lt;P_Zero,0,IF(RAND()&lt;CondReturn,_xlfn.LOGNORM.INV(RAND(),MV2,Sigma1),IF(RAND()&lt;CondGood,_xlfn.LOGNORM.INV(RAND(),MV3,Sigma2),MIN(MaxMultiple,Xm/(1-RAND())^(1/Alpha)))))</f>
        <v>1.4272859614619897</v>
      </c>
      <c r="P402" s="19">
        <f ca="1">IF(RAND()&lt;P_Zero,0,IF(RAND()&lt;CondReturn,_xlfn.LOGNORM.INV(RAND(),MV2,Sigma1),IF(RAND()&lt;CondGood,_xlfn.LOGNORM.INV(RAND(),MV3,Sigma2),MIN(MaxMultiple,Xm/(1-RAND())^(1/Alpha)))))</f>
        <v>0.49713339806666423</v>
      </c>
      <c r="Q402" s="19">
        <f ca="1">IF(RAND()&lt;P_Zero,0,IF(RAND()&lt;CondReturn,_xlfn.LOGNORM.INV(RAND(),MV2,Sigma1),IF(RAND()&lt;CondGood,_xlfn.LOGNORM.INV(RAND(),MV3,Sigma2),MIN(MaxMultiple,Xm/(1-RAND())^(1/Alpha)))))</f>
        <v>0.66593550994238104</v>
      </c>
      <c r="R402" s="19">
        <f ca="1">IF(RAND()&lt;P_Zero,0,IF(RAND()&lt;CondReturn,_xlfn.LOGNORM.INV(RAND(),MV2,Sigma1),IF(RAND()&lt;CondGood,_xlfn.LOGNORM.INV(RAND(),MV3,Sigma2),MIN(MaxMultiple,Xm/(1-RAND())^(1/Alpha)))))</f>
        <v>0.49541663243219181</v>
      </c>
      <c r="S402" s="19">
        <f ca="1">IF(RAND()&lt;P_Zero,0,IF(RAND()&lt;CondReturn,_xlfn.LOGNORM.INV(RAND(),MV2,Sigma1),IF(RAND()&lt;CondGood,_xlfn.LOGNORM.INV(RAND(),MV3,Sigma2),MIN(MaxMultiple,Xm/(1-RAND())^(1/Alpha)))))</f>
        <v>0.58913520775846873</v>
      </c>
      <c r="T402" s="19">
        <f ca="1">IF(RAND()&lt;P_Zero,0,IF(RAND()&lt;CondReturn,_xlfn.LOGNORM.INV(RAND(),MV2,Sigma1),IF(RAND()&lt;CondGood,_xlfn.LOGNORM.INV(RAND(),MV3,Sigma2),MIN(MaxMultiple,Xm/(1-RAND())^(1/Alpha)))))</f>
        <v>0</v>
      </c>
      <c r="U402" s="19">
        <f ca="1">IF(RAND()&lt;P_Zero,0,IF(RAND()&lt;CondReturn,_xlfn.LOGNORM.INV(RAND(),MV2,Sigma1),IF(RAND()&lt;CondGood,_xlfn.LOGNORM.INV(RAND(),MV3,Sigma2),MIN(MaxMultiple,Xm/(1-RAND())^(1/Alpha)))))</f>
        <v>0</v>
      </c>
      <c r="V402" s="19">
        <f ca="1">IF(RAND()&lt;P_Zero,0,IF(RAND()&lt;CondReturn,_xlfn.LOGNORM.INV(RAND(),MV2,Sigma1),IF(RAND()&lt;CondGood,_xlfn.LOGNORM.INV(RAND(),MV3,Sigma2),MIN(MaxMultiple,Xm/(1-RAND())^(1/Alpha)))))</f>
        <v>0</v>
      </c>
      <c r="W402" s="19">
        <f ca="1">IF(RAND()&lt;P_Zero,0,IF(RAND()&lt;CondReturn,_xlfn.LOGNORM.INV(RAND(),MV2,Sigma1),IF(RAND()&lt;CondGood,_xlfn.LOGNORM.INV(RAND(),MV3,Sigma2),MIN(MaxMultiple,Xm/(1-RAND())^(1/Alpha)))))</f>
        <v>146.54224287195916</v>
      </c>
      <c r="X402" s="19">
        <f ca="1">IF(RAND()&lt;P_Zero,0,IF(RAND()&lt;CondReturn,_xlfn.LOGNORM.INV(RAND(),MV2,Sigma1),IF(RAND()&lt;CondGood,_xlfn.LOGNORM.INV(RAND(),MV3,Sigma2),MIN(MaxMultiple,Xm/(1-RAND())^(1/Alpha)))))</f>
        <v>0</v>
      </c>
      <c r="Y402" s="19">
        <f ca="1">IF(RAND()&lt;P_Zero,0,IF(RAND()&lt;CondReturn,_xlfn.LOGNORM.INV(RAND(),MV2,Sigma1),IF(RAND()&lt;CondGood,_xlfn.LOGNORM.INV(RAND(),MV3,Sigma2),MIN(MaxMultiple,Xm/(1-RAND())^(1/Alpha)))))</f>
        <v>0</v>
      </c>
      <c r="Z402" s="19">
        <f ca="1">IF(RAND()&lt;P_Zero,0,IF(RAND()&lt;CondReturn,_xlfn.LOGNORM.INV(RAND(),MV2,Sigma1),IF(RAND()&lt;CondGood,_xlfn.LOGNORM.INV(RAND(),MV3,Sigma2),MIN(MaxMultiple,Xm/(1-RAND())^(1/Alpha)))))</f>
        <v>1.6128194117824639</v>
      </c>
      <c r="AA402" s="19">
        <f ca="1">IF(RAND()&lt;P_Zero,0,IF(RAND()&lt;CondReturn,_xlfn.LOGNORM.INV(RAND(),MV2,Sigma1),IF(RAND()&lt;CondGood,_xlfn.LOGNORM.INV(RAND(),MV3,Sigma2),MIN(MaxMultiple,Xm/(1-RAND())^(1/Alpha)))))</f>
        <v>3.9264938569307954</v>
      </c>
      <c r="AB402" s="19">
        <f t="shared" ca="1" si="48"/>
        <v>6.60918405860457</v>
      </c>
      <c r="AC402" s="14">
        <f t="shared" ca="1" si="49"/>
        <v>317240834.81301934</v>
      </c>
      <c r="AD402" s="14">
        <f t="shared" ca="1" si="50"/>
        <v>269240834.81301934</v>
      </c>
      <c r="AE402" s="14">
        <f t="shared" si="51"/>
        <v>55628399.869093813</v>
      </c>
      <c r="AF402" s="14">
        <f t="shared" ca="1" si="52"/>
        <v>213612434.94392553</v>
      </c>
      <c r="AG402" s="14">
        <f t="shared" ca="1" si="53"/>
        <v>42722486.98878511</v>
      </c>
      <c r="AH402" s="14">
        <f t="shared" ca="1" si="54"/>
        <v>274518347.82423425</v>
      </c>
      <c r="AI402" s="19">
        <f t="shared" ca="1" si="55"/>
        <v>4.5753057970705706</v>
      </c>
    </row>
    <row r="403" spans="2:35" x14ac:dyDescent="0.2">
      <c r="B403" s="1">
        <v>398</v>
      </c>
      <c r="C403" s="19">
        <f ca="1">IF(RAND()&lt;P_Zero,0,IF(RAND()&lt;CondReturn,_xlfn.LOGNORM.INV(RAND(),MV2,Sigma1),IF(RAND()&lt;CondGood,_xlfn.LOGNORM.INV(RAND(),MV3,Sigma2),MIN(MaxMultiple,Xm/(1-RAND())^(1/Alpha)))))</f>
        <v>0.96590965220191016</v>
      </c>
      <c r="D403" s="19">
        <f ca="1">IF(RAND()&lt;P_Zero,0,IF(RAND()&lt;CondReturn,_xlfn.LOGNORM.INV(RAND(),MV2,Sigma1),IF(RAND()&lt;CondGood,_xlfn.LOGNORM.INV(RAND(),MV3,Sigma2),MIN(MaxMultiple,Xm/(1-RAND())^(1/Alpha)))))</f>
        <v>30.295828196317579</v>
      </c>
      <c r="E403" s="19">
        <f ca="1">IF(RAND()&lt;P_Zero,0,IF(RAND()&lt;CondReturn,_xlfn.LOGNORM.INV(RAND(),MV2,Sigma1),IF(RAND()&lt;CondGood,_xlfn.LOGNORM.INV(RAND(),MV3,Sigma2),MIN(MaxMultiple,Xm/(1-RAND())^(1/Alpha)))))</f>
        <v>1.3550875451026945</v>
      </c>
      <c r="F403" s="19">
        <f ca="1">IF(RAND()&lt;P_Zero,0,IF(RAND()&lt;CondReturn,_xlfn.LOGNORM.INV(RAND(),MV2,Sigma1),IF(RAND()&lt;CondGood,_xlfn.LOGNORM.INV(RAND(),MV3,Sigma2),MIN(MaxMultiple,Xm/(1-RAND())^(1/Alpha)))))</f>
        <v>0.35956148830453882</v>
      </c>
      <c r="G403" s="19">
        <f ca="1">IF(RAND()&lt;P_Zero,0,IF(RAND()&lt;CondReturn,_xlfn.LOGNORM.INV(RAND(),MV2,Sigma1),IF(RAND()&lt;CondGood,_xlfn.LOGNORM.INV(RAND(),MV3,Sigma2),MIN(MaxMultiple,Xm/(1-RAND())^(1/Alpha)))))</f>
        <v>2.6918984816654112</v>
      </c>
      <c r="H403" s="19">
        <f ca="1">IF(RAND()&lt;P_Zero,0,IF(RAND()&lt;CondReturn,_xlfn.LOGNORM.INV(RAND(),MV2,Sigma1),IF(RAND()&lt;CondGood,_xlfn.LOGNORM.INV(RAND(),MV3,Sigma2),MIN(MaxMultiple,Xm/(1-RAND())^(1/Alpha)))))</f>
        <v>1.3623107181439571</v>
      </c>
      <c r="I403" s="19">
        <f ca="1">IF(RAND()&lt;P_Zero,0,IF(RAND()&lt;CondReturn,_xlfn.LOGNORM.INV(RAND(),MV2,Sigma1),IF(RAND()&lt;CondGood,_xlfn.LOGNORM.INV(RAND(),MV3,Sigma2),MIN(MaxMultiple,Xm/(1-RAND())^(1/Alpha)))))</f>
        <v>0.76337504134163314</v>
      </c>
      <c r="J403" s="19">
        <f ca="1">IF(RAND()&lt;P_Zero,0,IF(RAND()&lt;CondReturn,_xlfn.LOGNORM.INV(RAND(),MV2,Sigma1),IF(RAND()&lt;CondGood,_xlfn.LOGNORM.INV(RAND(),MV3,Sigma2),MIN(MaxMultiple,Xm/(1-RAND())^(1/Alpha)))))</f>
        <v>0</v>
      </c>
      <c r="K403" s="19">
        <f ca="1">IF(RAND()&lt;P_Zero,0,IF(RAND()&lt;CondReturn,_xlfn.LOGNORM.INV(RAND(),MV2,Sigma1),IF(RAND()&lt;CondGood,_xlfn.LOGNORM.INV(RAND(),MV3,Sigma2),MIN(MaxMultiple,Xm/(1-RAND())^(1/Alpha)))))</f>
        <v>1.3357108831856195</v>
      </c>
      <c r="L403" s="19">
        <f ca="1">IF(RAND()&lt;P_Zero,0,IF(RAND()&lt;CondReturn,_xlfn.LOGNORM.INV(RAND(),MV2,Sigma1),IF(RAND()&lt;CondGood,_xlfn.LOGNORM.INV(RAND(),MV3,Sigma2),MIN(MaxMultiple,Xm/(1-RAND())^(1/Alpha)))))</f>
        <v>0.55901124206708031</v>
      </c>
      <c r="M403" s="19">
        <f ca="1">IF(RAND()&lt;P_Zero,0,IF(RAND()&lt;CondReturn,_xlfn.LOGNORM.INV(RAND(),MV2,Sigma1),IF(RAND()&lt;CondGood,_xlfn.LOGNORM.INV(RAND(),MV3,Sigma2),MIN(MaxMultiple,Xm/(1-RAND())^(1/Alpha)))))</f>
        <v>0</v>
      </c>
      <c r="N403" s="19">
        <f ca="1">IF(RAND()&lt;P_Zero,0,IF(RAND()&lt;CondReturn,_xlfn.LOGNORM.INV(RAND(),MV2,Sigma1),IF(RAND()&lt;CondGood,_xlfn.LOGNORM.INV(RAND(),MV3,Sigma2),MIN(MaxMultiple,Xm/(1-RAND())^(1/Alpha)))))</f>
        <v>1.0613306792897714</v>
      </c>
      <c r="O403" s="19">
        <f ca="1">IF(RAND()&lt;P_Zero,0,IF(RAND()&lt;CondReturn,_xlfn.LOGNORM.INV(RAND(),MV2,Sigma1),IF(RAND()&lt;CondGood,_xlfn.LOGNORM.INV(RAND(),MV3,Sigma2),MIN(MaxMultiple,Xm/(1-RAND())^(1/Alpha)))))</f>
        <v>0</v>
      </c>
      <c r="P403" s="19">
        <f ca="1">IF(RAND()&lt;P_Zero,0,IF(RAND()&lt;CondReturn,_xlfn.LOGNORM.INV(RAND(),MV2,Sigma1),IF(RAND()&lt;CondGood,_xlfn.LOGNORM.INV(RAND(),MV3,Sigma2),MIN(MaxMultiple,Xm/(1-RAND())^(1/Alpha)))))</f>
        <v>0.96712895052787196</v>
      </c>
      <c r="Q403" s="19">
        <f ca="1">IF(RAND()&lt;P_Zero,0,IF(RAND()&lt;CondReturn,_xlfn.LOGNORM.INV(RAND(),MV2,Sigma1),IF(RAND()&lt;CondGood,_xlfn.LOGNORM.INV(RAND(),MV3,Sigma2),MIN(MaxMultiple,Xm/(1-RAND())^(1/Alpha)))))</f>
        <v>0.85526283181267748</v>
      </c>
      <c r="R403" s="19">
        <f ca="1">IF(RAND()&lt;P_Zero,0,IF(RAND()&lt;CondReturn,_xlfn.LOGNORM.INV(RAND(),MV2,Sigma1),IF(RAND()&lt;CondGood,_xlfn.LOGNORM.INV(RAND(),MV3,Sigma2),MIN(MaxMultiple,Xm/(1-RAND())^(1/Alpha)))))</f>
        <v>0</v>
      </c>
      <c r="S403" s="19">
        <f ca="1">IF(RAND()&lt;P_Zero,0,IF(RAND()&lt;CondReturn,_xlfn.LOGNORM.INV(RAND(),MV2,Sigma1),IF(RAND()&lt;CondGood,_xlfn.LOGNORM.INV(RAND(),MV3,Sigma2),MIN(MaxMultiple,Xm/(1-RAND())^(1/Alpha)))))</f>
        <v>0</v>
      </c>
      <c r="T403" s="19">
        <f ca="1">IF(RAND()&lt;P_Zero,0,IF(RAND()&lt;CondReturn,_xlfn.LOGNORM.INV(RAND(),MV2,Sigma1),IF(RAND()&lt;CondGood,_xlfn.LOGNORM.INV(RAND(),MV3,Sigma2),MIN(MaxMultiple,Xm/(1-RAND())^(1/Alpha)))))</f>
        <v>0</v>
      </c>
      <c r="U403" s="19">
        <f ca="1">IF(RAND()&lt;P_Zero,0,IF(RAND()&lt;CondReturn,_xlfn.LOGNORM.INV(RAND(),MV2,Sigma1),IF(RAND()&lt;CondGood,_xlfn.LOGNORM.INV(RAND(),MV3,Sigma2),MIN(MaxMultiple,Xm/(1-RAND())^(1/Alpha)))))</f>
        <v>0.85931857010318968</v>
      </c>
      <c r="V403" s="19">
        <f ca="1">IF(RAND()&lt;P_Zero,0,IF(RAND()&lt;CondReturn,_xlfn.LOGNORM.INV(RAND(),MV2,Sigma1),IF(RAND()&lt;CondGood,_xlfn.LOGNORM.INV(RAND(),MV3,Sigma2),MIN(MaxMultiple,Xm/(1-RAND())^(1/Alpha)))))</f>
        <v>0</v>
      </c>
      <c r="W403" s="19">
        <f ca="1">IF(RAND()&lt;P_Zero,0,IF(RAND()&lt;CondReturn,_xlfn.LOGNORM.INV(RAND(),MV2,Sigma1),IF(RAND()&lt;CondGood,_xlfn.LOGNORM.INV(RAND(),MV3,Sigma2),MIN(MaxMultiple,Xm/(1-RAND())^(1/Alpha)))))</f>
        <v>0.84166035504486458</v>
      </c>
      <c r="X403" s="19">
        <f ca="1">IF(RAND()&lt;P_Zero,0,IF(RAND()&lt;CondReturn,_xlfn.LOGNORM.INV(RAND(),MV2,Sigma1),IF(RAND()&lt;CondGood,_xlfn.LOGNORM.INV(RAND(),MV3,Sigma2),MIN(MaxMultiple,Xm/(1-RAND())^(1/Alpha)))))</f>
        <v>0</v>
      </c>
      <c r="Y403" s="19">
        <f ca="1">IF(RAND()&lt;P_Zero,0,IF(RAND()&lt;CondReturn,_xlfn.LOGNORM.INV(RAND(),MV2,Sigma1),IF(RAND()&lt;CondGood,_xlfn.LOGNORM.INV(RAND(),MV3,Sigma2),MIN(MaxMultiple,Xm/(1-RAND())^(1/Alpha)))))</f>
        <v>0</v>
      </c>
      <c r="Z403" s="19">
        <f ca="1">IF(RAND()&lt;P_Zero,0,IF(RAND()&lt;CondReturn,_xlfn.LOGNORM.INV(RAND(),MV2,Sigma1),IF(RAND()&lt;CondGood,_xlfn.LOGNORM.INV(RAND(),MV3,Sigma2),MIN(MaxMultiple,Xm/(1-RAND())^(1/Alpha)))))</f>
        <v>0</v>
      </c>
      <c r="AA403" s="19">
        <f ca="1">IF(RAND()&lt;P_Zero,0,IF(RAND()&lt;CondReturn,_xlfn.LOGNORM.INV(RAND(),MV2,Sigma1),IF(RAND()&lt;CondGood,_xlfn.LOGNORM.INV(RAND(),MV3,Sigma2),MIN(MaxMultiple,Xm/(1-RAND())^(1/Alpha)))))</f>
        <v>0</v>
      </c>
      <c r="AB403" s="19">
        <f t="shared" ca="1" si="48"/>
        <v>1.7709357854043519</v>
      </c>
      <c r="AC403" s="14">
        <f t="shared" ca="1" si="49"/>
        <v>85004917.699408889</v>
      </c>
      <c r="AD403" s="14">
        <f t="shared" ca="1" si="50"/>
        <v>37004917.699408889</v>
      </c>
      <c r="AE403" s="14">
        <f t="shared" si="51"/>
        <v>55628399.869093813</v>
      </c>
      <c r="AF403" s="14">
        <f t="shared" ca="1" si="52"/>
        <v>0</v>
      </c>
      <c r="AG403" s="14">
        <f t="shared" ca="1" si="53"/>
        <v>0</v>
      </c>
      <c r="AH403" s="14">
        <f t="shared" ca="1" si="54"/>
        <v>85004917.699408889</v>
      </c>
      <c r="AI403" s="19">
        <f t="shared" ca="1" si="55"/>
        <v>1.4167486283234816</v>
      </c>
    </row>
    <row r="404" spans="2:35" x14ac:dyDescent="0.2">
      <c r="B404" s="1">
        <v>399</v>
      </c>
      <c r="C404" s="19">
        <f ca="1">IF(RAND()&lt;P_Zero,0,IF(RAND()&lt;CondReturn,_xlfn.LOGNORM.INV(RAND(),MV2,Sigma1),IF(RAND()&lt;CondGood,_xlfn.LOGNORM.INV(RAND(),MV3,Sigma2),MIN(MaxMultiple,Xm/(1-RAND())^(1/Alpha)))))</f>
        <v>2.0234690292509776</v>
      </c>
      <c r="D404" s="19">
        <f ca="1">IF(RAND()&lt;P_Zero,0,IF(RAND()&lt;CondReturn,_xlfn.LOGNORM.INV(RAND(),MV2,Sigma1),IF(RAND()&lt;CondGood,_xlfn.LOGNORM.INV(RAND(),MV3,Sigma2),MIN(MaxMultiple,Xm/(1-RAND())^(1/Alpha)))))</f>
        <v>0</v>
      </c>
      <c r="E404" s="19">
        <f ca="1">IF(RAND()&lt;P_Zero,0,IF(RAND()&lt;CondReturn,_xlfn.LOGNORM.INV(RAND(),MV2,Sigma1),IF(RAND()&lt;CondGood,_xlfn.LOGNORM.INV(RAND(),MV3,Sigma2),MIN(MaxMultiple,Xm/(1-RAND())^(1/Alpha)))))</f>
        <v>0</v>
      </c>
      <c r="F404" s="19">
        <f ca="1">IF(RAND()&lt;P_Zero,0,IF(RAND()&lt;CondReturn,_xlfn.LOGNORM.INV(RAND(),MV2,Sigma1),IF(RAND()&lt;CondGood,_xlfn.LOGNORM.INV(RAND(),MV3,Sigma2),MIN(MaxMultiple,Xm/(1-RAND())^(1/Alpha)))))</f>
        <v>0.53145046035648114</v>
      </c>
      <c r="G404" s="19">
        <f ca="1">IF(RAND()&lt;P_Zero,0,IF(RAND()&lt;CondReturn,_xlfn.LOGNORM.INV(RAND(),MV2,Sigma1),IF(RAND()&lt;CondGood,_xlfn.LOGNORM.INV(RAND(),MV3,Sigma2),MIN(MaxMultiple,Xm/(1-RAND())^(1/Alpha)))))</f>
        <v>0</v>
      </c>
      <c r="H404" s="19">
        <f ca="1">IF(RAND()&lt;P_Zero,0,IF(RAND()&lt;CondReturn,_xlfn.LOGNORM.INV(RAND(),MV2,Sigma1),IF(RAND()&lt;CondGood,_xlfn.LOGNORM.INV(RAND(),MV3,Sigma2),MIN(MaxMultiple,Xm/(1-RAND())^(1/Alpha)))))</f>
        <v>0.8659289834898658</v>
      </c>
      <c r="I404" s="19">
        <f ca="1">IF(RAND()&lt;P_Zero,0,IF(RAND()&lt;CondReturn,_xlfn.LOGNORM.INV(RAND(),MV2,Sigma1),IF(RAND()&lt;CondGood,_xlfn.LOGNORM.INV(RAND(),MV3,Sigma2),MIN(MaxMultiple,Xm/(1-RAND())^(1/Alpha)))))</f>
        <v>0.64010624298709429</v>
      </c>
      <c r="J404" s="19">
        <f ca="1">IF(RAND()&lt;P_Zero,0,IF(RAND()&lt;CondReturn,_xlfn.LOGNORM.INV(RAND(),MV2,Sigma1),IF(RAND()&lt;CondGood,_xlfn.LOGNORM.INV(RAND(),MV3,Sigma2),MIN(MaxMultiple,Xm/(1-RAND())^(1/Alpha)))))</f>
        <v>0</v>
      </c>
      <c r="K404" s="19">
        <f ca="1">IF(RAND()&lt;P_Zero,0,IF(RAND()&lt;CondReturn,_xlfn.LOGNORM.INV(RAND(),MV2,Sigma1),IF(RAND()&lt;CondGood,_xlfn.LOGNORM.INV(RAND(),MV3,Sigma2),MIN(MaxMultiple,Xm/(1-RAND())^(1/Alpha)))))</f>
        <v>0.50491615907500065</v>
      </c>
      <c r="L404" s="19">
        <f ca="1">IF(RAND()&lt;P_Zero,0,IF(RAND()&lt;CondReturn,_xlfn.LOGNORM.INV(RAND(),MV2,Sigma1),IF(RAND()&lt;CondGood,_xlfn.LOGNORM.INV(RAND(),MV3,Sigma2),MIN(MaxMultiple,Xm/(1-RAND())^(1/Alpha)))))</f>
        <v>0</v>
      </c>
      <c r="M404" s="19">
        <f ca="1">IF(RAND()&lt;P_Zero,0,IF(RAND()&lt;CondReturn,_xlfn.LOGNORM.INV(RAND(),MV2,Sigma1),IF(RAND()&lt;CondGood,_xlfn.LOGNORM.INV(RAND(),MV3,Sigma2),MIN(MaxMultiple,Xm/(1-RAND())^(1/Alpha)))))</f>
        <v>0</v>
      </c>
      <c r="N404" s="19">
        <f ca="1">IF(RAND()&lt;P_Zero,0,IF(RAND()&lt;CondReturn,_xlfn.LOGNORM.INV(RAND(),MV2,Sigma1),IF(RAND()&lt;CondGood,_xlfn.LOGNORM.INV(RAND(),MV3,Sigma2),MIN(MaxMultiple,Xm/(1-RAND())^(1/Alpha)))))</f>
        <v>0</v>
      </c>
      <c r="O404" s="19">
        <f ca="1">IF(RAND()&lt;P_Zero,0,IF(RAND()&lt;CondReturn,_xlfn.LOGNORM.INV(RAND(),MV2,Sigma1),IF(RAND()&lt;CondGood,_xlfn.LOGNORM.INV(RAND(),MV3,Sigma2),MIN(MaxMultiple,Xm/(1-RAND())^(1/Alpha)))))</f>
        <v>0</v>
      </c>
      <c r="P404" s="19">
        <f ca="1">IF(RAND()&lt;P_Zero,0,IF(RAND()&lt;CondReturn,_xlfn.LOGNORM.INV(RAND(),MV2,Sigma1),IF(RAND()&lt;CondGood,_xlfn.LOGNORM.INV(RAND(),MV3,Sigma2),MIN(MaxMultiple,Xm/(1-RAND())^(1/Alpha)))))</f>
        <v>0</v>
      </c>
      <c r="Q404" s="19">
        <f ca="1">IF(RAND()&lt;P_Zero,0,IF(RAND()&lt;CondReturn,_xlfn.LOGNORM.INV(RAND(),MV2,Sigma1),IF(RAND()&lt;CondGood,_xlfn.LOGNORM.INV(RAND(),MV3,Sigma2),MIN(MaxMultiple,Xm/(1-RAND())^(1/Alpha)))))</f>
        <v>0</v>
      </c>
      <c r="R404" s="19">
        <f ca="1">IF(RAND()&lt;P_Zero,0,IF(RAND()&lt;CondReturn,_xlfn.LOGNORM.INV(RAND(),MV2,Sigma1),IF(RAND()&lt;CondGood,_xlfn.LOGNORM.INV(RAND(),MV3,Sigma2),MIN(MaxMultiple,Xm/(1-RAND())^(1/Alpha)))))</f>
        <v>0</v>
      </c>
      <c r="S404" s="19">
        <f ca="1">IF(RAND()&lt;P_Zero,0,IF(RAND()&lt;CondReturn,_xlfn.LOGNORM.INV(RAND(),MV2,Sigma1),IF(RAND()&lt;CondGood,_xlfn.LOGNORM.INV(RAND(),MV3,Sigma2),MIN(MaxMultiple,Xm/(1-RAND())^(1/Alpha)))))</f>
        <v>0</v>
      </c>
      <c r="T404" s="19">
        <f ca="1">IF(RAND()&lt;P_Zero,0,IF(RAND()&lt;CondReturn,_xlfn.LOGNORM.INV(RAND(),MV2,Sigma1),IF(RAND()&lt;CondGood,_xlfn.LOGNORM.INV(RAND(),MV3,Sigma2),MIN(MaxMultiple,Xm/(1-RAND())^(1/Alpha)))))</f>
        <v>72.391968796432408</v>
      </c>
      <c r="U404" s="19">
        <f ca="1">IF(RAND()&lt;P_Zero,0,IF(RAND()&lt;CondReturn,_xlfn.LOGNORM.INV(RAND(),MV2,Sigma1),IF(RAND()&lt;CondGood,_xlfn.LOGNORM.INV(RAND(),MV3,Sigma2),MIN(MaxMultiple,Xm/(1-RAND())^(1/Alpha)))))</f>
        <v>1.6925647230102228</v>
      </c>
      <c r="V404" s="19">
        <f ca="1">IF(RAND()&lt;P_Zero,0,IF(RAND()&lt;CondReturn,_xlfn.LOGNORM.INV(RAND(),MV2,Sigma1),IF(RAND()&lt;CondGood,_xlfn.LOGNORM.INV(RAND(),MV3,Sigma2),MIN(MaxMultiple,Xm/(1-RAND())^(1/Alpha)))))</f>
        <v>0</v>
      </c>
      <c r="W404" s="19">
        <f ca="1">IF(RAND()&lt;P_Zero,0,IF(RAND()&lt;CondReturn,_xlfn.LOGNORM.INV(RAND(),MV2,Sigma1),IF(RAND()&lt;CondGood,_xlfn.LOGNORM.INV(RAND(),MV3,Sigma2),MIN(MaxMultiple,Xm/(1-RAND())^(1/Alpha)))))</f>
        <v>0.58704242408150054</v>
      </c>
      <c r="X404" s="19">
        <f ca="1">IF(RAND()&lt;P_Zero,0,IF(RAND()&lt;CondReturn,_xlfn.LOGNORM.INV(RAND(),MV2,Sigma1),IF(RAND()&lt;CondGood,_xlfn.LOGNORM.INV(RAND(),MV3,Sigma2),MIN(MaxMultiple,Xm/(1-RAND())^(1/Alpha)))))</f>
        <v>0.7750829243097781</v>
      </c>
      <c r="Y404" s="19">
        <f ca="1">IF(RAND()&lt;P_Zero,0,IF(RAND()&lt;CondReturn,_xlfn.LOGNORM.INV(RAND(),MV2,Sigma1),IF(RAND()&lt;CondGood,_xlfn.LOGNORM.INV(RAND(),MV3,Sigma2),MIN(MaxMultiple,Xm/(1-RAND())^(1/Alpha)))))</f>
        <v>0.93538139090522987</v>
      </c>
      <c r="Z404" s="19">
        <f ca="1">IF(RAND()&lt;P_Zero,0,IF(RAND()&lt;CondReturn,_xlfn.LOGNORM.INV(RAND(),MV2,Sigma1),IF(RAND()&lt;CondGood,_xlfn.LOGNORM.INV(RAND(),MV3,Sigma2),MIN(MaxMultiple,Xm/(1-RAND())^(1/Alpha)))))</f>
        <v>2.1193182509171873</v>
      </c>
      <c r="AA404" s="19">
        <f ca="1">IF(RAND()&lt;P_Zero,0,IF(RAND()&lt;CondReturn,_xlfn.LOGNORM.INV(RAND(),MV2,Sigma1),IF(RAND()&lt;CondGood,_xlfn.LOGNORM.INV(RAND(),MV3,Sigma2),MIN(MaxMultiple,Xm/(1-RAND())^(1/Alpha)))))</f>
        <v>44.952664989823724</v>
      </c>
      <c r="AB404" s="19">
        <f t="shared" ca="1" si="48"/>
        <v>5.120795774985579</v>
      </c>
      <c r="AC404" s="14">
        <f t="shared" ca="1" si="49"/>
        <v>245798197.1993078</v>
      </c>
      <c r="AD404" s="14">
        <f t="shared" ca="1" si="50"/>
        <v>197798197.1993078</v>
      </c>
      <c r="AE404" s="14">
        <f t="shared" si="51"/>
        <v>55628399.869093813</v>
      </c>
      <c r="AF404" s="14">
        <f t="shared" ca="1" si="52"/>
        <v>142169797.33021399</v>
      </c>
      <c r="AG404" s="14">
        <f t="shared" ca="1" si="53"/>
        <v>28433959.466042802</v>
      </c>
      <c r="AH404" s="14">
        <f t="shared" ca="1" si="54"/>
        <v>217364237.73326498</v>
      </c>
      <c r="AI404" s="19">
        <f t="shared" ca="1" si="55"/>
        <v>3.6227372955544164</v>
      </c>
    </row>
    <row r="405" spans="2:35" x14ac:dyDescent="0.2">
      <c r="B405" s="1">
        <v>400</v>
      </c>
      <c r="C405" s="19">
        <f ca="1">IF(RAND()&lt;P_Zero,0,IF(RAND()&lt;CondReturn,_xlfn.LOGNORM.INV(RAND(),MV2,Sigma1),IF(RAND()&lt;CondGood,_xlfn.LOGNORM.INV(RAND(),MV3,Sigma2),MIN(MaxMultiple,Xm/(1-RAND())^(1/Alpha)))))</f>
        <v>1.3449793929538953</v>
      </c>
      <c r="D405" s="19">
        <f ca="1">IF(RAND()&lt;P_Zero,0,IF(RAND()&lt;CondReturn,_xlfn.LOGNORM.INV(RAND(),MV2,Sigma1),IF(RAND()&lt;CondGood,_xlfn.LOGNORM.INV(RAND(),MV3,Sigma2),MIN(MaxMultiple,Xm/(1-RAND())^(1/Alpha)))))</f>
        <v>0</v>
      </c>
      <c r="E405" s="19">
        <f ca="1">IF(RAND()&lt;P_Zero,0,IF(RAND()&lt;CondReturn,_xlfn.LOGNORM.INV(RAND(),MV2,Sigma1),IF(RAND()&lt;CondGood,_xlfn.LOGNORM.INV(RAND(),MV3,Sigma2),MIN(MaxMultiple,Xm/(1-RAND())^(1/Alpha)))))</f>
        <v>0</v>
      </c>
      <c r="F405" s="19">
        <f ca="1">IF(RAND()&lt;P_Zero,0,IF(RAND()&lt;CondReturn,_xlfn.LOGNORM.INV(RAND(),MV2,Sigma1),IF(RAND()&lt;CondGood,_xlfn.LOGNORM.INV(RAND(),MV3,Sigma2),MIN(MaxMultiple,Xm/(1-RAND())^(1/Alpha)))))</f>
        <v>0</v>
      </c>
      <c r="G405" s="19">
        <f ca="1">IF(RAND()&lt;P_Zero,0,IF(RAND()&lt;CondReturn,_xlfn.LOGNORM.INV(RAND(),MV2,Sigma1),IF(RAND()&lt;CondGood,_xlfn.LOGNORM.INV(RAND(),MV3,Sigma2),MIN(MaxMultiple,Xm/(1-RAND())^(1/Alpha)))))</f>
        <v>0</v>
      </c>
      <c r="H405" s="19">
        <f ca="1">IF(RAND()&lt;P_Zero,0,IF(RAND()&lt;CondReturn,_xlfn.LOGNORM.INV(RAND(),MV2,Sigma1),IF(RAND()&lt;CondGood,_xlfn.LOGNORM.INV(RAND(),MV3,Sigma2),MIN(MaxMultiple,Xm/(1-RAND())^(1/Alpha)))))</f>
        <v>0.9961511255682084</v>
      </c>
      <c r="I405" s="19">
        <f ca="1">IF(RAND()&lt;P_Zero,0,IF(RAND()&lt;CondReturn,_xlfn.LOGNORM.INV(RAND(),MV2,Sigma1),IF(RAND()&lt;CondGood,_xlfn.LOGNORM.INV(RAND(),MV3,Sigma2),MIN(MaxMultiple,Xm/(1-RAND())^(1/Alpha)))))</f>
        <v>0</v>
      </c>
      <c r="J405" s="19">
        <f ca="1">IF(RAND()&lt;P_Zero,0,IF(RAND()&lt;CondReturn,_xlfn.LOGNORM.INV(RAND(),MV2,Sigma1),IF(RAND()&lt;CondGood,_xlfn.LOGNORM.INV(RAND(),MV3,Sigma2),MIN(MaxMultiple,Xm/(1-RAND())^(1/Alpha)))))</f>
        <v>0.92300466880240906</v>
      </c>
      <c r="K405" s="19">
        <f ca="1">IF(RAND()&lt;P_Zero,0,IF(RAND()&lt;CondReturn,_xlfn.LOGNORM.INV(RAND(),MV2,Sigma1),IF(RAND()&lt;CondGood,_xlfn.LOGNORM.INV(RAND(),MV3,Sigma2),MIN(MaxMultiple,Xm/(1-RAND())^(1/Alpha)))))</f>
        <v>0</v>
      </c>
      <c r="L405" s="19">
        <f ca="1">IF(RAND()&lt;P_Zero,0,IF(RAND()&lt;CondReturn,_xlfn.LOGNORM.INV(RAND(),MV2,Sigma1),IF(RAND()&lt;CondGood,_xlfn.LOGNORM.INV(RAND(),MV3,Sigma2),MIN(MaxMultiple,Xm/(1-RAND())^(1/Alpha)))))</f>
        <v>0</v>
      </c>
      <c r="M405" s="19">
        <f ca="1">IF(RAND()&lt;P_Zero,0,IF(RAND()&lt;CondReturn,_xlfn.LOGNORM.INV(RAND(),MV2,Sigma1),IF(RAND()&lt;CondGood,_xlfn.LOGNORM.INV(RAND(),MV3,Sigma2),MIN(MaxMultiple,Xm/(1-RAND())^(1/Alpha)))))</f>
        <v>0</v>
      </c>
      <c r="N405" s="19">
        <f ca="1">IF(RAND()&lt;P_Zero,0,IF(RAND()&lt;CondReturn,_xlfn.LOGNORM.INV(RAND(),MV2,Sigma1),IF(RAND()&lt;CondGood,_xlfn.LOGNORM.INV(RAND(),MV3,Sigma2),MIN(MaxMultiple,Xm/(1-RAND())^(1/Alpha)))))</f>
        <v>0.90780624494816775</v>
      </c>
      <c r="O405" s="19">
        <f ca="1">IF(RAND()&lt;P_Zero,0,IF(RAND()&lt;CondReturn,_xlfn.LOGNORM.INV(RAND(),MV2,Sigma1),IF(RAND()&lt;CondGood,_xlfn.LOGNORM.INV(RAND(),MV3,Sigma2),MIN(MaxMultiple,Xm/(1-RAND())^(1/Alpha)))))</f>
        <v>1.3699013556053039</v>
      </c>
      <c r="P405" s="19">
        <f ca="1">IF(RAND()&lt;P_Zero,0,IF(RAND()&lt;CondReturn,_xlfn.LOGNORM.INV(RAND(),MV2,Sigma1),IF(RAND()&lt;CondGood,_xlfn.LOGNORM.INV(RAND(),MV3,Sigma2),MIN(MaxMultiple,Xm/(1-RAND())^(1/Alpha)))))</f>
        <v>1.5061222627095687</v>
      </c>
      <c r="Q405" s="19">
        <f ca="1">IF(RAND()&lt;P_Zero,0,IF(RAND()&lt;CondReturn,_xlfn.LOGNORM.INV(RAND(),MV2,Sigma1),IF(RAND()&lt;CondGood,_xlfn.LOGNORM.INV(RAND(),MV3,Sigma2),MIN(MaxMultiple,Xm/(1-RAND())^(1/Alpha)))))</f>
        <v>0.39824630132018285</v>
      </c>
      <c r="R405" s="19">
        <f ca="1">IF(RAND()&lt;P_Zero,0,IF(RAND()&lt;CondReturn,_xlfn.LOGNORM.INV(RAND(),MV2,Sigma1),IF(RAND()&lt;CondGood,_xlfn.LOGNORM.INV(RAND(),MV3,Sigma2),MIN(MaxMultiple,Xm/(1-RAND())^(1/Alpha)))))</f>
        <v>1.8593837895157272</v>
      </c>
      <c r="S405" s="19">
        <f ca="1">IF(RAND()&lt;P_Zero,0,IF(RAND()&lt;CondReturn,_xlfn.LOGNORM.INV(RAND(),MV2,Sigma1),IF(RAND()&lt;CondGood,_xlfn.LOGNORM.INV(RAND(),MV3,Sigma2),MIN(MaxMultiple,Xm/(1-RAND())^(1/Alpha)))))</f>
        <v>0</v>
      </c>
      <c r="T405" s="19">
        <f ca="1">IF(RAND()&lt;P_Zero,0,IF(RAND()&lt;CondReturn,_xlfn.LOGNORM.INV(RAND(),MV2,Sigma1),IF(RAND()&lt;CondGood,_xlfn.LOGNORM.INV(RAND(),MV3,Sigma2),MIN(MaxMultiple,Xm/(1-RAND())^(1/Alpha)))))</f>
        <v>0.75585265632305298</v>
      </c>
      <c r="U405" s="19">
        <f ca="1">IF(RAND()&lt;P_Zero,0,IF(RAND()&lt;CondReturn,_xlfn.LOGNORM.INV(RAND(),MV2,Sigma1),IF(RAND()&lt;CondGood,_xlfn.LOGNORM.INV(RAND(),MV3,Sigma2),MIN(MaxMultiple,Xm/(1-RAND())^(1/Alpha)))))</f>
        <v>0</v>
      </c>
      <c r="V405" s="19">
        <f ca="1">IF(RAND()&lt;P_Zero,0,IF(RAND()&lt;CondReturn,_xlfn.LOGNORM.INV(RAND(),MV2,Sigma1),IF(RAND()&lt;CondGood,_xlfn.LOGNORM.INV(RAND(),MV3,Sigma2),MIN(MaxMultiple,Xm/(1-RAND())^(1/Alpha)))))</f>
        <v>0</v>
      </c>
      <c r="W405" s="19">
        <f ca="1">IF(RAND()&lt;P_Zero,0,IF(RAND()&lt;CondReturn,_xlfn.LOGNORM.INV(RAND(),MV2,Sigma1),IF(RAND()&lt;CondGood,_xlfn.LOGNORM.INV(RAND(),MV3,Sigma2),MIN(MaxMultiple,Xm/(1-RAND())^(1/Alpha)))))</f>
        <v>0</v>
      </c>
      <c r="X405" s="19">
        <f ca="1">IF(RAND()&lt;P_Zero,0,IF(RAND()&lt;CondReturn,_xlfn.LOGNORM.INV(RAND(),MV2,Sigma1),IF(RAND()&lt;CondGood,_xlfn.LOGNORM.INV(RAND(),MV3,Sigma2),MIN(MaxMultiple,Xm/(1-RAND())^(1/Alpha)))))</f>
        <v>0</v>
      </c>
      <c r="Y405" s="19">
        <f ca="1">IF(RAND()&lt;P_Zero,0,IF(RAND()&lt;CondReturn,_xlfn.LOGNORM.INV(RAND(),MV2,Sigma1),IF(RAND()&lt;CondGood,_xlfn.LOGNORM.INV(RAND(),MV3,Sigma2),MIN(MaxMultiple,Xm/(1-RAND())^(1/Alpha)))))</f>
        <v>0</v>
      </c>
      <c r="Z405" s="19">
        <f ca="1">IF(RAND()&lt;P_Zero,0,IF(RAND()&lt;CondReturn,_xlfn.LOGNORM.INV(RAND(),MV2,Sigma1),IF(RAND()&lt;CondGood,_xlfn.LOGNORM.INV(RAND(),MV3,Sigma2),MIN(MaxMultiple,Xm/(1-RAND())^(1/Alpha)))))</f>
        <v>0.93494504793321676</v>
      </c>
      <c r="AA405" s="19">
        <f ca="1">IF(RAND()&lt;P_Zero,0,IF(RAND()&lt;CondReturn,_xlfn.LOGNORM.INV(RAND(),MV2,Sigma1),IF(RAND()&lt;CondGood,_xlfn.LOGNORM.INV(RAND(),MV3,Sigma2),MIN(MaxMultiple,Xm/(1-RAND())^(1/Alpha)))))</f>
        <v>1.1174362366880264</v>
      </c>
      <c r="AB405" s="19">
        <f t="shared" ca="1" si="48"/>
        <v>0.48455316329471043</v>
      </c>
      <c r="AC405" s="14">
        <f t="shared" ca="1" si="49"/>
        <v>23258551.838146102</v>
      </c>
      <c r="AD405" s="14">
        <f t="shared" ca="1" si="50"/>
        <v>-24741448.161853898</v>
      </c>
      <c r="AE405" s="14">
        <f t="shared" si="51"/>
        <v>55628399.869093813</v>
      </c>
      <c r="AF405" s="14">
        <f t="shared" ca="1" si="52"/>
        <v>0</v>
      </c>
      <c r="AG405" s="14">
        <f t="shared" ca="1" si="53"/>
        <v>0</v>
      </c>
      <c r="AH405" s="14">
        <f t="shared" ca="1" si="54"/>
        <v>23258551.838146102</v>
      </c>
      <c r="AI405" s="19">
        <f t="shared" ca="1" si="55"/>
        <v>0.38764253063576837</v>
      </c>
    </row>
    <row r="406" spans="2:35" x14ac:dyDescent="0.2">
      <c r="B406" s="1">
        <v>401</v>
      </c>
      <c r="C406" s="19">
        <f ca="1">IF(RAND()&lt;P_Zero,0,IF(RAND()&lt;CondReturn,_xlfn.LOGNORM.INV(RAND(),MV2,Sigma1),IF(RAND()&lt;CondGood,_xlfn.LOGNORM.INV(RAND(),MV3,Sigma2),MIN(MaxMultiple,Xm/(1-RAND())^(1/Alpha)))))</f>
        <v>0.60158921281631605</v>
      </c>
      <c r="D406" s="19">
        <f ca="1">IF(RAND()&lt;P_Zero,0,IF(RAND()&lt;CondReturn,_xlfn.LOGNORM.INV(RAND(),MV2,Sigma1),IF(RAND()&lt;CondGood,_xlfn.LOGNORM.INV(RAND(),MV3,Sigma2),MIN(MaxMultiple,Xm/(1-RAND())^(1/Alpha)))))</f>
        <v>1.1724234221975318</v>
      </c>
      <c r="E406" s="19">
        <f ca="1">IF(RAND()&lt;P_Zero,0,IF(RAND()&lt;CondReturn,_xlfn.LOGNORM.INV(RAND(),MV2,Sigma1),IF(RAND()&lt;CondGood,_xlfn.LOGNORM.INV(RAND(),MV3,Sigma2),MIN(MaxMultiple,Xm/(1-RAND())^(1/Alpha)))))</f>
        <v>1.4760342127115795</v>
      </c>
      <c r="F406" s="19">
        <f ca="1">IF(RAND()&lt;P_Zero,0,IF(RAND()&lt;CondReturn,_xlfn.LOGNORM.INV(RAND(),MV2,Sigma1),IF(RAND()&lt;CondGood,_xlfn.LOGNORM.INV(RAND(),MV3,Sigma2),MIN(MaxMultiple,Xm/(1-RAND())^(1/Alpha)))))</f>
        <v>0</v>
      </c>
      <c r="G406" s="19">
        <f ca="1">IF(RAND()&lt;P_Zero,0,IF(RAND()&lt;CondReturn,_xlfn.LOGNORM.INV(RAND(),MV2,Sigma1),IF(RAND()&lt;CondGood,_xlfn.LOGNORM.INV(RAND(),MV3,Sigma2),MIN(MaxMultiple,Xm/(1-RAND())^(1/Alpha)))))</f>
        <v>0.44667563495792051</v>
      </c>
      <c r="H406" s="19">
        <f ca="1">IF(RAND()&lt;P_Zero,0,IF(RAND()&lt;CondReturn,_xlfn.LOGNORM.INV(RAND(),MV2,Sigma1),IF(RAND()&lt;CondGood,_xlfn.LOGNORM.INV(RAND(),MV3,Sigma2),MIN(MaxMultiple,Xm/(1-RAND())^(1/Alpha)))))</f>
        <v>1.0356845808134538</v>
      </c>
      <c r="I406" s="19">
        <f ca="1">IF(RAND()&lt;P_Zero,0,IF(RAND()&lt;CondReturn,_xlfn.LOGNORM.INV(RAND(),MV2,Sigma1),IF(RAND()&lt;CondGood,_xlfn.LOGNORM.INV(RAND(),MV3,Sigma2),MIN(MaxMultiple,Xm/(1-RAND())^(1/Alpha)))))</f>
        <v>0</v>
      </c>
      <c r="J406" s="19">
        <f ca="1">IF(RAND()&lt;P_Zero,0,IF(RAND()&lt;CondReturn,_xlfn.LOGNORM.INV(RAND(),MV2,Sigma1),IF(RAND()&lt;CondGood,_xlfn.LOGNORM.INV(RAND(),MV3,Sigma2),MIN(MaxMultiple,Xm/(1-RAND())^(1/Alpha)))))</f>
        <v>0</v>
      </c>
      <c r="K406" s="19">
        <f ca="1">IF(RAND()&lt;P_Zero,0,IF(RAND()&lt;CondReturn,_xlfn.LOGNORM.INV(RAND(),MV2,Sigma1),IF(RAND()&lt;CondGood,_xlfn.LOGNORM.INV(RAND(),MV3,Sigma2),MIN(MaxMultiple,Xm/(1-RAND())^(1/Alpha)))))</f>
        <v>0</v>
      </c>
      <c r="L406" s="19">
        <f ca="1">IF(RAND()&lt;P_Zero,0,IF(RAND()&lt;CondReturn,_xlfn.LOGNORM.INV(RAND(),MV2,Sigma1),IF(RAND()&lt;CondGood,_xlfn.LOGNORM.INV(RAND(),MV3,Sigma2),MIN(MaxMultiple,Xm/(1-RAND())^(1/Alpha)))))</f>
        <v>0</v>
      </c>
      <c r="M406" s="19">
        <f ca="1">IF(RAND()&lt;P_Zero,0,IF(RAND()&lt;CondReturn,_xlfn.LOGNORM.INV(RAND(),MV2,Sigma1),IF(RAND()&lt;CondGood,_xlfn.LOGNORM.INV(RAND(),MV3,Sigma2),MIN(MaxMultiple,Xm/(1-RAND())^(1/Alpha)))))</f>
        <v>20.063606926081334</v>
      </c>
      <c r="N406" s="19">
        <f ca="1">IF(RAND()&lt;P_Zero,0,IF(RAND()&lt;CondReturn,_xlfn.LOGNORM.INV(RAND(),MV2,Sigma1),IF(RAND()&lt;CondGood,_xlfn.LOGNORM.INV(RAND(),MV3,Sigma2),MIN(MaxMultiple,Xm/(1-RAND())^(1/Alpha)))))</f>
        <v>0</v>
      </c>
      <c r="O406" s="19">
        <f ca="1">IF(RAND()&lt;P_Zero,0,IF(RAND()&lt;CondReturn,_xlfn.LOGNORM.INV(RAND(),MV2,Sigma1),IF(RAND()&lt;CondGood,_xlfn.LOGNORM.INV(RAND(),MV3,Sigma2),MIN(MaxMultiple,Xm/(1-RAND())^(1/Alpha)))))</f>
        <v>1.6993467399466311</v>
      </c>
      <c r="P406" s="19">
        <f ca="1">IF(RAND()&lt;P_Zero,0,IF(RAND()&lt;CondReturn,_xlfn.LOGNORM.INV(RAND(),MV2,Sigma1),IF(RAND()&lt;CondGood,_xlfn.LOGNORM.INV(RAND(),MV3,Sigma2),MIN(MaxMultiple,Xm/(1-RAND())^(1/Alpha)))))</f>
        <v>57.030298606637054</v>
      </c>
      <c r="Q406" s="19">
        <f ca="1">IF(RAND()&lt;P_Zero,0,IF(RAND()&lt;CondReturn,_xlfn.LOGNORM.INV(RAND(),MV2,Sigma1),IF(RAND()&lt;CondGood,_xlfn.LOGNORM.INV(RAND(),MV3,Sigma2),MIN(MaxMultiple,Xm/(1-RAND())^(1/Alpha)))))</f>
        <v>0</v>
      </c>
      <c r="R406" s="19">
        <f ca="1">IF(RAND()&lt;P_Zero,0,IF(RAND()&lt;CondReturn,_xlfn.LOGNORM.INV(RAND(),MV2,Sigma1),IF(RAND()&lt;CondGood,_xlfn.LOGNORM.INV(RAND(),MV3,Sigma2),MIN(MaxMultiple,Xm/(1-RAND())^(1/Alpha)))))</f>
        <v>0.77519001746900174</v>
      </c>
      <c r="S406" s="19">
        <f ca="1">IF(RAND()&lt;P_Zero,0,IF(RAND()&lt;CondReturn,_xlfn.LOGNORM.INV(RAND(),MV2,Sigma1),IF(RAND()&lt;CondGood,_xlfn.LOGNORM.INV(RAND(),MV3,Sigma2),MIN(MaxMultiple,Xm/(1-RAND())^(1/Alpha)))))</f>
        <v>1.7109956768197154</v>
      </c>
      <c r="T406" s="19">
        <f ca="1">IF(RAND()&lt;P_Zero,0,IF(RAND()&lt;CondReturn,_xlfn.LOGNORM.INV(RAND(),MV2,Sigma1),IF(RAND()&lt;CondGood,_xlfn.LOGNORM.INV(RAND(),MV3,Sigma2),MIN(MaxMultiple,Xm/(1-RAND())^(1/Alpha)))))</f>
        <v>0</v>
      </c>
      <c r="U406" s="19">
        <f ca="1">IF(RAND()&lt;P_Zero,0,IF(RAND()&lt;CondReturn,_xlfn.LOGNORM.INV(RAND(),MV2,Sigma1),IF(RAND()&lt;CondGood,_xlfn.LOGNORM.INV(RAND(),MV3,Sigma2),MIN(MaxMultiple,Xm/(1-RAND())^(1/Alpha)))))</f>
        <v>0</v>
      </c>
      <c r="V406" s="19">
        <f ca="1">IF(RAND()&lt;P_Zero,0,IF(RAND()&lt;CondReturn,_xlfn.LOGNORM.INV(RAND(),MV2,Sigma1),IF(RAND()&lt;CondGood,_xlfn.LOGNORM.INV(RAND(),MV3,Sigma2),MIN(MaxMultiple,Xm/(1-RAND())^(1/Alpha)))))</f>
        <v>0.50193798298336711</v>
      </c>
      <c r="W406" s="19">
        <f ca="1">IF(RAND()&lt;P_Zero,0,IF(RAND()&lt;CondReturn,_xlfn.LOGNORM.INV(RAND(),MV2,Sigma1),IF(RAND()&lt;CondGood,_xlfn.LOGNORM.INV(RAND(),MV3,Sigma2),MIN(MaxMultiple,Xm/(1-RAND())^(1/Alpha)))))</f>
        <v>2.076810604148954</v>
      </c>
      <c r="X406" s="19">
        <f ca="1">IF(RAND()&lt;P_Zero,0,IF(RAND()&lt;CondReturn,_xlfn.LOGNORM.INV(RAND(),MV2,Sigma1),IF(RAND()&lt;CondGood,_xlfn.LOGNORM.INV(RAND(),MV3,Sigma2),MIN(MaxMultiple,Xm/(1-RAND())^(1/Alpha)))))</f>
        <v>1.0897041780867323</v>
      </c>
      <c r="Y406" s="19">
        <f ca="1">IF(RAND()&lt;P_Zero,0,IF(RAND()&lt;CondReturn,_xlfn.LOGNORM.INV(RAND(),MV2,Sigma1),IF(RAND()&lt;CondGood,_xlfn.LOGNORM.INV(RAND(),MV3,Sigma2),MIN(MaxMultiple,Xm/(1-RAND())^(1/Alpha)))))</f>
        <v>0</v>
      </c>
      <c r="Z406" s="19">
        <f ca="1">IF(RAND()&lt;P_Zero,0,IF(RAND()&lt;CondReturn,_xlfn.LOGNORM.INV(RAND(),MV2,Sigma1),IF(RAND()&lt;CondGood,_xlfn.LOGNORM.INV(RAND(),MV3,Sigma2),MIN(MaxMultiple,Xm/(1-RAND())^(1/Alpha)))))</f>
        <v>0.710962064808215</v>
      </c>
      <c r="AA406" s="19">
        <f ca="1">IF(RAND()&lt;P_Zero,0,IF(RAND()&lt;CondReturn,_xlfn.LOGNORM.INV(RAND(),MV2,Sigma1),IF(RAND()&lt;CondGood,_xlfn.LOGNORM.INV(RAND(),MV3,Sigma2),MIN(MaxMultiple,Xm/(1-RAND())^(1/Alpha)))))</f>
        <v>0</v>
      </c>
      <c r="AB406" s="19">
        <f t="shared" ca="1" si="48"/>
        <v>3.6156503944191125</v>
      </c>
      <c r="AC406" s="14">
        <f t="shared" ca="1" si="49"/>
        <v>173551218.9321174</v>
      </c>
      <c r="AD406" s="14">
        <f t="shared" ca="1" si="50"/>
        <v>125551218.9321174</v>
      </c>
      <c r="AE406" s="14">
        <f t="shared" si="51"/>
        <v>55628399.869093813</v>
      </c>
      <c r="AF406" s="14">
        <f t="shared" ca="1" si="52"/>
        <v>69922819.063023597</v>
      </c>
      <c r="AG406" s="14">
        <f t="shared" ca="1" si="53"/>
        <v>13984563.81260472</v>
      </c>
      <c r="AH406" s="14">
        <f t="shared" ca="1" si="54"/>
        <v>159566655.11951268</v>
      </c>
      <c r="AI406" s="19">
        <f t="shared" ca="1" si="55"/>
        <v>2.6594442519918782</v>
      </c>
    </row>
    <row r="407" spans="2:35" x14ac:dyDescent="0.2">
      <c r="B407" s="1">
        <v>402</v>
      </c>
      <c r="C407" s="19">
        <f ca="1">IF(RAND()&lt;P_Zero,0,IF(RAND()&lt;CondReturn,_xlfn.LOGNORM.INV(RAND(),MV2,Sigma1),IF(RAND()&lt;CondGood,_xlfn.LOGNORM.INV(RAND(),MV3,Sigma2),MIN(MaxMultiple,Xm/(1-RAND())^(1/Alpha)))))</f>
        <v>12.055067615962701</v>
      </c>
      <c r="D407" s="19">
        <f ca="1">IF(RAND()&lt;P_Zero,0,IF(RAND()&lt;CondReturn,_xlfn.LOGNORM.INV(RAND(),MV2,Sigma1),IF(RAND()&lt;CondGood,_xlfn.LOGNORM.INV(RAND(),MV3,Sigma2),MIN(MaxMultiple,Xm/(1-RAND())^(1/Alpha)))))</f>
        <v>0</v>
      </c>
      <c r="E407" s="19">
        <f ca="1">IF(RAND()&lt;P_Zero,0,IF(RAND()&lt;CondReturn,_xlfn.LOGNORM.INV(RAND(),MV2,Sigma1),IF(RAND()&lt;CondGood,_xlfn.LOGNORM.INV(RAND(),MV3,Sigma2),MIN(MaxMultiple,Xm/(1-RAND())^(1/Alpha)))))</f>
        <v>2.5050862133517353</v>
      </c>
      <c r="F407" s="19">
        <f ca="1">IF(RAND()&lt;P_Zero,0,IF(RAND()&lt;CondReturn,_xlfn.LOGNORM.INV(RAND(),MV2,Sigma1),IF(RAND()&lt;CondGood,_xlfn.LOGNORM.INV(RAND(),MV3,Sigma2),MIN(MaxMultiple,Xm/(1-RAND())^(1/Alpha)))))</f>
        <v>0.75414279288027009</v>
      </c>
      <c r="G407" s="19">
        <f ca="1">IF(RAND()&lt;P_Zero,0,IF(RAND()&lt;CondReturn,_xlfn.LOGNORM.INV(RAND(),MV2,Sigma1),IF(RAND()&lt;CondGood,_xlfn.LOGNORM.INV(RAND(),MV3,Sigma2),MIN(MaxMultiple,Xm/(1-RAND())^(1/Alpha)))))</f>
        <v>0.36890805706044572</v>
      </c>
      <c r="H407" s="19">
        <f ca="1">IF(RAND()&lt;P_Zero,0,IF(RAND()&lt;CondReturn,_xlfn.LOGNORM.INV(RAND(),MV2,Sigma1),IF(RAND()&lt;CondGood,_xlfn.LOGNORM.INV(RAND(),MV3,Sigma2),MIN(MaxMultiple,Xm/(1-RAND())^(1/Alpha)))))</f>
        <v>0.43044958364164093</v>
      </c>
      <c r="I407" s="19">
        <f ca="1">IF(RAND()&lt;P_Zero,0,IF(RAND()&lt;CondReturn,_xlfn.LOGNORM.INV(RAND(),MV2,Sigma1),IF(RAND()&lt;CondGood,_xlfn.LOGNORM.INV(RAND(),MV3,Sigma2),MIN(MaxMultiple,Xm/(1-RAND())^(1/Alpha)))))</f>
        <v>0.22330376467418425</v>
      </c>
      <c r="J407" s="19">
        <f ca="1">IF(RAND()&lt;P_Zero,0,IF(RAND()&lt;CondReturn,_xlfn.LOGNORM.INV(RAND(),MV2,Sigma1),IF(RAND()&lt;CondGood,_xlfn.LOGNORM.INV(RAND(),MV3,Sigma2),MIN(MaxMultiple,Xm/(1-RAND())^(1/Alpha)))))</f>
        <v>0</v>
      </c>
      <c r="K407" s="19">
        <f ca="1">IF(RAND()&lt;P_Zero,0,IF(RAND()&lt;CondReturn,_xlfn.LOGNORM.INV(RAND(),MV2,Sigma1),IF(RAND()&lt;CondGood,_xlfn.LOGNORM.INV(RAND(),MV3,Sigma2),MIN(MaxMultiple,Xm/(1-RAND())^(1/Alpha)))))</f>
        <v>0</v>
      </c>
      <c r="L407" s="19">
        <f ca="1">IF(RAND()&lt;P_Zero,0,IF(RAND()&lt;CondReturn,_xlfn.LOGNORM.INV(RAND(),MV2,Sigma1),IF(RAND()&lt;CondGood,_xlfn.LOGNORM.INV(RAND(),MV3,Sigma2),MIN(MaxMultiple,Xm/(1-RAND())^(1/Alpha)))))</f>
        <v>0</v>
      </c>
      <c r="M407" s="19">
        <f ca="1">IF(RAND()&lt;P_Zero,0,IF(RAND()&lt;CondReturn,_xlfn.LOGNORM.INV(RAND(),MV2,Sigma1),IF(RAND()&lt;CondGood,_xlfn.LOGNORM.INV(RAND(),MV3,Sigma2),MIN(MaxMultiple,Xm/(1-RAND())^(1/Alpha)))))</f>
        <v>0</v>
      </c>
      <c r="N407" s="19">
        <f ca="1">IF(RAND()&lt;P_Zero,0,IF(RAND()&lt;CondReturn,_xlfn.LOGNORM.INV(RAND(),MV2,Sigma1),IF(RAND()&lt;CondGood,_xlfn.LOGNORM.INV(RAND(),MV3,Sigma2),MIN(MaxMultiple,Xm/(1-RAND())^(1/Alpha)))))</f>
        <v>46.289873225621214</v>
      </c>
      <c r="O407" s="19">
        <f ca="1">IF(RAND()&lt;P_Zero,0,IF(RAND()&lt;CondReturn,_xlfn.LOGNORM.INV(RAND(),MV2,Sigma1),IF(RAND()&lt;CondGood,_xlfn.LOGNORM.INV(RAND(),MV3,Sigma2),MIN(MaxMultiple,Xm/(1-RAND())^(1/Alpha)))))</f>
        <v>0.81876350084397809</v>
      </c>
      <c r="P407" s="19">
        <f ca="1">IF(RAND()&lt;P_Zero,0,IF(RAND()&lt;CondReturn,_xlfn.LOGNORM.INV(RAND(),MV2,Sigma1),IF(RAND()&lt;CondGood,_xlfn.LOGNORM.INV(RAND(),MV3,Sigma2),MIN(MaxMultiple,Xm/(1-RAND())^(1/Alpha)))))</f>
        <v>0</v>
      </c>
      <c r="Q407" s="19">
        <f ca="1">IF(RAND()&lt;P_Zero,0,IF(RAND()&lt;CondReturn,_xlfn.LOGNORM.INV(RAND(),MV2,Sigma1),IF(RAND()&lt;CondGood,_xlfn.LOGNORM.INV(RAND(),MV3,Sigma2),MIN(MaxMultiple,Xm/(1-RAND())^(1/Alpha)))))</f>
        <v>0.77624168223831946</v>
      </c>
      <c r="R407" s="19">
        <f ca="1">IF(RAND()&lt;P_Zero,0,IF(RAND()&lt;CondReturn,_xlfn.LOGNORM.INV(RAND(),MV2,Sigma1),IF(RAND()&lt;CondGood,_xlfn.LOGNORM.INV(RAND(),MV3,Sigma2),MIN(MaxMultiple,Xm/(1-RAND())^(1/Alpha)))))</f>
        <v>0</v>
      </c>
      <c r="S407" s="19">
        <f ca="1">IF(RAND()&lt;P_Zero,0,IF(RAND()&lt;CondReturn,_xlfn.LOGNORM.INV(RAND(),MV2,Sigma1),IF(RAND()&lt;CondGood,_xlfn.LOGNORM.INV(RAND(),MV3,Sigma2),MIN(MaxMultiple,Xm/(1-RAND())^(1/Alpha)))))</f>
        <v>0</v>
      </c>
      <c r="T407" s="19">
        <f ca="1">IF(RAND()&lt;P_Zero,0,IF(RAND()&lt;CondReturn,_xlfn.LOGNORM.INV(RAND(),MV2,Sigma1),IF(RAND()&lt;CondGood,_xlfn.LOGNORM.INV(RAND(),MV3,Sigma2),MIN(MaxMultiple,Xm/(1-RAND())^(1/Alpha)))))</f>
        <v>0</v>
      </c>
      <c r="U407" s="19">
        <f ca="1">IF(RAND()&lt;P_Zero,0,IF(RAND()&lt;CondReturn,_xlfn.LOGNORM.INV(RAND(),MV2,Sigma1),IF(RAND()&lt;CondGood,_xlfn.LOGNORM.INV(RAND(),MV3,Sigma2),MIN(MaxMultiple,Xm/(1-RAND())^(1/Alpha)))))</f>
        <v>1.1199291122385806</v>
      </c>
      <c r="V407" s="19">
        <f ca="1">IF(RAND()&lt;P_Zero,0,IF(RAND()&lt;CondReturn,_xlfn.LOGNORM.INV(RAND(),MV2,Sigma1),IF(RAND()&lt;CondGood,_xlfn.LOGNORM.INV(RAND(),MV3,Sigma2),MIN(MaxMultiple,Xm/(1-RAND())^(1/Alpha)))))</f>
        <v>12.568336406811792</v>
      </c>
      <c r="W407" s="19">
        <f ca="1">IF(RAND()&lt;P_Zero,0,IF(RAND()&lt;CondReturn,_xlfn.LOGNORM.INV(RAND(),MV2,Sigma1),IF(RAND()&lt;CondGood,_xlfn.LOGNORM.INV(RAND(),MV3,Sigma2),MIN(MaxMultiple,Xm/(1-RAND())^(1/Alpha)))))</f>
        <v>137.4390424456987</v>
      </c>
      <c r="X407" s="19">
        <f ca="1">IF(RAND()&lt;P_Zero,0,IF(RAND()&lt;CondReturn,_xlfn.LOGNORM.INV(RAND(),MV2,Sigma1),IF(RAND()&lt;CondGood,_xlfn.LOGNORM.INV(RAND(),MV3,Sigma2),MIN(MaxMultiple,Xm/(1-RAND())^(1/Alpha)))))</f>
        <v>1.4792305358490299</v>
      </c>
      <c r="Y407" s="19">
        <f ca="1">IF(RAND()&lt;P_Zero,0,IF(RAND()&lt;CondReturn,_xlfn.LOGNORM.INV(RAND(),MV2,Sigma1),IF(RAND()&lt;CondGood,_xlfn.LOGNORM.INV(RAND(),MV3,Sigma2),MIN(MaxMultiple,Xm/(1-RAND())^(1/Alpha)))))</f>
        <v>2.2589415848170953</v>
      </c>
      <c r="Z407" s="19">
        <f ca="1">IF(RAND()&lt;P_Zero,0,IF(RAND()&lt;CondReturn,_xlfn.LOGNORM.INV(RAND(),MV2,Sigma1),IF(RAND()&lt;CondGood,_xlfn.LOGNORM.INV(RAND(),MV3,Sigma2),MIN(MaxMultiple,Xm/(1-RAND())^(1/Alpha)))))</f>
        <v>2.2892937098863841</v>
      </c>
      <c r="AA407" s="19">
        <f ca="1">IF(RAND()&lt;P_Zero,0,IF(RAND()&lt;CondReturn,_xlfn.LOGNORM.INV(RAND(),MV2,Sigma1),IF(RAND()&lt;CondGood,_xlfn.LOGNORM.INV(RAND(),MV3,Sigma2),MIN(MaxMultiple,Xm/(1-RAND())^(1/Alpha)))))</f>
        <v>1.1196906794850205</v>
      </c>
      <c r="AB407" s="19">
        <f t="shared" ca="1" si="48"/>
        <v>8.8998520364424447</v>
      </c>
      <c r="AC407" s="14">
        <f t="shared" ca="1" si="49"/>
        <v>427192897.74923736</v>
      </c>
      <c r="AD407" s="14">
        <f t="shared" ca="1" si="50"/>
        <v>379192897.74923736</v>
      </c>
      <c r="AE407" s="14">
        <f t="shared" si="51"/>
        <v>55628399.869093813</v>
      </c>
      <c r="AF407" s="14">
        <f t="shared" ca="1" si="52"/>
        <v>323564497.88014352</v>
      </c>
      <c r="AG407" s="14">
        <f t="shared" ca="1" si="53"/>
        <v>64712899.576028705</v>
      </c>
      <c r="AH407" s="14">
        <f t="shared" ca="1" si="54"/>
        <v>362479998.17320865</v>
      </c>
      <c r="AI407" s="19">
        <f t="shared" ca="1" si="55"/>
        <v>6.0413333028868106</v>
      </c>
    </row>
    <row r="408" spans="2:35" x14ac:dyDescent="0.2">
      <c r="B408" s="1">
        <v>403</v>
      </c>
      <c r="C408" s="19">
        <f ca="1">IF(RAND()&lt;P_Zero,0,IF(RAND()&lt;CondReturn,_xlfn.LOGNORM.INV(RAND(),MV2,Sigma1),IF(RAND()&lt;CondGood,_xlfn.LOGNORM.INV(RAND(),MV3,Sigma2),MIN(MaxMultiple,Xm/(1-RAND())^(1/Alpha)))))</f>
        <v>0.8424721317210383</v>
      </c>
      <c r="D408" s="19">
        <f ca="1">IF(RAND()&lt;P_Zero,0,IF(RAND()&lt;CondReturn,_xlfn.LOGNORM.INV(RAND(),MV2,Sigma1),IF(RAND()&lt;CondGood,_xlfn.LOGNORM.INV(RAND(),MV3,Sigma2),MIN(MaxMultiple,Xm/(1-RAND())^(1/Alpha)))))</f>
        <v>0</v>
      </c>
      <c r="E408" s="19">
        <f ca="1">IF(RAND()&lt;P_Zero,0,IF(RAND()&lt;CondReturn,_xlfn.LOGNORM.INV(RAND(),MV2,Sigma1),IF(RAND()&lt;CondGood,_xlfn.LOGNORM.INV(RAND(),MV3,Sigma2),MIN(MaxMultiple,Xm/(1-RAND())^(1/Alpha)))))</f>
        <v>0.76639010434524413</v>
      </c>
      <c r="F408" s="19">
        <f ca="1">IF(RAND()&lt;P_Zero,0,IF(RAND()&lt;CondReturn,_xlfn.LOGNORM.INV(RAND(),MV2,Sigma1),IF(RAND()&lt;CondGood,_xlfn.LOGNORM.INV(RAND(),MV3,Sigma2),MIN(MaxMultiple,Xm/(1-RAND())^(1/Alpha)))))</f>
        <v>0.63265777514739174</v>
      </c>
      <c r="G408" s="19">
        <f ca="1">IF(RAND()&lt;P_Zero,0,IF(RAND()&lt;CondReturn,_xlfn.LOGNORM.INV(RAND(),MV2,Sigma1),IF(RAND()&lt;CondGood,_xlfn.LOGNORM.INV(RAND(),MV3,Sigma2),MIN(MaxMultiple,Xm/(1-RAND())^(1/Alpha)))))</f>
        <v>0</v>
      </c>
      <c r="H408" s="19">
        <f ca="1">IF(RAND()&lt;P_Zero,0,IF(RAND()&lt;CondReturn,_xlfn.LOGNORM.INV(RAND(),MV2,Sigma1),IF(RAND()&lt;CondGood,_xlfn.LOGNORM.INV(RAND(),MV3,Sigma2),MIN(MaxMultiple,Xm/(1-RAND())^(1/Alpha)))))</f>
        <v>1.0718308306616806</v>
      </c>
      <c r="I408" s="19">
        <f ca="1">IF(RAND()&lt;P_Zero,0,IF(RAND()&lt;CondReturn,_xlfn.LOGNORM.INV(RAND(),MV2,Sigma1),IF(RAND()&lt;CondGood,_xlfn.LOGNORM.INV(RAND(),MV3,Sigma2),MIN(MaxMultiple,Xm/(1-RAND())^(1/Alpha)))))</f>
        <v>0</v>
      </c>
      <c r="J408" s="19">
        <f ca="1">IF(RAND()&lt;P_Zero,0,IF(RAND()&lt;CondReturn,_xlfn.LOGNORM.INV(RAND(),MV2,Sigma1),IF(RAND()&lt;CondGood,_xlfn.LOGNORM.INV(RAND(),MV3,Sigma2),MIN(MaxMultiple,Xm/(1-RAND())^(1/Alpha)))))</f>
        <v>0</v>
      </c>
      <c r="K408" s="19">
        <f ca="1">IF(RAND()&lt;P_Zero,0,IF(RAND()&lt;CondReturn,_xlfn.LOGNORM.INV(RAND(),MV2,Sigma1),IF(RAND()&lt;CondGood,_xlfn.LOGNORM.INV(RAND(),MV3,Sigma2),MIN(MaxMultiple,Xm/(1-RAND())^(1/Alpha)))))</f>
        <v>2.5711105902133915</v>
      </c>
      <c r="L408" s="19">
        <f ca="1">IF(RAND()&lt;P_Zero,0,IF(RAND()&lt;CondReturn,_xlfn.LOGNORM.INV(RAND(),MV2,Sigma1),IF(RAND()&lt;CondGood,_xlfn.LOGNORM.INV(RAND(),MV3,Sigma2),MIN(MaxMultiple,Xm/(1-RAND())^(1/Alpha)))))</f>
        <v>0.71839527179481744</v>
      </c>
      <c r="M408" s="19">
        <f ca="1">IF(RAND()&lt;P_Zero,0,IF(RAND()&lt;CondReturn,_xlfn.LOGNORM.INV(RAND(),MV2,Sigma1),IF(RAND()&lt;CondGood,_xlfn.LOGNORM.INV(RAND(),MV3,Sigma2),MIN(MaxMultiple,Xm/(1-RAND())^(1/Alpha)))))</f>
        <v>0</v>
      </c>
      <c r="N408" s="19">
        <f ca="1">IF(RAND()&lt;P_Zero,0,IF(RAND()&lt;CondReturn,_xlfn.LOGNORM.INV(RAND(),MV2,Sigma1),IF(RAND()&lt;CondGood,_xlfn.LOGNORM.INV(RAND(),MV3,Sigma2),MIN(MaxMultiple,Xm/(1-RAND())^(1/Alpha)))))</f>
        <v>0.77894930592332512</v>
      </c>
      <c r="O408" s="19">
        <f ca="1">IF(RAND()&lt;P_Zero,0,IF(RAND()&lt;CondReturn,_xlfn.LOGNORM.INV(RAND(),MV2,Sigma1),IF(RAND()&lt;CondGood,_xlfn.LOGNORM.INV(RAND(),MV3,Sigma2),MIN(MaxMultiple,Xm/(1-RAND())^(1/Alpha)))))</f>
        <v>0.75025653366402167</v>
      </c>
      <c r="P408" s="19">
        <f ca="1">IF(RAND()&lt;P_Zero,0,IF(RAND()&lt;CondReturn,_xlfn.LOGNORM.INV(RAND(),MV2,Sigma1),IF(RAND()&lt;CondGood,_xlfn.LOGNORM.INV(RAND(),MV3,Sigma2),MIN(MaxMultiple,Xm/(1-RAND())^(1/Alpha)))))</f>
        <v>0</v>
      </c>
      <c r="Q408" s="19">
        <f ca="1">IF(RAND()&lt;P_Zero,0,IF(RAND()&lt;CondReturn,_xlfn.LOGNORM.INV(RAND(),MV2,Sigma1),IF(RAND()&lt;CondGood,_xlfn.LOGNORM.INV(RAND(),MV3,Sigma2),MIN(MaxMultiple,Xm/(1-RAND())^(1/Alpha)))))</f>
        <v>2.5850025693012109</v>
      </c>
      <c r="R408" s="19">
        <f ca="1">IF(RAND()&lt;P_Zero,0,IF(RAND()&lt;CondReturn,_xlfn.LOGNORM.INV(RAND(),MV2,Sigma1),IF(RAND()&lt;CondGood,_xlfn.LOGNORM.INV(RAND(),MV3,Sigma2),MIN(MaxMultiple,Xm/(1-RAND())^(1/Alpha)))))</f>
        <v>0.66328918103867962</v>
      </c>
      <c r="S408" s="19">
        <f ca="1">IF(RAND()&lt;P_Zero,0,IF(RAND()&lt;CondReturn,_xlfn.LOGNORM.INV(RAND(),MV2,Sigma1),IF(RAND()&lt;CondGood,_xlfn.LOGNORM.INV(RAND(),MV3,Sigma2),MIN(MaxMultiple,Xm/(1-RAND())^(1/Alpha)))))</f>
        <v>0</v>
      </c>
      <c r="T408" s="19">
        <f ca="1">IF(RAND()&lt;P_Zero,0,IF(RAND()&lt;CondReturn,_xlfn.LOGNORM.INV(RAND(),MV2,Sigma1),IF(RAND()&lt;CondGood,_xlfn.LOGNORM.INV(RAND(),MV3,Sigma2),MIN(MaxMultiple,Xm/(1-RAND())^(1/Alpha)))))</f>
        <v>0</v>
      </c>
      <c r="U408" s="19">
        <f ca="1">IF(RAND()&lt;P_Zero,0,IF(RAND()&lt;CondReturn,_xlfn.LOGNORM.INV(RAND(),MV2,Sigma1),IF(RAND()&lt;CondGood,_xlfn.LOGNORM.INV(RAND(),MV3,Sigma2),MIN(MaxMultiple,Xm/(1-RAND())^(1/Alpha)))))</f>
        <v>0.78877047479457696</v>
      </c>
      <c r="V408" s="19">
        <f ca="1">IF(RAND()&lt;P_Zero,0,IF(RAND()&lt;CondReturn,_xlfn.LOGNORM.INV(RAND(),MV2,Sigma1),IF(RAND()&lt;CondGood,_xlfn.LOGNORM.INV(RAND(),MV3,Sigma2),MIN(MaxMultiple,Xm/(1-RAND())^(1/Alpha)))))</f>
        <v>0</v>
      </c>
      <c r="W408" s="19">
        <f ca="1">IF(RAND()&lt;P_Zero,0,IF(RAND()&lt;CondReturn,_xlfn.LOGNORM.INV(RAND(),MV2,Sigma1),IF(RAND()&lt;CondGood,_xlfn.LOGNORM.INV(RAND(),MV3,Sigma2),MIN(MaxMultiple,Xm/(1-RAND())^(1/Alpha)))))</f>
        <v>1.1134766434745806</v>
      </c>
      <c r="X408" s="19">
        <f ca="1">IF(RAND()&lt;P_Zero,0,IF(RAND()&lt;CondReturn,_xlfn.LOGNORM.INV(RAND(),MV2,Sigma1),IF(RAND()&lt;CondGood,_xlfn.LOGNORM.INV(RAND(),MV3,Sigma2),MIN(MaxMultiple,Xm/(1-RAND())^(1/Alpha)))))</f>
        <v>0.70326965753679316</v>
      </c>
      <c r="Y408" s="19">
        <f ca="1">IF(RAND()&lt;P_Zero,0,IF(RAND()&lt;CondReturn,_xlfn.LOGNORM.INV(RAND(),MV2,Sigma1),IF(RAND()&lt;CondGood,_xlfn.LOGNORM.INV(RAND(),MV3,Sigma2),MIN(MaxMultiple,Xm/(1-RAND())^(1/Alpha)))))</f>
        <v>0</v>
      </c>
      <c r="Z408" s="19">
        <f ca="1">IF(RAND()&lt;P_Zero,0,IF(RAND()&lt;CondReturn,_xlfn.LOGNORM.INV(RAND(),MV2,Sigma1),IF(RAND()&lt;CondGood,_xlfn.LOGNORM.INV(RAND(),MV3,Sigma2),MIN(MaxMultiple,Xm/(1-RAND())^(1/Alpha)))))</f>
        <v>1.5293759481950695</v>
      </c>
      <c r="AA408" s="19">
        <f ca="1">IF(RAND()&lt;P_Zero,0,IF(RAND()&lt;CondReturn,_xlfn.LOGNORM.INV(RAND(),MV2,Sigma1),IF(RAND()&lt;CondGood,_xlfn.LOGNORM.INV(RAND(),MV3,Sigma2),MIN(MaxMultiple,Xm/(1-RAND())^(1/Alpha)))))</f>
        <v>1.3810842214611985</v>
      </c>
      <c r="AB408" s="19">
        <f t="shared" ca="1" si="48"/>
        <v>0.67585324957092086</v>
      </c>
      <c r="AC408" s="14">
        <f t="shared" ca="1" si="49"/>
        <v>32440955.9794042</v>
      </c>
      <c r="AD408" s="14">
        <f t="shared" ca="1" si="50"/>
        <v>-15559044.0205958</v>
      </c>
      <c r="AE408" s="14">
        <f t="shared" si="51"/>
        <v>55628399.869093813</v>
      </c>
      <c r="AF408" s="14">
        <f t="shared" ca="1" si="52"/>
        <v>0</v>
      </c>
      <c r="AG408" s="14">
        <f t="shared" ca="1" si="53"/>
        <v>0</v>
      </c>
      <c r="AH408" s="14">
        <f t="shared" ca="1" si="54"/>
        <v>32440955.9794042</v>
      </c>
      <c r="AI408" s="19">
        <f t="shared" ca="1" si="55"/>
        <v>0.54068259965673671</v>
      </c>
    </row>
    <row r="409" spans="2:35" x14ac:dyDescent="0.2">
      <c r="B409" s="1">
        <v>404</v>
      </c>
      <c r="C409" s="19">
        <f ca="1">IF(RAND()&lt;P_Zero,0,IF(RAND()&lt;CondReturn,_xlfn.LOGNORM.INV(RAND(),MV2,Sigma1),IF(RAND()&lt;CondGood,_xlfn.LOGNORM.INV(RAND(),MV3,Sigma2),MIN(MaxMultiple,Xm/(1-RAND())^(1/Alpha)))))</f>
        <v>1.5438881374089872</v>
      </c>
      <c r="D409" s="19">
        <f ca="1">IF(RAND()&lt;P_Zero,0,IF(RAND()&lt;CondReturn,_xlfn.LOGNORM.INV(RAND(),MV2,Sigma1),IF(RAND()&lt;CondGood,_xlfn.LOGNORM.INV(RAND(),MV3,Sigma2),MIN(MaxMultiple,Xm/(1-RAND())^(1/Alpha)))))</f>
        <v>0</v>
      </c>
      <c r="E409" s="19">
        <f ca="1">IF(RAND()&lt;P_Zero,0,IF(RAND()&lt;CondReturn,_xlfn.LOGNORM.INV(RAND(),MV2,Sigma1),IF(RAND()&lt;CondGood,_xlfn.LOGNORM.INV(RAND(),MV3,Sigma2),MIN(MaxMultiple,Xm/(1-RAND())^(1/Alpha)))))</f>
        <v>0</v>
      </c>
      <c r="F409" s="19">
        <f ca="1">IF(RAND()&lt;P_Zero,0,IF(RAND()&lt;CondReturn,_xlfn.LOGNORM.INV(RAND(),MV2,Sigma1),IF(RAND()&lt;CondGood,_xlfn.LOGNORM.INV(RAND(),MV3,Sigma2),MIN(MaxMultiple,Xm/(1-RAND())^(1/Alpha)))))</f>
        <v>1.7778506290723457</v>
      </c>
      <c r="G409" s="19">
        <f ca="1">IF(RAND()&lt;P_Zero,0,IF(RAND()&lt;CondReturn,_xlfn.LOGNORM.INV(RAND(),MV2,Sigma1),IF(RAND()&lt;CondGood,_xlfn.LOGNORM.INV(RAND(),MV3,Sigma2),MIN(MaxMultiple,Xm/(1-RAND())^(1/Alpha)))))</f>
        <v>0</v>
      </c>
      <c r="H409" s="19">
        <f ca="1">IF(RAND()&lt;P_Zero,0,IF(RAND()&lt;CondReturn,_xlfn.LOGNORM.INV(RAND(),MV2,Sigma1),IF(RAND()&lt;CondGood,_xlfn.LOGNORM.INV(RAND(),MV3,Sigma2),MIN(MaxMultiple,Xm/(1-RAND())^(1/Alpha)))))</f>
        <v>0.64690044986849582</v>
      </c>
      <c r="I409" s="19">
        <f ca="1">IF(RAND()&lt;P_Zero,0,IF(RAND()&lt;CondReturn,_xlfn.LOGNORM.INV(RAND(),MV2,Sigma1),IF(RAND()&lt;CondGood,_xlfn.LOGNORM.INV(RAND(),MV3,Sigma2),MIN(MaxMultiple,Xm/(1-RAND())^(1/Alpha)))))</f>
        <v>0</v>
      </c>
      <c r="J409" s="19">
        <f ca="1">IF(RAND()&lt;P_Zero,0,IF(RAND()&lt;CondReturn,_xlfn.LOGNORM.INV(RAND(),MV2,Sigma1),IF(RAND()&lt;CondGood,_xlfn.LOGNORM.INV(RAND(),MV3,Sigma2),MIN(MaxMultiple,Xm/(1-RAND())^(1/Alpha)))))</f>
        <v>0</v>
      </c>
      <c r="K409" s="19">
        <f ca="1">IF(RAND()&lt;P_Zero,0,IF(RAND()&lt;CondReturn,_xlfn.LOGNORM.INV(RAND(),MV2,Sigma1),IF(RAND()&lt;CondGood,_xlfn.LOGNORM.INV(RAND(),MV3,Sigma2),MIN(MaxMultiple,Xm/(1-RAND())^(1/Alpha)))))</f>
        <v>0.81436219457792725</v>
      </c>
      <c r="L409" s="19">
        <f ca="1">IF(RAND()&lt;P_Zero,0,IF(RAND()&lt;CondReturn,_xlfn.LOGNORM.INV(RAND(),MV2,Sigma1),IF(RAND()&lt;CondGood,_xlfn.LOGNORM.INV(RAND(),MV3,Sigma2),MIN(MaxMultiple,Xm/(1-RAND())^(1/Alpha)))))</f>
        <v>0.60855373976376637</v>
      </c>
      <c r="M409" s="19">
        <f ca="1">IF(RAND()&lt;P_Zero,0,IF(RAND()&lt;CondReturn,_xlfn.LOGNORM.INV(RAND(),MV2,Sigma1),IF(RAND()&lt;CondGood,_xlfn.LOGNORM.INV(RAND(),MV3,Sigma2),MIN(MaxMultiple,Xm/(1-RAND())^(1/Alpha)))))</f>
        <v>0.82265584922711743</v>
      </c>
      <c r="N409" s="19">
        <f ca="1">IF(RAND()&lt;P_Zero,0,IF(RAND()&lt;CondReturn,_xlfn.LOGNORM.INV(RAND(),MV2,Sigma1),IF(RAND()&lt;CondGood,_xlfn.LOGNORM.INV(RAND(),MV3,Sigma2),MIN(MaxMultiple,Xm/(1-RAND())^(1/Alpha)))))</f>
        <v>1.8179468563009131</v>
      </c>
      <c r="O409" s="19">
        <f ca="1">IF(RAND()&lt;P_Zero,0,IF(RAND()&lt;CondReturn,_xlfn.LOGNORM.INV(RAND(),MV2,Sigma1),IF(RAND()&lt;CondGood,_xlfn.LOGNORM.INV(RAND(),MV3,Sigma2),MIN(MaxMultiple,Xm/(1-RAND())^(1/Alpha)))))</f>
        <v>0</v>
      </c>
      <c r="P409" s="19">
        <f ca="1">IF(RAND()&lt;P_Zero,0,IF(RAND()&lt;CondReturn,_xlfn.LOGNORM.INV(RAND(),MV2,Sigma1),IF(RAND()&lt;CondGood,_xlfn.LOGNORM.INV(RAND(),MV3,Sigma2),MIN(MaxMultiple,Xm/(1-RAND())^(1/Alpha)))))</f>
        <v>0.81500165152729487</v>
      </c>
      <c r="Q409" s="19">
        <f ca="1">IF(RAND()&lt;P_Zero,0,IF(RAND()&lt;CondReturn,_xlfn.LOGNORM.INV(RAND(),MV2,Sigma1),IF(RAND()&lt;CondGood,_xlfn.LOGNORM.INV(RAND(),MV3,Sigma2),MIN(MaxMultiple,Xm/(1-RAND())^(1/Alpha)))))</f>
        <v>0.57885263832847533</v>
      </c>
      <c r="R409" s="19">
        <f ca="1">IF(RAND()&lt;P_Zero,0,IF(RAND()&lt;CondReturn,_xlfn.LOGNORM.INV(RAND(),MV2,Sigma1),IF(RAND()&lt;CondGood,_xlfn.LOGNORM.INV(RAND(),MV3,Sigma2),MIN(MaxMultiple,Xm/(1-RAND())^(1/Alpha)))))</f>
        <v>1.9296685705848218</v>
      </c>
      <c r="S409" s="19">
        <f ca="1">IF(RAND()&lt;P_Zero,0,IF(RAND()&lt;CondReturn,_xlfn.LOGNORM.INV(RAND(),MV2,Sigma1),IF(RAND()&lt;CondGood,_xlfn.LOGNORM.INV(RAND(),MV3,Sigma2),MIN(MaxMultiple,Xm/(1-RAND())^(1/Alpha)))))</f>
        <v>0</v>
      </c>
      <c r="T409" s="19">
        <f ca="1">IF(RAND()&lt;P_Zero,0,IF(RAND()&lt;CondReturn,_xlfn.LOGNORM.INV(RAND(),MV2,Sigma1),IF(RAND()&lt;CondGood,_xlfn.LOGNORM.INV(RAND(),MV3,Sigma2),MIN(MaxMultiple,Xm/(1-RAND())^(1/Alpha)))))</f>
        <v>0</v>
      </c>
      <c r="U409" s="19">
        <f ca="1">IF(RAND()&lt;P_Zero,0,IF(RAND()&lt;CondReturn,_xlfn.LOGNORM.INV(RAND(),MV2,Sigma1),IF(RAND()&lt;CondGood,_xlfn.LOGNORM.INV(RAND(),MV3,Sigma2),MIN(MaxMultiple,Xm/(1-RAND())^(1/Alpha)))))</f>
        <v>0</v>
      </c>
      <c r="V409" s="19">
        <f ca="1">IF(RAND()&lt;P_Zero,0,IF(RAND()&lt;CondReturn,_xlfn.LOGNORM.INV(RAND(),MV2,Sigma1),IF(RAND()&lt;CondGood,_xlfn.LOGNORM.INV(RAND(),MV3,Sigma2),MIN(MaxMultiple,Xm/(1-RAND())^(1/Alpha)))))</f>
        <v>0</v>
      </c>
      <c r="W409" s="19">
        <f ca="1">IF(RAND()&lt;P_Zero,0,IF(RAND()&lt;CondReturn,_xlfn.LOGNORM.INV(RAND(),MV2,Sigma1),IF(RAND()&lt;CondGood,_xlfn.LOGNORM.INV(RAND(),MV3,Sigma2),MIN(MaxMultiple,Xm/(1-RAND())^(1/Alpha)))))</f>
        <v>0.47836501617552862</v>
      </c>
      <c r="X409" s="19">
        <f ca="1">IF(RAND()&lt;P_Zero,0,IF(RAND()&lt;CondReturn,_xlfn.LOGNORM.INV(RAND(),MV2,Sigma1),IF(RAND()&lt;CondGood,_xlfn.LOGNORM.INV(RAND(),MV3,Sigma2),MIN(MaxMultiple,Xm/(1-RAND())^(1/Alpha)))))</f>
        <v>0.90377139536244111</v>
      </c>
      <c r="Y409" s="19">
        <f ca="1">IF(RAND()&lt;P_Zero,0,IF(RAND()&lt;CondReturn,_xlfn.LOGNORM.INV(RAND(),MV2,Sigma1),IF(RAND()&lt;CondGood,_xlfn.LOGNORM.INV(RAND(),MV3,Sigma2),MIN(MaxMultiple,Xm/(1-RAND())^(1/Alpha)))))</f>
        <v>0</v>
      </c>
      <c r="Z409" s="19">
        <f ca="1">IF(RAND()&lt;P_Zero,0,IF(RAND()&lt;CondReturn,_xlfn.LOGNORM.INV(RAND(),MV2,Sigma1),IF(RAND()&lt;CondGood,_xlfn.LOGNORM.INV(RAND(),MV3,Sigma2),MIN(MaxMultiple,Xm/(1-RAND())^(1/Alpha)))))</f>
        <v>0.8994533686410795</v>
      </c>
      <c r="AA409" s="19">
        <f ca="1">IF(RAND()&lt;P_Zero,0,IF(RAND()&lt;CondReturn,_xlfn.LOGNORM.INV(RAND(),MV2,Sigma1),IF(RAND()&lt;CondGood,_xlfn.LOGNORM.INV(RAND(),MV3,Sigma2),MIN(MaxMultiple,Xm/(1-RAND())^(1/Alpha)))))</f>
        <v>0.96364776461585411</v>
      </c>
      <c r="AB409" s="19">
        <f t="shared" ca="1" si="48"/>
        <v>0.58403673045820204</v>
      </c>
      <c r="AC409" s="14">
        <f t="shared" ca="1" si="49"/>
        <v>28033763.0619937</v>
      </c>
      <c r="AD409" s="14">
        <f t="shared" ca="1" si="50"/>
        <v>-19966236.9380063</v>
      </c>
      <c r="AE409" s="14">
        <f t="shared" si="51"/>
        <v>55628399.869093813</v>
      </c>
      <c r="AF409" s="14">
        <f t="shared" ca="1" si="52"/>
        <v>0</v>
      </c>
      <c r="AG409" s="14">
        <f t="shared" ca="1" si="53"/>
        <v>0</v>
      </c>
      <c r="AH409" s="14">
        <f t="shared" ca="1" si="54"/>
        <v>28033763.0619937</v>
      </c>
      <c r="AI409" s="19">
        <f t="shared" ca="1" si="55"/>
        <v>0.46722938436656164</v>
      </c>
    </row>
    <row r="410" spans="2:35" x14ac:dyDescent="0.2">
      <c r="B410" s="1">
        <v>405</v>
      </c>
      <c r="C410" s="19">
        <f ca="1">IF(RAND()&lt;P_Zero,0,IF(RAND()&lt;CondReturn,_xlfn.LOGNORM.INV(RAND(),MV2,Sigma1),IF(RAND()&lt;CondGood,_xlfn.LOGNORM.INV(RAND(),MV3,Sigma2),MIN(MaxMultiple,Xm/(1-RAND())^(1/Alpha)))))</f>
        <v>1.6133614864812302</v>
      </c>
      <c r="D410" s="19">
        <f ca="1">IF(RAND()&lt;P_Zero,0,IF(RAND()&lt;CondReturn,_xlfn.LOGNORM.INV(RAND(),MV2,Sigma1),IF(RAND()&lt;CondGood,_xlfn.LOGNORM.INV(RAND(),MV3,Sigma2),MIN(MaxMultiple,Xm/(1-RAND())^(1/Alpha)))))</f>
        <v>0.41133881927036886</v>
      </c>
      <c r="E410" s="19">
        <f ca="1">IF(RAND()&lt;P_Zero,0,IF(RAND()&lt;CondReturn,_xlfn.LOGNORM.INV(RAND(),MV2,Sigma1),IF(RAND()&lt;CondGood,_xlfn.LOGNORM.INV(RAND(),MV3,Sigma2),MIN(MaxMultiple,Xm/(1-RAND())^(1/Alpha)))))</f>
        <v>0</v>
      </c>
      <c r="F410" s="19">
        <f ca="1">IF(RAND()&lt;P_Zero,0,IF(RAND()&lt;CondReturn,_xlfn.LOGNORM.INV(RAND(),MV2,Sigma1),IF(RAND()&lt;CondGood,_xlfn.LOGNORM.INV(RAND(),MV3,Sigma2),MIN(MaxMultiple,Xm/(1-RAND())^(1/Alpha)))))</f>
        <v>0</v>
      </c>
      <c r="G410" s="19">
        <f ca="1">IF(RAND()&lt;P_Zero,0,IF(RAND()&lt;CondReturn,_xlfn.LOGNORM.INV(RAND(),MV2,Sigma1),IF(RAND()&lt;CondGood,_xlfn.LOGNORM.INV(RAND(),MV3,Sigma2),MIN(MaxMultiple,Xm/(1-RAND())^(1/Alpha)))))</f>
        <v>0</v>
      </c>
      <c r="H410" s="19">
        <f ca="1">IF(RAND()&lt;P_Zero,0,IF(RAND()&lt;CondReturn,_xlfn.LOGNORM.INV(RAND(),MV2,Sigma1),IF(RAND()&lt;CondGood,_xlfn.LOGNORM.INV(RAND(),MV3,Sigma2),MIN(MaxMultiple,Xm/(1-RAND())^(1/Alpha)))))</f>
        <v>0.8265242735770908</v>
      </c>
      <c r="I410" s="19">
        <f ca="1">IF(RAND()&lt;P_Zero,0,IF(RAND()&lt;CondReturn,_xlfn.LOGNORM.INV(RAND(),MV2,Sigma1),IF(RAND()&lt;CondGood,_xlfn.LOGNORM.INV(RAND(),MV3,Sigma2),MIN(MaxMultiple,Xm/(1-RAND())^(1/Alpha)))))</f>
        <v>0</v>
      </c>
      <c r="J410" s="19">
        <f ca="1">IF(RAND()&lt;P_Zero,0,IF(RAND()&lt;CondReturn,_xlfn.LOGNORM.INV(RAND(),MV2,Sigma1),IF(RAND()&lt;CondGood,_xlfn.LOGNORM.INV(RAND(),MV3,Sigma2),MIN(MaxMultiple,Xm/(1-RAND())^(1/Alpha)))))</f>
        <v>12.224875983402626</v>
      </c>
      <c r="K410" s="19">
        <f ca="1">IF(RAND()&lt;P_Zero,0,IF(RAND()&lt;CondReturn,_xlfn.LOGNORM.INV(RAND(),MV2,Sigma1),IF(RAND()&lt;CondGood,_xlfn.LOGNORM.INV(RAND(),MV3,Sigma2),MIN(MaxMultiple,Xm/(1-RAND())^(1/Alpha)))))</f>
        <v>0</v>
      </c>
      <c r="L410" s="19">
        <f ca="1">IF(RAND()&lt;P_Zero,0,IF(RAND()&lt;CondReturn,_xlfn.LOGNORM.INV(RAND(),MV2,Sigma1),IF(RAND()&lt;CondGood,_xlfn.LOGNORM.INV(RAND(),MV3,Sigma2),MIN(MaxMultiple,Xm/(1-RAND())^(1/Alpha)))))</f>
        <v>0.63445403782178844</v>
      </c>
      <c r="M410" s="19">
        <f ca="1">IF(RAND()&lt;P_Zero,0,IF(RAND()&lt;CondReturn,_xlfn.LOGNORM.INV(RAND(),MV2,Sigma1),IF(RAND()&lt;CondGood,_xlfn.LOGNORM.INV(RAND(),MV3,Sigma2),MIN(MaxMultiple,Xm/(1-RAND())^(1/Alpha)))))</f>
        <v>0</v>
      </c>
      <c r="N410" s="19">
        <f ca="1">IF(RAND()&lt;P_Zero,0,IF(RAND()&lt;CondReturn,_xlfn.LOGNORM.INV(RAND(),MV2,Sigma1),IF(RAND()&lt;CondGood,_xlfn.LOGNORM.INV(RAND(),MV3,Sigma2),MIN(MaxMultiple,Xm/(1-RAND())^(1/Alpha)))))</f>
        <v>1.1000335923411713</v>
      </c>
      <c r="O410" s="19">
        <f ca="1">IF(RAND()&lt;P_Zero,0,IF(RAND()&lt;CondReturn,_xlfn.LOGNORM.INV(RAND(),MV2,Sigma1),IF(RAND()&lt;CondGood,_xlfn.LOGNORM.INV(RAND(),MV3,Sigma2),MIN(MaxMultiple,Xm/(1-RAND())^(1/Alpha)))))</f>
        <v>0.48208652487531589</v>
      </c>
      <c r="P410" s="19">
        <f ca="1">IF(RAND()&lt;P_Zero,0,IF(RAND()&lt;CondReturn,_xlfn.LOGNORM.INV(RAND(),MV2,Sigma1),IF(RAND()&lt;CondGood,_xlfn.LOGNORM.INV(RAND(),MV3,Sigma2),MIN(MaxMultiple,Xm/(1-RAND())^(1/Alpha)))))</f>
        <v>0.92135411999471051</v>
      </c>
      <c r="Q410" s="19">
        <f ca="1">IF(RAND()&lt;P_Zero,0,IF(RAND()&lt;CondReturn,_xlfn.LOGNORM.INV(RAND(),MV2,Sigma1),IF(RAND()&lt;CondGood,_xlfn.LOGNORM.INV(RAND(),MV3,Sigma2),MIN(MaxMultiple,Xm/(1-RAND())^(1/Alpha)))))</f>
        <v>1.0461302392570297</v>
      </c>
      <c r="R410" s="19">
        <f ca="1">IF(RAND()&lt;P_Zero,0,IF(RAND()&lt;CondReturn,_xlfn.LOGNORM.INV(RAND(),MV2,Sigma1),IF(RAND()&lt;CondGood,_xlfn.LOGNORM.INV(RAND(),MV3,Sigma2),MIN(MaxMultiple,Xm/(1-RAND())^(1/Alpha)))))</f>
        <v>0</v>
      </c>
      <c r="S410" s="19">
        <f ca="1">IF(RAND()&lt;P_Zero,0,IF(RAND()&lt;CondReturn,_xlfn.LOGNORM.INV(RAND(),MV2,Sigma1),IF(RAND()&lt;CondGood,_xlfn.LOGNORM.INV(RAND(),MV3,Sigma2),MIN(MaxMultiple,Xm/(1-RAND())^(1/Alpha)))))</f>
        <v>0</v>
      </c>
      <c r="T410" s="19">
        <f ca="1">IF(RAND()&lt;P_Zero,0,IF(RAND()&lt;CondReturn,_xlfn.LOGNORM.INV(RAND(),MV2,Sigma1),IF(RAND()&lt;CondGood,_xlfn.LOGNORM.INV(RAND(),MV3,Sigma2),MIN(MaxMultiple,Xm/(1-RAND())^(1/Alpha)))))</f>
        <v>0</v>
      </c>
      <c r="U410" s="19">
        <f ca="1">IF(RAND()&lt;P_Zero,0,IF(RAND()&lt;CondReturn,_xlfn.LOGNORM.INV(RAND(),MV2,Sigma1),IF(RAND()&lt;CondGood,_xlfn.LOGNORM.INV(RAND(),MV3,Sigma2),MIN(MaxMultiple,Xm/(1-RAND())^(1/Alpha)))))</f>
        <v>0.7875829157144737</v>
      </c>
      <c r="V410" s="19">
        <f ca="1">IF(RAND()&lt;P_Zero,0,IF(RAND()&lt;CondReturn,_xlfn.LOGNORM.INV(RAND(),MV2,Sigma1),IF(RAND()&lt;CondGood,_xlfn.LOGNORM.INV(RAND(),MV3,Sigma2),MIN(MaxMultiple,Xm/(1-RAND())^(1/Alpha)))))</f>
        <v>11.048899911549288</v>
      </c>
      <c r="W410" s="19">
        <f ca="1">IF(RAND()&lt;P_Zero,0,IF(RAND()&lt;CondReturn,_xlfn.LOGNORM.INV(RAND(),MV2,Sigma1),IF(RAND()&lt;CondGood,_xlfn.LOGNORM.INV(RAND(),MV3,Sigma2),MIN(MaxMultiple,Xm/(1-RAND())^(1/Alpha)))))</f>
        <v>1.0897589804955463</v>
      </c>
      <c r="X410" s="19">
        <f ca="1">IF(RAND()&lt;P_Zero,0,IF(RAND()&lt;CondReturn,_xlfn.LOGNORM.INV(RAND(),MV2,Sigma1),IF(RAND()&lt;CondGood,_xlfn.LOGNORM.INV(RAND(),MV3,Sigma2),MIN(MaxMultiple,Xm/(1-RAND())^(1/Alpha)))))</f>
        <v>0</v>
      </c>
      <c r="Y410" s="19">
        <f ca="1">IF(RAND()&lt;P_Zero,0,IF(RAND()&lt;CondReturn,_xlfn.LOGNORM.INV(RAND(),MV2,Sigma1),IF(RAND()&lt;CondGood,_xlfn.LOGNORM.INV(RAND(),MV3,Sigma2),MIN(MaxMultiple,Xm/(1-RAND())^(1/Alpha)))))</f>
        <v>0</v>
      </c>
      <c r="Z410" s="19">
        <f ca="1">IF(RAND()&lt;P_Zero,0,IF(RAND()&lt;CondReturn,_xlfn.LOGNORM.INV(RAND(),MV2,Sigma1),IF(RAND()&lt;CondGood,_xlfn.LOGNORM.INV(RAND(),MV3,Sigma2),MIN(MaxMultiple,Xm/(1-RAND())^(1/Alpha)))))</f>
        <v>1.5182001487684251</v>
      </c>
      <c r="AA410" s="19">
        <f ca="1">IF(RAND()&lt;P_Zero,0,IF(RAND()&lt;CondReturn,_xlfn.LOGNORM.INV(RAND(),MV2,Sigma1),IF(RAND()&lt;CondGood,_xlfn.LOGNORM.INV(RAND(),MV3,Sigma2),MIN(MaxMultiple,Xm/(1-RAND())^(1/Alpha)))))</f>
        <v>1.6534143896553419</v>
      </c>
      <c r="AB410" s="19">
        <f t="shared" ca="1" si="48"/>
        <v>1.4143206169281759</v>
      </c>
      <c r="AC410" s="14">
        <f t="shared" ca="1" si="49"/>
        <v>67887389.612552449</v>
      </c>
      <c r="AD410" s="14">
        <f t="shared" ca="1" si="50"/>
        <v>19887389.612552449</v>
      </c>
      <c r="AE410" s="14">
        <f t="shared" si="51"/>
        <v>55628399.869093813</v>
      </c>
      <c r="AF410" s="14">
        <f t="shared" ca="1" si="52"/>
        <v>0</v>
      </c>
      <c r="AG410" s="14">
        <f t="shared" ca="1" si="53"/>
        <v>0</v>
      </c>
      <c r="AH410" s="14">
        <f t="shared" ca="1" si="54"/>
        <v>67887389.612552449</v>
      </c>
      <c r="AI410" s="19">
        <f t="shared" ca="1" si="55"/>
        <v>1.1314564935425409</v>
      </c>
    </row>
    <row r="411" spans="2:35" x14ac:dyDescent="0.2">
      <c r="B411" s="1">
        <v>406</v>
      </c>
      <c r="C411" s="19">
        <f ca="1">IF(RAND()&lt;P_Zero,0,IF(RAND()&lt;CondReturn,_xlfn.LOGNORM.INV(RAND(),MV2,Sigma1),IF(RAND()&lt;CondGood,_xlfn.LOGNORM.INV(RAND(),MV3,Sigma2),MIN(MaxMultiple,Xm/(1-RAND())^(1/Alpha)))))</f>
        <v>0.66128488969841326</v>
      </c>
      <c r="D411" s="19">
        <f ca="1">IF(RAND()&lt;P_Zero,0,IF(RAND()&lt;CondReturn,_xlfn.LOGNORM.INV(RAND(),MV2,Sigma1),IF(RAND()&lt;CondGood,_xlfn.LOGNORM.INV(RAND(),MV3,Sigma2),MIN(MaxMultiple,Xm/(1-RAND())^(1/Alpha)))))</f>
        <v>0</v>
      </c>
      <c r="E411" s="19">
        <f ca="1">IF(RAND()&lt;P_Zero,0,IF(RAND()&lt;CondReturn,_xlfn.LOGNORM.INV(RAND(),MV2,Sigma1),IF(RAND()&lt;CondGood,_xlfn.LOGNORM.INV(RAND(),MV3,Sigma2),MIN(MaxMultiple,Xm/(1-RAND())^(1/Alpha)))))</f>
        <v>1.1878006168213826</v>
      </c>
      <c r="F411" s="19">
        <f ca="1">IF(RAND()&lt;P_Zero,0,IF(RAND()&lt;CondReturn,_xlfn.LOGNORM.INV(RAND(),MV2,Sigma1),IF(RAND()&lt;CondGood,_xlfn.LOGNORM.INV(RAND(),MV3,Sigma2),MIN(MaxMultiple,Xm/(1-RAND())^(1/Alpha)))))</f>
        <v>0.79269918078772161</v>
      </c>
      <c r="G411" s="19">
        <f ca="1">IF(RAND()&lt;P_Zero,0,IF(RAND()&lt;CondReturn,_xlfn.LOGNORM.INV(RAND(),MV2,Sigma1),IF(RAND()&lt;CondGood,_xlfn.LOGNORM.INV(RAND(),MV3,Sigma2),MIN(MaxMultiple,Xm/(1-RAND())^(1/Alpha)))))</f>
        <v>1.2435640756512072</v>
      </c>
      <c r="H411" s="19">
        <f ca="1">IF(RAND()&lt;P_Zero,0,IF(RAND()&lt;CondReturn,_xlfn.LOGNORM.INV(RAND(),MV2,Sigma1),IF(RAND()&lt;CondGood,_xlfn.LOGNORM.INV(RAND(),MV3,Sigma2),MIN(MaxMultiple,Xm/(1-RAND())^(1/Alpha)))))</f>
        <v>0.82055048759343829</v>
      </c>
      <c r="I411" s="19">
        <f ca="1">IF(RAND()&lt;P_Zero,0,IF(RAND()&lt;CondReturn,_xlfn.LOGNORM.INV(RAND(),MV2,Sigma1),IF(RAND()&lt;CondGood,_xlfn.LOGNORM.INV(RAND(),MV3,Sigma2),MIN(MaxMultiple,Xm/(1-RAND())^(1/Alpha)))))</f>
        <v>0.84616500201711109</v>
      </c>
      <c r="J411" s="19">
        <f ca="1">IF(RAND()&lt;P_Zero,0,IF(RAND()&lt;CondReturn,_xlfn.LOGNORM.INV(RAND(),MV2,Sigma1),IF(RAND()&lt;CondGood,_xlfn.LOGNORM.INV(RAND(),MV3,Sigma2),MIN(MaxMultiple,Xm/(1-RAND())^(1/Alpha)))))</f>
        <v>2.5179408957582083</v>
      </c>
      <c r="K411" s="19">
        <f ca="1">IF(RAND()&lt;P_Zero,0,IF(RAND()&lt;CondReturn,_xlfn.LOGNORM.INV(RAND(),MV2,Sigma1),IF(RAND()&lt;CondGood,_xlfn.LOGNORM.INV(RAND(),MV3,Sigma2),MIN(MaxMultiple,Xm/(1-RAND())^(1/Alpha)))))</f>
        <v>0.93684480710102747</v>
      </c>
      <c r="L411" s="19">
        <f ca="1">IF(RAND()&lt;P_Zero,0,IF(RAND()&lt;CondReturn,_xlfn.LOGNORM.INV(RAND(),MV2,Sigma1),IF(RAND()&lt;CondGood,_xlfn.LOGNORM.INV(RAND(),MV3,Sigma2),MIN(MaxMultiple,Xm/(1-RAND())^(1/Alpha)))))</f>
        <v>0</v>
      </c>
      <c r="M411" s="19">
        <f ca="1">IF(RAND()&lt;P_Zero,0,IF(RAND()&lt;CondReturn,_xlfn.LOGNORM.INV(RAND(),MV2,Sigma1),IF(RAND()&lt;CondGood,_xlfn.LOGNORM.INV(RAND(),MV3,Sigma2),MIN(MaxMultiple,Xm/(1-RAND())^(1/Alpha)))))</f>
        <v>0.53235431388519072</v>
      </c>
      <c r="N411" s="19">
        <f ca="1">IF(RAND()&lt;P_Zero,0,IF(RAND()&lt;CondReturn,_xlfn.LOGNORM.INV(RAND(),MV2,Sigma1),IF(RAND()&lt;CondGood,_xlfn.LOGNORM.INV(RAND(),MV3,Sigma2),MIN(MaxMultiple,Xm/(1-RAND())^(1/Alpha)))))</f>
        <v>0</v>
      </c>
      <c r="O411" s="19">
        <f ca="1">IF(RAND()&lt;P_Zero,0,IF(RAND()&lt;CondReturn,_xlfn.LOGNORM.INV(RAND(),MV2,Sigma1),IF(RAND()&lt;CondGood,_xlfn.LOGNORM.INV(RAND(),MV3,Sigma2),MIN(MaxMultiple,Xm/(1-RAND())^(1/Alpha)))))</f>
        <v>0</v>
      </c>
      <c r="P411" s="19">
        <f ca="1">IF(RAND()&lt;P_Zero,0,IF(RAND()&lt;CondReturn,_xlfn.LOGNORM.INV(RAND(),MV2,Sigma1),IF(RAND()&lt;CondGood,_xlfn.LOGNORM.INV(RAND(),MV3,Sigma2),MIN(MaxMultiple,Xm/(1-RAND())^(1/Alpha)))))</f>
        <v>0</v>
      </c>
      <c r="Q411" s="19">
        <f ca="1">IF(RAND()&lt;P_Zero,0,IF(RAND()&lt;CondReturn,_xlfn.LOGNORM.INV(RAND(),MV2,Sigma1),IF(RAND()&lt;CondGood,_xlfn.LOGNORM.INV(RAND(),MV3,Sigma2),MIN(MaxMultiple,Xm/(1-RAND())^(1/Alpha)))))</f>
        <v>55.213857573903411</v>
      </c>
      <c r="R411" s="19">
        <f ca="1">IF(RAND()&lt;P_Zero,0,IF(RAND()&lt;CondReturn,_xlfn.LOGNORM.INV(RAND(),MV2,Sigma1),IF(RAND()&lt;CondGood,_xlfn.LOGNORM.INV(RAND(),MV3,Sigma2),MIN(MaxMultiple,Xm/(1-RAND())^(1/Alpha)))))</f>
        <v>0.7120344230134199</v>
      </c>
      <c r="S411" s="19">
        <f ca="1">IF(RAND()&lt;P_Zero,0,IF(RAND()&lt;CondReturn,_xlfn.LOGNORM.INV(RAND(),MV2,Sigma1),IF(RAND()&lt;CondGood,_xlfn.LOGNORM.INV(RAND(),MV3,Sigma2),MIN(MaxMultiple,Xm/(1-RAND())^(1/Alpha)))))</f>
        <v>0</v>
      </c>
      <c r="T411" s="19">
        <f ca="1">IF(RAND()&lt;P_Zero,0,IF(RAND()&lt;CondReturn,_xlfn.LOGNORM.INV(RAND(),MV2,Sigma1),IF(RAND()&lt;CondGood,_xlfn.LOGNORM.INV(RAND(),MV3,Sigma2),MIN(MaxMultiple,Xm/(1-RAND())^(1/Alpha)))))</f>
        <v>0</v>
      </c>
      <c r="U411" s="19">
        <f ca="1">IF(RAND()&lt;P_Zero,0,IF(RAND()&lt;CondReturn,_xlfn.LOGNORM.INV(RAND(),MV2,Sigma1),IF(RAND()&lt;CondGood,_xlfn.LOGNORM.INV(RAND(),MV3,Sigma2),MIN(MaxMultiple,Xm/(1-RAND())^(1/Alpha)))))</f>
        <v>0</v>
      </c>
      <c r="V411" s="19">
        <f ca="1">IF(RAND()&lt;P_Zero,0,IF(RAND()&lt;CondReturn,_xlfn.LOGNORM.INV(RAND(),MV2,Sigma1),IF(RAND()&lt;CondGood,_xlfn.LOGNORM.INV(RAND(),MV3,Sigma2),MIN(MaxMultiple,Xm/(1-RAND())^(1/Alpha)))))</f>
        <v>0</v>
      </c>
      <c r="W411" s="19">
        <f ca="1">IF(RAND()&lt;P_Zero,0,IF(RAND()&lt;CondReturn,_xlfn.LOGNORM.INV(RAND(),MV2,Sigma1),IF(RAND()&lt;CondGood,_xlfn.LOGNORM.INV(RAND(),MV3,Sigma2),MIN(MaxMultiple,Xm/(1-RAND())^(1/Alpha)))))</f>
        <v>0.65360306065927853</v>
      </c>
      <c r="X411" s="19">
        <f ca="1">IF(RAND()&lt;P_Zero,0,IF(RAND()&lt;CondReturn,_xlfn.LOGNORM.INV(RAND(),MV2,Sigma1),IF(RAND()&lt;CondGood,_xlfn.LOGNORM.INV(RAND(),MV3,Sigma2),MIN(MaxMultiple,Xm/(1-RAND())^(1/Alpha)))))</f>
        <v>0</v>
      </c>
      <c r="Y411" s="19">
        <f ca="1">IF(RAND()&lt;P_Zero,0,IF(RAND()&lt;CondReturn,_xlfn.LOGNORM.INV(RAND(),MV2,Sigma1),IF(RAND()&lt;CondGood,_xlfn.LOGNORM.INV(RAND(),MV3,Sigma2),MIN(MaxMultiple,Xm/(1-RAND())^(1/Alpha)))))</f>
        <v>2.3733001722131579</v>
      </c>
      <c r="Z411" s="19">
        <f ca="1">IF(RAND()&lt;P_Zero,0,IF(RAND()&lt;CondReturn,_xlfn.LOGNORM.INV(RAND(),MV2,Sigma1),IF(RAND()&lt;CondGood,_xlfn.LOGNORM.INV(RAND(),MV3,Sigma2),MIN(MaxMultiple,Xm/(1-RAND())^(1/Alpha)))))</f>
        <v>1.3786875878913454</v>
      </c>
      <c r="AA411" s="19">
        <f ca="1">IF(RAND()&lt;P_Zero,0,IF(RAND()&lt;CondReturn,_xlfn.LOGNORM.INV(RAND(),MV2,Sigma1),IF(RAND()&lt;CondGood,_xlfn.LOGNORM.INV(RAND(),MV3,Sigma2),MIN(MaxMultiple,Xm/(1-RAND())^(1/Alpha)))))</f>
        <v>0</v>
      </c>
      <c r="AB411" s="19">
        <f t="shared" ca="1" si="48"/>
        <v>2.7948274834797728</v>
      </c>
      <c r="AC411" s="14">
        <f t="shared" ca="1" si="49"/>
        <v>134151719.20702909</v>
      </c>
      <c r="AD411" s="14">
        <f t="shared" ca="1" si="50"/>
        <v>86151719.207029089</v>
      </c>
      <c r="AE411" s="14">
        <f t="shared" si="51"/>
        <v>55628399.869093813</v>
      </c>
      <c r="AF411" s="14">
        <f t="shared" ca="1" si="52"/>
        <v>30523319.337935276</v>
      </c>
      <c r="AG411" s="14">
        <f t="shared" ca="1" si="53"/>
        <v>6104663.867587056</v>
      </c>
      <c r="AH411" s="14">
        <f t="shared" ca="1" si="54"/>
        <v>128047055.33944203</v>
      </c>
      <c r="AI411" s="19">
        <f t="shared" ca="1" si="55"/>
        <v>2.1341175889907005</v>
      </c>
    </row>
    <row r="412" spans="2:35" x14ac:dyDescent="0.2">
      <c r="B412" s="1">
        <v>407</v>
      </c>
      <c r="C412" s="19">
        <f ca="1">IF(RAND()&lt;P_Zero,0,IF(RAND()&lt;CondReturn,_xlfn.LOGNORM.INV(RAND(),MV2,Sigma1),IF(RAND()&lt;CondGood,_xlfn.LOGNORM.INV(RAND(),MV3,Sigma2),MIN(MaxMultiple,Xm/(1-RAND())^(1/Alpha)))))</f>
        <v>0</v>
      </c>
      <c r="D412" s="19">
        <f ca="1">IF(RAND()&lt;P_Zero,0,IF(RAND()&lt;CondReturn,_xlfn.LOGNORM.INV(RAND(),MV2,Sigma1),IF(RAND()&lt;CondGood,_xlfn.LOGNORM.INV(RAND(),MV3,Sigma2),MIN(MaxMultiple,Xm/(1-RAND())^(1/Alpha)))))</f>
        <v>0.54073252403902494</v>
      </c>
      <c r="E412" s="19">
        <f ca="1">IF(RAND()&lt;P_Zero,0,IF(RAND()&lt;CondReturn,_xlfn.LOGNORM.INV(RAND(),MV2,Sigma1),IF(RAND()&lt;CondGood,_xlfn.LOGNORM.INV(RAND(),MV3,Sigma2),MIN(MaxMultiple,Xm/(1-RAND())^(1/Alpha)))))</f>
        <v>1.0294538162066706</v>
      </c>
      <c r="F412" s="19">
        <f ca="1">IF(RAND()&lt;P_Zero,0,IF(RAND()&lt;CondReturn,_xlfn.LOGNORM.INV(RAND(),MV2,Sigma1),IF(RAND()&lt;CondGood,_xlfn.LOGNORM.INV(RAND(),MV3,Sigma2),MIN(MaxMultiple,Xm/(1-RAND())^(1/Alpha)))))</f>
        <v>46.006561557299037</v>
      </c>
      <c r="G412" s="19">
        <f ca="1">IF(RAND()&lt;P_Zero,0,IF(RAND()&lt;CondReturn,_xlfn.LOGNORM.INV(RAND(),MV2,Sigma1),IF(RAND()&lt;CondGood,_xlfn.LOGNORM.INV(RAND(),MV3,Sigma2),MIN(MaxMultiple,Xm/(1-RAND())^(1/Alpha)))))</f>
        <v>0.67286109449986164</v>
      </c>
      <c r="H412" s="19">
        <f ca="1">IF(RAND()&lt;P_Zero,0,IF(RAND()&lt;CondReturn,_xlfn.LOGNORM.INV(RAND(),MV2,Sigma1),IF(RAND()&lt;CondGood,_xlfn.LOGNORM.INV(RAND(),MV3,Sigma2),MIN(MaxMultiple,Xm/(1-RAND())^(1/Alpha)))))</f>
        <v>1.0988287981955478</v>
      </c>
      <c r="I412" s="19">
        <f ca="1">IF(RAND()&lt;P_Zero,0,IF(RAND()&lt;CondReturn,_xlfn.LOGNORM.INV(RAND(),MV2,Sigma1),IF(RAND()&lt;CondGood,_xlfn.LOGNORM.INV(RAND(),MV3,Sigma2),MIN(MaxMultiple,Xm/(1-RAND())^(1/Alpha)))))</f>
        <v>0.50241345487120315</v>
      </c>
      <c r="J412" s="19">
        <f ca="1">IF(RAND()&lt;P_Zero,0,IF(RAND()&lt;CondReturn,_xlfn.LOGNORM.INV(RAND(),MV2,Sigma1),IF(RAND()&lt;CondGood,_xlfn.LOGNORM.INV(RAND(),MV3,Sigma2),MIN(MaxMultiple,Xm/(1-RAND())^(1/Alpha)))))</f>
        <v>0.40199035351781548</v>
      </c>
      <c r="K412" s="19">
        <f ca="1">IF(RAND()&lt;P_Zero,0,IF(RAND()&lt;CondReturn,_xlfn.LOGNORM.INV(RAND(),MV2,Sigma1),IF(RAND()&lt;CondGood,_xlfn.LOGNORM.INV(RAND(),MV3,Sigma2),MIN(MaxMultiple,Xm/(1-RAND())^(1/Alpha)))))</f>
        <v>1.6377706048320897</v>
      </c>
      <c r="L412" s="19">
        <f ca="1">IF(RAND()&lt;P_Zero,0,IF(RAND()&lt;CondReturn,_xlfn.LOGNORM.INV(RAND(),MV2,Sigma1),IF(RAND()&lt;CondGood,_xlfn.LOGNORM.INV(RAND(),MV3,Sigma2),MIN(MaxMultiple,Xm/(1-RAND())^(1/Alpha)))))</f>
        <v>0</v>
      </c>
      <c r="M412" s="19">
        <f ca="1">IF(RAND()&lt;P_Zero,0,IF(RAND()&lt;CondReturn,_xlfn.LOGNORM.INV(RAND(),MV2,Sigma1),IF(RAND()&lt;CondGood,_xlfn.LOGNORM.INV(RAND(),MV3,Sigma2),MIN(MaxMultiple,Xm/(1-RAND())^(1/Alpha)))))</f>
        <v>0</v>
      </c>
      <c r="N412" s="19">
        <f ca="1">IF(RAND()&lt;P_Zero,0,IF(RAND()&lt;CondReturn,_xlfn.LOGNORM.INV(RAND(),MV2,Sigma1),IF(RAND()&lt;CondGood,_xlfn.LOGNORM.INV(RAND(),MV3,Sigma2),MIN(MaxMultiple,Xm/(1-RAND())^(1/Alpha)))))</f>
        <v>0</v>
      </c>
      <c r="O412" s="19">
        <f ca="1">IF(RAND()&lt;P_Zero,0,IF(RAND()&lt;CondReturn,_xlfn.LOGNORM.INV(RAND(),MV2,Sigma1),IF(RAND()&lt;CondGood,_xlfn.LOGNORM.INV(RAND(),MV3,Sigma2),MIN(MaxMultiple,Xm/(1-RAND())^(1/Alpha)))))</f>
        <v>1.6850252462253221</v>
      </c>
      <c r="P412" s="19">
        <f ca="1">IF(RAND()&lt;P_Zero,0,IF(RAND()&lt;CondReturn,_xlfn.LOGNORM.INV(RAND(),MV2,Sigma1),IF(RAND()&lt;CondGood,_xlfn.LOGNORM.INV(RAND(),MV3,Sigma2),MIN(MaxMultiple,Xm/(1-RAND())^(1/Alpha)))))</f>
        <v>0</v>
      </c>
      <c r="Q412" s="19">
        <f ca="1">IF(RAND()&lt;P_Zero,0,IF(RAND()&lt;CondReturn,_xlfn.LOGNORM.INV(RAND(),MV2,Sigma1),IF(RAND()&lt;CondGood,_xlfn.LOGNORM.INV(RAND(),MV3,Sigma2),MIN(MaxMultiple,Xm/(1-RAND())^(1/Alpha)))))</f>
        <v>0</v>
      </c>
      <c r="R412" s="19">
        <f ca="1">IF(RAND()&lt;P_Zero,0,IF(RAND()&lt;CondReturn,_xlfn.LOGNORM.INV(RAND(),MV2,Sigma1),IF(RAND()&lt;CondGood,_xlfn.LOGNORM.INV(RAND(),MV3,Sigma2),MIN(MaxMultiple,Xm/(1-RAND())^(1/Alpha)))))</f>
        <v>0</v>
      </c>
      <c r="S412" s="19">
        <f ca="1">IF(RAND()&lt;P_Zero,0,IF(RAND()&lt;CondReturn,_xlfn.LOGNORM.INV(RAND(),MV2,Sigma1),IF(RAND()&lt;CondGood,_xlfn.LOGNORM.INV(RAND(),MV3,Sigma2),MIN(MaxMultiple,Xm/(1-RAND())^(1/Alpha)))))</f>
        <v>0.70869388205929984</v>
      </c>
      <c r="T412" s="19">
        <f ca="1">IF(RAND()&lt;P_Zero,0,IF(RAND()&lt;CondReturn,_xlfn.LOGNORM.INV(RAND(),MV2,Sigma1),IF(RAND()&lt;CondGood,_xlfn.LOGNORM.INV(RAND(),MV3,Sigma2),MIN(MaxMultiple,Xm/(1-RAND())^(1/Alpha)))))</f>
        <v>0</v>
      </c>
      <c r="U412" s="19">
        <f ca="1">IF(RAND()&lt;P_Zero,0,IF(RAND()&lt;CondReturn,_xlfn.LOGNORM.INV(RAND(),MV2,Sigma1),IF(RAND()&lt;CondGood,_xlfn.LOGNORM.INV(RAND(),MV3,Sigma2),MIN(MaxMultiple,Xm/(1-RAND())^(1/Alpha)))))</f>
        <v>0.84523290612393542</v>
      </c>
      <c r="V412" s="19">
        <f ca="1">IF(RAND()&lt;P_Zero,0,IF(RAND()&lt;CondReturn,_xlfn.LOGNORM.INV(RAND(),MV2,Sigma1),IF(RAND()&lt;CondGood,_xlfn.LOGNORM.INV(RAND(),MV3,Sigma2),MIN(MaxMultiple,Xm/(1-RAND())^(1/Alpha)))))</f>
        <v>0</v>
      </c>
      <c r="W412" s="19">
        <f ca="1">IF(RAND()&lt;P_Zero,0,IF(RAND()&lt;CondReturn,_xlfn.LOGNORM.INV(RAND(),MV2,Sigma1),IF(RAND()&lt;CondGood,_xlfn.LOGNORM.INV(RAND(),MV3,Sigma2),MIN(MaxMultiple,Xm/(1-RAND())^(1/Alpha)))))</f>
        <v>0.41603961121237226</v>
      </c>
      <c r="X412" s="19">
        <f ca="1">IF(RAND()&lt;P_Zero,0,IF(RAND()&lt;CondReturn,_xlfn.LOGNORM.INV(RAND(),MV2,Sigma1),IF(RAND()&lt;CondGood,_xlfn.LOGNORM.INV(RAND(),MV3,Sigma2),MIN(MaxMultiple,Xm/(1-RAND())^(1/Alpha)))))</f>
        <v>0</v>
      </c>
      <c r="Y412" s="19">
        <f ca="1">IF(RAND()&lt;P_Zero,0,IF(RAND()&lt;CondReturn,_xlfn.LOGNORM.INV(RAND(),MV2,Sigma1),IF(RAND()&lt;CondGood,_xlfn.LOGNORM.INV(RAND(),MV3,Sigma2),MIN(MaxMultiple,Xm/(1-RAND())^(1/Alpha)))))</f>
        <v>1.0192563450590637</v>
      </c>
      <c r="Z412" s="19">
        <f ca="1">IF(RAND()&lt;P_Zero,0,IF(RAND()&lt;CondReturn,_xlfn.LOGNORM.INV(RAND(),MV2,Sigma1),IF(RAND()&lt;CondGood,_xlfn.LOGNORM.INV(RAND(),MV3,Sigma2),MIN(MaxMultiple,Xm/(1-RAND())^(1/Alpha)))))</f>
        <v>0.95476067177656132</v>
      </c>
      <c r="AA412" s="19">
        <f ca="1">IF(RAND()&lt;P_Zero,0,IF(RAND()&lt;CondReturn,_xlfn.LOGNORM.INV(RAND(),MV2,Sigma1),IF(RAND()&lt;CondGood,_xlfn.LOGNORM.INV(RAND(),MV3,Sigma2),MIN(MaxMultiple,Xm/(1-RAND())^(1/Alpha)))))</f>
        <v>1.2277218833225498</v>
      </c>
      <c r="AB412" s="19">
        <f t="shared" ca="1" si="48"/>
        <v>2.3498937099696144</v>
      </c>
      <c r="AC412" s="14">
        <f t="shared" ca="1" si="49"/>
        <v>112794898.07854149</v>
      </c>
      <c r="AD412" s="14">
        <f t="shared" ca="1" si="50"/>
        <v>64794898.078541487</v>
      </c>
      <c r="AE412" s="14">
        <f t="shared" si="51"/>
        <v>55628399.869093813</v>
      </c>
      <c r="AF412" s="14">
        <f t="shared" ca="1" si="52"/>
        <v>9166498.2094476745</v>
      </c>
      <c r="AG412" s="14">
        <f t="shared" ca="1" si="53"/>
        <v>1833299.6418895349</v>
      </c>
      <c r="AH412" s="14">
        <f t="shared" ca="1" si="54"/>
        <v>110961598.43665195</v>
      </c>
      <c r="AI412" s="19">
        <f t="shared" ca="1" si="55"/>
        <v>1.849359973944199</v>
      </c>
    </row>
    <row r="413" spans="2:35" x14ac:dyDescent="0.2">
      <c r="B413" s="1">
        <v>408</v>
      </c>
      <c r="C413" s="19">
        <f ca="1">IF(RAND()&lt;P_Zero,0,IF(RAND()&lt;CondReturn,_xlfn.LOGNORM.INV(RAND(),MV2,Sigma1),IF(RAND()&lt;CondGood,_xlfn.LOGNORM.INV(RAND(),MV3,Sigma2),MIN(MaxMultiple,Xm/(1-RAND())^(1/Alpha)))))</f>
        <v>1.1457835849035896</v>
      </c>
      <c r="D413" s="19">
        <f ca="1">IF(RAND()&lt;P_Zero,0,IF(RAND()&lt;CondReturn,_xlfn.LOGNORM.INV(RAND(),MV2,Sigma1),IF(RAND()&lt;CondGood,_xlfn.LOGNORM.INV(RAND(),MV3,Sigma2),MIN(MaxMultiple,Xm/(1-RAND())^(1/Alpha)))))</f>
        <v>0.45730571506381534</v>
      </c>
      <c r="E413" s="19">
        <f ca="1">IF(RAND()&lt;P_Zero,0,IF(RAND()&lt;CondReturn,_xlfn.LOGNORM.INV(RAND(),MV2,Sigma1),IF(RAND()&lt;CondGood,_xlfn.LOGNORM.INV(RAND(),MV3,Sigma2),MIN(MaxMultiple,Xm/(1-RAND())^(1/Alpha)))))</f>
        <v>0.61361315965025909</v>
      </c>
      <c r="F413" s="19">
        <f ca="1">IF(RAND()&lt;P_Zero,0,IF(RAND()&lt;CondReturn,_xlfn.LOGNORM.INV(RAND(),MV2,Sigma1),IF(RAND()&lt;CondGood,_xlfn.LOGNORM.INV(RAND(),MV3,Sigma2),MIN(MaxMultiple,Xm/(1-RAND())^(1/Alpha)))))</f>
        <v>1.8130132064114355</v>
      </c>
      <c r="G413" s="19">
        <f ca="1">IF(RAND()&lt;P_Zero,0,IF(RAND()&lt;CondReturn,_xlfn.LOGNORM.INV(RAND(),MV2,Sigma1),IF(RAND()&lt;CondGood,_xlfn.LOGNORM.INV(RAND(),MV3,Sigma2),MIN(MaxMultiple,Xm/(1-RAND())^(1/Alpha)))))</f>
        <v>20.872884428509373</v>
      </c>
      <c r="H413" s="19">
        <f ca="1">IF(RAND()&lt;P_Zero,0,IF(RAND()&lt;CondReturn,_xlfn.LOGNORM.INV(RAND(),MV2,Sigma1),IF(RAND()&lt;CondGood,_xlfn.LOGNORM.INV(RAND(),MV3,Sigma2),MIN(MaxMultiple,Xm/(1-RAND())^(1/Alpha)))))</f>
        <v>1.5121156501443405</v>
      </c>
      <c r="I413" s="19">
        <f ca="1">IF(RAND()&lt;P_Zero,0,IF(RAND()&lt;CondReturn,_xlfn.LOGNORM.INV(RAND(),MV2,Sigma1),IF(RAND()&lt;CondGood,_xlfn.LOGNORM.INV(RAND(),MV3,Sigma2),MIN(MaxMultiple,Xm/(1-RAND())^(1/Alpha)))))</f>
        <v>1.3844661638722779</v>
      </c>
      <c r="J413" s="19">
        <f ca="1">IF(RAND()&lt;P_Zero,0,IF(RAND()&lt;CondReturn,_xlfn.LOGNORM.INV(RAND(),MV2,Sigma1),IF(RAND()&lt;CondGood,_xlfn.LOGNORM.INV(RAND(),MV3,Sigma2),MIN(MaxMultiple,Xm/(1-RAND())^(1/Alpha)))))</f>
        <v>2.1111231673399486</v>
      </c>
      <c r="K413" s="19">
        <f ca="1">IF(RAND()&lt;P_Zero,0,IF(RAND()&lt;CondReturn,_xlfn.LOGNORM.INV(RAND(),MV2,Sigma1),IF(RAND()&lt;CondGood,_xlfn.LOGNORM.INV(RAND(),MV3,Sigma2),MIN(MaxMultiple,Xm/(1-RAND())^(1/Alpha)))))</f>
        <v>0</v>
      </c>
      <c r="L413" s="19">
        <f ca="1">IF(RAND()&lt;P_Zero,0,IF(RAND()&lt;CondReturn,_xlfn.LOGNORM.INV(RAND(),MV2,Sigma1),IF(RAND()&lt;CondGood,_xlfn.LOGNORM.INV(RAND(),MV3,Sigma2),MIN(MaxMultiple,Xm/(1-RAND())^(1/Alpha)))))</f>
        <v>0</v>
      </c>
      <c r="M413" s="19">
        <f ca="1">IF(RAND()&lt;P_Zero,0,IF(RAND()&lt;CondReturn,_xlfn.LOGNORM.INV(RAND(),MV2,Sigma1),IF(RAND()&lt;CondGood,_xlfn.LOGNORM.INV(RAND(),MV3,Sigma2),MIN(MaxMultiple,Xm/(1-RAND())^(1/Alpha)))))</f>
        <v>0</v>
      </c>
      <c r="N413" s="19">
        <f ca="1">IF(RAND()&lt;P_Zero,0,IF(RAND()&lt;CondReturn,_xlfn.LOGNORM.INV(RAND(),MV2,Sigma1),IF(RAND()&lt;CondGood,_xlfn.LOGNORM.INV(RAND(),MV3,Sigma2),MIN(MaxMultiple,Xm/(1-RAND())^(1/Alpha)))))</f>
        <v>0</v>
      </c>
      <c r="O413" s="19">
        <f ca="1">IF(RAND()&lt;P_Zero,0,IF(RAND()&lt;CondReturn,_xlfn.LOGNORM.INV(RAND(),MV2,Sigma1),IF(RAND()&lt;CondGood,_xlfn.LOGNORM.INV(RAND(),MV3,Sigma2),MIN(MaxMultiple,Xm/(1-RAND())^(1/Alpha)))))</f>
        <v>0</v>
      </c>
      <c r="P413" s="19">
        <f ca="1">IF(RAND()&lt;P_Zero,0,IF(RAND()&lt;CondReturn,_xlfn.LOGNORM.INV(RAND(),MV2,Sigma1),IF(RAND()&lt;CondGood,_xlfn.LOGNORM.INV(RAND(),MV3,Sigma2),MIN(MaxMultiple,Xm/(1-RAND())^(1/Alpha)))))</f>
        <v>2.0230708833055342</v>
      </c>
      <c r="Q413" s="19">
        <f ca="1">IF(RAND()&lt;P_Zero,0,IF(RAND()&lt;CondReturn,_xlfn.LOGNORM.INV(RAND(),MV2,Sigma1),IF(RAND()&lt;CondGood,_xlfn.LOGNORM.INV(RAND(),MV3,Sigma2),MIN(MaxMultiple,Xm/(1-RAND())^(1/Alpha)))))</f>
        <v>0</v>
      </c>
      <c r="R413" s="19">
        <f ca="1">IF(RAND()&lt;P_Zero,0,IF(RAND()&lt;CondReturn,_xlfn.LOGNORM.INV(RAND(),MV2,Sigma1),IF(RAND()&lt;CondGood,_xlfn.LOGNORM.INV(RAND(),MV3,Sigma2),MIN(MaxMultiple,Xm/(1-RAND())^(1/Alpha)))))</f>
        <v>0</v>
      </c>
      <c r="S413" s="19">
        <f ca="1">IF(RAND()&lt;P_Zero,0,IF(RAND()&lt;CondReturn,_xlfn.LOGNORM.INV(RAND(),MV2,Sigma1),IF(RAND()&lt;CondGood,_xlfn.LOGNORM.INV(RAND(),MV3,Sigma2),MIN(MaxMultiple,Xm/(1-RAND())^(1/Alpha)))))</f>
        <v>1.2342454459644163</v>
      </c>
      <c r="T413" s="19">
        <f ca="1">IF(RAND()&lt;P_Zero,0,IF(RAND()&lt;CondReturn,_xlfn.LOGNORM.INV(RAND(),MV2,Sigma1),IF(RAND()&lt;CondGood,_xlfn.LOGNORM.INV(RAND(),MV3,Sigma2),MIN(MaxMultiple,Xm/(1-RAND())^(1/Alpha)))))</f>
        <v>0</v>
      </c>
      <c r="U413" s="19">
        <f ca="1">IF(RAND()&lt;P_Zero,0,IF(RAND()&lt;CondReturn,_xlfn.LOGNORM.INV(RAND(),MV2,Sigma1),IF(RAND()&lt;CondGood,_xlfn.LOGNORM.INV(RAND(),MV3,Sigma2),MIN(MaxMultiple,Xm/(1-RAND())^(1/Alpha)))))</f>
        <v>0.45495509434652409</v>
      </c>
      <c r="V413" s="19">
        <f ca="1">IF(RAND()&lt;P_Zero,0,IF(RAND()&lt;CondReturn,_xlfn.LOGNORM.INV(RAND(),MV2,Sigma1),IF(RAND()&lt;CondGood,_xlfn.LOGNORM.INV(RAND(),MV3,Sigma2),MIN(MaxMultiple,Xm/(1-RAND())^(1/Alpha)))))</f>
        <v>1.0342725412364833</v>
      </c>
      <c r="W413" s="19">
        <f ca="1">IF(RAND()&lt;P_Zero,0,IF(RAND()&lt;CondReturn,_xlfn.LOGNORM.INV(RAND(),MV2,Sigma1),IF(RAND()&lt;CondGood,_xlfn.LOGNORM.INV(RAND(),MV3,Sigma2),MIN(MaxMultiple,Xm/(1-RAND())^(1/Alpha)))))</f>
        <v>0</v>
      </c>
      <c r="X413" s="19">
        <f ca="1">IF(RAND()&lt;P_Zero,0,IF(RAND()&lt;CondReturn,_xlfn.LOGNORM.INV(RAND(),MV2,Sigma1),IF(RAND()&lt;CondGood,_xlfn.LOGNORM.INV(RAND(),MV3,Sigma2),MIN(MaxMultiple,Xm/(1-RAND())^(1/Alpha)))))</f>
        <v>0</v>
      </c>
      <c r="Y413" s="19">
        <f ca="1">IF(RAND()&lt;P_Zero,0,IF(RAND()&lt;CondReturn,_xlfn.LOGNORM.INV(RAND(),MV2,Sigma1),IF(RAND()&lt;CondGood,_xlfn.LOGNORM.INV(RAND(),MV3,Sigma2),MIN(MaxMultiple,Xm/(1-RAND())^(1/Alpha)))))</f>
        <v>1.1042264191049633</v>
      </c>
      <c r="Z413" s="19">
        <f ca="1">IF(RAND()&lt;P_Zero,0,IF(RAND()&lt;CondReturn,_xlfn.LOGNORM.INV(RAND(),MV2,Sigma1),IF(RAND()&lt;CondGood,_xlfn.LOGNORM.INV(RAND(),MV3,Sigma2),MIN(MaxMultiple,Xm/(1-RAND())^(1/Alpha)))))</f>
        <v>1.3669682206116789</v>
      </c>
      <c r="AA413" s="19">
        <f ca="1">IF(RAND()&lt;P_Zero,0,IF(RAND()&lt;CondReturn,_xlfn.LOGNORM.INV(RAND(),MV2,Sigma1),IF(RAND()&lt;CondGood,_xlfn.LOGNORM.INV(RAND(),MV3,Sigma2),MIN(MaxMultiple,Xm/(1-RAND())^(1/Alpha)))))</f>
        <v>1.5070743054065912</v>
      </c>
      <c r="AB413" s="19">
        <f t="shared" ca="1" si="48"/>
        <v>1.5454047194348492</v>
      </c>
      <c r="AC413" s="14">
        <f t="shared" ca="1" si="49"/>
        <v>74179426.532872766</v>
      </c>
      <c r="AD413" s="14">
        <f t="shared" ca="1" si="50"/>
        <v>26179426.532872766</v>
      </c>
      <c r="AE413" s="14">
        <f t="shared" si="51"/>
        <v>55628399.869093813</v>
      </c>
      <c r="AF413" s="14">
        <f t="shared" ca="1" si="52"/>
        <v>0</v>
      </c>
      <c r="AG413" s="14">
        <f t="shared" ca="1" si="53"/>
        <v>0</v>
      </c>
      <c r="AH413" s="14">
        <f t="shared" ca="1" si="54"/>
        <v>74179426.532872766</v>
      </c>
      <c r="AI413" s="19">
        <f t="shared" ca="1" si="55"/>
        <v>1.2363237755478795</v>
      </c>
    </row>
    <row r="414" spans="2:35" x14ac:dyDescent="0.2">
      <c r="B414" s="1">
        <v>409</v>
      </c>
      <c r="C414" s="19">
        <f ca="1">IF(RAND()&lt;P_Zero,0,IF(RAND()&lt;CondReturn,_xlfn.LOGNORM.INV(RAND(),MV2,Sigma1),IF(RAND()&lt;CondGood,_xlfn.LOGNORM.INV(RAND(),MV3,Sigma2),MIN(MaxMultiple,Xm/(1-RAND())^(1/Alpha)))))</f>
        <v>0</v>
      </c>
      <c r="D414" s="19">
        <f ca="1">IF(RAND()&lt;P_Zero,0,IF(RAND()&lt;CondReturn,_xlfn.LOGNORM.INV(RAND(),MV2,Sigma1),IF(RAND()&lt;CondGood,_xlfn.LOGNORM.INV(RAND(),MV3,Sigma2),MIN(MaxMultiple,Xm/(1-RAND())^(1/Alpha)))))</f>
        <v>0</v>
      </c>
      <c r="E414" s="19">
        <f ca="1">IF(RAND()&lt;P_Zero,0,IF(RAND()&lt;CondReturn,_xlfn.LOGNORM.INV(RAND(),MV2,Sigma1),IF(RAND()&lt;CondGood,_xlfn.LOGNORM.INV(RAND(),MV3,Sigma2),MIN(MaxMultiple,Xm/(1-RAND())^(1/Alpha)))))</f>
        <v>0</v>
      </c>
      <c r="F414" s="19">
        <f ca="1">IF(RAND()&lt;P_Zero,0,IF(RAND()&lt;CondReturn,_xlfn.LOGNORM.INV(RAND(),MV2,Sigma1),IF(RAND()&lt;CondGood,_xlfn.LOGNORM.INV(RAND(),MV3,Sigma2),MIN(MaxMultiple,Xm/(1-RAND())^(1/Alpha)))))</f>
        <v>0.98376827294286895</v>
      </c>
      <c r="G414" s="19">
        <f ca="1">IF(RAND()&lt;P_Zero,0,IF(RAND()&lt;CondReturn,_xlfn.LOGNORM.INV(RAND(),MV2,Sigma1),IF(RAND()&lt;CondGood,_xlfn.LOGNORM.INV(RAND(),MV3,Sigma2),MIN(MaxMultiple,Xm/(1-RAND())^(1/Alpha)))))</f>
        <v>0.74718317900682729</v>
      </c>
      <c r="H414" s="19">
        <f ca="1">IF(RAND()&lt;P_Zero,0,IF(RAND()&lt;CondReturn,_xlfn.LOGNORM.INV(RAND(),MV2,Sigma1),IF(RAND()&lt;CondGood,_xlfn.LOGNORM.INV(RAND(),MV3,Sigma2),MIN(MaxMultiple,Xm/(1-RAND())^(1/Alpha)))))</f>
        <v>1.8175304604938767</v>
      </c>
      <c r="I414" s="19">
        <f ca="1">IF(RAND()&lt;P_Zero,0,IF(RAND()&lt;CondReturn,_xlfn.LOGNORM.INV(RAND(),MV2,Sigma1),IF(RAND()&lt;CondGood,_xlfn.LOGNORM.INV(RAND(),MV3,Sigma2),MIN(MaxMultiple,Xm/(1-RAND())^(1/Alpha)))))</f>
        <v>0.48499618084632173</v>
      </c>
      <c r="J414" s="19">
        <f ca="1">IF(RAND()&lt;P_Zero,0,IF(RAND()&lt;CondReturn,_xlfn.LOGNORM.INV(RAND(),MV2,Sigma1),IF(RAND()&lt;CondGood,_xlfn.LOGNORM.INV(RAND(),MV3,Sigma2),MIN(MaxMultiple,Xm/(1-RAND())^(1/Alpha)))))</f>
        <v>31.601889445821751</v>
      </c>
      <c r="K414" s="19">
        <f ca="1">IF(RAND()&lt;P_Zero,0,IF(RAND()&lt;CondReturn,_xlfn.LOGNORM.INV(RAND(),MV2,Sigma1),IF(RAND()&lt;CondGood,_xlfn.LOGNORM.INV(RAND(),MV3,Sigma2),MIN(MaxMultiple,Xm/(1-RAND())^(1/Alpha)))))</f>
        <v>0</v>
      </c>
      <c r="L414" s="19">
        <f ca="1">IF(RAND()&lt;P_Zero,0,IF(RAND()&lt;CondReturn,_xlfn.LOGNORM.INV(RAND(),MV2,Sigma1),IF(RAND()&lt;CondGood,_xlfn.LOGNORM.INV(RAND(),MV3,Sigma2),MIN(MaxMultiple,Xm/(1-RAND())^(1/Alpha)))))</f>
        <v>0</v>
      </c>
      <c r="M414" s="19">
        <f ca="1">IF(RAND()&lt;P_Zero,0,IF(RAND()&lt;CondReturn,_xlfn.LOGNORM.INV(RAND(),MV2,Sigma1),IF(RAND()&lt;CondGood,_xlfn.LOGNORM.INV(RAND(),MV3,Sigma2),MIN(MaxMultiple,Xm/(1-RAND())^(1/Alpha)))))</f>
        <v>0</v>
      </c>
      <c r="N414" s="19">
        <f ca="1">IF(RAND()&lt;P_Zero,0,IF(RAND()&lt;CondReturn,_xlfn.LOGNORM.INV(RAND(),MV2,Sigma1),IF(RAND()&lt;CondGood,_xlfn.LOGNORM.INV(RAND(),MV3,Sigma2),MIN(MaxMultiple,Xm/(1-RAND())^(1/Alpha)))))</f>
        <v>0</v>
      </c>
      <c r="O414" s="19">
        <f ca="1">IF(RAND()&lt;P_Zero,0,IF(RAND()&lt;CondReturn,_xlfn.LOGNORM.INV(RAND(),MV2,Sigma1),IF(RAND()&lt;CondGood,_xlfn.LOGNORM.INV(RAND(),MV3,Sigma2),MIN(MaxMultiple,Xm/(1-RAND())^(1/Alpha)))))</f>
        <v>1.687355971711457</v>
      </c>
      <c r="P414" s="19">
        <f ca="1">IF(RAND()&lt;P_Zero,0,IF(RAND()&lt;CondReturn,_xlfn.LOGNORM.INV(RAND(),MV2,Sigma1),IF(RAND()&lt;CondGood,_xlfn.LOGNORM.INV(RAND(),MV3,Sigma2),MIN(MaxMultiple,Xm/(1-RAND())^(1/Alpha)))))</f>
        <v>0.59525783697384949</v>
      </c>
      <c r="Q414" s="19">
        <f ca="1">IF(RAND()&lt;P_Zero,0,IF(RAND()&lt;CondReturn,_xlfn.LOGNORM.INV(RAND(),MV2,Sigma1),IF(RAND()&lt;CondGood,_xlfn.LOGNORM.INV(RAND(),MV3,Sigma2),MIN(MaxMultiple,Xm/(1-RAND())^(1/Alpha)))))</f>
        <v>0</v>
      </c>
      <c r="R414" s="19">
        <f ca="1">IF(RAND()&lt;P_Zero,0,IF(RAND()&lt;CondReturn,_xlfn.LOGNORM.INV(RAND(),MV2,Sigma1),IF(RAND()&lt;CondGood,_xlfn.LOGNORM.INV(RAND(),MV3,Sigma2),MIN(MaxMultiple,Xm/(1-RAND())^(1/Alpha)))))</f>
        <v>32.113271873756233</v>
      </c>
      <c r="S414" s="19">
        <f ca="1">IF(RAND()&lt;P_Zero,0,IF(RAND()&lt;CondReturn,_xlfn.LOGNORM.INV(RAND(),MV2,Sigma1),IF(RAND()&lt;CondGood,_xlfn.LOGNORM.INV(RAND(),MV3,Sigma2),MIN(MaxMultiple,Xm/(1-RAND())^(1/Alpha)))))</f>
        <v>1.1202061549108153</v>
      </c>
      <c r="T414" s="19">
        <f ca="1">IF(RAND()&lt;P_Zero,0,IF(RAND()&lt;CondReturn,_xlfn.LOGNORM.INV(RAND(),MV2,Sigma1),IF(RAND()&lt;CondGood,_xlfn.LOGNORM.INV(RAND(),MV3,Sigma2),MIN(MaxMultiple,Xm/(1-RAND())^(1/Alpha)))))</f>
        <v>1.8803196667715594</v>
      </c>
      <c r="U414" s="19">
        <f ca="1">IF(RAND()&lt;P_Zero,0,IF(RAND()&lt;CondReturn,_xlfn.LOGNORM.INV(RAND(),MV2,Sigma1),IF(RAND()&lt;CondGood,_xlfn.LOGNORM.INV(RAND(),MV3,Sigma2),MIN(MaxMultiple,Xm/(1-RAND())^(1/Alpha)))))</f>
        <v>10.033802667977939</v>
      </c>
      <c r="V414" s="19">
        <f ca="1">IF(RAND()&lt;P_Zero,0,IF(RAND()&lt;CondReturn,_xlfn.LOGNORM.INV(RAND(),MV2,Sigma1),IF(RAND()&lt;CondGood,_xlfn.LOGNORM.INV(RAND(),MV3,Sigma2),MIN(MaxMultiple,Xm/(1-RAND())^(1/Alpha)))))</f>
        <v>1.3054751788531835</v>
      </c>
      <c r="W414" s="19">
        <f ca="1">IF(RAND()&lt;P_Zero,0,IF(RAND()&lt;CondReturn,_xlfn.LOGNORM.INV(RAND(),MV2,Sigma1),IF(RAND()&lt;CondGood,_xlfn.LOGNORM.INV(RAND(),MV3,Sigma2),MIN(MaxMultiple,Xm/(1-RAND())^(1/Alpha)))))</f>
        <v>1.2299425451150343</v>
      </c>
      <c r="X414" s="19">
        <f ca="1">IF(RAND()&lt;P_Zero,0,IF(RAND()&lt;CondReturn,_xlfn.LOGNORM.INV(RAND(),MV2,Sigma1),IF(RAND()&lt;CondGood,_xlfn.LOGNORM.INV(RAND(),MV3,Sigma2),MIN(MaxMultiple,Xm/(1-RAND())^(1/Alpha)))))</f>
        <v>0</v>
      </c>
      <c r="Y414" s="19">
        <f ca="1">IF(RAND()&lt;P_Zero,0,IF(RAND()&lt;CondReturn,_xlfn.LOGNORM.INV(RAND(),MV2,Sigma1),IF(RAND()&lt;CondGood,_xlfn.LOGNORM.INV(RAND(),MV3,Sigma2),MIN(MaxMultiple,Xm/(1-RAND())^(1/Alpha)))))</f>
        <v>0</v>
      </c>
      <c r="Z414" s="19">
        <f ca="1">IF(RAND()&lt;P_Zero,0,IF(RAND()&lt;CondReturn,_xlfn.LOGNORM.INV(RAND(),MV2,Sigma1),IF(RAND()&lt;CondGood,_xlfn.LOGNORM.INV(RAND(),MV3,Sigma2),MIN(MaxMultiple,Xm/(1-RAND())^(1/Alpha)))))</f>
        <v>1.6063812049326054</v>
      </c>
      <c r="AA414" s="19">
        <f ca="1">IF(RAND()&lt;P_Zero,0,IF(RAND()&lt;CondReturn,_xlfn.LOGNORM.INV(RAND(),MV2,Sigma1),IF(RAND()&lt;CondGood,_xlfn.LOGNORM.INV(RAND(),MV3,Sigma2),MIN(MaxMultiple,Xm/(1-RAND())^(1/Alpha)))))</f>
        <v>0.55926251186231546</v>
      </c>
      <c r="AB414" s="19">
        <f t="shared" ca="1" si="48"/>
        <v>3.5106657260790657</v>
      </c>
      <c r="AC414" s="14">
        <f t="shared" ca="1" si="49"/>
        <v>168511954.85179517</v>
      </c>
      <c r="AD414" s="14">
        <f t="shared" ca="1" si="50"/>
        <v>120511954.85179517</v>
      </c>
      <c r="AE414" s="14">
        <f t="shared" si="51"/>
        <v>55628399.869093813</v>
      </c>
      <c r="AF414" s="14">
        <f t="shared" ca="1" si="52"/>
        <v>64883554.982701354</v>
      </c>
      <c r="AG414" s="14">
        <f t="shared" ca="1" si="53"/>
        <v>12976710.996540271</v>
      </c>
      <c r="AH414" s="14">
        <f t="shared" ca="1" si="54"/>
        <v>155535243.85525489</v>
      </c>
      <c r="AI414" s="19">
        <f t="shared" ca="1" si="55"/>
        <v>2.5922540642542482</v>
      </c>
    </row>
    <row r="415" spans="2:35" x14ac:dyDescent="0.2">
      <c r="B415" s="1">
        <v>410</v>
      </c>
      <c r="C415" s="19">
        <f ca="1">IF(RAND()&lt;P_Zero,0,IF(RAND()&lt;CondReturn,_xlfn.LOGNORM.INV(RAND(),MV2,Sigma1),IF(RAND()&lt;CondGood,_xlfn.LOGNORM.INV(RAND(),MV3,Sigma2),MIN(MaxMultiple,Xm/(1-RAND())^(1/Alpha)))))</f>
        <v>10.494591075595695</v>
      </c>
      <c r="D415" s="19">
        <f ca="1">IF(RAND()&lt;P_Zero,0,IF(RAND()&lt;CondReturn,_xlfn.LOGNORM.INV(RAND(),MV2,Sigma1),IF(RAND()&lt;CondGood,_xlfn.LOGNORM.INV(RAND(),MV3,Sigma2),MIN(MaxMultiple,Xm/(1-RAND())^(1/Alpha)))))</f>
        <v>11.573487741150732</v>
      </c>
      <c r="E415" s="19">
        <f ca="1">IF(RAND()&lt;P_Zero,0,IF(RAND()&lt;CondReturn,_xlfn.LOGNORM.INV(RAND(),MV2,Sigma1),IF(RAND()&lt;CondGood,_xlfn.LOGNORM.INV(RAND(),MV3,Sigma2),MIN(MaxMultiple,Xm/(1-RAND())^(1/Alpha)))))</f>
        <v>14.184904229380436</v>
      </c>
      <c r="F415" s="19">
        <f ca="1">IF(RAND()&lt;P_Zero,0,IF(RAND()&lt;CondReturn,_xlfn.LOGNORM.INV(RAND(),MV2,Sigma1),IF(RAND()&lt;CondGood,_xlfn.LOGNORM.INV(RAND(),MV3,Sigma2),MIN(MaxMultiple,Xm/(1-RAND())^(1/Alpha)))))</f>
        <v>0.56745172891400364</v>
      </c>
      <c r="G415" s="19">
        <f ca="1">IF(RAND()&lt;P_Zero,0,IF(RAND()&lt;CondReturn,_xlfn.LOGNORM.INV(RAND(),MV2,Sigma1),IF(RAND()&lt;CondGood,_xlfn.LOGNORM.INV(RAND(),MV3,Sigma2),MIN(MaxMultiple,Xm/(1-RAND())^(1/Alpha)))))</f>
        <v>0.89539322773139451</v>
      </c>
      <c r="H415" s="19">
        <f ca="1">IF(RAND()&lt;P_Zero,0,IF(RAND()&lt;CondReturn,_xlfn.LOGNORM.INV(RAND(),MV2,Sigma1),IF(RAND()&lt;CondGood,_xlfn.LOGNORM.INV(RAND(),MV3,Sigma2),MIN(MaxMultiple,Xm/(1-RAND())^(1/Alpha)))))</f>
        <v>17.403852331482295</v>
      </c>
      <c r="I415" s="19">
        <f ca="1">IF(RAND()&lt;P_Zero,0,IF(RAND()&lt;CondReturn,_xlfn.LOGNORM.INV(RAND(),MV2,Sigma1),IF(RAND()&lt;CondGood,_xlfn.LOGNORM.INV(RAND(),MV3,Sigma2),MIN(MaxMultiple,Xm/(1-RAND())^(1/Alpha)))))</f>
        <v>2.3099648664805494</v>
      </c>
      <c r="J415" s="19">
        <f ca="1">IF(RAND()&lt;P_Zero,0,IF(RAND()&lt;CondReturn,_xlfn.LOGNORM.INV(RAND(),MV2,Sigma1),IF(RAND()&lt;CondGood,_xlfn.LOGNORM.INV(RAND(),MV3,Sigma2),MIN(MaxMultiple,Xm/(1-RAND())^(1/Alpha)))))</f>
        <v>32.048240842993152</v>
      </c>
      <c r="K415" s="19">
        <f ca="1">IF(RAND()&lt;P_Zero,0,IF(RAND()&lt;CondReturn,_xlfn.LOGNORM.INV(RAND(),MV2,Sigma1),IF(RAND()&lt;CondGood,_xlfn.LOGNORM.INV(RAND(),MV3,Sigma2),MIN(MaxMultiple,Xm/(1-RAND())^(1/Alpha)))))</f>
        <v>0</v>
      </c>
      <c r="L415" s="19">
        <f ca="1">IF(RAND()&lt;P_Zero,0,IF(RAND()&lt;CondReturn,_xlfn.LOGNORM.INV(RAND(),MV2,Sigma1),IF(RAND()&lt;CondGood,_xlfn.LOGNORM.INV(RAND(),MV3,Sigma2),MIN(MaxMultiple,Xm/(1-RAND())^(1/Alpha)))))</f>
        <v>1.0936073644386797</v>
      </c>
      <c r="M415" s="19">
        <f ca="1">IF(RAND()&lt;P_Zero,0,IF(RAND()&lt;CondReturn,_xlfn.LOGNORM.INV(RAND(),MV2,Sigma1),IF(RAND()&lt;CondGood,_xlfn.LOGNORM.INV(RAND(),MV3,Sigma2),MIN(MaxMultiple,Xm/(1-RAND())^(1/Alpha)))))</f>
        <v>0</v>
      </c>
      <c r="N415" s="19">
        <f ca="1">IF(RAND()&lt;P_Zero,0,IF(RAND()&lt;CondReturn,_xlfn.LOGNORM.INV(RAND(),MV2,Sigma1),IF(RAND()&lt;CondGood,_xlfn.LOGNORM.INV(RAND(),MV3,Sigma2),MIN(MaxMultiple,Xm/(1-RAND())^(1/Alpha)))))</f>
        <v>0.53010209508162709</v>
      </c>
      <c r="O415" s="19">
        <f ca="1">IF(RAND()&lt;P_Zero,0,IF(RAND()&lt;CondReturn,_xlfn.LOGNORM.INV(RAND(),MV2,Sigma1),IF(RAND()&lt;CondGood,_xlfn.LOGNORM.INV(RAND(),MV3,Sigma2),MIN(MaxMultiple,Xm/(1-RAND())^(1/Alpha)))))</f>
        <v>0</v>
      </c>
      <c r="P415" s="19">
        <f ca="1">IF(RAND()&lt;P_Zero,0,IF(RAND()&lt;CondReturn,_xlfn.LOGNORM.INV(RAND(),MV2,Sigma1),IF(RAND()&lt;CondGood,_xlfn.LOGNORM.INV(RAND(),MV3,Sigma2),MIN(MaxMultiple,Xm/(1-RAND())^(1/Alpha)))))</f>
        <v>0.85522693020338447</v>
      </c>
      <c r="Q415" s="19">
        <f ca="1">IF(RAND()&lt;P_Zero,0,IF(RAND()&lt;CondReturn,_xlfn.LOGNORM.INV(RAND(),MV2,Sigma1),IF(RAND()&lt;CondGood,_xlfn.LOGNORM.INV(RAND(),MV3,Sigma2),MIN(MaxMultiple,Xm/(1-RAND())^(1/Alpha)))))</f>
        <v>0.37106611245832777</v>
      </c>
      <c r="R415" s="19">
        <f ca="1">IF(RAND()&lt;P_Zero,0,IF(RAND()&lt;CondReturn,_xlfn.LOGNORM.INV(RAND(),MV2,Sigma1),IF(RAND()&lt;CondGood,_xlfn.LOGNORM.INV(RAND(),MV3,Sigma2),MIN(MaxMultiple,Xm/(1-RAND())^(1/Alpha)))))</f>
        <v>0.9860249532903923</v>
      </c>
      <c r="S415" s="19">
        <f ca="1">IF(RAND()&lt;P_Zero,0,IF(RAND()&lt;CondReturn,_xlfn.LOGNORM.INV(RAND(),MV2,Sigma1),IF(RAND()&lt;CondGood,_xlfn.LOGNORM.INV(RAND(),MV3,Sigma2),MIN(MaxMultiple,Xm/(1-RAND())^(1/Alpha)))))</f>
        <v>1.1901023060165614</v>
      </c>
      <c r="T415" s="19">
        <f ca="1">IF(RAND()&lt;P_Zero,0,IF(RAND()&lt;CondReturn,_xlfn.LOGNORM.INV(RAND(),MV2,Sigma1),IF(RAND()&lt;CondGood,_xlfn.LOGNORM.INV(RAND(),MV3,Sigma2),MIN(MaxMultiple,Xm/(1-RAND())^(1/Alpha)))))</f>
        <v>1.6979459403926391</v>
      </c>
      <c r="U415" s="19">
        <f ca="1">IF(RAND()&lt;P_Zero,0,IF(RAND()&lt;CondReturn,_xlfn.LOGNORM.INV(RAND(),MV2,Sigma1),IF(RAND()&lt;CondGood,_xlfn.LOGNORM.INV(RAND(),MV3,Sigma2),MIN(MaxMultiple,Xm/(1-RAND())^(1/Alpha)))))</f>
        <v>0</v>
      </c>
      <c r="V415" s="19">
        <f ca="1">IF(RAND()&lt;P_Zero,0,IF(RAND()&lt;CondReturn,_xlfn.LOGNORM.INV(RAND(),MV2,Sigma1),IF(RAND()&lt;CondGood,_xlfn.LOGNORM.INV(RAND(),MV3,Sigma2),MIN(MaxMultiple,Xm/(1-RAND())^(1/Alpha)))))</f>
        <v>0</v>
      </c>
      <c r="W415" s="19">
        <f ca="1">IF(RAND()&lt;P_Zero,0,IF(RAND()&lt;CondReturn,_xlfn.LOGNORM.INV(RAND(),MV2,Sigma1),IF(RAND()&lt;CondGood,_xlfn.LOGNORM.INV(RAND(),MV3,Sigma2),MIN(MaxMultiple,Xm/(1-RAND())^(1/Alpha)))))</f>
        <v>23.136089249836544</v>
      </c>
      <c r="X415" s="19">
        <f ca="1">IF(RAND()&lt;P_Zero,0,IF(RAND()&lt;CondReturn,_xlfn.LOGNORM.INV(RAND(),MV2,Sigma1),IF(RAND()&lt;CondGood,_xlfn.LOGNORM.INV(RAND(),MV3,Sigma2),MIN(MaxMultiple,Xm/(1-RAND())^(1/Alpha)))))</f>
        <v>1.2226086395544646</v>
      </c>
      <c r="Y415" s="19">
        <f ca="1">IF(RAND()&lt;P_Zero,0,IF(RAND()&lt;CondReturn,_xlfn.LOGNORM.INV(RAND(),MV2,Sigma1),IF(RAND()&lt;CondGood,_xlfn.LOGNORM.INV(RAND(),MV3,Sigma2),MIN(MaxMultiple,Xm/(1-RAND())^(1/Alpha)))))</f>
        <v>0</v>
      </c>
      <c r="Z415" s="19">
        <f ca="1">IF(RAND()&lt;P_Zero,0,IF(RAND()&lt;CondReturn,_xlfn.LOGNORM.INV(RAND(),MV2,Sigma1),IF(RAND()&lt;CondGood,_xlfn.LOGNORM.INV(RAND(),MV3,Sigma2),MIN(MaxMultiple,Xm/(1-RAND())^(1/Alpha)))))</f>
        <v>0</v>
      </c>
      <c r="AA415" s="19">
        <f ca="1">IF(RAND()&lt;P_Zero,0,IF(RAND()&lt;CondReturn,_xlfn.LOGNORM.INV(RAND(),MV2,Sigma1),IF(RAND()&lt;CondGood,_xlfn.LOGNORM.INV(RAND(),MV3,Sigma2),MIN(MaxMultiple,Xm/(1-RAND())^(1/Alpha)))))</f>
        <v>0.96197136081651313</v>
      </c>
      <c r="AB415" s="19">
        <f t="shared" ca="1" si="48"/>
        <v>4.8609052398326966</v>
      </c>
      <c r="AC415" s="14">
        <f t="shared" ca="1" si="49"/>
        <v>233323451.51196945</v>
      </c>
      <c r="AD415" s="14">
        <f t="shared" ca="1" si="50"/>
        <v>185323451.51196945</v>
      </c>
      <c r="AE415" s="14">
        <f t="shared" si="51"/>
        <v>55628399.869093813</v>
      </c>
      <c r="AF415" s="14">
        <f t="shared" ca="1" si="52"/>
        <v>129695051.64287564</v>
      </c>
      <c r="AG415" s="14">
        <f t="shared" ca="1" si="53"/>
        <v>25939010.328575131</v>
      </c>
      <c r="AH415" s="14">
        <f t="shared" ca="1" si="54"/>
        <v>207384441.18339431</v>
      </c>
      <c r="AI415" s="19">
        <f t="shared" ca="1" si="55"/>
        <v>3.456407353056572</v>
      </c>
    </row>
    <row r="416" spans="2:35" x14ac:dyDescent="0.2">
      <c r="B416" s="1">
        <v>411</v>
      </c>
      <c r="C416" s="19">
        <f ca="1">IF(RAND()&lt;P_Zero,0,IF(RAND()&lt;CondReturn,_xlfn.LOGNORM.INV(RAND(),MV2,Sigma1),IF(RAND()&lt;CondGood,_xlfn.LOGNORM.INV(RAND(),MV3,Sigma2),MIN(MaxMultiple,Xm/(1-RAND())^(1/Alpha)))))</f>
        <v>0</v>
      </c>
      <c r="D416" s="19">
        <f ca="1">IF(RAND()&lt;P_Zero,0,IF(RAND()&lt;CondReturn,_xlfn.LOGNORM.INV(RAND(),MV2,Sigma1),IF(RAND()&lt;CondGood,_xlfn.LOGNORM.INV(RAND(),MV3,Sigma2),MIN(MaxMultiple,Xm/(1-RAND())^(1/Alpha)))))</f>
        <v>0</v>
      </c>
      <c r="E416" s="19">
        <f ca="1">IF(RAND()&lt;P_Zero,0,IF(RAND()&lt;CondReturn,_xlfn.LOGNORM.INV(RAND(),MV2,Sigma1),IF(RAND()&lt;CondGood,_xlfn.LOGNORM.INV(RAND(),MV3,Sigma2),MIN(MaxMultiple,Xm/(1-RAND())^(1/Alpha)))))</f>
        <v>0</v>
      </c>
      <c r="F416" s="19">
        <f ca="1">IF(RAND()&lt;P_Zero,0,IF(RAND()&lt;CondReturn,_xlfn.LOGNORM.INV(RAND(),MV2,Sigma1),IF(RAND()&lt;CondGood,_xlfn.LOGNORM.INV(RAND(),MV3,Sigma2),MIN(MaxMultiple,Xm/(1-RAND())^(1/Alpha)))))</f>
        <v>0</v>
      </c>
      <c r="G416" s="19">
        <f ca="1">IF(RAND()&lt;P_Zero,0,IF(RAND()&lt;CondReturn,_xlfn.LOGNORM.INV(RAND(),MV2,Sigma1),IF(RAND()&lt;CondGood,_xlfn.LOGNORM.INV(RAND(),MV3,Sigma2),MIN(MaxMultiple,Xm/(1-RAND())^(1/Alpha)))))</f>
        <v>0.60723138409938782</v>
      </c>
      <c r="H416" s="19">
        <f ca="1">IF(RAND()&lt;P_Zero,0,IF(RAND()&lt;CondReturn,_xlfn.LOGNORM.INV(RAND(),MV2,Sigma1),IF(RAND()&lt;CondGood,_xlfn.LOGNORM.INV(RAND(),MV3,Sigma2),MIN(MaxMultiple,Xm/(1-RAND())^(1/Alpha)))))</f>
        <v>0</v>
      </c>
      <c r="I416" s="19">
        <f ca="1">IF(RAND()&lt;P_Zero,0,IF(RAND()&lt;CondReturn,_xlfn.LOGNORM.INV(RAND(),MV2,Sigma1),IF(RAND()&lt;CondGood,_xlfn.LOGNORM.INV(RAND(),MV3,Sigma2),MIN(MaxMultiple,Xm/(1-RAND())^(1/Alpha)))))</f>
        <v>1.5419087836964547</v>
      </c>
      <c r="J416" s="19">
        <f ca="1">IF(RAND()&lt;P_Zero,0,IF(RAND()&lt;CondReturn,_xlfn.LOGNORM.INV(RAND(),MV2,Sigma1),IF(RAND()&lt;CondGood,_xlfn.LOGNORM.INV(RAND(),MV3,Sigma2),MIN(MaxMultiple,Xm/(1-RAND())^(1/Alpha)))))</f>
        <v>1.000553616635746</v>
      </c>
      <c r="K416" s="19">
        <f ca="1">IF(RAND()&lt;P_Zero,0,IF(RAND()&lt;CondReturn,_xlfn.LOGNORM.INV(RAND(),MV2,Sigma1),IF(RAND()&lt;CondGood,_xlfn.LOGNORM.INV(RAND(),MV3,Sigma2),MIN(MaxMultiple,Xm/(1-RAND())^(1/Alpha)))))</f>
        <v>0.73359939046554079</v>
      </c>
      <c r="L416" s="19">
        <f ca="1">IF(RAND()&lt;P_Zero,0,IF(RAND()&lt;CondReturn,_xlfn.LOGNORM.INV(RAND(),MV2,Sigma1),IF(RAND()&lt;CondGood,_xlfn.LOGNORM.INV(RAND(),MV3,Sigma2),MIN(MaxMultiple,Xm/(1-RAND())^(1/Alpha)))))</f>
        <v>0</v>
      </c>
      <c r="M416" s="19">
        <f ca="1">IF(RAND()&lt;P_Zero,0,IF(RAND()&lt;CondReturn,_xlfn.LOGNORM.INV(RAND(),MV2,Sigma1),IF(RAND()&lt;CondGood,_xlfn.LOGNORM.INV(RAND(),MV3,Sigma2),MIN(MaxMultiple,Xm/(1-RAND())^(1/Alpha)))))</f>
        <v>0</v>
      </c>
      <c r="N416" s="19">
        <f ca="1">IF(RAND()&lt;P_Zero,0,IF(RAND()&lt;CondReturn,_xlfn.LOGNORM.INV(RAND(),MV2,Sigma1),IF(RAND()&lt;CondGood,_xlfn.LOGNORM.INV(RAND(),MV3,Sigma2),MIN(MaxMultiple,Xm/(1-RAND())^(1/Alpha)))))</f>
        <v>0</v>
      </c>
      <c r="O416" s="19">
        <f ca="1">IF(RAND()&lt;P_Zero,0,IF(RAND()&lt;CondReturn,_xlfn.LOGNORM.INV(RAND(),MV2,Sigma1),IF(RAND()&lt;CondGood,_xlfn.LOGNORM.INV(RAND(),MV3,Sigma2),MIN(MaxMultiple,Xm/(1-RAND())^(1/Alpha)))))</f>
        <v>17.038913048152512</v>
      </c>
      <c r="P416" s="19">
        <f ca="1">IF(RAND()&lt;P_Zero,0,IF(RAND()&lt;CondReturn,_xlfn.LOGNORM.INV(RAND(),MV2,Sigma1),IF(RAND()&lt;CondGood,_xlfn.LOGNORM.INV(RAND(),MV3,Sigma2),MIN(MaxMultiple,Xm/(1-RAND())^(1/Alpha)))))</f>
        <v>0.778857800689711</v>
      </c>
      <c r="Q416" s="19">
        <f ca="1">IF(RAND()&lt;P_Zero,0,IF(RAND()&lt;CondReturn,_xlfn.LOGNORM.INV(RAND(),MV2,Sigma1),IF(RAND()&lt;CondGood,_xlfn.LOGNORM.INV(RAND(),MV3,Sigma2),MIN(MaxMultiple,Xm/(1-RAND())^(1/Alpha)))))</f>
        <v>0</v>
      </c>
      <c r="R416" s="19">
        <f ca="1">IF(RAND()&lt;P_Zero,0,IF(RAND()&lt;CondReturn,_xlfn.LOGNORM.INV(RAND(),MV2,Sigma1),IF(RAND()&lt;CondGood,_xlfn.LOGNORM.INV(RAND(),MV3,Sigma2),MIN(MaxMultiple,Xm/(1-RAND())^(1/Alpha)))))</f>
        <v>1.4349430232011742</v>
      </c>
      <c r="S416" s="19">
        <f ca="1">IF(RAND()&lt;P_Zero,0,IF(RAND()&lt;CondReturn,_xlfn.LOGNORM.INV(RAND(),MV2,Sigma1),IF(RAND()&lt;CondGood,_xlfn.LOGNORM.INV(RAND(),MV3,Sigma2),MIN(MaxMultiple,Xm/(1-RAND())^(1/Alpha)))))</f>
        <v>0</v>
      </c>
      <c r="T416" s="19">
        <f ca="1">IF(RAND()&lt;P_Zero,0,IF(RAND()&lt;CondReturn,_xlfn.LOGNORM.INV(RAND(),MV2,Sigma1),IF(RAND()&lt;CondGood,_xlfn.LOGNORM.INV(RAND(),MV3,Sigma2),MIN(MaxMultiple,Xm/(1-RAND())^(1/Alpha)))))</f>
        <v>1.5470336738289636</v>
      </c>
      <c r="U416" s="19">
        <f ca="1">IF(RAND()&lt;P_Zero,0,IF(RAND()&lt;CondReturn,_xlfn.LOGNORM.INV(RAND(),MV2,Sigma1),IF(RAND()&lt;CondGood,_xlfn.LOGNORM.INV(RAND(),MV3,Sigma2),MIN(MaxMultiple,Xm/(1-RAND())^(1/Alpha)))))</f>
        <v>0</v>
      </c>
      <c r="V416" s="19">
        <f ca="1">IF(RAND()&lt;P_Zero,0,IF(RAND()&lt;CondReturn,_xlfn.LOGNORM.INV(RAND(),MV2,Sigma1),IF(RAND()&lt;CondGood,_xlfn.LOGNORM.INV(RAND(),MV3,Sigma2),MIN(MaxMultiple,Xm/(1-RAND())^(1/Alpha)))))</f>
        <v>0.66192760300781917</v>
      </c>
      <c r="W416" s="19">
        <f ca="1">IF(RAND()&lt;P_Zero,0,IF(RAND()&lt;CondReturn,_xlfn.LOGNORM.INV(RAND(),MV2,Sigma1),IF(RAND()&lt;CondGood,_xlfn.LOGNORM.INV(RAND(),MV3,Sigma2),MIN(MaxMultiple,Xm/(1-RAND())^(1/Alpha)))))</f>
        <v>0</v>
      </c>
      <c r="X416" s="19">
        <f ca="1">IF(RAND()&lt;P_Zero,0,IF(RAND()&lt;CondReturn,_xlfn.LOGNORM.INV(RAND(),MV2,Sigma1),IF(RAND()&lt;CondGood,_xlfn.LOGNORM.INV(RAND(),MV3,Sigma2),MIN(MaxMultiple,Xm/(1-RAND())^(1/Alpha)))))</f>
        <v>1.156722559022008</v>
      </c>
      <c r="Y416" s="19">
        <f ca="1">IF(RAND()&lt;P_Zero,0,IF(RAND()&lt;CondReturn,_xlfn.LOGNORM.INV(RAND(),MV2,Sigma1),IF(RAND()&lt;CondGood,_xlfn.LOGNORM.INV(RAND(),MV3,Sigma2),MIN(MaxMultiple,Xm/(1-RAND())^(1/Alpha)))))</f>
        <v>0</v>
      </c>
      <c r="Z416" s="19">
        <f ca="1">IF(RAND()&lt;P_Zero,0,IF(RAND()&lt;CondReturn,_xlfn.LOGNORM.INV(RAND(),MV2,Sigma1),IF(RAND()&lt;CondGood,_xlfn.LOGNORM.INV(RAND(),MV3,Sigma2),MIN(MaxMultiple,Xm/(1-RAND())^(1/Alpha)))))</f>
        <v>1.7971734385738878</v>
      </c>
      <c r="AA416" s="19">
        <f ca="1">IF(RAND()&lt;P_Zero,0,IF(RAND()&lt;CondReturn,_xlfn.LOGNORM.INV(RAND(),MV2,Sigma1),IF(RAND()&lt;CondGood,_xlfn.LOGNORM.INV(RAND(),MV3,Sigma2),MIN(MaxMultiple,Xm/(1-RAND())^(1/Alpha)))))</f>
        <v>20.598970631967397</v>
      </c>
      <c r="AB416" s="19">
        <f t="shared" ca="1" si="48"/>
        <v>1.9559133981336243</v>
      </c>
      <c r="AC416" s="14">
        <f t="shared" ca="1" si="49"/>
        <v>93883843.110413969</v>
      </c>
      <c r="AD416" s="14">
        <f t="shared" ca="1" si="50"/>
        <v>45883843.110413969</v>
      </c>
      <c r="AE416" s="14">
        <f t="shared" si="51"/>
        <v>55628399.869093813</v>
      </c>
      <c r="AF416" s="14">
        <f t="shared" ca="1" si="52"/>
        <v>0</v>
      </c>
      <c r="AG416" s="14">
        <f t="shared" ca="1" si="53"/>
        <v>0</v>
      </c>
      <c r="AH416" s="14">
        <f t="shared" ca="1" si="54"/>
        <v>93883843.110413969</v>
      </c>
      <c r="AI416" s="19">
        <f t="shared" ca="1" si="55"/>
        <v>1.5647307185068995</v>
      </c>
    </row>
    <row r="417" spans="2:35" x14ac:dyDescent="0.2">
      <c r="B417" s="1">
        <v>412</v>
      </c>
      <c r="C417" s="19">
        <f ca="1">IF(RAND()&lt;P_Zero,0,IF(RAND()&lt;CondReturn,_xlfn.LOGNORM.INV(RAND(),MV2,Sigma1),IF(RAND()&lt;CondGood,_xlfn.LOGNORM.INV(RAND(),MV3,Sigma2),MIN(MaxMultiple,Xm/(1-RAND())^(1/Alpha)))))</f>
        <v>0</v>
      </c>
      <c r="D417" s="19">
        <f ca="1">IF(RAND()&lt;P_Zero,0,IF(RAND()&lt;CondReturn,_xlfn.LOGNORM.INV(RAND(),MV2,Sigma1),IF(RAND()&lt;CondGood,_xlfn.LOGNORM.INV(RAND(),MV3,Sigma2),MIN(MaxMultiple,Xm/(1-RAND())^(1/Alpha)))))</f>
        <v>12.623650156028614</v>
      </c>
      <c r="E417" s="19">
        <f ca="1">IF(RAND()&lt;P_Zero,0,IF(RAND()&lt;CondReturn,_xlfn.LOGNORM.INV(RAND(),MV2,Sigma1),IF(RAND()&lt;CondGood,_xlfn.LOGNORM.INV(RAND(),MV3,Sigma2),MIN(MaxMultiple,Xm/(1-RAND())^(1/Alpha)))))</f>
        <v>0.43914220733327197</v>
      </c>
      <c r="F417" s="19">
        <f ca="1">IF(RAND()&lt;P_Zero,0,IF(RAND()&lt;CondReturn,_xlfn.LOGNORM.INV(RAND(),MV2,Sigma1),IF(RAND()&lt;CondGood,_xlfn.LOGNORM.INV(RAND(),MV3,Sigma2),MIN(MaxMultiple,Xm/(1-RAND())^(1/Alpha)))))</f>
        <v>0</v>
      </c>
      <c r="G417" s="19">
        <f ca="1">IF(RAND()&lt;P_Zero,0,IF(RAND()&lt;CondReturn,_xlfn.LOGNORM.INV(RAND(),MV2,Sigma1),IF(RAND()&lt;CondGood,_xlfn.LOGNORM.INV(RAND(),MV3,Sigma2),MIN(MaxMultiple,Xm/(1-RAND())^(1/Alpha)))))</f>
        <v>0</v>
      </c>
      <c r="H417" s="19">
        <f ca="1">IF(RAND()&lt;P_Zero,0,IF(RAND()&lt;CondReturn,_xlfn.LOGNORM.INV(RAND(),MV2,Sigma1),IF(RAND()&lt;CondGood,_xlfn.LOGNORM.INV(RAND(),MV3,Sigma2),MIN(MaxMultiple,Xm/(1-RAND())^(1/Alpha)))))</f>
        <v>0</v>
      </c>
      <c r="I417" s="19">
        <f ca="1">IF(RAND()&lt;P_Zero,0,IF(RAND()&lt;CondReturn,_xlfn.LOGNORM.INV(RAND(),MV2,Sigma1),IF(RAND()&lt;CondGood,_xlfn.LOGNORM.INV(RAND(),MV3,Sigma2),MIN(MaxMultiple,Xm/(1-RAND())^(1/Alpha)))))</f>
        <v>0</v>
      </c>
      <c r="J417" s="19">
        <f ca="1">IF(RAND()&lt;P_Zero,0,IF(RAND()&lt;CondReturn,_xlfn.LOGNORM.INV(RAND(),MV2,Sigma1),IF(RAND()&lt;CondGood,_xlfn.LOGNORM.INV(RAND(),MV3,Sigma2),MIN(MaxMultiple,Xm/(1-RAND())^(1/Alpha)))))</f>
        <v>1.016842603647238</v>
      </c>
      <c r="K417" s="19">
        <f ca="1">IF(RAND()&lt;P_Zero,0,IF(RAND()&lt;CondReturn,_xlfn.LOGNORM.INV(RAND(),MV2,Sigma1),IF(RAND()&lt;CondGood,_xlfn.LOGNORM.INV(RAND(),MV3,Sigma2),MIN(MaxMultiple,Xm/(1-RAND())^(1/Alpha)))))</f>
        <v>0</v>
      </c>
      <c r="L417" s="19">
        <f ca="1">IF(RAND()&lt;P_Zero,0,IF(RAND()&lt;CondReturn,_xlfn.LOGNORM.INV(RAND(),MV2,Sigma1),IF(RAND()&lt;CondGood,_xlfn.LOGNORM.INV(RAND(),MV3,Sigma2),MIN(MaxMultiple,Xm/(1-RAND())^(1/Alpha)))))</f>
        <v>0</v>
      </c>
      <c r="M417" s="19">
        <f ca="1">IF(RAND()&lt;P_Zero,0,IF(RAND()&lt;CondReturn,_xlfn.LOGNORM.INV(RAND(),MV2,Sigma1),IF(RAND()&lt;CondGood,_xlfn.LOGNORM.INV(RAND(),MV3,Sigma2),MIN(MaxMultiple,Xm/(1-RAND())^(1/Alpha)))))</f>
        <v>0</v>
      </c>
      <c r="N417" s="19">
        <f ca="1">IF(RAND()&lt;P_Zero,0,IF(RAND()&lt;CondReturn,_xlfn.LOGNORM.INV(RAND(),MV2,Sigma1),IF(RAND()&lt;CondGood,_xlfn.LOGNORM.INV(RAND(),MV3,Sigma2),MIN(MaxMultiple,Xm/(1-RAND())^(1/Alpha)))))</f>
        <v>1.662865759080715</v>
      </c>
      <c r="O417" s="19">
        <f ca="1">IF(RAND()&lt;P_Zero,0,IF(RAND()&lt;CondReturn,_xlfn.LOGNORM.INV(RAND(),MV2,Sigma1),IF(RAND()&lt;CondGood,_xlfn.LOGNORM.INV(RAND(),MV3,Sigma2),MIN(MaxMultiple,Xm/(1-RAND())^(1/Alpha)))))</f>
        <v>1.4304003829309107</v>
      </c>
      <c r="P417" s="19">
        <f ca="1">IF(RAND()&lt;P_Zero,0,IF(RAND()&lt;CondReturn,_xlfn.LOGNORM.INV(RAND(),MV2,Sigma1),IF(RAND()&lt;CondGood,_xlfn.LOGNORM.INV(RAND(),MV3,Sigma2),MIN(MaxMultiple,Xm/(1-RAND())^(1/Alpha)))))</f>
        <v>0</v>
      </c>
      <c r="Q417" s="19">
        <f ca="1">IF(RAND()&lt;P_Zero,0,IF(RAND()&lt;CondReturn,_xlfn.LOGNORM.INV(RAND(),MV2,Sigma1),IF(RAND()&lt;CondGood,_xlfn.LOGNORM.INV(RAND(),MV3,Sigma2),MIN(MaxMultiple,Xm/(1-RAND())^(1/Alpha)))))</f>
        <v>0.55559768989423108</v>
      </c>
      <c r="R417" s="19">
        <f ca="1">IF(RAND()&lt;P_Zero,0,IF(RAND()&lt;CondReturn,_xlfn.LOGNORM.INV(RAND(),MV2,Sigma1),IF(RAND()&lt;CondGood,_xlfn.LOGNORM.INV(RAND(),MV3,Sigma2),MIN(MaxMultiple,Xm/(1-RAND())^(1/Alpha)))))</f>
        <v>0.43678038758699517</v>
      </c>
      <c r="S417" s="19">
        <f ca="1">IF(RAND()&lt;P_Zero,0,IF(RAND()&lt;CondReturn,_xlfn.LOGNORM.INV(RAND(),MV2,Sigma1),IF(RAND()&lt;CondGood,_xlfn.LOGNORM.INV(RAND(),MV3,Sigma2),MIN(MaxMultiple,Xm/(1-RAND())^(1/Alpha)))))</f>
        <v>0.58495953563201841</v>
      </c>
      <c r="T417" s="19">
        <f ca="1">IF(RAND()&lt;P_Zero,0,IF(RAND()&lt;CondReturn,_xlfn.LOGNORM.INV(RAND(),MV2,Sigma1),IF(RAND()&lt;CondGood,_xlfn.LOGNORM.INV(RAND(),MV3,Sigma2),MIN(MaxMultiple,Xm/(1-RAND())^(1/Alpha)))))</f>
        <v>2.3249573150089939</v>
      </c>
      <c r="U417" s="19">
        <f ca="1">IF(RAND()&lt;P_Zero,0,IF(RAND()&lt;CondReturn,_xlfn.LOGNORM.INV(RAND(),MV2,Sigma1),IF(RAND()&lt;CondGood,_xlfn.LOGNORM.INV(RAND(),MV3,Sigma2),MIN(MaxMultiple,Xm/(1-RAND())^(1/Alpha)))))</f>
        <v>0</v>
      </c>
      <c r="V417" s="19">
        <f ca="1">IF(RAND()&lt;P_Zero,0,IF(RAND()&lt;CondReturn,_xlfn.LOGNORM.INV(RAND(),MV2,Sigma1),IF(RAND()&lt;CondGood,_xlfn.LOGNORM.INV(RAND(),MV3,Sigma2),MIN(MaxMultiple,Xm/(1-RAND())^(1/Alpha)))))</f>
        <v>17.707089325553937</v>
      </c>
      <c r="W417" s="19">
        <f ca="1">IF(RAND()&lt;P_Zero,0,IF(RAND()&lt;CondReturn,_xlfn.LOGNORM.INV(RAND(),MV2,Sigma1),IF(RAND()&lt;CondGood,_xlfn.LOGNORM.INV(RAND(),MV3,Sigma2),MIN(MaxMultiple,Xm/(1-RAND())^(1/Alpha)))))</f>
        <v>0</v>
      </c>
      <c r="X417" s="19">
        <f ca="1">IF(RAND()&lt;P_Zero,0,IF(RAND()&lt;CondReturn,_xlfn.LOGNORM.INV(RAND(),MV2,Sigma1),IF(RAND()&lt;CondGood,_xlfn.LOGNORM.INV(RAND(),MV3,Sigma2),MIN(MaxMultiple,Xm/(1-RAND())^(1/Alpha)))))</f>
        <v>0</v>
      </c>
      <c r="Y417" s="19">
        <f ca="1">IF(RAND()&lt;P_Zero,0,IF(RAND()&lt;CondReturn,_xlfn.LOGNORM.INV(RAND(),MV2,Sigma1),IF(RAND()&lt;CondGood,_xlfn.LOGNORM.INV(RAND(),MV3,Sigma2),MIN(MaxMultiple,Xm/(1-RAND())^(1/Alpha)))))</f>
        <v>0.8396886639409139</v>
      </c>
      <c r="Z417" s="19">
        <f ca="1">IF(RAND()&lt;P_Zero,0,IF(RAND()&lt;CondReturn,_xlfn.LOGNORM.INV(RAND(),MV2,Sigma1),IF(RAND()&lt;CondGood,_xlfn.LOGNORM.INV(RAND(),MV3,Sigma2),MIN(MaxMultiple,Xm/(1-RAND())^(1/Alpha)))))</f>
        <v>0.69440770535329943</v>
      </c>
      <c r="AA417" s="19">
        <f ca="1">IF(RAND()&lt;P_Zero,0,IF(RAND()&lt;CondReturn,_xlfn.LOGNORM.INV(RAND(),MV2,Sigma1),IF(RAND()&lt;CondGood,_xlfn.LOGNORM.INV(RAND(),MV3,Sigma2),MIN(MaxMultiple,Xm/(1-RAND())^(1/Alpha)))))</f>
        <v>1.9070694127429051</v>
      </c>
      <c r="AB417" s="19">
        <f t="shared" ca="1" si="48"/>
        <v>1.6889380457893617</v>
      </c>
      <c r="AC417" s="14">
        <f t="shared" ca="1" si="49"/>
        <v>81069026.197889358</v>
      </c>
      <c r="AD417" s="14">
        <f t="shared" ca="1" si="50"/>
        <v>33069026.197889358</v>
      </c>
      <c r="AE417" s="14">
        <f t="shared" si="51"/>
        <v>55628399.869093813</v>
      </c>
      <c r="AF417" s="14">
        <f t="shared" ca="1" si="52"/>
        <v>0</v>
      </c>
      <c r="AG417" s="14">
        <f t="shared" ca="1" si="53"/>
        <v>0</v>
      </c>
      <c r="AH417" s="14">
        <f t="shared" ca="1" si="54"/>
        <v>81069026.197889358</v>
      </c>
      <c r="AI417" s="19">
        <f t="shared" ca="1" si="55"/>
        <v>1.3511504366314893</v>
      </c>
    </row>
    <row r="418" spans="2:35" x14ac:dyDescent="0.2">
      <c r="B418" s="1">
        <v>413</v>
      </c>
      <c r="C418" s="19">
        <f ca="1">IF(RAND()&lt;P_Zero,0,IF(RAND()&lt;CondReturn,_xlfn.LOGNORM.INV(RAND(),MV2,Sigma1),IF(RAND()&lt;CondGood,_xlfn.LOGNORM.INV(RAND(),MV3,Sigma2),MIN(MaxMultiple,Xm/(1-RAND())^(1/Alpha)))))</f>
        <v>0.49723031391681738</v>
      </c>
      <c r="D418" s="19">
        <f ca="1">IF(RAND()&lt;P_Zero,0,IF(RAND()&lt;CondReturn,_xlfn.LOGNORM.INV(RAND(),MV2,Sigma1),IF(RAND()&lt;CondGood,_xlfn.LOGNORM.INV(RAND(),MV3,Sigma2),MIN(MaxMultiple,Xm/(1-RAND())^(1/Alpha)))))</f>
        <v>0</v>
      </c>
      <c r="E418" s="19">
        <f ca="1">IF(RAND()&lt;P_Zero,0,IF(RAND()&lt;CondReturn,_xlfn.LOGNORM.INV(RAND(),MV2,Sigma1),IF(RAND()&lt;CondGood,_xlfn.LOGNORM.INV(RAND(),MV3,Sigma2),MIN(MaxMultiple,Xm/(1-RAND())^(1/Alpha)))))</f>
        <v>0</v>
      </c>
      <c r="F418" s="19">
        <f ca="1">IF(RAND()&lt;P_Zero,0,IF(RAND()&lt;CondReturn,_xlfn.LOGNORM.INV(RAND(),MV2,Sigma1),IF(RAND()&lt;CondGood,_xlfn.LOGNORM.INV(RAND(),MV3,Sigma2),MIN(MaxMultiple,Xm/(1-RAND())^(1/Alpha)))))</f>
        <v>0</v>
      </c>
      <c r="G418" s="19">
        <f ca="1">IF(RAND()&lt;P_Zero,0,IF(RAND()&lt;CondReturn,_xlfn.LOGNORM.INV(RAND(),MV2,Sigma1),IF(RAND()&lt;CondGood,_xlfn.LOGNORM.INV(RAND(),MV3,Sigma2),MIN(MaxMultiple,Xm/(1-RAND())^(1/Alpha)))))</f>
        <v>15.003050654582299</v>
      </c>
      <c r="H418" s="19">
        <f ca="1">IF(RAND()&lt;P_Zero,0,IF(RAND()&lt;CondReturn,_xlfn.LOGNORM.INV(RAND(),MV2,Sigma1),IF(RAND()&lt;CondGood,_xlfn.LOGNORM.INV(RAND(),MV3,Sigma2),MIN(MaxMultiple,Xm/(1-RAND())^(1/Alpha)))))</f>
        <v>0</v>
      </c>
      <c r="I418" s="19">
        <f ca="1">IF(RAND()&lt;P_Zero,0,IF(RAND()&lt;CondReturn,_xlfn.LOGNORM.INV(RAND(),MV2,Sigma1),IF(RAND()&lt;CondGood,_xlfn.LOGNORM.INV(RAND(),MV3,Sigma2),MIN(MaxMultiple,Xm/(1-RAND())^(1/Alpha)))))</f>
        <v>0.81756133886291504</v>
      </c>
      <c r="J418" s="19">
        <f ca="1">IF(RAND()&lt;P_Zero,0,IF(RAND()&lt;CondReturn,_xlfn.LOGNORM.INV(RAND(),MV2,Sigma1),IF(RAND()&lt;CondGood,_xlfn.LOGNORM.INV(RAND(),MV3,Sigma2),MIN(MaxMultiple,Xm/(1-RAND())^(1/Alpha)))))</f>
        <v>0.679181442475293</v>
      </c>
      <c r="K418" s="19">
        <f ca="1">IF(RAND()&lt;P_Zero,0,IF(RAND()&lt;CondReturn,_xlfn.LOGNORM.INV(RAND(),MV2,Sigma1),IF(RAND()&lt;CondGood,_xlfn.LOGNORM.INV(RAND(),MV3,Sigma2),MIN(MaxMultiple,Xm/(1-RAND())^(1/Alpha)))))</f>
        <v>0</v>
      </c>
      <c r="L418" s="19">
        <f ca="1">IF(RAND()&lt;P_Zero,0,IF(RAND()&lt;CondReturn,_xlfn.LOGNORM.INV(RAND(),MV2,Sigma1),IF(RAND()&lt;CondGood,_xlfn.LOGNORM.INV(RAND(),MV3,Sigma2),MIN(MaxMultiple,Xm/(1-RAND())^(1/Alpha)))))</f>
        <v>0.98717275841107976</v>
      </c>
      <c r="M418" s="19">
        <f ca="1">IF(RAND()&lt;P_Zero,0,IF(RAND()&lt;CondReturn,_xlfn.LOGNORM.INV(RAND(),MV2,Sigma1),IF(RAND()&lt;CondGood,_xlfn.LOGNORM.INV(RAND(),MV3,Sigma2),MIN(MaxMultiple,Xm/(1-RAND())^(1/Alpha)))))</f>
        <v>0</v>
      </c>
      <c r="N418" s="19">
        <f ca="1">IF(RAND()&lt;P_Zero,0,IF(RAND()&lt;CondReturn,_xlfn.LOGNORM.INV(RAND(),MV2,Sigma1),IF(RAND()&lt;CondGood,_xlfn.LOGNORM.INV(RAND(),MV3,Sigma2),MIN(MaxMultiple,Xm/(1-RAND())^(1/Alpha)))))</f>
        <v>0</v>
      </c>
      <c r="O418" s="19">
        <f ca="1">IF(RAND()&lt;P_Zero,0,IF(RAND()&lt;CondReturn,_xlfn.LOGNORM.INV(RAND(),MV2,Sigma1),IF(RAND()&lt;CondGood,_xlfn.LOGNORM.INV(RAND(),MV3,Sigma2),MIN(MaxMultiple,Xm/(1-RAND())^(1/Alpha)))))</f>
        <v>0.98248919698208881</v>
      </c>
      <c r="P418" s="19">
        <f ca="1">IF(RAND()&lt;P_Zero,0,IF(RAND()&lt;CondReturn,_xlfn.LOGNORM.INV(RAND(),MV2,Sigma1),IF(RAND()&lt;CondGood,_xlfn.LOGNORM.INV(RAND(),MV3,Sigma2),MIN(MaxMultiple,Xm/(1-RAND())^(1/Alpha)))))</f>
        <v>0.57244639012240572</v>
      </c>
      <c r="Q418" s="19">
        <f ca="1">IF(RAND()&lt;P_Zero,0,IF(RAND()&lt;CondReturn,_xlfn.LOGNORM.INV(RAND(),MV2,Sigma1),IF(RAND()&lt;CondGood,_xlfn.LOGNORM.INV(RAND(),MV3,Sigma2),MIN(MaxMultiple,Xm/(1-RAND())^(1/Alpha)))))</f>
        <v>0.43936781868585911</v>
      </c>
      <c r="R418" s="19">
        <f ca="1">IF(RAND()&lt;P_Zero,0,IF(RAND()&lt;CondReturn,_xlfn.LOGNORM.INV(RAND(),MV2,Sigma1),IF(RAND()&lt;CondGood,_xlfn.LOGNORM.INV(RAND(),MV3,Sigma2),MIN(MaxMultiple,Xm/(1-RAND())^(1/Alpha)))))</f>
        <v>23.917302808458683</v>
      </c>
      <c r="S418" s="19">
        <f ca="1">IF(RAND()&lt;P_Zero,0,IF(RAND()&lt;CondReturn,_xlfn.LOGNORM.INV(RAND(),MV2,Sigma1),IF(RAND()&lt;CondGood,_xlfn.LOGNORM.INV(RAND(),MV3,Sigma2),MIN(MaxMultiple,Xm/(1-RAND())^(1/Alpha)))))</f>
        <v>0</v>
      </c>
      <c r="T418" s="19">
        <f ca="1">IF(RAND()&lt;P_Zero,0,IF(RAND()&lt;CondReturn,_xlfn.LOGNORM.INV(RAND(),MV2,Sigma1),IF(RAND()&lt;CondGood,_xlfn.LOGNORM.INV(RAND(),MV3,Sigma2),MIN(MaxMultiple,Xm/(1-RAND())^(1/Alpha)))))</f>
        <v>0</v>
      </c>
      <c r="U418" s="19">
        <f ca="1">IF(RAND()&lt;P_Zero,0,IF(RAND()&lt;CondReturn,_xlfn.LOGNORM.INV(RAND(),MV2,Sigma1),IF(RAND()&lt;CondGood,_xlfn.LOGNORM.INV(RAND(),MV3,Sigma2),MIN(MaxMultiple,Xm/(1-RAND())^(1/Alpha)))))</f>
        <v>38.932253607307487</v>
      </c>
      <c r="V418" s="19">
        <f ca="1">IF(RAND()&lt;P_Zero,0,IF(RAND()&lt;CondReturn,_xlfn.LOGNORM.INV(RAND(),MV2,Sigma1),IF(RAND()&lt;CondGood,_xlfn.LOGNORM.INV(RAND(),MV3,Sigma2),MIN(MaxMultiple,Xm/(1-RAND())^(1/Alpha)))))</f>
        <v>0</v>
      </c>
      <c r="W418" s="19">
        <f ca="1">IF(RAND()&lt;P_Zero,0,IF(RAND()&lt;CondReturn,_xlfn.LOGNORM.INV(RAND(),MV2,Sigma1),IF(RAND()&lt;CondGood,_xlfn.LOGNORM.INV(RAND(),MV3,Sigma2),MIN(MaxMultiple,Xm/(1-RAND())^(1/Alpha)))))</f>
        <v>0.87081724174806963</v>
      </c>
      <c r="X418" s="19">
        <f ca="1">IF(RAND()&lt;P_Zero,0,IF(RAND()&lt;CondReturn,_xlfn.LOGNORM.INV(RAND(),MV2,Sigma1),IF(RAND()&lt;CondGood,_xlfn.LOGNORM.INV(RAND(),MV3,Sigma2),MIN(MaxMultiple,Xm/(1-RAND())^(1/Alpha)))))</f>
        <v>2.3243211763881959</v>
      </c>
      <c r="Y418" s="19">
        <f ca="1">IF(RAND()&lt;P_Zero,0,IF(RAND()&lt;CondReturn,_xlfn.LOGNORM.INV(RAND(),MV2,Sigma1),IF(RAND()&lt;CondGood,_xlfn.LOGNORM.INV(RAND(),MV3,Sigma2),MIN(MaxMultiple,Xm/(1-RAND())^(1/Alpha)))))</f>
        <v>0</v>
      </c>
      <c r="Z418" s="19">
        <f ca="1">IF(RAND()&lt;P_Zero,0,IF(RAND()&lt;CondReturn,_xlfn.LOGNORM.INV(RAND(),MV2,Sigma1),IF(RAND()&lt;CondGood,_xlfn.LOGNORM.INV(RAND(),MV3,Sigma2),MIN(MaxMultiple,Xm/(1-RAND())^(1/Alpha)))))</f>
        <v>0</v>
      </c>
      <c r="AA418" s="19">
        <f ca="1">IF(RAND()&lt;P_Zero,0,IF(RAND()&lt;CondReturn,_xlfn.LOGNORM.INV(RAND(),MV2,Sigma1),IF(RAND()&lt;CondGood,_xlfn.LOGNORM.INV(RAND(),MV3,Sigma2),MIN(MaxMultiple,Xm/(1-RAND())^(1/Alpha)))))</f>
        <v>1.1075839340536695</v>
      </c>
      <c r="AB418" s="19">
        <f t="shared" ca="1" si="48"/>
        <v>3.4852311472797943</v>
      </c>
      <c r="AC418" s="14">
        <f t="shared" ca="1" si="49"/>
        <v>167291095.06943014</v>
      </c>
      <c r="AD418" s="14">
        <f t="shared" ca="1" si="50"/>
        <v>119291095.06943014</v>
      </c>
      <c r="AE418" s="14">
        <f t="shared" si="51"/>
        <v>55628399.869093813</v>
      </c>
      <c r="AF418" s="14">
        <f t="shared" ca="1" si="52"/>
        <v>63662695.20033633</v>
      </c>
      <c r="AG418" s="14">
        <f t="shared" ca="1" si="53"/>
        <v>12732539.040067267</v>
      </c>
      <c r="AH418" s="14">
        <f t="shared" ca="1" si="54"/>
        <v>154558556.02936289</v>
      </c>
      <c r="AI418" s="19">
        <f t="shared" ca="1" si="55"/>
        <v>2.5759759338227148</v>
      </c>
    </row>
    <row r="419" spans="2:35" x14ac:dyDescent="0.2">
      <c r="B419" s="1">
        <v>414</v>
      </c>
      <c r="C419" s="19">
        <f ca="1">IF(RAND()&lt;P_Zero,0,IF(RAND()&lt;CondReturn,_xlfn.LOGNORM.INV(RAND(),MV2,Sigma1),IF(RAND()&lt;CondGood,_xlfn.LOGNORM.INV(RAND(),MV3,Sigma2),MIN(MaxMultiple,Xm/(1-RAND())^(1/Alpha)))))</f>
        <v>0</v>
      </c>
      <c r="D419" s="19">
        <f ca="1">IF(RAND()&lt;P_Zero,0,IF(RAND()&lt;CondReturn,_xlfn.LOGNORM.INV(RAND(),MV2,Sigma1),IF(RAND()&lt;CondGood,_xlfn.LOGNORM.INV(RAND(),MV3,Sigma2),MIN(MaxMultiple,Xm/(1-RAND())^(1/Alpha)))))</f>
        <v>0</v>
      </c>
      <c r="E419" s="19">
        <f ca="1">IF(RAND()&lt;P_Zero,0,IF(RAND()&lt;CondReturn,_xlfn.LOGNORM.INV(RAND(),MV2,Sigma1),IF(RAND()&lt;CondGood,_xlfn.LOGNORM.INV(RAND(),MV3,Sigma2),MIN(MaxMultiple,Xm/(1-RAND())^(1/Alpha)))))</f>
        <v>0</v>
      </c>
      <c r="F419" s="19">
        <f ca="1">IF(RAND()&lt;P_Zero,0,IF(RAND()&lt;CondReturn,_xlfn.LOGNORM.INV(RAND(),MV2,Sigma1),IF(RAND()&lt;CondGood,_xlfn.LOGNORM.INV(RAND(),MV3,Sigma2),MIN(MaxMultiple,Xm/(1-RAND())^(1/Alpha)))))</f>
        <v>0</v>
      </c>
      <c r="G419" s="19">
        <f ca="1">IF(RAND()&lt;P_Zero,0,IF(RAND()&lt;CondReturn,_xlfn.LOGNORM.INV(RAND(),MV2,Sigma1),IF(RAND()&lt;CondGood,_xlfn.LOGNORM.INV(RAND(),MV3,Sigma2),MIN(MaxMultiple,Xm/(1-RAND())^(1/Alpha)))))</f>
        <v>2.4667394780387752</v>
      </c>
      <c r="H419" s="19">
        <f ca="1">IF(RAND()&lt;P_Zero,0,IF(RAND()&lt;CondReturn,_xlfn.LOGNORM.INV(RAND(),MV2,Sigma1),IF(RAND()&lt;CondGood,_xlfn.LOGNORM.INV(RAND(),MV3,Sigma2),MIN(MaxMultiple,Xm/(1-RAND())^(1/Alpha)))))</f>
        <v>2.5010996364768689</v>
      </c>
      <c r="I419" s="19">
        <f ca="1">IF(RAND()&lt;P_Zero,0,IF(RAND()&lt;CondReturn,_xlfn.LOGNORM.INV(RAND(),MV2,Sigma1),IF(RAND()&lt;CondGood,_xlfn.LOGNORM.INV(RAND(),MV3,Sigma2),MIN(MaxMultiple,Xm/(1-RAND())^(1/Alpha)))))</f>
        <v>0</v>
      </c>
      <c r="J419" s="19">
        <f ca="1">IF(RAND()&lt;P_Zero,0,IF(RAND()&lt;CondReturn,_xlfn.LOGNORM.INV(RAND(),MV2,Sigma1),IF(RAND()&lt;CondGood,_xlfn.LOGNORM.INV(RAND(),MV3,Sigma2),MIN(MaxMultiple,Xm/(1-RAND())^(1/Alpha)))))</f>
        <v>0.98319792723633215</v>
      </c>
      <c r="K419" s="19">
        <f ca="1">IF(RAND()&lt;P_Zero,0,IF(RAND()&lt;CondReturn,_xlfn.LOGNORM.INV(RAND(),MV2,Sigma1),IF(RAND()&lt;CondGood,_xlfn.LOGNORM.INV(RAND(),MV3,Sigma2),MIN(MaxMultiple,Xm/(1-RAND())^(1/Alpha)))))</f>
        <v>0</v>
      </c>
      <c r="L419" s="19">
        <f ca="1">IF(RAND()&lt;P_Zero,0,IF(RAND()&lt;CondReturn,_xlfn.LOGNORM.INV(RAND(),MV2,Sigma1),IF(RAND()&lt;CondGood,_xlfn.LOGNORM.INV(RAND(),MV3,Sigma2),MIN(MaxMultiple,Xm/(1-RAND())^(1/Alpha)))))</f>
        <v>0</v>
      </c>
      <c r="M419" s="19">
        <f ca="1">IF(RAND()&lt;P_Zero,0,IF(RAND()&lt;CondReturn,_xlfn.LOGNORM.INV(RAND(),MV2,Sigma1),IF(RAND()&lt;CondGood,_xlfn.LOGNORM.INV(RAND(),MV3,Sigma2),MIN(MaxMultiple,Xm/(1-RAND())^(1/Alpha)))))</f>
        <v>0.78702312692703846</v>
      </c>
      <c r="N419" s="19">
        <f ca="1">IF(RAND()&lt;P_Zero,0,IF(RAND()&lt;CondReturn,_xlfn.LOGNORM.INV(RAND(),MV2,Sigma1),IF(RAND()&lt;CondGood,_xlfn.LOGNORM.INV(RAND(),MV3,Sigma2),MIN(MaxMultiple,Xm/(1-RAND())^(1/Alpha)))))</f>
        <v>0</v>
      </c>
      <c r="O419" s="19">
        <f ca="1">IF(RAND()&lt;P_Zero,0,IF(RAND()&lt;CondReturn,_xlfn.LOGNORM.INV(RAND(),MV2,Sigma1),IF(RAND()&lt;CondGood,_xlfn.LOGNORM.INV(RAND(),MV3,Sigma2),MIN(MaxMultiple,Xm/(1-RAND())^(1/Alpha)))))</f>
        <v>0.29841299864806298</v>
      </c>
      <c r="P419" s="19">
        <f ca="1">IF(RAND()&lt;P_Zero,0,IF(RAND()&lt;CondReturn,_xlfn.LOGNORM.INV(RAND(),MV2,Sigma1),IF(RAND()&lt;CondGood,_xlfn.LOGNORM.INV(RAND(),MV3,Sigma2),MIN(MaxMultiple,Xm/(1-RAND())^(1/Alpha)))))</f>
        <v>0</v>
      </c>
      <c r="Q419" s="19">
        <f ca="1">IF(RAND()&lt;P_Zero,0,IF(RAND()&lt;CondReturn,_xlfn.LOGNORM.INV(RAND(),MV2,Sigma1),IF(RAND()&lt;CondGood,_xlfn.LOGNORM.INV(RAND(),MV3,Sigma2),MIN(MaxMultiple,Xm/(1-RAND())^(1/Alpha)))))</f>
        <v>0</v>
      </c>
      <c r="R419" s="19">
        <f ca="1">IF(RAND()&lt;P_Zero,0,IF(RAND()&lt;CondReturn,_xlfn.LOGNORM.INV(RAND(),MV2,Sigma1),IF(RAND()&lt;CondGood,_xlfn.LOGNORM.INV(RAND(),MV3,Sigma2),MIN(MaxMultiple,Xm/(1-RAND())^(1/Alpha)))))</f>
        <v>0.63676682245752592</v>
      </c>
      <c r="S419" s="19">
        <f ca="1">IF(RAND()&lt;P_Zero,0,IF(RAND()&lt;CondReturn,_xlfn.LOGNORM.INV(RAND(),MV2,Sigma1),IF(RAND()&lt;CondGood,_xlfn.LOGNORM.INV(RAND(),MV3,Sigma2),MIN(MaxMultiple,Xm/(1-RAND())^(1/Alpha)))))</f>
        <v>0</v>
      </c>
      <c r="T419" s="19">
        <f ca="1">IF(RAND()&lt;P_Zero,0,IF(RAND()&lt;CondReturn,_xlfn.LOGNORM.INV(RAND(),MV2,Sigma1),IF(RAND()&lt;CondGood,_xlfn.LOGNORM.INV(RAND(),MV3,Sigma2),MIN(MaxMultiple,Xm/(1-RAND())^(1/Alpha)))))</f>
        <v>0.85979413420495077</v>
      </c>
      <c r="U419" s="19">
        <f ca="1">IF(RAND()&lt;P_Zero,0,IF(RAND()&lt;CondReturn,_xlfn.LOGNORM.INV(RAND(),MV2,Sigma1),IF(RAND()&lt;CondGood,_xlfn.LOGNORM.INV(RAND(),MV3,Sigma2),MIN(MaxMultiple,Xm/(1-RAND())^(1/Alpha)))))</f>
        <v>0</v>
      </c>
      <c r="V419" s="19">
        <f ca="1">IF(RAND()&lt;P_Zero,0,IF(RAND()&lt;CondReturn,_xlfn.LOGNORM.INV(RAND(),MV2,Sigma1),IF(RAND()&lt;CondGood,_xlfn.LOGNORM.INV(RAND(),MV3,Sigma2),MIN(MaxMultiple,Xm/(1-RAND())^(1/Alpha)))))</f>
        <v>1.6019146188152777</v>
      </c>
      <c r="W419" s="19">
        <f ca="1">IF(RAND()&lt;P_Zero,0,IF(RAND()&lt;CondReturn,_xlfn.LOGNORM.INV(RAND(),MV2,Sigma1),IF(RAND()&lt;CondGood,_xlfn.LOGNORM.INV(RAND(),MV3,Sigma2),MIN(MaxMultiple,Xm/(1-RAND())^(1/Alpha)))))</f>
        <v>1.6893732612457708</v>
      </c>
      <c r="X419" s="19">
        <f ca="1">IF(RAND()&lt;P_Zero,0,IF(RAND()&lt;CondReturn,_xlfn.LOGNORM.INV(RAND(),MV2,Sigma1),IF(RAND()&lt;CondGood,_xlfn.LOGNORM.INV(RAND(),MV3,Sigma2),MIN(MaxMultiple,Xm/(1-RAND())^(1/Alpha)))))</f>
        <v>0</v>
      </c>
      <c r="Y419" s="19">
        <f ca="1">IF(RAND()&lt;P_Zero,0,IF(RAND()&lt;CondReturn,_xlfn.LOGNORM.INV(RAND(),MV2,Sigma1),IF(RAND()&lt;CondGood,_xlfn.LOGNORM.INV(RAND(),MV3,Sigma2),MIN(MaxMultiple,Xm/(1-RAND())^(1/Alpha)))))</f>
        <v>0.95992157516988219</v>
      </c>
      <c r="Z419" s="19">
        <f ca="1">IF(RAND()&lt;P_Zero,0,IF(RAND()&lt;CondReturn,_xlfn.LOGNORM.INV(RAND(),MV2,Sigma1),IF(RAND()&lt;CondGood,_xlfn.LOGNORM.INV(RAND(),MV3,Sigma2),MIN(MaxMultiple,Xm/(1-RAND())^(1/Alpha)))))</f>
        <v>1.1268221089653487</v>
      </c>
      <c r="AA419" s="19">
        <f ca="1">IF(RAND()&lt;P_Zero,0,IF(RAND()&lt;CondReturn,_xlfn.LOGNORM.INV(RAND(),MV2,Sigma1),IF(RAND()&lt;CondGood,_xlfn.LOGNORM.INV(RAND(),MV3,Sigma2),MIN(MaxMultiple,Xm/(1-RAND())^(1/Alpha)))))</f>
        <v>0.56361889504463147</v>
      </c>
      <c r="AB419" s="19">
        <f t="shared" ca="1" si="48"/>
        <v>0.57898738332921862</v>
      </c>
      <c r="AC419" s="14">
        <f t="shared" ca="1" si="49"/>
        <v>27791394.399802495</v>
      </c>
      <c r="AD419" s="14">
        <f t="shared" ca="1" si="50"/>
        <v>-20208605.600197505</v>
      </c>
      <c r="AE419" s="14">
        <f t="shared" si="51"/>
        <v>55628399.869093813</v>
      </c>
      <c r="AF419" s="14">
        <f t="shared" ca="1" si="52"/>
        <v>0</v>
      </c>
      <c r="AG419" s="14">
        <f t="shared" ca="1" si="53"/>
        <v>0</v>
      </c>
      <c r="AH419" s="14">
        <f t="shared" ca="1" si="54"/>
        <v>27791394.399802495</v>
      </c>
      <c r="AI419" s="19">
        <f t="shared" ca="1" si="55"/>
        <v>0.4631899066633749</v>
      </c>
    </row>
    <row r="420" spans="2:35" x14ac:dyDescent="0.2">
      <c r="B420" s="1">
        <v>415</v>
      </c>
      <c r="C420" s="19">
        <f ca="1">IF(RAND()&lt;P_Zero,0,IF(RAND()&lt;CondReturn,_xlfn.LOGNORM.INV(RAND(),MV2,Sigma1),IF(RAND()&lt;CondGood,_xlfn.LOGNORM.INV(RAND(),MV3,Sigma2),MIN(MaxMultiple,Xm/(1-RAND())^(1/Alpha)))))</f>
        <v>0</v>
      </c>
      <c r="D420" s="19">
        <f ca="1">IF(RAND()&lt;P_Zero,0,IF(RAND()&lt;CondReturn,_xlfn.LOGNORM.INV(RAND(),MV2,Sigma1),IF(RAND()&lt;CondGood,_xlfn.LOGNORM.INV(RAND(),MV3,Sigma2),MIN(MaxMultiple,Xm/(1-RAND())^(1/Alpha)))))</f>
        <v>0</v>
      </c>
      <c r="E420" s="19">
        <f ca="1">IF(RAND()&lt;P_Zero,0,IF(RAND()&lt;CondReturn,_xlfn.LOGNORM.INV(RAND(),MV2,Sigma1),IF(RAND()&lt;CondGood,_xlfn.LOGNORM.INV(RAND(),MV3,Sigma2),MIN(MaxMultiple,Xm/(1-RAND())^(1/Alpha)))))</f>
        <v>1.2905010370750605</v>
      </c>
      <c r="F420" s="19">
        <f ca="1">IF(RAND()&lt;P_Zero,0,IF(RAND()&lt;CondReturn,_xlfn.LOGNORM.INV(RAND(),MV2,Sigma1),IF(RAND()&lt;CondGood,_xlfn.LOGNORM.INV(RAND(),MV3,Sigma2),MIN(MaxMultiple,Xm/(1-RAND())^(1/Alpha)))))</f>
        <v>0.81780252315850532</v>
      </c>
      <c r="G420" s="19">
        <f ca="1">IF(RAND()&lt;P_Zero,0,IF(RAND()&lt;CondReturn,_xlfn.LOGNORM.INV(RAND(),MV2,Sigma1),IF(RAND()&lt;CondGood,_xlfn.LOGNORM.INV(RAND(),MV3,Sigma2),MIN(MaxMultiple,Xm/(1-RAND())^(1/Alpha)))))</f>
        <v>0</v>
      </c>
      <c r="H420" s="19">
        <f ca="1">IF(RAND()&lt;P_Zero,0,IF(RAND()&lt;CondReturn,_xlfn.LOGNORM.INV(RAND(),MV2,Sigma1),IF(RAND()&lt;CondGood,_xlfn.LOGNORM.INV(RAND(),MV3,Sigma2),MIN(MaxMultiple,Xm/(1-RAND())^(1/Alpha)))))</f>
        <v>0</v>
      </c>
      <c r="I420" s="19">
        <f ca="1">IF(RAND()&lt;P_Zero,0,IF(RAND()&lt;CondReturn,_xlfn.LOGNORM.INV(RAND(),MV2,Sigma1),IF(RAND()&lt;CondGood,_xlfn.LOGNORM.INV(RAND(),MV3,Sigma2),MIN(MaxMultiple,Xm/(1-RAND())^(1/Alpha)))))</f>
        <v>0</v>
      </c>
      <c r="J420" s="19">
        <f ca="1">IF(RAND()&lt;P_Zero,0,IF(RAND()&lt;CondReturn,_xlfn.LOGNORM.INV(RAND(),MV2,Sigma1),IF(RAND()&lt;CondGood,_xlfn.LOGNORM.INV(RAND(),MV3,Sigma2),MIN(MaxMultiple,Xm/(1-RAND())^(1/Alpha)))))</f>
        <v>1.0653064252908251</v>
      </c>
      <c r="K420" s="19">
        <f ca="1">IF(RAND()&lt;P_Zero,0,IF(RAND()&lt;CondReturn,_xlfn.LOGNORM.INV(RAND(),MV2,Sigma1),IF(RAND()&lt;CondGood,_xlfn.LOGNORM.INV(RAND(),MV3,Sigma2),MIN(MaxMultiple,Xm/(1-RAND())^(1/Alpha)))))</f>
        <v>0.66065105985446382</v>
      </c>
      <c r="L420" s="19">
        <f ca="1">IF(RAND()&lt;P_Zero,0,IF(RAND()&lt;CondReturn,_xlfn.LOGNORM.INV(RAND(),MV2,Sigma1),IF(RAND()&lt;CondGood,_xlfn.LOGNORM.INV(RAND(),MV3,Sigma2),MIN(MaxMultiple,Xm/(1-RAND())^(1/Alpha)))))</f>
        <v>0</v>
      </c>
      <c r="M420" s="19">
        <f ca="1">IF(RAND()&lt;P_Zero,0,IF(RAND()&lt;CondReturn,_xlfn.LOGNORM.INV(RAND(),MV2,Sigma1),IF(RAND()&lt;CondGood,_xlfn.LOGNORM.INV(RAND(),MV3,Sigma2),MIN(MaxMultiple,Xm/(1-RAND())^(1/Alpha)))))</f>
        <v>0.94695111622608685</v>
      </c>
      <c r="N420" s="19">
        <f ca="1">IF(RAND()&lt;P_Zero,0,IF(RAND()&lt;CondReturn,_xlfn.LOGNORM.INV(RAND(),MV2,Sigma1),IF(RAND()&lt;CondGood,_xlfn.LOGNORM.INV(RAND(),MV3,Sigma2),MIN(MaxMultiple,Xm/(1-RAND())^(1/Alpha)))))</f>
        <v>18.232230171648737</v>
      </c>
      <c r="O420" s="19">
        <f ca="1">IF(RAND()&lt;P_Zero,0,IF(RAND()&lt;CondReturn,_xlfn.LOGNORM.INV(RAND(),MV2,Sigma1),IF(RAND()&lt;CondGood,_xlfn.LOGNORM.INV(RAND(),MV3,Sigma2),MIN(MaxMultiple,Xm/(1-RAND())^(1/Alpha)))))</f>
        <v>0</v>
      </c>
      <c r="P420" s="19">
        <f ca="1">IF(RAND()&lt;P_Zero,0,IF(RAND()&lt;CondReturn,_xlfn.LOGNORM.INV(RAND(),MV2,Sigma1),IF(RAND()&lt;CondGood,_xlfn.LOGNORM.INV(RAND(),MV3,Sigma2),MIN(MaxMultiple,Xm/(1-RAND())^(1/Alpha)))))</f>
        <v>0.58236085399652204</v>
      </c>
      <c r="Q420" s="19">
        <f ca="1">IF(RAND()&lt;P_Zero,0,IF(RAND()&lt;CondReturn,_xlfn.LOGNORM.INV(RAND(),MV2,Sigma1),IF(RAND()&lt;CondGood,_xlfn.LOGNORM.INV(RAND(),MV3,Sigma2),MIN(MaxMultiple,Xm/(1-RAND())^(1/Alpha)))))</f>
        <v>0</v>
      </c>
      <c r="R420" s="19">
        <f ca="1">IF(RAND()&lt;P_Zero,0,IF(RAND()&lt;CondReturn,_xlfn.LOGNORM.INV(RAND(),MV2,Sigma1),IF(RAND()&lt;CondGood,_xlfn.LOGNORM.INV(RAND(),MV3,Sigma2),MIN(MaxMultiple,Xm/(1-RAND())^(1/Alpha)))))</f>
        <v>0.49512029855944056</v>
      </c>
      <c r="S420" s="19">
        <f ca="1">IF(RAND()&lt;P_Zero,0,IF(RAND()&lt;CondReturn,_xlfn.LOGNORM.INV(RAND(),MV2,Sigma1),IF(RAND()&lt;CondGood,_xlfn.LOGNORM.INV(RAND(),MV3,Sigma2),MIN(MaxMultiple,Xm/(1-RAND())^(1/Alpha)))))</f>
        <v>0</v>
      </c>
      <c r="T420" s="19">
        <f ca="1">IF(RAND()&lt;P_Zero,0,IF(RAND()&lt;CondReturn,_xlfn.LOGNORM.INV(RAND(),MV2,Sigma1),IF(RAND()&lt;CondGood,_xlfn.LOGNORM.INV(RAND(),MV3,Sigma2),MIN(MaxMultiple,Xm/(1-RAND())^(1/Alpha)))))</f>
        <v>11.041373505232775</v>
      </c>
      <c r="U420" s="19">
        <f ca="1">IF(RAND()&lt;P_Zero,0,IF(RAND()&lt;CondReturn,_xlfn.LOGNORM.INV(RAND(),MV2,Sigma1),IF(RAND()&lt;CondGood,_xlfn.LOGNORM.INV(RAND(),MV3,Sigma2),MIN(MaxMultiple,Xm/(1-RAND())^(1/Alpha)))))</f>
        <v>19.947584562905103</v>
      </c>
      <c r="V420" s="19">
        <f ca="1">IF(RAND()&lt;P_Zero,0,IF(RAND()&lt;CondReturn,_xlfn.LOGNORM.INV(RAND(),MV2,Sigma1),IF(RAND()&lt;CondGood,_xlfn.LOGNORM.INV(RAND(),MV3,Sigma2),MIN(MaxMultiple,Xm/(1-RAND())^(1/Alpha)))))</f>
        <v>0</v>
      </c>
      <c r="W420" s="19">
        <f ca="1">IF(RAND()&lt;P_Zero,0,IF(RAND()&lt;CondReturn,_xlfn.LOGNORM.INV(RAND(),MV2,Sigma1),IF(RAND()&lt;CondGood,_xlfn.LOGNORM.INV(RAND(),MV3,Sigma2),MIN(MaxMultiple,Xm/(1-RAND())^(1/Alpha)))))</f>
        <v>0</v>
      </c>
      <c r="X420" s="19">
        <f ca="1">IF(RAND()&lt;P_Zero,0,IF(RAND()&lt;CondReturn,_xlfn.LOGNORM.INV(RAND(),MV2,Sigma1),IF(RAND()&lt;CondGood,_xlfn.LOGNORM.INV(RAND(),MV3,Sigma2),MIN(MaxMultiple,Xm/(1-RAND())^(1/Alpha)))))</f>
        <v>0</v>
      </c>
      <c r="Y420" s="19">
        <f ca="1">IF(RAND()&lt;P_Zero,0,IF(RAND()&lt;CondReturn,_xlfn.LOGNORM.INV(RAND(),MV2,Sigma1),IF(RAND()&lt;CondGood,_xlfn.LOGNORM.INV(RAND(),MV3,Sigma2),MIN(MaxMultiple,Xm/(1-RAND())^(1/Alpha)))))</f>
        <v>0</v>
      </c>
      <c r="Z420" s="19">
        <f ca="1">IF(RAND()&lt;P_Zero,0,IF(RAND()&lt;CondReturn,_xlfn.LOGNORM.INV(RAND(),MV2,Sigma1),IF(RAND()&lt;CondGood,_xlfn.LOGNORM.INV(RAND(),MV3,Sigma2),MIN(MaxMultiple,Xm/(1-RAND())^(1/Alpha)))))</f>
        <v>0.5356020977727487</v>
      </c>
      <c r="AA420" s="19">
        <f ca="1">IF(RAND()&lt;P_Zero,0,IF(RAND()&lt;CondReturn,_xlfn.LOGNORM.INV(RAND(),MV2,Sigma1),IF(RAND()&lt;CondGood,_xlfn.LOGNORM.INV(RAND(),MV3,Sigma2),MIN(MaxMultiple,Xm/(1-RAND())^(1/Alpha)))))</f>
        <v>0</v>
      </c>
      <c r="AB420" s="19">
        <f t="shared" ca="1" si="48"/>
        <v>2.2246193460688106</v>
      </c>
      <c r="AC420" s="14">
        <f t="shared" ca="1" si="49"/>
        <v>106781728.61130291</v>
      </c>
      <c r="AD420" s="14">
        <f t="shared" ca="1" si="50"/>
        <v>58781728.611302912</v>
      </c>
      <c r="AE420" s="14">
        <f t="shared" si="51"/>
        <v>55628399.869093813</v>
      </c>
      <c r="AF420" s="14">
        <f t="shared" ca="1" si="52"/>
        <v>3153328.7422090992</v>
      </c>
      <c r="AG420" s="14">
        <f t="shared" ca="1" si="53"/>
        <v>630665.74844181992</v>
      </c>
      <c r="AH420" s="14">
        <f t="shared" ca="1" si="54"/>
        <v>106151062.8628611</v>
      </c>
      <c r="AI420" s="19">
        <f t="shared" ca="1" si="55"/>
        <v>1.7691843810476851</v>
      </c>
    </row>
    <row r="421" spans="2:35" x14ac:dyDescent="0.2">
      <c r="B421" s="1">
        <v>416</v>
      </c>
      <c r="C421" s="19">
        <f ca="1">IF(RAND()&lt;P_Zero,0,IF(RAND()&lt;CondReturn,_xlfn.LOGNORM.INV(RAND(),MV2,Sigma1),IF(RAND()&lt;CondGood,_xlfn.LOGNORM.INV(RAND(),MV3,Sigma2),MIN(MaxMultiple,Xm/(1-RAND())^(1/Alpha)))))</f>
        <v>1.1813727625681019</v>
      </c>
      <c r="D421" s="19">
        <f ca="1">IF(RAND()&lt;P_Zero,0,IF(RAND()&lt;CondReturn,_xlfn.LOGNORM.INV(RAND(),MV2,Sigma1),IF(RAND()&lt;CondGood,_xlfn.LOGNORM.INV(RAND(),MV3,Sigma2),MIN(MaxMultiple,Xm/(1-RAND())^(1/Alpha)))))</f>
        <v>1.1973667908648924</v>
      </c>
      <c r="E421" s="19">
        <f ca="1">IF(RAND()&lt;P_Zero,0,IF(RAND()&lt;CondReturn,_xlfn.LOGNORM.INV(RAND(),MV2,Sigma1),IF(RAND()&lt;CondGood,_xlfn.LOGNORM.INV(RAND(),MV3,Sigma2),MIN(MaxMultiple,Xm/(1-RAND())^(1/Alpha)))))</f>
        <v>1.0657119402068156</v>
      </c>
      <c r="F421" s="19">
        <f ca="1">IF(RAND()&lt;P_Zero,0,IF(RAND()&lt;CondReturn,_xlfn.LOGNORM.INV(RAND(),MV2,Sigma1),IF(RAND()&lt;CondGood,_xlfn.LOGNORM.INV(RAND(),MV3,Sigma2),MIN(MaxMultiple,Xm/(1-RAND())^(1/Alpha)))))</f>
        <v>1.1225941066407563</v>
      </c>
      <c r="G421" s="19">
        <f ca="1">IF(RAND()&lt;P_Zero,0,IF(RAND()&lt;CondReturn,_xlfn.LOGNORM.INV(RAND(),MV2,Sigma1),IF(RAND()&lt;CondGood,_xlfn.LOGNORM.INV(RAND(),MV3,Sigma2),MIN(MaxMultiple,Xm/(1-RAND())^(1/Alpha)))))</f>
        <v>0</v>
      </c>
      <c r="H421" s="19">
        <f ca="1">IF(RAND()&lt;P_Zero,0,IF(RAND()&lt;CondReturn,_xlfn.LOGNORM.INV(RAND(),MV2,Sigma1),IF(RAND()&lt;CondGood,_xlfn.LOGNORM.INV(RAND(),MV3,Sigma2),MIN(MaxMultiple,Xm/(1-RAND())^(1/Alpha)))))</f>
        <v>0</v>
      </c>
      <c r="I421" s="19">
        <f ca="1">IF(RAND()&lt;P_Zero,0,IF(RAND()&lt;CondReturn,_xlfn.LOGNORM.INV(RAND(),MV2,Sigma1),IF(RAND()&lt;CondGood,_xlfn.LOGNORM.INV(RAND(),MV3,Sigma2),MIN(MaxMultiple,Xm/(1-RAND())^(1/Alpha)))))</f>
        <v>0</v>
      </c>
      <c r="J421" s="19">
        <f ca="1">IF(RAND()&lt;P_Zero,0,IF(RAND()&lt;CondReturn,_xlfn.LOGNORM.INV(RAND(),MV2,Sigma1),IF(RAND()&lt;CondGood,_xlfn.LOGNORM.INV(RAND(),MV3,Sigma2),MIN(MaxMultiple,Xm/(1-RAND())^(1/Alpha)))))</f>
        <v>0.55834245555123385</v>
      </c>
      <c r="K421" s="19">
        <f ca="1">IF(RAND()&lt;P_Zero,0,IF(RAND()&lt;CondReturn,_xlfn.LOGNORM.INV(RAND(),MV2,Sigma1),IF(RAND()&lt;CondGood,_xlfn.LOGNORM.INV(RAND(),MV3,Sigma2),MIN(MaxMultiple,Xm/(1-RAND())^(1/Alpha)))))</f>
        <v>28.7016133133918</v>
      </c>
      <c r="L421" s="19">
        <f ca="1">IF(RAND()&lt;P_Zero,0,IF(RAND()&lt;CondReturn,_xlfn.LOGNORM.INV(RAND(),MV2,Sigma1),IF(RAND()&lt;CondGood,_xlfn.LOGNORM.INV(RAND(),MV3,Sigma2),MIN(MaxMultiple,Xm/(1-RAND())^(1/Alpha)))))</f>
        <v>1.4841897713507146</v>
      </c>
      <c r="M421" s="19">
        <f ca="1">IF(RAND()&lt;P_Zero,0,IF(RAND()&lt;CondReturn,_xlfn.LOGNORM.INV(RAND(),MV2,Sigma1),IF(RAND()&lt;CondGood,_xlfn.LOGNORM.INV(RAND(),MV3,Sigma2),MIN(MaxMultiple,Xm/(1-RAND())^(1/Alpha)))))</f>
        <v>0.82955723370947598</v>
      </c>
      <c r="N421" s="19">
        <f ca="1">IF(RAND()&lt;P_Zero,0,IF(RAND()&lt;CondReturn,_xlfn.LOGNORM.INV(RAND(),MV2,Sigma1),IF(RAND()&lt;CondGood,_xlfn.LOGNORM.INV(RAND(),MV3,Sigma2),MIN(MaxMultiple,Xm/(1-RAND())^(1/Alpha)))))</f>
        <v>0</v>
      </c>
      <c r="O421" s="19">
        <f ca="1">IF(RAND()&lt;P_Zero,0,IF(RAND()&lt;CondReturn,_xlfn.LOGNORM.INV(RAND(),MV2,Sigma1),IF(RAND()&lt;CondGood,_xlfn.LOGNORM.INV(RAND(),MV3,Sigma2),MIN(MaxMultiple,Xm/(1-RAND())^(1/Alpha)))))</f>
        <v>0</v>
      </c>
      <c r="P421" s="19">
        <f ca="1">IF(RAND()&lt;P_Zero,0,IF(RAND()&lt;CondReturn,_xlfn.LOGNORM.INV(RAND(),MV2,Sigma1),IF(RAND()&lt;CondGood,_xlfn.LOGNORM.INV(RAND(),MV3,Sigma2),MIN(MaxMultiple,Xm/(1-RAND())^(1/Alpha)))))</f>
        <v>0</v>
      </c>
      <c r="Q421" s="19">
        <f ca="1">IF(RAND()&lt;P_Zero,0,IF(RAND()&lt;CondReturn,_xlfn.LOGNORM.INV(RAND(),MV2,Sigma1),IF(RAND()&lt;CondGood,_xlfn.LOGNORM.INV(RAND(),MV3,Sigma2),MIN(MaxMultiple,Xm/(1-RAND())^(1/Alpha)))))</f>
        <v>0</v>
      </c>
      <c r="R421" s="19">
        <f ca="1">IF(RAND()&lt;P_Zero,0,IF(RAND()&lt;CondReturn,_xlfn.LOGNORM.INV(RAND(),MV2,Sigma1),IF(RAND()&lt;CondGood,_xlfn.LOGNORM.INV(RAND(),MV3,Sigma2),MIN(MaxMultiple,Xm/(1-RAND())^(1/Alpha)))))</f>
        <v>0.87506646534692223</v>
      </c>
      <c r="S421" s="19">
        <f ca="1">IF(RAND()&lt;P_Zero,0,IF(RAND()&lt;CondReturn,_xlfn.LOGNORM.INV(RAND(),MV2,Sigma1),IF(RAND()&lt;CondGood,_xlfn.LOGNORM.INV(RAND(),MV3,Sigma2),MIN(MaxMultiple,Xm/(1-RAND())^(1/Alpha)))))</f>
        <v>11.172755900837316</v>
      </c>
      <c r="T421" s="19">
        <f ca="1">IF(RAND()&lt;P_Zero,0,IF(RAND()&lt;CondReturn,_xlfn.LOGNORM.INV(RAND(),MV2,Sigma1),IF(RAND()&lt;CondGood,_xlfn.LOGNORM.INV(RAND(),MV3,Sigma2),MIN(MaxMultiple,Xm/(1-RAND())^(1/Alpha)))))</f>
        <v>1.3203951713330073</v>
      </c>
      <c r="U421" s="19">
        <f ca="1">IF(RAND()&lt;P_Zero,0,IF(RAND()&lt;CondReturn,_xlfn.LOGNORM.INV(RAND(),MV2,Sigma1),IF(RAND()&lt;CondGood,_xlfn.LOGNORM.INV(RAND(),MV3,Sigma2),MIN(MaxMultiple,Xm/(1-RAND())^(1/Alpha)))))</f>
        <v>0.47532693318947017</v>
      </c>
      <c r="V421" s="19">
        <f ca="1">IF(RAND()&lt;P_Zero,0,IF(RAND()&lt;CondReturn,_xlfn.LOGNORM.INV(RAND(),MV2,Sigma1),IF(RAND()&lt;CondGood,_xlfn.LOGNORM.INV(RAND(),MV3,Sigma2),MIN(MaxMultiple,Xm/(1-RAND())^(1/Alpha)))))</f>
        <v>0.75763672620997946</v>
      </c>
      <c r="W421" s="19">
        <f ca="1">IF(RAND()&lt;P_Zero,0,IF(RAND()&lt;CondReturn,_xlfn.LOGNORM.INV(RAND(),MV2,Sigma1),IF(RAND()&lt;CondGood,_xlfn.LOGNORM.INV(RAND(),MV3,Sigma2),MIN(MaxMultiple,Xm/(1-RAND())^(1/Alpha)))))</f>
        <v>0</v>
      </c>
      <c r="X421" s="19">
        <f ca="1">IF(RAND()&lt;P_Zero,0,IF(RAND()&lt;CondReturn,_xlfn.LOGNORM.INV(RAND(),MV2,Sigma1),IF(RAND()&lt;CondGood,_xlfn.LOGNORM.INV(RAND(),MV3,Sigma2),MIN(MaxMultiple,Xm/(1-RAND())^(1/Alpha)))))</f>
        <v>0.95590028673294902</v>
      </c>
      <c r="Y421" s="19">
        <f ca="1">IF(RAND()&lt;P_Zero,0,IF(RAND()&lt;CondReturn,_xlfn.LOGNORM.INV(RAND(),MV2,Sigma1),IF(RAND()&lt;CondGood,_xlfn.LOGNORM.INV(RAND(),MV3,Sigma2),MIN(MaxMultiple,Xm/(1-RAND())^(1/Alpha)))))</f>
        <v>0</v>
      </c>
      <c r="Z421" s="19">
        <f ca="1">IF(RAND()&lt;P_Zero,0,IF(RAND()&lt;CondReturn,_xlfn.LOGNORM.INV(RAND(),MV2,Sigma1),IF(RAND()&lt;CondGood,_xlfn.LOGNORM.INV(RAND(),MV3,Sigma2),MIN(MaxMultiple,Xm/(1-RAND())^(1/Alpha)))))</f>
        <v>1.0810871262824797</v>
      </c>
      <c r="AA421" s="19">
        <f ca="1">IF(RAND()&lt;P_Zero,0,IF(RAND()&lt;CondReturn,_xlfn.LOGNORM.INV(RAND(),MV2,Sigma1),IF(RAND()&lt;CondGood,_xlfn.LOGNORM.INV(RAND(),MV3,Sigma2),MIN(MaxMultiple,Xm/(1-RAND())^(1/Alpha)))))</f>
        <v>1.2184950479977852</v>
      </c>
      <c r="AB421" s="19">
        <f t="shared" ca="1" si="48"/>
        <v>2.1598964812885479</v>
      </c>
      <c r="AC421" s="14">
        <f t="shared" ca="1" si="49"/>
        <v>103675031.1018503</v>
      </c>
      <c r="AD421" s="14">
        <f t="shared" ca="1" si="50"/>
        <v>55675031.101850301</v>
      </c>
      <c r="AE421" s="14">
        <f t="shared" si="51"/>
        <v>55628399.869093813</v>
      </c>
      <c r="AF421" s="14">
        <f t="shared" ca="1" si="52"/>
        <v>46631.232756488025</v>
      </c>
      <c r="AG421" s="14">
        <f t="shared" ca="1" si="53"/>
        <v>9326.246551297605</v>
      </c>
      <c r="AH421" s="14">
        <f t="shared" ca="1" si="54"/>
        <v>103665704.855299</v>
      </c>
      <c r="AI421" s="19">
        <f t="shared" ca="1" si="55"/>
        <v>1.7277617475883167</v>
      </c>
    </row>
    <row r="422" spans="2:35" x14ac:dyDescent="0.2">
      <c r="B422" s="1">
        <v>417</v>
      </c>
      <c r="C422" s="19">
        <f ca="1">IF(RAND()&lt;P_Zero,0,IF(RAND()&lt;CondReturn,_xlfn.LOGNORM.INV(RAND(),MV2,Sigma1),IF(RAND()&lt;CondGood,_xlfn.LOGNORM.INV(RAND(),MV3,Sigma2),MIN(MaxMultiple,Xm/(1-RAND())^(1/Alpha)))))</f>
        <v>0</v>
      </c>
      <c r="D422" s="19">
        <f ca="1">IF(RAND()&lt;P_Zero,0,IF(RAND()&lt;CondReturn,_xlfn.LOGNORM.INV(RAND(),MV2,Sigma1),IF(RAND()&lt;CondGood,_xlfn.LOGNORM.INV(RAND(),MV3,Sigma2),MIN(MaxMultiple,Xm/(1-RAND())^(1/Alpha)))))</f>
        <v>0</v>
      </c>
      <c r="E422" s="19">
        <f ca="1">IF(RAND()&lt;P_Zero,0,IF(RAND()&lt;CondReturn,_xlfn.LOGNORM.INV(RAND(),MV2,Sigma1),IF(RAND()&lt;CondGood,_xlfn.LOGNORM.INV(RAND(),MV3,Sigma2),MIN(MaxMultiple,Xm/(1-RAND())^(1/Alpha)))))</f>
        <v>0</v>
      </c>
      <c r="F422" s="19">
        <f ca="1">IF(RAND()&lt;P_Zero,0,IF(RAND()&lt;CondReturn,_xlfn.LOGNORM.INV(RAND(),MV2,Sigma1),IF(RAND()&lt;CondGood,_xlfn.LOGNORM.INV(RAND(),MV3,Sigma2),MIN(MaxMultiple,Xm/(1-RAND())^(1/Alpha)))))</f>
        <v>0.95754855127337413</v>
      </c>
      <c r="G422" s="19">
        <f ca="1">IF(RAND()&lt;P_Zero,0,IF(RAND()&lt;CondReturn,_xlfn.LOGNORM.INV(RAND(),MV2,Sigma1),IF(RAND()&lt;CondGood,_xlfn.LOGNORM.INV(RAND(),MV3,Sigma2),MIN(MaxMultiple,Xm/(1-RAND())^(1/Alpha)))))</f>
        <v>0.98930277817775791</v>
      </c>
      <c r="H422" s="19">
        <f ca="1">IF(RAND()&lt;P_Zero,0,IF(RAND()&lt;CondReturn,_xlfn.LOGNORM.INV(RAND(),MV2,Sigma1),IF(RAND()&lt;CondGood,_xlfn.LOGNORM.INV(RAND(),MV3,Sigma2),MIN(MaxMultiple,Xm/(1-RAND())^(1/Alpha)))))</f>
        <v>0</v>
      </c>
      <c r="I422" s="19">
        <f ca="1">IF(RAND()&lt;P_Zero,0,IF(RAND()&lt;CondReturn,_xlfn.LOGNORM.INV(RAND(),MV2,Sigma1),IF(RAND()&lt;CondGood,_xlfn.LOGNORM.INV(RAND(),MV3,Sigma2),MIN(MaxMultiple,Xm/(1-RAND())^(1/Alpha)))))</f>
        <v>0</v>
      </c>
      <c r="J422" s="19">
        <f ca="1">IF(RAND()&lt;P_Zero,0,IF(RAND()&lt;CondReturn,_xlfn.LOGNORM.INV(RAND(),MV2,Sigma1),IF(RAND()&lt;CondGood,_xlfn.LOGNORM.INV(RAND(),MV3,Sigma2),MIN(MaxMultiple,Xm/(1-RAND())^(1/Alpha)))))</f>
        <v>55.133617348588444</v>
      </c>
      <c r="K422" s="19">
        <f ca="1">IF(RAND()&lt;P_Zero,0,IF(RAND()&lt;CondReturn,_xlfn.LOGNORM.INV(RAND(),MV2,Sigma1),IF(RAND()&lt;CondGood,_xlfn.LOGNORM.INV(RAND(),MV3,Sigma2),MIN(MaxMultiple,Xm/(1-RAND())^(1/Alpha)))))</f>
        <v>0</v>
      </c>
      <c r="L422" s="19">
        <f ca="1">IF(RAND()&lt;P_Zero,0,IF(RAND()&lt;CondReturn,_xlfn.LOGNORM.INV(RAND(),MV2,Sigma1),IF(RAND()&lt;CondGood,_xlfn.LOGNORM.INV(RAND(),MV3,Sigma2),MIN(MaxMultiple,Xm/(1-RAND())^(1/Alpha)))))</f>
        <v>17.08733891021139</v>
      </c>
      <c r="M422" s="19">
        <f ca="1">IF(RAND()&lt;P_Zero,0,IF(RAND()&lt;CondReturn,_xlfn.LOGNORM.INV(RAND(),MV2,Sigma1),IF(RAND()&lt;CondGood,_xlfn.LOGNORM.INV(RAND(),MV3,Sigma2),MIN(MaxMultiple,Xm/(1-RAND())^(1/Alpha)))))</f>
        <v>0</v>
      </c>
      <c r="N422" s="19">
        <f ca="1">IF(RAND()&lt;P_Zero,0,IF(RAND()&lt;CondReturn,_xlfn.LOGNORM.INV(RAND(),MV2,Sigma1),IF(RAND()&lt;CondGood,_xlfn.LOGNORM.INV(RAND(),MV3,Sigma2),MIN(MaxMultiple,Xm/(1-RAND())^(1/Alpha)))))</f>
        <v>0.31669686656896978</v>
      </c>
      <c r="O422" s="19">
        <f ca="1">IF(RAND()&lt;P_Zero,0,IF(RAND()&lt;CondReturn,_xlfn.LOGNORM.INV(RAND(),MV2,Sigma1),IF(RAND()&lt;CondGood,_xlfn.LOGNORM.INV(RAND(),MV3,Sigma2),MIN(MaxMultiple,Xm/(1-RAND())^(1/Alpha)))))</f>
        <v>0</v>
      </c>
      <c r="P422" s="19">
        <f ca="1">IF(RAND()&lt;P_Zero,0,IF(RAND()&lt;CondReturn,_xlfn.LOGNORM.INV(RAND(),MV2,Sigma1),IF(RAND()&lt;CondGood,_xlfn.LOGNORM.INV(RAND(),MV3,Sigma2),MIN(MaxMultiple,Xm/(1-RAND())^(1/Alpha)))))</f>
        <v>1.0323979843396871</v>
      </c>
      <c r="Q422" s="19">
        <f ca="1">IF(RAND()&lt;P_Zero,0,IF(RAND()&lt;CondReturn,_xlfn.LOGNORM.INV(RAND(),MV2,Sigma1),IF(RAND()&lt;CondGood,_xlfn.LOGNORM.INV(RAND(),MV3,Sigma2),MIN(MaxMultiple,Xm/(1-RAND())^(1/Alpha)))))</f>
        <v>0</v>
      </c>
      <c r="R422" s="19">
        <f ca="1">IF(RAND()&lt;P_Zero,0,IF(RAND()&lt;CondReturn,_xlfn.LOGNORM.INV(RAND(),MV2,Sigma1),IF(RAND()&lt;CondGood,_xlfn.LOGNORM.INV(RAND(),MV3,Sigma2),MIN(MaxMultiple,Xm/(1-RAND())^(1/Alpha)))))</f>
        <v>0</v>
      </c>
      <c r="S422" s="19">
        <f ca="1">IF(RAND()&lt;P_Zero,0,IF(RAND()&lt;CondReturn,_xlfn.LOGNORM.INV(RAND(),MV2,Sigma1),IF(RAND()&lt;CondGood,_xlfn.LOGNORM.INV(RAND(),MV3,Sigma2),MIN(MaxMultiple,Xm/(1-RAND())^(1/Alpha)))))</f>
        <v>11.041725604871585</v>
      </c>
      <c r="T422" s="19">
        <f ca="1">IF(RAND()&lt;P_Zero,0,IF(RAND()&lt;CondReturn,_xlfn.LOGNORM.INV(RAND(),MV2,Sigma1),IF(RAND()&lt;CondGood,_xlfn.LOGNORM.INV(RAND(),MV3,Sigma2),MIN(MaxMultiple,Xm/(1-RAND())^(1/Alpha)))))</f>
        <v>0</v>
      </c>
      <c r="U422" s="19">
        <f ca="1">IF(RAND()&lt;P_Zero,0,IF(RAND()&lt;CondReturn,_xlfn.LOGNORM.INV(RAND(),MV2,Sigma1),IF(RAND()&lt;CondGood,_xlfn.LOGNORM.INV(RAND(),MV3,Sigma2),MIN(MaxMultiple,Xm/(1-RAND())^(1/Alpha)))))</f>
        <v>0.95816984069238886</v>
      </c>
      <c r="V422" s="19">
        <f ca="1">IF(RAND()&lt;P_Zero,0,IF(RAND()&lt;CondReturn,_xlfn.LOGNORM.INV(RAND(),MV2,Sigma1),IF(RAND()&lt;CondGood,_xlfn.LOGNORM.INV(RAND(),MV3,Sigma2),MIN(MaxMultiple,Xm/(1-RAND())^(1/Alpha)))))</f>
        <v>0</v>
      </c>
      <c r="W422" s="19">
        <f ca="1">IF(RAND()&lt;P_Zero,0,IF(RAND()&lt;CondReturn,_xlfn.LOGNORM.INV(RAND(),MV2,Sigma1),IF(RAND()&lt;CondGood,_xlfn.LOGNORM.INV(RAND(),MV3,Sigma2),MIN(MaxMultiple,Xm/(1-RAND())^(1/Alpha)))))</f>
        <v>0.88938157482378022</v>
      </c>
      <c r="X422" s="19">
        <f ca="1">IF(RAND()&lt;P_Zero,0,IF(RAND()&lt;CondReturn,_xlfn.LOGNORM.INV(RAND(),MV2,Sigma1),IF(RAND()&lt;CondGood,_xlfn.LOGNORM.INV(RAND(),MV3,Sigma2),MIN(MaxMultiple,Xm/(1-RAND())^(1/Alpha)))))</f>
        <v>1.1974813519377467</v>
      </c>
      <c r="Y422" s="19">
        <f ca="1">IF(RAND()&lt;P_Zero,0,IF(RAND()&lt;CondReturn,_xlfn.LOGNORM.INV(RAND(),MV2,Sigma1),IF(RAND()&lt;CondGood,_xlfn.LOGNORM.INV(RAND(),MV3,Sigma2),MIN(MaxMultiple,Xm/(1-RAND())^(1/Alpha)))))</f>
        <v>0.48982590356644989</v>
      </c>
      <c r="Z422" s="19">
        <f ca="1">IF(RAND()&lt;P_Zero,0,IF(RAND()&lt;CondReturn,_xlfn.LOGNORM.INV(RAND(),MV2,Sigma1),IF(RAND()&lt;CondGood,_xlfn.LOGNORM.INV(RAND(),MV3,Sigma2),MIN(MaxMultiple,Xm/(1-RAND())^(1/Alpha)))))</f>
        <v>0.68886615296219367</v>
      </c>
      <c r="AA422" s="19">
        <f ca="1">IF(RAND()&lt;P_Zero,0,IF(RAND()&lt;CondReturn,_xlfn.LOGNORM.INV(RAND(),MV2,Sigma1),IF(RAND()&lt;CondGood,_xlfn.LOGNORM.INV(RAND(),MV3,Sigma2),MIN(MaxMultiple,Xm/(1-RAND())^(1/Alpha)))))</f>
        <v>1.1910990405194166</v>
      </c>
      <c r="AB422" s="19">
        <f t="shared" ca="1" si="48"/>
        <v>3.6789380763413284</v>
      </c>
      <c r="AC422" s="14">
        <f t="shared" ca="1" si="49"/>
        <v>176589027.66438377</v>
      </c>
      <c r="AD422" s="14">
        <f t="shared" ca="1" si="50"/>
        <v>128589027.66438377</v>
      </c>
      <c r="AE422" s="14">
        <f t="shared" si="51"/>
        <v>55628399.869093813</v>
      </c>
      <c r="AF422" s="14">
        <f t="shared" ca="1" si="52"/>
        <v>72960627.795289963</v>
      </c>
      <c r="AG422" s="14">
        <f t="shared" ca="1" si="53"/>
        <v>14592125.559057994</v>
      </c>
      <c r="AH422" s="14">
        <f t="shared" ca="1" si="54"/>
        <v>161996902.10532579</v>
      </c>
      <c r="AI422" s="19">
        <f t="shared" ca="1" si="55"/>
        <v>2.6999483684220964</v>
      </c>
    </row>
    <row r="423" spans="2:35" x14ac:dyDescent="0.2">
      <c r="B423" s="1">
        <v>418</v>
      </c>
      <c r="C423" s="19">
        <f ca="1">IF(RAND()&lt;P_Zero,0,IF(RAND()&lt;CondReturn,_xlfn.LOGNORM.INV(RAND(),MV2,Sigma1),IF(RAND()&lt;CondGood,_xlfn.LOGNORM.INV(RAND(),MV3,Sigma2),MIN(MaxMultiple,Xm/(1-RAND())^(1/Alpha)))))</f>
        <v>2.5602681409764498</v>
      </c>
      <c r="D423" s="19">
        <f ca="1">IF(RAND()&lt;P_Zero,0,IF(RAND()&lt;CondReturn,_xlfn.LOGNORM.INV(RAND(),MV2,Sigma1),IF(RAND()&lt;CondGood,_xlfn.LOGNORM.INV(RAND(),MV3,Sigma2),MIN(MaxMultiple,Xm/(1-RAND())^(1/Alpha)))))</f>
        <v>0</v>
      </c>
      <c r="E423" s="19">
        <f ca="1">IF(RAND()&lt;P_Zero,0,IF(RAND()&lt;CondReturn,_xlfn.LOGNORM.INV(RAND(),MV2,Sigma1),IF(RAND()&lt;CondGood,_xlfn.LOGNORM.INV(RAND(),MV3,Sigma2),MIN(MaxMultiple,Xm/(1-RAND())^(1/Alpha)))))</f>
        <v>300</v>
      </c>
      <c r="F423" s="19">
        <f ca="1">IF(RAND()&lt;P_Zero,0,IF(RAND()&lt;CondReturn,_xlfn.LOGNORM.INV(RAND(),MV2,Sigma1),IF(RAND()&lt;CondGood,_xlfn.LOGNORM.INV(RAND(),MV3,Sigma2),MIN(MaxMultiple,Xm/(1-RAND())^(1/Alpha)))))</f>
        <v>18.152601456135198</v>
      </c>
      <c r="G423" s="19">
        <f ca="1">IF(RAND()&lt;P_Zero,0,IF(RAND()&lt;CondReturn,_xlfn.LOGNORM.INV(RAND(),MV2,Sigma1),IF(RAND()&lt;CondGood,_xlfn.LOGNORM.INV(RAND(),MV3,Sigma2),MIN(MaxMultiple,Xm/(1-RAND())^(1/Alpha)))))</f>
        <v>0.85594769520868808</v>
      </c>
      <c r="H423" s="19">
        <f ca="1">IF(RAND()&lt;P_Zero,0,IF(RAND()&lt;CondReturn,_xlfn.LOGNORM.INV(RAND(),MV2,Sigma1),IF(RAND()&lt;CondGood,_xlfn.LOGNORM.INV(RAND(),MV3,Sigma2),MIN(MaxMultiple,Xm/(1-RAND())^(1/Alpha)))))</f>
        <v>300</v>
      </c>
      <c r="I423" s="19">
        <f ca="1">IF(RAND()&lt;P_Zero,0,IF(RAND()&lt;CondReturn,_xlfn.LOGNORM.INV(RAND(),MV2,Sigma1),IF(RAND()&lt;CondGood,_xlfn.LOGNORM.INV(RAND(),MV3,Sigma2),MIN(MaxMultiple,Xm/(1-RAND())^(1/Alpha)))))</f>
        <v>1.6328578774815459</v>
      </c>
      <c r="J423" s="19">
        <f ca="1">IF(RAND()&lt;P_Zero,0,IF(RAND()&lt;CondReturn,_xlfn.LOGNORM.INV(RAND(),MV2,Sigma1),IF(RAND()&lt;CondGood,_xlfn.LOGNORM.INV(RAND(),MV3,Sigma2),MIN(MaxMultiple,Xm/(1-RAND())^(1/Alpha)))))</f>
        <v>0</v>
      </c>
      <c r="K423" s="19">
        <f ca="1">IF(RAND()&lt;P_Zero,0,IF(RAND()&lt;CondReturn,_xlfn.LOGNORM.INV(RAND(),MV2,Sigma1),IF(RAND()&lt;CondGood,_xlfn.LOGNORM.INV(RAND(),MV3,Sigma2),MIN(MaxMultiple,Xm/(1-RAND())^(1/Alpha)))))</f>
        <v>0</v>
      </c>
      <c r="L423" s="19">
        <f ca="1">IF(RAND()&lt;P_Zero,0,IF(RAND()&lt;CondReturn,_xlfn.LOGNORM.INV(RAND(),MV2,Sigma1),IF(RAND()&lt;CondGood,_xlfn.LOGNORM.INV(RAND(),MV3,Sigma2),MIN(MaxMultiple,Xm/(1-RAND())^(1/Alpha)))))</f>
        <v>0</v>
      </c>
      <c r="M423" s="19">
        <f ca="1">IF(RAND()&lt;P_Zero,0,IF(RAND()&lt;CondReturn,_xlfn.LOGNORM.INV(RAND(),MV2,Sigma1),IF(RAND()&lt;CondGood,_xlfn.LOGNORM.INV(RAND(),MV3,Sigma2),MIN(MaxMultiple,Xm/(1-RAND())^(1/Alpha)))))</f>
        <v>0.77966617666872517</v>
      </c>
      <c r="N423" s="19">
        <f ca="1">IF(RAND()&lt;P_Zero,0,IF(RAND()&lt;CondReturn,_xlfn.LOGNORM.INV(RAND(),MV2,Sigma1),IF(RAND()&lt;CondGood,_xlfn.LOGNORM.INV(RAND(),MV3,Sigma2),MIN(MaxMultiple,Xm/(1-RAND())^(1/Alpha)))))</f>
        <v>0</v>
      </c>
      <c r="O423" s="19">
        <f ca="1">IF(RAND()&lt;P_Zero,0,IF(RAND()&lt;CondReturn,_xlfn.LOGNORM.INV(RAND(),MV2,Sigma1),IF(RAND()&lt;CondGood,_xlfn.LOGNORM.INV(RAND(),MV3,Sigma2),MIN(MaxMultiple,Xm/(1-RAND())^(1/Alpha)))))</f>
        <v>1.5764910720525267</v>
      </c>
      <c r="P423" s="19">
        <f ca="1">IF(RAND()&lt;P_Zero,0,IF(RAND()&lt;CondReturn,_xlfn.LOGNORM.INV(RAND(),MV2,Sigma1),IF(RAND()&lt;CondGood,_xlfn.LOGNORM.INV(RAND(),MV3,Sigma2),MIN(MaxMultiple,Xm/(1-RAND())^(1/Alpha)))))</f>
        <v>0.54379300665675734</v>
      </c>
      <c r="Q423" s="19">
        <f ca="1">IF(RAND()&lt;P_Zero,0,IF(RAND()&lt;CondReturn,_xlfn.LOGNORM.INV(RAND(),MV2,Sigma1),IF(RAND()&lt;CondGood,_xlfn.LOGNORM.INV(RAND(),MV3,Sigma2),MIN(MaxMultiple,Xm/(1-RAND())^(1/Alpha)))))</f>
        <v>0.5211341759773046</v>
      </c>
      <c r="R423" s="19">
        <f ca="1">IF(RAND()&lt;P_Zero,0,IF(RAND()&lt;CondReturn,_xlfn.LOGNORM.INV(RAND(),MV2,Sigma1),IF(RAND()&lt;CondGood,_xlfn.LOGNORM.INV(RAND(),MV3,Sigma2),MIN(MaxMultiple,Xm/(1-RAND())^(1/Alpha)))))</f>
        <v>2.7291262984150877</v>
      </c>
      <c r="S423" s="19">
        <f ca="1">IF(RAND()&lt;P_Zero,0,IF(RAND()&lt;CondReturn,_xlfn.LOGNORM.INV(RAND(),MV2,Sigma1),IF(RAND()&lt;CondGood,_xlfn.LOGNORM.INV(RAND(),MV3,Sigma2),MIN(MaxMultiple,Xm/(1-RAND())^(1/Alpha)))))</f>
        <v>1.2131773617360737</v>
      </c>
      <c r="T423" s="19">
        <f ca="1">IF(RAND()&lt;P_Zero,0,IF(RAND()&lt;CondReturn,_xlfn.LOGNORM.INV(RAND(),MV2,Sigma1),IF(RAND()&lt;CondGood,_xlfn.LOGNORM.INV(RAND(),MV3,Sigma2),MIN(MaxMultiple,Xm/(1-RAND())^(1/Alpha)))))</f>
        <v>0</v>
      </c>
      <c r="U423" s="19">
        <f ca="1">IF(RAND()&lt;P_Zero,0,IF(RAND()&lt;CondReturn,_xlfn.LOGNORM.INV(RAND(),MV2,Sigma1),IF(RAND()&lt;CondGood,_xlfn.LOGNORM.INV(RAND(),MV3,Sigma2),MIN(MaxMultiple,Xm/(1-RAND())^(1/Alpha)))))</f>
        <v>0.45078375248918978</v>
      </c>
      <c r="V423" s="19">
        <f ca="1">IF(RAND()&lt;P_Zero,0,IF(RAND()&lt;CondReturn,_xlfn.LOGNORM.INV(RAND(),MV2,Sigma1),IF(RAND()&lt;CondGood,_xlfn.LOGNORM.INV(RAND(),MV3,Sigma2),MIN(MaxMultiple,Xm/(1-RAND())^(1/Alpha)))))</f>
        <v>0</v>
      </c>
      <c r="W423" s="19">
        <f ca="1">IF(RAND()&lt;P_Zero,0,IF(RAND()&lt;CondReturn,_xlfn.LOGNORM.INV(RAND(),MV2,Sigma1),IF(RAND()&lt;CondGood,_xlfn.LOGNORM.INV(RAND(),MV3,Sigma2),MIN(MaxMultiple,Xm/(1-RAND())^(1/Alpha)))))</f>
        <v>0</v>
      </c>
      <c r="X423" s="19">
        <f ca="1">IF(RAND()&lt;P_Zero,0,IF(RAND()&lt;CondReturn,_xlfn.LOGNORM.INV(RAND(),MV2,Sigma1),IF(RAND()&lt;CondGood,_xlfn.LOGNORM.INV(RAND(),MV3,Sigma2),MIN(MaxMultiple,Xm/(1-RAND())^(1/Alpha)))))</f>
        <v>0</v>
      </c>
      <c r="Y423" s="19">
        <f ca="1">IF(RAND()&lt;P_Zero,0,IF(RAND()&lt;CondReturn,_xlfn.LOGNORM.INV(RAND(),MV2,Sigma1),IF(RAND()&lt;CondGood,_xlfn.LOGNORM.INV(RAND(),MV3,Sigma2),MIN(MaxMultiple,Xm/(1-RAND())^(1/Alpha)))))</f>
        <v>0</v>
      </c>
      <c r="Z423" s="19">
        <f ca="1">IF(RAND()&lt;P_Zero,0,IF(RAND()&lt;CondReturn,_xlfn.LOGNORM.INV(RAND(),MV2,Sigma1),IF(RAND()&lt;CondGood,_xlfn.LOGNORM.INV(RAND(),MV3,Sigma2),MIN(MaxMultiple,Xm/(1-RAND())^(1/Alpha)))))</f>
        <v>0.48372883501535568</v>
      </c>
      <c r="AA423" s="19">
        <f ca="1">IF(RAND()&lt;P_Zero,0,IF(RAND()&lt;CondReturn,_xlfn.LOGNORM.INV(RAND(),MV2,Sigma1),IF(RAND()&lt;CondGood,_xlfn.LOGNORM.INV(RAND(),MV3,Sigma2),MIN(MaxMultiple,Xm/(1-RAND())^(1/Alpha)))))</f>
        <v>1.7517793429338144</v>
      </c>
      <c r="AB423" s="19">
        <f t="shared" ca="1" si="48"/>
        <v>25.33005420766986</v>
      </c>
      <c r="AC423" s="14">
        <f t="shared" ca="1" si="49"/>
        <v>1215842601.9681532</v>
      </c>
      <c r="AD423" s="14">
        <f t="shared" ca="1" si="50"/>
        <v>1167842601.9681532</v>
      </c>
      <c r="AE423" s="14">
        <f t="shared" si="51"/>
        <v>55628399.869093813</v>
      </c>
      <c r="AF423" s="14">
        <f t="shared" ca="1" si="52"/>
        <v>1112214202.0990593</v>
      </c>
      <c r="AG423" s="14">
        <f t="shared" ca="1" si="53"/>
        <v>222442840.41981187</v>
      </c>
      <c r="AH423" s="14">
        <f t="shared" ca="1" si="54"/>
        <v>993399761.54834139</v>
      </c>
      <c r="AI423" s="19">
        <f t="shared" ca="1" si="55"/>
        <v>16.556662692472358</v>
      </c>
    </row>
    <row r="424" spans="2:35" x14ac:dyDescent="0.2">
      <c r="B424" s="1">
        <v>419</v>
      </c>
      <c r="C424" s="19">
        <f ca="1">IF(RAND()&lt;P_Zero,0,IF(RAND()&lt;CondReturn,_xlfn.LOGNORM.INV(RAND(),MV2,Sigma1),IF(RAND()&lt;CondGood,_xlfn.LOGNORM.INV(RAND(),MV3,Sigma2),MIN(MaxMultiple,Xm/(1-RAND())^(1/Alpha)))))</f>
        <v>1.0346252580503368</v>
      </c>
      <c r="D424" s="19">
        <f ca="1">IF(RAND()&lt;P_Zero,0,IF(RAND()&lt;CondReturn,_xlfn.LOGNORM.INV(RAND(),MV2,Sigma1),IF(RAND()&lt;CondGood,_xlfn.LOGNORM.INV(RAND(),MV3,Sigma2),MIN(MaxMultiple,Xm/(1-RAND())^(1/Alpha)))))</f>
        <v>0.35534773633587746</v>
      </c>
      <c r="E424" s="19">
        <f ca="1">IF(RAND()&lt;P_Zero,0,IF(RAND()&lt;CondReturn,_xlfn.LOGNORM.INV(RAND(),MV2,Sigma1),IF(RAND()&lt;CondGood,_xlfn.LOGNORM.INV(RAND(),MV3,Sigma2),MIN(MaxMultiple,Xm/(1-RAND())^(1/Alpha)))))</f>
        <v>0.56125923860470095</v>
      </c>
      <c r="F424" s="19">
        <f ca="1">IF(RAND()&lt;P_Zero,0,IF(RAND()&lt;CondReturn,_xlfn.LOGNORM.INV(RAND(),MV2,Sigma1),IF(RAND()&lt;CondGood,_xlfn.LOGNORM.INV(RAND(),MV3,Sigma2),MIN(MaxMultiple,Xm/(1-RAND())^(1/Alpha)))))</f>
        <v>0.57459143323680895</v>
      </c>
      <c r="G424" s="19">
        <f ca="1">IF(RAND()&lt;P_Zero,0,IF(RAND()&lt;CondReturn,_xlfn.LOGNORM.INV(RAND(),MV2,Sigma1),IF(RAND()&lt;CondGood,_xlfn.LOGNORM.INV(RAND(),MV3,Sigma2),MIN(MaxMultiple,Xm/(1-RAND())^(1/Alpha)))))</f>
        <v>0</v>
      </c>
      <c r="H424" s="19">
        <f ca="1">IF(RAND()&lt;P_Zero,0,IF(RAND()&lt;CondReturn,_xlfn.LOGNORM.INV(RAND(),MV2,Sigma1),IF(RAND()&lt;CondGood,_xlfn.LOGNORM.INV(RAND(),MV3,Sigma2),MIN(MaxMultiple,Xm/(1-RAND())^(1/Alpha)))))</f>
        <v>1.3900281168317361</v>
      </c>
      <c r="I424" s="19">
        <f ca="1">IF(RAND()&lt;P_Zero,0,IF(RAND()&lt;CondReturn,_xlfn.LOGNORM.INV(RAND(),MV2,Sigma1),IF(RAND()&lt;CondGood,_xlfn.LOGNORM.INV(RAND(),MV3,Sigma2),MIN(MaxMultiple,Xm/(1-RAND())^(1/Alpha)))))</f>
        <v>1.9407606279869041</v>
      </c>
      <c r="J424" s="19">
        <f ca="1">IF(RAND()&lt;P_Zero,0,IF(RAND()&lt;CondReturn,_xlfn.LOGNORM.INV(RAND(),MV2,Sigma1),IF(RAND()&lt;CondGood,_xlfn.LOGNORM.INV(RAND(),MV3,Sigma2),MIN(MaxMultiple,Xm/(1-RAND())^(1/Alpha)))))</f>
        <v>1.542886879118434</v>
      </c>
      <c r="K424" s="19">
        <f ca="1">IF(RAND()&lt;P_Zero,0,IF(RAND()&lt;CondReturn,_xlfn.LOGNORM.INV(RAND(),MV2,Sigma1),IF(RAND()&lt;CondGood,_xlfn.LOGNORM.INV(RAND(),MV3,Sigma2),MIN(MaxMultiple,Xm/(1-RAND())^(1/Alpha)))))</f>
        <v>0.45609384595139502</v>
      </c>
      <c r="L424" s="19">
        <f ca="1">IF(RAND()&lt;P_Zero,0,IF(RAND()&lt;CondReturn,_xlfn.LOGNORM.INV(RAND(),MV2,Sigma1),IF(RAND()&lt;CondGood,_xlfn.LOGNORM.INV(RAND(),MV3,Sigma2),MIN(MaxMultiple,Xm/(1-RAND())^(1/Alpha)))))</f>
        <v>1.2127630319871392</v>
      </c>
      <c r="M424" s="19">
        <f ca="1">IF(RAND()&lt;P_Zero,0,IF(RAND()&lt;CondReturn,_xlfn.LOGNORM.INV(RAND(),MV2,Sigma1),IF(RAND()&lt;CondGood,_xlfn.LOGNORM.INV(RAND(),MV3,Sigma2),MIN(MaxMultiple,Xm/(1-RAND())^(1/Alpha)))))</f>
        <v>0.26736099085481496</v>
      </c>
      <c r="N424" s="19">
        <f ca="1">IF(RAND()&lt;P_Zero,0,IF(RAND()&lt;CondReturn,_xlfn.LOGNORM.INV(RAND(),MV2,Sigma1),IF(RAND()&lt;CondGood,_xlfn.LOGNORM.INV(RAND(),MV3,Sigma2),MIN(MaxMultiple,Xm/(1-RAND())^(1/Alpha)))))</f>
        <v>0</v>
      </c>
      <c r="O424" s="19">
        <f ca="1">IF(RAND()&lt;P_Zero,0,IF(RAND()&lt;CondReturn,_xlfn.LOGNORM.INV(RAND(),MV2,Sigma1),IF(RAND()&lt;CondGood,_xlfn.LOGNORM.INV(RAND(),MV3,Sigma2),MIN(MaxMultiple,Xm/(1-RAND())^(1/Alpha)))))</f>
        <v>0</v>
      </c>
      <c r="P424" s="19">
        <f ca="1">IF(RAND()&lt;P_Zero,0,IF(RAND()&lt;CondReturn,_xlfn.LOGNORM.INV(RAND(),MV2,Sigma1),IF(RAND()&lt;CondGood,_xlfn.LOGNORM.INV(RAND(),MV3,Sigma2),MIN(MaxMultiple,Xm/(1-RAND())^(1/Alpha)))))</f>
        <v>0</v>
      </c>
      <c r="Q424" s="19">
        <f ca="1">IF(RAND()&lt;P_Zero,0,IF(RAND()&lt;CondReturn,_xlfn.LOGNORM.INV(RAND(),MV2,Sigma1),IF(RAND()&lt;CondGood,_xlfn.LOGNORM.INV(RAND(),MV3,Sigma2),MIN(MaxMultiple,Xm/(1-RAND())^(1/Alpha)))))</f>
        <v>0.61204751313224237</v>
      </c>
      <c r="R424" s="19">
        <f ca="1">IF(RAND()&lt;P_Zero,0,IF(RAND()&lt;CondReturn,_xlfn.LOGNORM.INV(RAND(),MV2,Sigma1),IF(RAND()&lt;CondGood,_xlfn.LOGNORM.INV(RAND(),MV3,Sigma2),MIN(MaxMultiple,Xm/(1-RAND())^(1/Alpha)))))</f>
        <v>0</v>
      </c>
      <c r="S424" s="19">
        <f ca="1">IF(RAND()&lt;P_Zero,0,IF(RAND()&lt;CondReturn,_xlfn.LOGNORM.INV(RAND(),MV2,Sigma1),IF(RAND()&lt;CondGood,_xlfn.LOGNORM.INV(RAND(),MV3,Sigma2),MIN(MaxMultiple,Xm/(1-RAND())^(1/Alpha)))))</f>
        <v>0</v>
      </c>
      <c r="T424" s="19">
        <f ca="1">IF(RAND()&lt;P_Zero,0,IF(RAND()&lt;CondReturn,_xlfn.LOGNORM.INV(RAND(),MV2,Sigma1),IF(RAND()&lt;CondGood,_xlfn.LOGNORM.INV(RAND(),MV3,Sigma2),MIN(MaxMultiple,Xm/(1-RAND())^(1/Alpha)))))</f>
        <v>1.4922959045455129</v>
      </c>
      <c r="U424" s="19">
        <f ca="1">IF(RAND()&lt;P_Zero,0,IF(RAND()&lt;CondReturn,_xlfn.LOGNORM.INV(RAND(),MV2,Sigma1),IF(RAND()&lt;CondGood,_xlfn.LOGNORM.INV(RAND(),MV3,Sigma2),MIN(MaxMultiple,Xm/(1-RAND())^(1/Alpha)))))</f>
        <v>0.21525620363204714</v>
      </c>
      <c r="V424" s="19">
        <f ca="1">IF(RAND()&lt;P_Zero,0,IF(RAND()&lt;CondReturn,_xlfn.LOGNORM.INV(RAND(),MV2,Sigma1),IF(RAND()&lt;CondGood,_xlfn.LOGNORM.INV(RAND(),MV3,Sigma2),MIN(MaxMultiple,Xm/(1-RAND())^(1/Alpha)))))</f>
        <v>0.29553383316462761</v>
      </c>
      <c r="W424" s="19">
        <f ca="1">IF(RAND()&lt;P_Zero,0,IF(RAND()&lt;CondReturn,_xlfn.LOGNORM.INV(RAND(),MV2,Sigma1),IF(RAND()&lt;CondGood,_xlfn.LOGNORM.INV(RAND(),MV3,Sigma2),MIN(MaxMultiple,Xm/(1-RAND())^(1/Alpha)))))</f>
        <v>1.6879164322638158</v>
      </c>
      <c r="X424" s="19">
        <f ca="1">IF(RAND()&lt;P_Zero,0,IF(RAND()&lt;CondReturn,_xlfn.LOGNORM.INV(RAND(),MV2,Sigma1),IF(RAND()&lt;CondGood,_xlfn.LOGNORM.INV(RAND(),MV3,Sigma2),MIN(MaxMultiple,Xm/(1-RAND())^(1/Alpha)))))</f>
        <v>0</v>
      </c>
      <c r="Y424" s="19">
        <f ca="1">IF(RAND()&lt;P_Zero,0,IF(RAND()&lt;CondReturn,_xlfn.LOGNORM.INV(RAND(),MV2,Sigma1),IF(RAND()&lt;CondGood,_xlfn.LOGNORM.INV(RAND(),MV3,Sigma2),MIN(MaxMultiple,Xm/(1-RAND())^(1/Alpha)))))</f>
        <v>1.1680553451628408</v>
      </c>
      <c r="Z424" s="19">
        <f ca="1">IF(RAND()&lt;P_Zero,0,IF(RAND()&lt;CondReturn,_xlfn.LOGNORM.INV(RAND(),MV2,Sigma1),IF(RAND()&lt;CondGood,_xlfn.LOGNORM.INV(RAND(),MV3,Sigma2),MIN(MaxMultiple,Xm/(1-RAND())^(1/Alpha)))))</f>
        <v>0</v>
      </c>
      <c r="AA424" s="19">
        <f ca="1">IF(RAND()&lt;P_Zero,0,IF(RAND()&lt;CondReturn,_xlfn.LOGNORM.INV(RAND(),MV2,Sigma1),IF(RAND()&lt;CondGood,_xlfn.LOGNORM.INV(RAND(),MV3,Sigma2),MIN(MaxMultiple,Xm/(1-RAND())^(1/Alpha)))))</f>
        <v>0.59790101629348213</v>
      </c>
      <c r="AB424" s="19">
        <f t="shared" ca="1" si="48"/>
        <v>0.61618893628610871</v>
      </c>
      <c r="AC424" s="14">
        <f t="shared" ca="1" si="49"/>
        <v>29577068.941733219</v>
      </c>
      <c r="AD424" s="14">
        <f t="shared" ca="1" si="50"/>
        <v>-18422931.058266781</v>
      </c>
      <c r="AE424" s="14">
        <f t="shared" si="51"/>
        <v>55628399.869093813</v>
      </c>
      <c r="AF424" s="14">
        <f t="shared" ca="1" si="52"/>
        <v>0</v>
      </c>
      <c r="AG424" s="14">
        <f t="shared" ca="1" si="53"/>
        <v>0</v>
      </c>
      <c r="AH424" s="14">
        <f t="shared" ca="1" si="54"/>
        <v>29577068.941733219</v>
      </c>
      <c r="AI424" s="19">
        <f t="shared" ca="1" si="55"/>
        <v>0.49295114902888698</v>
      </c>
    </row>
    <row r="425" spans="2:35" x14ac:dyDescent="0.2">
      <c r="B425" s="1">
        <v>420</v>
      </c>
      <c r="C425" s="19">
        <f ca="1">IF(RAND()&lt;P_Zero,0,IF(RAND()&lt;CondReturn,_xlfn.LOGNORM.INV(RAND(),MV2,Sigma1),IF(RAND()&lt;CondGood,_xlfn.LOGNORM.INV(RAND(),MV3,Sigma2),MIN(MaxMultiple,Xm/(1-RAND())^(1/Alpha)))))</f>
        <v>0.8085543158887214</v>
      </c>
      <c r="D425" s="19">
        <f ca="1">IF(RAND()&lt;P_Zero,0,IF(RAND()&lt;CondReturn,_xlfn.LOGNORM.INV(RAND(),MV2,Sigma1),IF(RAND()&lt;CondGood,_xlfn.LOGNORM.INV(RAND(),MV3,Sigma2),MIN(MaxMultiple,Xm/(1-RAND())^(1/Alpha)))))</f>
        <v>12.711561163902605</v>
      </c>
      <c r="E425" s="19">
        <f ca="1">IF(RAND()&lt;P_Zero,0,IF(RAND()&lt;CondReturn,_xlfn.LOGNORM.INV(RAND(),MV2,Sigma1),IF(RAND()&lt;CondGood,_xlfn.LOGNORM.INV(RAND(),MV3,Sigma2),MIN(MaxMultiple,Xm/(1-RAND())^(1/Alpha)))))</f>
        <v>0.72786532967005979</v>
      </c>
      <c r="F425" s="19">
        <f ca="1">IF(RAND()&lt;P_Zero,0,IF(RAND()&lt;CondReturn,_xlfn.LOGNORM.INV(RAND(),MV2,Sigma1),IF(RAND()&lt;CondGood,_xlfn.LOGNORM.INV(RAND(),MV3,Sigma2),MIN(MaxMultiple,Xm/(1-RAND())^(1/Alpha)))))</f>
        <v>0.4560531166495414</v>
      </c>
      <c r="G425" s="19">
        <f ca="1">IF(RAND()&lt;P_Zero,0,IF(RAND()&lt;CondReturn,_xlfn.LOGNORM.INV(RAND(),MV2,Sigma1),IF(RAND()&lt;CondGood,_xlfn.LOGNORM.INV(RAND(),MV3,Sigma2),MIN(MaxMultiple,Xm/(1-RAND())^(1/Alpha)))))</f>
        <v>0.37267549972447722</v>
      </c>
      <c r="H425" s="19">
        <f ca="1">IF(RAND()&lt;P_Zero,0,IF(RAND()&lt;CondReturn,_xlfn.LOGNORM.INV(RAND(),MV2,Sigma1),IF(RAND()&lt;CondGood,_xlfn.LOGNORM.INV(RAND(),MV3,Sigma2),MIN(MaxMultiple,Xm/(1-RAND())^(1/Alpha)))))</f>
        <v>0.8433447805428671</v>
      </c>
      <c r="I425" s="19">
        <f ca="1">IF(RAND()&lt;P_Zero,0,IF(RAND()&lt;CondReturn,_xlfn.LOGNORM.INV(RAND(),MV2,Sigma1),IF(RAND()&lt;CondGood,_xlfn.LOGNORM.INV(RAND(),MV3,Sigma2),MIN(MaxMultiple,Xm/(1-RAND())^(1/Alpha)))))</f>
        <v>0</v>
      </c>
      <c r="J425" s="19">
        <f ca="1">IF(RAND()&lt;P_Zero,0,IF(RAND()&lt;CondReturn,_xlfn.LOGNORM.INV(RAND(),MV2,Sigma1),IF(RAND()&lt;CondGood,_xlfn.LOGNORM.INV(RAND(),MV3,Sigma2),MIN(MaxMultiple,Xm/(1-RAND())^(1/Alpha)))))</f>
        <v>0</v>
      </c>
      <c r="K425" s="19">
        <f ca="1">IF(RAND()&lt;P_Zero,0,IF(RAND()&lt;CondReturn,_xlfn.LOGNORM.INV(RAND(),MV2,Sigma1),IF(RAND()&lt;CondGood,_xlfn.LOGNORM.INV(RAND(),MV3,Sigma2),MIN(MaxMultiple,Xm/(1-RAND())^(1/Alpha)))))</f>
        <v>0</v>
      </c>
      <c r="L425" s="19">
        <f ca="1">IF(RAND()&lt;P_Zero,0,IF(RAND()&lt;CondReturn,_xlfn.LOGNORM.INV(RAND(),MV2,Sigma1),IF(RAND()&lt;CondGood,_xlfn.LOGNORM.INV(RAND(),MV3,Sigma2),MIN(MaxMultiple,Xm/(1-RAND())^(1/Alpha)))))</f>
        <v>0.13884658603840075</v>
      </c>
      <c r="M425" s="19">
        <f ca="1">IF(RAND()&lt;P_Zero,0,IF(RAND()&lt;CondReturn,_xlfn.LOGNORM.INV(RAND(),MV2,Sigma1),IF(RAND()&lt;CondGood,_xlfn.LOGNORM.INV(RAND(),MV3,Sigma2),MIN(MaxMultiple,Xm/(1-RAND())^(1/Alpha)))))</f>
        <v>0</v>
      </c>
      <c r="N425" s="19">
        <f ca="1">IF(RAND()&lt;P_Zero,0,IF(RAND()&lt;CondReturn,_xlfn.LOGNORM.INV(RAND(),MV2,Sigma1),IF(RAND()&lt;CondGood,_xlfn.LOGNORM.INV(RAND(),MV3,Sigma2),MIN(MaxMultiple,Xm/(1-RAND())^(1/Alpha)))))</f>
        <v>0.9356656171059845</v>
      </c>
      <c r="O425" s="19">
        <f ca="1">IF(RAND()&lt;P_Zero,0,IF(RAND()&lt;CondReturn,_xlfn.LOGNORM.INV(RAND(),MV2,Sigma1),IF(RAND()&lt;CondGood,_xlfn.LOGNORM.INV(RAND(),MV3,Sigma2),MIN(MaxMultiple,Xm/(1-RAND())^(1/Alpha)))))</f>
        <v>0.8245076424038652</v>
      </c>
      <c r="P425" s="19">
        <f ca="1">IF(RAND()&lt;P_Zero,0,IF(RAND()&lt;CondReturn,_xlfn.LOGNORM.INV(RAND(),MV2,Sigma1),IF(RAND()&lt;CondGood,_xlfn.LOGNORM.INV(RAND(),MV3,Sigma2),MIN(MaxMultiple,Xm/(1-RAND())^(1/Alpha)))))</f>
        <v>41.273084766677115</v>
      </c>
      <c r="Q425" s="19">
        <f ca="1">IF(RAND()&lt;P_Zero,0,IF(RAND()&lt;CondReturn,_xlfn.LOGNORM.INV(RAND(),MV2,Sigma1),IF(RAND()&lt;CondGood,_xlfn.LOGNORM.INV(RAND(),MV3,Sigma2),MIN(MaxMultiple,Xm/(1-RAND())^(1/Alpha)))))</f>
        <v>1.1567461496210056</v>
      </c>
      <c r="R425" s="19">
        <f ca="1">IF(RAND()&lt;P_Zero,0,IF(RAND()&lt;CondReturn,_xlfn.LOGNORM.INV(RAND(),MV2,Sigma1),IF(RAND()&lt;CondGood,_xlfn.LOGNORM.INV(RAND(),MV3,Sigma2),MIN(MaxMultiple,Xm/(1-RAND())^(1/Alpha)))))</f>
        <v>39.463877957184174</v>
      </c>
      <c r="S425" s="19">
        <f ca="1">IF(RAND()&lt;P_Zero,0,IF(RAND()&lt;CondReturn,_xlfn.LOGNORM.INV(RAND(),MV2,Sigma1),IF(RAND()&lt;CondGood,_xlfn.LOGNORM.INV(RAND(),MV3,Sigma2),MIN(MaxMultiple,Xm/(1-RAND())^(1/Alpha)))))</f>
        <v>0</v>
      </c>
      <c r="T425" s="19">
        <f ca="1">IF(RAND()&lt;P_Zero,0,IF(RAND()&lt;CondReturn,_xlfn.LOGNORM.INV(RAND(),MV2,Sigma1),IF(RAND()&lt;CondGood,_xlfn.LOGNORM.INV(RAND(),MV3,Sigma2),MIN(MaxMultiple,Xm/(1-RAND())^(1/Alpha)))))</f>
        <v>0.57881212493864498</v>
      </c>
      <c r="U425" s="19">
        <f ca="1">IF(RAND()&lt;P_Zero,0,IF(RAND()&lt;CondReturn,_xlfn.LOGNORM.INV(RAND(),MV2,Sigma1),IF(RAND()&lt;CondGood,_xlfn.LOGNORM.INV(RAND(),MV3,Sigma2),MIN(MaxMultiple,Xm/(1-RAND())^(1/Alpha)))))</f>
        <v>1.0304328642581577</v>
      </c>
      <c r="V425" s="19">
        <f ca="1">IF(RAND()&lt;P_Zero,0,IF(RAND()&lt;CondReturn,_xlfn.LOGNORM.INV(RAND(),MV2,Sigma1),IF(RAND()&lt;CondGood,_xlfn.LOGNORM.INV(RAND(),MV3,Sigma2),MIN(MaxMultiple,Xm/(1-RAND())^(1/Alpha)))))</f>
        <v>0.66402070462820517</v>
      </c>
      <c r="W425" s="19">
        <f ca="1">IF(RAND()&lt;P_Zero,0,IF(RAND()&lt;CondReturn,_xlfn.LOGNORM.INV(RAND(),MV2,Sigma1),IF(RAND()&lt;CondGood,_xlfn.LOGNORM.INV(RAND(),MV3,Sigma2),MIN(MaxMultiple,Xm/(1-RAND())^(1/Alpha)))))</f>
        <v>15.137276535019518</v>
      </c>
      <c r="X425" s="19">
        <f ca="1">IF(RAND()&lt;P_Zero,0,IF(RAND()&lt;CondReturn,_xlfn.LOGNORM.INV(RAND(),MV2,Sigma1),IF(RAND()&lt;CondGood,_xlfn.LOGNORM.INV(RAND(),MV3,Sigma2),MIN(MaxMultiple,Xm/(1-RAND())^(1/Alpha)))))</f>
        <v>0</v>
      </c>
      <c r="Y425" s="19">
        <f ca="1">IF(RAND()&lt;P_Zero,0,IF(RAND()&lt;CondReturn,_xlfn.LOGNORM.INV(RAND(),MV2,Sigma1),IF(RAND()&lt;CondGood,_xlfn.LOGNORM.INV(RAND(),MV3,Sigma2),MIN(MaxMultiple,Xm/(1-RAND())^(1/Alpha)))))</f>
        <v>1.7948977146236158</v>
      </c>
      <c r="Z425" s="19">
        <f ca="1">IF(RAND()&lt;P_Zero,0,IF(RAND()&lt;CondReturn,_xlfn.LOGNORM.INV(RAND(),MV2,Sigma1),IF(RAND()&lt;CondGood,_xlfn.LOGNORM.INV(RAND(),MV3,Sigma2),MIN(MaxMultiple,Xm/(1-RAND())^(1/Alpha)))))</f>
        <v>1.6760623032777868</v>
      </c>
      <c r="AA425" s="19">
        <f ca="1">IF(RAND()&lt;P_Zero,0,IF(RAND()&lt;CondReturn,_xlfn.LOGNORM.INV(RAND(),MV2,Sigma1),IF(RAND()&lt;CondGood,_xlfn.LOGNORM.INV(RAND(),MV3,Sigma2),MIN(MaxMultiple,Xm/(1-RAND())^(1/Alpha)))))</f>
        <v>0</v>
      </c>
      <c r="AB425" s="19">
        <f t="shared" ca="1" si="48"/>
        <v>4.8237714068861903</v>
      </c>
      <c r="AC425" s="14">
        <f t="shared" ca="1" si="49"/>
        <v>231541027.53053713</v>
      </c>
      <c r="AD425" s="14">
        <f t="shared" ca="1" si="50"/>
        <v>183541027.53053713</v>
      </c>
      <c r="AE425" s="14">
        <f t="shared" si="51"/>
        <v>55628399.869093813</v>
      </c>
      <c r="AF425" s="14">
        <f t="shared" ca="1" si="52"/>
        <v>127912627.66144332</v>
      </c>
      <c r="AG425" s="14">
        <f t="shared" ca="1" si="53"/>
        <v>25582525.532288667</v>
      </c>
      <c r="AH425" s="14">
        <f t="shared" ca="1" si="54"/>
        <v>205958501.99824846</v>
      </c>
      <c r="AI425" s="19">
        <f t="shared" ca="1" si="55"/>
        <v>3.4326416999708078</v>
      </c>
    </row>
    <row r="426" spans="2:35" x14ac:dyDescent="0.2">
      <c r="B426" s="1">
        <v>421</v>
      </c>
      <c r="C426" s="19">
        <f ca="1">IF(RAND()&lt;P_Zero,0,IF(RAND()&lt;CondReturn,_xlfn.LOGNORM.INV(RAND(),MV2,Sigma1),IF(RAND()&lt;CondGood,_xlfn.LOGNORM.INV(RAND(),MV3,Sigma2),MIN(MaxMultiple,Xm/(1-RAND())^(1/Alpha)))))</f>
        <v>0.70254546891546077</v>
      </c>
      <c r="D426" s="19">
        <f ca="1">IF(RAND()&lt;P_Zero,0,IF(RAND()&lt;CondReturn,_xlfn.LOGNORM.INV(RAND(),MV2,Sigma1),IF(RAND()&lt;CondGood,_xlfn.LOGNORM.INV(RAND(),MV3,Sigma2),MIN(MaxMultiple,Xm/(1-RAND())^(1/Alpha)))))</f>
        <v>0</v>
      </c>
      <c r="E426" s="19">
        <f ca="1">IF(RAND()&lt;P_Zero,0,IF(RAND()&lt;CondReturn,_xlfn.LOGNORM.INV(RAND(),MV2,Sigma1),IF(RAND()&lt;CondGood,_xlfn.LOGNORM.INV(RAND(),MV3,Sigma2),MIN(MaxMultiple,Xm/(1-RAND())^(1/Alpha)))))</f>
        <v>0</v>
      </c>
      <c r="F426" s="19">
        <f ca="1">IF(RAND()&lt;P_Zero,0,IF(RAND()&lt;CondReturn,_xlfn.LOGNORM.INV(RAND(),MV2,Sigma1),IF(RAND()&lt;CondGood,_xlfn.LOGNORM.INV(RAND(),MV3,Sigma2),MIN(MaxMultiple,Xm/(1-RAND())^(1/Alpha)))))</f>
        <v>0</v>
      </c>
      <c r="G426" s="19">
        <f ca="1">IF(RAND()&lt;P_Zero,0,IF(RAND()&lt;CondReturn,_xlfn.LOGNORM.INV(RAND(),MV2,Sigma1),IF(RAND()&lt;CondGood,_xlfn.LOGNORM.INV(RAND(),MV3,Sigma2),MIN(MaxMultiple,Xm/(1-RAND())^(1/Alpha)))))</f>
        <v>0</v>
      </c>
      <c r="H426" s="19">
        <f ca="1">IF(RAND()&lt;P_Zero,0,IF(RAND()&lt;CondReturn,_xlfn.LOGNORM.INV(RAND(),MV2,Sigma1),IF(RAND()&lt;CondGood,_xlfn.LOGNORM.INV(RAND(),MV3,Sigma2),MIN(MaxMultiple,Xm/(1-RAND())^(1/Alpha)))))</f>
        <v>0</v>
      </c>
      <c r="I426" s="19">
        <f ca="1">IF(RAND()&lt;P_Zero,0,IF(RAND()&lt;CondReturn,_xlfn.LOGNORM.INV(RAND(),MV2,Sigma1),IF(RAND()&lt;CondGood,_xlfn.LOGNORM.INV(RAND(),MV3,Sigma2),MIN(MaxMultiple,Xm/(1-RAND())^(1/Alpha)))))</f>
        <v>0.54627126109524138</v>
      </c>
      <c r="J426" s="19">
        <f ca="1">IF(RAND()&lt;P_Zero,0,IF(RAND()&lt;CondReturn,_xlfn.LOGNORM.INV(RAND(),MV2,Sigma1),IF(RAND()&lt;CondGood,_xlfn.LOGNORM.INV(RAND(),MV3,Sigma2),MIN(MaxMultiple,Xm/(1-RAND())^(1/Alpha)))))</f>
        <v>0.49993864555375872</v>
      </c>
      <c r="K426" s="19">
        <f ca="1">IF(RAND()&lt;P_Zero,0,IF(RAND()&lt;CondReturn,_xlfn.LOGNORM.INV(RAND(),MV2,Sigma1),IF(RAND()&lt;CondGood,_xlfn.LOGNORM.INV(RAND(),MV3,Sigma2),MIN(MaxMultiple,Xm/(1-RAND())^(1/Alpha)))))</f>
        <v>0.87646218249491503</v>
      </c>
      <c r="L426" s="19">
        <f ca="1">IF(RAND()&lt;P_Zero,0,IF(RAND()&lt;CondReturn,_xlfn.LOGNORM.INV(RAND(),MV2,Sigma1),IF(RAND()&lt;CondGood,_xlfn.LOGNORM.INV(RAND(),MV3,Sigma2),MIN(MaxMultiple,Xm/(1-RAND())^(1/Alpha)))))</f>
        <v>1.3636233411531569</v>
      </c>
      <c r="M426" s="19">
        <f ca="1">IF(RAND()&lt;P_Zero,0,IF(RAND()&lt;CondReturn,_xlfn.LOGNORM.INV(RAND(),MV2,Sigma1),IF(RAND()&lt;CondGood,_xlfn.LOGNORM.INV(RAND(),MV3,Sigma2),MIN(MaxMultiple,Xm/(1-RAND())^(1/Alpha)))))</f>
        <v>2.606888231844477</v>
      </c>
      <c r="N426" s="19">
        <f ca="1">IF(RAND()&lt;P_Zero,0,IF(RAND()&lt;CondReturn,_xlfn.LOGNORM.INV(RAND(),MV2,Sigma1),IF(RAND()&lt;CondGood,_xlfn.LOGNORM.INV(RAND(),MV3,Sigma2),MIN(MaxMultiple,Xm/(1-RAND())^(1/Alpha)))))</f>
        <v>2.8540050349698052</v>
      </c>
      <c r="O426" s="19">
        <f ca="1">IF(RAND()&lt;P_Zero,0,IF(RAND()&lt;CondReturn,_xlfn.LOGNORM.INV(RAND(),MV2,Sigma1),IF(RAND()&lt;CondGood,_xlfn.LOGNORM.INV(RAND(),MV3,Sigma2),MIN(MaxMultiple,Xm/(1-RAND())^(1/Alpha)))))</f>
        <v>0</v>
      </c>
      <c r="P426" s="19">
        <f ca="1">IF(RAND()&lt;P_Zero,0,IF(RAND()&lt;CondReturn,_xlfn.LOGNORM.INV(RAND(),MV2,Sigma1),IF(RAND()&lt;CondGood,_xlfn.LOGNORM.INV(RAND(),MV3,Sigma2),MIN(MaxMultiple,Xm/(1-RAND())^(1/Alpha)))))</f>
        <v>0</v>
      </c>
      <c r="Q426" s="19">
        <f ca="1">IF(RAND()&lt;P_Zero,0,IF(RAND()&lt;CondReturn,_xlfn.LOGNORM.INV(RAND(),MV2,Sigma1),IF(RAND()&lt;CondGood,_xlfn.LOGNORM.INV(RAND(),MV3,Sigma2),MIN(MaxMultiple,Xm/(1-RAND())^(1/Alpha)))))</f>
        <v>0</v>
      </c>
      <c r="R426" s="19">
        <f ca="1">IF(RAND()&lt;P_Zero,0,IF(RAND()&lt;CondReturn,_xlfn.LOGNORM.INV(RAND(),MV2,Sigma1),IF(RAND()&lt;CondGood,_xlfn.LOGNORM.INV(RAND(),MV3,Sigma2),MIN(MaxMultiple,Xm/(1-RAND())^(1/Alpha)))))</f>
        <v>3.3260241748716508</v>
      </c>
      <c r="S426" s="19">
        <f ca="1">IF(RAND()&lt;P_Zero,0,IF(RAND()&lt;CondReturn,_xlfn.LOGNORM.INV(RAND(),MV2,Sigma1),IF(RAND()&lt;CondGood,_xlfn.LOGNORM.INV(RAND(),MV3,Sigma2),MIN(MaxMultiple,Xm/(1-RAND())^(1/Alpha)))))</f>
        <v>0.59596274317837394</v>
      </c>
      <c r="T426" s="19">
        <f ca="1">IF(RAND()&lt;P_Zero,0,IF(RAND()&lt;CondReturn,_xlfn.LOGNORM.INV(RAND(),MV2,Sigma1),IF(RAND()&lt;CondGood,_xlfn.LOGNORM.INV(RAND(),MV3,Sigma2),MIN(MaxMultiple,Xm/(1-RAND())^(1/Alpha)))))</f>
        <v>1.3746447620468576</v>
      </c>
      <c r="U426" s="19">
        <f ca="1">IF(RAND()&lt;P_Zero,0,IF(RAND()&lt;CondReturn,_xlfn.LOGNORM.INV(RAND(),MV2,Sigma1),IF(RAND()&lt;CondGood,_xlfn.LOGNORM.INV(RAND(),MV3,Sigma2),MIN(MaxMultiple,Xm/(1-RAND())^(1/Alpha)))))</f>
        <v>15.235540330224817</v>
      </c>
      <c r="V426" s="19">
        <f ca="1">IF(RAND()&lt;P_Zero,0,IF(RAND()&lt;CondReturn,_xlfn.LOGNORM.INV(RAND(),MV2,Sigma1),IF(RAND()&lt;CondGood,_xlfn.LOGNORM.INV(RAND(),MV3,Sigma2),MIN(MaxMultiple,Xm/(1-RAND())^(1/Alpha)))))</f>
        <v>0</v>
      </c>
      <c r="W426" s="19">
        <f ca="1">IF(RAND()&lt;P_Zero,0,IF(RAND()&lt;CondReturn,_xlfn.LOGNORM.INV(RAND(),MV2,Sigma1),IF(RAND()&lt;CondGood,_xlfn.LOGNORM.INV(RAND(),MV3,Sigma2),MIN(MaxMultiple,Xm/(1-RAND())^(1/Alpha)))))</f>
        <v>0</v>
      </c>
      <c r="X426" s="19">
        <f ca="1">IF(RAND()&lt;P_Zero,0,IF(RAND()&lt;CondReturn,_xlfn.LOGNORM.INV(RAND(),MV2,Sigma1),IF(RAND()&lt;CondGood,_xlfn.LOGNORM.INV(RAND(),MV3,Sigma2),MIN(MaxMultiple,Xm/(1-RAND())^(1/Alpha)))))</f>
        <v>0.70321746518908768</v>
      </c>
      <c r="Y426" s="19">
        <f ca="1">IF(RAND()&lt;P_Zero,0,IF(RAND()&lt;CondReturn,_xlfn.LOGNORM.INV(RAND(),MV2,Sigma1),IF(RAND()&lt;CondGood,_xlfn.LOGNORM.INV(RAND(),MV3,Sigma2),MIN(MaxMultiple,Xm/(1-RAND())^(1/Alpha)))))</f>
        <v>1.2656012130349892</v>
      </c>
      <c r="Z426" s="19">
        <f ca="1">IF(RAND()&lt;P_Zero,0,IF(RAND()&lt;CondReturn,_xlfn.LOGNORM.INV(RAND(),MV2,Sigma1),IF(RAND()&lt;CondGood,_xlfn.LOGNORM.INV(RAND(),MV3,Sigma2),MIN(MaxMultiple,Xm/(1-RAND())^(1/Alpha)))))</f>
        <v>1.2039817199405025</v>
      </c>
      <c r="AA426" s="19">
        <f ca="1">IF(RAND()&lt;P_Zero,0,IF(RAND()&lt;CondReturn,_xlfn.LOGNORM.INV(RAND(),MV2,Sigma1),IF(RAND()&lt;CondGood,_xlfn.LOGNORM.INV(RAND(),MV3,Sigma2),MIN(MaxMultiple,Xm/(1-RAND())^(1/Alpha)))))</f>
        <v>0</v>
      </c>
      <c r="AB426" s="19">
        <f t="shared" ca="1" si="48"/>
        <v>1.3261882629805239</v>
      </c>
      <c r="AC426" s="14">
        <f t="shared" ca="1" si="49"/>
        <v>63657036.623065151</v>
      </c>
      <c r="AD426" s="14">
        <f t="shared" ca="1" si="50"/>
        <v>15657036.623065151</v>
      </c>
      <c r="AE426" s="14">
        <f t="shared" si="51"/>
        <v>55628399.869093813</v>
      </c>
      <c r="AF426" s="14">
        <f t="shared" ca="1" si="52"/>
        <v>0</v>
      </c>
      <c r="AG426" s="14">
        <f t="shared" ca="1" si="53"/>
        <v>0</v>
      </c>
      <c r="AH426" s="14">
        <f t="shared" ca="1" si="54"/>
        <v>63657036.623065151</v>
      </c>
      <c r="AI426" s="19">
        <f t="shared" ca="1" si="55"/>
        <v>1.0609506103844193</v>
      </c>
    </row>
    <row r="427" spans="2:35" x14ac:dyDescent="0.2">
      <c r="B427" s="1">
        <v>422</v>
      </c>
      <c r="C427" s="19">
        <f ca="1">IF(RAND()&lt;P_Zero,0,IF(RAND()&lt;CondReturn,_xlfn.LOGNORM.INV(RAND(),MV2,Sigma1),IF(RAND()&lt;CondGood,_xlfn.LOGNORM.INV(RAND(),MV3,Sigma2),MIN(MaxMultiple,Xm/(1-RAND())^(1/Alpha)))))</f>
        <v>0</v>
      </c>
      <c r="D427" s="19">
        <f ca="1">IF(RAND()&lt;P_Zero,0,IF(RAND()&lt;CondReturn,_xlfn.LOGNORM.INV(RAND(),MV2,Sigma1),IF(RAND()&lt;CondGood,_xlfn.LOGNORM.INV(RAND(),MV3,Sigma2),MIN(MaxMultiple,Xm/(1-RAND())^(1/Alpha)))))</f>
        <v>0</v>
      </c>
      <c r="E427" s="19">
        <f ca="1">IF(RAND()&lt;P_Zero,0,IF(RAND()&lt;CondReturn,_xlfn.LOGNORM.INV(RAND(),MV2,Sigma1),IF(RAND()&lt;CondGood,_xlfn.LOGNORM.INV(RAND(),MV3,Sigma2),MIN(MaxMultiple,Xm/(1-RAND())^(1/Alpha)))))</f>
        <v>0</v>
      </c>
      <c r="F427" s="19">
        <f ca="1">IF(RAND()&lt;P_Zero,0,IF(RAND()&lt;CondReturn,_xlfn.LOGNORM.INV(RAND(),MV2,Sigma1),IF(RAND()&lt;CondGood,_xlfn.LOGNORM.INV(RAND(),MV3,Sigma2),MIN(MaxMultiple,Xm/(1-RAND())^(1/Alpha)))))</f>
        <v>0</v>
      </c>
      <c r="G427" s="19">
        <f ca="1">IF(RAND()&lt;P_Zero,0,IF(RAND()&lt;CondReturn,_xlfn.LOGNORM.INV(RAND(),MV2,Sigma1),IF(RAND()&lt;CondGood,_xlfn.LOGNORM.INV(RAND(),MV3,Sigma2),MIN(MaxMultiple,Xm/(1-RAND())^(1/Alpha)))))</f>
        <v>0</v>
      </c>
      <c r="H427" s="19">
        <f ca="1">IF(RAND()&lt;P_Zero,0,IF(RAND()&lt;CondReturn,_xlfn.LOGNORM.INV(RAND(),MV2,Sigma1),IF(RAND()&lt;CondGood,_xlfn.LOGNORM.INV(RAND(),MV3,Sigma2),MIN(MaxMultiple,Xm/(1-RAND())^(1/Alpha)))))</f>
        <v>0.89797104824175245</v>
      </c>
      <c r="I427" s="19">
        <f ca="1">IF(RAND()&lt;P_Zero,0,IF(RAND()&lt;CondReturn,_xlfn.LOGNORM.INV(RAND(),MV2,Sigma1),IF(RAND()&lt;CondGood,_xlfn.LOGNORM.INV(RAND(),MV3,Sigma2),MIN(MaxMultiple,Xm/(1-RAND())^(1/Alpha)))))</f>
        <v>0.49624531825719104</v>
      </c>
      <c r="J427" s="19">
        <f ca="1">IF(RAND()&lt;P_Zero,0,IF(RAND()&lt;CondReturn,_xlfn.LOGNORM.INV(RAND(),MV2,Sigma1),IF(RAND()&lt;CondGood,_xlfn.LOGNORM.INV(RAND(),MV3,Sigma2),MIN(MaxMultiple,Xm/(1-RAND())^(1/Alpha)))))</f>
        <v>0.3770610565377191</v>
      </c>
      <c r="K427" s="19">
        <f ca="1">IF(RAND()&lt;P_Zero,0,IF(RAND()&lt;CondReturn,_xlfn.LOGNORM.INV(RAND(),MV2,Sigma1),IF(RAND()&lt;CondGood,_xlfn.LOGNORM.INV(RAND(),MV3,Sigma2),MIN(MaxMultiple,Xm/(1-RAND())^(1/Alpha)))))</f>
        <v>0</v>
      </c>
      <c r="L427" s="19">
        <f ca="1">IF(RAND()&lt;P_Zero,0,IF(RAND()&lt;CondReturn,_xlfn.LOGNORM.INV(RAND(),MV2,Sigma1),IF(RAND()&lt;CondGood,_xlfn.LOGNORM.INV(RAND(),MV3,Sigma2),MIN(MaxMultiple,Xm/(1-RAND())^(1/Alpha)))))</f>
        <v>0</v>
      </c>
      <c r="M427" s="19">
        <f ca="1">IF(RAND()&lt;P_Zero,0,IF(RAND()&lt;CondReturn,_xlfn.LOGNORM.INV(RAND(),MV2,Sigma1),IF(RAND()&lt;CondGood,_xlfn.LOGNORM.INV(RAND(),MV3,Sigma2),MIN(MaxMultiple,Xm/(1-RAND())^(1/Alpha)))))</f>
        <v>0.88388031958448676</v>
      </c>
      <c r="N427" s="19">
        <f ca="1">IF(RAND()&lt;P_Zero,0,IF(RAND()&lt;CondReturn,_xlfn.LOGNORM.INV(RAND(),MV2,Sigma1),IF(RAND()&lt;CondGood,_xlfn.LOGNORM.INV(RAND(),MV3,Sigma2),MIN(MaxMultiple,Xm/(1-RAND())^(1/Alpha)))))</f>
        <v>1.3202371933514045</v>
      </c>
      <c r="O427" s="19">
        <f ca="1">IF(RAND()&lt;P_Zero,0,IF(RAND()&lt;CondReturn,_xlfn.LOGNORM.INV(RAND(),MV2,Sigma1),IF(RAND()&lt;CondGood,_xlfn.LOGNORM.INV(RAND(),MV3,Sigma2),MIN(MaxMultiple,Xm/(1-RAND())^(1/Alpha)))))</f>
        <v>0</v>
      </c>
      <c r="P427" s="19">
        <f ca="1">IF(RAND()&lt;P_Zero,0,IF(RAND()&lt;CondReturn,_xlfn.LOGNORM.INV(RAND(),MV2,Sigma1),IF(RAND()&lt;CondGood,_xlfn.LOGNORM.INV(RAND(),MV3,Sigma2),MIN(MaxMultiple,Xm/(1-RAND())^(1/Alpha)))))</f>
        <v>1.0919983619092746</v>
      </c>
      <c r="Q427" s="19">
        <f ca="1">IF(RAND()&lt;P_Zero,0,IF(RAND()&lt;CondReturn,_xlfn.LOGNORM.INV(RAND(),MV2,Sigma1),IF(RAND()&lt;CondGood,_xlfn.LOGNORM.INV(RAND(),MV3,Sigma2),MIN(MaxMultiple,Xm/(1-RAND())^(1/Alpha)))))</f>
        <v>1.0971661094635425</v>
      </c>
      <c r="R427" s="19">
        <f ca="1">IF(RAND()&lt;P_Zero,0,IF(RAND()&lt;CondReturn,_xlfn.LOGNORM.INV(RAND(),MV2,Sigma1),IF(RAND()&lt;CondGood,_xlfn.LOGNORM.INV(RAND(),MV3,Sigma2),MIN(MaxMultiple,Xm/(1-RAND())^(1/Alpha)))))</f>
        <v>1.1950333829883482</v>
      </c>
      <c r="S427" s="19">
        <f ca="1">IF(RAND()&lt;P_Zero,0,IF(RAND()&lt;CondReturn,_xlfn.LOGNORM.INV(RAND(),MV2,Sigma1),IF(RAND()&lt;CondGood,_xlfn.LOGNORM.INV(RAND(),MV3,Sigma2),MIN(MaxMultiple,Xm/(1-RAND())^(1/Alpha)))))</f>
        <v>0.9463763517896594</v>
      </c>
      <c r="T427" s="19">
        <f ca="1">IF(RAND()&lt;P_Zero,0,IF(RAND()&lt;CondReturn,_xlfn.LOGNORM.INV(RAND(),MV2,Sigma1),IF(RAND()&lt;CondGood,_xlfn.LOGNORM.INV(RAND(),MV3,Sigma2),MIN(MaxMultiple,Xm/(1-RAND())^(1/Alpha)))))</f>
        <v>11.653057236200205</v>
      </c>
      <c r="U427" s="19">
        <f ca="1">IF(RAND()&lt;P_Zero,0,IF(RAND()&lt;CondReturn,_xlfn.LOGNORM.INV(RAND(),MV2,Sigma1),IF(RAND()&lt;CondGood,_xlfn.LOGNORM.INV(RAND(),MV3,Sigma2),MIN(MaxMultiple,Xm/(1-RAND())^(1/Alpha)))))</f>
        <v>0</v>
      </c>
      <c r="V427" s="19">
        <f ca="1">IF(RAND()&lt;P_Zero,0,IF(RAND()&lt;CondReturn,_xlfn.LOGNORM.INV(RAND(),MV2,Sigma1),IF(RAND()&lt;CondGood,_xlfn.LOGNORM.INV(RAND(),MV3,Sigma2),MIN(MaxMultiple,Xm/(1-RAND())^(1/Alpha)))))</f>
        <v>0.69914072370363467</v>
      </c>
      <c r="W427" s="19">
        <f ca="1">IF(RAND()&lt;P_Zero,0,IF(RAND()&lt;CondReturn,_xlfn.LOGNORM.INV(RAND(),MV2,Sigma1),IF(RAND()&lt;CondGood,_xlfn.LOGNORM.INV(RAND(),MV3,Sigma2),MIN(MaxMultiple,Xm/(1-RAND())^(1/Alpha)))))</f>
        <v>1.4500335930375756</v>
      </c>
      <c r="X427" s="19">
        <f ca="1">IF(RAND()&lt;P_Zero,0,IF(RAND()&lt;CondReturn,_xlfn.LOGNORM.INV(RAND(),MV2,Sigma1),IF(RAND()&lt;CondGood,_xlfn.LOGNORM.INV(RAND(),MV3,Sigma2),MIN(MaxMultiple,Xm/(1-RAND())^(1/Alpha)))))</f>
        <v>1.0186461513680098</v>
      </c>
      <c r="Y427" s="19">
        <f ca="1">IF(RAND()&lt;P_Zero,0,IF(RAND()&lt;CondReturn,_xlfn.LOGNORM.INV(RAND(),MV2,Sigma1),IF(RAND()&lt;CondGood,_xlfn.LOGNORM.INV(RAND(),MV3,Sigma2),MIN(MaxMultiple,Xm/(1-RAND())^(1/Alpha)))))</f>
        <v>23.803379093336009</v>
      </c>
      <c r="Z427" s="19">
        <f ca="1">IF(RAND()&lt;P_Zero,0,IF(RAND()&lt;CondReturn,_xlfn.LOGNORM.INV(RAND(),MV2,Sigma1),IF(RAND()&lt;CondGood,_xlfn.LOGNORM.INV(RAND(),MV3,Sigma2),MIN(MaxMultiple,Xm/(1-RAND())^(1/Alpha)))))</f>
        <v>0</v>
      </c>
      <c r="AA427" s="19">
        <f ca="1">IF(RAND()&lt;P_Zero,0,IF(RAND()&lt;CondReturn,_xlfn.LOGNORM.INV(RAND(),MV2,Sigma1),IF(RAND()&lt;CondGood,_xlfn.LOGNORM.INV(RAND(),MV3,Sigma2),MIN(MaxMultiple,Xm/(1-RAND())^(1/Alpha)))))</f>
        <v>0.84149064799023332</v>
      </c>
      <c r="AB427" s="19">
        <f t="shared" ca="1" si="48"/>
        <v>1.910868663510362</v>
      </c>
      <c r="AC427" s="14">
        <f t="shared" ca="1" si="49"/>
        <v>91721695.848497376</v>
      </c>
      <c r="AD427" s="14">
        <f t="shared" ca="1" si="50"/>
        <v>43721695.848497376</v>
      </c>
      <c r="AE427" s="14">
        <f t="shared" si="51"/>
        <v>55628399.869093813</v>
      </c>
      <c r="AF427" s="14">
        <f t="shared" ca="1" si="52"/>
        <v>0</v>
      </c>
      <c r="AG427" s="14">
        <f t="shared" ca="1" si="53"/>
        <v>0</v>
      </c>
      <c r="AH427" s="14">
        <f t="shared" ca="1" si="54"/>
        <v>91721695.848497376</v>
      </c>
      <c r="AI427" s="19">
        <f t="shared" ca="1" si="55"/>
        <v>1.5286949308082896</v>
      </c>
    </row>
    <row r="428" spans="2:35" x14ac:dyDescent="0.2">
      <c r="B428" s="1">
        <v>423</v>
      </c>
      <c r="C428" s="19">
        <f ca="1">IF(RAND()&lt;P_Zero,0,IF(RAND()&lt;CondReturn,_xlfn.LOGNORM.INV(RAND(),MV2,Sigma1),IF(RAND()&lt;CondGood,_xlfn.LOGNORM.INV(RAND(),MV3,Sigma2),MIN(MaxMultiple,Xm/(1-RAND())^(1/Alpha)))))</f>
        <v>0</v>
      </c>
      <c r="D428" s="19">
        <f ca="1">IF(RAND()&lt;P_Zero,0,IF(RAND()&lt;CondReturn,_xlfn.LOGNORM.INV(RAND(),MV2,Sigma1),IF(RAND()&lt;CondGood,_xlfn.LOGNORM.INV(RAND(),MV3,Sigma2),MIN(MaxMultiple,Xm/(1-RAND())^(1/Alpha)))))</f>
        <v>0.79476329830293257</v>
      </c>
      <c r="E428" s="19">
        <f ca="1">IF(RAND()&lt;P_Zero,0,IF(RAND()&lt;CondReturn,_xlfn.LOGNORM.INV(RAND(),MV2,Sigma1),IF(RAND()&lt;CondGood,_xlfn.LOGNORM.INV(RAND(),MV3,Sigma2),MIN(MaxMultiple,Xm/(1-RAND())^(1/Alpha)))))</f>
        <v>0</v>
      </c>
      <c r="F428" s="19">
        <f ca="1">IF(RAND()&lt;P_Zero,0,IF(RAND()&lt;CondReturn,_xlfn.LOGNORM.INV(RAND(),MV2,Sigma1),IF(RAND()&lt;CondGood,_xlfn.LOGNORM.INV(RAND(),MV3,Sigma2),MIN(MaxMultiple,Xm/(1-RAND())^(1/Alpha)))))</f>
        <v>2.338316237585107</v>
      </c>
      <c r="G428" s="19">
        <f ca="1">IF(RAND()&lt;P_Zero,0,IF(RAND()&lt;CondReturn,_xlfn.LOGNORM.INV(RAND(),MV2,Sigma1),IF(RAND()&lt;CondGood,_xlfn.LOGNORM.INV(RAND(),MV3,Sigma2),MIN(MaxMultiple,Xm/(1-RAND())^(1/Alpha)))))</f>
        <v>0</v>
      </c>
      <c r="H428" s="19">
        <f ca="1">IF(RAND()&lt;P_Zero,0,IF(RAND()&lt;CondReturn,_xlfn.LOGNORM.INV(RAND(),MV2,Sigma1),IF(RAND()&lt;CondGood,_xlfn.LOGNORM.INV(RAND(),MV3,Sigma2),MIN(MaxMultiple,Xm/(1-RAND())^(1/Alpha)))))</f>
        <v>0.64991763653031187</v>
      </c>
      <c r="I428" s="19">
        <f ca="1">IF(RAND()&lt;P_Zero,0,IF(RAND()&lt;CondReturn,_xlfn.LOGNORM.INV(RAND(),MV2,Sigma1),IF(RAND()&lt;CondGood,_xlfn.LOGNORM.INV(RAND(),MV3,Sigma2),MIN(MaxMultiple,Xm/(1-RAND())^(1/Alpha)))))</f>
        <v>0.52262352470211415</v>
      </c>
      <c r="J428" s="19">
        <f ca="1">IF(RAND()&lt;P_Zero,0,IF(RAND()&lt;CondReturn,_xlfn.LOGNORM.INV(RAND(),MV2,Sigma1),IF(RAND()&lt;CondGood,_xlfn.LOGNORM.INV(RAND(),MV3,Sigma2),MIN(MaxMultiple,Xm/(1-RAND())^(1/Alpha)))))</f>
        <v>0.67690524221823001</v>
      </c>
      <c r="K428" s="19">
        <f ca="1">IF(RAND()&lt;P_Zero,0,IF(RAND()&lt;CondReturn,_xlfn.LOGNORM.INV(RAND(),MV2,Sigma1),IF(RAND()&lt;CondGood,_xlfn.LOGNORM.INV(RAND(),MV3,Sigma2),MIN(MaxMultiple,Xm/(1-RAND())^(1/Alpha)))))</f>
        <v>3.5142067333692153</v>
      </c>
      <c r="L428" s="19">
        <f ca="1">IF(RAND()&lt;P_Zero,0,IF(RAND()&lt;CondReturn,_xlfn.LOGNORM.INV(RAND(),MV2,Sigma1),IF(RAND()&lt;CondGood,_xlfn.LOGNORM.INV(RAND(),MV3,Sigma2),MIN(MaxMultiple,Xm/(1-RAND())^(1/Alpha)))))</f>
        <v>0</v>
      </c>
      <c r="M428" s="19">
        <f ca="1">IF(RAND()&lt;P_Zero,0,IF(RAND()&lt;CondReturn,_xlfn.LOGNORM.INV(RAND(),MV2,Sigma1),IF(RAND()&lt;CondGood,_xlfn.LOGNORM.INV(RAND(),MV3,Sigma2),MIN(MaxMultiple,Xm/(1-RAND())^(1/Alpha)))))</f>
        <v>0</v>
      </c>
      <c r="N428" s="19">
        <f ca="1">IF(RAND()&lt;P_Zero,0,IF(RAND()&lt;CondReturn,_xlfn.LOGNORM.INV(RAND(),MV2,Sigma1),IF(RAND()&lt;CondGood,_xlfn.LOGNORM.INV(RAND(),MV3,Sigma2),MIN(MaxMultiple,Xm/(1-RAND())^(1/Alpha)))))</f>
        <v>0.74881658495955683</v>
      </c>
      <c r="O428" s="19">
        <f ca="1">IF(RAND()&lt;P_Zero,0,IF(RAND()&lt;CondReturn,_xlfn.LOGNORM.INV(RAND(),MV2,Sigma1),IF(RAND()&lt;CondGood,_xlfn.LOGNORM.INV(RAND(),MV3,Sigma2),MIN(MaxMultiple,Xm/(1-RAND())^(1/Alpha)))))</f>
        <v>1.5436545487415803</v>
      </c>
      <c r="P428" s="19">
        <f ca="1">IF(RAND()&lt;P_Zero,0,IF(RAND()&lt;CondReturn,_xlfn.LOGNORM.INV(RAND(),MV2,Sigma1),IF(RAND()&lt;CondGood,_xlfn.LOGNORM.INV(RAND(),MV3,Sigma2),MIN(MaxMultiple,Xm/(1-RAND())^(1/Alpha)))))</f>
        <v>2.9008379781474831</v>
      </c>
      <c r="Q428" s="19">
        <f ca="1">IF(RAND()&lt;P_Zero,0,IF(RAND()&lt;CondReturn,_xlfn.LOGNORM.INV(RAND(),MV2,Sigma1),IF(RAND()&lt;CondGood,_xlfn.LOGNORM.INV(RAND(),MV3,Sigma2),MIN(MaxMultiple,Xm/(1-RAND())^(1/Alpha)))))</f>
        <v>0.48657937767709236</v>
      </c>
      <c r="R428" s="19">
        <f ca="1">IF(RAND()&lt;P_Zero,0,IF(RAND()&lt;CondReturn,_xlfn.LOGNORM.INV(RAND(),MV2,Sigma1),IF(RAND()&lt;CondGood,_xlfn.LOGNORM.INV(RAND(),MV3,Sigma2),MIN(MaxMultiple,Xm/(1-RAND())^(1/Alpha)))))</f>
        <v>18.400880996648649</v>
      </c>
      <c r="S428" s="19">
        <f ca="1">IF(RAND()&lt;P_Zero,0,IF(RAND()&lt;CondReturn,_xlfn.LOGNORM.INV(RAND(),MV2,Sigma1),IF(RAND()&lt;CondGood,_xlfn.LOGNORM.INV(RAND(),MV3,Sigma2),MIN(MaxMultiple,Xm/(1-RAND())^(1/Alpha)))))</f>
        <v>1.4537750506926395</v>
      </c>
      <c r="T428" s="19">
        <f ca="1">IF(RAND()&lt;P_Zero,0,IF(RAND()&lt;CondReturn,_xlfn.LOGNORM.INV(RAND(),MV2,Sigma1),IF(RAND()&lt;CondGood,_xlfn.LOGNORM.INV(RAND(),MV3,Sigma2),MIN(MaxMultiple,Xm/(1-RAND())^(1/Alpha)))))</f>
        <v>14.417715718690236</v>
      </c>
      <c r="U428" s="19">
        <f ca="1">IF(RAND()&lt;P_Zero,0,IF(RAND()&lt;CondReturn,_xlfn.LOGNORM.INV(RAND(),MV2,Sigma1),IF(RAND()&lt;CondGood,_xlfn.LOGNORM.INV(RAND(),MV3,Sigma2),MIN(MaxMultiple,Xm/(1-RAND())^(1/Alpha)))))</f>
        <v>1.8621883714239797</v>
      </c>
      <c r="V428" s="19">
        <f ca="1">IF(RAND()&lt;P_Zero,0,IF(RAND()&lt;CondReturn,_xlfn.LOGNORM.INV(RAND(),MV2,Sigma1),IF(RAND()&lt;CondGood,_xlfn.LOGNORM.INV(RAND(),MV3,Sigma2),MIN(MaxMultiple,Xm/(1-RAND())^(1/Alpha)))))</f>
        <v>0</v>
      </c>
      <c r="W428" s="19">
        <f ca="1">IF(RAND()&lt;P_Zero,0,IF(RAND()&lt;CondReturn,_xlfn.LOGNORM.INV(RAND(),MV2,Sigma1),IF(RAND()&lt;CondGood,_xlfn.LOGNORM.INV(RAND(),MV3,Sigma2),MIN(MaxMultiple,Xm/(1-RAND())^(1/Alpha)))))</f>
        <v>0</v>
      </c>
      <c r="X428" s="19">
        <f ca="1">IF(RAND()&lt;P_Zero,0,IF(RAND()&lt;CondReturn,_xlfn.LOGNORM.INV(RAND(),MV2,Sigma1),IF(RAND()&lt;CondGood,_xlfn.LOGNORM.INV(RAND(),MV3,Sigma2),MIN(MaxMultiple,Xm/(1-RAND())^(1/Alpha)))))</f>
        <v>1.9088191580670519</v>
      </c>
      <c r="Y428" s="19">
        <f ca="1">IF(RAND()&lt;P_Zero,0,IF(RAND()&lt;CondReturn,_xlfn.LOGNORM.INV(RAND(),MV2,Sigma1),IF(RAND()&lt;CondGood,_xlfn.LOGNORM.INV(RAND(),MV3,Sigma2),MIN(MaxMultiple,Xm/(1-RAND())^(1/Alpha)))))</f>
        <v>0</v>
      </c>
      <c r="Z428" s="19">
        <f ca="1">IF(RAND()&lt;P_Zero,0,IF(RAND()&lt;CondReturn,_xlfn.LOGNORM.INV(RAND(),MV2,Sigma1),IF(RAND()&lt;CondGood,_xlfn.LOGNORM.INV(RAND(),MV3,Sigma2),MIN(MaxMultiple,Xm/(1-RAND())^(1/Alpha)))))</f>
        <v>0</v>
      </c>
      <c r="AA428" s="19">
        <f ca="1">IF(RAND()&lt;P_Zero,0,IF(RAND()&lt;CondReturn,_xlfn.LOGNORM.INV(RAND(),MV2,Sigma1),IF(RAND()&lt;CondGood,_xlfn.LOGNORM.INV(RAND(),MV3,Sigma2),MIN(MaxMultiple,Xm/(1-RAND())^(1/Alpha)))))</f>
        <v>0</v>
      </c>
      <c r="AB428" s="19">
        <f t="shared" ca="1" si="48"/>
        <v>2.0888000183102471</v>
      </c>
      <c r="AC428" s="14">
        <f t="shared" ca="1" si="49"/>
        <v>100262400.87889186</v>
      </c>
      <c r="AD428" s="14">
        <f t="shared" ca="1" si="50"/>
        <v>52262400.878891855</v>
      </c>
      <c r="AE428" s="14">
        <f t="shared" si="51"/>
        <v>55628399.869093813</v>
      </c>
      <c r="AF428" s="14">
        <f t="shared" ca="1" si="52"/>
        <v>0</v>
      </c>
      <c r="AG428" s="14">
        <f t="shared" ca="1" si="53"/>
        <v>0</v>
      </c>
      <c r="AH428" s="14">
        <f t="shared" ca="1" si="54"/>
        <v>100262400.87889186</v>
      </c>
      <c r="AI428" s="19">
        <f t="shared" ca="1" si="55"/>
        <v>1.6710400146481976</v>
      </c>
    </row>
    <row r="429" spans="2:35" x14ac:dyDescent="0.2">
      <c r="B429" s="1">
        <v>424</v>
      </c>
      <c r="C429" s="19">
        <f ca="1">IF(RAND()&lt;P_Zero,0,IF(RAND()&lt;CondReturn,_xlfn.LOGNORM.INV(RAND(),MV2,Sigma1),IF(RAND()&lt;CondGood,_xlfn.LOGNORM.INV(RAND(),MV3,Sigma2),MIN(MaxMultiple,Xm/(1-RAND())^(1/Alpha)))))</f>
        <v>0</v>
      </c>
      <c r="D429" s="19">
        <f ca="1">IF(RAND()&lt;P_Zero,0,IF(RAND()&lt;CondReturn,_xlfn.LOGNORM.INV(RAND(),MV2,Sigma1),IF(RAND()&lt;CondGood,_xlfn.LOGNORM.INV(RAND(),MV3,Sigma2),MIN(MaxMultiple,Xm/(1-RAND())^(1/Alpha)))))</f>
        <v>0.63426172405888204</v>
      </c>
      <c r="E429" s="19">
        <f ca="1">IF(RAND()&lt;P_Zero,0,IF(RAND()&lt;CondReturn,_xlfn.LOGNORM.INV(RAND(),MV2,Sigma1),IF(RAND()&lt;CondGood,_xlfn.LOGNORM.INV(RAND(),MV3,Sigma2),MIN(MaxMultiple,Xm/(1-RAND())^(1/Alpha)))))</f>
        <v>0</v>
      </c>
      <c r="F429" s="19">
        <f ca="1">IF(RAND()&lt;P_Zero,0,IF(RAND()&lt;CondReturn,_xlfn.LOGNORM.INV(RAND(),MV2,Sigma1),IF(RAND()&lt;CondGood,_xlfn.LOGNORM.INV(RAND(),MV3,Sigma2),MIN(MaxMultiple,Xm/(1-RAND())^(1/Alpha)))))</f>
        <v>0</v>
      </c>
      <c r="G429" s="19">
        <f ca="1">IF(RAND()&lt;P_Zero,0,IF(RAND()&lt;CondReturn,_xlfn.LOGNORM.INV(RAND(),MV2,Sigma1),IF(RAND()&lt;CondGood,_xlfn.LOGNORM.INV(RAND(),MV3,Sigma2),MIN(MaxMultiple,Xm/(1-RAND())^(1/Alpha)))))</f>
        <v>0</v>
      </c>
      <c r="H429" s="19">
        <f ca="1">IF(RAND()&lt;P_Zero,0,IF(RAND()&lt;CondReturn,_xlfn.LOGNORM.INV(RAND(),MV2,Sigma1),IF(RAND()&lt;CondGood,_xlfn.LOGNORM.INV(RAND(),MV3,Sigma2),MIN(MaxMultiple,Xm/(1-RAND())^(1/Alpha)))))</f>
        <v>0.59374991876181427</v>
      </c>
      <c r="I429" s="19">
        <f ca="1">IF(RAND()&lt;P_Zero,0,IF(RAND()&lt;CondReturn,_xlfn.LOGNORM.INV(RAND(),MV2,Sigma1),IF(RAND()&lt;CondGood,_xlfn.LOGNORM.INV(RAND(),MV3,Sigma2),MIN(MaxMultiple,Xm/(1-RAND())^(1/Alpha)))))</f>
        <v>0</v>
      </c>
      <c r="J429" s="19">
        <f ca="1">IF(RAND()&lt;P_Zero,0,IF(RAND()&lt;CondReturn,_xlfn.LOGNORM.INV(RAND(),MV2,Sigma1),IF(RAND()&lt;CondGood,_xlfn.LOGNORM.INV(RAND(),MV3,Sigma2),MIN(MaxMultiple,Xm/(1-RAND())^(1/Alpha)))))</f>
        <v>0</v>
      </c>
      <c r="K429" s="19">
        <f ca="1">IF(RAND()&lt;P_Zero,0,IF(RAND()&lt;CondReturn,_xlfn.LOGNORM.INV(RAND(),MV2,Sigma1),IF(RAND()&lt;CondGood,_xlfn.LOGNORM.INV(RAND(),MV3,Sigma2),MIN(MaxMultiple,Xm/(1-RAND())^(1/Alpha)))))</f>
        <v>1.1253522909120104</v>
      </c>
      <c r="L429" s="19">
        <f ca="1">IF(RAND()&lt;P_Zero,0,IF(RAND()&lt;CondReturn,_xlfn.LOGNORM.INV(RAND(),MV2,Sigma1),IF(RAND()&lt;CondGood,_xlfn.LOGNORM.INV(RAND(),MV3,Sigma2),MIN(MaxMultiple,Xm/(1-RAND())^(1/Alpha)))))</f>
        <v>0.48690891056510521</v>
      </c>
      <c r="M429" s="19">
        <f ca="1">IF(RAND()&lt;P_Zero,0,IF(RAND()&lt;CondReturn,_xlfn.LOGNORM.INV(RAND(),MV2,Sigma1),IF(RAND()&lt;CondGood,_xlfn.LOGNORM.INV(RAND(),MV3,Sigma2),MIN(MaxMultiple,Xm/(1-RAND())^(1/Alpha)))))</f>
        <v>0.63696641783379016</v>
      </c>
      <c r="N429" s="19">
        <f ca="1">IF(RAND()&lt;P_Zero,0,IF(RAND()&lt;CondReturn,_xlfn.LOGNORM.INV(RAND(),MV2,Sigma1),IF(RAND()&lt;CondGood,_xlfn.LOGNORM.INV(RAND(),MV3,Sigma2),MIN(MaxMultiple,Xm/(1-RAND())^(1/Alpha)))))</f>
        <v>18.768140258487389</v>
      </c>
      <c r="O429" s="19">
        <f ca="1">IF(RAND()&lt;P_Zero,0,IF(RAND()&lt;CondReturn,_xlfn.LOGNORM.INV(RAND(),MV2,Sigma1),IF(RAND()&lt;CondGood,_xlfn.LOGNORM.INV(RAND(),MV3,Sigma2),MIN(MaxMultiple,Xm/(1-RAND())^(1/Alpha)))))</f>
        <v>15.798841552379935</v>
      </c>
      <c r="P429" s="19">
        <f ca="1">IF(RAND()&lt;P_Zero,0,IF(RAND()&lt;CondReturn,_xlfn.LOGNORM.INV(RAND(),MV2,Sigma1),IF(RAND()&lt;CondGood,_xlfn.LOGNORM.INV(RAND(),MV3,Sigma2),MIN(MaxMultiple,Xm/(1-RAND())^(1/Alpha)))))</f>
        <v>0.63254878704232831</v>
      </c>
      <c r="Q429" s="19">
        <f ca="1">IF(RAND()&lt;P_Zero,0,IF(RAND()&lt;CondReturn,_xlfn.LOGNORM.INV(RAND(),MV2,Sigma1),IF(RAND()&lt;CondGood,_xlfn.LOGNORM.INV(RAND(),MV3,Sigma2),MIN(MaxMultiple,Xm/(1-RAND())^(1/Alpha)))))</f>
        <v>0</v>
      </c>
      <c r="R429" s="19">
        <f ca="1">IF(RAND()&lt;P_Zero,0,IF(RAND()&lt;CondReturn,_xlfn.LOGNORM.INV(RAND(),MV2,Sigma1),IF(RAND()&lt;CondGood,_xlfn.LOGNORM.INV(RAND(),MV3,Sigma2),MIN(MaxMultiple,Xm/(1-RAND())^(1/Alpha)))))</f>
        <v>2.262304374898755</v>
      </c>
      <c r="S429" s="19">
        <f ca="1">IF(RAND()&lt;P_Zero,0,IF(RAND()&lt;CondReturn,_xlfn.LOGNORM.INV(RAND(),MV2,Sigma1),IF(RAND()&lt;CondGood,_xlfn.LOGNORM.INV(RAND(),MV3,Sigma2),MIN(MaxMultiple,Xm/(1-RAND())^(1/Alpha)))))</f>
        <v>0</v>
      </c>
      <c r="T429" s="19">
        <f ca="1">IF(RAND()&lt;P_Zero,0,IF(RAND()&lt;CondReturn,_xlfn.LOGNORM.INV(RAND(),MV2,Sigma1),IF(RAND()&lt;CondGood,_xlfn.LOGNORM.INV(RAND(),MV3,Sigma2),MIN(MaxMultiple,Xm/(1-RAND())^(1/Alpha)))))</f>
        <v>2.3105123661194047</v>
      </c>
      <c r="U429" s="19">
        <f ca="1">IF(RAND()&lt;P_Zero,0,IF(RAND()&lt;CondReturn,_xlfn.LOGNORM.INV(RAND(),MV2,Sigma1),IF(RAND()&lt;CondGood,_xlfn.LOGNORM.INV(RAND(),MV3,Sigma2),MIN(MaxMultiple,Xm/(1-RAND())^(1/Alpha)))))</f>
        <v>0</v>
      </c>
      <c r="V429" s="19">
        <f ca="1">IF(RAND()&lt;P_Zero,0,IF(RAND()&lt;CondReturn,_xlfn.LOGNORM.INV(RAND(),MV2,Sigma1),IF(RAND()&lt;CondGood,_xlfn.LOGNORM.INV(RAND(),MV3,Sigma2),MIN(MaxMultiple,Xm/(1-RAND())^(1/Alpha)))))</f>
        <v>0</v>
      </c>
      <c r="W429" s="19">
        <f ca="1">IF(RAND()&lt;P_Zero,0,IF(RAND()&lt;CondReturn,_xlfn.LOGNORM.INV(RAND(),MV2,Sigma1),IF(RAND()&lt;CondGood,_xlfn.LOGNORM.INV(RAND(),MV3,Sigma2),MIN(MaxMultiple,Xm/(1-RAND())^(1/Alpha)))))</f>
        <v>0.59643426243774866</v>
      </c>
      <c r="X429" s="19">
        <f ca="1">IF(RAND()&lt;P_Zero,0,IF(RAND()&lt;CondReturn,_xlfn.LOGNORM.INV(RAND(),MV2,Sigma1),IF(RAND()&lt;CondGood,_xlfn.LOGNORM.INV(RAND(),MV3,Sigma2),MIN(MaxMultiple,Xm/(1-RAND())^(1/Alpha)))))</f>
        <v>0</v>
      </c>
      <c r="Y429" s="19">
        <f ca="1">IF(RAND()&lt;P_Zero,0,IF(RAND()&lt;CondReturn,_xlfn.LOGNORM.INV(RAND(),MV2,Sigma1),IF(RAND()&lt;CondGood,_xlfn.LOGNORM.INV(RAND(),MV3,Sigma2),MIN(MaxMultiple,Xm/(1-RAND())^(1/Alpha)))))</f>
        <v>0.57698633518903575</v>
      </c>
      <c r="Z429" s="19">
        <f ca="1">IF(RAND()&lt;P_Zero,0,IF(RAND()&lt;CondReturn,_xlfn.LOGNORM.INV(RAND(),MV2,Sigma1),IF(RAND()&lt;CondGood,_xlfn.LOGNORM.INV(RAND(),MV3,Sigma2),MIN(MaxMultiple,Xm/(1-RAND())^(1/Alpha)))))</f>
        <v>1.0053653963309872</v>
      </c>
      <c r="AA429" s="19">
        <f ca="1">IF(RAND()&lt;P_Zero,0,IF(RAND()&lt;CondReturn,_xlfn.LOGNORM.INV(RAND(),MV2,Sigma1),IF(RAND()&lt;CondGood,_xlfn.LOGNORM.INV(RAND(),MV3,Sigma2),MIN(MaxMultiple,Xm/(1-RAND())^(1/Alpha)))))</f>
        <v>0</v>
      </c>
      <c r="AB429" s="19">
        <f t="shared" ca="1" si="48"/>
        <v>1.8171349038006872</v>
      </c>
      <c r="AC429" s="14">
        <f t="shared" ca="1" si="49"/>
        <v>87222475.382432982</v>
      </c>
      <c r="AD429" s="14">
        <f t="shared" ca="1" si="50"/>
        <v>39222475.382432982</v>
      </c>
      <c r="AE429" s="14">
        <f t="shared" si="51"/>
        <v>55628399.869093813</v>
      </c>
      <c r="AF429" s="14">
        <f t="shared" ca="1" si="52"/>
        <v>0</v>
      </c>
      <c r="AG429" s="14">
        <f t="shared" ca="1" si="53"/>
        <v>0</v>
      </c>
      <c r="AH429" s="14">
        <f t="shared" ca="1" si="54"/>
        <v>87222475.382432982</v>
      </c>
      <c r="AI429" s="19">
        <f t="shared" ca="1" si="55"/>
        <v>1.4537079230405496</v>
      </c>
    </row>
    <row r="430" spans="2:35" x14ac:dyDescent="0.2">
      <c r="B430" s="1">
        <v>425</v>
      </c>
      <c r="C430" s="19">
        <f ca="1">IF(RAND()&lt;P_Zero,0,IF(RAND()&lt;CondReturn,_xlfn.LOGNORM.INV(RAND(),MV2,Sigma1),IF(RAND()&lt;CondGood,_xlfn.LOGNORM.INV(RAND(),MV3,Sigma2),MIN(MaxMultiple,Xm/(1-RAND())^(1/Alpha)))))</f>
        <v>52.987837707374347</v>
      </c>
      <c r="D430" s="19">
        <f ca="1">IF(RAND()&lt;P_Zero,0,IF(RAND()&lt;CondReturn,_xlfn.LOGNORM.INV(RAND(),MV2,Sigma1),IF(RAND()&lt;CondGood,_xlfn.LOGNORM.INV(RAND(),MV3,Sigma2),MIN(MaxMultiple,Xm/(1-RAND())^(1/Alpha)))))</f>
        <v>0</v>
      </c>
      <c r="E430" s="19">
        <f ca="1">IF(RAND()&lt;P_Zero,0,IF(RAND()&lt;CondReturn,_xlfn.LOGNORM.INV(RAND(),MV2,Sigma1),IF(RAND()&lt;CondGood,_xlfn.LOGNORM.INV(RAND(),MV3,Sigma2),MIN(MaxMultiple,Xm/(1-RAND())^(1/Alpha)))))</f>
        <v>1.4942328500148909</v>
      </c>
      <c r="F430" s="19">
        <f ca="1">IF(RAND()&lt;P_Zero,0,IF(RAND()&lt;CondReturn,_xlfn.LOGNORM.INV(RAND(),MV2,Sigma1),IF(RAND()&lt;CondGood,_xlfn.LOGNORM.INV(RAND(),MV3,Sigma2),MIN(MaxMultiple,Xm/(1-RAND())^(1/Alpha)))))</f>
        <v>0</v>
      </c>
      <c r="G430" s="19">
        <f ca="1">IF(RAND()&lt;P_Zero,0,IF(RAND()&lt;CondReturn,_xlfn.LOGNORM.INV(RAND(),MV2,Sigma1),IF(RAND()&lt;CondGood,_xlfn.LOGNORM.INV(RAND(),MV3,Sigma2),MIN(MaxMultiple,Xm/(1-RAND())^(1/Alpha)))))</f>
        <v>1.4870169919200711</v>
      </c>
      <c r="H430" s="19">
        <f ca="1">IF(RAND()&lt;P_Zero,0,IF(RAND()&lt;CondReturn,_xlfn.LOGNORM.INV(RAND(),MV2,Sigma1),IF(RAND()&lt;CondGood,_xlfn.LOGNORM.INV(RAND(),MV3,Sigma2),MIN(MaxMultiple,Xm/(1-RAND())^(1/Alpha)))))</f>
        <v>22.285769191846498</v>
      </c>
      <c r="I430" s="19">
        <f ca="1">IF(RAND()&lt;P_Zero,0,IF(RAND()&lt;CondReturn,_xlfn.LOGNORM.INV(RAND(),MV2,Sigma1),IF(RAND()&lt;CondGood,_xlfn.LOGNORM.INV(RAND(),MV3,Sigma2),MIN(MaxMultiple,Xm/(1-RAND())^(1/Alpha)))))</f>
        <v>1.4916085260896981</v>
      </c>
      <c r="J430" s="19">
        <f ca="1">IF(RAND()&lt;P_Zero,0,IF(RAND()&lt;CondReturn,_xlfn.LOGNORM.INV(RAND(),MV2,Sigma1),IF(RAND()&lt;CondGood,_xlfn.LOGNORM.INV(RAND(),MV3,Sigma2),MIN(MaxMultiple,Xm/(1-RAND())^(1/Alpha)))))</f>
        <v>0</v>
      </c>
      <c r="K430" s="19">
        <f ca="1">IF(RAND()&lt;P_Zero,0,IF(RAND()&lt;CondReturn,_xlfn.LOGNORM.INV(RAND(),MV2,Sigma1),IF(RAND()&lt;CondGood,_xlfn.LOGNORM.INV(RAND(),MV3,Sigma2),MIN(MaxMultiple,Xm/(1-RAND())^(1/Alpha)))))</f>
        <v>0</v>
      </c>
      <c r="L430" s="19">
        <f ca="1">IF(RAND()&lt;P_Zero,0,IF(RAND()&lt;CondReturn,_xlfn.LOGNORM.INV(RAND(),MV2,Sigma1),IF(RAND()&lt;CondGood,_xlfn.LOGNORM.INV(RAND(),MV3,Sigma2),MIN(MaxMultiple,Xm/(1-RAND())^(1/Alpha)))))</f>
        <v>0.71846108885726667</v>
      </c>
      <c r="M430" s="19">
        <f ca="1">IF(RAND()&lt;P_Zero,0,IF(RAND()&lt;CondReturn,_xlfn.LOGNORM.INV(RAND(),MV2,Sigma1),IF(RAND()&lt;CondGood,_xlfn.LOGNORM.INV(RAND(),MV3,Sigma2),MIN(MaxMultiple,Xm/(1-RAND())^(1/Alpha)))))</f>
        <v>1.3297849241463797</v>
      </c>
      <c r="N430" s="19">
        <f ca="1">IF(RAND()&lt;P_Zero,0,IF(RAND()&lt;CondReturn,_xlfn.LOGNORM.INV(RAND(),MV2,Sigma1),IF(RAND()&lt;CondGood,_xlfn.LOGNORM.INV(RAND(),MV3,Sigma2),MIN(MaxMultiple,Xm/(1-RAND())^(1/Alpha)))))</f>
        <v>0</v>
      </c>
      <c r="O430" s="19">
        <f ca="1">IF(RAND()&lt;P_Zero,0,IF(RAND()&lt;CondReturn,_xlfn.LOGNORM.INV(RAND(),MV2,Sigma1),IF(RAND()&lt;CondGood,_xlfn.LOGNORM.INV(RAND(),MV3,Sigma2),MIN(MaxMultiple,Xm/(1-RAND())^(1/Alpha)))))</f>
        <v>0</v>
      </c>
      <c r="P430" s="19">
        <f ca="1">IF(RAND()&lt;P_Zero,0,IF(RAND()&lt;CondReturn,_xlfn.LOGNORM.INV(RAND(),MV2,Sigma1),IF(RAND()&lt;CondGood,_xlfn.LOGNORM.INV(RAND(),MV3,Sigma2),MIN(MaxMultiple,Xm/(1-RAND())^(1/Alpha)))))</f>
        <v>0</v>
      </c>
      <c r="Q430" s="19">
        <f ca="1">IF(RAND()&lt;P_Zero,0,IF(RAND()&lt;CondReturn,_xlfn.LOGNORM.INV(RAND(),MV2,Sigma1),IF(RAND()&lt;CondGood,_xlfn.LOGNORM.INV(RAND(),MV3,Sigma2),MIN(MaxMultiple,Xm/(1-RAND())^(1/Alpha)))))</f>
        <v>0</v>
      </c>
      <c r="R430" s="19">
        <f ca="1">IF(RAND()&lt;P_Zero,0,IF(RAND()&lt;CondReturn,_xlfn.LOGNORM.INV(RAND(),MV2,Sigma1),IF(RAND()&lt;CondGood,_xlfn.LOGNORM.INV(RAND(),MV3,Sigma2),MIN(MaxMultiple,Xm/(1-RAND())^(1/Alpha)))))</f>
        <v>1.3147933451489071</v>
      </c>
      <c r="S430" s="19">
        <f ca="1">IF(RAND()&lt;P_Zero,0,IF(RAND()&lt;CondReturn,_xlfn.LOGNORM.INV(RAND(),MV2,Sigma1),IF(RAND()&lt;CondGood,_xlfn.LOGNORM.INV(RAND(),MV3,Sigma2),MIN(MaxMultiple,Xm/(1-RAND())^(1/Alpha)))))</f>
        <v>0</v>
      </c>
      <c r="T430" s="19">
        <f ca="1">IF(RAND()&lt;P_Zero,0,IF(RAND()&lt;CondReturn,_xlfn.LOGNORM.INV(RAND(),MV2,Sigma1),IF(RAND()&lt;CondGood,_xlfn.LOGNORM.INV(RAND(),MV3,Sigma2),MIN(MaxMultiple,Xm/(1-RAND())^(1/Alpha)))))</f>
        <v>0</v>
      </c>
      <c r="U430" s="19">
        <f ca="1">IF(RAND()&lt;P_Zero,0,IF(RAND()&lt;CondReturn,_xlfn.LOGNORM.INV(RAND(),MV2,Sigma1),IF(RAND()&lt;CondGood,_xlfn.LOGNORM.INV(RAND(),MV3,Sigma2),MIN(MaxMultiple,Xm/(1-RAND())^(1/Alpha)))))</f>
        <v>0</v>
      </c>
      <c r="V430" s="19">
        <f ca="1">IF(RAND()&lt;P_Zero,0,IF(RAND()&lt;CondReturn,_xlfn.LOGNORM.INV(RAND(),MV2,Sigma1),IF(RAND()&lt;CondGood,_xlfn.LOGNORM.INV(RAND(),MV3,Sigma2),MIN(MaxMultiple,Xm/(1-RAND())^(1/Alpha)))))</f>
        <v>0</v>
      </c>
      <c r="W430" s="19">
        <f ca="1">IF(RAND()&lt;P_Zero,0,IF(RAND()&lt;CondReturn,_xlfn.LOGNORM.INV(RAND(),MV2,Sigma1),IF(RAND()&lt;CondGood,_xlfn.LOGNORM.INV(RAND(),MV3,Sigma2),MIN(MaxMultiple,Xm/(1-RAND())^(1/Alpha)))))</f>
        <v>1.0602228153160933</v>
      </c>
      <c r="X430" s="19">
        <f ca="1">IF(RAND()&lt;P_Zero,0,IF(RAND()&lt;CondReturn,_xlfn.LOGNORM.INV(RAND(),MV2,Sigma1),IF(RAND()&lt;CondGood,_xlfn.LOGNORM.INV(RAND(),MV3,Sigma2),MIN(MaxMultiple,Xm/(1-RAND())^(1/Alpha)))))</f>
        <v>0</v>
      </c>
      <c r="Y430" s="19">
        <f ca="1">IF(RAND()&lt;P_Zero,0,IF(RAND()&lt;CondReturn,_xlfn.LOGNORM.INV(RAND(),MV2,Sigma1),IF(RAND()&lt;CondGood,_xlfn.LOGNORM.INV(RAND(),MV3,Sigma2),MIN(MaxMultiple,Xm/(1-RAND())^(1/Alpha)))))</f>
        <v>10.766062112424342</v>
      </c>
      <c r="Z430" s="19">
        <f ca="1">IF(RAND()&lt;P_Zero,0,IF(RAND()&lt;CondReturn,_xlfn.LOGNORM.INV(RAND(),MV2,Sigma1),IF(RAND()&lt;CondGood,_xlfn.LOGNORM.INV(RAND(),MV3,Sigma2),MIN(MaxMultiple,Xm/(1-RAND())^(1/Alpha)))))</f>
        <v>1.4109398012089387</v>
      </c>
      <c r="AA430" s="19">
        <f ca="1">IF(RAND()&lt;P_Zero,0,IF(RAND()&lt;CondReturn,_xlfn.LOGNORM.INV(RAND(),MV2,Sigma1),IF(RAND()&lt;CondGood,_xlfn.LOGNORM.INV(RAND(),MV3,Sigma2),MIN(MaxMultiple,Xm/(1-RAND())^(1/Alpha)))))</f>
        <v>0.36171900266129142</v>
      </c>
      <c r="AB430" s="19">
        <f t="shared" ca="1" si="48"/>
        <v>3.868337934280349</v>
      </c>
      <c r="AC430" s="14">
        <f t="shared" ca="1" si="49"/>
        <v>185680220.84545675</v>
      </c>
      <c r="AD430" s="14">
        <f t="shared" ca="1" si="50"/>
        <v>137680220.84545675</v>
      </c>
      <c r="AE430" s="14">
        <f t="shared" si="51"/>
        <v>55628399.869093813</v>
      </c>
      <c r="AF430" s="14">
        <f t="shared" ca="1" si="52"/>
        <v>82051820.976362944</v>
      </c>
      <c r="AG430" s="14">
        <f t="shared" ca="1" si="53"/>
        <v>16410364.195272589</v>
      </c>
      <c r="AH430" s="14">
        <f t="shared" ca="1" si="54"/>
        <v>169269856.65018415</v>
      </c>
      <c r="AI430" s="19">
        <f t="shared" ca="1" si="55"/>
        <v>2.8211642775030694</v>
      </c>
    </row>
    <row r="431" spans="2:35" x14ac:dyDescent="0.2">
      <c r="B431" s="1">
        <v>426</v>
      </c>
      <c r="C431" s="19">
        <f ca="1">IF(RAND()&lt;P_Zero,0,IF(RAND()&lt;CondReturn,_xlfn.LOGNORM.INV(RAND(),MV2,Sigma1),IF(RAND()&lt;CondGood,_xlfn.LOGNORM.INV(RAND(),MV3,Sigma2),MIN(MaxMultiple,Xm/(1-RAND())^(1/Alpha)))))</f>
        <v>1.314232666852662</v>
      </c>
      <c r="D431" s="19">
        <f ca="1">IF(RAND()&lt;P_Zero,0,IF(RAND()&lt;CondReturn,_xlfn.LOGNORM.INV(RAND(),MV2,Sigma1),IF(RAND()&lt;CondGood,_xlfn.LOGNORM.INV(RAND(),MV3,Sigma2),MIN(MaxMultiple,Xm/(1-RAND())^(1/Alpha)))))</f>
        <v>0</v>
      </c>
      <c r="E431" s="19">
        <f ca="1">IF(RAND()&lt;P_Zero,0,IF(RAND()&lt;CondReturn,_xlfn.LOGNORM.INV(RAND(),MV2,Sigma1),IF(RAND()&lt;CondGood,_xlfn.LOGNORM.INV(RAND(),MV3,Sigma2),MIN(MaxMultiple,Xm/(1-RAND())^(1/Alpha)))))</f>
        <v>0</v>
      </c>
      <c r="F431" s="19">
        <f ca="1">IF(RAND()&lt;P_Zero,0,IF(RAND()&lt;CondReturn,_xlfn.LOGNORM.INV(RAND(),MV2,Sigma1),IF(RAND()&lt;CondGood,_xlfn.LOGNORM.INV(RAND(),MV3,Sigma2),MIN(MaxMultiple,Xm/(1-RAND())^(1/Alpha)))))</f>
        <v>1.0537294048880619</v>
      </c>
      <c r="G431" s="19">
        <f ca="1">IF(RAND()&lt;P_Zero,0,IF(RAND()&lt;CondReturn,_xlfn.LOGNORM.INV(RAND(),MV2,Sigma1),IF(RAND()&lt;CondGood,_xlfn.LOGNORM.INV(RAND(),MV3,Sigma2),MIN(MaxMultiple,Xm/(1-RAND())^(1/Alpha)))))</f>
        <v>0.92479551212005606</v>
      </c>
      <c r="H431" s="19">
        <f ca="1">IF(RAND()&lt;P_Zero,0,IF(RAND()&lt;CondReturn,_xlfn.LOGNORM.INV(RAND(),MV2,Sigma1),IF(RAND()&lt;CondGood,_xlfn.LOGNORM.INV(RAND(),MV3,Sigma2),MIN(MaxMultiple,Xm/(1-RAND())^(1/Alpha)))))</f>
        <v>0</v>
      </c>
      <c r="I431" s="19">
        <f ca="1">IF(RAND()&lt;P_Zero,0,IF(RAND()&lt;CondReturn,_xlfn.LOGNORM.INV(RAND(),MV2,Sigma1),IF(RAND()&lt;CondGood,_xlfn.LOGNORM.INV(RAND(),MV3,Sigma2),MIN(MaxMultiple,Xm/(1-RAND())^(1/Alpha)))))</f>
        <v>1.0851009983613282</v>
      </c>
      <c r="J431" s="19">
        <f ca="1">IF(RAND()&lt;P_Zero,0,IF(RAND()&lt;CondReturn,_xlfn.LOGNORM.INV(RAND(),MV2,Sigma1),IF(RAND()&lt;CondGood,_xlfn.LOGNORM.INV(RAND(),MV3,Sigma2),MIN(MaxMultiple,Xm/(1-RAND())^(1/Alpha)))))</f>
        <v>105.25424855785954</v>
      </c>
      <c r="K431" s="19">
        <f ca="1">IF(RAND()&lt;P_Zero,0,IF(RAND()&lt;CondReturn,_xlfn.LOGNORM.INV(RAND(),MV2,Sigma1),IF(RAND()&lt;CondGood,_xlfn.LOGNORM.INV(RAND(),MV3,Sigma2),MIN(MaxMultiple,Xm/(1-RAND())^(1/Alpha)))))</f>
        <v>1.2923230964478056</v>
      </c>
      <c r="L431" s="19">
        <f ca="1">IF(RAND()&lt;P_Zero,0,IF(RAND()&lt;CondReturn,_xlfn.LOGNORM.INV(RAND(),MV2,Sigma1),IF(RAND()&lt;CondGood,_xlfn.LOGNORM.INV(RAND(),MV3,Sigma2),MIN(MaxMultiple,Xm/(1-RAND())^(1/Alpha)))))</f>
        <v>0</v>
      </c>
      <c r="M431" s="19">
        <f ca="1">IF(RAND()&lt;P_Zero,0,IF(RAND()&lt;CondReturn,_xlfn.LOGNORM.INV(RAND(),MV2,Sigma1),IF(RAND()&lt;CondGood,_xlfn.LOGNORM.INV(RAND(),MV3,Sigma2),MIN(MaxMultiple,Xm/(1-RAND())^(1/Alpha)))))</f>
        <v>3.156374270860018</v>
      </c>
      <c r="N431" s="19">
        <f ca="1">IF(RAND()&lt;P_Zero,0,IF(RAND()&lt;CondReturn,_xlfn.LOGNORM.INV(RAND(),MV2,Sigma1),IF(RAND()&lt;CondGood,_xlfn.LOGNORM.INV(RAND(),MV3,Sigma2),MIN(MaxMultiple,Xm/(1-RAND())^(1/Alpha)))))</f>
        <v>0</v>
      </c>
      <c r="O431" s="19">
        <f ca="1">IF(RAND()&lt;P_Zero,0,IF(RAND()&lt;CondReturn,_xlfn.LOGNORM.INV(RAND(),MV2,Sigma1),IF(RAND()&lt;CondGood,_xlfn.LOGNORM.INV(RAND(),MV3,Sigma2),MIN(MaxMultiple,Xm/(1-RAND())^(1/Alpha)))))</f>
        <v>0.73616958744633176</v>
      </c>
      <c r="P431" s="19">
        <f ca="1">IF(RAND()&lt;P_Zero,0,IF(RAND()&lt;CondReturn,_xlfn.LOGNORM.INV(RAND(),MV2,Sigma1),IF(RAND()&lt;CondGood,_xlfn.LOGNORM.INV(RAND(),MV3,Sigma2),MIN(MaxMultiple,Xm/(1-RAND())^(1/Alpha)))))</f>
        <v>2.5513834365253381</v>
      </c>
      <c r="Q431" s="19">
        <f ca="1">IF(RAND()&lt;P_Zero,0,IF(RAND()&lt;CondReturn,_xlfn.LOGNORM.INV(RAND(),MV2,Sigma1),IF(RAND()&lt;CondGood,_xlfn.LOGNORM.INV(RAND(),MV3,Sigma2),MIN(MaxMultiple,Xm/(1-RAND())^(1/Alpha)))))</f>
        <v>0</v>
      </c>
      <c r="R431" s="19">
        <f ca="1">IF(RAND()&lt;P_Zero,0,IF(RAND()&lt;CondReturn,_xlfn.LOGNORM.INV(RAND(),MV2,Sigma1),IF(RAND()&lt;CondGood,_xlfn.LOGNORM.INV(RAND(),MV3,Sigma2),MIN(MaxMultiple,Xm/(1-RAND())^(1/Alpha)))))</f>
        <v>0.93635946873308684</v>
      </c>
      <c r="S431" s="19">
        <f ca="1">IF(RAND()&lt;P_Zero,0,IF(RAND()&lt;CondReturn,_xlfn.LOGNORM.INV(RAND(),MV2,Sigma1),IF(RAND()&lt;CondGood,_xlfn.LOGNORM.INV(RAND(),MV3,Sigma2),MIN(MaxMultiple,Xm/(1-RAND())^(1/Alpha)))))</f>
        <v>1.5995045956240352</v>
      </c>
      <c r="T431" s="19">
        <f ca="1">IF(RAND()&lt;P_Zero,0,IF(RAND()&lt;CondReturn,_xlfn.LOGNORM.INV(RAND(),MV2,Sigma1),IF(RAND()&lt;CondGood,_xlfn.LOGNORM.INV(RAND(),MV3,Sigma2),MIN(MaxMultiple,Xm/(1-RAND())^(1/Alpha)))))</f>
        <v>0</v>
      </c>
      <c r="U431" s="19">
        <f ca="1">IF(RAND()&lt;P_Zero,0,IF(RAND()&lt;CondReturn,_xlfn.LOGNORM.INV(RAND(),MV2,Sigma1),IF(RAND()&lt;CondGood,_xlfn.LOGNORM.INV(RAND(),MV3,Sigma2),MIN(MaxMultiple,Xm/(1-RAND())^(1/Alpha)))))</f>
        <v>0</v>
      </c>
      <c r="V431" s="19">
        <f ca="1">IF(RAND()&lt;P_Zero,0,IF(RAND()&lt;CondReturn,_xlfn.LOGNORM.INV(RAND(),MV2,Sigma1),IF(RAND()&lt;CondGood,_xlfn.LOGNORM.INV(RAND(),MV3,Sigma2),MIN(MaxMultiple,Xm/(1-RAND())^(1/Alpha)))))</f>
        <v>0.94845203333596251</v>
      </c>
      <c r="W431" s="19">
        <f ca="1">IF(RAND()&lt;P_Zero,0,IF(RAND()&lt;CondReturn,_xlfn.LOGNORM.INV(RAND(),MV2,Sigma1),IF(RAND()&lt;CondGood,_xlfn.LOGNORM.INV(RAND(),MV3,Sigma2),MIN(MaxMultiple,Xm/(1-RAND())^(1/Alpha)))))</f>
        <v>0.89416753130256332</v>
      </c>
      <c r="X431" s="19">
        <f ca="1">IF(RAND()&lt;P_Zero,0,IF(RAND()&lt;CondReturn,_xlfn.LOGNORM.INV(RAND(),MV2,Sigma1),IF(RAND()&lt;CondGood,_xlfn.LOGNORM.INV(RAND(),MV3,Sigma2),MIN(MaxMultiple,Xm/(1-RAND())^(1/Alpha)))))</f>
        <v>0.59112719021852234</v>
      </c>
      <c r="Y431" s="19">
        <f ca="1">IF(RAND()&lt;P_Zero,0,IF(RAND()&lt;CondReturn,_xlfn.LOGNORM.INV(RAND(),MV2,Sigma1),IF(RAND()&lt;CondGood,_xlfn.LOGNORM.INV(RAND(),MV3,Sigma2),MIN(MaxMultiple,Xm/(1-RAND())^(1/Alpha)))))</f>
        <v>0.6396347518640908</v>
      </c>
      <c r="Z431" s="19">
        <f ca="1">IF(RAND()&lt;P_Zero,0,IF(RAND()&lt;CondReturn,_xlfn.LOGNORM.INV(RAND(),MV2,Sigma1),IF(RAND()&lt;CondGood,_xlfn.LOGNORM.INV(RAND(),MV3,Sigma2),MIN(MaxMultiple,Xm/(1-RAND())^(1/Alpha)))))</f>
        <v>0.80553171164082304</v>
      </c>
      <c r="AA431" s="19">
        <f ca="1">IF(RAND()&lt;P_Zero,0,IF(RAND()&lt;CondReturn,_xlfn.LOGNORM.INV(RAND(),MV2,Sigma1),IF(RAND()&lt;CondGood,_xlfn.LOGNORM.INV(RAND(),MV3,Sigma2),MIN(MaxMultiple,Xm/(1-RAND())^(1/Alpha)))))</f>
        <v>0.74928202705855385</v>
      </c>
      <c r="AB431" s="19">
        <f t="shared" ca="1" si="48"/>
        <v>4.9812966736455513</v>
      </c>
      <c r="AC431" s="14">
        <f t="shared" ca="1" si="49"/>
        <v>239102240.33498645</v>
      </c>
      <c r="AD431" s="14">
        <f t="shared" ca="1" si="50"/>
        <v>191102240.33498645</v>
      </c>
      <c r="AE431" s="14">
        <f t="shared" si="51"/>
        <v>55628399.869093813</v>
      </c>
      <c r="AF431" s="14">
        <f t="shared" ca="1" si="52"/>
        <v>135473840.46589264</v>
      </c>
      <c r="AG431" s="14">
        <f t="shared" ca="1" si="53"/>
        <v>27094768.093178529</v>
      </c>
      <c r="AH431" s="14">
        <f t="shared" ca="1" si="54"/>
        <v>212007472.24180791</v>
      </c>
      <c r="AI431" s="19">
        <f t="shared" ca="1" si="55"/>
        <v>3.5334578706967985</v>
      </c>
    </row>
    <row r="432" spans="2:35" x14ac:dyDescent="0.2">
      <c r="B432" s="1">
        <v>427</v>
      </c>
      <c r="C432" s="19">
        <f ca="1">IF(RAND()&lt;P_Zero,0,IF(RAND()&lt;CondReturn,_xlfn.LOGNORM.INV(RAND(),MV2,Sigma1),IF(RAND()&lt;CondGood,_xlfn.LOGNORM.INV(RAND(),MV3,Sigma2),MIN(MaxMultiple,Xm/(1-RAND())^(1/Alpha)))))</f>
        <v>1.0079880706952902</v>
      </c>
      <c r="D432" s="19">
        <f ca="1">IF(RAND()&lt;P_Zero,0,IF(RAND()&lt;CondReturn,_xlfn.LOGNORM.INV(RAND(),MV2,Sigma1),IF(RAND()&lt;CondGood,_xlfn.LOGNORM.INV(RAND(),MV3,Sigma2),MIN(MaxMultiple,Xm/(1-RAND())^(1/Alpha)))))</f>
        <v>2.8094594205648997</v>
      </c>
      <c r="E432" s="19">
        <f ca="1">IF(RAND()&lt;P_Zero,0,IF(RAND()&lt;CondReturn,_xlfn.LOGNORM.INV(RAND(),MV2,Sigma1),IF(RAND()&lt;CondGood,_xlfn.LOGNORM.INV(RAND(),MV3,Sigma2),MIN(MaxMultiple,Xm/(1-RAND())^(1/Alpha)))))</f>
        <v>29.717380685106193</v>
      </c>
      <c r="F432" s="19">
        <f ca="1">IF(RAND()&lt;P_Zero,0,IF(RAND()&lt;CondReturn,_xlfn.LOGNORM.INV(RAND(),MV2,Sigma1),IF(RAND()&lt;CondGood,_xlfn.LOGNORM.INV(RAND(),MV3,Sigma2),MIN(MaxMultiple,Xm/(1-RAND())^(1/Alpha)))))</f>
        <v>0.96410592045472987</v>
      </c>
      <c r="G432" s="19">
        <f ca="1">IF(RAND()&lt;P_Zero,0,IF(RAND()&lt;CondReturn,_xlfn.LOGNORM.INV(RAND(),MV2,Sigma1),IF(RAND()&lt;CondGood,_xlfn.LOGNORM.INV(RAND(),MV3,Sigma2),MIN(MaxMultiple,Xm/(1-RAND())^(1/Alpha)))))</f>
        <v>25.850335185827287</v>
      </c>
      <c r="H432" s="19">
        <f ca="1">IF(RAND()&lt;P_Zero,0,IF(RAND()&lt;CondReturn,_xlfn.LOGNORM.INV(RAND(),MV2,Sigma1),IF(RAND()&lt;CondGood,_xlfn.LOGNORM.INV(RAND(),MV3,Sigma2),MIN(MaxMultiple,Xm/(1-RAND())^(1/Alpha)))))</f>
        <v>0</v>
      </c>
      <c r="I432" s="19">
        <f ca="1">IF(RAND()&lt;P_Zero,0,IF(RAND()&lt;CondReturn,_xlfn.LOGNORM.INV(RAND(),MV2,Sigma1),IF(RAND()&lt;CondGood,_xlfn.LOGNORM.INV(RAND(),MV3,Sigma2),MIN(MaxMultiple,Xm/(1-RAND())^(1/Alpha)))))</f>
        <v>11.147313321759571</v>
      </c>
      <c r="J432" s="19">
        <f ca="1">IF(RAND()&lt;P_Zero,0,IF(RAND()&lt;CondReturn,_xlfn.LOGNORM.INV(RAND(),MV2,Sigma1),IF(RAND()&lt;CondGood,_xlfn.LOGNORM.INV(RAND(),MV3,Sigma2),MIN(MaxMultiple,Xm/(1-RAND())^(1/Alpha)))))</f>
        <v>0.63691866961414112</v>
      </c>
      <c r="K432" s="19">
        <f ca="1">IF(RAND()&lt;P_Zero,0,IF(RAND()&lt;CondReturn,_xlfn.LOGNORM.INV(RAND(),MV2,Sigma1),IF(RAND()&lt;CondGood,_xlfn.LOGNORM.INV(RAND(),MV3,Sigma2),MIN(MaxMultiple,Xm/(1-RAND())^(1/Alpha)))))</f>
        <v>0.8766563869255799</v>
      </c>
      <c r="L432" s="19">
        <f ca="1">IF(RAND()&lt;P_Zero,0,IF(RAND()&lt;CondReturn,_xlfn.LOGNORM.INV(RAND(),MV2,Sigma1),IF(RAND()&lt;CondGood,_xlfn.LOGNORM.INV(RAND(),MV3,Sigma2),MIN(MaxMultiple,Xm/(1-RAND())^(1/Alpha)))))</f>
        <v>0</v>
      </c>
      <c r="M432" s="19">
        <f ca="1">IF(RAND()&lt;P_Zero,0,IF(RAND()&lt;CondReturn,_xlfn.LOGNORM.INV(RAND(),MV2,Sigma1),IF(RAND()&lt;CondGood,_xlfn.LOGNORM.INV(RAND(),MV3,Sigma2),MIN(MaxMultiple,Xm/(1-RAND())^(1/Alpha)))))</f>
        <v>0</v>
      </c>
      <c r="N432" s="19">
        <f ca="1">IF(RAND()&lt;P_Zero,0,IF(RAND()&lt;CondReturn,_xlfn.LOGNORM.INV(RAND(),MV2,Sigma1),IF(RAND()&lt;CondGood,_xlfn.LOGNORM.INV(RAND(),MV3,Sigma2),MIN(MaxMultiple,Xm/(1-RAND())^(1/Alpha)))))</f>
        <v>0.85126286635947412</v>
      </c>
      <c r="O432" s="19">
        <f ca="1">IF(RAND()&lt;P_Zero,0,IF(RAND()&lt;CondReturn,_xlfn.LOGNORM.INV(RAND(),MV2,Sigma1),IF(RAND()&lt;CondGood,_xlfn.LOGNORM.INV(RAND(),MV3,Sigma2),MIN(MaxMultiple,Xm/(1-RAND())^(1/Alpha)))))</f>
        <v>0</v>
      </c>
      <c r="P432" s="19">
        <f ca="1">IF(RAND()&lt;P_Zero,0,IF(RAND()&lt;CondReturn,_xlfn.LOGNORM.INV(RAND(),MV2,Sigma1),IF(RAND()&lt;CondGood,_xlfn.LOGNORM.INV(RAND(),MV3,Sigma2),MIN(MaxMultiple,Xm/(1-RAND())^(1/Alpha)))))</f>
        <v>0.74692372732476886</v>
      </c>
      <c r="Q432" s="19">
        <f ca="1">IF(RAND()&lt;P_Zero,0,IF(RAND()&lt;CondReturn,_xlfn.LOGNORM.INV(RAND(),MV2,Sigma1),IF(RAND()&lt;CondGood,_xlfn.LOGNORM.INV(RAND(),MV3,Sigma2),MIN(MaxMultiple,Xm/(1-RAND())^(1/Alpha)))))</f>
        <v>0</v>
      </c>
      <c r="R432" s="19">
        <f ca="1">IF(RAND()&lt;P_Zero,0,IF(RAND()&lt;CondReturn,_xlfn.LOGNORM.INV(RAND(),MV2,Sigma1),IF(RAND()&lt;CondGood,_xlfn.LOGNORM.INV(RAND(),MV3,Sigma2),MIN(MaxMultiple,Xm/(1-RAND())^(1/Alpha)))))</f>
        <v>1.1969263257621161</v>
      </c>
      <c r="S432" s="19">
        <f ca="1">IF(RAND()&lt;P_Zero,0,IF(RAND()&lt;CondReturn,_xlfn.LOGNORM.INV(RAND(),MV2,Sigma1),IF(RAND()&lt;CondGood,_xlfn.LOGNORM.INV(RAND(),MV3,Sigma2),MIN(MaxMultiple,Xm/(1-RAND())^(1/Alpha)))))</f>
        <v>0</v>
      </c>
      <c r="T432" s="19">
        <f ca="1">IF(RAND()&lt;P_Zero,0,IF(RAND()&lt;CondReturn,_xlfn.LOGNORM.INV(RAND(),MV2,Sigma1),IF(RAND()&lt;CondGood,_xlfn.LOGNORM.INV(RAND(),MV3,Sigma2),MIN(MaxMultiple,Xm/(1-RAND())^(1/Alpha)))))</f>
        <v>0</v>
      </c>
      <c r="U432" s="19">
        <f ca="1">IF(RAND()&lt;P_Zero,0,IF(RAND()&lt;CondReturn,_xlfn.LOGNORM.INV(RAND(),MV2,Sigma1),IF(RAND()&lt;CondGood,_xlfn.LOGNORM.INV(RAND(),MV3,Sigma2),MIN(MaxMultiple,Xm/(1-RAND())^(1/Alpha)))))</f>
        <v>1.6782341151721427</v>
      </c>
      <c r="V432" s="19">
        <f ca="1">IF(RAND()&lt;P_Zero,0,IF(RAND()&lt;CondReturn,_xlfn.LOGNORM.INV(RAND(),MV2,Sigma1),IF(RAND()&lt;CondGood,_xlfn.LOGNORM.INV(RAND(),MV3,Sigma2),MIN(MaxMultiple,Xm/(1-RAND())^(1/Alpha)))))</f>
        <v>0</v>
      </c>
      <c r="W432" s="19">
        <f ca="1">IF(RAND()&lt;P_Zero,0,IF(RAND()&lt;CondReturn,_xlfn.LOGNORM.INV(RAND(),MV2,Sigma1),IF(RAND()&lt;CondGood,_xlfn.LOGNORM.INV(RAND(),MV3,Sigma2),MIN(MaxMultiple,Xm/(1-RAND())^(1/Alpha)))))</f>
        <v>0.64879711889820357</v>
      </c>
      <c r="X432" s="19">
        <f ca="1">IF(RAND()&lt;P_Zero,0,IF(RAND()&lt;CondReturn,_xlfn.LOGNORM.INV(RAND(),MV2,Sigma1),IF(RAND()&lt;CondGood,_xlfn.LOGNORM.INV(RAND(),MV3,Sigma2),MIN(MaxMultiple,Xm/(1-RAND())^(1/Alpha)))))</f>
        <v>0</v>
      </c>
      <c r="Y432" s="19">
        <f ca="1">IF(RAND()&lt;P_Zero,0,IF(RAND()&lt;CondReturn,_xlfn.LOGNORM.INV(RAND(),MV2,Sigma1),IF(RAND()&lt;CondGood,_xlfn.LOGNORM.INV(RAND(),MV3,Sigma2),MIN(MaxMultiple,Xm/(1-RAND())^(1/Alpha)))))</f>
        <v>0.80283586680435537</v>
      </c>
      <c r="Z432" s="19">
        <f ca="1">IF(RAND()&lt;P_Zero,0,IF(RAND()&lt;CondReturn,_xlfn.LOGNORM.INV(RAND(),MV2,Sigma1),IF(RAND()&lt;CondGood,_xlfn.LOGNORM.INV(RAND(),MV3,Sigma2),MIN(MaxMultiple,Xm/(1-RAND())^(1/Alpha)))))</f>
        <v>1.4615210974110391</v>
      </c>
      <c r="AA432" s="19">
        <f ca="1">IF(RAND()&lt;P_Zero,0,IF(RAND()&lt;CondReturn,_xlfn.LOGNORM.INV(RAND(),MV2,Sigma1),IF(RAND()&lt;CondGood,_xlfn.LOGNORM.INV(RAND(),MV3,Sigma2),MIN(MaxMultiple,Xm/(1-RAND())^(1/Alpha)))))</f>
        <v>0.77494195311266889</v>
      </c>
      <c r="AB432" s="19">
        <f t="shared" ca="1" si="48"/>
        <v>3.2468640292716988</v>
      </c>
      <c r="AC432" s="14">
        <f t="shared" ca="1" si="49"/>
        <v>155849473.40504155</v>
      </c>
      <c r="AD432" s="14">
        <f t="shared" ca="1" si="50"/>
        <v>107849473.40504155</v>
      </c>
      <c r="AE432" s="14">
        <f t="shared" si="51"/>
        <v>55628399.869093813</v>
      </c>
      <c r="AF432" s="14">
        <f t="shared" ca="1" si="52"/>
        <v>52221073.535947733</v>
      </c>
      <c r="AG432" s="14">
        <f t="shared" ca="1" si="53"/>
        <v>10444214.707189547</v>
      </c>
      <c r="AH432" s="14">
        <f t="shared" ca="1" si="54"/>
        <v>145405258.69785199</v>
      </c>
      <c r="AI432" s="19">
        <f t="shared" ca="1" si="55"/>
        <v>2.4234209782975329</v>
      </c>
    </row>
    <row r="433" spans="2:35" x14ac:dyDescent="0.2">
      <c r="B433" s="1">
        <v>428</v>
      </c>
      <c r="C433" s="19">
        <f ca="1">IF(RAND()&lt;P_Zero,0,IF(RAND()&lt;CondReturn,_xlfn.LOGNORM.INV(RAND(),MV2,Sigma1),IF(RAND()&lt;CondGood,_xlfn.LOGNORM.INV(RAND(),MV3,Sigma2),MIN(MaxMultiple,Xm/(1-RAND())^(1/Alpha)))))</f>
        <v>0.61213108892237189</v>
      </c>
      <c r="D433" s="19">
        <f ca="1">IF(RAND()&lt;P_Zero,0,IF(RAND()&lt;CondReturn,_xlfn.LOGNORM.INV(RAND(),MV2,Sigma1),IF(RAND()&lt;CondGood,_xlfn.LOGNORM.INV(RAND(),MV3,Sigma2),MIN(MaxMultiple,Xm/(1-RAND())^(1/Alpha)))))</f>
        <v>0</v>
      </c>
      <c r="E433" s="19">
        <f ca="1">IF(RAND()&lt;P_Zero,0,IF(RAND()&lt;CondReturn,_xlfn.LOGNORM.INV(RAND(),MV2,Sigma1),IF(RAND()&lt;CondGood,_xlfn.LOGNORM.INV(RAND(),MV3,Sigma2),MIN(MaxMultiple,Xm/(1-RAND())^(1/Alpha)))))</f>
        <v>0.23267662780016948</v>
      </c>
      <c r="F433" s="19">
        <f ca="1">IF(RAND()&lt;P_Zero,0,IF(RAND()&lt;CondReturn,_xlfn.LOGNORM.INV(RAND(),MV2,Sigma1),IF(RAND()&lt;CondGood,_xlfn.LOGNORM.INV(RAND(),MV3,Sigma2),MIN(MaxMultiple,Xm/(1-RAND())^(1/Alpha)))))</f>
        <v>0</v>
      </c>
      <c r="G433" s="19">
        <f ca="1">IF(RAND()&lt;P_Zero,0,IF(RAND()&lt;CondReturn,_xlfn.LOGNORM.INV(RAND(),MV2,Sigma1),IF(RAND()&lt;CondGood,_xlfn.LOGNORM.INV(RAND(),MV3,Sigma2),MIN(MaxMultiple,Xm/(1-RAND())^(1/Alpha)))))</f>
        <v>0</v>
      </c>
      <c r="H433" s="19">
        <f ca="1">IF(RAND()&lt;P_Zero,0,IF(RAND()&lt;CondReturn,_xlfn.LOGNORM.INV(RAND(),MV2,Sigma1),IF(RAND()&lt;CondGood,_xlfn.LOGNORM.INV(RAND(),MV3,Sigma2),MIN(MaxMultiple,Xm/(1-RAND())^(1/Alpha)))))</f>
        <v>0.73147613267447187</v>
      </c>
      <c r="I433" s="19">
        <f ca="1">IF(RAND()&lt;P_Zero,0,IF(RAND()&lt;CondReturn,_xlfn.LOGNORM.INV(RAND(),MV2,Sigma1),IF(RAND()&lt;CondGood,_xlfn.LOGNORM.INV(RAND(),MV3,Sigma2),MIN(MaxMultiple,Xm/(1-RAND())^(1/Alpha)))))</f>
        <v>0.95431355395419859</v>
      </c>
      <c r="J433" s="19">
        <f ca="1">IF(RAND()&lt;P_Zero,0,IF(RAND()&lt;CondReturn,_xlfn.LOGNORM.INV(RAND(),MV2,Sigma1),IF(RAND()&lt;CondGood,_xlfn.LOGNORM.INV(RAND(),MV3,Sigma2),MIN(MaxMultiple,Xm/(1-RAND())^(1/Alpha)))))</f>
        <v>0.53305501742585459</v>
      </c>
      <c r="K433" s="19">
        <f ca="1">IF(RAND()&lt;P_Zero,0,IF(RAND()&lt;CondReturn,_xlfn.LOGNORM.INV(RAND(),MV2,Sigma1),IF(RAND()&lt;CondGood,_xlfn.LOGNORM.INV(RAND(),MV3,Sigma2),MIN(MaxMultiple,Xm/(1-RAND())^(1/Alpha)))))</f>
        <v>0</v>
      </c>
      <c r="L433" s="19">
        <f ca="1">IF(RAND()&lt;P_Zero,0,IF(RAND()&lt;CondReturn,_xlfn.LOGNORM.INV(RAND(),MV2,Sigma1),IF(RAND()&lt;CondGood,_xlfn.LOGNORM.INV(RAND(),MV3,Sigma2),MIN(MaxMultiple,Xm/(1-RAND())^(1/Alpha)))))</f>
        <v>1.026679883263379</v>
      </c>
      <c r="M433" s="19">
        <f ca="1">IF(RAND()&lt;P_Zero,0,IF(RAND()&lt;CondReturn,_xlfn.LOGNORM.INV(RAND(),MV2,Sigma1),IF(RAND()&lt;CondGood,_xlfn.LOGNORM.INV(RAND(),MV3,Sigma2),MIN(MaxMultiple,Xm/(1-RAND())^(1/Alpha)))))</f>
        <v>0.37718335432148525</v>
      </c>
      <c r="N433" s="19">
        <f ca="1">IF(RAND()&lt;P_Zero,0,IF(RAND()&lt;CondReturn,_xlfn.LOGNORM.INV(RAND(),MV2,Sigma1),IF(RAND()&lt;CondGood,_xlfn.LOGNORM.INV(RAND(),MV3,Sigma2),MIN(MaxMultiple,Xm/(1-RAND())^(1/Alpha)))))</f>
        <v>0</v>
      </c>
      <c r="O433" s="19">
        <f ca="1">IF(RAND()&lt;P_Zero,0,IF(RAND()&lt;CondReturn,_xlfn.LOGNORM.INV(RAND(),MV2,Sigma1),IF(RAND()&lt;CondGood,_xlfn.LOGNORM.INV(RAND(),MV3,Sigma2),MIN(MaxMultiple,Xm/(1-RAND())^(1/Alpha)))))</f>
        <v>1.0862952803381027</v>
      </c>
      <c r="P433" s="19">
        <f ca="1">IF(RAND()&lt;P_Zero,0,IF(RAND()&lt;CondReturn,_xlfn.LOGNORM.INV(RAND(),MV2,Sigma1),IF(RAND()&lt;CondGood,_xlfn.LOGNORM.INV(RAND(),MV3,Sigma2),MIN(MaxMultiple,Xm/(1-RAND())^(1/Alpha)))))</f>
        <v>0</v>
      </c>
      <c r="Q433" s="19">
        <f ca="1">IF(RAND()&lt;P_Zero,0,IF(RAND()&lt;CondReturn,_xlfn.LOGNORM.INV(RAND(),MV2,Sigma1),IF(RAND()&lt;CondGood,_xlfn.LOGNORM.INV(RAND(),MV3,Sigma2),MIN(MaxMultiple,Xm/(1-RAND())^(1/Alpha)))))</f>
        <v>10.41412326333808</v>
      </c>
      <c r="R433" s="19">
        <f ca="1">IF(RAND()&lt;P_Zero,0,IF(RAND()&lt;CondReturn,_xlfn.LOGNORM.INV(RAND(),MV2,Sigma1),IF(RAND()&lt;CondGood,_xlfn.LOGNORM.INV(RAND(),MV3,Sigma2),MIN(MaxMultiple,Xm/(1-RAND())^(1/Alpha)))))</f>
        <v>23.39939700496339</v>
      </c>
      <c r="S433" s="19">
        <f ca="1">IF(RAND()&lt;P_Zero,0,IF(RAND()&lt;CondReturn,_xlfn.LOGNORM.INV(RAND(),MV2,Sigma1),IF(RAND()&lt;CondGood,_xlfn.LOGNORM.INV(RAND(),MV3,Sigma2),MIN(MaxMultiple,Xm/(1-RAND())^(1/Alpha)))))</f>
        <v>0</v>
      </c>
      <c r="T433" s="19">
        <f ca="1">IF(RAND()&lt;P_Zero,0,IF(RAND()&lt;CondReturn,_xlfn.LOGNORM.INV(RAND(),MV2,Sigma1),IF(RAND()&lt;CondGood,_xlfn.LOGNORM.INV(RAND(),MV3,Sigma2),MIN(MaxMultiple,Xm/(1-RAND())^(1/Alpha)))))</f>
        <v>1.488944348457234</v>
      </c>
      <c r="U433" s="19">
        <f ca="1">IF(RAND()&lt;P_Zero,0,IF(RAND()&lt;CondReturn,_xlfn.LOGNORM.INV(RAND(),MV2,Sigma1),IF(RAND()&lt;CondGood,_xlfn.LOGNORM.INV(RAND(),MV3,Sigma2),MIN(MaxMultiple,Xm/(1-RAND())^(1/Alpha)))))</f>
        <v>0</v>
      </c>
      <c r="V433" s="19">
        <f ca="1">IF(RAND()&lt;P_Zero,0,IF(RAND()&lt;CondReturn,_xlfn.LOGNORM.INV(RAND(),MV2,Sigma1),IF(RAND()&lt;CondGood,_xlfn.LOGNORM.INV(RAND(),MV3,Sigma2),MIN(MaxMultiple,Xm/(1-RAND())^(1/Alpha)))))</f>
        <v>0</v>
      </c>
      <c r="W433" s="19">
        <f ca="1">IF(RAND()&lt;P_Zero,0,IF(RAND()&lt;CondReturn,_xlfn.LOGNORM.INV(RAND(),MV2,Sigma1),IF(RAND()&lt;CondGood,_xlfn.LOGNORM.INV(RAND(),MV3,Sigma2),MIN(MaxMultiple,Xm/(1-RAND())^(1/Alpha)))))</f>
        <v>0</v>
      </c>
      <c r="X433" s="19">
        <f ca="1">IF(RAND()&lt;P_Zero,0,IF(RAND()&lt;CondReturn,_xlfn.LOGNORM.INV(RAND(),MV2,Sigma1),IF(RAND()&lt;CondGood,_xlfn.LOGNORM.INV(RAND(),MV3,Sigma2),MIN(MaxMultiple,Xm/(1-RAND())^(1/Alpha)))))</f>
        <v>1.0083676108042037</v>
      </c>
      <c r="Y433" s="19">
        <f ca="1">IF(RAND()&lt;P_Zero,0,IF(RAND()&lt;CondReturn,_xlfn.LOGNORM.INV(RAND(),MV2,Sigma1),IF(RAND()&lt;CondGood,_xlfn.LOGNORM.INV(RAND(),MV3,Sigma2),MIN(MaxMultiple,Xm/(1-RAND())^(1/Alpha)))))</f>
        <v>0.85758210866377405</v>
      </c>
      <c r="Z433" s="19">
        <f ca="1">IF(RAND()&lt;P_Zero,0,IF(RAND()&lt;CondReturn,_xlfn.LOGNORM.INV(RAND(),MV2,Sigma1),IF(RAND()&lt;CondGood,_xlfn.LOGNORM.INV(RAND(),MV3,Sigma2),MIN(MaxMultiple,Xm/(1-RAND())^(1/Alpha)))))</f>
        <v>0</v>
      </c>
      <c r="AA433" s="19">
        <f ca="1">IF(RAND()&lt;P_Zero,0,IF(RAND()&lt;CondReturn,_xlfn.LOGNORM.INV(RAND(),MV2,Sigma1),IF(RAND()&lt;CondGood,_xlfn.LOGNORM.INV(RAND(),MV3,Sigma2),MIN(MaxMultiple,Xm/(1-RAND())^(1/Alpha)))))</f>
        <v>1.0025560222877774</v>
      </c>
      <c r="AB433" s="19">
        <f t="shared" ca="1" si="48"/>
        <v>1.74899125188858</v>
      </c>
      <c r="AC433" s="14">
        <f t="shared" ca="1" si="49"/>
        <v>83951580.09065184</v>
      </c>
      <c r="AD433" s="14">
        <f t="shared" ca="1" si="50"/>
        <v>35951580.09065184</v>
      </c>
      <c r="AE433" s="14">
        <f t="shared" si="51"/>
        <v>55628399.869093813</v>
      </c>
      <c r="AF433" s="14">
        <f t="shared" ca="1" si="52"/>
        <v>0</v>
      </c>
      <c r="AG433" s="14">
        <f t="shared" ca="1" si="53"/>
        <v>0</v>
      </c>
      <c r="AH433" s="14">
        <f t="shared" ca="1" si="54"/>
        <v>83951580.09065184</v>
      </c>
      <c r="AI433" s="19">
        <f t="shared" ca="1" si="55"/>
        <v>1.399193001510864</v>
      </c>
    </row>
    <row r="434" spans="2:35" x14ac:dyDescent="0.2">
      <c r="B434" s="1">
        <v>429</v>
      </c>
      <c r="C434" s="19">
        <f ca="1">IF(RAND()&lt;P_Zero,0,IF(RAND()&lt;CondReturn,_xlfn.LOGNORM.INV(RAND(),MV2,Sigma1),IF(RAND()&lt;CondGood,_xlfn.LOGNORM.INV(RAND(),MV3,Sigma2),MIN(MaxMultiple,Xm/(1-RAND())^(1/Alpha)))))</f>
        <v>0</v>
      </c>
      <c r="D434" s="19">
        <f ca="1">IF(RAND()&lt;P_Zero,0,IF(RAND()&lt;CondReturn,_xlfn.LOGNORM.INV(RAND(),MV2,Sigma1),IF(RAND()&lt;CondGood,_xlfn.LOGNORM.INV(RAND(),MV3,Sigma2),MIN(MaxMultiple,Xm/(1-RAND())^(1/Alpha)))))</f>
        <v>0.68721819919510585</v>
      </c>
      <c r="E434" s="19">
        <f ca="1">IF(RAND()&lt;P_Zero,0,IF(RAND()&lt;CondReturn,_xlfn.LOGNORM.INV(RAND(),MV2,Sigma1),IF(RAND()&lt;CondGood,_xlfn.LOGNORM.INV(RAND(),MV3,Sigma2),MIN(MaxMultiple,Xm/(1-RAND())^(1/Alpha)))))</f>
        <v>0</v>
      </c>
      <c r="F434" s="19">
        <f ca="1">IF(RAND()&lt;P_Zero,0,IF(RAND()&lt;CondReturn,_xlfn.LOGNORM.INV(RAND(),MV2,Sigma1),IF(RAND()&lt;CondGood,_xlfn.LOGNORM.INV(RAND(),MV3,Sigma2),MIN(MaxMultiple,Xm/(1-RAND())^(1/Alpha)))))</f>
        <v>0</v>
      </c>
      <c r="G434" s="19">
        <f ca="1">IF(RAND()&lt;P_Zero,0,IF(RAND()&lt;CondReturn,_xlfn.LOGNORM.INV(RAND(),MV2,Sigma1),IF(RAND()&lt;CondGood,_xlfn.LOGNORM.INV(RAND(),MV3,Sigma2),MIN(MaxMultiple,Xm/(1-RAND())^(1/Alpha)))))</f>
        <v>0</v>
      </c>
      <c r="H434" s="19">
        <f ca="1">IF(RAND()&lt;P_Zero,0,IF(RAND()&lt;CondReturn,_xlfn.LOGNORM.INV(RAND(),MV2,Sigma1),IF(RAND()&lt;CondGood,_xlfn.LOGNORM.INV(RAND(),MV3,Sigma2),MIN(MaxMultiple,Xm/(1-RAND())^(1/Alpha)))))</f>
        <v>0.58389342809817779</v>
      </c>
      <c r="I434" s="19">
        <f ca="1">IF(RAND()&lt;P_Zero,0,IF(RAND()&lt;CondReturn,_xlfn.LOGNORM.INV(RAND(),MV2,Sigma1),IF(RAND()&lt;CondGood,_xlfn.LOGNORM.INV(RAND(),MV3,Sigma2),MIN(MaxMultiple,Xm/(1-RAND())^(1/Alpha)))))</f>
        <v>0</v>
      </c>
      <c r="J434" s="19">
        <f ca="1">IF(RAND()&lt;P_Zero,0,IF(RAND()&lt;CondReturn,_xlfn.LOGNORM.INV(RAND(),MV2,Sigma1),IF(RAND()&lt;CondGood,_xlfn.LOGNORM.INV(RAND(),MV3,Sigma2),MIN(MaxMultiple,Xm/(1-RAND())^(1/Alpha)))))</f>
        <v>1.0057519533324861</v>
      </c>
      <c r="K434" s="19">
        <f ca="1">IF(RAND()&lt;P_Zero,0,IF(RAND()&lt;CondReturn,_xlfn.LOGNORM.INV(RAND(),MV2,Sigma1),IF(RAND()&lt;CondGood,_xlfn.LOGNORM.INV(RAND(),MV3,Sigma2),MIN(MaxMultiple,Xm/(1-RAND())^(1/Alpha)))))</f>
        <v>0.97803178157602655</v>
      </c>
      <c r="L434" s="19">
        <f ca="1">IF(RAND()&lt;P_Zero,0,IF(RAND()&lt;CondReturn,_xlfn.LOGNORM.INV(RAND(),MV2,Sigma1),IF(RAND()&lt;CondGood,_xlfn.LOGNORM.INV(RAND(),MV3,Sigma2),MIN(MaxMultiple,Xm/(1-RAND())^(1/Alpha)))))</f>
        <v>0</v>
      </c>
      <c r="M434" s="19">
        <f ca="1">IF(RAND()&lt;P_Zero,0,IF(RAND()&lt;CondReturn,_xlfn.LOGNORM.INV(RAND(),MV2,Sigma1),IF(RAND()&lt;CondGood,_xlfn.LOGNORM.INV(RAND(),MV3,Sigma2),MIN(MaxMultiple,Xm/(1-RAND())^(1/Alpha)))))</f>
        <v>0.94239668079854877</v>
      </c>
      <c r="N434" s="19">
        <f ca="1">IF(RAND()&lt;P_Zero,0,IF(RAND()&lt;CondReturn,_xlfn.LOGNORM.INV(RAND(),MV2,Sigma1),IF(RAND()&lt;CondGood,_xlfn.LOGNORM.INV(RAND(),MV3,Sigma2),MIN(MaxMultiple,Xm/(1-RAND())^(1/Alpha)))))</f>
        <v>0</v>
      </c>
      <c r="O434" s="19">
        <f ca="1">IF(RAND()&lt;P_Zero,0,IF(RAND()&lt;CondReturn,_xlfn.LOGNORM.INV(RAND(),MV2,Sigma1),IF(RAND()&lt;CondGood,_xlfn.LOGNORM.INV(RAND(),MV3,Sigma2),MIN(MaxMultiple,Xm/(1-RAND())^(1/Alpha)))))</f>
        <v>0.61462113737221646</v>
      </c>
      <c r="P434" s="19">
        <f ca="1">IF(RAND()&lt;P_Zero,0,IF(RAND()&lt;CondReturn,_xlfn.LOGNORM.INV(RAND(),MV2,Sigma1),IF(RAND()&lt;CondGood,_xlfn.LOGNORM.INV(RAND(),MV3,Sigma2),MIN(MaxMultiple,Xm/(1-RAND())^(1/Alpha)))))</f>
        <v>0.79333036118350553</v>
      </c>
      <c r="Q434" s="19">
        <f ca="1">IF(RAND()&lt;P_Zero,0,IF(RAND()&lt;CondReturn,_xlfn.LOGNORM.INV(RAND(),MV2,Sigma1),IF(RAND()&lt;CondGood,_xlfn.LOGNORM.INV(RAND(),MV3,Sigma2),MIN(MaxMultiple,Xm/(1-RAND())^(1/Alpha)))))</f>
        <v>0</v>
      </c>
      <c r="R434" s="19">
        <f ca="1">IF(RAND()&lt;P_Zero,0,IF(RAND()&lt;CondReturn,_xlfn.LOGNORM.INV(RAND(),MV2,Sigma1),IF(RAND()&lt;CondGood,_xlfn.LOGNORM.INV(RAND(),MV3,Sigma2),MIN(MaxMultiple,Xm/(1-RAND())^(1/Alpha)))))</f>
        <v>1.1273421764702964</v>
      </c>
      <c r="S434" s="19">
        <f ca="1">IF(RAND()&lt;P_Zero,0,IF(RAND()&lt;CondReturn,_xlfn.LOGNORM.INV(RAND(),MV2,Sigma1),IF(RAND()&lt;CondGood,_xlfn.LOGNORM.INV(RAND(),MV3,Sigma2),MIN(MaxMultiple,Xm/(1-RAND())^(1/Alpha)))))</f>
        <v>0</v>
      </c>
      <c r="T434" s="19">
        <f ca="1">IF(RAND()&lt;P_Zero,0,IF(RAND()&lt;CondReturn,_xlfn.LOGNORM.INV(RAND(),MV2,Sigma1),IF(RAND()&lt;CondGood,_xlfn.LOGNORM.INV(RAND(),MV3,Sigma2),MIN(MaxMultiple,Xm/(1-RAND())^(1/Alpha)))))</f>
        <v>0</v>
      </c>
      <c r="U434" s="19">
        <f ca="1">IF(RAND()&lt;P_Zero,0,IF(RAND()&lt;CondReturn,_xlfn.LOGNORM.INV(RAND(),MV2,Sigma1),IF(RAND()&lt;CondGood,_xlfn.LOGNORM.INV(RAND(),MV3,Sigma2),MIN(MaxMultiple,Xm/(1-RAND())^(1/Alpha)))))</f>
        <v>1.026045555112638</v>
      </c>
      <c r="V434" s="19">
        <f ca="1">IF(RAND()&lt;P_Zero,0,IF(RAND()&lt;CondReturn,_xlfn.LOGNORM.INV(RAND(),MV2,Sigma1),IF(RAND()&lt;CondGood,_xlfn.LOGNORM.INV(RAND(),MV3,Sigma2),MIN(MaxMultiple,Xm/(1-RAND())^(1/Alpha)))))</f>
        <v>0.9263487508809275</v>
      </c>
      <c r="W434" s="19">
        <f ca="1">IF(RAND()&lt;P_Zero,0,IF(RAND()&lt;CondReturn,_xlfn.LOGNORM.INV(RAND(),MV2,Sigma1),IF(RAND()&lt;CondGood,_xlfn.LOGNORM.INV(RAND(),MV3,Sigma2),MIN(MaxMultiple,Xm/(1-RAND())^(1/Alpha)))))</f>
        <v>1.71620172272213</v>
      </c>
      <c r="X434" s="19">
        <f ca="1">IF(RAND()&lt;P_Zero,0,IF(RAND()&lt;CondReturn,_xlfn.LOGNORM.INV(RAND(),MV2,Sigma1),IF(RAND()&lt;CondGood,_xlfn.LOGNORM.INV(RAND(),MV3,Sigma2),MIN(MaxMultiple,Xm/(1-RAND())^(1/Alpha)))))</f>
        <v>74.868618713548798</v>
      </c>
      <c r="Y434" s="19">
        <f ca="1">IF(RAND()&lt;P_Zero,0,IF(RAND()&lt;CondReturn,_xlfn.LOGNORM.INV(RAND(),MV2,Sigma1),IF(RAND()&lt;CondGood,_xlfn.LOGNORM.INV(RAND(),MV3,Sigma2),MIN(MaxMultiple,Xm/(1-RAND())^(1/Alpha)))))</f>
        <v>0</v>
      </c>
      <c r="Z434" s="19">
        <f ca="1">IF(RAND()&lt;P_Zero,0,IF(RAND()&lt;CondReturn,_xlfn.LOGNORM.INV(RAND(),MV2,Sigma1),IF(RAND()&lt;CondGood,_xlfn.LOGNORM.INV(RAND(),MV3,Sigma2),MIN(MaxMultiple,Xm/(1-RAND())^(1/Alpha)))))</f>
        <v>1.116123829027784</v>
      </c>
      <c r="AA434" s="19">
        <f ca="1">IF(RAND()&lt;P_Zero,0,IF(RAND()&lt;CondReturn,_xlfn.LOGNORM.INV(RAND(),MV2,Sigma1),IF(RAND()&lt;CondGood,_xlfn.LOGNORM.INV(RAND(),MV3,Sigma2),MIN(MaxMultiple,Xm/(1-RAND())^(1/Alpha)))))</f>
        <v>0.92311750547700988</v>
      </c>
      <c r="AB434" s="19">
        <f t="shared" ca="1" si="48"/>
        <v>3.4923616717918264</v>
      </c>
      <c r="AC434" s="14">
        <f t="shared" ca="1" si="49"/>
        <v>167633360.24600768</v>
      </c>
      <c r="AD434" s="14">
        <f t="shared" ca="1" si="50"/>
        <v>119633360.24600768</v>
      </c>
      <c r="AE434" s="14">
        <f t="shared" si="51"/>
        <v>55628399.869093813</v>
      </c>
      <c r="AF434" s="14">
        <f t="shared" ca="1" si="52"/>
        <v>64004960.376913868</v>
      </c>
      <c r="AG434" s="14">
        <f t="shared" ca="1" si="53"/>
        <v>12800992.075382775</v>
      </c>
      <c r="AH434" s="14">
        <f t="shared" ca="1" si="54"/>
        <v>154832368.17062491</v>
      </c>
      <c r="AI434" s="19">
        <f t="shared" ca="1" si="55"/>
        <v>2.5805394695104154</v>
      </c>
    </row>
    <row r="435" spans="2:35" x14ac:dyDescent="0.2">
      <c r="B435" s="1">
        <v>430</v>
      </c>
      <c r="C435" s="19">
        <f ca="1">IF(RAND()&lt;P_Zero,0,IF(RAND()&lt;CondReturn,_xlfn.LOGNORM.INV(RAND(),MV2,Sigma1),IF(RAND()&lt;CondGood,_xlfn.LOGNORM.INV(RAND(),MV3,Sigma2),MIN(MaxMultiple,Xm/(1-RAND())^(1/Alpha)))))</f>
        <v>0.72374304107040821</v>
      </c>
      <c r="D435" s="19">
        <f ca="1">IF(RAND()&lt;P_Zero,0,IF(RAND()&lt;CondReturn,_xlfn.LOGNORM.INV(RAND(),MV2,Sigma1),IF(RAND()&lt;CondGood,_xlfn.LOGNORM.INV(RAND(),MV3,Sigma2),MIN(MaxMultiple,Xm/(1-RAND())^(1/Alpha)))))</f>
        <v>0.58000891279156264</v>
      </c>
      <c r="E435" s="19">
        <f ca="1">IF(RAND()&lt;P_Zero,0,IF(RAND()&lt;CondReturn,_xlfn.LOGNORM.INV(RAND(),MV2,Sigma1),IF(RAND()&lt;CondGood,_xlfn.LOGNORM.INV(RAND(),MV3,Sigma2),MIN(MaxMultiple,Xm/(1-RAND())^(1/Alpha)))))</f>
        <v>0.75545975239089314</v>
      </c>
      <c r="F435" s="19">
        <f ca="1">IF(RAND()&lt;P_Zero,0,IF(RAND()&lt;CondReturn,_xlfn.LOGNORM.INV(RAND(),MV2,Sigma1),IF(RAND()&lt;CondGood,_xlfn.LOGNORM.INV(RAND(),MV3,Sigma2),MIN(MaxMultiple,Xm/(1-RAND())^(1/Alpha)))))</f>
        <v>0.67260868050335487</v>
      </c>
      <c r="G435" s="19">
        <f ca="1">IF(RAND()&lt;P_Zero,0,IF(RAND()&lt;CondReturn,_xlfn.LOGNORM.INV(RAND(),MV2,Sigma1),IF(RAND()&lt;CondGood,_xlfn.LOGNORM.INV(RAND(),MV3,Sigma2),MIN(MaxMultiple,Xm/(1-RAND())^(1/Alpha)))))</f>
        <v>17.342325550209839</v>
      </c>
      <c r="H435" s="19">
        <f ca="1">IF(RAND()&lt;P_Zero,0,IF(RAND()&lt;CondReturn,_xlfn.LOGNORM.INV(RAND(),MV2,Sigma1),IF(RAND()&lt;CondGood,_xlfn.LOGNORM.INV(RAND(),MV3,Sigma2),MIN(MaxMultiple,Xm/(1-RAND())^(1/Alpha)))))</f>
        <v>0.34805294856202146</v>
      </c>
      <c r="I435" s="19">
        <f ca="1">IF(RAND()&lt;P_Zero,0,IF(RAND()&lt;CondReturn,_xlfn.LOGNORM.INV(RAND(),MV2,Sigma1),IF(RAND()&lt;CondGood,_xlfn.LOGNORM.INV(RAND(),MV3,Sigma2),MIN(MaxMultiple,Xm/(1-RAND())^(1/Alpha)))))</f>
        <v>0</v>
      </c>
      <c r="J435" s="19">
        <f ca="1">IF(RAND()&lt;P_Zero,0,IF(RAND()&lt;CondReturn,_xlfn.LOGNORM.INV(RAND(),MV2,Sigma1),IF(RAND()&lt;CondGood,_xlfn.LOGNORM.INV(RAND(),MV3,Sigma2),MIN(MaxMultiple,Xm/(1-RAND())^(1/Alpha)))))</f>
        <v>1.7013583458944572</v>
      </c>
      <c r="K435" s="19">
        <f ca="1">IF(RAND()&lt;P_Zero,0,IF(RAND()&lt;CondReturn,_xlfn.LOGNORM.INV(RAND(),MV2,Sigma1),IF(RAND()&lt;CondGood,_xlfn.LOGNORM.INV(RAND(),MV3,Sigma2),MIN(MaxMultiple,Xm/(1-RAND())^(1/Alpha)))))</f>
        <v>0</v>
      </c>
      <c r="L435" s="19">
        <f ca="1">IF(RAND()&lt;P_Zero,0,IF(RAND()&lt;CondReturn,_xlfn.LOGNORM.INV(RAND(),MV2,Sigma1),IF(RAND()&lt;CondGood,_xlfn.LOGNORM.INV(RAND(),MV3,Sigma2),MIN(MaxMultiple,Xm/(1-RAND())^(1/Alpha)))))</f>
        <v>0</v>
      </c>
      <c r="M435" s="19">
        <f ca="1">IF(RAND()&lt;P_Zero,0,IF(RAND()&lt;CondReturn,_xlfn.LOGNORM.INV(RAND(),MV2,Sigma1),IF(RAND()&lt;CondGood,_xlfn.LOGNORM.INV(RAND(),MV3,Sigma2),MIN(MaxMultiple,Xm/(1-RAND())^(1/Alpha)))))</f>
        <v>1.965731812410527</v>
      </c>
      <c r="N435" s="19">
        <f ca="1">IF(RAND()&lt;P_Zero,0,IF(RAND()&lt;CondReturn,_xlfn.LOGNORM.INV(RAND(),MV2,Sigma1),IF(RAND()&lt;CondGood,_xlfn.LOGNORM.INV(RAND(),MV3,Sigma2),MIN(MaxMultiple,Xm/(1-RAND())^(1/Alpha)))))</f>
        <v>0</v>
      </c>
      <c r="O435" s="19">
        <f ca="1">IF(RAND()&lt;P_Zero,0,IF(RAND()&lt;CondReturn,_xlfn.LOGNORM.INV(RAND(),MV2,Sigma1),IF(RAND()&lt;CondGood,_xlfn.LOGNORM.INV(RAND(),MV3,Sigma2),MIN(MaxMultiple,Xm/(1-RAND())^(1/Alpha)))))</f>
        <v>0</v>
      </c>
      <c r="P435" s="19">
        <f ca="1">IF(RAND()&lt;P_Zero,0,IF(RAND()&lt;CondReturn,_xlfn.LOGNORM.INV(RAND(),MV2,Sigma1),IF(RAND()&lt;CondGood,_xlfn.LOGNORM.INV(RAND(),MV3,Sigma2),MIN(MaxMultiple,Xm/(1-RAND())^(1/Alpha)))))</f>
        <v>1.5087312399963504</v>
      </c>
      <c r="Q435" s="19">
        <f ca="1">IF(RAND()&lt;P_Zero,0,IF(RAND()&lt;CondReturn,_xlfn.LOGNORM.INV(RAND(),MV2,Sigma1),IF(RAND()&lt;CondGood,_xlfn.LOGNORM.INV(RAND(),MV3,Sigma2),MIN(MaxMultiple,Xm/(1-RAND())^(1/Alpha)))))</f>
        <v>0.89798239922835177</v>
      </c>
      <c r="R435" s="19">
        <f ca="1">IF(RAND()&lt;P_Zero,0,IF(RAND()&lt;CondReturn,_xlfn.LOGNORM.INV(RAND(),MV2,Sigma1),IF(RAND()&lt;CondGood,_xlfn.LOGNORM.INV(RAND(),MV3,Sigma2),MIN(MaxMultiple,Xm/(1-RAND())^(1/Alpha)))))</f>
        <v>1.0782620640848206</v>
      </c>
      <c r="S435" s="19">
        <f ca="1">IF(RAND()&lt;P_Zero,0,IF(RAND()&lt;CondReturn,_xlfn.LOGNORM.INV(RAND(),MV2,Sigma1),IF(RAND()&lt;CondGood,_xlfn.LOGNORM.INV(RAND(),MV3,Sigma2),MIN(MaxMultiple,Xm/(1-RAND())^(1/Alpha)))))</f>
        <v>1.3493729401605026</v>
      </c>
      <c r="T435" s="19">
        <f ca="1">IF(RAND()&lt;P_Zero,0,IF(RAND()&lt;CondReturn,_xlfn.LOGNORM.INV(RAND(),MV2,Sigma1),IF(RAND()&lt;CondGood,_xlfn.LOGNORM.INV(RAND(),MV3,Sigma2),MIN(MaxMultiple,Xm/(1-RAND())^(1/Alpha)))))</f>
        <v>0</v>
      </c>
      <c r="U435" s="19">
        <f ca="1">IF(RAND()&lt;P_Zero,0,IF(RAND()&lt;CondReturn,_xlfn.LOGNORM.INV(RAND(),MV2,Sigma1),IF(RAND()&lt;CondGood,_xlfn.LOGNORM.INV(RAND(),MV3,Sigma2),MIN(MaxMultiple,Xm/(1-RAND())^(1/Alpha)))))</f>
        <v>1.0777194312484195</v>
      </c>
      <c r="V435" s="19">
        <f ca="1">IF(RAND()&lt;P_Zero,0,IF(RAND()&lt;CondReturn,_xlfn.LOGNORM.INV(RAND(),MV2,Sigma1),IF(RAND()&lt;CondGood,_xlfn.LOGNORM.INV(RAND(),MV3,Sigma2),MIN(MaxMultiple,Xm/(1-RAND())^(1/Alpha)))))</f>
        <v>0</v>
      </c>
      <c r="W435" s="19">
        <f ca="1">IF(RAND()&lt;P_Zero,0,IF(RAND()&lt;CondReturn,_xlfn.LOGNORM.INV(RAND(),MV2,Sigma1),IF(RAND()&lt;CondGood,_xlfn.LOGNORM.INV(RAND(),MV3,Sigma2),MIN(MaxMultiple,Xm/(1-RAND())^(1/Alpha)))))</f>
        <v>0</v>
      </c>
      <c r="X435" s="19">
        <f ca="1">IF(RAND()&lt;P_Zero,0,IF(RAND()&lt;CondReturn,_xlfn.LOGNORM.INV(RAND(),MV2,Sigma1),IF(RAND()&lt;CondGood,_xlfn.LOGNORM.INV(RAND(),MV3,Sigma2),MIN(MaxMultiple,Xm/(1-RAND())^(1/Alpha)))))</f>
        <v>0.66710960629696658</v>
      </c>
      <c r="Y435" s="19">
        <f ca="1">IF(RAND()&lt;P_Zero,0,IF(RAND()&lt;CondReturn,_xlfn.LOGNORM.INV(RAND(),MV2,Sigma1),IF(RAND()&lt;CondGood,_xlfn.LOGNORM.INV(RAND(),MV3,Sigma2),MIN(MaxMultiple,Xm/(1-RAND())^(1/Alpha)))))</f>
        <v>0.46511192157965248</v>
      </c>
      <c r="Z435" s="19">
        <f ca="1">IF(RAND()&lt;P_Zero,0,IF(RAND()&lt;CondReturn,_xlfn.LOGNORM.INV(RAND(),MV2,Sigma1),IF(RAND()&lt;CondGood,_xlfn.LOGNORM.INV(RAND(),MV3,Sigma2),MIN(MaxMultiple,Xm/(1-RAND())^(1/Alpha)))))</f>
        <v>1.1696709838027257</v>
      </c>
      <c r="AA435" s="19">
        <f ca="1">IF(RAND()&lt;P_Zero,0,IF(RAND()&lt;CondReturn,_xlfn.LOGNORM.INV(RAND(),MV2,Sigma1),IF(RAND()&lt;CondGood,_xlfn.LOGNORM.INV(RAND(),MV3,Sigma2),MIN(MaxMultiple,Xm/(1-RAND())^(1/Alpha)))))</f>
        <v>2.6248296944268894</v>
      </c>
      <c r="AB435" s="19">
        <f t="shared" ca="1" si="48"/>
        <v>1.3971231729863098</v>
      </c>
      <c r="AC435" s="14">
        <f t="shared" ca="1" si="49"/>
        <v>67061912.303342871</v>
      </c>
      <c r="AD435" s="14">
        <f t="shared" ca="1" si="50"/>
        <v>19061912.303342871</v>
      </c>
      <c r="AE435" s="14">
        <f t="shared" si="51"/>
        <v>55628399.869093813</v>
      </c>
      <c r="AF435" s="14">
        <f t="shared" ca="1" si="52"/>
        <v>0</v>
      </c>
      <c r="AG435" s="14">
        <f t="shared" ca="1" si="53"/>
        <v>0</v>
      </c>
      <c r="AH435" s="14">
        <f t="shared" ca="1" si="54"/>
        <v>67061912.303342871</v>
      </c>
      <c r="AI435" s="19">
        <f t="shared" ca="1" si="55"/>
        <v>1.1176985383890479</v>
      </c>
    </row>
    <row r="436" spans="2:35" x14ac:dyDescent="0.2">
      <c r="B436" s="1">
        <v>431</v>
      </c>
      <c r="C436" s="19">
        <f ca="1">IF(RAND()&lt;P_Zero,0,IF(RAND()&lt;CondReturn,_xlfn.LOGNORM.INV(RAND(),MV2,Sigma1),IF(RAND()&lt;CondGood,_xlfn.LOGNORM.INV(RAND(),MV3,Sigma2),MIN(MaxMultiple,Xm/(1-RAND())^(1/Alpha)))))</f>
        <v>3.1184394883289159</v>
      </c>
      <c r="D436" s="19">
        <f ca="1">IF(RAND()&lt;P_Zero,0,IF(RAND()&lt;CondReturn,_xlfn.LOGNORM.INV(RAND(),MV2,Sigma1),IF(RAND()&lt;CondGood,_xlfn.LOGNORM.INV(RAND(),MV3,Sigma2),MIN(MaxMultiple,Xm/(1-RAND())^(1/Alpha)))))</f>
        <v>0</v>
      </c>
      <c r="E436" s="19">
        <f ca="1">IF(RAND()&lt;P_Zero,0,IF(RAND()&lt;CondReturn,_xlfn.LOGNORM.INV(RAND(),MV2,Sigma1),IF(RAND()&lt;CondGood,_xlfn.LOGNORM.INV(RAND(),MV3,Sigma2),MIN(MaxMultiple,Xm/(1-RAND())^(1/Alpha)))))</f>
        <v>0.86615235729163387</v>
      </c>
      <c r="F436" s="19">
        <f ca="1">IF(RAND()&lt;P_Zero,0,IF(RAND()&lt;CondReturn,_xlfn.LOGNORM.INV(RAND(),MV2,Sigma1),IF(RAND()&lt;CondGood,_xlfn.LOGNORM.INV(RAND(),MV3,Sigma2),MIN(MaxMultiple,Xm/(1-RAND())^(1/Alpha)))))</f>
        <v>0</v>
      </c>
      <c r="G436" s="19">
        <f ca="1">IF(RAND()&lt;P_Zero,0,IF(RAND()&lt;CondReturn,_xlfn.LOGNORM.INV(RAND(),MV2,Sigma1),IF(RAND()&lt;CondGood,_xlfn.LOGNORM.INV(RAND(),MV3,Sigma2),MIN(MaxMultiple,Xm/(1-RAND())^(1/Alpha)))))</f>
        <v>0</v>
      </c>
      <c r="H436" s="19">
        <f ca="1">IF(RAND()&lt;P_Zero,0,IF(RAND()&lt;CondReturn,_xlfn.LOGNORM.INV(RAND(),MV2,Sigma1),IF(RAND()&lt;CondGood,_xlfn.LOGNORM.INV(RAND(),MV3,Sigma2),MIN(MaxMultiple,Xm/(1-RAND())^(1/Alpha)))))</f>
        <v>0.81190856184506255</v>
      </c>
      <c r="I436" s="19">
        <f ca="1">IF(RAND()&lt;P_Zero,0,IF(RAND()&lt;CondReturn,_xlfn.LOGNORM.INV(RAND(),MV2,Sigma1),IF(RAND()&lt;CondGood,_xlfn.LOGNORM.INV(RAND(),MV3,Sigma2),MIN(MaxMultiple,Xm/(1-RAND())^(1/Alpha)))))</f>
        <v>0</v>
      </c>
      <c r="J436" s="19">
        <f ca="1">IF(RAND()&lt;P_Zero,0,IF(RAND()&lt;CondReturn,_xlfn.LOGNORM.INV(RAND(),MV2,Sigma1),IF(RAND()&lt;CondGood,_xlfn.LOGNORM.INV(RAND(),MV3,Sigma2),MIN(MaxMultiple,Xm/(1-RAND())^(1/Alpha)))))</f>
        <v>0</v>
      </c>
      <c r="K436" s="19">
        <f ca="1">IF(RAND()&lt;P_Zero,0,IF(RAND()&lt;CondReturn,_xlfn.LOGNORM.INV(RAND(),MV2,Sigma1),IF(RAND()&lt;CondGood,_xlfn.LOGNORM.INV(RAND(),MV3,Sigma2),MIN(MaxMultiple,Xm/(1-RAND())^(1/Alpha)))))</f>
        <v>0.98312036911932821</v>
      </c>
      <c r="L436" s="19">
        <f ca="1">IF(RAND()&lt;P_Zero,0,IF(RAND()&lt;CondReturn,_xlfn.LOGNORM.INV(RAND(),MV2,Sigma1),IF(RAND()&lt;CondGood,_xlfn.LOGNORM.INV(RAND(),MV3,Sigma2),MIN(MaxMultiple,Xm/(1-RAND())^(1/Alpha)))))</f>
        <v>0.64477830535113545</v>
      </c>
      <c r="M436" s="19">
        <f ca="1">IF(RAND()&lt;P_Zero,0,IF(RAND()&lt;CondReturn,_xlfn.LOGNORM.INV(RAND(),MV2,Sigma1),IF(RAND()&lt;CondGood,_xlfn.LOGNORM.INV(RAND(),MV3,Sigma2),MIN(MaxMultiple,Xm/(1-RAND())^(1/Alpha)))))</f>
        <v>0</v>
      </c>
      <c r="N436" s="19">
        <f ca="1">IF(RAND()&lt;P_Zero,0,IF(RAND()&lt;CondReturn,_xlfn.LOGNORM.INV(RAND(),MV2,Sigma1),IF(RAND()&lt;CondGood,_xlfn.LOGNORM.INV(RAND(),MV3,Sigma2),MIN(MaxMultiple,Xm/(1-RAND())^(1/Alpha)))))</f>
        <v>0</v>
      </c>
      <c r="O436" s="19">
        <f ca="1">IF(RAND()&lt;P_Zero,0,IF(RAND()&lt;CondReturn,_xlfn.LOGNORM.INV(RAND(),MV2,Sigma1),IF(RAND()&lt;CondGood,_xlfn.LOGNORM.INV(RAND(),MV3,Sigma2),MIN(MaxMultiple,Xm/(1-RAND())^(1/Alpha)))))</f>
        <v>0.91187574922200176</v>
      </c>
      <c r="P436" s="19">
        <f ca="1">IF(RAND()&lt;P_Zero,0,IF(RAND()&lt;CondReturn,_xlfn.LOGNORM.INV(RAND(),MV2,Sigma1),IF(RAND()&lt;CondGood,_xlfn.LOGNORM.INV(RAND(),MV3,Sigma2),MIN(MaxMultiple,Xm/(1-RAND())^(1/Alpha)))))</f>
        <v>0.93154378047468522</v>
      </c>
      <c r="Q436" s="19">
        <f ca="1">IF(RAND()&lt;P_Zero,0,IF(RAND()&lt;CondReturn,_xlfn.LOGNORM.INV(RAND(),MV2,Sigma1),IF(RAND()&lt;CondGood,_xlfn.LOGNORM.INV(RAND(),MV3,Sigma2),MIN(MaxMultiple,Xm/(1-RAND())^(1/Alpha)))))</f>
        <v>1.2791648759896386</v>
      </c>
      <c r="R436" s="19">
        <f ca="1">IF(RAND()&lt;P_Zero,0,IF(RAND()&lt;CondReturn,_xlfn.LOGNORM.INV(RAND(),MV2,Sigma1),IF(RAND()&lt;CondGood,_xlfn.LOGNORM.INV(RAND(),MV3,Sigma2),MIN(MaxMultiple,Xm/(1-RAND())^(1/Alpha)))))</f>
        <v>0</v>
      </c>
      <c r="S436" s="19">
        <f ca="1">IF(RAND()&lt;P_Zero,0,IF(RAND()&lt;CondReturn,_xlfn.LOGNORM.INV(RAND(),MV2,Sigma1),IF(RAND()&lt;CondGood,_xlfn.LOGNORM.INV(RAND(),MV3,Sigma2),MIN(MaxMultiple,Xm/(1-RAND())^(1/Alpha)))))</f>
        <v>0</v>
      </c>
      <c r="T436" s="19">
        <f ca="1">IF(RAND()&lt;P_Zero,0,IF(RAND()&lt;CondReturn,_xlfn.LOGNORM.INV(RAND(),MV2,Sigma1),IF(RAND()&lt;CondGood,_xlfn.LOGNORM.INV(RAND(),MV3,Sigma2),MIN(MaxMultiple,Xm/(1-RAND())^(1/Alpha)))))</f>
        <v>1.8026457327151881</v>
      </c>
      <c r="U436" s="19">
        <f ca="1">IF(RAND()&lt;P_Zero,0,IF(RAND()&lt;CondReturn,_xlfn.LOGNORM.INV(RAND(),MV2,Sigma1),IF(RAND()&lt;CondGood,_xlfn.LOGNORM.INV(RAND(),MV3,Sigma2),MIN(MaxMultiple,Xm/(1-RAND())^(1/Alpha)))))</f>
        <v>0</v>
      </c>
      <c r="V436" s="19">
        <f ca="1">IF(RAND()&lt;P_Zero,0,IF(RAND()&lt;CondReturn,_xlfn.LOGNORM.INV(RAND(),MV2,Sigma1),IF(RAND()&lt;CondGood,_xlfn.LOGNORM.INV(RAND(),MV3,Sigma2),MIN(MaxMultiple,Xm/(1-RAND())^(1/Alpha)))))</f>
        <v>1.5010836997895276</v>
      </c>
      <c r="W436" s="19">
        <f ca="1">IF(RAND()&lt;P_Zero,0,IF(RAND()&lt;CondReturn,_xlfn.LOGNORM.INV(RAND(),MV2,Sigma1),IF(RAND()&lt;CondGood,_xlfn.LOGNORM.INV(RAND(),MV3,Sigma2),MIN(MaxMultiple,Xm/(1-RAND())^(1/Alpha)))))</f>
        <v>0</v>
      </c>
      <c r="X436" s="19">
        <f ca="1">IF(RAND()&lt;P_Zero,0,IF(RAND()&lt;CondReturn,_xlfn.LOGNORM.INV(RAND(),MV2,Sigma1),IF(RAND()&lt;CondGood,_xlfn.LOGNORM.INV(RAND(),MV3,Sigma2),MIN(MaxMultiple,Xm/(1-RAND())^(1/Alpha)))))</f>
        <v>1.0953498409663252</v>
      </c>
      <c r="Y436" s="19">
        <f ca="1">IF(RAND()&lt;P_Zero,0,IF(RAND()&lt;CondReturn,_xlfn.LOGNORM.INV(RAND(),MV2,Sigma1),IF(RAND()&lt;CondGood,_xlfn.LOGNORM.INV(RAND(),MV3,Sigma2),MIN(MaxMultiple,Xm/(1-RAND())^(1/Alpha)))))</f>
        <v>1.9958441852128448</v>
      </c>
      <c r="Z436" s="19">
        <f ca="1">IF(RAND()&lt;P_Zero,0,IF(RAND()&lt;CondReturn,_xlfn.LOGNORM.INV(RAND(),MV2,Sigma1),IF(RAND()&lt;CondGood,_xlfn.LOGNORM.INV(RAND(),MV3,Sigma2),MIN(MaxMultiple,Xm/(1-RAND())^(1/Alpha)))))</f>
        <v>0.74633733465681307</v>
      </c>
      <c r="AA436" s="19">
        <f ca="1">IF(RAND()&lt;P_Zero,0,IF(RAND()&lt;CondReturn,_xlfn.LOGNORM.INV(RAND(),MV2,Sigma1),IF(RAND()&lt;CondGood,_xlfn.LOGNORM.INV(RAND(),MV3,Sigma2),MIN(MaxMultiple,Xm/(1-RAND())^(1/Alpha)))))</f>
        <v>0.89948428577568373</v>
      </c>
      <c r="AB436" s="19">
        <f t="shared" ca="1" si="48"/>
        <v>0.70350914266955134</v>
      </c>
      <c r="AC436" s="14">
        <f t="shared" ca="1" si="49"/>
        <v>33768438.848138466</v>
      </c>
      <c r="AD436" s="14">
        <f t="shared" ca="1" si="50"/>
        <v>-14231561.151861534</v>
      </c>
      <c r="AE436" s="14">
        <f t="shared" si="51"/>
        <v>55628399.869093813</v>
      </c>
      <c r="AF436" s="14">
        <f t="shared" ca="1" si="52"/>
        <v>0</v>
      </c>
      <c r="AG436" s="14">
        <f t="shared" ca="1" si="53"/>
        <v>0</v>
      </c>
      <c r="AH436" s="14">
        <f t="shared" ca="1" si="54"/>
        <v>33768438.848138466</v>
      </c>
      <c r="AI436" s="19">
        <f t="shared" ca="1" si="55"/>
        <v>0.56280731413564111</v>
      </c>
    </row>
    <row r="437" spans="2:35" x14ac:dyDescent="0.2">
      <c r="B437" s="1">
        <v>432</v>
      </c>
      <c r="C437" s="19">
        <f ca="1">IF(RAND()&lt;P_Zero,0,IF(RAND()&lt;CondReturn,_xlfn.LOGNORM.INV(RAND(),MV2,Sigma1),IF(RAND()&lt;CondGood,_xlfn.LOGNORM.INV(RAND(),MV3,Sigma2),MIN(MaxMultiple,Xm/(1-RAND())^(1/Alpha)))))</f>
        <v>1.991040766729534</v>
      </c>
      <c r="D437" s="19">
        <f ca="1">IF(RAND()&lt;P_Zero,0,IF(RAND()&lt;CondReturn,_xlfn.LOGNORM.INV(RAND(),MV2,Sigma1),IF(RAND()&lt;CondGood,_xlfn.LOGNORM.INV(RAND(),MV3,Sigma2),MIN(MaxMultiple,Xm/(1-RAND())^(1/Alpha)))))</f>
        <v>0</v>
      </c>
      <c r="E437" s="19">
        <f ca="1">IF(RAND()&lt;P_Zero,0,IF(RAND()&lt;CondReturn,_xlfn.LOGNORM.INV(RAND(),MV2,Sigma1),IF(RAND()&lt;CondGood,_xlfn.LOGNORM.INV(RAND(),MV3,Sigma2),MIN(MaxMultiple,Xm/(1-RAND())^(1/Alpha)))))</f>
        <v>0</v>
      </c>
      <c r="F437" s="19">
        <f ca="1">IF(RAND()&lt;P_Zero,0,IF(RAND()&lt;CondReturn,_xlfn.LOGNORM.INV(RAND(),MV2,Sigma1),IF(RAND()&lt;CondGood,_xlfn.LOGNORM.INV(RAND(),MV3,Sigma2),MIN(MaxMultiple,Xm/(1-RAND())^(1/Alpha)))))</f>
        <v>0</v>
      </c>
      <c r="G437" s="19">
        <f ca="1">IF(RAND()&lt;P_Zero,0,IF(RAND()&lt;CondReturn,_xlfn.LOGNORM.INV(RAND(),MV2,Sigma1),IF(RAND()&lt;CondGood,_xlfn.LOGNORM.INV(RAND(),MV3,Sigma2),MIN(MaxMultiple,Xm/(1-RAND())^(1/Alpha)))))</f>
        <v>0.96301271520433895</v>
      </c>
      <c r="H437" s="19">
        <f ca="1">IF(RAND()&lt;P_Zero,0,IF(RAND()&lt;CondReturn,_xlfn.LOGNORM.INV(RAND(),MV2,Sigma1),IF(RAND()&lt;CondGood,_xlfn.LOGNORM.INV(RAND(),MV3,Sigma2),MIN(MaxMultiple,Xm/(1-RAND())^(1/Alpha)))))</f>
        <v>14.475636834439213</v>
      </c>
      <c r="I437" s="19">
        <f ca="1">IF(RAND()&lt;P_Zero,0,IF(RAND()&lt;CondReturn,_xlfn.LOGNORM.INV(RAND(),MV2,Sigma1),IF(RAND()&lt;CondGood,_xlfn.LOGNORM.INV(RAND(),MV3,Sigma2),MIN(MaxMultiple,Xm/(1-RAND())^(1/Alpha)))))</f>
        <v>41.442747410971322</v>
      </c>
      <c r="J437" s="19">
        <f ca="1">IF(RAND()&lt;P_Zero,0,IF(RAND()&lt;CondReturn,_xlfn.LOGNORM.INV(RAND(),MV2,Sigma1),IF(RAND()&lt;CondGood,_xlfn.LOGNORM.INV(RAND(),MV3,Sigma2),MIN(MaxMultiple,Xm/(1-RAND())^(1/Alpha)))))</f>
        <v>80.274681239004181</v>
      </c>
      <c r="K437" s="19">
        <f ca="1">IF(RAND()&lt;P_Zero,0,IF(RAND()&lt;CondReturn,_xlfn.LOGNORM.INV(RAND(),MV2,Sigma1),IF(RAND()&lt;CondGood,_xlfn.LOGNORM.INV(RAND(),MV3,Sigma2),MIN(MaxMultiple,Xm/(1-RAND())^(1/Alpha)))))</f>
        <v>0</v>
      </c>
      <c r="L437" s="19">
        <f ca="1">IF(RAND()&lt;P_Zero,0,IF(RAND()&lt;CondReturn,_xlfn.LOGNORM.INV(RAND(),MV2,Sigma1),IF(RAND()&lt;CondGood,_xlfn.LOGNORM.INV(RAND(),MV3,Sigma2),MIN(MaxMultiple,Xm/(1-RAND())^(1/Alpha)))))</f>
        <v>1.298921174277673</v>
      </c>
      <c r="M437" s="19">
        <f ca="1">IF(RAND()&lt;P_Zero,0,IF(RAND()&lt;CondReturn,_xlfn.LOGNORM.INV(RAND(),MV2,Sigma1),IF(RAND()&lt;CondGood,_xlfn.LOGNORM.INV(RAND(),MV3,Sigma2),MIN(MaxMultiple,Xm/(1-RAND())^(1/Alpha)))))</f>
        <v>0</v>
      </c>
      <c r="N437" s="19">
        <f ca="1">IF(RAND()&lt;P_Zero,0,IF(RAND()&lt;CondReturn,_xlfn.LOGNORM.INV(RAND(),MV2,Sigma1),IF(RAND()&lt;CondGood,_xlfn.LOGNORM.INV(RAND(),MV3,Sigma2),MIN(MaxMultiple,Xm/(1-RAND())^(1/Alpha)))))</f>
        <v>1.5572779808930801</v>
      </c>
      <c r="O437" s="19">
        <f ca="1">IF(RAND()&lt;P_Zero,0,IF(RAND()&lt;CondReturn,_xlfn.LOGNORM.INV(RAND(),MV2,Sigma1),IF(RAND()&lt;CondGood,_xlfn.LOGNORM.INV(RAND(),MV3,Sigma2),MIN(MaxMultiple,Xm/(1-RAND())^(1/Alpha)))))</f>
        <v>1.2041619760873066</v>
      </c>
      <c r="P437" s="19">
        <f ca="1">IF(RAND()&lt;P_Zero,0,IF(RAND()&lt;CondReturn,_xlfn.LOGNORM.INV(RAND(),MV2,Sigma1),IF(RAND()&lt;CondGood,_xlfn.LOGNORM.INV(RAND(),MV3,Sigma2),MIN(MaxMultiple,Xm/(1-RAND())^(1/Alpha)))))</f>
        <v>2.2094627172080861</v>
      </c>
      <c r="Q437" s="19">
        <f ca="1">IF(RAND()&lt;P_Zero,0,IF(RAND()&lt;CondReturn,_xlfn.LOGNORM.INV(RAND(),MV2,Sigma1),IF(RAND()&lt;CondGood,_xlfn.LOGNORM.INV(RAND(),MV3,Sigma2),MIN(MaxMultiple,Xm/(1-RAND())^(1/Alpha)))))</f>
        <v>1.0507051883447205</v>
      </c>
      <c r="R437" s="19">
        <f ca="1">IF(RAND()&lt;P_Zero,0,IF(RAND()&lt;CondReturn,_xlfn.LOGNORM.INV(RAND(),MV2,Sigma1),IF(RAND()&lt;CondGood,_xlfn.LOGNORM.INV(RAND(),MV3,Sigma2),MIN(MaxMultiple,Xm/(1-RAND())^(1/Alpha)))))</f>
        <v>0.69694731827320267</v>
      </c>
      <c r="S437" s="19">
        <f ca="1">IF(RAND()&lt;P_Zero,0,IF(RAND()&lt;CondReturn,_xlfn.LOGNORM.INV(RAND(),MV2,Sigma1),IF(RAND()&lt;CondGood,_xlfn.LOGNORM.INV(RAND(),MV3,Sigma2),MIN(MaxMultiple,Xm/(1-RAND())^(1/Alpha)))))</f>
        <v>0</v>
      </c>
      <c r="T437" s="19">
        <f ca="1">IF(RAND()&lt;P_Zero,0,IF(RAND()&lt;CondReturn,_xlfn.LOGNORM.INV(RAND(),MV2,Sigma1),IF(RAND()&lt;CondGood,_xlfn.LOGNORM.INV(RAND(),MV3,Sigma2),MIN(MaxMultiple,Xm/(1-RAND())^(1/Alpha)))))</f>
        <v>0</v>
      </c>
      <c r="U437" s="19">
        <f ca="1">IF(RAND()&lt;P_Zero,0,IF(RAND()&lt;CondReturn,_xlfn.LOGNORM.INV(RAND(),MV2,Sigma1),IF(RAND()&lt;CondGood,_xlfn.LOGNORM.INV(RAND(),MV3,Sigma2),MIN(MaxMultiple,Xm/(1-RAND())^(1/Alpha)))))</f>
        <v>0</v>
      </c>
      <c r="V437" s="19">
        <f ca="1">IF(RAND()&lt;P_Zero,0,IF(RAND()&lt;CondReturn,_xlfn.LOGNORM.INV(RAND(),MV2,Sigma1),IF(RAND()&lt;CondGood,_xlfn.LOGNORM.INV(RAND(),MV3,Sigma2),MIN(MaxMultiple,Xm/(1-RAND())^(1/Alpha)))))</f>
        <v>0.83429739456768048</v>
      </c>
      <c r="W437" s="19">
        <f ca="1">IF(RAND()&lt;P_Zero,0,IF(RAND()&lt;CondReturn,_xlfn.LOGNORM.INV(RAND(),MV2,Sigma1),IF(RAND()&lt;CondGood,_xlfn.LOGNORM.INV(RAND(),MV3,Sigma2),MIN(MaxMultiple,Xm/(1-RAND())^(1/Alpha)))))</f>
        <v>0.49929937947228575</v>
      </c>
      <c r="X437" s="19">
        <f ca="1">IF(RAND()&lt;P_Zero,0,IF(RAND()&lt;CondReturn,_xlfn.LOGNORM.INV(RAND(),MV2,Sigma1),IF(RAND()&lt;CondGood,_xlfn.LOGNORM.INV(RAND(),MV3,Sigma2),MIN(MaxMultiple,Xm/(1-RAND())^(1/Alpha)))))</f>
        <v>1.0595752782488752</v>
      </c>
      <c r="Y437" s="19">
        <f ca="1">IF(RAND()&lt;P_Zero,0,IF(RAND()&lt;CondReturn,_xlfn.LOGNORM.INV(RAND(),MV2,Sigma1),IF(RAND()&lt;CondGood,_xlfn.LOGNORM.INV(RAND(),MV3,Sigma2),MIN(MaxMultiple,Xm/(1-RAND())^(1/Alpha)))))</f>
        <v>1.740433637084835</v>
      </c>
      <c r="Z437" s="19">
        <f ca="1">IF(RAND()&lt;P_Zero,0,IF(RAND()&lt;CondReturn,_xlfn.LOGNORM.INV(RAND(),MV2,Sigma1),IF(RAND()&lt;CondGood,_xlfn.LOGNORM.INV(RAND(),MV3,Sigma2),MIN(MaxMultiple,Xm/(1-RAND())^(1/Alpha)))))</f>
        <v>0</v>
      </c>
      <c r="AA437" s="19">
        <f ca="1">IF(RAND()&lt;P_Zero,0,IF(RAND()&lt;CondReturn,_xlfn.LOGNORM.INV(RAND(),MV2,Sigma1),IF(RAND()&lt;CondGood,_xlfn.LOGNORM.INV(RAND(),MV3,Sigma2),MIN(MaxMultiple,Xm/(1-RAND())^(1/Alpha)))))</f>
        <v>1.0464165488848529</v>
      </c>
      <c r="AB437" s="19">
        <f t="shared" ca="1" si="48"/>
        <v>6.0937847023876461</v>
      </c>
      <c r="AC437" s="14">
        <f t="shared" ca="1" si="49"/>
        <v>292501665.714607</v>
      </c>
      <c r="AD437" s="14">
        <f t="shared" ca="1" si="50"/>
        <v>244501665.714607</v>
      </c>
      <c r="AE437" s="14">
        <f t="shared" si="51"/>
        <v>55628399.869093813</v>
      </c>
      <c r="AF437" s="14">
        <f t="shared" ca="1" si="52"/>
        <v>188873265.84551319</v>
      </c>
      <c r="AG437" s="14">
        <f t="shared" ca="1" si="53"/>
        <v>37774653.169102639</v>
      </c>
      <c r="AH437" s="14">
        <f t="shared" ca="1" si="54"/>
        <v>254727012.54550436</v>
      </c>
      <c r="AI437" s="19">
        <f t="shared" ca="1" si="55"/>
        <v>4.2454502090917394</v>
      </c>
    </row>
    <row r="438" spans="2:35" x14ac:dyDescent="0.2">
      <c r="B438" s="1">
        <v>433</v>
      </c>
      <c r="C438" s="19">
        <f ca="1">IF(RAND()&lt;P_Zero,0,IF(RAND()&lt;CondReturn,_xlfn.LOGNORM.INV(RAND(),MV2,Sigma1),IF(RAND()&lt;CondGood,_xlfn.LOGNORM.INV(RAND(),MV3,Sigma2),MIN(MaxMultiple,Xm/(1-RAND())^(1/Alpha)))))</f>
        <v>1.079461198872669</v>
      </c>
      <c r="D438" s="19">
        <f ca="1">IF(RAND()&lt;P_Zero,0,IF(RAND()&lt;CondReturn,_xlfn.LOGNORM.INV(RAND(),MV2,Sigma1),IF(RAND()&lt;CondGood,_xlfn.LOGNORM.INV(RAND(),MV3,Sigma2),MIN(MaxMultiple,Xm/(1-RAND())^(1/Alpha)))))</f>
        <v>1.5156644871432596</v>
      </c>
      <c r="E438" s="19">
        <f ca="1">IF(RAND()&lt;P_Zero,0,IF(RAND()&lt;CondReturn,_xlfn.LOGNORM.INV(RAND(),MV2,Sigma1),IF(RAND()&lt;CondGood,_xlfn.LOGNORM.INV(RAND(),MV3,Sigma2),MIN(MaxMultiple,Xm/(1-RAND())^(1/Alpha)))))</f>
        <v>4.0118710143187784</v>
      </c>
      <c r="F438" s="19">
        <f ca="1">IF(RAND()&lt;P_Zero,0,IF(RAND()&lt;CondReturn,_xlfn.LOGNORM.INV(RAND(),MV2,Sigma1),IF(RAND()&lt;CondGood,_xlfn.LOGNORM.INV(RAND(),MV3,Sigma2),MIN(MaxMultiple,Xm/(1-RAND())^(1/Alpha)))))</f>
        <v>0</v>
      </c>
      <c r="G438" s="19">
        <f ca="1">IF(RAND()&lt;P_Zero,0,IF(RAND()&lt;CondReturn,_xlfn.LOGNORM.INV(RAND(),MV2,Sigma1),IF(RAND()&lt;CondGood,_xlfn.LOGNORM.INV(RAND(),MV3,Sigma2),MIN(MaxMultiple,Xm/(1-RAND())^(1/Alpha)))))</f>
        <v>0</v>
      </c>
      <c r="H438" s="19">
        <f ca="1">IF(RAND()&lt;P_Zero,0,IF(RAND()&lt;CondReturn,_xlfn.LOGNORM.INV(RAND(),MV2,Sigma1),IF(RAND()&lt;CondGood,_xlfn.LOGNORM.INV(RAND(),MV3,Sigma2),MIN(MaxMultiple,Xm/(1-RAND())^(1/Alpha)))))</f>
        <v>0</v>
      </c>
      <c r="I438" s="19">
        <f ca="1">IF(RAND()&lt;P_Zero,0,IF(RAND()&lt;CondReturn,_xlfn.LOGNORM.INV(RAND(),MV2,Sigma1),IF(RAND()&lt;CondGood,_xlfn.LOGNORM.INV(RAND(),MV3,Sigma2),MIN(MaxMultiple,Xm/(1-RAND())^(1/Alpha)))))</f>
        <v>2.5790289009571077</v>
      </c>
      <c r="J438" s="19">
        <f ca="1">IF(RAND()&lt;P_Zero,0,IF(RAND()&lt;CondReturn,_xlfn.LOGNORM.INV(RAND(),MV2,Sigma1),IF(RAND()&lt;CondGood,_xlfn.LOGNORM.INV(RAND(),MV3,Sigma2),MIN(MaxMultiple,Xm/(1-RAND())^(1/Alpha)))))</f>
        <v>1.6440243088415689</v>
      </c>
      <c r="K438" s="19">
        <f ca="1">IF(RAND()&lt;P_Zero,0,IF(RAND()&lt;CondReturn,_xlfn.LOGNORM.INV(RAND(),MV2,Sigma1),IF(RAND()&lt;CondGood,_xlfn.LOGNORM.INV(RAND(),MV3,Sigma2),MIN(MaxMultiple,Xm/(1-RAND())^(1/Alpha)))))</f>
        <v>11.125482159731867</v>
      </c>
      <c r="L438" s="19">
        <f ca="1">IF(RAND()&lt;P_Zero,0,IF(RAND()&lt;CondReturn,_xlfn.LOGNORM.INV(RAND(),MV2,Sigma1),IF(RAND()&lt;CondGood,_xlfn.LOGNORM.INV(RAND(),MV3,Sigma2),MIN(MaxMultiple,Xm/(1-RAND())^(1/Alpha)))))</f>
        <v>0.72870870311927882</v>
      </c>
      <c r="M438" s="19">
        <f ca="1">IF(RAND()&lt;P_Zero,0,IF(RAND()&lt;CondReturn,_xlfn.LOGNORM.INV(RAND(),MV2,Sigma1),IF(RAND()&lt;CondGood,_xlfn.LOGNORM.INV(RAND(),MV3,Sigma2),MIN(MaxMultiple,Xm/(1-RAND())^(1/Alpha)))))</f>
        <v>0</v>
      </c>
      <c r="N438" s="19">
        <f ca="1">IF(RAND()&lt;P_Zero,0,IF(RAND()&lt;CondReturn,_xlfn.LOGNORM.INV(RAND(),MV2,Sigma1),IF(RAND()&lt;CondGood,_xlfn.LOGNORM.INV(RAND(),MV3,Sigma2),MIN(MaxMultiple,Xm/(1-RAND())^(1/Alpha)))))</f>
        <v>10.147139428775269</v>
      </c>
      <c r="O438" s="19">
        <f ca="1">IF(RAND()&lt;P_Zero,0,IF(RAND()&lt;CondReturn,_xlfn.LOGNORM.INV(RAND(),MV2,Sigma1),IF(RAND()&lt;CondGood,_xlfn.LOGNORM.INV(RAND(),MV3,Sigma2),MIN(MaxMultiple,Xm/(1-RAND())^(1/Alpha)))))</f>
        <v>1.7745900352968758</v>
      </c>
      <c r="P438" s="19">
        <f ca="1">IF(RAND()&lt;P_Zero,0,IF(RAND()&lt;CondReturn,_xlfn.LOGNORM.INV(RAND(),MV2,Sigma1),IF(RAND()&lt;CondGood,_xlfn.LOGNORM.INV(RAND(),MV3,Sigma2),MIN(MaxMultiple,Xm/(1-RAND())^(1/Alpha)))))</f>
        <v>1.0878126710641614</v>
      </c>
      <c r="Q438" s="19">
        <f ca="1">IF(RAND()&lt;P_Zero,0,IF(RAND()&lt;CondReturn,_xlfn.LOGNORM.INV(RAND(),MV2,Sigma1),IF(RAND()&lt;CondGood,_xlfn.LOGNORM.INV(RAND(),MV3,Sigma2),MIN(MaxMultiple,Xm/(1-RAND())^(1/Alpha)))))</f>
        <v>1.2323885975786588</v>
      </c>
      <c r="R438" s="19">
        <f ca="1">IF(RAND()&lt;P_Zero,0,IF(RAND()&lt;CondReturn,_xlfn.LOGNORM.INV(RAND(),MV2,Sigma1),IF(RAND()&lt;CondGood,_xlfn.LOGNORM.INV(RAND(),MV3,Sigma2),MIN(MaxMultiple,Xm/(1-RAND())^(1/Alpha)))))</f>
        <v>0</v>
      </c>
      <c r="S438" s="19">
        <f ca="1">IF(RAND()&lt;P_Zero,0,IF(RAND()&lt;CondReturn,_xlfn.LOGNORM.INV(RAND(),MV2,Sigma1),IF(RAND()&lt;CondGood,_xlfn.LOGNORM.INV(RAND(),MV3,Sigma2),MIN(MaxMultiple,Xm/(1-RAND())^(1/Alpha)))))</f>
        <v>0</v>
      </c>
      <c r="T438" s="19">
        <f ca="1">IF(RAND()&lt;P_Zero,0,IF(RAND()&lt;CondReturn,_xlfn.LOGNORM.INV(RAND(),MV2,Sigma1),IF(RAND()&lt;CondGood,_xlfn.LOGNORM.INV(RAND(),MV3,Sigma2),MIN(MaxMultiple,Xm/(1-RAND())^(1/Alpha)))))</f>
        <v>0</v>
      </c>
      <c r="U438" s="19">
        <f ca="1">IF(RAND()&lt;P_Zero,0,IF(RAND()&lt;CondReturn,_xlfn.LOGNORM.INV(RAND(),MV2,Sigma1),IF(RAND()&lt;CondGood,_xlfn.LOGNORM.INV(RAND(),MV3,Sigma2),MIN(MaxMultiple,Xm/(1-RAND())^(1/Alpha)))))</f>
        <v>1.311278477041727</v>
      </c>
      <c r="V438" s="19">
        <f ca="1">IF(RAND()&lt;P_Zero,0,IF(RAND()&lt;CondReturn,_xlfn.LOGNORM.INV(RAND(),MV2,Sigma1),IF(RAND()&lt;CondGood,_xlfn.LOGNORM.INV(RAND(),MV3,Sigma2),MIN(MaxMultiple,Xm/(1-RAND())^(1/Alpha)))))</f>
        <v>0</v>
      </c>
      <c r="W438" s="19">
        <f ca="1">IF(RAND()&lt;P_Zero,0,IF(RAND()&lt;CondReturn,_xlfn.LOGNORM.INV(RAND(),MV2,Sigma1),IF(RAND()&lt;CondGood,_xlfn.LOGNORM.INV(RAND(),MV3,Sigma2),MIN(MaxMultiple,Xm/(1-RAND())^(1/Alpha)))))</f>
        <v>0</v>
      </c>
      <c r="X438" s="19">
        <f ca="1">IF(RAND()&lt;P_Zero,0,IF(RAND()&lt;CondReturn,_xlfn.LOGNORM.INV(RAND(),MV2,Sigma1),IF(RAND()&lt;CondGood,_xlfn.LOGNORM.INV(RAND(),MV3,Sigma2),MIN(MaxMultiple,Xm/(1-RAND())^(1/Alpha)))))</f>
        <v>1.0540019522387403</v>
      </c>
      <c r="Y438" s="19">
        <f ca="1">IF(RAND()&lt;P_Zero,0,IF(RAND()&lt;CondReturn,_xlfn.LOGNORM.INV(RAND(),MV2,Sigma1),IF(RAND()&lt;CondGood,_xlfn.LOGNORM.INV(RAND(),MV3,Sigma2),MIN(MaxMultiple,Xm/(1-RAND())^(1/Alpha)))))</f>
        <v>3.9723428093491919</v>
      </c>
      <c r="Z438" s="19">
        <f ca="1">IF(RAND()&lt;P_Zero,0,IF(RAND()&lt;CondReturn,_xlfn.LOGNORM.INV(RAND(),MV2,Sigma1),IF(RAND()&lt;CondGood,_xlfn.LOGNORM.INV(RAND(),MV3,Sigma2),MIN(MaxMultiple,Xm/(1-RAND())^(1/Alpha)))))</f>
        <v>0.929319249924352</v>
      </c>
      <c r="AA438" s="19">
        <f ca="1">IF(RAND()&lt;P_Zero,0,IF(RAND()&lt;CondReturn,_xlfn.LOGNORM.INV(RAND(),MV2,Sigma1),IF(RAND()&lt;CondGood,_xlfn.LOGNORM.INV(RAND(),MV3,Sigma2),MIN(MaxMultiple,Xm/(1-RAND())^(1/Alpha)))))</f>
        <v>1.3448704495308734</v>
      </c>
      <c r="AB438" s="19">
        <f t="shared" ca="1" si="48"/>
        <v>1.8215193777513756</v>
      </c>
      <c r="AC438" s="14">
        <f t="shared" ca="1" si="49"/>
        <v>87432930.132066026</v>
      </c>
      <c r="AD438" s="14">
        <f t="shared" ca="1" si="50"/>
        <v>39432930.132066026</v>
      </c>
      <c r="AE438" s="14">
        <f t="shared" si="51"/>
        <v>55628399.869093813</v>
      </c>
      <c r="AF438" s="14">
        <f t="shared" ca="1" si="52"/>
        <v>0</v>
      </c>
      <c r="AG438" s="14">
        <f t="shared" ca="1" si="53"/>
        <v>0</v>
      </c>
      <c r="AH438" s="14">
        <f t="shared" ca="1" si="54"/>
        <v>87432930.132066026</v>
      </c>
      <c r="AI438" s="19">
        <f t="shared" ca="1" si="55"/>
        <v>1.4572155022011004</v>
      </c>
    </row>
    <row r="439" spans="2:35" x14ac:dyDescent="0.2">
      <c r="B439" s="1">
        <v>434</v>
      </c>
      <c r="C439" s="19">
        <f ca="1">IF(RAND()&lt;P_Zero,0,IF(RAND()&lt;CondReturn,_xlfn.LOGNORM.INV(RAND(),MV2,Sigma1),IF(RAND()&lt;CondGood,_xlfn.LOGNORM.INV(RAND(),MV3,Sigma2),MIN(MaxMultiple,Xm/(1-RAND())^(1/Alpha)))))</f>
        <v>0</v>
      </c>
      <c r="D439" s="19">
        <f ca="1">IF(RAND()&lt;P_Zero,0,IF(RAND()&lt;CondReturn,_xlfn.LOGNORM.INV(RAND(),MV2,Sigma1),IF(RAND()&lt;CondGood,_xlfn.LOGNORM.INV(RAND(),MV3,Sigma2),MIN(MaxMultiple,Xm/(1-RAND())^(1/Alpha)))))</f>
        <v>0</v>
      </c>
      <c r="E439" s="19">
        <f ca="1">IF(RAND()&lt;P_Zero,0,IF(RAND()&lt;CondReturn,_xlfn.LOGNORM.INV(RAND(),MV2,Sigma1),IF(RAND()&lt;CondGood,_xlfn.LOGNORM.INV(RAND(),MV3,Sigma2),MIN(MaxMultiple,Xm/(1-RAND())^(1/Alpha)))))</f>
        <v>0</v>
      </c>
      <c r="F439" s="19">
        <f ca="1">IF(RAND()&lt;P_Zero,0,IF(RAND()&lt;CondReturn,_xlfn.LOGNORM.INV(RAND(),MV2,Sigma1),IF(RAND()&lt;CondGood,_xlfn.LOGNORM.INV(RAND(),MV3,Sigma2),MIN(MaxMultiple,Xm/(1-RAND())^(1/Alpha)))))</f>
        <v>0.95882469843681262</v>
      </c>
      <c r="G439" s="19">
        <f ca="1">IF(RAND()&lt;P_Zero,0,IF(RAND()&lt;CondReturn,_xlfn.LOGNORM.INV(RAND(),MV2,Sigma1),IF(RAND()&lt;CondGood,_xlfn.LOGNORM.INV(RAND(),MV3,Sigma2),MIN(MaxMultiple,Xm/(1-RAND())^(1/Alpha)))))</f>
        <v>0</v>
      </c>
      <c r="H439" s="19">
        <f ca="1">IF(RAND()&lt;P_Zero,0,IF(RAND()&lt;CondReturn,_xlfn.LOGNORM.INV(RAND(),MV2,Sigma1),IF(RAND()&lt;CondGood,_xlfn.LOGNORM.INV(RAND(),MV3,Sigma2),MIN(MaxMultiple,Xm/(1-RAND())^(1/Alpha)))))</f>
        <v>1.2954189020965254</v>
      </c>
      <c r="I439" s="19">
        <f ca="1">IF(RAND()&lt;P_Zero,0,IF(RAND()&lt;CondReturn,_xlfn.LOGNORM.INV(RAND(),MV2,Sigma1),IF(RAND()&lt;CondGood,_xlfn.LOGNORM.INV(RAND(),MV3,Sigma2),MIN(MaxMultiple,Xm/(1-RAND())^(1/Alpha)))))</f>
        <v>0</v>
      </c>
      <c r="J439" s="19">
        <f ca="1">IF(RAND()&lt;P_Zero,0,IF(RAND()&lt;CondReturn,_xlfn.LOGNORM.INV(RAND(),MV2,Sigma1),IF(RAND()&lt;CondGood,_xlfn.LOGNORM.INV(RAND(),MV3,Sigma2),MIN(MaxMultiple,Xm/(1-RAND())^(1/Alpha)))))</f>
        <v>0.58067521880264072</v>
      </c>
      <c r="K439" s="19">
        <f ca="1">IF(RAND()&lt;P_Zero,0,IF(RAND()&lt;CondReturn,_xlfn.LOGNORM.INV(RAND(),MV2,Sigma1),IF(RAND()&lt;CondGood,_xlfn.LOGNORM.INV(RAND(),MV3,Sigma2),MIN(MaxMultiple,Xm/(1-RAND())^(1/Alpha)))))</f>
        <v>0</v>
      </c>
      <c r="L439" s="19">
        <f ca="1">IF(RAND()&lt;P_Zero,0,IF(RAND()&lt;CondReturn,_xlfn.LOGNORM.INV(RAND(),MV2,Sigma1),IF(RAND()&lt;CondGood,_xlfn.LOGNORM.INV(RAND(),MV3,Sigma2),MIN(MaxMultiple,Xm/(1-RAND())^(1/Alpha)))))</f>
        <v>0.71923886365325462</v>
      </c>
      <c r="M439" s="19">
        <f ca="1">IF(RAND()&lt;P_Zero,0,IF(RAND()&lt;CondReturn,_xlfn.LOGNORM.INV(RAND(),MV2,Sigma1),IF(RAND()&lt;CondGood,_xlfn.LOGNORM.INV(RAND(),MV3,Sigma2),MIN(MaxMultiple,Xm/(1-RAND())^(1/Alpha)))))</f>
        <v>24.755169084544111</v>
      </c>
      <c r="N439" s="19">
        <f ca="1">IF(RAND()&lt;P_Zero,0,IF(RAND()&lt;CondReturn,_xlfn.LOGNORM.INV(RAND(),MV2,Sigma1),IF(RAND()&lt;CondGood,_xlfn.LOGNORM.INV(RAND(),MV3,Sigma2),MIN(MaxMultiple,Xm/(1-RAND())^(1/Alpha)))))</f>
        <v>0.65164464661334109</v>
      </c>
      <c r="O439" s="19">
        <f ca="1">IF(RAND()&lt;P_Zero,0,IF(RAND()&lt;CondReturn,_xlfn.LOGNORM.INV(RAND(),MV2,Sigma1),IF(RAND()&lt;CondGood,_xlfn.LOGNORM.INV(RAND(),MV3,Sigma2),MIN(MaxMultiple,Xm/(1-RAND())^(1/Alpha)))))</f>
        <v>0.52919028285623237</v>
      </c>
      <c r="P439" s="19">
        <f ca="1">IF(RAND()&lt;P_Zero,0,IF(RAND()&lt;CondReturn,_xlfn.LOGNORM.INV(RAND(),MV2,Sigma1),IF(RAND()&lt;CondGood,_xlfn.LOGNORM.INV(RAND(),MV3,Sigma2),MIN(MaxMultiple,Xm/(1-RAND())^(1/Alpha)))))</f>
        <v>0.69062568296123972</v>
      </c>
      <c r="Q439" s="19">
        <f ca="1">IF(RAND()&lt;P_Zero,0,IF(RAND()&lt;CondReturn,_xlfn.LOGNORM.INV(RAND(),MV2,Sigma1),IF(RAND()&lt;CondGood,_xlfn.LOGNORM.INV(RAND(),MV3,Sigma2),MIN(MaxMultiple,Xm/(1-RAND())^(1/Alpha)))))</f>
        <v>32.877751938464826</v>
      </c>
      <c r="R439" s="19">
        <f ca="1">IF(RAND()&lt;P_Zero,0,IF(RAND()&lt;CondReturn,_xlfn.LOGNORM.INV(RAND(),MV2,Sigma1),IF(RAND()&lt;CondGood,_xlfn.LOGNORM.INV(RAND(),MV3,Sigma2),MIN(MaxMultiple,Xm/(1-RAND())^(1/Alpha)))))</f>
        <v>1.482648929491577</v>
      </c>
      <c r="S439" s="19">
        <f ca="1">IF(RAND()&lt;P_Zero,0,IF(RAND()&lt;CondReturn,_xlfn.LOGNORM.INV(RAND(),MV2,Sigma1),IF(RAND()&lt;CondGood,_xlfn.LOGNORM.INV(RAND(),MV3,Sigma2),MIN(MaxMultiple,Xm/(1-RAND())^(1/Alpha)))))</f>
        <v>14.067108623139351</v>
      </c>
      <c r="T439" s="19">
        <f ca="1">IF(RAND()&lt;P_Zero,0,IF(RAND()&lt;CondReturn,_xlfn.LOGNORM.INV(RAND(),MV2,Sigma1),IF(RAND()&lt;CondGood,_xlfn.LOGNORM.INV(RAND(),MV3,Sigma2),MIN(MaxMultiple,Xm/(1-RAND())^(1/Alpha)))))</f>
        <v>0</v>
      </c>
      <c r="U439" s="19">
        <f ca="1">IF(RAND()&lt;P_Zero,0,IF(RAND()&lt;CondReturn,_xlfn.LOGNORM.INV(RAND(),MV2,Sigma1),IF(RAND()&lt;CondGood,_xlfn.LOGNORM.INV(RAND(),MV3,Sigma2),MIN(MaxMultiple,Xm/(1-RAND())^(1/Alpha)))))</f>
        <v>0</v>
      </c>
      <c r="V439" s="19">
        <f ca="1">IF(RAND()&lt;P_Zero,0,IF(RAND()&lt;CondReturn,_xlfn.LOGNORM.INV(RAND(),MV2,Sigma1),IF(RAND()&lt;CondGood,_xlfn.LOGNORM.INV(RAND(),MV3,Sigma2),MIN(MaxMultiple,Xm/(1-RAND())^(1/Alpha)))))</f>
        <v>2.8638572137140863</v>
      </c>
      <c r="W439" s="19">
        <f ca="1">IF(RAND()&lt;P_Zero,0,IF(RAND()&lt;CondReturn,_xlfn.LOGNORM.INV(RAND(),MV2,Sigma1),IF(RAND()&lt;CondGood,_xlfn.LOGNORM.INV(RAND(),MV3,Sigma2),MIN(MaxMultiple,Xm/(1-RAND())^(1/Alpha)))))</f>
        <v>0.59436683207869434</v>
      </c>
      <c r="X439" s="19">
        <f ca="1">IF(RAND()&lt;P_Zero,0,IF(RAND()&lt;CondReturn,_xlfn.LOGNORM.INV(RAND(),MV2,Sigma1),IF(RAND()&lt;CondGood,_xlfn.LOGNORM.INV(RAND(),MV3,Sigma2),MIN(MaxMultiple,Xm/(1-RAND())^(1/Alpha)))))</f>
        <v>0</v>
      </c>
      <c r="Y439" s="19">
        <f ca="1">IF(RAND()&lt;P_Zero,0,IF(RAND()&lt;CondReturn,_xlfn.LOGNORM.INV(RAND(),MV2,Sigma1),IF(RAND()&lt;CondGood,_xlfn.LOGNORM.INV(RAND(),MV3,Sigma2),MIN(MaxMultiple,Xm/(1-RAND())^(1/Alpha)))))</f>
        <v>0</v>
      </c>
      <c r="Z439" s="19">
        <f ca="1">IF(RAND()&lt;P_Zero,0,IF(RAND()&lt;CondReturn,_xlfn.LOGNORM.INV(RAND(),MV2,Sigma1),IF(RAND()&lt;CondGood,_xlfn.LOGNORM.INV(RAND(),MV3,Sigma2),MIN(MaxMultiple,Xm/(1-RAND())^(1/Alpha)))))</f>
        <v>1.2573368619452681</v>
      </c>
      <c r="AA439" s="19">
        <f ca="1">IF(RAND()&lt;P_Zero,0,IF(RAND()&lt;CondReturn,_xlfn.LOGNORM.INV(RAND(),MV2,Sigma1),IF(RAND()&lt;CondGood,_xlfn.LOGNORM.INV(RAND(),MV3,Sigma2),MIN(MaxMultiple,Xm/(1-RAND())^(1/Alpha)))))</f>
        <v>1.3765549499812524</v>
      </c>
      <c r="AB439" s="19">
        <f t="shared" ca="1" si="48"/>
        <v>3.3880165091511678</v>
      </c>
      <c r="AC439" s="14">
        <f t="shared" ca="1" si="49"/>
        <v>162624792.43925604</v>
      </c>
      <c r="AD439" s="14">
        <f t="shared" ca="1" si="50"/>
        <v>114624792.43925604</v>
      </c>
      <c r="AE439" s="14">
        <f t="shared" si="51"/>
        <v>55628399.869093813</v>
      </c>
      <c r="AF439" s="14">
        <f t="shared" ca="1" si="52"/>
        <v>58996392.570162229</v>
      </c>
      <c r="AG439" s="14">
        <f t="shared" ca="1" si="53"/>
        <v>11799278.514032446</v>
      </c>
      <c r="AH439" s="14">
        <f t="shared" ca="1" si="54"/>
        <v>150825513.92522359</v>
      </c>
      <c r="AI439" s="19">
        <f t="shared" ca="1" si="55"/>
        <v>2.5137585654203933</v>
      </c>
    </row>
    <row r="440" spans="2:35" x14ac:dyDescent="0.2">
      <c r="B440" s="1">
        <v>435</v>
      </c>
      <c r="C440" s="19">
        <f ca="1">IF(RAND()&lt;P_Zero,0,IF(RAND()&lt;CondReturn,_xlfn.LOGNORM.INV(RAND(),MV2,Sigma1),IF(RAND()&lt;CondGood,_xlfn.LOGNORM.INV(RAND(),MV3,Sigma2),MIN(MaxMultiple,Xm/(1-RAND())^(1/Alpha)))))</f>
        <v>0.92240139986973402</v>
      </c>
      <c r="D440" s="19">
        <f ca="1">IF(RAND()&lt;P_Zero,0,IF(RAND()&lt;CondReturn,_xlfn.LOGNORM.INV(RAND(),MV2,Sigma1),IF(RAND()&lt;CondGood,_xlfn.LOGNORM.INV(RAND(),MV3,Sigma2),MIN(MaxMultiple,Xm/(1-RAND())^(1/Alpha)))))</f>
        <v>0</v>
      </c>
      <c r="E440" s="19">
        <f ca="1">IF(RAND()&lt;P_Zero,0,IF(RAND()&lt;CondReturn,_xlfn.LOGNORM.INV(RAND(),MV2,Sigma1),IF(RAND()&lt;CondGood,_xlfn.LOGNORM.INV(RAND(),MV3,Sigma2),MIN(MaxMultiple,Xm/(1-RAND())^(1/Alpha)))))</f>
        <v>19.472099266149808</v>
      </c>
      <c r="F440" s="19">
        <f ca="1">IF(RAND()&lt;P_Zero,0,IF(RAND()&lt;CondReturn,_xlfn.LOGNORM.INV(RAND(),MV2,Sigma1),IF(RAND()&lt;CondGood,_xlfn.LOGNORM.INV(RAND(),MV3,Sigma2),MIN(MaxMultiple,Xm/(1-RAND())^(1/Alpha)))))</f>
        <v>0</v>
      </c>
      <c r="G440" s="19">
        <f ca="1">IF(RAND()&lt;P_Zero,0,IF(RAND()&lt;CondReturn,_xlfn.LOGNORM.INV(RAND(),MV2,Sigma1),IF(RAND()&lt;CondGood,_xlfn.LOGNORM.INV(RAND(),MV3,Sigma2),MIN(MaxMultiple,Xm/(1-RAND())^(1/Alpha)))))</f>
        <v>0</v>
      </c>
      <c r="H440" s="19">
        <f ca="1">IF(RAND()&lt;P_Zero,0,IF(RAND()&lt;CondReturn,_xlfn.LOGNORM.INV(RAND(),MV2,Sigma1),IF(RAND()&lt;CondGood,_xlfn.LOGNORM.INV(RAND(),MV3,Sigma2),MIN(MaxMultiple,Xm/(1-RAND())^(1/Alpha)))))</f>
        <v>0</v>
      </c>
      <c r="I440" s="19">
        <f ca="1">IF(RAND()&lt;P_Zero,0,IF(RAND()&lt;CondReturn,_xlfn.LOGNORM.INV(RAND(),MV2,Sigma1),IF(RAND()&lt;CondGood,_xlfn.LOGNORM.INV(RAND(),MV3,Sigma2),MIN(MaxMultiple,Xm/(1-RAND())^(1/Alpha)))))</f>
        <v>0</v>
      </c>
      <c r="J440" s="19">
        <f ca="1">IF(RAND()&lt;P_Zero,0,IF(RAND()&lt;CondReturn,_xlfn.LOGNORM.INV(RAND(),MV2,Sigma1),IF(RAND()&lt;CondGood,_xlfn.LOGNORM.INV(RAND(),MV3,Sigma2),MIN(MaxMultiple,Xm/(1-RAND())^(1/Alpha)))))</f>
        <v>0</v>
      </c>
      <c r="K440" s="19">
        <f ca="1">IF(RAND()&lt;P_Zero,0,IF(RAND()&lt;CondReturn,_xlfn.LOGNORM.INV(RAND(),MV2,Sigma1),IF(RAND()&lt;CondGood,_xlfn.LOGNORM.INV(RAND(),MV3,Sigma2),MIN(MaxMultiple,Xm/(1-RAND())^(1/Alpha)))))</f>
        <v>0.78879943823388976</v>
      </c>
      <c r="L440" s="19">
        <f ca="1">IF(RAND()&lt;P_Zero,0,IF(RAND()&lt;CondReturn,_xlfn.LOGNORM.INV(RAND(),MV2,Sigma1),IF(RAND()&lt;CondGood,_xlfn.LOGNORM.INV(RAND(),MV3,Sigma2),MIN(MaxMultiple,Xm/(1-RAND())^(1/Alpha)))))</f>
        <v>0.83878157985933355</v>
      </c>
      <c r="M440" s="19">
        <f ca="1">IF(RAND()&lt;P_Zero,0,IF(RAND()&lt;CondReturn,_xlfn.LOGNORM.INV(RAND(),MV2,Sigma1),IF(RAND()&lt;CondGood,_xlfn.LOGNORM.INV(RAND(),MV3,Sigma2),MIN(MaxMultiple,Xm/(1-RAND())^(1/Alpha)))))</f>
        <v>0</v>
      </c>
      <c r="N440" s="19">
        <f ca="1">IF(RAND()&lt;P_Zero,0,IF(RAND()&lt;CondReturn,_xlfn.LOGNORM.INV(RAND(),MV2,Sigma1),IF(RAND()&lt;CondGood,_xlfn.LOGNORM.INV(RAND(),MV3,Sigma2),MIN(MaxMultiple,Xm/(1-RAND())^(1/Alpha)))))</f>
        <v>1.9073416653107214</v>
      </c>
      <c r="O440" s="19">
        <f ca="1">IF(RAND()&lt;P_Zero,0,IF(RAND()&lt;CondReturn,_xlfn.LOGNORM.INV(RAND(),MV2,Sigma1),IF(RAND()&lt;CondGood,_xlfn.LOGNORM.INV(RAND(),MV3,Sigma2),MIN(MaxMultiple,Xm/(1-RAND())^(1/Alpha)))))</f>
        <v>0</v>
      </c>
      <c r="P440" s="19">
        <f ca="1">IF(RAND()&lt;P_Zero,0,IF(RAND()&lt;CondReturn,_xlfn.LOGNORM.INV(RAND(),MV2,Sigma1),IF(RAND()&lt;CondGood,_xlfn.LOGNORM.INV(RAND(),MV3,Sigma2),MIN(MaxMultiple,Xm/(1-RAND())^(1/Alpha)))))</f>
        <v>0.89173541301949488</v>
      </c>
      <c r="Q440" s="19">
        <f ca="1">IF(RAND()&lt;P_Zero,0,IF(RAND()&lt;CondReturn,_xlfn.LOGNORM.INV(RAND(),MV2,Sigma1),IF(RAND()&lt;CondGood,_xlfn.LOGNORM.INV(RAND(),MV3,Sigma2),MIN(MaxMultiple,Xm/(1-RAND())^(1/Alpha)))))</f>
        <v>1.0031346870148772</v>
      </c>
      <c r="R440" s="19">
        <f ca="1">IF(RAND()&lt;P_Zero,0,IF(RAND()&lt;CondReturn,_xlfn.LOGNORM.INV(RAND(),MV2,Sigma1),IF(RAND()&lt;CondGood,_xlfn.LOGNORM.INV(RAND(),MV3,Sigma2),MIN(MaxMultiple,Xm/(1-RAND())^(1/Alpha)))))</f>
        <v>1.0650988405051804</v>
      </c>
      <c r="S440" s="19">
        <f ca="1">IF(RAND()&lt;P_Zero,0,IF(RAND()&lt;CondReturn,_xlfn.LOGNORM.INV(RAND(),MV2,Sigma1),IF(RAND()&lt;CondGood,_xlfn.LOGNORM.INV(RAND(),MV3,Sigma2),MIN(MaxMultiple,Xm/(1-RAND())^(1/Alpha)))))</f>
        <v>0</v>
      </c>
      <c r="T440" s="19">
        <f ca="1">IF(RAND()&lt;P_Zero,0,IF(RAND()&lt;CondReturn,_xlfn.LOGNORM.INV(RAND(),MV2,Sigma1),IF(RAND()&lt;CondGood,_xlfn.LOGNORM.INV(RAND(),MV3,Sigma2),MIN(MaxMultiple,Xm/(1-RAND())^(1/Alpha)))))</f>
        <v>1.3416732921136363</v>
      </c>
      <c r="U440" s="19">
        <f ca="1">IF(RAND()&lt;P_Zero,0,IF(RAND()&lt;CondReturn,_xlfn.LOGNORM.INV(RAND(),MV2,Sigma1),IF(RAND()&lt;CondGood,_xlfn.LOGNORM.INV(RAND(),MV3,Sigma2),MIN(MaxMultiple,Xm/(1-RAND())^(1/Alpha)))))</f>
        <v>0</v>
      </c>
      <c r="V440" s="19">
        <f ca="1">IF(RAND()&lt;P_Zero,0,IF(RAND()&lt;CondReturn,_xlfn.LOGNORM.INV(RAND(),MV2,Sigma1),IF(RAND()&lt;CondGood,_xlfn.LOGNORM.INV(RAND(),MV3,Sigma2),MIN(MaxMultiple,Xm/(1-RAND())^(1/Alpha)))))</f>
        <v>1.219978712318518</v>
      </c>
      <c r="W440" s="19">
        <f ca="1">IF(RAND()&lt;P_Zero,0,IF(RAND()&lt;CondReturn,_xlfn.LOGNORM.INV(RAND(),MV2,Sigma1),IF(RAND()&lt;CondGood,_xlfn.LOGNORM.INV(RAND(),MV3,Sigma2),MIN(MaxMultiple,Xm/(1-RAND())^(1/Alpha)))))</f>
        <v>0</v>
      </c>
      <c r="X440" s="19">
        <f ca="1">IF(RAND()&lt;P_Zero,0,IF(RAND()&lt;CondReturn,_xlfn.LOGNORM.INV(RAND(),MV2,Sigma1),IF(RAND()&lt;CondGood,_xlfn.LOGNORM.INV(RAND(),MV3,Sigma2),MIN(MaxMultiple,Xm/(1-RAND())^(1/Alpha)))))</f>
        <v>0</v>
      </c>
      <c r="Y440" s="19">
        <f ca="1">IF(RAND()&lt;P_Zero,0,IF(RAND()&lt;CondReturn,_xlfn.LOGNORM.INV(RAND(),MV2,Sigma1),IF(RAND()&lt;CondGood,_xlfn.LOGNORM.INV(RAND(),MV3,Sigma2),MIN(MaxMultiple,Xm/(1-RAND())^(1/Alpha)))))</f>
        <v>0</v>
      </c>
      <c r="Z440" s="19">
        <f ca="1">IF(RAND()&lt;P_Zero,0,IF(RAND()&lt;CondReturn,_xlfn.LOGNORM.INV(RAND(),MV2,Sigma1),IF(RAND()&lt;CondGood,_xlfn.LOGNORM.INV(RAND(),MV3,Sigma2),MIN(MaxMultiple,Xm/(1-RAND())^(1/Alpha)))))</f>
        <v>12.496179213756458</v>
      </c>
      <c r="AA440" s="19">
        <f ca="1">IF(RAND()&lt;P_Zero,0,IF(RAND()&lt;CondReturn,_xlfn.LOGNORM.INV(RAND(),MV2,Sigma1),IF(RAND()&lt;CondGood,_xlfn.LOGNORM.INV(RAND(),MV3,Sigma2),MIN(MaxMultiple,Xm/(1-RAND())^(1/Alpha)))))</f>
        <v>1.7042670041198471</v>
      </c>
      <c r="AB440" s="19">
        <f t="shared" ca="1" si="48"/>
        <v>1.7460596204908601</v>
      </c>
      <c r="AC440" s="14">
        <f t="shared" ca="1" si="49"/>
        <v>83810861.783561289</v>
      </c>
      <c r="AD440" s="14">
        <f t="shared" ca="1" si="50"/>
        <v>35810861.783561289</v>
      </c>
      <c r="AE440" s="14">
        <f t="shared" si="51"/>
        <v>55628399.869093813</v>
      </c>
      <c r="AF440" s="14">
        <f t="shared" ca="1" si="52"/>
        <v>0</v>
      </c>
      <c r="AG440" s="14">
        <f t="shared" ca="1" si="53"/>
        <v>0</v>
      </c>
      <c r="AH440" s="14">
        <f t="shared" ca="1" si="54"/>
        <v>83810861.783561289</v>
      </c>
      <c r="AI440" s="19">
        <f t="shared" ca="1" si="55"/>
        <v>1.3968476963926881</v>
      </c>
    </row>
    <row r="441" spans="2:35" x14ac:dyDescent="0.2">
      <c r="B441" s="1">
        <v>436</v>
      </c>
      <c r="C441" s="19">
        <f ca="1">IF(RAND()&lt;P_Zero,0,IF(RAND()&lt;CondReturn,_xlfn.LOGNORM.INV(RAND(),MV2,Sigma1),IF(RAND()&lt;CondGood,_xlfn.LOGNORM.INV(RAND(),MV3,Sigma2),MIN(MaxMultiple,Xm/(1-RAND())^(1/Alpha)))))</f>
        <v>51.755292992361213</v>
      </c>
      <c r="D441" s="19">
        <f ca="1">IF(RAND()&lt;P_Zero,0,IF(RAND()&lt;CondReturn,_xlfn.LOGNORM.INV(RAND(),MV2,Sigma1),IF(RAND()&lt;CondGood,_xlfn.LOGNORM.INV(RAND(),MV3,Sigma2),MIN(MaxMultiple,Xm/(1-RAND())^(1/Alpha)))))</f>
        <v>0.66703914013134002</v>
      </c>
      <c r="E441" s="19">
        <f ca="1">IF(RAND()&lt;P_Zero,0,IF(RAND()&lt;CondReturn,_xlfn.LOGNORM.INV(RAND(),MV2,Sigma1),IF(RAND()&lt;CondGood,_xlfn.LOGNORM.INV(RAND(),MV3,Sigma2),MIN(MaxMultiple,Xm/(1-RAND())^(1/Alpha)))))</f>
        <v>0</v>
      </c>
      <c r="F441" s="19">
        <f ca="1">IF(RAND()&lt;P_Zero,0,IF(RAND()&lt;CondReturn,_xlfn.LOGNORM.INV(RAND(),MV2,Sigma1),IF(RAND()&lt;CondGood,_xlfn.LOGNORM.INV(RAND(),MV3,Sigma2),MIN(MaxMultiple,Xm/(1-RAND())^(1/Alpha)))))</f>
        <v>1.0512737559036762</v>
      </c>
      <c r="G441" s="19">
        <f ca="1">IF(RAND()&lt;P_Zero,0,IF(RAND()&lt;CondReturn,_xlfn.LOGNORM.INV(RAND(),MV2,Sigma1),IF(RAND()&lt;CondGood,_xlfn.LOGNORM.INV(RAND(),MV3,Sigma2),MIN(MaxMultiple,Xm/(1-RAND())^(1/Alpha)))))</f>
        <v>2.3854261121042319</v>
      </c>
      <c r="H441" s="19">
        <f ca="1">IF(RAND()&lt;P_Zero,0,IF(RAND()&lt;CondReturn,_xlfn.LOGNORM.INV(RAND(),MV2,Sigma1),IF(RAND()&lt;CondGood,_xlfn.LOGNORM.INV(RAND(),MV3,Sigma2),MIN(MaxMultiple,Xm/(1-RAND())^(1/Alpha)))))</f>
        <v>0</v>
      </c>
      <c r="I441" s="19">
        <f ca="1">IF(RAND()&lt;P_Zero,0,IF(RAND()&lt;CondReturn,_xlfn.LOGNORM.INV(RAND(),MV2,Sigma1),IF(RAND()&lt;CondGood,_xlfn.LOGNORM.INV(RAND(),MV3,Sigma2),MIN(MaxMultiple,Xm/(1-RAND())^(1/Alpha)))))</f>
        <v>1.1415432783703858</v>
      </c>
      <c r="J441" s="19">
        <f ca="1">IF(RAND()&lt;P_Zero,0,IF(RAND()&lt;CondReturn,_xlfn.LOGNORM.INV(RAND(),MV2,Sigma1),IF(RAND()&lt;CondGood,_xlfn.LOGNORM.INV(RAND(),MV3,Sigma2),MIN(MaxMultiple,Xm/(1-RAND())^(1/Alpha)))))</f>
        <v>0</v>
      </c>
      <c r="K441" s="19">
        <f ca="1">IF(RAND()&lt;P_Zero,0,IF(RAND()&lt;CondReturn,_xlfn.LOGNORM.INV(RAND(),MV2,Sigma1),IF(RAND()&lt;CondGood,_xlfn.LOGNORM.INV(RAND(),MV3,Sigma2),MIN(MaxMultiple,Xm/(1-RAND())^(1/Alpha)))))</f>
        <v>0.38597646044702527</v>
      </c>
      <c r="L441" s="19">
        <f ca="1">IF(RAND()&lt;P_Zero,0,IF(RAND()&lt;CondReturn,_xlfn.LOGNORM.INV(RAND(),MV2,Sigma1),IF(RAND()&lt;CondGood,_xlfn.LOGNORM.INV(RAND(),MV3,Sigma2),MIN(MaxMultiple,Xm/(1-RAND())^(1/Alpha)))))</f>
        <v>0.64926110963300498</v>
      </c>
      <c r="M441" s="19">
        <f ca="1">IF(RAND()&lt;P_Zero,0,IF(RAND()&lt;CondReturn,_xlfn.LOGNORM.INV(RAND(),MV2,Sigma1),IF(RAND()&lt;CondGood,_xlfn.LOGNORM.INV(RAND(),MV3,Sigma2),MIN(MaxMultiple,Xm/(1-RAND())^(1/Alpha)))))</f>
        <v>1.4449982694695171</v>
      </c>
      <c r="N441" s="19">
        <f ca="1">IF(RAND()&lt;P_Zero,0,IF(RAND()&lt;CondReturn,_xlfn.LOGNORM.INV(RAND(),MV2,Sigma1),IF(RAND()&lt;CondGood,_xlfn.LOGNORM.INV(RAND(),MV3,Sigma2),MIN(MaxMultiple,Xm/(1-RAND())^(1/Alpha)))))</f>
        <v>22.235032456631849</v>
      </c>
      <c r="O441" s="19">
        <f ca="1">IF(RAND()&lt;P_Zero,0,IF(RAND()&lt;CondReturn,_xlfn.LOGNORM.INV(RAND(),MV2,Sigma1),IF(RAND()&lt;CondGood,_xlfn.LOGNORM.INV(RAND(),MV3,Sigma2),MIN(MaxMultiple,Xm/(1-RAND())^(1/Alpha)))))</f>
        <v>0.8990887088608609</v>
      </c>
      <c r="P441" s="19">
        <f ca="1">IF(RAND()&lt;P_Zero,0,IF(RAND()&lt;CondReturn,_xlfn.LOGNORM.INV(RAND(),MV2,Sigma1),IF(RAND()&lt;CondGood,_xlfn.LOGNORM.INV(RAND(),MV3,Sigma2),MIN(MaxMultiple,Xm/(1-RAND())^(1/Alpha)))))</f>
        <v>0.7308093262670603</v>
      </c>
      <c r="Q441" s="19">
        <f ca="1">IF(RAND()&lt;P_Zero,0,IF(RAND()&lt;CondReturn,_xlfn.LOGNORM.INV(RAND(),MV2,Sigma1),IF(RAND()&lt;CondGood,_xlfn.LOGNORM.INV(RAND(),MV3,Sigma2),MIN(MaxMultiple,Xm/(1-RAND())^(1/Alpha)))))</f>
        <v>0.69165810155009322</v>
      </c>
      <c r="R441" s="19">
        <f ca="1">IF(RAND()&lt;P_Zero,0,IF(RAND()&lt;CondReturn,_xlfn.LOGNORM.INV(RAND(),MV2,Sigma1),IF(RAND()&lt;CondGood,_xlfn.LOGNORM.INV(RAND(),MV3,Sigma2),MIN(MaxMultiple,Xm/(1-RAND())^(1/Alpha)))))</f>
        <v>0</v>
      </c>
      <c r="S441" s="19">
        <f ca="1">IF(RAND()&lt;P_Zero,0,IF(RAND()&lt;CondReturn,_xlfn.LOGNORM.INV(RAND(),MV2,Sigma1),IF(RAND()&lt;CondGood,_xlfn.LOGNORM.INV(RAND(),MV3,Sigma2),MIN(MaxMultiple,Xm/(1-RAND())^(1/Alpha)))))</f>
        <v>0</v>
      </c>
      <c r="T441" s="19">
        <f ca="1">IF(RAND()&lt;P_Zero,0,IF(RAND()&lt;CondReturn,_xlfn.LOGNORM.INV(RAND(),MV2,Sigma1),IF(RAND()&lt;CondGood,_xlfn.LOGNORM.INV(RAND(),MV3,Sigma2),MIN(MaxMultiple,Xm/(1-RAND())^(1/Alpha)))))</f>
        <v>0</v>
      </c>
      <c r="U441" s="19">
        <f ca="1">IF(RAND()&lt;P_Zero,0,IF(RAND()&lt;CondReturn,_xlfn.LOGNORM.INV(RAND(),MV2,Sigma1),IF(RAND()&lt;CondGood,_xlfn.LOGNORM.INV(RAND(),MV3,Sigma2),MIN(MaxMultiple,Xm/(1-RAND())^(1/Alpha)))))</f>
        <v>1.5404246060283657</v>
      </c>
      <c r="V441" s="19">
        <f ca="1">IF(RAND()&lt;P_Zero,0,IF(RAND()&lt;CondReturn,_xlfn.LOGNORM.INV(RAND(),MV2,Sigma1),IF(RAND()&lt;CondGood,_xlfn.LOGNORM.INV(RAND(),MV3,Sigma2),MIN(MaxMultiple,Xm/(1-RAND())^(1/Alpha)))))</f>
        <v>1.0157935081428138</v>
      </c>
      <c r="W441" s="19">
        <f ca="1">IF(RAND()&lt;P_Zero,0,IF(RAND()&lt;CondReturn,_xlfn.LOGNORM.INV(RAND(),MV2,Sigma1),IF(RAND()&lt;CondGood,_xlfn.LOGNORM.INV(RAND(),MV3,Sigma2),MIN(MaxMultiple,Xm/(1-RAND())^(1/Alpha)))))</f>
        <v>0</v>
      </c>
      <c r="X441" s="19">
        <f ca="1">IF(RAND()&lt;P_Zero,0,IF(RAND()&lt;CondReturn,_xlfn.LOGNORM.INV(RAND(),MV2,Sigma1),IF(RAND()&lt;CondGood,_xlfn.LOGNORM.INV(RAND(),MV3,Sigma2),MIN(MaxMultiple,Xm/(1-RAND())^(1/Alpha)))))</f>
        <v>112.8517862134472</v>
      </c>
      <c r="Y441" s="19">
        <f ca="1">IF(RAND()&lt;P_Zero,0,IF(RAND()&lt;CondReturn,_xlfn.LOGNORM.INV(RAND(),MV2,Sigma1),IF(RAND()&lt;CondGood,_xlfn.LOGNORM.INV(RAND(),MV3,Sigma2),MIN(MaxMultiple,Xm/(1-RAND())^(1/Alpha)))))</f>
        <v>0</v>
      </c>
      <c r="Z441" s="19">
        <f ca="1">IF(RAND()&lt;P_Zero,0,IF(RAND()&lt;CondReturn,_xlfn.LOGNORM.INV(RAND(),MV2,Sigma1),IF(RAND()&lt;CondGood,_xlfn.LOGNORM.INV(RAND(),MV3,Sigma2),MIN(MaxMultiple,Xm/(1-RAND())^(1/Alpha)))))</f>
        <v>0</v>
      </c>
      <c r="AA441" s="19">
        <f ca="1">IF(RAND()&lt;P_Zero,0,IF(RAND()&lt;CondReturn,_xlfn.LOGNORM.INV(RAND(),MV2,Sigma1),IF(RAND()&lt;CondGood,_xlfn.LOGNORM.INV(RAND(),MV3,Sigma2),MIN(MaxMultiple,Xm/(1-RAND())^(1/Alpha)))))</f>
        <v>0</v>
      </c>
      <c r="AB441" s="19">
        <f t="shared" ca="1" si="48"/>
        <v>7.977816161573946</v>
      </c>
      <c r="AC441" s="14">
        <f t="shared" ca="1" si="49"/>
        <v>382935175.75554943</v>
      </c>
      <c r="AD441" s="14">
        <f t="shared" ca="1" si="50"/>
        <v>334935175.75554943</v>
      </c>
      <c r="AE441" s="14">
        <f t="shared" si="51"/>
        <v>55628399.869093813</v>
      </c>
      <c r="AF441" s="14">
        <f t="shared" ca="1" si="52"/>
        <v>279306775.8864556</v>
      </c>
      <c r="AG441" s="14">
        <f t="shared" ca="1" si="53"/>
        <v>55861355.177291125</v>
      </c>
      <c r="AH441" s="14">
        <f t="shared" ca="1" si="54"/>
        <v>327073820.57825828</v>
      </c>
      <c r="AI441" s="19">
        <f t="shared" ca="1" si="55"/>
        <v>5.4512303429709714</v>
      </c>
    </row>
    <row r="442" spans="2:35" x14ac:dyDescent="0.2">
      <c r="B442" s="1">
        <v>437</v>
      </c>
      <c r="C442" s="19">
        <f ca="1">IF(RAND()&lt;P_Zero,0,IF(RAND()&lt;CondReturn,_xlfn.LOGNORM.INV(RAND(),MV2,Sigma1),IF(RAND()&lt;CondGood,_xlfn.LOGNORM.INV(RAND(),MV3,Sigma2),MIN(MaxMultiple,Xm/(1-RAND())^(1/Alpha)))))</f>
        <v>0.60454208330946935</v>
      </c>
      <c r="D442" s="19">
        <f ca="1">IF(RAND()&lt;P_Zero,0,IF(RAND()&lt;CondReturn,_xlfn.LOGNORM.INV(RAND(),MV2,Sigma1),IF(RAND()&lt;CondGood,_xlfn.LOGNORM.INV(RAND(),MV3,Sigma2),MIN(MaxMultiple,Xm/(1-RAND())^(1/Alpha)))))</f>
        <v>37.616754817258077</v>
      </c>
      <c r="E442" s="19">
        <f ca="1">IF(RAND()&lt;P_Zero,0,IF(RAND()&lt;CondReturn,_xlfn.LOGNORM.INV(RAND(),MV2,Sigma1),IF(RAND()&lt;CondGood,_xlfn.LOGNORM.INV(RAND(),MV3,Sigma2),MIN(MaxMultiple,Xm/(1-RAND())^(1/Alpha)))))</f>
        <v>28.451974307702439</v>
      </c>
      <c r="F442" s="19">
        <f ca="1">IF(RAND()&lt;P_Zero,0,IF(RAND()&lt;CondReturn,_xlfn.LOGNORM.INV(RAND(),MV2,Sigma1),IF(RAND()&lt;CondGood,_xlfn.LOGNORM.INV(RAND(),MV3,Sigma2),MIN(MaxMultiple,Xm/(1-RAND())^(1/Alpha)))))</f>
        <v>0</v>
      </c>
      <c r="G442" s="19">
        <f ca="1">IF(RAND()&lt;P_Zero,0,IF(RAND()&lt;CondReturn,_xlfn.LOGNORM.INV(RAND(),MV2,Sigma1),IF(RAND()&lt;CondGood,_xlfn.LOGNORM.INV(RAND(),MV3,Sigma2),MIN(MaxMultiple,Xm/(1-RAND())^(1/Alpha)))))</f>
        <v>0.91397811597513756</v>
      </c>
      <c r="H442" s="19">
        <f ca="1">IF(RAND()&lt;P_Zero,0,IF(RAND()&lt;CondReturn,_xlfn.LOGNORM.INV(RAND(),MV2,Sigma1),IF(RAND()&lt;CondGood,_xlfn.LOGNORM.INV(RAND(),MV3,Sigma2),MIN(MaxMultiple,Xm/(1-RAND())^(1/Alpha)))))</f>
        <v>1.4514978387758843</v>
      </c>
      <c r="I442" s="19">
        <f ca="1">IF(RAND()&lt;P_Zero,0,IF(RAND()&lt;CondReturn,_xlfn.LOGNORM.INV(RAND(),MV2,Sigma1),IF(RAND()&lt;CondGood,_xlfn.LOGNORM.INV(RAND(),MV3,Sigma2),MIN(MaxMultiple,Xm/(1-RAND())^(1/Alpha)))))</f>
        <v>1.0121272806671253</v>
      </c>
      <c r="J442" s="19">
        <f ca="1">IF(RAND()&lt;P_Zero,0,IF(RAND()&lt;CondReturn,_xlfn.LOGNORM.INV(RAND(),MV2,Sigma1),IF(RAND()&lt;CondGood,_xlfn.LOGNORM.INV(RAND(),MV3,Sigma2),MIN(MaxMultiple,Xm/(1-RAND())^(1/Alpha)))))</f>
        <v>1.395416261110912</v>
      </c>
      <c r="K442" s="19">
        <f ca="1">IF(RAND()&lt;P_Zero,0,IF(RAND()&lt;CondReturn,_xlfn.LOGNORM.INV(RAND(),MV2,Sigma1),IF(RAND()&lt;CondGood,_xlfn.LOGNORM.INV(RAND(),MV3,Sigma2),MIN(MaxMultiple,Xm/(1-RAND())^(1/Alpha)))))</f>
        <v>0</v>
      </c>
      <c r="L442" s="19">
        <f ca="1">IF(RAND()&lt;P_Zero,0,IF(RAND()&lt;CondReturn,_xlfn.LOGNORM.INV(RAND(),MV2,Sigma1),IF(RAND()&lt;CondGood,_xlfn.LOGNORM.INV(RAND(),MV3,Sigma2),MIN(MaxMultiple,Xm/(1-RAND())^(1/Alpha)))))</f>
        <v>0</v>
      </c>
      <c r="M442" s="19">
        <f ca="1">IF(RAND()&lt;P_Zero,0,IF(RAND()&lt;CondReturn,_xlfn.LOGNORM.INV(RAND(),MV2,Sigma1),IF(RAND()&lt;CondGood,_xlfn.LOGNORM.INV(RAND(),MV3,Sigma2),MIN(MaxMultiple,Xm/(1-RAND())^(1/Alpha)))))</f>
        <v>0</v>
      </c>
      <c r="N442" s="19">
        <f ca="1">IF(RAND()&lt;P_Zero,0,IF(RAND()&lt;CondReturn,_xlfn.LOGNORM.INV(RAND(),MV2,Sigma1),IF(RAND()&lt;CondGood,_xlfn.LOGNORM.INV(RAND(),MV3,Sigma2),MIN(MaxMultiple,Xm/(1-RAND())^(1/Alpha)))))</f>
        <v>0</v>
      </c>
      <c r="O442" s="19">
        <f ca="1">IF(RAND()&lt;P_Zero,0,IF(RAND()&lt;CondReturn,_xlfn.LOGNORM.INV(RAND(),MV2,Sigma1),IF(RAND()&lt;CondGood,_xlfn.LOGNORM.INV(RAND(),MV3,Sigma2),MIN(MaxMultiple,Xm/(1-RAND())^(1/Alpha)))))</f>
        <v>1.3691596241551347</v>
      </c>
      <c r="P442" s="19">
        <f ca="1">IF(RAND()&lt;P_Zero,0,IF(RAND()&lt;CondReturn,_xlfn.LOGNORM.INV(RAND(),MV2,Sigma1),IF(RAND()&lt;CondGood,_xlfn.LOGNORM.INV(RAND(),MV3,Sigma2),MIN(MaxMultiple,Xm/(1-RAND())^(1/Alpha)))))</f>
        <v>0</v>
      </c>
      <c r="Q442" s="19">
        <f ca="1">IF(RAND()&lt;P_Zero,0,IF(RAND()&lt;CondReturn,_xlfn.LOGNORM.INV(RAND(),MV2,Sigma1),IF(RAND()&lt;CondGood,_xlfn.LOGNORM.INV(RAND(),MV3,Sigma2),MIN(MaxMultiple,Xm/(1-RAND())^(1/Alpha)))))</f>
        <v>0</v>
      </c>
      <c r="R442" s="19">
        <f ca="1">IF(RAND()&lt;P_Zero,0,IF(RAND()&lt;CondReturn,_xlfn.LOGNORM.INV(RAND(),MV2,Sigma1),IF(RAND()&lt;CondGood,_xlfn.LOGNORM.INV(RAND(),MV3,Sigma2),MIN(MaxMultiple,Xm/(1-RAND())^(1/Alpha)))))</f>
        <v>1.1814509875560881</v>
      </c>
      <c r="S442" s="19">
        <f ca="1">IF(RAND()&lt;P_Zero,0,IF(RAND()&lt;CondReturn,_xlfn.LOGNORM.INV(RAND(),MV2,Sigma1),IF(RAND()&lt;CondGood,_xlfn.LOGNORM.INV(RAND(),MV3,Sigma2),MIN(MaxMultiple,Xm/(1-RAND())^(1/Alpha)))))</f>
        <v>0.74139627621644466</v>
      </c>
      <c r="T442" s="19">
        <f ca="1">IF(RAND()&lt;P_Zero,0,IF(RAND()&lt;CondReturn,_xlfn.LOGNORM.INV(RAND(),MV2,Sigma1),IF(RAND()&lt;CondGood,_xlfn.LOGNORM.INV(RAND(),MV3,Sigma2),MIN(MaxMultiple,Xm/(1-RAND())^(1/Alpha)))))</f>
        <v>1.6656178442238407</v>
      </c>
      <c r="U442" s="19">
        <f ca="1">IF(RAND()&lt;P_Zero,0,IF(RAND()&lt;CondReturn,_xlfn.LOGNORM.INV(RAND(),MV2,Sigma1),IF(RAND()&lt;CondGood,_xlfn.LOGNORM.INV(RAND(),MV3,Sigma2),MIN(MaxMultiple,Xm/(1-RAND())^(1/Alpha)))))</f>
        <v>0</v>
      </c>
      <c r="V442" s="19">
        <f ca="1">IF(RAND()&lt;P_Zero,0,IF(RAND()&lt;CondReturn,_xlfn.LOGNORM.INV(RAND(),MV2,Sigma1),IF(RAND()&lt;CondGood,_xlfn.LOGNORM.INV(RAND(),MV3,Sigma2),MIN(MaxMultiple,Xm/(1-RAND())^(1/Alpha)))))</f>
        <v>0.88142281751072937</v>
      </c>
      <c r="W442" s="19">
        <f ca="1">IF(RAND()&lt;P_Zero,0,IF(RAND()&lt;CondReturn,_xlfn.LOGNORM.INV(RAND(),MV2,Sigma1),IF(RAND()&lt;CondGood,_xlfn.LOGNORM.INV(RAND(),MV3,Sigma2),MIN(MaxMultiple,Xm/(1-RAND())^(1/Alpha)))))</f>
        <v>1.1679159189130837</v>
      </c>
      <c r="X442" s="19">
        <f ca="1">IF(RAND()&lt;P_Zero,0,IF(RAND()&lt;CondReturn,_xlfn.LOGNORM.INV(RAND(),MV2,Sigma1),IF(RAND()&lt;CondGood,_xlfn.LOGNORM.INV(RAND(),MV3,Sigma2),MIN(MaxMultiple,Xm/(1-RAND())^(1/Alpha)))))</f>
        <v>0.61590723278638981</v>
      </c>
      <c r="Y442" s="19">
        <f ca="1">IF(RAND()&lt;P_Zero,0,IF(RAND()&lt;CondReturn,_xlfn.LOGNORM.INV(RAND(),MV2,Sigma1),IF(RAND()&lt;CondGood,_xlfn.LOGNORM.INV(RAND(),MV3,Sigma2),MIN(MaxMultiple,Xm/(1-RAND())^(1/Alpha)))))</f>
        <v>0.49242464870895691</v>
      </c>
      <c r="Z442" s="19">
        <f ca="1">IF(RAND()&lt;P_Zero,0,IF(RAND()&lt;CondReturn,_xlfn.LOGNORM.INV(RAND(),MV2,Sigma1),IF(RAND()&lt;CondGood,_xlfn.LOGNORM.INV(RAND(),MV3,Sigma2),MIN(MaxMultiple,Xm/(1-RAND())^(1/Alpha)))))</f>
        <v>0.46074671711952692</v>
      </c>
      <c r="AA442" s="19">
        <f ca="1">IF(RAND()&lt;P_Zero,0,IF(RAND()&lt;CondReturn,_xlfn.LOGNORM.INV(RAND(),MV2,Sigma1),IF(RAND()&lt;CondGood,_xlfn.LOGNORM.INV(RAND(),MV3,Sigma2),MIN(MaxMultiple,Xm/(1-RAND())^(1/Alpha)))))</f>
        <v>0.8878698143381144</v>
      </c>
      <c r="AB442" s="19">
        <f t="shared" ca="1" si="48"/>
        <v>3.2364081034530945</v>
      </c>
      <c r="AC442" s="14">
        <f t="shared" ca="1" si="49"/>
        <v>155347588.96574855</v>
      </c>
      <c r="AD442" s="14">
        <f t="shared" ca="1" si="50"/>
        <v>107347588.96574855</v>
      </c>
      <c r="AE442" s="14">
        <f t="shared" si="51"/>
        <v>55628399.869093813</v>
      </c>
      <c r="AF442" s="14">
        <f t="shared" ca="1" si="52"/>
        <v>51719189.096654736</v>
      </c>
      <c r="AG442" s="14">
        <f t="shared" ca="1" si="53"/>
        <v>10343837.819330947</v>
      </c>
      <c r="AH442" s="14">
        <f t="shared" ca="1" si="54"/>
        <v>145003751.14641759</v>
      </c>
      <c r="AI442" s="19">
        <f t="shared" ca="1" si="55"/>
        <v>2.4167291857736264</v>
      </c>
    </row>
    <row r="443" spans="2:35" x14ac:dyDescent="0.2">
      <c r="B443" s="1">
        <v>438</v>
      </c>
      <c r="C443" s="19">
        <f ca="1">IF(RAND()&lt;P_Zero,0,IF(RAND()&lt;CondReturn,_xlfn.LOGNORM.INV(RAND(),MV2,Sigma1),IF(RAND()&lt;CondGood,_xlfn.LOGNORM.INV(RAND(),MV3,Sigma2),MIN(MaxMultiple,Xm/(1-RAND())^(1/Alpha)))))</f>
        <v>0</v>
      </c>
      <c r="D443" s="19">
        <f ca="1">IF(RAND()&lt;P_Zero,0,IF(RAND()&lt;CondReturn,_xlfn.LOGNORM.INV(RAND(),MV2,Sigma1),IF(RAND()&lt;CondGood,_xlfn.LOGNORM.INV(RAND(),MV3,Sigma2),MIN(MaxMultiple,Xm/(1-RAND())^(1/Alpha)))))</f>
        <v>0</v>
      </c>
      <c r="E443" s="19">
        <f ca="1">IF(RAND()&lt;P_Zero,0,IF(RAND()&lt;CondReturn,_xlfn.LOGNORM.INV(RAND(),MV2,Sigma1),IF(RAND()&lt;CondGood,_xlfn.LOGNORM.INV(RAND(),MV3,Sigma2),MIN(MaxMultiple,Xm/(1-RAND())^(1/Alpha)))))</f>
        <v>3.0109059080807152</v>
      </c>
      <c r="F443" s="19">
        <f ca="1">IF(RAND()&lt;P_Zero,0,IF(RAND()&lt;CondReturn,_xlfn.LOGNORM.INV(RAND(),MV2,Sigma1),IF(RAND()&lt;CondGood,_xlfn.LOGNORM.INV(RAND(),MV3,Sigma2),MIN(MaxMultiple,Xm/(1-RAND())^(1/Alpha)))))</f>
        <v>2.9121085666927273</v>
      </c>
      <c r="G443" s="19">
        <f ca="1">IF(RAND()&lt;P_Zero,0,IF(RAND()&lt;CondReturn,_xlfn.LOGNORM.INV(RAND(),MV2,Sigma1),IF(RAND()&lt;CondGood,_xlfn.LOGNORM.INV(RAND(),MV3,Sigma2),MIN(MaxMultiple,Xm/(1-RAND())^(1/Alpha)))))</f>
        <v>1.2329971808840896</v>
      </c>
      <c r="H443" s="19">
        <f ca="1">IF(RAND()&lt;P_Zero,0,IF(RAND()&lt;CondReturn,_xlfn.LOGNORM.INV(RAND(),MV2,Sigma1),IF(RAND()&lt;CondGood,_xlfn.LOGNORM.INV(RAND(),MV3,Sigma2),MIN(MaxMultiple,Xm/(1-RAND())^(1/Alpha)))))</f>
        <v>0</v>
      </c>
      <c r="I443" s="19">
        <f ca="1">IF(RAND()&lt;P_Zero,0,IF(RAND()&lt;CondReturn,_xlfn.LOGNORM.INV(RAND(),MV2,Sigma1),IF(RAND()&lt;CondGood,_xlfn.LOGNORM.INV(RAND(),MV3,Sigma2),MIN(MaxMultiple,Xm/(1-RAND())^(1/Alpha)))))</f>
        <v>1.0752278426999842</v>
      </c>
      <c r="J443" s="19">
        <f ca="1">IF(RAND()&lt;P_Zero,0,IF(RAND()&lt;CondReturn,_xlfn.LOGNORM.INV(RAND(),MV2,Sigma1),IF(RAND()&lt;CondGood,_xlfn.LOGNORM.INV(RAND(),MV3,Sigma2),MIN(MaxMultiple,Xm/(1-RAND())^(1/Alpha)))))</f>
        <v>1.9389965117517209</v>
      </c>
      <c r="K443" s="19">
        <f ca="1">IF(RAND()&lt;P_Zero,0,IF(RAND()&lt;CondReturn,_xlfn.LOGNORM.INV(RAND(),MV2,Sigma1),IF(RAND()&lt;CondGood,_xlfn.LOGNORM.INV(RAND(),MV3,Sigma2),MIN(MaxMultiple,Xm/(1-RAND())^(1/Alpha)))))</f>
        <v>0</v>
      </c>
      <c r="L443" s="19">
        <f ca="1">IF(RAND()&lt;P_Zero,0,IF(RAND()&lt;CondReturn,_xlfn.LOGNORM.INV(RAND(),MV2,Sigma1),IF(RAND()&lt;CondGood,_xlfn.LOGNORM.INV(RAND(),MV3,Sigma2),MIN(MaxMultiple,Xm/(1-RAND())^(1/Alpha)))))</f>
        <v>1.2980816077302459</v>
      </c>
      <c r="M443" s="19">
        <f ca="1">IF(RAND()&lt;P_Zero,0,IF(RAND()&lt;CondReturn,_xlfn.LOGNORM.INV(RAND(),MV2,Sigma1),IF(RAND()&lt;CondGood,_xlfn.LOGNORM.INV(RAND(),MV3,Sigma2),MIN(MaxMultiple,Xm/(1-RAND())^(1/Alpha)))))</f>
        <v>1.7258830945543147</v>
      </c>
      <c r="N443" s="19">
        <f ca="1">IF(RAND()&lt;P_Zero,0,IF(RAND()&lt;CondReturn,_xlfn.LOGNORM.INV(RAND(),MV2,Sigma1),IF(RAND()&lt;CondGood,_xlfn.LOGNORM.INV(RAND(),MV3,Sigma2),MIN(MaxMultiple,Xm/(1-RAND())^(1/Alpha)))))</f>
        <v>0</v>
      </c>
      <c r="O443" s="19">
        <f ca="1">IF(RAND()&lt;P_Zero,0,IF(RAND()&lt;CondReturn,_xlfn.LOGNORM.INV(RAND(),MV2,Sigma1),IF(RAND()&lt;CondGood,_xlfn.LOGNORM.INV(RAND(),MV3,Sigma2),MIN(MaxMultiple,Xm/(1-RAND())^(1/Alpha)))))</f>
        <v>15.707602246582445</v>
      </c>
      <c r="P443" s="19">
        <f ca="1">IF(RAND()&lt;P_Zero,0,IF(RAND()&lt;CondReturn,_xlfn.LOGNORM.INV(RAND(),MV2,Sigma1),IF(RAND()&lt;CondGood,_xlfn.LOGNORM.INV(RAND(),MV3,Sigma2),MIN(MaxMultiple,Xm/(1-RAND())^(1/Alpha)))))</f>
        <v>0.35928071191374478</v>
      </c>
      <c r="Q443" s="19">
        <f ca="1">IF(RAND()&lt;P_Zero,0,IF(RAND()&lt;CondReturn,_xlfn.LOGNORM.INV(RAND(),MV2,Sigma1),IF(RAND()&lt;CondGood,_xlfn.LOGNORM.INV(RAND(),MV3,Sigma2),MIN(MaxMultiple,Xm/(1-RAND())^(1/Alpha)))))</f>
        <v>1.3818907974569754</v>
      </c>
      <c r="R443" s="19">
        <f ca="1">IF(RAND()&lt;P_Zero,0,IF(RAND()&lt;CondReturn,_xlfn.LOGNORM.INV(RAND(),MV2,Sigma1),IF(RAND()&lt;CondGood,_xlfn.LOGNORM.INV(RAND(),MV3,Sigma2),MIN(MaxMultiple,Xm/(1-RAND())^(1/Alpha)))))</f>
        <v>0</v>
      </c>
      <c r="S443" s="19">
        <f ca="1">IF(RAND()&lt;P_Zero,0,IF(RAND()&lt;CondReturn,_xlfn.LOGNORM.INV(RAND(),MV2,Sigma1),IF(RAND()&lt;CondGood,_xlfn.LOGNORM.INV(RAND(),MV3,Sigma2),MIN(MaxMultiple,Xm/(1-RAND())^(1/Alpha)))))</f>
        <v>0.8751043901396629</v>
      </c>
      <c r="T443" s="19">
        <f ca="1">IF(RAND()&lt;P_Zero,0,IF(RAND()&lt;CondReturn,_xlfn.LOGNORM.INV(RAND(),MV2,Sigma1),IF(RAND()&lt;CondGood,_xlfn.LOGNORM.INV(RAND(),MV3,Sigma2),MIN(MaxMultiple,Xm/(1-RAND())^(1/Alpha)))))</f>
        <v>1.2773063829659537</v>
      </c>
      <c r="U443" s="19">
        <f ca="1">IF(RAND()&lt;P_Zero,0,IF(RAND()&lt;CondReturn,_xlfn.LOGNORM.INV(RAND(),MV2,Sigma1),IF(RAND()&lt;CondGood,_xlfn.LOGNORM.INV(RAND(),MV3,Sigma2),MIN(MaxMultiple,Xm/(1-RAND())^(1/Alpha)))))</f>
        <v>1.4924295941573991</v>
      </c>
      <c r="V443" s="19">
        <f ca="1">IF(RAND()&lt;P_Zero,0,IF(RAND()&lt;CondReturn,_xlfn.LOGNORM.INV(RAND(),MV2,Sigma1),IF(RAND()&lt;CondGood,_xlfn.LOGNORM.INV(RAND(),MV3,Sigma2),MIN(MaxMultiple,Xm/(1-RAND())^(1/Alpha)))))</f>
        <v>0</v>
      </c>
      <c r="W443" s="19">
        <f ca="1">IF(RAND()&lt;P_Zero,0,IF(RAND()&lt;CondReturn,_xlfn.LOGNORM.INV(RAND(),MV2,Sigma1),IF(RAND()&lt;CondGood,_xlfn.LOGNORM.INV(RAND(),MV3,Sigma2),MIN(MaxMultiple,Xm/(1-RAND())^(1/Alpha)))))</f>
        <v>0.91343348849001882</v>
      </c>
      <c r="X443" s="19">
        <f ca="1">IF(RAND()&lt;P_Zero,0,IF(RAND()&lt;CondReturn,_xlfn.LOGNORM.INV(RAND(),MV2,Sigma1),IF(RAND()&lt;CondGood,_xlfn.LOGNORM.INV(RAND(),MV3,Sigma2),MIN(MaxMultiple,Xm/(1-RAND())^(1/Alpha)))))</f>
        <v>0</v>
      </c>
      <c r="Y443" s="19">
        <f ca="1">IF(RAND()&lt;P_Zero,0,IF(RAND()&lt;CondReturn,_xlfn.LOGNORM.INV(RAND(),MV2,Sigma1),IF(RAND()&lt;CondGood,_xlfn.LOGNORM.INV(RAND(),MV3,Sigma2),MIN(MaxMultiple,Xm/(1-RAND())^(1/Alpha)))))</f>
        <v>0.99758797977528957</v>
      </c>
      <c r="Z443" s="19">
        <f ca="1">IF(RAND()&lt;P_Zero,0,IF(RAND()&lt;CondReturn,_xlfn.LOGNORM.INV(RAND(),MV2,Sigma1),IF(RAND()&lt;CondGood,_xlfn.LOGNORM.INV(RAND(),MV3,Sigma2),MIN(MaxMultiple,Xm/(1-RAND())^(1/Alpha)))))</f>
        <v>0</v>
      </c>
      <c r="AA443" s="19">
        <f ca="1">IF(RAND()&lt;P_Zero,0,IF(RAND()&lt;CondReturn,_xlfn.LOGNORM.INV(RAND(),MV2,Sigma1),IF(RAND()&lt;CondGood,_xlfn.LOGNORM.INV(RAND(),MV3,Sigma2),MIN(MaxMultiple,Xm/(1-RAND())^(1/Alpha)))))</f>
        <v>1.5972837508809021</v>
      </c>
      <c r="AB443" s="19">
        <f t="shared" ca="1" si="48"/>
        <v>1.5118448021902477</v>
      </c>
      <c r="AC443" s="14">
        <f t="shared" ca="1" si="49"/>
        <v>72568550.505131885</v>
      </c>
      <c r="AD443" s="14">
        <f t="shared" ca="1" si="50"/>
        <v>24568550.505131885</v>
      </c>
      <c r="AE443" s="14">
        <f t="shared" si="51"/>
        <v>55628399.869093813</v>
      </c>
      <c r="AF443" s="14">
        <f t="shared" ca="1" si="52"/>
        <v>0</v>
      </c>
      <c r="AG443" s="14">
        <f t="shared" ca="1" si="53"/>
        <v>0</v>
      </c>
      <c r="AH443" s="14">
        <f t="shared" ca="1" si="54"/>
        <v>72568550.505131885</v>
      </c>
      <c r="AI443" s="19">
        <f t="shared" ca="1" si="55"/>
        <v>1.209475841752198</v>
      </c>
    </row>
    <row r="444" spans="2:35" x14ac:dyDescent="0.2">
      <c r="B444" s="1">
        <v>439</v>
      </c>
      <c r="C444" s="19">
        <f ca="1">IF(RAND()&lt;P_Zero,0,IF(RAND()&lt;CondReturn,_xlfn.LOGNORM.INV(RAND(),MV2,Sigma1),IF(RAND()&lt;CondGood,_xlfn.LOGNORM.INV(RAND(),MV3,Sigma2),MIN(MaxMultiple,Xm/(1-RAND())^(1/Alpha)))))</f>
        <v>0</v>
      </c>
      <c r="D444" s="19">
        <f ca="1">IF(RAND()&lt;P_Zero,0,IF(RAND()&lt;CondReturn,_xlfn.LOGNORM.INV(RAND(),MV2,Sigma1),IF(RAND()&lt;CondGood,_xlfn.LOGNORM.INV(RAND(),MV3,Sigma2),MIN(MaxMultiple,Xm/(1-RAND())^(1/Alpha)))))</f>
        <v>20.981031220473781</v>
      </c>
      <c r="E444" s="19">
        <f ca="1">IF(RAND()&lt;P_Zero,0,IF(RAND()&lt;CondReturn,_xlfn.LOGNORM.INV(RAND(),MV2,Sigma1),IF(RAND()&lt;CondGood,_xlfn.LOGNORM.INV(RAND(),MV3,Sigma2),MIN(MaxMultiple,Xm/(1-RAND())^(1/Alpha)))))</f>
        <v>0.8635763943442073</v>
      </c>
      <c r="F444" s="19">
        <f ca="1">IF(RAND()&lt;P_Zero,0,IF(RAND()&lt;CondReturn,_xlfn.LOGNORM.INV(RAND(),MV2,Sigma1),IF(RAND()&lt;CondGood,_xlfn.LOGNORM.INV(RAND(),MV3,Sigma2),MIN(MaxMultiple,Xm/(1-RAND())^(1/Alpha)))))</f>
        <v>1.8445398946632026</v>
      </c>
      <c r="G444" s="19">
        <f ca="1">IF(RAND()&lt;P_Zero,0,IF(RAND()&lt;CondReturn,_xlfn.LOGNORM.INV(RAND(),MV2,Sigma1),IF(RAND()&lt;CondGood,_xlfn.LOGNORM.INV(RAND(),MV3,Sigma2),MIN(MaxMultiple,Xm/(1-RAND())^(1/Alpha)))))</f>
        <v>1.5567083907551793</v>
      </c>
      <c r="H444" s="19">
        <f ca="1">IF(RAND()&lt;P_Zero,0,IF(RAND()&lt;CondReturn,_xlfn.LOGNORM.INV(RAND(),MV2,Sigma1),IF(RAND()&lt;CondGood,_xlfn.LOGNORM.INV(RAND(),MV3,Sigma2),MIN(MaxMultiple,Xm/(1-RAND())^(1/Alpha)))))</f>
        <v>0.73286754213562244</v>
      </c>
      <c r="I444" s="19">
        <f ca="1">IF(RAND()&lt;P_Zero,0,IF(RAND()&lt;CondReturn,_xlfn.LOGNORM.INV(RAND(),MV2,Sigma1),IF(RAND()&lt;CondGood,_xlfn.LOGNORM.INV(RAND(),MV3,Sigma2),MIN(MaxMultiple,Xm/(1-RAND())^(1/Alpha)))))</f>
        <v>0.70846647893779313</v>
      </c>
      <c r="J444" s="19">
        <f ca="1">IF(RAND()&lt;P_Zero,0,IF(RAND()&lt;CondReturn,_xlfn.LOGNORM.INV(RAND(),MV2,Sigma1),IF(RAND()&lt;CondGood,_xlfn.LOGNORM.INV(RAND(),MV3,Sigma2),MIN(MaxMultiple,Xm/(1-RAND())^(1/Alpha)))))</f>
        <v>1.9227703085355781</v>
      </c>
      <c r="K444" s="19">
        <f ca="1">IF(RAND()&lt;P_Zero,0,IF(RAND()&lt;CondReturn,_xlfn.LOGNORM.INV(RAND(),MV2,Sigma1),IF(RAND()&lt;CondGood,_xlfn.LOGNORM.INV(RAND(),MV3,Sigma2),MIN(MaxMultiple,Xm/(1-RAND())^(1/Alpha)))))</f>
        <v>0</v>
      </c>
      <c r="L444" s="19">
        <f ca="1">IF(RAND()&lt;P_Zero,0,IF(RAND()&lt;CondReturn,_xlfn.LOGNORM.INV(RAND(),MV2,Sigma1),IF(RAND()&lt;CondGood,_xlfn.LOGNORM.INV(RAND(),MV3,Sigma2),MIN(MaxMultiple,Xm/(1-RAND())^(1/Alpha)))))</f>
        <v>0.55275983451127197</v>
      </c>
      <c r="M444" s="19">
        <f ca="1">IF(RAND()&lt;P_Zero,0,IF(RAND()&lt;CondReturn,_xlfn.LOGNORM.INV(RAND(),MV2,Sigma1),IF(RAND()&lt;CondGood,_xlfn.LOGNORM.INV(RAND(),MV3,Sigma2),MIN(MaxMultiple,Xm/(1-RAND())^(1/Alpha)))))</f>
        <v>1.8597233236362212</v>
      </c>
      <c r="N444" s="19">
        <f ca="1">IF(RAND()&lt;P_Zero,0,IF(RAND()&lt;CondReturn,_xlfn.LOGNORM.INV(RAND(),MV2,Sigma1),IF(RAND()&lt;CondGood,_xlfn.LOGNORM.INV(RAND(),MV3,Sigma2),MIN(MaxMultiple,Xm/(1-RAND())^(1/Alpha)))))</f>
        <v>0</v>
      </c>
      <c r="O444" s="19">
        <f ca="1">IF(RAND()&lt;P_Zero,0,IF(RAND()&lt;CondReturn,_xlfn.LOGNORM.INV(RAND(),MV2,Sigma1),IF(RAND()&lt;CondGood,_xlfn.LOGNORM.INV(RAND(),MV3,Sigma2),MIN(MaxMultiple,Xm/(1-RAND())^(1/Alpha)))))</f>
        <v>0</v>
      </c>
      <c r="P444" s="19">
        <f ca="1">IF(RAND()&lt;P_Zero,0,IF(RAND()&lt;CondReturn,_xlfn.LOGNORM.INV(RAND(),MV2,Sigma1),IF(RAND()&lt;CondGood,_xlfn.LOGNORM.INV(RAND(),MV3,Sigma2),MIN(MaxMultiple,Xm/(1-RAND())^(1/Alpha)))))</f>
        <v>0</v>
      </c>
      <c r="Q444" s="19">
        <f ca="1">IF(RAND()&lt;P_Zero,0,IF(RAND()&lt;CondReturn,_xlfn.LOGNORM.INV(RAND(),MV2,Sigma1),IF(RAND()&lt;CondGood,_xlfn.LOGNORM.INV(RAND(),MV3,Sigma2),MIN(MaxMultiple,Xm/(1-RAND())^(1/Alpha)))))</f>
        <v>0</v>
      </c>
      <c r="R444" s="19">
        <f ca="1">IF(RAND()&lt;P_Zero,0,IF(RAND()&lt;CondReturn,_xlfn.LOGNORM.INV(RAND(),MV2,Sigma1),IF(RAND()&lt;CondGood,_xlfn.LOGNORM.INV(RAND(),MV3,Sigma2),MIN(MaxMultiple,Xm/(1-RAND())^(1/Alpha)))))</f>
        <v>0</v>
      </c>
      <c r="S444" s="19">
        <f ca="1">IF(RAND()&lt;P_Zero,0,IF(RAND()&lt;CondReturn,_xlfn.LOGNORM.INV(RAND(),MV2,Sigma1),IF(RAND()&lt;CondGood,_xlfn.LOGNORM.INV(RAND(),MV3,Sigma2),MIN(MaxMultiple,Xm/(1-RAND())^(1/Alpha)))))</f>
        <v>1.3964444304721764</v>
      </c>
      <c r="T444" s="19">
        <f ca="1">IF(RAND()&lt;P_Zero,0,IF(RAND()&lt;CondReturn,_xlfn.LOGNORM.INV(RAND(),MV2,Sigma1),IF(RAND()&lt;CondGood,_xlfn.LOGNORM.INV(RAND(),MV3,Sigma2),MIN(MaxMultiple,Xm/(1-RAND())^(1/Alpha)))))</f>
        <v>1.7699358786451094</v>
      </c>
      <c r="U444" s="19">
        <f ca="1">IF(RAND()&lt;P_Zero,0,IF(RAND()&lt;CondReturn,_xlfn.LOGNORM.INV(RAND(),MV2,Sigma1),IF(RAND()&lt;CondGood,_xlfn.LOGNORM.INV(RAND(),MV3,Sigma2),MIN(MaxMultiple,Xm/(1-RAND())^(1/Alpha)))))</f>
        <v>1.1266437753927634</v>
      </c>
      <c r="V444" s="19">
        <f ca="1">IF(RAND()&lt;P_Zero,0,IF(RAND()&lt;CondReturn,_xlfn.LOGNORM.INV(RAND(),MV2,Sigma1),IF(RAND()&lt;CondGood,_xlfn.LOGNORM.INV(RAND(),MV3,Sigma2),MIN(MaxMultiple,Xm/(1-RAND())^(1/Alpha)))))</f>
        <v>0</v>
      </c>
      <c r="W444" s="19">
        <f ca="1">IF(RAND()&lt;P_Zero,0,IF(RAND()&lt;CondReturn,_xlfn.LOGNORM.INV(RAND(),MV2,Sigma1),IF(RAND()&lt;CondGood,_xlfn.LOGNORM.INV(RAND(),MV3,Sigma2),MIN(MaxMultiple,Xm/(1-RAND())^(1/Alpha)))))</f>
        <v>10.875556410359545</v>
      </c>
      <c r="X444" s="19">
        <f ca="1">IF(RAND()&lt;P_Zero,0,IF(RAND()&lt;CondReturn,_xlfn.LOGNORM.INV(RAND(),MV2,Sigma1),IF(RAND()&lt;CondGood,_xlfn.LOGNORM.INV(RAND(),MV3,Sigma2),MIN(MaxMultiple,Xm/(1-RAND())^(1/Alpha)))))</f>
        <v>0.96655081914102081</v>
      </c>
      <c r="Y444" s="19">
        <f ca="1">IF(RAND()&lt;P_Zero,0,IF(RAND()&lt;CondReturn,_xlfn.LOGNORM.INV(RAND(),MV2,Sigma1),IF(RAND()&lt;CondGood,_xlfn.LOGNORM.INV(RAND(),MV3,Sigma2),MIN(MaxMultiple,Xm/(1-RAND())^(1/Alpha)))))</f>
        <v>0.70674010345996596</v>
      </c>
      <c r="Z444" s="19">
        <f ca="1">IF(RAND()&lt;P_Zero,0,IF(RAND()&lt;CondReturn,_xlfn.LOGNORM.INV(RAND(),MV2,Sigma1),IF(RAND()&lt;CondGood,_xlfn.LOGNORM.INV(RAND(),MV3,Sigma2),MIN(MaxMultiple,Xm/(1-RAND())^(1/Alpha)))))</f>
        <v>0.2432516762023578</v>
      </c>
      <c r="AA444" s="19">
        <f ca="1">IF(RAND()&lt;P_Zero,0,IF(RAND()&lt;CondReturn,_xlfn.LOGNORM.INV(RAND(),MV2,Sigma1),IF(RAND()&lt;CondGood,_xlfn.LOGNORM.INV(RAND(),MV3,Sigma2),MIN(MaxMultiple,Xm/(1-RAND())^(1/Alpha)))))</f>
        <v>0</v>
      </c>
      <c r="AB444" s="19">
        <f t="shared" ca="1" si="48"/>
        <v>1.9243026592666317</v>
      </c>
      <c r="AC444" s="14">
        <f t="shared" ca="1" si="49"/>
        <v>92366527.644798324</v>
      </c>
      <c r="AD444" s="14">
        <f t="shared" ca="1" si="50"/>
        <v>44366527.644798324</v>
      </c>
      <c r="AE444" s="14">
        <f t="shared" si="51"/>
        <v>55628399.869093813</v>
      </c>
      <c r="AF444" s="14">
        <f t="shared" ca="1" si="52"/>
        <v>0</v>
      </c>
      <c r="AG444" s="14">
        <f t="shared" ca="1" si="53"/>
        <v>0</v>
      </c>
      <c r="AH444" s="14">
        <f t="shared" ca="1" si="54"/>
        <v>92366527.644798324</v>
      </c>
      <c r="AI444" s="19">
        <f t="shared" ca="1" si="55"/>
        <v>1.5394421274133054</v>
      </c>
    </row>
    <row r="445" spans="2:35" x14ac:dyDescent="0.2">
      <c r="B445" s="1">
        <v>440</v>
      </c>
      <c r="C445" s="19">
        <f ca="1">IF(RAND()&lt;P_Zero,0,IF(RAND()&lt;CondReturn,_xlfn.LOGNORM.INV(RAND(),MV2,Sigma1),IF(RAND()&lt;CondGood,_xlfn.LOGNORM.INV(RAND(),MV3,Sigma2),MIN(MaxMultiple,Xm/(1-RAND())^(1/Alpha)))))</f>
        <v>2.5286078670070729</v>
      </c>
      <c r="D445" s="19">
        <f ca="1">IF(RAND()&lt;P_Zero,0,IF(RAND()&lt;CondReturn,_xlfn.LOGNORM.INV(RAND(),MV2,Sigma1),IF(RAND()&lt;CondGood,_xlfn.LOGNORM.INV(RAND(),MV3,Sigma2),MIN(MaxMultiple,Xm/(1-RAND())^(1/Alpha)))))</f>
        <v>81.910027411565409</v>
      </c>
      <c r="E445" s="19">
        <f ca="1">IF(RAND()&lt;P_Zero,0,IF(RAND()&lt;CondReturn,_xlfn.LOGNORM.INV(RAND(),MV2,Sigma1),IF(RAND()&lt;CondGood,_xlfn.LOGNORM.INV(RAND(),MV3,Sigma2),MIN(MaxMultiple,Xm/(1-RAND())^(1/Alpha)))))</f>
        <v>0</v>
      </c>
      <c r="F445" s="19">
        <f ca="1">IF(RAND()&lt;P_Zero,0,IF(RAND()&lt;CondReturn,_xlfn.LOGNORM.INV(RAND(),MV2,Sigma1),IF(RAND()&lt;CondGood,_xlfn.LOGNORM.INV(RAND(),MV3,Sigma2),MIN(MaxMultiple,Xm/(1-RAND())^(1/Alpha)))))</f>
        <v>0.57782102898132681</v>
      </c>
      <c r="G445" s="19">
        <f ca="1">IF(RAND()&lt;P_Zero,0,IF(RAND()&lt;CondReturn,_xlfn.LOGNORM.INV(RAND(),MV2,Sigma1),IF(RAND()&lt;CondGood,_xlfn.LOGNORM.INV(RAND(),MV3,Sigma2),MIN(MaxMultiple,Xm/(1-RAND())^(1/Alpha)))))</f>
        <v>0.44780647980359406</v>
      </c>
      <c r="H445" s="19">
        <f ca="1">IF(RAND()&lt;P_Zero,0,IF(RAND()&lt;CondReturn,_xlfn.LOGNORM.INV(RAND(),MV2,Sigma1),IF(RAND()&lt;CondGood,_xlfn.LOGNORM.INV(RAND(),MV3,Sigma2),MIN(MaxMultiple,Xm/(1-RAND())^(1/Alpha)))))</f>
        <v>33.705823946255535</v>
      </c>
      <c r="I445" s="19">
        <f ca="1">IF(RAND()&lt;P_Zero,0,IF(RAND()&lt;CondReturn,_xlfn.LOGNORM.INV(RAND(),MV2,Sigma1),IF(RAND()&lt;CondGood,_xlfn.LOGNORM.INV(RAND(),MV3,Sigma2),MIN(MaxMultiple,Xm/(1-RAND())^(1/Alpha)))))</f>
        <v>0</v>
      </c>
      <c r="J445" s="19">
        <f ca="1">IF(RAND()&lt;P_Zero,0,IF(RAND()&lt;CondReturn,_xlfn.LOGNORM.INV(RAND(),MV2,Sigma1),IF(RAND()&lt;CondGood,_xlfn.LOGNORM.INV(RAND(),MV3,Sigma2),MIN(MaxMultiple,Xm/(1-RAND())^(1/Alpha)))))</f>
        <v>0.488073738745397</v>
      </c>
      <c r="K445" s="19">
        <f ca="1">IF(RAND()&lt;P_Zero,0,IF(RAND()&lt;CondReturn,_xlfn.LOGNORM.INV(RAND(),MV2,Sigma1),IF(RAND()&lt;CondGood,_xlfn.LOGNORM.INV(RAND(),MV3,Sigma2),MIN(MaxMultiple,Xm/(1-RAND())^(1/Alpha)))))</f>
        <v>0.86065540529916795</v>
      </c>
      <c r="L445" s="19">
        <f ca="1">IF(RAND()&lt;P_Zero,0,IF(RAND()&lt;CondReturn,_xlfn.LOGNORM.INV(RAND(),MV2,Sigma1),IF(RAND()&lt;CondGood,_xlfn.LOGNORM.INV(RAND(),MV3,Sigma2),MIN(MaxMultiple,Xm/(1-RAND())^(1/Alpha)))))</f>
        <v>2.899177234141022</v>
      </c>
      <c r="M445" s="19">
        <f ca="1">IF(RAND()&lt;P_Zero,0,IF(RAND()&lt;CondReturn,_xlfn.LOGNORM.INV(RAND(),MV2,Sigma1),IF(RAND()&lt;CondGood,_xlfn.LOGNORM.INV(RAND(),MV3,Sigma2),MIN(MaxMultiple,Xm/(1-RAND())^(1/Alpha)))))</f>
        <v>1.5707597973872547</v>
      </c>
      <c r="N445" s="19">
        <f ca="1">IF(RAND()&lt;P_Zero,0,IF(RAND()&lt;CondReturn,_xlfn.LOGNORM.INV(RAND(),MV2,Sigma1),IF(RAND()&lt;CondGood,_xlfn.LOGNORM.INV(RAND(),MV3,Sigma2),MIN(MaxMultiple,Xm/(1-RAND())^(1/Alpha)))))</f>
        <v>2.1739429050413634</v>
      </c>
      <c r="O445" s="19">
        <f ca="1">IF(RAND()&lt;P_Zero,0,IF(RAND()&lt;CondReturn,_xlfn.LOGNORM.INV(RAND(),MV2,Sigma1),IF(RAND()&lt;CondGood,_xlfn.LOGNORM.INV(RAND(),MV3,Sigma2),MIN(MaxMultiple,Xm/(1-RAND())^(1/Alpha)))))</f>
        <v>0</v>
      </c>
      <c r="P445" s="19">
        <f ca="1">IF(RAND()&lt;P_Zero,0,IF(RAND()&lt;CondReturn,_xlfn.LOGNORM.INV(RAND(),MV2,Sigma1),IF(RAND()&lt;CondGood,_xlfn.LOGNORM.INV(RAND(),MV3,Sigma2),MIN(MaxMultiple,Xm/(1-RAND())^(1/Alpha)))))</f>
        <v>0</v>
      </c>
      <c r="Q445" s="19">
        <f ca="1">IF(RAND()&lt;P_Zero,0,IF(RAND()&lt;CondReturn,_xlfn.LOGNORM.INV(RAND(),MV2,Sigma1),IF(RAND()&lt;CondGood,_xlfn.LOGNORM.INV(RAND(),MV3,Sigma2),MIN(MaxMultiple,Xm/(1-RAND())^(1/Alpha)))))</f>
        <v>1.0023819768889757</v>
      </c>
      <c r="R445" s="19">
        <f ca="1">IF(RAND()&lt;P_Zero,0,IF(RAND()&lt;CondReturn,_xlfn.LOGNORM.INV(RAND(),MV2,Sigma1),IF(RAND()&lt;CondGood,_xlfn.LOGNORM.INV(RAND(),MV3,Sigma2),MIN(MaxMultiple,Xm/(1-RAND())^(1/Alpha)))))</f>
        <v>1.4056386082140948</v>
      </c>
      <c r="S445" s="19">
        <f ca="1">IF(RAND()&lt;P_Zero,0,IF(RAND()&lt;CondReturn,_xlfn.LOGNORM.INV(RAND(),MV2,Sigma1),IF(RAND()&lt;CondGood,_xlfn.LOGNORM.INV(RAND(),MV3,Sigma2),MIN(MaxMultiple,Xm/(1-RAND())^(1/Alpha)))))</f>
        <v>0</v>
      </c>
      <c r="T445" s="19">
        <f ca="1">IF(RAND()&lt;P_Zero,0,IF(RAND()&lt;CondReturn,_xlfn.LOGNORM.INV(RAND(),MV2,Sigma1),IF(RAND()&lt;CondGood,_xlfn.LOGNORM.INV(RAND(),MV3,Sigma2),MIN(MaxMultiple,Xm/(1-RAND())^(1/Alpha)))))</f>
        <v>0.41036289617155919</v>
      </c>
      <c r="U445" s="19">
        <f ca="1">IF(RAND()&lt;P_Zero,0,IF(RAND()&lt;CondReturn,_xlfn.LOGNORM.INV(RAND(),MV2,Sigma1),IF(RAND()&lt;CondGood,_xlfn.LOGNORM.INV(RAND(),MV3,Sigma2),MIN(MaxMultiple,Xm/(1-RAND())^(1/Alpha)))))</f>
        <v>0.75902695393556618</v>
      </c>
      <c r="V445" s="19">
        <f ca="1">IF(RAND()&lt;P_Zero,0,IF(RAND()&lt;CondReturn,_xlfn.LOGNORM.INV(RAND(),MV2,Sigma1),IF(RAND()&lt;CondGood,_xlfn.LOGNORM.INV(RAND(),MV3,Sigma2),MIN(MaxMultiple,Xm/(1-RAND())^(1/Alpha)))))</f>
        <v>1.3965900313500903</v>
      </c>
      <c r="W445" s="19">
        <f ca="1">IF(RAND()&lt;P_Zero,0,IF(RAND()&lt;CondReturn,_xlfn.LOGNORM.INV(RAND(),MV2,Sigma1),IF(RAND()&lt;CondGood,_xlfn.LOGNORM.INV(RAND(),MV3,Sigma2),MIN(MaxMultiple,Xm/(1-RAND())^(1/Alpha)))))</f>
        <v>0.80062448455270374</v>
      </c>
      <c r="X445" s="19">
        <f ca="1">IF(RAND()&lt;P_Zero,0,IF(RAND()&lt;CondReturn,_xlfn.LOGNORM.INV(RAND(),MV2,Sigma1),IF(RAND()&lt;CondGood,_xlfn.LOGNORM.INV(RAND(),MV3,Sigma2),MIN(MaxMultiple,Xm/(1-RAND())^(1/Alpha)))))</f>
        <v>1.339780144646233</v>
      </c>
      <c r="Y445" s="19">
        <f ca="1">IF(RAND()&lt;P_Zero,0,IF(RAND()&lt;CondReturn,_xlfn.LOGNORM.INV(RAND(),MV2,Sigma1),IF(RAND()&lt;CondGood,_xlfn.LOGNORM.INV(RAND(),MV3,Sigma2),MIN(MaxMultiple,Xm/(1-RAND())^(1/Alpha)))))</f>
        <v>1.4379017840297328</v>
      </c>
      <c r="Z445" s="19">
        <f ca="1">IF(RAND()&lt;P_Zero,0,IF(RAND()&lt;CondReturn,_xlfn.LOGNORM.INV(RAND(),MV2,Sigma1),IF(RAND()&lt;CondGood,_xlfn.LOGNORM.INV(RAND(),MV3,Sigma2),MIN(MaxMultiple,Xm/(1-RAND())^(1/Alpha)))))</f>
        <v>0.45757349523535024</v>
      </c>
      <c r="AA445" s="19">
        <f ca="1">IF(RAND()&lt;P_Zero,0,IF(RAND()&lt;CondReturn,_xlfn.LOGNORM.INV(RAND(),MV2,Sigma1),IF(RAND()&lt;CondGood,_xlfn.LOGNORM.INV(RAND(),MV3,Sigma2),MIN(MaxMultiple,Xm/(1-RAND())^(1/Alpha)))))</f>
        <v>0.55196525851447109</v>
      </c>
      <c r="AB445" s="19">
        <f t="shared" ca="1" si="48"/>
        <v>5.4689816579106365</v>
      </c>
      <c r="AC445" s="14">
        <f t="shared" ca="1" si="49"/>
        <v>262511119.57971054</v>
      </c>
      <c r="AD445" s="14">
        <f t="shared" ca="1" si="50"/>
        <v>214511119.57971054</v>
      </c>
      <c r="AE445" s="14">
        <f t="shared" si="51"/>
        <v>55628399.869093813</v>
      </c>
      <c r="AF445" s="14">
        <f t="shared" ca="1" si="52"/>
        <v>158882719.71061674</v>
      </c>
      <c r="AG445" s="14">
        <f t="shared" ca="1" si="53"/>
        <v>31776543.94212335</v>
      </c>
      <c r="AH445" s="14">
        <f t="shared" ca="1" si="54"/>
        <v>230734575.63758719</v>
      </c>
      <c r="AI445" s="19">
        <f t="shared" ca="1" si="55"/>
        <v>3.8455762606264532</v>
      </c>
    </row>
    <row r="446" spans="2:35" x14ac:dyDescent="0.2">
      <c r="B446" s="1">
        <v>441</v>
      </c>
      <c r="C446" s="19">
        <f ca="1">IF(RAND()&lt;P_Zero,0,IF(RAND()&lt;CondReturn,_xlfn.LOGNORM.INV(RAND(),MV2,Sigma1),IF(RAND()&lt;CondGood,_xlfn.LOGNORM.INV(RAND(),MV3,Sigma2),MIN(MaxMultiple,Xm/(1-RAND())^(1/Alpha)))))</f>
        <v>1.7007354017451761</v>
      </c>
      <c r="D446" s="19">
        <f ca="1">IF(RAND()&lt;P_Zero,0,IF(RAND()&lt;CondReturn,_xlfn.LOGNORM.INV(RAND(),MV2,Sigma1),IF(RAND()&lt;CondGood,_xlfn.LOGNORM.INV(RAND(),MV3,Sigma2),MIN(MaxMultiple,Xm/(1-RAND())^(1/Alpha)))))</f>
        <v>1.1797452801464581</v>
      </c>
      <c r="E446" s="19">
        <f ca="1">IF(RAND()&lt;P_Zero,0,IF(RAND()&lt;CondReturn,_xlfn.LOGNORM.INV(RAND(),MV2,Sigma1),IF(RAND()&lt;CondGood,_xlfn.LOGNORM.INV(RAND(),MV3,Sigma2),MIN(MaxMultiple,Xm/(1-RAND())^(1/Alpha)))))</f>
        <v>0</v>
      </c>
      <c r="F446" s="19">
        <f ca="1">IF(RAND()&lt;P_Zero,0,IF(RAND()&lt;CondReturn,_xlfn.LOGNORM.INV(RAND(),MV2,Sigma1),IF(RAND()&lt;CondGood,_xlfn.LOGNORM.INV(RAND(),MV3,Sigma2),MIN(MaxMultiple,Xm/(1-RAND())^(1/Alpha)))))</f>
        <v>0</v>
      </c>
      <c r="G446" s="19">
        <f ca="1">IF(RAND()&lt;P_Zero,0,IF(RAND()&lt;CondReturn,_xlfn.LOGNORM.INV(RAND(),MV2,Sigma1),IF(RAND()&lt;CondGood,_xlfn.LOGNORM.INV(RAND(),MV3,Sigma2),MIN(MaxMultiple,Xm/(1-RAND())^(1/Alpha)))))</f>
        <v>0</v>
      </c>
      <c r="H446" s="19">
        <f ca="1">IF(RAND()&lt;P_Zero,0,IF(RAND()&lt;CondReturn,_xlfn.LOGNORM.INV(RAND(),MV2,Sigma1),IF(RAND()&lt;CondGood,_xlfn.LOGNORM.INV(RAND(),MV3,Sigma2),MIN(MaxMultiple,Xm/(1-RAND())^(1/Alpha)))))</f>
        <v>0.80913399419461718</v>
      </c>
      <c r="I446" s="19">
        <f ca="1">IF(RAND()&lt;P_Zero,0,IF(RAND()&lt;CondReturn,_xlfn.LOGNORM.INV(RAND(),MV2,Sigma1),IF(RAND()&lt;CondGood,_xlfn.LOGNORM.INV(RAND(),MV3,Sigma2),MIN(MaxMultiple,Xm/(1-RAND())^(1/Alpha)))))</f>
        <v>1.3334564865180214</v>
      </c>
      <c r="J446" s="19">
        <f ca="1">IF(RAND()&lt;P_Zero,0,IF(RAND()&lt;CondReturn,_xlfn.LOGNORM.INV(RAND(),MV2,Sigma1),IF(RAND()&lt;CondGood,_xlfn.LOGNORM.INV(RAND(),MV3,Sigma2),MIN(MaxMultiple,Xm/(1-RAND())^(1/Alpha)))))</f>
        <v>0.45027327337309975</v>
      </c>
      <c r="K446" s="19">
        <f ca="1">IF(RAND()&lt;P_Zero,0,IF(RAND()&lt;CondReturn,_xlfn.LOGNORM.INV(RAND(),MV2,Sigma1),IF(RAND()&lt;CondGood,_xlfn.LOGNORM.INV(RAND(),MV3,Sigma2),MIN(MaxMultiple,Xm/(1-RAND())^(1/Alpha)))))</f>
        <v>0.6357892137489719</v>
      </c>
      <c r="L446" s="19">
        <f ca="1">IF(RAND()&lt;P_Zero,0,IF(RAND()&lt;CondReturn,_xlfn.LOGNORM.INV(RAND(),MV2,Sigma1),IF(RAND()&lt;CondGood,_xlfn.LOGNORM.INV(RAND(),MV3,Sigma2),MIN(MaxMultiple,Xm/(1-RAND())^(1/Alpha)))))</f>
        <v>0</v>
      </c>
      <c r="M446" s="19">
        <f ca="1">IF(RAND()&lt;P_Zero,0,IF(RAND()&lt;CondReturn,_xlfn.LOGNORM.INV(RAND(),MV2,Sigma1),IF(RAND()&lt;CondGood,_xlfn.LOGNORM.INV(RAND(),MV3,Sigma2),MIN(MaxMultiple,Xm/(1-RAND())^(1/Alpha)))))</f>
        <v>0</v>
      </c>
      <c r="N446" s="19">
        <f ca="1">IF(RAND()&lt;P_Zero,0,IF(RAND()&lt;CondReturn,_xlfn.LOGNORM.INV(RAND(),MV2,Sigma1),IF(RAND()&lt;CondGood,_xlfn.LOGNORM.INV(RAND(),MV3,Sigma2),MIN(MaxMultiple,Xm/(1-RAND())^(1/Alpha)))))</f>
        <v>0</v>
      </c>
      <c r="O446" s="19">
        <f ca="1">IF(RAND()&lt;P_Zero,0,IF(RAND()&lt;CondReturn,_xlfn.LOGNORM.INV(RAND(),MV2,Sigma1),IF(RAND()&lt;CondGood,_xlfn.LOGNORM.INV(RAND(),MV3,Sigma2),MIN(MaxMultiple,Xm/(1-RAND())^(1/Alpha)))))</f>
        <v>0.45930343216698016</v>
      </c>
      <c r="P446" s="19">
        <f ca="1">IF(RAND()&lt;P_Zero,0,IF(RAND()&lt;CondReturn,_xlfn.LOGNORM.INV(RAND(),MV2,Sigma1),IF(RAND()&lt;CondGood,_xlfn.LOGNORM.INV(RAND(),MV3,Sigma2),MIN(MaxMultiple,Xm/(1-RAND())^(1/Alpha)))))</f>
        <v>0</v>
      </c>
      <c r="Q446" s="19">
        <f ca="1">IF(RAND()&lt;P_Zero,0,IF(RAND()&lt;CondReturn,_xlfn.LOGNORM.INV(RAND(),MV2,Sigma1),IF(RAND()&lt;CondGood,_xlfn.LOGNORM.INV(RAND(),MV3,Sigma2),MIN(MaxMultiple,Xm/(1-RAND())^(1/Alpha)))))</f>
        <v>73.952873367521406</v>
      </c>
      <c r="R446" s="19">
        <f ca="1">IF(RAND()&lt;P_Zero,0,IF(RAND()&lt;CondReturn,_xlfn.LOGNORM.INV(RAND(),MV2,Sigma1),IF(RAND()&lt;CondGood,_xlfn.LOGNORM.INV(RAND(),MV3,Sigma2),MIN(MaxMultiple,Xm/(1-RAND())^(1/Alpha)))))</f>
        <v>37.086144402803072</v>
      </c>
      <c r="S446" s="19">
        <f ca="1">IF(RAND()&lt;P_Zero,0,IF(RAND()&lt;CondReturn,_xlfn.LOGNORM.INV(RAND(),MV2,Sigma1),IF(RAND()&lt;CondGood,_xlfn.LOGNORM.INV(RAND(),MV3,Sigma2),MIN(MaxMultiple,Xm/(1-RAND())^(1/Alpha)))))</f>
        <v>0</v>
      </c>
      <c r="T446" s="19">
        <f ca="1">IF(RAND()&lt;P_Zero,0,IF(RAND()&lt;CondReturn,_xlfn.LOGNORM.INV(RAND(),MV2,Sigma1),IF(RAND()&lt;CondGood,_xlfn.LOGNORM.INV(RAND(),MV3,Sigma2),MIN(MaxMultiple,Xm/(1-RAND())^(1/Alpha)))))</f>
        <v>0.45027739501027403</v>
      </c>
      <c r="U446" s="19">
        <f ca="1">IF(RAND()&lt;P_Zero,0,IF(RAND()&lt;CondReturn,_xlfn.LOGNORM.INV(RAND(),MV2,Sigma1),IF(RAND()&lt;CondGood,_xlfn.LOGNORM.INV(RAND(),MV3,Sigma2),MIN(MaxMultiple,Xm/(1-RAND())^(1/Alpha)))))</f>
        <v>1.2341067567658415</v>
      </c>
      <c r="V446" s="19">
        <f ca="1">IF(RAND()&lt;P_Zero,0,IF(RAND()&lt;CondReturn,_xlfn.LOGNORM.INV(RAND(),MV2,Sigma1),IF(RAND()&lt;CondGood,_xlfn.LOGNORM.INV(RAND(),MV3,Sigma2),MIN(MaxMultiple,Xm/(1-RAND())^(1/Alpha)))))</f>
        <v>0</v>
      </c>
      <c r="W446" s="19">
        <f ca="1">IF(RAND()&lt;P_Zero,0,IF(RAND()&lt;CondReturn,_xlfn.LOGNORM.INV(RAND(),MV2,Sigma1),IF(RAND()&lt;CondGood,_xlfn.LOGNORM.INV(RAND(),MV3,Sigma2),MIN(MaxMultiple,Xm/(1-RAND())^(1/Alpha)))))</f>
        <v>25.1519256429103</v>
      </c>
      <c r="X446" s="19">
        <f ca="1">IF(RAND()&lt;P_Zero,0,IF(RAND()&lt;CondReturn,_xlfn.LOGNORM.INV(RAND(),MV2,Sigma1),IF(RAND()&lt;CondGood,_xlfn.LOGNORM.INV(RAND(),MV3,Sigma2),MIN(MaxMultiple,Xm/(1-RAND())^(1/Alpha)))))</f>
        <v>0</v>
      </c>
      <c r="Y446" s="19">
        <f ca="1">IF(RAND()&lt;P_Zero,0,IF(RAND()&lt;CondReturn,_xlfn.LOGNORM.INV(RAND(),MV2,Sigma1),IF(RAND()&lt;CondGood,_xlfn.LOGNORM.INV(RAND(),MV3,Sigma2),MIN(MaxMultiple,Xm/(1-RAND())^(1/Alpha)))))</f>
        <v>1.2721403201458545</v>
      </c>
      <c r="Z446" s="19">
        <f ca="1">IF(RAND()&lt;P_Zero,0,IF(RAND()&lt;CondReturn,_xlfn.LOGNORM.INV(RAND(),MV2,Sigma1),IF(RAND()&lt;CondGood,_xlfn.LOGNORM.INV(RAND(),MV3,Sigma2),MIN(MaxMultiple,Xm/(1-RAND())^(1/Alpha)))))</f>
        <v>0</v>
      </c>
      <c r="AA446" s="19">
        <f ca="1">IF(RAND()&lt;P_Zero,0,IF(RAND()&lt;CondReturn,_xlfn.LOGNORM.INV(RAND(),MV2,Sigma1),IF(RAND()&lt;CondGood,_xlfn.LOGNORM.INV(RAND(),MV3,Sigma2),MIN(MaxMultiple,Xm/(1-RAND())^(1/Alpha)))))</f>
        <v>0.84947601350699409</v>
      </c>
      <c r="AB446" s="19">
        <f t="shared" ca="1" si="48"/>
        <v>5.8626152392222828</v>
      </c>
      <c r="AC446" s="14">
        <f t="shared" ca="1" si="49"/>
        <v>281405531.48266959</v>
      </c>
      <c r="AD446" s="14">
        <f t="shared" ca="1" si="50"/>
        <v>233405531.48266959</v>
      </c>
      <c r="AE446" s="14">
        <f t="shared" si="51"/>
        <v>55628399.869093813</v>
      </c>
      <c r="AF446" s="14">
        <f t="shared" ca="1" si="52"/>
        <v>177777131.61357579</v>
      </c>
      <c r="AG446" s="14">
        <f t="shared" ca="1" si="53"/>
        <v>35555426.322715156</v>
      </c>
      <c r="AH446" s="14">
        <f t="shared" ca="1" si="54"/>
        <v>245850105.15995443</v>
      </c>
      <c r="AI446" s="19">
        <f t="shared" ca="1" si="55"/>
        <v>4.0975017526659068</v>
      </c>
    </row>
    <row r="447" spans="2:35" x14ac:dyDescent="0.2">
      <c r="B447" s="1">
        <v>442</v>
      </c>
      <c r="C447" s="19">
        <f ca="1">IF(RAND()&lt;P_Zero,0,IF(RAND()&lt;CondReturn,_xlfn.LOGNORM.INV(RAND(),MV2,Sigma1),IF(RAND()&lt;CondGood,_xlfn.LOGNORM.INV(RAND(),MV3,Sigma2),MIN(MaxMultiple,Xm/(1-RAND())^(1/Alpha)))))</f>
        <v>0</v>
      </c>
      <c r="D447" s="19">
        <f ca="1">IF(RAND()&lt;P_Zero,0,IF(RAND()&lt;CondReturn,_xlfn.LOGNORM.INV(RAND(),MV2,Sigma1),IF(RAND()&lt;CondGood,_xlfn.LOGNORM.INV(RAND(),MV3,Sigma2),MIN(MaxMultiple,Xm/(1-RAND())^(1/Alpha)))))</f>
        <v>1.4968226199179195</v>
      </c>
      <c r="E447" s="19">
        <f ca="1">IF(RAND()&lt;P_Zero,0,IF(RAND()&lt;CondReturn,_xlfn.LOGNORM.INV(RAND(),MV2,Sigma1),IF(RAND()&lt;CondGood,_xlfn.LOGNORM.INV(RAND(),MV3,Sigma2),MIN(MaxMultiple,Xm/(1-RAND())^(1/Alpha)))))</f>
        <v>18.25313838249</v>
      </c>
      <c r="F447" s="19">
        <f ca="1">IF(RAND()&lt;P_Zero,0,IF(RAND()&lt;CondReturn,_xlfn.LOGNORM.INV(RAND(),MV2,Sigma1),IF(RAND()&lt;CondGood,_xlfn.LOGNORM.INV(RAND(),MV3,Sigma2),MIN(MaxMultiple,Xm/(1-RAND())^(1/Alpha)))))</f>
        <v>3.0677828279696717</v>
      </c>
      <c r="G447" s="19">
        <f ca="1">IF(RAND()&lt;P_Zero,0,IF(RAND()&lt;CondReturn,_xlfn.LOGNORM.INV(RAND(),MV2,Sigma1),IF(RAND()&lt;CondGood,_xlfn.LOGNORM.INV(RAND(),MV3,Sigma2),MIN(MaxMultiple,Xm/(1-RAND())^(1/Alpha)))))</f>
        <v>0.57898114012372326</v>
      </c>
      <c r="H447" s="19">
        <f ca="1">IF(RAND()&lt;P_Zero,0,IF(RAND()&lt;CondReturn,_xlfn.LOGNORM.INV(RAND(),MV2,Sigma1),IF(RAND()&lt;CondGood,_xlfn.LOGNORM.INV(RAND(),MV3,Sigma2),MIN(MaxMultiple,Xm/(1-RAND())^(1/Alpha)))))</f>
        <v>0</v>
      </c>
      <c r="I447" s="19">
        <f ca="1">IF(RAND()&lt;P_Zero,0,IF(RAND()&lt;CondReturn,_xlfn.LOGNORM.INV(RAND(),MV2,Sigma1),IF(RAND()&lt;CondGood,_xlfn.LOGNORM.INV(RAND(),MV3,Sigma2),MIN(MaxMultiple,Xm/(1-RAND())^(1/Alpha)))))</f>
        <v>0.97250063877431636</v>
      </c>
      <c r="J447" s="19">
        <f ca="1">IF(RAND()&lt;P_Zero,0,IF(RAND()&lt;CondReturn,_xlfn.LOGNORM.INV(RAND(),MV2,Sigma1),IF(RAND()&lt;CondGood,_xlfn.LOGNORM.INV(RAND(),MV3,Sigma2),MIN(MaxMultiple,Xm/(1-RAND())^(1/Alpha)))))</f>
        <v>0.55623656038952052</v>
      </c>
      <c r="K447" s="19">
        <f ca="1">IF(RAND()&lt;P_Zero,0,IF(RAND()&lt;CondReturn,_xlfn.LOGNORM.INV(RAND(),MV2,Sigma1),IF(RAND()&lt;CondGood,_xlfn.LOGNORM.INV(RAND(),MV3,Sigma2),MIN(MaxMultiple,Xm/(1-RAND())^(1/Alpha)))))</f>
        <v>0</v>
      </c>
      <c r="L447" s="19">
        <f ca="1">IF(RAND()&lt;P_Zero,0,IF(RAND()&lt;CondReturn,_xlfn.LOGNORM.INV(RAND(),MV2,Sigma1),IF(RAND()&lt;CondGood,_xlfn.LOGNORM.INV(RAND(),MV3,Sigma2),MIN(MaxMultiple,Xm/(1-RAND())^(1/Alpha)))))</f>
        <v>0.98715912871897449</v>
      </c>
      <c r="M447" s="19">
        <f ca="1">IF(RAND()&lt;P_Zero,0,IF(RAND()&lt;CondReturn,_xlfn.LOGNORM.INV(RAND(),MV2,Sigma1),IF(RAND()&lt;CondGood,_xlfn.LOGNORM.INV(RAND(),MV3,Sigma2),MIN(MaxMultiple,Xm/(1-RAND())^(1/Alpha)))))</f>
        <v>0.98915126648445262</v>
      </c>
      <c r="N447" s="19">
        <f ca="1">IF(RAND()&lt;P_Zero,0,IF(RAND()&lt;CondReturn,_xlfn.LOGNORM.INV(RAND(),MV2,Sigma1),IF(RAND()&lt;CondGood,_xlfn.LOGNORM.INV(RAND(),MV3,Sigma2),MIN(MaxMultiple,Xm/(1-RAND())^(1/Alpha)))))</f>
        <v>0</v>
      </c>
      <c r="O447" s="19">
        <f ca="1">IF(RAND()&lt;P_Zero,0,IF(RAND()&lt;CondReturn,_xlfn.LOGNORM.INV(RAND(),MV2,Sigma1),IF(RAND()&lt;CondGood,_xlfn.LOGNORM.INV(RAND(),MV3,Sigma2),MIN(MaxMultiple,Xm/(1-RAND())^(1/Alpha)))))</f>
        <v>300</v>
      </c>
      <c r="P447" s="19">
        <f ca="1">IF(RAND()&lt;P_Zero,0,IF(RAND()&lt;CondReturn,_xlfn.LOGNORM.INV(RAND(),MV2,Sigma1),IF(RAND()&lt;CondGood,_xlfn.LOGNORM.INV(RAND(),MV3,Sigma2),MIN(MaxMultiple,Xm/(1-RAND())^(1/Alpha)))))</f>
        <v>0.78954653330704727</v>
      </c>
      <c r="Q447" s="19">
        <f ca="1">IF(RAND()&lt;P_Zero,0,IF(RAND()&lt;CondReturn,_xlfn.LOGNORM.INV(RAND(),MV2,Sigma1),IF(RAND()&lt;CondGood,_xlfn.LOGNORM.INV(RAND(),MV3,Sigma2),MIN(MaxMultiple,Xm/(1-RAND())^(1/Alpha)))))</f>
        <v>0</v>
      </c>
      <c r="R447" s="19">
        <f ca="1">IF(RAND()&lt;P_Zero,0,IF(RAND()&lt;CondReturn,_xlfn.LOGNORM.INV(RAND(),MV2,Sigma1),IF(RAND()&lt;CondGood,_xlfn.LOGNORM.INV(RAND(),MV3,Sigma2),MIN(MaxMultiple,Xm/(1-RAND())^(1/Alpha)))))</f>
        <v>10.826086604687013</v>
      </c>
      <c r="S447" s="19">
        <f ca="1">IF(RAND()&lt;P_Zero,0,IF(RAND()&lt;CondReturn,_xlfn.LOGNORM.INV(RAND(),MV2,Sigma1),IF(RAND()&lt;CondGood,_xlfn.LOGNORM.INV(RAND(),MV3,Sigma2),MIN(MaxMultiple,Xm/(1-RAND())^(1/Alpha)))))</f>
        <v>0</v>
      </c>
      <c r="T447" s="19">
        <f ca="1">IF(RAND()&lt;P_Zero,0,IF(RAND()&lt;CondReturn,_xlfn.LOGNORM.INV(RAND(),MV2,Sigma1),IF(RAND()&lt;CondGood,_xlfn.LOGNORM.INV(RAND(),MV3,Sigma2),MIN(MaxMultiple,Xm/(1-RAND())^(1/Alpha)))))</f>
        <v>1.3876554734673368</v>
      </c>
      <c r="U447" s="19">
        <f ca="1">IF(RAND()&lt;P_Zero,0,IF(RAND()&lt;CondReturn,_xlfn.LOGNORM.INV(RAND(),MV2,Sigma1),IF(RAND()&lt;CondGood,_xlfn.LOGNORM.INV(RAND(),MV3,Sigma2),MIN(MaxMultiple,Xm/(1-RAND())^(1/Alpha)))))</f>
        <v>1.2699892771312105</v>
      </c>
      <c r="V447" s="19">
        <f ca="1">IF(RAND()&lt;P_Zero,0,IF(RAND()&lt;CondReturn,_xlfn.LOGNORM.INV(RAND(),MV2,Sigma1),IF(RAND()&lt;CondGood,_xlfn.LOGNORM.INV(RAND(),MV3,Sigma2),MIN(MaxMultiple,Xm/(1-RAND())^(1/Alpha)))))</f>
        <v>0.97395985410726582</v>
      </c>
      <c r="W447" s="19">
        <f ca="1">IF(RAND()&lt;P_Zero,0,IF(RAND()&lt;CondReturn,_xlfn.LOGNORM.INV(RAND(),MV2,Sigma1),IF(RAND()&lt;CondGood,_xlfn.LOGNORM.INV(RAND(),MV3,Sigma2),MIN(MaxMultiple,Xm/(1-RAND())^(1/Alpha)))))</f>
        <v>1.2557719376485963</v>
      </c>
      <c r="X447" s="19">
        <f ca="1">IF(RAND()&lt;P_Zero,0,IF(RAND()&lt;CondReturn,_xlfn.LOGNORM.INV(RAND(),MV2,Sigma1),IF(RAND()&lt;CondGood,_xlfn.LOGNORM.INV(RAND(),MV3,Sigma2),MIN(MaxMultiple,Xm/(1-RAND())^(1/Alpha)))))</f>
        <v>0</v>
      </c>
      <c r="Y447" s="19">
        <f ca="1">IF(RAND()&lt;P_Zero,0,IF(RAND()&lt;CondReturn,_xlfn.LOGNORM.INV(RAND(),MV2,Sigma1),IF(RAND()&lt;CondGood,_xlfn.LOGNORM.INV(RAND(),MV3,Sigma2),MIN(MaxMultiple,Xm/(1-RAND())^(1/Alpha)))))</f>
        <v>0.83643769297908765</v>
      </c>
      <c r="Z447" s="19">
        <f ca="1">IF(RAND()&lt;P_Zero,0,IF(RAND()&lt;CondReturn,_xlfn.LOGNORM.INV(RAND(),MV2,Sigma1),IF(RAND()&lt;CondGood,_xlfn.LOGNORM.INV(RAND(),MV3,Sigma2),MIN(MaxMultiple,Xm/(1-RAND())^(1/Alpha)))))</f>
        <v>0.76419037396909373</v>
      </c>
      <c r="AA447" s="19">
        <f ca="1">IF(RAND()&lt;P_Zero,0,IF(RAND()&lt;CondReturn,_xlfn.LOGNORM.INV(RAND(),MV2,Sigma1),IF(RAND()&lt;CondGood,_xlfn.LOGNORM.INV(RAND(),MV3,Sigma2),MIN(MaxMultiple,Xm/(1-RAND())^(1/Alpha)))))</f>
        <v>0</v>
      </c>
      <c r="AB447" s="19">
        <f t="shared" ca="1" si="48"/>
        <v>13.800216412486609</v>
      </c>
      <c r="AC447" s="14">
        <f t="shared" ca="1" si="49"/>
        <v>662410387.7993573</v>
      </c>
      <c r="AD447" s="14">
        <f t="shared" ca="1" si="50"/>
        <v>614410387.7993573</v>
      </c>
      <c r="AE447" s="14">
        <f t="shared" si="51"/>
        <v>55628399.869093813</v>
      </c>
      <c r="AF447" s="14">
        <f t="shared" ca="1" si="52"/>
        <v>558781987.93026352</v>
      </c>
      <c r="AG447" s="14">
        <f t="shared" ca="1" si="53"/>
        <v>111756397.58605272</v>
      </c>
      <c r="AH447" s="14">
        <f t="shared" ca="1" si="54"/>
        <v>550653990.21330452</v>
      </c>
      <c r="AI447" s="19">
        <f t="shared" ca="1" si="55"/>
        <v>9.1775665035550755</v>
      </c>
    </row>
    <row r="448" spans="2:35" x14ac:dyDescent="0.2">
      <c r="B448" s="1">
        <v>443</v>
      </c>
      <c r="C448" s="19">
        <f ca="1">IF(RAND()&lt;P_Zero,0,IF(RAND()&lt;CondReturn,_xlfn.LOGNORM.INV(RAND(),MV2,Sigma1),IF(RAND()&lt;CondGood,_xlfn.LOGNORM.INV(RAND(),MV3,Sigma2),MIN(MaxMultiple,Xm/(1-RAND())^(1/Alpha)))))</f>
        <v>0</v>
      </c>
      <c r="D448" s="19">
        <f ca="1">IF(RAND()&lt;P_Zero,0,IF(RAND()&lt;CondReturn,_xlfn.LOGNORM.INV(RAND(),MV2,Sigma1),IF(RAND()&lt;CondGood,_xlfn.LOGNORM.INV(RAND(),MV3,Sigma2),MIN(MaxMultiple,Xm/(1-RAND())^(1/Alpha)))))</f>
        <v>0</v>
      </c>
      <c r="E448" s="19">
        <f ca="1">IF(RAND()&lt;P_Zero,0,IF(RAND()&lt;CondReturn,_xlfn.LOGNORM.INV(RAND(),MV2,Sigma1),IF(RAND()&lt;CondGood,_xlfn.LOGNORM.INV(RAND(),MV3,Sigma2),MIN(MaxMultiple,Xm/(1-RAND())^(1/Alpha)))))</f>
        <v>12.442241623752398</v>
      </c>
      <c r="F448" s="19">
        <f ca="1">IF(RAND()&lt;P_Zero,0,IF(RAND()&lt;CondReturn,_xlfn.LOGNORM.INV(RAND(),MV2,Sigma1),IF(RAND()&lt;CondGood,_xlfn.LOGNORM.INV(RAND(),MV3,Sigma2),MIN(MaxMultiple,Xm/(1-RAND())^(1/Alpha)))))</f>
        <v>0.88087673087840346</v>
      </c>
      <c r="G448" s="19">
        <f ca="1">IF(RAND()&lt;P_Zero,0,IF(RAND()&lt;CondReturn,_xlfn.LOGNORM.INV(RAND(),MV2,Sigma1),IF(RAND()&lt;CondGood,_xlfn.LOGNORM.INV(RAND(),MV3,Sigma2),MIN(MaxMultiple,Xm/(1-RAND())^(1/Alpha)))))</f>
        <v>0</v>
      </c>
      <c r="H448" s="19">
        <f ca="1">IF(RAND()&lt;P_Zero,0,IF(RAND()&lt;CondReturn,_xlfn.LOGNORM.INV(RAND(),MV2,Sigma1),IF(RAND()&lt;CondGood,_xlfn.LOGNORM.INV(RAND(),MV3,Sigma2),MIN(MaxMultiple,Xm/(1-RAND())^(1/Alpha)))))</f>
        <v>0.90938514539637083</v>
      </c>
      <c r="I448" s="19">
        <f ca="1">IF(RAND()&lt;P_Zero,0,IF(RAND()&lt;CondReturn,_xlfn.LOGNORM.INV(RAND(),MV2,Sigma1),IF(RAND()&lt;CondGood,_xlfn.LOGNORM.INV(RAND(),MV3,Sigma2),MIN(MaxMultiple,Xm/(1-RAND())^(1/Alpha)))))</f>
        <v>0</v>
      </c>
      <c r="J448" s="19">
        <f ca="1">IF(RAND()&lt;P_Zero,0,IF(RAND()&lt;CondReturn,_xlfn.LOGNORM.INV(RAND(),MV2,Sigma1),IF(RAND()&lt;CondGood,_xlfn.LOGNORM.INV(RAND(),MV3,Sigma2),MIN(MaxMultiple,Xm/(1-RAND())^(1/Alpha)))))</f>
        <v>0</v>
      </c>
      <c r="K448" s="19">
        <f ca="1">IF(RAND()&lt;P_Zero,0,IF(RAND()&lt;CondReturn,_xlfn.LOGNORM.INV(RAND(),MV2,Sigma1),IF(RAND()&lt;CondGood,_xlfn.LOGNORM.INV(RAND(),MV3,Sigma2),MIN(MaxMultiple,Xm/(1-RAND())^(1/Alpha)))))</f>
        <v>60.788887808030701</v>
      </c>
      <c r="L448" s="19">
        <f ca="1">IF(RAND()&lt;P_Zero,0,IF(RAND()&lt;CondReturn,_xlfn.LOGNORM.INV(RAND(),MV2,Sigma1),IF(RAND()&lt;CondGood,_xlfn.LOGNORM.INV(RAND(),MV3,Sigma2),MIN(MaxMultiple,Xm/(1-RAND())^(1/Alpha)))))</f>
        <v>0</v>
      </c>
      <c r="M448" s="19">
        <f ca="1">IF(RAND()&lt;P_Zero,0,IF(RAND()&lt;CondReturn,_xlfn.LOGNORM.INV(RAND(),MV2,Sigma1),IF(RAND()&lt;CondGood,_xlfn.LOGNORM.INV(RAND(),MV3,Sigma2),MIN(MaxMultiple,Xm/(1-RAND())^(1/Alpha)))))</f>
        <v>1.535650901635103</v>
      </c>
      <c r="N448" s="19">
        <f ca="1">IF(RAND()&lt;P_Zero,0,IF(RAND()&lt;CondReturn,_xlfn.LOGNORM.INV(RAND(),MV2,Sigma1),IF(RAND()&lt;CondGood,_xlfn.LOGNORM.INV(RAND(),MV3,Sigma2),MIN(MaxMultiple,Xm/(1-RAND())^(1/Alpha)))))</f>
        <v>0.87443329048076213</v>
      </c>
      <c r="O448" s="19">
        <f ca="1">IF(RAND()&lt;P_Zero,0,IF(RAND()&lt;CondReturn,_xlfn.LOGNORM.INV(RAND(),MV2,Sigma1),IF(RAND()&lt;CondGood,_xlfn.LOGNORM.INV(RAND(),MV3,Sigma2),MIN(MaxMultiple,Xm/(1-RAND())^(1/Alpha)))))</f>
        <v>0</v>
      </c>
      <c r="P448" s="19">
        <f ca="1">IF(RAND()&lt;P_Zero,0,IF(RAND()&lt;CondReturn,_xlfn.LOGNORM.INV(RAND(),MV2,Sigma1),IF(RAND()&lt;CondGood,_xlfn.LOGNORM.INV(RAND(),MV3,Sigma2),MIN(MaxMultiple,Xm/(1-RAND())^(1/Alpha)))))</f>
        <v>0</v>
      </c>
      <c r="Q448" s="19">
        <f ca="1">IF(RAND()&lt;P_Zero,0,IF(RAND()&lt;CondReturn,_xlfn.LOGNORM.INV(RAND(),MV2,Sigma1),IF(RAND()&lt;CondGood,_xlfn.LOGNORM.INV(RAND(),MV3,Sigma2),MIN(MaxMultiple,Xm/(1-RAND())^(1/Alpha)))))</f>
        <v>4.5635801701462944</v>
      </c>
      <c r="R448" s="19">
        <f ca="1">IF(RAND()&lt;P_Zero,0,IF(RAND()&lt;CondReturn,_xlfn.LOGNORM.INV(RAND(),MV2,Sigma1),IF(RAND()&lt;CondGood,_xlfn.LOGNORM.INV(RAND(),MV3,Sigma2),MIN(MaxMultiple,Xm/(1-RAND())^(1/Alpha)))))</f>
        <v>1.1961882021636854</v>
      </c>
      <c r="S448" s="19">
        <f ca="1">IF(RAND()&lt;P_Zero,0,IF(RAND()&lt;CondReturn,_xlfn.LOGNORM.INV(RAND(),MV2,Sigma1),IF(RAND()&lt;CondGood,_xlfn.LOGNORM.INV(RAND(),MV3,Sigma2),MIN(MaxMultiple,Xm/(1-RAND())^(1/Alpha)))))</f>
        <v>0</v>
      </c>
      <c r="T448" s="19">
        <f ca="1">IF(RAND()&lt;P_Zero,0,IF(RAND()&lt;CondReturn,_xlfn.LOGNORM.INV(RAND(),MV2,Sigma1),IF(RAND()&lt;CondGood,_xlfn.LOGNORM.INV(RAND(),MV3,Sigma2),MIN(MaxMultiple,Xm/(1-RAND())^(1/Alpha)))))</f>
        <v>0</v>
      </c>
      <c r="U448" s="19">
        <f ca="1">IF(RAND()&lt;P_Zero,0,IF(RAND()&lt;CondReturn,_xlfn.LOGNORM.INV(RAND(),MV2,Sigma1),IF(RAND()&lt;CondGood,_xlfn.LOGNORM.INV(RAND(),MV3,Sigma2),MIN(MaxMultiple,Xm/(1-RAND())^(1/Alpha)))))</f>
        <v>0.59158811771249853</v>
      </c>
      <c r="V448" s="19">
        <f ca="1">IF(RAND()&lt;P_Zero,0,IF(RAND()&lt;CondReturn,_xlfn.LOGNORM.INV(RAND(),MV2,Sigma1),IF(RAND()&lt;CondGood,_xlfn.LOGNORM.INV(RAND(),MV3,Sigma2),MIN(MaxMultiple,Xm/(1-RAND())^(1/Alpha)))))</f>
        <v>0</v>
      </c>
      <c r="W448" s="19">
        <f ca="1">IF(RAND()&lt;P_Zero,0,IF(RAND()&lt;CondReturn,_xlfn.LOGNORM.INV(RAND(),MV2,Sigma1),IF(RAND()&lt;CondGood,_xlfn.LOGNORM.INV(RAND(),MV3,Sigma2),MIN(MaxMultiple,Xm/(1-RAND())^(1/Alpha)))))</f>
        <v>0</v>
      </c>
      <c r="X448" s="19">
        <f ca="1">IF(RAND()&lt;P_Zero,0,IF(RAND()&lt;CondReturn,_xlfn.LOGNORM.INV(RAND(),MV2,Sigma1),IF(RAND()&lt;CondGood,_xlfn.LOGNORM.INV(RAND(),MV3,Sigma2),MIN(MaxMultiple,Xm/(1-RAND())^(1/Alpha)))))</f>
        <v>1.1218383697753811</v>
      </c>
      <c r="Y448" s="19">
        <f ca="1">IF(RAND()&lt;P_Zero,0,IF(RAND()&lt;CondReturn,_xlfn.LOGNORM.INV(RAND(),MV2,Sigma1),IF(RAND()&lt;CondGood,_xlfn.LOGNORM.INV(RAND(),MV3,Sigma2),MIN(MaxMultiple,Xm/(1-RAND())^(1/Alpha)))))</f>
        <v>0</v>
      </c>
      <c r="Z448" s="19">
        <f ca="1">IF(RAND()&lt;P_Zero,0,IF(RAND()&lt;CondReturn,_xlfn.LOGNORM.INV(RAND(),MV2,Sigma1),IF(RAND()&lt;CondGood,_xlfn.LOGNORM.INV(RAND(),MV3,Sigma2),MIN(MaxMultiple,Xm/(1-RAND())^(1/Alpha)))))</f>
        <v>1.8010605862068441</v>
      </c>
      <c r="AA448" s="19">
        <f ca="1">IF(RAND()&lt;P_Zero,0,IF(RAND()&lt;CondReturn,_xlfn.LOGNORM.INV(RAND(),MV2,Sigma1),IF(RAND()&lt;CondGood,_xlfn.LOGNORM.INV(RAND(),MV3,Sigma2),MIN(MaxMultiple,Xm/(1-RAND())^(1/Alpha)))))</f>
        <v>1.5261909218566236</v>
      </c>
      <c r="AB448" s="19">
        <f t="shared" ca="1" si="48"/>
        <v>3.5292768747214027</v>
      </c>
      <c r="AC448" s="14">
        <f t="shared" ca="1" si="49"/>
        <v>169405289.98662734</v>
      </c>
      <c r="AD448" s="14">
        <f t="shared" ca="1" si="50"/>
        <v>121405289.98662734</v>
      </c>
      <c r="AE448" s="14">
        <f t="shared" si="51"/>
        <v>55628399.869093813</v>
      </c>
      <c r="AF448" s="14">
        <f t="shared" ca="1" si="52"/>
        <v>65776890.117533527</v>
      </c>
      <c r="AG448" s="14">
        <f t="shared" ca="1" si="53"/>
        <v>13155378.023506707</v>
      </c>
      <c r="AH448" s="14">
        <f t="shared" ca="1" si="54"/>
        <v>156249911.96312064</v>
      </c>
      <c r="AI448" s="19">
        <f t="shared" ca="1" si="55"/>
        <v>2.6041651993853439</v>
      </c>
    </row>
    <row r="449" spans="2:35" x14ac:dyDescent="0.2">
      <c r="B449" s="1">
        <v>444</v>
      </c>
      <c r="C449" s="19">
        <f ca="1">IF(RAND()&lt;P_Zero,0,IF(RAND()&lt;CondReturn,_xlfn.LOGNORM.INV(RAND(),MV2,Sigma1),IF(RAND()&lt;CondGood,_xlfn.LOGNORM.INV(RAND(),MV3,Sigma2),MIN(MaxMultiple,Xm/(1-RAND())^(1/Alpha)))))</f>
        <v>0</v>
      </c>
      <c r="D449" s="19">
        <f ca="1">IF(RAND()&lt;P_Zero,0,IF(RAND()&lt;CondReturn,_xlfn.LOGNORM.INV(RAND(),MV2,Sigma1),IF(RAND()&lt;CondGood,_xlfn.LOGNORM.INV(RAND(),MV3,Sigma2),MIN(MaxMultiple,Xm/(1-RAND())^(1/Alpha)))))</f>
        <v>1.0465064138667306</v>
      </c>
      <c r="E449" s="19">
        <f ca="1">IF(RAND()&lt;P_Zero,0,IF(RAND()&lt;CondReturn,_xlfn.LOGNORM.INV(RAND(),MV2,Sigma1),IF(RAND()&lt;CondGood,_xlfn.LOGNORM.INV(RAND(),MV3,Sigma2),MIN(MaxMultiple,Xm/(1-RAND())^(1/Alpha)))))</f>
        <v>1.3060015587877205</v>
      </c>
      <c r="F449" s="19">
        <f ca="1">IF(RAND()&lt;P_Zero,0,IF(RAND()&lt;CondReturn,_xlfn.LOGNORM.INV(RAND(),MV2,Sigma1),IF(RAND()&lt;CondGood,_xlfn.LOGNORM.INV(RAND(),MV3,Sigma2),MIN(MaxMultiple,Xm/(1-RAND())^(1/Alpha)))))</f>
        <v>0.89753920056065939</v>
      </c>
      <c r="G449" s="19">
        <f ca="1">IF(RAND()&lt;P_Zero,0,IF(RAND()&lt;CondReturn,_xlfn.LOGNORM.INV(RAND(),MV2,Sigma1),IF(RAND()&lt;CondGood,_xlfn.LOGNORM.INV(RAND(),MV3,Sigma2),MIN(MaxMultiple,Xm/(1-RAND())^(1/Alpha)))))</f>
        <v>0</v>
      </c>
      <c r="H449" s="19">
        <f ca="1">IF(RAND()&lt;P_Zero,0,IF(RAND()&lt;CondReturn,_xlfn.LOGNORM.INV(RAND(),MV2,Sigma1),IF(RAND()&lt;CondGood,_xlfn.LOGNORM.INV(RAND(),MV3,Sigma2),MIN(MaxMultiple,Xm/(1-RAND())^(1/Alpha)))))</f>
        <v>1.1002465841992237</v>
      </c>
      <c r="I449" s="19">
        <f ca="1">IF(RAND()&lt;P_Zero,0,IF(RAND()&lt;CondReturn,_xlfn.LOGNORM.INV(RAND(),MV2,Sigma1),IF(RAND()&lt;CondGood,_xlfn.LOGNORM.INV(RAND(),MV3,Sigma2),MIN(MaxMultiple,Xm/(1-RAND())^(1/Alpha)))))</f>
        <v>1.0111298912139308</v>
      </c>
      <c r="J449" s="19">
        <f ca="1">IF(RAND()&lt;P_Zero,0,IF(RAND()&lt;CondReturn,_xlfn.LOGNORM.INV(RAND(),MV2,Sigma1),IF(RAND()&lt;CondGood,_xlfn.LOGNORM.INV(RAND(),MV3,Sigma2),MIN(MaxMultiple,Xm/(1-RAND())^(1/Alpha)))))</f>
        <v>1.8825256623758846</v>
      </c>
      <c r="K449" s="19">
        <f ca="1">IF(RAND()&lt;P_Zero,0,IF(RAND()&lt;CondReturn,_xlfn.LOGNORM.INV(RAND(),MV2,Sigma1),IF(RAND()&lt;CondGood,_xlfn.LOGNORM.INV(RAND(),MV3,Sigma2),MIN(MaxMultiple,Xm/(1-RAND())^(1/Alpha)))))</f>
        <v>1.3833497640635133</v>
      </c>
      <c r="L449" s="19">
        <f ca="1">IF(RAND()&lt;P_Zero,0,IF(RAND()&lt;CondReturn,_xlfn.LOGNORM.INV(RAND(),MV2,Sigma1),IF(RAND()&lt;CondGood,_xlfn.LOGNORM.INV(RAND(),MV3,Sigma2),MIN(MaxMultiple,Xm/(1-RAND())^(1/Alpha)))))</f>
        <v>1.3218326921451096</v>
      </c>
      <c r="M449" s="19">
        <f ca="1">IF(RAND()&lt;P_Zero,0,IF(RAND()&lt;CondReturn,_xlfn.LOGNORM.INV(RAND(),MV2,Sigma1),IF(RAND()&lt;CondGood,_xlfn.LOGNORM.INV(RAND(),MV3,Sigma2),MIN(MaxMultiple,Xm/(1-RAND())^(1/Alpha)))))</f>
        <v>0</v>
      </c>
      <c r="N449" s="19">
        <f ca="1">IF(RAND()&lt;P_Zero,0,IF(RAND()&lt;CondReturn,_xlfn.LOGNORM.INV(RAND(),MV2,Sigma1),IF(RAND()&lt;CondGood,_xlfn.LOGNORM.INV(RAND(),MV3,Sigma2),MIN(MaxMultiple,Xm/(1-RAND())^(1/Alpha)))))</f>
        <v>0</v>
      </c>
      <c r="O449" s="19">
        <f ca="1">IF(RAND()&lt;P_Zero,0,IF(RAND()&lt;CondReturn,_xlfn.LOGNORM.INV(RAND(),MV2,Sigma1),IF(RAND()&lt;CondGood,_xlfn.LOGNORM.INV(RAND(),MV3,Sigma2),MIN(MaxMultiple,Xm/(1-RAND())^(1/Alpha)))))</f>
        <v>1.6135512893509798</v>
      </c>
      <c r="P449" s="19">
        <f ca="1">IF(RAND()&lt;P_Zero,0,IF(RAND()&lt;CondReturn,_xlfn.LOGNORM.INV(RAND(),MV2,Sigma1),IF(RAND()&lt;CondGood,_xlfn.LOGNORM.INV(RAND(),MV3,Sigma2),MIN(MaxMultiple,Xm/(1-RAND())^(1/Alpha)))))</f>
        <v>19.220749204164544</v>
      </c>
      <c r="Q449" s="19">
        <f ca="1">IF(RAND()&lt;P_Zero,0,IF(RAND()&lt;CondReturn,_xlfn.LOGNORM.INV(RAND(),MV2,Sigma1),IF(RAND()&lt;CondGood,_xlfn.LOGNORM.INV(RAND(),MV3,Sigma2),MIN(MaxMultiple,Xm/(1-RAND())^(1/Alpha)))))</f>
        <v>0.68199947304120445</v>
      </c>
      <c r="R449" s="19">
        <f ca="1">IF(RAND()&lt;P_Zero,0,IF(RAND()&lt;CondReturn,_xlfn.LOGNORM.INV(RAND(),MV2,Sigma1),IF(RAND()&lt;CondGood,_xlfn.LOGNORM.INV(RAND(),MV3,Sigma2),MIN(MaxMultiple,Xm/(1-RAND())^(1/Alpha)))))</f>
        <v>0.62269969980260331</v>
      </c>
      <c r="S449" s="19">
        <f ca="1">IF(RAND()&lt;P_Zero,0,IF(RAND()&lt;CondReturn,_xlfn.LOGNORM.INV(RAND(),MV2,Sigma1),IF(RAND()&lt;CondGood,_xlfn.LOGNORM.INV(RAND(),MV3,Sigma2),MIN(MaxMultiple,Xm/(1-RAND())^(1/Alpha)))))</f>
        <v>0</v>
      </c>
      <c r="T449" s="19">
        <f ca="1">IF(RAND()&lt;P_Zero,0,IF(RAND()&lt;CondReturn,_xlfn.LOGNORM.INV(RAND(),MV2,Sigma1),IF(RAND()&lt;CondGood,_xlfn.LOGNORM.INV(RAND(),MV3,Sigma2),MIN(MaxMultiple,Xm/(1-RAND())^(1/Alpha)))))</f>
        <v>0</v>
      </c>
      <c r="U449" s="19">
        <f ca="1">IF(RAND()&lt;P_Zero,0,IF(RAND()&lt;CondReturn,_xlfn.LOGNORM.INV(RAND(),MV2,Sigma1),IF(RAND()&lt;CondGood,_xlfn.LOGNORM.INV(RAND(),MV3,Sigma2),MIN(MaxMultiple,Xm/(1-RAND())^(1/Alpha)))))</f>
        <v>12.407553352656635</v>
      </c>
      <c r="V449" s="19">
        <f ca="1">IF(RAND()&lt;P_Zero,0,IF(RAND()&lt;CondReturn,_xlfn.LOGNORM.INV(RAND(),MV2,Sigma1),IF(RAND()&lt;CondGood,_xlfn.LOGNORM.INV(RAND(),MV3,Sigma2),MIN(MaxMultiple,Xm/(1-RAND())^(1/Alpha)))))</f>
        <v>270.7090348295946</v>
      </c>
      <c r="W449" s="19">
        <f ca="1">IF(RAND()&lt;P_Zero,0,IF(RAND()&lt;CondReturn,_xlfn.LOGNORM.INV(RAND(),MV2,Sigma1),IF(RAND()&lt;CondGood,_xlfn.LOGNORM.INV(RAND(),MV3,Sigma2),MIN(MaxMultiple,Xm/(1-RAND())^(1/Alpha)))))</f>
        <v>2.5629216981899101</v>
      </c>
      <c r="X449" s="19">
        <f ca="1">IF(RAND()&lt;P_Zero,0,IF(RAND()&lt;CondReturn,_xlfn.LOGNORM.INV(RAND(),MV2,Sigma1),IF(RAND()&lt;CondGood,_xlfn.LOGNORM.INV(RAND(),MV3,Sigma2),MIN(MaxMultiple,Xm/(1-RAND())^(1/Alpha)))))</f>
        <v>0</v>
      </c>
      <c r="Y449" s="19">
        <f ca="1">IF(RAND()&lt;P_Zero,0,IF(RAND()&lt;CondReturn,_xlfn.LOGNORM.INV(RAND(),MV2,Sigma1),IF(RAND()&lt;CondGood,_xlfn.LOGNORM.INV(RAND(),MV3,Sigma2),MIN(MaxMultiple,Xm/(1-RAND())^(1/Alpha)))))</f>
        <v>1.1478710666325744</v>
      </c>
      <c r="Z449" s="19">
        <f ca="1">IF(RAND()&lt;P_Zero,0,IF(RAND()&lt;CondReturn,_xlfn.LOGNORM.INV(RAND(),MV2,Sigma1),IF(RAND()&lt;CondGood,_xlfn.LOGNORM.INV(RAND(),MV3,Sigma2),MIN(MaxMultiple,Xm/(1-RAND())^(1/Alpha)))))</f>
        <v>0.64422148712354488</v>
      </c>
      <c r="AA449" s="19">
        <f ca="1">IF(RAND()&lt;P_Zero,0,IF(RAND()&lt;CondReturn,_xlfn.LOGNORM.INV(RAND(),MV2,Sigma1),IF(RAND()&lt;CondGood,_xlfn.LOGNORM.INV(RAND(),MV3,Sigma2),MIN(MaxMultiple,Xm/(1-RAND())^(1/Alpha)))))</f>
        <v>0</v>
      </c>
      <c r="AB449" s="19">
        <f t="shared" ca="1" si="48"/>
        <v>12.782389354710775</v>
      </c>
      <c r="AC449" s="14">
        <f t="shared" ca="1" si="49"/>
        <v>613554689.02611721</v>
      </c>
      <c r="AD449" s="14">
        <f t="shared" ca="1" si="50"/>
        <v>565554689.02611721</v>
      </c>
      <c r="AE449" s="14">
        <f t="shared" si="51"/>
        <v>55628399.869093813</v>
      </c>
      <c r="AF449" s="14">
        <f t="shared" ca="1" si="52"/>
        <v>509926289.15702337</v>
      </c>
      <c r="AG449" s="14">
        <f t="shared" ca="1" si="53"/>
        <v>101985257.83140469</v>
      </c>
      <c r="AH449" s="14">
        <f t="shared" ca="1" si="54"/>
        <v>511569431.19471252</v>
      </c>
      <c r="AI449" s="19">
        <f t="shared" ca="1" si="55"/>
        <v>8.5261571865785424</v>
      </c>
    </row>
    <row r="450" spans="2:35" x14ac:dyDescent="0.2">
      <c r="B450" s="1">
        <v>445</v>
      </c>
      <c r="C450" s="19">
        <f ca="1">IF(RAND()&lt;P_Zero,0,IF(RAND()&lt;CondReturn,_xlfn.LOGNORM.INV(RAND(),MV2,Sigma1),IF(RAND()&lt;CondGood,_xlfn.LOGNORM.INV(RAND(),MV3,Sigma2),MIN(MaxMultiple,Xm/(1-RAND())^(1/Alpha)))))</f>
        <v>0</v>
      </c>
      <c r="D450" s="19">
        <f ca="1">IF(RAND()&lt;P_Zero,0,IF(RAND()&lt;CondReturn,_xlfn.LOGNORM.INV(RAND(),MV2,Sigma1),IF(RAND()&lt;CondGood,_xlfn.LOGNORM.INV(RAND(),MV3,Sigma2),MIN(MaxMultiple,Xm/(1-RAND())^(1/Alpha)))))</f>
        <v>0</v>
      </c>
      <c r="E450" s="19">
        <f ca="1">IF(RAND()&lt;P_Zero,0,IF(RAND()&lt;CondReturn,_xlfn.LOGNORM.INV(RAND(),MV2,Sigma1),IF(RAND()&lt;CondGood,_xlfn.LOGNORM.INV(RAND(),MV3,Sigma2),MIN(MaxMultiple,Xm/(1-RAND())^(1/Alpha)))))</f>
        <v>0</v>
      </c>
      <c r="F450" s="19">
        <f ca="1">IF(RAND()&lt;P_Zero,0,IF(RAND()&lt;CondReturn,_xlfn.LOGNORM.INV(RAND(),MV2,Sigma1),IF(RAND()&lt;CondGood,_xlfn.LOGNORM.INV(RAND(),MV3,Sigma2),MIN(MaxMultiple,Xm/(1-RAND())^(1/Alpha)))))</f>
        <v>1.1656519992569816</v>
      </c>
      <c r="G450" s="19">
        <f ca="1">IF(RAND()&lt;P_Zero,0,IF(RAND()&lt;CondReturn,_xlfn.LOGNORM.INV(RAND(),MV2,Sigma1),IF(RAND()&lt;CondGood,_xlfn.LOGNORM.INV(RAND(),MV3,Sigma2),MIN(MaxMultiple,Xm/(1-RAND())^(1/Alpha)))))</f>
        <v>1.4627891198976839</v>
      </c>
      <c r="H450" s="19">
        <f ca="1">IF(RAND()&lt;P_Zero,0,IF(RAND()&lt;CondReturn,_xlfn.LOGNORM.INV(RAND(),MV2,Sigma1),IF(RAND()&lt;CondGood,_xlfn.LOGNORM.INV(RAND(),MV3,Sigma2),MIN(MaxMultiple,Xm/(1-RAND())^(1/Alpha)))))</f>
        <v>0</v>
      </c>
      <c r="I450" s="19">
        <f ca="1">IF(RAND()&lt;P_Zero,0,IF(RAND()&lt;CondReturn,_xlfn.LOGNORM.INV(RAND(),MV2,Sigma1),IF(RAND()&lt;CondGood,_xlfn.LOGNORM.INV(RAND(),MV3,Sigma2),MIN(MaxMultiple,Xm/(1-RAND())^(1/Alpha)))))</f>
        <v>0.5826193466822468</v>
      </c>
      <c r="J450" s="19">
        <f ca="1">IF(RAND()&lt;P_Zero,0,IF(RAND()&lt;CondReturn,_xlfn.LOGNORM.INV(RAND(),MV2,Sigma1),IF(RAND()&lt;CondGood,_xlfn.LOGNORM.INV(RAND(),MV3,Sigma2),MIN(MaxMultiple,Xm/(1-RAND())^(1/Alpha)))))</f>
        <v>0</v>
      </c>
      <c r="K450" s="19">
        <f ca="1">IF(RAND()&lt;P_Zero,0,IF(RAND()&lt;CondReturn,_xlfn.LOGNORM.INV(RAND(),MV2,Sigma1),IF(RAND()&lt;CondGood,_xlfn.LOGNORM.INV(RAND(),MV3,Sigma2),MIN(MaxMultiple,Xm/(1-RAND())^(1/Alpha)))))</f>
        <v>1.3064022308367118</v>
      </c>
      <c r="L450" s="19">
        <f ca="1">IF(RAND()&lt;P_Zero,0,IF(RAND()&lt;CondReturn,_xlfn.LOGNORM.INV(RAND(),MV2,Sigma1),IF(RAND()&lt;CondGood,_xlfn.LOGNORM.INV(RAND(),MV3,Sigma2),MIN(MaxMultiple,Xm/(1-RAND())^(1/Alpha)))))</f>
        <v>0</v>
      </c>
      <c r="M450" s="19">
        <f ca="1">IF(RAND()&lt;P_Zero,0,IF(RAND()&lt;CondReturn,_xlfn.LOGNORM.INV(RAND(),MV2,Sigma1),IF(RAND()&lt;CondGood,_xlfn.LOGNORM.INV(RAND(),MV3,Sigma2),MIN(MaxMultiple,Xm/(1-RAND())^(1/Alpha)))))</f>
        <v>0</v>
      </c>
      <c r="N450" s="19">
        <f ca="1">IF(RAND()&lt;P_Zero,0,IF(RAND()&lt;CondReturn,_xlfn.LOGNORM.INV(RAND(),MV2,Sigma1),IF(RAND()&lt;CondGood,_xlfn.LOGNORM.INV(RAND(),MV3,Sigma2),MIN(MaxMultiple,Xm/(1-RAND())^(1/Alpha)))))</f>
        <v>0</v>
      </c>
      <c r="O450" s="19">
        <f ca="1">IF(RAND()&lt;P_Zero,0,IF(RAND()&lt;CondReturn,_xlfn.LOGNORM.INV(RAND(),MV2,Sigma1),IF(RAND()&lt;CondGood,_xlfn.LOGNORM.INV(RAND(),MV3,Sigma2),MIN(MaxMultiple,Xm/(1-RAND())^(1/Alpha)))))</f>
        <v>0</v>
      </c>
      <c r="P450" s="19">
        <f ca="1">IF(RAND()&lt;P_Zero,0,IF(RAND()&lt;CondReturn,_xlfn.LOGNORM.INV(RAND(),MV2,Sigma1),IF(RAND()&lt;CondGood,_xlfn.LOGNORM.INV(RAND(),MV3,Sigma2),MIN(MaxMultiple,Xm/(1-RAND())^(1/Alpha)))))</f>
        <v>0</v>
      </c>
      <c r="Q450" s="19">
        <f ca="1">IF(RAND()&lt;P_Zero,0,IF(RAND()&lt;CondReturn,_xlfn.LOGNORM.INV(RAND(),MV2,Sigma1),IF(RAND()&lt;CondGood,_xlfn.LOGNORM.INV(RAND(),MV3,Sigma2),MIN(MaxMultiple,Xm/(1-RAND())^(1/Alpha)))))</f>
        <v>1.3759920721835974</v>
      </c>
      <c r="R450" s="19">
        <f ca="1">IF(RAND()&lt;P_Zero,0,IF(RAND()&lt;CondReturn,_xlfn.LOGNORM.INV(RAND(),MV2,Sigma1),IF(RAND()&lt;CondGood,_xlfn.LOGNORM.INV(RAND(),MV3,Sigma2),MIN(MaxMultiple,Xm/(1-RAND())^(1/Alpha)))))</f>
        <v>0.69338210778823706</v>
      </c>
      <c r="S450" s="19">
        <f ca="1">IF(RAND()&lt;P_Zero,0,IF(RAND()&lt;CondReturn,_xlfn.LOGNORM.INV(RAND(),MV2,Sigma1),IF(RAND()&lt;CondGood,_xlfn.LOGNORM.INV(RAND(),MV3,Sigma2),MIN(MaxMultiple,Xm/(1-RAND())^(1/Alpha)))))</f>
        <v>0</v>
      </c>
      <c r="T450" s="19">
        <f ca="1">IF(RAND()&lt;P_Zero,0,IF(RAND()&lt;CondReturn,_xlfn.LOGNORM.INV(RAND(),MV2,Sigma1),IF(RAND()&lt;CondGood,_xlfn.LOGNORM.INV(RAND(),MV3,Sigma2),MIN(MaxMultiple,Xm/(1-RAND())^(1/Alpha)))))</f>
        <v>1.2760629186444232</v>
      </c>
      <c r="U450" s="19">
        <f ca="1">IF(RAND()&lt;P_Zero,0,IF(RAND()&lt;CondReturn,_xlfn.LOGNORM.INV(RAND(),MV2,Sigma1),IF(RAND()&lt;CondGood,_xlfn.LOGNORM.INV(RAND(),MV3,Sigma2),MIN(MaxMultiple,Xm/(1-RAND())^(1/Alpha)))))</f>
        <v>115.33758693546491</v>
      </c>
      <c r="V450" s="19">
        <f ca="1">IF(RAND()&lt;P_Zero,0,IF(RAND()&lt;CondReturn,_xlfn.LOGNORM.INV(RAND(),MV2,Sigma1),IF(RAND()&lt;CondGood,_xlfn.LOGNORM.INV(RAND(),MV3,Sigma2),MIN(MaxMultiple,Xm/(1-RAND())^(1/Alpha)))))</f>
        <v>0.68710548680711159</v>
      </c>
      <c r="W450" s="19">
        <f ca="1">IF(RAND()&lt;P_Zero,0,IF(RAND()&lt;CondReturn,_xlfn.LOGNORM.INV(RAND(),MV2,Sigma1),IF(RAND()&lt;CondGood,_xlfn.LOGNORM.INV(RAND(),MV3,Sigma2),MIN(MaxMultiple,Xm/(1-RAND())^(1/Alpha)))))</f>
        <v>0.50645622774982402</v>
      </c>
      <c r="X450" s="19">
        <f ca="1">IF(RAND()&lt;P_Zero,0,IF(RAND()&lt;CondReturn,_xlfn.LOGNORM.INV(RAND(),MV2,Sigma1),IF(RAND()&lt;CondGood,_xlfn.LOGNORM.INV(RAND(),MV3,Sigma2),MIN(MaxMultiple,Xm/(1-RAND())^(1/Alpha)))))</f>
        <v>1.3620174297309344</v>
      </c>
      <c r="Y450" s="19">
        <f ca="1">IF(RAND()&lt;P_Zero,0,IF(RAND()&lt;CondReturn,_xlfn.LOGNORM.INV(RAND(),MV2,Sigma1),IF(RAND()&lt;CondGood,_xlfn.LOGNORM.INV(RAND(),MV3,Sigma2),MIN(MaxMultiple,Xm/(1-RAND())^(1/Alpha)))))</f>
        <v>0.67244032712236845</v>
      </c>
      <c r="Z450" s="19">
        <f ca="1">IF(RAND()&lt;P_Zero,0,IF(RAND()&lt;CondReturn,_xlfn.LOGNORM.INV(RAND(),MV2,Sigma1),IF(RAND()&lt;CondGood,_xlfn.LOGNORM.INV(RAND(),MV3,Sigma2),MIN(MaxMultiple,Xm/(1-RAND())^(1/Alpha)))))</f>
        <v>0.96900988153211254</v>
      </c>
      <c r="AA450" s="19">
        <f ca="1">IF(RAND()&lt;P_Zero,0,IF(RAND()&lt;CondReturn,_xlfn.LOGNORM.INV(RAND(),MV2,Sigma1),IF(RAND()&lt;CondGood,_xlfn.LOGNORM.INV(RAND(),MV3,Sigma2),MIN(MaxMultiple,Xm/(1-RAND())^(1/Alpha)))))</f>
        <v>0</v>
      </c>
      <c r="AB450" s="19">
        <f t="shared" ca="1" si="48"/>
        <v>5.0959006433478864</v>
      </c>
      <c r="AC450" s="14">
        <f t="shared" ca="1" si="49"/>
        <v>244603230.88069856</v>
      </c>
      <c r="AD450" s="14">
        <f t="shared" ca="1" si="50"/>
        <v>196603230.88069856</v>
      </c>
      <c r="AE450" s="14">
        <f t="shared" si="51"/>
        <v>55628399.869093813</v>
      </c>
      <c r="AF450" s="14">
        <f t="shared" ca="1" si="52"/>
        <v>140974831.01160476</v>
      </c>
      <c r="AG450" s="14">
        <f t="shared" ca="1" si="53"/>
        <v>28194966.202320952</v>
      </c>
      <c r="AH450" s="14">
        <f t="shared" ca="1" si="54"/>
        <v>216408264.6783776</v>
      </c>
      <c r="AI450" s="19">
        <f t="shared" ca="1" si="55"/>
        <v>3.6068044113062934</v>
      </c>
    </row>
    <row r="451" spans="2:35" x14ac:dyDescent="0.2">
      <c r="B451" s="1">
        <v>446</v>
      </c>
      <c r="C451" s="19">
        <f ca="1">IF(RAND()&lt;P_Zero,0,IF(RAND()&lt;CondReturn,_xlfn.LOGNORM.INV(RAND(),MV2,Sigma1),IF(RAND()&lt;CondGood,_xlfn.LOGNORM.INV(RAND(),MV3,Sigma2),MIN(MaxMultiple,Xm/(1-RAND())^(1/Alpha)))))</f>
        <v>4.1653297609310673</v>
      </c>
      <c r="D451" s="19">
        <f ca="1">IF(RAND()&lt;P_Zero,0,IF(RAND()&lt;CondReturn,_xlfn.LOGNORM.INV(RAND(),MV2,Sigma1),IF(RAND()&lt;CondGood,_xlfn.LOGNORM.INV(RAND(),MV3,Sigma2),MIN(MaxMultiple,Xm/(1-RAND())^(1/Alpha)))))</f>
        <v>1.4491105134326634</v>
      </c>
      <c r="E451" s="19">
        <f ca="1">IF(RAND()&lt;P_Zero,0,IF(RAND()&lt;CondReturn,_xlfn.LOGNORM.INV(RAND(),MV2,Sigma1),IF(RAND()&lt;CondGood,_xlfn.LOGNORM.INV(RAND(),MV3,Sigma2),MIN(MaxMultiple,Xm/(1-RAND())^(1/Alpha)))))</f>
        <v>1.419487707917612</v>
      </c>
      <c r="F451" s="19">
        <f ca="1">IF(RAND()&lt;P_Zero,0,IF(RAND()&lt;CondReturn,_xlfn.LOGNORM.INV(RAND(),MV2,Sigma1),IF(RAND()&lt;CondGood,_xlfn.LOGNORM.INV(RAND(),MV3,Sigma2),MIN(MaxMultiple,Xm/(1-RAND())^(1/Alpha)))))</f>
        <v>0</v>
      </c>
      <c r="G451" s="19">
        <f ca="1">IF(RAND()&lt;P_Zero,0,IF(RAND()&lt;CondReturn,_xlfn.LOGNORM.INV(RAND(),MV2,Sigma1),IF(RAND()&lt;CondGood,_xlfn.LOGNORM.INV(RAND(),MV3,Sigma2),MIN(MaxMultiple,Xm/(1-RAND())^(1/Alpha)))))</f>
        <v>14.758003212907184</v>
      </c>
      <c r="H451" s="19">
        <f ca="1">IF(RAND()&lt;P_Zero,0,IF(RAND()&lt;CondReturn,_xlfn.LOGNORM.INV(RAND(),MV2,Sigma1),IF(RAND()&lt;CondGood,_xlfn.LOGNORM.INV(RAND(),MV3,Sigma2),MIN(MaxMultiple,Xm/(1-RAND())^(1/Alpha)))))</f>
        <v>0</v>
      </c>
      <c r="I451" s="19">
        <f ca="1">IF(RAND()&lt;P_Zero,0,IF(RAND()&lt;CondReturn,_xlfn.LOGNORM.INV(RAND(),MV2,Sigma1),IF(RAND()&lt;CondGood,_xlfn.LOGNORM.INV(RAND(),MV3,Sigma2),MIN(MaxMultiple,Xm/(1-RAND())^(1/Alpha)))))</f>
        <v>1.1846212593705763</v>
      </c>
      <c r="J451" s="19">
        <f ca="1">IF(RAND()&lt;P_Zero,0,IF(RAND()&lt;CondReturn,_xlfn.LOGNORM.INV(RAND(),MV2,Sigma1),IF(RAND()&lt;CondGood,_xlfn.LOGNORM.INV(RAND(),MV3,Sigma2),MIN(MaxMultiple,Xm/(1-RAND())^(1/Alpha)))))</f>
        <v>53.464988329000988</v>
      </c>
      <c r="K451" s="19">
        <f ca="1">IF(RAND()&lt;P_Zero,0,IF(RAND()&lt;CondReturn,_xlfn.LOGNORM.INV(RAND(),MV2,Sigma1),IF(RAND()&lt;CondGood,_xlfn.LOGNORM.INV(RAND(),MV3,Sigma2),MIN(MaxMultiple,Xm/(1-RAND())^(1/Alpha)))))</f>
        <v>1.4179909409298561</v>
      </c>
      <c r="L451" s="19">
        <f ca="1">IF(RAND()&lt;P_Zero,0,IF(RAND()&lt;CondReturn,_xlfn.LOGNORM.INV(RAND(),MV2,Sigma1),IF(RAND()&lt;CondGood,_xlfn.LOGNORM.INV(RAND(),MV3,Sigma2),MIN(MaxMultiple,Xm/(1-RAND())^(1/Alpha)))))</f>
        <v>1.062739386014717</v>
      </c>
      <c r="M451" s="19">
        <f ca="1">IF(RAND()&lt;P_Zero,0,IF(RAND()&lt;CondReturn,_xlfn.LOGNORM.INV(RAND(),MV2,Sigma1),IF(RAND()&lt;CondGood,_xlfn.LOGNORM.INV(RAND(),MV3,Sigma2),MIN(MaxMultiple,Xm/(1-RAND())^(1/Alpha)))))</f>
        <v>1.0073507568454851</v>
      </c>
      <c r="N451" s="19">
        <f ca="1">IF(RAND()&lt;P_Zero,0,IF(RAND()&lt;CondReturn,_xlfn.LOGNORM.INV(RAND(),MV2,Sigma1),IF(RAND()&lt;CondGood,_xlfn.LOGNORM.INV(RAND(),MV3,Sigma2),MIN(MaxMultiple,Xm/(1-RAND())^(1/Alpha)))))</f>
        <v>1.2647837273181921</v>
      </c>
      <c r="O451" s="19">
        <f ca="1">IF(RAND()&lt;P_Zero,0,IF(RAND()&lt;CondReturn,_xlfn.LOGNORM.INV(RAND(),MV2,Sigma1),IF(RAND()&lt;CondGood,_xlfn.LOGNORM.INV(RAND(),MV3,Sigma2),MIN(MaxMultiple,Xm/(1-RAND())^(1/Alpha)))))</f>
        <v>1.762969214303572</v>
      </c>
      <c r="P451" s="19">
        <f ca="1">IF(RAND()&lt;P_Zero,0,IF(RAND()&lt;CondReturn,_xlfn.LOGNORM.INV(RAND(),MV2,Sigma1),IF(RAND()&lt;CondGood,_xlfn.LOGNORM.INV(RAND(),MV3,Sigma2),MIN(MaxMultiple,Xm/(1-RAND())^(1/Alpha)))))</f>
        <v>13.007329665360064</v>
      </c>
      <c r="Q451" s="19">
        <f ca="1">IF(RAND()&lt;P_Zero,0,IF(RAND()&lt;CondReturn,_xlfn.LOGNORM.INV(RAND(),MV2,Sigma1),IF(RAND()&lt;CondGood,_xlfn.LOGNORM.INV(RAND(),MV3,Sigma2),MIN(MaxMultiple,Xm/(1-RAND())^(1/Alpha)))))</f>
        <v>0.72802195222401855</v>
      </c>
      <c r="R451" s="19">
        <f ca="1">IF(RAND()&lt;P_Zero,0,IF(RAND()&lt;CondReturn,_xlfn.LOGNORM.INV(RAND(),MV2,Sigma1),IF(RAND()&lt;CondGood,_xlfn.LOGNORM.INV(RAND(),MV3,Sigma2),MIN(MaxMultiple,Xm/(1-RAND())^(1/Alpha)))))</f>
        <v>114.17782034666899</v>
      </c>
      <c r="S451" s="19">
        <f ca="1">IF(RAND()&lt;P_Zero,0,IF(RAND()&lt;CondReturn,_xlfn.LOGNORM.INV(RAND(),MV2,Sigma1),IF(RAND()&lt;CondGood,_xlfn.LOGNORM.INV(RAND(),MV3,Sigma2),MIN(MaxMultiple,Xm/(1-RAND())^(1/Alpha)))))</f>
        <v>0.93625260304941682</v>
      </c>
      <c r="T451" s="19">
        <f ca="1">IF(RAND()&lt;P_Zero,0,IF(RAND()&lt;CondReturn,_xlfn.LOGNORM.INV(RAND(),MV2,Sigma1),IF(RAND()&lt;CondGood,_xlfn.LOGNORM.INV(RAND(),MV3,Sigma2),MIN(MaxMultiple,Xm/(1-RAND())^(1/Alpha)))))</f>
        <v>1.0344473381508179</v>
      </c>
      <c r="U451" s="19">
        <f ca="1">IF(RAND()&lt;P_Zero,0,IF(RAND()&lt;CondReturn,_xlfn.LOGNORM.INV(RAND(),MV2,Sigma1),IF(RAND()&lt;CondGood,_xlfn.LOGNORM.INV(RAND(),MV3,Sigma2),MIN(MaxMultiple,Xm/(1-RAND())^(1/Alpha)))))</f>
        <v>0.92294201540983822</v>
      </c>
      <c r="V451" s="19">
        <f ca="1">IF(RAND()&lt;P_Zero,0,IF(RAND()&lt;CondReturn,_xlfn.LOGNORM.INV(RAND(),MV2,Sigma1),IF(RAND()&lt;CondGood,_xlfn.LOGNORM.INV(RAND(),MV3,Sigma2),MIN(MaxMultiple,Xm/(1-RAND())^(1/Alpha)))))</f>
        <v>0</v>
      </c>
      <c r="W451" s="19">
        <f ca="1">IF(RAND()&lt;P_Zero,0,IF(RAND()&lt;CondReturn,_xlfn.LOGNORM.INV(RAND(),MV2,Sigma1),IF(RAND()&lt;CondGood,_xlfn.LOGNORM.INV(RAND(),MV3,Sigma2),MIN(MaxMultiple,Xm/(1-RAND())^(1/Alpha)))))</f>
        <v>1.1055154558042819</v>
      </c>
      <c r="X451" s="19">
        <f ca="1">IF(RAND()&lt;P_Zero,0,IF(RAND()&lt;CondReturn,_xlfn.LOGNORM.INV(RAND(),MV2,Sigma1),IF(RAND()&lt;CondGood,_xlfn.LOGNORM.INV(RAND(),MV3,Sigma2),MIN(MaxMultiple,Xm/(1-RAND())^(1/Alpha)))))</f>
        <v>24.376699706301338</v>
      </c>
      <c r="Y451" s="19">
        <f ca="1">IF(RAND()&lt;P_Zero,0,IF(RAND()&lt;CondReturn,_xlfn.LOGNORM.INV(RAND(),MV2,Sigma1),IF(RAND()&lt;CondGood,_xlfn.LOGNORM.INV(RAND(),MV3,Sigma2),MIN(MaxMultiple,Xm/(1-RAND())^(1/Alpha)))))</f>
        <v>1.0732529586977038</v>
      </c>
      <c r="Z451" s="19">
        <f ca="1">IF(RAND()&lt;P_Zero,0,IF(RAND()&lt;CondReturn,_xlfn.LOGNORM.INV(RAND(),MV2,Sigma1),IF(RAND()&lt;CondGood,_xlfn.LOGNORM.INV(RAND(),MV3,Sigma2),MIN(MaxMultiple,Xm/(1-RAND())^(1/Alpha)))))</f>
        <v>0</v>
      </c>
      <c r="AA451" s="19">
        <f ca="1">IF(RAND()&lt;P_Zero,0,IF(RAND()&lt;CondReturn,_xlfn.LOGNORM.INV(RAND(),MV2,Sigma1),IF(RAND()&lt;CondGood,_xlfn.LOGNORM.INV(RAND(),MV3,Sigma2),MIN(MaxMultiple,Xm/(1-RAND())^(1/Alpha)))))</f>
        <v>0</v>
      </c>
      <c r="AB451" s="19">
        <f t="shared" ca="1" si="48"/>
        <v>9.6127862740255345</v>
      </c>
      <c r="AC451" s="14">
        <f t="shared" ca="1" si="49"/>
        <v>461413741.15322566</v>
      </c>
      <c r="AD451" s="14">
        <f t="shared" ca="1" si="50"/>
        <v>413413741.15322566</v>
      </c>
      <c r="AE451" s="14">
        <f t="shared" si="51"/>
        <v>55628399.869093813</v>
      </c>
      <c r="AF451" s="14">
        <f t="shared" ca="1" si="52"/>
        <v>357785341.28413182</v>
      </c>
      <c r="AG451" s="14">
        <f t="shared" ca="1" si="53"/>
        <v>71557068.256826371</v>
      </c>
      <c r="AH451" s="14">
        <f t="shared" ca="1" si="54"/>
        <v>389856672.89639926</v>
      </c>
      <c r="AI451" s="19">
        <f t="shared" ca="1" si="55"/>
        <v>6.4976112149399876</v>
      </c>
    </row>
    <row r="452" spans="2:35" x14ac:dyDescent="0.2">
      <c r="B452" s="1">
        <v>447</v>
      </c>
      <c r="C452" s="19">
        <f ca="1">IF(RAND()&lt;P_Zero,0,IF(RAND()&lt;CondReturn,_xlfn.LOGNORM.INV(RAND(),MV2,Sigma1),IF(RAND()&lt;CondGood,_xlfn.LOGNORM.INV(RAND(),MV3,Sigma2),MIN(MaxMultiple,Xm/(1-RAND())^(1/Alpha)))))</f>
        <v>0</v>
      </c>
      <c r="D452" s="19">
        <f ca="1">IF(RAND()&lt;P_Zero,0,IF(RAND()&lt;CondReturn,_xlfn.LOGNORM.INV(RAND(),MV2,Sigma1),IF(RAND()&lt;CondGood,_xlfn.LOGNORM.INV(RAND(),MV3,Sigma2),MIN(MaxMultiple,Xm/(1-RAND())^(1/Alpha)))))</f>
        <v>0.82456359185517447</v>
      </c>
      <c r="E452" s="19">
        <f ca="1">IF(RAND()&lt;P_Zero,0,IF(RAND()&lt;CondReturn,_xlfn.LOGNORM.INV(RAND(),MV2,Sigma1),IF(RAND()&lt;CondGood,_xlfn.LOGNORM.INV(RAND(),MV3,Sigma2),MIN(MaxMultiple,Xm/(1-RAND())^(1/Alpha)))))</f>
        <v>2.8854433506738113</v>
      </c>
      <c r="F452" s="19">
        <f ca="1">IF(RAND()&lt;P_Zero,0,IF(RAND()&lt;CondReturn,_xlfn.LOGNORM.INV(RAND(),MV2,Sigma1),IF(RAND()&lt;CondGood,_xlfn.LOGNORM.INV(RAND(),MV3,Sigma2),MIN(MaxMultiple,Xm/(1-RAND())^(1/Alpha)))))</f>
        <v>0.44365834431668089</v>
      </c>
      <c r="G452" s="19">
        <f ca="1">IF(RAND()&lt;P_Zero,0,IF(RAND()&lt;CondReturn,_xlfn.LOGNORM.INV(RAND(),MV2,Sigma1),IF(RAND()&lt;CondGood,_xlfn.LOGNORM.INV(RAND(),MV3,Sigma2),MIN(MaxMultiple,Xm/(1-RAND())^(1/Alpha)))))</f>
        <v>0.72486559161625508</v>
      </c>
      <c r="H452" s="19">
        <f ca="1">IF(RAND()&lt;P_Zero,0,IF(RAND()&lt;CondReturn,_xlfn.LOGNORM.INV(RAND(),MV2,Sigma1),IF(RAND()&lt;CondGood,_xlfn.LOGNORM.INV(RAND(),MV3,Sigma2),MIN(MaxMultiple,Xm/(1-RAND())^(1/Alpha)))))</f>
        <v>0.55506143986059508</v>
      </c>
      <c r="I452" s="19">
        <f ca="1">IF(RAND()&lt;P_Zero,0,IF(RAND()&lt;CondReturn,_xlfn.LOGNORM.INV(RAND(),MV2,Sigma1),IF(RAND()&lt;CondGood,_xlfn.LOGNORM.INV(RAND(),MV3,Sigma2),MIN(MaxMultiple,Xm/(1-RAND())^(1/Alpha)))))</f>
        <v>0</v>
      </c>
      <c r="J452" s="19">
        <f ca="1">IF(RAND()&lt;P_Zero,0,IF(RAND()&lt;CondReturn,_xlfn.LOGNORM.INV(RAND(),MV2,Sigma1),IF(RAND()&lt;CondGood,_xlfn.LOGNORM.INV(RAND(),MV3,Sigma2),MIN(MaxMultiple,Xm/(1-RAND())^(1/Alpha)))))</f>
        <v>1.1387495859517167</v>
      </c>
      <c r="K452" s="19">
        <f ca="1">IF(RAND()&lt;P_Zero,0,IF(RAND()&lt;CondReturn,_xlfn.LOGNORM.INV(RAND(),MV2,Sigma1),IF(RAND()&lt;CondGood,_xlfn.LOGNORM.INV(RAND(),MV3,Sigma2),MIN(MaxMultiple,Xm/(1-RAND())^(1/Alpha)))))</f>
        <v>16.416301194541823</v>
      </c>
      <c r="L452" s="19">
        <f ca="1">IF(RAND()&lt;P_Zero,0,IF(RAND()&lt;CondReturn,_xlfn.LOGNORM.INV(RAND(),MV2,Sigma1),IF(RAND()&lt;CondGood,_xlfn.LOGNORM.INV(RAND(),MV3,Sigma2),MIN(MaxMultiple,Xm/(1-RAND())^(1/Alpha)))))</f>
        <v>0</v>
      </c>
      <c r="M452" s="19">
        <f ca="1">IF(RAND()&lt;P_Zero,0,IF(RAND()&lt;CondReturn,_xlfn.LOGNORM.INV(RAND(),MV2,Sigma1),IF(RAND()&lt;CondGood,_xlfn.LOGNORM.INV(RAND(),MV3,Sigma2),MIN(MaxMultiple,Xm/(1-RAND())^(1/Alpha)))))</f>
        <v>0.99247007753140604</v>
      </c>
      <c r="N452" s="19">
        <f ca="1">IF(RAND()&lt;P_Zero,0,IF(RAND()&lt;CondReturn,_xlfn.LOGNORM.INV(RAND(),MV2,Sigma1),IF(RAND()&lt;CondGood,_xlfn.LOGNORM.INV(RAND(),MV3,Sigma2),MIN(MaxMultiple,Xm/(1-RAND())^(1/Alpha)))))</f>
        <v>0.8350122557565679</v>
      </c>
      <c r="O452" s="19">
        <f ca="1">IF(RAND()&lt;P_Zero,0,IF(RAND()&lt;CondReturn,_xlfn.LOGNORM.INV(RAND(),MV2,Sigma1),IF(RAND()&lt;CondGood,_xlfn.LOGNORM.INV(RAND(),MV3,Sigma2),MIN(MaxMultiple,Xm/(1-RAND())^(1/Alpha)))))</f>
        <v>12.249093855211802</v>
      </c>
      <c r="P452" s="19">
        <f ca="1">IF(RAND()&lt;P_Zero,0,IF(RAND()&lt;CondReturn,_xlfn.LOGNORM.INV(RAND(),MV2,Sigma1),IF(RAND()&lt;CondGood,_xlfn.LOGNORM.INV(RAND(),MV3,Sigma2),MIN(MaxMultiple,Xm/(1-RAND())^(1/Alpha)))))</f>
        <v>14.071703264842792</v>
      </c>
      <c r="Q452" s="19">
        <f ca="1">IF(RAND()&lt;P_Zero,0,IF(RAND()&lt;CondReturn,_xlfn.LOGNORM.INV(RAND(),MV2,Sigma1),IF(RAND()&lt;CondGood,_xlfn.LOGNORM.INV(RAND(),MV3,Sigma2),MIN(MaxMultiple,Xm/(1-RAND())^(1/Alpha)))))</f>
        <v>0</v>
      </c>
      <c r="R452" s="19">
        <f ca="1">IF(RAND()&lt;P_Zero,0,IF(RAND()&lt;CondReturn,_xlfn.LOGNORM.INV(RAND(),MV2,Sigma1),IF(RAND()&lt;CondGood,_xlfn.LOGNORM.INV(RAND(),MV3,Sigma2),MIN(MaxMultiple,Xm/(1-RAND())^(1/Alpha)))))</f>
        <v>0</v>
      </c>
      <c r="S452" s="19">
        <f ca="1">IF(RAND()&lt;P_Zero,0,IF(RAND()&lt;CondReturn,_xlfn.LOGNORM.INV(RAND(),MV2,Sigma1),IF(RAND()&lt;CondGood,_xlfn.LOGNORM.INV(RAND(),MV3,Sigma2),MIN(MaxMultiple,Xm/(1-RAND())^(1/Alpha)))))</f>
        <v>1.793558136851843</v>
      </c>
      <c r="T452" s="19">
        <f ca="1">IF(RAND()&lt;P_Zero,0,IF(RAND()&lt;CondReturn,_xlfn.LOGNORM.INV(RAND(),MV2,Sigma1),IF(RAND()&lt;CondGood,_xlfn.LOGNORM.INV(RAND(),MV3,Sigma2),MIN(MaxMultiple,Xm/(1-RAND())^(1/Alpha)))))</f>
        <v>0</v>
      </c>
      <c r="U452" s="19">
        <f ca="1">IF(RAND()&lt;P_Zero,0,IF(RAND()&lt;CondReturn,_xlfn.LOGNORM.INV(RAND(),MV2,Sigma1),IF(RAND()&lt;CondGood,_xlfn.LOGNORM.INV(RAND(),MV3,Sigma2),MIN(MaxMultiple,Xm/(1-RAND())^(1/Alpha)))))</f>
        <v>0</v>
      </c>
      <c r="V452" s="19">
        <f ca="1">IF(RAND()&lt;P_Zero,0,IF(RAND()&lt;CondReturn,_xlfn.LOGNORM.INV(RAND(),MV2,Sigma1),IF(RAND()&lt;CondGood,_xlfn.LOGNORM.INV(RAND(),MV3,Sigma2),MIN(MaxMultiple,Xm/(1-RAND())^(1/Alpha)))))</f>
        <v>0.37809004680723396</v>
      </c>
      <c r="W452" s="19">
        <f ca="1">IF(RAND()&lt;P_Zero,0,IF(RAND()&lt;CondReturn,_xlfn.LOGNORM.INV(RAND(),MV2,Sigma1),IF(RAND()&lt;CondGood,_xlfn.LOGNORM.INV(RAND(),MV3,Sigma2),MIN(MaxMultiple,Xm/(1-RAND())^(1/Alpha)))))</f>
        <v>0.76761170460183181</v>
      </c>
      <c r="X452" s="19">
        <f ca="1">IF(RAND()&lt;P_Zero,0,IF(RAND()&lt;CondReturn,_xlfn.LOGNORM.INV(RAND(),MV2,Sigma1),IF(RAND()&lt;CondGood,_xlfn.LOGNORM.INV(RAND(),MV3,Sigma2),MIN(MaxMultiple,Xm/(1-RAND())^(1/Alpha)))))</f>
        <v>0</v>
      </c>
      <c r="Y452" s="19">
        <f ca="1">IF(RAND()&lt;P_Zero,0,IF(RAND()&lt;CondReturn,_xlfn.LOGNORM.INV(RAND(),MV2,Sigma1),IF(RAND()&lt;CondGood,_xlfn.LOGNORM.INV(RAND(),MV3,Sigma2),MIN(MaxMultiple,Xm/(1-RAND())^(1/Alpha)))))</f>
        <v>1.3474039117181364</v>
      </c>
      <c r="Z452" s="19">
        <f ca="1">IF(RAND()&lt;P_Zero,0,IF(RAND()&lt;CondReturn,_xlfn.LOGNORM.INV(RAND(),MV2,Sigma1),IF(RAND()&lt;CondGood,_xlfn.LOGNORM.INV(RAND(),MV3,Sigma2),MIN(MaxMultiple,Xm/(1-RAND())^(1/Alpha)))))</f>
        <v>13.836219901853593</v>
      </c>
      <c r="AA452" s="19">
        <f ca="1">IF(RAND()&lt;P_Zero,0,IF(RAND()&lt;CondReturn,_xlfn.LOGNORM.INV(RAND(),MV2,Sigma1),IF(RAND()&lt;CondGood,_xlfn.LOGNORM.INV(RAND(),MV3,Sigma2),MIN(MaxMultiple,Xm/(1-RAND())^(1/Alpha)))))</f>
        <v>1.1312237806018735</v>
      </c>
      <c r="AB452" s="19">
        <f t="shared" ca="1" si="48"/>
        <v>2.8156412013837255</v>
      </c>
      <c r="AC452" s="14">
        <f t="shared" ca="1" si="49"/>
        <v>135150777.66641882</v>
      </c>
      <c r="AD452" s="14">
        <f t="shared" ca="1" si="50"/>
        <v>87150777.666418821</v>
      </c>
      <c r="AE452" s="14">
        <f t="shared" si="51"/>
        <v>55628399.869093813</v>
      </c>
      <c r="AF452" s="14">
        <f t="shared" ca="1" si="52"/>
        <v>31522377.797325008</v>
      </c>
      <c r="AG452" s="14">
        <f t="shared" ca="1" si="53"/>
        <v>6304475.5594650023</v>
      </c>
      <c r="AH452" s="14">
        <f t="shared" ca="1" si="54"/>
        <v>128846302.10695381</v>
      </c>
      <c r="AI452" s="19">
        <f t="shared" ca="1" si="55"/>
        <v>2.1474383684492304</v>
      </c>
    </row>
    <row r="453" spans="2:35" x14ac:dyDescent="0.2">
      <c r="B453" s="1">
        <v>448</v>
      </c>
      <c r="C453" s="19">
        <f ca="1">IF(RAND()&lt;P_Zero,0,IF(RAND()&lt;CondReturn,_xlfn.LOGNORM.INV(RAND(),MV2,Sigma1),IF(RAND()&lt;CondGood,_xlfn.LOGNORM.INV(RAND(),MV3,Sigma2),MIN(MaxMultiple,Xm/(1-RAND())^(1/Alpha)))))</f>
        <v>0</v>
      </c>
      <c r="D453" s="19">
        <f ca="1">IF(RAND()&lt;P_Zero,0,IF(RAND()&lt;CondReturn,_xlfn.LOGNORM.INV(RAND(),MV2,Sigma1),IF(RAND()&lt;CondGood,_xlfn.LOGNORM.INV(RAND(),MV3,Sigma2),MIN(MaxMultiple,Xm/(1-RAND())^(1/Alpha)))))</f>
        <v>0.63517235616367829</v>
      </c>
      <c r="E453" s="19">
        <f ca="1">IF(RAND()&lt;P_Zero,0,IF(RAND()&lt;CondReturn,_xlfn.LOGNORM.INV(RAND(),MV2,Sigma1),IF(RAND()&lt;CondGood,_xlfn.LOGNORM.INV(RAND(),MV3,Sigma2),MIN(MaxMultiple,Xm/(1-RAND())^(1/Alpha)))))</f>
        <v>1.1222217732882009</v>
      </c>
      <c r="F453" s="19">
        <f ca="1">IF(RAND()&lt;P_Zero,0,IF(RAND()&lt;CondReturn,_xlfn.LOGNORM.INV(RAND(),MV2,Sigma1),IF(RAND()&lt;CondGood,_xlfn.LOGNORM.INV(RAND(),MV3,Sigma2),MIN(MaxMultiple,Xm/(1-RAND())^(1/Alpha)))))</f>
        <v>0</v>
      </c>
      <c r="G453" s="19">
        <f ca="1">IF(RAND()&lt;P_Zero,0,IF(RAND()&lt;CondReturn,_xlfn.LOGNORM.INV(RAND(),MV2,Sigma1),IF(RAND()&lt;CondGood,_xlfn.LOGNORM.INV(RAND(),MV3,Sigma2),MIN(MaxMultiple,Xm/(1-RAND())^(1/Alpha)))))</f>
        <v>0</v>
      </c>
      <c r="H453" s="19">
        <f ca="1">IF(RAND()&lt;P_Zero,0,IF(RAND()&lt;CondReturn,_xlfn.LOGNORM.INV(RAND(),MV2,Sigma1),IF(RAND()&lt;CondGood,_xlfn.LOGNORM.INV(RAND(),MV3,Sigma2),MIN(MaxMultiple,Xm/(1-RAND())^(1/Alpha)))))</f>
        <v>0.5491700923372691</v>
      </c>
      <c r="I453" s="19">
        <f ca="1">IF(RAND()&lt;P_Zero,0,IF(RAND()&lt;CondReturn,_xlfn.LOGNORM.INV(RAND(),MV2,Sigma1),IF(RAND()&lt;CondGood,_xlfn.LOGNORM.INV(RAND(),MV3,Sigma2),MIN(MaxMultiple,Xm/(1-RAND())^(1/Alpha)))))</f>
        <v>1.2097941961182155</v>
      </c>
      <c r="J453" s="19">
        <f ca="1">IF(RAND()&lt;P_Zero,0,IF(RAND()&lt;CondReturn,_xlfn.LOGNORM.INV(RAND(),MV2,Sigma1),IF(RAND()&lt;CondGood,_xlfn.LOGNORM.INV(RAND(),MV3,Sigma2),MIN(MaxMultiple,Xm/(1-RAND())^(1/Alpha)))))</f>
        <v>1.5955276594324332</v>
      </c>
      <c r="K453" s="19">
        <f ca="1">IF(RAND()&lt;P_Zero,0,IF(RAND()&lt;CondReturn,_xlfn.LOGNORM.INV(RAND(),MV2,Sigma1),IF(RAND()&lt;CondGood,_xlfn.LOGNORM.INV(RAND(),MV3,Sigma2),MIN(MaxMultiple,Xm/(1-RAND())^(1/Alpha)))))</f>
        <v>0</v>
      </c>
      <c r="L453" s="19">
        <f ca="1">IF(RAND()&lt;P_Zero,0,IF(RAND()&lt;CondReturn,_xlfn.LOGNORM.INV(RAND(),MV2,Sigma1),IF(RAND()&lt;CondGood,_xlfn.LOGNORM.INV(RAND(),MV3,Sigma2),MIN(MaxMultiple,Xm/(1-RAND())^(1/Alpha)))))</f>
        <v>0.54451021454111936</v>
      </c>
      <c r="M453" s="19">
        <f ca="1">IF(RAND()&lt;P_Zero,0,IF(RAND()&lt;CondReturn,_xlfn.LOGNORM.INV(RAND(),MV2,Sigma1),IF(RAND()&lt;CondGood,_xlfn.LOGNORM.INV(RAND(),MV3,Sigma2),MIN(MaxMultiple,Xm/(1-RAND())^(1/Alpha)))))</f>
        <v>1.4540847283632332</v>
      </c>
      <c r="N453" s="19">
        <f ca="1">IF(RAND()&lt;P_Zero,0,IF(RAND()&lt;CondReturn,_xlfn.LOGNORM.INV(RAND(),MV2,Sigma1),IF(RAND()&lt;CondGood,_xlfn.LOGNORM.INV(RAND(),MV3,Sigma2),MIN(MaxMultiple,Xm/(1-RAND())^(1/Alpha)))))</f>
        <v>2.4783591555344819</v>
      </c>
      <c r="O453" s="19">
        <f ca="1">IF(RAND()&lt;P_Zero,0,IF(RAND()&lt;CondReturn,_xlfn.LOGNORM.INV(RAND(),MV2,Sigma1),IF(RAND()&lt;CondGood,_xlfn.LOGNORM.INV(RAND(),MV3,Sigma2),MIN(MaxMultiple,Xm/(1-RAND())^(1/Alpha)))))</f>
        <v>1.611470413642673</v>
      </c>
      <c r="P453" s="19">
        <f ca="1">IF(RAND()&lt;P_Zero,0,IF(RAND()&lt;CondReturn,_xlfn.LOGNORM.INV(RAND(),MV2,Sigma1),IF(RAND()&lt;CondGood,_xlfn.LOGNORM.INV(RAND(),MV3,Sigma2),MIN(MaxMultiple,Xm/(1-RAND())^(1/Alpha)))))</f>
        <v>0</v>
      </c>
      <c r="Q453" s="19">
        <f ca="1">IF(RAND()&lt;P_Zero,0,IF(RAND()&lt;CondReturn,_xlfn.LOGNORM.INV(RAND(),MV2,Sigma1),IF(RAND()&lt;CondGood,_xlfn.LOGNORM.INV(RAND(),MV3,Sigma2),MIN(MaxMultiple,Xm/(1-RAND())^(1/Alpha)))))</f>
        <v>0</v>
      </c>
      <c r="R453" s="19">
        <f ca="1">IF(RAND()&lt;P_Zero,0,IF(RAND()&lt;CondReturn,_xlfn.LOGNORM.INV(RAND(),MV2,Sigma1),IF(RAND()&lt;CondGood,_xlfn.LOGNORM.INV(RAND(),MV3,Sigma2),MIN(MaxMultiple,Xm/(1-RAND())^(1/Alpha)))))</f>
        <v>0</v>
      </c>
      <c r="S453" s="19">
        <f ca="1">IF(RAND()&lt;P_Zero,0,IF(RAND()&lt;CondReturn,_xlfn.LOGNORM.INV(RAND(),MV2,Sigma1),IF(RAND()&lt;CondGood,_xlfn.LOGNORM.INV(RAND(),MV3,Sigma2),MIN(MaxMultiple,Xm/(1-RAND())^(1/Alpha)))))</f>
        <v>1.2419239342886761</v>
      </c>
      <c r="T453" s="19">
        <f ca="1">IF(RAND()&lt;P_Zero,0,IF(RAND()&lt;CondReturn,_xlfn.LOGNORM.INV(RAND(),MV2,Sigma1),IF(RAND()&lt;CondGood,_xlfn.LOGNORM.INV(RAND(),MV3,Sigma2),MIN(MaxMultiple,Xm/(1-RAND())^(1/Alpha)))))</f>
        <v>0</v>
      </c>
      <c r="U453" s="19">
        <f ca="1">IF(RAND()&lt;P_Zero,0,IF(RAND()&lt;CondReturn,_xlfn.LOGNORM.INV(RAND(),MV2,Sigma1),IF(RAND()&lt;CondGood,_xlfn.LOGNORM.INV(RAND(),MV3,Sigma2),MIN(MaxMultiple,Xm/(1-RAND())^(1/Alpha)))))</f>
        <v>1.3918746157384223</v>
      </c>
      <c r="V453" s="19">
        <f ca="1">IF(RAND()&lt;P_Zero,0,IF(RAND()&lt;CondReturn,_xlfn.LOGNORM.INV(RAND(),MV2,Sigma1),IF(RAND()&lt;CondGood,_xlfn.LOGNORM.INV(RAND(),MV3,Sigma2),MIN(MaxMultiple,Xm/(1-RAND())^(1/Alpha)))))</f>
        <v>0</v>
      </c>
      <c r="W453" s="19">
        <f ca="1">IF(RAND()&lt;P_Zero,0,IF(RAND()&lt;CondReturn,_xlfn.LOGNORM.INV(RAND(),MV2,Sigma1),IF(RAND()&lt;CondGood,_xlfn.LOGNORM.INV(RAND(),MV3,Sigma2),MIN(MaxMultiple,Xm/(1-RAND())^(1/Alpha)))))</f>
        <v>15.660979205988935</v>
      </c>
      <c r="X453" s="19">
        <f ca="1">IF(RAND()&lt;P_Zero,0,IF(RAND()&lt;CondReturn,_xlfn.LOGNORM.INV(RAND(),MV2,Sigma1),IF(RAND()&lt;CondGood,_xlfn.LOGNORM.INV(RAND(),MV3,Sigma2),MIN(MaxMultiple,Xm/(1-RAND())^(1/Alpha)))))</f>
        <v>0</v>
      </c>
      <c r="Y453" s="19">
        <f ca="1">IF(RAND()&lt;P_Zero,0,IF(RAND()&lt;CondReturn,_xlfn.LOGNORM.INV(RAND(),MV2,Sigma1),IF(RAND()&lt;CondGood,_xlfn.LOGNORM.INV(RAND(),MV3,Sigma2),MIN(MaxMultiple,Xm/(1-RAND())^(1/Alpha)))))</f>
        <v>23.709244710415238</v>
      </c>
      <c r="Z453" s="19">
        <f ca="1">IF(RAND()&lt;P_Zero,0,IF(RAND()&lt;CondReturn,_xlfn.LOGNORM.INV(RAND(),MV2,Sigma1),IF(RAND()&lt;CondGood,_xlfn.LOGNORM.INV(RAND(),MV3,Sigma2),MIN(MaxMultiple,Xm/(1-RAND())^(1/Alpha)))))</f>
        <v>0.57824351634549498</v>
      </c>
      <c r="AA453" s="19">
        <f ca="1">IF(RAND()&lt;P_Zero,0,IF(RAND()&lt;CondReturn,_xlfn.LOGNORM.INV(RAND(),MV2,Sigma1),IF(RAND()&lt;CondGood,_xlfn.LOGNORM.INV(RAND(),MV3,Sigma2),MIN(MaxMultiple,Xm/(1-RAND())^(1/Alpha)))))</f>
        <v>1.1567062615727417</v>
      </c>
      <c r="AB453" s="19">
        <f t="shared" ca="1" si="48"/>
        <v>2.1975713133508323</v>
      </c>
      <c r="AC453" s="14">
        <f t="shared" ca="1" si="49"/>
        <v>105483423.04083996</v>
      </c>
      <c r="AD453" s="14">
        <f t="shared" ca="1" si="50"/>
        <v>57483423.040839955</v>
      </c>
      <c r="AE453" s="14">
        <f t="shared" si="51"/>
        <v>55628399.869093813</v>
      </c>
      <c r="AF453" s="14">
        <f t="shared" ca="1" si="52"/>
        <v>1855023.1717461422</v>
      </c>
      <c r="AG453" s="14">
        <f t="shared" ca="1" si="53"/>
        <v>371004.63434922846</v>
      </c>
      <c r="AH453" s="14">
        <f t="shared" ca="1" si="54"/>
        <v>105112418.40649073</v>
      </c>
      <c r="AI453" s="19">
        <f t="shared" ca="1" si="55"/>
        <v>1.7518736401081787</v>
      </c>
    </row>
    <row r="454" spans="2:35" x14ac:dyDescent="0.2">
      <c r="B454" s="1">
        <v>449</v>
      </c>
      <c r="C454" s="19">
        <f ca="1">IF(RAND()&lt;P_Zero,0,IF(RAND()&lt;CondReturn,_xlfn.LOGNORM.INV(RAND(),MV2,Sigma1),IF(RAND()&lt;CondGood,_xlfn.LOGNORM.INV(RAND(),MV3,Sigma2),MIN(MaxMultiple,Xm/(1-RAND())^(1/Alpha)))))</f>
        <v>0.47745218653656152</v>
      </c>
      <c r="D454" s="19">
        <f ca="1">IF(RAND()&lt;P_Zero,0,IF(RAND()&lt;CondReturn,_xlfn.LOGNORM.INV(RAND(),MV2,Sigma1),IF(RAND()&lt;CondGood,_xlfn.LOGNORM.INV(RAND(),MV3,Sigma2),MIN(MaxMultiple,Xm/(1-RAND())^(1/Alpha)))))</f>
        <v>0</v>
      </c>
      <c r="E454" s="19">
        <f ca="1">IF(RAND()&lt;P_Zero,0,IF(RAND()&lt;CondReturn,_xlfn.LOGNORM.INV(RAND(),MV2,Sigma1),IF(RAND()&lt;CondGood,_xlfn.LOGNORM.INV(RAND(),MV3,Sigma2),MIN(MaxMultiple,Xm/(1-RAND())^(1/Alpha)))))</f>
        <v>0</v>
      </c>
      <c r="F454" s="19">
        <f ca="1">IF(RAND()&lt;P_Zero,0,IF(RAND()&lt;CondReturn,_xlfn.LOGNORM.INV(RAND(),MV2,Sigma1),IF(RAND()&lt;CondGood,_xlfn.LOGNORM.INV(RAND(),MV3,Sigma2),MIN(MaxMultiple,Xm/(1-RAND())^(1/Alpha)))))</f>
        <v>0.70156944975534241</v>
      </c>
      <c r="G454" s="19">
        <f ca="1">IF(RAND()&lt;P_Zero,0,IF(RAND()&lt;CondReturn,_xlfn.LOGNORM.INV(RAND(),MV2,Sigma1),IF(RAND()&lt;CondGood,_xlfn.LOGNORM.INV(RAND(),MV3,Sigma2),MIN(MaxMultiple,Xm/(1-RAND())^(1/Alpha)))))</f>
        <v>23.346771658793507</v>
      </c>
      <c r="H454" s="19">
        <f ca="1">IF(RAND()&lt;P_Zero,0,IF(RAND()&lt;CondReturn,_xlfn.LOGNORM.INV(RAND(),MV2,Sigma1),IF(RAND()&lt;CondGood,_xlfn.LOGNORM.INV(RAND(),MV3,Sigma2),MIN(MaxMultiple,Xm/(1-RAND())^(1/Alpha)))))</f>
        <v>0.72531560707806642</v>
      </c>
      <c r="I454" s="19">
        <f ca="1">IF(RAND()&lt;P_Zero,0,IF(RAND()&lt;CondReturn,_xlfn.LOGNORM.INV(RAND(),MV2,Sigma1),IF(RAND()&lt;CondGood,_xlfn.LOGNORM.INV(RAND(),MV3,Sigma2),MIN(MaxMultiple,Xm/(1-RAND())^(1/Alpha)))))</f>
        <v>0.92841555095243589</v>
      </c>
      <c r="J454" s="19">
        <f ca="1">IF(RAND()&lt;P_Zero,0,IF(RAND()&lt;CondReturn,_xlfn.LOGNORM.INV(RAND(),MV2,Sigma1),IF(RAND()&lt;CondGood,_xlfn.LOGNORM.INV(RAND(),MV3,Sigma2),MIN(MaxMultiple,Xm/(1-RAND())^(1/Alpha)))))</f>
        <v>0</v>
      </c>
      <c r="K454" s="19">
        <f ca="1">IF(RAND()&lt;P_Zero,0,IF(RAND()&lt;CondReturn,_xlfn.LOGNORM.INV(RAND(),MV2,Sigma1),IF(RAND()&lt;CondGood,_xlfn.LOGNORM.INV(RAND(),MV3,Sigma2),MIN(MaxMultiple,Xm/(1-RAND())^(1/Alpha)))))</f>
        <v>0.82571715940716406</v>
      </c>
      <c r="L454" s="19">
        <f ca="1">IF(RAND()&lt;P_Zero,0,IF(RAND()&lt;CondReturn,_xlfn.LOGNORM.INV(RAND(),MV2,Sigma1),IF(RAND()&lt;CondGood,_xlfn.LOGNORM.INV(RAND(),MV3,Sigma2),MIN(MaxMultiple,Xm/(1-RAND())^(1/Alpha)))))</f>
        <v>0</v>
      </c>
      <c r="M454" s="19">
        <f ca="1">IF(RAND()&lt;P_Zero,0,IF(RAND()&lt;CondReturn,_xlfn.LOGNORM.INV(RAND(),MV2,Sigma1),IF(RAND()&lt;CondGood,_xlfn.LOGNORM.INV(RAND(),MV3,Sigma2),MIN(MaxMultiple,Xm/(1-RAND())^(1/Alpha)))))</f>
        <v>0</v>
      </c>
      <c r="N454" s="19">
        <f ca="1">IF(RAND()&lt;P_Zero,0,IF(RAND()&lt;CondReturn,_xlfn.LOGNORM.INV(RAND(),MV2,Sigma1),IF(RAND()&lt;CondGood,_xlfn.LOGNORM.INV(RAND(),MV3,Sigma2),MIN(MaxMultiple,Xm/(1-RAND())^(1/Alpha)))))</f>
        <v>0.98380834629024727</v>
      </c>
      <c r="O454" s="19">
        <f ca="1">IF(RAND()&lt;P_Zero,0,IF(RAND()&lt;CondReturn,_xlfn.LOGNORM.INV(RAND(),MV2,Sigma1),IF(RAND()&lt;CondGood,_xlfn.LOGNORM.INV(RAND(),MV3,Sigma2),MIN(MaxMultiple,Xm/(1-RAND())^(1/Alpha)))))</f>
        <v>0</v>
      </c>
      <c r="P454" s="19">
        <f ca="1">IF(RAND()&lt;P_Zero,0,IF(RAND()&lt;CondReturn,_xlfn.LOGNORM.INV(RAND(),MV2,Sigma1),IF(RAND()&lt;CondGood,_xlfn.LOGNORM.INV(RAND(),MV3,Sigma2),MIN(MaxMultiple,Xm/(1-RAND())^(1/Alpha)))))</f>
        <v>1.0593366427890267</v>
      </c>
      <c r="Q454" s="19">
        <f ca="1">IF(RAND()&lt;P_Zero,0,IF(RAND()&lt;CondReturn,_xlfn.LOGNORM.INV(RAND(),MV2,Sigma1),IF(RAND()&lt;CondGood,_xlfn.LOGNORM.INV(RAND(),MV3,Sigma2),MIN(MaxMultiple,Xm/(1-RAND())^(1/Alpha)))))</f>
        <v>0.57392647279934028</v>
      </c>
      <c r="R454" s="19">
        <f ca="1">IF(RAND()&lt;P_Zero,0,IF(RAND()&lt;CondReturn,_xlfn.LOGNORM.INV(RAND(),MV2,Sigma1),IF(RAND()&lt;CondGood,_xlfn.LOGNORM.INV(RAND(),MV3,Sigma2),MIN(MaxMultiple,Xm/(1-RAND())^(1/Alpha)))))</f>
        <v>0</v>
      </c>
      <c r="S454" s="19">
        <f ca="1">IF(RAND()&lt;P_Zero,0,IF(RAND()&lt;CondReturn,_xlfn.LOGNORM.INV(RAND(),MV2,Sigma1),IF(RAND()&lt;CondGood,_xlfn.LOGNORM.INV(RAND(),MV3,Sigma2),MIN(MaxMultiple,Xm/(1-RAND())^(1/Alpha)))))</f>
        <v>2.1182935093966688</v>
      </c>
      <c r="T454" s="19">
        <f ca="1">IF(RAND()&lt;P_Zero,0,IF(RAND()&lt;CondReturn,_xlfn.LOGNORM.INV(RAND(),MV2,Sigma1),IF(RAND()&lt;CondGood,_xlfn.LOGNORM.INV(RAND(),MV3,Sigma2),MIN(MaxMultiple,Xm/(1-RAND())^(1/Alpha)))))</f>
        <v>0</v>
      </c>
      <c r="U454" s="19">
        <f ca="1">IF(RAND()&lt;P_Zero,0,IF(RAND()&lt;CondReturn,_xlfn.LOGNORM.INV(RAND(),MV2,Sigma1),IF(RAND()&lt;CondGood,_xlfn.LOGNORM.INV(RAND(),MV3,Sigma2),MIN(MaxMultiple,Xm/(1-RAND())^(1/Alpha)))))</f>
        <v>1.5271462048909361</v>
      </c>
      <c r="V454" s="19">
        <f ca="1">IF(RAND()&lt;P_Zero,0,IF(RAND()&lt;CondReturn,_xlfn.LOGNORM.INV(RAND(),MV2,Sigma1),IF(RAND()&lt;CondGood,_xlfn.LOGNORM.INV(RAND(),MV3,Sigma2),MIN(MaxMultiple,Xm/(1-RAND())^(1/Alpha)))))</f>
        <v>2.0023444806515451</v>
      </c>
      <c r="W454" s="19">
        <f ca="1">IF(RAND()&lt;P_Zero,0,IF(RAND()&lt;CondReturn,_xlfn.LOGNORM.INV(RAND(),MV2,Sigma1),IF(RAND()&lt;CondGood,_xlfn.LOGNORM.INV(RAND(),MV3,Sigma2),MIN(MaxMultiple,Xm/(1-RAND())^(1/Alpha)))))</f>
        <v>16.613307647362671</v>
      </c>
      <c r="X454" s="19">
        <f ca="1">IF(RAND()&lt;P_Zero,0,IF(RAND()&lt;CondReturn,_xlfn.LOGNORM.INV(RAND(),MV2,Sigma1),IF(RAND()&lt;CondGood,_xlfn.LOGNORM.INV(RAND(),MV3,Sigma2),MIN(MaxMultiple,Xm/(1-RAND())^(1/Alpha)))))</f>
        <v>1.1143079791152133</v>
      </c>
      <c r="Y454" s="19">
        <f ca="1">IF(RAND()&lt;P_Zero,0,IF(RAND()&lt;CondReturn,_xlfn.LOGNORM.INV(RAND(),MV2,Sigma1),IF(RAND()&lt;CondGood,_xlfn.LOGNORM.INV(RAND(),MV3,Sigma2),MIN(MaxMultiple,Xm/(1-RAND())^(1/Alpha)))))</f>
        <v>0</v>
      </c>
      <c r="Z454" s="19">
        <f ca="1">IF(RAND()&lt;P_Zero,0,IF(RAND()&lt;CondReturn,_xlfn.LOGNORM.INV(RAND(),MV2,Sigma1),IF(RAND()&lt;CondGood,_xlfn.LOGNORM.INV(RAND(),MV3,Sigma2),MIN(MaxMultiple,Xm/(1-RAND())^(1/Alpha)))))</f>
        <v>0.90155185291631368</v>
      </c>
      <c r="AA454" s="19">
        <f ca="1">IF(RAND()&lt;P_Zero,0,IF(RAND()&lt;CondReturn,_xlfn.LOGNORM.INV(RAND(),MV2,Sigma1),IF(RAND()&lt;CondGood,_xlfn.LOGNORM.INV(RAND(),MV3,Sigma2),MIN(MaxMultiple,Xm/(1-RAND())^(1/Alpha)))))</f>
        <v>0</v>
      </c>
      <c r="AB454" s="19">
        <f t="shared" ref="AB454:AB517" ca="1" si="56">AVERAGE(C454:AA454)</f>
        <v>2.1559705899494013</v>
      </c>
      <c r="AC454" s="14">
        <f t="shared" ref="AC454:AC517" ca="1" si="57">AB454*InvestableCapital</f>
        <v>103486588.31757127</v>
      </c>
      <c r="AD454" s="14">
        <f t="shared" ref="AD454:AD517" ca="1" si="58">AC454-InvestableCapital</f>
        <v>55486588.317571267</v>
      </c>
      <c r="AE454" s="14">
        <f t="shared" ref="AE454:AE505" si="59">HurdleToggle*InvestableCapital*((1+HurdleRate)^FeeYears-1)</f>
        <v>55628399.869093813</v>
      </c>
      <c r="AF454" s="14">
        <f t="shared" ref="AF454:AF517" ca="1" si="60">MAX(0,AD454-AE454)</f>
        <v>0</v>
      </c>
      <c r="AG454" s="14">
        <f t="shared" ref="AG454:AG517" ca="1" si="61">CarryRate*AF454</f>
        <v>0</v>
      </c>
      <c r="AH454" s="14">
        <f t="shared" ref="AH454:AH517" ca="1" si="62">AC454-AG454</f>
        <v>103486588.31757127</v>
      </c>
      <c r="AI454" s="19">
        <f t="shared" ref="AI454:AI517" ca="1" si="63">AH454/FundSize</f>
        <v>1.7247764719595211</v>
      </c>
    </row>
    <row r="455" spans="2:35" x14ac:dyDescent="0.2">
      <c r="B455" s="1">
        <v>450</v>
      </c>
      <c r="C455" s="19">
        <f ca="1">IF(RAND()&lt;P_Zero,0,IF(RAND()&lt;CondReturn,_xlfn.LOGNORM.INV(RAND(),MV2,Sigma1),IF(RAND()&lt;CondGood,_xlfn.LOGNORM.INV(RAND(),MV3,Sigma2),MIN(MaxMultiple,Xm/(1-RAND())^(1/Alpha)))))</f>
        <v>1.205824552804075</v>
      </c>
      <c r="D455" s="19">
        <f ca="1">IF(RAND()&lt;P_Zero,0,IF(RAND()&lt;CondReturn,_xlfn.LOGNORM.INV(RAND(),MV2,Sigma1),IF(RAND()&lt;CondGood,_xlfn.LOGNORM.INV(RAND(),MV3,Sigma2),MIN(MaxMultiple,Xm/(1-RAND())^(1/Alpha)))))</f>
        <v>0.65606185030681374</v>
      </c>
      <c r="E455" s="19">
        <f ca="1">IF(RAND()&lt;P_Zero,0,IF(RAND()&lt;CondReturn,_xlfn.LOGNORM.INV(RAND(),MV2,Sigma1),IF(RAND()&lt;CondGood,_xlfn.LOGNORM.INV(RAND(),MV3,Sigma2),MIN(MaxMultiple,Xm/(1-RAND())^(1/Alpha)))))</f>
        <v>1.1745366012251839</v>
      </c>
      <c r="F455" s="19">
        <f ca="1">IF(RAND()&lt;P_Zero,0,IF(RAND()&lt;CondReturn,_xlfn.LOGNORM.INV(RAND(),MV2,Sigma1),IF(RAND()&lt;CondGood,_xlfn.LOGNORM.INV(RAND(),MV3,Sigma2),MIN(MaxMultiple,Xm/(1-RAND())^(1/Alpha)))))</f>
        <v>1.1066113861208087</v>
      </c>
      <c r="G455" s="19">
        <f ca="1">IF(RAND()&lt;P_Zero,0,IF(RAND()&lt;CondReturn,_xlfn.LOGNORM.INV(RAND(),MV2,Sigma1),IF(RAND()&lt;CondGood,_xlfn.LOGNORM.INV(RAND(),MV3,Sigma2),MIN(MaxMultiple,Xm/(1-RAND())^(1/Alpha)))))</f>
        <v>0</v>
      </c>
      <c r="H455" s="19">
        <f ca="1">IF(RAND()&lt;P_Zero,0,IF(RAND()&lt;CondReturn,_xlfn.LOGNORM.INV(RAND(),MV2,Sigma1),IF(RAND()&lt;CondGood,_xlfn.LOGNORM.INV(RAND(),MV3,Sigma2),MIN(MaxMultiple,Xm/(1-RAND())^(1/Alpha)))))</f>
        <v>1.1294051461066552</v>
      </c>
      <c r="I455" s="19">
        <f ca="1">IF(RAND()&lt;P_Zero,0,IF(RAND()&lt;CondReturn,_xlfn.LOGNORM.INV(RAND(),MV2,Sigma1),IF(RAND()&lt;CondGood,_xlfn.LOGNORM.INV(RAND(),MV3,Sigma2),MIN(MaxMultiple,Xm/(1-RAND())^(1/Alpha)))))</f>
        <v>0</v>
      </c>
      <c r="J455" s="19">
        <f ca="1">IF(RAND()&lt;P_Zero,0,IF(RAND()&lt;CondReturn,_xlfn.LOGNORM.INV(RAND(),MV2,Sigma1),IF(RAND()&lt;CondGood,_xlfn.LOGNORM.INV(RAND(),MV3,Sigma2),MIN(MaxMultiple,Xm/(1-RAND())^(1/Alpha)))))</f>
        <v>0.95102723033273739</v>
      </c>
      <c r="K455" s="19">
        <f ca="1">IF(RAND()&lt;P_Zero,0,IF(RAND()&lt;CondReturn,_xlfn.LOGNORM.INV(RAND(),MV2,Sigma1),IF(RAND()&lt;CondGood,_xlfn.LOGNORM.INV(RAND(),MV3,Sigma2),MIN(MaxMultiple,Xm/(1-RAND())^(1/Alpha)))))</f>
        <v>0</v>
      </c>
      <c r="L455" s="19">
        <f ca="1">IF(RAND()&lt;P_Zero,0,IF(RAND()&lt;CondReturn,_xlfn.LOGNORM.INV(RAND(),MV2,Sigma1),IF(RAND()&lt;CondGood,_xlfn.LOGNORM.INV(RAND(),MV3,Sigma2),MIN(MaxMultiple,Xm/(1-RAND())^(1/Alpha)))))</f>
        <v>0</v>
      </c>
      <c r="M455" s="19">
        <f ca="1">IF(RAND()&lt;P_Zero,0,IF(RAND()&lt;CondReturn,_xlfn.LOGNORM.INV(RAND(),MV2,Sigma1),IF(RAND()&lt;CondGood,_xlfn.LOGNORM.INV(RAND(),MV3,Sigma2),MIN(MaxMultiple,Xm/(1-RAND())^(1/Alpha)))))</f>
        <v>0.994657725941403</v>
      </c>
      <c r="N455" s="19">
        <f ca="1">IF(RAND()&lt;P_Zero,0,IF(RAND()&lt;CondReturn,_xlfn.LOGNORM.INV(RAND(),MV2,Sigma1),IF(RAND()&lt;CondGood,_xlfn.LOGNORM.INV(RAND(),MV3,Sigma2),MIN(MaxMultiple,Xm/(1-RAND())^(1/Alpha)))))</f>
        <v>2.1854317491260442</v>
      </c>
      <c r="O455" s="19">
        <f ca="1">IF(RAND()&lt;P_Zero,0,IF(RAND()&lt;CondReturn,_xlfn.LOGNORM.INV(RAND(),MV2,Sigma1),IF(RAND()&lt;CondGood,_xlfn.LOGNORM.INV(RAND(),MV3,Sigma2),MIN(MaxMultiple,Xm/(1-RAND())^(1/Alpha)))))</f>
        <v>34.34304137095446</v>
      </c>
      <c r="P455" s="19">
        <f ca="1">IF(RAND()&lt;P_Zero,0,IF(RAND()&lt;CondReturn,_xlfn.LOGNORM.INV(RAND(),MV2,Sigma1),IF(RAND()&lt;CondGood,_xlfn.LOGNORM.INV(RAND(),MV3,Sigma2),MIN(MaxMultiple,Xm/(1-RAND())^(1/Alpha)))))</f>
        <v>0.83291940782731455</v>
      </c>
      <c r="Q455" s="19">
        <f ca="1">IF(RAND()&lt;P_Zero,0,IF(RAND()&lt;CondReturn,_xlfn.LOGNORM.INV(RAND(),MV2,Sigma1),IF(RAND()&lt;CondGood,_xlfn.LOGNORM.INV(RAND(),MV3,Sigma2),MIN(MaxMultiple,Xm/(1-RAND())^(1/Alpha)))))</f>
        <v>0</v>
      </c>
      <c r="R455" s="19">
        <f ca="1">IF(RAND()&lt;P_Zero,0,IF(RAND()&lt;CondReturn,_xlfn.LOGNORM.INV(RAND(),MV2,Sigma1),IF(RAND()&lt;CondGood,_xlfn.LOGNORM.INV(RAND(),MV3,Sigma2),MIN(MaxMultiple,Xm/(1-RAND())^(1/Alpha)))))</f>
        <v>0</v>
      </c>
      <c r="S455" s="19">
        <f ca="1">IF(RAND()&lt;P_Zero,0,IF(RAND()&lt;CondReturn,_xlfn.LOGNORM.INV(RAND(),MV2,Sigma1),IF(RAND()&lt;CondGood,_xlfn.LOGNORM.INV(RAND(),MV3,Sigma2),MIN(MaxMultiple,Xm/(1-RAND())^(1/Alpha)))))</f>
        <v>0</v>
      </c>
      <c r="T455" s="19">
        <f ca="1">IF(RAND()&lt;P_Zero,0,IF(RAND()&lt;CondReturn,_xlfn.LOGNORM.INV(RAND(),MV2,Sigma1),IF(RAND()&lt;CondGood,_xlfn.LOGNORM.INV(RAND(),MV3,Sigma2),MIN(MaxMultiple,Xm/(1-RAND())^(1/Alpha)))))</f>
        <v>16.628421543151124</v>
      </c>
      <c r="U455" s="19">
        <f ca="1">IF(RAND()&lt;P_Zero,0,IF(RAND()&lt;CondReturn,_xlfn.LOGNORM.INV(RAND(),MV2,Sigma1),IF(RAND()&lt;CondGood,_xlfn.LOGNORM.INV(RAND(),MV3,Sigma2),MIN(MaxMultiple,Xm/(1-RAND())^(1/Alpha)))))</f>
        <v>1.1029341625631677</v>
      </c>
      <c r="V455" s="19">
        <f ca="1">IF(RAND()&lt;P_Zero,0,IF(RAND()&lt;CondReturn,_xlfn.LOGNORM.INV(RAND(),MV2,Sigma1),IF(RAND()&lt;CondGood,_xlfn.LOGNORM.INV(RAND(),MV3,Sigma2),MIN(MaxMultiple,Xm/(1-RAND())^(1/Alpha)))))</f>
        <v>0.95656812328443397</v>
      </c>
      <c r="W455" s="19">
        <f ca="1">IF(RAND()&lt;P_Zero,0,IF(RAND()&lt;CondReturn,_xlfn.LOGNORM.INV(RAND(),MV2,Sigma1),IF(RAND()&lt;CondGood,_xlfn.LOGNORM.INV(RAND(),MV3,Sigma2),MIN(MaxMultiple,Xm/(1-RAND())^(1/Alpha)))))</f>
        <v>0</v>
      </c>
      <c r="X455" s="19">
        <f ca="1">IF(RAND()&lt;P_Zero,0,IF(RAND()&lt;CondReturn,_xlfn.LOGNORM.INV(RAND(),MV2,Sigma1),IF(RAND()&lt;CondGood,_xlfn.LOGNORM.INV(RAND(),MV3,Sigma2),MIN(MaxMultiple,Xm/(1-RAND())^(1/Alpha)))))</f>
        <v>0</v>
      </c>
      <c r="Y455" s="19">
        <f ca="1">IF(RAND()&lt;P_Zero,0,IF(RAND()&lt;CondReturn,_xlfn.LOGNORM.INV(RAND(),MV2,Sigma1),IF(RAND()&lt;CondGood,_xlfn.LOGNORM.INV(RAND(),MV3,Sigma2),MIN(MaxMultiple,Xm/(1-RAND())^(1/Alpha)))))</f>
        <v>0.65664845475185851</v>
      </c>
      <c r="Z455" s="19">
        <f ca="1">IF(RAND()&lt;P_Zero,0,IF(RAND()&lt;CondReturn,_xlfn.LOGNORM.INV(RAND(),MV2,Sigma1),IF(RAND()&lt;CondGood,_xlfn.LOGNORM.INV(RAND(),MV3,Sigma2),MIN(MaxMultiple,Xm/(1-RAND())^(1/Alpha)))))</f>
        <v>11.760474204930315</v>
      </c>
      <c r="AA455" s="19">
        <f ca="1">IF(RAND()&lt;P_Zero,0,IF(RAND()&lt;CondReturn,_xlfn.LOGNORM.INV(RAND(),MV2,Sigma1),IF(RAND()&lt;CondGood,_xlfn.LOGNORM.INV(RAND(),MV3,Sigma2),MIN(MaxMultiple,Xm/(1-RAND())^(1/Alpha)))))</f>
        <v>0.68297707967279531</v>
      </c>
      <c r="AB455" s="19">
        <f t="shared" ca="1" si="56"/>
        <v>3.0547016235639677</v>
      </c>
      <c r="AC455" s="14">
        <f t="shared" ca="1" si="57"/>
        <v>146625677.93107045</v>
      </c>
      <c r="AD455" s="14">
        <f t="shared" ca="1" si="58"/>
        <v>98625677.931070447</v>
      </c>
      <c r="AE455" s="14">
        <f t="shared" si="59"/>
        <v>55628399.869093813</v>
      </c>
      <c r="AF455" s="14">
        <f t="shared" ca="1" si="60"/>
        <v>42997278.061976634</v>
      </c>
      <c r="AG455" s="14">
        <f t="shared" ca="1" si="61"/>
        <v>8599455.6123953275</v>
      </c>
      <c r="AH455" s="14">
        <f t="shared" ca="1" si="62"/>
        <v>138026222.31867513</v>
      </c>
      <c r="AI455" s="19">
        <f t="shared" ca="1" si="63"/>
        <v>2.3004370386445854</v>
      </c>
    </row>
    <row r="456" spans="2:35" x14ac:dyDescent="0.2">
      <c r="B456" s="1">
        <v>451</v>
      </c>
      <c r="C456" s="19">
        <f ca="1">IF(RAND()&lt;P_Zero,0,IF(RAND()&lt;CondReturn,_xlfn.LOGNORM.INV(RAND(),MV2,Sigma1),IF(RAND()&lt;CondGood,_xlfn.LOGNORM.INV(RAND(),MV3,Sigma2),MIN(MaxMultiple,Xm/(1-RAND())^(1/Alpha)))))</f>
        <v>12.243139139918748</v>
      </c>
      <c r="D456" s="19">
        <f ca="1">IF(RAND()&lt;P_Zero,0,IF(RAND()&lt;CondReturn,_xlfn.LOGNORM.INV(RAND(),MV2,Sigma1),IF(RAND()&lt;CondGood,_xlfn.LOGNORM.INV(RAND(),MV3,Sigma2),MIN(MaxMultiple,Xm/(1-RAND())^(1/Alpha)))))</f>
        <v>1.4153336892541777</v>
      </c>
      <c r="E456" s="19">
        <f ca="1">IF(RAND()&lt;P_Zero,0,IF(RAND()&lt;CondReturn,_xlfn.LOGNORM.INV(RAND(),MV2,Sigma1),IF(RAND()&lt;CondGood,_xlfn.LOGNORM.INV(RAND(),MV3,Sigma2),MIN(MaxMultiple,Xm/(1-RAND())^(1/Alpha)))))</f>
        <v>0.58059604787378061</v>
      </c>
      <c r="F456" s="19">
        <f ca="1">IF(RAND()&lt;P_Zero,0,IF(RAND()&lt;CondReturn,_xlfn.LOGNORM.INV(RAND(),MV2,Sigma1),IF(RAND()&lt;CondGood,_xlfn.LOGNORM.INV(RAND(),MV3,Sigma2),MIN(MaxMultiple,Xm/(1-RAND())^(1/Alpha)))))</f>
        <v>0.59905244489534726</v>
      </c>
      <c r="G456" s="19">
        <f ca="1">IF(RAND()&lt;P_Zero,0,IF(RAND()&lt;CondReturn,_xlfn.LOGNORM.INV(RAND(),MV2,Sigma1),IF(RAND()&lt;CondGood,_xlfn.LOGNORM.INV(RAND(),MV3,Sigma2),MIN(MaxMultiple,Xm/(1-RAND())^(1/Alpha)))))</f>
        <v>0</v>
      </c>
      <c r="H456" s="19">
        <f ca="1">IF(RAND()&lt;P_Zero,0,IF(RAND()&lt;CondReturn,_xlfn.LOGNORM.INV(RAND(),MV2,Sigma1),IF(RAND()&lt;CondGood,_xlfn.LOGNORM.INV(RAND(),MV3,Sigma2),MIN(MaxMultiple,Xm/(1-RAND())^(1/Alpha)))))</f>
        <v>0</v>
      </c>
      <c r="I456" s="19">
        <f ca="1">IF(RAND()&lt;P_Zero,0,IF(RAND()&lt;CondReturn,_xlfn.LOGNORM.INV(RAND(),MV2,Sigma1),IF(RAND()&lt;CondGood,_xlfn.LOGNORM.INV(RAND(),MV3,Sigma2),MIN(MaxMultiple,Xm/(1-RAND())^(1/Alpha)))))</f>
        <v>1.5142728864065962</v>
      </c>
      <c r="J456" s="19">
        <f ca="1">IF(RAND()&lt;P_Zero,0,IF(RAND()&lt;CondReturn,_xlfn.LOGNORM.INV(RAND(),MV2,Sigma1),IF(RAND()&lt;CondGood,_xlfn.LOGNORM.INV(RAND(),MV3,Sigma2),MIN(MaxMultiple,Xm/(1-RAND())^(1/Alpha)))))</f>
        <v>1.2491073442506668</v>
      </c>
      <c r="K456" s="19">
        <f ca="1">IF(RAND()&lt;P_Zero,0,IF(RAND()&lt;CondReturn,_xlfn.LOGNORM.INV(RAND(),MV2,Sigma1),IF(RAND()&lt;CondGood,_xlfn.LOGNORM.INV(RAND(),MV3,Sigma2),MIN(MaxMultiple,Xm/(1-RAND())^(1/Alpha)))))</f>
        <v>0</v>
      </c>
      <c r="L456" s="19">
        <f ca="1">IF(RAND()&lt;P_Zero,0,IF(RAND()&lt;CondReturn,_xlfn.LOGNORM.INV(RAND(),MV2,Sigma1),IF(RAND()&lt;CondGood,_xlfn.LOGNORM.INV(RAND(),MV3,Sigma2),MIN(MaxMultiple,Xm/(1-RAND())^(1/Alpha)))))</f>
        <v>0.59207290628085896</v>
      </c>
      <c r="M456" s="19">
        <f ca="1">IF(RAND()&lt;P_Zero,0,IF(RAND()&lt;CondReturn,_xlfn.LOGNORM.INV(RAND(),MV2,Sigma1),IF(RAND()&lt;CondGood,_xlfn.LOGNORM.INV(RAND(),MV3,Sigma2),MIN(MaxMultiple,Xm/(1-RAND())^(1/Alpha)))))</f>
        <v>1.0745313695678247</v>
      </c>
      <c r="N456" s="19">
        <f ca="1">IF(RAND()&lt;P_Zero,0,IF(RAND()&lt;CondReturn,_xlfn.LOGNORM.INV(RAND(),MV2,Sigma1),IF(RAND()&lt;CondGood,_xlfn.LOGNORM.INV(RAND(),MV3,Sigma2),MIN(MaxMultiple,Xm/(1-RAND())^(1/Alpha)))))</f>
        <v>1.0412949056872969</v>
      </c>
      <c r="O456" s="19">
        <f ca="1">IF(RAND()&lt;P_Zero,0,IF(RAND()&lt;CondReturn,_xlfn.LOGNORM.INV(RAND(),MV2,Sigma1),IF(RAND()&lt;CondGood,_xlfn.LOGNORM.INV(RAND(),MV3,Sigma2),MIN(MaxMultiple,Xm/(1-RAND())^(1/Alpha)))))</f>
        <v>0</v>
      </c>
      <c r="P456" s="19">
        <f ca="1">IF(RAND()&lt;P_Zero,0,IF(RAND()&lt;CondReturn,_xlfn.LOGNORM.INV(RAND(),MV2,Sigma1),IF(RAND()&lt;CondGood,_xlfn.LOGNORM.INV(RAND(),MV3,Sigma2),MIN(MaxMultiple,Xm/(1-RAND())^(1/Alpha)))))</f>
        <v>1.1141392834984252</v>
      </c>
      <c r="Q456" s="19">
        <f ca="1">IF(RAND()&lt;P_Zero,0,IF(RAND()&lt;CondReturn,_xlfn.LOGNORM.INV(RAND(),MV2,Sigma1),IF(RAND()&lt;CondGood,_xlfn.LOGNORM.INV(RAND(),MV3,Sigma2),MIN(MaxMultiple,Xm/(1-RAND())^(1/Alpha)))))</f>
        <v>0</v>
      </c>
      <c r="R456" s="19">
        <f ca="1">IF(RAND()&lt;P_Zero,0,IF(RAND()&lt;CondReturn,_xlfn.LOGNORM.INV(RAND(),MV2,Sigma1),IF(RAND()&lt;CondGood,_xlfn.LOGNORM.INV(RAND(),MV3,Sigma2),MIN(MaxMultiple,Xm/(1-RAND())^(1/Alpha)))))</f>
        <v>0.50882363893496563</v>
      </c>
      <c r="S456" s="19">
        <f ca="1">IF(RAND()&lt;P_Zero,0,IF(RAND()&lt;CondReturn,_xlfn.LOGNORM.INV(RAND(),MV2,Sigma1),IF(RAND()&lt;CondGood,_xlfn.LOGNORM.INV(RAND(),MV3,Sigma2),MIN(MaxMultiple,Xm/(1-RAND())^(1/Alpha)))))</f>
        <v>0.86489520621648375</v>
      </c>
      <c r="T456" s="19">
        <f ca="1">IF(RAND()&lt;P_Zero,0,IF(RAND()&lt;CondReturn,_xlfn.LOGNORM.INV(RAND(),MV2,Sigma1),IF(RAND()&lt;CondGood,_xlfn.LOGNORM.INV(RAND(),MV3,Sigma2),MIN(MaxMultiple,Xm/(1-RAND())^(1/Alpha)))))</f>
        <v>0</v>
      </c>
      <c r="U456" s="19">
        <f ca="1">IF(RAND()&lt;P_Zero,0,IF(RAND()&lt;CondReturn,_xlfn.LOGNORM.INV(RAND(),MV2,Sigma1),IF(RAND()&lt;CondGood,_xlfn.LOGNORM.INV(RAND(),MV3,Sigma2),MIN(MaxMultiple,Xm/(1-RAND())^(1/Alpha)))))</f>
        <v>1.3299660256146799</v>
      </c>
      <c r="V456" s="19">
        <f ca="1">IF(RAND()&lt;P_Zero,0,IF(RAND()&lt;CondReturn,_xlfn.LOGNORM.INV(RAND(),MV2,Sigma1),IF(RAND()&lt;CondGood,_xlfn.LOGNORM.INV(RAND(),MV3,Sigma2),MIN(MaxMultiple,Xm/(1-RAND())^(1/Alpha)))))</f>
        <v>1.7612579083861994</v>
      </c>
      <c r="W456" s="19">
        <f ca="1">IF(RAND()&lt;P_Zero,0,IF(RAND()&lt;CondReturn,_xlfn.LOGNORM.INV(RAND(),MV2,Sigma1),IF(RAND()&lt;CondGood,_xlfn.LOGNORM.INV(RAND(),MV3,Sigma2),MIN(MaxMultiple,Xm/(1-RAND())^(1/Alpha)))))</f>
        <v>0.74010398430093938</v>
      </c>
      <c r="X456" s="19">
        <f ca="1">IF(RAND()&lt;P_Zero,0,IF(RAND()&lt;CondReturn,_xlfn.LOGNORM.INV(RAND(),MV2,Sigma1),IF(RAND()&lt;CondGood,_xlfn.LOGNORM.INV(RAND(),MV3,Sigma2),MIN(MaxMultiple,Xm/(1-RAND())^(1/Alpha)))))</f>
        <v>1.0849866544845141</v>
      </c>
      <c r="Y456" s="19">
        <f ca="1">IF(RAND()&lt;P_Zero,0,IF(RAND()&lt;CondReturn,_xlfn.LOGNORM.INV(RAND(),MV2,Sigma1),IF(RAND()&lt;CondGood,_xlfn.LOGNORM.INV(RAND(),MV3,Sigma2),MIN(MaxMultiple,Xm/(1-RAND())^(1/Alpha)))))</f>
        <v>0</v>
      </c>
      <c r="Z456" s="19">
        <f ca="1">IF(RAND()&lt;P_Zero,0,IF(RAND()&lt;CondReturn,_xlfn.LOGNORM.INV(RAND(),MV2,Sigma1),IF(RAND()&lt;CondGood,_xlfn.LOGNORM.INV(RAND(),MV3,Sigma2),MIN(MaxMultiple,Xm/(1-RAND())^(1/Alpha)))))</f>
        <v>2.206996185403677</v>
      </c>
      <c r="AA456" s="19">
        <f ca="1">IF(RAND()&lt;P_Zero,0,IF(RAND()&lt;CondReturn,_xlfn.LOGNORM.INV(RAND(),MV2,Sigma1),IF(RAND()&lt;CondGood,_xlfn.LOGNORM.INV(RAND(),MV3,Sigma2),MIN(MaxMultiple,Xm/(1-RAND())^(1/Alpha)))))</f>
        <v>0</v>
      </c>
      <c r="AB456" s="19">
        <f t="shared" ca="1" si="56"/>
        <v>1.1968227848390074</v>
      </c>
      <c r="AC456" s="14">
        <f t="shared" ca="1" si="57"/>
        <v>57447493.672272354</v>
      </c>
      <c r="AD456" s="14">
        <f t="shared" ca="1" si="58"/>
        <v>9447493.6722723544</v>
      </c>
      <c r="AE456" s="14">
        <f t="shared" si="59"/>
        <v>55628399.869093813</v>
      </c>
      <c r="AF456" s="14">
        <f t="shared" ca="1" si="60"/>
        <v>0</v>
      </c>
      <c r="AG456" s="14">
        <f t="shared" ca="1" si="61"/>
        <v>0</v>
      </c>
      <c r="AH456" s="14">
        <f t="shared" ca="1" si="62"/>
        <v>57447493.672272354</v>
      </c>
      <c r="AI456" s="19">
        <f t="shared" ca="1" si="63"/>
        <v>0.95745822787120594</v>
      </c>
    </row>
    <row r="457" spans="2:35" x14ac:dyDescent="0.2">
      <c r="B457" s="1">
        <v>452</v>
      </c>
      <c r="C457" s="19">
        <f ca="1">IF(RAND()&lt;P_Zero,0,IF(RAND()&lt;CondReturn,_xlfn.LOGNORM.INV(RAND(),MV2,Sigma1),IF(RAND()&lt;CondGood,_xlfn.LOGNORM.INV(RAND(),MV3,Sigma2),MIN(MaxMultiple,Xm/(1-RAND())^(1/Alpha)))))</f>
        <v>0</v>
      </c>
      <c r="D457" s="19">
        <f ca="1">IF(RAND()&lt;P_Zero,0,IF(RAND()&lt;CondReturn,_xlfn.LOGNORM.INV(RAND(),MV2,Sigma1),IF(RAND()&lt;CondGood,_xlfn.LOGNORM.INV(RAND(),MV3,Sigma2),MIN(MaxMultiple,Xm/(1-RAND())^(1/Alpha)))))</f>
        <v>2.4802699053489046</v>
      </c>
      <c r="E457" s="19">
        <f ca="1">IF(RAND()&lt;P_Zero,0,IF(RAND()&lt;CondReturn,_xlfn.LOGNORM.INV(RAND(),MV2,Sigma1),IF(RAND()&lt;CondGood,_xlfn.LOGNORM.INV(RAND(),MV3,Sigma2),MIN(MaxMultiple,Xm/(1-RAND())^(1/Alpha)))))</f>
        <v>37.760507053462476</v>
      </c>
      <c r="F457" s="19">
        <f ca="1">IF(RAND()&lt;P_Zero,0,IF(RAND()&lt;CondReturn,_xlfn.LOGNORM.INV(RAND(),MV2,Sigma1),IF(RAND()&lt;CondGood,_xlfn.LOGNORM.INV(RAND(),MV3,Sigma2),MIN(MaxMultiple,Xm/(1-RAND())^(1/Alpha)))))</f>
        <v>15.677905602656383</v>
      </c>
      <c r="G457" s="19">
        <f ca="1">IF(RAND()&lt;P_Zero,0,IF(RAND()&lt;CondReturn,_xlfn.LOGNORM.INV(RAND(),MV2,Sigma1),IF(RAND()&lt;CondGood,_xlfn.LOGNORM.INV(RAND(),MV3,Sigma2),MIN(MaxMultiple,Xm/(1-RAND())^(1/Alpha)))))</f>
        <v>0</v>
      </c>
      <c r="H457" s="19">
        <f ca="1">IF(RAND()&lt;P_Zero,0,IF(RAND()&lt;CondReturn,_xlfn.LOGNORM.INV(RAND(),MV2,Sigma1),IF(RAND()&lt;CondGood,_xlfn.LOGNORM.INV(RAND(),MV3,Sigma2),MIN(MaxMultiple,Xm/(1-RAND())^(1/Alpha)))))</f>
        <v>0</v>
      </c>
      <c r="I457" s="19">
        <f ca="1">IF(RAND()&lt;P_Zero,0,IF(RAND()&lt;CondReturn,_xlfn.LOGNORM.INV(RAND(),MV2,Sigma1),IF(RAND()&lt;CondGood,_xlfn.LOGNORM.INV(RAND(),MV3,Sigma2),MIN(MaxMultiple,Xm/(1-RAND())^(1/Alpha)))))</f>
        <v>1.3279112305730851</v>
      </c>
      <c r="J457" s="19">
        <f ca="1">IF(RAND()&lt;P_Zero,0,IF(RAND()&lt;CondReturn,_xlfn.LOGNORM.INV(RAND(),MV2,Sigma1),IF(RAND()&lt;CondGood,_xlfn.LOGNORM.INV(RAND(),MV3,Sigma2),MIN(MaxMultiple,Xm/(1-RAND())^(1/Alpha)))))</f>
        <v>0</v>
      </c>
      <c r="K457" s="19">
        <f ca="1">IF(RAND()&lt;P_Zero,0,IF(RAND()&lt;CondReturn,_xlfn.LOGNORM.INV(RAND(),MV2,Sigma1),IF(RAND()&lt;CondGood,_xlfn.LOGNORM.INV(RAND(),MV3,Sigma2),MIN(MaxMultiple,Xm/(1-RAND())^(1/Alpha)))))</f>
        <v>0</v>
      </c>
      <c r="L457" s="19">
        <f ca="1">IF(RAND()&lt;P_Zero,0,IF(RAND()&lt;CondReturn,_xlfn.LOGNORM.INV(RAND(),MV2,Sigma1),IF(RAND()&lt;CondGood,_xlfn.LOGNORM.INV(RAND(),MV3,Sigma2),MIN(MaxMultiple,Xm/(1-RAND())^(1/Alpha)))))</f>
        <v>13.372117726809977</v>
      </c>
      <c r="M457" s="19">
        <f ca="1">IF(RAND()&lt;P_Zero,0,IF(RAND()&lt;CondReturn,_xlfn.LOGNORM.INV(RAND(),MV2,Sigma1),IF(RAND()&lt;CondGood,_xlfn.LOGNORM.INV(RAND(),MV3,Sigma2),MIN(MaxMultiple,Xm/(1-RAND())^(1/Alpha)))))</f>
        <v>0.58229967654114745</v>
      </c>
      <c r="N457" s="19">
        <f ca="1">IF(RAND()&lt;P_Zero,0,IF(RAND()&lt;CondReturn,_xlfn.LOGNORM.INV(RAND(),MV2,Sigma1),IF(RAND()&lt;CondGood,_xlfn.LOGNORM.INV(RAND(),MV3,Sigma2),MIN(MaxMultiple,Xm/(1-RAND())^(1/Alpha)))))</f>
        <v>0</v>
      </c>
      <c r="O457" s="19">
        <f ca="1">IF(RAND()&lt;P_Zero,0,IF(RAND()&lt;CondReturn,_xlfn.LOGNORM.INV(RAND(),MV2,Sigma1),IF(RAND()&lt;CondGood,_xlfn.LOGNORM.INV(RAND(),MV3,Sigma2),MIN(MaxMultiple,Xm/(1-RAND())^(1/Alpha)))))</f>
        <v>0</v>
      </c>
      <c r="P457" s="19">
        <f ca="1">IF(RAND()&lt;P_Zero,0,IF(RAND()&lt;CondReturn,_xlfn.LOGNORM.INV(RAND(),MV2,Sigma1),IF(RAND()&lt;CondGood,_xlfn.LOGNORM.INV(RAND(),MV3,Sigma2),MIN(MaxMultiple,Xm/(1-RAND())^(1/Alpha)))))</f>
        <v>14.451974299499419</v>
      </c>
      <c r="Q457" s="19">
        <f ca="1">IF(RAND()&lt;P_Zero,0,IF(RAND()&lt;CondReturn,_xlfn.LOGNORM.INV(RAND(),MV2,Sigma1),IF(RAND()&lt;CondGood,_xlfn.LOGNORM.INV(RAND(),MV3,Sigma2),MIN(MaxMultiple,Xm/(1-RAND())^(1/Alpha)))))</f>
        <v>0.92732596341237683</v>
      </c>
      <c r="R457" s="19">
        <f ca="1">IF(RAND()&lt;P_Zero,0,IF(RAND()&lt;CondReturn,_xlfn.LOGNORM.INV(RAND(),MV2,Sigma1),IF(RAND()&lt;CondGood,_xlfn.LOGNORM.INV(RAND(),MV3,Sigma2),MIN(MaxMultiple,Xm/(1-RAND())^(1/Alpha)))))</f>
        <v>0</v>
      </c>
      <c r="S457" s="19">
        <f ca="1">IF(RAND()&lt;P_Zero,0,IF(RAND()&lt;CondReturn,_xlfn.LOGNORM.INV(RAND(),MV2,Sigma1),IF(RAND()&lt;CondGood,_xlfn.LOGNORM.INV(RAND(),MV3,Sigma2),MIN(MaxMultiple,Xm/(1-RAND())^(1/Alpha)))))</f>
        <v>0.5695799627049859</v>
      </c>
      <c r="T457" s="19">
        <f ca="1">IF(RAND()&lt;P_Zero,0,IF(RAND()&lt;CondReturn,_xlfn.LOGNORM.INV(RAND(),MV2,Sigma1),IF(RAND()&lt;CondGood,_xlfn.LOGNORM.INV(RAND(),MV3,Sigma2),MIN(MaxMultiple,Xm/(1-RAND())^(1/Alpha)))))</f>
        <v>0</v>
      </c>
      <c r="U457" s="19">
        <f ca="1">IF(RAND()&lt;P_Zero,0,IF(RAND()&lt;CondReturn,_xlfn.LOGNORM.INV(RAND(),MV2,Sigma1),IF(RAND()&lt;CondGood,_xlfn.LOGNORM.INV(RAND(),MV3,Sigma2),MIN(MaxMultiple,Xm/(1-RAND())^(1/Alpha)))))</f>
        <v>0.86787721812807594</v>
      </c>
      <c r="V457" s="19">
        <f ca="1">IF(RAND()&lt;P_Zero,0,IF(RAND()&lt;CondReturn,_xlfn.LOGNORM.INV(RAND(),MV2,Sigma1),IF(RAND()&lt;CondGood,_xlfn.LOGNORM.INV(RAND(),MV3,Sigma2),MIN(MaxMultiple,Xm/(1-RAND())^(1/Alpha)))))</f>
        <v>0</v>
      </c>
      <c r="W457" s="19">
        <f ca="1">IF(RAND()&lt;P_Zero,0,IF(RAND()&lt;CondReturn,_xlfn.LOGNORM.INV(RAND(),MV2,Sigma1),IF(RAND()&lt;CondGood,_xlfn.LOGNORM.INV(RAND(),MV3,Sigma2),MIN(MaxMultiple,Xm/(1-RAND())^(1/Alpha)))))</f>
        <v>0.67865655571170447</v>
      </c>
      <c r="X457" s="19">
        <f ca="1">IF(RAND()&lt;P_Zero,0,IF(RAND()&lt;CondReturn,_xlfn.LOGNORM.INV(RAND(),MV2,Sigma1),IF(RAND()&lt;CondGood,_xlfn.LOGNORM.INV(RAND(),MV3,Sigma2),MIN(MaxMultiple,Xm/(1-RAND())^(1/Alpha)))))</f>
        <v>0</v>
      </c>
      <c r="Y457" s="19">
        <f ca="1">IF(RAND()&lt;P_Zero,0,IF(RAND()&lt;CondReturn,_xlfn.LOGNORM.INV(RAND(),MV2,Sigma1),IF(RAND()&lt;CondGood,_xlfn.LOGNORM.INV(RAND(),MV3,Sigma2),MIN(MaxMultiple,Xm/(1-RAND())^(1/Alpha)))))</f>
        <v>0</v>
      </c>
      <c r="Z457" s="19">
        <f ca="1">IF(RAND()&lt;P_Zero,0,IF(RAND()&lt;CondReturn,_xlfn.LOGNORM.INV(RAND(),MV2,Sigma1),IF(RAND()&lt;CondGood,_xlfn.LOGNORM.INV(RAND(),MV3,Sigma2),MIN(MaxMultiple,Xm/(1-RAND())^(1/Alpha)))))</f>
        <v>1.2455717154621244</v>
      </c>
      <c r="AA457" s="19">
        <f ca="1">IF(RAND()&lt;P_Zero,0,IF(RAND()&lt;CondReturn,_xlfn.LOGNORM.INV(RAND(),MV2,Sigma1),IF(RAND()&lt;CondGood,_xlfn.LOGNORM.INV(RAND(),MV3,Sigma2),MIN(MaxMultiple,Xm/(1-RAND())^(1/Alpha)))))</f>
        <v>0</v>
      </c>
      <c r="AB457" s="19">
        <f t="shared" ca="1" si="56"/>
        <v>3.5976798764124265</v>
      </c>
      <c r="AC457" s="14">
        <f t="shared" ca="1" si="57"/>
        <v>172688634.06779647</v>
      </c>
      <c r="AD457" s="14">
        <f t="shared" ca="1" si="58"/>
        <v>124688634.06779647</v>
      </c>
      <c r="AE457" s="14">
        <f t="shared" si="59"/>
        <v>55628399.869093813</v>
      </c>
      <c r="AF457" s="14">
        <f t="shared" ca="1" si="60"/>
        <v>69060234.198702663</v>
      </c>
      <c r="AG457" s="14">
        <f t="shared" ca="1" si="61"/>
        <v>13812046.839740533</v>
      </c>
      <c r="AH457" s="14">
        <f t="shared" ca="1" si="62"/>
        <v>158876587.22805592</v>
      </c>
      <c r="AI457" s="19">
        <f t="shared" ca="1" si="63"/>
        <v>2.6479431204675987</v>
      </c>
    </row>
    <row r="458" spans="2:35" x14ac:dyDescent="0.2">
      <c r="B458" s="1">
        <v>453</v>
      </c>
      <c r="C458" s="19">
        <f ca="1">IF(RAND()&lt;P_Zero,0,IF(RAND()&lt;CondReturn,_xlfn.LOGNORM.INV(RAND(),MV2,Sigma1),IF(RAND()&lt;CondGood,_xlfn.LOGNORM.INV(RAND(),MV3,Sigma2),MIN(MaxMultiple,Xm/(1-RAND())^(1/Alpha)))))</f>
        <v>0.76099291993114337</v>
      </c>
      <c r="D458" s="19">
        <f ca="1">IF(RAND()&lt;P_Zero,0,IF(RAND()&lt;CondReturn,_xlfn.LOGNORM.INV(RAND(),MV2,Sigma1),IF(RAND()&lt;CondGood,_xlfn.LOGNORM.INV(RAND(),MV3,Sigma2),MIN(MaxMultiple,Xm/(1-RAND())^(1/Alpha)))))</f>
        <v>0</v>
      </c>
      <c r="E458" s="19">
        <f ca="1">IF(RAND()&lt;P_Zero,0,IF(RAND()&lt;CondReturn,_xlfn.LOGNORM.INV(RAND(),MV2,Sigma1),IF(RAND()&lt;CondGood,_xlfn.LOGNORM.INV(RAND(),MV3,Sigma2),MIN(MaxMultiple,Xm/(1-RAND())^(1/Alpha)))))</f>
        <v>0</v>
      </c>
      <c r="F458" s="19">
        <f ca="1">IF(RAND()&lt;P_Zero,0,IF(RAND()&lt;CondReturn,_xlfn.LOGNORM.INV(RAND(),MV2,Sigma1),IF(RAND()&lt;CondGood,_xlfn.LOGNORM.INV(RAND(),MV3,Sigma2),MIN(MaxMultiple,Xm/(1-RAND())^(1/Alpha)))))</f>
        <v>1.217680671569729</v>
      </c>
      <c r="G458" s="19">
        <f ca="1">IF(RAND()&lt;P_Zero,0,IF(RAND()&lt;CondReturn,_xlfn.LOGNORM.INV(RAND(),MV2,Sigma1),IF(RAND()&lt;CondGood,_xlfn.LOGNORM.INV(RAND(),MV3,Sigma2),MIN(MaxMultiple,Xm/(1-RAND())^(1/Alpha)))))</f>
        <v>1.3465499280441073</v>
      </c>
      <c r="H458" s="19">
        <f ca="1">IF(RAND()&lt;P_Zero,0,IF(RAND()&lt;CondReturn,_xlfn.LOGNORM.INV(RAND(),MV2,Sigma1),IF(RAND()&lt;CondGood,_xlfn.LOGNORM.INV(RAND(),MV3,Sigma2),MIN(MaxMultiple,Xm/(1-RAND())^(1/Alpha)))))</f>
        <v>0</v>
      </c>
      <c r="I458" s="19">
        <f ca="1">IF(RAND()&lt;P_Zero,0,IF(RAND()&lt;CondReturn,_xlfn.LOGNORM.INV(RAND(),MV2,Sigma1),IF(RAND()&lt;CondGood,_xlfn.LOGNORM.INV(RAND(),MV3,Sigma2),MIN(MaxMultiple,Xm/(1-RAND())^(1/Alpha)))))</f>
        <v>0.79684023084803957</v>
      </c>
      <c r="J458" s="19">
        <f ca="1">IF(RAND()&lt;P_Zero,0,IF(RAND()&lt;CondReturn,_xlfn.LOGNORM.INV(RAND(),MV2,Sigma1),IF(RAND()&lt;CondGood,_xlfn.LOGNORM.INV(RAND(),MV3,Sigma2),MIN(MaxMultiple,Xm/(1-RAND())^(1/Alpha)))))</f>
        <v>0</v>
      </c>
      <c r="K458" s="19">
        <f ca="1">IF(RAND()&lt;P_Zero,0,IF(RAND()&lt;CondReturn,_xlfn.LOGNORM.INV(RAND(),MV2,Sigma1),IF(RAND()&lt;CondGood,_xlfn.LOGNORM.INV(RAND(),MV3,Sigma2),MIN(MaxMultiple,Xm/(1-RAND())^(1/Alpha)))))</f>
        <v>0</v>
      </c>
      <c r="L458" s="19">
        <f ca="1">IF(RAND()&lt;P_Zero,0,IF(RAND()&lt;CondReturn,_xlfn.LOGNORM.INV(RAND(),MV2,Sigma1),IF(RAND()&lt;CondGood,_xlfn.LOGNORM.INV(RAND(),MV3,Sigma2),MIN(MaxMultiple,Xm/(1-RAND())^(1/Alpha)))))</f>
        <v>0</v>
      </c>
      <c r="M458" s="19">
        <f ca="1">IF(RAND()&lt;P_Zero,0,IF(RAND()&lt;CondReturn,_xlfn.LOGNORM.INV(RAND(),MV2,Sigma1),IF(RAND()&lt;CondGood,_xlfn.LOGNORM.INV(RAND(),MV3,Sigma2),MIN(MaxMultiple,Xm/(1-RAND())^(1/Alpha)))))</f>
        <v>1.4254507701463623</v>
      </c>
      <c r="N458" s="19">
        <f ca="1">IF(RAND()&lt;P_Zero,0,IF(RAND()&lt;CondReturn,_xlfn.LOGNORM.INV(RAND(),MV2,Sigma1),IF(RAND()&lt;CondGood,_xlfn.LOGNORM.INV(RAND(),MV3,Sigma2),MIN(MaxMultiple,Xm/(1-RAND())^(1/Alpha)))))</f>
        <v>2.5620663158057835</v>
      </c>
      <c r="O458" s="19">
        <f ca="1">IF(RAND()&lt;P_Zero,0,IF(RAND()&lt;CondReturn,_xlfn.LOGNORM.INV(RAND(),MV2,Sigma1),IF(RAND()&lt;CondGood,_xlfn.LOGNORM.INV(RAND(),MV3,Sigma2),MIN(MaxMultiple,Xm/(1-RAND())^(1/Alpha)))))</f>
        <v>0</v>
      </c>
      <c r="P458" s="19">
        <f ca="1">IF(RAND()&lt;P_Zero,0,IF(RAND()&lt;CondReturn,_xlfn.LOGNORM.INV(RAND(),MV2,Sigma1),IF(RAND()&lt;CondGood,_xlfn.LOGNORM.INV(RAND(),MV3,Sigma2),MIN(MaxMultiple,Xm/(1-RAND())^(1/Alpha)))))</f>
        <v>1.208903359175852</v>
      </c>
      <c r="Q458" s="19">
        <f ca="1">IF(RAND()&lt;P_Zero,0,IF(RAND()&lt;CondReturn,_xlfn.LOGNORM.INV(RAND(),MV2,Sigma1),IF(RAND()&lt;CondGood,_xlfn.LOGNORM.INV(RAND(),MV3,Sigma2),MIN(MaxMultiple,Xm/(1-RAND())^(1/Alpha)))))</f>
        <v>0</v>
      </c>
      <c r="R458" s="19">
        <f ca="1">IF(RAND()&lt;P_Zero,0,IF(RAND()&lt;CondReturn,_xlfn.LOGNORM.INV(RAND(),MV2,Sigma1),IF(RAND()&lt;CondGood,_xlfn.LOGNORM.INV(RAND(),MV3,Sigma2),MIN(MaxMultiple,Xm/(1-RAND())^(1/Alpha)))))</f>
        <v>0</v>
      </c>
      <c r="S458" s="19">
        <f ca="1">IF(RAND()&lt;P_Zero,0,IF(RAND()&lt;CondReturn,_xlfn.LOGNORM.INV(RAND(),MV2,Sigma1),IF(RAND()&lt;CondGood,_xlfn.LOGNORM.INV(RAND(),MV3,Sigma2),MIN(MaxMultiple,Xm/(1-RAND())^(1/Alpha)))))</f>
        <v>0</v>
      </c>
      <c r="T458" s="19">
        <f ca="1">IF(RAND()&lt;P_Zero,0,IF(RAND()&lt;CondReturn,_xlfn.LOGNORM.INV(RAND(),MV2,Sigma1),IF(RAND()&lt;CondGood,_xlfn.LOGNORM.INV(RAND(),MV3,Sigma2),MIN(MaxMultiple,Xm/(1-RAND())^(1/Alpha)))))</f>
        <v>0</v>
      </c>
      <c r="U458" s="19">
        <f ca="1">IF(RAND()&lt;P_Zero,0,IF(RAND()&lt;CondReturn,_xlfn.LOGNORM.INV(RAND(),MV2,Sigma1),IF(RAND()&lt;CondGood,_xlfn.LOGNORM.INV(RAND(),MV3,Sigma2),MIN(MaxMultiple,Xm/(1-RAND())^(1/Alpha)))))</f>
        <v>0</v>
      </c>
      <c r="V458" s="19">
        <f ca="1">IF(RAND()&lt;P_Zero,0,IF(RAND()&lt;CondReturn,_xlfn.LOGNORM.INV(RAND(),MV2,Sigma1),IF(RAND()&lt;CondGood,_xlfn.LOGNORM.INV(RAND(),MV3,Sigma2),MIN(MaxMultiple,Xm/(1-RAND())^(1/Alpha)))))</f>
        <v>0.94820973619390903</v>
      </c>
      <c r="W458" s="19">
        <f ca="1">IF(RAND()&lt;P_Zero,0,IF(RAND()&lt;CondReturn,_xlfn.LOGNORM.INV(RAND(),MV2,Sigma1),IF(RAND()&lt;CondGood,_xlfn.LOGNORM.INV(RAND(),MV3,Sigma2),MIN(MaxMultiple,Xm/(1-RAND())^(1/Alpha)))))</f>
        <v>1.5236843126492516</v>
      </c>
      <c r="X458" s="19">
        <f ca="1">IF(RAND()&lt;P_Zero,0,IF(RAND()&lt;CondReturn,_xlfn.LOGNORM.INV(RAND(),MV2,Sigma1),IF(RAND()&lt;CondGood,_xlfn.LOGNORM.INV(RAND(),MV3,Sigma2),MIN(MaxMultiple,Xm/(1-RAND())^(1/Alpha)))))</f>
        <v>0.87944234880622674</v>
      </c>
      <c r="Y458" s="19">
        <f ca="1">IF(RAND()&lt;P_Zero,0,IF(RAND()&lt;CondReturn,_xlfn.LOGNORM.INV(RAND(),MV2,Sigma1),IF(RAND()&lt;CondGood,_xlfn.LOGNORM.INV(RAND(),MV3,Sigma2),MIN(MaxMultiple,Xm/(1-RAND())^(1/Alpha)))))</f>
        <v>20.192580776732022</v>
      </c>
      <c r="Z458" s="19">
        <f ca="1">IF(RAND()&lt;P_Zero,0,IF(RAND()&lt;CondReturn,_xlfn.LOGNORM.INV(RAND(),MV2,Sigma1),IF(RAND()&lt;CondGood,_xlfn.LOGNORM.INV(RAND(),MV3,Sigma2),MIN(MaxMultiple,Xm/(1-RAND())^(1/Alpha)))))</f>
        <v>0.8420482741829457</v>
      </c>
      <c r="AA458" s="19">
        <f ca="1">IF(RAND()&lt;P_Zero,0,IF(RAND()&lt;CondReturn,_xlfn.LOGNORM.INV(RAND(),MV2,Sigma1),IF(RAND()&lt;CondGood,_xlfn.LOGNORM.INV(RAND(),MV3,Sigma2),MIN(MaxMultiple,Xm/(1-RAND())^(1/Alpha)))))</f>
        <v>0</v>
      </c>
      <c r="AB458" s="19">
        <f t="shared" ca="1" si="56"/>
        <v>1.3481779857634149</v>
      </c>
      <c r="AC458" s="14">
        <f t="shared" ca="1" si="57"/>
        <v>64712543.316643916</v>
      </c>
      <c r="AD458" s="14">
        <f t="shared" ca="1" si="58"/>
        <v>16712543.316643916</v>
      </c>
      <c r="AE458" s="14">
        <f t="shared" si="59"/>
        <v>55628399.869093813</v>
      </c>
      <c r="AF458" s="14">
        <f t="shared" ca="1" si="60"/>
        <v>0</v>
      </c>
      <c r="AG458" s="14">
        <f t="shared" ca="1" si="61"/>
        <v>0</v>
      </c>
      <c r="AH458" s="14">
        <f t="shared" ca="1" si="62"/>
        <v>64712543.316643916</v>
      </c>
      <c r="AI458" s="19">
        <f t="shared" ca="1" si="63"/>
        <v>1.0785423886107319</v>
      </c>
    </row>
    <row r="459" spans="2:35" x14ac:dyDescent="0.2">
      <c r="B459" s="1">
        <v>454</v>
      </c>
      <c r="C459" s="19">
        <f ca="1">IF(RAND()&lt;P_Zero,0,IF(RAND()&lt;CondReturn,_xlfn.LOGNORM.INV(RAND(),MV2,Sigma1),IF(RAND()&lt;CondGood,_xlfn.LOGNORM.INV(RAND(),MV3,Sigma2),MIN(MaxMultiple,Xm/(1-RAND())^(1/Alpha)))))</f>
        <v>0.75272910502153234</v>
      </c>
      <c r="D459" s="19">
        <f ca="1">IF(RAND()&lt;P_Zero,0,IF(RAND()&lt;CondReturn,_xlfn.LOGNORM.INV(RAND(),MV2,Sigma1),IF(RAND()&lt;CondGood,_xlfn.LOGNORM.INV(RAND(),MV3,Sigma2),MIN(MaxMultiple,Xm/(1-RAND())^(1/Alpha)))))</f>
        <v>0.52839512179005588</v>
      </c>
      <c r="E459" s="19">
        <f ca="1">IF(RAND()&lt;P_Zero,0,IF(RAND()&lt;CondReturn,_xlfn.LOGNORM.INV(RAND(),MV2,Sigma1),IF(RAND()&lt;CondGood,_xlfn.LOGNORM.INV(RAND(),MV3,Sigma2),MIN(MaxMultiple,Xm/(1-RAND())^(1/Alpha)))))</f>
        <v>0.75156343040737472</v>
      </c>
      <c r="F459" s="19">
        <f ca="1">IF(RAND()&lt;P_Zero,0,IF(RAND()&lt;CondReturn,_xlfn.LOGNORM.INV(RAND(),MV2,Sigma1),IF(RAND()&lt;CondGood,_xlfn.LOGNORM.INV(RAND(),MV3,Sigma2),MIN(MaxMultiple,Xm/(1-RAND())^(1/Alpha)))))</f>
        <v>26.564696421001166</v>
      </c>
      <c r="G459" s="19">
        <f ca="1">IF(RAND()&lt;P_Zero,0,IF(RAND()&lt;CondReturn,_xlfn.LOGNORM.INV(RAND(),MV2,Sigma1),IF(RAND()&lt;CondGood,_xlfn.LOGNORM.INV(RAND(),MV3,Sigma2),MIN(MaxMultiple,Xm/(1-RAND())^(1/Alpha)))))</f>
        <v>0</v>
      </c>
      <c r="H459" s="19">
        <f ca="1">IF(RAND()&lt;P_Zero,0,IF(RAND()&lt;CondReturn,_xlfn.LOGNORM.INV(RAND(),MV2,Sigma1),IF(RAND()&lt;CondGood,_xlfn.LOGNORM.INV(RAND(),MV3,Sigma2),MIN(MaxMultiple,Xm/(1-RAND())^(1/Alpha)))))</f>
        <v>1.3266945996005575</v>
      </c>
      <c r="I459" s="19">
        <f ca="1">IF(RAND()&lt;P_Zero,0,IF(RAND()&lt;CondReturn,_xlfn.LOGNORM.INV(RAND(),MV2,Sigma1),IF(RAND()&lt;CondGood,_xlfn.LOGNORM.INV(RAND(),MV3,Sigma2),MIN(MaxMultiple,Xm/(1-RAND())^(1/Alpha)))))</f>
        <v>0.28144467211189422</v>
      </c>
      <c r="J459" s="19">
        <f ca="1">IF(RAND()&lt;P_Zero,0,IF(RAND()&lt;CondReturn,_xlfn.LOGNORM.INV(RAND(),MV2,Sigma1),IF(RAND()&lt;CondGood,_xlfn.LOGNORM.INV(RAND(),MV3,Sigma2),MIN(MaxMultiple,Xm/(1-RAND())^(1/Alpha)))))</f>
        <v>1.1155736310474824</v>
      </c>
      <c r="K459" s="19">
        <f ca="1">IF(RAND()&lt;P_Zero,0,IF(RAND()&lt;CondReturn,_xlfn.LOGNORM.INV(RAND(),MV2,Sigma1),IF(RAND()&lt;CondGood,_xlfn.LOGNORM.INV(RAND(),MV3,Sigma2),MIN(MaxMultiple,Xm/(1-RAND())^(1/Alpha)))))</f>
        <v>0.82099475844304992</v>
      </c>
      <c r="L459" s="19">
        <f ca="1">IF(RAND()&lt;P_Zero,0,IF(RAND()&lt;CondReturn,_xlfn.LOGNORM.INV(RAND(),MV2,Sigma1),IF(RAND()&lt;CondGood,_xlfn.LOGNORM.INV(RAND(),MV3,Sigma2),MIN(MaxMultiple,Xm/(1-RAND())^(1/Alpha)))))</f>
        <v>1.1596528172444787</v>
      </c>
      <c r="M459" s="19">
        <f ca="1">IF(RAND()&lt;P_Zero,0,IF(RAND()&lt;CondReturn,_xlfn.LOGNORM.INV(RAND(),MV2,Sigma1),IF(RAND()&lt;CondGood,_xlfn.LOGNORM.INV(RAND(),MV3,Sigma2),MIN(MaxMultiple,Xm/(1-RAND())^(1/Alpha)))))</f>
        <v>0</v>
      </c>
      <c r="N459" s="19">
        <f ca="1">IF(RAND()&lt;P_Zero,0,IF(RAND()&lt;CondReturn,_xlfn.LOGNORM.INV(RAND(),MV2,Sigma1),IF(RAND()&lt;CondGood,_xlfn.LOGNORM.INV(RAND(),MV3,Sigma2),MIN(MaxMultiple,Xm/(1-RAND())^(1/Alpha)))))</f>
        <v>1.344871355454049</v>
      </c>
      <c r="O459" s="19">
        <f ca="1">IF(RAND()&lt;P_Zero,0,IF(RAND()&lt;CondReturn,_xlfn.LOGNORM.INV(RAND(),MV2,Sigma1),IF(RAND()&lt;CondGood,_xlfn.LOGNORM.INV(RAND(),MV3,Sigma2),MIN(MaxMultiple,Xm/(1-RAND())^(1/Alpha)))))</f>
        <v>0.91585255942822708</v>
      </c>
      <c r="P459" s="19">
        <f ca="1">IF(RAND()&lt;P_Zero,0,IF(RAND()&lt;CondReturn,_xlfn.LOGNORM.INV(RAND(),MV2,Sigma1),IF(RAND()&lt;CondGood,_xlfn.LOGNORM.INV(RAND(),MV3,Sigma2),MIN(MaxMultiple,Xm/(1-RAND())^(1/Alpha)))))</f>
        <v>0</v>
      </c>
      <c r="Q459" s="19">
        <f ca="1">IF(RAND()&lt;P_Zero,0,IF(RAND()&lt;CondReturn,_xlfn.LOGNORM.INV(RAND(),MV2,Sigma1),IF(RAND()&lt;CondGood,_xlfn.LOGNORM.INV(RAND(),MV3,Sigma2),MIN(MaxMultiple,Xm/(1-RAND())^(1/Alpha)))))</f>
        <v>0</v>
      </c>
      <c r="R459" s="19">
        <f ca="1">IF(RAND()&lt;P_Zero,0,IF(RAND()&lt;CondReturn,_xlfn.LOGNORM.INV(RAND(),MV2,Sigma1),IF(RAND()&lt;CondGood,_xlfn.LOGNORM.INV(RAND(),MV3,Sigma2),MIN(MaxMultiple,Xm/(1-RAND())^(1/Alpha)))))</f>
        <v>0</v>
      </c>
      <c r="S459" s="19">
        <f ca="1">IF(RAND()&lt;P_Zero,0,IF(RAND()&lt;CondReturn,_xlfn.LOGNORM.INV(RAND(),MV2,Sigma1),IF(RAND()&lt;CondGood,_xlfn.LOGNORM.INV(RAND(),MV3,Sigma2),MIN(MaxMultiple,Xm/(1-RAND())^(1/Alpha)))))</f>
        <v>0.39567619677904764</v>
      </c>
      <c r="T459" s="19">
        <f ca="1">IF(RAND()&lt;P_Zero,0,IF(RAND()&lt;CondReturn,_xlfn.LOGNORM.INV(RAND(),MV2,Sigma1),IF(RAND()&lt;CondGood,_xlfn.LOGNORM.INV(RAND(),MV3,Sigma2),MIN(MaxMultiple,Xm/(1-RAND())^(1/Alpha)))))</f>
        <v>0</v>
      </c>
      <c r="U459" s="19">
        <f ca="1">IF(RAND()&lt;P_Zero,0,IF(RAND()&lt;CondReturn,_xlfn.LOGNORM.INV(RAND(),MV2,Sigma1),IF(RAND()&lt;CondGood,_xlfn.LOGNORM.INV(RAND(),MV3,Sigma2),MIN(MaxMultiple,Xm/(1-RAND())^(1/Alpha)))))</f>
        <v>0</v>
      </c>
      <c r="V459" s="19">
        <f ca="1">IF(RAND()&lt;P_Zero,0,IF(RAND()&lt;CondReturn,_xlfn.LOGNORM.INV(RAND(),MV2,Sigma1),IF(RAND()&lt;CondGood,_xlfn.LOGNORM.INV(RAND(),MV3,Sigma2),MIN(MaxMultiple,Xm/(1-RAND())^(1/Alpha)))))</f>
        <v>0.52896053039529001</v>
      </c>
      <c r="W459" s="19">
        <f ca="1">IF(RAND()&lt;P_Zero,0,IF(RAND()&lt;CondReturn,_xlfn.LOGNORM.INV(RAND(),MV2,Sigma1),IF(RAND()&lt;CondGood,_xlfn.LOGNORM.INV(RAND(),MV3,Sigma2),MIN(MaxMultiple,Xm/(1-RAND())^(1/Alpha)))))</f>
        <v>0.84124466802077458</v>
      </c>
      <c r="X459" s="19">
        <f ca="1">IF(RAND()&lt;P_Zero,0,IF(RAND()&lt;CondReturn,_xlfn.LOGNORM.INV(RAND(),MV2,Sigma1),IF(RAND()&lt;CondGood,_xlfn.LOGNORM.INV(RAND(),MV3,Sigma2),MIN(MaxMultiple,Xm/(1-RAND())^(1/Alpha)))))</f>
        <v>0</v>
      </c>
      <c r="Y459" s="19">
        <f ca="1">IF(RAND()&lt;P_Zero,0,IF(RAND()&lt;CondReturn,_xlfn.LOGNORM.INV(RAND(),MV2,Sigma1),IF(RAND()&lt;CondGood,_xlfn.LOGNORM.INV(RAND(),MV3,Sigma2),MIN(MaxMultiple,Xm/(1-RAND())^(1/Alpha)))))</f>
        <v>0</v>
      </c>
      <c r="Z459" s="19">
        <f ca="1">IF(RAND()&lt;P_Zero,0,IF(RAND()&lt;CondReturn,_xlfn.LOGNORM.INV(RAND(),MV2,Sigma1),IF(RAND()&lt;CondGood,_xlfn.LOGNORM.INV(RAND(),MV3,Sigma2),MIN(MaxMultiple,Xm/(1-RAND())^(1/Alpha)))))</f>
        <v>0</v>
      </c>
      <c r="AA459" s="19">
        <f ca="1">IF(RAND()&lt;P_Zero,0,IF(RAND()&lt;CondReturn,_xlfn.LOGNORM.INV(RAND(),MV2,Sigma1),IF(RAND()&lt;CondGood,_xlfn.LOGNORM.INV(RAND(),MV3,Sigma2),MIN(MaxMultiple,Xm/(1-RAND())^(1/Alpha)))))</f>
        <v>10.421586809280997</v>
      </c>
      <c r="AB459" s="19">
        <f t="shared" ca="1" si="56"/>
        <v>1.9099974670410389</v>
      </c>
      <c r="AC459" s="14">
        <f t="shared" ca="1" si="57"/>
        <v>91679878.417969868</v>
      </c>
      <c r="AD459" s="14">
        <f t="shared" ca="1" si="58"/>
        <v>43679878.417969868</v>
      </c>
      <c r="AE459" s="14">
        <f t="shared" si="59"/>
        <v>55628399.869093813</v>
      </c>
      <c r="AF459" s="14">
        <f t="shared" ca="1" si="60"/>
        <v>0</v>
      </c>
      <c r="AG459" s="14">
        <f t="shared" ca="1" si="61"/>
        <v>0</v>
      </c>
      <c r="AH459" s="14">
        <f t="shared" ca="1" si="62"/>
        <v>91679878.417969868</v>
      </c>
      <c r="AI459" s="19">
        <f t="shared" ca="1" si="63"/>
        <v>1.5279979736328311</v>
      </c>
    </row>
    <row r="460" spans="2:35" x14ac:dyDescent="0.2">
      <c r="B460" s="1">
        <v>455</v>
      </c>
      <c r="C460" s="19">
        <f ca="1">IF(RAND()&lt;P_Zero,0,IF(RAND()&lt;CondReturn,_xlfn.LOGNORM.INV(RAND(),MV2,Sigma1),IF(RAND()&lt;CondGood,_xlfn.LOGNORM.INV(RAND(),MV3,Sigma2),MIN(MaxMultiple,Xm/(1-RAND())^(1/Alpha)))))</f>
        <v>0.76163690507223447</v>
      </c>
      <c r="D460" s="19">
        <f ca="1">IF(RAND()&lt;P_Zero,0,IF(RAND()&lt;CondReturn,_xlfn.LOGNORM.INV(RAND(),MV2,Sigma1),IF(RAND()&lt;CondGood,_xlfn.LOGNORM.INV(RAND(),MV3,Sigma2),MIN(MaxMultiple,Xm/(1-RAND())^(1/Alpha)))))</f>
        <v>2.9008562416455388</v>
      </c>
      <c r="E460" s="19">
        <f ca="1">IF(RAND()&lt;P_Zero,0,IF(RAND()&lt;CondReturn,_xlfn.LOGNORM.INV(RAND(),MV2,Sigma1),IF(RAND()&lt;CondGood,_xlfn.LOGNORM.INV(RAND(),MV3,Sigma2),MIN(MaxMultiple,Xm/(1-RAND())^(1/Alpha)))))</f>
        <v>2.6984483212637742</v>
      </c>
      <c r="F460" s="19">
        <f ca="1">IF(RAND()&lt;P_Zero,0,IF(RAND()&lt;CondReturn,_xlfn.LOGNORM.INV(RAND(),MV2,Sigma1),IF(RAND()&lt;CondGood,_xlfn.LOGNORM.INV(RAND(),MV3,Sigma2),MIN(MaxMultiple,Xm/(1-RAND())^(1/Alpha)))))</f>
        <v>1.9232817790788659</v>
      </c>
      <c r="G460" s="19">
        <f ca="1">IF(RAND()&lt;P_Zero,0,IF(RAND()&lt;CondReturn,_xlfn.LOGNORM.INV(RAND(),MV2,Sigma1),IF(RAND()&lt;CondGood,_xlfn.LOGNORM.INV(RAND(),MV3,Sigma2),MIN(MaxMultiple,Xm/(1-RAND())^(1/Alpha)))))</f>
        <v>53.605633055580533</v>
      </c>
      <c r="H460" s="19">
        <f ca="1">IF(RAND()&lt;P_Zero,0,IF(RAND()&lt;CondReturn,_xlfn.LOGNORM.INV(RAND(),MV2,Sigma1),IF(RAND()&lt;CondGood,_xlfn.LOGNORM.INV(RAND(),MV3,Sigma2),MIN(MaxMultiple,Xm/(1-RAND())^(1/Alpha)))))</f>
        <v>0</v>
      </c>
      <c r="I460" s="19">
        <f ca="1">IF(RAND()&lt;P_Zero,0,IF(RAND()&lt;CondReturn,_xlfn.LOGNORM.INV(RAND(),MV2,Sigma1),IF(RAND()&lt;CondGood,_xlfn.LOGNORM.INV(RAND(),MV3,Sigma2),MIN(MaxMultiple,Xm/(1-RAND())^(1/Alpha)))))</f>
        <v>1.089064574292341</v>
      </c>
      <c r="J460" s="19">
        <f ca="1">IF(RAND()&lt;P_Zero,0,IF(RAND()&lt;CondReturn,_xlfn.LOGNORM.INV(RAND(),MV2,Sigma1),IF(RAND()&lt;CondGood,_xlfn.LOGNORM.INV(RAND(),MV3,Sigma2),MIN(MaxMultiple,Xm/(1-RAND())^(1/Alpha)))))</f>
        <v>0.74507224746872147</v>
      </c>
      <c r="K460" s="19">
        <f ca="1">IF(RAND()&lt;P_Zero,0,IF(RAND()&lt;CondReturn,_xlfn.LOGNORM.INV(RAND(),MV2,Sigma1),IF(RAND()&lt;CondGood,_xlfn.LOGNORM.INV(RAND(),MV3,Sigma2),MIN(MaxMultiple,Xm/(1-RAND())^(1/Alpha)))))</f>
        <v>0</v>
      </c>
      <c r="L460" s="19">
        <f ca="1">IF(RAND()&lt;P_Zero,0,IF(RAND()&lt;CondReturn,_xlfn.LOGNORM.INV(RAND(),MV2,Sigma1),IF(RAND()&lt;CondGood,_xlfn.LOGNORM.INV(RAND(),MV3,Sigma2),MIN(MaxMultiple,Xm/(1-RAND())^(1/Alpha)))))</f>
        <v>0</v>
      </c>
      <c r="M460" s="19">
        <f ca="1">IF(RAND()&lt;P_Zero,0,IF(RAND()&lt;CondReturn,_xlfn.LOGNORM.INV(RAND(),MV2,Sigma1),IF(RAND()&lt;CondGood,_xlfn.LOGNORM.INV(RAND(),MV3,Sigma2),MIN(MaxMultiple,Xm/(1-RAND())^(1/Alpha)))))</f>
        <v>0</v>
      </c>
      <c r="N460" s="19">
        <f ca="1">IF(RAND()&lt;P_Zero,0,IF(RAND()&lt;CondReturn,_xlfn.LOGNORM.INV(RAND(),MV2,Sigma1),IF(RAND()&lt;CondGood,_xlfn.LOGNORM.INV(RAND(),MV3,Sigma2),MIN(MaxMultiple,Xm/(1-RAND())^(1/Alpha)))))</f>
        <v>0</v>
      </c>
      <c r="O460" s="19">
        <f ca="1">IF(RAND()&lt;P_Zero,0,IF(RAND()&lt;CondReturn,_xlfn.LOGNORM.INV(RAND(),MV2,Sigma1),IF(RAND()&lt;CondGood,_xlfn.LOGNORM.INV(RAND(),MV3,Sigma2),MIN(MaxMultiple,Xm/(1-RAND())^(1/Alpha)))))</f>
        <v>1.1403619189892</v>
      </c>
      <c r="P460" s="19">
        <f ca="1">IF(RAND()&lt;P_Zero,0,IF(RAND()&lt;CondReturn,_xlfn.LOGNORM.INV(RAND(),MV2,Sigma1),IF(RAND()&lt;CondGood,_xlfn.LOGNORM.INV(RAND(),MV3,Sigma2),MIN(MaxMultiple,Xm/(1-RAND())^(1/Alpha)))))</f>
        <v>0.63106690130159948</v>
      </c>
      <c r="Q460" s="19">
        <f ca="1">IF(RAND()&lt;P_Zero,0,IF(RAND()&lt;CondReturn,_xlfn.LOGNORM.INV(RAND(),MV2,Sigma1),IF(RAND()&lt;CondGood,_xlfn.LOGNORM.INV(RAND(),MV3,Sigma2),MIN(MaxMultiple,Xm/(1-RAND())^(1/Alpha)))))</f>
        <v>0.84010325933804786</v>
      </c>
      <c r="R460" s="19">
        <f ca="1">IF(RAND()&lt;P_Zero,0,IF(RAND()&lt;CondReturn,_xlfn.LOGNORM.INV(RAND(),MV2,Sigma1),IF(RAND()&lt;CondGood,_xlfn.LOGNORM.INV(RAND(),MV3,Sigma2),MIN(MaxMultiple,Xm/(1-RAND())^(1/Alpha)))))</f>
        <v>0</v>
      </c>
      <c r="S460" s="19">
        <f ca="1">IF(RAND()&lt;P_Zero,0,IF(RAND()&lt;CondReturn,_xlfn.LOGNORM.INV(RAND(),MV2,Sigma1),IF(RAND()&lt;CondGood,_xlfn.LOGNORM.INV(RAND(),MV3,Sigma2),MIN(MaxMultiple,Xm/(1-RAND())^(1/Alpha)))))</f>
        <v>1.1748662002574284</v>
      </c>
      <c r="T460" s="19">
        <f ca="1">IF(RAND()&lt;P_Zero,0,IF(RAND()&lt;CondReturn,_xlfn.LOGNORM.INV(RAND(),MV2,Sigma1),IF(RAND()&lt;CondGood,_xlfn.LOGNORM.INV(RAND(),MV3,Sigma2),MIN(MaxMultiple,Xm/(1-RAND())^(1/Alpha)))))</f>
        <v>1.3760752137738512</v>
      </c>
      <c r="U460" s="19">
        <f ca="1">IF(RAND()&lt;P_Zero,0,IF(RAND()&lt;CondReturn,_xlfn.LOGNORM.INV(RAND(),MV2,Sigma1),IF(RAND()&lt;CondGood,_xlfn.LOGNORM.INV(RAND(),MV3,Sigma2),MIN(MaxMultiple,Xm/(1-RAND())^(1/Alpha)))))</f>
        <v>0.71098730975933411</v>
      </c>
      <c r="V460" s="19">
        <f ca="1">IF(RAND()&lt;P_Zero,0,IF(RAND()&lt;CondReturn,_xlfn.LOGNORM.INV(RAND(),MV2,Sigma1),IF(RAND()&lt;CondGood,_xlfn.LOGNORM.INV(RAND(),MV3,Sigma2),MIN(MaxMultiple,Xm/(1-RAND())^(1/Alpha)))))</f>
        <v>0</v>
      </c>
      <c r="W460" s="19">
        <f ca="1">IF(RAND()&lt;P_Zero,0,IF(RAND()&lt;CondReturn,_xlfn.LOGNORM.INV(RAND(),MV2,Sigma1),IF(RAND()&lt;CondGood,_xlfn.LOGNORM.INV(RAND(),MV3,Sigma2),MIN(MaxMultiple,Xm/(1-RAND())^(1/Alpha)))))</f>
        <v>0</v>
      </c>
      <c r="X460" s="19">
        <f ca="1">IF(RAND()&lt;P_Zero,0,IF(RAND()&lt;CondReturn,_xlfn.LOGNORM.INV(RAND(),MV2,Sigma1),IF(RAND()&lt;CondGood,_xlfn.LOGNORM.INV(RAND(),MV3,Sigma2),MIN(MaxMultiple,Xm/(1-RAND())^(1/Alpha)))))</f>
        <v>0.78244233877789426</v>
      </c>
      <c r="Y460" s="19">
        <f ca="1">IF(RAND()&lt;P_Zero,0,IF(RAND()&lt;CondReturn,_xlfn.LOGNORM.INV(RAND(),MV2,Sigma1),IF(RAND()&lt;CondGood,_xlfn.LOGNORM.INV(RAND(),MV3,Sigma2),MIN(MaxMultiple,Xm/(1-RAND())^(1/Alpha)))))</f>
        <v>28.378896144731041</v>
      </c>
      <c r="Z460" s="19">
        <f ca="1">IF(RAND()&lt;P_Zero,0,IF(RAND()&lt;CondReturn,_xlfn.LOGNORM.INV(RAND(),MV2,Sigma1),IF(RAND()&lt;CondGood,_xlfn.LOGNORM.INV(RAND(),MV3,Sigma2),MIN(MaxMultiple,Xm/(1-RAND())^(1/Alpha)))))</f>
        <v>0</v>
      </c>
      <c r="AA460" s="19">
        <f ca="1">IF(RAND()&lt;P_Zero,0,IF(RAND()&lt;CondReturn,_xlfn.LOGNORM.INV(RAND(),MV2,Sigma1),IF(RAND()&lt;CondGood,_xlfn.LOGNORM.INV(RAND(),MV3,Sigma2),MIN(MaxMultiple,Xm/(1-RAND())^(1/Alpha)))))</f>
        <v>1.1737698875322247</v>
      </c>
      <c r="AB460" s="19">
        <f t="shared" ca="1" si="56"/>
        <v>3.9973024919545055</v>
      </c>
      <c r="AC460" s="14">
        <f t="shared" ca="1" si="57"/>
        <v>191870519.61381626</v>
      </c>
      <c r="AD460" s="14">
        <f t="shared" ca="1" si="58"/>
        <v>143870519.61381626</v>
      </c>
      <c r="AE460" s="14">
        <f t="shared" si="59"/>
        <v>55628399.869093813</v>
      </c>
      <c r="AF460" s="14">
        <f t="shared" ca="1" si="60"/>
        <v>88242119.744722456</v>
      </c>
      <c r="AG460" s="14">
        <f t="shared" ca="1" si="61"/>
        <v>17648423.94894449</v>
      </c>
      <c r="AH460" s="14">
        <f t="shared" ca="1" si="62"/>
        <v>174222095.66487178</v>
      </c>
      <c r="AI460" s="19">
        <f t="shared" ca="1" si="63"/>
        <v>2.9037015944145299</v>
      </c>
    </row>
    <row r="461" spans="2:35" x14ac:dyDescent="0.2">
      <c r="B461" s="1">
        <v>456</v>
      </c>
      <c r="C461" s="19">
        <f ca="1">IF(RAND()&lt;P_Zero,0,IF(RAND()&lt;CondReturn,_xlfn.LOGNORM.INV(RAND(),MV2,Sigma1),IF(RAND()&lt;CondGood,_xlfn.LOGNORM.INV(RAND(),MV3,Sigma2),MIN(MaxMultiple,Xm/(1-RAND())^(1/Alpha)))))</f>
        <v>0</v>
      </c>
      <c r="D461" s="19">
        <f ca="1">IF(RAND()&lt;P_Zero,0,IF(RAND()&lt;CondReturn,_xlfn.LOGNORM.INV(RAND(),MV2,Sigma1),IF(RAND()&lt;CondGood,_xlfn.LOGNORM.INV(RAND(),MV3,Sigma2),MIN(MaxMultiple,Xm/(1-RAND())^(1/Alpha)))))</f>
        <v>0</v>
      </c>
      <c r="E461" s="19">
        <f ca="1">IF(RAND()&lt;P_Zero,0,IF(RAND()&lt;CondReturn,_xlfn.LOGNORM.INV(RAND(),MV2,Sigma1),IF(RAND()&lt;CondGood,_xlfn.LOGNORM.INV(RAND(),MV3,Sigma2),MIN(MaxMultiple,Xm/(1-RAND())^(1/Alpha)))))</f>
        <v>0.93539431509573523</v>
      </c>
      <c r="F461" s="19">
        <f ca="1">IF(RAND()&lt;P_Zero,0,IF(RAND()&lt;CondReturn,_xlfn.LOGNORM.INV(RAND(),MV2,Sigma1),IF(RAND()&lt;CondGood,_xlfn.LOGNORM.INV(RAND(),MV3,Sigma2),MIN(MaxMultiple,Xm/(1-RAND())^(1/Alpha)))))</f>
        <v>0</v>
      </c>
      <c r="G461" s="19">
        <f ca="1">IF(RAND()&lt;P_Zero,0,IF(RAND()&lt;CondReturn,_xlfn.LOGNORM.INV(RAND(),MV2,Sigma1),IF(RAND()&lt;CondGood,_xlfn.LOGNORM.INV(RAND(),MV3,Sigma2),MIN(MaxMultiple,Xm/(1-RAND())^(1/Alpha)))))</f>
        <v>1.3245989884456137</v>
      </c>
      <c r="H461" s="19">
        <f ca="1">IF(RAND()&lt;P_Zero,0,IF(RAND()&lt;CondReturn,_xlfn.LOGNORM.INV(RAND(),MV2,Sigma1),IF(RAND()&lt;CondGood,_xlfn.LOGNORM.INV(RAND(),MV3,Sigma2),MIN(MaxMultiple,Xm/(1-RAND())^(1/Alpha)))))</f>
        <v>1.7073049073705358</v>
      </c>
      <c r="I461" s="19">
        <f ca="1">IF(RAND()&lt;P_Zero,0,IF(RAND()&lt;CondReturn,_xlfn.LOGNORM.INV(RAND(),MV2,Sigma1),IF(RAND()&lt;CondGood,_xlfn.LOGNORM.INV(RAND(),MV3,Sigma2),MIN(MaxMultiple,Xm/(1-RAND())^(1/Alpha)))))</f>
        <v>0.84635151252448859</v>
      </c>
      <c r="J461" s="19">
        <f ca="1">IF(RAND()&lt;P_Zero,0,IF(RAND()&lt;CondReturn,_xlfn.LOGNORM.INV(RAND(),MV2,Sigma1),IF(RAND()&lt;CondGood,_xlfn.LOGNORM.INV(RAND(),MV3,Sigma2),MIN(MaxMultiple,Xm/(1-RAND())^(1/Alpha)))))</f>
        <v>0</v>
      </c>
      <c r="K461" s="19">
        <f ca="1">IF(RAND()&lt;P_Zero,0,IF(RAND()&lt;CondReturn,_xlfn.LOGNORM.INV(RAND(),MV2,Sigma1),IF(RAND()&lt;CondGood,_xlfn.LOGNORM.INV(RAND(),MV3,Sigma2),MIN(MaxMultiple,Xm/(1-RAND())^(1/Alpha)))))</f>
        <v>0</v>
      </c>
      <c r="L461" s="19">
        <f ca="1">IF(RAND()&lt;P_Zero,0,IF(RAND()&lt;CondReturn,_xlfn.LOGNORM.INV(RAND(),MV2,Sigma1),IF(RAND()&lt;CondGood,_xlfn.LOGNORM.INV(RAND(),MV3,Sigma2),MIN(MaxMultiple,Xm/(1-RAND())^(1/Alpha)))))</f>
        <v>0.66694077446827194</v>
      </c>
      <c r="M461" s="19">
        <f ca="1">IF(RAND()&lt;P_Zero,0,IF(RAND()&lt;CondReturn,_xlfn.LOGNORM.INV(RAND(),MV2,Sigma1),IF(RAND()&lt;CondGood,_xlfn.LOGNORM.INV(RAND(),MV3,Sigma2),MIN(MaxMultiple,Xm/(1-RAND())^(1/Alpha)))))</f>
        <v>0.22217784452224357</v>
      </c>
      <c r="N461" s="19">
        <f ca="1">IF(RAND()&lt;P_Zero,0,IF(RAND()&lt;CondReturn,_xlfn.LOGNORM.INV(RAND(),MV2,Sigma1),IF(RAND()&lt;CondGood,_xlfn.LOGNORM.INV(RAND(),MV3,Sigma2),MIN(MaxMultiple,Xm/(1-RAND())^(1/Alpha)))))</f>
        <v>1.4610613980807732</v>
      </c>
      <c r="O461" s="19">
        <f ca="1">IF(RAND()&lt;P_Zero,0,IF(RAND()&lt;CondReturn,_xlfn.LOGNORM.INV(RAND(),MV2,Sigma1),IF(RAND()&lt;CondGood,_xlfn.LOGNORM.INV(RAND(),MV3,Sigma2),MIN(MaxMultiple,Xm/(1-RAND())^(1/Alpha)))))</f>
        <v>2.2645161050218223</v>
      </c>
      <c r="P461" s="19">
        <f ca="1">IF(RAND()&lt;P_Zero,0,IF(RAND()&lt;CondReturn,_xlfn.LOGNORM.INV(RAND(),MV2,Sigma1),IF(RAND()&lt;CondGood,_xlfn.LOGNORM.INV(RAND(),MV3,Sigma2),MIN(MaxMultiple,Xm/(1-RAND())^(1/Alpha)))))</f>
        <v>0.31325191976906508</v>
      </c>
      <c r="Q461" s="19">
        <f ca="1">IF(RAND()&lt;P_Zero,0,IF(RAND()&lt;CondReturn,_xlfn.LOGNORM.INV(RAND(),MV2,Sigma1),IF(RAND()&lt;CondGood,_xlfn.LOGNORM.INV(RAND(),MV3,Sigma2),MIN(MaxMultiple,Xm/(1-RAND())^(1/Alpha)))))</f>
        <v>0.87258675064334446</v>
      </c>
      <c r="R461" s="19">
        <f ca="1">IF(RAND()&lt;P_Zero,0,IF(RAND()&lt;CondReturn,_xlfn.LOGNORM.INV(RAND(),MV2,Sigma1),IF(RAND()&lt;CondGood,_xlfn.LOGNORM.INV(RAND(),MV3,Sigma2),MIN(MaxMultiple,Xm/(1-RAND())^(1/Alpha)))))</f>
        <v>1.7844715609454662</v>
      </c>
      <c r="S461" s="19">
        <f ca="1">IF(RAND()&lt;P_Zero,0,IF(RAND()&lt;CondReturn,_xlfn.LOGNORM.INV(RAND(),MV2,Sigma1),IF(RAND()&lt;CondGood,_xlfn.LOGNORM.INV(RAND(),MV3,Sigma2),MIN(MaxMultiple,Xm/(1-RAND())^(1/Alpha)))))</f>
        <v>1.0503719834371941</v>
      </c>
      <c r="T461" s="19">
        <f ca="1">IF(RAND()&lt;P_Zero,0,IF(RAND()&lt;CondReturn,_xlfn.LOGNORM.INV(RAND(),MV2,Sigma1),IF(RAND()&lt;CondGood,_xlfn.LOGNORM.INV(RAND(),MV3,Sigma2),MIN(MaxMultiple,Xm/(1-RAND())^(1/Alpha)))))</f>
        <v>0.75627710645394908</v>
      </c>
      <c r="U461" s="19">
        <f ca="1">IF(RAND()&lt;P_Zero,0,IF(RAND()&lt;CondReturn,_xlfn.LOGNORM.INV(RAND(),MV2,Sigma1),IF(RAND()&lt;CondGood,_xlfn.LOGNORM.INV(RAND(),MV3,Sigma2),MIN(MaxMultiple,Xm/(1-RAND())^(1/Alpha)))))</f>
        <v>0.36954432500352641</v>
      </c>
      <c r="V461" s="19">
        <f ca="1">IF(RAND()&lt;P_Zero,0,IF(RAND()&lt;CondReturn,_xlfn.LOGNORM.INV(RAND(),MV2,Sigma1),IF(RAND()&lt;CondGood,_xlfn.LOGNORM.INV(RAND(),MV3,Sigma2),MIN(MaxMultiple,Xm/(1-RAND())^(1/Alpha)))))</f>
        <v>1.2410912325463812</v>
      </c>
      <c r="W461" s="19">
        <f ca="1">IF(RAND()&lt;P_Zero,0,IF(RAND()&lt;CondReturn,_xlfn.LOGNORM.INV(RAND(),MV2,Sigma1),IF(RAND()&lt;CondGood,_xlfn.LOGNORM.INV(RAND(),MV3,Sigma2),MIN(MaxMultiple,Xm/(1-RAND())^(1/Alpha)))))</f>
        <v>12.236891724404604</v>
      </c>
      <c r="X461" s="19">
        <f ca="1">IF(RAND()&lt;P_Zero,0,IF(RAND()&lt;CondReturn,_xlfn.LOGNORM.INV(RAND(),MV2,Sigma1),IF(RAND()&lt;CondGood,_xlfn.LOGNORM.INV(RAND(),MV3,Sigma2),MIN(MaxMultiple,Xm/(1-RAND())^(1/Alpha)))))</f>
        <v>1.447235789764421</v>
      </c>
      <c r="Y461" s="19">
        <f ca="1">IF(RAND()&lt;P_Zero,0,IF(RAND()&lt;CondReturn,_xlfn.LOGNORM.INV(RAND(),MV2,Sigma1),IF(RAND()&lt;CondGood,_xlfn.LOGNORM.INV(RAND(),MV3,Sigma2),MIN(MaxMultiple,Xm/(1-RAND())^(1/Alpha)))))</f>
        <v>1.3590176543622023</v>
      </c>
      <c r="Z461" s="19">
        <f ca="1">IF(RAND()&lt;P_Zero,0,IF(RAND()&lt;CondReturn,_xlfn.LOGNORM.INV(RAND(),MV2,Sigma1),IF(RAND()&lt;CondGood,_xlfn.LOGNORM.INV(RAND(),MV3,Sigma2),MIN(MaxMultiple,Xm/(1-RAND())^(1/Alpha)))))</f>
        <v>0</v>
      </c>
      <c r="AA461" s="19">
        <f ca="1">IF(RAND()&lt;P_Zero,0,IF(RAND()&lt;CondReturn,_xlfn.LOGNORM.INV(RAND(),MV2,Sigma1),IF(RAND()&lt;CondGood,_xlfn.LOGNORM.INV(RAND(),MV3,Sigma2),MIN(MaxMultiple,Xm/(1-RAND())^(1/Alpha)))))</f>
        <v>1.3616688769035519</v>
      </c>
      <c r="AB461" s="19">
        <f t="shared" ca="1" si="56"/>
        <v>1.2888301907905275</v>
      </c>
      <c r="AC461" s="14">
        <f t="shared" ca="1" si="57"/>
        <v>61863849.15794532</v>
      </c>
      <c r="AD461" s="14">
        <f t="shared" ca="1" si="58"/>
        <v>13863849.15794532</v>
      </c>
      <c r="AE461" s="14">
        <f t="shared" si="59"/>
        <v>55628399.869093813</v>
      </c>
      <c r="AF461" s="14">
        <f t="shared" ca="1" si="60"/>
        <v>0</v>
      </c>
      <c r="AG461" s="14">
        <f t="shared" ca="1" si="61"/>
        <v>0</v>
      </c>
      <c r="AH461" s="14">
        <f t="shared" ca="1" si="62"/>
        <v>61863849.15794532</v>
      </c>
      <c r="AI461" s="19">
        <f t="shared" ca="1" si="63"/>
        <v>1.031064152632422</v>
      </c>
    </row>
    <row r="462" spans="2:35" x14ac:dyDescent="0.2">
      <c r="B462" s="1">
        <v>457</v>
      </c>
      <c r="C462" s="19">
        <f ca="1">IF(RAND()&lt;P_Zero,0,IF(RAND()&lt;CondReturn,_xlfn.LOGNORM.INV(RAND(),MV2,Sigma1),IF(RAND()&lt;CondGood,_xlfn.LOGNORM.INV(RAND(),MV3,Sigma2),MIN(MaxMultiple,Xm/(1-RAND())^(1/Alpha)))))</f>
        <v>1.689131981685366</v>
      </c>
      <c r="D462" s="19">
        <f ca="1">IF(RAND()&lt;P_Zero,0,IF(RAND()&lt;CondReturn,_xlfn.LOGNORM.INV(RAND(),MV2,Sigma1),IF(RAND()&lt;CondGood,_xlfn.LOGNORM.INV(RAND(),MV3,Sigma2),MIN(MaxMultiple,Xm/(1-RAND())^(1/Alpha)))))</f>
        <v>0.61291598475073883</v>
      </c>
      <c r="E462" s="19">
        <f ca="1">IF(RAND()&lt;P_Zero,0,IF(RAND()&lt;CondReturn,_xlfn.LOGNORM.INV(RAND(),MV2,Sigma1),IF(RAND()&lt;CondGood,_xlfn.LOGNORM.INV(RAND(),MV3,Sigma2),MIN(MaxMultiple,Xm/(1-RAND())^(1/Alpha)))))</f>
        <v>0</v>
      </c>
      <c r="F462" s="19">
        <f ca="1">IF(RAND()&lt;P_Zero,0,IF(RAND()&lt;CondReturn,_xlfn.LOGNORM.INV(RAND(),MV2,Sigma1),IF(RAND()&lt;CondGood,_xlfn.LOGNORM.INV(RAND(),MV3,Sigma2),MIN(MaxMultiple,Xm/(1-RAND())^(1/Alpha)))))</f>
        <v>0.86871178213866151</v>
      </c>
      <c r="G462" s="19">
        <f ca="1">IF(RAND()&lt;P_Zero,0,IF(RAND()&lt;CondReturn,_xlfn.LOGNORM.INV(RAND(),MV2,Sigma1),IF(RAND()&lt;CondGood,_xlfn.LOGNORM.INV(RAND(),MV3,Sigma2),MIN(MaxMultiple,Xm/(1-RAND())^(1/Alpha)))))</f>
        <v>2.099292822096499</v>
      </c>
      <c r="H462" s="19">
        <f ca="1">IF(RAND()&lt;P_Zero,0,IF(RAND()&lt;CondReturn,_xlfn.LOGNORM.INV(RAND(),MV2,Sigma1),IF(RAND()&lt;CondGood,_xlfn.LOGNORM.INV(RAND(),MV3,Sigma2),MIN(MaxMultiple,Xm/(1-RAND())^(1/Alpha)))))</f>
        <v>0</v>
      </c>
      <c r="I462" s="19">
        <f ca="1">IF(RAND()&lt;P_Zero,0,IF(RAND()&lt;CondReturn,_xlfn.LOGNORM.INV(RAND(),MV2,Sigma1),IF(RAND()&lt;CondGood,_xlfn.LOGNORM.INV(RAND(),MV3,Sigma2),MIN(MaxMultiple,Xm/(1-RAND())^(1/Alpha)))))</f>
        <v>0</v>
      </c>
      <c r="J462" s="19">
        <f ca="1">IF(RAND()&lt;P_Zero,0,IF(RAND()&lt;CondReturn,_xlfn.LOGNORM.INV(RAND(),MV2,Sigma1),IF(RAND()&lt;CondGood,_xlfn.LOGNORM.INV(RAND(),MV3,Sigma2),MIN(MaxMultiple,Xm/(1-RAND())^(1/Alpha)))))</f>
        <v>11.02824614748801</v>
      </c>
      <c r="K462" s="19">
        <f ca="1">IF(RAND()&lt;P_Zero,0,IF(RAND()&lt;CondReturn,_xlfn.LOGNORM.INV(RAND(),MV2,Sigma1),IF(RAND()&lt;CondGood,_xlfn.LOGNORM.INV(RAND(),MV3,Sigma2),MIN(MaxMultiple,Xm/(1-RAND())^(1/Alpha)))))</f>
        <v>4.5871555884592228</v>
      </c>
      <c r="L462" s="19">
        <f ca="1">IF(RAND()&lt;P_Zero,0,IF(RAND()&lt;CondReturn,_xlfn.LOGNORM.INV(RAND(),MV2,Sigma1),IF(RAND()&lt;CondGood,_xlfn.LOGNORM.INV(RAND(),MV3,Sigma2),MIN(MaxMultiple,Xm/(1-RAND())^(1/Alpha)))))</f>
        <v>1.0642524756715532</v>
      </c>
      <c r="M462" s="19">
        <f ca="1">IF(RAND()&lt;P_Zero,0,IF(RAND()&lt;CondReturn,_xlfn.LOGNORM.INV(RAND(),MV2,Sigma1),IF(RAND()&lt;CondGood,_xlfn.LOGNORM.INV(RAND(),MV3,Sigma2),MIN(MaxMultiple,Xm/(1-RAND())^(1/Alpha)))))</f>
        <v>0</v>
      </c>
      <c r="N462" s="19">
        <f ca="1">IF(RAND()&lt;P_Zero,0,IF(RAND()&lt;CondReturn,_xlfn.LOGNORM.INV(RAND(),MV2,Sigma1),IF(RAND()&lt;CondGood,_xlfn.LOGNORM.INV(RAND(),MV3,Sigma2),MIN(MaxMultiple,Xm/(1-RAND())^(1/Alpha)))))</f>
        <v>1.3698157305447858</v>
      </c>
      <c r="O462" s="19">
        <f ca="1">IF(RAND()&lt;P_Zero,0,IF(RAND()&lt;CondReturn,_xlfn.LOGNORM.INV(RAND(),MV2,Sigma1),IF(RAND()&lt;CondGood,_xlfn.LOGNORM.INV(RAND(),MV3,Sigma2),MIN(MaxMultiple,Xm/(1-RAND())^(1/Alpha)))))</f>
        <v>0</v>
      </c>
      <c r="P462" s="19">
        <f ca="1">IF(RAND()&lt;P_Zero,0,IF(RAND()&lt;CondReturn,_xlfn.LOGNORM.INV(RAND(),MV2,Sigma1),IF(RAND()&lt;CondGood,_xlfn.LOGNORM.INV(RAND(),MV3,Sigma2),MIN(MaxMultiple,Xm/(1-RAND())^(1/Alpha)))))</f>
        <v>0</v>
      </c>
      <c r="Q462" s="19">
        <f ca="1">IF(RAND()&lt;P_Zero,0,IF(RAND()&lt;CondReturn,_xlfn.LOGNORM.INV(RAND(),MV2,Sigma1),IF(RAND()&lt;CondGood,_xlfn.LOGNORM.INV(RAND(),MV3,Sigma2),MIN(MaxMultiple,Xm/(1-RAND())^(1/Alpha)))))</f>
        <v>1.0590057552583454</v>
      </c>
      <c r="R462" s="19">
        <f ca="1">IF(RAND()&lt;P_Zero,0,IF(RAND()&lt;CondReturn,_xlfn.LOGNORM.INV(RAND(),MV2,Sigma1),IF(RAND()&lt;CondGood,_xlfn.LOGNORM.INV(RAND(),MV3,Sigma2),MIN(MaxMultiple,Xm/(1-RAND())^(1/Alpha)))))</f>
        <v>0.90829887261685283</v>
      </c>
      <c r="S462" s="19">
        <f ca="1">IF(RAND()&lt;P_Zero,0,IF(RAND()&lt;CondReturn,_xlfn.LOGNORM.INV(RAND(),MV2,Sigma1),IF(RAND()&lt;CondGood,_xlfn.LOGNORM.INV(RAND(),MV3,Sigma2),MIN(MaxMultiple,Xm/(1-RAND())^(1/Alpha)))))</f>
        <v>0.59962327940892479</v>
      </c>
      <c r="T462" s="19">
        <f ca="1">IF(RAND()&lt;P_Zero,0,IF(RAND()&lt;CondReturn,_xlfn.LOGNORM.INV(RAND(),MV2,Sigma1),IF(RAND()&lt;CondGood,_xlfn.LOGNORM.INV(RAND(),MV3,Sigma2),MIN(MaxMultiple,Xm/(1-RAND())^(1/Alpha)))))</f>
        <v>0.60674442832131148</v>
      </c>
      <c r="U462" s="19">
        <f ca="1">IF(RAND()&lt;P_Zero,0,IF(RAND()&lt;CondReturn,_xlfn.LOGNORM.INV(RAND(),MV2,Sigma1),IF(RAND()&lt;CondGood,_xlfn.LOGNORM.INV(RAND(),MV3,Sigma2),MIN(MaxMultiple,Xm/(1-RAND())^(1/Alpha)))))</f>
        <v>1.5123651489951009</v>
      </c>
      <c r="V462" s="19">
        <f ca="1">IF(RAND()&lt;P_Zero,0,IF(RAND()&lt;CondReturn,_xlfn.LOGNORM.INV(RAND(),MV2,Sigma1),IF(RAND()&lt;CondGood,_xlfn.LOGNORM.INV(RAND(),MV3,Sigma2),MIN(MaxMultiple,Xm/(1-RAND())^(1/Alpha)))))</f>
        <v>1.6413793791820779</v>
      </c>
      <c r="W462" s="19">
        <f ca="1">IF(RAND()&lt;P_Zero,0,IF(RAND()&lt;CondReturn,_xlfn.LOGNORM.INV(RAND(),MV2,Sigma1),IF(RAND()&lt;CondGood,_xlfn.LOGNORM.INV(RAND(),MV3,Sigma2),MIN(MaxMultiple,Xm/(1-RAND())^(1/Alpha)))))</f>
        <v>0.67277828404204421</v>
      </c>
      <c r="X462" s="19">
        <f ca="1">IF(RAND()&lt;P_Zero,0,IF(RAND()&lt;CondReturn,_xlfn.LOGNORM.INV(RAND(),MV2,Sigma1),IF(RAND()&lt;CondGood,_xlfn.LOGNORM.INV(RAND(),MV3,Sigma2),MIN(MaxMultiple,Xm/(1-RAND())^(1/Alpha)))))</f>
        <v>1.6007214502511471</v>
      </c>
      <c r="Y462" s="19">
        <f ca="1">IF(RAND()&lt;P_Zero,0,IF(RAND()&lt;CondReturn,_xlfn.LOGNORM.INV(RAND(),MV2,Sigma1),IF(RAND()&lt;CondGood,_xlfn.LOGNORM.INV(RAND(),MV3,Sigma2),MIN(MaxMultiple,Xm/(1-RAND())^(1/Alpha)))))</f>
        <v>0</v>
      </c>
      <c r="Z462" s="19">
        <f ca="1">IF(RAND()&lt;P_Zero,0,IF(RAND()&lt;CondReturn,_xlfn.LOGNORM.INV(RAND(),MV2,Sigma1),IF(RAND()&lt;CondGood,_xlfn.LOGNORM.INV(RAND(),MV3,Sigma2),MIN(MaxMultiple,Xm/(1-RAND())^(1/Alpha)))))</f>
        <v>1.5915280797449667</v>
      </c>
      <c r="AA462" s="19">
        <f ca="1">IF(RAND()&lt;P_Zero,0,IF(RAND()&lt;CondReturn,_xlfn.LOGNORM.INV(RAND(),MV2,Sigma1),IF(RAND()&lt;CondGood,_xlfn.LOGNORM.INV(RAND(),MV3,Sigma2),MIN(MaxMultiple,Xm/(1-RAND())^(1/Alpha)))))</f>
        <v>0.57902556869976685</v>
      </c>
      <c r="AB462" s="19">
        <f t="shared" ca="1" si="56"/>
        <v>1.3636397103742148</v>
      </c>
      <c r="AC462" s="14">
        <f t="shared" ca="1" si="57"/>
        <v>65454706.097962312</v>
      </c>
      <c r="AD462" s="14">
        <f t="shared" ca="1" si="58"/>
        <v>17454706.097962312</v>
      </c>
      <c r="AE462" s="14">
        <f t="shared" si="59"/>
        <v>55628399.869093813</v>
      </c>
      <c r="AF462" s="14">
        <f t="shared" ca="1" si="60"/>
        <v>0</v>
      </c>
      <c r="AG462" s="14">
        <f t="shared" ca="1" si="61"/>
        <v>0</v>
      </c>
      <c r="AH462" s="14">
        <f t="shared" ca="1" si="62"/>
        <v>65454706.097962312</v>
      </c>
      <c r="AI462" s="19">
        <f t="shared" ca="1" si="63"/>
        <v>1.0909117682993719</v>
      </c>
    </row>
    <row r="463" spans="2:35" x14ac:dyDescent="0.2">
      <c r="B463" s="1">
        <v>458</v>
      </c>
      <c r="C463" s="19">
        <f ca="1">IF(RAND()&lt;P_Zero,0,IF(RAND()&lt;CondReturn,_xlfn.LOGNORM.INV(RAND(),MV2,Sigma1),IF(RAND()&lt;CondGood,_xlfn.LOGNORM.INV(RAND(),MV3,Sigma2),MIN(MaxMultiple,Xm/(1-RAND())^(1/Alpha)))))</f>
        <v>1.2614511700324182</v>
      </c>
      <c r="D463" s="19">
        <f ca="1">IF(RAND()&lt;P_Zero,0,IF(RAND()&lt;CondReturn,_xlfn.LOGNORM.INV(RAND(),MV2,Sigma1),IF(RAND()&lt;CondGood,_xlfn.LOGNORM.INV(RAND(),MV3,Sigma2),MIN(MaxMultiple,Xm/(1-RAND())^(1/Alpha)))))</f>
        <v>1.0317249225692415</v>
      </c>
      <c r="E463" s="19">
        <f ca="1">IF(RAND()&lt;P_Zero,0,IF(RAND()&lt;CondReturn,_xlfn.LOGNORM.INV(RAND(),MV2,Sigma1),IF(RAND()&lt;CondGood,_xlfn.LOGNORM.INV(RAND(),MV3,Sigma2),MIN(MaxMultiple,Xm/(1-RAND())^(1/Alpha)))))</f>
        <v>0.83169067384915751</v>
      </c>
      <c r="F463" s="19">
        <f ca="1">IF(RAND()&lt;P_Zero,0,IF(RAND()&lt;CondReturn,_xlfn.LOGNORM.INV(RAND(),MV2,Sigma1),IF(RAND()&lt;CondGood,_xlfn.LOGNORM.INV(RAND(),MV3,Sigma2),MIN(MaxMultiple,Xm/(1-RAND())^(1/Alpha)))))</f>
        <v>0.77095733231270702</v>
      </c>
      <c r="G463" s="19">
        <f ca="1">IF(RAND()&lt;P_Zero,0,IF(RAND()&lt;CondReturn,_xlfn.LOGNORM.INV(RAND(),MV2,Sigma1),IF(RAND()&lt;CondGood,_xlfn.LOGNORM.INV(RAND(),MV3,Sigma2),MIN(MaxMultiple,Xm/(1-RAND())^(1/Alpha)))))</f>
        <v>0.8611814672849144</v>
      </c>
      <c r="H463" s="19">
        <f ca="1">IF(RAND()&lt;P_Zero,0,IF(RAND()&lt;CondReturn,_xlfn.LOGNORM.INV(RAND(),MV2,Sigma1),IF(RAND()&lt;CondGood,_xlfn.LOGNORM.INV(RAND(),MV3,Sigma2),MIN(MaxMultiple,Xm/(1-RAND())^(1/Alpha)))))</f>
        <v>0</v>
      </c>
      <c r="I463" s="19">
        <f ca="1">IF(RAND()&lt;P_Zero,0,IF(RAND()&lt;CondReturn,_xlfn.LOGNORM.INV(RAND(),MV2,Sigma1),IF(RAND()&lt;CondGood,_xlfn.LOGNORM.INV(RAND(),MV3,Sigma2),MIN(MaxMultiple,Xm/(1-RAND())^(1/Alpha)))))</f>
        <v>0.45646097470452868</v>
      </c>
      <c r="J463" s="19">
        <f ca="1">IF(RAND()&lt;P_Zero,0,IF(RAND()&lt;CondReturn,_xlfn.LOGNORM.INV(RAND(),MV2,Sigma1),IF(RAND()&lt;CondGood,_xlfn.LOGNORM.INV(RAND(),MV3,Sigma2),MIN(MaxMultiple,Xm/(1-RAND())^(1/Alpha)))))</f>
        <v>0.6901863046142569</v>
      </c>
      <c r="K463" s="19">
        <f ca="1">IF(RAND()&lt;P_Zero,0,IF(RAND()&lt;CondReturn,_xlfn.LOGNORM.INV(RAND(),MV2,Sigma1),IF(RAND()&lt;CondGood,_xlfn.LOGNORM.INV(RAND(),MV3,Sigma2),MIN(MaxMultiple,Xm/(1-RAND())^(1/Alpha)))))</f>
        <v>0.99410404529803054</v>
      </c>
      <c r="L463" s="19">
        <f ca="1">IF(RAND()&lt;P_Zero,0,IF(RAND()&lt;CondReturn,_xlfn.LOGNORM.INV(RAND(),MV2,Sigma1),IF(RAND()&lt;CondGood,_xlfn.LOGNORM.INV(RAND(),MV3,Sigma2),MIN(MaxMultiple,Xm/(1-RAND())^(1/Alpha)))))</f>
        <v>1.3379337007960086</v>
      </c>
      <c r="M463" s="19">
        <f ca="1">IF(RAND()&lt;P_Zero,0,IF(RAND()&lt;CondReturn,_xlfn.LOGNORM.INV(RAND(),MV2,Sigma1),IF(RAND()&lt;CondGood,_xlfn.LOGNORM.INV(RAND(),MV3,Sigma2),MIN(MaxMultiple,Xm/(1-RAND())^(1/Alpha)))))</f>
        <v>0</v>
      </c>
      <c r="N463" s="19">
        <f ca="1">IF(RAND()&lt;P_Zero,0,IF(RAND()&lt;CondReturn,_xlfn.LOGNORM.INV(RAND(),MV2,Sigma1),IF(RAND()&lt;CondGood,_xlfn.LOGNORM.INV(RAND(),MV3,Sigma2),MIN(MaxMultiple,Xm/(1-RAND())^(1/Alpha)))))</f>
        <v>0.97021875829864834</v>
      </c>
      <c r="O463" s="19">
        <f ca="1">IF(RAND()&lt;P_Zero,0,IF(RAND()&lt;CondReturn,_xlfn.LOGNORM.INV(RAND(),MV2,Sigma1),IF(RAND()&lt;CondGood,_xlfn.LOGNORM.INV(RAND(),MV3,Sigma2),MIN(MaxMultiple,Xm/(1-RAND())^(1/Alpha)))))</f>
        <v>1.0185495531688009</v>
      </c>
      <c r="P463" s="19">
        <f ca="1">IF(RAND()&lt;P_Zero,0,IF(RAND()&lt;CondReturn,_xlfn.LOGNORM.INV(RAND(),MV2,Sigma1),IF(RAND()&lt;CondGood,_xlfn.LOGNORM.INV(RAND(),MV3,Sigma2),MIN(MaxMultiple,Xm/(1-RAND())^(1/Alpha)))))</f>
        <v>0.29767063127400578</v>
      </c>
      <c r="Q463" s="19">
        <f ca="1">IF(RAND()&lt;P_Zero,0,IF(RAND()&lt;CondReturn,_xlfn.LOGNORM.INV(RAND(),MV2,Sigma1),IF(RAND()&lt;CondGood,_xlfn.LOGNORM.INV(RAND(),MV3,Sigma2),MIN(MaxMultiple,Xm/(1-RAND())^(1/Alpha)))))</f>
        <v>0.62234475985074977</v>
      </c>
      <c r="R463" s="19">
        <f ca="1">IF(RAND()&lt;P_Zero,0,IF(RAND()&lt;CondReturn,_xlfn.LOGNORM.INV(RAND(),MV2,Sigma1),IF(RAND()&lt;CondGood,_xlfn.LOGNORM.INV(RAND(),MV3,Sigma2),MIN(MaxMultiple,Xm/(1-RAND())^(1/Alpha)))))</f>
        <v>0.93862580454659583</v>
      </c>
      <c r="S463" s="19">
        <f ca="1">IF(RAND()&lt;P_Zero,0,IF(RAND()&lt;CondReturn,_xlfn.LOGNORM.INV(RAND(),MV2,Sigma1),IF(RAND()&lt;CondGood,_xlfn.LOGNORM.INV(RAND(),MV3,Sigma2),MIN(MaxMultiple,Xm/(1-RAND())^(1/Alpha)))))</f>
        <v>1.9052356961175307</v>
      </c>
      <c r="T463" s="19">
        <f ca="1">IF(RAND()&lt;P_Zero,0,IF(RAND()&lt;CondReturn,_xlfn.LOGNORM.INV(RAND(),MV2,Sigma1),IF(RAND()&lt;CondGood,_xlfn.LOGNORM.INV(RAND(),MV3,Sigma2),MIN(MaxMultiple,Xm/(1-RAND())^(1/Alpha)))))</f>
        <v>11.814514182111269</v>
      </c>
      <c r="U463" s="19">
        <f ca="1">IF(RAND()&lt;P_Zero,0,IF(RAND()&lt;CondReturn,_xlfn.LOGNORM.INV(RAND(),MV2,Sigma1),IF(RAND()&lt;CondGood,_xlfn.LOGNORM.INV(RAND(),MV3,Sigma2),MIN(MaxMultiple,Xm/(1-RAND())^(1/Alpha)))))</f>
        <v>0</v>
      </c>
      <c r="V463" s="19">
        <f ca="1">IF(RAND()&lt;P_Zero,0,IF(RAND()&lt;CondReturn,_xlfn.LOGNORM.INV(RAND(),MV2,Sigma1),IF(RAND()&lt;CondGood,_xlfn.LOGNORM.INV(RAND(),MV3,Sigma2),MIN(MaxMultiple,Xm/(1-RAND())^(1/Alpha)))))</f>
        <v>0</v>
      </c>
      <c r="W463" s="19">
        <f ca="1">IF(RAND()&lt;P_Zero,0,IF(RAND()&lt;CondReturn,_xlfn.LOGNORM.INV(RAND(),MV2,Sigma1),IF(RAND()&lt;CondGood,_xlfn.LOGNORM.INV(RAND(),MV3,Sigma2),MIN(MaxMultiple,Xm/(1-RAND())^(1/Alpha)))))</f>
        <v>0</v>
      </c>
      <c r="X463" s="19">
        <f ca="1">IF(RAND()&lt;P_Zero,0,IF(RAND()&lt;CondReturn,_xlfn.LOGNORM.INV(RAND(),MV2,Sigma1),IF(RAND()&lt;CondGood,_xlfn.LOGNORM.INV(RAND(),MV3,Sigma2),MIN(MaxMultiple,Xm/(1-RAND())^(1/Alpha)))))</f>
        <v>61.813384196621264</v>
      </c>
      <c r="Y463" s="19">
        <f ca="1">IF(RAND()&lt;P_Zero,0,IF(RAND()&lt;CondReturn,_xlfn.LOGNORM.INV(RAND(),MV2,Sigma1),IF(RAND()&lt;CondGood,_xlfn.LOGNORM.INV(RAND(),MV3,Sigma2),MIN(MaxMultiple,Xm/(1-RAND())^(1/Alpha)))))</f>
        <v>0</v>
      </c>
      <c r="Z463" s="19">
        <f ca="1">IF(RAND()&lt;P_Zero,0,IF(RAND()&lt;CondReturn,_xlfn.LOGNORM.INV(RAND(),MV2,Sigma1),IF(RAND()&lt;CondGood,_xlfn.LOGNORM.INV(RAND(),MV3,Sigma2),MIN(MaxMultiple,Xm/(1-RAND())^(1/Alpha)))))</f>
        <v>1.1050057133270361</v>
      </c>
      <c r="AA463" s="19">
        <f ca="1">IF(RAND()&lt;P_Zero,0,IF(RAND()&lt;CondReturn,_xlfn.LOGNORM.INV(RAND(),MV2,Sigma1),IF(RAND()&lt;CondGood,_xlfn.LOGNORM.INV(RAND(),MV3,Sigma2),MIN(MaxMultiple,Xm/(1-RAND())^(1/Alpha)))))</f>
        <v>0</v>
      </c>
      <c r="AB463" s="19">
        <f t="shared" ca="1" si="56"/>
        <v>3.5488495954710864</v>
      </c>
      <c r="AC463" s="14">
        <f t="shared" ca="1" si="57"/>
        <v>170344780.58261216</v>
      </c>
      <c r="AD463" s="14">
        <f t="shared" ca="1" si="58"/>
        <v>122344780.58261216</v>
      </c>
      <c r="AE463" s="14">
        <f t="shared" si="59"/>
        <v>55628399.869093813</v>
      </c>
      <c r="AF463" s="14">
        <f t="shared" ca="1" si="60"/>
        <v>66716380.713518344</v>
      </c>
      <c r="AG463" s="14">
        <f t="shared" ca="1" si="61"/>
        <v>13343276.142703669</v>
      </c>
      <c r="AH463" s="14">
        <f t="shared" ca="1" si="62"/>
        <v>157001504.43990847</v>
      </c>
      <c r="AI463" s="19">
        <f t="shared" ca="1" si="63"/>
        <v>2.6166917406651411</v>
      </c>
    </row>
    <row r="464" spans="2:35" x14ac:dyDescent="0.2">
      <c r="B464" s="1">
        <v>459</v>
      </c>
      <c r="C464" s="19">
        <f ca="1">IF(RAND()&lt;P_Zero,0,IF(RAND()&lt;CondReturn,_xlfn.LOGNORM.INV(RAND(),MV2,Sigma1),IF(RAND()&lt;CondGood,_xlfn.LOGNORM.INV(RAND(),MV3,Sigma2),MIN(MaxMultiple,Xm/(1-RAND())^(1/Alpha)))))</f>
        <v>1.1689864396896303</v>
      </c>
      <c r="D464" s="19">
        <f ca="1">IF(RAND()&lt;P_Zero,0,IF(RAND()&lt;CondReturn,_xlfn.LOGNORM.INV(RAND(),MV2,Sigma1),IF(RAND()&lt;CondGood,_xlfn.LOGNORM.INV(RAND(),MV3,Sigma2),MIN(MaxMultiple,Xm/(1-RAND())^(1/Alpha)))))</f>
        <v>1.3648719182642572</v>
      </c>
      <c r="E464" s="19">
        <f ca="1">IF(RAND()&lt;P_Zero,0,IF(RAND()&lt;CondReturn,_xlfn.LOGNORM.INV(RAND(),MV2,Sigma1),IF(RAND()&lt;CondGood,_xlfn.LOGNORM.INV(RAND(),MV3,Sigma2),MIN(MaxMultiple,Xm/(1-RAND())^(1/Alpha)))))</f>
        <v>0</v>
      </c>
      <c r="F464" s="19">
        <f ca="1">IF(RAND()&lt;P_Zero,0,IF(RAND()&lt;CondReturn,_xlfn.LOGNORM.INV(RAND(),MV2,Sigma1),IF(RAND()&lt;CondGood,_xlfn.LOGNORM.INV(RAND(),MV3,Sigma2),MIN(MaxMultiple,Xm/(1-RAND())^(1/Alpha)))))</f>
        <v>0</v>
      </c>
      <c r="G464" s="19">
        <f ca="1">IF(RAND()&lt;P_Zero,0,IF(RAND()&lt;CondReturn,_xlfn.LOGNORM.INV(RAND(),MV2,Sigma1),IF(RAND()&lt;CondGood,_xlfn.LOGNORM.INV(RAND(),MV3,Sigma2),MIN(MaxMultiple,Xm/(1-RAND())^(1/Alpha)))))</f>
        <v>0</v>
      </c>
      <c r="H464" s="19">
        <f ca="1">IF(RAND()&lt;P_Zero,0,IF(RAND()&lt;CondReturn,_xlfn.LOGNORM.INV(RAND(),MV2,Sigma1),IF(RAND()&lt;CondGood,_xlfn.LOGNORM.INV(RAND(),MV3,Sigma2),MIN(MaxMultiple,Xm/(1-RAND())^(1/Alpha)))))</f>
        <v>0.81814567759672507</v>
      </c>
      <c r="I464" s="19">
        <f ca="1">IF(RAND()&lt;P_Zero,0,IF(RAND()&lt;CondReturn,_xlfn.LOGNORM.INV(RAND(),MV2,Sigma1),IF(RAND()&lt;CondGood,_xlfn.LOGNORM.INV(RAND(),MV3,Sigma2),MIN(MaxMultiple,Xm/(1-RAND())^(1/Alpha)))))</f>
        <v>0.40572215058151345</v>
      </c>
      <c r="J464" s="19">
        <f ca="1">IF(RAND()&lt;P_Zero,0,IF(RAND()&lt;CondReturn,_xlfn.LOGNORM.INV(RAND(),MV2,Sigma1),IF(RAND()&lt;CondGood,_xlfn.LOGNORM.INV(RAND(),MV3,Sigma2),MIN(MaxMultiple,Xm/(1-RAND())^(1/Alpha)))))</f>
        <v>0.78204730386783305</v>
      </c>
      <c r="K464" s="19">
        <f ca="1">IF(RAND()&lt;P_Zero,0,IF(RAND()&lt;CondReturn,_xlfn.LOGNORM.INV(RAND(),MV2,Sigma1),IF(RAND()&lt;CondGood,_xlfn.LOGNORM.INV(RAND(),MV3,Sigma2),MIN(MaxMultiple,Xm/(1-RAND())^(1/Alpha)))))</f>
        <v>11.630829087691311</v>
      </c>
      <c r="L464" s="19">
        <f ca="1">IF(RAND()&lt;P_Zero,0,IF(RAND()&lt;CondReturn,_xlfn.LOGNORM.INV(RAND(),MV2,Sigma1),IF(RAND()&lt;CondGood,_xlfn.LOGNORM.INV(RAND(),MV3,Sigma2),MIN(MaxMultiple,Xm/(1-RAND())^(1/Alpha)))))</f>
        <v>0</v>
      </c>
      <c r="M464" s="19">
        <f ca="1">IF(RAND()&lt;P_Zero,0,IF(RAND()&lt;CondReturn,_xlfn.LOGNORM.INV(RAND(),MV2,Sigma1),IF(RAND()&lt;CondGood,_xlfn.LOGNORM.INV(RAND(),MV3,Sigma2),MIN(MaxMultiple,Xm/(1-RAND())^(1/Alpha)))))</f>
        <v>0</v>
      </c>
      <c r="N464" s="19">
        <f ca="1">IF(RAND()&lt;P_Zero,0,IF(RAND()&lt;CondReturn,_xlfn.LOGNORM.INV(RAND(),MV2,Sigma1),IF(RAND()&lt;CondGood,_xlfn.LOGNORM.INV(RAND(),MV3,Sigma2),MIN(MaxMultiple,Xm/(1-RAND())^(1/Alpha)))))</f>
        <v>0.97819666571890174</v>
      </c>
      <c r="O464" s="19">
        <f ca="1">IF(RAND()&lt;P_Zero,0,IF(RAND()&lt;CondReturn,_xlfn.LOGNORM.INV(RAND(),MV2,Sigma1),IF(RAND()&lt;CondGood,_xlfn.LOGNORM.INV(RAND(),MV3,Sigma2),MIN(MaxMultiple,Xm/(1-RAND())^(1/Alpha)))))</f>
        <v>0</v>
      </c>
      <c r="P464" s="19">
        <f ca="1">IF(RAND()&lt;P_Zero,0,IF(RAND()&lt;CondReturn,_xlfn.LOGNORM.INV(RAND(),MV2,Sigma1),IF(RAND()&lt;CondGood,_xlfn.LOGNORM.INV(RAND(),MV3,Sigma2),MIN(MaxMultiple,Xm/(1-RAND())^(1/Alpha)))))</f>
        <v>0.62519454854104983</v>
      </c>
      <c r="Q464" s="19">
        <f ca="1">IF(RAND()&lt;P_Zero,0,IF(RAND()&lt;CondReturn,_xlfn.LOGNORM.INV(RAND(),MV2,Sigma1),IF(RAND()&lt;CondGood,_xlfn.LOGNORM.INV(RAND(),MV3,Sigma2),MIN(MaxMultiple,Xm/(1-RAND())^(1/Alpha)))))</f>
        <v>0.96031109695510353</v>
      </c>
      <c r="R464" s="19">
        <f ca="1">IF(RAND()&lt;P_Zero,0,IF(RAND()&lt;CondReturn,_xlfn.LOGNORM.INV(RAND(),MV2,Sigma1),IF(RAND()&lt;CondGood,_xlfn.LOGNORM.INV(RAND(),MV3,Sigma2),MIN(MaxMultiple,Xm/(1-RAND())^(1/Alpha)))))</f>
        <v>1.7847777711103023</v>
      </c>
      <c r="S464" s="19">
        <f ca="1">IF(RAND()&lt;P_Zero,0,IF(RAND()&lt;CondReturn,_xlfn.LOGNORM.INV(RAND(),MV2,Sigma1),IF(RAND()&lt;CondGood,_xlfn.LOGNORM.INV(RAND(),MV3,Sigma2),MIN(MaxMultiple,Xm/(1-RAND())^(1/Alpha)))))</f>
        <v>0</v>
      </c>
      <c r="T464" s="19">
        <f ca="1">IF(RAND()&lt;P_Zero,0,IF(RAND()&lt;CondReturn,_xlfn.LOGNORM.INV(RAND(),MV2,Sigma1),IF(RAND()&lt;CondGood,_xlfn.LOGNORM.INV(RAND(),MV3,Sigma2),MIN(MaxMultiple,Xm/(1-RAND())^(1/Alpha)))))</f>
        <v>0</v>
      </c>
      <c r="U464" s="19">
        <f ca="1">IF(RAND()&lt;P_Zero,0,IF(RAND()&lt;CondReturn,_xlfn.LOGNORM.INV(RAND(),MV2,Sigma1),IF(RAND()&lt;CondGood,_xlfn.LOGNORM.INV(RAND(),MV3,Sigma2),MIN(MaxMultiple,Xm/(1-RAND())^(1/Alpha)))))</f>
        <v>1.1880693529174107</v>
      </c>
      <c r="V464" s="19">
        <f ca="1">IF(RAND()&lt;P_Zero,0,IF(RAND()&lt;CondReturn,_xlfn.LOGNORM.INV(RAND(),MV2,Sigma1),IF(RAND()&lt;CondGood,_xlfn.LOGNORM.INV(RAND(),MV3,Sigma2),MIN(MaxMultiple,Xm/(1-RAND())^(1/Alpha)))))</f>
        <v>0.84489740040940176</v>
      </c>
      <c r="W464" s="19">
        <f ca="1">IF(RAND()&lt;P_Zero,0,IF(RAND()&lt;CondReturn,_xlfn.LOGNORM.INV(RAND(),MV2,Sigma1),IF(RAND()&lt;CondGood,_xlfn.LOGNORM.INV(RAND(),MV3,Sigma2),MIN(MaxMultiple,Xm/(1-RAND())^(1/Alpha)))))</f>
        <v>0</v>
      </c>
      <c r="X464" s="19">
        <f ca="1">IF(RAND()&lt;P_Zero,0,IF(RAND()&lt;CondReturn,_xlfn.LOGNORM.INV(RAND(),MV2,Sigma1),IF(RAND()&lt;CondGood,_xlfn.LOGNORM.INV(RAND(),MV3,Sigma2),MIN(MaxMultiple,Xm/(1-RAND())^(1/Alpha)))))</f>
        <v>0.90223994984501432</v>
      </c>
      <c r="Y464" s="19">
        <f ca="1">IF(RAND()&lt;P_Zero,0,IF(RAND()&lt;CondReturn,_xlfn.LOGNORM.INV(RAND(),MV2,Sigma1),IF(RAND()&lt;CondGood,_xlfn.LOGNORM.INV(RAND(),MV3,Sigma2),MIN(MaxMultiple,Xm/(1-RAND())^(1/Alpha)))))</f>
        <v>0</v>
      </c>
      <c r="Z464" s="19">
        <f ca="1">IF(RAND()&lt;P_Zero,0,IF(RAND()&lt;CondReturn,_xlfn.LOGNORM.INV(RAND(),MV2,Sigma1),IF(RAND()&lt;CondGood,_xlfn.LOGNORM.INV(RAND(),MV3,Sigma2),MIN(MaxMultiple,Xm/(1-RAND())^(1/Alpha)))))</f>
        <v>1.0825319569404759</v>
      </c>
      <c r="AA464" s="19">
        <f ca="1">IF(RAND()&lt;P_Zero,0,IF(RAND()&lt;CondReturn,_xlfn.LOGNORM.INV(RAND(),MV2,Sigma1),IF(RAND()&lt;CondGood,_xlfn.LOGNORM.INV(RAND(),MV3,Sigma2),MIN(MaxMultiple,Xm/(1-RAND())^(1/Alpha)))))</f>
        <v>0.3903738246236419</v>
      </c>
      <c r="AB464" s="19">
        <f t="shared" ca="1" si="56"/>
        <v>0.9970878057901027</v>
      </c>
      <c r="AC464" s="14">
        <f t="shared" ca="1" si="57"/>
        <v>47860214.677924931</v>
      </c>
      <c r="AD464" s="14">
        <f t="shared" ca="1" si="58"/>
        <v>-139785.32207506895</v>
      </c>
      <c r="AE464" s="14">
        <f t="shared" si="59"/>
        <v>55628399.869093813</v>
      </c>
      <c r="AF464" s="14">
        <f t="shared" ca="1" si="60"/>
        <v>0</v>
      </c>
      <c r="AG464" s="14">
        <f t="shared" ca="1" si="61"/>
        <v>0</v>
      </c>
      <c r="AH464" s="14">
        <f t="shared" ca="1" si="62"/>
        <v>47860214.677924931</v>
      </c>
      <c r="AI464" s="19">
        <f t="shared" ca="1" si="63"/>
        <v>0.79767024463208214</v>
      </c>
    </row>
    <row r="465" spans="2:35" x14ac:dyDescent="0.2">
      <c r="B465" s="1">
        <v>460</v>
      </c>
      <c r="C465" s="19">
        <f ca="1">IF(RAND()&lt;P_Zero,0,IF(RAND()&lt;CondReturn,_xlfn.LOGNORM.INV(RAND(),MV2,Sigma1),IF(RAND()&lt;CondGood,_xlfn.LOGNORM.INV(RAND(),MV3,Sigma2),MIN(MaxMultiple,Xm/(1-RAND())^(1/Alpha)))))</f>
        <v>0</v>
      </c>
      <c r="D465" s="19">
        <f ca="1">IF(RAND()&lt;P_Zero,0,IF(RAND()&lt;CondReturn,_xlfn.LOGNORM.INV(RAND(),MV2,Sigma1),IF(RAND()&lt;CondGood,_xlfn.LOGNORM.INV(RAND(),MV3,Sigma2),MIN(MaxMultiple,Xm/(1-RAND())^(1/Alpha)))))</f>
        <v>0.92394424064876601</v>
      </c>
      <c r="E465" s="19">
        <f ca="1">IF(RAND()&lt;P_Zero,0,IF(RAND()&lt;CondReturn,_xlfn.LOGNORM.INV(RAND(),MV2,Sigma1),IF(RAND()&lt;CondGood,_xlfn.LOGNORM.INV(RAND(),MV3,Sigma2),MIN(MaxMultiple,Xm/(1-RAND())^(1/Alpha)))))</f>
        <v>0.75553797845105408</v>
      </c>
      <c r="F465" s="19">
        <f ca="1">IF(RAND()&lt;P_Zero,0,IF(RAND()&lt;CondReturn,_xlfn.LOGNORM.INV(RAND(),MV2,Sigma1),IF(RAND()&lt;CondGood,_xlfn.LOGNORM.INV(RAND(),MV3,Sigma2),MIN(MaxMultiple,Xm/(1-RAND())^(1/Alpha)))))</f>
        <v>0.66385799833483228</v>
      </c>
      <c r="G465" s="19">
        <f ca="1">IF(RAND()&lt;P_Zero,0,IF(RAND()&lt;CondReturn,_xlfn.LOGNORM.INV(RAND(),MV2,Sigma1),IF(RAND()&lt;CondGood,_xlfn.LOGNORM.INV(RAND(),MV3,Sigma2),MIN(MaxMultiple,Xm/(1-RAND())^(1/Alpha)))))</f>
        <v>0.76138407017894794</v>
      </c>
      <c r="H465" s="19">
        <f ca="1">IF(RAND()&lt;P_Zero,0,IF(RAND()&lt;CondReturn,_xlfn.LOGNORM.INV(RAND(),MV2,Sigma1),IF(RAND()&lt;CondGood,_xlfn.LOGNORM.INV(RAND(),MV3,Sigma2),MIN(MaxMultiple,Xm/(1-RAND())^(1/Alpha)))))</f>
        <v>0</v>
      </c>
      <c r="I465" s="19">
        <f ca="1">IF(RAND()&lt;P_Zero,0,IF(RAND()&lt;CondReturn,_xlfn.LOGNORM.INV(RAND(),MV2,Sigma1),IF(RAND()&lt;CondGood,_xlfn.LOGNORM.INV(RAND(),MV3,Sigma2),MIN(MaxMultiple,Xm/(1-RAND())^(1/Alpha)))))</f>
        <v>0</v>
      </c>
      <c r="J465" s="19">
        <f ca="1">IF(RAND()&lt;P_Zero,0,IF(RAND()&lt;CondReturn,_xlfn.LOGNORM.INV(RAND(),MV2,Sigma1),IF(RAND()&lt;CondGood,_xlfn.LOGNORM.INV(RAND(),MV3,Sigma2),MIN(MaxMultiple,Xm/(1-RAND())^(1/Alpha)))))</f>
        <v>0</v>
      </c>
      <c r="K465" s="19">
        <f ca="1">IF(RAND()&lt;P_Zero,0,IF(RAND()&lt;CondReturn,_xlfn.LOGNORM.INV(RAND(),MV2,Sigma1),IF(RAND()&lt;CondGood,_xlfn.LOGNORM.INV(RAND(),MV3,Sigma2),MIN(MaxMultiple,Xm/(1-RAND())^(1/Alpha)))))</f>
        <v>1.508342774160939</v>
      </c>
      <c r="L465" s="19">
        <f ca="1">IF(RAND()&lt;P_Zero,0,IF(RAND()&lt;CondReturn,_xlfn.LOGNORM.INV(RAND(),MV2,Sigma1),IF(RAND()&lt;CondGood,_xlfn.LOGNORM.INV(RAND(),MV3,Sigma2),MIN(MaxMultiple,Xm/(1-RAND())^(1/Alpha)))))</f>
        <v>12.433203982353067</v>
      </c>
      <c r="M465" s="19">
        <f ca="1">IF(RAND()&lt;P_Zero,0,IF(RAND()&lt;CondReturn,_xlfn.LOGNORM.INV(RAND(),MV2,Sigma1),IF(RAND()&lt;CondGood,_xlfn.LOGNORM.INV(RAND(),MV3,Sigma2),MIN(MaxMultiple,Xm/(1-RAND())^(1/Alpha)))))</f>
        <v>0</v>
      </c>
      <c r="N465" s="19">
        <f ca="1">IF(RAND()&lt;P_Zero,0,IF(RAND()&lt;CondReturn,_xlfn.LOGNORM.INV(RAND(),MV2,Sigma1),IF(RAND()&lt;CondGood,_xlfn.LOGNORM.INV(RAND(),MV3,Sigma2),MIN(MaxMultiple,Xm/(1-RAND())^(1/Alpha)))))</f>
        <v>0.7197319215534268</v>
      </c>
      <c r="O465" s="19">
        <f ca="1">IF(RAND()&lt;P_Zero,0,IF(RAND()&lt;CondReturn,_xlfn.LOGNORM.INV(RAND(),MV2,Sigma1),IF(RAND()&lt;CondGood,_xlfn.LOGNORM.INV(RAND(),MV3,Sigma2),MIN(MaxMultiple,Xm/(1-RAND())^(1/Alpha)))))</f>
        <v>0</v>
      </c>
      <c r="P465" s="19">
        <f ca="1">IF(RAND()&lt;P_Zero,0,IF(RAND()&lt;CondReturn,_xlfn.LOGNORM.INV(RAND(),MV2,Sigma1),IF(RAND()&lt;CondGood,_xlfn.LOGNORM.INV(RAND(),MV3,Sigma2),MIN(MaxMultiple,Xm/(1-RAND())^(1/Alpha)))))</f>
        <v>0</v>
      </c>
      <c r="Q465" s="19">
        <f ca="1">IF(RAND()&lt;P_Zero,0,IF(RAND()&lt;CondReturn,_xlfn.LOGNORM.INV(RAND(),MV2,Sigma1),IF(RAND()&lt;CondGood,_xlfn.LOGNORM.INV(RAND(),MV3,Sigma2),MIN(MaxMultiple,Xm/(1-RAND())^(1/Alpha)))))</f>
        <v>0.87475679793330818</v>
      </c>
      <c r="R465" s="19">
        <f ca="1">IF(RAND()&lt;P_Zero,0,IF(RAND()&lt;CondReturn,_xlfn.LOGNORM.INV(RAND(),MV2,Sigma1),IF(RAND()&lt;CondGood,_xlfn.LOGNORM.INV(RAND(),MV3,Sigma2),MIN(MaxMultiple,Xm/(1-RAND())^(1/Alpha)))))</f>
        <v>0</v>
      </c>
      <c r="S465" s="19">
        <f ca="1">IF(RAND()&lt;P_Zero,0,IF(RAND()&lt;CondReturn,_xlfn.LOGNORM.INV(RAND(),MV2,Sigma1),IF(RAND()&lt;CondGood,_xlfn.LOGNORM.INV(RAND(),MV3,Sigma2),MIN(MaxMultiple,Xm/(1-RAND())^(1/Alpha)))))</f>
        <v>0</v>
      </c>
      <c r="T465" s="19">
        <f ca="1">IF(RAND()&lt;P_Zero,0,IF(RAND()&lt;CondReturn,_xlfn.LOGNORM.INV(RAND(),MV2,Sigma1),IF(RAND()&lt;CondGood,_xlfn.LOGNORM.INV(RAND(),MV3,Sigma2),MIN(MaxMultiple,Xm/(1-RAND())^(1/Alpha)))))</f>
        <v>0.34195320077102359</v>
      </c>
      <c r="U465" s="19">
        <f ca="1">IF(RAND()&lt;P_Zero,0,IF(RAND()&lt;CondReturn,_xlfn.LOGNORM.INV(RAND(),MV2,Sigma1),IF(RAND()&lt;CondGood,_xlfn.LOGNORM.INV(RAND(),MV3,Sigma2),MIN(MaxMultiple,Xm/(1-RAND())^(1/Alpha)))))</f>
        <v>0.70934562155136682</v>
      </c>
      <c r="V465" s="19">
        <f ca="1">IF(RAND()&lt;P_Zero,0,IF(RAND()&lt;CondReturn,_xlfn.LOGNORM.INV(RAND(),MV2,Sigma1),IF(RAND()&lt;CondGood,_xlfn.LOGNORM.INV(RAND(),MV3,Sigma2),MIN(MaxMultiple,Xm/(1-RAND())^(1/Alpha)))))</f>
        <v>0</v>
      </c>
      <c r="W465" s="19">
        <f ca="1">IF(RAND()&lt;P_Zero,0,IF(RAND()&lt;CondReturn,_xlfn.LOGNORM.INV(RAND(),MV2,Sigma1),IF(RAND()&lt;CondGood,_xlfn.LOGNORM.INV(RAND(),MV3,Sigma2),MIN(MaxMultiple,Xm/(1-RAND())^(1/Alpha)))))</f>
        <v>1.5660509222063868</v>
      </c>
      <c r="X465" s="19">
        <f ca="1">IF(RAND()&lt;P_Zero,0,IF(RAND()&lt;CondReturn,_xlfn.LOGNORM.INV(RAND(),MV2,Sigma1),IF(RAND()&lt;CondGood,_xlfn.LOGNORM.INV(RAND(),MV3,Sigma2),MIN(MaxMultiple,Xm/(1-RAND())^(1/Alpha)))))</f>
        <v>0</v>
      </c>
      <c r="Y465" s="19">
        <f ca="1">IF(RAND()&lt;P_Zero,0,IF(RAND()&lt;CondReturn,_xlfn.LOGNORM.INV(RAND(),MV2,Sigma1),IF(RAND()&lt;CondGood,_xlfn.LOGNORM.INV(RAND(),MV3,Sigma2),MIN(MaxMultiple,Xm/(1-RAND())^(1/Alpha)))))</f>
        <v>0</v>
      </c>
      <c r="Z465" s="19">
        <f ca="1">IF(RAND()&lt;P_Zero,0,IF(RAND()&lt;CondReturn,_xlfn.LOGNORM.INV(RAND(),MV2,Sigma1),IF(RAND()&lt;CondGood,_xlfn.LOGNORM.INV(RAND(),MV3,Sigma2),MIN(MaxMultiple,Xm/(1-RAND())^(1/Alpha)))))</f>
        <v>0.97144100499360075</v>
      </c>
      <c r="AA465" s="19">
        <f ca="1">IF(RAND()&lt;P_Zero,0,IF(RAND()&lt;CondReturn,_xlfn.LOGNORM.INV(RAND(),MV2,Sigma1),IF(RAND()&lt;CondGood,_xlfn.LOGNORM.INV(RAND(),MV3,Sigma2),MIN(MaxMultiple,Xm/(1-RAND())^(1/Alpha)))))</f>
        <v>16.206982072033245</v>
      </c>
      <c r="AB465" s="19">
        <f t="shared" ca="1" si="56"/>
        <v>1.5374613034067985</v>
      </c>
      <c r="AC465" s="14">
        <f t="shared" ca="1" si="57"/>
        <v>73798142.563526332</v>
      </c>
      <c r="AD465" s="14">
        <f t="shared" ca="1" si="58"/>
        <v>25798142.563526332</v>
      </c>
      <c r="AE465" s="14">
        <f t="shared" si="59"/>
        <v>55628399.869093813</v>
      </c>
      <c r="AF465" s="14">
        <f t="shared" ca="1" si="60"/>
        <v>0</v>
      </c>
      <c r="AG465" s="14">
        <f t="shared" ca="1" si="61"/>
        <v>0</v>
      </c>
      <c r="AH465" s="14">
        <f t="shared" ca="1" si="62"/>
        <v>73798142.563526332</v>
      </c>
      <c r="AI465" s="19">
        <f t="shared" ca="1" si="63"/>
        <v>1.2299690427254388</v>
      </c>
    </row>
    <row r="466" spans="2:35" x14ac:dyDescent="0.2">
      <c r="B466" s="1">
        <v>461</v>
      </c>
      <c r="C466" s="19">
        <f ca="1">IF(RAND()&lt;P_Zero,0,IF(RAND()&lt;CondReturn,_xlfn.LOGNORM.INV(RAND(),MV2,Sigma1),IF(RAND()&lt;CondGood,_xlfn.LOGNORM.INV(RAND(),MV3,Sigma2),MIN(MaxMultiple,Xm/(1-RAND())^(1/Alpha)))))</f>
        <v>1.9171341598544667</v>
      </c>
      <c r="D466" s="19">
        <f ca="1">IF(RAND()&lt;P_Zero,0,IF(RAND()&lt;CondReturn,_xlfn.LOGNORM.INV(RAND(),MV2,Sigma1),IF(RAND()&lt;CondGood,_xlfn.LOGNORM.INV(RAND(),MV3,Sigma2),MIN(MaxMultiple,Xm/(1-RAND())^(1/Alpha)))))</f>
        <v>0</v>
      </c>
      <c r="E466" s="19">
        <f ca="1">IF(RAND()&lt;P_Zero,0,IF(RAND()&lt;CondReturn,_xlfn.LOGNORM.INV(RAND(),MV2,Sigma1),IF(RAND()&lt;CondGood,_xlfn.LOGNORM.INV(RAND(),MV3,Sigma2),MIN(MaxMultiple,Xm/(1-RAND())^(1/Alpha)))))</f>
        <v>0</v>
      </c>
      <c r="F466" s="19">
        <f ca="1">IF(RAND()&lt;P_Zero,0,IF(RAND()&lt;CondReturn,_xlfn.LOGNORM.INV(RAND(),MV2,Sigma1),IF(RAND()&lt;CondGood,_xlfn.LOGNORM.INV(RAND(),MV3,Sigma2),MIN(MaxMultiple,Xm/(1-RAND())^(1/Alpha)))))</f>
        <v>1.0082776310617159</v>
      </c>
      <c r="G466" s="19">
        <f ca="1">IF(RAND()&lt;P_Zero,0,IF(RAND()&lt;CondReturn,_xlfn.LOGNORM.INV(RAND(),MV2,Sigma1),IF(RAND()&lt;CondGood,_xlfn.LOGNORM.INV(RAND(),MV3,Sigma2),MIN(MaxMultiple,Xm/(1-RAND())^(1/Alpha)))))</f>
        <v>0.83806398634811907</v>
      </c>
      <c r="H466" s="19">
        <f ca="1">IF(RAND()&lt;P_Zero,0,IF(RAND()&lt;CondReturn,_xlfn.LOGNORM.INV(RAND(),MV2,Sigma1),IF(RAND()&lt;CondGood,_xlfn.LOGNORM.INV(RAND(),MV3,Sigma2),MIN(MaxMultiple,Xm/(1-RAND())^(1/Alpha)))))</f>
        <v>1.9246090918862917</v>
      </c>
      <c r="I466" s="19">
        <f ca="1">IF(RAND()&lt;P_Zero,0,IF(RAND()&lt;CondReturn,_xlfn.LOGNORM.INV(RAND(),MV2,Sigma1),IF(RAND()&lt;CondGood,_xlfn.LOGNORM.INV(RAND(),MV3,Sigma2),MIN(MaxMultiple,Xm/(1-RAND())^(1/Alpha)))))</f>
        <v>0</v>
      </c>
      <c r="J466" s="19">
        <f ca="1">IF(RAND()&lt;P_Zero,0,IF(RAND()&lt;CondReturn,_xlfn.LOGNORM.INV(RAND(),MV2,Sigma1),IF(RAND()&lt;CondGood,_xlfn.LOGNORM.INV(RAND(),MV3,Sigma2),MIN(MaxMultiple,Xm/(1-RAND())^(1/Alpha)))))</f>
        <v>0</v>
      </c>
      <c r="K466" s="19">
        <f ca="1">IF(RAND()&lt;P_Zero,0,IF(RAND()&lt;CondReturn,_xlfn.LOGNORM.INV(RAND(),MV2,Sigma1),IF(RAND()&lt;CondGood,_xlfn.LOGNORM.INV(RAND(),MV3,Sigma2),MIN(MaxMultiple,Xm/(1-RAND())^(1/Alpha)))))</f>
        <v>1.4344680744010014</v>
      </c>
      <c r="L466" s="19">
        <f ca="1">IF(RAND()&lt;P_Zero,0,IF(RAND()&lt;CondReturn,_xlfn.LOGNORM.INV(RAND(),MV2,Sigma1),IF(RAND()&lt;CondGood,_xlfn.LOGNORM.INV(RAND(),MV3,Sigma2),MIN(MaxMultiple,Xm/(1-RAND())^(1/Alpha)))))</f>
        <v>0</v>
      </c>
      <c r="M466" s="19">
        <f ca="1">IF(RAND()&lt;P_Zero,0,IF(RAND()&lt;CondReturn,_xlfn.LOGNORM.INV(RAND(),MV2,Sigma1),IF(RAND()&lt;CondGood,_xlfn.LOGNORM.INV(RAND(),MV3,Sigma2),MIN(MaxMultiple,Xm/(1-RAND())^(1/Alpha)))))</f>
        <v>0</v>
      </c>
      <c r="N466" s="19">
        <f ca="1">IF(RAND()&lt;P_Zero,0,IF(RAND()&lt;CondReturn,_xlfn.LOGNORM.INV(RAND(),MV2,Sigma1),IF(RAND()&lt;CondGood,_xlfn.LOGNORM.INV(RAND(),MV3,Sigma2),MIN(MaxMultiple,Xm/(1-RAND())^(1/Alpha)))))</f>
        <v>1.4179484491042011</v>
      </c>
      <c r="O466" s="19">
        <f ca="1">IF(RAND()&lt;P_Zero,0,IF(RAND()&lt;CondReturn,_xlfn.LOGNORM.INV(RAND(),MV2,Sigma1),IF(RAND()&lt;CondGood,_xlfn.LOGNORM.INV(RAND(),MV3,Sigma2),MIN(MaxMultiple,Xm/(1-RAND())^(1/Alpha)))))</f>
        <v>0.56629752823770352</v>
      </c>
      <c r="P466" s="19">
        <f ca="1">IF(RAND()&lt;P_Zero,0,IF(RAND()&lt;CondReturn,_xlfn.LOGNORM.INV(RAND(),MV2,Sigma1),IF(RAND()&lt;CondGood,_xlfn.LOGNORM.INV(RAND(),MV3,Sigma2),MIN(MaxMultiple,Xm/(1-RAND())^(1/Alpha)))))</f>
        <v>0</v>
      </c>
      <c r="Q466" s="19">
        <f ca="1">IF(RAND()&lt;P_Zero,0,IF(RAND()&lt;CondReturn,_xlfn.LOGNORM.INV(RAND(),MV2,Sigma1),IF(RAND()&lt;CondGood,_xlfn.LOGNORM.INV(RAND(),MV3,Sigma2),MIN(MaxMultiple,Xm/(1-RAND())^(1/Alpha)))))</f>
        <v>0.52862667869293989</v>
      </c>
      <c r="R466" s="19">
        <f ca="1">IF(RAND()&lt;P_Zero,0,IF(RAND()&lt;CondReturn,_xlfn.LOGNORM.INV(RAND(),MV2,Sigma1),IF(RAND()&lt;CondGood,_xlfn.LOGNORM.INV(RAND(),MV3,Sigma2),MIN(MaxMultiple,Xm/(1-RAND())^(1/Alpha)))))</f>
        <v>0</v>
      </c>
      <c r="S466" s="19">
        <f ca="1">IF(RAND()&lt;P_Zero,0,IF(RAND()&lt;CondReturn,_xlfn.LOGNORM.INV(RAND(),MV2,Sigma1),IF(RAND()&lt;CondGood,_xlfn.LOGNORM.INV(RAND(),MV3,Sigma2),MIN(MaxMultiple,Xm/(1-RAND())^(1/Alpha)))))</f>
        <v>13.942570443494175</v>
      </c>
      <c r="T466" s="19">
        <f ca="1">IF(RAND()&lt;P_Zero,0,IF(RAND()&lt;CondReturn,_xlfn.LOGNORM.INV(RAND(),MV2,Sigma1),IF(RAND()&lt;CondGood,_xlfn.LOGNORM.INV(RAND(),MV3,Sigma2),MIN(MaxMultiple,Xm/(1-RAND())^(1/Alpha)))))</f>
        <v>0.80863116696902593</v>
      </c>
      <c r="U466" s="19">
        <f ca="1">IF(RAND()&lt;P_Zero,0,IF(RAND()&lt;CondReturn,_xlfn.LOGNORM.INV(RAND(),MV2,Sigma1),IF(RAND()&lt;CondGood,_xlfn.LOGNORM.INV(RAND(),MV3,Sigma2),MIN(MaxMultiple,Xm/(1-RAND())^(1/Alpha)))))</f>
        <v>1.4970665654191104</v>
      </c>
      <c r="V466" s="19">
        <f ca="1">IF(RAND()&lt;P_Zero,0,IF(RAND()&lt;CondReturn,_xlfn.LOGNORM.INV(RAND(),MV2,Sigma1),IF(RAND()&lt;CondGood,_xlfn.LOGNORM.INV(RAND(),MV3,Sigma2),MIN(MaxMultiple,Xm/(1-RAND())^(1/Alpha)))))</f>
        <v>1.7756113480522979</v>
      </c>
      <c r="W466" s="19">
        <f ca="1">IF(RAND()&lt;P_Zero,0,IF(RAND()&lt;CondReturn,_xlfn.LOGNORM.INV(RAND(),MV2,Sigma1),IF(RAND()&lt;CondGood,_xlfn.LOGNORM.INV(RAND(),MV3,Sigma2),MIN(MaxMultiple,Xm/(1-RAND())^(1/Alpha)))))</f>
        <v>0.7841821056045738</v>
      </c>
      <c r="X466" s="19">
        <f ca="1">IF(RAND()&lt;P_Zero,0,IF(RAND()&lt;CondReturn,_xlfn.LOGNORM.INV(RAND(),MV2,Sigma1),IF(RAND()&lt;CondGood,_xlfn.LOGNORM.INV(RAND(),MV3,Sigma2),MIN(MaxMultiple,Xm/(1-RAND())^(1/Alpha)))))</f>
        <v>1.0801811045715393</v>
      </c>
      <c r="Y466" s="19">
        <f ca="1">IF(RAND()&lt;P_Zero,0,IF(RAND()&lt;CondReturn,_xlfn.LOGNORM.INV(RAND(),MV2,Sigma1),IF(RAND()&lt;CondGood,_xlfn.LOGNORM.INV(RAND(),MV3,Sigma2),MIN(MaxMultiple,Xm/(1-RAND())^(1/Alpha)))))</f>
        <v>0</v>
      </c>
      <c r="Z466" s="19">
        <f ca="1">IF(RAND()&lt;P_Zero,0,IF(RAND()&lt;CondReturn,_xlfn.LOGNORM.INV(RAND(),MV2,Sigma1),IF(RAND()&lt;CondGood,_xlfn.LOGNORM.INV(RAND(),MV3,Sigma2),MIN(MaxMultiple,Xm/(1-RAND())^(1/Alpha)))))</f>
        <v>0</v>
      </c>
      <c r="AA466" s="19">
        <f ca="1">IF(RAND()&lt;P_Zero,0,IF(RAND()&lt;CondReturn,_xlfn.LOGNORM.INV(RAND(),MV2,Sigma1),IF(RAND()&lt;CondGood,_xlfn.LOGNORM.INV(RAND(),MV3,Sigma2),MIN(MaxMultiple,Xm/(1-RAND())^(1/Alpha)))))</f>
        <v>0.75184810423492865</v>
      </c>
      <c r="AB466" s="19">
        <f t="shared" ca="1" si="56"/>
        <v>1.2110206575172837</v>
      </c>
      <c r="AC466" s="14">
        <f t="shared" ca="1" si="57"/>
        <v>58128991.560829617</v>
      </c>
      <c r="AD466" s="14">
        <f t="shared" ca="1" si="58"/>
        <v>10128991.560829617</v>
      </c>
      <c r="AE466" s="14">
        <f t="shared" si="59"/>
        <v>55628399.869093813</v>
      </c>
      <c r="AF466" s="14">
        <f t="shared" ca="1" si="60"/>
        <v>0</v>
      </c>
      <c r="AG466" s="14">
        <f t="shared" ca="1" si="61"/>
        <v>0</v>
      </c>
      <c r="AH466" s="14">
        <f t="shared" ca="1" si="62"/>
        <v>58128991.560829617</v>
      </c>
      <c r="AI466" s="19">
        <f t="shared" ca="1" si="63"/>
        <v>0.96881652601382695</v>
      </c>
    </row>
    <row r="467" spans="2:35" x14ac:dyDescent="0.2">
      <c r="B467" s="1">
        <v>462</v>
      </c>
      <c r="C467" s="19">
        <f ca="1">IF(RAND()&lt;P_Zero,0,IF(RAND()&lt;CondReturn,_xlfn.LOGNORM.INV(RAND(),MV2,Sigma1),IF(RAND()&lt;CondGood,_xlfn.LOGNORM.INV(RAND(),MV3,Sigma2),MIN(MaxMultiple,Xm/(1-RAND())^(1/Alpha)))))</f>
        <v>1.0976151533357226</v>
      </c>
      <c r="D467" s="19">
        <f ca="1">IF(RAND()&lt;P_Zero,0,IF(RAND()&lt;CondReturn,_xlfn.LOGNORM.INV(RAND(),MV2,Sigma1),IF(RAND()&lt;CondGood,_xlfn.LOGNORM.INV(RAND(),MV3,Sigma2),MIN(MaxMultiple,Xm/(1-RAND())^(1/Alpha)))))</f>
        <v>1.4673415253087412</v>
      </c>
      <c r="E467" s="19">
        <f ca="1">IF(RAND()&lt;P_Zero,0,IF(RAND()&lt;CondReturn,_xlfn.LOGNORM.INV(RAND(),MV2,Sigma1),IF(RAND()&lt;CondGood,_xlfn.LOGNORM.INV(RAND(),MV3,Sigma2),MIN(MaxMultiple,Xm/(1-RAND())^(1/Alpha)))))</f>
        <v>2.0326867165068334</v>
      </c>
      <c r="F467" s="19">
        <f ca="1">IF(RAND()&lt;P_Zero,0,IF(RAND()&lt;CondReturn,_xlfn.LOGNORM.INV(RAND(),MV2,Sigma1),IF(RAND()&lt;CondGood,_xlfn.LOGNORM.INV(RAND(),MV3,Sigma2),MIN(MaxMultiple,Xm/(1-RAND())^(1/Alpha)))))</f>
        <v>35.022867553819552</v>
      </c>
      <c r="G467" s="19">
        <f ca="1">IF(RAND()&lt;P_Zero,0,IF(RAND()&lt;CondReturn,_xlfn.LOGNORM.INV(RAND(),MV2,Sigma1),IF(RAND()&lt;CondGood,_xlfn.LOGNORM.INV(RAND(),MV3,Sigma2),MIN(MaxMultiple,Xm/(1-RAND())^(1/Alpha)))))</f>
        <v>1.2892550651358461</v>
      </c>
      <c r="H467" s="19">
        <f ca="1">IF(RAND()&lt;P_Zero,0,IF(RAND()&lt;CondReturn,_xlfn.LOGNORM.INV(RAND(),MV2,Sigma1),IF(RAND()&lt;CondGood,_xlfn.LOGNORM.INV(RAND(),MV3,Sigma2),MIN(MaxMultiple,Xm/(1-RAND())^(1/Alpha)))))</f>
        <v>0.98932572211445535</v>
      </c>
      <c r="I467" s="19">
        <f ca="1">IF(RAND()&lt;P_Zero,0,IF(RAND()&lt;CondReturn,_xlfn.LOGNORM.INV(RAND(),MV2,Sigma1),IF(RAND()&lt;CondGood,_xlfn.LOGNORM.INV(RAND(),MV3,Sigma2),MIN(MaxMultiple,Xm/(1-RAND())^(1/Alpha)))))</f>
        <v>0</v>
      </c>
      <c r="J467" s="19">
        <f ca="1">IF(RAND()&lt;P_Zero,0,IF(RAND()&lt;CondReturn,_xlfn.LOGNORM.INV(RAND(),MV2,Sigma1),IF(RAND()&lt;CondGood,_xlfn.LOGNORM.INV(RAND(),MV3,Sigma2),MIN(MaxMultiple,Xm/(1-RAND())^(1/Alpha)))))</f>
        <v>1.3409887295496077</v>
      </c>
      <c r="K467" s="19">
        <f ca="1">IF(RAND()&lt;P_Zero,0,IF(RAND()&lt;CondReturn,_xlfn.LOGNORM.INV(RAND(),MV2,Sigma1),IF(RAND()&lt;CondGood,_xlfn.LOGNORM.INV(RAND(),MV3,Sigma2),MIN(MaxMultiple,Xm/(1-RAND())^(1/Alpha)))))</f>
        <v>10.191408272882891</v>
      </c>
      <c r="L467" s="19">
        <f ca="1">IF(RAND()&lt;P_Zero,0,IF(RAND()&lt;CondReturn,_xlfn.LOGNORM.INV(RAND(),MV2,Sigma1),IF(RAND()&lt;CondGood,_xlfn.LOGNORM.INV(RAND(),MV3,Sigma2),MIN(MaxMultiple,Xm/(1-RAND())^(1/Alpha)))))</f>
        <v>0</v>
      </c>
      <c r="M467" s="19">
        <f ca="1">IF(RAND()&lt;P_Zero,0,IF(RAND()&lt;CondReturn,_xlfn.LOGNORM.INV(RAND(),MV2,Sigma1),IF(RAND()&lt;CondGood,_xlfn.LOGNORM.INV(RAND(),MV3,Sigma2),MIN(MaxMultiple,Xm/(1-RAND())^(1/Alpha)))))</f>
        <v>0.72730473153316566</v>
      </c>
      <c r="N467" s="19">
        <f ca="1">IF(RAND()&lt;P_Zero,0,IF(RAND()&lt;CondReturn,_xlfn.LOGNORM.INV(RAND(),MV2,Sigma1),IF(RAND()&lt;CondGood,_xlfn.LOGNORM.INV(RAND(),MV3,Sigma2),MIN(MaxMultiple,Xm/(1-RAND())^(1/Alpha)))))</f>
        <v>1.9911672063167469</v>
      </c>
      <c r="O467" s="19">
        <f ca="1">IF(RAND()&lt;P_Zero,0,IF(RAND()&lt;CondReturn,_xlfn.LOGNORM.INV(RAND(),MV2,Sigma1),IF(RAND()&lt;CondGood,_xlfn.LOGNORM.INV(RAND(),MV3,Sigma2),MIN(MaxMultiple,Xm/(1-RAND())^(1/Alpha)))))</f>
        <v>0</v>
      </c>
      <c r="P467" s="19">
        <f ca="1">IF(RAND()&lt;P_Zero,0,IF(RAND()&lt;CondReturn,_xlfn.LOGNORM.INV(RAND(),MV2,Sigma1),IF(RAND()&lt;CondGood,_xlfn.LOGNORM.INV(RAND(),MV3,Sigma2),MIN(MaxMultiple,Xm/(1-RAND())^(1/Alpha)))))</f>
        <v>1.2671457490993565</v>
      </c>
      <c r="Q467" s="19">
        <f ca="1">IF(RAND()&lt;P_Zero,0,IF(RAND()&lt;CondReturn,_xlfn.LOGNORM.INV(RAND(),MV2,Sigma1),IF(RAND()&lt;CondGood,_xlfn.LOGNORM.INV(RAND(),MV3,Sigma2),MIN(MaxMultiple,Xm/(1-RAND())^(1/Alpha)))))</f>
        <v>46.65687701209945</v>
      </c>
      <c r="R467" s="19">
        <f ca="1">IF(RAND()&lt;P_Zero,0,IF(RAND()&lt;CondReturn,_xlfn.LOGNORM.INV(RAND(),MV2,Sigma1),IF(RAND()&lt;CondGood,_xlfn.LOGNORM.INV(RAND(),MV3,Sigma2),MIN(MaxMultiple,Xm/(1-RAND())^(1/Alpha)))))</f>
        <v>0.84374284833666546</v>
      </c>
      <c r="S467" s="19">
        <f ca="1">IF(RAND()&lt;P_Zero,0,IF(RAND()&lt;CondReturn,_xlfn.LOGNORM.INV(RAND(),MV2,Sigma1),IF(RAND()&lt;CondGood,_xlfn.LOGNORM.INV(RAND(),MV3,Sigma2),MIN(MaxMultiple,Xm/(1-RAND())^(1/Alpha)))))</f>
        <v>0.96001152266958456</v>
      </c>
      <c r="T467" s="19">
        <f ca="1">IF(RAND()&lt;P_Zero,0,IF(RAND()&lt;CondReturn,_xlfn.LOGNORM.INV(RAND(),MV2,Sigma1),IF(RAND()&lt;CondGood,_xlfn.LOGNORM.INV(RAND(),MV3,Sigma2),MIN(MaxMultiple,Xm/(1-RAND())^(1/Alpha)))))</f>
        <v>0</v>
      </c>
      <c r="U467" s="19">
        <f ca="1">IF(RAND()&lt;P_Zero,0,IF(RAND()&lt;CondReturn,_xlfn.LOGNORM.INV(RAND(),MV2,Sigma1),IF(RAND()&lt;CondGood,_xlfn.LOGNORM.INV(RAND(),MV3,Sigma2),MIN(MaxMultiple,Xm/(1-RAND())^(1/Alpha)))))</f>
        <v>0</v>
      </c>
      <c r="V467" s="19">
        <f ca="1">IF(RAND()&lt;P_Zero,0,IF(RAND()&lt;CondReturn,_xlfn.LOGNORM.INV(RAND(),MV2,Sigma1),IF(RAND()&lt;CondGood,_xlfn.LOGNORM.INV(RAND(),MV3,Sigma2),MIN(MaxMultiple,Xm/(1-RAND())^(1/Alpha)))))</f>
        <v>0.67929592982824094</v>
      </c>
      <c r="W467" s="19">
        <f ca="1">IF(RAND()&lt;P_Zero,0,IF(RAND()&lt;CondReturn,_xlfn.LOGNORM.INV(RAND(),MV2,Sigma1),IF(RAND()&lt;CondGood,_xlfn.LOGNORM.INV(RAND(),MV3,Sigma2),MIN(MaxMultiple,Xm/(1-RAND())^(1/Alpha)))))</f>
        <v>0</v>
      </c>
      <c r="X467" s="19">
        <f ca="1">IF(RAND()&lt;P_Zero,0,IF(RAND()&lt;CondReturn,_xlfn.LOGNORM.INV(RAND(),MV2,Sigma1),IF(RAND()&lt;CondGood,_xlfn.LOGNORM.INV(RAND(),MV3,Sigma2),MIN(MaxMultiple,Xm/(1-RAND())^(1/Alpha)))))</f>
        <v>10.117242483454541</v>
      </c>
      <c r="Y467" s="19">
        <f ca="1">IF(RAND()&lt;P_Zero,0,IF(RAND()&lt;CondReturn,_xlfn.LOGNORM.INV(RAND(),MV2,Sigma1),IF(RAND()&lt;CondGood,_xlfn.LOGNORM.INV(RAND(),MV3,Sigma2),MIN(MaxMultiple,Xm/(1-RAND())^(1/Alpha)))))</f>
        <v>0.99234878217317934</v>
      </c>
      <c r="Z467" s="19">
        <f ca="1">IF(RAND()&lt;P_Zero,0,IF(RAND()&lt;CondReturn,_xlfn.LOGNORM.INV(RAND(),MV2,Sigma1),IF(RAND()&lt;CondGood,_xlfn.LOGNORM.INV(RAND(),MV3,Sigma2),MIN(MaxMultiple,Xm/(1-RAND())^(1/Alpha)))))</f>
        <v>1.6671222958745506</v>
      </c>
      <c r="AA467" s="19">
        <f ca="1">IF(RAND()&lt;P_Zero,0,IF(RAND()&lt;CondReturn,_xlfn.LOGNORM.INV(RAND(),MV2,Sigma1),IF(RAND()&lt;CondGood,_xlfn.LOGNORM.INV(RAND(),MV3,Sigma2),MIN(MaxMultiple,Xm/(1-RAND())^(1/Alpha)))))</f>
        <v>0.80483291767494414</v>
      </c>
      <c r="AB467" s="19">
        <f t="shared" ca="1" si="56"/>
        <v>4.8055432087085634</v>
      </c>
      <c r="AC467" s="14">
        <f t="shared" ca="1" si="57"/>
        <v>230666074.01801103</v>
      </c>
      <c r="AD467" s="14">
        <f t="shared" ca="1" si="58"/>
        <v>182666074.01801103</v>
      </c>
      <c r="AE467" s="14">
        <f t="shared" si="59"/>
        <v>55628399.869093813</v>
      </c>
      <c r="AF467" s="14">
        <f t="shared" ca="1" si="60"/>
        <v>127037674.14891723</v>
      </c>
      <c r="AG467" s="14">
        <f t="shared" ca="1" si="61"/>
        <v>25407534.829783447</v>
      </c>
      <c r="AH467" s="14">
        <f t="shared" ca="1" si="62"/>
        <v>205258539.18822759</v>
      </c>
      <c r="AI467" s="19">
        <f t="shared" ca="1" si="63"/>
        <v>3.4209756531371265</v>
      </c>
    </row>
    <row r="468" spans="2:35" x14ac:dyDescent="0.2">
      <c r="B468" s="1">
        <v>463</v>
      </c>
      <c r="C468" s="19">
        <f ca="1">IF(RAND()&lt;P_Zero,0,IF(RAND()&lt;CondReturn,_xlfn.LOGNORM.INV(RAND(),MV2,Sigma1),IF(RAND()&lt;CondGood,_xlfn.LOGNORM.INV(RAND(),MV3,Sigma2),MIN(MaxMultiple,Xm/(1-RAND())^(1/Alpha)))))</f>
        <v>0.32988506610476764</v>
      </c>
      <c r="D468" s="19">
        <f ca="1">IF(RAND()&lt;P_Zero,0,IF(RAND()&lt;CondReturn,_xlfn.LOGNORM.INV(RAND(),MV2,Sigma1),IF(RAND()&lt;CondGood,_xlfn.LOGNORM.INV(RAND(),MV3,Sigma2),MIN(MaxMultiple,Xm/(1-RAND())^(1/Alpha)))))</f>
        <v>1.7634416088606739</v>
      </c>
      <c r="E468" s="19">
        <f ca="1">IF(RAND()&lt;P_Zero,0,IF(RAND()&lt;CondReturn,_xlfn.LOGNORM.INV(RAND(),MV2,Sigma1),IF(RAND()&lt;CondGood,_xlfn.LOGNORM.INV(RAND(),MV3,Sigma2),MIN(MaxMultiple,Xm/(1-RAND())^(1/Alpha)))))</f>
        <v>1.5922055586887294</v>
      </c>
      <c r="F468" s="19">
        <f ca="1">IF(RAND()&lt;P_Zero,0,IF(RAND()&lt;CondReturn,_xlfn.LOGNORM.INV(RAND(),MV2,Sigma1),IF(RAND()&lt;CondGood,_xlfn.LOGNORM.INV(RAND(),MV3,Sigma2),MIN(MaxMultiple,Xm/(1-RAND())^(1/Alpha)))))</f>
        <v>0</v>
      </c>
      <c r="G468" s="19">
        <f ca="1">IF(RAND()&lt;P_Zero,0,IF(RAND()&lt;CondReturn,_xlfn.LOGNORM.INV(RAND(),MV2,Sigma1),IF(RAND()&lt;CondGood,_xlfn.LOGNORM.INV(RAND(),MV3,Sigma2),MIN(MaxMultiple,Xm/(1-RAND())^(1/Alpha)))))</f>
        <v>0.62888992502272878</v>
      </c>
      <c r="H468" s="19">
        <f ca="1">IF(RAND()&lt;P_Zero,0,IF(RAND()&lt;CondReturn,_xlfn.LOGNORM.INV(RAND(),MV2,Sigma1),IF(RAND()&lt;CondGood,_xlfn.LOGNORM.INV(RAND(),MV3,Sigma2),MIN(MaxMultiple,Xm/(1-RAND())^(1/Alpha)))))</f>
        <v>0</v>
      </c>
      <c r="I468" s="19">
        <f ca="1">IF(RAND()&lt;P_Zero,0,IF(RAND()&lt;CondReturn,_xlfn.LOGNORM.INV(RAND(),MV2,Sigma1),IF(RAND()&lt;CondGood,_xlfn.LOGNORM.INV(RAND(),MV3,Sigma2),MIN(MaxMultiple,Xm/(1-RAND())^(1/Alpha)))))</f>
        <v>0</v>
      </c>
      <c r="J468" s="19">
        <f ca="1">IF(RAND()&lt;P_Zero,0,IF(RAND()&lt;CondReturn,_xlfn.LOGNORM.INV(RAND(),MV2,Sigma1),IF(RAND()&lt;CondGood,_xlfn.LOGNORM.INV(RAND(),MV3,Sigma2),MIN(MaxMultiple,Xm/(1-RAND())^(1/Alpha)))))</f>
        <v>1.0429300848085947</v>
      </c>
      <c r="K468" s="19">
        <f ca="1">IF(RAND()&lt;P_Zero,0,IF(RAND()&lt;CondReturn,_xlfn.LOGNORM.INV(RAND(),MV2,Sigma1),IF(RAND()&lt;CondGood,_xlfn.LOGNORM.INV(RAND(),MV3,Sigma2),MIN(MaxMultiple,Xm/(1-RAND())^(1/Alpha)))))</f>
        <v>1.6144556886089292</v>
      </c>
      <c r="L468" s="19">
        <f ca="1">IF(RAND()&lt;P_Zero,0,IF(RAND()&lt;CondReturn,_xlfn.LOGNORM.INV(RAND(),MV2,Sigma1),IF(RAND()&lt;CondGood,_xlfn.LOGNORM.INV(RAND(),MV3,Sigma2),MIN(MaxMultiple,Xm/(1-RAND())^(1/Alpha)))))</f>
        <v>2.4881585984465238</v>
      </c>
      <c r="M468" s="19">
        <f ca="1">IF(RAND()&lt;P_Zero,0,IF(RAND()&lt;CondReturn,_xlfn.LOGNORM.INV(RAND(),MV2,Sigma1),IF(RAND()&lt;CondGood,_xlfn.LOGNORM.INV(RAND(),MV3,Sigma2),MIN(MaxMultiple,Xm/(1-RAND())^(1/Alpha)))))</f>
        <v>0</v>
      </c>
      <c r="N468" s="19">
        <f ca="1">IF(RAND()&lt;P_Zero,0,IF(RAND()&lt;CondReturn,_xlfn.LOGNORM.INV(RAND(),MV2,Sigma1),IF(RAND()&lt;CondGood,_xlfn.LOGNORM.INV(RAND(),MV3,Sigma2),MIN(MaxMultiple,Xm/(1-RAND())^(1/Alpha)))))</f>
        <v>0</v>
      </c>
      <c r="O468" s="19">
        <f ca="1">IF(RAND()&lt;P_Zero,0,IF(RAND()&lt;CondReturn,_xlfn.LOGNORM.INV(RAND(),MV2,Sigma1),IF(RAND()&lt;CondGood,_xlfn.LOGNORM.INV(RAND(),MV3,Sigma2),MIN(MaxMultiple,Xm/(1-RAND())^(1/Alpha)))))</f>
        <v>0</v>
      </c>
      <c r="P468" s="19">
        <f ca="1">IF(RAND()&lt;P_Zero,0,IF(RAND()&lt;CondReturn,_xlfn.LOGNORM.INV(RAND(),MV2,Sigma1),IF(RAND()&lt;CondGood,_xlfn.LOGNORM.INV(RAND(),MV3,Sigma2),MIN(MaxMultiple,Xm/(1-RAND())^(1/Alpha)))))</f>
        <v>16.514250864549087</v>
      </c>
      <c r="Q468" s="19">
        <f ca="1">IF(RAND()&lt;P_Zero,0,IF(RAND()&lt;CondReturn,_xlfn.LOGNORM.INV(RAND(),MV2,Sigma1),IF(RAND()&lt;CondGood,_xlfn.LOGNORM.INV(RAND(),MV3,Sigma2),MIN(MaxMultiple,Xm/(1-RAND())^(1/Alpha)))))</f>
        <v>0</v>
      </c>
      <c r="R468" s="19">
        <f ca="1">IF(RAND()&lt;P_Zero,0,IF(RAND()&lt;CondReturn,_xlfn.LOGNORM.INV(RAND(),MV2,Sigma1),IF(RAND()&lt;CondGood,_xlfn.LOGNORM.INV(RAND(),MV3,Sigma2),MIN(MaxMultiple,Xm/(1-RAND())^(1/Alpha)))))</f>
        <v>0</v>
      </c>
      <c r="S468" s="19">
        <f ca="1">IF(RAND()&lt;P_Zero,0,IF(RAND()&lt;CondReturn,_xlfn.LOGNORM.INV(RAND(),MV2,Sigma1),IF(RAND()&lt;CondGood,_xlfn.LOGNORM.INV(RAND(),MV3,Sigma2),MIN(MaxMultiple,Xm/(1-RAND())^(1/Alpha)))))</f>
        <v>1.9689231323883256</v>
      </c>
      <c r="T468" s="19">
        <f ca="1">IF(RAND()&lt;P_Zero,0,IF(RAND()&lt;CondReturn,_xlfn.LOGNORM.INV(RAND(),MV2,Sigma1),IF(RAND()&lt;CondGood,_xlfn.LOGNORM.INV(RAND(),MV3,Sigma2),MIN(MaxMultiple,Xm/(1-RAND())^(1/Alpha)))))</f>
        <v>71.281117312724987</v>
      </c>
      <c r="U468" s="19">
        <f ca="1">IF(RAND()&lt;P_Zero,0,IF(RAND()&lt;CondReturn,_xlfn.LOGNORM.INV(RAND(),MV2,Sigma1),IF(RAND()&lt;CondGood,_xlfn.LOGNORM.INV(RAND(),MV3,Sigma2),MIN(MaxMultiple,Xm/(1-RAND())^(1/Alpha)))))</f>
        <v>0.67698275478027192</v>
      </c>
      <c r="V468" s="19">
        <f ca="1">IF(RAND()&lt;P_Zero,0,IF(RAND()&lt;CondReturn,_xlfn.LOGNORM.INV(RAND(),MV2,Sigma1),IF(RAND()&lt;CondGood,_xlfn.LOGNORM.INV(RAND(),MV3,Sigma2),MIN(MaxMultiple,Xm/(1-RAND())^(1/Alpha)))))</f>
        <v>0</v>
      </c>
      <c r="W468" s="19">
        <f ca="1">IF(RAND()&lt;P_Zero,0,IF(RAND()&lt;CondReturn,_xlfn.LOGNORM.INV(RAND(),MV2,Sigma1),IF(RAND()&lt;CondGood,_xlfn.LOGNORM.INV(RAND(),MV3,Sigma2),MIN(MaxMultiple,Xm/(1-RAND())^(1/Alpha)))))</f>
        <v>0</v>
      </c>
      <c r="X468" s="19">
        <f ca="1">IF(RAND()&lt;P_Zero,0,IF(RAND()&lt;CondReturn,_xlfn.LOGNORM.INV(RAND(),MV2,Sigma1),IF(RAND()&lt;CondGood,_xlfn.LOGNORM.INV(RAND(),MV3,Sigma2),MIN(MaxMultiple,Xm/(1-RAND())^(1/Alpha)))))</f>
        <v>0.99337024740987023</v>
      </c>
      <c r="Y468" s="19">
        <f ca="1">IF(RAND()&lt;P_Zero,0,IF(RAND()&lt;CondReturn,_xlfn.LOGNORM.INV(RAND(),MV2,Sigma1),IF(RAND()&lt;CondGood,_xlfn.LOGNORM.INV(RAND(),MV3,Sigma2),MIN(MaxMultiple,Xm/(1-RAND())^(1/Alpha)))))</f>
        <v>0.57405650153345034</v>
      </c>
      <c r="Z468" s="19">
        <f ca="1">IF(RAND()&lt;P_Zero,0,IF(RAND()&lt;CondReturn,_xlfn.LOGNORM.INV(RAND(),MV2,Sigma1),IF(RAND()&lt;CondGood,_xlfn.LOGNORM.INV(RAND(),MV3,Sigma2),MIN(MaxMultiple,Xm/(1-RAND())^(1/Alpha)))))</f>
        <v>0.80486585691629675</v>
      </c>
      <c r="AA468" s="19">
        <f ca="1">IF(RAND()&lt;P_Zero,0,IF(RAND()&lt;CondReturn,_xlfn.LOGNORM.INV(RAND(),MV2,Sigma1),IF(RAND()&lt;CondGood,_xlfn.LOGNORM.INV(RAND(),MV3,Sigma2),MIN(MaxMultiple,Xm/(1-RAND())^(1/Alpha)))))</f>
        <v>0.48105970696805744</v>
      </c>
      <c r="AB468" s="19">
        <f t="shared" ca="1" si="56"/>
        <v>4.1101837163124513</v>
      </c>
      <c r="AC468" s="14">
        <f t="shared" ca="1" si="57"/>
        <v>197288818.38299766</v>
      </c>
      <c r="AD468" s="14">
        <f t="shared" ca="1" si="58"/>
        <v>149288818.38299766</v>
      </c>
      <c r="AE468" s="14">
        <f t="shared" si="59"/>
        <v>55628399.869093813</v>
      </c>
      <c r="AF468" s="14">
        <f t="shared" ca="1" si="60"/>
        <v>93660418.513903856</v>
      </c>
      <c r="AG468" s="14">
        <f t="shared" ca="1" si="61"/>
        <v>18732083.702780772</v>
      </c>
      <c r="AH468" s="14">
        <f t="shared" ca="1" si="62"/>
        <v>178556734.68021688</v>
      </c>
      <c r="AI468" s="19">
        <f t="shared" ca="1" si="63"/>
        <v>2.9759455780036146</v>
      </c>
    </row>
    <row r="469" spans="2:35" x14ac:dyDescent="0.2">
      <c r="B469" s="1">
        <v>464</v>
      </c>
      <c r="C469" s="19">
        <f ca="1">IF(RAND()&lt;P_Zero,0,IF(RAND()&lt;CondReturn,_xlfn.LOGNORM.INV(RAND(),MV2,Sigma1),IF(RAND()&lt;CondGood,_xlfn.LOGNORM.INV(RAND(),MV3,Sigma2),MIN(MaxMultiple,Xm/(1-RAND())^(1/Alpha)))))</f>
        <v>1.1673625963226302</v>
      </c>
      <c r="D469" s="19">
        <f ca="1">IF(RAND()&lt;P_Zero,0,IF(RAND()&lt;CondReturn,_xlfn.LOGNORM.INV(RAND(),MV2,Sigma1),IF(RAND()&lt;CondGood,_xlfn.LOGNORM.INV(RAND(),MV3,Sigma2),MIN(MaxMultiple,Xm/(1-RAND())^(1/Alpha)))))</f>
        <v>0</v>
      </c>
      <c r="E469" s="19">
        <f ca="1">IF(RAND()&lt;P_Zero,0,IF(RAND()&lt;CondReturn,_xlfn.LOGNORM.INV(RAND(),MV2,Sigma1),IF(RAND()&lt;CondGood,_xlfn.LOGNORM.INV(RAND(),MV3,Sigma2),MIN(MaxMultiple,Xm/(1-RAND())^(1/Alpha)))))</f>
        <v>0.95728436220877222</v>
      </c>
      <c r="F469" s="19">
        <f ca="1">IF(RAND()&lt;P_Zero,0,IF(RAND()&lt;CondReturn,_xlfn.LOGNORM.INV(RAND(),MV2,Sigma1),IF(RAND()&lt;CondGood,_xlfn.LOGNORM.INV(RAND(),MV3,Sigma2),MIN(MaxMultiple,Xm/(1-RAND())^(1/Alpha)))))</f>
        <v>0.81479907952878072</v>
      </c>
      <c r="G469" s="19">
        <f ca="1">IF(RAND()&lt;P_Zero,0,IF(RAND()&lt;CondReturn,_xlfn.LOGNORM.INV(RAND(),MV2,Sigma1),IF(RAND()&lt;CondGood,_xlfn.LOGNORM.INV(RAND(),MV3,Sigma2),MIN(MaxMultiple,Xm/(1-RAND())^(1/Alpha)))))</f>
        <v>0.69048287473930026</v>
      </c>
      <c r="H469" s="19">
        <f ca="1">IF(RAND()&lt;P_Zero,0,IF(RAND()&lt;CondReturn,_xlfn.LOGNORM.INV(RAND(),MV2,Sigma1),IF(RAND()&lt;CondGood,_xlfn.LOGNORM.INV(RAND(),MV3,Sigma2),MIN(MaxMultiple,Xm/(1-RAND())^(1/Alpha)))))</f>
        <v>0.74196350258930654</v>
      </c>
      <c r="I469" s="19">
        <f ca="1">IF(RAND()&lt;P_Zero,0,IF(RAND()&lt;CondReturn,_xlfn.LOGNORM.INV(RAND(),MV2,Sigma1),IF(RAND()&lt;CondGood,_xlfn.LOGNORM.INV(RAND(),MV3,Sigma2),MIN(MaxMultiple,Xm/(1-RAND())^(1/Alpha)))))</f>
        <v>0</v>
      </c>
      <c r="J469" s="19">
        <f ca="1">IF(RAND()&lt;P_Zero,0,IF(RAND()&lt;CondReturn,_xlfn.LOGNORM.INV(RAND(),MV2,Sigma1),IF(RAND()&lt;CondGood,_xlfn.LOGNORM.INV(RAND(),MV3,Sigma2),MIN(MaxMultiple,Xm/(1-RAND())^(1/Alpha)))))</f>
        <v>0</v>
      </c>
      <c r="K469" s="19">
        <f ca="1">IF(RAND()&lt;P_Zero,0,IF(RAND()&lt;CondReturn,_xlfn.LOGNORM.INV(RAND(),MV2,Sigma1),IF(RAND()&lt;CondGood,_xlfn.LOGNORM.INV(RAND(),MV3,Sigma2),MIN(MaxMultiple,Xm/(1-RAND())^(1/Alpha)))))</f>
        <v>0.76030484829401745</v>
      </c>
      <c r="L469" s="19">
        <f ca="1">IF(RAND()&lt;P_Zero,0,IF(RAND()&lt;CondReturn,_xlfn.LOGNORM.INV(RAND(),MV2,Sigma1),IF(RAND()&lt;CondGood,_xlfn.LOGNORM.INV(RAND(),MV3,Sigma2),MIN(MaxMultiple,Xm/(1-RAND())^(1/Alpha)))))</f>
        <v>0.72234215527960954</v>
      </c>
      <c r="M469" s="19">
        <f ca="1">IF(RAND()&lt;P_Zero,0,IF(RAND()&lt;CondReturn,_xlfn.LOGNORM.INV(RAND(),MV2,Sigma1),IF(RAND()&lt;CondGood,_xlfn.LOGNORM.INV(RAND(),MV3,Sigma2),MIN(MaxMultiple,Xm/(1-RAND())^(1/Alpha)))))</f>
        <v>0.58353466797383668</v>
      </c>
      <c r="N469" s="19">
        <f ca="1">IF(RAND()&lt;P_Zero,0,IF(RAND()&lt;CondReturn,_xlfn.LOGNORM.INV(RAND(),MV2,Sigma1),IF(RAND()&lt;CondGood,_xlfn.LOGNORM.INV(RAND(),MV3,Sigma2),MIN(MaxMultiple,Xm/(1-RAND())^(1/Alpha)))))</f>
        <v>3.3810087548748666</v>
      </c>
      <c r="O469" s="19">
        <f ca="1">IF(RAND()&lt;P_Zero,0,IF(RAND()&lt;CondReturn,_xlfn.LOGNORM.INV(RAND(),MV2,Sigma1),IF(RAND()&lt;CondGood,_xlfn.LOGNORM.INV(RAND(),MV3,Sigma2),MIN(MaxMultiple,Xm/(1-RAND())^(1/Alpha)))))</f>
        <v>0</v>
      </c>
      <c r="P469" s="19">
        <f ca="1">IF(RAND()&lt;P_Zero,0,IF(RAND()&lt;CondReturn,_xlfn.LOGNORM.INV(RAND(),MV2,Sigma1),IF(RAND()&lt;CondGood,_xlfn.LOGNORM.INV(RAND(),MV3,Sigma2),MIN(MaxMultiple,Xm/(1-RAND())^(1/Alpha)))))</f>
        <v>1.8622655861093418</v>
      </c>
      <c r="Q469" s="19">
        <f ca="1">IF(RAND()&lt;P_Zero,0,IF(RAND()&lt;CondReturn,_xlfn.LOGNORM.INV(RAND(),MV2,Sigma1),IF(RAND()&lt;CondGood,_xlfn.LOGNORM.INV(RAND(),MV3,Sigma2),MIN(MaxMultiple,Xm/(1-RAND())^(1/Alpha)))))</f>
        <v>1.1175135401547671</v>
      </c>
      <c r="R469" s="19">
        <f ca="1">IF(RAND()&lt;P_Zero,0,IF(RAND()&lt;CondReturn,_xlfn.LOGNORM.INV(RAND(),MV2,Sigma1),IF(RAND()&lt;CondGood,_xlfn.LOGNORM.INV(RAND(),MV3,Sigma2),MIN(MaxMultiple,Xm/(1-RAND())^(1/Alpha)))))</f>
        <v>0</v>
      </c>
      <c r="S469" s="19">
        <f ca="1">IF(RAND()&lt;P_Zero,0,IF(RAND()&lt;CondReturn,_xlfn.LOGNORM.INV(RAND(),MV2,Sigma1),IF(RAND()&lt;CondGood,_xlfn.LOGNORM.INV(RAND(),MV3,Sigma2),MIN(MaxMultiple,Xm/(1-RAND())^(1/Alpha)))))</f>
        <v>0</v>
      </c>
      <c r="T469" s="19">
        <f ca="1">IF(RAND()&lt;P_Zero,0,IF(RAND()&lt;CondReturn,_xlfn.LOGNORM.INV(RAND(),MV2,Sigma1),IF(RAND()&lt;CondGood,_xlfn.LOGNORM.INV(RAND(),MV3,Sigma2),MIN(MaxMultiple,Xm/(1-RAND())^(1/Alpha)))))</f>
        <v>0</v>
      </c>
      <c r="U469" s="19">
        <f ca="1">IF(RAND()&lt;P_Zero,0,IF(RAND()&lt;CondReturn,_xlfn.LOGNORM.INV(RAND(),MV2,Sigma1),IF(RAND()&lt;CondGood,_xlfn.LOGNORM.INV(RAND(),MV3,Sigma2),MIN(MaxMultiple,Xm/(1-RAND())^(1/Alpha)))))</f>
        <v>11.828550424332189</v>
      </c>
      <c r="V469" s="19">
        <f ca="1">IF(RAND()&lt;P_Zero,0,IF(RAND()&lt;CondReturn,_xlfn.LOGNORM.INV(RAND(),MV2,Sigma1),IF(RAND()&lt;CondGood,_xlfn.LOGNORM.INV(RAND(),MV3,Sigma2),MIN(MaxMultiple,Xm/(1-RAND())^(1/Alpha)))))</f>
        <v>0</v>
      </c>
      <c r="W469" s="19">
        <f ca="1">IF(RAND()&lt;P_Zero,0,IF(RAND()&lt;CondReturn,_xlfn.LOGNORM.INV(RAND(),MV2,Sigma1),IF(RAND()&lt;CondGood,_xlfn.LOGNORM.INV(RAND(),MV3,Sigma2),MIN(MaxMultiple,Xm/(1-RAND())^(1/Alpha)))))</f>
        <v>0</v>
      </c>
      <c r="X469" s="19">
        <f ca="1">IF(RAND()&lt;P_Zero,0,IF(RAND()&lt;CondReturn,_xlfn.LOGNORM.INV(RAND(),MV2,Sigma1),IF(RAND()&lt;CondGood,_xlfn.LOGNORM.INV(RAND(),MV3,Sigma2),MIN(MaxMultiple,Xm/(1-RAND())^(1/Alpha)))))</f>
        <v>0</v>
      </c>
      <c r="Y469" s="19">
        <f ca="1">IF(RAND()&lt;P_Zero,0,IF(RAND()&lt;CondReturn,_xlfn.LOGNORM.INV(RAND(),MV2,Sigma1),IF(RAND()&lt;CondGood,_xlfn.LOGNORM.INV(RAND(),MV3,Sigma2),MIN(MaxMultiple,Xm/(1-RAND())^(1/Alpha)))))</f>
        <v>1.0223806418183723</v>
      </c>
      <c r="Z469" s="19">
        <f ca="1">IF(RAND()&lt;P_Zero,0,IF(RAND()&lt;CondReturn,_xlfn.LOGNORM.INV(RAND(),MV2,Sigma1),IF(RAND()&lt;CondGood,_xlfn.LOGNORM.INV(RAND(),MV3,Sigma2),MIN(MaxMultiple,Xm/(1-RAND())^(1/Alpha)))))</f>
        <v>1.5144508972019479</v>
      </c>
      <c r="AA469" s="19">
        <f ca="1">IF(RAND()&lt;P_Zero,0,IF(RAND()&lt;CondReturn,_xlfn.LOGNORM.INV(RAND(),MV2,Sigma1),IF(RAND()&lt;CondGood,_xlfn.LOGNORM.INV(RAND(),MV3,Sigma2),MIN(MaxMultiple,Xm/(1-RAND())^(1/Alpha)))))</f>
        <v>0</v>
      </c>
      <c r="AB469" s="19">
        <f t="shared" ca="1" si="56"/>
        <v>1.0865697572571096</v>
      </c>
      <c r="AC469" s="14">
        <f t="shared" ca="1" si="57"/>
        <v>52155348.348341256</v>
      </c>
      <c r="AD469" s="14">
        <f t="shared" ca="1" si="58"/>
        <v>4155348.3483412564</v>
      </c>
      <c r="AE469" s="14">
        <f t="shared" si="59"/>
        <v>55628399.869093813</v>
      </c>
      <c r="AF469" s="14">
        <f t="shared" ca="1" si="60"/>
        <v>0</v>
      </c>
      <c r="AG469" s="14">
        <f t="shared" ca="1" si="61"/>
        <v>0</v>
      </c>
      <c r="AH469" s="14">
        <f t="shared" ca="1" si="62"/>
        <v>52155348.348341256</v>
      </c>
      <c r="AI469" s="19">
        <f t="shared" ca="1" si="63"/>
        <v>0.86925580580568762</v>
      </c>
    </row>
    <row r="470" spans="2:35" x14ac:dyDescent="0.2">
      <c r="B470" s="1">
        <v>465</v>
      </c>
      <c r="C470" s="19">
        <f ca="1">IF(RAND()&lt;P_Zero,0,IF(RAND()&lt;CondReturn,_xlfn.LOGNORM.INV(RAND(),MV2,Sigma1),IF(RAND()&lt;CondGood,_xlfn.LOGNORM.INV(RAND(),MV3,Sigma2),MIN(MaxMultiple,Xm/(1-RAND())^(1/Alpha)))))</f>
        <v>0</v>
      </c>
      <c r="D470" s="19">
        <f ca="1">IF(RAND()&lt;P_Zero,0,IF(RAND()&lt;CondReturn,_xlfn.LOGNORM.INV(RAND(),MV2,Sigma1),IF(RAND()&lt;CondGood,_xlfn.LOGNORM.INV(RAND(),MV3,Sigma2),MIN(MaxMultiple,Xm/(1-RAND())^(1/Alpha)))))</f>
        <v>1.4958608462729188</v>
      </c>
      <c r="E470" s="19">
        <f ca="1">IF(RAND()&lt;P_Zero,0,IF(RAND()&lt;CondReturn,_xlfn.LOGNORM.INV(RAND(),MV2,Sigma1),IF(RAND()&lt;CondGood,_xlfn.LOGNORM.INV(RAND(),MV3,Sigma2),MIN(MaxMultiple,Xm/(1-RAND())^(1/Alpha)))))</f>
        <v>1.8130467260831422</v>
      </c>
      <c r="F470" s="19">
        <f ca="1">IF(RAND()&lt;P_Zero,0,IF(RAND()&lt;CondReturn,_xlfn.LOGNORM.INV(RAND(),MV2,Sigma1),IF(RAND()&lt;CondGood,_xlfn.LOGNORM.INV(RAND(),MV3,Sigma2),MIN(MaxMultiple,Xm/(1-RAND())^(1/Alpha)))))</f>
        <v>1.4001087338835858</v>
      </c>
      <c r="G470" s="19">
        <f ca="1">IF(RAND()&lt;P_Zero,0,IF(RAND()&lt;CondReturn,_xlfn.LOGNORM.INV(RAND(),MV2,Sigma1),IF(RAND()&lt;CondGood,_xlfn.LOGNORM.INV(RAND(),MV3,Sigma2),MIN(MaxMultiple,Xm/(1-RAND())^(1/Alpha)))))</f>
        <v>1.1626489700406373</v>
      </c>
      <c r="H470" s="19">
        <f ca="1">IF(RAND()&lt;P_Zero,0,IF(RAND()&lt;CondReturn,_xlfn.LOGNORM.INV(RAND(),MV2,Sigma1),IF(RAND()&lt;CondGood,_xlfn.LOGNORM.INV(RAND(),MV3,Sigma2),MIN(MaxMultiple,Xm/(1-RAND())^(1/Alpha)))))</f>
        <v>0</v>
      </c>
      <c r="I470" s="19">
        <f ca="1">IF(RAND()&lt;P_Zero,0,IF(RAND()&lt;CondReturn,_xlfn.LOGNORM.INV(RAND(),MV2,Sigma1),IF(RAND()&lt;CondGood,_xlfn.LOGNORM.INV(RAND(),MV3,Sigma2),MIN(MaxMultiple,Xm/(1-RAND())^(1/Alpha)))))</f>
        <v>2.0298984111403908</v>
      </c>
      <c r="J470" s="19">
        <f ca="1">IF(RAND()&lt;P_Zero,0,IF(RAND()&lt;CondReturn,_xlfn.LOGNORM.INV(RAND(),MV2,Sigma1),IF(RAND()&lt;CondGood,_xlfn.LOGNORM.INV(RAND(),MV3,Sigma2),MIN(MaxMultiple,Xm/(1-RAND())^(1/Alpha)))))</f>
        <v>1.0753855292382561</v>
      </c>
      <c r="K470" s="19">
        <f ca="1">IF(RAND()&lt;P_Zero,0,IF(RAND()&lt;CondReturn,_xlfn.LOGNORM.INV(RAND(),MV2,Sigma1),IF(RAND()&lt;CondGood,_xlfn.LOGNORM.INV(RAND(),MV3,Sigma2),MIN(MaxMultiple,Xm/(1-RAND())^(1/Alpha)))))</f>
        <v>1.2878727350697681</v>
      </c>
      <c r="L470" s="19">
        <f ca="1">IF(RAND()&lt;P_Zero,0,IF(RAND()&lt;CondReturn,_xlfn.LOGNORM.INV(RAND(),MV2,Sigma1),IF(RAND()&lt;CondGood,_xlfn.LOGNORM.INV(RAND(),MV3,Sigma2),MIN(MaxMultiple,Xm/(1-RAND())^(1/Alpha)))))</f>
        <v>0.57690658632388014</v>
      </c>
      <c r="M470" s="19">
        <f ca="1">IF(RAND()&lt;P_Zero,0,IF(RAND()&lt;CondReturn,_xlfn.LOGNORM.INV(RAND(),MV2,Sigma1),IF(RAND()&lt;CondGood,_xlfn.LOGNORM.INV(RAND(),MV3,Sigma2),MIN(MaxMultiple,Xm/(1-RAND())^(1/Alpha)))))</f>
        <v>0.36238279146246605</v>
      </c>
      <c r="N470" s="19">
        <f ca="1">IF(RAND()&lt;P_Zero,0,IF(RAND()&lt;CondReturn,_xlfn.LOGNORM.INV(RAND(),MV2,Sigma1),IF(RAND()&lt;CondGood,_xlfn.LOGNORM.INV(RAND(),MV3,Sigma2),MIN(MaxMultiple,Xm/(1-RAND())^(1/Alpha)))))</f>
        <v>1.2176834931393328</v>
      </c>
      <c r="O470" s="19">
        <f ca="1">IF(RAND()&lt;P_Zero,0,IF(RAND()&lt;CondReturn,_xlfn.LOGNORM.INV(RAND(),MV2,Sigma1),IF(RAND()&lt;CondGood,_xlfn.LOGNORM.INV(RAND(),MV3,Sigma2),MIN(MaxMultiple,Xm/(1-RAND())^(1/Alpha)))))</f>
        <v>21.340699150333919</v>
      </c>
      <c r="P470" s="19">
        <f ca="1">IF(RAND()&lt;P_Zero,0,IF(RAND()&lt;CondReturn,_xlfn.LOGNORM.INV(RAND(),MV2,Sigma1),IF(RAND()&lt;CondGood,_xlfn.LOGNORM.INV(RAND(),MV3,Sigma2),MIN(MaxMultiple,Xm/(1-RAND())^(1/Alpha)))))</f>
        <v>2.0202871575651358</v>
      </c>
      <c r="Q470" s="19">
        <f ca="1">IF(RAND()&lt;P_Zero,0,IF(RAND()&lt;CondReturn,_xlfn.LOGNORM.INV(RAND(),MV2,Sigma1),IF(RAND()&lt;CondGood,_xlfn.LOGNORM.INV(RAND(),MV3,Sigma2),MIN(MaxMultiple,Xm/(1-RAND())^(1/Alpha)))))</f>
        <v>14.307896407095694</v>
      </c>
      <c r="R470" s="19">
        <f ca="1">IF(RAND()&lt;P_Zero,0,IF(RAND()&lt;CondReturn,_xlfn.LOGNORM.INV(RAND(),MV2,Sigma1),IF(RAND()&lt;CondGood,_xlfn.LOGNORM.INV(RAND(),MV3,Sigma2),MIN(MaxMultiple,Xm/(1-RAND())^(1/Alpha)))))</f>
        <v>33.758877042621826</v>
      </c>
      <c r="S470" s="19">
        <f ca="1">IF(RAND()&lt;P_Zero,0,IF(RAND()&lt;CondReturn,_xlfn.LOGNORM.INV(RAND(),MV2,Sigma1),IF(RAND()&lt;CondGood,_xlfn.LOGNORM.INV(RAND(),MV3,Sigma2),MIN(MaxMultiple,Xm/(1-RAND())^(1/Alpha)))))</f>
        <v>0.69463177935877829</v>
      </c>
      <c r="T470" s="19">
        <f ca="1">IF(RAND()&lt;P_Zero,0,IF(RAND()&lt;CondReturn,_xlfn.LOGNORM.INV(RAND(),MV2,Sigma1),IF(RAND()&lt;CondGood,_xlfn.LOGNORM.INV(RAND(),MV3,Sigma2),MIN(MaxMultiple,Xm/(1-RAND())^(1/Alpha)))))</f>
        <v>0</v>
      </c>
      <c r="U470" s="19">
        <f ca="1">IF(RAND()&lt;P_Zero,0,IF(RAND()&lt;CondReturn,_xlfn.LOGNORM.INV(RAND(),MV2,Sigma1),IF(RAND()&lt;CondGood,_xlfn.LOGNORM.INV(RAND(),MV3,Sigma2),MIN(MaxMultiple,Xm/(1-RAND())^(1/Alpha)))))</f>
        <v>1.4958478164536815</v>
      </c>
      <c r="V470" s="19">
        <f ca="1">IF(RAND()&lt;P_Zero,0,IF(RAND()&lt;CondReturn,_xlfn.LOGNORM.INV(RAND(),MV2,Sigma1),IF(RAND()&lt;CondGood,_xlfn.LOGNORM.INV(RAND(),MV3,Sigma2),MIN(MaxMultiple,Xm/(1-RAND())^(1/Alpha)))))</f>
        <v>0.99405529306995422</v>
      </c>
      <c r="W470" s="19">
        <f ca="1">IF(RAND()&lt;P_Zero,0,IF(RAND()&lt;CondReturn,_xlfn.LOGNORM.INV(RAND(),MV2,Sigma1),IF(RAND()&lt;CondGood,_xlfn.LOGNORM.INV(RAND(),MV3,Sigma2),MIN(MaxMultiple,Xm/(1-RAND())^(1/Alpha)))))</f>
        <v>0</v>
      </c>
      <c r="X470" s="19">
        <f ca="1">IF(RAND()&lt;P_Zero,0,IF(RAND()&lt;CondReturn,_xlfn.LOGNORM.INV(RAND(),MV2,Sigma1),IF(RAND()&lt;CondGood,_xlfn.LOGNORM.INV(RAND(),MV3,Sigma2),MIN(MaxMultiple,Xm/(1-RAND())^(1/Alpha)))))</f>
        <v>0.86338518821304266</v>
      </c>
      <c r="Y470" s="19">
        <f ca="1">IF(RAND()&lt;P_Zero,0,IF(RAND()&lt;CondReturn,_xlfn.LOGNORM.INV(RAND(),MV2,Sigma1),IF(RAND()&lt;CondGood,_xlfn.LOGNORM.INV(RAND(),MV3,Sigma2),MIN(MaxMultiple,Xm/(1-RAND())^(1/Alpha)))))</f>
        <v>32.665094729819103</v>
      </c>
      <c r="Z470" s="19">
        <f ca="1">IF(RAND()&lt;P_Zero,0,IF(RAND()&lt;CondReturn,_xlfn.LOGNORM.INV(RAND(),MV2,Sigma1),IF(RAND()&lt;CondGood,_xlfn.LOGNORM.INV(RAND(),MV3,Sigma2),MIN(MaxMultiple,Xm/(1-RAND())^(1/Alpha)))))</f>
        <v>20.810473381117646</v>
      </c>
      <c r="AA470" s="19">
        <f ca="1">IF(RAND()&lt;P_Zero,0,IF(RAND()&lt;CondReturn,_xlfn.LOGNORM.INV(RAND(),MV2,Sigma1),IF(RAND()&lt;CondGood,_xlfn.LOGNORM.INV(RAND(),MV3,Sigma2),MIN(MaxMultiple,Xm/(1-RAND())^(1/Alpha)))))</f>
        <v>0.75812144751709376</v>
      </c>
      <c r="AB470" s="19">
        <f t="shared" ca="1" si="56"/>
        <v>5.6852465686328095</v>
      </c>
      <c r="AC470" s="14">
        <f t="shared" ca="1" si="57"/>
        <v>272891835.29437488</v>
      </c>
      <c r="AD470" s="14">
        <f t="shared" ca="1" si="58"/>
        <v>224891835.29437488</v>
      </c>
      <c r="AE470" s="14">
        <f t="shared" si="59"/>
        <v>55628399.869093813</v>
      </c>
      <c r="AF470" s="14">
        <f t="shared" ca="1" si="60"/>
        <v>169263435.42528108</v>
      </c>
      <c r="AG470" s="14">
        <f t="shared" ca="1" si="61"/>
        <v>33852687.085056216</v>
      </c>
      <c r="AH470" s="14">
        <f t="shared" ca="1" si="62"/>
        <v>239039148.20931867</v>
      </c>
      <c r="AI470" s="19">
        <f t="shared" ca="1" si="63"/>
        <v>3.9839858034886446</v>
      </c>
    </row>
    <row r="471" spans="2:35" x14ac:dyDescent="0.2">
      <c r="B471" s="1">
        <v>466</v>
      </c>
      <c r="C471" s="19">
        <f ca="1">IF(RAND()&lt;P_Zero,0,IF(RAND()&lt;CondReturn,_xlfn.LOGNORM.INV(RAND(),MV2,Sigma1),IF(RAND()&lt;CondGood,_xlfn.LOGNORM.INV(RAND(),MV3,Sigma2),MIN(MaxMultiple,Xm/(1-RAND())^(1/Alpha)))))</f>
        <v>1.0007993171357994</v>
      </c>
      <c r="D471" s="19">
        <f ca="1">IF(RAND()&lt;P_Zero,0,IF(RAND()&lt;CondReturn,_xlfn.LOGNORM.INV(RAND(),MV2,Sigma1),IF(RAND()&lt;CondGood,_xlfn.LOGNORM.INV(RAND(),MV3,Sigma2),MIN(MaxMultiple,Xm/(1-RAND())^(1/Alpha)))))</f>
        <v>0.85641166984340389</v>
      </c>
      <c r="E471" s="19">
        <f ca="1">IF(RAND()&lt;P_Zero,0,IF(RAND()&lt;CondReturn,_xlfn.LOGNORM.INV(RAND(),MV2,Sigma1),IF(RAND()&lt;CondGood,_xlfn.LOGNORM.INV(RAND(),MV3,Sigma2),MIN(MaxMultiple,Xm/(1-RAND())^(1/Alpha)))))</f>
        <v>0</v>
      </c>
      <c r="F471" s="19">
        <f ca="1">IF(RAND()&lt;P_Zero,0,IF(RAND()&lt;CondReturn,_xlfn.LOGNORM.INV(RAND(),MV2,Sigma1),IF(RAND()&lt;CondGood,_xlfn.LOGNORM.INV(RAND(),MV3,Sigma2),MIN(MaxMultiple,Xm/(1-RAND())^(1/Alpha)))))</f>
        <v>0.98096143721275209</v>
      </c>
      <c r="G471" s="19">
        <f ca="1">IF(RAND()&lt;P_Zero,0,IF(RAND()&lt;CondReturn,_xlfn.LOGNORM.INV(RAND(),MV2,Sigma1),IF(RAND()&lt;CondGood,_xlfn.LOGNORM.INV(RAND(),MV3,Sigma2),MIN(MaxMultiple,Xm/(1-RAND())^(1/Alpha)))))</f>
        <v>0.64418462244119179</v>
      </c>
      <c r="H471" s="19">
        <f ca="1">IF(RAND()&lt;P_Zero,0,IF(RAND()&lt;CondReturn,_xlfn.LOGNORM.INV(RAND(),MV2,Sigma1),IF(RAND()&lt;CondGood,_xlfn.LOGNORM.INV(RAND(),MV3,Sigma2),MIN(MaxMultiple,Xm/(1-RAND())^(1/Alpha)))))</f>
        <v>0</v>
      </c>
      <c r="I471" s="19">
        <f ca="1">IF(RAND()&lt;P_Zero,0,IF(RAND()&lt;CondReturn,_xlfn.LOGNORM.INV(RAND(),MV2,Sigma1),IF(RAND()&lt;CondGood,_xlfn.LOGNORM.INV(RAND(),MV3,Sigma2),MIN(MaxMultiple,Xm/(1-RAND())^(1/Alpha)))))</f>
        <v>68.150359670214812</v>
      </c>
      <c r="J471" s="19">
        <f ca="1">IF(RAND()&lt;P_Zero,0,IF(RAND()&lt;CondReturn,_xlfn.LOGNORM.INV(RAND(),MV2,Sigma1),IF(RAND()&lt;CondGood,_xlfn.LOGNORM.INV(RAND(),MV3,Sigma2),MIN(MaxMultiple,Xm/(1-RAND())^(1/Alpha)))))</f>
        <v>0</v>
      </c>
      <c r="K471" s="19">
        <f ca="1">IF(RAND()&lt;P_Zero,0,IF(RAND()&lt;CondReturn,_xlfn.LOGNORM.INV(RAND(),MV2,Sigma1),IF(RAND()&lt;CondGood,_xlfn.LOGNORM.INV(RAND(),MV3,Sigma2),MIN(MaxMultiple,Xm/(1-RAND())^(1/Alpha)))))</f>
        <v>2.1147391116080203</v>
      </c>
      <c r="L471" s="19">
        <f ca="1">IF(RAND()&lt;P_Zero,0,IF(RAND()&lt;CondReturn,_xlfn.LOGNORM.INV(RAND(),MV2,Sigma1),IF(RAND()&lt;CondGood,_xlfn.LOGNORM.INV(RAND(),MV3,Sigma2),MIN(MaxMultiple,Xm/(1-RAND())^(1/Alpha)))))</f>
        <v>1.6020358277563522</v>
      </c>
      <c r="M471" s="19">
        <f ca="1">IF(RAND()&lt;P_Zero,0,IF(RAND()&lt;CondReturn,_xlfn.LOGNORM.INV(RAND(),MV2,Sigma1),IF(RAND()&lt;CondGood,_xlfn.LOGNORM.INV(RAND(),MV3,Sigma2),MIN(MaxMultiple,Xm/(1-RAND())^(1/Alpha)))))</f>
        <v>0</v>
      </c>
      <c r="N471" s="19">
        <f ca="1">IF(RAND()&lt;P_Zero,0,IF(RAND()&lt;CondReturn,_xlfn.LOGNORM.INV(RAND(),MV2,Sigma1),IF(RAND()&lt;CondGood,_xlfn.LOGNORM.INV(RAND(),MV3,Sigma2),MIN(MaxMultiple,Xm/(1-RAND())^(1/Alpha)))))</f>
        <v>1.1846410021322167</v>
      </c>
      <c r="O471" s="19">
        <f ca="1">IF(RAND()&lt;P_Zero,0,IF(RAND()&lt;CondReturn,_xlfn.LOGNORM.INV(RAND(),MV2,Sigma1),IF(RAND()&lt;CondGood,_xlfn.LOGNORM.INV(RAND(),MV3,Sigma2),MIN(MaxMultiple,Xm/(1-RAND())^(1/Alpha)))))</f>
        <v>0</v>
      </c>
      <c r="P471" s="19">
        <f ca="1">IF(RAND()&lt;P_Zero,0,IF(RAND()&lt;CondReturn,_xlfn.LOGNORM.INV(RAND(),MV2,Sigma1),IF(RAND()&lt;CondGood,_xlfn.LOGNORM.INV(RAND(),MV3,Sigma2),MIN(MaxMultiple,Xm/(1-RAND())^(1/Alpha)))))</f>
        <v>0.68643613501887957</v>
      </c>
      <c r="Q471" s="19">
        <f ca="1">IF(RAND()&lt;P_Zero,0,IF(RAND()&lt;CondReturn,_xlfn.LOGNORM.INV(RAND(),MV2,Sigma1),IF(RAND()&lt;CondGood,_xlfn.LOGNORM.INV(RAND(),MV3,Sigma2),MIN(MaxMultiple,Xm/(1-RAND())^(1/Alpha)))))</f>
        <v>0</v>
      </c>
      <c r="R471" s="19">
        <f ca="1">IF(RAND()&lt;P_Zero,0,IF(RAND()&lt;CondReturn,_xlfn.LOGNORM.INV(RAND(),MV2,Sigma1),IF(RAND()&lt;CondGood,_xlfn.LOGNORM.INV(RAND(),MV3,Sigma2),MIN(MaxMultiple,Xm/(1-RAND())^(1/Alpha)))))</f>
        <v>0.73661414996791641</v>
      </c>
      <c r="S471" s="19">
        <f ca="1">IF(RAND()&lt;P_Zero,0,IF(RAND()&lt;CondReturn,_xlfn.LOGNORM.INV(RAND(),MV2,Sigma1),IF(RAND()&lt;CondGood,_xlfn.LOGNORM.INV(RAND(),MV3,Sigma2),MIN(MaxMultiple,Xm/(1-RAND())^(1/Alpha)))))</f>
        <v>0</v>
      </c>
      <c r="T471" s="19">
        <f ca="1">IF(RAND()&lt;P_Zero,0,IF(RAND()&lt;CondReturn,_xlfn.LOGNORM.INV(RAND(),MV2,Sigma1),IF(RAND()&lt;CondGood,_xlfn.LOGNORM.INV(RAND(),MV3,Sigma2),MIN(MaxMultiple,Xm/(1-RAND())^(1/Alpha)))))</f>
        <v>2.7539238683780924</v>
      </c>
      <c r="U471" s="19">
        <f ca="1">IF(RAND()&lt;P_Zero,0,IF(RAND()&lt;CondReturn,_xlfn.LOGNORM.INV(RAND(),MV2,Sigma1),IF(RAND()&lt;CondGood,_xlfn.LOGNORM.INV(RAND(),MV3,Sigma2),MIN(MaxMultiple,Xm/(1-RAND())^(1/Alpha)))))</f>
        <v>0</v>
      </c>
      <c r="V471" s="19">
        <f ca="1">IF(RAND()&lt;P_Zero,0,IF(RAND()&lt;CondReturn,_xlfn.LOGNORM.INV(RAND(),MV2,Sigma1),IF(RAND()&lt;CondGood,_xlfn.LOGNORM.INV(RAND(),MV3,Sigma2),MIN(MaxMultiple,Xm/(1-RAND())^(1/Alpha)))))</f>
        <v>13.086300016622259</v>
      </c>
      <c r="W471" s="19">
        <f ca="1">IF(RAND()&lt;P_Zero,0,IF(RAND()&lt;CondReturn,_xlfn.LOGNORM.INV(RAND(),MV2,Sigma1),IF(RAND()&lt;CondGood,_xlfn.LOGNORM.INV(RAND(),MV3,Sigma2),MIN(MaxMultiple,Xm/(1-RAND())^(1/Alpha)))))</f>
        <v>2.4327120829634712</v>
      </c>
      <c r="X471" s="19">
        <f ca="1">IF(RAND()&lt;P_Zero,0,IF(RAND()&lt;CondReturn,_xlfn.LOGNORM.INV(RAND(),MV2,Sigma1),IF(RAND()&lt;CondGood,_xlfn.LOGNORM.INV(RAND(),MV3,Sigma2),MIN(MaxMultiple,Xm/(1-RAND())^(1/Alpha)))))</f>
        <v>1.1071802562669868</v>
      </c>
      <c r="Y471" s="19">
        <f ca="1">IF(RAND()&lt;P_Zero,0,IF(RAND()&lt;CondReturn,_xlfn.LOGNORM.INV(RAND(),MV2,Sigma1),IF(RAND()&lt;CondGood,_xlfn.LOGNORM.INV(RAND(),MV3,Sigma2),MIN(MaxMultiple,Xm/(1-RAND())^(1/Alpha)))))</f>
        <v>33.367982340301879</v>
      </c>
      <c r="Z471" s="19">
        <f ca="1">IF(RAND()&lt;P_Zero,0,IF(RAND()&lt;CondReturn,_xlfn.LOGNORM.INV(RAND(),MV2,Sigma1),IF(RAND()&lt;CondGood,_xlfn.LOGNORM.INV(RAND(),MV3,Sigma2),MIN(MaxMultiple,Xm/(1-RAND())^(1/Alpha)))))</f>
        <v>1.7175462850201733</v>
      </c>
      <c r="AA471" s="19">
        <f ca="1">IF(RAND()&lt;P_Zero,0,IF(RAND()&lt;CondReturn,_xlfn.LOGNORM.INV(RAND(),MV2,Sigma1),IF(RAND()&lt;CondGood,_xlfn.LOGNORM.INV(RAND(),MV3,Sigma2),MIN(MaxMultiple,Xm/(1-RAND())^(1/Alpha)))))</f>
        <v>23.635300428917802</v>
      </c>
      <c r="AB471" s="19">
        <f t="shared" ca="1" si="56"/>
        <v>6.2423251288720802</v>
      </c>
      <c r="AC471" s="14">
        <f t="shared" ca="1" si="57"/>
        <v>299631606.18585986</v>
      </c>
      <c r="AD471" s="14">
        <f t="shared" ca="1" si="58"/>
        <v>251631606.18585986</v>
      </c>
      <c r="AE471" s="14">
        <f t="shared" si="59"/>
        <v>55628399.869093813</v>
      </c>
      <c r="AF471" s="14">
        <f t="shared" ca="1" si="60"/>
        <v>196003206.31676605</v>
      </c>
      <c r="AG471" s="14">
        <f t="shared" ca="1" si="61"/>
        <v>39200641.263353214</v>
      </c>
      <c r="AH471" s="14">
        <f t="shared" ca="1" si="62"/>
        <v>260430964.92250663</v>
      </c>
      <c r="AI471" s="19">
        <f t="shared" ca="1" si="63"/>
        <v>4.340516082041777</v>
      </c>
    </row>
    <row r="472" spans="2:35" x14ac:dyDescent="0.2">
      <c r="B472" s="1">
        <v>467</v>
      </c>
      <c r="C472" s="19">
        <f ca="1">IF(RAND()&lt;P_Zero,0,IF(RAND()&lt;CondReturn,_xlfn.LOGNORM.INV(RAND(),MV2,Sigma1),IF(RAND()&lt;CondGood,_xlfn.LOGNORM.INV(RAND(),MV3,Sigma2),MIN(MaxMultiple,Xm/(1-RAND())^(1/Alpha)))))</f>
        <v>1.4410648170628428</v>
      </c>
      <c r="D472" s="19">
        <f ca="1">IF(RAND()&lt;P_Zero,0,IF(RAND()&lt;CondReturn,_xlfn.LOGNORM.INV(RAND(),MV2,Sigma1),IF(RAND()&lt;CondGood,_xlfn.LOGNORM.INV(RAND(),MV3,Sigma2),MIN(MaxMultiple,Xm/(1-RAND())^(1/Alpha)))))</f>
        <v>0.81361024779959767</v>
      </c>
      <c r="E472" s="19">
        <f ca="1">IF(RAND()&lt;P_Zero,0,IF(RAND()&lt;CondReturn,_xlfn.LOGNORM.INV(RAND(),MV2,Sigma1),IF(RAND()&lt;CondGood,_xlfn.LOGNORM.INV(RAND(),MV3,Sigma2),MIN(MaxMultiple,Xm/(1-RAND())^(1/Alpha)))))</f>
        <v>0.83562260172766245</v>
      </c>
      <c r="F472" s="19">
        <f ca="1">IF(RAND()&lt;P_Zero,0,IF(RAND()&lt;CondReturn,_xlfn.LOGNORM.INV(RAND(),MV2,Sigma1),IF(RAND()&lt;CondGood,_xlfn.LOGNORM.INV(RAND(),MV3,Sigma2),MIN(MaxMultiple,Xm/(1-RAND())^(1/Alpha)))))</f>
        <v>0</v>
      </c>
      <c r="G472" s="19">
        <f ca="1">IF(RAND()&lt;P_Zero,0,IF(RAND()&lt;CondReturn,_xlfn.LOGNORM.INV(RAND(),MV2,Sigma1),IF(RAND()&lt;CondGood,_xlfn.LOGNORM.INV(RAND(),MV3,Sigma2),MIN(MaxMultiple,Xm/(1-RAND())^(1/Alpha)))))</f>
        <v>0</v>
      </c>
      <c r="H472" s="19">
        <f ca="1">IF(RAND()&lt;P_Zero,0,IF(RAND()&lt;CondReturn,_xlfn.LOGNORM.INV(RAND(),MV2,Sigma1),IF(RAND()&lt;CondGood,_xlfn.LOGNORM.INV(RAND(),MV3,Sigma2),MIN(MaxMultiple,Xm/(1-RAND())^(1/Alpha)))))</f>
        <v>0.64866369922249156</v>
      </c>
      <c r="I472" s="19">
        <f ca="1">IF(RAND()&lt;P_Zero,0,IF(RAND()&lt;CondReturn,_xlfn.LOGNORM.INV(RAND(),MV2,Sigma1),IF(RAND()&lt;CondGood,_xlfn.LOGNORM.INV(RAND(),MV3,Sigma2),MIN(MaxMultiple,Xm/(1-RAND())^(1/Alpha)))))</f>
        <v>16.381449826335675</v>
      </c>
      <c r="J472" s="19">
        <f ca="1">IF(RAND()&lt;P_Zero,0,IF(RAND()&lt;CondReturn,_xlfn.LOGNORM.INV(RAND(),MV2,Sigma1),IF(RAND()&lt;CondGood,_xlfn.LOGNORM.INV(RAND(),MV3,Sigma2),MIN(MaxMultiple,Xm/(1-RAND())^(1/Alpha)))))</f>
        <v>0</v>
      </c>
      <c r="K472" s="19">
        <f ca="1">IF(RAND()&lt;P_Zero,0,IF(RAND()&lt;CondReturn,_xlfn.LOGNORM.INV(RAND(),MV2,Sigma1),IF(RAND()&lt;CondGood,_xlfn.LOGNORM.INV(RAND(),MV3,Sigma2),MIN(MaxMultiple,Xm/(1-RAND())^(1/Alpha)))))</f>
        <v>0</v>
      </c>
      <c r="L472" s="19">
        <f ca="1">IF(RAND()&lt;P_Zero,0,IF(RAND()&lt;CondReturn,_xlfn.LOGNORM.INV(RAND(),MV2,Sigma1),IF(RAND()&lt;CondGood,_xlfn.LOGNORM.INV(RAND(),MV3,Sigma2),MIN(MaxMultiple,Xm/(1-RAND())^(1/Alpha)))))</f>
        <v>0</v>
      </c>
      <c r="M472" s="19">
        <f ca="1">IF(RAND()&lt;P_Zero,0,IF(RAND()&lt;CondReturn,_xlfn.LOGNORM.INV(RAND(),MV2,Sigma1),IF(RAND()&lt;CondGood,_xlfn.LOGNORM.INV(RAND(),MV3,Sigma2),MIN(MaxMultiple,Xm/(1-RAND())^(1/Alpha)))))</f>
        <v>0</v>
      </c>
      <c r="N472" s="19">
        <f ca="1">IF(RAND()&lt;P_Zero,0,IF(RAND()&lt;CondReturn,_xlfn.LOGNORM.INV(RAND(),MV2,Sigma1),IF(RAND()&lt;CondGood,_xlfn.LOGNORM.INV(RAND(),MV3,Sigma2),MIN(MaxMultiple,Xm/(1-RAND())^(1/Alpha)))))</f>
        <v>0</v>
      </c>
      <c r="O472" s="19">
        <f ca="1">IF(RAND()&lt;P_Zero,0,IF(RAND()&lt;CondReturn,_xlfn.LOGNORM.INV(RAND(),MV2,Sigma1),IF(RAND()&lt;CondGood,_xlfn.LOGNORM.INV(RAND(),MV3,Sigma2),MIN(MaxMultiple,Xm/(1-RAND())^(1/Alpha)))))</f>
        <v>12.110106165603773</v>
      </c>
      <c r="P472" s="19">
        <f ca="1">IF(RAND()&lt;P_Zero,0,IF(RAND()&lt;CondReturn,_xlfn.LOGNORM.INV(RAND(),MV2,Sigma1),IF(RAND()&lt;CondGood,_xlfn.LOGNORM.INV(RAND(),MV3,Sigma2),MIN(MaxMultiple,Xm/(1-RAND())^(1/Alpha)))))</f>
        <v>1.252416080239412</v>
      </c>
      <c r="Q472" s="19">
        <f ca="1">IF(RAND()&lt;P_Zero,0,IF(RAND()&lt;CondReturn,_xlfn.LOGNORM.INV(RAND(),MV2,Sigma1),IF(RAND()&lt;CondGood,_xlfn.LOGNORM.INV(RAND(),MV3,Sigma2),MIN(MaxMultiple,Xm/(1-RAND())^(1/Alpha)))))</f>
        <v>0</v>
      </c>
      <c r="R472" s="19">
        <f ca="1">IF(RAND()&lt;P_Zero,0,IF(RAND()&lt;CondReturn,_xlfn.LOGNORM.INV(RAND(),MV2,Sigma1),IF(RAND()&lt;CondGood,_xlfn.LOGNORM.INV(RAND(),MV3,Sigma2),MIN(MaxMultiple,Xm/(1-RAND())^(1/Alpha)))))</f>
        <v>0</v>
      </c>
      <c r="S472" s="19">
        <f ca="1">IF(RAND()&lt;P_Zero,0,IF(RAND()&lt;CondReturn,_xlfn.LOGNORM.INV(RAND(),MV2,Sigma1),IF(RAND()&lt;CondGood,_xlfn.LOGNORM.INV(RAND(),MV3,Sigma2),MIN(MaxMultiple,Xm/(1-RAND())^(1/Alpha)))))</f>
        <v>1.0142300571469784</v>
      </c>
      <c r="T472" s="19">
        <f ca="1">IF(RAND()&lt;P_Zero,0,IF(RAND()&lt;CondReturn,_xlfn.LOGNORM.INV(RAND(),MV2,Sigma1),IF(RAND()&lt;CondGood,_xlfn.LOGNORM.INV(RAND(),MV3,Sigma2),MIN(MaxMultiple,Xm/(1-RAND())^(1/Alpha)))))</f>
        <v>2.4350092732386703</v>
      </c>
      <c r="U472" s="19">
        <f ca="1">IF(RAND()&lt;P_Zero,0,IF(RAND()&lt;CondReturn,_xlfn.LOGNORM.INV(RAND(),MV2,Sigma1),IF(RAND()&lt;CondGood,_xlfn.LOGNORM.INV(RAND(),MV3,Sigma2),MIN(MaxMultiple,Xm/(1-RAND())^(1/Alpha)))))</f>
        <v>0</v>
      </c>
      <c r="V472" s="19">
        <f ca="1">IF(RAND()&lt;P_Zero,0,IF(RAND()&lt;CondReturn,_xlfn.LOGNORM.INV(RAND(),MV2,Sigma1),IF(RAND()&lt;CondGood,_xlfn.LOGNORM.INV(RAND(),MV3,Sigma2),MIN(MaxMultiple,Xm/(1-RAND())^(1/Alpha)))))</f>
        <v>0.57902061849154796</v>
      </c>
      <c r="W472" s="19">
        <f ca="1">IF(RAND()&lt;P_Zero,0,IF(RAND()&lt;CondReturn,_xlfn.LOGNORM.INV(RAND(),MV2,Sigma1),IF(RAND()&lt;CondGood,_xlfn.LOGNORM.INV(RAND(),MV3,Sigma2),MIN(MaxMultiple,Xm/(1-RAND())^(1/Alpha)))))</f>
        <v>0</v>
      </c>
      <c r="X472" s="19">
        <f ca="1">IF(RAND()&lt;P_Zero,0,IF(RAND()&lt;CondReturn,_xlfn.LOGNORM.INV(RAND(),MV2,Sigma1),IF(RAND()&lt;CondGood,_xlfn.LOGNORM.INV(RAND(),MV3,Sigma2),MIN(MaxMultiple,Xm/(1-RAND())^(1/Alpha)))))</f>
        <v>2.2949695718158969</v>
      </c>
      <c r="Y472" s="19">
        <f ca="1">IF(RAND()&lt;P_Zero,0,IF(RAND()&lt;CondReturn,_xlfn.LOGNORM.INV(RAND(),MV2,Sigma1),IF(RAND()&lt;CondGood,_xlfn.LOGNORM.INV(RAND(),MV3,Sigma2),MIN(MaxMultiple,Xm/(1-RAND())^(1/Alpha)))))</f>
        <v>0</v>
      </c>
      <c r="Z472" s="19">
        <f ca="1">IF(RAND()&lt;P_Zero,0,IF(RAND()&lt;CondReturn,_xlfn.LOGNORM.INV(RAND(),MV2,Sigma1),IF(RAND()&lt;CondGood,_xlfn.LOGNORM.INV(RAND(),MV3,Sigma2),MIN(MaxMultiple,Xm/(1-RAND())^(1/Alpha)))))</f>
        <v>10.431747368652365</v>
      </c>
      <c r="AA472" s="19">
        <f ca="1">IF(RAND()&lt;P_Zero,0,IF(RAND()&lt;CondReturn,_xlfn.LOGNORM.INV(RAND(),MV2,Sigma1),IF(RAND()&lt;CondGood,_xlfn.LOGNORM.INV(RAND(),MV3,Sigma2),MIN(MaxMultiple,Xm/(1-RAND())^(1/Alpha)))))</f>
        <v>2.6787163102353424</v>
      </c>
      <c r="AB472" s="19">
        <f t="shared" ca="1" si="56"/>
        <v>2.1166650655028905</v>
      </c>
      <c r="AC472" s="14">
        <f t="shared" ca="1" si="57"/>
        <v>101599923.14413874</v>
      </c>
      <c r="AD472" s="14">
        <f t="shared" ca="1" si="58"/>
        <v>53599923.144138739</v>
      </c>
      <c r="AE472" s="14">
        <f t="shared" si="59"/>
        <v>55628399.869093813</v>
      </c>
      <c r="AF472" s="14">
        <f t="shared" ca="1" si="60"/>
        <v>0</v>
      </c>
      <c r="AG472" s="14">
        <f t="shared" ca="1" si="61"/>
        <v>0</v>
      </c>
      <c r="AH472" s="14">
        <f t="shared" ca="1" si="62"/>
        <v>101599923.14413874</v>
      </c>
      <c r="AI472" s="19">
        <f t="shared" ca="1" si="63"/>
        <v>1.6933320524023123</v>
      </c>
    </row>
    <row r="473" spans="2:35" x14ac:dyDescent="0.2">
      <c r="B473" s="1">
        <v>468</v>
      </c>
      <c r="C473" s="19">
        <f ca="1">IF(RAND()&lt;P_Zero,0,IF(RAND()&lt;CondReturn,_xlfn.LOGNORM.INV(RAND(),MV2,Sigma1),IF(RAND()&lt;CondGood,_xlfn.LOGNORM.INV(RAND(),MV3,Sigma2),MIN(MaxMultiple,Xm/(1-RAND())^(1/Alpha)))))</f>
        <v>0.74136019963465805</v>
      </c>
      <c r="D473" s="19">
        <f ca="1">IF(RAND()&lt;P_Zero,0,IF(RAND()&lt;CondReturn,_xlfn.LOGNORM.INV(RAND(),MV2,Sigma1),IF(RAND()&lt;CondGood,_xlfn.LOGNORM.INV(RAND(),MV3,Sigma2),MIN(MaxMultiple,Xm/(1-RAND())^(1/Alpha)))))</f>
        <v>0</v>
      </c>
      <c r="E473" s="19">
        <f ca="1">IF(RAND()&lt;P_Zero,0,IF(RAND()&lt;CondReturn,_xlfn.LOGNORM.INV(RAND(),MV2,Sigma1),IF(RAND()&lt;CondGood,_xlfn.LOGNORM.INV(RAND(),MV3,Sigma2),MIN(MaxMultiple,Xm/(1-RAND())^(1/Alpha)))))</f>
        <v>0</v>
      </c>
      <c r="F473" s="19">
        <f ca="1">IF(RAND()&lt;P_Zero,0,IF(RAND()&lt;CondReturn,_xlfn.LOGNORM.INV(RAND(),MV2,Sigma1),IF(RAND()&lt;CondGood,_xlfn.LOGNORM.INV(RAND(),MV3,Sigma2),MIN(MaxMultiple,Xm/(1-RAND())^(1/Alpha)))))</f>
        <v>0</v>
      </c>
      <c r="G473" s="19">
        <f ca="1">IF(RAND()&lt;P_Zero,0,IF(RAND()&lt;CondReturn,_xlfn.LOGNORM.INV(RAND(),MV2,Sigma1),IF(RAND()&lt;CondGood,_xlfn.LOGNORM.INV(RAND(),MV3,Sigma2),MIN(MaxMultiple,Xm/(1-RAND())^(1/Alpha)))))</f>
        <v>135.18379893922898</v>
      </c>
      <c r="H473" s="19">
        <f ca="1">IF(RAND()&lt;P_Zero,0,IF(RAND()&lt;CondReturn,_xlfn.LOGNORM.INV(RAND(),MV2,Sigma1),IF(RAND()&lt;CondGood,_xlfn.LOGNORM.INV(RAND(),MV3,Sigma2),MIN(MaxMultiple,Xm/(1-RAND())^(1/Alpha)))))</f>
        <v>0</v>
      </c>
      <c r="I473" s="19">
        <f ca="1">IF(RAND()&lt;P_Zero,0,IF(RAND()&lt;CondReturn,_xlfn.LOGNORM.INV(RAND(),MV2,Sigma1),IF(RAND()&lt;CondGood,_xlfn.LOGNORM.INV(RAND(),MV3,Sigma2),MIN(MaxMultiple,Xm/(1-RAND())^(1/Alpha)))))</f>
        <v>1.1513506971487826</v>
      </c>
      <c r="J473" s="19">
        <f ca="1">IF(RAND()&lt;P_Zero,0,IF(RAND()&lt;CondReturn,_xlfn.LOGNORM.INV(RAND(),MV2,Sigma1),IF(RAND()&lt;CondGood,_xlfn.LOGNORM.INV(RAND(),MV3,Sigma2),MIN(MaxMultiple,Xm/(1-RAND())^(1/Alpha)))))</f>
        <v>0</v>
      </c>
      <c r="K473" s="19">
        <f ca="1">IF(RAND()&lt;P_Zero,0,IF(RAND()&lt;CondReturn,_xlfn.LOGNORM.INV(RAND(),MV2,Sigma1),IF(RAND()&lt;CondGood,_xlfn.LOGNORM.INV(RAND(),MV3,Sigma2),MIN(MaxMultiple,Xm/(1-RAND())^(1/Alpha)))))</f>
        <v>1.9537238235383791</v>
      </c>
      <c r="L473" s="19">
        <f ca="1">IF(RAND()&lt;P_Zero,0,IF(RAND()&lt;CondReturn,_xlfn.LOGNORM.INV(RAND(),MV2,Sigma1),IF(RAND()&lt;CondGood,_xlfn.LOGNORM.INV(RAND(),MV3,Sigma2),MIN(MaxMultiple,Xm/(1-RAND())^(1/Alpha)))))</f>
        <v>0</v>
      </c>
      <c r="M473" s="19">
        <f ca="1">IF(RAND()&lt;P_Zero,0,IF(RAND()&lt;CondReturn,_xlfn.LOGNORM.INV(RAND(),MV2,Sigma1),IF(RAND()&lt;CondGood,_xlfn.LOGNORM.INV(RAND(),MV3,Sigma2),MIN(MaxMultiple,Xm/(1-RAND())^(1/Alpha)))))</f>
        <v>0.53716553322928617</v>
      </c>
      <c r="N473" s="19">
        <f ca="1">IF(RAND()&lt;P_Zero,0,IF(RAND()&lt;CondReturn,_xlfn.LOGNORM.INV(RAND(),MV2,Sigma1),IF(RAND()&lt;CondGood,_xlfn.LOGNORM.INV(RAND(),MV3,Sigma2),MIN(MaxMultiple,Xm/(1-RAND())^(1/Alpha)))))</f>
        <v>0</v>
      </c>
      <c r="O473" s="19">
        <f ca="1">IF(RAND()&lt;P_Zero,0,IF(RAND()&lt;CondReturn,_xlfn.LOGNORM.INV(RAND(),MV2,Sigma1),IF(RAND()&lt;CondGood,_xlfn.LOGNORM.INV(RAND(),MV3,Sigma2),MIN(MaxMultiple,Xm/(1-RAND())^(1/Alpha)))))</f>
        <v>0.67369372390198612</v>
      </c>
      <c r="P473" s="19">
        <f ca="1">IF(RAND()&lt;P_Zero,0,IF(RAND()&lt;CondReturn,_xlfn.LOGNORM.INV(RAND(),MV2,Sigma1),IF(RAND()&lt;CondGood,_xlfn.LOGNORM.INV(RAND(),MV3,Sigma2),MIN(MaxMultiple,Xm/(1-RAND())^(1/Alpha)))))</f>
        <v>0</v>
      </c>
      <c r="Q473" s="19">
        <f ca="1">IF(RAND()&lt;P_Zero,0,IF(RAND()&lt;CondReturn,_xlfn.LOGNORM.INV(RAND(),MV2,Sigma1),IF(RAND()&lt;CondGood,_xlfn.LOGNORM.INV(RAND(),MV3,Sigma2),MIN(MaxMultiple,Xm/(1-RAND())^(1/Alpha)))))</f>
        <v>0</v>
      </c>
      <c r="R473" s="19">
        <f ca="1">IF(RAND()&lt;P_Zero,0,IF(RAND()&lt;CondReturn,_xlfn.LOGNORM.INV(RAND(),MV2,Sigma1),IF(RAND()&lt;CondGood,_xlfn.LOGNORM.INV(RAND(),MV3,Sigma2),MIN(MaxMultiple,Xm/(1-RAND())^(1/Alpha)))))</f>
        <v>0</v>
      </c>
      <c r="S473" s="19">
        <f ca="1">IF(RAND()&lt;P_Zero,0,IF(RAND()&lt;CondReturn,_xlfn.LOGNORM.INV(RAND(),MV2,Sigma1),IF(RAND()&lt;CondGood,_xlfn.LOGNORM.INV(RAND(),MV3,Sigma2),MIN(MaxMultiple,Xm/(1-RAND())^(1/Alpha)))))</f>
        <v>0</v>
      </c>
      <c r="T473" s="19">
        <f ca="1">IF(RAND()&lt;P_Zero,0,IF(RAND()&lt;CondReturn,_xlfn.LOGNORM.INV(RAND(),MV2,Sigma1),IF(RAND()&lt;CondGood,_xlfn.LOGNORM.INV(RAND(),MV3,Sigma2),MIN(MaxMultiple,Xm/(1-RAND())^(1/Alpha)))))</f>
        <v>0.3994906036556764</v>
      </c>
      <c r="U473" s="19">
        <f ca="1">IF(RAND()&lt;P_Zero,0,IF(RAND()&lt;CondReturn,_xlfn.LOGNORM.INV(RAND(),MV2,Sigma1),IF(RAND()&lt;CondGood,_xlfn.LOGNORM.INV(RAND(),MV3,Sigma2),MIN(MaxMultiple,Xm/(1-RAND())^(1/Alpha)))))</f>
        <v>0</v>
      </c>
      <c r="V473" s="19">
        <f ca="1">IF(RAND()&lt;P_Zero,0,IF(RAND()&lt;CondReturn,_xlfn.LOGNORM.INV(RAND(),MV2,Sigma1),IF(RAND()&lt;CondGood,_xlfn.LOGNORM.INV(RAND(),MV3,Sigma2),MIN(MaxMultiple,Xm/(1-RAND())^(1/Alpha)))))</f>
        <v>0</v>
      </c>
      <c r="W473" s="19">
        <f ca="1">IF(RAND()&lt;P_Zero,0,IF(RAND()&lt;CondReturn,_xlfn.LOGNORM.INV(RAND(),MV2,Sigma1),IF(RAND()&lt;CondGood,_xlfn.LOGNORM.INV(RAND(),MV3,Sigma2),MIN(MaxMultiple,Xm/(1-RAND())^(1/Alpha)))))</f>
        <v>0</v>
      </c>
      <c r="X473" s="19">
        <f ca="1">IF(RAND()&lt;P_Zero,0,IF(RAND()&lt;CondReturn,_xlfn.LOGNORM.INV(RAND(),MV2,Sigma1),IF(RAND()&lt;CondGood,_xlfn.LOGNORM.INV(RAND(),MV3,Sigma2),MIN(MaxMultiple,Xm/(1-RAND())^(1/Alpha)))))</f>
        <v>0.45827669943584259</v>
      </c>
      <c r="Y473" s="19">
        <f ca="1">IF(RAND()&lt;P_Zero,0,IF(RAND()&lt;CondReturn,_xlfn.LOGNORM.INV(RAND(),MV2,Sigma1),IF(RAND()&lt;CondGood,_xlfn.LOGNORM.INV(RAND(),MV3,Sigma2),MIN(MaxMultiple,Xm/(1-RAND())^(1/Alpha)))))</f>
        <v>58.997055646051422</v>
      </c>
      <c r="Z473" s="19">
        <f ca="1">IF(RAND()&lt;P_Zero,0,IF(RAND()&lt;CondReturn,_xlfn.LOGNORM.INV(RAND(),MV2,Sigma1),IF(RAND()&lt;CondGood,_xlfn.LOGNORM.INV(RAND(),MV3,Sigma2),MIN(MaxMultiple,Xm/(1-RAND())^(1/Alpha)))))</f>
        <v>0</v>
      </c>
      <c r="AA473" s="19">
        <f ca="1">IF(RAND()&lt;P_Zero,0,IF(RAND()&lt;CondReturn,_xlfn.LOGNORM.INV(RAND(),MV2,Sigma1),IF(RAND()&lt;CondGood,_xlfn.LOGNORM.INV(RAND(),MV3,Sigma2),MIN(MaxMultiple,Xm/(1-RAND())^(1/Alpha)))))</f>
        <v>0</v>
      </c>
      <c r="AB473" s="19">
        <f t="shared" ca="1" si="56"/>
        <v>8.0038366346330001</v>
      </c>
      <c r="AC473" s="14">
        <f t="shared" ca="1" si="57"/>
        <v>384184158.46238399</v>
      </c>
      <c r="AD473" s="14">
        <f t="shared" ca="1" si="58"/>
        <v>336184158.46238399</v>
      </c>
      <c r="AE473" s="14">
        <f t="shared" si="59"/>
        <v>55628399.869093813</v>
      </c>
      <c r="AF473" s="14">
        <f t="shared" ca="1" si="60"/>
        <v>280555758.59329015</v>
      </c>
      <c r="AG473" s="14">
        <f t="shared" ca="1" si="61"/>
        <v>56111151.71865803</v>
      </c>
      <c r="AH473" s="14">
        <f t="shared" ca="1" si="62"/>
        <v>328073006.74372596</v>
      </c>
      <c r="AI473" s="19">
        <f t="shared" ca="1" si="63"/>
        <v>5.4678834457287655</v>
      </c>
    </row>
    <row r="474" spans="2:35" x14ac:dyDescent="0.2">
      <c r="B474" s="1">
        <v>469</v>
      </c>
      <c r="C474" s="19">
        <f ca="1">IF(RAND()&lt;P_Zero,0,IF(RAND()&lt;CondReturn,_xlfn.LOGNORM.INV(RAND(),MV2,Sigma1),IF(RAND()&lt;CondGood,_xlfn.LOGNORM.INV(RAND(),MV3,Sigma2),MIN(MaxMultiple,Xm/(1-RAND())^(1/Alpha)))))</f>
        <v>0</v>
      </c>
      <c r="D474" s="19">
        <f ca="1">IF(RAND()&lt;P_Zero,0,IF(RAND()&lt;CondReturn,_xlfn.LOGNORM.INV(RAND(),MV2,Sigma1),IF(RAND()&lt;CondGood,_xlfn.LOGNORM.INV(RAND(),MV3,Sigma2),MIN(MaxMultiple,Xm/(1-RAND())^(1/Alpha)))))</f>
        <v>1.1520980398040908</v>
      </c>
      <c r="E474" s="19">
        <f ca="1">IF(RAND()&lt;P_Zero,0,IF(RAND()&lt;CondReturn,_xlfn.LOGNORM.INV(RAND(),MV2,Sigma1),IF(RAND()&lt;CondGood,_xlfn.LOGNORM.INV(RAND(),MV3,Sigma2),MIN(MaxMultiple,Xm/(1-RAND())^(1/Alpha)))))</f>
        <v>14.669647374434422</v>
      </c>
      <c r="F474" s="19">
        <f ca="1">IF(RAND()&lt;P_Zero,0,IF(RAND()&lt;CondReturn,_xlfn.LOGNORM.INV(RAND(),MV2,Sigma1),IF(RAND()&lt;CondGood,_xlfn.LOGNORM.INV(RAND(),MV3,Sigma2),MIN(MaxMultiple,Xm/(1-RAND())^(1/Alpha)))))</f>
        <v>1.3452556889206932</v>
      </c>
      <c r="G474" s="19">
        <f ca="1">IF(RAND()&lt;P_Zero,0,IF(RAND()&lt;CondReturn,_xlfn.LOGNORM.INV(RAND(),MV2,Sigma1),IF(RAND()&lt;CondGood,_xlfn.LOGNORM.INV(RAND(),MV3,Sigma2),MIN(MaxMultiple,Xm/(1-RAND())^(1/Alpha)))))</f>
        <v>2.0342850502021195</v>
      </c>
      <c r="H474" s="19">
        <f ca="1">IF(RAND()&lt;P_Zero,0,IF(RAND()&lt;CondReturn,_xlfn.LOGNORM.INV(RAND(),MV2,Sigma1),IF(RAND()&lt;CondGood,_xlfn.LOGNORM.INV(RAND(),MV3,Sigma2),MIN(MaxMultiple,Xm/(1-RAND())^(1/Alpha)))))</f>
        <v>0</v>
      </c>
      <c r="I474" s="19">
        <f ca="1">IF(RAND()&lt;P_Zero,0,IF(RAND()&lt;CondReturn,_xlfn.LOGNORM.INV(RAND(),MV2,Sigma1),IF(RAND()&lt;CondGood,_xlfn.LOGNORM.INV(RAND(),MV3,Sigma2),MIN(MaxMultiple,Xm/(1-RAND())^(1/Alpha)))))</f>
        <v>0</v>
      </c>
      <c r="J474" s="19">
        <f ca="1">IF(RAND()&lt;P_Zero,0,IF(RAND()&lt;CondReturn,_xlfn.LOGNORM.INV(RAND(),MV2,Sigma1),IF(RAND()&lt;CondGood,_xlfn.LOGNORM.INV(RAND(),MV3,Sigma2),MIN(MaxMultiple,Xm/(1-RAND())^(1/Alpha)))))</f>
        <v>0</v>
      </c>
      <c r="K474" s="19">
        <f ca="1">IF(RAND()&lt;P_Zero,0,IF(RAND()&lt;CondReturn,_xlfn.LOGNORM.INV(RAND(),MV2,Sigma1),IF(RAND()&lt;CondGood,_xlfn.LOGNORM.INV(RAND(),MV3,Sigma2),MIN(MaxMultiple,Xm/(1-RAND())^(1/Alpha)))))</f>
        <v>0.90702774813051412</v>
      </c>
      <c r="L474" s="19">
        <f ca="1">IF(RAND()&lt;P_Zero,0,IF(RAND()&lt;CondReturn,_xlfn.LOGNORM.INV(RAND(),MV2,Sigma1),IF(RAND()&lt;CondGood,_xlfn.LOGNORM.INV(RAND(),MV3,Sigma2),MIN(MaxMultiple,Xm/(1-RAND())^(1/Alpha)))))</f>
        <v>0.57341891923923904</v>
      </c>
      <c r="M474" s="19">
        <f ca="1">IF(RAND()&lt;P_Zero,0,IF(RAND()&lt;CondReturn,_xlfn.LOGNORM.INV(RAND(),MV2,Sigma1),IF(RAND()&lt;CondGood,_xlfn.LOGNORM.INV(RAND(),MV3,Sigma2),MIN(MaxMultiple,Xm/(1-RAND())^(1/Alpha)))))</f>
        <v>0</v>
      </c>
      <c r="N474" s="19">
        <f ca="1">IF(RAND()&lt;P_Zero,0,IF(RAND()&lt;CondReturn,_xlfn.LOGNORM.INV(RAND(),MV2,Sigma1),IF(RAND()&lt;CondGood,_xlfn.LOGNORM.INV(RAND(),MV3,Sigma2),MIN(MaxMultiple,Xm/(1-RAND())^(1/Alpha)))))</f>
        <v>0</v>
      </c>
      <c r="O474" s="19">
        <f ca="1">IF(RAND()&lt;P_Zero,0,IF(RAND()&lt;CondReturn,_xlfn.LOGNORM.INV(RAND(),MV2,Sigma1),IF(RAND()&lt;CondGood,_xlfn.LOGNORM.INV(RAND(),MV3,Sigma2),MIN(MaxMultiple,Xm/(1-RAND())^(1/Alpha)))))</f>
        <v>1.8316274644955317</v>
      </c>
      <c r="P474" s="19">
        <f ca="1">IF(RAND()&lt;P_Zero,0,IF(RAND()&lt;CondReturn,_xlfn.LOGNORM.INV(RAND(),MV2,Sigma1),IF(RAND()&lt;CondGood,_xlfn.LOGNORM.INV(RAND(),MV3,Sigma2),MIN(MaxMultiple,Xm/(1-RAND())^(1/Alpha)))))</f>
        <v>0.96210308393305755</v>
      </c>
      <c r="Q474" s="19">
        <f ca="1">IF(RAND()&lt;P_Zero,0,IF(RAND()&lt;CondReturn,_xlfn.LOGNORM.INV(RAND(),MV2,Sigma1),IF(RAND()&lt;CondGood,_xlfn.LOGNORM.INV(RAND(),MV3,Sigma2),MIN(MaxMultiple,Xm/(1-RAND())^(1/Alpha)))))</f>
        <v>0.81851593135846201</v>
      </c>
      <c r="R474" s="19">
        <f ca="1">IF(RAND()&lt;P_Zero,0,IF(RAND()&lt;CondReturn,_xlfn.LOGNORM.INV(RAND(),MV2,Sigma1),IF(RAND()&lt;CondGood,_xlfn.LOGNORM.INV(RAND(),MV3,Sigma2),MIN(MaxMultiple,Xm/(1-RAND())^(1/Alpha)))))</f>
        <v>0</v>
      </c>
      <c r="S474" s="19">
        <f ca="1">IF(RAND()&lt;P_Zero,0,IF(RAND()&lt;CondReturn,_xlfn.LOGNORM.INV(RAND(),MV2,Sigma1),IF(RAND()&lt;CondGood,_xlfn.LOGNORM.INV(RAND(),MV3,Sigma2),MIN(MaxMultiple,Xm/(1-RAND())^(1/Alpha)))))</f>
        <v>0</v>
      </c>
      <c r="T474" s="19">
        <f ca="1">IF(RAND()&lt;P_Zero,0,IF(RAND()&lt;CondReturn,_xlfn.LOGNORM.INV(RAND(),MV2,Sigma1),IF(RAND()&lt;CondGood,_xlfn.LOGNORM.INV(RAND(),MV3,Sigma2),MIN(MaxMultiple,Xm/(1-RAND())^(1/Alpha)))))</f>
        <v>70.325876137332912</v>
      </c>
      <c r="U474" s="19">
        <f ca="1">IF(RAND()&lt;P_Zero,0,IF(RAND()&lt;CondReturn,_xlfn.LOGNORM.INV(RAND(),MV2,Sigma1),IF(RAND()&lt;CondGood,_xlfn.LOGNORM.INV(RAND(),MV3,Sigma2),MIN(MaxMultiple,Xm/(1-RAND())^(1/Alpha)))))</f>
        <v>0</v>
      </c>
      <c r="V474" s="19">
        <f ca="1">IF(RAND()&lt;P_Zero,0,IF(RAND()&lt;CondReturn,_xlfn.LOGNORM.INV(RAND(),MV2,Sigma1),IF(RAND()&lt;CondGood,_xlfn.LOGNORM.INV(RAND(),MV3,Sigma2),MIN(MaxMultiple,Xm/(1-RAND())^(1/Alpha)))))</f>
        <v>0.40550864257259162</v>
      </c>
      <c r="W474" s="19">
        <f ca="1">IF(RAND()&lt;P_Zero,0,IF(RAND()&lt;CondReturn,_xlfn.LOGNORM.INV(RAND(),MV2,Sigma1),IF(RAND()&lt;CondGood,_xlfn.LOGNORM.INV(RAND(),MV3,Sigma2),MIN(MaxMultiple,Xm/(1-RAND())^(1/Alpha)))))</f>
        <v>0</v>
      </c>
      <c r="X474" s="19">
        <f ca="1">IF(RAND()&lt;P_Zero,0,IF(RAND()&lt;CondReturn,_xlfn.LOGNORM.INV(RAND(),MV2,Sigma1),IF(RAND()&lt;CondGood,_xlfn.LOGNORM.INV(RAND(),MV3,Sigma2),MIN(MaxMultiple,Xm/(1-RAND())^(1/Alpha)))))</f>
        <v>0</v>
      </c>
      <c r="Y474" s="19">
        <f ca="1">IF(RAND()&lt;P_Zero,0,IF(RAND()&lt;CondReturn,_xlfn.LOGNORM.INV(RAND(),MV2,Sigma1),IF(RAND()&lt;CondGood,_xlfn.LOGNORM.INV(RAND(),MV3,Sigma2),MIN(MaxMultiple,Xm/(1-RAND())^(1/Alpha)))))</f>
        <v>0</v>
      </c>
      <c r="Z474" s="19">
        <f ca="1">IF(RAND()&lt;P_Zero,0,IF(RAND()&lt;CondReturn,_xlfn.LOGNORM.INV(RAND(),MV2,Sigma1),IF(RAND()&lt;CondGood,_xlfn.LOGNORM.INV(RAND(),MV3,Sigma2),MIN(MaxMultiple,Xm/(1-RAND())^(1/Alpha)))))</f>
        <v>0.52230209495892477</v>
      </c>
      <c r="AA474" s="19">
        <f ca="1">IF(RAND()&lt;P_Zero,0,IF(RAND()&lt;CondReturn,_xlfn.LOGNORM.INV(RAND(),MV2,Sigma1),IF(RAND()&lt;CondGood,_xlfn.LOGNORM.INV(RAND(),MV3,Sigma2),MIN(MaxMultiple,Xm/(1-RAND())^(1/Alpha)))))</f>
        <v>0</v>
      </c>
      <c r="AB474" s="19">
        <f t="shared" ca="1" si="56"/>
        <v>3.8219066470153025</v>
      </c>
      <c r="AC474" s="14">
        <f t="shared" ca="1" si="57"/>
        <v>183451519.05673453</v>
      </c>
      <c r="AD474" s="14">
        <f t="shared" ca="1" si="58"/>
        <v>135451519.05673453</v>
      </c>
      <c r="AE474" s="14">
        <f t="shared" si="59"/>
        <v>55628399.869093813</v>
      </c>
      <c r="AF474" s="14">
        <f t="shared" ca="1" si="60"/>
        <v>79823119.187640727</v>
      </c>
      <c r="AG474" s="14">
        <f t="shared" ca="1" si="61"/>
        <v>15964623.837528147</v>
      </c>
      <c r="AH474" s="14">
        <f t="shared" ca="1" si="62"/>
        <v>167486895.21920639</v>
      </c>
      <c r="AI474" s="19">
        <f t="shared" ca="1" si="63"/>
        <v>2.79144825365344</v>
      </c>
    </row>
    <row r="475" spans="2:35" x14ac:dyDescent="0.2">
      <c r="B475" s="1">
        <v>470</v>
      </c>
      <c r="C475" s="19">
        <f ca="1">IF(RAND()&lt;P_Zero,0,IF(RAND()&lt;CondReturn,_xlfn.LOGNORM.INV(RAND(),MV2,Sigma1),IF(RAND()&lt;CondGood,_xlfn.LOGNORM.INV(RAND(),MV3,Sigma2),MIN(MaxMultiple,Xm/(1-RAND())^(1/Alpha)))))</f>
        <v>0</v>
      </c>
      <c r="D475" s="19">
        <f ca="1">IF(RAND()&lt;P_Zero,0,IF(RAND()&lt;CondReturn,_xlfn.LOGNORM.INV(RAND(),MV2,Sigma1),IF(RAND()&lt;CondGood,_xlfn.LOGNORM.INV(RAND(),MV3,Sigma2),MIN(MaxMultiple,Xm/(1-RAND())^(1/Alpha)))))</f>
        <v>1.9060399596316324</v>
      </c>
      <c r="E475" s="19">
        <f ca="1">IF(RAND()&lt;P_Zero,0,IF(RAND()&lt;CondReturn,_xlfn.LOGNORM.INV(RAND(),MV2,Sigma1),IF(RAND()&lt;CondGood,_xlfn.LOGNORM.INV(RAND(),MV3,Sigma2),MIN(MaxMultiple,Xm/(1-RAND())^(1/Alpha)))))</f>
        <v>0</v>
      </c>
      <c r="F475" s="19">
        <f ca="1">IF(RAND()&lt;P_Zero,0,IF(RAND()&lt;CondReturn,_xlfn.LOGNORM.INV(RAND(),MV2,Sigma1),IF(RAND()&lt;CondGood,_xlfn.LOGNORM.INV(RAND(),MV3,Sigma2),MIN(MaxMultiple,Xm/(1-RAND())^(1/Alpha)))))</f>
        <v>0.6492957317841842</v>
      </c>
      <c r="G475" s="19">
        <f ca="1">IF(RAND()&lt;P_Zero,0,IF(RAND()&lt;CondReturn,_xlfn.LOGNORM.INV(RAND(),MV2,Sigma1),IF(RAND()&lt;CondGood,_xlfn.LOGNORM.INV(RAND(),MV3,Sigma2),MIN(MaxMultiple,Xm/(1-RAND())^(1/Alpha)))))</f>
        <v>0</v>
      </c>
      <c r="H475" s="19">
        <f ca="1">IF(RAND()&lt;P_Zero,0,IF(RAND()&lt;CondReturn,_xlfn.LOGNORM.INV(RAND(),MV2,Sigma1),IF(RAND()&lt;CondGood,_xlfn.LOGNORM.INV(RAND(),MV3,Sigma2),MIN(MaxMultiple,Xm/(1-RAND())^(1/Alpha)))))</f>
        <v>0.72491175335346114</v>
      </c>
      <c r="I475" s="19">
        <f ca="1">IF(RAND()&lt;P_Zero,0,IF(RAND()&lt;CondReturn,_xlfn.LOGNORM.INV(RAND(),MV2,Sigma1),IF(RAND()&lt;CondGood,_xlfn.LOGNORM.INV(RAND(),MV3,Sigma2),MIN(MaxMultiple,Xm/(1-RAND())^(1/Alpha)))))</f>
        <v>0</v>
      </c>
      <c r="J475" s="19">
        <f ca="1">IF(RAND()&lt;P_Zero,0,IF(RAND()&lt;CondReturn,_xlfn.LOGNORM.INV(RAND(),MV2,Sigma1),IF(RAND()&lt;CondGood,_xlfn.LOGNORM.INV(RAND(),MV3,Sigma2),MIN(MaxMultiple,Xm/(1-RAND())^(1/Alpha)))))</f>
        <v>0.98896633755527119</v>
      </c>
      <c r="K475" s="19">
        <f ca="1">IF(RAND()&lt;P_Zero,0,IF(RAND()&lt;CondReturn,_xlfn.LOGNORM.INV(RAND(),MV2,Sigma1),IF(RAND()&lt;CondGood,_xlfn.LOGNORM.INV(RAND(),MV3,Sigma2),MIN(MaxMultiple,Xm/(1-RAND())^(1/Alpha)))))</f>
        <v>1.5926290656706681</v>
      </c>
      <c r="L475" s="19">
        <f ca="1">IF(RAND()&lt;P_Zero,0,IF(RAND()&lt;CondReturn,_xlfn.LOGNORM.INV(RAND(),MV2,Sigma1),IF(RAND()&lt;CondGood,_xlfn.LOGNORM.INV(RAND(),MV3,Sigma2),MIN(MaxMultiple,Xm/(1-RAND())^(1/Alpha)))))</f>
        <v>0.61734086766775931</v>
      </c>
      <c r="M475" s="19">
        <f ca="1">IF(RAND()&lt;P_Zero,0,IF(RAND()&lt;CondReturn,_xlfn.LOGNORM.INV(RAND(),MV2,Sigma1),IF(RAND()&lt;CondGood,_xlfn.LOGNORM.INV(RAND(),MV3,Sigma2),MIN(MaxMultiple,Xm/(1-RAND())^(1/Alpha)))))</f>
        <v>0</v>
      </c>
      <c r="N475" s="19">
        <f ca="1">IF(RAND()&lt;P_Zero,0,IF(RAND()&lt;CondReturn,_xlfn.LOGNORM.INV(RAND(),MV2,Sigma1),IF(RAND()&lt;CondGood,_xlfn.LOGNORM.INV(RAND(),MV3,Sigma2),MIN(MaxMultiple,Xm/(1-RAND())^(1/Alpha)))))</f>
        <v>1.3145713625225963</v>
      </c>
      <c r="O475" s="19">
        <f ca="1">IF(RAND()&lt;P_Zero,0,IF(RAND()&lt;CondReturn,_xlfn.LOGNORM.INV(RAND(),MV2,Sigma1),IF(RAND()&lt;CondGood,_xlfn.LOGNORM.INV(RAND(),MV3,Sigma2),MIN(MaxMultiple,Xm/(1-RAND())^(1/Alpha)))))</f>
        <v>0.54072773412476882</v>
      </c>
      <c r="P475" s="19">
        <f ca="1">IF(RAND()&lt;P_Zero,0,IF(RAND()&lt;CondReturn,_xlfn.LOGNORM.INV(RAND(),MV2,Sigma1),IF(RAND()&lt;CondGood,_xlfn.LOGNORM.INV(RAND(),MV3,Sigma2),MIN(MaxMultiple,Xm/(1-RAND())^(1/Alpha)))))</f>
        <v>0</v>
      </c>
      <c r="Q475" s="19">
        <f ca="1">IF(RAND()&lt;P_Zero,0,IF(RAND()&lt;CondReturn,_xlfn.LOGNORM.INV(RAND(),MV2,Sigma1),IF(RAND()&lt;CondGood,_xlfn.LOGNORM.INV(RAND(),MV3,Sigma2),MIN(MaxMultiple,Xm/(1-RAND())^(1/Alpha)))))</f>
        <v>1.0500208514458602</v>
      </c>
      <c r="R475" s="19">
        <f ca="1">IF(RAND()&lt;P_Zero,0,IF(RAND()&lt;CondReturn,_xlfn.LOGNORM.INV(RAND(),MV2,Sigma1),IF(RAND()&lt;CondGood,_xlfn.LOGNORM.INV(RAND(),MV3,Sigma2),MIN(MaxMultiple,Xm/(1-RAND())^(1/Alpha)))))</f>
        <v>0</v>
      </c>
      <c r="S475" s="19">
        <f ca="1">IF(RAND()&lt;P_Zero,0,IF(RAND()&lt;CondReturn,_xlfn.LOGNORM.INV(RAND(),MV2,Sigma1),IF(RAND()&lt;CondGood,_xlfn.LOGNORM.INV(RAND(),MV3,Sigma2),MIN(MaxMultiple,Xm/(1-RAND())^(1/Alpha)))))</f>
        <v>0.80823216409051268</v>
      </c>
      <c r="T475" s="19">
        <f ca="1">IF(RAND()&lt;P_Zero,0,IF(RAND()&lt;CondReturn,_xlfn.LOGNORM.INV(RAND(),MV2,Sigma1),IF(RAND()&lt;CondGood,_xlfn.LOGNORM.INV(RAND(),MV3,Sigma2),MIN(MaxMultiple,Xm/(1-RAND())^(1/Alpha)))))</f>
        <v>11.067592952654694</v>
      </c>
      <c r="U475" s="19">
        <f ca="1">IF(RAND()&lt;P_Zero,0,IF(RAND()&lt;CondReturn,_xlfn.LOGNORM.INV(RAND(),MV2,Sigma1),IF(RAND()&lt;CondGood,_xlfn.LOGNORM.INV(RAND(),MV3,Sigma2),MIN(MaxMultiple,Xm/(1-RAND())^(1/Alpha)))))</f>
        <v>0.59423483611367911</v>
      </c>
      <c r="V475" s="19">
        <f ca="1">IF(RAND()&lt;P_Zero,0,IF(RAND()&lt;CondReturn,_xlfn.LOGNORM.INV(RAND(),MV2,Sigma1),IF(RAND()&lt;CondGood,_xlfn.LOGNORM.INV(RAND(),MV3,Sigma2),MIN(MaxMultiple,Xm/(1-RAND())^(1/Alpha)))))</f>
        <v>0</v>
      </c>
      <c r="W475" s="19">
        <f ca="1">IF(RAND()&lt;P_Zero,0,IF(RAND()&lt;CondReturn,_xlfn.LOGNORM.INV(RAND(),MV2,Sigma1),IF(RAND()&lt;CondGood,_xlfn.LOGNORM.INV(RAND(),MV3,Sigma2),MIN(MaxMultiple,Xm/(1-RAND())^(1/Alpha)))))</f>
        <v>2.2770001370549213</v>
      </c>
      <c r="X475" s="19">
        <f ca="1">IF(RAND()&lt;P_Zero,0,IF(RAND()&lt;CondReturn,_xlfn.LOGNORM.INV(RAND(),MV2,Sigma1),IF(RAND()&lt;CondGood,_xlfn.LOGNORM.INV(RAND(),MV3,Sigma2),MIN(MaxMultiple,Xm/(1-RAND())^(1/Alpha)))))</f>
        <v>0</v>
      </c>
      <c r="Y475" s="19">
        <f ca="1">IF(RAND()&lt;P_Zero,0,IF(RAND()&lt;CondReturn,_xlfn.LOGNORM.INV(RAND(),MV2,Sigma1),IF(RAND()&lt;CondGood,_xlfn.LOGNORM.INV(RAND(),MV3,Sigma2),MIN(MaxMultiple,Xm/(1-RAND())^(1/Alpha)))))</f>
        <v>1.2210739832792152</v>
      </c>
      <c r="Z475" s="19">
        <f ca="1">IF(RAND()&lt;P_Zero,0,IF(RAND()&lt;CondReturn,_xlfn.LOGNORM.INV(RAND(),MV2,Sigma1),IF(RAND()&lt;CondGood,_xlfn.LOGNORM.INV(RAND(),MV3,Sigma2),MIN(MaxMultiple,Xm/(1-RAND())^(1/Alpha)))))</f>
        <v>1.5138601815257939</v>
      </c>
      <c r="AA475" s="19">
        <f ca="1">IF(RAND()&lt;P_Zero,0,IF(RAND()&lt;CondReturn,_xlfn.LOGNORM.INV(RAND(),MV2,Sigma1),IF(RAND()&lt;CondGood,_xlfn.LOGNORM.INV(RAND(),MV3,Sigma2),MIN(MaxMultiple,Xm/(1-RAND())^(1/Alpha)))))</f>
        <v>0</v>
      </c>
      <c r="AB475" s="19">
        <f t="shared" ca="1" si="56"/>
        <v>1.0746599167390007</v>
      </c>
      <c r="AC475" s="14">
        <f t="shared" ca="1" si="57"/>
        <v>51583676.003472038</v>
      </c>
      <c r="AD475" s="14">
        <f t="shared" ca="1" si="58"/>
        <v>3583676.0034720376</v>
      </c>
      <c r="AE475" s="14">
        <f t="shared" si="59"/>
        <v>55628399.869093813</v>
      </c>
      <c r="AF475" s="14">
        <f t="shared" ca="1" si="60"/>
        <v>0</v>
      </c>
      <c r="AG475" s="14">
        <f t="shared" ca="1" si="61"/>
        <v>0</v>
      </c>
      <c r="AH475" s="14">
        <f t="shared" ca="1" si="62"/>
        <v>51583676.003472038</v>
      </c>
      <c r="AI475" s="19">
        <f t="shared" ca="1" si="63"/>
        <v>0.85972793339120057</v>
      </c>
    </row>
    <row r="476" spans="2:35" x14ac:dyDescent="0.2">
      <c r="B476" s="1">
        <v>471</v>
      </c>
      <c r="C476" s="19">
        <f ca="1">IF(RAND()&lt;P_Zero,0,IF(RAND()&lt;CondReturn,_xlfn.LOGNORM.INV(RAND(),MV2,Sigma1),IF(RAND()&lt;CondGood,_xlfn.LOGNORM.INV(RAND(),MV3,Sigma2),MIN(MaxMultiple,Xm/(1-RAND())^(1/Alpha)))))</f>
        <v>0.81956413717367105</v>
      </c>
      <c r="D476" s="19">
        <f ca="1">IF(RAND()&lt;P_Zero,0,IF(RAND()&lt;CondReturn,_xlfn.LOGNORM.INV(RAND(),MV2,Sigma1),IF(RAND()&lt;CondGood,_xlfn.LOGNORM.INV(RAND(),MV3,Sigma2),MIN(MaxMultiple,Xm/(1-RAND())^(1/Alpha)))))</f>
        <v>0</v>
      </c>
      <c r="E476" s="19">
        <f ca="1">IF(RAND()&lt;P_Zero,0,IF(RAND()&lt;CondReturn,_xlfn.LOGNORM.INV(RAND(),MV2,Sigma1),IF(RAND()&lt;CondGood,_xlfn.LOGNORM.INV(RAND(),MV3,Sigma2),MIN(MaxMultiple,Xm/(1-RAND())^(1/Alpha)))))</f>
        <v>0</v>
      </c>
      <c r="F476" s="19">
        <f ca="1">IF(RAND()&lt;P_Zero,0,IF(RAND()&lt;CondReturn,_xlfn.LOGNORM.INV(RAND(),MV2,Sigma1),IF(RAND()&lt;CondGood,_xlfn.LOGNORM.INV(RAND(),MV3,Sigma2),MIN(MaxMultiple,Xm/(1-RAND())^(1/Alpha)))))</f>
        <v>1.3461325862030129</v>
      </c>
      <c r="G476" s="19">
        <f ca="1">IF(RAND()&lt;P_Zero,0,IF(RAND()&lt;CondReturn,_xlfn.LOGNORM.INV(RAND(),MV2,Sigma1),IF(RAND()&lt;CondGood,_xlfn.LOGNORM.INV(RAND(),MV3,Sigma2),MIN(MaxMultiple,Xm/(1-RAND())^(1/Alpha)))))</f>
        <v>0</v>
      </c>
      <c r="H476" s="19">
        <f ca="1">IF(RAND()&lt;P_Zero,0,IF(RAND()&lt;CondReturn,_xlfn.LOGNORM.INV(RAND(),MV2,Sigma1),IF(RAND()&lt;CondGood,_xlfn.LOGNORM.INV(RAND(),MV3,Sigma2),MIN(MaxMultiple,Xm/(1-RAND())^(1/Alpha)))))</f>
        <v>1.8603513233236333</v>
      </c>
      <c r="I476" s="19">
        <f ca="1">IF(RAND()&lt;P_Zero,0,IF(RAND()&lt;CondReturn,_xlfn.LOGNORM.INV(RAND(),MV2,Sigma1),IF(RAND()&lt;CondGood,_xlfn.LOGNORM.INV(RAND(),MV3,Sigma2),MIN(MaxMultiple,Xm/(1-RAND())^(1/Alpha)))))</f>
        <v>1.4423990222200229</v>
      </c>
      <c r="J476" s="19">
        <f ca="1">IF(RAND()&lt;P_Zero,0,IF(RAND()&lt;CondReturn,_xlfn.LOGNORM.INV(RAND(),MV2,Sigma1),IF(RAND()&lt;CondGood,_xlfn.LOGNORM.INV(RAND(),MV3,Sigma2),MIN(MaxMultiple,Xm/(1-RAND())^(1/Alpha)))))</f>
        <v>0</v>
      </c>
      <c r="K476" s="19">
        <f ca="1">IF(RAND()&lt;P_Zero,0,IF(RAND()&lt;CondReturn,_xlfn.LOGNORM.INV(RAND(),MV2,Sigma1),IF(RAND()&lt;CondGood,_xlfn.LOGNORM.INV(RAND(),MV3,Sigma2),MIN(MaxMultiple,Xm/(1-RAND())^(1/Alpha)))))</f>
        <v>0.36949633765474799</v>
      </c>
      <c r="L476" s="19">
        <f ca="1">IF(RAND()&lt;P_Zero,0,IF(RAND()&lt;CondReturn,_xlfn.LOGNORM.INV(RAND(),MV2,Sigma1),IF(RAND()&lt;CondGood,_xlfn.LOGNORM.INV(RAND(),MV3,Sigma2),MIN(MaxMultiple,Xm/(1-RAND())^(1/Alpha)))))</f>
        <v>0</v>
      </c>
      <c r="M476" s="19">
        <f ca="1">IF(RAND()&lt;P_Zero,0,IF(RAND()&lt;CondReturn,_xlfn.LOGNORM.INV(RAND(),MV2,Sigma1),IF(RAND()&lt;CondGood,_xlfn.LOGNORM.INV(RAND(),MV3,Sigma2),MIN(MaxMultiple,Xm/(1-RAND())^(1/Alpha)))))</f>
        <v>0</v>
      </c>
      <c r="N476" s="19">
        <f ca="1">IF(RAND()&lt;P_Zero,0,IF(RAND()&lt;CondReturn,_xlfn.LOGNORM.INV(RAND(),MV2,Sigma1),IF(RAND()&lt;CondGood,_xlfn.LOGNORM.INV(RAND(),MV3,Sigma2),MIN(MaxMultiple,Xm/(1-RAND())^(1/Alpha)))))</f>
        <v>0.53901902934820112</v>
      </c>
      <c r="O476" s="19">
        <f ca="1">IF(RAND()&lt;P_Zero,0,IF(RAND()&lt;CondReturn,_xlfn.LOGNORM.INV(RAND(),MV2,Sigma1),IF(RAND()&lt;CondGood,_xlfn.LOGNORM.INV(RAND(),MV3,Sigma2),MIN(MaxMultiple,Xm/(1-RAND())^(1/Alpha)))))</f>
        <v>0</v>
      </c>
      <c r="P476" s="19">
        <f ca="1">IF(RAND()&lt;P_Zero,0,IF(RAND()&lt;CondReturn,_xlfn.LOGNORM.INV(RAND(),MV2,Sigma1),IF(RAND()&lt;CondGood,_xlfn.LOGNORM.INV(RAND(),MV3,Sigma2),MIN(MaxMultiple,Xm/(1-RAND())^(1/Alpha)))))</f>
        <v>0</v>
      </c>
      <c r="Q476" s="19">
        <f ca="1">IF(RAND()&lt;P_Zero,0,IF(RAND()&lt;CondReturn,_xlfn.LOGNORM.INV(RAND(),MV2,Sigma1),IF(RAND()&lt;CondGood,_xlfn.LOGNORM.INV(RAND(),MV3,Sigma2),MIN(MaxMultiple,Xm/(1-RAND())^(1/Alpha)))))</f>
        <v>1.0608060823768051</v>
      </c>
      <c r="R476" s="19">
        <f ca="1">IF(RAND()&lt;P_Zero,0,IF(RAND()&lt;CondReturn,_xlfn.LOGNORM.INV(RAND(),MV2,Sigma1),IF(RAND()&lt;CondGood,_xlfn.LOGNORM.INV(RAND(),MV3,Sigma2),MIN(MaxMultiple,Xm/(1-RAND())^(1/Alpha)))))</f>
        <v>0.49138651485333679</v>
      </c>
      <c r="S476" s="19">
        <f ca="1">IF(RAND()&lt;P_Zero,0,IF(RAND()&lt;CondReturn,_xlfn.LOGNORM.INV(RAND(),MV2,Sigma1),IF(RAND()&lt;CondGood,_xlfn.LOGNORM.INV(RAND(),MV3,Sigma2),MIN(MaxMultiple,Xm/(1-RAND())^(1/Alpha)))))</f>
        <v>0</v>
      </c>
      <c r="T476" s="19">
        <f ca="1">IF(RAND()&lt;P_Zero,0,IF(RAND()&lt;CondReturn,_xlfn.LOGNORM.INV(RAND(),MV2,Sigma1),IF(RAND()&lt;CondGood,_xlfn.LOGNORM.INV(RAND(),MV3,Sigma2),MIN(MaxMultiple,Xm/(1-RAND())^(1/Alpha)))))</f>
        <v>0</v>
      </c>
      <c r="U476" s="19">
        <f ca="1">IF(RAND()&lt;P_Zero,0,IF(RAND()&lt;CondReturn,_xlfn.LOGNORM.INV(RAND(),MV2,Sigma1),IF(RAND()&lt;CondGood,_xlfn.LOGNORM.INV(RAND(),MV3,Sigma2),MIN(MaxMultiple,Xm/(1-RAND())^(1/Alpha)))))</f>
        <v>0</v>
      </c>
      <c r="V476" s="19">
        <f ca="1">IF(RAND()&lt;P_Zero,0,IF(RAND()&lt;CondReturn,_xlfn.LOGNORM.INV(RAND(),MV2,Sigma1),IF(RAND()&lt;CondGood,_xlfn.LOGNORM.INV(RAND(),MV3,Sigma2),MIN(MaxMultiple,Xm/(1-RAND())^(1/Alpha)))))</f>
        <v>82.084711346641413</v>
      </c>
      <c r="W476" s="19">
        <f ca="1">IF(RAND()&lt;P_Zero,0,IF(RAND()&lt;CondReturn,_xlfn.LOGNORM.INV(RAND(),MV2,Sigma1),IF(RAND()&lt;CondGood,_xlfn.LOGNORM.INV(RAND(),MV3,Sigma2),MIN(MaxMultiple,Xm/(1-RAND())^(1/Alpha)))))</f>
        <v>1.5081995319322989</v>
      </c>
      <c r="X476" s="19">
        <f ca="1">IF(RAND()&lt;P_Zero,0,IF(RAND()&lt;CondReturn,_xlfn.LOGNORM.INV(RAND(),MV2,Sigma1),IF(RAND()&lt;CondGood,_xlfn.LOGNORM.INV(RAND(),MV3,Sigma2),MIN(MaxMultiple,Xm/(1-RAND())^(1/Alpha)))))</f>
        <v>0.82114917839364787</v>
      </c>
      <c r="Y476" s="19">
        <f ca="1">IF(RAND()&lt;P_Zero,0,IF(RAND()&lt;CondReturn,_xlfn.LOGNORM.INV(RAND(),MV2,Sigma1),IF(RAND()&lt;CondGood,_xlfn.LOGNORM.INV(RAND(),MV3,Sigma2),MIN(MaxMultiple,Xm/(1-RAND())^(1/Alpha)))))</f>
        <v>1.5047237862457508</v>
      </c>
      <c r="Z476" s="19">
        <f ca="1">IF(RAND()&lt;P_Zero,0,IF(RAND()&lt;CondReturn,_xlfn.LOGNORM.INV(RAND(),MV2,Sigma1),IF(RAND()&lt;CondGood,_xlfn.LOGNORM.INV(RAND(),MV3,Sigma2),MIN(MaxMultiple,Xm/(1-RAND())^(1/Alpha)))))</f>
        <v>1.058215389012459</v>
      </c>
      <c r="AA476" s="19">
        <f ca="1">IF(RAND()&lt;P_Zero,0,IF(RAND()&lt;CondReturn,_xlfn.LOGNORM.INV(RAND(),MV2,Sigma1),IF(RAND()&lt;CondGood,_xlfn.LOGNORM.INV(RAND(),MV3,Sigma2),MIN(MaxMultiple,Xm/(1-RAND())^(1/Alpha)))))</f>
        <v>0.92833101211348523</v>
      </c>
      <c r="AB476" s="19">
        <f t="shared" ca="1" si="56"/>
        <v>3.8333794110997004</v>
      </c>
      <c r="AC476" s="14">
        <f t="shared" ca="1" si="57"/>
        <v>184002211.73278561</v>
      </c>
      <c r="AD476" s="14">
        <f t="shared" ca="1" si="58"/>
        <v>136002211.73278561</v>
      </c>
      <c r="AE476" s="14">
        <f t="shared" si="59"/>
        <v>55628399.869093813</v>
      </c>
      <c r="AF476" s="14">
        <f t="shared" ca="1" si="60"/>
        <v>80373811.863691807</v>
      </c>
      <c r="AG476" s="14">
        <f t="shared" ca="1" si="61"/>
        <v>16074762.372738361</v>
      </c>
      <c r="AH476" s="14">
        <f t="shared" ca="1" si="62"/>
        <v>167927449.36004725</v>
      </c>
      <c r="AI476" s="19">
        <f t="shared" ca="1" si="63"/>
        <v>2.798790822667454</v>
      </c>
    </row>
    <row r="477" spans="2:35" x14ac:dyDescent="0.2">
      <c r="B477" s="1">
        <v>472</v>
      </c>
      <c r="C477" s="19">
        <f ca="1">IF(RAND()&lt;P_Zero,0,IF(RAND()&lt;CondReturn,_xlfn.LOGNORM.INV(RAND(),MV2,Sigma1),IF(RAND()&lt;CondGood,_xlfn.LOGNORM.INV(RAND(),MV3,Sigma2),MIN(MaxMultiple,Xm/(1-RAND())^(1/Alpha)))))</f>
        <v>1.3111663620252261</v>
      </c>
      <c r="D477" s="19">
        <f ca="1">IF(RAND()&lt;P_Zero,0,IF(RAND()&lt;CondReturn,_xlfn.LOGNORM.INV(RAND(),MV2,Sigma1),IF(RAND()&lt;CondGood,_xlfn.LOGNORM.INV(RAND(),MV3,Sigma2),MIN(MaxMultiple,Xm/(1-RAND())^(1/Alpha)))))</f>
        <v>0.27057864803297071</v>
      </c>
      <c r="E477" s="19">
        <f ca="1">IF(RAND()&lt;P_Zero,0,IF(RAND()&lt;CondReturn,_xlfn.LOGNORM.INV(RAND(),MV2,Sigma1),IF(RAND()&lt;CondGood,_xlfn.LOGNORM.INV(RAND(),MV3,Sigma2),MIN(MaxMultiple,Xm/(1-RAND())^(1/Alpha)))))</f>
        <v>24.767472634241759</v>
      </c>
      <c r="F477" s="19">
        <f ca="1">IF(RAND()&lt;P_Zero,0,IF(RAND()&lt;CondReturn,_xlfn.LOGNORM.INV(RAND(),MV2,Sigma1),IF(RAND()&lt;CondGood,_xlfn.LOGNORM.INV(RAND(),MV3,Sigma2),MIN(MaxMultiple,Xm/(1-RAND())^(1/Alpha)))))</f>
        <v>0</v>
      </c>
      <c r="G477" s="19">
        <f ca="1">IF(RAND()&lt;P_Zero,0,IF(RAND()&lt;CondReturn,_xlfn.LOGNORM.INV(RAND(),MV2,Sigma1),IF(RAND()&lt;CondGood,_xlfn.LOGNORM.INV(RAND(),MV3,Sigma2),MIN(MaxMultiple,Xm/(1-RAND())^(1/Alpha)))))</f>
        <v>0</v>
      </c>
      <c r="H477" s="19">
        <f ca="1">IF(RAND()&lt;P_Zero,0,IF(RAND()&lt;CondReturn,_xlfn.LOGNORM.INV(RAND(),MV2,Sigma1),IF(RAND()&lt;CondGood,_xlfn.LOGNORM.INV(RAND(),MV3,Sigma2),MIN(MaxMultiple,Xm/(1-RAND())^(1/Alpha)))))</f>
        <v>0</v>
      </c>
      <c r="I477" s="19">
        <f ca="1">IF(RAND()&lt;P_Zero,0,IF(RAND()&lt;CondReturn,_xlfn.LOGNORM.INV(RAND(),MV2,Sigma1),IF(RAND()&lt;CondGood,_xlfn.LOGNORM.INV(RAND(),MV3,Sigma2),MIN(MaxMultiple,Xm/(1-RAND())^(1/Alpha)))))</f>
        <v>0.24864167471619847</v>
      </c>
      <c r="J477" s="19">
        <f ca="1">IF(RAND()&lt;P_Zero,0,IF(RAND()&lt;CondReturn,_xlfn.LOGNORM.INV(RAND(),MV2,Sigma1),IF(RAND()&lt;CondGood,_xlfn.LOGNORM.INV(RAND(),MV3,Sigma2),MIN(MaxMultiple,Xm/(1-RAND())^(1/Alpha)))))</f>
        <v>0</v>
      </c>
      <c r="K477" s="19">
        <f ca="1">IF(RAND()&lt;P_Zero,0,IF(RAND()&lt;CondReturn,_xlfn.LOGNORM.INV(RAND(),MV2,Sigma1),IF(RAND()&lt;CondGood,_xlfn.LOGNORM.INV(RAND(),MV3,Sigma2),MIN(MaxMultiple,Xm/(1-RAND())^(1/Alpha)))))</f>
        <v>0.89292933146561271</v>
      </c>
      <c r="L477" s="19">
        <f ca="1">IF(RAND()&lt;P_Zero,0,IF(RAND()&lt;CondReturn,_xlfn.LOGNORM.INV(RAND(),MV2,Sigma1),IF(RAND()&lt;CondGood,_xlfn.LOGNORM.INV(RAND(),MV3,Sigma2),MIN(MaxMultiple,Xm/(1-RAND())^(1/Alpha)))))</f>
        <v>0</v>
      </c>
      <c r="M477" s="19">
        <f ca="1">IF(RAND()&lt;P_Zero,0,IF(RAND()&lt;CondReturn,_xlfn.LOGNORM.INV(RAND(),MV2,Sigma1),IF(RAND()&lt;CondGood,_xlfn.LOGNORM.INV(RAND(),MV3,Sigma2),MIN(MaxMultiple,Xm/(1-RAND())^(1/Alpha)))))</f>
        <v>1.0856441261364109</v>
      </c>
      <c r="N477" s="19">
        <f ca="1">IF(RAND()&lt;P_Zero,0,IF(RAND()&lt;CondReturn,_xlfn.LOGNORM.INV(RAND(),MV2,Sigma1),IF(RAND()&lt;CondGood,_xlfn.LOGNORM.INV(RAND(),MV3,Sigma2),MIN(MaxMultiple,Xm/(1-RAND())^(1/Alpha)))))</f>
        <v>0</v>
      </c>
      <c r="O477" s="19">
        <f ca="1">IF(RAND()&lt;P_Zero,0,IF(RAND()&lt;CondReturn,_xlfn.LOGNORM.INV(RAND(),MV2,Sigma1),IF(RAND()&lt;CondGood,_xlfn.LOGNORM.INV(RAND(),MV3,Sigma2),MIN(MaxMultiple,Xm/(1-RAND())^(1/Alpha)))))</f>
        <v>0</v>
      </c>
      <c r="P477" s="19">
        <f ca="1">IF(RAND()&lt;P_Zero,0,IF(RAND()&lt;CondReturn,_xlfn.LOGNORM.INV(RAND(),MV2,Sigma1),IF(RAND()&lt;CondGood,_xlfn.LOGNORM.INV(RAND(),MV3,Sigma2),MIN(MaxMultiple,Xm/(1-RAND())^(1/Alpha)))))</f>
        <v>2.8390403340355861</v>
      </c>
      <c r="Q477" s="19">
        <f ca="1">IF(RAND()&lt;P_Zero,0,IF(RAND()&lt;CondReturn,_xlfn.LOGNORM.INV(RAND(),MV2,Sigma1),IF(RAND()&lt;CondGood,_xlfn.LOGNORM.INV(RAND(),MV3,Sigma2),MIN(MaxMultiple,Xm/(1-RAND())^(1/Alpha)))))</f>
        <v>0</v>
      </c>
      <c r="R477" s="19">
        <f ca="1">IF(RAND()&lt;P_Zero,0,IF(RAND()&lt;CondReturn,_xlfn.LOGNORM.INV(RAND(),MV2,Sigma1),IF(RAND()&lt;CondGood,_xlfn.LOGNORM.INV(RAND(),MV3,Sigma2),MIN(MaxMultiple,Xm/(1-RAND())^(1/Alpha)))))</f>
        <v>0</v>
      </c>
      <c r="S477" s="19">
        <f ca="1">IF(RAND()&lt;P_Zero,0,IF(RAND()&lt;CondReturn,_xlfn.LOGNORM.INV(RAND(),MV2,Sigma1),IF(RAND()&lt;CondGood,_xlfn.LOGNORM.INV(RAND(),MV3,Sigma2),MIN(MaxMultiple,Xm/(1-RAND())^(1/Alpha)))))</f>
        <v>0.67470758837190858</v>
      </c>
      <c r="T477" s="19">
        <f ca="1">IF(RAND()&lt;P_Zero,0,IF(RAND()&lt;CondReturn,_xlfn.LOGNORM.INV(RAND(),MV2,Sigma1),IF(RAND()&lt;CondGood,_xlfn.LOGNORM.INV(RAND(),MV3,Sigma2),MIN(MaxMultiple,Xm/(1-RAND())^(1/Alpha)))))</f>
        <v>0.64658179846922059</v>
      </c>
      <c r="U477" s="19">
        <f ca="1">IF(RAND()&lt;P_Zero,0,IF(RAND()&lt;CondReturn,_xlfn.LOGNORM.INV(RAND(),MV2,Sigma1),IF(RAND()&lt;CondGood,_xlfn.LOGNORM.INV(RAND(),MV3,Sigma2),MIN(MaxMultiple,Xm/(1-RAND())^(1/Alpha)))))</f>
        <v>13.480691335281183</v>
      </c>
      <c r="V477" s="19">
        <f ca="1">IF(RAND()&lt;P_Zero,0,IF(RAND()&lt;CondReturn,_xlfn.LOGNORM.INV(RAND(),MV2,Sigma1),IF(RAND()&lt;CondGood,_xlfn.LOGNORM.INV(RAND(),MV3,Sigma2),MIN(MaxMultiple,Xm/(1-RAND())^(1/Alpha)))))</f>
        <v>0.82480603761890037</v>
      </c>
      <c r="W477" s="19">
        <f ca="1">IF(RAND()&lt;P_Zero,0,IF(RAND()&lt;CondReturn,_xlfn.LOGNORM.INV(RAND(),MV2,Sigma1),IF(RAND()&lt;CondGood,_xlfn.LOGNORM.INV(RAND(),MV3,Sigma2),MIN(MaxMultiple,Xm/(1-RAND())^(1/Alpha)))))</f>
        <v>0.77922319553736141</v>
      </c>
      <c r="X477" s="19">
        <f ca="1">IF(RAND()&lt;P_Zero,0,IF(RAND()&lt;CondReturn,_xlfn.LOGNORM.INV(RAND(),MV2,Sigma1),IF(RAND()&lt;CondGood,_xlfn.LOGNORM.INV(RAND(),MV3,Sigma2),MIN(MaxMultiple,Xm/(1-RAND())^(1/Alpha)))))</f>
        <v>0</v>
      </c>
      <c r="Y477" s="19">
        <f ca="1">IF(RAND()&lt;P_Zero,0,IF(RAND()&lt;CondReturn,_xlfn.LOGNORM.INV(RAND(),MV2,Sigma1),IF(RAND()&lt;CondGood,_xlfn.LOGNORM.INV(RAND(),MV3,Sigma2),MIN(MaxMultiple,Xm/(1-RAND())^(1/Alpha)))))</f>
        <v>0</v>
      </c>
      <c r="Z477" s="19">
        <f ca="1">IF(RAND()&lt;P_Zero,0,IF(RAND()&lt;CondReturn,_xlfn.LOGNORM.INV(RAND(),MV2,Sigma1),IF(RAND()&lt;CondGood,_xlfn.LOGNORM.INV(RAND(),MV3,Sigma2),MIN(MaxMultiple,Xm/(1-RAND())^(1/Alpha)))))</f>
        <v>2.579422763535745</v>
      </c>
      <c r="AA477" s="19">
        <f ca="1">IF(RAND()&lt;P_Zero,0,IF(RAND()&lt;CondReturn,_xlfn.LOGNORM.INV(RAND(),MV2,Sigma1),IF(RAND()&lt;CondGood,_xlfn.LOGNORM.INV(RAND(),MV3,Sigma2),MIN(MaxMultiple,Xm/(1-RAND())^(1/Alpha)))))</f>
        <v>1.1471295906200278</v>
      </c>
      <c r="AB477" s="19">
        <f t="shared" ca="1" si="56"/>
        <v>2.061921416803524</v>
      </c>
      <c r="AC477" s="14">
        <f t="shared" ca="1" si="57"/>
        <v>98972228.006569147</v>
      </c>
      <c r="AD477" s="14">
        <f t="shared" ca="1" si="58"/>
        <v>50972228.006569147</v>
      </c>
      <c r="AE477" s="14">
        <f t="shared" si="59"/>
        <v>55628399.869093813</v>
      </c>
      <c r="AF477" s="14">
        <f t="shared" ca="1" si="60"/>
        <v>0</v>
      </c>
      <c r="AG477" s="14">
        <f t="shared" ca="1" si="61"/>
        <v>0</v>
      </c>
      <c r="AH477" s="14">
        <f t="shared" ca="1" si="62"/>
        <v>98972228.006569147</v>
      </c>
      <c r="AI477" s="19">
        <f t="shared" ca="1" si="63"/>
        <v>1.649537133442819</v>
      </c>
    </row>
    <row r="478" spans="2:35" x14ac:dyDescent="0.2">
      <c r="B478" s="1">
        <v>473</v>
      </c>
      <c r="C478" s="19">
        <f ca="1">IF(RAND()&lt;P_Zero,0,IF(RAND()&lt;CondReturn,_xlfn.LOGNORM.INV(RAND(),MV2,Sigma1),IF(RAND()&lt;CondGood,_xlfn.LOGNORM.INV(RAND(),MV3,Sigma2),MIN(MaxMultiple,Xm/(1-RAND())^(1/Alpha)))))</f>
        <v>0</v>
      </c>
      <c r="D478" s="19">
        <f ca="1">IF(RAND()&lt;P_Zero,0,IF(RAND()&lt;CondReturn,_xlfn.LOGNORM.INV(RAND(),MV2,Sigma1),IF(RAND()&lt;CondGood,_xlfn.LOGNORM.INV(RAND(),MV3,Sigma2),MIN(MaxMultiple,Xm/(1-RAND())^(1/Alpha)))))</f>
        <v>0.54093917944387337</v>
      </c>
      <c r="E478" s="19">
        <f ca="1">IF(RAND()&lt;P_Zero,0,IF(RAND()&lt;CondReturn,_xlfn.LOGNORM.INV(RAND(),MV2,Sigma1),IF(RAND()&lt;CondGood,_xlfn.LOGNORM.INV(RAND(),MV3,Sigma2),MIN(MaxMultiple,Xm/(1-RAND())^(1/Alpha)))))</f>
        <v>14.786491446141019</v>
      </c>
      <c r="F478" s="19">
        <f ca="1">IF(RAND()&lt;P_Zero,0,IF(RAND()&lt;CondReturn,_xlfn.LOGNORM.INV(RAND(),MV2,Sigma1),IF(RAND()&lt;CondGood,_xlfn.LOGNORM.INV(RAND(),MV3,Sigma2),MIN(MaxMultiple,Xm/(1-RAND())^(1/Alpha)))))</f>
        <v>1.7920947867963501</v>
      </c>
      <c r="G478" s="19">
        <f ca="1">IF(RAND()&lt;P_Zero,0,IF(RAND()&lt;CondReturn,_xlfn.LOGNORM.INV(RAND(),MV2,Sigma1),IF(RAND()&lt;CondGood,_xlfn.LOGNORM.INV(RAND(),MV3,Sigma2),MIN(MaxMultiple,Xm/(1-RAND())^(1/Alpha)))))</f>
        <v>1.3856324078788358</v>
      </c>
      <c r="H478" s="19">
        <f ca="1">IF(RAND()&lt;P_Zero,0,IF(RAND()&lt;CondReturn,_xlfn.LOGNORM.INV(RAND(),MV2,Sigma1),IF(RAND()&lt;CondGood,_xlfn.LOGNORM.INV(RAND(),MV3,Sigma2),MIN(MaxMultiple,Xm/(1-RAND())^(1/Alpha)))))</f>
        <v>0</v>
      </c>
      <c r="I478" s="19">
        <f ca="1">IF(RAND()&lt;P_Zero,0,IF(RAND()&lt;CondReturn,_xlfn.LOGNORM.INV(RAND(),MV2,Sigma1),IF(RAND()&lt;CondGood,_xlfn.LOGNORM.INV(RAND(),MV3,Sigma2),MIN(MaxMultiple,Xm/(1-RAND())^(1/Alpha)))))</f>
        <v>0</v>
      </c>
      <c r="J478" s="19">
        <f ca="1">IF(RAND()&lt;P_Zero,0,IF(RAND()&lt;CondReturn,_xlfn.LOGNORM.INV(RAND(),MV2,Sigma1),IF(RAND()&lt;CondGood,_xlfn.LOGNORM.INV(RAND(),MV3,Sigma2),MIN(MaxMultiple,Xm/(1-RAND())^(1/Alpha)))))</f>
        <v>1.5760113970659653</v>
      </c>
      <c r="K478" s="19">
        <f ca="1">IF(RAND()&lt;P_Zero,0,IF(RAND()&lt;CondReturn,_xlfn.LOGNORM.INV(RAND(),MV2,Sigma1),IF(RAND()&lt;CondGood,_xlfn.LOGNORM.INV(RAND(),MV3,Sigma2),MIN(MaxMultiple,Xm/(1-RAND())^(1/Alpha)))))</f>
        <v>1.4066297289451737</v>
      </c>
      <c r="L478" s="19">
        <f ca="1">IF(RAND()&lt;P_Zero,0,IF(RAND()&lt;CondReturn,_xlfn.LOGNORM.INV(RAND(),MV2,Sigma1),IF(RAND()&lt;CondGood,_xlfn.LOGNORM.INV(RAND(),MV3,Sigma2),MIN(MaxMultiple,Xm/(1-RAND())^(1/Alpha)))))</f>
        <v>0</v>
      </c>
      <c r="M478" s="19">
        <f ca="1">IF(RAND()&lt;P_Zero,0,IF(RAND()&lt;CondReturn,_xlfn.LOGNORM.INV(RAND(),MV2,Sigma1),IF(RAND()&lt;CondGood,_xlfn.LOGNORM.INV(RAND(),MV3,Sigma2),MIN(MaxMultiple,Xm/(1-RAND())^(1/Alpha)))))</f>
        <v>1.1089182258605266</v>
      </c>
      <c r="N478" s="19">
        <f ca="1">IF(RAND()&lt;P_Zero,0,IF(RAND()&lt;CondReturn,_xlfn.LOGNORM.INV(RAND(),MV2,Sigma1),IF(RAND()&lt;CondGood,_xlfn.LOGNORM.INV(RAND(),MV3,Sigma2),MIN(MaxMultiple,Xm/(1-RAND())^(1/Alpha)))))</f>
        <v>0</v>
      </c>
      <c r="O478" s="19">
        <f ca="1">IF(RAND()&lt;P_Zero,0,IF(RAND()&lt;CondReturn,_xlfn.LOGNORM.INV(RAND(),MV2,Sigma1),IF(RAND()&lt;CondGood,_xlfn.LOGNORM.INV(RAND(),MV3,Sigma2),MIN(MaxMultiple,Xm/(1-RAND())^(1/Alpha)))))</f>
        <v>1.9855598998659496</v>
      </c>
      <c r="P478" s="19">
        <f ca="1">IF(RAND()&lt;P_Zero,0,IF(RAND()&lt;CondReturn,_xlfn.LOGNORM.INV(RAND(),MV2,Sigma1),IF(RAND()&lt;CondGood,_xlfn.LOGNORM.INV(RAND(),MV3,Sigma2),MIN(MaxMultiple,Xm/(1-RAND())^(1/Alpha)))))</f>
        <v>0</v>
      </c>
      <c r="Q478" s="19">
        <f ca="1">IF(RAND()&lt;P_Zero,0,IF(RAND()&lt;CondReturn,_xlfn.LOGNORM.INV(RAND(),MV2,Sigma1),IF(RAND()&lt;CondGood,_xlfn.LOGNORM.INV(RAND(),MV3,Sigma2),MIN(MaxMultiple,Xm/(1-RAND())^(1/Alpha)))))</f>
        <v>1.5215132864608278</v>
      </c>
      <c r="R478" s="19">
        <f ca="1">IF(RAND()&lt;P_Zero,0,IF(RAND()&lt;CondReturn,_xlfn.LOGNORM.INV(RAND(),MV2,Sigma1),IF(RAND()&lt;CondGood,_xlfn.LOGNORM.INV(RAND(),MV3,Sigma2),MIN(MaxMultiple,Xm/(1-RAND())^(1/Alpha)))))</f>
        <v>0.80499520658234724</v>
      </c>
      <c r="S478" s="19">
        <f ca="1">IF(RAND()&lt;P_Zero,0,IF(RAND()&lt;CondReturn,_xlfn.LOGNORM.INV(RAND(),MV2,Sigma1),IF(RAND()&lt;CondGood,_xlfn.LOGNORM.INV(RAND(),MV3,Sigma2),MIN(MaxMultiple,Xm/(1-RAND())^(1/Alpha)))))</f>
        <v>0.60483042206572823</v>
      </c>
      <c r="T478" s="19">
        <f ca="1">IF(RAND()&lt;P_Zero,0,IF(RAND()&lt;CondReturn,_xlfn.LOGNORM.INV(RAND(),MV2,Sigma1),IF(RAND()&lt;CondGood,_xlfn.LOGNORM.INV(RAND(),MV3,Sigma2),MIN(MaxMultiple,Xm/(1-RAND())^(1/Alpha)))))</f>
        <v>0.3465987111755589</v>
      </c>
      <c r="U478" s="19">
        <f ca="1">IF(RAND()&lt;P_Zero,0,IF(RAND()&lt;CondReturn,_xlfn.LOGNORM.INV(RAND(),MV2,Sigma1),IF(RAND()&lt;CondGood,_xlfn.LOGNORM.INV(RAND(),MV3,Sigma2),MIN(MaxMultiple,Xm/(1-RAND())^(1/Alpha)))))</f>
        <v>0.90686198251793193</v>
      </c>
      <c r="V478" s="19">
        <f ca="1">IF(RAND()&lt;P_Zero,0,IF(RAND()&lt;CondReturn,_xlfn.LOGNORM.INV(RAND(),MV2,Sigma1),IF(RAND()&lt;CondGood,_xlfn.LOGNORM.INV(RAND(),MV3,Sigma2),MIN(MaxMultiple,Xm/(1-RAND())^(1/Alpha)))))</f>
        <v>2.2194459943417111</v>
      </c>
      <c r="W478" s="19">
        <f ca="1">IF(RAND()&lt;P_Zero,0,IF(RAND()&lt;CondReturn,_xlfn.LOGNORM.INV(RAND(),MV2,Sigma1),IF(RAND()&lt;CondGood,_xlfn.LOGNORM.INV(RAND(),MV3,Sigma2),MIN(MaxMultiple,Xm/(1-RAND())^(1/Alpha)))))</f>
        <v>0</v>
      </c>
      <c r="X478" s="19">
        <f ca="1">IF(RAND()&lt;P_Zero,0,IF(RAND()&lt;CondReturn,_xlfn.LOGNORM.INV(RAND(),MV2,Sigma1),IF(RAND()&lt;CondGood,_xlfn.LOGNORM.INV(RAND(),MV3,Sigma2),MIN(MaxMultiple,Xm/(1-RAND())^(1/Alpha)))))</f>
        <v>1.6163566671985887</v>
      </c>
      <c r="Y478" s="19">
        <f ca="1">IF(RAND()&lt;P_Zero,0,IF(RAND()&lt;CondReturn,_xlfn.LOGNORM.INV(RAND(),MV2,Sigma1),IF(RAND()&lt;CondGood,_xlfn.LOGNORM.INV(RAND(),MV3,Sigma2),MIN(MaxMultiple,Xm/(1-RAND())^(1/Alpha)))))</f>
        <v>0</v>
      </c>
      <c r="Z478" s="19">
        <f ca="1">IF(RAND()&lt;P_Zero,0,IF(RAND()&lt;CondReturn,_xlfn.LOGNORM.INV(RAND(),MV2,Sigma1),IF(RAND()&lt;CondGood,_xlfn.LOGNORM.INV(RAND(),MV3,Sigma2),MIN(MaxMultiple,Xm/(1-RAND())^(1/Alpha)))))</f>
        <v>0</v>
      </c>
      <c r="AA478" s="19">
        <f ca="1">IF(RAND()&lt;P_Zero,0,IF(RAND()&lt;CondReturn,_xlfn.LOGNORM.INV(RAND(),MV2,Sigma1),IF(RAND()&lt;CondGood,_xlfn.LOGNORM.INV(RAND(),MV3,Sigma2),MIN(MaxMultiple,Xm/(1-RAND())^(1/Alpha)))))</f>
        <v>1.3142072380437633</v>
      </c>
      <c r="AB478" s="19">
        <f t="shared" ca="1" si="56"/>
        <v>1.3566834632153664</v>
      </c>
      <c r="AC478" s="14">
        <f t="shared" ca="1" si="57"/>
        <v>65120806.234337583</v>
      </c>
      <c r="AD478" s="14">
        <f t="shared" ca="1" si="58"/>
        <v>17120806.234337583</v>
      </c>
      <c r="AE478" s="14">
        <f t="shared" si="59"/>
        <v>55628399.869093813</v>
      </c>
      <c r="AF478" s="14">
        <f t="shared" ca="1" si="60"/>
        <v>0</v>
      </c>
      <c r="AG478" s="14">
        <f t="shared" ca="1" si="61"/>
        <v>0</v>
      </c>
      <c r="AH478" s="14">
        <f t="shared" ca="1" si="62"/>
        <v>65120806.234337583</v>
      </c>
      <c r="AI478" s="19">
        <f t="shared" ca="1" si="63"/>
        <v>1.085346770572293</v>
      </c>
    </row>
    <row r="479" spans="2:35" x14ac:dyDescent="0.2">
      <c r="B479" s="1">
        <v>474</v>
      </c>
      <c r="C479" s="19">
        <f ca="1">IF(RAND()&lt;P_Zero,0,IF(RAND()&lt;CondReturn,_xlfn.LOGNORM.INV(RAND(),MV2,Sigma1),IF(RAND()&lt;CondGood,_xlfn.LOGNORM.INV(RAND(),MV3,Sigma2),MIN(MaxMultiple,Xm/(1-RAND())^(1/Alpha)))))</f>
        <v>0</v>
      </c>
      <c r="D479" s="19">
        <f ca="1">IF(RAND()&lt;P_Zero,0,IF(RAND()&lt;CondReturn,_xlfn.LOGNORM.INV(RAND(),MV2,Sigma1),IF(RAND()&lt;CondGood,_xlfn.LOGNORM.INV(RAND(),MV3,Sigma2),MIN(MaxMultiple,Xm/(1-RAND())^(1/Alpha)))))</f>
        <v>0</v>
      </c>
      <c r="E479" s="19">
        <f ca="1">IF(RAND()&lt;P_Zero,0,IF(RAND()&lt;CondReturn,_xlfn.LOGNORM.INV(RAND(),MV2,Sigma1),IF(RAND()&lt;CondGood,_xlfn.LOGNORM.INV(RAND(),MV3,Sigma2),MIN(MaxMultiple,Xm/(1-RAND())^(1/Alpha)))))</f>
        <v>0</v>
      </c>
      <c r="F479" s="19">
        <f ca="1">IF(RAND()&lt;P_Zero,0,IF(RAND()&lt;CondReturn,_xlfn.LOGNORM.INV(RAND(),MV2,Sigma1),IF(RAND()&lt;CondGood,_xlfn.LOGNORM.INV(RAND(),MV3,Sigma2),MIN(MaxMultiple,Xm/(1-RAND())^(1/Alpha)))))</f>
        <v>0</v>
      </c>
      <c r="G479" s="19">
        <f ca="1">IF(RAND()&lt;P_Zero,0,IF(RAND()&lt;CondReturn,_xlfn.LOGNORM.INV(RAND(),MV2,Sigma1),IF(RAND()&lt;CondGood,_xlfn.LOGNORM.INV(RAND(),MV3,Sigma2),MIN(MaxMultiple,Xm/(1-RAND())^(1/Alpha)))))</f>
        <v>0</v>
      </c>
      <c r="H479" s="19">
        <f ca="1">IF(RAND()&lt;P_Zero,0,IF(RAND()&lt;CondReturn,_xlfn.LOGNORM.INV(RAND(),MV2,Sigma1),IF(RAND()&lt;CondGood,_xlfn.LOGNORM.INV(RAND(),MV3,Sigma2),MIN(MaxMultiple,Xm/(1-RAND())^(1/Alpha)))))</f>
        <v>1.3229395957992052</v>
      </c>
      <c r="I479" s="19">
        <f ca="1">IF(RAND()&lt;P_Zero,0,IF(RAND()&lt;CondReturn,_xlfn.LOGNORM.INV(RAND(),MV2,Sigma1),IF(RAND()&lt;CondGood,_xlfn.LOGNORM.INV(RAND(),MV3,Sigma2),MIN(MaxMultiple,Xm/(1-RAND())^(1/Alpha)))))</f>
        <v>0.40538226581911524</v>
      </c>
      <c r="J479" s="19">
        <f ca="1">IF(RAND()&lt;P_Zero,0,IF(RAND()&lt;CondReturn,_xlfn.LOGNORM.INV(RAND(),MV2,Sigma1),IF(RAND()&lt;CondGood,_xlfn.LOGNORM.INV(RAND(),MV3,Sigma2),MIN(MaxMultiple,Xm/(1-RAND())^(1/Alpha)))))</f>
        <v>0</v>
      </c>
      <c r="K479" s="19">
        <f ca="1">IF(RAND()&lt;P_Zero,0,IF(RAND()&lt;CondReturn,_xlfn.LOGNORM.INV(RAND(),MV2,Sigma1),IF(RAND()&lt;CondGood,_xlfn.LOGNORM.INV(RAND(),MV3,Sigma2),MIN(MaxMultiple,Xm/(1-RAND())^(1/Alpha)))))</f>
        <v>0</v>
      </c>
      <c r="L479" s="19">
        <f ca="1">IF(RAND()&lt;P_Zero,0,IF(RAND()&lt;CondReturn,_xlfn.LOGNORM.INV(RAND(),MV2,Sigma1),IF(RAND()&lt;CondGood,_xlfn.LOGNORM.INV(RAND(),MV3,Sigma2),MIN(MaxMultiple,Xm/(1-RAND())^(1/Alpha)))))</f>
        <v>0</v>
      </c>
      <c r="M479" s="19">
        <f ca="1">IF(RAND()&lt;P_Zero,0,IF(RAND()&lt;CondReturn,_xlfn.LOGNORM.INV(RAND(),MV2,Sigma1),IF(RAND()&lt;CondGood,_xlfn.LOGNORM.INV(RAND(),MV3,Sigma2),MIN(MaxMultiple,Xm/(1-RAND())^(1/Alpha)))))</f>
        <v>0</v>
      </c>
      <c r="N479" s="19">
        <f ca="1">IF(RAND()&lt;P_Zero,0,IF(RAND()&lt;CondReturn,_xlfn.LOGNORM.INV(RAND(),MV2,Sigma1),IF(RAND()&lt;CondGood,_xlfn.LOGNORM.INV(RAND(),MV3,Sigma2),MIN(MaxMultiple,Xm/(1-RAND())^(1/Alpha)))))</f>
        <v>1.542546556385838</v>
      </c>
      <c r="O479" s="19">
        <f ca="1">IF(RAND()&lt;P_Zero,0,IF(RAND()&lt;CondReturn,_xlfn.LOGNORM.INV(RAND(),MV2,Sigma1),IF(RAND()&lt;CondGood,_xlfn.LOGNORM.INV(RAND(),MV3,Sigma2),MIN(MaxMultiple,Xm/(1-RAND())^(1/Alpha)))))</f>
        <v>1.8816294564198961</v>
      </c>
      <c r="P479" s="19">
        <f ca="1">IF(RAND()&lt;P_Zero,0,IF(RAND()&lt;CondReturn,_xlfn.LOGNORM.INV(RAND(),MV2,Sigma1),IF(RAND()&lt;CondGood,_xlfn.LOGNORM.INV(RAND(),MV3,Sigma2),MIN(MaxMultiple,Xm/(1-RAND())^(1/Alpha)))))</f>
        <v>0</v>
      </c>
      <c r="Q479" s="19">
        <f ca="1">IF(RAND()&lt;P_Zero,0,IF(RAND()&lt;CondReturn,_xlfn.LOGNORM.INV(RAND(),MV2,Sigma1),IF(RAND()&lt;CondGood,_xlfn.LOGNORM.INV(RAND(),MV3,Sigma2),MIN(MaxMultiple,Xm/(1-RAND())^(1/Alpha)))))</f>
        <v>2.0455845479235748</v>
      </c>
      <c r="R479" s="19">
        <f ca="1">IF(RAND()&lt;P_Zero,0,IF(RAND()&lt;CondReturn,_xlfn.LOGNORM.INV(RAND(),MV2,Sigma1),IF(RAND()&lt;CondGood,_xlfn.LOGNORM.INV(RAND(),MV3,Sigma2),MIN(MaxMultiple,Xm/(1-RAND())^(1/Alpha)))))</f>
        <v>0.40485919413124721</v>
      </c>
      <c r="S479" s="19">
        <f ca="1">IF(RAND()&lt;P_Zero,0,IF(RAND()&lt;CondReturn,_xlfn.LOGNORM.INV(RAND(),MV2,Sigma1),IF(RAND()&lt;CondGood,_xlfn.LOGNORM.INV(RAND(),MV3,Sigma2),MIN(MaxMultiple,Xm/(1-RAND())^(1/Alpha)))))</f>
        <v>0</v>
      </c>
      <c r="T479" s="19">
        <f ca="1">IF(RAND()&lt;P_Zero,0,IF(RAND()&lt;CondReturn,_xlfn.LOGNORM.INV(RAND(),MV2,Sigma1),IF(RAND()&lt;CondGood,_xlfn.LOGNORM.INV(RAND(),MV3,Sigma2),MIN(MaxMultiple,Xm/(1-RAND())^(1/Alpha)))))</f>
        <v>1.604640913256604</v>
      </c>
      <c r="U479" s="19">
        <f ca="1">IF(RAND()&lt;P_Zero,0,IF(RAND()&lt;CondReturn,_xlfn.LOGNORM.INV(RAND(),MV2,Sigma1),IF(RAND()&lt;CondGood,_xlfn.LOGNORM.INV(RAND(),MV3,Sigma2),MIN(MaxMultiple,Xm/(1-RAND())^(1/Alpha)))))</f>
        <v>15.827730531584757</v>
      </c>
      <c r="V479" s="19">
        <f ca="1">IF(RAND()&lt;P_Zero,0,IF(RAND()&lt;CondReturn,_xlfn.LOGNORM.INV(RAND(),MV2,Sigma1),IF(RAND()&lt;CondGood,_xlfn.LOGNORM.INV(RAND(),MV3,Sigma2),MIN(MaxMultiple,Xm/(1-RAND())^(1/Alpha)))))</f>
        <v>1.2861435887305672</v>
      </c>
      <c r="W479" s="19">
        <f ca="1">IF(RAND()&lt;P_Zero,0,IF(RAND()&lt;CondReturn,_xlfn.LOGNORM.INV(RAND(),MV2,Sigma1),IF(RAND()&lt;CondGood,_xlfn.LOGNORM.INV(RAND(),MV3,Sigma2),MIN(MaxMultiple,Xm/(1-RAND())^(1/Alpha)))))</f>
        <v>0.79774390194102673</v>
      </c>
      <c r="X479" s="19">
        <f ca="1">IF(RAND()&lt;P_Zero,0,IF(RAND()&lt;CondReturn,_xlfn.LOGNORM.INV(RAND(),MV2,Sigma1),IF(RAND()&lt;CondGood,_xlfn.LOGNORM.INV(RAND(),MV3,Sigma2),MIN(MaxMultiple,Xm/(1-RAND())^(1/Alpha)))))</f>
        <v>0</v>
      </c>
      <c r="Y479" s="19">
        <f ca="1">IF(RAND()&lt;P_Zero,0,IF(RAND()&lt;CondReturn,_xlfn.LOGNORM.INV(RAND(),MV2,Sigma1),IF(RAND()&lt;CondGood,_xlfn.LOGNORM.INV(RAND(),MV3,Sigma2),MIN(MaxMultiple,Xm/(1-RAND())^(1/Alpha)))))</f>
        <v>0</v>
      </c>
      <c r="Z479" s="19">
        <f ca="1">IF(RAND()&lt;P_Zero,0,IF(RAND()&lt;CondReturn,_xlfn.LOGNORM.INV(RAND(),MV2,Sigma1),IF(RAND()&lt;CondGood,_xlfn.LOGNORM.INV(RAND(),MV3,Sigma2),MIN(MaxMultiple,Xm/(1-RAND())^(1/Alpha)))))</f>
        <v>1.5613747661769017</v>
      </c>
      <c r="AA479" s="19">
        <f ca="1">IF(RAND()&lt;P_Zero,0,IF(RAND()&lt;CondReturn,_xlfn.LOGNORM.INV(RAND(),MV2,Sigma1),IF(RAND()&lt;CondGood,_xlfn.LOGNORM.INV(RAND(),MV3,Sigma2),MIN(MaxMultiple,Xm/(1-RAND())^(1/Alpha)))))</f>
        <v>0</v>
      </c>
      <c r="AB479" s="19">
        <f t="shared" ca="1" si="56"/>
        <v>1.1472230127267493</v>
      </c>
      <c r="AC479" s="14">
        <f t="shared" ca="1" si="57"/>
        <v>55066704.610883966</v>
      </c>
      <c r="AD479" s="14">
        <f t="shared" ca="1" si="58"/>
        <v>7066704.6108839661</v>
      </c>
      <c r="AE479" s="14">
        <f t="shared" si="59"/>
        <v>55628399.869093813</v>
      </c>
      <c r="AF479" s="14">
        <f t="shared" ca="1" si="60"/>
        <v>0</v>
      </c>
      <c r="AG479" s="14">
        <f t="shared" ca="1" si="61"/>
        <v>0</v>
      </c>
      <c r="AH479" s="14">
        <f t="shared" ca="1" si="62"/>
        <v>55066704.610883966</v>
      </c>
      <c r="AI479" s="19">
        <f t="shared" ca="1" si="63"/>
        <v>0.91777841018139938</v>
      </c>
    </row>
    <row r="480" spans="2:35" x14ac:dyDescent="0.2">
      <c r="B480" s="1">
        <v>475</v>
      </c>
      <c r="C480" s="19">
        <f ca="1">IF(RAND()&lt;P_Zero,0,IF(RAND()&lt;CondReturn,_xlfn.LOGNORM.INV(RAND(),MV2,Sigma1),IF(RAND()&lt;CondGood,_xlfn.LOGNORM.INV(RAND(),MV3,Sigma2),MIN(MaxMultiple,Xm/(1-RAND())^(1/Alpha)))))</f>
        <v>155.43414973510988</v>
      </c>
      <c r="D480" s="19">
        <f ca="1">IF(RAND()&lt;P_Zero,0,IF(RAND()&lt;CondReturn,_xlfn.LOGNORM.INV(RAND(),MV2,Sigma1),IF(RAND()&lt;CondGood,_xlfn.LOGNORM.INV(RAND(),MV3,Sigma2),MIN(MaxMultiple,Xm/(1-RAND())^(1/Alpha)))))</f>
        <v>31.731342395714712</v>
      </c>
      <c r="E480" s="19">
        <f ca="1">IF(RAND()&lt;P_Zero,0,IF(RAND()&lt;CondReturn,_xlfn.LOGNORM.INV(RAND(),MV2,Sigma1),IF(RAND()&lt;CondGood,_xlfn.LOGNORM.INV(RAND(),MV3,Sigma2),MIN(MaxMultiple,Xm/(1-RAND())^(1/Alpha)))))</f>
        <v>0</v>
      </c>
      <c r="F480" s="19">
        <f ca="1">IF(RAND()&lt;P_Zero,0,IF(RAND()&lt;CondReturn,_xlfn.LOGNORM.INV(RAND(),MV2,Sigma1),IF(RAND()&lt;CondGood,_xlfn.LOGNORM.INV(RAND(),MV3,Sigma2),MIN(MaxMultiple,Xm/(1-RAND())^(1/Alpha)))))</f>
        <v>1.0364844746846695</v>
      </c>
      <c r="G480" s="19">
        <f ca="1">IF(RAND()&lt;P_Zero,0,IF(RAND()&lt;CondReturn,_xlfn.LOGNORM.INV(RAND(),MV2,Sigma1),IF(RAND()&lt;CondGood,_xlfn.LOGNORM.INV(RAND(),MV3,Sigma2),MIN(MaxMultiple,Xm/(1-RAND())^(1/Alpha)))))</f>
        <v>0</v>
      </c>
      <c r="H480" s="19">
        <f ca="1">IF(RAND()&lt;P_Zero,0,IF(RAND()&lt;CondReturn,_xlfn.LOGNORM.INV(RAND(),MV2,Sigma1),IF(RAND()&lt;CondGood,_xlfn.LOGNORM.INV(RAND(),MV3,Sigma2),MIN(MaxMultiple,Xm/(1-RAND())^(1/Alpha)))))</f>
        <v>0.98221696129323588</v>
      </c>
      <c r="I480" s="19">
        <f ca="1">IF(RAND()&lt;P_Zero,0,IF(RAND()&lt;CondReturn,_xlfn.LOGNORM.INV(RAND(),MV2,Sigma1),IF(RAND()&lt;CondGood,_xlfn.LOGNORM.INV(RAND(),MV3,Sigma2),MIN(MaxMultiple,Xm/(1-RAND())^(1/Alpha)))))</f>
        <v>0.90058641582361731</v>
      </c>
      <c r="J480" s="19">
        <f ca="1">IF(RAND()&lt;P_Zero,0,IF(RAND()&lt;CondReturn,_xlfn.LOGNORM.INV(RAND(),MV2,Sigma1),IF(RAND()&lt;CondGood,_xlfn.LOGNORM.INV(RAND(),MV3,Sigma2),MIN(MaxMultiple,Xm/(1-RAND())^(1/Alpha)))))</f>
        <v>0.98661666840797491</v>
      </c>
      <c r="K480" s="19">
        <f ca="1">IF(RAND()&lt;P_Zero,0,IF(RAND()&lt;CondReturn,_xlfn.LOGNORM.INV(RAND(),MV2,Sigma1),IF(RAND()&lt;CondGood,_xlfn.LOGNORM.INV(RAND(),MV3,Sigma2),MIN(MaxMultiple,Xm/(1-RAND())^(1/Alpha)))))</f>
        <v>0</v>
      </c>
      <c r="L480" s="19">
        <f ca="1">IF(RAND()&lt;P_Zero,0,IF(RAND()&lt;CondReturn,_xlfn.LOGNORM.INV(RAND(),MV2,Sigma1),IF(RAND()&lt;CondGood,_xlfn.LOGNORM.INV(RAND(),MV3,Sigma2),MIN(MaxMultiple,Xm/(1-RAND())^(1/Alpha)))))</f>
        <v>0.80305056163417476</v>
      </c>
      <c r="M480" s="19">
        <f ca="1">IF(RAND()&lt;P_Zero,0,IF(RAND()&lt;CondReturn,_xlfn.LOGNORM.INV(RAND(),MV2,Sigma1),IF(RAND()&lt;CondGood,_xlfn.LOGNORM.INV(RAND(),MV3,Sigma2),MIN(MaxMultiple,Xm/(1-RAND())^(1/Alpha)))))</f>
        <v>0</v>
      </c>
      <c r="N480" s="19">
        <f ca="1">IF(RAND()&lt;P_Zero,0,IF(RAND()&lt;CondReturn,_xlfn.LOGNORM.INV(RAND(),MV2,Sigma1),IF(RAND()&lt;CondGood,_xlfn.LOGNORM.INV(RAND(),MV3,Sigma2),MIN(MaxMultiple,Xm/(1-RAND())^(1/Alpha)))))</f>
        <v>0</v>
      </c>
      <c r="O480" s="19">
        <f ca="1">IF(RAND()&lt;P_Zero,0,IF(RAND()&lt;CondReturn,_xlfn.LOGNORM.INV(RAND(),MV2,Sigma1),IF(RAND()&lt;CondGood,_xlfn.LOGNORM.INV(RAND(),MV3,Sigma2),MIN(MaxMultiple,Xm/(1-RAND())^(1/Alpha)))))</f>
        <v>0</v>
      </c>
      <c r="P480" s="19">
        <f ca="1">IF(RAND()&lt;P_Zero,0,IF(RAND()&lt;CondReturn,_xlfn.LOGNORM.INV(RAND(),MV2,Sigma1),IF(RAND()&lt;CondGood,_xlfn.LOGNORM.INV(RAND(),MV3,Sigma2),MIN(MaxMultiple,Xm/(1-RAND())^(1/Alpha)))))</f>
        <v>1.4653065468498805</v>
      </c>
      <c r="Q480" s="19">
        <f ca="1">IF(RAND()&lt;P_Zero,0,IF(RAND()&lt;CondReturn,_xlfn.LOGNORM.INV(RAND(),MV2,Sigma1),IF(RAND()&lt;CondGood,_xlfn.LOGNORM.INV(RAND(),MV3,Sigma2),MIN(MaxMultiple,Xm/(1-RAND())^(1/Alpha)))))</f>
        <v>0</v>
      </c>
      <c r="R480" s="19">
        <f ca="1">IF(RAND()&lt;P_Zero,0,IF(RAND()&lt;CondReturn,_xlfn.LOGNORM.INV(RAND(),MV2,Sigma1),IF(RAND()&lt;CondGood,_xlfn.LOGNORM.INV(RAND(),MV3,Sigma2),MIN(MaxMultiple,Xm/(1-RAND())^(1/Alpha)))))</f>
        <v>0.39947146730233302</v>
      </c>
      <c r="S480" s="19">
        <f ca="1">IF(RAND()&lt;P_Zero,0,IF(RAND()&lt;CondReturn,_xlfn.LOGNORM.INV(RAND(),MV2,Sigma1),IF(RAND()&lt;CondGood,_xlfn.LOGNORM.INV(RAND(),MV3,Sigma2),MIN(MaxMultiple,Xm/(1-RAND())^(1/Alpha)))))</f>
        <v>1.652896448670615</v>
      </c>
      <c r="T480" s="19">
        <f ca="1">IF(RAND()&lt;P_Zero,0,IF(RAND()&lt;CondReturn,_xlfn.LOGNORM.INV(RAND(),MV2,Sigma1),IF(RAND()&lt;CondGood,_xlfn.LOGNORM.INV(RAND(),MV3,Sigma2),MIN(MaxMultiple,Xm/(1-RAND())^(1/Alpha)))))</f>
        <v>1.2446992198963824</v>
      </c>
      <c r="U480" s="19">
        <f ca="1">IF(RAND()&lt;P_Zero,0,IF(RAND()&lt;CondReturn,_xlfn.LOGNORM.INV(RAND(),MV2,Sigma1),IF(RAND()&lt;CondGood,_xlfn.LOGNORM.INV(RAND(),MV3,Sigma2),MIN(MaxMultiple,Xm/(1-RAND())^(1/Alpha)))))</f>
        <v>0.70401871338311428</v>
      </c>
      <c r="V480" s="19">
        <f ca="1">IF(RAND()&lt;P_Zero,0,IF(RAND()&lt;CondReturn,_xlfn.LOGNORM.INV(RAND(),MV2,Sigma1),IF(RAND()&lt;CondGood,_xlfn.LOGNORM.INV(RAND(),MV3,Sigma2),MIN(MaxMultiple,Xm/(1-RAND())^(1/Alpha)))))</f>
        <v>51.594817211360208</v>
      </c>
      <c r="W480" s="19">
        <f ca="1">IF(RAND()&lt;P_Zero,0,IF(RAND()&lt;CondReturn,_xlfn.LOGNORM.INV(RAND(),MV2,Sigma1),IF(RAND()&lt;CondGood,_xlfn.LOGNORM.INV(RAND(),MV3,Sigma2),MIN(MaxMultiple,Xm/(1-RAND())^(1/Alpha)))))</f>
        <v>0</v>
      </c>
      <c r="X480" s="19">
        <f ca="1">IF(RAND()&lt;P_Zero,0,IF(RAND()&lt;CondReturn,_xlfn.LOGNORM.INV(RAND(),MV2,Sigma1),IF(RAND()&lt;CondGood,_xlfn.LOGNORM.INV(RAND(),MV3,Sigma2),MIN(MaxMultiple,Xm/(1-RAND())^(1/Alpha)))))</f>
        <v>1.2577027710411359</v>
      </c>
      <c r="Y480" s="19">
        <f ca="1">IF(RAND()&lt;P_Zero,0,IF(RAND()&lt;CondReturn,_xlfn.LOGNORM.INV(RAND(),MV2,Sigma1),IF(RAND()&lt;CondGood,_xlfn.LOGNORM.INV(RAND(),MV3,Sigma2),MIN(MaxMultiple,Xm/(1-RAND())^(1/Alpha)))))</f>
        <v>1.4216763184302181</v>
      </c>
      <c r="Z480" s="19">
        <f ca="1">IF(RAND()&lt;P_Zero,0,IF(RAND()&lt;CondReturn,_xlfn.LOGNORM.INV(RAND(),MV2,Sigma1),IF(RAND()&lt;CondGood,_xlfn.LOGNORM.INV(RAND(),MV3,Sigma2),MIN(MaxMultiple,Xm/(1-RAND())^(1/Alpha)))))</f>
        <v>0</v>
      </c>
      <c r="AA480" s="19">
        <f ca="1">IF(RAND()&lt;P_Zero,0,IF(RAND()&lt;CondReturn,_xlfn.LOGNORM.INV(RAND(),MV2,Sigma1),IF(RAND()&lt;CondGood,_xlfn.LOGNORM.INV(RAND(),MV3,Sigma2),MIN(MaxMultiple,Xm/(1-RAND())^(1/Alpha)))))</f>
        <v>0.3334968855007408</v>
      </c>
      <c r="AB480" s="19">
        <f t="shared" ca="1" si="56"/>
        <v>10.077941311804116</v>
      </c>
      <c r="AC480" s="14">
        <f t="shared" ca="1" si="57"/>
        <v>483741182.96659756</v>
      </c>
      <c r="AD480" s="14">
        <f t="shared" ca="1" si="58"/>
        <v>435741182.96659756</v>
      </c>
      <c r="AE480" s="14">
        <f t="shared" si="59"/>
        <v>55628399.869093813</v>
      </c>
      <c r="AF480" s="14">
        <f t="shared" ca="1" si="60"/>
        <v>380112783.09750372</v>
      </c>
      <c r="AG480" s="14">
        <f t="shared" ca="1" si="61"/>
        <v>76022556.619500741</v>
      </c>
      <c r="AH480" s="14">
        <f t="shared" ca="1" si="62"/>
        <v>407718626.3470968</v>
      </c>
      <c r="AI480" s="19">
        <f t="shared" ca="1" si="63"/>
        <v>6.7953104391182801</v>
      </c>
    </row>
    <row r="481" spans="2:35" x14ac:dyDescent="0.2">
      <c r="B481" s="1">
        <v>476</v>
      </c>
      <c r="C481" s="19">
        <f ca="1">IF(RAND()&lt;P_Zero,0,IF(RAND()&lt;CondReturn,_xlfn.LOGNORM.INV(RAND(),MV2,Sigma1),IF(RAND()&lt;CondGood,_xlfn.LOGNORM.INV(RAND(),MV3,Sigma2),MIN(MaxMultiple,Xm/(1-RAND())^(1/Alpha)))))</f>
        <v>1.4160378003099079</v>
      </c>
      <c r="D481" s="19">
        <f ca="1">IF(RAND()&lt;P_Zero,0,IF(RAND()&lt;CondReturn,_xlfn.LOGNORM.INV(RAND(),MV2,Sigma1),IF(RAND()&lt;CondGood,_xlfn.LOGNORM.INV(RAND(),MV3,Sigma2),MIN(MaxMultiple,Xm/(1-RAND())^(1/Alpha)))))</f>
        <v>0</v>
      </c>
      <c r="E481" s="19">
        <f ca="1">IF(RAND()&lt;P_Zero,0,IF(RAND()&lt;CondReturn,_xlfn.LOGNORM.INV(RAND(),MV2,Sigma1),IF(RAND()&lt;CondGood,_xlfn.LOGNORM.INV(RAND(),MV3,Sigma2),MIN(MaxMultiple,Xm/(1-RAND())^(1/Alpha)))))</f>
        <v>2.0158205163828602</v>
      </c>
      <c r="F481" s="19">
        <f ca="1">IF(RAND()&lt;P_Zero,0,IF(RAND()&lt;CondReturn,_xlfn.LOGNORM.INV(RAND(),MV2,Sigma1),IF(RAND()&lt;CondGood,_xlfn.LOGNORM.INV(RAND(),MV3,Sigma2),MIN(MaxMultiple,Xm/(1-RAND())^(1/Alpha)))))</f>
        <v>0</v>
      </c>
      <c r="G481" s="19">
        <f ca="1">IF(RAND()&lt;P_Zero,0,IF(RAND()&lt;CondReturn,_xlfn.LOGNORM.INV(RAND(),MV2,Sigma1),IF(RAND()&lt;CondGood,_xlfn.LOGNORM.INV(RAND(),MV3,Sigma2),MIN(MaxMultiple,Xm/(1-RAND())^(1/Alpha)))))</f>
        <v>0.45826488021510531</v>
      </c>
      <c r="H481" s="19">
        <f ca="1">IF(RAND()&lt;P_Zero,0,IF(RAND()&lt;CondReturn,_xlfn.LOGNORM.INV(RAND(),MV2,Sigma1),IF(RAND()&lt;CondGood,_xlfn.LOGNORM.INV(RAND(),MV3,Sigma2),MIN(MaxMultiple,Xm/(1-RAND())^(1/Alpha)))))</f>
        <v>0.5443631835058077</v>
      </c>
      <c r="I481" s="19">
        <f ca="1">IF(RAND()&lt;P_Zero,0,IF(RAND()&lt;CondReturn,_xlfn.LOGNORM.INV(RAND(),MV2,Sigma1),IF(RAND()&lt;CondGood,_xlfn.LOGNORM.INV(RAND(),MV3,Sigma2),MIN(MaxMultiple,Xm/(1-RAND())^(1/Alpha)))))</f>
        <v>0</v>
      </c>
      <c r="J481" s="19">
        <f ca="1">IF(RAND()&lt;P_Zero,0,IF(RAND()&lt;CondReturn,_xlfn.LOGNORM.INV(RAND(),MV2,Sigma1),IF(RAND()&lt;CondGood,_xlfn.LOGNORM.INV(RAND(),MV3,Sigma2),MIN(MaxMultiple,Xm/(1-RAND())^(1/Alpha)))))</f>
        <v>0</v>
      </c>
      <c r="K481" s="19">
        <f ca="1">IF(RAND()&lt;P_Zero,0,IF(RAND()&lt;CondReturn,_xlfn.LOGNORM.INV(RAND(),MV2,Sigma1),IF(RAND()&lt;CondGood,_xlfn.LOGNORM.INV(RAND(),MV3,Sigma2),MIN(MaxMultiple,Xm/(1-RAND())^(1/Alpha)))))</f>
        <v>300</v>
      </c>
      <c r="L481" s="19">
        <f ca="1">IF(RAND()&lt;P_Zero,0,IF(RAND()&lt;CondReturn,_xlfn.LOGNORM.INV(RAND(),MV2,Sigma1),IF(RAND()&lt;CondGood,_xlfn.LOGNORM.INV(RAND(),MV3,Sigma2),MIN(MaxMultiple,Xm/(1-RAND())^(1/Alpha)))))</f>
        <v>0</v>
      </c>
      <c r="M481" s="19">
        <f ca="1">IF(RAND()&lt;P_Zero,0,IF(RAND()&lt;CondReturn,_xlfn.LOGNORM.INV(RAND(),MV2,Sigma1),IF(RAND()&lt;CondGood,_xlfn.LOGNORM.INV(RAND(),MV3,Sigma2),MIN(MaxMultiple,Xm/(1-RAND())^(1/Alpha)))))</f>
        <v>0</v>
      </c>
      <c r="N481" s="19">
        <f ca="1">IF(RAND()&lt;P_Zero,0,IF(RAND()&lt;CondReturn,_xlfn.LOGNORM.INV(RAND(),MV2,Sigma1),IF(RAND()&lt;CondGood,_xlfn.LOGNORM.INV(RAND(),MV3,Sigma2),MIN(MaxMultiple,Xm/(1-RAND())^(1/Alpha)))))</f>
        <v>0</v>
      </c>
      <c r="O481" s="19">
        <f ca="1">IF(RAND()&lt;P_Zero,0,IF(RAND()&lt;CondReturn,_xlfn.LOGNORM.INV(RAND(),MV2,Sigma1),IF(RAND()&lt;CondGood,_xlfn.LOGNORM.INV(RAND(),MV3,Sigma2),MIN(MaxMultiple,Xm/(1-RAND())^(1/Alpha)))))</f>
        <v>0</v>
      </c>
      <c r="P481" s="19">
        <f ca="1">IF(RAND()&lt;P_Zero,0,IF(RAND()&lt;CondReturn,_xlfn.LOGNORM.INV(RAND(),MV2,Sigma1),IF(RAND()&lt;CondGood,_xlfn.LOGNORM.INV(RAND(),MV3,Sigma2),MIN(MaxMultiple,Xm/(1-RAND())^(1/Alpha)))))</f>
        <v>1.3425100642051184</v>
      </c>
      <c r="Q481" s="19">
        <f ca="1">IF(RAND()&lt;P_Zero,0,IF(RAND()&lt;CondReturn,_xlfn.LOGNORM.INV(RAND(),MV2,Sigma1),IF(RAND()&lt;CondGood,_xlfn.LOGNORM.INV(RAND(),MV3,Sigma2),MIN(MaxMultiple,Xm/(1-RAND())^(1/Alpha)))))</f>
        <v>0.99800295127100114</v>
      </c>
      <c r="R481" s="19">
        <f ca="1">IF(RAND()&lt;P_Zero,0,IF(RAND()&lt;CondReturn,_xlfn.LOGNORM.INV(RAND(),MV2,Sigma1),IF(RAND()&lt;CondGood,_xlfn.LOGNORM.INV(RAND(),MV3,Sigma2),MIN(MaxMultiple,Xm/(1-RAND())^(1/Alpha)))))</f>
        <v>0.54677753632750059</v>
      </c>
      <c r="S481" s="19">
        <f ca="1">IF(RAND()&lt;P_Zero,0,IF(RAND()&lt;CondReturn,_xlfn.LOGNORM.INV(RAND(),MV2,Sigma1),IF(RAND()&lt;CondGood,_xlfn.LOGNORM.INV(RAND(),MV3,Sigma2),MIN(MaxMultiple,Xm/(1-RAND())^(1/Alpha)))))</f>
        <v>1.5865700325681746</v>
      </c>
      <c r="T481" s="19">
        <f ca="1">IF(RAND()&lt;P_Zero,0,IF(RAND()&lt;CondReturn,_xlfn.LOGNORM.INV(RAND(),MV2,Sigma1),IF(RAND()&lt;CondGood,_xlfn.LOGNORM.INV(RAND(),MV3,Sigma2),MIN(MaxMultiple,Xm/(1-RAND())^(1/Alpha)))))</f>
        <v>0</v>
      </c>
      <c r="U481" s="19">
        <f ca="1">IF(RAND()&lt;P_Zero,0,IF(RAND()&lt;CondReturn,_xlfn.LOGNORM.INV(RAND(),MV2,Sigma1),IF(RAND()&lt;CondGood,_xlfn.LOGNORM.INV(RAND(),MV3,Sigma2),MIN(MaxMultiple,Xm/(1-RAND())^(1/Alpha)))))</f>
        <v>0.65638266186416627</v>
      </c>
      <c r="V481" s="19">
        <f ca="1">IF(RAND()&lt;P_Zero,0,IF(RAND()&lt;CondReturn,_xlfn.LOGNORM.INV(RAND(),MV2,Sigma1),IF(RAND()&lt;CondGood,_xlfn.LOGNORM.INV(RAND(),MV3,Sigma2),MIN(MaxMultiple,Xm/(1-RAND())^(1/Alpha)))))</f>
        <v>0</v>
      </c>
      <c r="W481" s="19">
        <f ca="1">IF(RAND()&lt;P_Zero,0,IF(RAND()&lt;CondReturn,_xlfn.LOGNORM.INV(RAND(),MV2,Sigma1),IF(RAND()&lt;CondGood,_xlfn.LOGNORM.INV(RAND(),MV3,Sigma2),MIN(MaxMultiple,Xm/(1-RAND())^(1/Alpha)))))</f>
        <v>0</v>
      </c>
      <c r="X481" s="19">
        <f ca="1">IF(RAND()&lt;P_Zero,0,IF(RAND()&lt;CondReturn,_xlfn.LOGNORM.INV(RAND(),MV2,Sigma1),IF(RAND()&lt;CondGood,_xlfn.LOGNORM.INV(RAND(),MV3,Sigma2),MIN(MaxMultiple,Xm/(1-RAND())^(1/Alpha)))))</f>
        <v>0.61404739566453814</v>
      </c>
      <c r="Y481" s="19">
        <f ca="1">IF(RAND()&lt;P_Zero,0,IF(RAND()&lt;CondReturn,_xlfn.LOGNORM.INV(RAND(),MV2,Sigma1),IF(RAND()&lt;CondGood,_xlfn.LOGNORM.INV(RAND(),MV3,Sigma2),MIN(MaxMultiple,Xm/(1-RAND())^(1/Alpha)))))</f>
        <v>0.47683015689858488</v>
      </c>
      <c r="Z481" s="19">
        <f ca="1">IF(RAND()&lt;P_Zero,0,IF(RAND()&lt;CondReturn,_xlfn.LOGNORM.INV(RAND(),MV2,Sigma1),IF(RAND()&lt;CondGood,_xlfn.LOGNORM.INV(RAND(),MV3,Sigma2),MIN(MaxMultiple,Xm/(1-RAND())^(1/Alpha)))))</f>
        <v>0</v>
      </c>
      <c r="AA481" s="19">
        <f ca="1">IF(RAND()&lt;P_Zero,0,IF(RAND()&lt;CondReturn,_xlfn.LOGNORM.INV(RAND(),MV2,Sigma1),IF(RAND()&lt;CondGood,_xlfn.LOGNORM.INV(RAND(),MV3,Sigma2),MIN(MaxMultiple,Xm/(1-RAND())^(1/Alpha)))))</f>
        <v>0.98301078278063325</v>
      </c>
      <c r="AB481" s="19">
        <f t="shared" ca="1" si="56"/>
        <v>12.465544718479734</v>
      </c>
      <c r="AC481" s="14">
        <f t="shared" ca="1" si="57"/>
        <v>598346146.48702717</v>
      </c>
      <c r="AD481" s="14">
        <f t="shared" ca="1" si="58"/>
        <v>550346146.48702717</v>
      </c>
      <c r="AE481" s="14">
        <f t="shared" si="59"/>
        <v>55628399.869093813</v>
      </c>
      <c r="AF481" s="14">
        <f t="shared" ca="1" si="60"/>
        <v>494717746.61793333</v>
      </c>
      <c r="AG481" s="14">
        <f t="shared" ca="1" si="61"/>
        <v>98943549.323586673</v>
      </c>
      <c r="AH481" s="14">
        <f t="shared" ca="1" si="62"/>
        <v>499402597.16344047</v>
      </c>
      <c r="AI481" s="19">
        <f t="shared" ca="1" si="63"/>
        <v>8.3233766193906753</v>
      </c>
    </row>
    <row r="482" spans="2:35" x14ac:dyDescent="0.2">
      <c r="B482" s="1">
        <v>477</v>
      </c>
      <c r="C482" s="19">
        <f ca="1">IF(RAND()&lt;P_Zero,0,IF(RAND()&lt;CondReturn,_xlfn.LOGNORM.INV(RAND(),MV2,Sigma1),IF(RAND()&lt;CondGood,_xlfn.LOGNORM.INV(RAND(),MV3,Sigma2),MIN(MaxMultiple,Xm/(1-RAND())^(1/Alpha)))))</f>
        <v>1.9286391292180807</v>
      </c>
      <c r="D482" s="19">
        <f ca="1">IF(RAND()&lt;P_Zero,0,IF(RAND()&lt;CondReturn,_xlfn.LOGNORM.INV(RAND(),MV2,Sigma1),IF(RAND()&lt;CondGood,_xlfn.LOGNORM.INV(RAND(),MV3,Sigma2),MIN(MaxMultiple,Xm/(1-RAND())^(1/Alpha)))))</f>
        <v>0</v>
      </c>
      <c r="E482" s="19">
        <f ca="1">IF(RAND()&lt;P_Zero,0,IF(RAND()&lt;CondReturn,_xlfn.LOGNORM.INV(RAND(),MV2,Sigma1),IF(RAND()&lt;CondGood,_xlfn.LOGNORM.INV(RAND(),MV3,Sigma2),MIN(MaxMultiple,Xm/(1-RAND())^(1/Alpha)))))</f>
        <v>0</v>
      </c>
      <c r="F482" s="19">
        <f ca="1">IF(RAND()&lt;P_Zero,0,IF(RAND()&lt;CondReturn,_xlfn.LOGNORM.INV(RAND(),MV2,Sigma1),IF(RAND()&lt;CondGood,_xlfn.LOGNORM.INV(RAND(),MV3,Sigma2),MIN(MaxMultiple,Xm/(1-RAND())^(1/Alpha)))))</f>
        <v>0.93712862833001687</v>
      </c>
      <c r="G482" s="19">
        <f ca="1">IF(RAND()&lt;P_Zero,0,IF(RAND()&lt;CondReturn,_xlfn.LOGNORM.INV(RAND(),MV2,Sigma1),IF(RAND()&lt;CondGood,_xlfn.LOGNORM.INV(RAND(),MV3,Sigma2),MIN(MaxMultiple,Xm/(1-RAND())^(1/Alpha)))))</f>
        <v>0.9889312513320998</v>
      </c>
      <c r="H482" s="19">
        <f ca="1">IF(RAND()&lt;P_Zero,0,IF(RAND()&lt;CondReturn,_xlfn.LOGNORM.INV(RAND(),MV2,Sigma1),IF(RAND()&lt;CondGood,_xlfn.LOGNORM.INV(RAND(),MV3,Sigma2),MIN(MaxMultiple,Xm/(1-RAND())^(1/Alpha)))))</f>
        <v>0</v>
      </c>
      <c r="I482" s="19">
        <f ca="1">IF(RAND()&lt;P_Zero,0,IF(RAND()&lt;CondReturn,_xlfn.LOGNORM.INV(RAND(),MV2,Sigma1),IF(RAND()&lt;CondGood,_xlfn.LOGNORM.INV(RAND(),MV3,Sigma2),MIN(MaxMultiple,Xm/(1-RAND())^(1/Alpha)))))</f>
        <v>0</v>
      </c>
      <c r="J482" s="19">
        <f ca="1">IF(RAND()&lt;P_Zero,0,IF(RAND()&lt;CondReturn,_xlfn.LOGNORM.INV(RAND(),MV2,Sigma1),IF(RAND()&lt;CondGood,_xlfn.LOGNORM.INV(RAND(),MV3,Sigma2),MIN(MaxMultiple,Xm/(1-RAND())^(1/Alpha)))))</f>
        <v>0.98535624164179336</v>
      </c>
      <c r="K482" s="19">
        <f ca="1">IF(RAND()&lt;P_Zero,0,IF(RAND()&lt;CondReturn,_xlfn.LOGNORM.INV(RAND(),MV2,Sigma1),IF(RAND()&lt;CondGood,_xlfn.LOGNORM.INV(RAND(),MV3,Sigma2),MIN(MaxMultiple,Xm/(1-RAND())^(1/Alpha)))))</f>
        <v>0.65563694463620603</v>
      </c>
      <c r="L482" s="19">
        <f ca="1">IF(RAND()&lt;P_Zero,0,IF(RAND()&lt;CondReturn,_xlfn.LOGNORM.INV(RAND(),MV2,Sigma1),IF(RAND()&lt;CondGood,_xlfn.LOGNORM.INV(RAND(),MV3,Sigma2),MIN(MaxMultiple,Xm/(1-RAND())^(1/Alpha)))))</f>
        <v>0</v>
      </c>
      <c r="M482" s="19">
        <f ca="1">IF(RAND()&lt;P_Zero,0,IF(RAND()&lt;CondReturn,_xlfn.LOGNORM.INV(RAND(),MV2,Sigma1),IF(RAND()&lt;CondGood,_xlfn.LOGNORM.INV(RAND(),MV3,Sigma2),MIN(MaxMultiple,Xm/(1-RAND())^(1/Alpha)))))</f>
        <v>21.421368990706465</v>
      </c>
      <c r="N482" s="19">
        <f ca="1">IF(RAND()&lt;P_Zero,0,IF(RAND()&lt;CondReturn,_xlfn.LOGNORM.INV(RAND(),MV2,Sigma1),IF(RAND()&lt;CondGood,_xlfn.LOGNORM.INV(RAND(),MV3,Sigma2),MIN(MaxMultiple,Xm/(1-RAND())^(1/Alpha)))))</f>
        <v>0</v>
      </c>
      <c r="O482" s="19">
        <f ca="1">IF(RAND()&lt;P_Zero,0,IF(RAND()&lt;CondReturn,_xlfn.LOGNORM.INV(RAND(),MV2,Sigma1),IF(RAND()&lt;CondGood,_xlfn.LOGNORM.INV(RAND(),MV3,Sigma2),MIN(MaxMultiple,Xm/(1-RAND())^(1/Alpha)))))</f>
        <v>0.78164109354956213</v>
      </c>
      <c r="P482" s="19">
        <f ca="1">IF(RAND()&lt;P_Zero,0,IF(RAND()&lt;CondReturn,_xlfn.LOGNORM.INV(RAND(),MV2,Sigma1),IF(RAND()&lt;CondGood,_xlfn.LOGNORM.INV(RAND(),MV3,Sigma2),MIN(MaxMultiple,Xm/(1-RAND())^(1/Alpha)))))</f>
        <v>0</v>
      </c>
      <c r="Q482" s="19">
        <f ca="1">IF(RAND()&lt;P_Zero,0,IF(RAND()&lt;CondReturn,_xlfn.LOGNORM.INV(RAND(),MV2,Sigma1),IF(RAND()&lt;CondGood,_xlfn.LOGNORM.INV(RAND(),MV3,Sigma2),MIN(MaxMultiple,Xm/(1-RAND())^(1/Alpha)))))</f>
        <v>15.822289782513289</v>
      </c>
      <c r="R482" s="19">
        <f ca="1">IF(RAND()&lt;P_Zero,0,IF(RAND()&lt;CondReturn,_xlfn.LOGNORM.INV(RAND(),MV2,Sigma1),IF(RAND()&lt;CondGood,_xlfn.LOGNORM.INV(RAND(),MV3,Sigma2),MIN(MaxMultiple,Xm/(1-RAND())^(1/Alpha)))))</f>
        <v>0.76509016576481848</v>
      </c>
      <c r="S482" s="19">
        <f ca="1">IF(RAND()&lt;P_Zero,0,IF(RAND()&lt;CondReturn,_xlfn.LOGNORM.INV(RAND(),MV2,Sigma1),IF(RAND()&lt;CondGood,_xlfn.LOGNORM.INV(RAND(),MV3,Sigma2),MIN(MaxMultiple,Xm/(1-RAND())^(1/Alpha)))))</f>
        <v>0.98587829799275573</v>
      </c>
      <c r="T482" s="19">
        <f ca="1">IF(RAND()&lt;P_Zero,0,IF(RAND()&lt;CondReturn,_xlfn.LOGNORM.INV(RAND(),MV2,Sigma1),IF(RAND()&lt;CondGood,_xlfn.LOGNORM.INV(RAND(),MV3,Sigma2),MIN(MaxMultiple,Xm/(1-RAND())^(1/Alpha)))))</f>
        <v>1.0178251242965766</v>
      </c>
      <c r="U482" s="19">
        <f ca="1">IF(RAND()&lt;P_Zero,0,IF(RAND()&lt;CondReturn,_xlfn.LOGNORM.INV(RAND(),MV2,Sigma1),IF(RAND()&lt;CondGood,_xlfn.LOGNORM.INV(RAND(),MV3,Sigma2),MIN(MaxMultiple,Xm/(1-RAND())^(1/Alpha)))))</f>
        <v>0.76136835134520853</v>
      </c>
      <c r="V482" s="19">
        <f ca="1">IF(RAND()&lt;P_Zero,0,IF(RAND()&lt;CondReturn,_xlfn.LOGNORM.INV(RAND(),MV2,Sigma1),IF(RAND()&lt;CondGood,_xlfn.LOGNORM.INV(RAND(),MV3,Sigma2),MIN(MaxMultiple,Xm/(1-RAND())^(1/Alpha)))))</f>
        <v>1.1628208306980015</v>
      </c>
      <c r="W482" s="19">
        <f ca="1">IF(RAND()&lt;P_Zero,0,IF(RAND()&lt;CondReturn,_xlfn.LOGNORM.INV(RAND(),MV2,Sigma1),IF(RAND()&lt;CondGood,_xlfn.LOGNORM.INV(RAND(),MV3,Sigma2),MIN(MaxMultiple,Xm/(1-RAND())^(1/Alpha)))))</f>
        <v>0</v>
      </c>
      <c r="X482" s="19">
        <f ca="1">IF(RAND()&lt;P_Zero,0,IF(RAND()&lt;CondReturn,_xlfn.LOGNORM.INV(RAND(),MV2,Sigma1),IF(RAND()&lt;CondGood,_xlfn.LOGNORM.INV(RAND(),MV3,Sigma2),MIN(MaxMultiple,Xm/(1-RAND())^(1/Alpha)))))</f>
        <v>22.637315083623829</v>
      </c>
      <c r="Y482" s="19">
        <f ca="1">IF(RAND()&lt;P_Zero,0,IF(RAND()&lt;CondReturn,_xlfn.LOGNORM.INV(RAND(),MV2,Sigma1),IF(RAND()&lt;CondGood,_xlfn.LOGNORM.INV(RAND(),MV3,Sigma2),MIN(MaxMultiple,Xm/(1-RAND())^(1/Alpha)))))</f>
        <v>0</v>
      </c>
      <c r="Z482" s="19">
        <f ca="1">IF(RAND()&lt;P_Zero,0,IF(RAND()&lt;CondReturn,_xlfn.LOGNORM.INV(RAND(),MV2,Sigma1),IF(RAND()&lt;CondGood,_xlfn.LOGNORM.INV(RAND(),MV3,Sigma2),MIN(MaxMultiple,Xm/(1-RAND())^(1/Alpha)))))</f>
        <v>0.92813283183206519</v>
      </c>
      <c r="AA482" s="19">
        <f ca="1">IF(RAND()&lt;P_Zero,0,IF(RAND()&lt;CondReturn,_xlfn.LOGNORM.INV(RAND(),MV2,Sigma1),IF(RAND()&lt;CondGood,_xlfn.LOGNORM.INV(RAND(),MV3,Sigma2),MIN(MaxMultiple,Xm/(1-RAND())^(1/Alpha)))))</f>
        <v>1.8973692271869314</v>
      </c>
      <c r="AB482" s="19">
        <f t="shared" ca="1" si="56"/>
        <v>2.947071678986708</v>
      </c>
      <c r="AC482" s="14">
        <f t="shared" ca="1" si="57"/>
        <v>141459440.59136197</v>
      </c>
      <c r="AD482" s="14">
        <f t="shared" ca="1" si="58"/>
        <v>93459440.59136197</v>
      </c>
      <c r="AE482" s="14">
        <f t="shared" si="59"/>
        <v>55628399.869093813</v>
      </c>
      <c r="AF482" s="14">
        <f t="shared" ca="1" si="60"/>
        <v>37831040.722268157</v>
      </c>
      <c r="AG482" s="14">
        <f t="shared" ca="1" si="61"/>
        <v>7566208.1444536317</v>
      </c>
      <c r="AH482" s="14">
        <f t="shared" ca="1" si="62"/>
        <v>133893232.44690834</v>
      </c>
      <c r="AI482" s="19">
        <f t="shared" ca="1" si="63"/>
        <v>2.2315538741151388</v>
      </c>
    </row>
    <row r="483" spans="2:35" x14ac:dyDescent="0.2">
      <c r="B483" s="1">
        <v>478</v>
      </c>
      <c r="C483" s="19">
        <f ca="1">IF(RAND()&lt;P_Zero,0,IF(RAND()&lt;CondReturn,_xlfn.LOGNORM.INV(RAND(),MV2,Sigma1),IF(RAND()&lt;CondGood,_xlfn.LOGNORM.INV(RAND(),MV3,Sigma2),MIN(MaxMultiple,Xm/(1-RAND())^(1/Alpha)))))</f>
        <v>0.9782275833297529</v>
      </c>
      <c r="D483" s="19">
        <f ca="1">IF(RAND()&lt;P_Zero,0,IF(RAND()&lt;CondReturn,_xlfn.LOGNORM.INV(RAND(),MV2,Sigma1),IF(RAND()&lt;CondGood,_xlfn.LOGNORM.INV(RAND(),MV3,Sigma2),MIN(MaxMultiple,Xm/(1-RAND())^(1/Alpha)))))</f>
        <v>1.377623980311564</v>
      </c>
      <c r="E483" s="19">
        <f ca="1">IF(RAND()&lt;P_Zero,0,IF(RAND()&lt;CondReturn,_xlfn.LOGNORM.INV(RAND(),MV2,Sigma1),IF(RAND()&lt;CondGood,_xlfn.LOGNORM.INV(RAND(),MV3,Sigma2),MIN(MaxMultiple,Xm/(1-RAND())^(1/Alpha)))))</f>
        <v>19.609269379567916</v>
      </c>
      <c r="F483" s="19">
        <f ca="1">IF(RAND()&lt;P_Zero,0,IF(RAND()&lt;CondReturn,_xlfn.LOGNORM.INV(RAND(),MV2,Sigma1),IF(RAND()&lt;CondGood,_xlfn.LOGNORM.INV(RAND(),MV3,Sigma2),MIN(MaxMultiple,Xm/(1-RAND())^(1/Alpha)))))</f>
        <v>0</v>
      </c>
      <c r="G483" s="19">
        <f ca="1">IF(RAND()&lt;P_Zero,0,IF(RAND()&lt;CondReturn,_xlfn.LOGNORM.INV(RAND(),MV2,Sigma1),IF(RAND()&lt;CondGood,_xlfn.LOGNORM.INV(RAND(),MV3,Sigma2),MIN(MaxMultiple,Xm/(1-RAND())^(1/Alpha)))))</f>
        <v>1.7036543673892102</v>
      </c>
      <c r="H483" s="19">
        <f ca="1">IF(RAND()&lt;P_Zero,0,IF(RAND()&lt;CondReturn,_xlfn.LOGNORM.INV(RAND(),MV2,Sigma1),IF(RAND()&lt;CondGood,_xlfn.LOGNORM.INV(RAND(),MV3,Sigma2),MIN(MaxMultiple,Xm/(1-RAND())^(1/Alpha)))))</f>
        <v>0.76035009269252019</v>
      </c>
      <c r="I483" s="19">
        <f ca="1">IF(RAND()&lt;P_Zero,0,IF(RAND()&lt;CondReturn,_xlfn.LOGNORM.INV(RAND(),MV2,Sigma1),IF(RAND()&lt;CondGood,_xlfn.LOGNORM.INV(RAND(),MV3,Sigma2),MIN(MaxMultiple,Xm/(1-RAND())^(1/Alpha)))))</f>
        <v>0</v>
      </c>
      <c r="J483" s="19">
        <f ca="1">IF(RAND()&lt;P_Zero,0,IF(RAND()&lt;CondReturn,_xlfn.LOGNORM.INV(RAND(),MV2,Sigma1),IF(RAND()&lt;CondGood,_xlfn.LOGNORM.INV(RAND(),MV3,Sigma2),MIN(MaxMultiple,Xm/(1-RAND())^(1/Alpha)))))</f>
        <v>0.70796915895228307</v>
      </c>
      <c r="K483" s="19">
        <f ca="1">IF(RAND()&lt;P_Zero,0,IF(RAND()&lt;CondReturn,_xlfn.LOGNORM.INV(RAND(),MV2,Sigma1),IF(RAND()&lt;CondGood,_xlfn.LOGNORM.INV(RAND(),MV3,Sigma2),MIN(MaxMultiple,Xm/(1-RAND())^(1/Alpha)))))</f>
        <v>3.3948693644764587</v>
      </c>
      <c r="L483" s="19">
        <f ca="1">IF(RAND()&lt;P_Zero,0,IF(RAND()&lt;CondReturn,_xlfn.LOGNORM.INV(RAND(),MV2,Sigma1),IF(RAND()&lt;CondGood,_xlfn.LOGNORM.INV(RAND(),MV3,Sigma2),MIN(MaxMultiple,Xm/(1-RAND())^(1/Alpha)))))</f>
        <v>0.665202903513754</v>
      </c>
      <c r="M483" s="19">
        <f ca="1">IF(RAND()&lt;P_Zero,0,IF(RAND()&lt;CondReturn,_xlfn.LOGNORM.INV(RAND(),MV2,Sigma1),IF(RAND()&lt;CondGood,_xlfn.LOGNORM.INV(RAND(),MV3,Sigma2),MIN(MaxMultiple,Xm/(1-RAND())^(1/Alpha)))))</f>
        <v>1.2028545310152812</v>
      </c>
      <c r="N483" s="19">
        <f ca="1">IF(RAND()&lt;P_Zero,0,IF(RAND()&lt;CondReturn,_xlfn.LOGNORM.INV(RAND(),MV2,Sigma1),IF(RAND()&lt;CondGood,_xlfn.LOGNORM.INV(RAND(),MV3,Sigma2),MIN(MaxMultiple,Xm/(1-RAND())^(1/Alpha)))))</f>
        <v>0.54342588687670801</v>
      </c>
      <c r="O483" s="19">
        <f ca="1">IF(RAND()&lt;P_Zero,0,IF(RAND()&lt;CondReturn,_xlfn.LOGNORM.INV(RAND(),MV2,Sigma1),IF(RAND()&lt;CondGood,_xlfn.LOGNORM.INV(RAND(),MV3,Sigma2),MIN(MaxMultiple,Xm/(1-RAND())^(1/Alpha)))))</f>
        <v>1.2272431262954977</v>
      </c>
      <c r="P483" s="19">
        <f ca="1">IF(RAND()&lt;P_Zero,0,IF(RAND()&lt;CondReturn,_xlfn.LOGNORM.INV(RAND(),MV2,Sigma1),IF(RAND()&lt;CondGood,_xlfn.LOGNORM.INV(RAND(),MV3,Sigma2),MIN(MaxMultiple,Xm/(1-RAND())^(1/Alpha)))))</f>
        <v>0</v>
      </c>
      <c r="Q483" s="19">
        <f ca="1">IF(RAND()&lt;P_Zero,0,IF(RAND()&lt;CondReturn,_xlfn.LOGNORM.INV(RAND(),MV2,Sigma1),IF(RAND()&lt;CondGood,_xlfn.LOGNORM.INV(RAND(),MV3,Sigma2),MIN(MaxMultiple,Xm/(1-RAND())^(1/Alpha)))))</f>
        <v>0.75276418234751985</v>
      </c>
      <c r="R483" s="19">
        <f ca="1">IF(RAND()&lt;P_Zero,0,IF(RAND()&lt;CondReturn,_xlfn.LOGNORM.INV(RAND(),MV2,Sigma1),IF(RAND()&lt;CondGood,_xlfn.LOGNORM.INV(RAND(),MV3,Sigma2),MIN(MaxMultiple,Xm/(1-RAND())^(1/Alpha)))))</f>
        <v>37.984143844560386</v>
      </c>
      <c r="S483" s="19">
        <f ca="1">IF(RAND()&lt;P_Zero,0,IF(RAND()&lt;CondReturn,_xlfn.LOGNORM.INV(RAND(),MV2,Sigma1),IF(RAND()&lt;CondGood,_xlfn.LOGNORM.INV(RAND(),MV3,Sigma2),MIN(MaxMultiple,Xm/(1-RAND())^(1/Alpha)))))</f>
        <v>0</v>
      </c>
      <c r="T483" s="19">
        <f ca="1">IF(RAND()&lt;P_Zero,0,IF(RAND()&lt;CondReturn,_xlfn.LOGNORM.INV(RAND(),MV2,Sigma1),IF(RAND()&lt;CondGood,_xlfn.LOGNORM.INV(RAND(),MV3,Sigma2),MIN(MaxMultiple,Xm/(1-RAND())^(1/Alpha)))))</f>
        <v>26.857371620862629</v>
      </c>
      <c r="U483" s="19">
        <f ca="1">IF(RAND()&lt;P_Zero,0,IF(RAND()&lt;CondReturn,_xlfn.LOGNORM.INV(RAND(),MV2,Sigma1),IF(RAND()&lt;CondGood,_xlfn.LOGNORM.INV(RAND(),MV3,Sigma2),MIN(MaxMultiple,Xm/(1-RAND())^(1/Alpha)))))</f>
        <v>0</v>
      </c>
      <c r="V483" s="19">
        <f ca="1">IF(RAND()&lt;P_Zero,0,IF(RAND()&lt;CondReturn,_xlfn.LOGNORM.INV(RAND(),MV2,Sigma1),IF(RAND()&lt;CondGood,_xlfn.LOGNORM.INV(RAND(),MV3,Sigma2),MIN(MaxMultiple,Xm/(1-RAND())^(1/Alpha)))))</f>
        <v>0.83264562848639778</v>
      </c>
      <c r="W483" s="19">
        <f ca="1">IF(RAND()&lt;P_Zero,0,IF(RAND()&lt;CondReturn,_xlfn.LOGNORM.INV(RAND(),MV2,Sigma1),IF(RAND()&lt;CondGood,_xlfn.LOGNORM.INV(RAND(),MV3,Sigma2),MIN(MaxMultiple,Xm/(1-RAND())^(1/Alpha)))))</f>
        <v>0</v>
      </c>
      <c r="X483" s="19">
        <f ca="1">IF(RAND()&lt;P_Zero,0,IF(RAND()&lt;CondReturn,_xlfn.LOGNORM.INV(RAND(),MV2,Sigma1),IF(RAND()&lt;CondGood,_xlfn.LOGNORM.INV(RAND(),MV3,Sigma2),MIN(MaxMultiple,Xm/(1-RAND())^(1/Alpha)))))</f>
        <v>0.95264274293919715</v>
      </c>
      <c r="Y483" s="19">
        <f ca="1">IF(RAND()&lt;P_Zero,0,IF(RAND()&lt;CondReturn,_xlfn.LOGNORM.INV(RAND(),MV2,Sigma1),IF(RAND()&lt;CondGood,_xlfn.LOGNORM.INV(RAND(),MV3,Sigma2),MIN(MaxMultiple,Xm/(1-RAND())^(1/Alpha)))))</f>
        <v>90.706918760745069</v>
      </c>
      <c r="Z483" s="19">
        <f ca="1">IF(RAND()&lt;P_Zero,0,IF(RAND()&lt;CondReturn,_xlfn.LOGNORM.INV(RAND(),MV2,Sigma1),IF(RAND()&lt;CondGood,_xlfn.LOGNORM.INV(RAND(),MV3,Sigma2),MIN(MaxMultiple,Xm/(1-RAND())^(1/Alpha)))))</f>
        <v>0</v>
      </c>
      <c r="AA483" s="19">
        <f ca="1">IF(RAND()&lt;P_Zero,0,IF(RAND()&lt;CondReturn,_xlfn.LOGNORM.INV(RAND(),MV2,Sigma1),IF(RAND()&lt;CondGood,_xlfn.LOGNORM.INV(RAND(),MV3,Sigma2),MIN(MaxMultiple,Xm/(1-RAND())^(1/Alpha)))))</f>
        <v>1.581064290626186</v>
      </c>
      <c r="AB483" s="19">
        <f t="shared" ca="1" si="56"/>
        <v>7.6735296577995324</v>
      </c>
      <c r="AC483" s="14">
        <f t="shared" ca="1" si="57"/>
        <v>368329423.57437754</v>
      </c>
      <c r="AD483" s="14">
        <f t="shared" ca="1" si="58"/>
        <v>320329423.57437754</v>
      </c>
      <c r="AE483" s="14">
        <f t="shared" si="59"/>
        <v>55628399.869093813</v>
      </c>
      <c r="AF483" s="14">
        <f t="shared" ca="1" si="60"/>
        <v>264701023.70528373</v>
      </c>
      <c r="AG483" s="14">
        <f t="shared" ca="1" si="61"/>
        <v>52940204.741056748</v>
      </c>
      <c r="AH483" s="14">
        <f t="shared" ca="1" si="62"/>
        <v>315389218.8333208</v>
      </c>
      <c r="AI483" s="19">
        <f t="shared" ca="1" si="63"/>
        <v>5.2564869805553469</v>
      </c>
    </row>
    <row r="484" spans="2:35" x14ac:dyDescent="0.2">
      <c r="B484" s="1">
        <v>479</v>
      </c>
      <c r="C484" s="19">
        <f ca="1">IF(RAND()&lt;P_Zero,0,IF(RAND()&lt;CondReturn,_xlfn.LOGNORM.INV(RAND(),MV2,Sigma1),IF(RAND()&lt;CondGood,_xlfn.LOGNORM.INV(RAND(),MV3,Sigma2),MIN(MaxMultiple,Xm/(1-RAND())^(1/Alpha)))))</f>
        <v>1.3183090224854226</v>
      </c>
      <c r="D484" s="19">
        <f ca="1">IF(RAND()&lt;P_Zero,0,IF(RAND()&lt;CondReturn,_xlfn.LOGNORM.INV(RAND(),MV2,Sigma1),IF(RAND()&lt;CondGood,_xlfn.LOGNORM.INV(RAND(),MV3,Sigma2),MIN(MaxMultiple,Xm/(1-RAND())^(1/Alpha)))))</f>
        <v>0</v>
      </c>
      <c r="E484" s="19">
        <f ca="1">IF(RAND()&lt;P_Zero,0,IF(RAND()&lt;CondReturn,_xlfn.LOGNORM.INV(RAND(),MV2,Sigma1),IF(RAND()&lt;CondGood,_xlfn.LOGNORM.INV(RAND(),MV3,Sigma2),MIN(MaxMultiple,Xm/(1-RAND())^(1/Alpha)))))</f>
        <v>1.0253553629443226</v>
      </c>
      <c r="F484" s="19">
        <f ca="1">IF(RAND()&lt;P_Zero,0,IF(RAND()&lt;CondReturn,_xlfn.LOGNORM.INV(RAND(),MV2,Sigma1),IF(RAND()&lt;CondGood,_xlfn.LOGNORM.INV(RAND(),MV3,Sigma2),MIN(MaxMultiple,Xm/(1-RAND())^(1/Alpha)))))</f>
        <v>1.4605609687680161</v>
      </c>
      <c r="G484" s="19">
        <f ca="1">IF(RAND()&lt;P_Zero,0,IF(RAND()&lt;CondReturn,_xlfn.LOGNORM.INV(RAND(),MV2,Sigma1),IF(RAND()&lt;CondGood,_xlfn.LOGNORM.INV(RAND(),MV3,Sigma2),MIN(MaxMultiple,Xm/(1-RAND())^(1/Alpha)))))</f>
        <v>1.1177638271247528</v>
      </c>
      <c r="H484" s="19">
        <f ca="1">IF(RAND()&lt;P_Zero,0,IF(RAND()&lt;CondReturn,_xlfn.LOGNORM.INV(RAND(),MV2,Sigma1),IF(RAND()&lt;CondGood,_xlfn.LOGNORM.INV(RAND(),MV3,Sigma2),MIN(MaxMultiple,Xm/(1-RAND())^(1/Alpha)))))</f>
        <v>0</v>
      </c>
      <c r="I484" s="19">
        <f ca="1">IF(RAND()&lt;P_Zero,0,IF(RAND()&lt;CondReturn,_xlfn.LOGNORM.INV(RAND(),MV2,Sigma1),IF(RAND()&lt;CondGood,_xlfn.LOGNORM.INV(RAND(),MV3,Sigma2),MIN(MaxMultiple,Xm/(1-RAND())^(1/Alpha)))))</f>
        <v>0.66579533588920581</v>
      </c>
      <c r="J484" s="19">
        <f ca="1">IF(RAND()&lt;P_Zero,0,IF(RAND()&lt;CondReturn,_xlfn.LOGNORM.INV(RAND(),MV2,Sigma1),IF(RAND()&lt;CondGood,_xlfn.LOGNORM.INV(RAND(),MV3,Sigma2),MIN(MaxMultiple,Xm/(1-RAND())^(1/Alpha)))))</f>
        <v>0</v>
      </c>
      <c r="K484" s="19">
        <f ca="1">IF(RAND()&lt;P_Zero,0,IF(RAND()&lt;CondReturn,_xlfn.LOGNORM.INV(RAND(),MV2,Sigma1),IF(RAND()&lt;CondGood,_xlfn.LOGNORM.INV(RAND(),MV3,Sigma2),MIN(MaxMultiple,Xm/(1-RAND())^(1/Alpha)))))</f>
        <v>2.043519954339696</v>
      </c>
      <c r="L484" s="19">
        <f ca="1">IF(RAND()&lt;P_Zero,0,IF(RAND()&lt;CondReturn,_xlfn.LOGNORM.INV(RAND(),MV2,Sigma1),IF(RAND()&lt;CondGood,_xlfn.LOGNORM.INV(RAND(),MV3,Sigma2),MIN(MaxMultiple,Xm/(1-RAND())^(1/Alpha)))))</f>
        <v>1.2771792356083898</v>
      </c>
      <c r="M484" s="19">
        <f ca="1">IF(RAND()&lt;P_Zero,0,IF(RAND()&lt;CondReturn,_xlfn.LOGNORM.INV(RAND(),MV2,Sigma1),IF(RAND()&lt;CondGood,_xlfn.LOGNORM.INV(RAND(),MV3,Sigma2),MIN(MaxMultiple,Xm/(1-RAND())^(1/Alpha)))))</f>
        <v>11.942910797411724</v>
      </c>
      <c r="N484" s="19">
        <f ca="1">IF(RAND()&lt;P_Zero,0,IF(RAND()&lt;CondReturn,_xlfn.LOGNORM.INV(RAND(),MV2,Sigma1),IF(RAND()&lt;CondGood,_xlfn.LOGNORM.INV(RAND(),MV3,Sigma2),MIN(MaxMultiple,Xm/(1-RAND())^(1/Alpha)))))</f>
        <v>0.58200942077274076</v>
      </c>
      <c r="O484" s="19">
        <f ca="1">IF(RAND()&lt;P_Zero,0,IF(RAND()&lt;CondReturn,_xlfn.LOGNORM.INV(RAND(),MV2,Sigma1),IF(RAND()&lt;CondGood,_xlfn.LOGNORM.INV(RAND(),MV3,Sigma2),MIN(MaxMultiple,Xm/(1-RAND())^(1/Alpha)))))</f>
        <v>0.61608953922937026</v>
      </c>
      <c r="P484" s="19">
        <f ca="1">IF(RAND()&lt;P_Zero,0,IF(RAND()&lt;CondReturn,_xlfn.LOGNORM.INV(RAND(),MV2,Sigma1),IF(RAND()&lt;CondGood,_xlfn.LOGNORM.INV(RAND(),MV3,Sigma2),MIN(MaxMultiple,Xm/(1-RAND())^(1/Alpha)))))</f>
        <v>1.2056886057353724</v>
      </c>
      <c r="Q484" s="19">
        <f ca="1">IF(RAND()&lt;P_Zero,0,IF(RAND()&lt;CondReturn,_xlfn.LOGNORM.INV(RAND(),MV2,Sigma1),IF(RAND()&lt;CondGood,_xlfn.LOGNORM.INV(RAND(),MV3,Sigma2),MIN(MaxMultiple,Xm/(1-RAND())^(1/Alpha)))))</f>
        <v>1.2535686287180678</v>
      </c>
      <c r="R484" s="19">
        <f ca="1">IF(RAND()&lt;P_Zero,0,IF(RAND()&lt;CondReturn,_xlfn.LOGNORM.INV(RAND(),MV2,Sigma1),IF(RAND()&lt;CondGood,_xlfn.LOGNORM.INV(RAND(),MV3,Sigma2),MIN(MaxMultiple,Xm/(1-RAND())^(1/Alpha)))))</f>
        <v>0.65696670154150427</v>
      </c>
      <c r="S484" s="19">
        <f ca="1">IF(RAND()&lt;P_Zero,0,IF(RAND()&lt;CondReturn,_xlfn.LOGNORM.INV(RAND(),MV2,Sigma1),IF(RAND()&lt;CondGood,_xlfn.LOGNORM.INV(RAND(),MV3,Sigma2),MIN(MaxMultiple,Xm/(1-RAND())^(1/Alpha)))))</f>
        <v>0</v>
      </c>
      <c r="T484" s="19">
        <f ca="1">IF(RAND()&lt;P_Zero,0,IF(RAND()&lt;CondReturn,_xlfn.LOGNORM.INV(RAND(),MV2,Sigma1),IF(RAND()&lt;CondGood,_xlfn.LOGNORM.INV(RAND(),MV3,Sigma2),MIN(MaxMultiple,Xm/(1-RAND())^(1/Alpha)))))</f>
        <v>0.65696059894132797</v>
      </c>
      <c r="U484" s="19">
        <f ca="1">IF(RAND()&lt;P_Zero,0,IF(RAND()&lt;CondReturn,_xlfn.LOGNORM.INV(RAND(),MV2,Sigma1),IF(RAND()&lt;CondGood,_xlfn.LOGNORM.INV(RAND(),MV3,Sigma2),MIN(MaxMultiple,Xm/(1-RAND())^(1/Alpha)))))</f>
        <v>1.1497342700309094</v>
      </c>
      <c r="V484" s="19">
        <f ca="1">IF(RAND()&lt;P_Zero,0,IF(RAND()&lt;CondReturn,_xlfn.LOGNORM.INV(RAND(),MV2,Sigma1),IF(RAND()&lt;CondGood,_xlfn.LOGNORM.INV(RAND(),MV3,Sigma2),MIN(MaxMultiple,Xm/(1-RAND())^(1/Alpha)))))</f>
        <v>0</v>
      </c>
      <c r="W484" s="19">
        <f ca="1">IF(RAND()&lt;P_Zero,0,IF(RAND()&lt;CondReturn,_xlfn.LOGNORM.INV(RAND(),MV2,Sigma1),IF(RAND()&lt;CondGood,_xlfn.LOGNORM.INV(RAND(),MV3,Sigma2),MIN(MaxMultiple,Xm/(1-RAND())^(1/Alpha)))))</f>
        <v>0.88354400860734605</v>
      </c>
      <c r="X484" s="19">
        <f ca="1">IF(RAND()&lt;P_Zero,0,IF(RAND()&lt;CondReturn,_xlfn.LOGNORM.INV(RAND(),MV2,Sigma1),IF(RAND()&lt;CondGood,_xlfn.LOGNORM.INV(RAND(),MV3,Sigma2),MIN(MaxMultiple,Xm/(1-RAND())^(1/Alpha)))))</f>
        <v>0</v>
      </c>
      <c r="Y484" s="19">
        <f ca="1">IF(RAND()&lt;P_Zero,0,IF(RAND()&lt;CondReturn,_xlfn.LOGNORM.INV(RAND(),MV2,Sigma1),IF(RAND()&lt;CondGood,_xlfn.LOGNORM.INV(RAND(),MV3,Sigma2),MIN(MaxMultiple,Xm/(1-RAND())^(1/Alpha)))))</f>
        <v>0.93155293482326385</v>
      </c>
      <c r="Z484" s="19">
        <f ca="1">IF(RAND()&lt;P_Zero,0,IF(RAND()&lt;CondReturn,_xlfn.LOGNORM.INV(RAND(),MV2,Sigma1),IF(RAND()&lt;CondGood,_xlfn.LOGNORM.INV(RAND(),MV3,Sigma2),MIN(MaxMultiple,Xm/(1-RAND())^(1/Alpha)))))</f>
        <v>0</v>
      </c>
      <c r="AA484" s="19">
        <f ca="1">IF(RAND()&lt;P_Zero,0,IF(RAND()&lt;CondReturn,_xlfn.LOGNORM.INV(RAND(),MV2,Sigma1),IF(RAND()&lt;CondGood,_xlfn.LOGNORM.INV(RAND(),MV3,Sigma2),MIN(MaxMultiple,Xm/(1-RAND())^(1/Alpha)))))</f>
        <v>1.3325693833626731</v>
      </c>
      <c r="AB484" s="19">
        <f t="shared" ca="1" si="56"/>
        <v>1.2048031438533642</v>
      </c>
      <c r="AC484" s="14">
        <f t="shared" ca="1" si="57"/>
        <v>57830550.904961482</v>
      </c>
      <c r="AD484" s="14">
        <f t="shared" ca="1" si="58"/>
        <v>9830550.9049614817</v>
      </c>
      <c r="AE484" s="14">
        <f t="shared" si="59"/>
        <v>55628399.869093813</v>
      </c>
      <c r="AF484" s="14">
        <f t="shared" ca="1" si="60"/>
        <v>0</v>
      </c>
      <c r="AG484" s="14">
        <f t="shared" ca="1" si="61"/>
        <v>0</v>
      </c>
      <c r="AH484" s="14">
        <f t="shared" ca="1" si="62"/>
        <v>57830550.904961482</v>
      </c>
      <c r="AI484" s="19">
        <f t="shared" ca="1" si="63"/>
        <v>0.96384251508269136</v>
      </c>
    </row>
    <row r="485" spans="2:35" x14ac:dyDescent="0.2">
      <c r="B485" s="1">
        <v>480</v>
      </c>
      <c r="C485" s="19">
        <f ca="1">IF(RAND()&lt;P_Zero,0,IF(RAND()&lt;CondReturn,_xlfn.LOGNORM.INV(RAND(),MV2,Sigma1),IF(RAND()&lt;CondGood,_xlfn.LOGNORM.INV(RAND(),MV3,Sigma2),MIN(MaxMultiple,Xm/(1-RAND())^(1/Alpha)))))</f>
        <v>1.0404063269230905</v>
      </c>
      <c r="D485" s="19">
        <f ca="1">IF(RAND()&lt;P_Zero,0,IF(RAND()&lt;CondReturn,_xlfn.LOGNORM.INV(RAND(),MV2,Sigma1),IF(RAND()&lt;CondGood,_xlfn.LOGNORM.INV(RAND(),MV3,Sigma2),MIN(MaxMultiple,Xm/(1-RAND())^(1/Alpha)))))</f>
        <v>0</v>
      </c>
      <c r="E485" s="19">
        <f ca="1">IF(RAND()&lt;P_Zero,0,IF(RAND()&lt;CondReturn,_xlfn.LOGNORM.INV(RAND(),MV2,Sigma1),IF(RAND()&lt;CondGood,_xlfn.LOGNORM.INV(RAND(),MV3,Sigma2),MIN(MaxMultiple,Xm/(1-RAND())^(1/Alpha)))))</f>
        <v>0</v>
      </c>
      <c r="F485" s="19">
        <f ca="1">IF(RAND()&lt;P_Zero,0,IF(RAND()&lt;CondReturn,_xlfn.LOGNORM.INV(RAND(),MV2,Sigma1),IF(RAND()&lt;CondGood,_xlfn.LOGNORM.INV(RAND(),MV3,Sigma2),MIN(MaxMultiple,Xm/(1-RAND())^(1/Alpha)))))</f>
        <v>0</v>
      </c>
      <c r="G485" s="19">
        <f ca="1">IF(RAND()&lt;P_Zero,0,IF(RAND()&lt;CondReturn,_xlfn.LOGNORM.INV(RAND(),MV2,Sigma1),IF(RAND()&lt;CondGood,_xlfn.LOGNORM.INV(RAND(),MV3,Sigma2),MIN(MaxMultiple,Xm/(1-RAND())^(1/Alpha)))))</f>
        <v>24.393669833950732</v>
      </c>
      <c r="H485" s="19">
        <f ca="1">IF(RAND()&lt;P_Zero,0,IF(RAND()&lt;CondReturn,_xlfn.LOGNORM.INV(RAND(),MV2,Sigma1),IF(RAND()&lt;CondGood,_xlfn.LOGNORM.INV(RAND(),MV3,Sigma2),MIN(MaxMultiple,Xm/(1-RAND())^(1/Alpha)))))</f>
        <v>0</v>
      </c>
      <c r="I485" s="19">
        <f ca="1">IF(RAND()&lt;P_Zero,0,IF(RAND()&lt;CondReturn,_xlfn.LOGNORM.INV(RAND(),MV2,Sigma1),IF(RAND()&lt;CondGood,_xlfn.LOGNORM.INV(RAND(),MV3,Sigma2),MIN(MaxMultiple,Xm/(1-RAND())^(1/Alpha)))))</f>
        <v>2.1142470242555831</v>
      </c>
      <c r="J485" s="19">
        <f ca="1">IF(RAND()&lt;P_Zero,0,IF(RAND()&lt;CondReturn,_xlfn.LOGNORM.INV(RAND(),MV2,Sigma1),IF(RAND()&lt;CondGood,_xlfn.LOGNORM.INV(RAND(),MV3,Sigma2),MIN(MaxMultiple,Xm/(1-RAND())^(1/Alpha)))))</f>
        <v>0</v>
      </c>
      <c r="K485" s="19">
        <f ca="1">IF(RAND()&lt;P_Zero,0,IF(RAND()&lt;CondReturn,_xlfn.LOGNORM.INV(RAND(),MV2,Sigma1),IF(RAND()&lt;CondGood,_xlfn.LOGNORM.INV(RAND(),MV3,Sigma2),MIN(MaxMultiple,Xm/(1-RAND())^(1/Alpha)))))</f>
        <v>0.72021827580970244</v>
      </c>
      <c r="L485" s="19">
        <f ca="1">IF(RAND()&lt;P_Zero,0,IF(RAND()&lt;CondReturn,_xlfn.LOGNORM.INV(RAND(),MV2,Sigma1),IF(RAND()&lt;CondGood,_xlfn.LOGNORM.INV(RAND(),MV3,Sigma2),MIN(MaxMultiple,Xm/(1-RAND())^(1/Alpha)))))</f>
        <v>0.63551221389787638</v>
      </c>
      <c r="M485" s="19">
        <f ca="1">IF(RAND()&lt;P_Zero,0,IF(RAND()&lt;CondReturn,_xlfn.LOGNORM.INV(RAND(),MV2,Sigma1),IF(RAND()&lt;CondGood,_xlfn.LOGNORM.INV(RAND(),MV3,Sigma2),MIN(MaxMultiple,Xm/(1-RAND())^(1/Alpha)))))</f>
        <v>0.84415388355854393</v>
      </c>
      <c r="N485" s="19">
        <f ca="1">IF(RAND()&lt;P_Zero,0,IF(RAND()&lt;CondReturn,_xlfn.LOGNORM.INV(RAND(),MV2,Sigma1),IF(RAND()&lt;CondGood,_xlfn.LOGNORM.INV(RAND(),MV3,Sigma2),MIN(MaxMultiple,Xm/(1-RAND())^(1/Alpha)))))</f>
        <v>0</v>
      </c>
      <c r="O485" s="19">
        <f ca="1">IF(RAND()&lt;P_Zero,0,IF(RAND()&lt;CondReturn,_xlfn.LOGNORM.INV(RAND(),MV2,Sigma1),IF(RAND()&lt;CondGood,_xlfn.LOGNORM.INV(RAND(),MV3,Sigma2),MIN(MaxMultiple,Xm/(1-RAND())^(1/Alpha)))))</f>
        <v>0</v>
      </c>
      <c r="P485" s="19">
        <f ca="1">IF(RAND()&lt;P_Zero,0,IF(RAND()&lt;CondReturn,_xlfn.LOGNORM.INV(RAND(),MV2,Sigma1),IF(RAND()&lt;CondGood,_xlfn.LOGNORM.INV(RAND(),MV3,Sigma2),MIN(MaxMultiple,Xm/(1-RAND())^(1/Alpha)))))</f>
        <v>0.68275476613267472</v>
      </c>
      <c r="Q485" s="19">
        <f ca="1">IF(RAND()&lt;P_Zero,0,IF(RAND()&lt;CondReturn,_xlfn.LOGNORM.INV(RAND(),MV2,Sigma1),IF(RAND()&lt;CondGood,_xlfn.LOGNORM.INV(RAND(),MV3,Sigma2),MIN(MaxMultiple,Xm/(1-RAND())^(1/Alpha)))))</f>
        <v>0.67838046979776845</v>
      </c>
      <c r="R485" s="19">
        <f ca="1">IF(RAND()&lt;P_Zero,0,IF(RAND()&lt;CondReturn,_xlfn.LOGNORM.INV(RAND(),MV2,Sigma1),IF(RAND()&lt;CondGood,_xlfn.LOGNORM.INV(RAND(),MV3,Sigma2),MIN(MaxMultiple,Xm/(1-RAND())^(1/Alpha)))))</f>
        <v>0</v>
      </c>
      <c r="S485" s="19">
        <f ca="1">IF(RAND()&lt;P_Zero,0,IF(RAND()&lt;CondReturn,_xlfn.LOGNORM.INV(RAND(),MV2,Sigma1),IF(RAND()&lt;CondGood,_xlfn.LOGNORM.INV(RAND(),MV3,Sigma2),MIN(MaxMultiple,Xm/(1-RAND())^(1/Alpha)))))</f>
        <v>1.5498154111620797</v>
      </c>
      <c r="T485" s="19">
        <f ca="1">IF(RAND()&lt;P_Zero,0,IF(RAND()&lt;CondReturn,_xlfn.LOGNORM.INV(RAND(),MV2,Sigma1),IF(RAND()&lt;CondGood,_xlfn.LOGNORM.INV(RAND(),MV3,Sigma2),MIN(MaxMultiple,Xm/(1-RAND())^(1/Alpha)))))</f>
        <v>0</v>
      </c>
      <c r="U485" s="19">
        <f ca="1">IF(RAND()&lt;P_Zero,0,IF(RAND()&lt;CondReturn,_xlfn.LOGNORM.INV(RAND(),MV2,Sigma1),IF(RAND()&lt;CondGood,_xlfn.LOGNORM.INV(RAND(),MV3,Sigma2),MIN(MaxMultiple,Xm/(1-RAND())^(1/Alpha)))))</f>
        <v>0</v>
      </c>
      <c r="V485" s="19">
        <f ca="1">IF(RAND()&lt;P_Zero,0,IF(RAND()&lt;CondReturn,_xlfn.LOGNORM.INV(RAND(),MV2,Sigma1),IF(RAND()&lt;CondGood,_xlfn.LOGNORM.INV(RAND(),MV3,Sigma2),MIN(MaxMultiple,Xm/(1-RAND())^(1/Alpha)))))</f>
        <v>0.89941123359297559</v>
      </c>
      <c r="W485" s="19">
        <f ca="1">IF(RAND()&lt;P_Zero,0,IF(RAND()&lt;CondReturn,_xlfn.LOGNORM.INV(RAND(),MV2,Sigma1),IF(RAND()&lt;CondGood,_xlfn.LOGNORM.INV(RAND(),MV3,Sigma2),MIN(MaxMultiple,Xm/(1-RAND())^(1/Alpha)))))</f>
        <v>0</v>
      </c>
      <c r="X485" s="19">
        <f ca="1">IF(RAND()&lt;P_Zero,0,IF(RAND()&lt;CondReturn,_xlfn.LOGNORM.INV(RAND(),MV2,Sigma1),IF(RAND()&lt;CondGood,_xlfn.LOGNORM.INV(RAND(),MV3,Sigma2),MIN(MaxMultiple,Xm/(1-RAND())^(1/Alpha)))))</f>
        <v>0</v>
      </c>
      <c r="Y485" s="19">
        <f ca="1">IF(RAND()&lt;P_Zero,0,IF(RAND()&lt;CondReturn,_xlfn.LOGNORM.INV(RAND(),MV2,Sigma1),IF(RAND()&lt;CondGood,_xlfn.LOGNORM.INV(RAND(),MV3,Sigma2),MIN(MaxMultiple,Xm/(1-RAND())^(1/Alpha)))))</f>
        <v>0</v>
      </c>
      <c r="Z485" s="19">
        <f ca="1">IF(RAND()&lt;P_Zero,0,IF(RAND()&lt;CondReturn,_xlfn.LOGNORM.INV(RAND(),MV2,Sigma1),IF(RAND()&lt;CondGood,_xlfn.LOGNORM.INV(RAND(),MV3,Sigma2),MIN(MaxMultiple,Xm/(1-RAND())^(1/Alpha)))))</f>
        <v>0</v>
      </c>
      <c r="AA485" s="19">
        <f ca="1">IF(RAND()&lt;P_Zero,0,IF(RAND()&lt;CondReturn,_xlfn.LOGNORM.INV(RAND(),MV2,Sigma1),IF(RAND()&lt;CondGood,_xlfn.LOGNORM.INV(RAND(),MV3,Sigma2),MIN(MaxMultiple,Xm/(1-RAND())^(1/Alpha)))))</f>
        <v>0</v>
      </c>
      <c r="AB485" s="19">
        <f t="shared" ca="1" si="56"/>
        <v>1.3423427775632413</v>
      </c>
      <c r="AC485" s="14">
        <f t="shared" ca="1" si="57"/>
        <v>64432453.323035583</v>
      </c>
      <c r="AD485" s="14">
        <f t="shared" ca="1" si="58"/>
        <v>16432453.323035583</v>
      </c>
      <c r="AE485" s="14">
        <f t="shared" si="59"/>
        <v>55628399.869093813</v>
      </c>
      <c r="AF485" s="14">
        <f t="shared" ca="1" si="60"/>
        <v>0</v>
      </c>
      <c r="AG485" s="14">
        <f t="shared" ca="1" si="61"/>
        <v>0</v>
      </c>
      <c r="AH485" s="14">
        <f t="shared" ca="1" si="62"/>
        <v>64432453.323035583</v>
      </c>
      <c r="AI485" s="19">
        <f t="shared" ca="1" si="63"/>
        <v>1.073874222050593</v>
      </c>
    </row>
    <row r="486" spans="2:35" x14ac:dyDescent="0.2">
      <c r="B486" s="1">
        <v>481</v>
      </c>
      <c r="C486" s="19">
        <f ca="1">IF(RAND()&lt;P_Zero,0,IF(RAND()&lt;CondReturn,_xlfn.LOGNORM.INV(RAND(),MV2,Sigma1),IF(RAND()&lt;CondGood,_xlfn.LOGNORM.INV(RAND(),MV3,Sigma2),MIN(MaxMultiple,Xm/(1-RAND())^(1/Alpha)))))</f>
        <v>0</v>
      </c>
      <c r="D486" s="19">
        <f ca="1">IF(RAND()&lt;P_Zero,0,IF(RAND()&lt;CondReturn,_xlfn.LOGNORM.INV(RAND(),MV2,Sigma1),IF(RAND()&lt;CondGood,_xlfn.LOGNORM.INV(RAND(),MV3,Sigma2),MIN(MaxMultiple,Xm/(1-RAND())^(1/Alpha)))))</f>
        <v>0</v>
      </c>
      <c r="E486" s="19">
        <f ca="1">IF(RAND()&lt;P_Zero,0,IF(RAND()&lt;CondReturn,_xlfn.LOGNORM.INV(RAND(),MV2,Sigma1),IF(RAND()&lt;CondGood,_xlfn.LOGNORM.INV(RAND(),MV3,Sigma2),MIN(MaxMultiple,Xm/(1-RAND())^(1/Alpha)))))</f>
        <v>0</v>
      </c>
      <c r="F486" s="19">
        <f ca="1">IF(RAND()&lt;P_Zero,0,IF(RAND()&lt;CondReturn,_xlfn.LOGNORM.INV(RAND(),MV2,Sigma1),IF(RAND()&lt;CondGood,_xlfn.LOGNORM.INV(RAND(),MV3,Sigma2),MIN(MaxMultiple,Xm/(1-RAND())^(1/Alpha)))))</f>
        <v>0</v>
      </c>
      <c r="G486" s="19">
        <f ca="1">IF(RAND()&lt;P_Zero,0,IF(RAND()&lt;CondReturn,_xlfn.LOGNORM.INV(RAND(),MV2,Sigma1),IF(RAND()&lt;CondGood,_xlfn.LOGNORM.INV(RAND(),MV3,Sigma2),MIN(MaxMultiple,Xm/(1-RAND())^(1/Alpha)))))</f>
        <v>2.1627907467716549</v>
      </c>
      <c r="H486" s="19">
        <f ca="1">IF(RAND()&lt;P_Zero,0,IF(RAND()&lt;CondReturn,_xlfn.LOGNORM.INV(RAND(),MV2,Sigma1),IF(RAND()&lt;CondGood,_xlfn.LOGNORM.INV(RAND(),MV3,Sigma2),MIN(MaxMultiple,Xm/(1-RAND())^(1/Alpha)))))</f>
        <v>0.63316201898802449</v>
      </c>
      <c r="I486" s="19">
        <f ca="1">IF(RAND()&lt;P_Zero,0,IF(RAND()&lt;CondReturn,_xlfn.LOGNORM.INV(RAND(),MV2,Sigma1),IF(RAND()&lt;CondGood,_xlfn.LOGNORM.INV(RAND(),MV3,Sigma2),MIN(MaxMultiple,Xm/(1-RAND())^(1/Alpha)))))</f>
        <v>0</v>
      </c>
      <c r="J486" s="19">
        <f ca="1">IF(RAND()&lt;P_Zero,0,IF(RAND()&lt;CondReturn,_xlfn.LOGNORM.INV(RAND(),MV2,Sigma1),IF(RAND()&lt;CondGood,_xlfn.LOGNORM.INV(RAND(),MV3,Sigma2),MIN(MaxMultiple,Xm/(1-RAND())^(1/Alpha)))))</f>
        <v>0.58899625381702769</v>
      </c>
      <c r="K486" s="19">
        <f ca="1">IF(RAND()&lt;P_Zero,0,IF(RAND()&lt;CondReturn,_xlfn.LOGNORM.INV(RAND(),MV2,Sigma1),IF(RAND()&lt;CondGood,_xlfn.LOGNORM.INV(RAND(),MV3,Sigma2),MIN(MaxMultiple,Xm/(1-RAND())^(1/Alpha)))))</f>
        <v>1.0479680120364578</v>
      </c>
      <c r="L486" s="19">
        <f ca="1">IF(RAND()&lt;P_Zero,0,IF(RAND()&lt;CondReturn,_xlfn.LOGNORM.INV(RAND(),MV2,Sigma1),IF(RAND()&lt;CondGood,_xlfn.LOGNORM.INV(RAND(),MV3,Sigma2),MIN(MaxMultiple,Xm/(1-RAND())^(1/Alpha)))))</f>
        <v>51.24928837788768</v>
      </c>
      <c r="M486" s="19">
        <f ca="1">IF(RAND()&lt;P_Zero,0,IF(RAND()&lt;CondReturn,_xlfn.LOGNORM.INV(RAND(),MV2,Sigma1),IF(RAND()&lt;CondGood,_xlfn.LOGNORM.INV(RAND(),MV3,Sigma2),MIN(MaxMultiple,Xm/(1-RAND())^(1/Alpha)))))</f>
        <v>0.86873006056276292</v>
      </c>
      <c r="N486" s="19">
        <f ca="1">IF(RAND()&lt;P_Zero,0,IF(RAND()&lt;CondReturn,_xlfn.LOGNORM.INV(RAND(),MV2,Sigma1),IF(RAND()&lt;CondGood,_xlfn.LOGNORM.INV(RAND(),MV3,Sigma2),MIN(MaxMultiple,Xm/(1-RAND())^(1/Alpha)))))</f>
        <v>0</v>
      </c>
      <c r="O486" s="19">
        <f ca="1">IF(RAND()&lt;P_Zero,0,IF(RAND()&lt;CondReturn,_xlfn.LOGNORM.INV(RAND(),MV2,Sigma1),IF(RAND()&lt;CondGood,_xlfn.LOGNORM.INV(RAND(),MV3,Sigma2),MIN(MaxMultiple,Xm/(1-RAND())^(1/Alpha)))))</f>
        <v>1.0010476785206119</v>
      </c>
      <c r="P486" s="19">
        <f ca="1">IF(RAND()&lt;P_Zero,0,IF(RAND()&lt;CondReturn,_xlfn.LOGNORM.INV(RAND(),MV2,Sigma1),IF(RAND()&lt;CondGood,_xlfn.LOGNORM.INV(RAND(),MV3,Sigma2),MIN(MaxMultiple,Xm/(1-RAND())^(1/Alpha)))))</f>
        <v>1.3731045936356989</v>
      </c>
      <c r="Q486" s="19">
        <f ca="1">IF(RAND()&lt;P_Zero,0,IF(RAND()&lt;CondReturn,_xlfn.LOGNORM.INV(RAND(),MV2,Sigma1),IF(RAND()&lt;CondGood,_xlfn.LOGNORM.INV(RAND(),MV3,Sigma2),MIN(MaxMultiple,Xm/(1-RAND())^(1/Alpha)))))</f>
        <v>1.5466251348071509</v>
      </c>
      <c r="R486" s="19">
        <f ca="1">IF(RAND()&lt;P_Zero,0,IF(RAND()&lt;CondReturn,_xlfn.LOGNORM.INV(RAND(),MV2,Sigma1),IF(RAND()&lt;CondGood,_xlfn.LOGNORM.INV(RAND(),MV3,Sigma2),MIN(MaxMultiple,Xm/(1-RAND())^(1/Alpha)))))</f>
        <v>0</v>
      </c>
      <c r="S486" s="19">
        <f ca="1">IF(RAND()&lt;P_Zero,0,IF(RAND()&lt;CondReturn,_xlfn.LOGNORM.INV(RAND(),MV2,Sigma1),IF(RAND()&lt;CondGood,_xlfn.LOGNORM.INV(RAND(),MV3,Sigma2),MIN(MaxMultiple,Xm/(1-RAND())^(1/Alpha)))))</f>
        <v>0.66671893314461006</v>
      </c>
      <c r="T486" s="19">
        <f ca="1">IF(RAND()&lt;P_Zero,0,IF(RAND()&lt;CondReturn,_xlfn.LOGNORM.INV(RAND(),MV2,Sigma1),IF(RAND()&lt;CondGood,_xlfn.LOGNORM.INV(RAND(),MV3,Sigma2),MIN(MaxMultiple,Xm/(1-RAND())^(1/Alpha)))))</f>
        <v>0</v>
      </c>
      <c r="U486" s="19">
        <f ca="1">IF(RAND()&lt;P_Zero,0,IF(RAND()&lt;CondReturn,_xlfn.LOGNORM.INV(RAND(),MV2,Sigma1),IF(RAND()&lt;CondGood,_xlfn.LOGNORM.INV(RAND(),MV3,Sigma2),MIN(MaxMultiple,Xm/(1-RAND())^(1/Alpha)))))</f>
        <v>0</v>
      </c>
      <c r="V486" s="19">
        <f ca="1">IF(RAND()&lt;P_Zero,0,IF(RAND()&lt;CondReturn,_xlfn.LOGNORM.INV(RAND(),MV2,Sigma1),IF(RAND()&lt;CondGood,_xlfn.LOGNORM.INV(RAND(),MV3,Sigma2),MIN(MaxMultiple,Xm/(1-RAND())^(1/Alpha)))))</f>
        <v>0</v>
      </c>
      <c r="W486" s="19">
        <f ca="1">IF(RAND()&lt;P_Zero,0,IF(RAND()&lt;CondReturn,_xlfn.LOGNORM.INV(RAND(),MV2,Sigma1),IF(RAND()&lt;CondGood,_xlfn.LOGNORM.INV(RAND(),MV3,Sigma2),MIN(MaxMultiple,Xm/(1-RAND())^(1/Alpha)))))</f>
        <v>1.4338481635602331</v>
      </c>
      <c r="X486" s="19">
        <f ca="1">IF(RAND()&lt;P_Zero,0,IF(RAND()&lt;CondReturn,_xlfn.LOGNORM.INV(RAND(),MV2,Sigma1),IF(RAND()&lt;CondGood,_xlfn.LOGNORM.INV(RAND(),MV3,Sigma2),MIN(MaxMultiple,Xm/(1-RAND())^(1/Alpha)))))</f>
        <v>0</v>
      </c>
      <c r="Y486" s="19">
        <f ca="1">IF(RAND()&lt;P_Zero,0,IF(RAND()&lt;CondReturn,_xlfn.LOGNORM.INV(RAND(),MV2,Sigma1),IF(RAND()&lt;CondGood,_xlfn.LOGNORM.INV(RAND(),MV3,Sigma2),MIN(MaxMultiple,Xm/(1-RAND())^(1/Alpha)))))</f>
        <v>1.4204434082965698</v>
      </c>
      <c r="Z486" s="19">
        <f ca="1">IF(RAND()&lt;P_Zero,0,IF(RAND()&lt;CondReturn,_xlfn.LOGNORM.INV(RAND(),MV2,Sigma1),IF(RAND()&lt;CondGood,_xlfn.LOGNORM.INV(RAND(),MV3,Sigma2),MIN(MaxMultiple,Xm/(1-RAND())^(1/Alpha)))))</f>
        <v>0</v>
      </c>
      <c r="AA486" s="19">
        <f ca="1">IF(RAND()&lt;P_Zero,0,IF(RAND()&lt;CondReturn,_xlfn.LOGNORM.INV(RAND(),MV2,Sigma1),IF(RAND()&lt;CondGood,_xlfn.LOGNORM.INV(RAND(),MV3,Sigma2),MIN(MaxMultiple,Xm/(1-RAND())^(1/Alpha)))))</f>
        <v>1.1861687849579168</v>
      </c>
      <c r="AB486" s="19">
        <f t="shared" ca="1" si="56"/>
        <v>2.6071556866794561</v>
      </c>
      <c r="AC486" s="14">
        <f t="shared" ca="1" si="57"/>
        <v>125143472.96061389</v>
      </c>
      <c r="AD486" s="14">
        <f t="shared" ca="1" si="58"/>
        <v>77143472.960613891</v>
      </c>
      <c r="AE486" s="14">
        <f t="shared" si="59"/>
        <v>55628399.869093813</v>
      </c>
      <c r="AF486" s="14">
        <f t="shared" ca="1" si="60"/>
        <v>21515073.091520078</v>
      </c>
      <c r="AG486" s="14">
        <f t="shared" ca="1" si="61"/>
        <v>4303014.6183040161</v>
      </c>
      <c r="AH486" s="14">
        <f t="shared" ca="1" si="62"/>
        <v>120840458.34230988</v>
      </c>
      <c r="AI486" s="19">
        <f t="shared" ca="1" si="63"/>
        <v>2.014007639038498</v>
      </c>
    </row>
    <row r="487" spans="2:35" x14ac:dyDescent="0.2">
      <c r="B487" s="1">
        <v>482</v>
      </c>
      <c r="C487" s="19">
        <f ca="1">IF(RAND()&lt;P_Zero,0,IF(RAND()&lt;CondReturn,_xlfn.LOGNORM.INV(RAND(),MV2,Sigma1),IF(RAND()&lt;CondGood,_xlfn.LOGNORM.INV(RAND(),MV3,Sigma2),MIN(MaxMultiple,Xm/(1-RAND())^(1/Alpha)))))</f>
        <v>0.88664202661189229</v>
      </c>
      <c r="D487" s="19">
        <f ca="1">IF(RAND()&lt;P_Zero,0,IF(RAND()&lt;CondReturn,_xlfn.LOGNORM.INV(RAND(),MV2,Sigma1),IF(RAND()&lt;CondGood,_xlfn.LOGNORM.INV(RAND(),MV3,Sigma2),MIN(MaxMultiple,Xm/(1-RAND())^(1/Alpha)))))</f>
        <v>0</v>
      </c>
      <c r="E487" s="19">
        <f ca="1">IF(RAND()&lt;P_Zero,0,IF(RAND()&lt;CondReturn,_xlfn.LOGNORM.INV(RAND(),MV2,Sigma1),IF(RAND()&lt;CondGood,_xlfn.LOGNORM.INV(RAND(),MV3,Sigma2),MIN(MaxMultiple,Xm/(1-RAND())^(1/Alpha)))))</f>
        <v>1.2459919082086255</v>
      </c>
      <c r="F487" s="19">
        <f ca="1">IF(RAND()&lt;P_Zero,0,IF(RAND()&lt;CondReturn,_xlfn.LOGNORM.INV(RAND(),MV2,Sigma1),IF(RAND()&lt;CondGood,_xlfn.LOGNORM.INV(RAND(),MV3,Sigma2),MIN(MaxMultiple,Xm/(1-RAND())^(1/Alpha)))))</f>
        <v>0</v>
      </c>
      <c r="G487" s="19">
        <f ca="1">IF(RAND()&lt;P_Zero,0,IF(RAND()&lt;CondReturn,_xlfn.LOGNORM.INV(RAND(),MV2,Sigma1),IF(RAND()&lt;CondGood,_xlfn.LOGNORM.INV(RAND(),MV3,Sigma2),MIN(MaxMultiple,Xm/(1-RAND())^(1/Alpha)))))</f>
        <v>0.93476453713542262</v>
      </c>
      <c r="H487" s="19">
        <f ca="1">IF(RAND()&lt;P_Zero,0,IF(RAND()&lt;CondReturn,_xlfn.LOGNORM.INV(RAND(),MV2,Sigma1),IF(RAND()&lt;CondGood,_xlfn.LOGNORM.INV(RAND(),MV3,Sigma2),MIN(MaxMultiple,Xm/(1-RAND())^(1/Alpha)))))</f>
        <v>1.408627943870626</v>
      </c>
      <c r="I487" s="19">
        <f ca="1">IF(RAND()&lt;P_Zero,0,IF(RAND()&lt;CondReturn,_xlfn.LOGNORM.INV(RAND(),MV2,Sigma1),IF(RAND()&lt;CondGood,_xlfn.LOGNORM.INV(RAND(),MV3,Sigma2),MIN(MaxMultiple,Xm/(1-RAND())^(1/Alpha)))))</f>
        <v>0</v>
      </c>
      <c r="J487" s="19">
        <f ca="1">IF(RAND()&lt;P_Zero,0,IF(RAND()&lt;CondReturn,_xlfn.LOGNORM.INV(RAND(),MV2,Sigma1),IF(RAND()&lt;CondGood,_xlfn.LOGNORM.INV(RAND(),MV3,Sigma2),MIN(MaxMultiple,Xm/(1-RAND())^(1/Alpha)))))</f>
        <v>0</v>
      </c>
      <c r="K487" s="19">
        <f ca="1">IF(RAND()&lt;P_Zero,0,IF(RAND()&lt;CondReturn,_xlfn.LOGNORM.INV(RAND(),MV2,Sigma1),IF(RAND()&lt;CondGood,_xlfn.LOGNORM.INV(RAND(),MV3,Sigma2),MIN(MaxMultiple,Xm/(1-RAND())^(1/Alpha)))))</f>
        <v>14.010775914465716</v>
      </c>
      <c r="L487" s="19">
        <f ca="1">IF(RAND()&lt;P_Zero,0,IF(RAND()&lt;CondReturn,_xlfn.LOGNORM.INV(RAND(),MV2,Sigma1),IF(RAND()&lt;CondGood,_xlfn.LOGNORM.INV(RAND(),MV3,Sigma2),MIN(MaxMultiple,Xm/(1-RAND())^(1/Alpha)))))</f>
        <v>0.95896823920783303</v>
      </c>
      <c r="M487" s="19">
        <f ca="1">IF(RAND()&lt;P_Zero,0,IF(RAND()&lt;CondReturn,_xlfn.LOGNORM.INV(RAND(),MV2,Sigma1),IF(RAND()&lt;CondGood,_xlfn.LOGNORM.INV(RAND(),MV3,Sigma2),MIN(MaxMultiple,Xm/(1-RAND())^(1/Alpha)))))</f>
        <v>0</v>
      </c>
      <c r="N487" s="19">
        <f ca="1">IF(RAND()&lt;P_Zero,0,IF(RAND()&lt;CondReturn,_xlfn.LOGNORM.INV(RAND(),MV2,Sigma1),IF(RAND()&lt;CondGood,_xlfn.LOGNORM.INV(RAND(),MV3,Sigma2),MIN(MaxMultiple,Xm/(1-RAND())^(1/Alpha)))))</f>
        <v>0</v>
      </c>
      <c r="O487" s="19">
        <f ca="1">IF(RAND()&lt;P_Zero,0,IF(RAND()&lt;CondReturn,_xlfn.LOGNORM.INV(RAND(),MV2,Sigma1),IF(RAND()&lt;CondGood,_xlfn.LOGNORM.INV(RAND(),MV3,Sigma2),MIN(MaxMultiple,Xm/(1-RAND())^(1/Alpha)))))</f>
        <v>2.9876546462708191</v>
      </c>
      <c r="P487" s="19">
        <f ca="1">IF(RAND()&lt;P_Zero,0,IF(RAND()&lt;CondReturn,_xlfn.LOGNORM.INV(RAND(),MV2,Sigma1),IF(RAND()&lt;CondGood,_xlfn.LOGNORM.INV(RAND(),MV3,Sigma2),MIN(MaxMultiple,Xm/(1-RAND())^(1/Alpha)))))</f>
        <v>1.228719870086542</v>
      </c>
      <c r="Q487" s="19">
        <f ca="1">IF(RAND()&lt;P_Zero,0,IF(RAND()&lt;CondReturn,_xlfn.LOGNORM.INV(RAND(),MV2,Sigma1),IF(RAND()&lt;CondGood,_xlfn.LOGNORM.INV(RAND(),MV3,Sigma2),MIN(MaxMultiple,Xm/(1-RAND())^(1/Alpha)))))</f>
        <v>0.820252224800602</v>
      </c>
      <c r="R487" s="19">
        <f ca="1">IF(RAND()&lt;P_Zero,0,IF(RAND()&lt;CondReturn,_xlfn.LOGNORM.INV(RAND(),MV2,Sigma1),IF(RAND()&lt;CondGood,_xlfn.LOGNORM.INV(RAND(),MV3,Sigma2),MIN(MaxMultiple,Xm/(1-RAND())^(1/Alpha)))))</f>
        <v>0</v>
      </c>
      <c r="S487" s="19">
        <f ca="1">IF(RAND()&lt;P_Zero,0,IF(RAND()&lt;CondReturn,_xlfn.LOGNORM.INV(RAND(),MV2,Sigma1),IF(RAND()&lt;CondGood,_xlfn.LOGNORM.INV(RAND(),MV3,Sigma2),MIN(MaxMultiple,Xm/(1-RAND())^(1/Alpha)))))</f>
        <v>0.33131756706308962</v>
      </c>
      <c r="T487" s="19">
        <f ca="1">IF(RAND()&lt;P_Zero,0,IF(RAND()&lt;CondReturn,_xlfn.LOGNORM.INV(RAND(),MV2,Sigma1),IF(RAND()&lt;CondGood,_xlfn.LOGNORM.INV(RAND(),MV3,Sigma2),MIN(MaxMultiple,Xm/(1-RAND())^(1/Alpha)))))</f>
        <v>0</v>
      </c>
      <c r="U487" s="19">
        <f ca="1">IF(RAND()&lt;P_Zero,0,IF(RAND()&lt;CondReturn,_xlfn.LOGNORM.INV(RAND(),MV2,Sigma1),IF(RAND()&lt;CondGood,_xlfn.LOGNORM.INV(RAND(),MV3,Sigma2),MIN(MaxMultiple,Xm/(1-RAND())^(1/Alpha)))))</f>
        <v>1.7995882586168588</v>
      </c>
      <c r="V487" s="19">
        <f ca="1">IF(RAND()&lt;P_Zero,0,IF(RAND()&lt;CondReturn,_xlfn.LOGNORM.INV(RAND(),MV2,Sigma1),IF(RAND()&lt;CondGood,_xlfn.LOGNORM.INV(RAND(),MV3,Sigma2),MIN(MaxMultiple,Xm/(1-RAND())^(1/Alpha)))))</f>
        <v>31.265423508742352</v>
      </c>
      <c r="W487" s="19">
        <f ca="1">IF(RAND()&lt;P_Zero,0,IF(RAND()&lt;CondReturn,_xlfn.LOGNORM.INV(RAND(),MV2,Sigma1),IF(RAND()&lt;CondGood,_xlfn.LOGNORM.INV(RAND(),MV3,Sigma2),MIN(MaxMultiple,Xm/(1-RAND())^(1/Alpha)))))</f>
        <v>0.60906566881925839</v>
      </c>
      <c r="X487" s="19">
        <f ca="1">IF(RAND()&lt;P_Zero,0,IF(RAND()&lt;CondReturn,_xlfn.LOGNORM.INV(RAND(),MV2,Sigma1),IF(RAND()&lt;CondGood,_xlfn.LOGNORM.INV(RAND(),MV3,Sigma2),MIN(MaxMultiple,Xm/(1-RAND())^(1/Alpha)))))</f>
        <v>0.99736408236394491</v>
      </c>
      <c r="Y487" s="19">
        <f ca="1">IF(RAND()&lt;P_Zero,0,IF(RAND()&lt;CondReturn,_xlfn.LOGNORM.INV(RAND(),MV2,Sigma1),IF(RAND()&lt;CondGood,_xlfn.LOGNORM.INV(RAND(),MV3,Sigma2),MIN(MaxMultiple,Xm/(1-RAND())^(1/Alpha)))))</f>
        <v>0.22174464618353426</v>
      </c>
      <c r="Z487" s="19">
        <f ca="1">IF(RAND()&lt;P_Zero,0,IF(RAND()&lt;CondReturn,_xlfn.LOGNORM.INV(RAND(),MV2,Sigma1),IF(RAND()&lt;CondGood,_xlfn.LOGNORM.INV(RAND(),MV3,Sigma2),MIN(MaxMultiple,Xm/(1-RAND())^(1/Alpha)))))</f>
        <v>0</v>
      </c>
      <c r="AA487" s="19">
        <f ca="1">IF(RAND()&lt;P_Zero,0,IF(RAND()&lt;CondReturn,_xlfn.LOGNORM.INV(RAND(),MV2,Sigma1),IF(RAND()&lt;CondGood,_xlfn.LOGNORM.INV(RAND(),MV3,Sigma2),MIN(MaxMultiple,Xm/(1-RAND())^(1/Alpha)))))</f>
        <v>0</v>
      </c>
      <c r="AB487" s="19">
        <f t="shared" ca="1" si="56"/>
        <v>2.3882760416978841</v>
      </c>
      <c r="AC487" s="14">
        <f t="shared" ca="1" si="57"/>
        <v>114637250.00149843</v>
      </c>
      <c r="AD487" s="14">
        <f t="shared" ca="1" si="58"/>
        <v>66637250.001498431</v>
      </c>
      <c r="AE487" s="14">
        <f t="shared" si="59"/>
        <v>55628399.869093813</v>
      </c>
      <c r="AF487" s="14">
        <f t="shared" ca="1" si="60"/>
        <v>11008850.132404618</v>
      </c>
      <c r="AG487" s="14">
        <f t="shared" ca="1" si="61"/>
        <v>2201770.0264809239</v>
      </c>
      <c r="AH487" s="14">
        <f t="shared" ca="1" si="62"/>
        <v>112435479.9750175</v>
      </c>
      <c r="AI487" s="19">
        <f t="shared" ca="1" si="63"/>
        <v>1.8739246662502917</v>
      </c>
    </row>
    <row r="488" spans="2:35" x14ac:dyDescent="0.2">
      <c r="B488" s="1">
        <v>483</v>
      </c>
      <c r="C488" s="19">
        <f ca="1">IF(RAND()&lt;P_Zero,0,IF(RAND()&lt;CondReturn,_xlfn.LOGNORM.INV(RAND(),MV2,Sigma1),IF(RAND()&lt;CondGood,_xlfn.LOGNORM.INV(RAND(),MV3,Sigma2),MIN(MaxMultiple,Xm/(1-RAND())^(1/Alpha)))))</f>
        <v>0</v>
      </c>
      <c r="D488" s="19">
        <f ca="1">IF(RAND()&lt;P_Zero,0,IF(RAND()&lt;CondReturn,_xlfn.LOGNORM.INV(RAND(),MV2,Sigma1),IF(RAND()&lt;CondGood,_xlfn.LOGNORM.INV(RAND(),MV3,Sigma2),MIN(MaxMultiple,Xm/(1-RAND())^(1/Alpha)))))</f>
        <v>1.1621242474552664</v>
      </c>
      <c r="E488" s="19">
        <f ca="1">IF(RAND()&lt;P_Zero,0,IF(RAND()&lt;CondReturn,_xlfn.LOGNORM.INV(RAND(),MV2,Sigma1),IF(RAND()&lt;CondGood,_xlfn.LOGNORM.INV(RAND(),MV3,Sigma2),MIN(MaxMultiple,Xm/(1-RAND())^(1/Alpha)))))</f>
        <v>0</v>
      </c>
      <c r="F488" s="19">
        <f ca="1">IF(RAND()&lt;P_Zero,0,IF(RAND()&lt;CondReturn,_xlfn.LOGNORM.INV(RAND(),MV2,Sigma1),IF(RAND()&lt;CondGood,_xlfn.LOGNORM.INV(RAND(),MV3,Sigma2),MIN(MaxMultiple,Xm/(1-RAND())^(1/Alpha)))))</f>
        <v>0.62362504368456939</v>
      </c>
      <c r="G488" s="19">
        <f ca="1">IF(RAND()&lt;P_Zero,0,IF(RAND()&lt;CondReturn,_xlfn.LOGNORM.INV(RAND(),MV2,Sigma1),IF(RAND()&lt;CondGood,_xlfn.LOGNORM.INV(RAND(),MV3,Sigma2),MIN(MaxMultiple,Xm/(1-RAND())^(1/Alpha)))))</f>
        <v>24.743835695917351</v>
      </c>
      <c r="H488" s="19">
        <f ca="1">IF(RAND()&lt;P_Zero,0,IF(RAND()&lt;CondReturn,_xlfn.LOGNORM.INV(RAND(),MV2,Sigma1),IF(RAND()&lt;CondGood,_xlfn.LOGNORM.INV(RAND(),MV3,Sigma2),MIN(MaxMultiple,Xm/(1-RAND())^(1/Alpha)))))</f>
        <v>0</v>
      </c>
      <c r="I488" s="19">
        <f ca="1">IF(RAND()&lt;P_Zero,0,IF(RAND()&lt;CondReturn,_xlfn.LOGNORM.INV(RAND(),MV2,Sigma1),IF(RAND()&lt;CondGood,_xlfn.LOGNORM.INV(RAND(),MV3,Sigma2),MIN(MaxMultiple,Xm/(1-RAND())^(1/Alpha)))))</f>
        <v>1.4393967578590203</v>
      </c>
      <c r="J488" s="19">
        <f ca="1">IF(RAND()&lt;P_Zero,0,IF(RAND()&lt;CondReturn,_xlfn.LOGNORM.INV(RAND(),MV2,Sigma1),IF(RAND()&lt;CondGood,_xlfn.LOGNORM.INV(RAND(),MV3,Sigma2),MIN(MaxMultiple,Xm/(1-RAND())^(1/Alpha)))))</f>
        <v>1.0102985985867474</v>
      </c>
      <c r="K488" s="19">
        <f ca="1">IF(RAND()&lt;P_Zero,0,IF(RAND()&lt;CondReturn,_xlfn.LOGNORM.INV(RAND(),MV2,Sigma1),IF(RAND()&lt;CondGood,_xlfn.LOGNORM.INV(RAND(),MV3,Sigma2),MIN(MaxMultiple,Xm/(1-RAND())^(1/Alpha)))))</f>
        <v>0.82840615491184955</v>
      </c>
      <c r="L488" s="19">
        <f ca="1">IF(RAND()&lt;P_Zero,0,IF(RAND()&lt;CondReturn,_xlfn.LOGNORM.INV(RAND(),MV2,Sigma1),IF(RAND()&lt;CondGood,_xlfn.LOGNORM.INV(RAND(),MV3,Sigma2),MIN(MaxMultiple,Xm/(1-RAND())^(1/Alpha)))))</f>
        <v>1.6251790102143464</v>
      </c>
      <c r="M488" s="19">
        <f ca="1">IF(RAND()&lt;P_Zero,0,IF(RAND()&lt;CondReturn,_xlfn.LOGNORM.INV(RAND(),MV2,Sigma1),IF(RAND()&lt;CondGood,_xlfn.LOGNORM.INV(RAND(),MV3,Sigma2),MIN(MaxMultiple,Xm/(1-RAND())^(1/Alpha)))))</f>
        <v>0.50943020065015088</v>
      </c>
      <c r="N488" s="19">
        <f ca="1">IF(RAND()&lt;P_Zero,0,IF(RAND()&lt;CondReturn,_xlfn.LOGNORM.INV(RAND(),MV2,Sigma1),IF(RAND()&lt;CondGood,_xlfn.LOGNORM.INV(RAND(),MV3,Sigma2),MIN(MaxMultiple,Xm/(1-RAND())^(1/Alpha)))))</f>
        <v>1.4851375316027593</v>
      </c>
      <c r="O488" s="19">
        <f ca="1">IF(RAND()&lt;P_Zero,0,IF(RAND()&lt;CondReturn,_xlfn.LOGNORM.INV(RAND(),MV2,Sigma1),IF(RAND()&lt;CondGood,_xlfn.LOGNORM.INV(RAND(),MV3,Sigma2),MIN(MaxMultiple,Xm/(1-RAND())^(1/Alpha)))))</f>
        <v>0</v>
      </c>
      <c r="P488" s="19">
        <f ca="1">IF(RAND()&lt;P_Zero,0,IF(RAND()&lt;CondReturn,_xlfn.LOGNORM.INV(RAND(),MV2,Sigma1),IF(RAND()&lt;CondGood,_xlfn.LOGNORM.INV(RAND(),MV3,Sigma2),MIN(MaxMultiple,Xm/(1-RAND())^(1/Alpha)))))</f>
        <v>0.67951662200626017</v>
      </c>
      <c r="Q488" s="19">
        <f ca="1">IF(RAND()&lt;P_Zero,0,IF(RAND()&lt;CondReturn,_xlfn.LOGNORM.INV(RAND(),MV2,Sigma1),IF(RAND()&lt;CondGood,_xlfn.LOGNORM.INV(RAND(),MV3,Sigma2),MIN(MaxMultiple,Xm/(1-RAND())^(1/Alpha)))))</f>
        <v>0</v>
      </c>
      <c r="R488" s="19">
        <f ca="1">IF(RAND()&lt;P_Zero,0,IF(RAND()&lt;CondReturn,_xlfn.LOGNORM.INV(RAND(),MV2,Sigma1),IF(RAND()&lt;CondGood,_xlfn.LOGNORM.INV(RAND(),MV3,Sigma2),MIN(MaxMultiple,Xm/(1-RAND())^(1/Alpha)))))</f>
        <v>0.66002504220754821</v>
      </c>
      <c r="S488" s="19">
        <f ca="1">IF(RAND()&lt;P_Zero,0,IF(RAND()&lt;CondReturn,_xlfn.LOGNORM.INV(RAND(),MV2,Sigma1),IF(RAND()&lt;CondGood,_xlfn.LOGNORM.INV(RAND(),MV3,Sigma2),MIN(MaxMultiple,Xm/(1-RAND())^(1/Alpha)))))</f>
        <v>1.299447817300192</v>
      </c>
      <c r="T488" s="19">
        <f ca="1">IF(RAND()&lt;P_Zero,0,IF(RAND()&lt;CondReturn,_xlfn.LOGNORM.INV(RAND(),MV2,Sigma1),IF(RAND()&lt;CondGood,_xlfn.LOGNORM.INV(RAND(),MV3,Sigma2),MIN(MaxMultiple,Xm/(1-RAND())^(1/Alpha)))))</f>
        <v>0.50814323505255099</v>
      </c>
      <c r="U488" s="19">
        <f ca="1">IF(RAND()&lt;P_Zero,0,IF(RAND()&lt;CondReturn,_xlfn.LOGNORM.INV(RAND(),MV2,Sigma1),IF(RAND()&lt;CondGood,_xlfn.LOGNORM.INV(RAND(),MV3,Sigma2),MIN(MaxMultiple,Xm/(1-RAND())^(1/Alpha)))))</f>
        <v>1.6661746738021765</v>
      </c>
      <c r="V488" s="19">
        <f ca="1">IF(RAND()&lt;P_Zero,0,IF(RAND()&lt;CondReturn,_xlfn.LOGNORM.INV(RAND(),MV2,Sigma1),IF(RAND()&lt;CondGood,_xlfn.LOGNORM.INV(RAND(),MV3,Sigma2),MIN(MaxMultiple,Xm/(1-RAND())^(1/Alpha)))))</f>
        <v>1.56170286842085</v>
      </c>
      <c r="W488" s="19">
        <f ca="1">IF(RAND()&lt;P_Zero,0,IF(RAND()&lt;CondReturn,_xlfn.LOGNORM.INV(RAND(),MV2,Sigma1),IF(RAND()&lt;CondGood,_xlfn.LOGNORM.INV(RAND(),MV3,Sigma2),MIN(MaxMultiple,Xm/(1-RAND())^(1/Alpha)))))</f>
        <v>2.3897496434433831</v>
      </c>
      <c r="X488" s="19">
        <f ca="1">IF(RAND()&lt;P_Zero,0,IF(RAND()&lt;CondReturn,_xlfn.LOGNORM.INV(RAND(),MV2,Sigma1),IF(RAND()&lt;CondGood,_xlfn.LOGNORM.INV(RAND(),MV3,Sigma2),MIN(MaxMultiple,Xm/(1-RAND())^(1/Alpha)))))</f>
        <v>0</v>
      </c>
      <c r="Y488" s="19">
        <f ca="1">IF(RAND()&lt;P_Zero,0,IF(RAND()&lt;CondReturn,_xlfn.LOGNORM.INV(RAND(),MV2,Sigma1),IF(RAND()&lt;CondGood,_xlfn.LOGNORM.INV(RAND(),MV3,Sigma2),MIN(MaxMultiple,Xm/(1-RAND())^(1/Alpha)))))</f>
        <v>0</v>
      </c>
      <c r="Z488" s="19">
        <f ca="1">IF(RAND()&lt;P_Zero,0,IF(RAND()&lt;CondReturn,_xlfn.LOGNORM.INV(RAND(),MV2,Sigma1),IF(RAND()&lt;CondGood,_xlfn.LOGNORM.INV(RAND(),MV3,Sigma2),MIN(MaxMultiple,Xm/(1-RAND())^(1/Alpha)))))</f>
        <v>1.4153288729724705</v>
      </c>
      <c r="AA488" s="19">
        <f ca="1">IF(RAND()&lt;P_Zero,0,IF(RAND()&lt;CondReturn,_xlfn.LOGNORM.INV(RAND(),MV2,Sigma1),IF(RAND()&lt;CondGood,_xlfn.LOGNORM.INV(RAND(),MV3,Sigma2),MIN(MaxMultiple,Xm/(1-RAND())^(1/Alpha)))))</f>
        <v>0</v>
      </c>
      <c r="AB488" s="19">
        <f t="shared" ca="1" si="56"/>
        <v>1.7443008806434996</v>
      </c>
      <c r="AC488" s="14">
        <f t="shared" ca="1" si="57"/>
        <v>83726442.270887986</v>
      </c>
      <c r="AD488" s="14">
        <f t="shared" ca="1" si="58"/>
        <v>35726442.270887986</v>
      </c>
      <c r="AE488" s="14">
        <f t="shared" si="59"/>
        <v>55628399.869093813</v>
      </c>
      <c r="AF488" s="14">
        <f t="shared" ca="1" si="60"/>
        <v>0</v>
      </c>
      <c r="AG488" s="14">
        <f t="shared" ca="1" si="61"/>
        <v>0</v>
      </c>
      <c r="AH488" s="14">
        <f t="shared" ca="1" si="62"/>
        <v>83726442.270887986</v>
      </c>
      <c r="AI488" s="19">
        <f t="shared" ca="1" si="63"/>
        <v>1.3954407045147998</v>
      </c>
    </row>
    <row r="489" spans="2:35" x14ac:dyDescent="0.2">
      <c r="B489" s="1">
        <v>484</v>
      </c>
      <c r="C489" s="19">
        <f ca="1">IF(RAND()&lt;P_Zero,0,IF(RAND()&lt;CondReturn,_xlfn.LOGNORM.INV(RAND(),MV2,Sigma1),IF(RAND()&lt;CondGood,_xlfn.LOGNORM.INV(RAND(),MV3,Sigma2),MIN(MaxMultiple,Xm/(1-RAND())^(1/Alpha)))))</f>
        <v>0</v>
      </c>
      <c r="D489" s="19">
        <f ca="1">IF(RAND()&lt;P_Zero,0,IF(RAND()&lt;CondReturn,_xlfn.LOGNORM.INV(RAND(),MV2,Sigma1),IF(RAND()&lt;CondGood,_xlfn.LOGNORM.INV(RAND(),MV3,Sigma2),MIN(MaxMultiple,Xm/(1-RAND())^(1/Alpha)))))</f>
        <v>0</v>
      </c>
      <c r="E489" s="19">
        <f ca="1">IF(RAND()&lt;P_Zero,0,IF(RAND()&lt;CondReturn,_xlfn.LOGNORM.INV(RAND(),MV2,Sigma1),IF(RAND()&lt;CondGood,_xlfn.LOGNORM.INV(RAND(),MV3,Sigma2),MIN(MaxMultiple,Xm/(1-RAND())^(1/Alpha)))))</f>
        <v>0.96934350845109341</v>
      </c>
      <c r="F489" s="19">
        <f ca="1">IF(RAND()&lt;P_Zero,0,IF(RAND()&lt;CondReturn,_xlfn.LOGNORM.INV(RAND(),MV2,Sigma1),IF(RAND()&lt;CondGood,_xlfn.LOGNORM.INV(RAND(),MV3,Sigma2),MIN(MaxMultiple,Xm/(1-RAND())^(1/Alpha)))))</f>
        <v>1.5294614692823456</v>
      </c>
      <c r="G489" s="19">
        <f ca="1">IF(RAND()&lt;P_Zero,0,IF(RAND()&lt;CondReturn,_xlfn.LOGNORM.INV(RAND(),MV2,Sigma1),IF(RAND()&lt;CondGood,_xlfn.LOGNORM.INV(RAND(),MV3,Sigma2),MIN(MaxMultiple,Xm/(1-RAND())^(1/Alpha)))))</f>
        <v>0.95022496105526011</v>
      </c>
      <c r="H489" s="19">
        <f ca="1">IF(RAND()&lt;P_Zero,0,IF(RAND()&lt;CondReturn,_xlfn.LOGNORM.INV(RAND(),MV2,Sigma1),IF(RAND()&lt;CondGood,_xlfn.LOGNORM.INV(RAND(),MV3,Sigma2),MIN(MaxMultiple,Xm/(1-RAND())^(1/Alpha)))))</f>
        <v>20.912490365111072</v>
      </c>
      <c r="I489" s="19">
        <f ca="1">IF(RAND()&lt;P_Zero,0,IF(RAND()&lt;CondReturn,_xlfn.LOGNORM.INV(RAND(),MV2,Sigma1),IF(RAND()&lt;CondGood,_xlfn.LOGNORM.INV(RAND(),MV3,Sigma2),MIN(MaxMultiple,Xm/(1-RAND())^(1/Alpha)))))</f>
        <v>0</v>
      </c>
      <c r="J489" s="19">
        <f ca="1">IF(RAND()&lt;P_Zero,0,IF(RAND()&lt;CondReturn,_xlfn.LOGNORM.INV(RAND(),MV2,Sigma1),IF(RAND()&lt;CondGood,_xlfn.LOGNORM.INV(RAND(),MV3,Sigma2),MIN(MaxMultiple,Xm/(1-RAND())^(1/Alpha)))))</f>
        <v>0.96326944837706907</v>
      </c>
      <c r="K489" s="19">
        <f ca="1">IF(RAND()&lt;P_Zero,0,IF(RAND()&lt;CondReturn,_xlfn.LOGNORM.INV(RAND(),MV2,Sigma1),IF(RAND()&lt;CondGood,_xlfn.LOGNORM.INV(RAND(),MV3,Sigma2),MIN(MaxMultiple,Xm/(1-RAND())^(1/Alpha)))))</f>
        <v>0.68841851125271991</v>
      </c>
      <c r="L489" s="19">
        <f ca="1">IF(RAND()&lt;P_Zero,0,IF(RAND()&lt;CondReturn,_xlfn.LOGNORM.INV(RAND(),MV2,Sigma1),IF(RAND()&lt;CondGood,_xlfn.LOGNORM.INV(RAND(),MV3,Sigma2),MIN(MaxMultiple,Xm/(1-RAND())^(1/Alpha)))))</f>
        <v>1.4924289948836409</v>
      </c>
      <c r="M489" s="19">
        <f ca="1">IF(RAND()&lt;P_Zero,0,IF(RAND()&lt;CondReturn,_xlfn.LOGNORM.INV(RAND(),MV2,Sigma1),IF(RAND()&lt;CondGood,_xlfn.LOGNORM.INV(RAND(),MV3,Sigma2),MIN(MaxMultiple,Xm/(1-RAND())^(1/Alpha)))))</f>
        <v>0.8076095857618768</v>
      </c>
      <c r="N489" s="19">
        <f ca="1">IF(RAND()&lt;P_Zero,0,IF(RAND()&lt;CondReturn,_xlfn.LOGNORM.INV(RAND(),MV2,Sigma1),IF(RAND()&lt;CondGood,_xlfn.LOGNORM.INV(RAND(),MV3,Sigma2),MIN(MaxMultiple,Xm/(1-RAND())^(1/Alpha)))))</f>
        <v>0</v>
      </c>
      <c r="O489" s="19">
        <f ca="1">IF(RAND()&lt;P_Zero,0,IF(RAND()&lt;CondReturn,_xlfn.LOGNORM.INV(RAND(),MV2,Sigma1),IF(RAND()&lt;CondGood,_xlfn.LOGNORM.INV(RAND(),MV3,Sigma2),MIN(MaxMultiple,Xm/(1-RAND())^(1/Alpha)))))</f>
        <v>1.2129094840104397</v>
      </c>
      <c r="P489" s="19">
        <f ca="1">IF(RAND()&lt;P_Zero,0,IF(RAND()&lt;CondReturn,_xlfn.LOGNORM.INV(RAND(),MV2,Sigma1),IF(RAND()&lt;CondGood,_xlfn.LOGNORM.INV(RAND(),MV3,Sigma2),MIN(MaxMultiple,Xm/(1-RAND())^(1/Alpha)))))</f>
        <v>0</v>
      </c>
      <c r="Q489" s="19">
        <f ca="1">IF(RAND()&lt;P_Zero,0,IF(RAND()&lt;CondReturn,_xlfn.LOGNORM.INV(RAND(),MV2,Sigma1),IF(RAND()&lt;CondGood,_xlfn.LOGNORM.INV(RAND(),MV3,Sigma2),MIN(MaxMultiple,Xm/(1-RAND())^(1/Alpha)))))</f>
        <v>0.62033077064520947</v>
      </c>
      <c r="R489" s="19">
        <f ca="1">IF(RAND()&lt;P_Zero,0,IF(RAND()&lt;CondReturn,_xlfn.LOGNORM.INV(RAND(),MV2,Sigma1),IF(RAND()&lt;CondGood,_xlfn.LOGNORM.INV(RAND(),MV3,Sigma2),MIN(MaxMultiple,Xm/(1-RAND())^(1/Alpha)))))</f>
        <v>4.3630120474275715</v>
      </c>
      <c r="S489" s="19">
        <f ca="1">IF(RAND()&lt;P_Zero,0,IF(RAND()&lt;CondReturn,_xlfn.LOGNORM.INV(RAND(),MV2,Sigma1),IF(RAND()&lt;CondGood,_xlfn.LOGNORM.INV(RAND(),MV3,Sigma2),MIN(MaxMultiple,Xm/(1-RAND())^(1/Alpha)))))</f>
        <v>0</v>
      </c>
      <c r="T489" s="19">
        <f ca="1">IF(RAND()&lt;P_Zero,0,IF(RAND()&lt;CondReturn,_xlfn.LOGNORM.INV(RAND(),MV2,Sigma1),IF(RAND()&lt;CondGood,_xlfn.LOGNORM.INV(RAND(),MV3,Sigma2),MIN(MaxMultiple,Xm/(1-RAND())^(1/Alpha)))))</f>
        <v>0</v>
      </c>
      <c r="U489" s="19">
        <f ca="1">IF(RAND()&lt;P_Zero,0,IF(RAND()&lt;CondReturn,_xlfn.LOGNORM.INV(RAND(),MV2,Sigma1),IF(RAND()&lt;CondGood,_xlfn.LOGNORM.INV(RAND(),MV3,Sigma2),MIN(MaxMultiple,Xm/(1-RAND())^(1/Alpha)))))</f>
        <v>0</v>
      </c>
      <c r="V489" s="19">
        <f ca="1">IF(RAND()&lt;P_Zero,0,IF(RAND()&lt;CondReturn,_xlfn.LOGNORM.INV(RAND(),MV2,Sigma1),IF(RAND()&lt;CondGood,_xlfn.LOGNORM.INV(RAND(),MV3,Sigma2),MIN(MaxMultiple,Xm/(1-RAND())^(1/Alpha)))))</f>
        <v>1.2006877821511976</v>
      </c>
      <c r="W489" s="19">
        <f ca="1">IF(RAND()&lt;P_Zero,0,IF(RAND()&lt;CondReturn,_xlfn.LOGNORM.INV(RAND(),MV2,Sigma1),IF(RAND()&lt;CondGood,_xlfn.LOGNORM.INV(RAND(),MV3,Sigma2),MIN(MaxMultiple,Xm/(1-RAND())^(1/Alpha)))))</f>
        <v>0.82974294661957071</v>
      </c>
      <c r="X489" s="19">
        <f ca="1">IF(RAND()&lt;P_Zero,0,IF(RAND()&lt;CondReturn,_xlfn.LOGNORM.INV(RAND(),MV2,Sigma1),IF(RAND()&lt;CondGood,_xlfn.LOGNORM.INV(RAND(),MV3,Sigma2),MIN(MaxMultiple,Xm/(1-RAND())^(1/Alpha)))))</f>
        <v>1.02960635028134</v>
      </c>
      <c r="Y489" s="19">
        <f ca="1">IF(RAND()&lt;P_Zero,0,IF(RAND()&lt;CondReturn,_xlfn.LOGNORM.INV(RAND(),MV2,Sigma1),IF(RAND()&lt;CondGood,_xlfn.LOGNORM.INV(RAND(),MV3,Sigma2),MIN(MaxMultiple,Xm/(1-RAND())^(1/Alpha)))))</f>
        <v>10.376684050009953</v>
      </c>
      <c r="Z489" s="19">
        <f ca="1">IF(RAND()&lt;P_Zero,0,IF(RAND()&lt;CondReturn,_xlfn.LOGNORM.INV(RAND(),MV2,Sigma1),IF(RAND()&lt;CondGood,_xlfn.LOGNORM.INV(RAND(),MV3,Sigma2),MIN(MaxMultiple,Xm/(1-RAND())^(1/Alpha)))))</f>
        <v>0.68346875002535923</v>
      </c>
      <c r="AA489" s="19">
        <f ca="1">IF(RAND()&lt;P_Zero,0,IF(RAND()&lt;CondReturn,_xlfn.LOGNORM.INV(RAND(),MV2,Sigma1),IF(RAND()&lt;CondGood,_xlfn.LOGNORM.INV(RAND(),MV3,Sigma2),MIN(MaxMultiple,Xm/(1-RAND())^(1/Alpha)))))</f>
        <v>0</v>
      </c>
      <c r="AB489" s="19">
        <f t="shared" ca="1" si="56"/>
        <v>1.9451875610138287</v>
      </c>
      <c r="AC489" s="14">
        <f t="shared" ca="1" si="57"/>
        <v>93369002.928663775</v>
      </c>
      <c r="AD489" s="14">
        <f t="shared" ca="1" si="58"/>
        <v>45369002.928663775</v>
      </c>
      <c r="AE489" s="14">
        <f t="shared" si="59"/>
        <v>55628399.869093813</v>
      </c>
      <c r="AF489" s="14">
        <f t="shared" ca="1" si="60"/>
        <v>0</v>
      </c>
      <c r="AG489" s="14">
        <f t="shared" ca="1" si="61"/>
        <v>0</v>
      </c>
      <c r="AH489" s="14">
        <f t="shared" ca="1" si="62"/>
        <v>93369002.928663775</v>
      </c>
      <c r="AI489" s="19">
        <f t="shared" ca="1" si="63"/>
        <v>1.5561500488110629</v>
      </c>
    </row>
    <row r="490" spans="2:35" x14ac:dyDescent="0.2">
      <c r="B490" s="1">
        <v>485</v>
      </c>
      <c r="C490" s="19">
        <f ca="1">IF(RAND()&lt;P_Zero,0,IF(RAND()&lt;CondReturn,_xlfn.LOGNORM.INV(RAND(),MV2,Sigma1),IF(RAND()&lt;CondGood,_xlfn.LOGNORM.INV(RAND(),MV3,Sigma2),MIN(MaxMultiple,Xm/(1-RAND())^(1/Alpha)))))</f>
        <v>0</v>
      </c>
      <c r="D490" s="19">
        <f ca="1">IF(RAND()&lt;P_Zero,0,IF(RAND()&lt;CondReturn,_xlfn.LOGNORM.INV(RAND(),MV2,Sigma1),IF(RAND()&lt;CondGood,_xlfn.LOGNORM.INV(RAND(),MV3,Sigma2),MIN(MaxMultiple,Xm/(1-RAND())^(1/Alpha)))))</f>
        <v>0</v>
      </c>
      <c r="E490" s="19">
        <f ca="1">IF(RAND()&lt;P_Zero,0,IF(RAND()&lt;CondReturn,_xlfn.LOGNORM.INV(RAND(),MV2,Sigma1),IF(RAND()&lt;CondGood,_xlfn.LOGNORM.INV(RAND(),MV3,Sigma2),MIN(MaxMultiple,Xm/(1-RAND())^(1/Alpha)))))</f>
        <v>0</v>
      </c>
      <c r="F490" s="19">
        <f ca="1">IF(RAND()&lt;P_Zero,0,IF(RAND()&lt;CondReturn,_xlfn.LOGNORM.INV(RAND(),MV2,Sigma1),IF(RAND()&lt;CondGood,_xlfn.LOGNORM.INV(RAND(),MV3,Sigma2),MIN(MaxMultiple,Xm/(1-RAND())^(1/Alpha)))))</f>
        <v>0</v>
      </c>
      <c r="G490" s="19">
        <f ca="1">IF(RAND()&lt;P_Zero,0,IF(RAND()&lt;CondReturn,_xlfn.LOGNORM.INV(RAND(),MV2,Sigma1),IF(RAND()&lt;CondGood,_xlfn.LOGNORM.INV(RAND(),MV3,Sigma2),MIN(MaxMultiple,Xm/(1-RAND())^(1/Alpha)))))</f>
        <v>0.91865688079935026</v>
      </c>
      <c r="H490" s="19">
        <f ca="1">IF(RAND()&lt;P_Zero,0,IF(RAND()&lt;CondReturn,_xlfn.LOGNORM.INV(RAND(),MV2,Sigma1),IF(RAND()&lt;CondGood,_xlfn.LOGNORM.INV(RAND(),MV3,Sigma2),MIN(MaxMultiple,Xm/(1-RAND())^(1/Alpha)))))</f>
        <v>0</v>
      </c>
      <c r="I490" s="19">
        <f ca="1">IF(RAND()&lt;P_Zero,0,IF(RAND()&lt;CondReturn,_xlfn.LOGNORM.INV(RAND(),MV2,Sigma1),IF(RAND()&lt;CondGood,_xlfn.LOGNORM.INV(RAND(),MV3,Sigma2),MIN(MaxMultiple,Xm/(1-RAND())^(1/Alpha)))))</f>
        <v>0</v>
      </c>
      <c r="J490" s="19">
        <f ca="1">IF(RAND()&lt;P_Zero,0,IF(RAND()&lt;CondReturn,_xlfn.LOGNORM.INV(RAND(),MV2,Sigma1),IF(RAND()&lt;CondGood,_xlfn.LOGNORM.INV(RAND(),MV3,Sigma2),MIN(MaxMultiple,Xm/(1-RAND())^(1/Alpha)))))</f>
        <v>0</v>
      </c>
      <c r="K490" s="19">
        <f ca="1">IF(RAND()&lt;P_Zero,0,IF(RAND()&lt;CondReturn,_xlfn.LOGNORM.INV(RAND(),MV2,Sigma1),IF(RAND()&lt;CondGood,_xlfn.LOGNORM.INV(RAND(),MV3,Sigma2),MIN(MaxMultiple,Xm/(1-RAND())^(1/Alpha)))))</f>
        <v>1.2755352278633312</v>
      </c>
      <c r="L490" s="19">
        <f ca="1">IF(RAND()&lt;P_Zero,0,IF(RAND()&lt;CondReturn,_xlfn.LOGNORM.INV(RAND(),MV2,Sigma1),IF(RAND()&lt;CondGood,_xlfn.LOGNORM.INV(RAND(),MV3,Sigma2),MIN(MaxMultiple,Xm/(1-RAND())^(1/Alpha)))))</f>
        <v>0.90401861820363882</v>
      </c>
      <c r="M490" s="19">
        <f ca="1">IF(RAND()&lt;P_Zero,0,IF(RAND()&lt;CondReturn,_xlfn.LOGNORM.INV(RAND(),MV2,Sigma1),IF(RAND()&lt;CondGood,_xlfn.LOGNORM.INV(RAND(),MV3,Sigma2),MIN(MaxMultiple,Xm/(1-RAND())^(1/Alpha)))))</f>
        <v>0</v>
      </c>
      <c r="N490" s="19">
        <f ca="1">IF(RAND()&lt;P_Zero,0,IF(RAND()&lt;CondReturn,_xlfn.LOGNORM.INV(RAND(),MV2,Sigma1),IF(RAND()&lt;CondGood,_xlfn.LOGNORM.INV(RAND(),MV3,Sigma2),MIN(MaxMultiple,Xm/(1-RAND())^(1/Alpha)))))</f>
        <v>0.87641774417551421</v>
      </c>
      <c r="O490" s="19">
        <f ca="1">IF(RAND()&lt;P_Zero,0,IF(RAND()&lt;CondReturn,_xlfn.LOGNORM.INV(RAND(),MV2,Sigma1),IF(RAND()&lt;CondGood,_xlfn.LOGNORM.INV(RAND(),MV3,Sigma2),MIN(MaxMultiple,Xm/(1-RAND())^(1/Alpha)))))</f>
        <v>0.94538916842115306</v>
      </c>
      <c r="P490" s="19">
        <f ca="1">IF(RAND()&lt;P_Zero,0,IF(RAND()&lt;CondReturn,_xlfn.LOGNORM.INV(RAND(),MV2,Sigma1),IF(RAND()&lt;CondGood,_xlfn.LOGNORM.INV(RAND(),MV3,Sigma2),MIN(MaxMultiple,Xm/(1-RAND())^(1/Alpha)))))</f>
        <v>1.3901396888235851</v>
      </c>
      <c r="Q490" s="19">
        <f ca="1">IF(RAND()&lt;P_Zero,0,IF(RAND()&lt;CondReturn,_xlfn.LOGNORM.INV(RAND(),MV2,Sigma1),IF(RAND()&lt;CondGood,_xlfn.LOGNORM.INV(RAND(),MV3,Sigma2),MIN(MaxMultiple,Xm/(1-RAND())^(1/Alpha)))))</f>
        <v>1.1106694680956661</v>
      </c>
      <c r="R490" s="19">
        <f ca="1">IF(RAND()&lt;P_Zero,0,IF(RAND()&lt;CondReturn,_xlfn.LOGNORM.INV(RAND(),MV2,Sigma1),IF(RAND()&lt;CondGood,_xlfn.LOGNORM.INV(RAND(),MV3,Sigma2),MIN(MaxMultiple,Xm/(1-RAND())^(1/Alpha)))))</f>
        <v>1.4641702917624924</v>
      </c>
      <c r="S490" s="19">
        <f ca="1">IF(RAND()&lt;P_Zero,0,IF(RAND()&lt;CondReturn,_xlfn.LOGNORM.INV(RAND(),MV2,Sigma1),IF(RAND()&lt;CondGood,_xlfn.LOGNORM.INV(RAND(),MV3,Sigma2),MIN(MaxMultiple,Xm/(1-RAND())^(1/Alpha)))))</f>
        <v>0</v>
      </c>
      <c r="T490" s="19">
        <f ca="1">IF(RAND()&lt;P_Zero,0,IF(RAND()&lt;CondReturn,_xlfn.LOGNORM.INV(RAND(),MV2,Sigma1),IF(RAND()&lt;CondGood,_xlfn.LOGNORM.INV(RAND(),MV3,Sigma2),MIN(MaxMultiple,Xm/(1-RAND())^(1/Alpha)))))</f>
        <v>0.36067841953026791</v>
      </c>
      <c r="U490" s="19">
        <f ca="1">IF(RAND()&lt;P_Zero,0,IF(RAND()&lt;CondReturn,_xlfn.LOGNORM.INV(RAND(),MV2,Sigma1),IF(RAND()&lt;CondGood,_xlfn.LOGNORM.INV(RAND(),MV3,Sigma2),MIN(MaxMultiple,Xm/(1-RAND())^(1/Alpha)))))</f>
        <v>0</v>
      </c>
      <c r="V490" s="19">
        <f ca="1">IF(RAND()&lt;P_Zero,0,IF(RAND()&lt;CondReturn,_xlfn.LOGNORM.INV(RAND(),MV2,Sigma1),IF(RAND()&lt;CondGood,_xlfn.LOGNORM.INV(RAND(),MV3,Sigma2),MIN(MaxMultiple,Xm/(1-RAND())^(1/Alpha)))))</f>
        <v>0</v>
      </c>
      <c r="W490" s="19">
        <f ca="1">IF(RAND()&lt;P_Zero,0,IF(RAND()&lt;CondReturn,_xlfn.LOGNORM.INV(RAND(),MV2,Sigma1),IF(RAND()&lt;CondGood,_xlfn.LOGNORM.INV(RAND(),MV3,Sigma2),MIN(MaxMultiple,Xm/(1-RAND())^(1/Alpha)))))</f>
        <v>0.72937329222550262</v>
      </c>
      <c r="X490" s="19">
        <f ca="1">IF(RAND()&lt;P_Zero,0,IF(RAND()&lt;CondReturn,_xlfn.LOGNORM.INV(RAND(),MV2,Sigma1),IF(RAND()&lt;CondGood,_xlfn.LOGNORM.INV(RAND(),MV3,Sigma2),MIN(MaxMultiple,Xm/(1-RAND())^(1/Alpha)))))</f>
        <v>0</v>
      </c>
      <c r="Y490" s="19">
        <f ca="1">IF(RAND()&lt;P_Zero,0,IF(RAND()&lt;CondReturn,_xlfn.LOGNORM.INV(RAND(),MV2,Sigma1),IF(RAND()&lt;CondGood,_xlfn.LOGNORM.INV(RAND(),MV3,Sigma2),MIN(MaxMultiple,Xm/(1-RAND())^(1/Alpha)))))</f>
        <v>0</v>
      </c>
      <c r="Z490" s="19">
        <f ca="1">IF(RAND()&lt;P_Zero,0,IF(RAND()&lt;CondReturn,_xlfn.LOGNORM.INV(RAND(),MV2,Sigma1),IF(RAND()&lt;CondGood,_xlfn.LOGNORM.INV(RAND(),MV3,Sigma2),MIN(MaxMultiple,Xm/(1-RAND())^(1/Alpha)))))</f>
        <v>0</v>
      </c>
      <c r="AA490" s="19">
        <f ca="1">IF(RAND()&lt;P_Zero,0,IF(RAND()&lt;CondReturn,_xlfn.LOGNORM.INV(RAND(),MV2,Sigma1),IF(RAND()&lt;CondGood,_xlfn.LOGNORM.INV(RAND(),MV3,Sigma2),MIN(MaxMultiple,Xm/(1-RAND())^(1/Alpha)))))</f>
        <v>0.95077151234910029</v>
      </c>
      <c r="AB490" s="19">
        <f t="shared" ca="1" si="56"/>
        <v>0.4370328124899841</v>
      </c>
      <c r="AC490" s="14">
        <f t="shared" ca="1" si="57"/>
        <v>20977574.999519236</v>
      </c>
      <c r="AD490" s="14">
        <f t="shared" ca="1" si="58"/>
        <v>-27022425.000480764</v>
      </c>
      <c r="AE490" s="14">
        <f t="shared" si="59"/>
        <v>55628399.869093813</v>
      </c>
      <c r="AF490" s="14">
        <f t="shared" ca="1" si="60"/>
        <v>0</v>
      </c>
      <c r="AG490" s="14">
        <f t="shared" ca="1" si="61"/>
        <v>0</v>
      </c>
      <c r="AH490" s="14">
        <f t="shared" ca="1" si="62"/>
        <v>20977574.999519236</v>
      </c>
      <c r="AI490" s="19">
        <f t="shared" ca="1" si="63"/>
        <v>0.34962624999198727</v>
      </c>
    </row>
    <row r="491" spans="2:35" x14ac:dyDescent="0.2">
      <c r="B491" s="1">
        <v>486</v>
      </c>
      <c r="C491" s="19">
        <f ca="1">IF(RAND()&lt;P_Zero,0,IF(RAND()&lt;CondReturn,_xlfn.LOGNORM.INV(RAND(),MV2,Sigma1),IF(RAND()&lt;CondGood,_xlfn.LOGNORM.INV(RAND(),MV3,Sigma2),MIN(MaxMultiple,Xm/(1-RAND())^(1/Alpha)))))</f>
        <v>0.54150682683246454</v>
      </c>
      <c r="D491" s="19">
        <f ca="1">IF(RAND()&lt;P_Zero,0,IF(RAND()&lt;CondReturn,_xlfn.LOGNORM.INV(RAND(),MV2,Sigma1),IF(RAND()&lt;CondGood,_xlfn.LOGNORM.INV(RAND(),MV3,Sigma2),MIN(MaxMultiple,Xm/(1-RAND())^(1/Alpha)))))</f>
        <v>1.5783743604851643</v>
      </c>
      <c r="E491" s="19">
        <f ca="1">IF(RAND()&lt;P_Zero,0,IF(RAND()&lt;CondReturn,_xlfn.LOGNORM.INV(RAND(),MV2,Sigma1),IF(RAND()&lt;CondGood,_xlfn.LOGNORM.INV(RAND(),MV3,Sigma2),MIN(MaxMultiple,Xm/(1-RAND())^(1/Alpha)))))</f>
        <v>0</v>
      </c>
      <c r="F491" s="19">
        <f ca="1">IF(RAND()&lt;P_Zero,0,IF(RAND()&lt;CondReturn,_xlfn.LOGNORM.INV(RAND(),MV2,Sigma1),IF(RAND()&lt;CondGood,_xlfn.LOGNORM.INV(RAND(),MV3,Sigma2),MIN(MaxMultiple,Xm/(1-RAND())^(1/Alpha)))))</f>
        <v>1.5224749609658648</v>
      </c>
      <c r="G491" s="19">
        <f ca="1">IF(RAND()&lt;P_Zero,0,IF(RAND()&lt;CondReturn,_xlfn.LOGNORM.INV(RAND(),MV2,Sigma1),IF(RAND()&lt;CondGood,_xlfn.LOGNORM.INV(RAND(),MV3,Sigma2),MIN(MaxMultiple,Xm/(1-RAND())^(1/Alpha)))))</f>
        <v>0.54167929252514113</v>
      </c>
      <c r="H491" s="19">
        <f ca="1">IF(RAND()&lt;P_Zero,0,IF(RAND()&lt;CondReturn,_xlfn.LOGNORM.INV(RAND(),MV2,Sigma1),IF(RAND()&lt;CondGood,_xlfn.LOGNORM.INV(RAND(),MV3,Sigma2),MIN(MaxMultiple,Xm/(1-RAND())^(1/Alpha)))))</f>
        <v>0.58070497919293707</v>
      </c>
      <c r="I491" s="19">
        <f ca="1">IF(RAND()&lt;P_Zero,0,IF(RAND()&lt;CondReturn,_xlfn.LOGNORM.INV(RAND(),MV2,Sigma1),IF(RAND()&lt;CondGood,_xlfn.LOGNORM.INV(RAND(),MV3,Sigma2),MIN(MaxMultiple,Xm/(1-RAND())^(1/Alpha)))))</f>
        <v>0</v>
      </c>
      <c r="J491" s="19">
        <f ca="1">IF(RAND()&lt;P_Zero,0,IF(RAND()&lt;CondReturn,_xlfn.LOGNORM.INV(RAND(),MV2,Sigma1),IF(RAND()&lt;CondGood,_xlfn.LOGNORM.INV(RAND(),MV3,Sigma2),MIN(MaxMultiple,Xm/(1-RAND())^(1/Alpha)))))</f>
        <v>0</v>
      </c>
      <c r="K491" s="19">
        <f ca="1">IF(RAND()&lt;P_Zero,0,IF(RAND()&lt;CondReturn,_xlfn.LOGNORM.INV(RAND(),MV2,Sigma1),IF(RAND()&lt;CondGood,_xlfn.LOGNORM.INV(RAND(),MV3,Sigma2),MIN(MaxMultiple,Xm/(1-RAND())^(1/Alpha)))))</f>
        <v>11.860937420627915</v>
      </c>
      <c r="L491" s="19">
        <f ca="1">IF(RAND()&lt;P_Zero,0,IF(RAND()&lt;CondReturn,_xlfn.LOGNORM.INV(RAND(),MV2,Sigma1),IF(RAND()&lt;CondGood,_xlfn.LOGNORM.INV(RAND(),MV3,Sigma2),MIN(MaxMultiple,Xm/(1-RAND())^(1/Alpha)))))</f>
        <v>0</v>
      </c>
      <c r="M491" s="19">
        <f ca="1">IF(RAND()&lt;P_Zero,0,IF(RAND()&lt;CondReturn,_xlfn.LOGNORM.INV(RAND(),MV2,Sigma1),IF(RAND()&lt;CondGood,_xlfn.LOGNORM.INV(RAND(),MV3,Sigma2),MIN(MaxMultiple,Xm/(1-RAND())^(1/Alpha)))))</f>
        <v>0</v>
      </c>
      <c r="N491" s="19">
        <f ca="1">IF(RAND()&lt;P_Zero,0,IF(RAND()&lt;CondReturn,_xlfn.LOGNORM.INV(RAND(),MV2,Sigma1),IF(RAND()&lt;CondGood,_xlfn.LOGNORM.INV(RAND(),MV3,Sigma2),MIN(MaxMultiple,Xm/(1-RAND())^(1/Alpha)))))</f>
        <v>16.219083096467617</v>
      </c>
      <c r="O491" s="19">
        <f ca="1">IF(RAND()&lt;P_Zero,0,IF(RAND()&lt;CondReturn,_xlfn.LOGNORM.INV(RAND(),MV2,Sigma1),IF(RAND()&lt;CondGood,_xlfn.LOGNORM.INV(RAND(),MV3,Sigma2),MIN(MaxMultiple,Xm/(1-RAND())^(1/Alpha)))))</f>
        <v>1.3094777417369476</v>
      </c>
      <c r="P491" s="19">
        <f ca="1">IF(RAND()&lt;P_Zero,0,IF(RAND()&lt;CondReturn,_xlfn.LOGNORM.INV(RAND(),MV2,Sigma1),IF(RAND()&lt;CondGood,_xlfn.LOGNORM.INV(RAND(),MV3,Sigma2),MIN(MaxMultiple,Xm/(1-RAND())^(1/Alpha)))))</f>
        <v>0.84158403521141856</v>
      </c>
      <c r="Q491" s="19">
        <f ca="1">IF(RAND()&lt;P_Zero,0,IF(RAND()&lt;CondReturn,_xlfn.LOGNORM.INV(RAND(),MV2,Sigma1),IF(RAND()&lt;CondGood,_xlfn.LOGNORM.INV(RAND(),MV3,Sigma2),MIN(MaxMultiple,Xm/(1-RAND())^(1/Alpha)))))</f>
        <v>0</v>
      </c>
      <c r="R491" s="19">
        <f ca="1">IF(RAND()&lt;P_Zero,0,IF(RAND()&lt;CondReturn,_xlfn.LOGNORM.INV(RAND(),MV2,Sigma1),IF(RAND()&lt;CondGood,_xlfn.LOGNORM.INV(RAND(),MV3,Sigma2),MIN(MaxMultiple,Xm/(1-RAND())^(1/Alpha)))))</f>
        <v>0</v>
      </c>
      <c r="S491" s="19">
        <f ca="1">IF(RAND()&lt;P_Zero,0,IF(RAND()&lt;CondReturn,_xlfn.LOGNORM.INV(RAND(),MV2,Sigma1),IF(RAND()&lt;CondGood,_xlfn.LOGNORM.INV(RAND(),MV3,Sigma2),MIN(MaxMultiple,Xm/(1-RAND())^(1/Alpha)))))</f>
        <v>13.980287214876162</v>
      </c>
      <c r="T491" s="19">
        <f ca="1">IF(RAND()&lt;P_Zero,0,IF(RAND()&lt;CondReturn,_xlfn.LOGNORM.INV(RAND(),MV2,Sigma1),IF(RAND()&lt;CondGood,_xlfn.LOGNORM.INV(RAND(),MV3,Sigma2),MIN(MaxMultiple,Xm/(1-RAND())^(1/Alpha)))))</f>
        <v>1.117764893034829</v>
      </c>
      <c r="U491" s="19">
        <f ca="1">IF(RAND()&lt;P_Zero,0,IF(RAND()&lt;CondReturn,_xlfn.LOGNORM.INV(RAND(),MV2,Sigma1),IF(RAND()&lt;CondGood,_xlfn.LOGNORM.INV(RAND(),MV3,Sigma2),MIN(MaxMultiple,Xm/(1-RAND())^(1/Alpha)))))</f>
        <v>0</v>
      </c>
      <c r="V491" s="19">
        <f ca="1">IF(RAND()&lt;P_Zero,0,IF(RAND()&lt;CondReturn,_xlfn.LOGNORM.INV(RAND(),MV2,Sigma1),IF(RAND()&lt;CondGood,_xlfn.LOGNORM.INV(RAND(),MV3,Sigma2),MIN(MaxMultiple,Xm/(1-RAND())^(1/Alpha)))))</f>
        <v>0.56703610302457941</v>
      </c>
      <c r="W491" s="19">
        <f ca="1">IF(RAND()&lt;P_Zero,0,IF(RAND()&lt;CondReturn,_xlfn.LOGNORM.INV(RAND(),MV2,Sigma1),IF(RAND()&lt;CondGood,_xlfn.LOGNORM.INV(RAND(),MV3,Sigma2),MIN(MaxMultiple,Xm/(1-RAND())^(1/Alpha)))))</f>
        <v>0</v>
      </c>
      <c r="X491" s="19">
        <f ca="1">IF(RAND()&lt;P_Zero,0,IF(RAND()&lt;CondReturn,_xlfn.LOGNORM.INV(RAND(),MV2,Sigma1),IF(RAND()&lt;CondGood,_xlfn.LOGNORM.INV(RAND(),MV3,Sigma2),MIN(MaxMultiple,Xm/(1-RAND())^(1/Alpha)))))</f>
        <v>0</v>
      </c>
      <c r="Y491" s="19">
        <f ca="1">IF(RAND()&lt;P_Zero,0,IF(RAND()&lt;CondReturn,_xlfn.LOGNORM.INV(RAND(),MV2,Sigma1),IF(RAND()&lt;CondGood,_xlfn.LOGNORM.INV(RAND(),MV3,Sigma2),MIN(MaxMultiple,Xm/(1-RAND())^(1/Alpha)))))</f>
        <v>1.9551198817734889</v>
      </c>
      <c r="Z491" s="19">
        <f ca="1">IF(RAND()&lt;P_Zero,0,IF(RAND()&lt;CondReturn,_xlfn.LOGNORM.INV(RAND(),MV2,Sigma1),IF(RAND()&lt;CondGood,_xlfn.LOGNORM.INV(RAND(),MV3,Sigma2),MIN(MaxMultiple,Xm/(1-RAND())^(1/Alpha)))))</f>
        <v>12.634135320809932</v>
      </c>
      <c r="AA491" s="19">
        <f ca="1">IF(RAND()&lt;P_Zero,0,IF(RAND()&lt;CondReturn,_xlfn.LOGNORM.INV(RAND(),MV2,Sigma1),IF(RAND()&lt;CondGood,_xlfn.LOGNORM.INV(RAND(),MV3,Sigma2),MIN(MaxMultiple,Xm/(1-RAND())^(1/Alpha)))))</f>
        <v>0</v>
      </c>
      <c r="AB491" s="19">
        <f t="shared" ca="1" si="56"/>
        <v>2.6100066451025787</v>
      </c>
      <c r="AC491" s="14">
        <f t="shared" ca="1" si="57"/>
        <v>125280318.96492378</v>
      </c>
      <c r="AD491" s="14">
        <f t="shared" ca="1" si="58"/>
        <v>77280318.964923784</v>
      </c>
      <c r="AE491" s="14">
        <f t="shared" si="59"/>
        <v>55628399.869093813</v>
      </c>
      <c r="AF491" s="14">
        <f t="shared" ca="1" si="60"/>
        <v>21651919.095829971</v>
      </c>
      <c r="AG491" s="14">
        <f t="shared" ca="1" si="61"/>
        <v>4330383.8191659944</v>
      </c>
      <c r="AH491" s="14">
        <f t="shared" ca="1" si="62"/>
        <v>120949935.14575779</v>
      </c>
      <c r="AI491" s="19">
        <f t="shared" ca="1" si="63"/>
        <v>2.0158322524292966</v>
      </c>
    </row>
    <row r="492" spans="2:35" x14ac:dyDescent="0.2">
      <c r="B492" s="1">
        <v>487</v>
      </c>
      <c r="C492" s="19">
        <f ca="1">IF(RAND()&lt;P_Zero,0,IF(RAND()&lt;CondReturn,_xlfn.LOGNORM.INV(RAND(),MV2,Sigma1),IF(RAND()&lt;CondGood,_xlfn.LOGNORM.INV(RAND(),MV3,Sigma2),MIN(MaxMultiple,Xm/(1-RAND())^(1/Alpha)))))</f>
        <v>32.38575404365394</v>
      </c>
      <c r="D492" s="19">
        <f ca="1">IF(RAND()&lt;P_Zero,0,IF(RAND()&lt;CondReturn,_xlfn.LOGNORM.INV(RAND(),MV2,Sigma1),IF(RAND()&lt;CondGood,_xlfn.LOGNORM.INV(RAND(),MV3,Sigma2),MIN(MaxMultiple,Xm/(1-RAND())^(1/Alpha)))))</f>
        <v>0</v>
      </c>
      <c r="E492" s="19">
        <f ca="1">IF(RAND()&lt;P_Zero,0,IF(RAND()&lt;CondReturn,_xlfn.LOGNORM.INV(RAND(),MV2,Sigma1),IF(RAND()&lt;CondGood,_xlfn.LOGNORM.INV(RAND(),MV3,Sigma2),MIN(MaxMultiple,Xm/(1-RAND())^(1/Alpha)))))</f>
        <v>0.72173974468633972</v>
      </c>
      <c r="F492" s="19">
        <f ca="1">IF(RAND()&lt;P_Zero,0,IF(RAND()&lt;CondReturn,_xlfn.LOGNORM.INV(RAND(),MV2,Sigma1),IF(RAND()&lt;CondGood,_xlfn.LOGNORM.INV(RAND(),MV3,Sigma2),MIN(MaxMultiple,Xm/(1-RAND())^(1/Alpha)))))</f>
        <v>0.47856080826189668</v>
      </c>
      <c r="G492" s="19">
        <f ca="1">IF(RAND()&lt;P_Zero,0,IF(RAND()&lt;CondReturn,_xlfn.LOGNORM.INV(RAND(),MV2,Sigma1),IF(RAND()&lt;CondGood,_xlfn.LOGNORM.INV(RAND(),MV3,Sigma2),MIN(MaxMultiple,Xm/(1-RAND())^(1/Alpha)))))</f>
        <v>0.60253214172021452</v>
      </c>
      <c r="H492" s="19">
        <f ca="1">IF(RAND()&lt;P_Zero,0,IF(RAND()&lt;CondReturn,_xlfn.LOGNORM.INV(RAND(),MV2,Sigma1),IF(RAND()&lt;CondGood,_xlfn.LOGNORM.INV(RAND(),MV3,Sigma2),MIN(MaxMultiple,Xm/(1-RAND())^(1/Alpha)))))</f>
        <v>0</v>
      </c>
      <c r="I492" s="19">
        <f ca="1">IF(RAND()&lt;P_Zero,0,IF(RAND()&lt;CondReturn,_xlfn.LOGNORM.INV(RAND(),MV2,Sigma1),IF(RAND()&lt;CondGood,_xlfn.LOGNORM.INV(RAND(),MV3,Sigma2),MIN(MaxMultiple,Xm/(1-RAND())^(1/Alpha)))))</f>
        <v>24.938718139108495</v>
      </c>
      <c r="J492" s="19">
        <f ca="1">IF(RAND()&lt;P_Zero,0,IF(RAND()&lt;CondReturn,_xlfn.LOGNORM.INV(RAND(),MV2,Sigma1),IF(RAND()&lt;CondGood,_xlfn.LOGNORM.INV(RAND(),MV3,Sigma2),MIN(MaxMultiple,Xm/(1-RAND())^(1/Alpha)))))</f>
        <v>2.0969771413991278</v>
      </c>
      <c r="K492" s="19">
        <f ca="1">IF(RAND()&lt;P_Zero,0,IF(RAND()&lt;CondReturn,_xlfn.LOGNORM.INV(RAND(),MV2,Sigma1),IF(RAND()&lt;CondGood,_xlfn.LOGNORM.INV(RAND(),MV3,Sigma2),MIN(MaxMultiple,Xm/(1-RAND())^(1/Alpha)))))</f>
        <v>0.89145342810650252</v>
      </c>
      <c r="L492" s="19">
        <f ca="1">IF(RAND()&lt;P_Zero,0,IF(RAND()&lt;CondReturn,_xlfn.LOGNORM.INV(RAND(),MV2,Sigma1),IF(RAND()&lt;CondGood,_xlfn.LOGNORM.INV(RAND(),MV3,Sigma2),MIN(MaxMultiple,Xm/(1-RAND())^(1/Alpha)))))</f>
        <v>0</v>
      </c>
      <c r="M492" s="19">
        <f ca="1">IF(RAND()&lt;P_Zero,0,IF(RAND()&lt;CondReturn,_xlfn.LOGNORM.INV(RAND(),MV2,Sigma1),IF(RAND()&lt;CondGood,_xlfn.LOGNORM.INV(RAND(),MV3,Sigma2),MIN(MaxMultiple,Xm/(1-RAND())^(1/Alpha)))))</f>
        <v>0.87083529755679179</v>
      </c>
      <c r="N492" s="19">
        <f ca="1">IF(RAND()&lt;P_Zero,0,IF(RAND()&lt;CondReturn,_xlfn.LOGNORM.INV(RAND(),MV2,Sigma1),IF(RAND()&lt;CondGood,_xlfn.LOGNORM.INV(RAND(),MV3,Sigma2),MIN(MaxMultiple,Xm/(1-RAND())^(1/Alpha)))))</f>
        <v>0</v>
      </c>
      <c r="O492" s="19">
        <f ca="1">IF(RAND()&lt;P_Zero,0,IF(RAND()&lt;CondReturn,_xlfn.LOGNORM.INV(RAND(),MV2,Sigma1),IF(RAND()&lt;CondGood,_xlfn.LOGNORM.INV(RAND(),MV3,Sigma2),MIN(MaxMultiple,Xm/(1-RAND())^(1/Alpha)))))</f>
        <v>0</v>
      </c>
      <c r="P492" s="19">
        <f ca="1">IF(RAND()&lt;P_Zero,0,IF(RAND()&lt;CondReturn,_xlfn.LOGNORM.INV(RAND(),MV2,Sigma1),IF(RAND()&lt;CondGood,_xlfn.LOGNORM.INV(RAND(),MV3,Sigma2),MIN(MaxMultiple,Xm/(1-RAND())^(1/Alpha)))))</f>
        <v>1.6400142746551651</v>
      </c>
      <c r="Q492" s="19">
        <f ca="1">IF(RAND()&lt;P_Zero,0,IF(RAND()&lt;CondReturn,_xlfn.LOGNORM.INV(RAND(),MV2,Sigma1),IF(RAND()&lt;CondGood,_xlfn.LOGNORM.INV(RAND(),MV3,Sigma2),MIN(MaxMultiple,Xm/(1-RAND())^(1/Alpha)))))</f>
        <v>0</v>
      </c>
      <c r="R492" s="19">
        <f ca="1">IF(RAND()&lt;P_Zero,0,IF(RAND()&lt;CondReturn,_xlfn.LOGNORM.INV(RAND(),MV2,Sigma1),IF(RAND()&lt;CondGood,_xlfn.LOGNORM.INV(RAND(),MV3,Sigma2),MIN(MaxMultiple,Xm/(1-RAND())^(1/Alpha)))))</f>
        <v>0</v>
      </c>
      <c r="S492" s="19">
        <f ca="1">IF(RAND()&lt;P_Zero,0,IF(RAND()&lt;CondReturn,_xlfn.LOGNORM.INV(RAND(),MV2,Sigma1),IF(RAND()&lt;CondGood,_xlfn.LOGNORM.INV(RAND(),MV3,Sigma2),MIN(MaxMultiple,Xm/(1-RAND())^(1/Alpha)))))</f>
        <v>1.430493649384847</v>
      </c>
      <c r="T492" s="19">
        <f ca="1">IF(RAND()&lt;P_Zero,0,IF(RAND()&lt;CondReturn,_xlfn.LOGNORM.INV(RAND(),MV2,Sigma1),IF(RAND()&lt;CondGood,_xlfn.LOGNORM.INV(RAND(),MV3,Sigma2),MIN(MaxMultiple,Xm/(1-RAND())^(1/Alpha)))))</f>
        <v>1.9203898457995028</v>
      </c>
      <c r="U492" s="19">
        <f ca="1">IF(RAND()&lt;P_Zero,0,IF(RAND()&lt;CondReturn,_xlfn.LOGNORM.INV(RAND(),MV2,Sigma1),IF(RAND()&lt;CondGood,_xlfn.LOGNORM.INV(RAND(),MV3,Sigma2),MIN(MaxMultiple,Xm/(1-RAND())^(1/Alpha)))))</f>
        <v>0</v>
      </c>
      <c r="V492" s="19">
        <f ca="1">IF(RAND()&lt;P_Zero,0,IF(RAND()&lt;CondReturn,_xlfn.LOGNORM.INV(RAND(),MV2,Sigma1),IF(RAND()&lt;CondGood,_xlfn.LOGNORM.INV(RAND(),MV3,Sigma2),MIN(MaxMultiple,Xm/(1-RAND())^(1/Alpha)))))</f>
        <v>0</v>
      </c>
      <c r="W492" s="19">
        <f ca="1">IF(RAND()&lt;P_Zero,0,IF(RAND()&lt;CondReturn,_xlfn.LOGNORM.INV(RAND(),MV2,Sigma1),IF(RAND()&lt;CondGood,_xlfn.LOGNORM.INV(RAND(),MV3,Sigma2),MIN(MaxMultiple,Xm/(1-RAND())^(1/Alpha)))))</f>
        <v>1.4065505181293734</v>
      </c>
      <c r="X492" s="19">
        <f ca="1">IF(RAND()&lt;P_Zero,0,IF(RAND()&lt;CondReturn,_xlfn.LOGNORM.INV(RAND(),MV2,Sigma1),IF(RAND()&lt;CondGood,_xlfn.LOGNORM.INV(RAND(),MV3,Sigma2),MIN(MaxMultiple,Xm/(1-RAND())^(1/Alpha)))))</f>
        <v>1.0590457641524822</v>
      </c>
      <c r="Y492" s="19">
        <f ca="1">IF(RAND()&lt;P_Zero,0,IF(RAND()&lt;CondReturn,_xlfn.LOGNORM.INV(RAND(),MV2,Sigma1),IF(RAND()&lt;CondGood,_xlfn.LOGNORM.INV(RAND(),MV3,Sigma2),MIN(MaxMultiple,Xm/(1-RAND())^(1/Alpha)))))</f>
        <v>0.3529193927237429</v>
      </c>
      <c r="Z492" s="19">
        <f ca="1">IF(RAND()&lt;P_Zero,0,IF(RAND()&lt;CondReturn,_xlfn.LOGNORM.INV(RAND(),MV2,Sigma1),IF(RAND()&lt;CondGood,_xlfn.LOGNORM.INV(RAND(),MV3,Sigma2),MIN(MaxMultiple,Xm/(1-RAND())^(1/Alpha)))))</f>
        <v>0</v>
      </c>
      <c r="AA492" s="19">
        <f ca="1">IF(RAND()&lt;P_Zero,0,IF(RAND()&lt;CondReturn,_xlfn.LOGNORM.INV(RAND(),MV2,Sigma1),IF(RAND()&lt;CondGood,_xlfn.LOGNORM.INV(RAND(),MV3,Sigma2),MIN(MaxMultiple,Xm/(1-RAND())^(1/Alpha)))))</f>
        <v>0.37366559397990839</v>
      </c>
      <c r="AB492" s="19">
        <f t="shared" ca="1" si="56"/>
        <v>2.8467859913327338</v>
      </c>
      <c r="AC492" s="14">
        <f t="shared" ca="1" si="57"/>
        <v>136645727.58397123</v>
      </c>
      <c r="AD492" s="14">
        <f t="shared" ca="1" si="58"/>
        <v>88645727.583971232</v>
      </c>
      <c r="AE492" s="14">
        <f t="shared" si="59"/>
        <v>55628399.869093813</v>
      </c>
      <c r="AF492" s="14">
        <f t="shared" ca="1" si="60"/>
        <v>33017327.714877419</v>
      </c>
      <c r="AG492" s="14">
        <f t="shared" ca="1" si="61"/>
        <v>6603465.5429754844</v>
      </c>
      <c r="AH492" s="14">
        <f t="shared" ca="1" si="62"/>
        <v>130042262.04099575</v>
      </c>
      <c r="AI492" s="19">
        <f t="shared" ca="1" si="63"/>
        <v>2.1673710340165959</v>
      </c>
    </row>
    <row r="493" spans="2:35" x14ac:dyDescent="0.2">
      <c r="B493" s="1">
        <v>488</v>
      </c>
      <c r="C493" s="19">
        <f ca="1">IF(RAND()&lt;P_Zero,0,IF(RAND()&lt;CondReturn,_xlfn.LOGNORM.INV(RAND(),MV2,Sigma1),IF(RAND()&lt;CondGood,_xlfn.LOGNORM.INV(RAND(),MV3,Sigma2),MIN(MaxMultiple,Xm/(1-RAND())^(1/Alpha)))))</f>
        <v>0</v>
      </c>
      <c r="D493" s="19">
        <f ca="1">IF(RAND()&lt;P_Zero,0,IF(RAND()&lt;CondReturn,_xlfn.LOGNORM.INV(RAND(),MV2,Sigma1),IF(RAND()&lt;CondGood,_xlfn.LOGNORM.INV(RAND(),MV3,Sigma2),MIN(MaxMultiple,Xm/(1-RAND())^(1/Alpha)))))</f>
        <v>0.38804975502301492</v>
      </c>
      <c r="E493" s="19">
        <f ca="1">IF(RAND()&lt;P_Zero,0,IF(RAND()&lt;CondReturn,_xlfn.LOGNORM.INV(RAND(),MV2,Sigma1),IF(RAND()&lt;CondGood,_xlfn.LOGNORM.INV(RAND(),MV3,Sigma2),MIN(MaxMultiple,Xm/(1-RAND())^(1/Alpha)))))</f>
        <v>0.6412082277848995</v>
      </c>
      <c r="F493" s="19">
        <f ca="1">IF(RAND()&lt;P_Zero,0,IF(RAND()&lt;CondReturn,_xlfn.LOGNORM.INV(RAND(),MV2,Sigma1),IF(RAND()&lt;CondGood,_xlfn.LOGNORM.INV(RAND(),MV3,Sigma2),MIN(MaxMultiple,Xm/(1-RAND())^(1/Alpha)))))</f>
        <v>1.5878844331419959</v>
      </c>
      <c r="G493" s="19">
        <f ca="1">IF(RAND()&lt;P_Zero,0,IF(RAND()&lt;CondReturn,_xlfn.LOGNORM.INV(RAND(),MV2,Sigma1),IF(RAND()&lt;CondGood,_xlfn.LOGNORM.INV(RAND(),MV3,Sigma2),MIN(MaxMultiple,Xm/(1-RAND())^(1/Alpha)))))</f>
        <v>0</v>
      </c>
      <c r="H493" s="19">
        <f ca="1">IF(RAND()&lt;P_Zero,0,IF(RAND()&lt;CondReturn,_xlfn.LOGNORM.INV(RAND(),MV2,Sigma1),IF(RAND()&lt;CondGood,_xlfn.LOGNORM.INV(RAND(),MV3,Sigma2),MIN(MaxMultiple,Xm/(1-RAND())^(1/Alpha)))))</f>
        <v>0</v>
      </c>
      <c r="I493" s="19">
        <f ca="1">IF(RAND()&lt;P_Zero,0,IF(RAND()&lt;CondReturn,_xlfn.LOGNORM.INV(RAND(),MV2,Sigma1),IF(RAND()&lt;CondGood,_xlfn.LOGNORM.INV(RAND(),MV3,Sigma2),MIN(MaxMultiple,Xm/(1-RAND())^(1/Alpha)))))</f>
        <v>0</v>
      </c>
      <c r="J493" s="19">
        <f ca="1">IF(RAND()&lt;P_Zero,0,IF(RAND()&lt;CondReturn,_xlfn.LOGNORM.INV(RAND(),MV2,Sigma1),IF(RAND()&lt;CondGood,_xlfn.LOGNORM.INV(RAND(),MV3,Sigma2),MIN(MaxMultiple,Xm/(1-RAND())^(1/Alpha)))))</f>
        <v>0</v>
      </c>
      <c r="K493" s="19">
        <f ca="1">IF(RAND()&lt;P_Zero,0,IF(RAND()&lt;CondReturn,_xlfn.LOGNORM.INV(RAND(),MV2,Sigma1),IF(RAND()&lt;CondGood,_xlfn.LOGNORM.INV(RAND(),MV3,Sigma2),MIN(MaxMultiple,Xm/(1-RAND())^(1/Alpha)))))</f>
        <v>0</v>
      </c>
      <c r="L493" s="19">
        <f ca="1">IF(RAND()&lt;P_Zero,0,IF(RAND()&lt;CondReturn,_xlfn.LOGNORM.INV(RAND(),MV2,Sigma1),IF(RAND()&lt;CondGood,_xlfn.LOGNORM.INV(RAND(),MV3,Sigma2),MIN(MaxMultiple,Xm/(1-RAND())^(1/Alpha)))))</f>
        <v>1.7086079177297449</v>
      </c>
      <c r="M493" s="19">
        <f ca="1">IF(RAND()&lt;P_Zero,0,IF(RAND()&lt;CondReturn,_xlfn.LOGNORM.INV(RAND(),MV2,Sigma1),IF(RAND()&lt;CondGood,_xlfn.LOGNORM.INV(RAND(),MV3,Sigma2),MIN(MaxMultiple,Xm/(1-RAND())^(1/Alpha)))))</f>
        <v>0.84702514199538625</v>
      </c>
      <c r="N493" s="19">
        <f ca="1">IF(RAND()&lt;P_Zero,0,IF(RAND()&lt;CondReturn,_xlfn.LOGNORM.INV(RAND(),MV2,Sigma1),IF(RAND()&lt;CondGood,_xlfn.LOGNORM.INV(RAND(),MV3,Sigma2),MIN(MaxMultiple,Xm/(1-RAND())^(1/Alpha)))))</f>
        <v>1.2164070776212956</v>
      </c>
      <c r="O493" s="19">
        <f ca="1">IF(RAND()&lt;P_Zero,0,IF(RAND()&lt;CondReturn,_xlfn.LOGNORM.INV(RAND(),MV2,Sigma1),IF(RAND()&lt;CondGood,_xlfn.LOGNORM.INV(RAND(),MV3,Sigma2),MIN(MaxMultiple,Xm/(1-RAND())^(1/Alpha)))))</f>
        <v>0.92219799531123947</v>
      </c>
      <c r="P493" s="19">
        <f ca="1">IF(RAND()&lt;P_Zero,0,IF(RAND()&lt;CondReturn,_xlfn.LOGNORM.INV(RAND(),MV2,Sigma1),IF(RAND()&lt;CondGood,_xlfn.LOGNORM.INV(RAND(),MV3,Sigma2),MIN(MaxMultiple,Xm/(1-RAND())^(1/Alpha)))))</f>
        <v>0.6092619222336817</v>
      </c>
      <c r="Q493" s="19">
        <f ca="1">IF(RAND()&lt;P_Zero,0,IF(RAND()&lt;CondReturn,_xlfn.LOGNORM.INV(RAND(),MV2,Sigma1),IF(RAND()&lt;CondGood,_xlfn.LOGNORM.INV(RAND(),MV3,Sigma2),MIN(MaxMultiple,Xm/(1-RAND())^(1/Alpha)))))</f>
        <v>0.85333508261423274</v>
      </c>
      <c r="R493" s="19">
        <f ca="1">IF(RAND()&lt;P_Zero,0,IF(RAND()&lt;CondReturn,_xlfn.LOGNORM.INV(RAND(),MV2,Sigma1),IF(RAND()&lt;CondGood,_xlfn.LOGNORM.INV(RAND(),MV3,Sigma2),MIN(MaxMultiple,Xm/(1-RAND())^(1/Alpha)))))</f>
        <v>143.97323150921457</v>
      </c>
      <c r="S493" s="19">
        <f ca="1">IF(RAND()&lt;P_Zero,0,IF(RAND()&lt;CondReturn,_xlfn.LOGNORM.INV(RAND(),MV2,Sigma1),IF(RAND()&lt;CondGood,_xlfn.LOGNORM.INV(RAND(),MV3,Sigma2),MIN(MaxMultiple,Xm/(1-RAND())^(1/Alpha)))))</f>
        <v>0.57035697600441038</v>
      </c>
      <c r="T493" s="19">
        <f ca="1">IF(RAND()&lt;P_Zero,0,IF(RAND()&lt;CondReturn,_xlfn.LOGNORM.INV(RAND(),MV2,Sigma1),IF(RAND()&lt;CondGood,_xlfn.LOGNORM.INV(RAND(),MV3,Sigma2),MIN(MaxMultiple,Xm/(1-RAND())^(1/Alpha)))))</f>
        <v>1.1936828643059787</v>
      </c>
      <c r="U493" s="19">
        <f ca="1">IF(RAND()&lt;P_Zero,0,IF(RAND()&lt;CondReturn,_xlfn.LOGNORM.INV(RAND(),MV2,Sigma1),IF(RAND()&lt;CondGood,_xlfn.LOGNORM.INV(RAND(),MV3,Sigma2),MIN(MaxMultiple,Xm/(1-RAND())^(1/Alpha)))))</f>
        <v>0.91998784161081437</v>
      </c>
      <c r="V493" s="19">
        <f ca="1">IF(RAND()&lt;P_Zero,0,IF(RAND()&lt;CondReturn,_xlfn.LOGNORM.INV(RAND(),MV2,Sigma1),IF(RAND()&lt;CondGood,_xlfn.LOGNORM.INV(RAND(),MV3,Sigma2),MIN(MaxMultiple,Xm/(1-RAND())^(1/Alpha)))))</f>
        <v>0</v>
      </c>
      <c r="W493" s="19">
        <f ca="1">IF(RAND()&lt;P_Zero,0,IF(RAND()&lt;CondReturn,_xlfn.LOGNORM.INV(RAND(),MV2,Sigma1),IF(RAND()&lt;CondGood,_xlfn.LOGNORM.INV(RAND(),MV3,Sigma2),MIN(MaxMultiple,Xm/(1-RAND())^(1/Alpha)))))</f>
        <v>0.57555556215356596</v>
      </c>
      <c r="X493" s="19">
        <f ca="1">IF(RAND()&lt;P_Zero,0,IF(RAND()&lt;CondReturn,_xlfn.LOGNORM.INV(RAND(),MV2,Sigma1),IF(RAND()&lt;CondGood,_xlfn.LOGNORM.INV(RAND(),MV3,Sigma2),MIN(MaxMultiple,Xm/(1-RAND())^(1/Alpha)))))</f>
        <v>0.76465270075844938</v>
      </c>
      <c r="Y493" s="19">
        <f ca="1">IF(RAND()&lt;P_Zero,0,IF(RAND()&lt;CondReturn,_xlfn.LOGNORM.INV(RAND(),MV2,Sigma1),IF(RAND()&lt;CondGood,_xlfn.LOGNORM.INV(RAND(),MV3,Sigma2),MIN(MaxMultiple,Xm/(1-RAND())^(1/Alpha)))))</f>
        <v>0.5546301178341595</v>
      </c>
      <c r="Z493" s="19">
        <f ca="1">IF(RAND()&lt;P_Zero,0,IF(RAND()&lt;CondReturn,_xlfn.LOGNORM.INV(RAND(),MV2,Sigma1),IF(RAND()&lt;CondGood,_xlfn.LOGNORM.INV(RAND(),MV3,Sigma2),MIN(MaxMultiple,Xm/(1-RAND())^(1/Alpha)))))</f>
        <v>0</v>
      </c>
      <c r="AA493" s="19">
        <f ca="1">IF(RAND()&lt;P_Zero,0,IF(RAND()&lt;CondReturn,_xlfn.LOGNORM.INV(RAND(),MV2,Sigma1),IF(RAND()&lt;CondGood,_xlfn.LOGNORM.INV(RAND(),MV3,Sigma2),MIN(MaxMultiple,Xm/(1-RAND())^(1/Alpha)))))</f>
        <v>0.5905900727123492</v>
      </c>
      <c r="AB493" s="19">
        <f t="shared" ca="1" si="56"/>
        <v>6.3166666079219915</v>
      </c>
      <c r="AC493" s="14">
        <f t="shared" ca="1" si="57"/>
        <v>303199997.18025559</v>
      </c>
      <c r="AD493" s="14">
        <f t="shared" ca="1" si="58"/>
        <v>255199997.18025559</v>
      </c>
      <c r="AE493" s="14">
        <f t="shared" si="59"/>
        <v>55628399.869093813</v>
      </c>
      <c r="AF493" s="14">
        <f t="shared" ca="1" si="60"/>
        <v>199571597.31116179</v>
      </c>
      <c r="AG493" s="14">
        <f t="shared" ca="1" si="61"/>
        <v>39914319.462232359</v>
      </c>
      <c r="AH493" s="14">
        <f t="shared" ca="1" si="62"/>
        <v>263285677.71802324</v>
      </c>
      <c r="AI493" s="19">
        <f t="shared" ca="1" si="63"/>
        <v>4.3880946286337208</v>
      </c>
    </row>
    <row r="494" spans="2:35" x14ac:dyDescent="0.2">
      <c r="B494" s="1">
        <v>489</v>
      </c>
      <c r="C494" s="19">
        <f ca="1">IF(RAND()&lt;P_Zero,0,IF(RAND()&lt;CondReturn,_xlfn.LOGNORM.INV(RAND(),MV2,Sigma1),IF(RAND()&lt;CondGood,_xlfn.LOGNORM.INV(RAND(),MV3,Sigma2),MIN(MaxMultiple,Xm/(1-RAND())^(1/Alpha)))))</f>
        <v>1.8958578950539653</v>
      </c>
      <c r="D494" s="19">
        <f ca="1">IF(RAND()&lt;P_Zero,0,IF(RAND()&lt;CondReturn,_xlfn.LOGNORM.INV(RAND(),MV2,Sigma1),IF(RAND()&lt;CondGood,_xlfn.LOGNORM.INV(RAND(),MV3,Sigma2),MIN(MaxMultiple,Xm/(1-RAND())^(1/Alpha)))))</f>
        <v>17.138658612251167</v>
      </c>
      <c r="E494" s="19">
        <f ca="1">IF(RAND()&lt;P_Zero,0,IF(RAND()&lt;CondReturn,_xlfn.LOGNORM.INV(RAND(),MV2,Sigma1),IF(RAND()&lt;CondGood,_xlfn.LOGNORM.INV(RAND(),MV3,Sigma2),MIN(MaxMultiple,Xm/(1-RAND())^(1/Alpha)))))</f>
        <v>0</v>
      </c>
      <c r="F494" s="19">
        <f ca="1">IF(RAND()&lt;P_Zero,0,IF(RAND()&lt;CondReturn,_xlfn.LOGNORM.INV(RAND(),MV2,Sigma1),IF(RAND()&lt;CondGood,_xlfn.LOGNORM.INV(RAND(),MV3,Sigma2),MIN(MaxMultiple,Xm/(1-RAND())^(1/Alpha)))))</f>
        <v>0.78168569726348591</v>
      </c>
      <c r="G494" s="19">
        <f ca="1">IF(RAND()&lt;P_Zero,0,IF(RAND()&lt;CondReturn,_xlfn.LOGNORM.INV(RAND(),MV2,Sigma1),IF(RAND()&lt;CondGood,_xlfn.LOGNORM.INV(RAND(),MV3,Sigma2),MIN(MaxMultiple,Xm/(1-RAND())^(1/Alpha)))))</f>
        <v>2.3093237589278841</v>
      </c>
      <c r="H494" s="19">
        <f ca="1">IF(RAND()&lt;P_Zero,0,IF(RAND()&lt;CondReturn,_xlfn.LOGNORM.INV(RAND(),MV2,Sigma1),IF(RAND()&lt;CondGood,_xlfn.LOGNORM.INV(RAND(),MV3,Sigma2),MIN(MaxMultiple,Xm/(1-RAND())^(1/Alpha)))))</f>
        <v>0.44693942694559097</v>
      </c>
      <c r="I494" s="19">
        <f ca="1">IF(RAND()&lt;P_Zero,0,IF(RAND()&lt;CondReturn,_xlfn.LOGNORM.INV(RAND(),MV2,Sigma1),IF(RAND()&lt;CondGood,_xlfn.LOGNORM.INV(RAND(),MV3,Sigma2),MIN(MaxMultiple,Xm/(1-RAND())^(1/Alpha)))))</f>
        <v>0.98614312362157297</v>
      </c>
      <c r="J494" s="19">
        <f ca="1">IF(RAND()&lt;P_Zero,0,IF(RAND()&lt;CondReturn,_xlfn.LOGNORM.INV(RAND(),MV2,Sigma1),IF(RAND()&lt;CondGood,_xlfn.LOGNORM.INV(RAND(),MV3,Sigma2),MIN(MaxMultiple,Xm/(1-RAND())^(1/Alpha)))))</f>
        <v>0</v>
      </c>
      <c r="K494" s="19">
        <f ca="1">IF(RAND()&lt;P_Zero,0,IF(RAND()&lt;CondReturn,_xlfn.LOGNORM.INV(RAND(),MV2,Sigma1),IF(RAND()&lt;CondGood,_xlfn.LOGNORM.INV(RAND(),MV3,Sigma2),MIN(MaxMultiple,Xm/(1-RAND())^(1/Alpha)))))</f>
        <v>0.89332590028498216</v>
      </c>
      <c r="L494" s="19">
        <f ca="1">IF(RAND()&lt;P_Zero,0,IF(RAND()&lt;CondReturn,_xlfn.LOGNORM.INV(RAND(),MV2,Sigma1),IF(RAND()&lt;CondGood,_xlfn.LOGNORM.INV(RAND(),MV3,Sigma2),MIN(MaxMultiple,Xm/(1-RAND())^(1/Alpha)))))</f>
        <v>0</v>
      </c>
      <c r="M494" s="19">
        <f ca="1">IF(RAND()&lt;P_Zero,0,IF(RAND()&lt;CondReturn,_xlfn.LOGNORM.INV(RAND(),MV2,Sigma1),IF(RAND()&lt;CondGood,_xlfn.LOGNORM.INV(RAND(),MV3,Sigma2),MIN(MaxMultiple,Xm/(1-RAND())^(1/Alpha)))))</f>
        <v>0</v>
      </c>
      <c r="N494" s="19">
        <f ca="1">IF(RAND()&lt;P_Zero,0,IF(RAND()&lt;CondReturn,_xlfn.LOGNORM.INV(RAND(),MV2,Sigma1),IF(RAND()&lt;CondGood,_xlfn.LOGNORM.INV(RAND(),MV3,Sigma2),MIN(MaxMultiple,Xm/(1-RAND())^(1/Alpha)))))</f>
        <v>0</v>
      </c>
      <c r="O494" s="19">
        <f ca="1">IF(RAND()&lt;P_Zero,0,IF(RAND()&lt;CondReturn,_xlfn.LOGNORM.INV(RAND(),MV2,Sigma1),IF(RAND()&lt;CondGood,_xlfn.LOGNORM.INV(RAND(),MV3,Sigma2),MIN(MaxMultiple,Xm/(1-RAND())^(1/Alpha)))))</f>
        <v>1.0039607764860776</v>
      </c>
      <c r="P494" s="19">
        <f ca="1">IF(RAND()&lt;P_Zero,0,IF(RAND()&lt;CondReturn,_xlfn.LOGNORM.INV(RAND(),MV2,Sigma1),IF(RAND()&lt;CondGood,_xlfn.LOGNORM.INV(RAND(),MV3,Sigma2),MIN(MaxMultiple,Xm/(1-RAND())^(1/Alpha)))))</f>
        <v>0.60748701627890855</v>
      </c>
      <c r="Q494" s="19">
        <f ca="1">IF(RAND()&lt;P_Zero,0,IF(RAND()&lt;CondReturn,_xlfn.LOGNORM.INV(RAND(),MV2,Sigma1),IF(RAND()&lt;CondGood,_xlfn.LOGNORM.INV(RAND(),MV3,Sigma2),MIN(MaxMultiple,Xm/(1-RAND())^(1/Alpha)))))</f>
        <v>106.98296957857289</v>
      </c>
      <c r="R494" s="19">
        <f ca="1">IF(RAND()&lt;P_Zero,0,IF(RAND()&lt;CondReturn,_xlfn.LOGNORM.INV(RAND(),MV2,Sigma1),IF(RAND()&lt;CondGood,_xlfn.LOGNORM.INV(RAND(),MV3,Sigma2),MIN(MaxMultiple,Xm/(1-RAND())^(1/Alpha)))))</f>
        <v>0.63894203328446508</v>
      </c>
      <c r="S494" s="19">
        <f ca="1">IF(RAND()&lt;P_Zero,0,IF(RAND()&lt;CondReturn,_xlfn.LOGNORM.INV(RAND(),MV2,Sigma1),IF(RAND()&lt;CondGood,_xlfn.LOGNORM.INV(RAND(),MV3,Sigma2),MIN(MaxMultiple,Xm/(1-RAND())^(1/Alpha)))))</f>
        <v>0</v>
      </c>
      <c r="T494" s="19">
        <f ca="1">IF(RAND()&lt;P_Zero,0,IF(RAND()&lt;CondReturn,_xlfn.LOGNORM.INV(RAND(),MV2,Sigma1),IF(RAND()&lt;CondGood,_xlfn.LOGNORM.INV(RAND(),MV3,Sigma2),MIN(MaxMultiple,Xm/(1-RAND())^(1/Alpha)))))</f>
        <v>94.860511738909423</v>
      </c>
      <c r="U494" s="19">
        <f ca="1">IF(RAND()&lt;P_Zero,0,IF(RAND()&lt;CondReturn,_xlfn.LOGNORM.INV(RAND(),MV2,Sigma1),IF(RAND()&lt;CondGood,_xlfn.LOGNORM.INV(RAND(),MV3,Sigma2),MIN(MaxMultiple,Xm/(1-RAND())^(1/Alpha)))))</f>
        <v>0</v>
      </c>
      <c r="V494" s="19">
        <f ca="1">IF(RAND()&lt;P_Zero,0,IF(RAND()&lt;CondReturn,_xlfn.LOGNORM.INV(RAND(),MV2,Sigma1),IF(RAND()&lt;CondGood,_xlfn.LOGNORM.INV(RAND(),MV3,Sigma2),MIN(MaxMultiple,Xm/(1-RAND())^(1/Alpha)))))</f>
        <v>1.8008121463354816</v>
      </c>
      <c r="W494" s="19">
        <f ca="1">IF(RAND()&lt;P_Zero,0,IF(RAND()&lt;CondReturn,_xlfn.LOGNORM.INV(RAND(),MV2,Sigma1),IF(RAND()&lt;CondGood,_xlfn.LOGNORM.INV(RAND(),MV3,Sigma2),MIN(MaxMultiple,Xm/(1-RAND())^(1/Alpha)))))</f>
        <v>300</v>
      </c>
      <c r="X494" s="19">
        <f ca="1">IF(RAND()&lt;P_Zero,0,IF(RAND()&lt;CondReturn,_xlfn.LOGNORM.INV(RAND(),MV2,Sigma1),IF(RAND()&lt;CondGood,_xlfn.LOGNORM.INV(RAND(),MV3,Sigma2),MIN(MaxMultiple,Xm/(1-RAND())^(1/Alpha)))))</f>
        <v>0</v>
      </c>
      <c r="Y494" s="19">
        <f ca="1">IF(RAND()&lt;P_Zero,0,IF(RAND()&lt;CondReturn,_xlfn.LOGNORM.INV(RAND(),MV2,Sigma1),IF(RAND()&lt;CondGood,_xlfn.LOGNORM.INV(RAND(),MV3,Sigma2),MIN(MaxMultiple,Xm/(1-RAND())^(1/Alpha)))))</f>
        <v>1.301492209760182</v>
      </c>
      <c r="Z494" s="19">
        <f ca="1">IF(RAND()&lt;P_Zero,0,IF(RAND()&lt;CondReturn,_xlfn.LOGNORM.INV(RAND(),MV2,Sigma1),IF(RAND()&lt;CondGood,_xlfn.LOGNORM.INV(RAND(),MV3,Sigma2),MIN(MaxMultiple,Xm/(1-RAND())^(1/Alpha)))))</f>
        <v>1.0987579500336502</v>
      </c>
      <c r="AA494" s="19">
        <f ca="1">IF(RAND()&lt;P_Zero,0,IF(RAND()&lt;CondReturn,_xlfn.LOGNORM.INV(RAND(),MV2,Sigma1),IF(RAND()&lt;CondGood,_xlfn.LOGNORM.INV(RAND(),MV3,Sigma2),MIN(MaxMultiple,Xm/(1-RAND())^(1/Alpha)))))</f>
        <v>0</v>
      </c>
      <c r="AB494" s="19">
        <f t="shared" ca="1" si="56"/>
        <v>21.309874714560394</v>
      </c>
      <c r="AC494" s="14">
        <f t="shared" ca="1" si="57"/>
        <v>1022873986.2988989</v>
      </c>
      <c r="AD494" s="14">
        <f t="shared" ca="1" si="58"/>
        <v>974873986.29889894</v>
      </c>
      <c r="AE494" s="14">
        <f t="shared" si="59"/>
        <v>55628399.869093813</v>
      </c>
      <c r="AF494" s="14">
        <f t="shared" ca="1" si="60"/>
        <v>919245586.42980516</v>
      </c>
      <c r="AG494" s="14">
        <f t="shared" ca="1" si="61"/>
        <v>183849117.28596103</v>
      </c>
      <c r="AH494" s="14">
        <f t="shared" ca="1" si="62"/>
        <v>839024869.0129379</v>
      </c>
      <c r="AI494" s="19">
        <f t="shared" ca="1" si="63"/>
        <v>13.983747816882298</v>
      </c>
    </row>
    <row r="495" spans="2:35" x14ac:dyDescent="0.2">
      <c r="B495" s="1">
        <v>490</v>
      </c>
      <c r="C495" s="19">
        <f ca="1">IF(RAND()&lt;P_Zero,0,IF(RAND()&lt;CondReturn,_xlfn.LOGNORM.INV(RAND(),MV2,Sigma1),IF(RAND()&lt;CondGood,_xlfn.LOGNORM.INV(RAND(),MV3,Sigma2),MIN(MaxMultiple,Xm/(1-RAND())^(1/Alpha)))))</f>
        <v>0</v>
      </c>
      <c r="D495" s="19">
        <f ca="1">IF(RAND()&lt;P_Zero,0,IF(RAND()&lt;CondReturn,_xlfn.LOGNORM.INV(RAND(),MV2,Sigma1),IF(RAND()&lt;CondGood,_xlfn.LOGNORM.INV(RAND(),MV3,Sigma2),MIN(MaxMultiple,Xm/(1-RAND())^(1/Alpha)))))</f>
        <v>0.60955495001553273</v>
      </c>
      <c r="E495" s="19">
        <f ca="1">IF(RAND()&lt;P_Zero,0,IF(RAND()&lt;CondReturn,_xlfn.LOGNORM.INV(RAND(),MV2,Sigma1),IF(RAND()&lt;CondGood,_xlfn.LOGNORM.INV(RAND(),MV3,Sigma2),MIN(MaxMultiple,Xm/(1-RAND())^(1/Alpha)))))</f>
        <v>1.3982829000911272</v>
      </c>
      <c r="F495" s="19">
        <f ca="1">IF(RAND()&lt;P_Zero,0,IF(RAND()&lt;CondReturn,_xlfn.LOGNORM.INV(RAND(),MV2,Sigma1),IF(RAND()&lt;CondGood,_xlfn.LOGNORM.INV(RAND(),MV3,Sigma2),MIN(MaxMultiple,Xm/(1-RAND())^(1/Alpha)))))</f>
        <v>11.565377602248548</v>
      </c>
      <c r="G495" s="19">
        <f ca="1">IF(RAND()&lt;P_Zero,0,IF(RAND()&lt;CondReturn,_xlfn.LOGNORM.INV(RAND(),MV2,Sigma1),IF(RAND()&lt;CondGood,_xlfn.LOGNORM.INV(RAND(),MV3,Sigma2),MIN(MaxMultiple,Xm/(1-RAND())^(1/Alpha)))))</f>
        <v>0</v>
      </c>
      <c r="H495" s="19">
        <f ca="1">IF(RAND()&lt;P_Zero,0,IF(RAND()&lt;CondReturn,_xlfn.LOGNORM.INV(RAND(),MV2,Sigma1),IF(RAND()&lt;CondGood,_xlfn.LOGNORM.INV(RAND(),MV3,Sigma2),MIN(MaxMultiple,Xm/(1-RAND())^(1/Alpha)))))</f>
        <v>0.70783726916775902</v>
      </c>
      <c r="I495" s="19">
        <f ca="1">IF(RAND()&lt;P_Zero,0,IF(RAND()&lt;CondReturn,_xlfn.LOGNORM.INV(RAND(),MV2,Sigma1),IF(RAND()&lt;CondGood,_xlfn.LOGNORM.INV(RAND(),MV3,Sigma2),MIN(MaxMultiple,Xm/(1-RAND())^(1/Alpha)))))</f>
        <v>0.91723168184449344</v>
      </c>
      <c r="J495" s="19">
        <f ca="1">IF(RAND()&lt;P_Zero,0,IF(RAND()&lt;CondReturn,_xlfn.LOGNORM.INV(RAND(),MV2,Sigma1),IF(RAND()&lt;CondGood,_xlfn.LOGNORM.INV(RAND(),MV3,Sigma2),MIN(MaxMultiple,Xm/(1-RAND())^(1/Alpha)))))</f>
        <v>0.49940831490315019</v>
      </c>
      <c r="K495" s="19">
        <f ca="1">IF(RAND()&lt;P_Zero,0,IF(RAND()&lt;CondReturn,_xlfn.LOGNORM.INV(RAND(),MV2,Sigma1),IF(RAND()&lt;CondGood,_xlfn.LOGNORM.INV(RAND(),MV3,Sigma2),MIN(MaxMultiple,Xm/(1-RAND())^(1/Alpha)))))</f>
        <v>1.1354379319884529</v>
      </c>
      <c r="L495" s="19">
        <f ca="1">IF(RAND()&lt;P_Zero,0,IF(RAND()&lt;CondReturn,_xlfn.LOGNORM.INV(RAND(),MV2,Sigma1),IF(RAND()&lt;CondGood,_xlfn.LOGNORM.INV(RAND(),MV3,Sigma2),MIN(MaxMultiple,Xm/(1-RAND())^(1/Alpha)))))</f>
        <v>0.82942981619402889</v>
      </c>
      <c r="M495" s="19">
        <f ca="1">IF(RAND()&lt;P_Zero,0,IF(RAND()&lt;CondReturn,_xlfn.LOGNORM.INV(RAND(),MV2,Sigma1),IF(RAND()&lt;CondGood,_xlfn.LOGNORM.INV(RAND(),MV3,Sigma2),MIN(MaxMultiple,Xm/(1-RAND())^(1/Alpha)))))</f>
        <v>0</v>
      </c>
      <c r="N495" s="19">
        <f ca="1">IF(RAND()&lt;P_Zero,0,IF(RAND()&lt;CondReturn,_xlfn.LOGNORM.INV(RAND(),MV2,Sigma1),IF(RAND()&lt;CondGood,_xlfn.LOGNORM.INV(RAND(),MV3,Sigma2),MIN(MaxMultiple,Xm/(1-RAND())^(1/Alpha)))))</f>
        <v>0</v>
      </c>
      <c r="O495" s="19">
        <f ca="1">IF(RAND()&lt;P_Zero,0,IF(RAND()&lt;CondReturn,_xlfn.LOGNORM.INV(RAND(),MV2,Sigma1),IF(RAND()&lt;CondGood,_xlfn.LOGNORM.INV(RAND(),MV3,Sigma2),MIN(MaxMultiple,Xm/(1-RAND())^(1/Alpha)))))</f>
        <v>0.79366864006190363</v>
      </c>
      <c r="P495" s="19">
        <f ca="1">IF(RAND()&lt;P_Zero,0,IF(RAND()&lt;CondReturn,_xlfn.LOGNORM.INV(RAND(),MV2,Sigma1),IF(RAND()&lt;CondGood,_xlfn.LOGNORM.INV(RAND(),MV3,Sigma2),MIN(MaxMultiple,Xm/(1-RAND())^(1/Alpha)))))</f>
        <v>0.48392082422692229</v>
      </c>
      <c r="Q495" s="19">
        <f ca="1">IF(RAND()&lt;P_Zero,0,IF(RAND()&lt;CondReturn,_xlfn.LOGNORM.INV(RAND(),MV2,Sigma1),IF(RAND()&lt;CondGood,_xlfn.LOGNORM.INV(RAND(),MV3,Sigma2),MIN(MaxMultiple,Xm/(1-RAND())^(1/Alpha)))))</f>
        <v>1.2212717298010103</v>
      </c>
      <c r="R495" s="19">
        <f ca="1">IF(RAND()&lt;P_Zero,0,IF(RAND()&lt;CondReturn,_xlfn.LOGNORM.INV(RAND(),MV2,Sigma1),IF(RAND()&lt;CondGood,_xlfn.LOGNORM.INV(RAND(),MV3,Sigma2),MIN(MaxMultiple,Xm/(1-RAND())^(1/Alpha)))))</f>
        <v>0.72469103330786544</v>
      </c>
      <c r="S495" s="19">
        <f ca="1">IF(RAND()&lt;P_Zero,0,IF(RAND()&lt;CondReturn,_xlfn.LOGNORM.INV(RAND(),MV2,Sigma1),IF(RAND()&lt;CondGood,_xlfn.LOGNORM.INV(RAND(),MV3,Sigma2),MIN(MaxMultiple,Xm/(1-RAND())^(1/Alpha)))))</f>
        <v>1.1285161909099637</v>
      </c>
      <c r="T495" s="19">
        <f ca="1">IF(RAND()&lt;P_Zero,0,IF(RAND()&lt;CondReturn,_xlfn.LOGNORM.INV(RAND(),MV2,Sigma1),IF(RAND()&lt;CondGood,_xlfn.LOGNORM.INV(RAND(),MV3,Sigma2),MIN(MaxMultiple,Xm/(1-RAND())^(1/Alpha)))))</f>
        <v>0</v>
      </c>
      <c r="U495" s="19">
        <f ca="1">IF(RAND()&lt;P_Zero,0,IF(RAND()&lt;CondReturn,_xlfn.LOGNORM.INV(RAND(),MV2,Sigma1),IF(RAND()&lt;CondGood,_xlfn.LOGNORM.INV(RAND(),MV3,Sigma2),MIN(MaxMultiple,Xm/(1-RAND())^(1/Alpha)))))</f>
        <v>1.5211103655541383</v>
      </c>
      <c r="V495" s="19">
        <f ca="1">IF(RAND()&lt;P_Zero,0,IF(RAND()&lt;CondReturn,_xlfn.LOGNORM.INV(RAND(),MV2,Sigma1),IF(RAND()&lt;CondGood,_xlfn.LOGNORM.INV(RAND(),MV3,Sigma2),MIN(MaxMultiple,Xm/(1-RAND())^(1/Alpha)))))</f>
        <v>0</v>
      </c>
      <c r="W495" s="19">
        <f ca="1">IF(RAND()&lt;P_Zero,0,IF(RAND()&lt;CondReturn,_xlfn.LOGNORM.INV(RAND(),MV2,Sigma1),IF(RAND()&lt;CondGood,_xlfn.LOGNORM.INV(RAND(),MV3,Sigma2),MIN(MaxMultiple,Xm/(1-RAND())^(1/Alpha)))))</f>
        <v>0.78883357943468058</v>
      </c>
      <c r="X495" s="19">
        <f ca="1">IF(RAND()&lt;P_Zero,0,IF(RAND()&lt;CondReturn,_xlfn.LOGNORM.INV(RAND(),MV2,Sigma1),IF(RAND()&lt;CondGood,_xlfn.LOGNORM.INV(RAND(),MV3,Sigma2),MIN(MaxMultiple,Xm/(1-RAND())^(1/Alpha)))))</f>
        <v>10.581705428868682</v>
      </c>
      <c r="Y495" s="19">
        <f ca="1">IF(RAND()&lt;P_Zero,0,IF(RAND()&lt;CondReturn,_xlfn.LOGNORM.INV(RAND(),MV2,Sigma1),IF(RAND()&lt;CondGood,_xlfn.LOGNORM.INV(RAND(),MV3,Sigma2),MIN(MaxMultiple,Xm/(1-RAND())^(1/Alpha)))))</f>
        <v>10.005599292989942</v>
      </c>
      <c r="Z495" s="19">
        <f ca="1">IF(RAND()&lt;P_Zero,0,IF(RAND()&lt;CondReturn,_xlfn.LOGNORM.INV(RAND(),MV2,Sigma1),IF(RAND()&lt;CondGood,_xlfn.LOGNORM.INV(RAND(),MV3,Sigma2),MIN(MaxMultiple,Xm/(1-RAND())^(1/Alpha)))))</f>
        <v>0</v>
      </c>
      <c r="AA495" s="19">
        <f ca="1">IF(RAND()&lt;P_Zero,0,IF(RAND()&lt;CondReturn,_xlfn.LOGNORM.INV(RAND(),MV2,Sigma1),IF(RAND()&lt;CondGood,_xlfn.LOGNORM.INV(RAND(),MV3,Sigma2),MIN(MaxMultiple,Xm/(1-RAND())^(1/Alpha)))))</f>
        <v>0.73499967194991978</v>
      </c>
      <c r="AB495" s="19">
        <f t="shared" ca="1" si="56"/>
        <v>1.8258750889423245</v>
      </c>
      <c r="AC495" s="14">
        <f t="shared" ca="1" si="57"/>
        <v>87642004.269231573</v>
      </c>
      <c r="AD495" s="14">
        <f t="shared" ca="1" si="58"/>
        <v>39642004.269231573</v>
      </c>
      <c r="AE495" s="14">
        <f t="shared" si="59"/>
        <v>55628399.869093813</v>
      </c>
      <c r="AF495" s="14">
        <f t="shared" ca="1" si="60"/>
        <v>0</v>
      </c>
      <c r="AG495" s="14">
        <f t="shared" ca="1" si="61"/>
        <v>0</v>
      </c>
      <c r="AH495" s="14">
        <f t="shared" ca="1" si="62"/>
        <v>87642004.269231573</v>
      </c>
      <c r="AI495" s="19">
        <f t="shared" ca="1" si="63"/>
        <v>1.4607000711538596</v>
      </c>
    </row>
    <row r="496" spans="2:35" x14ac:dyDescent="0.2">
      <c r="B496" s="1">
        <v>491</v>
      </c>
      <c r="C496" s="19">
        <f ca="1">IF(RAND()&lt;P_Zero,0,IF(RAND()&lt;CondReturn,_xlfn.LOGNORM.INV(RAND(),MV2,Sigma1),IF(RAND()&lt;CondGood,_xlfn.LOGNORM.INV(RAND(),MV3,Sigma2),MIN(MaxMultiple,Xm/(1-RAND())^(1/Alpha)))))</f>
        <v>1.2315008913549725</v>
      </c>
      <c r="D496" s="19">
        <f ca="1">IF(RAND()&lt;P_Zero,0,IF(RAND()&lt;CondReturn,_xlfn.LOGNORM.INV(RAND(),MV2,Sigma1),IF(RAND()&lt;CondGood,_xlfn.LOGNORM.INV(RAND(),MV3,Sigma2),MIN(MaxMultiple,Xm/(1-RAND())^(1/Alpha)))))</f>
        <v>0</v>
      </c>
      <c r="E496" s="19">
        <f ca="1">IF(RAND()&lt;P_Zero,0,IF(RAND()&lt;CondReturn,_xlfn.LOGNORM.INV(RAND(),MV2,Sigma1),IF(RAND()&lt;CondGood,_xlfn.LOGNORM.INV(RAND(),MV3,Sigma2),MIN(MaxMultiple,Xm/(1-RAND())^(1/Alpha)))))</f>
        <v>0.45314340153145155</v>
      </c>
      <c r="F496" s="19">
        <f ca="1">IF(RAND()&lt;P_Zero,0,IF(RAND()&lt;CondReturn,_xlfn.LOGNORM.INV(RAND(),MV2,Sigma1),IF(RAND()&lt;CondGood,_xlfn.LOGNORM.INV(RAND(),MV3,Sigma2),MIN(MaxMultiple,Xm/(1-RAND())^(1/Alpha)))))</f>
        <v>0</v>
      </c>
      <c r="G496" s="19">
        <f ca="1">IF(RAND()&lt;P_Zero,0,IF(RAND()&lt;CondReturn,_xlfn.LOGNORM.INV(RAND(),MV2,Sigma1),IF(RAND()&lt;CondGood,_xlfn.LOGNORM.INV(RAND(),MV3,Sigma2),MIN(MaxMultiple,Xm/(1-RAND())^(1/Alpha)))))</f>
        <v>1.1810842282492982</v>
      </c>
      <c r="H496" s="19">
        <f ca="1">IF(RAND()&lt;P_Zero,0,IF(RAND()&lt;CondReturn,_xlfn.LOGNORM.INV(RAND(),MV2,Sigma1),IF(RAND()&lt;CondGood,_xlfn.LOGNORM.INV(RAND(),MV3,Sigma2),MIN(MaxMultiple,Xm/(1-RAND())^(1/Alpha)))))</f>
        <v>0</v>
      </c>
      <c r="I496" s="19">
        <f ca="1">IF(RAND()&lt;P_Zero,0,IF(RAND()&lt;CondReturn,_xlfn.LOGNORM.INV(RAND(),MV2,Sigma1),IF(RAND()&lt;CondGood,_xlfn.LOGNORM.INV(RAND(),MV3,Sigma2),MIN(MaxMultiple,Xm/(1-RAND())^(1/Alpha)))))</f>
        <v>0.95523075690941672</v>
      </c>
      <c r="J496" s="19">
        <f ca="1">IF(RAND()&lt;P_Zero,0,IF(RAND()&lt;CondReturn,_xlfn.LOGNORM.INV(RAND(),MV2,Sigma1),IF(RAND()&lt;CondGood,_xlfn.LOGNORM.INV(RAND(),MV3,Sigma2),MIN(MaxMultiple,Xm/(1-RAND())^(1/Alpha)))))</f>
        <v>0</v>
      </c>
      <c r="K496" s="19">
        <f ca="1">IF(RAND()&lt;P_Zero,0,IF(RAND()&lt;CondReturn,_xlfn.LOGNORM.INV(RAND(),MV2,Sigma1),IF(RAND()&lt;CondGood,_xlfn.LOGNORM.INV(RAND(),MV3,Sigma2),MIN(MaxMultiple,Xm/(1-RAND())^(1/Alpha)))))</f>
        <v>0</v>
      </c>
      <c r="L496" s="19">
        <f ca="1">IF(RAND()&lt;P_Zero,0,IF(RAND()&lt;CondReturn,_xlfn.LOGNORM.INV(RAND(),MV2,Sigma1),IF(RAND()&lt;CondGood,_xlfn.LOGNORM.INV(RAND(),MV3,Sigma2),MIN(MaxMultiple,Xm/(1-RAND())^(1/Alpha)))))</f>
        <v>0</v>
      </c>
      <c r="M496" s="19">
        <f ca="1">IF(RAND()&lt;P_Zero,0,IF(RAND()&lt;CondReturn,_xlfn.LOGNORM.INV(RAND(),MV2,Sigma1),IF(RAND()&lt;CondGood,_xlfn.LOGNORM.INV(RAND(),MV3,Sigma2),MIN(MaxMultiple,Xm/(1-RAND())^(1/Alpha)))))</f>
        <v>1.5652680207754965</v>
      </c>
      <c r="N496" s="19">
        <f ca="1">IF(RAND()&lt;P_Zero,0,IF(RAND()&lt;CondReturn,_xlfn.LOGNORM.INV(RAND(),MV2,Sigma1),IF(RAND()&lt;CondGood,_xlfn.LOGNORM.INV(RAND(),MV3,Sigma2),MIN(MaxMultiple,Xm/(1-RAND())^(1/Alpha)))))</f>
        <v>2.4058028929094624</v>
      </c>
      <c r="O496" s="19">
        <f ca="1">IF(RAND()&lt;P_Zero,0,IF(RAND()&lt;CondReturn,_xlfn.LOGNORM.INV(RAND(),MV2,Sigma1),IF(RAND()&lt;CondGood,_xlfn.LOGNORM.INV(RAND(),MV3,Sigma2),MIN(MaxMultiple,Xm/(1-RAND())^(1/Alpha)))))</f>
        <v>1.0176885859352536</v>
      </c>
      <c r="P496" s="19">
        <f ca="1">IF(RAND()&lt;P_Zero,0,IF(RAND()&lt;CondReturn,_xlfn.LOGNORM.INV(RAND(),MV2,Sigma1),IF(RAND()&lt;CondGood,_xlfn.LOGNORM.INV(RAND(),MV3,Sigma2),MIN(MaxMultiple,Xm/(1-RAND())^(1/Alpha)))))</f>
        <v>0</v>
      </c>
      <c r="Q496" s="19">
        <f ca="1">IF(RAND()&lt;P_Zero,0,IF(RAND()&lt;CondReturn,_xlfn.LOGNORM.INV(RAND(),MV2,Sigma1),IF(RAND()&lt;CondGood,_xlfn.LOGNORM.INV(RAND(),MV3,Sigma2),MIN(MaxMultiple,Xm/(1-RAND())^(1/Alpha)))))</f>
        <v>19.011434272043431</v>
      </c>
      <c r="R496" s="19">
        <f ca="1">IF(RAND()&lt;P_Zero,0,IF(RAND()&lt;CondReturn,_xlfn.LOGNORM.INV(RAND(),MV2,Sigma1),IF(RAND()&lt;CondGood,_xlfn.LOGNORM.INV(RAND(),MV3,Sigma2),MIN(MaxMultiple,Xm/(1-RAND())^(1/Alpha)))))</f>
        <v>1.2007206375527351</v>
      </c>
      <c r="S496" s="19">
        <f ca="1">IF(RAND()&lt;P_Zero,0,IF(RAND()&lt;CondReturn,_xlfn.LOGNORM.INV(RAND(),MV2,Sigma1),IF(RAND()&lt;CondGood,_xlfn.LOGNORM.INV(RAND(),MV3,Sigma2),MIN(MaxMultiple,Xm/(1-RAND())^(1/Alpha)))))</f>
        <v>0.65575862064078938</v>
      </c>
      <c r="T496" s="19">
        <f ca="1">IF(RAND()&lt;P_Zero,0,IF(RAND()&lt;CondReturn,_xlfn.LOGNORM.INV(RAND(),MV2,Sigma1),IF(RAND()&lt;CondGood,_xlfn.LOGNORM.INV(RAND(),MV3,Sigma2),MIN(MaxMultiple,Xm/(1-RAND())^(1/Alpha)))))</f>
        <v>13.987793369199871</v>
      </c>
      <c r="U496" s="19">
        <f ca="1">IF(RAND()&lt;P_Zero,0,IF(RAND()&lt;CondReturn,_xlfn.LOGNORM.INV(RAND(),MV2,Sigma1),IF(RAND()&lt;CondGood,_xlfn.LOGNORM.INV(RAND(),MV3,Sigma2),MIN(MaxMultiple,Xm/(1-RAND())^(1/Alpha)))))</f>
        <v>0</v>
      </c>
      <c r="V496" s="19">
        <f ca="1">IF(RAND()&lt;P_Zero,0,IF(RAND()&lt;CondReturn,_xlfn.LOGNORM.INV(RAND(),MV2,Sigma1),IF(RAND()&lt;CondGood,_xlfn.LOGNORM.INV(RAND(),MV3,Sigma2),MIN(MaxMultiple,Xm/(1-RAND())^(1/Alpha)))))</f>
        <v>0</v>
      </c>
      <c r="W496" s="19">
        <f ca="1">IF(RAND()&lt;P_Zero,0,IF(RAND()&lt;CondReturn,_xlfn.LOGNORM.INV(RAND(),MV2,Sigma1),IF(RAND()&lt;CondGood,_xlfn.LOGNORM.INV(RAND(),MV3,Sigma2),MIN(MaxMultiple,Xm/(1-RAND())^(1/Alpha)))))</f>
        <v>0</v>
      </c>
      <c r="X496" s="19">
        <f ca="1">IF(RAND()&lt;P_Zero,0,IF(RAND()&lt;CondReturn,_xlfn.LOGNORM.INV(RAND(),MV2,Sigma1),IF(RAND()&lt;CondGood,_xlfn.LOGNORM.INV(RAND(),MV3,Sigma2),MIN(MaxMultiple,Xm/(1-RAND())^(1/Alpha)))))</f>
        <v>0</v>
      </c>
      <c r="Y496" s="19">
        <f ca="1">IF(RAND()&lt;P_Zero,0,IF(RAND()&lt;CondReturn,_xlfn.LOGNORM.INV(RAND(),MV2,Sigma1),IF(RAND()&lt;CondGood,_xlfn.LOGNORM.INV(RAND(),MV3,Sigma2),MIN(MaxMultiple,Xm/(1-RAND())^(1/Alpha)))))</f>
        <v>1.5928789778269827</v>
      </c>
      <c r="Z496" s="19">
        <f ca="1">IF(RAND()&lt;P_Zero,0,IF(RAND()&lt;CondReturn,_xlfn.LOGNORM.INV(RAND(),MV2,Sigma1),IF(RAND()&lt;CondGood,_xlfn.LOGNORM.INV(RAND(),MV3,Sigma2),MIN(MaxMultiple,Xm/(1-RAND())^(1/Alpha)))))</f>
        <v>0.50231994832109284</v>
      </c>
      <c r="AA496" s="19">
        <f ca="1">IF(RAND()&lt;P_Zero,0,IF(RAND()&lt;CondReturn,_xlfn.LOGNORM.INV(RAND(),MV2,Sigma1),IF(RAND()&lt;CondGood,_xlfn.LOGNORM.INV(RAND(),MV3,Sigma2),MIN(MaxMultiple,Xm/(1-RAND())^(1/Alpha)))))</f>
        <v>0.56547773384205358</v>
      </c>
      <c r="AB496" s="19">
        <f t="shared" ca="1" si="56"/>
        <v>1.8530440934836923</v>
      </c>
      <c r="AC496" s="14">
        <f t="shared" ca="1" si="57"/>
        <v>88946116.487217233</v>
      </c>
      <c r="AD496" s="14">
        <f t="shared" ca="1" si="58"/>
        <v>40946116.487217233</v>
      </c>
      <c r="AE496" s="14">
        <f t="shared" si="59"/>
        <v>55628399.869093813</v>
      </c>
      <c r="AF496" s="14">
        <f t="shared" ca="1" si="60"/>
        <v>0</v>
      </c>
      <c r="AG496" s="14">
        <f t="shared" ca="1" si="61"/>
        <v>0</v>
      </c>
      <c r="AH496" s="14">
        <f t="shared" ca="1" si="62"/>
        <v>88946116.487217233</v>
      </c>
      <c r="AI496" s="19">
        <f t="shared" ca="1" si="63"/>
        <v>1.4824352747869538</v>
      </c>
    </row>
    <row r="497" spans="2:35" x14ac:dyDescent="0.2">
      <c r="B497" s="1">
        <v>492</v>
      </c>
      <c r="C497" s="19">
        <f ca="1">IF(RAND()&lt;P_Zero,0,IF(RAND()&lt;CondReturn,_xlfn.LOGNORM.INV(RAND(),MV2,Sigma1),IF(RAND()&lt;CondGood,_xlfn.LOGNORM.INV(RAND(),MV3,Sigma2),MIN(MaxMultiple,Xm/(1-RAND())^(1/Alpha)))))</f>
        <v>1.0715548311471703</v>
      </c>
      <c r="D497" s="19">
        <f ca="1">IF(RAND()&lt;P_Zero,0,IF(RAND()&lt;CondReturn,_xlfn.LOGNORM.INV(RAND(),MV2,Sigma1),IF(RAND()&lt;CondGood,_xlfn.LOGNORM.INV(RAND(),MV3,Sigma2),MIN(MaxMultiple,Xm/(1-RAND())^(1/Alpha)))))</f>
        <v>0.46150559717030759</v>
      </c>
      <c r="E497" s="19">
        <f ca="1">IF(RAND()&lt;P_Zero,0,IF(RAND()&lt;CondReturn,_xlfn.LOGNORM.INV(RAND(),MV2,Sigma1),IF(RAND()&lt;CondGood,_xlfn.LOGNORM.INV(RAND(),MV3,Sigma2),MIN(MaxMultiple,Xm/(1-RAND())^(1/Alpha)))))</f>
        <v>0</v>
      </c>
      <c r="F497" s="19">
        <f ca="1">IF(RAND()&lt;P_Zero,0,IF(RAND()&lt;CondReturn,_xlfn.LOGNORM.INV(RAND(),MV2,Sigma1),IF(RAND()&lt;CondGood,_xlfn.LOGNORM.INV(RAND(),MV3,Sigma2),MIN(MaxMultiple,Xm/(1-RAND())^(1/Alpha)))))</f>
        <v>0</v>
      </c>
      <c r="G497" s="19">
        <f ca="1">IF(RAND()&lt;P_Zero,0,IF(RAND()&lt;CondReturn,_xlfn.LOGNORM.INV(RAND(),MV2,Sigma1),IF(RAND()&lt;CondGood,_xlfn.LOGNORM.INV(RAND(),MV3,Sigma2),MIN(MaxMultiple,Xm/(1-RAND())^(1/Alpha)))))</f>
        <v>0</v>
      </c>
      <c r="H497" s="19">
        <f ca="1">IF(RAND()&lt;P_Zero,0,IF(RAND()&lt;CondReturn,_xlfn.LOGNORM.INV(RAND(),MV2,Sigma1),IF(RAND()&lt;CondGood,_xlfn.LOGNORM.INV(RAND(),MV3,Sigma2),MIN(MaxMultiple,Xm/(1-RAND())^(1/Alpha)))))</f>
        <v>1.3235265161104013</v>
      </c>
      <c r="I497" s="19">
        <f ca="1">IF(RAND()&lt;P_Zero,0,IF(RAND()&lt;CondReturn,_xlfn.LOGNORM.INV(RAND(),MV2,Sigma1),IF(RAND()&lt;CondGood,_xlfn.LOGNORM.INV(RAND(),MV3,Sigma2),MIN(MaxMultiple,Xm/(1-RAND())^(1/Alpha)))))</f>
        <v>0.85641736794952594</v>
      </c>
      <c r="J497" s="19">
        <f ca="1">IF(RAND()&lt;P_Zero,0,IF(RAND()&lt;CondReturn,_xlfn.LOGNORM.INV(RAND(),MV2,Sigma1),IF(RAND()&lt;CondGood,_xlfn.LOGNORM.INV(RAND(),MV3,Sigma2),MIN(MaxMultiple,Xm/(1-RAND())^(1/Alpha)))))</f>
        <v>1.4650984603419199</v>
      </c>
      <c r="K497" s="19">
        <f ca="1">IF(RAND()&lt;P_Zero,0,IF(RAND()&lt;CondReturn,_xlfn.LOGNORM.INV(RAND(),MV2,Sigma1),IF(RAND()&lt;CondGood,_xlfn.LOGNORM.INV(RAND(),MV3,Sigma2),MIN(MaxMultiple,Xm/(1-RAND())^(1/Alpha)))))</f>
        <v>1.2250346491659601</v>
      </c>
      <c r="L497" s="19">
        <f ca="1">IF(RAND()&lt;P_Zero,0,IF(RAND()&lt;CondReturn,_xlfn.LOGNORM.INV(RAND(),MV2,Sigma1),IF(RAND()&lt;CondGood,_xlfn.LOGNORM.INV(RAND(),MV3,Sigma2),MIN(MaxMultiple,Xm/(1-RAND())^(1/Alpha)))))</f>
        <v>0.77530230097513153</v>
      </c>
      <c r="M497" s="19">
        <f ca="1">IF(RAND()&lt;P_Zero,0,IF(RAND()&lt;CondReturn,_xlfn.LOGNORM.INV(RAND(),MV2,Sigma1),IF(RAND()&lt;CondGood,_xlfn.LOGNORM.INV(RAND(),MV3,Sigma2),MIN(MaxMultiple,Xm/(1-RAND())^(1/Alpha)))))</f>
        <v>2.0553497513587864</v>
      </c>
      <c r="N497" s="19">
        <f ca="1">IF(RAND()&lt;P_Zero,0,IF(RAND()&lt;CondReturn,_xlfn.LOGNORM.INV(RAND(),MV2,Sigma1),IF(RAND()&lt;CondGood,_xlfn.LOGNORM.INV(RAND(),MV3,Sigma2),MIN(MaxMultiple,Xm/(1-RAND())^(1/Alpha)))))</f>
        <v>0.55132365258119909</v>
      </c>
      <c r="O497" s="19">
        <f ca="1">IF(RAND()&lt;P_Zero,0,IF(RAND()&lt;CondReturn,_xlfn.LOGNORM.INV(RAND(),MV2,Sigma1),IF(RAND()&lt;CondGood,_xlfn.LOGNORM.INV(RAND(),MV3,Sigma2),MIN(MaxMultiple,Xm/(1-RAND())^(1/Alpha)))))</f>
        <v>0.68885814262452993</v>
      </c>
      <c r="P497" s="19">
        <f ca="1">IF(RAND()&lt;P_Zero,0,IF(RAND()&lt;CondReturn,_xlfn.LOGNORM.INV(RAND(),MV2,Sigma1),IF(RAND()&lt;CondGood,_xlfn.LOGNORM.INV(RAND(),MV3,Sigma2),MIN(MaxMultiple,Xm/(1-RAND())^(1/Alpha)))))</f>
        <v>0.8560130446059756</v>
      </c>
      <c r="Q497" s="19">
        <f ca="1">IF(RAND()&lt;P_Zero,0,IF(RAND()&lt;CondReturn,_xlfn.LOGNORM.INV(RAND(),MV2,Sigma1),IF(RAND()&lt;CondGood,_xlfn.LOGNORM.INV(RAND(),MV3,Sigma2),MIN(MaxMultiple,Xm/(1-RAND())^(1/Alpha)))))</f>
        <v>0.90074465012536342</v>
      </c>
      <c r="R497" s="19">
        <f ca="1">IF(RAND()&lt;P_Zero,0,IF(RAND()&lt;CondReturn,_xlfn.LOGNORM.INV(RAND(),MV2,Sigma1),IF(RAND()&lt;CondGood,_xlfn.LOGNORM.INV(RAND(),MV3,Sigma2),MIN(MaxMultiple,Xm/(1-RAND())^(1/Alpha)))))</f>
        <v>0</v>
      </c>
      <c r="S497" s="19">
        <f ca="1">IF(RAND()&lt;P_Zero,0,IF(RAND()&lt;CondReturn,_xlfn.LOGNORM.INV(RAND(),MV2,Sigma1),IF(RAND()&lt;CondGood,_xlfn.LOGNORM.INV(RAND(),MV3,Sigma2),MIN(MaxMultiple,Xm/(1-RAND())^(1/Alpha)))))</f>
        <v>0.89801354991193172</v>
      </c>
      <c r="T497" s="19">
        <f ca="1">IF(RAND()&lt;P_Zero,0,IF(RAND()&lt;CondReturn,_xlfn.LOGNORM.INV(RAND(),MV2,Sigma1),IF(RAND()&lt;CondGood,_xlfn.LOGNORM.INV(RAND(),MV3,Sigma2),MIN(MaxMultiple,Xm/(1-RAND())^(1/Alpha)))))</f>
        <v>0</v>
      </c>
      <c r="U497" s="19">
        <f ca="1">IF(RAND()&lt;P_Zero,0,IF(RAND()&lt;CondReturn,_xlfn.LOGNORM.INV(RAND(),MV2,Sigma1),IF(RAND()&lt;CondGood,_xlfn.LOGNORM.INV(RAND(),MV3,Sigma2),MIN(MaxMultiple,Xm/(1-RAND())^(1/Alpha)))))</f>
        <v>1.0042203767234301</v>
      </c>
      <c r="V497" s="19">
        <f ca="1">IF(RAND()&lt;P_Zero,0,IF(RAND()&lt;CondReturn,_xlfn.LOGNORM.INV(RAND(),MV2,Sigma1),IF(RAND()&lt;CondGood,_xlfn.LOGNORM.INV(RAND(),MV3,Sigma2),MIN(MaxMultiple,Xm/(1-RAND())^(1/Alpha)))))</f>
        <v>1.4604167982300551</v>
      </c>
      <c r="W497" s="19">
        <f ca="1">IF(RAND()&lt;P_Zero,0,IF(RAND()&lt;CondReturn,_xlfn.LOGNORM.INV(RAND(),MV2,Sigma1),IF(RAND()&lt;CondGood,_xlfn.LOGNORM.INV(RAND(),MV3,Sigma2),MIN(MaxMultiple,Xm/(1-RAND())^(1/Alpha)))))</f>
        <v>0</v>
      </c>
      <c r="X497" s="19">
        <f ca="1">IF(RAND()&lt;P_Zero,0,IF(RAND()&lt;CondReturn,_xlfn.LOGNORM.INV(RAND(),MV2,Sigma1),IF(RAND()&lt;CondGood,_xlfn.LOGNORM.INV(RAND(),MV3,Sigma2),MIN(MaxMultiple,Xm/(1-RAND())^(1/Alpha)))))</f>
        <v>0</v>
      </c>
      <c r="Y497" s="19">
        <f ca="1">IF(RAND()&lt;P_Zero,0,IF(RAND()&lt;CondReturn,_xlfn.LOGNORM.INV(RAND(),MV2,Sigma1),IF(RAND()&lt;CondGood,_xlfn.LOGNORM.INV(RAND(),MV3,Sigma2),MIN(MaxMultiple,Xm/(1-RAND())^(1/Alpha)))))</f>
        <v>0.83599617506366308</v>
      </c>
      <c r="Z497" s="19">
        <f ca="1">IF(RAND()&lt;P_Zero,0,IF(RAND()&lt;CondReturn,_xlfn.LOGNORM.INV(RAND(),MV2,Sigma1),IF(RAND()&lt;CondGood,_xlfn.LOGNORM.INV(RAND(),MV3,Sigma2),MIN(MaxMultiple,Xm/(1-RAND())^(1/Alpha)))))</f>
        <v>0.97257321497638416</v>
      </c>
      <c r="AA497" s="19">
        <f ca="1">IF(RAND()&lt;P_Zero,0,IF(RAND()&lt;CondReturn,_xlfn.LOGNORM.INV(RAND(),MV2,Sigma1),IF(RAND()&lt;CondGood,_xlfn.LOGNORM.INV(RAND(),MV3,Sigma2),MIN(MaxMultiple,Xm/(1-RAND())^(1/Alpha)))))</f>
        <v>1.2601509227163652</v>
      </c>
      <c r="AB497" s="19">
        <f t="shared" ca="1" si="56"/>
        <v>0.74648400007112414</v>
      </c>
      <c r="AC497" s="14">
        <f t="shared" ca="1" si="57"/>
        <v>35831232.00341396</v>
      </c>
      <c r="AD497" s="14">
        <f t="shared" ca="1" si="58"/>
        <v>-12168767.99658604</v>
      </c>
      <c r="AE497" s="14">
        <f t="shared" si="59"/>
        <v>55628399.869093813</v>
      </c>
      <c r="AF497" s="14">
        <f t="shared" ca="1" si="60"/>
        <v>0</v>
      </c>
      <c r="AG497" s="14">
        <f t="shared" ca="1" si="61"/>
        <v>0</v>
      </c>
      <c r="AH497" s="14">
        <f t="shared" ca="1" si="62"/>
        <v>35831232.00341396</v>
      </c>
      <c r="AI497" s="19">
        <f t="shared" ca="1" si="63"/>
        <v>0.59718720005689929</v>
      </c>
    </row>
    <row r="498" spans="2:35" x14ac:dyDescent="0.2">
      <c r="B498" s="1">
        <v>493</v>
      </c>
      <c r="C498" s="19">
        <f ca="1">IF(RAND()&lt;P_Zero,0,IF(RAND()&lt;CondReturn,_xlfn.LOGNORM.INV(RAND(),MV2,Sigma1),IF(RAND()&lt;CondGood,_xlfn.LOGNORM.INV(RAND(),MV3,Sigma2),MIN(MaxMultiple,Xm/(1-RAND())^(1/Alpha)))))</f>
        <v>0</v>
      </c>
      <c r="D498" s="19">
        <f ca="1">IF(RAND()&lt;P_Zero,0,IF(RAND()&lt;CondReturn,_xlfn.LOGNORM.INV(RAND(),MV2,Sigma1),IF(RAND()&lt;CondGood,_xlfn.LOGNORM.INV(RAND(),MV3,Sigma2),MIN(MaxMultiple,Xm/(1-RAND())^(1/Alpha)))))</f>
        <v>0</v>
      </c>
      <c r="E498" s="19">
        <f ca="1">IF(RAND()&lt;P_Zero,0,IF(RAND()&lt;CondReturn,_xlfn.LOGNORM.INV(RAND(),MV2,Sigma1),IF(RAND()&lt;CondGood,_xlfn.LOGNORM.INV(RAND(),MV3,Sigma2),MIN(MaxMultiple,Xm/(1-RAND())^(1/Alpha)))))</f>
        <v>47.207879114553762</v>
      </c>
      <c r="F498" s="19">
        <f ca="1">IF(RAND()&lt;P_Zero,0,IF(RAND()&lt;CondReturn,_xlfn.LOGNORM.INV(RAND(),MV2,Sigma1),IF(RAND()&lt;CondGood,_xlfn.LOGNORM.INV(RAND(),MV3,Sigma2),MIN(MaxMultiple,Xm/(1-RAND())^(1/Alpha)))))</f>
        <v>0.95556084293194299</v>
      </c>
      <c r="G498" s="19">
        <f ca="1">IF(RAND()&lt;P_Zero,0,IF(RAND()&lt;CondReturn,_xlfn.LOGNORM.INV(RAND(),MV2,Sigma1),IF(RAND()&lt;CondGood,_xlfn.LOGNORM.INV(RAND(),MV3,Sigma2),MIN(MaxMultiple,Xm/(1-RAND())^(1/Alpha)))))</f>
        <v>0</v>
      </c>
      <c r="H498" s="19">
        <f ca="1">IF(RAND()&lt;P_Zero,0,IF(RAND()&lt;CondReturn,_xlfn.LOGNORM.INV(RAND(),MV2,Sigma1),IF(RAND()&lt;CondGood,_xlfn.LOGNORM.INV(RAND(),MV3,Sigma2),MIN(MaxMultiple,Xm/(1-RAND())^(1/Alpha)))))</f>
        <v>1.1128098901389176</v>
      </c>
      <c r="I498" s="19">
        <f ca="1">IF(RAND()&lt;P_Zero,0,IF(RAND()&lt;CondReturn,_xlfn.LOGNORM.INV(RAND(),MV2,Sigma1),IF(RAND()&lt;CondGood,_xlfn.LOGNORM.INV(RAND(),MV3,Sigma2),MIN(MaxMultiple,Xm/(1-RAND())^(1/Alpha)))))</f>
        <v>0.53646220045726967</v>
      </c>
      <c r="J498" s="19">
        <f ca="1">IF(RAND()&lt;P_Zero,0,IF(RAND()&lt;CondReturn,_xlfn.LOGNORM.INV(RAND(),MV2,Sigma1),IF(RAND()&lt;CondGood,_xlfn.LOGNORM.INV(RAND(),MV3,Sigma2),MIN(MaxMultiple,Xm/(1-RAND())^(1/Alpha)))))</f>
        <v>0</v>
      </c>
      <c r="K498" s="19">
        <f ca="1">IF(RAND()&lt;P_Zero,0,IF(RAND()&lt;CondReturn,_xlfn.LOGNORM.INV(RAND(),MV2,Sigma1),IF(RAND()&lt;CondGood,_xlfn.LOGNORM.INV(RAND(),MV3,Sigma2),MIN(MaxMultiple,Xm/(1-RAND())^(1/Alpha)))))</f>
        <v>0</v>
      </c>
      <c r="L498" s="19">
        <f ca="1">IF(RAND()&lt;P_Zero,0,IF(RAND()&lt;CondReturn,_xlfn.LOGNORM.INV(RAND(),MV2,Sigma1),IF(RAND()&lt;CondGood,_xlfn.LOGNORM.INV(RAND(),MV3,Sigma2),MIN(MaxMultiple,Xm/(1-RAND())^(1/Alpha)))))</f>
        <v>0.57510927958791169</v>
      </c>
      <c r="M498" s="19">
        <f ca="1">IF(RAND()&lt;P_Zero,0,IF(RAND()&lt;CondReturn,_xlfn.LOGNORM.INV(RAND(),MV2,Sigma1),IF(RAND()&lt;CondGood,_xlfn.LOGNORM.INV(RAND(),MV3,Sigma2),MIN(MaxMultiple,Xm/(1-RAND())^(1/Alpha)))))</f>
        <v>0</v>
      </c>
      <c r="N498" s="19">
        <f ca="1">IF(RAND()&lt;P_Zero,0,IF(RAND()&lt;CondReturn,_xlfn.LOGNORM.INV(RAND(),MV2,Sigma1),IF(RAND()&lt;CondGood,_xlfn.LOGNORM.INV(RAND(),MV3,Sigma2),MIN(MaxMultiple,Xm/(1-RAND())^(1/Alpha)))))</f>
        <v>0</v>
      </c>
      <c r="O498" s="19">
        <f ca="1">IF(RAND()&lt;P_Zero,0,IF(RAND()&lt;CondReturn,_xlfn.LOGNORM.INV(RAND(),MV2,Sigma1),IF(RAND()&lt;CondGood,_xlfn.LOGNORM.INV(RAND(),MV3,Sigma2),MIN(MaxMultiple,Xm/(1-RAND())^(1/Alpha)))))</f>
        <v>0</v>
      </c>
      <c r="P498" s="19">
        <f ca="1">IF(RAND()&lt;P_Zero,0,IF(RAND()&lt;CondReturn,_xlfn.LOGNORM.INV(RAND(),MV2,Sigma1),IF(RAND()&lt;CondGood,_xlfn.LOGNORM.INV(RAND(),MV3,Sigma2),MIN(MaxMultiple,Xm/(1-RAND())^(1/Alpha)))))</f>
        <v>0</v>
      </c>
      <c r="Q498" s="19">
        <f ca="1">IF(RAND()&lt;P_Zero,0,IF(RAND()&lt;CondReturn,_xlfn.LOGNORM.INV(RAND(),MV2,Sigma1),IF(RAND()&lt;CondGood,_xlfn.LOGNORM.INV(RAND(),MV3,Sigma2),MIN(MaxMultiple,Xm/(1-RAND())^(1/Alpha)))))</f>
        <v>0.93738718365481832</v>
      </c>
      <c r="R498" s="19">
        <f ca="1">IF(RAND()&lt;P_Zero,0,IF(RAND()&lt;CondReturn,_xlfn.LOGNORM.INV(RAND(),MV2,Sigma1),IF(RAND()&lt;CondGood,_xlfn.LOGNORM.INV(RAND(),MV3,Sigma2),MIN(MaxMultiple,Xm/(1-RAND())^(1/Alpha)))))</f>
        <v>1.5987857231722407</v>
      </c>
      <c r="S498" s="19">
        <f ca="1">IF(RAND()&lt;P_Zero,0,IF(RAND()&lt;CondReturn,_xlfn.LOGNORM.INV(RAND(),MV2,Sigma1),IF(RAND()&lt;CondGood,_xlfn.LOGNORM.INV(RAND(),MV3,Sigma2),MIN(MaxMultiple,Xm/(1-RAND())^(1/Alpha)))))</f>
        <v>1.6000753601455893</v>
      </c>
      <c r="T498" s="19">
        <f ca="1">IF(RAND()&lt;P_Zero,0,IF(RAND()&lt;CondReturn,_xlfn.LOGNORM.INV(RAND(),MV2,Sigma1),IF(RAND()&lt;CondGood,_xlfn.LOGNORM.INV(RAND(),MV3,Sigma2),MIN(MaxMultiple,Xm/(1-RAND())^(1/Alpha)))))</f>
        <v>1.3571761227768637</v>
      </c>
      <c r="U498" s="19">
        <f ca="1">IF(RAND()&lt;P_Zero,0,IF(RAND()&lt;CondReturn,_xlfn.LOGNORM.INV(RAND(),MV2,Sigma1),IF(RAND()&lt;CondGood,_xlfn.LOGNORM.INV(RAND(),MV3,Sigma2),MIN(MaxMultiple,Xm/(1-RAND())^(1/Alpha)))))</f>
        <v>1.4130784127366014</v>
      </c>
      <c r="V498" s="19">
        <f ca="1">IF(RAND()&lt;P_Zero,0,IF(RAND()&lt;CondReturn,_xlfn.LOGNORM.INV(RAND(),MV2,Sigma1),IF(RAND()&lt;CondGood,_xlfn.LOGNORM.INV(RAND(),MV3,Sigma2),MIN(MaxMultiple,Xm/(1-RAND())^(1/Alpha)))))</f>
        <v>1.0488624875635029</v>
      </c>
      <c r="W498" s="19">
        <f ca="1">IF(RAND()&lt;P_Zero,0,IF(RAND()&lt;CondReturn,_xlfn.LOGNORM.INV(RAND(),MV2,Sigma1),IF(RAND()&lt;CondGood,_xlfn.LOGNORM.INV(RAND(),MV3,Sigma2),MIN(MaxMultiple,Xm/(1-RAND())^(1/Alpha)))))</f>
        <v>0</v>
      </c>
      <c r="X498" s="19">
        <f ca="1">IF(RAND()&lt;P_Zero,0,IF(RAND()&lt;CondReturn,_xlfn.LOGNORM.INV(RAND(),MV2,Sigma1),IF(RAND()&lt;CondGood,_xlfn.LOGNORM.INV(RAND(),MV3,Sigma2),MIN(MaxMultiple,Xm/(1-RAND())^(1/Alpha)))))</f>
        <v>0.77169243548706146</v>
      </c>
      <c r="Y498" s="19">
        <f ca="1">IF(RAND()&lt;P_Zero,0,IF(RAND()&lt;CondReturn,_xlfn.LOGNORM.INV(RAND(),MV2,Sigma1),IF(RAND()&lt;CondGood,_xlfn.LOGNORM.INV(RAND(),MV3,Sigma2),MIN(MaxMultiple,Xm/(1-RAND())^(1/Alpha)))))</f>
        <v>1.0565178089638241</v>
      </c>
      <c r="Z498" s="19">
        <f ca="1">IF(RAND()&lt;P_Zero,0,IF(RAND()&lt;CondReturn,_xlfn.LOGNORM.INV(RAND(),MV2,Sigma1),IF(RAND()&lt;CondGood,_xlfn.LOGNORM.INV(RAND(),MV3,Sigma2),MIN(MaxMultiple,Xm/(1-RAND())^(1/Alpha)))))</f>
        <v>0</v>
      </c>
      <c r="AA498" s="19">
        <f ca="1">IF(RAND()&lt;P_Zero,0,IF(RAND()&lt;CondReturn,_xlfn.LOGNORM.INV(RAND(),MV2,Sigma1),IF(RAND()&lt;CondGood,_xlfn.LOGNORM.INV(RAND(),MV3,Sigma2),MIN(MaxMultiple,Xm/(1-RAND())^(1/Alpha)))))</f>
        <v>0</v>
      </c>
      <c r="AB498" s="19">
        <f t="shared" ca="1" si="56"/>
        <v>2.4068558744868129</v>
      </c>
      <c r="AC498" s="14">
        <f t="shared" ca="1" si="57"/>
        <v>115529081.97536702</v>
      </c>
      <c r="AD498" s="14">
        <f t="shared" ca="1" si="58"/>
        <v>67529081.975367025</v>
      </c>
      <c r="AE498" s="14">
        <f t="shared" si="59"/>
        <v>55628399.869093813</v>
      </c>
      <c r="AF498" s="14">
        <f t="shared" ca="1" si="60"/>
        <v>11900682.106273212</v>
      </c>
      <c r="AG498" s="14">
        <f t="shared" ca="1" si="61"/>
        <v>2380136.4212546423</v>
      </c>
      <c r="AH498" s="14">
        <f t="shared" ca="1" si="62"/>
        <v>113148945.55411237</v>
      </c>
      <c r="AI498" s="19">
        <f t="shared" ca="1" si="63"/>
        <v>1.8858157592352063</v>
      </c>
    </row>
    <row r="499" spans="2:35" x14ac:dyDescent="0.2">
      <c r="B499" s="1">
        <v>494</v>
      </c>
      <c r="C499" s="19">
        <f ca="1">IF(RAND()&lt;P_Zero,0,IF(RAND()&lt;CondReturn,_xlfn.LOGNORM.INV(RAND(),MV2,Sigma1),IF(RAND()&lt;CondGood,_xlfn.LOGNORM.INV(RAND(),MV3,Sigma2),MIN(MaxMultiple,Xm/(1-RAND())^(1/Alpha)))))</f>
        <v>0</v>
      </c>
      <c r="D499" s="19">
        <f ca="1">IF(RAND()&lt;P_Zero,0,IF(RAND()&lt;CondReturn,_xlfn.LOGNORM.INV(RAND(),MV2,Sigma1),IF(RAND()&lt;CondGood,_xlfn.LOGNORM.INV(RAND(),MV3,Sigma2),MIN(MaxMultiple,Xm/(1-RAND())^(1/Alpha)))))</f>
        <v>0</v>
      </c>
      <c r="E499" s="19">
        <f ca="1">IF(RAND()&lt;P_Zero,0,IF(RAND()&lt;CondReturn,_xlfn.LOGNORM.INV(RAND(),MV2,Sigma1),IF(RAND()&lt;CondGood,_xlfn.LOGNORM.INV(RAND(),MV3,Sigma2),MIN(MaxMultiple,Xm/(1-RAND())^(1/Alpha)))))</f>
        <v>0</v>
      </c>
      <c r="F499" s="19">
        <f ca="1">IF(RAND()&lt;P_Zero,0,IF(RAND()&lt;CondReturn,_xlfn.LOGNORM.INV(RAND(),MV2,Sigma1),IF(RAND()&lt;CondGood,_xlfn.LOGNORM.INV(RAND(),MV3,Sigma2),MIN(MaxMultiple,Xm/(1-RAND())^(1/Alpha)))))</f>
        <v>11.752891285427328</v>
      </c>
      <c r="G499" s="19">
        <f ca="1">IF(RAND()&lt;P_Zero,0,IF(RAND()&lt;CondReturn,_xlfn.LOGNORM.INV(RAND(),MV2,Sigma1),IF(RAND()&lt;CondGood,_xlfn.LOGNORM.INV(RAND(),MV3,Sigma2),MIN(MaxMultiple,Xm/(1-RAND())^(1/Alpha)))))</f>
        <v>0</v>
      </c>
      <c r="H499" s="19">
        <f ca="1">IF(RAND()&lt;P_Zero,0,IF(RAND()&lt;CondReturn,_xlfn.LOGNORM.INV(RAND(),MV2,Sigma1),IF(RAND()&lt;CondGood,_xlfn.LOGNORM.INV(RAND(),MV3,Sigma2),MIN(MaxMultiple,Xm/(1-RAND())^(1/Alpha)))))</f>
        <v>1.0921985222543849</v>
      </c>
      <c r="I499" s="19">
        <f ca="1">IF(RAND()&lt;P_Zero,0,IF(RAND()&lt;CondReturn,_xlfn.LOGNORM.INV(RAND(),MV2,Sigma1),IF(RAND()&lt;CondGood,_xlfn.LOGNORM.INV(RAND(),MV3,Sigma2),MIN(MaxMultiple,Xm/(1-RAND())^(1/Alpha)))))</f>
        <v>0.49034362006367205</v>
      </c>
      <c r="J499" s="19">
        <f ca="1">IF(RAND()&lt;P_Zero,0,IF(RAND()&lt;CondReturn,_xlfn.LOGNORM.INV(RAND(),MV2,Sigma1),IF(RAND()&lt;CondGood,_xlfn.LOGNORM.INV(RAND(),MV3,Sigma2),MIN(MaxMultiple,Xm/(1-RAND())^(1/Alpha)))))</f>
        <v>0.79288664324095381</v>
      </c>
      <c r="K499" s="19">
        <f ca="1">IF(RAND()&lt;P_Zero,0,IF(RAND()&lt;CondReturn,_xlfn.LOGNORM.INV(RAND(),MV2,Sigma1),IF(RAND()&lt;CondGood,_xlfn.LOGNORM.INV(RAND(),MV3,Sigma2),MIN(MaxMultiple,Xm/(1-RAND())^(1/Alpha)))))</f>
        <v>0</v>
      </c>
      <c r="L499" s="19">
        <f ca="1">IF(RAND()&lt;P_Zero,0,IF(RAND()&lt;CondReturn,_xlfn.LOGNORM.INV(RAND(),MV2,Sigma1),IF(RAND()&lt;CondGood,_xlfn.LOGNORM.INV(RAND(),MV3,Sigma2),MIN(MaxMultiple,Xm/(1-RAND())^(1/Alpha)))))</f>
        <v>1.0459367893500682</v>
      </c>
      <c r="M499" s="19">
        <f ca="1">IF(RAND()&lt;P_Zero,0,IF(RAND()&lt;CondReturn,_xlfn.LOGNORM.INV(RAND(),MV2,Sigma1),IF(RAND()&lt;CondGood,_xlfn.LOGNORM.INV(RAND(),MV3,Sigma2),MIN(MaxMultiple,Xm/(1-RAND())^(1/Alpha)))))</f>
        <v>0</v>
      </c>
      <c r="N499" s="19">
        <f ca="1">IF(RAND()&lt;P_Zero,0,IF(RAND()&lt;CondReturn,_xlfn.LOGNORM.INV(RAND(),MV2,Sigma1),IF(RAND()&lt;CondGood,_xlfn.LOGNORM.INV(RAND(),MV3,Sigma2),MIN(MaxMultiple,Xm/(1-RAND())^(1/Alpha)))))</f>
        <v>0</v>
      </c>
      <c r="O499" s="19">
        <f ca="1">IF(RAND()&lt;P_Zero,0,IF(RAND()&lt;CondReturn,_xlfn.LOGNORM.INV(RAND(),MV2,Sigma1),IF(RAND()&lt;CondGood,_xlfn.LOGNORM.INV(RAND(),MV3,Sigma2),MIN(MaxMultiple,Xm/(1-RAND())^(1/Alpha)))))</f>
        <v>1.118614234880513</v>
      </c>
      <c r="P499" s="19">
        <f ca="1">IF(RAND()&lt;P_Zero,0,IF(RAND()&lt;CondReturn,_xlfn.LOGNORM.INV(RAND(),MV2,Sigma1),IF(RAND()&lt;CondGood,_xlfn.LOGNORM.INV(RAND(),MV3,Sigma2),MIN(MaxMultiple,Xm/(1-RAND())^(1/Alpha)))))</f>
        <v>0</v>
      </c>
      <c r="Q499" s="19">
        <f ca="1">IF(RAND()&lt;P_Zero,0,IF(RAND()&lt;CondReturn,_xlfn.LOGNORM.INV(RAND(),MV2,Sigma1),IF(RAND()&lt;CondGood,_xlfn.LOGNORM.INV(RAND(),MV3,Sigma2),MIN(MaxMultiple,Xm/(1-RAND())^(1/Alpha)))))</f>
        <v>0.83032114135650359</v>
      </c>
      <c r="R499" s="19">
        <f ca="1">IF(RAND()&lt;P_Zero,0,IF(RAND()&lt;CondReturn,_xlfn.LOGNORM.INV(RAND(),MV2,Sigma1),IF(RAND()&lt;CondGood,_xlfn.LOGNORM.INV(RAND(),MV3,Sigma2),MIN(MaxMultiple,Xm/(1-RAND())^(1/Alpha)))))</f>
        <v>0</v>
      </c>
      <c r="S499" s="19">
        <f ca="1">IF(RAND()&lt;P_Zero,0,IF(RAND()&lt;CondReturn,_xlfn.LOGNORM.INV(RAND(),MV2,Sigma1),IF(RAND()&lt;CondGood,_xlfn.LOGNORM.INV(RAND(),MV3,Sigma2),MIN(MaxMultiple,Xm/(1-RAND())^(1/Alpha)))))</f>
        <v>0</v>
      </c>
      <c r="T499" s="19">
        <f ca="1">IF(RAND()&lt;P_Zero,0,IF(RAND()&lt;CondReturn,_xlfn.LOGNORM.INV(RAND(),MV2,Sigma1),IF(RAND()&lt;CondGood,_xlfn.LOGNORM.INV(RAND(),MV3,Sigma2),MIN(MaxMultiple,Xm/(1-RAND())^(1/Alpha)))))</f>
        <v>10.172546995284486</v>
      </c>
      <c r="U499" s="19">
        <f ca="1">IF(RAND()&lt;P_Zero,0,IF(RAND()&lt;CondReturn,_xlfn.LOGNORM.INV(RAND(),MV2,Sigma1),IF(RAND()&lt;CondGood,_xlfn.LOGNORM.INV(RAND(),MV3,Sigma2),MIN(MaxMultiple,Xm/(1-RAND())^(1/Alpha)))))</f>
        <v>0.68840863128614549</v>
      </c>
      <c r="V499" s="19">
        <f ca="1">IF(RAND()&lt;P_Zero,0,IF(RAND()&lt;CondReturn,_xlfn.LOGNORM.INV(RAND(),MV2,Sigma1),IF(RAND()&lt;CondGood,_xlfn.LOGNORM.INV(RAND(),MV3,Sigma2),MIN(MaxMultiple,Xm/(1-RAND())^(1/Alpha)))))</f>
        <v>1.0801657503694988</v>
      </c>
      <c r="W499" s="19">
        <f ca="1">IF(RAND()&lt;P_Zero,0,IF(RAND()&lt;CondReturn,_xlfn.LOGNORM.INV(RAND(),MV2,Sigma1),IF(RAND()&lt;CondGood,_xlfn.LOGNORM.INV(RAND(),MV3,Sigma2),MIN(MaxMultiple,Xm/(1-RAND())^(1/Alpha)))))</f>
        <v>0</v>
      </c>
      <c r="X499" s="19">
        <f ca="1">IF(RAND()&lt;P_Zero,0,IF(RAND()&lt;CondReturn,_xlfn.LOGNORM.INV(RAND(),MV2,Sigma1),IF(RAND()&lt;CondGood,_xlfn.LOGNORM.INV(RAND(),MV3,Sigma2),MIN(MaxMultiple,Xm/(1-RAND())^(1/Alpha)))))</f>
        <v>1.8566359491597282</v>
      </c>
      <c r="Y499" s="19">
        <f ca="1">IF(RAND()&lt;P_Zero,0,IF(RAND()&lt;CondReturn,_xlfn.LOGNORM.INV(RAND(),MV2,Sigma1),IF(RAND()&lt;CondGood,_xlfn.LOGNORM.INV(RAND(),MV3,Sigma2),MIN(MaxMultiple,Xm/(1-RAND())^(1/Alpha)))))</f>
        <v>35.210434213850419</v>
      </c>
      <c r="Z499" s="19">
        <f ca="1">IF(RAND()&lt;P_Zero,0,IF(RAND()&lt;CondReturn,_xlfn.LOGNORM.INV(RAND(),MV2,Sigma1),IF(RAND()&lt;CondGood,_xlfn.LOGNORM.INV(RAND(),MV3,Sigma2),MIN(MaxMultiple,Xm/(1-RAND())^(1/Alpha)))))</f>
        <v>0</v>
      </c>
      <c r="AA499" s="19">
        <f ca="1">IF(RAND()&lt;P_Zero,0,IF(RAND()&lt;CondReturn,_xlfn.LOGNORM.INV(RAND(),MV2,Sigma1),IF(RAND()&lt;CondGood,_xlfn.LOGNORM.INV(RAND(),MV3,Sigma2),MIN(MaxMultiple,Xm/(1-RAND())^(1/Alpha)))))</f>
        <v>1.1537958895089562</v>
      </c>
      <c r="AB499" s="19">
        <f t="shared" ca="1" si="56"/>
        <v>2.6914071866413063</v>
      </c>
      <c r="AC499" s="14">
        <f t="shared" ca="1" si="57"/>
        <v>129187544.9587827</v>
      </c>
      <c r="AD499" s="14">
        <f t="shared" ca="1" si="58"/>
        <v>81187544.958782703</v>
      </c>
      <c r="AE499" s="14">
        <f t="shared" si="59"/>
        <v>55628399.869093813</v>
      </c>
      <c r="AF499" s="14">
        <f t="shared" ca="1" si="60"/>
        <v>25559145.08968889</v>
      </c>
      <c r="AG499" s="14">
        <f t="shared" ca="1" si="61"/>
        <v>5111829.0179377785</v>
      </c>
      <c r="AH499" s="14">
        <f t="shared" ca="1" si="62"/>
        <v>124075715.94084492</v>
      </c>
      <c r="AI499" s="19">
        <f t="shared" ca="1" si="63"/>
        <v>2.0679285990140821</v>
      </c>
    </row>
    <row r="500" spans="2:35" x14ac:dyDescent="0.2">
      <c r="B500" s="1">
        <v>495</v>
      </c>
      <c r="C500" s="19">
        <f ca="1">IF(RAND()&lt;P_Zero,0,IF(RAND()&lt;CondReturn,_xlfn.LOGNORM.INV(RAND(),MV2,Sigma1),IF(RAND()&lt;CondGood,_xlfn.LOGNORM.INV(RAND(),MV3,Sigma2),MIN(MaxMultiple,Xm/(1-RAND())^(1/Alpha)))))</f>
        <v>0.50290558922453543</v>
      </c>
      <c r="D500" s="19">
        <f ca="1">IF(RAND()&lt;P_Zero,0,IF(RAND()&lt;CondReturn,_xlfn.LOGNORM.INV(RAND(),MV2,Sigma1),IF(RAND()&lt;CondGood,_xlfn.LOGNORM.INV(RAND(),MV3,Sigma2),MIN(MaxMultiple,Xm/(1-RAND())^(1/Alpha)))))</f>
        <v>11.370665367044742</v>
      </c>
      <c r="E500" s="19">
        <f ca="1">IF(RAND()&lt;P_Zero,0,IF(RAND()&lt;CondReturn,_xlfn.LOGNORM.INV(RAND(),MV2,Sigma1),IF(RAND()&lt;CondGood,_xlfn.LOGNORM.INV(RAND(),MV3,Sigma2),MIN(MaxMultiple,Xm/(1-RAND())^(1/Alpha)))))</f>
        <v>0.71485827829105486</v>
      </c>
      <c r="F500" s="19">
        <f ca="1">IF(RAND()&lt;P_Zero,0,IF(RAND()&lt;CondReturn,_xlfn.LOGNORM.INV(RAND(),MV2,Sigma1),IF(RAND()&lt;CondGood,_xlfn.LOGNORM.INV(RAND(),MV3,Sigma2),MIN(MaxMultiple,Xm/(1-RAND())^(1/Alpha)))))</f>
        <v>10.328581124126808</v>
      </c>
      <c r="G500" s="19">
        <f ca="1">IF(RAND()&lt;P_Zero,0,IF(RAND()&lt;CondReturn,_xlfn.LOGNORM.INV(RAND(),MV2,Sigma1),IF(RAND()&lt;CondGood,_xlfn.LOGNORM.INV(RAND(),MV3,Sigma2),MIN(MaxMultiple,Xm/(1-RAND())^(1/Alpha)))))</f>
        <v>0.54142691545652577</v>
      </c>
      <c r="H500" s="19">
        <f ca="1">IF(RAND()&lt;P_Zero,0,IF(RAND()&lt;CondReturn,_xlfn.LOGNORM.INV(RAND(),MV2,Sigma1),IF(RAND()&lt;CondGood,_xlfn.LOGNORM.INV(RAND(),MV3,Sigma2),MIN(MaxMultiple,Xm/(1-RAND())^(1/Alpha)))))</f>
        <v>0.74330385651233033</v>
      </c>
      <c r="I500" s="19">
        <f ca="1">IF(RAND()&lt;P_Zero,0,IF(RAND()&lt;CondReturn,_xlfn.LOGNORM.INV(RAND(),MV2,Sigma1),IF(RAND()&lt;CondGood,_xlfn.LOGNORM.INV(RAND(),MV3,Sigma2),MIN(MaxMultiple,Xm/(1-RAND())^(1/Alpha)))))</f>
        <v>0</v>
      </c>
      <c r="J500" s="19">
        <f ca="1">IF(RAND()&lt;P_Zero,0,IF(RAND()&lt;CondReturn,_xlfn.LOGNORM.INV(RAND(),MV2,Sigma1),IF(RAND()&lt;CondGood,_xlfn.LOGNORM.INV(RAND(),MV3,Sigma2),MIN(MaxMultiple,Xm/(1-RAND())^(1/Alpha)))))</f>
        <v>0.64408713906380077</v>
      </c>
      <c r="K500" s="19">
        <f ca="1">IF(RAND()&lt;P_Zero,0,IF(RAND()&lt;CondReturn,_xlfn.LOGNORM.INV(RAND(),MV2,Sigma1),IF(RAND()&lt;CondGood,_xlfn.LOGNORM.INV(RAND(),MV3,Sigma2),MIN(MaxMultiple,Xm/(1-RAND())^(1/Alpha)))))</f>
        <v>0</v>
      </c>
      <c r="L500" s="19">
        <f ca="1">IF(RAND()&lt;P_Zero,0,IF(RAND()&lt;CondReturn,_xlfn.LOGNORM.INV(RAND(),MV2,Sigma1),IF(RAND()&lt;CondGood,_xlfn.LOGNORM.INV(RAND(),MV3,Sigma2),MIN(MaxMultiple,Xm/(1-RAND())^(1/Alpha)))))</f>
        <v>0</v>
      </c>
      <c r="M500" s="19">
        <f ca="1">IF(RAND()&lt;P_Zero,0,IF(RAND()&lt;CondReturn,_xlfn.LOGNORM.INV(RAND(),MV2,Sigma1),IF(RAND()&lt;CondGood,_xlfn.LOGNORM.INV(RAND(),MV3,Sigma2),MIN(MaxMultiple,Xm/(1-RAND())^(1/Alpha)))))</f>
        <v>0.53918842901605235</v>
      </c>
      <c r="N500" s="19">
        <f ca="1">IF(RAND()&lt;P_Zero,0,IF(RAND()&lt;CondReturn,_xlfn.LOGNORM.INV(RAND(),MV2,Sigma1),IF(RAND()&lt;CondGood,_xlfn.LOGNORM.INV(RAND(),MV3,Sigma2),MIN(MaxMultiple,Xm/(1-RAND())^(1/Alpha)))))</f>
        <v>0</v>
      </c>
      <c r="O500" s="19">
        <f ca="1">IF(RAND()&lt;P_Zero,0,IF(RAND()&lt;CondReturn,_xlfn.LOGNORM.INV(RAND(),MV2,Sigma1),IF(RAND()&lt;CondGood,_xlfn.LOGNORM.INV(RAND(),MV3,Sigma2),MIN(MaxMultiple,Xm/(1-RAND())^(1/Alpha)))))</f>
        <v>1.0414842566473965</v>
      </c>
      <c r="P500" s="19">
        <f ca="1">IF(RAND()&lt;P_Zero,0,IF(RAND()&lt;CondReturn,_xlfn.LOGNORM.INV(RAND(),MV2,Sigma1),IF(RAND()&lt;CondGood,_xlfn.LOGNORM.INV(RAND(),MV3,Sigma2),MIN(MaxMultiple,Xm/(1-RAND())^(1/Alpha)))))</f>
        <v>0</v>
      </c>
      <c r="Q500" s="19">
        <f ca="1">IF(RAND()&lt;P_Zero,0,IF(RAND()&lt;CondReturn,_xlfn.LOGNORM.INV(RAND(),MV2,Sigma1),IF(RAND()&lt;CondGood,_xlfn.LOGNORM.INV(RAND(),MV3,Sigma2),MIN(MaxMultiple,Xm/(1-RAND())^(1/Alpha)))))</f>
        <v>0.33523219529338433</v>
      </c>
      <c r="R500" s="19">
        <f ca="1">IF(RAND()&lt;P_Zero,0,IF(RAND()&lt;CondReturn,_xlfn.LOGNORM.INV(RAND(),MV2,Sigma1),IF(RAND()&lt;CondGood,_xlfn.LOGNORM.INV(RAND(),MV3,Sigma2),MIN(MaxMultiple,Xm/(1-RAND())^(1/Alpha)))))</f>
        <v>0.84628827062741818</v>
      </c>
      <c r="S500" s="19">
        <f ca="1">IF(RAND()&lt;P_Zero,0,IF(RAND()&lt;CondReturn,_xlfn.LOGNORM.INV(RAND(),MV2,Sigma1),IF(RAND()&lt;CondGood,_xlfn.LOGNORM.INV(RAND(),MV3,Sigma2),MIN(MaxMultiple,Xm/(1-RAND())^(1/Alpha)))))</f>
        <v>0</v>
      </c>
      <c r="T500" s="19">
        <f ca="1">IF(RAND()&lt;P_Zero,0,IF(RAND()&lt;CondReturn,_xlfn.LOGNORM.INV(RAND(),MV2,Sigma1),IF(RAND()&lt;CondGood,_xlfn.LOGNORM.INV(RAND(),MV3,Sigma2),MIN(MaxMultiple,Xm/(1-RAND())^(1/Alpha)))))</f>
        <v>0</v>
      </c>
      <c r="U500" s="19">
        <f ca="1">IF(RAND()&lt;P_Zero,0,IF(RAND()&lt;CondReturn,_xlfn.LOGNORM.INV(RAND(),MV2,Sigma1),IF(RAND()&lt;CondGood,_xlfn.LOGNORM.INV(RAND(),MV3,Sigma2),MIN(MaxMultiple,Xm/(1-RAND())^(1/Alpha)))))</f>
        <v>12.020385261153988</v>
      </c>
      <c r="V500" s="19">
        <f ca="1">IF(RAND()&lt;P_Zero,0,IF(RAND()&lt;CondReturn,_xlfn.LOGNORM.INV(RAND(),MV2,Sigma1),IF(RAND()&lt;CondGood,_xlfn.LOGNORM.INV(RAND(),MV3,Sigma2),MIN(MaxMultiple,Xm/(1-RAND())^(1/Alpha)))))</f>
        <v>10.864662139971713</v>
      </c>
      <c r="W500" s="19">
        <f ca="1">IF(RAND()&lt;P_Zero,0,IF(RAND()&lt;CondReturn,_xlfn.LOGNORM.INV(RAND(),MV2,Sigma1),IF(RAND()&lt;CondGood,_xlfn.LOGNORM.INV(RAND(),MV3,Sigma2),MIN(MaxMultiple,Xm/(1-RAND())^(1/Alpha)))))</f>
        <v>0</v>
      </c>
      <c r="X500" s="19">
        <f ca="1">IF(RAND()&lt;P_Zero,0,IF(RAND()&lt;CondReturn,_xlfn.LOGNORM.INV(RAND(),MV2,Sigma1),IF(RAND()&lt;CondGood,_xlfn.LOGNORM.INV(RAND(),MV3,Sigma2),MIN(MaxMultiple,Xm/(1-RAND())^(1/Alpha)))))</f>
        <v>0</v>
      </c>
      <c r="Y500" s="19">
        <f ca="1">IF(RAND()&lt;P_Zero,0,IF(RAND()&lt;CondReturn,_xlfn.LOGNORM.INV(RAND(),MV2,Sigma1),IF(RAND()&lt;CondGood,_xlfn.LOGNORM.INV(RAND(),MV3,Sigma2),MIN(MaxMultiple,Xm/(1-RAND())^(1/Alpha)))))</f>
        <v>0</v>
      </c>
      <c r="Z500" s="19">
        <f ca="1">IF(RAND()&lt;P_Zero,0,IF(RAND()&lt;CondReturn,_xlfn.LOGNORM.INV(RAND(),MV2,Sigma1),IF(RAND()&lt;CondGood,_xlfn.LOGNORM.INV(RAND(),MV3,Sigma2),MIN(MaxMultiple,Xm/(1-RAND())^(1/Alpha)))))</f>
        <v>0</v>
      </c>
      <c r="AA500" s="19">
        <f ca="1">IF(RAND()&lt;P_Zero,0,IF(RAND()&lt;CondReturn,_xlfn.LOGNORM.INV(RAND(),MV2,Sigma1),IF(RAND()&lt;CondGood,_xlfn.LOGNORM.INV(RAND(),MV3,Sigma2),MIN(MaxMultiple,Xm/(1-RAND())^(1/Alpha)))))</f>
        <v>0.44027225848811885</v>
      </c>
      <c r="AB500" s="19">
        <f t="shared" ca="1" si="56"/>
        <v>2.0373336432367153</v>
      </c>
      <c r="AC500" s="14">
        <f t="shared" ca="1" si="57"/>
        <v>97792014.875362337</v>
      </c>
      <c r="AD500" s="14">
        <f t="shared" ca="1" si="58"/>
        <v>49792014.875362337</v>
      </c>
      <c r="AE500" s="14">
        <f t="shared" si="59"/>
        <v>55628399.869093813</v>
      </c>
      <c r="AF500" s="14">
        <f t="shared" ca="1" si="60"/>
        <v>0</v>
      </c>
      <c r="AG500" s="14">
        <f t="shared" ca="1" si="61"/>
        <v>0</v>
      </c>
      <c r="AH500" s="14">
        <f t="shared" ca="1" si="62"/>
        <v>97792014.875362337</v>
      </c>
      <c r="AI500" s="19">
        <f t="shared" ca="1" si="63"/>
        <v>1.6298669145893723</v>
      </c>
    </row>
    <row r="501" spans="2:35" x14ac:dyDescent="0.2">
      <c r="B501" s="1">
        <v>496</v>
      </c>
      <c r="C501" s="19">
        <f ca="1">IF(RAND()&lt;P_Zero,0,IF(RAND()&lt;CondReturn,_xlfn.LOGNORM.INV(RAND(),MV2,Sigma1),IF(RAND()&lt;CondGood,_xlfn.LOGNORM.INV(RAND(),MV3,Sigma2),MIN(MaxMultiple,Xm/(1-RAND())^(1/Alpha)))))</f>
        <v>0.89657420511405983</v>
      </c>
      <c r="D501" s="19">
        <f ca="1">IF(RAND()&lt;P_Zero,0,IF(RAND()&lt;CondReturn,_xlfn.LOGNORM.INV(RAND(),MV2,Sigma1),IF(RAND()&lt;CondGood,_xlfn.LOGNORM.INV(RAND(),MV3,Sigma2),MIN(MaxMultiple,Xm/(1-RAND())^(1/Alpha)))))</f>
        <v>0</v>
      </c>
      <c r="E501" s="19">
        <f ca="1">IF(RAND()&lt;P_Zero,0,IF(RAND()&lt;CondReturn,_xlfn.LOGNORM.INV(RAND(),MV2,Sigma1),IF(RAND()&lt;CondGood,_xlfn.LOGNORM.INV(RAND(),MV3,Sigma2),MIN(MaxMultiple,Xm/(1-RAND())^(1/Alpha)))))</f>
        <v>0</v>
      </c>
      <c r="F501" s="19">
        <f ca="1">IF(RAND()&lt;P_Zero,0,IF(RAND()&lt;CondReturn,_xlfn.LOGNORM.INV(RAND(),MV2,Sigma1),IF(RAND()&lt;CondGood,_xlfn.LOGNORM.INV(RAND(),MV3,Sigma2),MIN(MaxMultiple,Xm/(1-RAND())^(1/Alpha)))))</f>
        <v>0.63654215350493104</v>
      </c>
      <c r="G501" s="19">
        <f ca="1">IF(RAND()&lt;P_Zero,0,IF(RAND()&lt;CondReturn,_xlfn.LOGNORM.INV(RAND(),MV2,Sigma1),IF(RAND()&lt;CondGood,_xlfn.LOGNORM.INV(RAND(),MV3,Sigma2),MIN(MaxMultiple,Xm/(1-RAND())^(1/Alpha)))))</f>
        <v>12.846632545456563</v>
      </c>
      <c r="H501" s="19">
        <f ca="1">IF(RAND()&lt;P_Zero,0,IF(RAND()&lt;CondReturn,_xlfn.LOGNORM.INV(RAND(),MV2,Sigma1),IF(RAND()&lt;CondGood,_xlfn.LOGNORM.INV(RAND(),MV3,Sigma2),MIN(MaxMultiple,Xm/(1-RAND())^(1/Alpha)))))</f>
        <v>0</v>
      </c>
      <c r="I501" s="19">
        <f ca="1">IF(RAND()&lt;P_Zero,0,IF(RAND()&lt;CondReturn,_xlfn.LOGNORM.INV(RAND(),MV2,Sigma1),IF(RAND()&lt;CondGood,_xlfn.LOGNORM.INV(RAND(),MV3,Sigma2),MIN(MaxMultiple,Xm/(1-RAND())^(1/Alpha)))))</f>
        <v>0.86695110743340198</v>
      </c>
      <c r="J501" s="19">
        <f ca="1">IF(RAND()&lt;P_Zero,0,IF(RAND()&lt;CondReturn,_xlfn.LOGNORM.INV(RAND(),MV2,Sigma1),IF(RAND()&lt;CondGood,_xlfn.LOGNORM.INV(RAND(),MV3,Sigma2),MIN(MaxMultiple,Xm/(1-RAND())^(1/Alpha)))))</f>
        <v>0.6437408965289444</v>
      </c>
      <c r="K501" s="19">
        <f ca="1">IF(RAND()&lt;P_Zero,0,IF(RAND()&lt;CondReturn,_xlfn.LOGNORM.INV(RAND(),MV2,Sigma1),IF(RAND()&lt;CondGood,_xlfn.LOGNORM.INV(RAND(),MV3,Sigma2),MIN(MaxMultiple,Xm/(1-RAND())^(1/Alpha)))))</f>
        <v>0</v>
      </c>
      <c r="L501" s="19">
        <f ca="1">IF(RAND()&lt;P_Zero,0,IF(RAND()&lt;CondReturn,_xlfn.LOGNORM.INV(RAND(),MV2,Sigma1),IF(RAND()&lt;CondGood,_xlfn.LOGNORM.INV(RAND(),MV3,Sigma2),MIN(MaxMultiple,Xm/(1-RAND())^(1/Alpha)))))</f>
        <v>0.69040622732035573</v>
      </c>
      <c r="M501" s="19">
        <f ca="1">IF(RAND()&lt;P_Zero,0,IF(RAND()&lt;CondReturn,_xlfn.LOGNORM.INV(RAND(),MV2,Sigma1),IF(RAND()&lt;CondGood,_xlfn.LOGNORM.INV(RAND(),MV3,Sigma2),MIN(MaxMultiple,Xm/(1-RAND())^(1/Alpha)))))</f>
        <v>0</v>
      </c>
      <c r="N501" s="19">
        <f ca="1">IF(RAND()&lt;P_Zero,0,IF(RAND()&lt;CondReturn,_xlfn.LOGNORM.INV(RAND(),MV2,Sigma1),IF(RAND()&lt;CondGood,_xlfn.LOGNORM.INV(RAND(),MV3,Sigma2),MIN(MaxMultiple,Xm/(1-RAND())^(1/Alpha)))))</f>
        <v>1.7674988198495758</v>
      </c>
      <c r="O501" s="19">
        <f ca="1">IF(RAND()&lt;P_Zero,0,IF(RAND()&lt;CondReturn,_xlfn.LOGNORM.INV(RAND(),MV2,Sigma1),IF(RAND()&lt;CondGood,_xlfn.LOGNORM.INV(RAND(),MV3,Sigma2),MIN(MaxMultiple,Xm/(1-RAND())^(1/Alpha)))))</f>
        <v>1.1601336022906721</v>
      </c>
      <c r="P501" s="19">
        <f ca="1">IF(RAND()&lt;P_Zero,0,IF(RAND()&lt;CondReturn,_xlfn.LOGNORM.INV(RAND(),MV2,Sigma1),IF(RAND()&lt;CondGood,_xlfn.LOGNORM.INV(RAND(),MV3,Sigma2),MIN(MaxMultiple,Xm/(1-RAND())^(1/Alpha)))))</f>
        <v>0.68640970479300745</v>
      </c>
      <c r="Q501" s="19">
        <f ca="1">IF(RAND()&lt;P_Zero,0,IF(RAND()&lt;CondReturn,_xlfn.LOGNORM.INV(RAND(),MV2,Sigma1),IF(RAND()&lt;CondGood,_xlfn.LOGNORM.INV(RAND(),MV3,Sigma2),MIN(MaxMultiple,Xm/(1-RAND())^(1/Alpha)))))</f>
        <v>0</v>
      </c>
      <c r="R501" s="19">
        <f ca="1">IF(RAND()&lt;P_Zero,0,IF(RAND()&lt;CondReturn,_xlfn.LOGNORM.INV(RAND(),MV2,Sigma1),IF(RAND()&lt;CondGood,_xlfn.LOGNORM.INV(RAND(),MV3,Sigma2),MIN(MaxMultiple,Xm/(1-RAND())^(1/Alpha)))))</f>
        <v>13.634949675741996</v>
      </c>
      <c r="S501" s="19">
        <f ca="1">IF(RAND()&lt;P_Zero,0,IF(RAND()&lt;CondReturn,_xlfn.LOGNORM.INV(RAND(),MV2,Sigma1),IF(RAND()&lt;CondGood,_xlfn.LOGNORM.INV(RAND(),MV3,Sigma2),MIN(MaxMultiple,Xm/(1-RAND())^(1/Alpha)))))</f>
        <v>0</v>
      </c>
      <c r="T501" s="19">
        <f ca="1">IF(RAND()&lt;P_Zero,0,IF(RAND()&lt;CondReturn,_xlfn.LOGNORM.INV(RAND(),MV2,Sigma1),IF(RAND()&lt;CondGood,_xlfn.LOGNORM.INV(RAND(),MV3,Sigma2),MIN(MaxMultiple,Xm/(1-RAND())^(1/Alpha)))))</f>
        <v>1.0968212694633126</v>
      </c>
      <c r="U501" s="19">
        <f ca="1">IF(RAND()&lt;P_Zero,0,IF(RAND()&lt;CondReturn,_xlfn.LOGNORM.INV(RAND(),MV2,Sigma1),IF(RAND()&lt;CondGood,_xlfn.LOGNORM.INV(RAND(),MV3,Sigma2),MIN(MaxMultiple,Xm/(1-RAND())^(1/Alpha)))))</f>
        <v>0.79142986747006849</v>
      </c>
      <c r="V501" s="19">
        <f ca="1">IF(RAND()&lt;P_Zero,0,IF(RAND()&lt;CondReturn,_xlfn.LOGNORM.INV(RAND(),MV2,Sigma1),IF(RAND()&lt;CondGood,_xlfn.LOGNORM.INV(RAND(),MV3,Sigma2),MIN(MaxMultiple,Xm/(1-RAND())^(1/Alpha)))))</f>
        <v>0</v>
      </c>
      <c r="W501" s="19">
        <f ca="1">IF(RAND()&lt;P_Zero,0,IF(RAND()&lt;CondReturn,_xlfn.LOGNORM.INV(RAND(),MV2,Sigma1),IF(RAND()&lt;CondGood,_xlfn.LOGNORM.INV(RAND(),MV3,Sigma2),MIN(MaxMultiple,Xm/(1-RAND())^(1/Alpha)))))</f>
        <v>0</v>
      </c>
      <c r="X501" s="19">
        <f ca="1">IF(RAND()&lt;P_Zero,0,IF(RAND()&lt;CondReturn,_xlfn.LOGNORM.INV(RAND(),MV2,Sigma1),IF(RAND()&lt;CondGood,_xlfn.LOGNORM.INV(RAND(),MV3,Sigma2),MIN(MaxMultiple,Xm/(1-RAND())^(1/Alpha)))))</f>
        <v>0</v>
      </c>
      <c r="Y501" s="19">
        <f ca="1">IF(RAND()&lt;P_Zero,0,IF(RAND()&lt;CondReturn,_xlfn.LOGNORM.INV(RAND(),MV2,Sigma1),IF(RAND()&lt;CondGood,_xlfn.LOGNORM.INV(RAND(),MV3,Sigma2),MIN(MaxMultiple,Xm/(1-RAND())^(1/Alpha)))))</f>
        <v>1.0163765326499543</v>
      </c>
      <c r="Z501" s="19">
        <f ca="1">IF(RAND()&lt;P_Zero,0,IF(RAND()&lt;CondReturn,_xlfn.LOGNORM.INV(RAND(),MV2,Sigma1),IF(RAND()&lt;CondGood,_xlfn.LOGNORM.INV(RAND(),MV3,Sigma2),MIN(MaxMultiple,Xm/(1-RAND())^(1/Alpha)))))</f>
        <v>0.88374116743406728</v>
      </c>
      <c r="AA501" s="19">
        <f ca="1">IF(RAND()&lt;P_Zero,0,IF(RAND()&lt;CondReturn,_xlfn.LOGNORM.INV(RAND(),MV2,Sigma1),IF(RAND()&lt;CondGood,_xlfn.LOGNORM.INV(RAND(),MV3,Sigma2),MIN(MaxMultiple,Xm/(1-RAND())^(1/Alpha)))))</f>
        <v>0</v>
      </c>
      <c r="AB501" s="19">
        <f t="shared" ca="1" si="56"/>
        <v>1.5047283110020364</v>
      </c>
      <c r="AC501" s="14">
        <f t="shared" ca="1" si="57"/>
        <v>72226958.928097755</v>
      </c>
      <c r="AD501" s="14">
        <f t="shared" ca="1" si="58"/>
        <v>24226958.928097755</v>
      </c>
      <c r="AE501" s="14">
        <f t="shared" si="59"/>
        <v>55628399.869093813</v>
      </c>
      <c r="AF501" s="14">
        <f t="shared" ca="1" si="60"/>
        <v>0</v>
      </c>
      <c r="AG501" s="14">
        <f t="shared" ca="1" si="61"/>
        <v>0</v>
      </c>
      <c r="AH501" s="14">
        <f t="shared" ca="1" si="62"/>
        <v>72226958.928097755</v>
      </c>
      <c r="AI501" s="19">
        <f t="shared" ca="1" si="63"/>
        <v>1.2037826488016292</v>
      </c>
    </row>
    <row r="502" spans="2:35" x14ac:dyDescent="0.2">
      <c r="B502" s="1">
        <v>497</v>
      </c>
      <c r="C502" s="19">
        <f ca="1">IF(RAND()&lt;P_Zero,0,IF(RAND()&lt;CondReturn,_xlfn.LOGNORM.INV(RAND(),MV2,Sigma1),IF(RAND()&lt;CondGood,_xlfn.LOGNORM.INV(RAND(),MV3,Sigma2),MIN(MaxMultiple,Xm/(1-RAND())^(1/Alpha)))))</f>
        <v>3.3521221184575927</v>
      </c>
      <c r="D502" s="19">
        <f ca="1">IF(RAND()&lt;P_Zero,0,IF(RAND()&lt;CondReturn,_xlfn.LOGNORM.INV(RAND(),MV2,Sigma1),IF(RAND()&lt;CondGood,_xlfn.LOGNORM.INV(RAND(),MV3,Sigma2),MIN(MaxMultiple,Xm/(1-RAND())^(1/Alpha)))))</f>
        <v>0.75781531566799976</v>
      </c>
      <c r="E502" s="19">
        <f ca="1">IF(RAND()&lt;P_Zero,0,IF(RAND()&lt;CondReturn,_xlfn.LOGNORM.INV(RAND(),MV2,Sigma1),IF(RAND()&lt;CondGood,_xlfn.LOGNORM.INV(RAND(),MV3,Sigma2),MIN(MaxMultiple,Xm/(1-RAND())^(1/Alpha)))))</f>
        <v>0</v>
      </c>
      <c r="F502" s="19">
        <f ca="1">IF(RAND()&lt;P_Zero,0,IF(RAND()&lt;CondReturn,_xlfn.LOGNORM.INV(RAND(),MV2,Sigma1),IF(RAND()&lt;CondGood,_xlfn.LOGNORM.INV(RAND(),MV3,Sigma2),MIN(MaxMultiple,Xm/(1-RAND())^(1/Alpha)))))</f>
        <v>0</v>
      </c>
      <c r="G502" s="19">
        <f ca="1">IF(RAND()&lt;P_Zero,0,IF(RAND()&lt;CondReturn,_xlfn.LOGNORM.INV(RAND(),MV2,Sigma1),IF(RAND()&lt;CondGood,_xlfn.LOGNORM.INV(RAND(),MV3,Sigma2),MIN(MaxMultiple,Xm/(1-RAND())^(1/Alpha)))))</f>
        <v>0.77474879531505514</v>
      </c>
      <c r="H502" s="19">
        <f ca="1">IF(RAND()&lt;P_Zero,0,IF(RAND()&lt;CondReturn,_xlfn.LOGNORM.INV(RAND(),MV2,Sigma1),IF(RAND()&lt;CondGood,_xlfn.LOGNORM.INV(RAND(),MV3,Sigma2),MIN(MaxMultiple,Xm/(1-RAND())^(1/Alpha)))))</f>
        <v>0.49446127959825481</v>
      </c>
      <c r="I502" s="19">
        <f ca="1">IF(RAND()&lt;P_Zero,0,IF(RAND()&lt;CondReturn,_xlfn.LOGNORM.INV(RAND(),MV2,Sigma1),IF(RAND()&lt;CondGood,_xlfn.LOGNORM.INV(RAND(),MV3,Sigma2),MIN(MaxMultiple,Xm/(1-RAND())^(1/Alpha)))))</f>
        <v>0</v>
      </c>
      <c r="J502" s="19">
        <f ca="1">IF(RAND()&lt;P_Zero,0,IF(RAND()&lt;CondReturn,_xlfn.LOGNORM.INV(RAND(),MV2,Sigma1),IF(RAND()&lt;CondGood,_xlfn.LOGNORM.INV(RAND(),MV3,Sigma2),MIN(MaxMultiple,Xm/(1-RAND())^(1/Alpha)))))</f>
        <v>0.86577859198740648</v>
      </c>
      <c r="K502" s="19">
        <f ca="1">IF(RAND()&lt;P_Zero,0,IF(RAND()&lt;CondReturn,_xlfn.LOGNORM.INV(RAND(),MV2,Sigma1),IF(RAND()&lt;CondGood,_xlfn.LOGNORM.INV(RAND(),MV3,Sigma2),MIN(MaxMultiple,Xm/(1-RAND())^(1/Alpha)))))</f>
        <v>95.719614920532237</v>
      </c>
      <c r="L502" s="19">
        <f ca="1">IF(RAND()&lt;P_Zero,0,IF(RAND()&lt;CondReturn,_xlfn.LOGNORM.INV(RAND(),MV2,Sigma1),IF(RAND()&lt;CondGood,_xlfn.LOGNORM.INV(RAND(),MV3,Sigma2),MIN(MaxMultiple,Xm/(1-RAND())^(1/Alpha)))))</f>
        <v>0</v>
      </c>
      <c r="M502" s="19">
        <f ca="1">IF(RAND()&lt;P_Zero,0,IF(RAND()&lt;CondReturn,_xlfn.LOGNORM.INV(RAND(),MV2,Sigma1),IF(RAND()&lt;CondGood,_xlfn.LOGNORM.INV(RAND(),MV3,Sigma2),MIN(MaxMultiple,Xm/(1-RAND())^(1/Alpha)))))</f>
        <v>0</v>
      </c>
      <c r="N502" s="19">
        <f ca="1">IF(RAND()&lt;P_Zero,0,IF(RAND()&lt;CondReturn,_xlfn.LOGNORM.INV(RAND(),MV2,Sigma1),IF(RAND()&lt;CondGood,_xlfn.LOGNORM.INV(RAND(),MV3,Sigma2),MIN(MaxMultiple,Xm/(1-RAND())^(1/Alpha)))))</f>
        <v>0</v>
      </c>
      <c r="O502" s="19">
        <f ca="1">IF(RAND()&lt;P_Zero,0,IF(RAND()&lt;CondReturn,_xlfn.LOGNORM.INV(RAND(),MV2,Sigma1),IF(RAND()&lt;CondGood,_xlfn.LOGNORM.INV(RAND(),MV3,Sigma2),MIN(MaxMultiple,Xm/(1-RAND())^(1/Alpha)))))</f>
        <v>0</v>
      </c>
      <c r="P502" s="19">
        <f ca="1">IF(RAND()&lt;P_Zero,0,IF(RAND()&lt;CondReturn,_xlfn.LOGNORM.INV(RAND(),MV2,Sigma1),IF(RAND()&lt;CondGood,_xlfn.LOGNORM.INV(RAND(),MV3,Sigma2),MIN(MaxMultiple,Xm/(1-RAND())^(1/Alpha)))))</f>
        <v>1.3789850105035724</v>
      </c>
      <c r="Q502" s="19">
        <f ca="1">IF(RAND()&lt;P_Zero,0,IF(RAND()&lt;CondReturn,_xlfn.LOGNORM.INV(RAND(),MV2,Sigma1),IF(RAND()&lt;CondGood,_xlfn.LOGNORM.INV(RAND(),MV3,Sigma2),MIN(MaxMultiple,Xm/(1-RAND())^(1/Alpha)))))</f>
        <v>19.458802082706587</v>
      </c>
      <c r="R502" s="19">
        <f ca="1">IF(RAND()&lt;P_Zero,0,IF(RAND()&lt;CondReturn,_xlfn.LOGNORM.INV(RAND(),MV2,Sigma1),IF(RAND()&lt;CondGood,_xlfn.LOGNORM.INV(RAND(),MV3,Sigma2),MIN(MaxMultiple,Xm/(1-RAND())^(1/Alpha)))))</f>
        <v>0</v>
      </c>
      <c r="S502" s="19">
        <f ca="1">IF(RAND()&lt;P_Zero,0,IF(RAND()&lt;CondReturn,_xlfn.LOGNORM.INV(RAND(),MV2,Sigma1),IF(RAND()&lt;CondGood,_xlfn.LOGNORM.INV(RAND(),MV3,Sigma2),MIN(MaxMultiple,Xm/(1-RAND())^(1/Alpha)))))</f>
        <v>30.817484951287266</v>
      </c>
      <c r="T502" s="19">
        <f ca="1">IF(RAND()&lt;P_Zero,0,IF(RAND()&lt;CondReturn,_xlfn.LOGNORM.INV(RAND(),MV2,Sigma1),IF(RAND()&lt;CondGood,_xlfn.LOGNORM.INV(RAND(),MV3,Sigma2),MIN(MaxMultiple,Xm/(1-RAND())^(1/Alpha)))))</f>
        <v>2.9096930378033381</v>
      </c>
      <c r="U502" s="19">
        <f ca="1">IF(RAND()&lt;P_Zero,0,IF(RAND()&lt;CondReturn,_xlfn.LOGNORM.INV(RAND(),MV2,Sigma1),IF(RAND()&lt;CondGood,_xlfn.LOGNORM.INV(RAND(),MV3,Sigma2),MIN(MaxMultiple,Xm/(1-RAND())^(1/Alpha)))))</f>
        <v>0.93120537129043657</v>
      </c>
      <c r="V502" s="19">
        <f ca="1">IF(RAND()&lt;P_Zero,0,IF(RAND()&lt;CondReturn,_xlfn.LOGNORM.INV(RAND(),MV2,Sigma1),IF(RAND()&lt;CondGood,_xlfn.LOGNORM.INV(RAND(),MV3,Sigma2),MIN(MaxMultiple,Xm/(1-RAND())^(1/Alpha)))))</f>
        <v>0</v>
      </c>
      <c r="W502" s="19">
        <f ca="1">IF(RAND()&lt;P_Zero,0,IF(RAND()&lt;CondReturn,_xlfn.LOGNORM.INV(RAND(),MV2,Sigma1),IF(RAND()&lt;CondGood,_xlfn.LOGNORM.INV(RAND(),MV3,Sigma2),MIN(MaxMultiple,Xm/(1-RAND())^(1/Alpha)))))</f>
        <v>0</v>
      </c>
      <c r="X502" s="19">
        <f ca="1">IF(RAND()&lt;P_Zero,0,IF(RAND()&lt;CondReturn,_xlfn.LOGNORM.INV(RAND(),MV2,Sigma1),IF(RAND()&lt;CondGood,_xlfn.LOGNORM.INV(RAND(),MV3,Sigma2),MIN(MaxMultiple,Xm/(1-RAND())^(1/Alpha)))))</f>
        <v>22.500778862645937</v>
      </c>
      <c r="Y502" s="19">
        <f ca="1">IF(RAND()&lt;P_Zero,0,IF(RAND()&lt;CondReturn,_xlfn.LOGNORM.INV(RAND(),MV2,Sigma1),IF(RAND()&lt;CondGood,_xlfn.LOGNORM.INV(RAND(),MV3,Sigma2),MIN(MaxMultiple,Xm/(1-RAND())^(1/Alpha)))))</f>
        <v>54.345901866618554</v>
      </c>
      <c r="Z502" s="19">
        <f ca="1">IF(RAND()&lt;P_Zero,0,IF(RAND()&lt;CondReturn,_xlfn.LOGNORM.INV(RAND(),MV2,Sigma1),IF(RAND()&lt;CondGood,_xlfn.LOGNORM.INV(RAND(),MV3,Sigma2),MIN(MaxMultiple,Xm/(1-RAND())^(1/Alpha)))))</f>
        <v>0.93240428495988692</v>
      </c>
      <c r="AA502" s="19">
        <f ca="1">IF(RAND()&lt;P_Zero,0,IF(RAND()&lt;CondReturn,_xlfn.LOGNORM.INV(RAND(),MV2,Sigma1),IF(RAND()&lt;CondGood,_xlfn.LOGNORM.INV(RAND(),MV3,Sigma2),MIN(MaxMultiple,Xm/(1-RAND())^(1/Alpha)))))</f>
        <v>1.5389730139246391</v>
      </c>
      <c r="AB502" s="19">
        <f t="shared" ca="1" si="56"/>
        <v>9.4711507801319517</v>
      </c>
      <c r="AC502" s="14">
        <f t="shared" ca="1" si="57"/>
        <v>454615237.44633371</v>
      </c>
      <c r="AD502" s="14">
        <f t="shared" ca="1" si="58"/>
        <v>406615237.44633371</v>
      </c>
      <c r="AE502" s="14">
        <f t="shared" si="59"/>
        <v>55628399.869093813</v>
      </c>
      <c r="AF502" s="14">
        <f t="shared" ca="1" si="60"/>
        <v>350986837.57723987</v>
      </c>
      <c r="AG502" s="14">
        <f t="shared" ca="1" si="61"/>
        <v>70197367.515447974</v>
      </c>
      <c r="AH502" s="14">
        <f t="shared" ca="1" si="62"/>
        <v>384417869.93088573</v>
      </c>
      <c r="AI502" s="19">
        <f t="shared" ca="1" si="63"/>
        <v>6.4069644988480956</v>
      </c>
    </row>
    <row r="503" spans="2:35" x14ac:dyDescent="0.2">
      <c r="B503" s="1">
        <v>498</v>
      </c>
      <c r="C503" s="19">
        <f ca="1">IF(RAND()&lt;P_Zero,0,IF(RAND()&lt;CondReturn,_xlfn.LOGNORM.INV(RAND(),MV2,Sigma1),IF(RAND()&lt;CondGood,_xlfn.LOGNORM.INV(RAND(),MV3,Sigma2),MIN(MaxMultiple,Xm/(1-RAND())^(1/Alpha)))))</f>
        <v>0</v>
      </c>
      <c r="D503" s="19">
        <f ca="1">IF(RAND()&lt;P_Zero,0,IF(RAND()&lt;CondReturn,_xlfn.LOGNORM.INV(RAND(),MV2,Sigma1),IF(RAND()&lt;CondGood,_xlfn.LOGNORM.INV(RAND(),MV3,Sigma2),MIN(MaxMultiple,Xm/(1-RAND())^(1/Alpha)))))</f>
        <v>0.85152915408680319</v>
      </c>
      <c r="E503" s="19">
        <f ca="1">IF(RAND()&lt;P_Zero,0,IF(RAND()&lt;CondReturn,_xlfn.LOGNORM.INV(RAND(),MV2,Sigma1),IF(RAND()&lt;CondGood,_xlfn.LOGNORM.INV(RAND(),MV3,Sigma2),MIN(MaxMultiple,Xm/(1-RAND())^(1/Alpha)))))</f>
        <v>0</v>
      </c>
      <c r="F503" s="19">
        <f ca="1">IF(RAND()&lt;P_Zero,0,IF(RAND()&lt;CondReturn,_xlfn.LOGNORM.INV(RAND(),MV2,Sigma1),IF(RAND()&lt;CondGood,_xlfn.LOGNORM.INV(RAND(),MV3,Sigma2),MIN(MaxMultiple,Xm/(1-RAND())^(1/Alpha)))))</f>
        <v>0</v>
      </c>
      <c r="G503" s="19">
        <f ca="1">IF(RAND()&lt;P_Zero,0,IF(RAND()&lt;CondReturn,_xlfn.LOGNORM.INV(RAND(),MV2,Sigma1),IF(RAND()&lt;CondGood,_xlfn.LOGNORM.INV(RAND(),MV3,Sigma2),MIN(MaxMultiple,Xm/(1-RAND())^(1/Alpha)))))</f>
        <v>2.1676861517090935</v>
      </c>
      <c r="H503" s="19">
        <f ca="1">IF(RAND()&lt;P_Zero,0,IF(RAND()&lt;CondReturn,_xlfn.LOGNORM.INV(RAND(),MV2,Sigma1),IF(RAND()&lt;CondGood,_xlfn.LOGNORM.INV(RAND(),MV3,Sigma2),MIN(MaxMultiple,Xm/(1-RAND())^(1/Alpha)))))</f>
        <v>1.0071483699073811</v>
      </c>
      <c r="I503" s="19">
        <f ca="1">IF(RAND()&lt;P_Zero,0,IF(RAND()&lt;CondReturn,_xlfn.LOGNORM.INV(RAND(),MV2,Sigma1),IF(RAND()&lt;CondGood,_xlfn.LOGNORM.INV(RAND(),MV3,Sigma2),MIN(MaxMultiple,Xm/(1-RAND())^(1/Alpha)))))</f>
        <v>0.69975860474074536</v>
      </c>
      <c r="J503" s="19">
        <f ca="1">IF(RAND()&lt;P_Zero,0,IF(RAND()&lt;CondReturn,_xlfn.LOGNORM.INV(RAND(),MV2,Sigma1),IF(RAND()&lt;CondGood,_xlfn.LOGNORM.INV(RAND(),MV3,Sigma2),MIN(MaxMultiple,Xm/(1-RAND())^(1/Alpha)))))</f>
        <v>0.81949943176347673</v>
      </c>
      <c r="K503" s="19">
        <f ca="1">IF(RAND()&lt;P_Zero,0,IF(RAND()&lt;CondReturn,_xlfn.LOGNORM.INV(RAND(),MV2,Sigma1),IF(RAND()&lt;CondGood,_xlfn.LOGNORM.INV(RAND(),MV3,Sigma2),MIN(MaxMultiple,Xm/(1-RAND())^(1/Alpha)))))</f>
        <v>0.5169435881675094</v>
      </c>
      <c r="L503" s="19">
        <f ca="1">IF(RAND()&lt;P_Zero,0,IF(RAND()&lt;CondReturn,_xlfn.LOGNORM.INV(RAND(),MV2,Sigma1),IF(RAND()&lt;CondGood,_xlfn.LOGNORM.INV(RAND(),MV3,Sigma2),MIN(MaxMultiple,Xm/(1-RAND())^(1/Alpha)))))</f>
        <v>3.0684686621412647</v>
      </c>
      <c r="M503" s="19">
        <f ca="1">IF(RAND()&lt;P_Zero,0,IF(RAND()&lt;CondReturn,_xlfn.LOGNORM.INV(RAND(),MV2,Sigma1),IF(RAND()&lt;CondGood,_xlfn.LOGNORM.INV(RAND(),MV3,Sigma2),MIN(MaxMultiple,Xm/(1-RAND())^(1/Alpha)))))</f>
        <v>0</v>
      </c>
      <c r="N503" s="19">
        <f ca="1">IF(RAND()&lt;P_Zero,0,IF(RAND()&lt;CondReturn,_xlfn.LOGNORM.INV(RAND(),MV2,Sigma1),IF(RAND()&lt;CondGood,_xlfn.LOGNORM.INV(RAND(),MV3,Sigma2),MIN(MaxMultiple,Xm/(1-RAND())^(1/Alpha)))))</f>
        <v>0.59163226828628823</v>
      </c>
      <c r="O503" s="19">
        <f ca="1">IF(RAND()&lt;P_Zero,0,IF(RAND()&lt;CondReturn,_xlfn.LOGNORM.INV(RAND(),MV2,Sigma1),IF(RAND()&lt;CondGood,_xlfn.LOGNORM.INV(RAND(),MV3,Sigma2),MIN(MaxMultiple,Xm/(1-RAND())^(1/Alpha)))))</f>
        <v>0</v>
      </c>
      <c r="P503" s="19">
        <f ca="1">IF(RAND()&lt;P_Zero,0,IF(RAND()&lt;CondReturn,_xlfn.LOGNORM.INV(RAND(),MV2,Sigma1),IF(RAND()&lt;CondGood,_xlfn.LOGNORM.INV(RAND(),MV3,Sigma2),MIN(MaxMultiple,Xm/(1-RAND())^(1/Alpha)))))</f>
        <v>0.86618779377868182</v>
      </c>
      <c r="Q503" s="19">
        <f ca="1">IF(RAND()&lt;P_Zero,0,IF(RAND()&lt;CondReturn,_xlfn.LOGNORM.INV(RAND(),MV2,Sigma1),IF(RAND()&lt;CondGood,_xlfn.LOGNORM.INV(RAND(),MV3,Sigma2),MIN(MaxMultiple,Xm/(1-RAND())^(1/Alpha)))))</f>
        <v>0</v>
      </c>
      <c r="R503" s="19">
        <f ca="1">IF(RAND()&lt;P_Zero,0,IF(RAND()&lt;CondReturn,_xlfn.LOGNORM.INV(RAND(),MV2,Sigma1),IF(RAND()&lt;CondGood,_xlfn.LOGNORM.INV(RAND(),MV3,Sigma2),MIN(MaxMultiple,Xm/(1-RAND())^(1/Alpha)))))</f>
        <v>0</v>
      </c>
      <c r="S503" s="19">
        <f ca="1">IF(RAND()&lt;P_Zero,0,IF(RAND()&lt;CondReturn,_xlfn.LOGNORM.INV(RAND(),MV2,Sigma1),IF(RAND()&lt;CondGood,_xlfn.LOGNORM.INV(RAND(),MV3,Sigma2),MIN(MaxMultiple,Xm/(1-RAND())^(1/Alpha)))))</f>
        <v>2.2346160610923111</v>
      </c>
      <c r="T503" s="19">
        <f ca="1">IF(RAND()&lt;P_Zero,0,IF(RAND()&lt;CondReturn,_xlfn.LOGNORM.INV(RAND(),MV2,Sigma1),IF(RAND()&lt;CondGood,_xlfn.LOGNORM.INV(RAND(),MV3,Sigma2),MIN(MaxMultiple,Xm/(1-RAND())^(1/Alpha)))))</f>
        <v>1.6156197190832453</v>
      </c>
      <c r="U503" s="19">
        <f ca="1">IF(RAND()&lt;P_Zero,0,IF(RAND()&lt;CondReturn,_xlfn.LOGNORM.INV(RAND(),MV2,Sigma1),IF(RAND()&lt;CondGood,_xlfn.LOGNORM.INV(RAND(),MV3,Sigma2),MIN(MaxMultiple,Xm/(1-RAND())^(1/Alpha)))))</f>
        <v>0.97609307007802015</v>
      </c>
      <c r="V503" s="19">
        <f ca="1">IF(RAND()&lt;P_Zero,0,IF(RAND()&lt;CondReturn,_xlfn.LOGNORM.INV(RAND(),MV2,Sigma1),IF(RAND()&lt;CondGood,_xlfn.LOGNORM.INV(RAND(),MV3,Sigma2),MIN(MaxMultiple,Xm/(1-RAND())^(1/Alpha)))))</f>
        <v>0</v>
      </c>
      <c r="W503" s="19">
        <f ca="1">IF(RAND()&lt;P_Zero,0,IF(RAND()&lt;CondReturn,_xlfn.LOGNORM.INV(RAND(),MV2,Sigma1),IF(RAND()&lt;CondGood,_xlfn.LOGNORM.INV(RAND(),MV3,Sigma2),MIN(MaxMultiple,Xm/(1-RAND())^(1/Alpha)))))</f>
        <v>0.7955442255325843</v>
      </c>
      <c r="X503" s="19">
        <f ca="1">IF(RAND()&lt;P_Zero,0,IF(RAND()&lt;CondReturn,_xlfn.LOGNORM.INV(RAND(),MV2,Sigma1),IF(RAND()&lt;CondGood,_xlfn.LOGNORM.INV(RAND(),MV3,Sigma2),MIN(MaxMultiple,Xm/(1-RAND())^(1/Alpha)))))</f>
        <v>0</v>
      </c>
      <c r="Y503" s="19">
        <f ca="1">IF(RAND()&lt;P_Zero,0,IF(RAND()&lt;CondReturn,_xlfn.LOGNORM.INV(RAND(),MV2,Sigma1),IF(RAND()&lt;CondGood,_xlfn.LOGNORM.INV(RAND(),MV3,Sigma2),MIN(MaxMultiple,Xm/(1-RAND())^(1/Alpha)))))</f>
        <v>0</v>
      </c>
      <c r="Z503" s="19">
        <f ca="1">IF(RAND()&lt;P_Zero,0,IF(RAND()&lt;CondReturn,_xlfn.LOGNORM.INV(RAND(),MV2,Sigma1),IF(RAND()&lt;CondGood,_xlfn.LOGNORM.INV(RAND(),MV3,Sigma2),MIN(MaxMultiple,Xm/(1-RAND())^(1/Alpha)))))</f>
        <v>0</v>
      </c>
      <c r="AA503" s="19">
        <f ca="1">IF(RAND()&lt;P_Zero,0,IF(RAND()&lt;CondReturn,_xlfn.LOGNORM.INV(RAND(),MV2,Sigma1),IF(RAND()&lt;CondGood,_xlfn.LOGNORM.INV(RAND(),MV3,Sigma2),MIN(MaxMultiple,Xm/(1-RAND())^(1/Alpha)))))</f>
        <v>2.7695483308355477</v>
      </c>
      <c r="AB503" s="19">
        <f t="shared" ca="1" si="56"/>
        <v>0.75921101724811824</v>
      </c>
      <c r="AC503" s="14">
        <f t="shared" ca="1" si="57"/>
        <v>36442128.827909678</v>
      </c>
      <c r="AD503" s="14">
        <f t="shared" ca="1" si="58"/>
        <v>-11557871.172090322</v>
      </c>
      <c r="AE503" s="14">
        <f t="shared" si="59"/>
        <v>55628399.869093813</v>
      </c>
      <c r="AF503" s="14">
        <f t="shared" ca="1" si="60"/>
        <v>0</v>
      </c>
      <c r="AG503" s="14">
        <f t="shared" ca="1" si="61"/>
        <v>0</v>
      </c>
      <c r="AH503" s="14">
        <f t="shared" ca="1" si="62"/>
        <v>36442128.827909678</v>
      </c>
      <c r="AI503" s="19">
        <f t="shared" ca="1" si="63"/>
        <v>0.60736881379849461</v>
      </c>
    </row>
    <row r="504" spans="2:35" x14ac:dyDescent="0.2">
      <c r="B504" s="1">
        <v>499</v>
      </c>
      <c r="C504" s="19">
        <f ca="1">IF(RAND()&lt;P_Zero,0,IF(RAND()&lt;CondReturn,_xlfn.LOGNORM.INV(RAND(),MV2,Sigma1),IF(RAND()&lt;CondGood,_xlfn.LOGNORM.INV(RAND(),MV3,Sigma2),MIN(MaxMultiple,Xm/(1-RAND())^(1/Alpha)))))</f>
        <v>0</v>
      </c>
      <c r="D504" s="19">
        <f ca="1">IF(RAND()&lt;P_Zero,0,IF(RAND()&lt;CondReturn,_xlfn.LOGNORM.INV(RAND(),MV2,Sigma1),IF(RAND()&lt;CondGood,_xlfn.LOGNORM.INV(RAND(),MV3,Sigma2),MIN(MaxMultiple,Xm/(1-RAND())^(1/Alpha)))))</f>
        <v>0</v>
      </c>
      <c r="E504" s="19">
        <f ca="1">IF(RAND()&lt;P_Zero,0,IF(RAND()&lt;CondReturn,_xlfn.LOGNORM.INV(RAND(),MV2,Sigma1),IF(RAND()&lt;CondGood,_xlfn.LOGNORM.INV(RAND(),MV3,Sigma2),MIN(MaxMultiple,Xm/(1-RAND())^(1/Alpha)))))</f>
        <v>0</v>
      </c>
      <c r="F504" s="19">
        <f ca="1">IF(RAND()&lt;P_Zero,0,IF(RAND()&lt;CondReturn,_xlfn.LOGNORM.INV(RAND(),MV2,Sigma1),IF(RAND()&lt;CondGood,_xlfn.LOGNORM.INV(RAND(),MV3,Sigma2),MIN(MaxMultiple,Xm/(1-RAND())^(1/Alpha)))))</f>
        <v>2.6155129841670579</v>
      </c>
      <c r="G504" s="19">
        <f ca="1">IF(RAND()&lt;P_Zero,0,IF(RAND()&lt;CondReturn,_xlfn.LOGNORM.INV(RAND(),MV2,Sigma1),IF(RAND()&lt;CondGood,_xlfn.LOGNORM.INV(RAND(),MV3,Sigma2),MIN(MaxMultiple,Xm/(1-RAND())^(1/Alpha)))))</f>
        <v>0</v>
      </c>
      <c r="H504" s="19">
        <f ca="1">IF(RAND()&lt;P_Zero,0,IF(RAND()&lt;CondReturn,_xlfn.LOGNORM.INV(RAND(),MV2,Sigma1),IF(RAND()&lt;CondGood,_xlfn.LOGNORM.INV(RAND(),MV3,Sigma2),MIN(MaxMultiple,Xm/(1-RAND())^(1/Alpha)))))</f>
        <v>1.9782139003175894</v>
      </c>
      <c r="I504" s="19">
        <f ca="1">IF(RAND()&lt;P_Zero,0,IF(RAND()&lt;CondReturn,_xlfn.LOGNORM.INV(RAND(),MV2,Sigma1),IF(RAND()&lt;CondGood,_xlfn.LOGNORM.INV(RAND(),MV3,Sigma2),MIN(MaxMultiple,Xm/(1-RAND())^(1/Alpha)))))</f>
        <v>0</v>
      </c>
      <c r="J504" s="19">
        <f ca="1">IF(RAND()&lt;P_Zero,0,IF(RAND()&lt;CondReturn,_xlfn.LOGNORM.INV(RAND(),MV2,Sigma1),IF(RAND()&lt;CondGood,_xlfn.LOGNORM.INV(RAND(),MV3,Sigma2),MIN(MaxMultiple,Xm/(1-RAND())^(1/Alpha)))))</f>
        <v>0</v>
      </c>
      <c r="K504" s="19">
        <f ca="1">IF(RAND()&lt;P_Zero,0,IF(RAND()&lt;CondReturn,_xlfn.LOGNORM.INV(RAND(),MV2,Sigma1),IF(RAND()&lt;CondGood,_xlfn.LOGNORM.INV(RAND(),MV3,Sigma2),MIN(MaxMultiple,Xm/(1-RAND())^(1/Alpha)))))</f>
        <v>0</v>
      </c>
      <c r="L504" s="19">
        <f ca="1">IF(RAND()&lt;P_Zero,0,IF(RAND()&lt;CondReturn,_xlfn.LOGNORM.INV(RAND(),MV2,Sigma1),IF(RAND()&lt;CondGood,_xlfn.LOGNORM.INV(RAND(),MV3,Sigma2),MIN(MaxMultiple,Xm/(1-RAND())^(1/Alpha)))))</f>
        <v>0</v>
      </c>
      <c r="M504" s="19">
        <f ca="1">IF(RAND()&lt;P_Zero,0,IF(RAND()&lt;CondReturn,_xlfn.LOGNORM.INV(RAND(),MV2,Sigma1),IF(RAND()&lt;CondGood,_xlfn.LOGNORM.INV(RAND(),MV3,Sigma2),MIN(MaxMultiple,Xm/(1-RAND())^(1/Alpha)))))</f>
        <v>0</v>
      </c>
      <c r="N504" s="19">
        <f ca="1">IF(RAND()&lt;P_Zero,0,IF(RAND()&lt;CondReturn,_xlfn.LOGNORM.INV(RAND(),MV2,Sigma1),IF(RAND()&lt;CondGood,_xlfn.LOGNORM.INV(RAND(),MV3,Sigma2),MIN(MaxMultiple,Xm/(1-RAND())^(1/Alpha)))))</f>
        <v>1.8081178486257437</v>
      </c>
      <c r="O504" s="19">
        <f ca="1">IF(RAND()&lt;P_Zero,0,IF(RAND()&lt;CondReturn,_xlfn.LOGNORM.INV(RAND(),MV2,Sigma1),IF(RAND()&lt;CondGood,_xlfn.LOGNORM.INV(RAND(),MV3,Sigma2),MIN(MaxMultiple,Xm/(1-RAND())^(1/Alpha)))))</f>
        <v>0</v>
      </c>
      <c r="P504" s="19">
        <f ca="1">IF(RAND()&lt;P_Zero,0,IF(RAND()&lt;CondReturn,_xlfn.LOGNORM.INV(RAND(),MV2,Sigma1),IF(RAND()&lt;CondGood,_xlfn.LOGNORM.INV(RAND(),MV3,Sigma2),MIN(MaxMultiple,Xm/(1-RAND())^(1/Alpha)))))</f>
        <v>1.7740191354339394</v>
      </c>
      <c r="Q504" s="19">
        <f ca="1">IF(RAND()&lt;P_Zero,0,IF(RAND()&lt;CondReturn,_xlfn.LOGNORM.INV(RAND(),MV2,Sigma1),IF(RAND()&lt;CondGood,_xlfn.LOGNORM.INV(RAND(),MV3,Sigma2),MIN(MaxMultiple,Xm/(1-RAND())^(1/Alpha)))))</f>
        <v>0.54658244573478665</v>
      </c>
      <c r="R504" s="19">
        <f ca="1">IF(RAND()&lt;P_Zero,0,IF(RAND()&lt;CondReturn,_xlfn.LOGNORM.INV(RAND(),MV2,Sigma1),IF(RAND()&lt;CondGood,_xlfn.LOGNORM.INV(RAND(),MV3,Sigma2),MIN(MaxMultiple,Xm/(1-RAND())^(1/Alpha)))))</f>
        <v>0.80438274459299974</v>
      </c>
      <c r="S504" s="19">
        <f ca="1">IF(RAND()&lt;P_Zero,0,IF(RAND()&lt;CondReturn,_xlfn.LOGNORM.INV(RAND(),MV2,Sigma1),IF(RAND()&lt;CondGood,_xlfn.LOGNORM.INV(RAND(),MV3,Sigma2),MIN(MaxMultiple,Xm/(1-RAND())^(1/Alpha)))))</f>
        <v>0.64220974470359482</v>
      </c>
      <c r="T504" s="19">
        <f ca="1">IF(RAND()&lt;P_Zero,0,IF(RAND()&lt;CondReturn,_xlfn.LOGNORM.INV(RAND(),MV2,Sigma1),IF(RAND()&lt;CondGood,_xlfn.LOGNORM.INV(RAND(),MV3,Sigma2),MIN(MaxMultiple,Xm/(1-RAND())^(1/Alpha)))))</f>
        <v>0</v>
      </c>
      <c r="U504" s="19">
        <f ca="1">IF(RAND()&lt;P_Zero,0,IF(RAND()&lt;CondReturn,_xlfn.LOGNORM.INV(RAND(),MV2,Sigma1),IF(RAND()&lt;CondGood,_xlfn.LOGNORM.INV(RAND(),MV3,Sigma2),MIN(MaxMultiple,Xm/(1-RAND())^(1/Alpha)))))</f>
        <v>0</v>
      </c>
      <c r="V504" s="19">
        <f ca="1">IF(RAND()&lt;P_Zero,0,IF(RAND()&lt;CondReturn,_xlfn.LOGNORM.INV(RAND(),MV2,Sigma1),IF(RAND()&lt;CondGood,_xlfn.LOGNORM.INV(RAND(),MV3,Sigma2),MIN(MaxMultiple,Xm/(1-RAND())^(1/Alpha)))))</f>
        <v>1.1199779575726401</v>
      </c>
      <c r="W504" s="19">
        <f ca="1">IF(RAND()&lt;P_Zero,0,IF(RAND()&lt;CondReturn,_xlfn.LOGNORM.INV(RAND(),MV2,Sigma1),IF(RAND()&lt;CondGood,_xlfn.LOGNORM.INV(RAND(),MV3,Sigma2),MIN(MaxMultiple,Xm/(1-RAND())^(1/Alpha)))))</f>
        <v>0.90913938859422394</v>
      </c>
      <c r="X504" s="19">
        <f ca="1">IF(RAND()&lt;P_Zero,0,IF(RAND()&lt;CondReturn,_xlfn.LOGNORM.INV(RAND(),MV2,Sigma1),IF(RAND()&lt;CondGood,_xlfn.LOGNORM.INV(RAND(),MV3,Sigma2),MIN(MaxMultiple,Xm/(1-RAND())^(1/Alpha)))))</f>
        <v>0.52113376832205571</v>
      </c>
      <c r="Y504" s="19">
        <f ca="1">IF(RAND()&lt;P_Zero,0,IF(RAND()&lt;CondReturn,_xlfn.LOGNORM.INV(RAND(),MV2,Sigma1),IF(RAND()&lt;CondGood,_xlfn.LOGNORM.INV(RAND(),MV3,Sigma2),MIN(MaxMultiple,Xm/(1-RAND())^(1/Alpha)))))</f>
        <v>1.3173738046729697</v>
      </c>
      <c r="Z504" s="19">
        <f ca="1">IF(RAND()&lt;P_Zero,0,IF(RAND()&lt;CondReturn,_xlfn.LOGNORM.INV(RAND(),MV2,Sigma1),IF(RAND()&lt;CondGood,_xlfn.LOGNORM.INV(RAND(),MV3,Sigma2),MIN(MaxMultiple,Xm/(1-RAND())^(1/Alpha)))))</f>
        <v>0</v>
      </c>
      <c r="AA504" s="19">
        <f ca="1">IF(RAND()&lt;P_Zero,0,IF(RAND()&lt;CondReturn,_xlfn.LOGNORM.INV(RAND(),MV2,Sigma1),IF(RAND()&lt;CondGood,_xlfn.LOGNORM.INV(RAND(),MV3,Sigma2),MIN(MaxMultiple,Xm/(1-RAND())^(1/Alpha)))))</f>
        <v>0</v>
      </c>
      <c r="AB504" s="19">
        <f t="shared" ca="1" si="56"/>
        <v>0.56146654890950398</v>
      </c>
      <c r="AC504" s="14">
        <f t="shared" ca="1" si="57"/>
        <v>26950394.34765619</v>
      </c>
      <c r="AD504" s="14">
        <f t="shared" ca="1" si="58"/>
        <v>-21049605.65234381</v>
      </c>
      <c r="AE504" s="14">
        <f t="shared" si="59"/>
        <v>55628399.869093813</v>
      </c>
      <c r="AF504" s="14">
        <f t="shared" ca="1" si="60"/>
        <v>0</v>
      </c>
      <c r="AG504" s="14">
        <f t="shared" ca="1" si="61"/>
        <v>0</v>
      </c>
      <c r="AH504" s="14">
        <f t="shared" ca="1" si="62"/>
        <v>26950394.34765619</v>
      </c>
      <c r="AI504" s="19">
        <f t="shared" ca="1" si="63"/>
        <v>0.44917323912760315</v>
      </c>
    </row>
    <row r="505" spans="2:35" x14ac:dyDescent="0.2">
      <c r="B505" s="1">
        <v>500</v>
      </c>
      <c r="C505" s="19">
        <f ca="1">IF(RAND()&lt;P_Zero,0,IF(RAND()&lt;CondReturn,_xlfn.LOGNORM.INV(RAND(),MV2,Sigma1),IF(RAND()&lt;CondGood,_xlfn.LOGNORM.INV(RAND(),MV3,Sigma2),MIN(MaxMultiple,Xm/(1-RAND())^(1/Alpha)))))</f>
        <v>0</v>
      </c>
      <c r="D505" s="19">
        <f ca="1">IF(RAND()&lt;P_Zero,0,IF(RAND()&lt;CondReturn,_xlfn.LOGNORM.INV(RAND(),MV2,Sigma1),IF(RAND()&lt;CondGood,_xlfn.LOGNORM.INV(RAND(),MV3,Sigma2),MIN(MaxMultiple,Xm/(1-RAND())^(1/Alpha)))))</f>
        <v>0</v>
      </c>
      <c r="E505" s="19">
        <f ca="1">IF(RAND()&lt;P_Zero,0,IF(RAND()&lt;CondReturn,_xlfn.LOGNORM.INV(RAND(),MV2,Sigma1),IF(RAND()&lt;CondGood,_xlfn.LOGNORM.INV(RAND(),MV3,Sigma2),MIN(MaxMultiple,Xm/(1-RAND())^(1/Alpha)))))</f>
        <v>0</v>
      </c>
      <c r="F505" s="19">
        <f ca="1">IF(RAND()&lt;P_Zero,0,IF(RAND()&lt;CondReturn,_xlfn.LOGNORM.INV(RAND(),MV2,Sigma1),IF(RAND()&lt;CondGood,_xlfn.LOGNORM.INV(RAND(),MV3,Sigma2),MIN(MaxMultiple,Xm/(1-RAND())^(1/Alpha)))))</f>
        <v>0</v>
      </c>
      <c r="G505" s="19">
        <f ca="1">IF(RAND()&lt;P_Zero,0,IF(RAND()&lt;CondReturn,_xlfn.LOGNORM.INV(RAND(),MV2,Sigma1),IF(RAND()&lt;CondGood,_xlfn.LOGNORM.INV(RAND(),MV3,Sigma2),MIN(MaxMultiple,Xm/(1-RAND())^(1/Alpha)))))</f>
        <v>0.4827424183126251</v>
      </c>
      <c r="H505" s="19">
        <f ca="1">IF(RAND()&lt;P_Zero,0,IF(RAND()&lt;CondReturn,_xlfn.LOGNORM.INV(RAND(),MV2,Sigma1),IF(RAND()&lt;CondGood,_xlfn.LOGNORM.INV(RAND(),MV3,Sigma2),MIN(MaxMultiple,Xm/(1-RAND())^(1/Alpha)))))</f>
        <v>0.79055941902629712</v>
      </c>
      <c r="I505" s="19">
        <f ca="1">IF(RAND()&lt;P_Zero,0,IF(RAND()&lt;CondReturn,_xlfn.LOGNORM.INV(RAND(),MV2,Sigma1),IF(RAND()&lt;CondGood,_xlfn.LOGNORM.INV(RAND(),MV3,Sigma2),MIN(MaxMultiple,Xm/(1-RAND())^(1/Alpha)))))</f>
        <v>1.1047533181468554</v>
      </c>
      <c r="J505" s="19">
        <f ca="1">IF(RAND()&lt;P_Zero,0,IF(RAND()&lt;CondReturn,_xlfn.LOGNORM.INV(RAND(),MV2,Sigma1),IF(RAND()&lt;CondGood,_xlfn.LOGNORM.INV(RAND(),MV3,Sigma2),MIN(MaxMultiple,Xm/(1-RAND())^(1/Alpha)))))</f>
        <v>0</v>
      </c>
      <c r="K505" s="19">
        <f ca="1">IF(RAND()&lt;P_Zero,0,IF(RAND()&lt;CondReturn,_xlfn.LOGNORM.INV(RAND(),MV2,Sigma1),IF(RAND()&lt;CondGood,_xlfn.LOGNORM.INV(RAND(),MV3,Sigma2),MIN(MaxMultiple,Xm/(1-RAND())^(1/Alpha)))))</f>
        <v>1.2158678851414828</v>
      </c>
      <c r="L505" s="19">
        <f ca="1">IF(RAND()&lt;P_Zero,0,IF(RAND()&lt;CondReturn,_xlfn.LOGNORM.INV(RAND(),MV2,Sigma1),IF(RAND()&lt;CondGood,_xlfn.LOGNORM.INV(RAND(),MV3,Sigma2),MIN(MaxMultiple,Xm/(1-RAND())^(1/Alpha)))))</f>
        <v>0.38867432542181535</v>
      </c>
      <c r="M505" s="19">
        <f ca="1">IF(RAND()&lt;P_Zero,0,IF(RAND()&lt;CondReturn,_xlfn.LOGNORM.INV(RAND(),MV2,Sigma1),IF(RAND()&lt;CondGood,_xlfn.LOGNORM.INV(RAND(),MV3,Sigma2),MIN(MaxMultiple,Xm/(1-RAND())^(1/Alpha)))))</f>
        <v>0</v>
      </c>
      <c r="N505" s="19">
        <f ca="1">IF(RAND()&lt;P_Zero,0,IF(RAND()&lt;CondReturn,_xlfn.LOGNORM.INV(RAND(),MV2,Sigma1),IF(RAND()&lt;CondGood,_xlfn.LOGNORM.INV(RAND(),MV3,Sigma2),MIN(MaxMultiple,Xm/(1-RAND())^(1/Alpha)))))</f>
        <v>1.8180596915448104</v>
      </c>
      <c r="O505" s="19">
        <f ca="1">IF(RAND()&lt;P_Zero,0,IF(RAND()&lt;CondReturn,_xlfn.LOGNORM.INV(RAND(),MV2,Sigma1),IF(RAND()&lt;CondGood,_xlfn.LOGNORM.INV(RAND(),MV3,Sigma2),MIN(MaxMultiple,Xm/(1-RAND())^(1/Alpha)))))</f>
        <v>0</v>
      </c>
      <c r="P505" s="19">
        <f ca="1">IF(RAND()&lt;P_Zero,0,IF(RAND()&lt;CondReturn,_xlfn.LOGNORM.INV(RAND(),MV2,Sigma1),IF(RAND()&lt;CondGood,_xlfn.LOGNORM.INV(RAND(),MV3,Sigma2),MIN(MaxMultiple,Xm/(1-RAND())^(1/Alpha)))))</f>
        <v>17.853865942871867</v>
      </c>
      <c r="Q505" s="19">
        <f ca="1">IF(RAND()&lt;P_Zero,0,IF(RAND()&lt;CondReturn,_xlfn.LOGNORM.INV(RAND(),MV2,Sigma1),IF(RAND()&lt;CondGood,_xlfn.LOGNORM.INV(RAND(),MV3,Sigma2),MIN(MaxMultiple,Xm/(1-RAND())^(1/Alpha)))))</f>
        <v>1.2830415706125284</v>
      </c>
      <c r="R505" s="19">
        <f ca="1">IF(RAND()&lt;P_Zero,0,IF(RAND()&lt;CondReturn,_xlfn.LOGNORM.INV(RAND(),MV2,Sigma1),IF(RAND()&lt;CondGood,_xlfn.LOGNORM.INV(RAND(),MV3,Sigma2),MIN(MaxMultiple,Xm/(1-RAND())^(1/Alpha)))))</f>
        <v>0.57714665709555524</v>
      </c>
      <c r="S505" s="19">
        <f ca="1">IF(RAND()&lt;P_Zero,0,IF(RAND()&lt;CondReturn,_xlfn.LOGNORM.INV(RAND(),MV2,Sigma1),IF(RAND()&lt;CondGood,_xlfn.LOGNORM.INV(RAND(),MV3,Sigma2),MIN(MaxMultiple,Xm/(1-RAND())^(1/Alpha)))))</f>
        <v>1.9213611614488493</v>
      </c>
      <c r="T505" s="19">
        <f ca="1">IF(RAND()&lt;P_Zero,0,IF(RAND()&lt;CondReturn,_xlfn.LOGNORM.INV(RAND(),MV2,Sigma1),IF(RAND()&lt;CondGood,_xlfn.LOGNORM.INV(RAND(),MV3,Sigma2),MIN(MaxMultiple,Xm/(1-RAND())^(1/Alpha)))))</f>
        <v>0.35307815824350036</v>
      </c>
      <c r="U505" s="19">
        <f ca="1">IF(RAND()&lt;P_Zero,0,IF(RAND()&lt;CondReturn,_xlfn.LOGNORM.INV(RAND(),MV2,Sigma1),IF(RAND()&lt;CondGood,_xlfn.LOGNORM.INV(RAND(),MV3,Sigma2),MIN(MaxMultiple,Xm/(1-RAND())^(1/Alpha)))))</f>
        <v>0</v>
      </c>
      <c r="V505" s="19">
        <f ca="1">IF(RAND()&lt;P_Zero,0,IF(RAND()&lt;CondReturn,_xlfn.LOGNORM.INV(RAND(),MV2,Sigma1),IF(RAND()&lt;CondGood,_xlfn.LOGNORM.INV(RAND(),MV3,Sigma2),MIN(MaxMultiple,Xm/(1-RAND())^(1/Alpha)))))</f>
        <v>1.4433928131124032</v>
      </c>
      <c r="W505" s="19">
        <f ca="1">IF(RAND()&lt;P_Zero,0,IF(RAND()&lt;CondReturn,_xlfn.LOGNORM.INV(RAND(),MV2,Sigma1),IF(RAND()&lt;CondGood,_xlfn.LOGNORM.INV(RAND(),MV3,Sigma2),MIN(MaxMultiple,Xm/(1-RAND())^(1/Alpha)))))</f>
        <v>0</v>
      </c>
      <c r="X505" s="19">
        <f ca="1">IF(RAND()&lt;P_Zero,0,IF(RAND()&lt;CondReturn,_xlfn.LOGNORM.INV(RAND(),MV2,Sigma1),IF(RAND()&lt;CondGood,_xlfn.LOGNORM.INV(RAND(),MV3,Sigma2),MIN(MaxMultiple,Xm/(1-RAND())^(1/Alpha)))))</f>
        <v>1.4028690233193621</v>
      </c>
      <c r="Y505" s="19">
        <f ca="1">IF(RAND()&lt;P_Zero,0,IF(RAND()&lt;CondReturn,_xlfn.LOGNORM.INV(RAND(),MV2,Sigma1),IF(RAND()&lt;CondGood,_xlfn.LOGNORM.INV(RAND(),MV3,Sigma2),MIN(MaxMultiple,Xm/(1-RAND())^(1/Alpha)))))</f>
        <v>0</v>
      </c>
      <c r="Z505" s="19">
        <f ca="1">IF(RAND()&lt;P_Zero,0,IF(RAND()&lt;CondReturn,_xlfn.LOGNORM.INV(RAND(),MV2,Sigma1),IF(RAND()&lt;CondGood,_xlfn.LOGNORM.INV(RAND(),MV3,Sigma2),MIN(MaxMultiple,Xm/(1-RAND())^(1/Alpha)))))</f>
        <v>0</v>
      </c>
      <c r="AA505" s="19">
        <f ca="1">IF(RAND()&lt;P_Zero,0,IF(RAND()&lt;CondReturn,_xlfn.LOGNORM.INV(RAND(),MV2,Sigma1),IF(RAND()&lt;CondGood,_xlfn.LOGNORM.INV(RAND(),MV3,Sigma2),MIN(MaxMultiple,Xm/(1-RAND())^(1/Alpha)))))</f>
        <v>0</v>
      </c>
      <c r="AB505" s="19">
        <f t="shared" ca="1" si="56"/>
        <v>1.225416495371918</v>
      </c>
      <c r="AC505" s="14">
        <f t="shared" ca="1" si="57"/>
        <v>58819991.777852066</v>
      </c>
      <c r="AD505" s="14">
        <f t="shared" ca="1" si="58"/>
        <v>10819991.777852066</v>
      </c>
      <c r="AE505" s="14">
        <f t="shared" si="59"/>
        <v>55628399.869093813</v>
      </c>
      <c r="AF505" s="14">
        <f t="shared" ca="1" si="60"/>
        <v>0</v>
      </c>
      <c r="AG505" s="14">
        <f t="shared" ca="1" si="61"/>
        <v>0</v>
      </c>
      <c r="AH505" s="14">
        <f t="shared" ca="1" si="62"/>
        <v>58819991.777852066</v>
      </c>
      <c r="AI505" s="19">
        <f t="shared" ca="1" si="63"/>
        <v>0.98033319629753446</v>
      </c>
    </row>
  </sheetData>
  <mergeCells count="1">
    <mergeCell ref="B2:AI2"/>
  </mergeCells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00"/>
    <pageSetUpPr fitToPage="1"/>
  </sheetPr>
  <dimension ref="B2:I33"/>
  <sheetViews>
    <sheetView showGridLines="0" workbookViewId="0"/>
  </sheetViews>
  <sheetFormatPr baseColWidth="10" defaultColWidth="8.83203125" defaultRowHeight="15" x14ac:dyDescent="0.2"/>
  <cols>
    <col min="1" max="1" width="3.33203125" customWidth="1"/>
    <col min="2" max="2" width="34" customWidth="1"/>
    <col min="3" max="3" width="16" customWidth="1"/>
    <col min="4" max="4" width="4" customWidth="1"/>
    <col min="5" max="9" width="16" customWidth="1"/>
  </cols>
  <sheetData>
    <row r="2" spans="2:9" ht="24" customHeight="1" x14ac:dyDescent="0.2">
      <c r="B2" s="31" t="s">
        <v>116</v>
      </c>
      <c r="C2" s="32"/>
      <c r="D2" s="32"/>
      <c r="E2" s="32"/>
      <c r="F2" s="32"/>
      <c r="G2" s="32"/>
      <c r="H2" s="32"/>
      <c r="I2" s="33"/>
    </row>
    <row r="3" spans="2:9" x14ac:dyDescent="0.2">
      <c r="B3" s="7" t="s">
        <v>117</v>
      </c>
    </row>
    <row r="5" spans="2:9" ht="18" customHeight="1" x14ac:dyDescent="0.2">
      <c r="B5" s="24" t="s">
        <v>118</v>
      </c>
      <c r="C5" s="24"/>
    </row>
    <row r="6" spans="2:9" x14ac:dyDescent="0.2">
      <c r="B6" s="1" t="s">
        <v>119</v>
      </c>
      <c r="C6" s="4">
        <f ca="1">AVERAGE(MC_NetMOIC)</f>
        <v>2.6469917966430323</v>
      </c>
    </row>
    <row r="7" spans="2:9" x14ac:dyDescent="0.2">
      <c r="B7" s="1" t="s">
        <v>120</v>
      </c>
      <c r="C7" s="4">
        <f ca="1">MEDIAN(MC_NetMOIC)</f>
        <v>1.856370130110488</v>
      </c>
    </row>
    <row r="8" spans="2:9" x14ac:dyDescent="0.2">
      <c r="B8" s="1" t="s">
        <v>121</v>
      </c>
      <c r="C8" s="4">
        <f ca="1">_xlfn.STDEV.S(MC_NetMOIC)</f>
        <v>2.4308645577435142</v>
      </c>
    </row>
    <row r="9" spans="2:9" x14ac:dyDescent="0.2">
      <c r="B9" s="1" t="s">
        <v>122</v>
      </c>
      <c r="C9" s="4">
        <f ca="1">_xlfn.PERCENTILE.INC(MC_NetMOIC,0.05)</f>
        <v>0.46817952670552315</v>
      </c>
    </row>
    <row r="10" spans="2:9" x14ac:dyDescent="0.2">
      <c r="B10" s="1" t="s">
        <v>123</v>
      </c>
      <c r="C10" s="4">
        <f ca="1">_xlfn.PERCENTILE.INC(MC_NetMOIC,0.25)</f>
        <v>1.1420981672772204</v>
      </c>
    </row>
    <row r="11" spans="2:9" x14ac:dyDescent="0.2">
      <c r="B11" s="1" t="s">
        <v>124</v>
      </c>
      <c r="C11" s="4">
        <f ca="1">_xlfn.PERCENTILE.INC(MC_NetMOIC,0.75)</f>
        <v>3.0789462022170384</v>
      </c>
    </row>
    <row r="12" spans="2:9" x14ac:dyDescent="0.2">
      <c r="B12" s="1" t="s">
        <v>125</v>
      </c>
      <c r="C12" s="4">
        <f ca="1">_xlfn.PERCENTILE.INC(MC_NetMOIC,0.95)</f>
        <v>8.3286179146608479</v>
      </c>
    </row>
    <row r="13" spans="2:9" x14ac:dyDescent="0.2">
      <c r="B13" s="1" t="s">
        <v>126</v>
      </c>
      <c r="C13" s="5">
        <f ca="1">COUNTIF(MC_NetMOIC,"&lt;1")/500</f>
        <v>0.192</v>
      </c>
    </row>
    <row r="14" spans="2:9" x14ac:dyDescent="0.2">
      <c r="B14" s="1" t="s">
        <v>127</v>
      </c>
      <c r="C14" s="5">
        <f ca="1">COUNTIF(MC_NetMOIC,"&gt;3")/500</f>
        <v>0.26600000000000001</v>
      </c>
    </row>
    <row r="15" spans="2:9" x14ac:dyDescent="0.2">
      <c r="B15" s="1" t="s">
        <v>128</v>
      </c>
      <c r="C15" s="5">
        <f ca="1">COUNTIF(MC_NetMOIC,"&gt;5")/500</f>
        <v>0.128</v>
      </c>
    </row>
    <row r="18" spans="2:5" ht="18" customHeight="1" x14ac:dyDescent="0.2">
      <c r="B18" s="24" t="s">
        <v>129</v>
      </c>
      <c r="C18" s="24"/>
      <c r="D18" s="24"/>
    </row>
    <row r="19" spans="2:5" ht="18" customHeight="1" x14ac:dyDescent="0.2">
      <c r="B19" s="25" t="s">
        <v>130</v>
      </c>
      <c r="C19" s="25" t="s">
        <v>131</v>
      </c>
      <c r="D19" s="25" t="s">
        <v>132</v>
      </c>
    </row>
    <row r="20" spans="2:5" x14ac:dyDescent="0.2">
      <c r="B20" s="18" t="s">
        <v>133</v>
      </c>
      <c r="C20" s="3">
        <f ca="1">COUNTIFS(MC_NetMOIC,"&gt;="&amp;0,MC_NetMOIC,"&lt;"&amp;0.5)</f>
        <v>33</v>
      </c>
      <c r="D20" s="5">
        <f t="shared" ref="D20:D29" ca="1" si="0">C20/500</f>
        <v>6.6000000000000003E-2</v>
      </c>
    </row>
    <row r="21" spans="2:5" x14ac:dyDescent="0.2">
      <c r="B21" s="18" t="s">
        <v>134</v>
      </c>
      <c r="C21" s="3">
        <f ca="1">COUNTIFS(MC_NetMOIC,"&gt;="&amp;0.5,MC_NetMOIC,"&lt;"&amp;1)</f>
        <v>63</v>
      </c>
      <c r="D21" s="5">
        <f t="shared" ca="1" si="0"/>
        <v>0.126</v>
      </c>
    </row>
    <row r="22" spans="2:5" x14ac:dyDescent="0.2">
      <c r="B22" s="18" t="s">
        <v>135</v>
      </c>
      <c r="C22" s="3">
        <f ca="1">COUNTIFS(MC_NetMOIC,"&gt;="&amp;1,MC_NetMOIC,"&lt;"&amp;1.5)</f>
        <v>94</v>
      </c>
      <c r="D22" s="5">
        <f t="shared" ca="1" si="0"/>
        <v>0.188</v>
      </c>
    </row>
    <row r="23" spans="2:5" x14ac:dyDescent="0.2">
      <c r="B23" s="18" t="s">
        <v>136</v>
      </c>
      <c r="C23" s="3">
        <f ca="1">COUNTIFS(MC_NetMOIC,"&gt;="&amp;1.5,MC_NetMOIC,"&lt;"&amp;2)</f>
        <v>78</v>
      </c>
      <c r="D23" s="5">
        <f t="shared" ca="1" si="0"/>
        <v>0.156</v>
      </c>
    </row>
    <row r="24" spans="2:5" x14ac:dyDescent="0.2">
      <c r="B24" s="18" t="s">
        <v>137</v>
      </c>
      <c r="C24" s="3">
        <f ca="1">COUNTIFS(MC_NetMOIC,"&gt;="&amp;2,MC_NetMOIC,"&lt;"&amp;3)</f>
        <v>99</v>
      </c>
      <c r="D24" s="5">
        <f t="shared" ca="1" si="0"/>
        <v>0.19800000000000001</v>
      </c>
    </row>
    <row r="25" spans="2:5" x14ac:dyDescent="0.2">
      <c r="B25" s="18" t="s">
        <v>138</v>
      </c>
      <c r="C25" s="3">
        <f ca="1">COUNTIFS(MC_NetMOIC,"&gt;="&amp;3,MC_NetMOIC,"&lt;"&amp;4)</f>
        <v>45</v>
      </c>
      <c r="D25" s="5">
        <f t="shared" ca="1" si="0"/>
        <v>0.09</v>
      </c>
    </row>
    <row r="26" spans="2:5" x14ac:dyDescent="0.2">
      <c r="B26" s="18" t="s">
        <v>139</v>
      </c>
      <c r="C26" s="3">
        <f ca="1">COUNTIFS(MC_NetMOIC,"&gt;="&amp;4,MC_NetMOIC,"&lt;"&amp;5)</f>
        <v>24</v>
      </c>
      <c r="D26" s="5">
        <f t="shared" ca="1" si="0"/>
        <v>4.8000000000000001E-2</v>
      </c>
    </row>
    <row r="27" spans="2:5" x14ac:dyDescent="0.2">
      <c r="B27" s="18" t="s">
        <v>140</v>
      </c>
      <c r="C27" s="3">
        <f ca="1">COUNTIFS(MC_NetMOIC,"&gt;="&amp;5,MC_NetMOIC,"&lt;"&amp;7)</f>
        <v>32</v>
      </c>
      <c r="D27" s="5">
        <f t="shared" ca="1" si="0"/>
        <v>6.4000000000000001E-2</v>
      </c>
    </row>
    <row r="28" spans="2:5" x14ac:dyDescent="0.2">
      <c r="B28" s="18" t="s">
        <v>141</v>
      </c>
      <c r="C28" s="3">
        <f ca="1">COUNTIFS(MC_NetMOIC,"&gt;="&amp;7,MC_NetMOIC,"&lt;"&amp;10)</f>
        <v>23</v>
      </c>
      <c r="D28" s="5">
        <f t="shared" ca="1" si="0"/>
        <v>4.5999999999999999E-2</v>
      </c>
    </row>
    <row r="29" spans="2:5" x14ac:dyDescent="0.2">
      <c r="B29" s="18" t="s">
        <v>142</v>
      </c>
      <c r="C29" s="3">
        <f ca="1">COUNTIFS(MC_NetMOIC,"&gt;=10")</f>
        <v>9</v>
      </c>
      <c r="D29" s="5">
        <f t="shared" ca="1" si="0"/>
        <v>1.7999999999999999E-2</v>
      </c>
    </row>
    <row r="31" spans="2:5" ht="18" customHeight="1" x14ac:dyDescent="0.2">
      <c r="B31" s="24" t="s">
        <v>143</v>
      </c>
      <c r="C31" s="24"/>
      <c r="D31" s="24"/>
      <c r="E31" s="24"/>
    </row>
    <row r="32" spans="2:5" x14ac:dyDescent="0.2">
      <c r="B32" s="7" t="s">
        <v>144</v>
      </c>
    </row>
    <row r="33" spans="2:2" x14ac:dyDescent="0.2">
      <c r="B33" s="7" t="s">
        <v>145</v>
      </c>
    </row>
  </sheetData>
  <mergeCells count="1">
    <mergeCell ref="B2:I2"/>
  </mergeCells>
  <pageMargins left="0.75" right="0.75" top="1" bottom="1" header="0.5" footer="0.5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00"/>
    <pageSetUpPr fitToPage="1"/>
  </sheetPr>
  <dimension ref="B2:I60"/>
  <sheetViews>
    <sheetView showGridLines="0" workbookViewId="0"/>
  </sheetViews>
  <sheetFormatPr baseColWidth="10" defaultColWidth="8.83203125" defaultRowHeight="15" x14ac:dyDescent="0.2"/>
  <cols>
    <col min="1" max="1" width="2.83203125" customWidth="1"/>
    <col min="2" max="2" width="46" customWidth="1"/>
    <col min="3" max="9" width="16" customWidth="1"/>
  </cols>
  <sheetData>
    <row r="2" spans="2:9" ht="24" customHeight="1" x14ac:dyDescent="0.2">
      <c r="B2" s="31" t="s">
        <v>146</v>
      </c>
      <c r="C2" s="32"/>
      <c r="D2" s="32"/>
      <c r="E2" s="32"/>
      <c r="F2" s="32"/>
      <c r="G2" s="32"/>
      <c r="H2" s="32"/>
      <c r="I2" s="33"/>
    </row>
    <row r="4" spans="2:9" ht="18" customHeight="1" x14ac:dyDescent="0.2">
      <c r="B4" s="24" t="s">
        <v>147</v>
      </c>
      <c r="C4" s="24"/>
      <c r="D4" s="24"/>
      <c r="E4" s="24"/>
    </row>
    <row r="5" spans="2:9" ht="18" customHeight="1" x14ac:dyDescent="0.2">
      <c r="B5" s="25" t="s">
        <v>148</v>
      </c>
      <c r="C5" s="25" t="s">
        <v>149</v>
      </c>
    </row>
    <row r="6" spans="2:9" x14ac:dyDescent="0.2">
      <c r="B6" s="20">
        <v>5</v>
      </c>
      <c r="C6" s="5">
        <f t="shared" ref="C6:C13" si="0">(1-P_Outlier)^B6</f>
        <v>0.65908152320000013</v>
      </c>
    </row>
    <row r="7" spans="2:9" x14ac:dyDescent="0.2">
      <c r="B7" s="20">
        <v>10</v>
      </c>
      <c r="C7" s="5">
        <f t="shared" si="0"/>
        <v>0.43438845422363231</v>
      </c>
    </row>
    <row r="8" spans="2:9" x14ac:dyDescent="0.2">
      <c r="B8" s="20">
        <v>15</v>
      </c>
      <c r="C8" s="5">
        <f t="shared" si="0"/>
        <v>0.2862974040702051</v>
      </c>
    </row>
    <row r="9" spans="2:9" x14ac:dyDescent="0.2">
      <c r="B9" s="20">
        <v>20</v>
      </c>
      <c r="C9" s="5">
        <f t="shared" si="0"/>
        <v>0.18869332916279669</v>
      </c>
    </row>
    <row r="10" spans="2:9" x14ac:dyDescent="0.2">
      <c r="B10" s="20">
        <v>25</v>
      </c>
      <c r="C10" s="5">
        <f t="shared" si="0"/>
        <v>0.12436428680229504</v>
      </c>
    </row>
    <row r="11" spans="2:9" x14ac:dyDescent="0.2">
      <c r="B11" s="20">
        <v>30</v>
      </c>
      <c r="C11" s="5">
        <f t="shared" si="0"/>
        <v>8.196620357733829E-2</v>
      </c>
    </row>
    <row r="12" spans="2:9" x14ac:dyDescent="0.2">
      <c r="B12" s="20">
        <v>40</v>
      </c>
      <c r="C12" s="5">
        <f t="shared" si="0"/>
        <v>3.5605172470539542E-2</v>
      </c>
    </row>
    <row r="13" spans="2:9" x14ac:dyDescent="0.2">
      <c r="B13" s="20">
        <v>50</v>
      </c>
      <c r="C13" s="5">
        <f t="shared" si="0"/>
        <v>1.5466475831843497E-2</v>
      </c>
    </row>
    <row r="15" spans="2:9" x14ac:dyDescent="0.2">
      <c r="B15" s="13" t="s">
        <v>150</v>
      </c>
      <c r="C15" s="21">
        <f>ROUNDUP(LN(0.1)/LN(1-P_Outlier),0)</f>
        <v>28</v>
      </c>
    </row>
    <row r="16" spans="2:9" x14ac:dyDescent="0.2">
      <c r="B16" s="13" t="s">
        <v>151</v>
      </c>
      <c r="C16" s="21">
        <f>ROUNDUP(LN(0.05)/LN(1-P_Outlier),0)</f>
        <v>36</v>
      </c>
    </row>
    <row r="18" spans="2:6" ht="18" customHeight="1" x14ac:dyDescent="0.2">
      <c r="B18" s="24" t="s">
        <v>152</v>
      </c>
      <c r="C18" s="24"/>
      <c r="D18" s="24"/>
      <c r="E18" s="24"/>
      <c r="F18" s="24"/>
    </row>
    <row r="19" spans="2:6" ht="18" customHeight="1" x14ac:dyDescent="0.2">
      <c r="B19" s="25" t="s">
        <v>38</v>
      </c>
      <c r="C19" s="25" t="s">
        <v>153</v>
      </c>
      <c r="D19" s="25" t="s">
        <v>154</v>
      </c>
      <c r="E19" s="25" t="s">
        <v>155</v>
      </c>
      <c r="F19" s="25"/>
    </row>
    <row r="20" spans="2:6" x14ac:dyDescent="0.2">
      <c r="B20" s="1" t="s">
        <v>156</v>
      </c>
      <c r="C20" s="15">
        <f>P_Zero</f>
        <v>0.4</v>
      </c>
      <c r="D20" s="22">
        <f>0</f>
        <v>0</v>
      </c>
      <c r="E20" s="22">
        <f>0</f>
        <v>0</v>
      </c>
    </row>
    <row r="21" spans="2:6" x14ac:dyDescent="0.2">
      <c r="B21" s="1" t="s">
        <v>157</v>
      </c>
      <c r="C21" s="15">
        <f>P_Return</f>
        <v>0.3</v>
      </c>
      <c r="D21" s="22">
        <f>EXP(MV2+Sigma1^2/2)</f>
        <v>1.1331484530668263</v>
      </c>
      <c r="E21" s="22">
        <f>EXP(2*MV2+2*Sigma1^2)</f>
        <v>1.6487212707001282</v>
      </c>
    </row>
    <row r="22" spans="2:6" x14ac:dyDescent="0.2">
      <c r="B22" s="1" t="s">
        <v>49</v>
      </c>
      <c r="C22" s="15">
        <f>P_Good</f>
        <v>0.22</v>
      </c>
      <c r="D22" s="22">
        <f>EXP(MV3+Sigma2^2/2)</f>
        <v>1.1331484530668263</v>
      </c>
      <c r="E22" s="22">
        <f>EXP(2*MV3+2*Sigma2^2)</f>
        <v>1.6487212707001282</v>
      </c>
    </row>
    <row r="23" spans="2:6" x14ac:dyDescent="0.2">
      <c r="B23" s="1" t="s">
        <v>158</v>
      </c>
      <c r="C23" s="15">
        <f>P_Outlier</f>
        <v>0.08</v>
      </c>
      <c r="D23" s="22">
        <f>OutlierEM</f>
        <v>38.831490000000002</v>
      </c>
      <c r="E23" s="22">
        <f>OutlierEM2</f>
        <v>4622.3451230000001</v>
      </c>
    </row>
    <row r="24" spans="2:6" x14ac:dyDescent="0.2">
      <c r="B24" s="13" t="s">
        <v>159</v>
      </c>
      <c r="D24" s="19">
        <f>SUMPRODUCT(C20:C23,D20:D23)</f>
        <v>3.6957563955947497</v>
      </c>
    </row>
    <row r="25" spans="2:6" x14ac:dyDescent="0.2">
      <c r="B25" s="13" t="s">
        <v>160</v>
      </c>
      <c r="E25" s="22">
        <f>SUMPRODUCT(C20:C23,E20:E23)</f>
        <v>370.64494490076407</v>
      </c>
    </row>
    <row r="26" spans="2:6" x14ac:dyDescent="0.2">
      <c r="B26" s="13" t="s">
        <v>161</v>
      </c>
      <c r="D26" s="22">
        <f>E25-D24^2</f>
        <v>356.98632956518458</v>
      </c>
    </row>
    <row r="27" spans="2:6" x14ac:dyDescent="0.2">
      <c r="B27" s="13" t="s">
        <v>162</v>
      </c>
      <c r="D27" s="22">
        <f>SQRT(D26)</f>
        <v>18.894081866160754</v>
      </c>
    </row>
    <row r="28" spans="2:6" x14ac:dyDescent="0.2">
      <c r="B28" s="7" t="s">
        <v>163</v>
      </c>
    </row>
    <row r="30" spans="2:6" ht="18" customHeight="1" x14ac:dyDescent="0.2">
      <c r="B30" s="25" t="s">
        <v>164</v>
      </c>
      <c r="C30" s="25" t="s">
        <v>165</v>
      </c>
      <c r="D30" s="25" t="s">
        <v>166</v>
      </c>
      <c r="E30" s="25"/>
    </row>
    <row r="31" spans="2:6" x14ac:dyDescent="0.2">
      <c r="B31" s="10">
        <v>5</v>
      </c>
      <c r="C31" s="22">
        <f t="shared" ref="C31:C38" si="1">SQRT($D$26/B31)</f>
        <v>8.449690285036306</v>
      </c>
      <c r="D31" s="15">
        <f t="shared" ref="D31:D38" si="2">_xlfn.NORM.DIST(1,$D$24,C31,TRUE)</f>
        <v>0.37484956187792806</v>
      </c>
    </row>
    <row r="32" spans="2:6" x14ac:dyDescent="0.2">
      <c r="B32" s="10">
        <v>10</v>
      </c>
      <c r="C32" s="22">
        <f t="shared" si="1"/>
        <v>5.9748332994752635</v>
      </c>
      <c r="D32" s="15">
        <f t="shared" si="2"/>
        <v>0.32592803544280902</v>
      </c>
    </row>
    <row r="33" spans="2:5" x14ac:dyDescent="0.2">
      <c r="B33" s="10">
        <v>15</v>
      </c>
      <c r="C33" s="22">
        <f t="shared" si="1"/>
        <v>4.8784309606346765</v>
      </c>
      <c r="D33" s="15">
        <f t="shared" si="2"/>
        <v>0.29027320247764754</v>
      </c>
    </row>
    <row r="34" spans="2:5" x14ac:dyDescent="0.2">
      <c r="B34" s="10">
        <v>20</v>
      </c>
      <c r="C34" s="22">
        <f t="shared" si="1"/>
        <v>4.224845142518153</v>
      </c>
      <c r="D34" s="15">
        <f t="shared" si="2"/>
        <v>0.26171332868600111</v>
      </c>
    </row>
    <row r="35" spans="2:5" x14ac:dyDescent="0.2">
      <c r="B35" s="10">
        <v>25</v>
      </c>
      <c r="C35" s="22">
        <f t="shared" si="1"/>
        <v>3.7788163732321505</v>
      </c>
      <c r="D35" s="15">
        <f t="shared" si="2"/>
        <v>0.23780332790674275</v>
      </c>
    </row>
    <row r="36" spans="2:5" x14ac:dyDescent="0.2">
      <c r="B36" s="10">
        <v>30</v>
      </c>
      <c r="C36" s="22">
        <f t="shared" si="1"/>
        <v>3.4495716138151828</v>
      </c>
      <c r="D36" s="15">
        <f t="shared" si="2"/>
        <v>0.21726138132806325</v>
      </c>
    </row>
    <row r="37" spans="2:5" x14ac:dyDescent="0.2">
      <c r="B37" s="10">
        <v>40</v>
      </c>
      <c r="C37" s="22">
        <f t="shared" si="1"/>
        <v>2.9874166497376318</v>
      </c>
      <c r="D37" s="15">
        <f t="shared" si="2"/>
        <v>0.1834300663540607</v>
      </c>
    </row>
    <row r="38" spans="2:5" x14ac:dyDescent="0.2">
      <c r="B38" s="10">
        <v>50</v>
      </c>
      <c r="C38" s="22">
        <f t="shared" si="1"/>
        <v>2.6720266823712095</v>
      </c>
      <c r="D38" s="15">
        <f t="shared" si="2"/>
        <v>0.15651590405821084</v>
      </c>
    </row>
    <row r="40" spans="2:5" x14ac:dyDescent="0.2">
      <c r="B40" s="7" t="s">
        <v>167</v>
      </c>
    </row>
    <row r="42" spans="2:5" ht="18" customHeight="1" x14ac:dyDescent="0.2">
      <c r="B42" s="24" t="s">
        <v>168</v>
      </c>
      <c r="C42" s="24"/>
      <c r="D42" s="24"/>
      <c r="E42" s="24"/>
    </row>
    <row r="43" spans="2:5" x14ac:dyDescent="0.2">
      <c r="B43" s="1" t="s">
        <v>169</v>
      </c>
      <c r="C43" s="15">
        <f>P_Outlier</f>
        <v>0.08</v>
      </c>
    </row>
    <row r="44" spans="2:5" x14ac:dyDescent="0.2">
      <c r="B44" s="1" t="s">
        <v>170</v>
      </c>
      <c r="C44" s="19">
        <f>OutlierEM</f>
        <v>38.831490000000002</v>
      </c>
    </row>
    <row r="45" spans="2:5" x14ac:dyDescent="0.2">
      <c r="B45" s="1" t="s">
        <v>171</v>
      </c>
      <c r="C45" s="22">
        <f>C44-1</f>
        <v>37.831490000000002</v>
      </c>
    </row>
    <row r="46" spans="2:5" x14ac:dyDescent="0.2">
      <c r="B46" s="1" t="s">
        <v>172</v>
      </c>
      <c r="C46" s="15">
        <f>1-C43</f>
        <v>0.92</v>
      </c>
    </row>
    <row r="47" spans="2:5" x14ac:dyDescent="0.2">
      <c r="B47" s="13" t="s">
        <v>173</v>
      </c>
      <c r="C47" s="15">
        <f>(C43*C45-C46)/C45</f>
        <v>5.568163453250189E-2</v>
      </c>
    </row>
    <row r="48" spans="2:5" x14ac:dyDescent="0.2">
      <c r="B48" s="13" t="s">
        <v>174</v>
      </c>
      <c r="C48" s="15">
        <f>C47/2</f>
        <v>2.7840817266250945E-2</v>
      </c>
    </row>
    <row r="49" spans="2:5" x14ac:dyDescent="0.2">
      <c r="B49" s="1" t="s">
        <v>175</v>
      </c>
      <c r="C49" s="15">
        <f>C48</f>
        <v>2.7840817266250945E-2</v>
      </c>
    </row>
    <row r="50" spans="2:5" x14ac:dyDescent="0.2">
      <c r="B50" s="1" t="s">
        <v>176</v>
      </c>
      <c r="C50" s="15">
        <f>1/N_Companies</f>
        <v>0.04</v>
      </c>
    </row>
    <row r="51" spans="2:5" x14ac:dyDescent="0.2">
      <c r="B51" s="13" t="s">
        <v>177</v>
      </c>
      <c r="C51" s="19">
        <f>C49/C50</f>
        <v>0.69602043165627359</v>
      </c>
    </row>
    <row r="52" spans="2:5" x14ac:dyDescent="0.2">
      <c r="B52" s="7" t="s">
        <v>178</v>
      </c>
    </row>
    <row r="54" spans="2:5" ht="18" customHeight="1" x14ac:dyDescent="0.2">
      <c r="B54" s="24" t="s">
        <v>179</v>
      </c>
      <c r="C54" s="24"/>
      <c r="D54" s="24"/>
      <c r="E54" s="24"/>
    </row>
    <row r="55" spans="2:5" x14ac:dyDescent="0.2">
      <c r="B55" s="13" t="s">
        <v>180</v>
      </c>
      <c r="C55" s="23" t="str">
        <f>'Portfolio Construction'!$C$15&amp;" – "&amp;'Portfolio Construction'!$C$16</f>
        <v>28 – 36</v>
      </c>
    </row>
    <row r="56" spans="2:5" x14ac:dyDescent="0.2">
      <c r="B56" s="7" t="s">
        <v>181</v>
      </c>
    </row>
    <row r="57" spans="2:5" x14ac:dyDescent="0.2">
      <c r="B57" s="7" t="s">
        <v>182</v>
      </c>
    </row>
    <row r="59" spans="2:5" x14ac:dyDescent="0.2">
      <c r="B59" s="13" t="s">
        <v>183</v>
      </c>
    </row>
    <row r="60" spans="2:5" x14ac:dyDescent="0.2">
      <c r="B60" s="7" t="s">
        <v>184</v>
      </c>
    </row>
  </sheetData>
  <mergeCells count="1">
    <mergeCell ref="B2:I2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HeadingPairs>
  <TitlesOfParts>
    <vt:vector size="39" baseType="lpstr">
      <vt:lpstr>Overview</vt:lpstr>
      <vt:lpstr>Assumptions</vt:lpstr>
      <vt:lpstr>Single Fund Sim</vt:lpstr>
      <vt:lpstr>Monte Carlo</vt:lpstr>
      <vt:lpstr>Results</vt:lpstr>
      <vt:lpstr>Portfolio Construction</vt:lpstr>
      <vt:lpstr>Alpha</vt:lpstr>
      <vt:lpstr>C1</vt:lpstr>
      <vt:lpstr>C2</vt:lpstr>
      <vt:lpstr>C3</vt:lpstr>
      <vt:lpstr>CarryRate</vt:lpstr>
      <vt:lpstr>CheckSize</vt:lpstr>
      <vt:lpstr>CondGood</vt:lpstr>
      <vt:lpstr>CondReturn</vt:lpstr>
      <vt:lpstr>FeeAdj</vt:lpstr>
      <vt:lpstr>FeeRate</vt:lpstr>
      <vt:lpstr>FeeYears</vt:lpstr>
      <vt:lpstr>FundSize</vt:lpstr>
      <vt:lpstr>HurdleRate</vt:lpstr>
      <vt:lpstr>HurdleToggle</vt:lpstr>
      <vt:lpstr>InitialCheck</vt:lpstr>
      <vt:lpstr>InvestableCapital</vt:lpstr>
      <vt:lpstr>MaxMultiple</vt:lpstr>
      <vt:lpstr>MC_GrossMOIC</vt:lpstr>
      <vt:lpstr>MC_NetMOIC</vt:lpstr>
      <vt:lpstr>Mu1</vt:lpstr>
      <vt:lpstr>Mu2</vt:lpstr>
      <vt:lpstr>N_Companies</vt:lpstr>
      <vt:lpstr>OutlierEM</vt:lpstr>
      <vt:lpstr>OutlierEM2</vt:lpstr>
      <vt:lpstr>P_Good</vt:lpstr>
      <vt:lpstr>P_Outlier</vt:lpstr>
      <vt:lpstr>P_Return</vt:lpstr>
      <vt:lpstr>P_Zero</vt:lpstr>
      <vt:lpstr>ReservePool</vt:lpstr>
      <vt:lpstr>ReserveRatio</vt:lpstr>
      <vt:lpstr>Sigma1</vt:lpstr>
      <vt:lpstr>Sigma2</vt:lpstr>
      <vt:lpstr>Xm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VC Fund Monte Carlo &amp; Portfolio Construction Model</dc:title>
  <dc:creator>Akul Veauli</dc:creator>
  <cp:lastModifiedBy>Akul Veauli</cp:lastModifiedBy>
  <dcterms:created xsi:type="dcterms:W3CDTF">2026-08-23T03:49:08Z</dcterms:created>
  <dcterms:modified xsi:type="dcterms:W3CDTF">2026-08-27T17:32:28Z</dcterms:modified>
</cp:coreProperties>
</file>