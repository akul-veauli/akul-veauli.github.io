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ssumptions" sheetId="2" state="visible" r:id="rId2"/>
    <sheet xmlns:r="http://schemas.openxmlformats.org/officeDocument/2006/relationships" name="Sources-Uses" sheetId="3" state="visible" r:id="rId3"/>
    <sheet xmlns:r="http://schemas.openxmlformats.org/officeDocument/2006/relationships" name="Model" sheetId="4" state="visible" r:id="rId4"/>
    <sheet xmlns:r="http://schemas.openxmlformats.org/officeDocument/2006/relationships" name="DebtSchedule" sheetId="5" state="visible" r:id="rId5"/>
    <sheet xmlns:r="http://schemas.openxmlformats.org/officeDocument/2006/relationships" name="Returns" sheetId="6" state="visible" r:id="rId6"/>
    <sheet xmlns:r="http://schemas.openxmlformats.org/officeDocument/2006/relationships" name="Support" sheetId="7" state="visible" r:id="rId7"/>
  </sheets>
  <definedNames/>
  <calcPr calcId="124519" fullCalcOnLoad="1"/>
</workbook>
</file>

<file path=xl/styles.xml><?xml version="1.0" encoding="utf-8"?>
<styleSheet xmlns="http://schemas.openxmlformats.org/spreadsheetml/2006/main">
  <numFmts count="5">
    <numFmt numFmtId="164" formatCode="0.0x"/>
    <numFmt numFmtId="165" formatCode="#,##0.0;(#,##0.0)"/>
    <numFmt numFmtId="166" formatCode="0.0%"/>
    <numFmt numFmtId="167" formatCode="$#,##0.00"/>
    <numFmt numFmtId="168" formatCode="#,##0.0"/>
  </numFmts>
  <fonts count="11">
    <font>
      <name val="Calibri"/>
      <family val="2"/>
      <color theme="1"/>
      <sz val="11"/>
      <scheme val="minor"/>
    </font>
    <font>
      <name val="Arial"/>
      <b val="1"/>
      <color rgb="FF1F3864"/>
      <sz val="14"/>
    </font>
    <font>
      <name val="Arial"/>
      <i val="1"/>
      <color rgb="FF7F7F7F"/>
      <sz val="9"/>
    </font>
    <font>
      <name val="Arial"/>
      <b val="1"/>
      <sz val="10"/>
    </font>
    <font>
      <name val="Arial"/>
      <sz val="10"/>
    </font>
    <font>
      <name val="Arial"/>
      <b val="1"/>
      <color rgb="FFFFFFFF"/>
      <sz val="10"/>
    </font>
    <font>
      <name val="Arial"/>
      <color rgb="FF0000FF"/>
      <sz val="10"/>
    </font>
    <font>
      <name val="Arial"/>
      <color rgb="FF000000"/>
      <sz val="10"/>
    </font>
    <font>
      <name val="Arial"/>
      <color rgb="FF008000"/>
      <sz val="10"/>
    </font>
    <font>
      <name val="Arial"/>
      <b val="1"/>
      <color rgb="FF000000"/>
      <sz val="10"/>
    </font>
    <font>
      <name val="Arial"/>
      <b val="1"/>
      <color rgb="FF0000FF"/>
      <sz val="10"/>
    </font>
  </fonts>
  <fills count="6">
    <fill>
      <patternFill/>
    </fill>
    <fill>
      <patternFill patternType="gray125"/>
    </fill>
    <fill>
      <patternFill patternType="solid">
        <fgColor rgb="FF1F3864"/>
        <bgColor rgb="FF1F3864"/>
      </patternFill>
    </fill>
    <fill>
      <patternFill patternType="solid">
        <fgColor rgb="FFFFF2CC"/>
        <bgColor rgb="FFFFF2CC"/>
      </patternFill>
    </fill>
    <fill>
      <patternFill patternType="solid">
        <fgColor rgb="FFD9E1F2"/>
        <bgColor rgb="FFD9E1F2"/>
      </patternFill>
    </fill>
    <fill>
      <patternFill patternType="solid">
        <fgColor rgb="FFC6EFCE"/>
        <bgColor rgb="FFC6EFCE"/>
      </patternFill>
    </fill>
  </fills>
  <borders count="2">
    <border>
      <left/>
      <right/>
      <top/>
      <bottom/>
      <diagonal/>
    </border>
    <border>
      <top style="thin">
        <color rgb="FF7F7F7F"/>
      </top>
      <bottom style="double">
        <color rgb="FF000000"/>
      </bottom>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5" fillId="2" borderId="0" pivotButton="0" quotePrefix="0" xfId="0"/>
    <xf numFmtId="0" fontId="6" fillId="3" borderId="0" pivotButton="0" quotePrefix="0" xfId="0"/>
    <xf numFmtId="0" fontId="7" fillId="0" borderId="0" pivotButton="0" quotePrefix="0" xfId="0"/>
    <xf numFmtId="0" fontId="8" fillId="0" borderId="0" pivotButton="0" quotePrefix="0" xfId="0"/>
    <xf numFmtId="164" fontId="8" fillId="0" borderId="0" pivotButton="0" quotePrefix="0" xfId="0"/>
    <xf numFmtId="165" fontId="8" fillId="0" borderId="0" pivotButton="0" quotePrefix="0" xfId="0"/>
    <xf numFmtId="166" fontId="8" fillId="0" borderId="0" pivotButton="0" quotePrefix="0" xfId="0"/>
    <xf numFmtId="0" fontId="2" fillId="0" borderId="0" applyAlignment="1" pivotButton="0" quotePrefix="0" xfId="0">
      <alignment vertical="top" wrapText="1"/>
    </xf>
    <xf numFmtId="167" fontId="6" fillId="3" borderId="0" pivotButton="0" quotePrefix="0" xfId="0"/>
    <xf numFmtId="168" fontId="6" fillId="3" borderId="0" pivotButton="0" quotePrefix="0" xfId="0"/>
    <xf numFmtId="0" fontId="9" fillId="0" borderId="0" pivotButton="0" quotePrefix="0" xfId="0"/>
    <xf numFmtId="165" fontId="7" fillId="4" borderId="1" pivotButton="0" quotePrefix="0" xfId="0"/>
    <xf numFmtId="165" fontId="6" fillId="3" borderId="0" pivotButton="0" quotePrefix="0" xfId="0"/>
    <xf numFmtId="165" fontId="7" fillId="0" borderId="0" pivotButton="0" quotePrefix="0" xfId="0"/>
    <xf numFmtId="10" fontId="6" fillId="3" borderId="0" pivotButton="0" quotePrefix="0" xfId="0"/>
    <xf numFmtId="1" fontId="6" fillId="3" borderId="0" pivotButton="0" quotePrefix="0" xfId="0"/>
    <xf numFmtId="164" fontId="7" fillId="4" borderId="1" pivotButton="0" quotePrefix="0" xfId="0"/>
    <xf numFmtId="0" fontId="5" fillId="2" borderId="0" applyAlignment="1" pivotButton="0" quotePrefix="0" xfId="0">
      <alignment horizontal="center" wrapText="1"/>
    </xf>
    <xf numFmtId="10" fontId="7" fillId="0" borderId="0" pivotButton="0" quotePrefix="0" xfId="0"/>
    <xf numFmtId="166" fontId="6" fillId="3" borderId="0" pivotButton="0" quotePrefix="0" xfId="0"/>
    <xf numFmtId="0" fontId="6" fillId="0" borderId="0" pivotButton="0" quotePrefix="0" xfId="0"/>
    <xf numFmtId="10" fontId="7" fillId="4" borderId="1" pivotButton="0" quotePrefix="0" xfId="0"/>
    <xf numFmtId="0" fontId="5" fillId="2" borderId="0" applyAlignment="1" pivotButton="0" quotePrefix="0" xfId="0">
      <alignment horizontal="center"/>
    </xf>
    <xf numFmtId="166" fontId="7" fillId="0" borderId="0" pivotButton="0" quotePrefix="0" xfId="0"/>
    <xf numFmtId="164" fontId="6" fillId="3" borderId="0" pivotButton="0" quotePrefix="0" xfId="0"/>
    <xf numFmtId="164" fontId="7" fillId="0" borderId="0" pivotButton="0" quotePrefix="0" xfId="0"/>
    <xf numFmtId="165" fontId="7" fillId="5" borderId="0" pivotButton="0" quotePrefix="0" xfId="0"/>
    <xf numFmtId="0" fontId="4" fillId="0" borderId="0" applyAlignment="1" pivotButton="0" quotePrefix="0" xfId="0">
      <alignment indent="1"/>
    </xf>
    <xf numFmtId="166" fontId="7" fillId="4" borderId="1" pivotButton="0" quotePrefix="0" xfId="0"/>
    <xf numFmtId="165" fontId="0" fillId="0" borderId="0" pivotButton="0" quotePrefix="0" xfId="0"/>
    <xf numFmtId="164" fontId="10" fillId="3" borderId="0" pivotButton="0" quotePrefix="0" xfId="0"/>
    <xf numFmtId="164" fontId="8" fillId="0" borderId="0" pivotButton="0" quotePrefix="0" xfId="0"/>
    <xf numFmtId="165" fontId="8" fillId="0" borderId="0" pivotButton="0" quotePrefix="0" xfId="0"/>
    <xf numFmtId="166" fontId="8" fillId="0" borderId="0" pivotButton="0" quotePrefix="0" xfId="0"/>
    <xf numFmtId="167" fontId="6" fillId="3" borderId="0" pivotButton="0" quotePrefix="0" xfId="0"/>
    <xf numFmtId="168" fontId="6" fillId="3" borderId="0" pivotButton="0" quotePrefix="0" xfId="0"/>
    <xf numFmtId="165" fontId="7" fillId="4" borderId="1" pivotButton="0" quotePrefix="0" xfId="0"/>
    <xf numFmtId="165" fontId="6" fillId="3" borderId="0" pivotButton="0" quotePrefix="0" xfId="0"/>
    <xf numFmtId="165" fontId="7" fillId="0" borderId="0" pivotButton="0" quotePrefix="0" xfId="0"/>
    <xf numFmtId="164" fontId="7" fillId="4" borderId="1" pivotButton="0" quotePrefix="0" xfId="0"/>
    <xf numFmtId="166" fontId="6" fillId="3" borderId="0" pivotButton="0" quotePrefix="0" xfId="0"/>
    <xf numFmtId="166" fontId="7" fillId="0" borderId="0" pivotButton="0" quotePrefix="0" xfId="0"/>
    <xf numFmtId="164" fontId="6" fillId="3" borderId="0" pivotButton="0" quotePrefix="0" xfId="0"/>
    <xf numFmtId="164" fontId="7" fillId="0" borderId="0" pivotButton="0" quotePrefix="0" xfId="0"/>
    <xf numFmtId="165" fontId="7" fillId="5" borderId="0" pivotButton="0" quotePrefix="0" xfId="0"/>
    <xf numFmtId="166" fontId="7" fillId="4" borderId="1" pivotButton="0" quotePrefix="0" xfId="0"/>
    <xf numFmtId="165" fontId="0" fillId="0" borderId="0" pivotButton="0" quotePrefix="0" xfId="0"/>
    <xf numFmtId="164" fontId="10" fillId="3" borderId="0" pivotButton="0" quotePrefix="0" xfId="0"/>
  </cellXfs>
  <cellStyles count="1">
    <cellStyle name="Normal" xfId="0" builtinId="0" hidden="0"/>
  </cellStyles>
  <dxfs count="2">
    <dxf>
      <fill>
        <patternFill patternType="solid">
          <fgColor rgb="FFC6EFCE"/>
          <bgColor rgb="FFC6EFCE"/>
        </patternFill>
      </fill>
    </dxf>
    <dxf>
      <fill>
        <patternFill patternType="solid">
          <fgColor rgb="FFFFC7CE"/>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2" customWidth="1" min="2" max="2"/>
    <col width="20" customWidth="1" min="3" max="3"/>
    <col width="20" customWidth="1" min="4" max="4"/>
    <col width="20" customWidth="1" min="5" max="5"/>
    <col width="20" customWidth="1" min="6" max="6"/>
    <col width="20" customWidth="1" min="7" max="7"/>
  </cols>
  <sheetData>
    <row r="1"/>
    <row r="2">
      <c r="B2" s="1" t="inlineStr">
        <is>
          <t>Twitter, Inc. (X Corp.) - Leveraged Buyout Model</t>
        </is>
      </c>
    </row>
    <row r="3">
      <c r="B3" s="2" t="inlineStr">
        <is>
          <t>($ in millions, except per-share data, unless noted)</t>
        </is>
      </c>
    </row>
    <row r="4">
      <c r="B4" s="2" t="inlineStr">
        <is>
          <t>Deal: Elon Musk / X Holdings acquisition of Twitter, Inc. - announced April 25, 2022; closed October 27, 2022</t>
        </is>
      </c>
    </row>
    <row r="5">
      <c r="B5" s="3" t="inlineStr">
        <is>
          <t>Prepared by: Akul Veauli</t>
        </is>
      </c>
    </row>
    <row r="6">
      <c r="B6" s="4" t="inlineStr">
        <is>
          <t>Date: August 23, 2026</t>
        </is>
      </c>
    </row>
    <row r="7"/>
    <row r="8" ht="90" customHeight="1">
      <c r="B8" s="5" t="inlineStr">
        <is>
          <t>Model description: Two-scenario LBO of Twitter's $44B take-private by Elon Musk. Scenario 1 models the deal-vintage plan (management case at signing: stable ad revenue, margin recovery via cost discipline). Scenario 2 models the actual post-close path (advertiser exodus, ~50% revenue decline in 2023, ~80% headcount reduction, partial 2024-25 recovery, and the March 2025 all-stock merger into xAI as the exit marker). The entry multiple on FY2021 Adjusted EBITDA of $682mm is ~67x EV/EBITDA (~64.6x on an equity-value- only basis per press reports) - a pathological multiple that is the central pedagogical point of this model, alongside sub-1.0x early interest coverage.</t>
        </is>
      </c>
    </row>
    <row r="9"/>
    <row r="10"/>
    <row r="11">
      <c r="B11" s="6" t="inlineStr">
        <is>
          <t>Color-code legend</t>
        </is>
      </c>
      <c r="C11" s="6" t="n"/>
      <c r="D11" s="6" t="n"/>
    </row>
    <row r="12">
      <c r="B12" s="7" t="inlineStr">
        <is>
          <t>123.4  (hardcoded input)</t>
        </is>
      </c>
      <c r="C12" t="inlineStr">
        <is>
          <t>Blue font / yellow fill = hardcoded assumption</t>
        </is>
      </c>
    </row>
    <row r="13">
      <c r="B13" s="8" t="inlineStr">
        <is>
          <t>"=B12*2"  (same-sheet formula)</t>
        </is>
      </c>
      <c r="C13" t="inlineStr">
        <is>
          <t>Black font = formula referencing same tab</t>
        </is>
      </c>
    </row>
    <row r="14">
      <c r="B14" s="9" t="inlineStr">
        <is>
          <t>"='Assumptions'!B12"  (cross-tab link)</t>
        </is>
      </c>
      <c r="C14" t="inlineStr">
        <is>
          <t>Green font = formula linking from another tab</t>
        </is>
      </c>
    </row>
    <row r="15"/>
    <row r="16"/>
    <row r="17">
      <c r="B17" s="6" t="inlineStr">
        <is>
          <t>Table of contents</t>
        </is>
      </c>
      <c r="C17" s="6" t="n"/>
    </row>
    <row r="18">
      <c r="B18" s="4" t="inlineStr">
        <is>
          <t>Cover</t>
        </is>
      </c>
    </row>
    <row r="19">
      <c r="B19" s="4" t="inlineStr">
        <is>
          <t>Assumptions</t>
        </is>
      </c>
    </row>
    <row r="20">
      <c r="B20" s="4" t="inlineStr">
        <is>
          <t>Sources-Uses</t>
        </is>
      </c>
    </row>
    <row r="21">
      <c r="B21" s="4" t="inlineStr">
        <is>
          <t>Model</t>
        </is>
      </c>
    </row>
    <row r="22">
      <c r="B22" s="4" t="inlineStr">
        <is>
          <t>DebtSchedule</t>
        </is>
      </c>
    </row>
    <row r="23">
      <c r="B23" s="4" t="inlineStr">
        <is>
          <t>Returns</t>
        </is>
      </c>
    </row>
    <row r="24">
      <c r="B24" s="4" t="inlineStr">
        <is>
          <t>Support</t>
        </is>
      </c>
    </row>
    <row r="25"/>
    <row r="26">
      <c r="B26" s="6" t="inlineStr">
        <is>
          <t>Key outputs</t>
        </is>
      </c>
      <c r="C26" s="6" t="n"/>
      <c r="D26" s="6" t="n"/>
      <c r="E26" s="6" t="n"/>
    </row>
    <row r="27">
      <c r="B27" s="4" t="inlineStr">
        <is>
          <t>Entry EV / FY2021 Adj. EBITDA (actual $682mm base)</t>
        </is>
      </c>
      <c r="D27" s="37">
        <f>'Assumptions'!D23</f>
      </c>
    </row>
    <row r="28">
      <c r="B28" s="4" t="inlineStr">
        <is>
          <t>Entry EV / FY2021 Revenue</t>
        </is>
      </c>
      <c r="D28" s="37">
        <f>'Assumptions'!D24</f>
      </c>
    </row>
    <row r="29">
      <c r="B29" s="4" t="inlineStr">
        <is>
          <t>Total new debt financing</t>
        </is>
      </c>
      <c r="D29" s="38">
        <f>'Sources-Uses'!D10</f>
      </c>
    </row>
    <row r="30">
      <c r="B30" s="4" t="inlineStr">
        <is>
          <t>Sources &amp; Uses check (must = 0.000)</t>
        </is>
      </c>
      <c r="D30" s="38">
        <f>'Sources-Uses'!D16</f>
      </c>
    </row>
    <row r="31">
      <c r="B31" s="4" t="inlineStr">
        <is>
          <t>BASE CASE (active scen., full waterfall) - Year-5 IRR</t>
        </is>
      </c>
      <c r="D31" s="39">
        <f>'Returns'!E16</f>
      </c>
    </row>
    <row r="32">
      <c r="B32" s="4" t="inlineStr">
        <is>
          <t>BASE CASE (active scen., full waterfall) - Year-5 MOIC</t>
        </is>
      </c>
      <c r="D32" s="37">
        <f>'Returns'!E15</f>
      </c>
    </row>
    <row r="33">
      <c r="B33" s="4" t="inlineStr">
        <is>
          <t>Scenario 1 (Plan) - Year-5 IRR / MOIC</t>
        </is>
      </c>
      <c r="D33" s="39">
        <f>'Returns'!E31</f>
      </c>
    </row>
    <row r="34">
      <c r="B34" s="4" t="inlineStr">
        <is>
          <t>Scenario 2 (Actual) - Year-5 IRR / MOIC</t>
        </is>
      </c>
      <c r="D34" s="39">
        <f>'Returns'!E42</f>
      </c>
    </row>
    <row r="35"/>
    <row r="36" ht="48" customHeight="1">
      <c r="B36" s="13" t="inlineStr">
        <is>
          <t>Sources: Twitter FY2019-FY2021 10-Ks (SEC EDGAR); Twitter Q2 2022 10-Q; Twitter DEFM14A (filed 9/2/2022); April 2022 debt commitment letter exhibits; press reports (CNBC, Reuters, Yahoo Finance, Forbes) for post-close actuals and the March 2025 xAI/X merger. See DealNotes section below and Assumptions tab notes for line-by-line citations.</t>
        </is>
      </c>
    </row>
    <row r="37"/>
    <row r="38"/>
    <row r="39">
      <c r="B39" s="6" t="inlineStr">
        <is>
          <t>DealNotes - Actual Outcome (2022-2025)</t>
        </is>
      </c>
      <c r="C39" s="6" t="n"/>
      <c r="D39" s="6" t="n"/>
      <c r="E39" s="6" t="n"/>
      <c r="F39" s="6" t="n"/>
      <c r="G39" s="6" t="n"/>
    </row>
    <row r="40" ht="30" customHeight="1">
      <c r="B40" s="13" t="inlineStr">
        <is>
          <t>Oct 27, 2022: Deal closed at $54.20/share, ~$44.0B equity value, funded with ~$35.1B equity (Musk ~$27.7B, co-investors ~$7.1B incl. Oracle/Ellison, Sequoia, Binance, Qatar Holding, Fidelity; plus $1.89B Kingdom Holding share rollover) and a new $13.0B debt package ($6.5B TLB, $3.0B secured bridge, $3.0B unsecured bridge, $0.5B RCF).</t>
        </is>
      </c>
    </row>
    <row r="41" ht="30" customHeight="1">
      <c r="B41" s="13" t="inlineStr">
        <is>
          <t>Nov 2022-Q1 2023: ~50% of staff cut in the first week, reaching ~80% total headcount reduction (~7,500 -&gt; ~1,500) by mid-2023; major advertisers (Disney, Apple, VW/Audi/Ford et al.) paused spend, driving a severe revenue decline.</t>
        </is>
      </c>
    </row>
    <row r="42" ht="30" customHeight="1">
      <c r="B42" s="13" t="inlineStr">
        <is>
          <t>FY2023 revenue fell to an estimated ~$2.5B (-51% vs. FY2021's $5.08B) as the advertiser exodus outpaced subscription and cost-cutting gains; FY2024 roughly flat to modestly down (~$2.5B); FY2025 shows the first recovery, to ~$2.9B.</t>
        </is>
      </c>
    </row>
    <row r="43" ht="30" customHeight="1">
      <c r="B43" s="13" t="inlineStr">
        <is>
          <t>Interest burden on the $13B package (~$1.15-1.5B/yr at blended ~9-10% all-in) exceeded operating EBITDA in the early years -- interest coverage fell below 1.0x, the central credit story of this deal.</t>
        </is>
      </c>
    </row>
    <row r="44" ht="30" customHeight="1">
      <c r="B44" s="13" t="inlineStr">
        <is>
          <t>Fidelity, a minority co-investor, marked its stake down as much as ~-79% (Sept 2024 trough) before a partial recovery to roughly -70% to -75% by late 2024/early 2025 on renewed AI-driven optimism around Musk's ventures.</t>
        </is>
      </c>
    </row>
    <row r="45" ht="30" customHeight="1">
      <c r="B45" s="13" t="inlineStr">
        <is>
          <t>Jan-Feb 2025: banks that had held the unsyndicated bridge facilities finally sold ~$8.7B of term debt near par at a 9.5% fixed yield -- a striking turnaround from the deep distress of 2023-24.</t>
        </is>
      </c>
    </row>
    <row r="46" ht="30" customHeight="1">
      <c r="B46" s="13" t="inlineStr">
        <is>
          <t>March 28, 2025: X (Twitter) was acquired by Musk's xAI in an all-stock transaction valuing X at ~$33B equity / ~$45B enterprise value (implying ~$12B of net debt), combined with xAI's ~$80B valuation into a &gt;$110B entity. This model uses the $45B EV / $33B equity marks as the actual-path exit reference point.</t>
        </is>
      </c>
    </row>
    <row r="47" ht="30" customHeight="1">
      <c r="B47" s="13" t="inlineStr">
        <is>
          <t>Net result vs. the $44.0B entry equity value: the March 2025 mark of ~$33B equity implies roughly a 0.75-0.95x MOIC on total invested equity depending on exact allocation -- a value-destructive outcome on paper, though Musk retains control of the combined AI-and-social entity and argues the strategic option value is understated by the cash marks alone.</t>
        </is>
      </c>
    </row>
  </sheetData>
  <mergeCells count="10">
    <mergeCell ref="B47:G47"/>
    <mergeCell ref="B42:G42"/>
    <mergeCell ref="B46:G46"/>
    <mergeCell ref="B36:G36"/>
    <mergeCell ref="B45:G45"/>
    <mergeCell ref="B41:G41"/>
    <mergeCell ref="B8:G8"/>
    <mergeCell ref="B40:G40"/>
    <mergeCell ref="B43:G43"/>
    <mergeCell ref="B44:G4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3"/>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62" customWidth="1" min="12" max="12"/>
  </cols>
  <sheetData>
    <row r="1"/>
    <row r="2">
      <c r="B2" s="1" t="inlineStr">
        <is>
          <t>Assumptions</t>
        </is>
      </c>
    </row>
    <row r="3">
      <c r="B3" s="2" t="inlineStr">
        <is>
          <t>($ in millions, except per-share data and rates)</t>
        </is>
      </c>
    </row>
    <row r="4"/>
    <row r="5">
      <c r="B5" s="6" t="inlineStr">
        <is>
          <t>1. Transaction Assumptions</t>
        </is>
      </c>
      <c r="C5" s="6" t="n"/>
      <c r="D5" s="6" t="n"/>
      <c r="E5" s="6" t="n"/>
      <c r="F5" s="6" t="n"/>
      <c r="G5" s="6" t="n"/>
      <c r="H5" s="6" t="n"/>
      <c r="I5" s="6" t="n"/>
      <c r="J5" s="6" t="n"/>
      <c r="K5" s="6" t="n"/>
    </row>
    <row r="6">
      <c r="B6" s="4" t="inlineStr">
        <is>
          <t>Announcement date</t>
        </is>
      </c>
      <c r="D6" s="7" t="inlineStr">
        <is>
          <t>April 25, 2022</t>
        </is>
      </c>
    </row>
    <row r="7">
      <c r="B7" s="4" t="inlineStr">
        <is>
          <t>Close date</t>
        </is>
      </c>
      <c r="D7" s="7" t="inlineStr">
        <is>
          <t>October 27, 2022</t>
        </is>
      </c>
    </row>
    <row r="8">
      <c r="B8" s="4" t="inlineStr">
        <is>
          <t>Offer price per share ($)</t>
        </is>
      </c>
      <c r="D8" s="40" t="n">
        <v>54.2</v>
      </c>
    </row>
    <row r="9">
      <c r="B9" s="4" t="inlineStr">
        <is>
          <t>Fully diluted shares outstanding (mm)</t>
        </is>
      </c>
      <c r="D9" s="41" t="n">
        <v>809</v>
      </c>
      <c r="F9" s="2" t="inlineStr">
        <is>
          <t>Implied from $44.0B / $54.20 per DEFM14A framing</t>
        </is>
      </c>
    </row>
    <row r="10">
      <c r="B10" s="16" t="inlineStr">
        <is>
          <t>Equity purchase price</t>
        </is>
      </c>
      <c r="D10" s="42">
        <f>D8*D9</f>
      </c>
    </row>
    <row r="11"/>
    <row r="12">
      <c r="B12" s="4" t="inlineStr">
        <is>
          <t>Existing Twitter debt at close (converts + senior notes)</t>
        </is>
      </c>
      <c r="D12" s="43" t="n">
        <v>4250</v>
      </c>
      <c r="F12" s="2" t="inlineStr">
        <is>
          <t>FY2021 10-K: $3,559mm converts + $694mm senior notes, rounded</t>
        </is>
      </c>
    </row>
    <row r="13">
      <c r="B13" s="4" t="inlineStr">
        <is>
          <t>Existing Twitter cash at close</t>
        </is>
      </c>
      <c r="D13" s="43" t="n">
        <v>2186</v>
      </c>
      <c r="F13" s="2" t="inlineStr">
        <is>
          <t>FY2021 10-K balance sheet, 12/31/2021</t>
        </is>
      </c>
    </row>
    <row r="14">
      <c r="B14" s="4" t="inlineStr">
        <is>
          <t>Net debt assumed / refinanced</t>
        </is>
      </c>
      <c r="D14" s="44">
        <f>D12-D13</f>
      </c>
    </row>
    <row r="15">
      <c r="B15" s="16" t="inlineStr">
        <is>
          <t>Transaction Enterprise Value</t>
        </is>
      </c>
      <c r="D15" s="42">
        <f>D10+D14</f>
      </c>
    </row>
    <row r="16"/>
    <row r="17">
      <c r="B17" s="4" t="inlineStr">
        <is>
          <t>Transaction fees (% of equity purchase price)</t>
        </is>
      </c>
      <c r="D17" s="20" t="n">
        <v>0.02</v>
      </c>
    </row>
    <row r="18">
      <c r="B18" s="4" t="inlineStr">
        <is>
          <t>Financing fees (% of total debt raised)</t>
        </is>
      </c>
      <c r="D18" s="20" t="n">
        <v>0.025</v>
      </c>
    </row>
    <row r="19">
      <c r="B19" s="4" t="inlineStr">
        <is>
          <t>Financing fee amortization tenor (years)</t>
        </is>
      </c>
      <c r="D19" s="21" t="n">
        <v>7</v>
      </c>
    </row>
    <row r="20"/>
    <row r="21">
      <c r="B21" s="4" t="inlineStr">
        <is>
          <t>FY2021 Adjusted EBITDA (actual)</t>
        </is>
      </c>
      <c r="D21" s="43" t="n">
        <v>682</v>
      </c>
      <c r="F21" s="2" t="inlineStr">
        <is>
          <t>Earnings release; NOT the $1.2-1.4B often cited for later post-cost-cut years</t>
        </is>
      </c>
    </row>
    <row r="22">
      <c r="B22" s="4" t="inlineStr">
        <is>
          <t>FY2021 Revenue (actual)</t>
        </is>
      </c>
      <c r="D22" s="43" t="n">
        <v>5080</v>
      </c>
      <c r="F22" s="2" t="inlineStr">
        <is>
          <t>FY2021 10-K</t>
        </is>
      </c>
    </row>
    <row r="23">
      <c r="B23" s="16" t="inlineStr">
        <is>
          <t>Entry EV / FY2021 Adj. EBITDA</t>
        </is>
      </c>
      <c r="D23" s="45">
        <f>D15/D21</f>
      </c>
    </row>
    <row r="24">
      <c r="B24" s="16" t="inlineStr">
        <is>
          <t>Entry EV / FY2021 Revenue</t>
        </is>
      </c>
      <c r="D24" s="45">
        <f>D15/D22</f>
      </c>
    </row>
    <row r="25">
      <c r="B25" s="2" t="inlineStr">
        <is>
          <t>Note: ~67x EV/EBITDA (EV incl. net debt; press reports cite ~64.6x on an equity-value-only basis) is a pathological entry multiple, not a modeling error -- it is the central point of this deal. EV/Revenue is shown as the more meaningful entry metric.</t>
        </is>
      </c>
    </row>
    <row r="26"/>
    <row r="27">
      <c r="B27" s="6" t="inlineStr">
        <is>
          <t>2. Debt Financing Package ($13.0bn, fixed dollar tranches funded at close)</t>
        </is>
      </c>
      <c r="C27" s="6" t="n"/>
      <c r="D27" s="6" t="n"/>
      <c r="E27" s="6" t="n"/>
      <c r="F27" s="6" t="n"/>
      <c r="G27" s="6" t="n"/>
      <c r="H27" s="6" t="n"/>
      <c r="I27" s="6" t="n"/>
      <c r="J27" s="6" t="n"/>
      <c r="K27" s="6" t="n"/>
    </row>
    <row r="28">
      <c r="B28" s="4" t="inlineStr">
        <is>
          <t>3-month SOFR at close</t>
        </is>
      </c>
      <c r="D28" s="20" t="n">
        <v>0.0305</v>
      </c>
      <c r="F28" s="2" t="inlineStr">
        <is>
          <t>NY Fed, late Oct 2022 (vs. ~0.28% when commitment letters signed in April 2022)</t>
        </is>
      </c>
    </row>
    <row r="29"/>
    <row r="30">
      <c r="B30" s="23" t="inlineStr">
        <is>
          <t>Tranche</t>
        </is>
      </c>
      <c r="C30" s="23" t="inlineStr">
        <is>
          <t>Amount ($mm)</t>
        </is>
      </c>
      <c r="D30" s="23" t="inlineStr">
        <is>
          <t>Spread (bps)</t>
        </is>
      </c>
      <c r="E30" s="23" t="inlineStr">
        <is>
          <t>Base rate</t>
        </is>
      </c>
      <c r="F30" s="23" t="inlineStr">
        <is>
          <t>All-in rate</t>
        </is>
      </c>
      <c r="G30" s="23" t="inlineStr">
        <is>
          <t>Mand. amort %/yr</t>
        </is>
      </c>
      <c r="H30" s="23" t="inlineStr">
        <is>
          <t>Cash-pay?</t>
        </is>
      </c>
    </row>
    <row r="31">
      <c r="B31" s="4" t="inlineStr">
        <is>
          <t>Term Loan B (senior secured, 1st lien)</t>
        </is>
      </c>
      <c r="C31" s="43" t="n">
        <v>6500</v>
      </c>
      <c r="D31" s="20" t="n">
        <v>0.0475</v>
      </c>
      <c r="E31" s="24">
        <f>$D$28</f>
      </c>
      <c r="F31" s="24">
        <f>D31+E31</f>
      </c>
      <c r="G31" s="46" t="n">
        <v>0.01</v>
      </c>
      <c r="H31" s="26" t="inlineStr">
        <is>
          <t>Cash-pay</t>
        </is>
      </c>
    </row>
    <row r="32">
      <c r="B32" s="4" t="inlineStr">
        <is>
          <t>Secured bridge (1st lien, funded as term debt)</t>
        </is>
      </c>
      <c r="C32" s="43" t="n">
        <v>3000</v>
      </c>
      <c r="D32" s="20" t="n">
        <v>0.0495</v>
      </c>
      <c r="E32" s="24">
        <f>$D$28</f>
      </c>
      <c r="F32" s="24">
        <f>D32+E32</f>
      </c>
      <c r="G32" s="46" t="n">
        <v>0</v>
      </c>
      <c r="H32" s="26" t="inlineStr">
        <is>
          <t>Cash-pay</t>
        </is>
      </c>
      <c r="I32" s="2" t="inlineStr">
        <is>
          <t>S+450 plus escalation, simplified to a fixed blended blue spread ~8.0-8.5% all-in</t>
        </is>
      </c>
    </row>
    <row r="33">
      <c r="B33" s="4" t="inlineStr">
        <is>
          <t>Unsecured bridge (2nd lien, fixed-rate cap)</t>
        </is>
      </c>
      <c r="C33" s="43" t="n">
        <v>3000</v>
      </c>
      <c r="D33" s="2" t="inlineStr">
        <is>
          <t>n/a</t>
        </is>
      </c>
      <c r="E33" s="2" t="inlineStr">
        <is>
          <t>n/a</t>
        </is>
      </c>
      <c r="F33" s="20" t="n">
        <v>0.1175</v>
      </c>
      <c r="G33" s="46" t="n">
        <v>0</v>
      </c>
      <c r="H33" s="26" t="inlineStr">
        <is>
          <t>Cash-pay</t>
        </is>
      </c>
      <c r="I33" s="2" t="inlineStr">
        <is>
          <t>Fixed 11.75% cap rate per commitment letter, not SOFR-linked</t>
        </is>
      </c>
    </row>
    <row r="34">
      <c r="B34" s="4" t="inlineStr">
        <is>
          <t>Revolving credit facility (undrawn at close)</t>
        </is>
      </c>
      <c r="C34" s="43" t="n">
        <v>500</v>
      </c>
      <c r="D34" s="20" t="n">
        <v>0.0425</v>
      </c>
      <c r="E34" s="24">
        <f>$D$28</f>
      </c>
      <c r="F34" s="24">
        <f>D34+E34</f>
      </c>
      <c r="G34" s="46" t="n">
        <v>0</v>
      </c>
      <c r="H34" s="26" t="inlineStr">
        <is>
          <t>Cash-pay</t>
        </is>
      </c>
      <c r="I34" s="2" t="inlineStr">
        <is>
          <t>Capacity shown; draw is the model's revolver-draw plug, not funded at close</t>
        </is>
      </c>
    </row>
    <row r="35">
      <c r="B35" s="16" t="inlineStr">
        <is>
          <t>Total committed debt package (incl. undrawn revolver capacity)</t>
        </is>
      </c>
      <c r="C35" s="42">
        <f>SUM(C31:C34)</f>
      </c>
    </row>
    <row r="36">
      <c r="B36" s="16" t="inlineStr">
        <is>
          <t>Blended weighted-average all-in rate (committed package)</t>
        </is>
      </c>
      <c r="C36" s="27">
        <f>SUMPRODUCT(C31:C34,F31:F34)/C35</f>
      </c>
    </row>
    <row r="37">
      <c r="B37" s="16" t="inlineStr">
        <is>
          <t>Total FUNDED debt at close (excl. undrawn revolver)</t>
        </is>
      </c>
      <c r="C37" s="42">
        <f>SUM(C31:C33)</f>
      </c>
    </row>
    <row r="38">
      <c r="B38" s="16" t="inlineStr">
        <is>
          <t>Blended weighted-average all-in rate (funded debt)</t>
        </is>
      </c>
      <c r="C38" s="27">
        <f>SUMPRODUCT(C31:C33,F31:F33)/C37</f>
      </c>
    </row>
    <row r="39">
      <c r="B39" s="2" t="inlineStr">
        <is>
          <t>Leverage, the Support mini debt models and the Returns sensitivity grids all run off FUNDED debt and the funded-debt blended rate (standard LBO convention); the $13.0bn figure quoted throughout the deal narrative is the committed package including the undrawn $500mm revolver.</t>
        </is>
      </c>
    </row>
    <row r="40"/>
    <row r="41">
      <c r="B41" s="6" t="inlineStr">
        <is>
          <t>3. Operating Drivers -- Scenario Toggle (CHOOSE)</t>
        </is>
      </c>
      <c r="C41" s="6" t="n"/>
      <c r="D41" s="6" t="n"/>
      <c r="E41" s="6" t="n"/>
      <c r="F41" s="6" t="n"/>
      <c r="G41" s="6" t="n"/>
      <c r="H41" s="6" t="n"/>
      <c r="I41" s="6" t="n"/>
      <c r="J41" s="6" t="n"/>
      <c r="K41" s="6" t="n"/>
    </row>
    <row r="42">
      <c r="B42" s="16" t="inlineStr">
        <is>
          <t>Scenario switch (1 = Deal-Vintage Plan, 2 = Actual Path)</t>
        </is>
      </c>
      <c r="D42" s="21" t="n">
        <v>2</v>
      </c>
    </row>
    <row r="43">
      <c r="B43" s="4" t="inlineStr">
        <is>
          <t>Active scenario name</t>
        </is>
      </c>
      <c r="D43" s="8">
        <f>CHOOSE(D42,"Scenario 1: Deal-Vintage Plan","Scenario 2: Actual Path")</f>
      </c>
    </row>
    <row r="44">
      <c r="B44" s="2" t="inlineStr">
        <is>
          <t>Interest is computed on beginning-of-period debt balances (Master Spec Sec.5) -- no circularity, no iterative calc required.</t>
        </is>
      </c>
    </row>
    <row r="45"/>
    <row r="46"/>
    <row r="47">
      <c r="C47" s="28" t="inlineStr">
        <is>
          <t>FY2021A</t>
        </is>
      </c>
      <c r="D47" s="28" t="inlineStr">
        <is>
          <t>FY2022A</t>
        </is>
      </c>
      <c r="E47" s="28" t="inlineStr">
        <is>
          <t>FY2023E</t>
        </is>
      </c>
      <c r="F47" s="28" t="inlineStr">
        <is>
          <t>FY2024E</t>
        </is>
      </c>
      <c r="G47" s="28" t="inlineStr">
        <is>
          <t>FY2025E</t>
        </is>
      </c>
      <c r="H47" s="28" t="inlineStr">
        <is>
          <t>FY2026E</t>
        </is>
      </c>
      <c r="I47" s="28" t="inlineStr">
        <is>
          <t>FY2027E</t>
        </is>
      </c>
      <c r="J47" s="28" t="inlineStr">
        <is>
          <t>FY2028E</t>
        </is>
      </c>
      <c r="K47" s="28" t="inlineStr">
        <is>
          <t>FY2029E</t>
        </is>
      </c>
    </row>
    <row r="48">
      <c r="B48" s="4" t="inlineStr">
        <is>
          <t>FY2022A revenue growth % YoY (actual, transition year -- both scenarios)</t>
        </is>
      </c>
      <c r="D48" s="46" t="n">
        <v>-0.24</v>
      </c>
      <c r="L48" s="2" t="inlineStr">
        <is>
          <t>Est.: partial-year advertiser exodus post Oct-2022 close; not scenario-dependent (already realized)</t>
        </is>
      </c>
    </row>
    <row r="49">
      <c r="B49" s="4" t="inlineStr">
        <is>
          <t>Revenue growth % YoY -- Scenario 1 (Plan)</t>
        </is>
      </c>
      <c r="E49" s="46" t="n">
        <v>0.02</v>
      </c>
      <c r="F49" s="46" t="n">
        <v>0.05</v>
      </c>
      <c r="G49" s="46" t="n">
        <v>0.07000000000000001</v>
      </c>
      <c r="H49" s="46" t="n">
        <v>0.08</v>
      </c>
      <c r="I49" s="46" t="n">
        <v>0.08</v>
      </c>
      <c r="J49" s="46" t="n">
        <v>0.07000000000000001</v>
      </c>
      <c r="K49" s="46" t="n">
        <v>0.06</v>
      </c>
    </row>
    <row r="50">
      <c r="B50" s="4" t="inlineStr">
        <is>
          <t>Revenue growth % YoY -- Scenario 2 (Actual)</t>
        </is>
      </c>
      <c r="E50" s="46" t="n">
        <v>-0.34</v>
      </c>
      <c r="F50" s="46" t="n">
        <v>-0.02</v>
      </c>
      <c r="G50" s="46" t="n">
        <v>0.16</v>
      </c>
      <c r="H50" s="46" t="n">
        <v>0.06</v>
      </c>
      <c r="I50" s="46" t="n">
        <v>0.05</v>
      </c>
      <c r="J50" s="46" t="n">
        <v>0.05</v>
      </c>
      <c r="K50" s="46" t="n">
        <v>0.05</v>
      </c>
    </row>
    <row r="51">
      <c r="B51" s="2" t="inlineStr">
        <is>
          <t>Scenario 2 (Actual): FY2023E -34% (~$2.5bn), FY2024E roughly flat (~$2.5bn), FY2025E +16% (~$2.9bn, xAI-merger year) -- est., press reports (Yahoo Finance, Fortune, Business Standard); not SEC-verified post-2022.</t>
        </is>
      </c>
    </row>
    <row r="52">
      <c r="B52" s="16" t="inlineStr">
        <is>
          <t>Revenue growth % YoY -- ACTIVE</t>
        </is>
      </c>
      <c r="E52" s="47">
        <f>CHOOSE($D$42,E49,E50)</f>
      </c>
      <c r="F52" s="47">
        <f>CHOOSE($D$42,F49,F50)</f>
      </c>
      <c r="G52" s="47">
        <f>CHOOSE($D$42,G49,G50)</f>
      </c>
      <c r="H52" s="47">
        <f>CHOOSE($D$42,H49,H50)</f>
      </c>
      <c r="I52" s="47">
        <f>CHOOSE($D$42,I49,I50)</f>
      </c>
      <c r="J52" s="47">
        <f>CHOOSE($D$42,J49,J50)</f>
      </c>
      <c r="K52" s="47">
        <f>CHOOSE($D$42,K49,K50)</f>
      </c>
    </row>
    <row r="53"/>
    <row r="54">
      <c r="B54" s="4" t="inlineStr">
        <is>
          <t>FY2022A EBITDA margin % (actual, transition year -- both scenarios)</t>
        </is>
      </c>
      <c r="D54" s="46" t="n">
        <v>-0.02</v>
      </c>
    </row>
    <row r="55">
      <c r="B55" s="4" t="inlineStr">
        <is>
          <t>EBITDA margin % -- Scenario 1 (Plan)</t>
        </is>
      </c>
      <c r="E55" s="46" t="n">
        <v>0.1</v>
      </c>
      <c r="F55" s="46" t="n">
        <v>0.14</v>
      </c>
      <c r="G55" s="46" t="n">
        <v>0.19</v>
      </c>
      <c r="H55" s="46" t="n">
        <v>0.23</v>
      </c>
      <c r="I55" s="46" t="n">
        <v>0.26</v>
      </c>
      <c r="J55" s="46" t="n">
        <v>0.28</v>
      </c>
      <c r="K55" s="46" t="n">
        <v>0.29</v>
      </c>
    </row>
    <row r="56">
      <c r="B56" s="4" t="inlineStr">
        <is>
          <t>EBITDA margin % -- Scenario 2 (Actual)</t>
        </is>
      </c>
      <c r="E56" s="46" t="n">
        <v>0.05</v>
      </c>
      <c r="F56" s="46" t="n">
        <v>0.3</v>
      </c>
      <c r="G56" s="46" t="n">
        <v>0.38</v>
      </c>
      <c r="H56" s="46" t="n">
        <v>0.4</v>
      </c>
      <c r="I56" s="46" t="n">
        <v>0.41</v>
      </c>
      <c r="J56" s="46" t="n">
        <v>0.42</v>
      </c>
      <c r="K56" s="46" t="n">
        <v>0.43</v>
      </c>
    </row>
    <row r="57">
      <c r="B57" s="2" t="inlineStr">
        <is>
          <t>Scenario 2 (Actual): FY2023E margin still depressed by severance/restructuring charges against an ~80% headcount reduction (~7,500 -&gt; ~1,500); FY2024E+ margin ~38-43% reflects a cost base cut roughly in half on a smaller revenue base -- est., Forbes (Feb 2025) and press reports, not SEC-verified.</t>
        </is>
      </c>
    </row>
    <row r="58">
      <c r="B58" s="16" t="inlineStr">
        <is>
          <t>EBITDA margin % -- ACTIVE</t>
        </is>
      </c>
      <c r="E58" s="47">
        <f>CHOOSE($D$42,E55,E56)</f>
      </c>
      <c r="F58" s="47">
        <f>CHOOSE($D$42,F55,F56)</f>
      </c>
      <c r="G58" s="47">
        <f>CHOOSE($D$42,G55,G56)</f>
      </c>
      <c r="H58" s="47">
        <f>CHOOSE($D$42,H55,H56)</f>
      </c>
      <c r="I58" s="47">
        <f>CHOOSE($D$42,I55,I56)</f>
      </c>
      <c r="J58" s="47">
        <f>CHOOSE($D$42,J55,J56)</f>
      </c>
      <c r="K58" s="47">
        <f>CHOOSE($D$42,K55,K56)</f>
      </c>
    </row>
    <row r="59"/>
    <row r="60">
      <c r="B60" s="4" t="inlineStr">
        <is>
          <t>D&amp;A % of revenue (both scenarios)</t>
        </is>
      </c>
      <c r="E60" s="46" t="n">
        <v>0.1</v>
      </c>
      <c r="F60" s="46" t="n">
        <v>0.1</v>
      </c>
      <c r="G60" s="46" t="n">
        <v>0.1</v>
      </c>
      <c r="H60" s="46" t="n">
        <v>0.1</v>
      </c>
      <c r="I60" s="46" t="n">
        <v>0.1</v>
      </c>
      <c r="J60" s="46" t="n">
        <v>0.1</v>
      </c>
      <c r="K60" s="46" t="n">
        <v>0.1</v>
      </c>
    </row>
    <row r="61">
      <c r="B61" s="4" t="inlineStr">
        <is>
          <t>Capex % of revenue (both scenarios)</t>
        </is>
      </c>
      <c r="E61" s="46" t="n">
        <v>0.06</v>
      </c>
      <c r="F61" s="46" t="n">
        <v>0.05</v>
      </c>
      <c r="G61" s="46" t="n">
        <v>0.04</v>
      </c>
      <c r="H61" s="46" t="n">
        <v>0.035</v>
      </c>
      <c r="I61" s="46" t="n">
        <v>0.035</v>
      </c>
      <c r="J61" s="46" t="n">
        <v>0.035</v>
      </c>
      <c r="K61" s="46" t="n">
        <v>0.035</v>
      </c>
      <c r="L61" s="2" t="inlineStr">
        <is>
          <t>FY2021 capex ~$1.0bn (~20% of rev); post-close capex discipline scales down with headcount/infra cuts -- est.</t>
        </is>
      </c>
    </row>
    <row r="62">
      <c r="B62" s="4" t="inlineStr">
        <is>
          <t>Incremental NWC as % of ΔRevenue (both scenarios)</t>
        </is>
      </c>
      <c r="E62" s="46" t="n">
        <v>0.02</v>
      </c>
      <c r="F62" s="46" t="n">
        <v>0.02</v>
      </c>
      <c r="G62" s="46" t="n">
        <v>0.02</v>
      </c>
      <c r="H62" s="46" t="n">
        <v>0.02</v>
      </c>
      <c r="I62" s="46" t="n">
        <v>0.02</v>
      </c>
      <c r="J62" s="46" t="n">
        <v>0.02</v>
      </c>
      <c r="K62" s="46" t="n">
        <v>0.02</v>
      </c>
    </row>
    <row r="63">
      <c r="B63" s="4" t="inlineStr">
        <is>
          <t>Cash tax rate override (NOL utilization)</t>
        </is>
      </c>
      <c r="E63" s="46" t="n">
        <v>0</v>
      </c>
      <c r="F63" s="46" t="n">
        <v>0</v>
      </c>
      <c r="G63" s="46" t="n">
        <v>0</v>
      </c>
      <c r="H63" s="46" t="n">
        <v>0.21</v>
      </c>
      <c r="I63" s="46" t="n">
        <v>0.21</v>
      </c>
      <c r="J63" s="46" t="n">
        <v>0.21</v>
      </c>
      <c r="K63" s="46" t="n">
        <v>0.21</v>
      </c>
      <c r="L63" s="2" t="inlineStr">
        <is>
          <t>0% cash taxes FY2023E-FY2025E assumed via NOL carryforwards (flagged: not SEC-verified); 21% federal statutory thereafter</t>
        </is>
      </c>
    </row>
    <row r="64"/>
    <row r="65">
      <c r="B65" s="6" t="inlineStr">
        <is>
          <t>4. Exit Assumptions</t>
        </is>
      </c>
      <c r="C65" s="6" t="n"/>
      <c r="D65" s="6" t="n"/>
      <c r="E65" s="6" t="n"/>
      <c r="F65" s="6" t="n"/>
      <c r="G65" s="6" t="n"/>
      <c r="H65" s="6" t="n"/>
      <c r="I65" s="6" t="n"/>
      <c r="J65" s="6" t="n"/>
      <c r="K65" s="6" t="n"/>
    </row>
    <row r="66">
      <c r="B66" s="4" t="inlineStr">
        <is>
          <t>Exit EV / EBITDA multiple -- Scenario 1 (Plan)</t>
        </is>
      </c>
      <c r="D66" s="48" t="n">
        <v>8</v>
      </c>
      <c r="F66" s="2" t="inlineStr">
        <is>
          <t>Normalized social-media/ad-platform multiple, well below the ~67x entry -- entry multiple was never sustainable</t>
        </is>
      </c>
    </row>
    <row r="67">
      <c r="B67" s="4" t="inlineStr">
        <is>
          <t>Exit EV / EBITDA multiple -- Scenario 2 (Actual)</t>
        </is>
      </c>
      <c r="D67" s="48" t="n">
        <v>15.5</v>
      </c>
      <c r="F67" s="2" t="inlineStr">
        <is>
          <t>Backed into so that Yr3 (FY2025E) exit EV ties to the March 2025 xAI/X merger mark of ~$45.0bn EV</t>
        </is>
      </c>
    </row>
    <row r="68">
      <c r="B68" s="4" t="inlineStr">
        <is>
          <t>Exit EV/EBITDA multiple -- ACTIVE (per switch)</t>
        </is>
      </c>
      <c r="D68" s="49">
        <f>CHOOSE($D$42,D66,D67)</f>
      </c>
    </row>
    <row r="69">
      <c r="B69" s="4" t="inlineStr">
        <is>
          <t>Minimum cash balance (revolver trigger floor)</t>
        </is>
      </c>
      <c r="D69" s="43" t="n">
        <v>250</v>
      </c>
    </row>
    <row r="70">
      <c r="B70" s="4" t="inlineStr">
        <is>
          <t>Cash sweep % (of excess cash above minimum, to debt paydown)</t>
        </is>
      </c>
      <c r="D70" s="46" t="n">
        <v>1</v>
      </c>
    </row>
    <row r="71">
      <c r="B71" s="4" t="inlineStr">
        <is>
          <t>Interest rate earned on beginning cash balances</t>
        </is>
      </c>
      <c r="D71" s="20" t="n">
        <v>0.02</v>
      </c>
    </row>
    <row r="72">
      <c r="B72" s="4" t="inlineStr">
        <is>
          <t>xAI/X merger reference EV (Mar 2025, actual)</t>
        </is>
      </c>
      <c r="D72" s="43" t="n">
        <v>45000</v>
      </c>
      <c r="F72" s="2" t="inlineStr">
        <is>
          <t>CNBC, Mar 28 2025: X valued ~$33bn equity / ~$45bn EV in xAI all-stock merger</t>
        </is>
      </c>
    </row>
    <row r="73">
      <c r="B73" s="4" t="inlineStr">
        <is>
          <t>xAI/X merger reference equity value (Mar 2025, actual)</t>
        </is>
      </c>
      <c r="D73" s="43" t="n">
        <v>33000</v>
      </c>
    </row>
  </sheetData>
  <mergeCells count="5">
    <mergeCell ref="B57:K57"/>
    <mergeCell ref="B44:K44"/>
    <mergeCell ref="B39:K39"/>
    <mergeCell ref="B25:K25"/>
    <mergeCell ref="B51:K5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2" customWidth="1" min="2" max="2"/>
    <col width="16" customWidth="1" min="3" max="3"/>
    <col width="16" customWidth="1" min="4" max="4"/>
    <col width="4" customWidth="1" min="5" max="5"/>
    <col width="42" customWidth="1" min="6" max="6"/>
    <col width="16" customWidth="1" min="7" max="7"/>
    <col width="16" customWidth="1" min="8" max="8"/>
  </cols>
  <sheetData>
    <row r="1"/>
    <row r="2">
      <c r="B2" s="1" t="inlineStr">
        <is>
          <t>Sources &amp; Uses</t>
        </is>
      </c>
    </row>
    <row r="3">
      <c r="B3" s="2" t="inlineStr">
        <is>
          <t>($ in millions)</t>
        </is>
      </c>
    </row>
    <row r="4"/>
    <row r="5">
      <c r="B5" s="6" t="inlineStr">
        <is>
          <t>Sources</t>
        </is>
      </c>
      <c r="C5" s="6" t="n"/>
      <c r="D5" s="6" t="n"/>
      <c r="F5" s="6" t="inlineStr">
        <is>
          <t>Uses</t>
        </is>
      </c>
      <c r="G5" s="6" t="n"/>
      <c r="H5" s="6" t="n"/>
    </row>
    <row r="6">
      <c r="B6" s="4" t="inlineStr">
        <is>
          <t>Term Loan B</t>
        </is>
      </c>
      <c r="D6" s="38">
        <f>'Assumptions'!C31</f>
      </c>
      <c r="F6" s="4" t="inlineStr">
        <is>
          <t>Equity purchase price</t>
        </is>
      </c>
      <c r="H6" s="38">
        <f>'Assumptions'!D10</f>
      </c>
    </row>
    <row r="7">
      <c r="B7" s="4" t="inlineStr">
        <is>
          <t>Secured bridge</t>
        </is>
      </c>
      <c r="D7" s="38">
        <f>'Assumptions'!C32</f>
      </c>
      <c r="F7" s="4" t="inlineStr">
        <is>
          <t>Refinance existing net debt</t>
        </is>
      </c>
      <c r="H7" s="38">
        <f>'Assumptions'!D14</f>
      </c>
    </row>
    <row r="8">
      <c r="B8" s="4" t="inlineStr">
        <is>
          <t>Unsecured bridge</t>
        </is>
      </c>
      <c r="D8" s="38">
        <f>'Assumptions'!C33</f>
      </c>
      <c r="F8" s="4" t="inlineStr">
        <is>
          <t>Transaction fees</t>
        </is>
      </c>
      <c r="H8" s="38">
        <f>'Assumptions'!D10*'Assumptions'!D17</f>
      </c>
    </row>
    <row r="9">
      <c r="B9" s="4" t="inlineStr">
        <is>
          <t>Revolver draw at close</t>
        </is>
      </c>
      <c r="D9" s="43" t="n">
        <v>0</v>
      </c>
      <c r="F9" s="4" t="inlineStr">
        <is>
          <t>Financing fees</t>
        </is>
      </c>
      <c r="H9" s="38">
        <f>D10*'Assumptions'!D18</f>
      </c>
    </row>
    <row r="10">
      <c r="B10" s="16" t="inlineStr">
        <is>
          <t>Total new debt financing</t>
        </is>
      </c>
      <c r="D10" s="42">
        <f>SUM(D6:D9)</f>
      </c>
      <c r="F10" s="4" t="inlineStr">
        <is>
          <t>Cash to balance sheet</t>
        </is>
      </c>
      <c r="H10" s="43" t="n">
        <v>0</v>
      </c>
    </row>
    <row r="11">
      <c r="F11" s="16" t="inlineStr">
        <is>
          <t>Total Uses</t>
        </is>
      </c>
      <c r="H11" s="42">
        <f>SUM(H6:H10)</f>
      </c>
    </row>
    <row r="12">
      <c r="B12" s="16" t="inlineStr">
        <is>
          <t>Sponsor equity (plug)</t>
        </is>
      </c>
      <c r="D12" s="42">
        <f>H11-D10</f>
      </c>
    </row>
    <row r="13">
      <c r="B13" s="16" t="inlineStr">
        <is>
          <t>Total Sources</t>
        </is>
      </c>
      <c r="D13" s="42">
        <f>D10+D12</f>
      </c>
    </row>
    <row r="14"/>
    <row r="15"/>
    <row r="16">
      <c r="B16" s="16" t="inlineStr">
        <is>
          <t>Check: Total Sources - Total Uses (must = 0.000)</t>
        </is>
      </c>
      <c r="D16" s="50">
        <f>ROUND(D13-H11,3)</f>
      </c>
    </row>
    <row r="17"/>
    <row r="18">
      <c r="B18" s="4" t="inlineStr">
        <is>
          <t>Sponsor equity % of total capitalization</t>
        </is>
      </c>
      <c r="D18" s="47">
        <f>D12/D13</f>
      </c>
    </row>
    <row r="19">
      <c r="B19" s="4" t="inlineStr">
        <is>
          <t>Total debt / FY2021 Adj. EBITDA at close</t>
        </is>
      </c>
      <c r="D19" s="37">
        <f>D10/'Assumptions'!D21</f>
      </c>
    </row>
    <row r="20"/>
    <row r="21">
      <c r="B21" s="6" t="inlineStr">
        <is>
          <t>Memo: Actual Reported Equity Roster (Oct 2022, per press reports)</t>
        </is>
      </c>
      <c r="C21" s="6" t="n"/>
      <c r="D21" s="6" t="n"/>
      <c r="E21" s="6" t="n"/>
      <c r="F21" s="6" t="n"/>
      <c r="G21" s="6" t="n"/>
      <c r="H21" s="6" t="n"/>
    </row>
    <row r="22">
      <c r="B22" s="4" t="inlineStr">
        <is>
          <t>Elon Musk (cash + margin loan, later unwound)</t>
        </is>
      </c>
      <c r="D22" s="43" t="n">
        <v>27700</v>
      </c>
    </row>
    <row r="23">
      <c r="B23" s="4" t="inlineStr">
        <is>
          <t>Co-investors -- new money (Oracle/Ellison, Sequoia, Binance, Qatar Holding, Fidelity, other)</t>
        </is>
      </c>
      <c r="D23" s="43" t="n">
        <v>7100</v>
      </c>
    </row>
    <row r="24">
      <c r="B24" s="4" t="inlineStr">
        <is>
          <t>Kingdom Holding Company (Saudi PIF-linked) -- rollover of existing stake, no new cash</t>
        </is>
      </c>
      <c r="D24" s="43" t="n">
        <v>1890</v>
      </c>
    </row>
    <row r="25">
      <c r="B25" s="16" t="inlineStr">
        <is>
          <t>Total reported equity (memo)</t>
        </is>
      </c>
      <c r="D25" s="42">
        <f>SUM(D22:D24)</f>
      </c>
    </row>
    <row r="26">
      <c r="B26" s="2" t="inlineStr">
        <is>
          <t>Memo only -- reported equity roster sums to ~$36.7bn (Musk + co-investors + Kingdom rollover) vs. the model's plug above because press figures are rounded and the Kingdom rollover was a share exchange, not incremental cash funding the Uses shown here.</t>
        </is>
      </c>
    </row>
  </sheetData>
  <mergeCells count="1">
    <mergeCell ref="B26:H26"/>
  </mergeCells>
  <conditionalFormatting sqref="D16">
    <cfRule type="cellIs" priority="1" operator="equal" dxfId="0">
      <formula>0</formula>
    </cfRule>
    <cfRule type="cellIs" priority="2" operator="notEqual" dxfId="1">
      <formula>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5"/>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62" customWidth="1" min="12" max="12"/>
  </cols>
  <sheetData>
    <row r="1"/>
    <row r="2">
      <c r="B2" s="1" t="inlineStr">
        <is>
          <t>Model - Operating Projections &amp; Free Cash Flow</t>
        </is>
      </c>
    </row>
    <row r="3">
      <c r="B3" s="2" t="inlineStr">
        <is>
          <t>($ in millions; active scenario per Assumptions!D42 switch)</t>
        </is>
      </c>
    </row>
    <row r="4">
      <c r="B4" s="9">
        <f>"Active scenario: "&amp;Assumptions!D43</f>
      </c>
    </row>
    <row r="5"/>
    <row r="6">
      <c r="C6" s="28" t="inlineStr">
        <is>
          <t>FY2021A</t>
        </is>
      </c>
      <c r="D6" s="28" t="inlineStr">
        <is>
          <t>FY2022A</t>
        </is>
      </c>
      <c r="E6" s="28" t="inlineStr">
        <is>
          <t>FY2023E</t>
        </is>
      </c>
      <c r="F6" s="28" t="inlineStr">
        <is>
          <t>FY2024E</t>
        </is>
      </c>
      <c r="G6" s="28" t="inlineStr">
        <is>
          <t>FY2025E</t>
        </is>
      </c>
      <c r="H6" s="28" t="inlineStr">
        <is>
          <t>FY2026E</t>
        </is>
      </c>
      <c r="I6" s="28" t="inlineStr">
        <is>
          <t>FY2027E</t>
        </is>
      </c>
      <c r="J6" s="28" t="inlineStr">
        <is>
          <t>FY2028E</t>
        </is>
      </c>
      <c r="K6" s="28" t="inlineStr">
        <is>
          <t>FY2029E</t>
        </is>
      </c>
    </row>
    <row r="7">
      <c r="B7" s="4" t="inlineStr">
        <is>
          <t>Revenue growth % YoY</t>
        </is>
      </c>
      <c r="D7" s="39">
        <f>Assumptions!D48</f>
      </c>
      <c r="E7" s="39">
        <f>Assumptions!E52</f>
      </c>
      <c r="F7" s="39">
        <f>Assumptions!F52</f>
      </c>
      <c r="G7" s="39">
        <f>Assumptions!G52</f>
      </c>
      <c r="H7" s="39">
        <f>Assumptions!H52</f>
      </c>
      <c r="I7" s="39">
        <f>Assumptions!I52</f>
      </c>
      <c r="J7" s="39">
        <f>Assumptions!J52</f>
      </c>
      <c r="K7" s="39">
        <f>Assumptions!K52</f>
      </c>
    </row>
    <row r="8">
      <c r="B8" s="16" t="inlineStr">
        <is>
          <t>Revenue</t>
        </is>
      </c>
      <c r="C8" s="38">
        <f>Assumptions!D22</f>
      </c>
      <c r="D8" s="44">
        <f>C8*(1+D7)</f>
      </c>
      <c r="E8" s="44">
        <f>D8*(1+E7)</f>
      </c>
      <c r="F8" s="44">
        <f>E8*(1+F7)</f>
      </c>
      <c r="G8" s="44">
        <f>F8*(1+G7)</f>
      </c>
      <c r="H8" s="44">
        <f>G8*(1+H7)</f>
      </c>
      <c r="I8" s="44">
        <f>H8*(1+I7)</f>
      </c>
      <c r="J8" s="44">
        <f>I8*(1+J7)</f>
      </c>
      <c r="K8" s="44">
        <f>J8*(1+K7)</f>
      </c>
    </row>
    <row r="9">
      <c r="B9" s="4" t="inlineStr">
        <is>
          <t>EBITDA margin %</t>
        </is>
      </c>
      <c r="C9" s="39">
        <f>Assumptions!D21/Assumptions!D22</f>
      </c>
      <c r="D9" s="39">
        <f>Assumptions!D54</f>
      </c>
      <c r="E9" s="39">
        <f>Assumptions!E58</f>
      </c>
      <c r="F9" s="39">
        <f>Assumptions!F58</f>
      </c>
      <c r="G9" s="39">
        <f>Assumptions!G58</f>
      </c>
      <c r="H9" s="39">
        <f>Assumptions!H58</f>
      </c>
      <c r="I9" s="39">
        <f>Assumptions!I58</f>
      </c>
      <c r="J9" s="39">
        <f>Assumptions!J58</f>
      </c>
      <c r="K9" s="39">
        <f>Assumptions!K58</f>
      </c>
    </row>
    <row r="10">
      <c r="B10" s="16" t="inlineStr">
        <is>
          <t>Adjusted EBITDA</t>
        </is>
      </c>
      <c r="C10" s="42">
        <f>C8*C9</f>
      </c>
      <c r="D10" s="42">
        <f>D8*D9</f>
      </c>
      <c r="E10" s="42">
        <f>E8*E9</f>
      </c>
      <c r="F10" s="42">
        <f>F8*F9</f>
      </c>
      <c r="G10" s="42">
        <f>G8*G9</f>
      </c>
      <c r="H10" s="42">
        <f>H8*H9</f>
      </c>
      <c r="I10" s="42">
        <f>I8*I9</f>
      </c>
      <c r="J10" s="42">
        <f>J8*J9</f>
      </c>
      <c r="K10" s="42">
        <f>K8*K9</f>
      </c>
    </row>
    <row r="11">
      <c r="B11" s="4" t="inlineStr">
        <is>
          <t>D&amp;A</t>
        </is>
      </c>
      <c r="E11" s="38">
        <f>-E8*Assumptions!E60</f>
      </c>
      <c r="F11" s="38">
        <f>-F8*Assumptions!F60</f>
      </c>
      <c r="G11" s="38">
        <f>-G8*Assumptions!G60</f>
      </c>
      <c r="H11" s="38">
        <f>-H8*Assumptions!H60</f>
      </c>
      <c r="I11" s="38">
        <f>-I8*Assumptions!I60</f>
      </c>
      <c r="J11" s="38">
        <f>-J8*Assumptions!J60</f>
      </c>
      <c r="K11" s="38">
        <f>-K8*Assumptions!K60</f>
      </c>
    </row>
    <row r="12">
      <c r="B12" s="4" t="inlineStr">
        <is>
          <t>Financing fee amortization</t>
        </is>
      </c>
      <c r="E12" s="38">
        <f>-'Sources-Uses'!$H$9/Assumptions!$D$19</f>
      </c>
      <c r="F12" s="38">
        <f>-'Sources-Uses'!$H$9/Assumptions!$D$19</f>
      </c>
      <c r="G12" s="38">
        <f>-'Sources-Uses'!$H$9/Assumptions!$D$19</f>
      </c>
      <c r="H12" s="38">
        <f>-'Sources-Uses'!$H$9/Assumptions!$D$19</f>
      </c>
      <c r="I12" s="38">
        <f>-'Sources-Uses'!$H$9/Assumptions!$D$19</f>
      </c>
      <c r="J12" s="38">
        <f>-'Sources-Uses'!$H$9/Assumptions!$D$19</f>
      </c>
      <c r="K12" s="38">
        <f>-'Sources-Uses'!$H$9/Assumptions!$D$19</f>
      </c>
    </row>
    <row r="13">
      <c r="B13" s="16" t="inlineStr">
        <is>
          <t>EBIT</t>
        </is>
      </c>
      <c r="E13" s="42">
        <f>E10+E11+E12</f>
      </c>
      <c r="F13" s="42">
        <f>F10+F11+F12</f>
      </c>
      <c r="G13" s="42">
        <f>G10+G11+G12</f>
      </c>
      <c r="H13" s="42">
        <f>H10+H11+H12</f>
      </c>
      <c r="I13" s="42">
        <f>I10+I11+I12</f>
      </c>
      <c r="J13" s="42">
        <f>J10+J11+J12</f>
      </c>
      <c r="K13" s="42">
        <f>K10+K11+K12</f>
      </c>
    </row>
    <row r="14">
      <c r="B14" s="4" t="inlineStr">
        <is>
          <t>Less: cash interest expense (from DebtSchedule)</t>
        </is>
      </c>
      <c r="E14" s="38">
        <f>-DebtSchedule!E59</f>
      </c>
      <c r="F14" s="38">
        <f>-DebtSchedule!F59</f>
      </c>
      <c r="G14" s="38">
        <f>-DebtSchedule!G59</f>
      </c>
      <c r="H14" s="38">
        <f>-DebtSchedule!H59</f>
      </c>
      <c r="I14" s="38">
        <f>-DebtSchedule!I59</f>
      </c>
      <c r="J14" s="38">
        <f>-DebtSchedule!J59</f>
      </c>
      <c r="K14" s="38">
        <f>-DebtSchedule!K59</f>
      </c>
    </row>
    <row r="15">
      <c r="B15" s="4" t="inlineStr">
        <is>
          <t>Plus: interest income on beginning cash</t>
        </is>
      </c>
      <c r="E15" s="38">
        <f>DebtSchedule!E39*Assumptions!$D$71</f>
      </c>
      <c r="F15" s="38">
        <f>DebtSchedule!F39*Assumptions!$D$71</f>
      </c>
      <c r="G15" s="38">
        <f>DebtSchedule!G39*Assumptions!$D$71</f>
      </c>
      <c r="H15" s="38">
        <f>DebtSchedule!H39*Assumptions!$D$71</f>
      </c>
      <c r="I15" s="38">
        <f>DebtSchedule!I39*Assumptions!$D$71</f>
      </c>
      <c r="J15" s="38">
        <f>DebtSchedule!J39*Assumptions!$D$71</f>
      </c>
      <c r="K15" s="38">
        <f>DebtSchedule!K39*Assumptions!$D$71</f>
      </c>
    </row>
    <row r="16">
      <c r="B16" s="16" t="inlineStr">
        <is>
          <t>Pre-tax income (EBT)</t>
        </is>
      </c>
      <c r="E16" s="42">
        <f>E13+E14+E15</f>
      </c>
      <c r="F16" s="42">
        <f>F13+F14+F15</f>
      </c>
      <c r="G16" s="42">
        <f>G13+G14+G15</f>
      </c>
      <c r="H16" s="42">
        <f>H13+H14+H15</f>
      </c>
      <c r="I16" s="42">
        <f>I13+I14+I15</f>
      </c>
      <c r="J16" s="42">
        <f>J13+J14+J15</f>
      </c>
      <c r="K16" s="42">
        <f>K13+K14+K15</f>
      </c>
    </row>
    <row r="17">
      <c r="B17" s="4" t="inlineStr">
        <is>
          <t>Cash taxes (NOL-adjusted)</t>
        </is>
      </c>
      <c r="E17" s="38">
        <f>-MAX(E16,0)*Assumptions!E63</f>
      </c>
      <c r="F17" s="38">
        <f>-MAX(F16,0)*Assumptions!F63</f>
      </c>
      <c r="G17" s="38">
        <f>-MAX(G16,0)*Assumptions!G63</f>
      </c>
      <c r="H17" s="38">
        <f>-MAX(H16,0)*Assumptions!H63</f>
      </c>
      <c r="I17" s="38">
        <f>-MAX(I16,0)*Assumptions!I63</f>
      </c>
      <c r="J17" s="38">
        <f>-MAX(J16,0)*Assumptions!J63</f>
      </c>
      <c r="K17" s="38">
        <f>-MAX(K16,0)*Assumptions!K63</f>
      </c>
    </row>
    <row r="18">
      <c r="B18" s="16" t="inlineStr">
        <is>
          <t>Net income</t>
        </is>
      </c>
      <c r="E18" s="42">
        <f>E16+E17</f>
      </c>
      <c r="F18" s="42">
        <f>F16+F17</f>
      </c>
      <c r="G18" s="42">
        <f>G16+G17</f>
      </c>
      <c r="H18" s="42">
        <f>H16+H17</f>
      </c>
      <c r="I18" s="42">
        <f>I16+I17</f>
      </c>
      <c r="J18" s="42">
        <f>J16+J17</f>
      </c>
      <c r="K18" s="42">
        <f>K16+K17</f>
      </c>
    </row>
    <row r="19"/>
    <row r="20">
      <c r="B20" s="6" t="inlineStr">
        <is>
          <t>Free Cash Flow Build (pre-financing; feeds DebtSchedule cash sweep)</t>
        </is>
      </c>
      <c r="C20" s="6" t="n"/>
      <c r="D20" s="6" t="n"/>
      <c r="E20" s="6" t="n"/>
      <c r="F20" s="6" t="n"/>
      <c r="G20" s="6" t="n"/>
      <c r="H20" s="6" t="n"/>
      <c r="I20" s="6" t="n"/>
      <c r="J20" s="6" t="n"/>
      <c r="K20" s="6" t="n"/>
    </row>
    <row r="21">
      <c r="B21" s="4" t="inlineStr">
        <is>
          <t>Net income</t>
        </is>
      </c>
      <c r="E21" s="44">
        <f>E18</f>
      </c>
      <c r="F21" s="44">
        <f>F18</f>
      </c>
      <c r="G21" s="44">
        <f>G18</f>
      </c>
      <c r="H21" s="44">
        <f>H18</f>
      </c>
      <c r="I21" s="44">
        <f>I18</f>
      </c>
      <c r="J21" s="44">
        <f>J18</f>
      </c>
      <c r="K21" s="44">
        <f>K18</f>
      </c>
    </row>
    <row r="22">
      <c r="B22" s="4" t="inlineStr">
        <is>
          <t>Plus: D&amp;A (non-cash)</t>
        </is>
      </c>
      <c r="E22" s="44">
        <f>-E11</f>
      </c>
      <c r="F22" s="44">
        <f>-F11</f>
      </c>
      <c r="G22" s="44">
        <f>-G11</f>
      </c>
      <c r="H22" s="44">
        <f>-H11</f>
      </c>
      <c r="I22" s="44">
        <f>-I11</f>
      </c>
      <c r="J22" s="44">
        <f>-J11</f>
      </c>
      <c r="K22" s="44">
        <f>-K11</f>
      </c>
    </row>
    <row r="23">
      <c r="B23" s="4" t="inlineStr">
        <is>
          <t>Plus: financing fee amortization (non-cash)</t>
        </is>
      </c>
      <c r="E23" s="44">
        <f>-E12</f>
      </c>
      <c r="F23" s="44">
        <f>-F12</f>
      </c>
      <c r="G23" s="44">
        <f>-G12</f>
      </c>
      <c r="H23" s="44">
        <f>-H12</f>
      </c>
      <c r="I23" s="44">
        <f>-I12</f>
      </c>
      <c r="J23" s="44">
        <f>-J12</f>
      </c>
      <c r="K23" s="44">
        <f>-K12</f>
      </c>
    </row>
    <row r="24">
      <c r="B24" s="4" t="inlineStr">
        <is>
          <t>Less: capital expenditures</t>
        </is>
      </c>
      <c r="E24" s="38">
        <f>-E8*Assumptions!E61</f>
      </c>
      <c r="F24" s="38">
        <f>-F8*Assumptions!F61</f>
      </c>
      <c r="G24" s="38">
        <f>-G8*Assumptions!G61</f>
      </c>
      <c r="H24" s="38">
        <f>-H8*Assumptions!H61</f>
      </c>
      <c r="I24" s="38">
        <f>-I8*Assumptions!I61</f>
      </c>
      <c r="J24" s="38">
        <f>-J8*Assumptions!J61</f>
      </c>
      <c r="K24" s="38">
        <f>-K8*Assumptions!K61</f>
      </c>
    </row>
    <row r="25">
      <c r="B25" s="4" t="inlineStr">
        <is>
          <t>Less: increase in net working capital</t>
        </is>
      </c>
      <c r="E25" s="38">
        <f>-MAX(E8-D8,0)*Assumptions!E62</f>
      </c>
      <c r="F25" s="38">
        <f>-MAX(F8-E8,0)*Assumptions!F62</f>
      </c>
      <c r="G25" s="38">
        <f>-MAX(G8-F8,0)*Assumptions!G62</f>
      </c>
      <c r="H25" s="38">
        <f>-MAX(H8-G8,0)*Assumptions!H62</f>
      </c>
      <c r="I25" s="38">
        <f>-MAX(I8-H8,0)*Assumptions!I62</f>
      </c>
      <c r="J25" s="38">
        <f>-MAX(J8-I8,0)*Assumptions!J62</f>
      </c>
      <c r="K25" s="38">
        <f>-MAX(K8-J8,0)*Assumptions!K62</f>
      </c>
    </row>
    <row r="26">
      <c r="B26" s="16" t="inlineStr">
        <is>
          <t>Cash available for debt paydown (pre-mandatory)</t>
        </is>
      </c>
      <c r="E26" s="42">
        <f>E21+E22+E23+E24+E25</f>
      </c>
      <c r="F26" s="42">
        <f>F21+F22+F23+F24+F25</f>
      </c>
      <c r="G26" s="42">
        <f>G21+G22+G23+G24+G25</f>
      </c>
      <c r="H26" s="42">
        <f>H21+H22+H23+H24+H25</f>
      </c>
      <c r="I26" s="42">
        <f>I21+I22+I23+I24+I25</f>
      </c>
      <c r="J26" s="42">
        <f>J21+J22+J23+J24+J25</f>
      </c>
      <c r="K26" s="42">
        <f>K21+K22+K23+K24+K25</f>
      </c>
    </row>
    <row r="27"/>
    <row r="28">
      <c r="B28" s="6" t="inlineStr">
        <is>
          <t>Credit Metrics</t>
        </is>
      </c>
      <c r="C28" s="6" t="n"/>
      <c r="D28" s="6" t="n"/>
      <c r="E28" s="6" t="n"/>
      <c r="F28" s="6" t="n"/>
      <c r="G28" s="6" t="n"/>
      <c r="H28" s="6" t="n"/>
      <c r="I28" s="6" t="n"/>
      <c r="J28" s="6" t="n"/>
      <c r="K28" s="6" t="n"/>
    </row>
    <row r="29">
      <c r="B29" s="4" t="inlineStr">
        <is>
          <t>Total debt / Adj. EBITDA</t>
        </is>
      </c>
      <c r="E29" s="37">
        <f>IFERROR(DebtSchedule!E57/E10,"n.m.")</f>
      </c>
      <c r="F29" s="37">
        <f>IFERROR(DebtSchedule!F57/F10,"n.m.")</f>
      </c>
      <c r="G29" s="37">
        <f>IFERROR(DebtSchedule!G57/G10,"n.m.")</f>
      </c>
      <c r="H29" s="37">
        <f>IFERROR(DebtSchedule!H57/H10,"n.m.")</f>
      </c>
      <c r="I29" s="37">
        <f>IFERROR(DebtSchedule!I57/I10,"n.m.")</f>
      </c>
      <c r="J29" s="37">
        <f>IFERROR(DebtSchedule!J57/J10,"n.m.")</f>
      </c>
      <c r="K29" s="37">
        <f>IFERROR(DebtSchedule!K57/K10,"n.m.")</f>
      </c>
    </row>
    <row r="30">
      <c r="B30" s="4" t="inlineStr">
        <is>
          <t>Net debt / Adj. EBITDA</t>
        </is>
      </c>
      <c r="E30" s="37">
        <f>IFERROR(DebtSchedule!E58/E10,"n.m.")</f>
      </c>
      <c r="F30" s="37">
        <f>IFERROR(DebtSchedule!F58/F10,"n.m.")</f>
      </c>
      <c r="G30" s="37">
        <f>IFERROR(DebtSchedule!G58/G10,"n.m.")</f>
      </c>
      <c r="H30" s="37">
        <f>IFERROR(DebtSchedule!H58/H10,"n.m.")</f>
      </c>
      <c r="I30" s="37">
        <f>IFERROR(DebtSchedule!I58/I10,"n.m.")</f>
      </c>
      <c r="J30" s="37">
        <f>IFERROR(DebtSchedule!J58/J10,"n.m.")</f>
      </c>
      <c r="K30" s="37">
        <f>IFERROR(DebtSchedule!K58/K10,"n.m.")</f>
      </c>
    </row>
    <row r="31">
      <c r="B31" s="4" t="inlineStr">
        <is>
          <t>Adj. EBITDA / cash interest expense (coverage)</t>
        </is>
      </c>
      <c r="E31" s="37">
        <f>IFERROR(E10/DebtSchedule!E59,"n.m.")</f>
      </c>
      <c r="F31" s="37">
        <f>IFERROR(F10/DebtSchedule!F59,"n.m.")</f>
      </c>
      <c r="G31" s="37">
        <f>IFERROR(G10/DebtSchedule!G59,"n.m.")</f>
      </c>
      <c r="H31" s="37">
        <f>IFERROR(H10/DebtSchedule!H59,"n.m.")</f>
      </c>
      <c r="I31" s="37">
        <f>IFERROR(I10/DebtSchedule!I59,"n.m.")</f>
      </c>
      <c r="J31" s="37">
        <f>IFERROR(J10/DebtSchedule!J59,"n.m.")</f>
      </c>
      <c r="K31" s="37">
        <f>IFERROR(K10/DebtSchedule!K59,"n.m.")</f>
      </c>
    </row>
    <row r="32">
      <c r="B32" s="4" t="inlineStr">
        <is>
          <t>(Adj. EBITDA - capex) / cash interest expense</t>
        </is>
      </c>
      <c r="E32" s="37">
        <f>IFERROR((E10+E24)/DebtSchedule!E59,"n.m.")</f>
      </c>
      <c r="F32" s="37">
        <f>IFERROR((F10+F24)/DebtSchedule!F59,"n.m.")</f>
      </c>
      <c r="G32" s="37">
        <f>IFERROR((G10+G24)/DebtSchedule!G59,"n.m.")</f>
      </c>
      <c r="H32" s="37">
        <f>IFERROR((H10+H24)/DebtSchedule!H59,"n.m.")</f>
      </c>
      <c r="I32" s="37">
        <f>IFERROR((I10+I24)/DebtSchedule!I59,"n.m.")</f>
      </c>
      <c r="J32" s="37">
        <f>IFERROR((J10+J24)/DebtSchedule!J59,"n.m.")</f>
      </c>
      <c r="K32" s="37">
        <f>IFERROR((K10+K24)/DebtSchedule!K59,"n.m.")</f>
      </c>
    </row>
    <row r="33">
      <c r="B33" s="2" t="inlineStr">
        <is>
          <t>Credit metrics populate once DebtSchedule totals are available (see formulas added after DebtSchedule build).</t>
        </is>
      </c>
    </row>
    <row r="34"/>
    <row r="35">
      <c r="B35" s="2" t="inlineStr">
        <is>
          <t>Interest income is earned on beginning-of-period cash balances at the money-market rate on the Assumptions tab (blue input); immaterial to results given the low cash balances carried throughout.</t>
        </is>
      </c>
    </row>
  </sheetData>
  <mergeCells count="2">
    <mergeCell ref="B33:K33"/>
    <mergeCell ref="B35:K3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1"/>
  <sheetViews>
    <sheetView showGridLines="0"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4" customWidth="1" min="2" max="2"/>
    <col width="4"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34" customWidth="1" min="12" max="12"/>
  </cols>
  <sheetData>
    <row r="1"/>
    <row r="2">
      <c r="B2" s="1" t="inlineStr">
        <is>
          <t>Debt Schedule - Mandatory Amortization &amp; Cash Sweep</t>
        </is>
      </c>
    </row>
    <row r="3">
      <c r="B3" s="2" t="inlineStr">
        <is>
          <t>($ in millions; interest computed on beginning-of-period balances -- no circularity, no iterative calc)</t>
        </is>
      </c>
    </row>
    <row r="4"/>
    <row r="5"/>
    <row r="6">
      <c r="D6" s="28" t="inlineStr">
        <is>
          <t>At Close</t>
        </is>
      </c>
      <c r="E6" s="28" t="inlineStr">
        <is>
          <t>FY2023E</t>
        </is>
      </c>
      <c r="F6" s="28" t="inlineStr">
        <is>
          <t>FY2024E</t>
        </is>
      </c>
      <c r="G6" s="28" t="inlineStr">
        <is>
          <t>FY2025E</t>
        </is>
      </c>
      <c r="H6" s="28" t="inlineStr">
        <is>
          <t>FY2026E</t>
        </is>
      </c>
      <c r="I6" s="28" t="inlineStr">
        <is>
          <t>FY2027E</t>
        </is>
      </c>
      <c r="J6" s="28" t="inlineStr">
        <is>
          <t>FY2028E</t>
        </is>
      </c>
      <c r="K6" s="28" t="inlineStr">
        <is>
          <t>FY2029E</t>
        </is>
      </c>
    </row>
    <row r="7"/>
    <row r="8">
      <c r="B8" s="6" t="inlineStr">
        <is>
          <t>Cash Available for Debt Service</t>
        </is>
      </c>
      <c r="C8" s="6" t="n"/>
      <c r="D8" s="6" t="n"/>
      <c r="E8" s="6" t="n"/>
      <c r="F8" s="6" t="n"/>
      <c r="G8" s="6" t="n"/>
      <c r="H8" s="6" t="n"/>
      <c r="I8" s="6" t="n"/>
      <c r="J8" s="6" t="n"/>
      <c r="K8" s="6" t="n"/>
    </row>
    <row r="9">
      <c r="B9" s="4" t="inlineStr">
        <is>
          <t>Cash available for debt paydown (pre-mandatory)</t>
        </is>
      </c>
      <c r="E9" s="38">
        <f>Model!E26</f>
      </c>
      <c r="F9" s="38">
        <f>Model!F26</f>
      </c>
      <c r="G9" s="38">
        <f>Model!G26</f>
      </c>
      <c r="H9" s="38">
        <f>Model!H26</f>
      </c>
      <c r="I9" s="38">
        <f>Model!I26</f>
      </c>
      <c r="J9" s="38">
        <f>Model!J26</f>
      </c>
      <c r="K9" s="38">
        <f>Model!K26</f>
      </c>
    </row>
    <row r="10"/>
    <row r="11">
      <c r="B11" s="6" t="inlineStr">
        <is>
          <t>Term Loan B</t>
        </is>
      </c>
      <c r="C11" s="6" t="n"/>
      <c r="D11" s="6" t="n"/>
      <c r="E11" s="6" t="n"/>
      <c r="F11" s="6" t="n"/>
      <c r="G11" s="6" t="n"/>
      <c r="H11" s="6" t="n"/>
      <c r="I11" s="6" t="n"/>
      <c r="J11" s="6" t="n"/>
      <c r="K11" s="6" t="n"/>
    </row>
    <row r="12">
      <c r="B12" s="4" t="inlineStr">
        <is>
          <t>Opening balance</t>
        </is>
      </c>
      <c r="D12" s="38">
        <f>'Assumptions'!C31</f>
      </c>
      <c r="E12" s="44">
        <f>D16</f>
      </c>
      <c r="F12" s="44">
        <f>E16</f>
      </c>
      <c r="G12" s="44">
        <f>F16</f>
      </c>
      <c r="H12" s="44">
        <f>G16</f>
      </c>
      <c r="I12" s="44">
        <f>H16</f>
      </c>
      <c r="J12" s="44">
        <f>I16</f>
      </c>
      <c r="K12" s="44">
        <f>J16</f>
      </c>
    </row>
    <row r="13">
      <c r="B13" s="4" t="inlineStr">
        <is>
          <t>Interest expense (beginning balance x rate)</t>
        </is>
      </c>
      <c r="D13" s="44">
        <f>0</f>
      </c>
      <c r="E13" s="38">
        <f>E12*'Assumptions'!$F$31</f>
      </c>
      <c r="F13" s="38">
        <f>F12*'Assumptions'!$F$31</f>
      </c>
      <c r="G13" s="38">
        <f>G12*'Assumptions'!$F$31</f>
      </c>
      <c r="H13" s="38">
        <f>H12*'Assumptions'!$F$31</f>
      </c>
      <c r="I13" s="38">
        <f>I12*'Assumptions'!$F$31</f>
      </c>
      <c r="J13" s="38">
        <f>J12*'Assumptions'!$F$31</f>
      </c>
      <c r="K13" s="38">
        <f>K12*'Assumptions'!$F$31</f>
      </c>
    </row>
    <row r="14">
      <c r="B14" s="4" t="inlineStr">
        <is>
          <t>Mandatory amortization</t>
        </is>
      </c>
      <c r="D14" s="44">
        <f>0</f>
      </c>
      <c r="E14" s="38">
        <f>MIN(E12,'Assumptions'!$C$31*'Assumptions'!$G$31)</f>
      </c>
      <c r="F14" s="38">
        <f>MIN(F12,'Assumptions'!$C$31*'Assumptions'!$G$31)</f>
      </c>
      <c r="G14" s="38">
        <f>MIN(G12,'Assumptions'!$C$31*'Assumptions'!$G$31)</f>
      </c>
      <c r="H14" s="38">
        <f>MIN(H12,'Assumptions'!$C$31*'Assumptions'!$G$31)</f>
      </c>
      <c r="I14" s="38">
        <f>MIN(I12,'Assumptions'!$C$31*'Assumptions'!$G$31)</f>
      </c>
      <c r="J14" s="38">
        <f>MIN(J12,'Assumptions'!$C$31*'Assumptions'!$G$31)</f>
      </c>
      <c r="K14" s="38">
        <f>MIN(K12,'Assumptions'!$C$31*'Assumptions'!$G$31)</f>
      </c>
    </row>
    <row r="15">
      <c r="B15" s="4" t="inlineStr">
        <is>
          <t>Cash sweep</t>
        </is>
      </c>
      <c r="D15" s="44">
        <f>0</f>
      </c>
      <c r="E15" s="44">
        <f>E49</f>
      </c>
      <c r="F15" s="44">
        <f>F49</f>
      </c>
      <c r="G15" s="44">
        <f>G49</f>
      </c>
      <c r="H15" s="44">
        <f>H49</f>
      </c>
      <c r="I15" s="44">
        <f>I49</f>
      </c>
      <c r="J15" s="44">
        <f>J49</f>
      </c>
      <c r="K15" s="44">
        <f>K49</f>
      </c>
    </row>
    <row r="16">
      <c r="B16" s="16" t="inlineStr">
        <is>
          <t>Closing balance</t>
        </is>
      </c>
      <c r="D16" s="42">
        <f>D12</f>
      </c>
      <c r="E16" s="42">
        <f>E12-E14-E15</f>
      </c>
      <c r="F16" s="42">
        <f>F12-F14-F15</f>
      </c>
      <c r="G16" s="42">
        <f>G12-G14-G15</f>
      </c>
      <c r="H16" s="42">
        <f>H12-H14-H15</f>
      </c>
      <c r="I16" s="42">
        <f>I12-I14-I15</f>
      </c>
      <c r="J16" s="42">
        <f>J12-J14-J15</f>
      </c>
      <c r="K16" s="42">
        <f>K12-K14-K15</f>
      </c>
    </row>
    <row r="17"/>
    <row r="18">
      <c r="B18" s="6" t="inlineStr">
        <is>
          <t>Secured Bridge</t>
        </is>
      </c>
      <c r="C18" s="6" t="n"/>
      <c r="D18" s="6" t="n"/>
      <c r="E18" s="6" t="n"/>
      <c r="F18" s="6" t="n"/>
      <c r="G18" s="6" t="n"/>
      <c r="H18" s="6" t="n"/>
      <c r="I18" s="6" t="n"/>
      <c r="J18" s="6" t="n"/>
      <c r="K18" s="6" t="n"/>
    </row>
    <row r="19">
      <c r="B19" s="4" t="inlineStr">
        <is>
          <t>Opening balance</t>
        </is>
      </c>
      <c r="D19" s="38">
        <f>'Assumptions'!C32</f>
      </c>
      <c r="E19" s="44">
        <f>D23</f>
      </c>
      <c r="F19" s="44">
        <f>E23</f>
      </c>
      <c r="G19" s="44">
        <f>F23</f>
      </c>
      <c r="H19" s="44">
        <f>G23</f>
      </c>
      <c r="I19" s="44">
        <f>H23</f>
      </c>
      <c r="J19" s="44">
        <f>I23</f>
      </c>
      <c r="K19" s="44">
        <f>J23</f>
      </c>
    </row>
    <row r="20">
      <c r="B20" s="4" t="inlineStr">
        <is>
          <t>Interest expense (beginning balance x rate)</t>
        </is>
      </c>
      <c r="D20" s="44">
        <f>0</f>
      </c>
      <c r="E20" s="38">
        <f>E19*'Assumptions'!$F$32</f>
      </c>
      <c r="F20" s="38">
        <f>F19*'Assumptions'!$F$32</f>
      </c>
      <c r="G20" s="38">
        <f>G19*'Assumptions'!$F$32</f>
      </c>
      <c r="H20" s="38">
        <f>H19*'Assumptions'!$F$32</f>
      </c>
      <c r="I20" s="38">
        <f>I19*'Assumptions'!$F$32</f>
      </c>
      <c r="J20" s="38">
        <f>J19*'Assumptions'!$F$32</f>
      </c>
      <c r="K20" s="38">
        <f>K19*'Assumptions'!$F$32</f>
      </c>
    </row>
    <row r="21">
      <c r="B21" s="4" t="inlineStr">
        <is>
          <t>Mandatory amortization</t>
        </is>
      </c>
      <c r="D21" s="44">
        <f>0</f>
      </c>
      <c r="E21" s="38">
        <f>MIN(E19,'Assumptions'!$C$32*'Assumptions'!$G$32)</f>
      </c>
      <c r="F21" s="38">
        <f>MIN(F19,'Assumptions'!$C$32*'Assumptions'!$G$32)</f>
      </c>
      <c r="G21" s="38">
        <f>MIN(G19,'Assumptions'!$C$32*'Assumptions'!$G$32)</f>
      </c>
      <c r="H21" s="38">
        <f>MIN(H19,'Assumptions'!$C$32*'Assumptions'!$G$32)</f>
      </c>
      <c r="I21" s="38">
        <f>MIN(I19,'Assumptions'!$C$32*'Assumptions'!$G$32)</f>
      </c>
      <c r="J21" s="38">
        <f>MIN(J19,'Assumptions'!$C$32*'Assumptions'!$G$32)</f>
      </c>
      <c r="K21" s="38">
        <f>MIN(K19,'Assumptions'!$C$32*'Assumptions'!$G$32)</f>
      </c>
    </row>
    <row r="22">
      <c r="B22" s="4" t="inlineStr">
        <is>
          <t>Cash sweep</t>
        </is>
      </c>
      <c r="D22" s="44">
        <f>0</f>
      </c>
      <c r="E22" s="44">
        <f>E51</f>
      </c>
      <c r="F22" s="44">
        <f>F51</f>
      </c>
      <c r="G22" s="44">
        <f>G51</f>
      </c>
      <c r="H22" s="44">
        <f>H51</f>
      </c>
      <c r="I22" s="44">
        <f>I51</f>
      </c>
      <c r="J22" s="44">
        <f>J51</f>
      </c>
      <c r="K22" s="44">
        <f>K51</f>
      </c>
    </row>
    <row r="23">
      <c r="B23" s="16" t="inlineStr">
        <is>
          <t>Closing balance</t>
        </is>
      </c>
      <c r="D23" s="42">
        <f>D19</f>
      </c>
      <c r="E23" s="42">
        <f>E19-E21-E22</f>
      </c>
      <c r="F23" s="42">
        <f>F19-F21-F22</f>
      </c>
      <c r="G23" s="42">
        <f>G19-G21-G22</f>
      </c>
      <c r="H23" s="42">
        <f>H19-H21-H22</f>
      </c>
      <c r="I23" s="42">
        <f>I19-I21-I22</f>
      </c>
      <c r="J23" s="42">
        <f>J19-J21-J22</f>
      </c>
      <c r="K23" s="42">
        <f>K19-K21-K22</f>
      </c>
    </row>
    <row r="24"/>
    <row r="25">
      <c r="B25" s="6" t="inlineStr">
        <is>
          <t>Unsecured Bridge</t>
        </is>
      </c>
      <c r="C25" s="6" t="n"/>
      <c r="D25" s="6" t="n"/>
      <c r="E25" s="6" t="n"/>
      <c r="F25" s="6" t="n"/>
      <c r="G25" s="6" t="n"/>
      <c r="H25" s="6" t="n"/>
      <c r="I25" s="6" t="n"/>
      <c r="J25" s="6" t="n"/>
      <c r="K25" s="6" t="n"/>
    </row>
    <row r="26">
      <c r="B26" s="4" t="inlineStr">
        <is>
          <t>Opening balance</t>
        </is>
      </c>
      <c r="D26" s="38">
        <f>'Assumptions'!C33</f>
      </c>
      <c r="E26" s="44">
        <f>D30</f>
      </c>
      <c r="F26" s="44">
        <f>E30</f>
      </c>
      <c r="G26" s="44">
        <f>F30</f>
      </c>
      <c r="H26" s="44">
        <f>G30</f>
      </c>
      <c r="I26" s="44">
        <f>H30</f>
      </c>
      <c r="J26" s="44">
        <f>I30</f>
      </c>
      <c r="K26" s="44">
        <f>J30</f>
      </c>
    </row>
    <row r="27">
      <c r="B27" s="4" t="inlineStr">
        <is>
          <t>Interest expense (beginning balance x fixed rate)</t>
        </is>
      </c>
      <c r="D27" s="44">
        <f>0</f>
      </c>
      <c r="E27" s="38">
        <f>E26*'Assumptions'!$F$33</f>
      </c>
      <c r="F27" s="38">
        <f>F26*'Assumptions'!$F$33</f>
      </c>
      <c r="G27" s="38">
        <f>G26*'Assumptions'!$F$33</f>
      </c>
      <c r="H27" s="38">
        <f>H26*'Assumptions'!$F$33</f>
      </c>
      <c r="I27" s="38">
        <f>I26*'Assumptions'!$F$33</f>
      </c>
      <c r="J27" s="38">
        <f>J26*'Assumptions'!$F$33</f>
      </c>
      <c r="K27" s="38">
        <f>K26*'Assumptions'!$F$33</f>
      </c>
    </row>
    <row r="28">
      <c r="B28" s="4" t="inlineStr">
        <is>
          <t>Mandatory amortization</t>
        </is>
      </c>
      <c r="D28" s="44">
        <f>0</f>
      </c>
      <c r="E28" s="38">
        <f>MIN(E26,'Assumptions'!$C$33*'Assumptions'!$G$33)</f>
      </c>
      <c r="F28" s="38">
        <f>MIN(F26,'Assumptions'!$C$33*'Assumptions'!$G$33)</f>
      </c>
      <c r="G28" s="38">
        <f>MIN(G26,'Assumptions'!$C$33*'Assumptions'!$G$33)</f>
      </c>
      <c r="H28" s="38">
        <f>MIN(H26,'Assumptions'!$C$33*'Assumptions'!$G$33)</f>
      </c>
      <c r="I28" s="38">
        <f>MIN(I26,'Assumptions'!$C$33*'Assumptions'!$G$33)</f>
      </c>
      <c r="J28" s="38">
        <f>MIN(J26,'Assumptions'!$C$33*'Assumptions'!$G$33)</f>
      </c>
      <c r="K28" s="38">
        <f>MIN(K26,'Assumptions'!$C$33*'Assumptions'!$G$33)</f>
      </c>
    </row>
    <row r="29">
      <c r="B29" s="4" t="inlineStr">
        <is>
          <t>Cash sweep</t>
        </is>
      </c>
      <c r="D29" s="44">
        <f>0</f>
      </c>
      <c r="E29" s="44">
        <f>E53</f>
      </c>
      <c r="F29" s="44">
        <f>F53</f>
      </c>
      <c r="G29" s="44">
        <f>G53</f>
      </c>
      <c r="H29" s="44">
        <f>H53</f>
      </c>
      <c r="I29" s="44">
        <f>I53</f>
      </c>
      <c r="J29" s="44">
        <f>J53</f>
      </c>
      <c r="K29" s="44">
        <f>K53</f>
      </c>
    </row>
    <row r="30">
      <c r="B30" s="16" t="inlineStr">
        <is>
          <t>Closing balance</t>
        </is>
      </c>
      <c r="D30" s="42">
        <f>D26</f>
      </c>
      <c r="E30" s="42">
        <f>E26-E28-E29</f>
      </c>
      <c r="F30" s="42">
        <f>F26-F28-F29</f>
      </c>
      <c r="G30" s="42">
        <f>G26-G28-G29</f>
      </c>
      <c r="H30" s="42">
        <f>H26-H28-H29</f>
      </c>
      <c r="I30" s="42">
        <f>I26-I28-I29</f>
      </c>
      <c r="J30" s="42">
        <f>J26-J28-J29</f>
      </c>
      <c r="K30" s="42">
        <f>K26-K28-K29</f>
      </c>
    </row>
    <row r="31"/>
    <row r="32">
      <c r="B32" s="6" t="inlineStr">
        <is>
          <t>Revolving Credit Facility (undrawn at close; plug)</t>
        </is>
      </c>
      <c r="C32" s="6" t="n"/>
      <c r="D32" s="6" t="n"/>
      <c r="E32" s="6" t="n"/>
      <c r="F32" s="6" t="n"/>
      <c r="G32" s="6" t="n"/>
      <c r="H32" s="6" t="n"/>
      <c r="I32" s="6" t="n"/>
      <c r="J32" s="6" t="n"/>
      <c r="K32" s="6" t="n"/>
    </row>
    <row r="33">
      <c r="B33" s="4" t="inlineStr">
        <is>
          <t>Opening balance</t>
        </is>
      </c>
      <c r="D33" s="44">
        <f>0</f>
      </c>
      <c r="E33" s="44">
        <f>D36</f>
      </c>
      <c r="F33" s="44">
        <f>E36</f>
      </c>
      <c r="G33" s="44">
        <f>F36</f>
      </c>
      <c r="H33" s="44">
        <f>G36</f>
      </c>
      <c r="I33" s="44">
        <f>H36</f>
      </c>
      <c r="J33" s="44">
        <f>I36</f>
      </c>
      <c r="K33" s="44">
        <f>J36</f>
      </c>
    </row>
    <row r="34">
      <c r="B34" s="4" t="inlineStr">
        <is>
          <t>Interest expense (beginning balance x rate)</t>
        </is>
      </c>
      <c r="D34" s="44">
        <f>0</f>
      </c>
      <c r="E34" s="38">
        <f>E33*'Assumptions'!$F$34</f>
      </c>
      <c r="F34" s="38">
        <f>F33*'Assumptions'!$F$34</f>
      </c>
      <c r="G34" s="38">
        <f>G33*'Assumptions'!$F$34</f>
      </c>
      <c r="H34" s="38">
        <f>H33*'Assumptions'!$F$34</f>
      </c>
      <c r="I34" s="38">
        <f>I33*'Assumptions'!$F$34</f>
      </c>
      <c r="J34" s="38">
        <f>J33*'Assumptions'!$F$34</f>
      </c>
      <c r="K34" s="38">
        <f>K33*'Assumptions'!$F$34</f>
      </c>
    </row>
    <row r="35">
      <c r="B35" s="4" t="inlineStr">
        <is>
          <t>Draw / (repayment)</t>
        </is>
      </c>
      <c r="D35" s="44">
        <f>0</f>
      </c>
      <c r="E35" s="44">
        <f>E46-E47</f>
      </c>
      <c r="F35" s="44">
        <f>F46-F47</f>
      </c>
      <c r="G35" s="44">
        <f>G46-G47</f>
      </c>
      <c r="H35" s="44">
        <f>H46-H47</f>
      </c>
      <c r="I35" s="44">
        <f>I46-I47</f>
      </c>
      <c r="J35" s="44">
        <f>J46-J47</f>
      </c>
      <c r="K35" s="44">
        <f>K46-K47</f>
      </c>
    </row>
    <row r="36">
      <c r="B36" s="16" t="inlineStr">
        <is>
          <t>Closing balance</t>
        </is>
      </c>
      <c r="D36" s="42">
        <f>D33</f>
      </c>
      <c r="E36" s="42">
        <f>E33+E35</f>
      </c>
      <c r="F36" s="42">
        <f>F33+F35</f>
      </c>
      <c r="G36" s="42">
        <f>G33+G35</f>
      </c>
      <c r="H36" s="42">
        <f>H33+H35</f>
      </c>
      <c r="I36" s="42">
        <f>I33+I35</f>
      </c>
      <c r="J36" s="42">
        <f>J33+J35</f>
      </c>
      <c r="K36" s="42">
        <f>K33+K35</f>
      </c>
    </row>
    <row r="37"/>
    <row r="38">
      <c r="B38" s="6" t="inlineStr">
        <is>
          <t>Cash Sweep Waterfall &amp; Cash Balance Roll-Forward</t>
        </is>
      </c>
      <c r="C38" s="6" t="n"/>
      <c r="D38" s="6" t="n"/>
      <c r="E38" s="6" t="n"/>
      <c r="F38" s="6" t="n"/>
      <c r="G38" s="6" t="n"/>
      <c r="H38" s="6" t="n"/>
      <c r="I38" s="6" t="n"/>
      <c r="J38" s="6" t="n"/>
      <c r="K38" s="6" t="n"/>
    </row>
    <row r="39">
      <c r="B39" s="4" t="inlineStr">
        <is>
          <t>Opening cash balance</t>
        </is>
      </c>
      <c r="D39" s="44">
        <f>0</f>
      </c>
      <c r="E39" s="44">
        <f>D55</f>
      </c>
      <c r="F39" s="44">
        <f>E55</f>
      </c>
      <c r="G39" s="44">
        <f>F55</f>
      </c>
      <c r="H39" s="44">
        <f>G55</f>
      </c>
      <c r="I39" s="44">
        <f>H55</f>
      </c>
      <c r="J39" s="44">
        <f>I55</f>
      </c>
      <c r="K39" s="44">
        <f>J55</f>
      </c>
    </row>
    <row r="40">
      <c r="B40" s="4" t="inlineStr">
        <is>
          <t>Plus: cash available for debt paydown</t>
        </is>
      </c>
      <c r="D40" s="44">
        <f>0</f>
      </c>
      <c r="E40" s="38">
        <f>Model!E26</f>
      </c>
      <c r="F40" s="38">
        <f>Model!F26</f>
      </c>
      <c r="G40" s="38">
        <f>Model!G26</f>
      </c>
      <c r="H40" s="38">
        <f>Model!H26</f>
      </c>
      <c r="I40" s="38">
        <f>Model!I26</f>
      </c>
      <c r="J40" s="38">
        <f>Model!J26</f>
      </c>
      <c r="K40" s="38">
        <f>Model!K26</f>
      </c>
    </row>
    <row r="41">
      <c r="B41" s="4" t="inlineStr">
        <is>
          <t>Less: total mandatory amortization</t>
        </is>
      </c>
      <c r="D41" s="44">
        <f>0</f>
      </c>
      <c r="E41" s="44">
        <f>E14+E21+E28</f>
      </c>
      <c r="F41" s="44">
        <f>F14+F21+F28</f>
      </c>
      <c r="G41" s="44">
        <f>G14+G21+G28</f>
      </c>
      <c r="H41" s="44">
        <f>H14+H21+H28</f>
      </c>
      <c r="I41" s="44">
        <f>I14+I21+I28</f>
      </c>
      <c r="J41" s="44">
        <f>J14+J21+J28</f>
      </c>
      <c r="K41" s="44">
        <f>K14+K21+K28</f>
      </c>
    </row>
    <row r="42">
      <c r="B42" s="16" t="inlineStr">
        <is>
          <t>Cash before discretionary sweep / draw</t>
        </is>
      </c>
      <c r="D42" s="38">
        <f>'Sources-Uses'!H10</f>
      </c>
      <c r="E42" s="42">
        <f>E39+E40-E41</f>
      </c>
      <c r="F42" s="42">
        <f>F39+F40-F41</f>
      </c>
      <c r="G42" s="42">
        <f>G39+G40-G41</f>
      </c>
      <c r="H42" s="42">
        <f>H39+H40-H41</f>
      </c>
      <c r="I42" s="42">
        <f>I39+I40-I41</f>
      </c>
      <c r="J42" s="42">
        <f>J39+J40-J41</f>
      </c>
      <c r="K42" s="42">
        <f>K39+K40-K41</f>
      </c>
    </row>
    <row r="43">
      <c r="B43" s="4" t="inlineStr">
        <is>
          <t>Minimum cash balance</t>
        </is>
      </c>
      <c r="D43" s="38">
        <f>'Assumptions'!D69</f>
      </c>
      <c r="E43" s="38">
        <f>'Assumptions'!$D$69</f>
      </c>
      <c r="F43" s="38">
        <f>'Assumptions'!$D$69</f>
      </c>
      <c r="G43" s="38">
        <f>'Assumptions'!$D$69</f>
      </c>
      <c r="H43" s="38">
        <f>'Assumptions'!$D$69</f>
      </c>
      <c r="I43" s="38">
        <f>'Assumptions'!$D$69</f>
      </c>
      <c r="J43" s="38">
        <f>'Assumptions'!$D$69</f>
      </c>
      <c r="K43" s="38">
        <f>'Assumptions'!$D$69</f>
      </c>
    </row>
    <row r="44">
      <c r="B44" s="4" t="inlineStr">
        <is>
          <t>Cash sweep %</t>
        </is>
      </c>
      <c r="D44" s="39">
        <f>'Assumptions'!$D$70</f>
      </c>
      <c r="E44" s="39">
        <f>'Assumptions'!$D$70</f>
      </c>
      <c r="F44" s="39">
        <f>'Assumptions'!$D$70</f>
      </c>
      <c r="G44" s="39">
        <f>'Assumptions'!$D$70</f>
      </c>
      <c r="H44" s="39">
        <f>'Assumptions'!$D$70</f>
      </c>
      <c r="I44" s="39">
        <f>'Assumptions'!$D$70</f>
      </c>
      <c r="J44" s="39">
        <f>'Assumptions'!$D$70</f>
      </c>
      <c r="K44" s="39">
        <f>'Assumptions'!$D$70</f>
      </c>
    </row>
    <row r="45">
      <c r="B45" s="4" t="inlineStr">
        <is>
          <t>Cash available for sweep</t>
        </is>
      </c>
      <c r="D45" s="44">
        <f>0</f>
      </c>
      <c r="E45" s="44">
        <f>MAX(0,E42-E43)*E44</f>
      </c>
      <c r="F45" s="44">
        <f>MAX(0,F42-F43)*F44</f>
      </c>
      <c r="G45" s="44">
        <f>MAX(0,G42-G43)*G44</f>
      </c>
      <c r="H45" s="44">
        <f>MAX(0,H42-H43)*H44</f>
      </c>
      <c r="I45" s="44">
        <f>MAX(0,I42-I43)*I44</f>
      </c>
      <c r="J45" s="44">
        <f>MAX(0,J42-J43)*J44</f>
      </c>
      <c r="K45" s="44">
        <f>MAX(0,K42-K43)*K44</f>
      </c>
    </row>
    <row r="46">
      <c r="B46" s="4" t="inlineStr">
        <is>
          <t>Shortfall requiring revolver draw</t>
        </is>
      </c>
      <c r="D46" s="44">
        <f>0</f>
      </c>
      <c r="E46" s="44">
        <f>MAX(0,E43-E42)</f>
      </c>
      <c r="F46" s="44">
        <f>MAX(0,F43-F42)</f>
      </c>
      <c r="G46" s="44">
        <f>MAX(0,G43-G42)</f>
      </c>
      <c r="H46" s="44">
        <f>MAX(0,H43-H42)</f>
      </c>
      <c r="I46" s="44">
        <f>MAX(0,I43-I42)</f>
      </c>
      <c r="J46" s="44">
        <f>MAX(0,J43-J42)</f>
      </c>
      <c r="K46" s="44">
        <f>MAX(0,K43-K42)</f>
      </c>
    </row>
    <row r="47">
      <c r="B47" s="33" t="inlineStr">
        <is>
          <t xml:space="preserve">  Applied: RCF repayment</t>
        </is>
      </c>
      <c r="D47" s="44">
        <f>0</f>
      </c>
      <c r="E47" s="44">
        <f>MIN(E45,E33)</f>
      </c>
      <c r="F47" s="44">
        <f>MIN(F45,F33)</f>
      </c>
      <c r="G47" s="44">
        <f>MIN(G45,G33)</f>
      </c>
      <c r="H47" s="44">
        <f>MIN(H45,H33)</f>
      </c>
      <c r="I47" s="44">
        <f>MIN(I45,I33)</f>
      </c>
      <c r="J47" s="44">
        <f>MIN(J45,J33)</f>
      </c>
      <c r="K47" s="44">
        <f>MIN(K45,K33)</f>
      </c>
    </row>
    <row r="48">
      <c r="B48" s="33" t="inlineStr">
        <is>
          <t xml:space="preserve">  Remaining sweep pool</t>
        </is>
      </c>
      <c r="D48" s="44">
        <f>0</f>
      </c>
      <c r="E48" s="44">
        <f>E45-E47</f>
      </c>
      <c r="F48" s="44">
        <f>F45-F47</f>
      </c>
      <c r="G48" s="44">
        <f>G45-G47</f>
      </c>
      <c r="H48" s="44">
        <f>H45-H47</f>
      </c>
      <c r="I48" s="44">
        <f>I45-I47</f>
      </c>
      <c r="J48" s="44">
        <f>J45-J47</f>
      </c>
      <c r="K48" s="44">
        <f>K45-K47</f>
      </c>
    </row>
    <row r="49">
      <c r="B49" s="33" t="inlineStr">
        <is>
          <t xml:space="preserve">  Applied: TLB sweep</t>
        </is>
      </c>
      <c r="D49" s="44">
        <f>0</f>
      </c>
      <c r="E49" s="44">
        <f>MIN(E48,E12-E14)</f>
      </c>
      <c r="F49" s="44">
        <f>MIN(F48,F12-F14)</f>
      </c>
      <c r="G49" s="44">
        <f>MIN(G48,G12-G14)</f>
      </c>
      <c r="H49" s="44">
        <f>MIN(H48,H12-H14)</f>
      </c>
      <c r="I49" s="44">
        <f>MIN(I48,I12-I14)</f>
      </c>
      <c r="J49" s="44">
        <f>MIN(J48,J12-J14)</f>
      </c>
      <c r="K49" s="44">
        <f>MIN(K48,K12-K14)</f>
      </c>
    </row>
    <row r="50">
      <c r="B50" s="33" t="inlineStr">
        <is>
          <t xml:space="preserve">  Remaining sweep pool</t>
        </is>
      </c>
      <c r="D50" s="44">
        <f>0</f>
      </c>
      <c r="E50" s="44">
        <f>E48-E49</f>
      </c>
      <c r="F50" s="44">
        <f>F48-F49</f>
      </c>
      <c r="G50" s="44">
        <f>G48-G49</f>
      </c>
      <c r="H50" s="44">
        <f>H48-H49</f>
      </c>
      <c r="I50" s="44">
        <f>I48-I49</f>
      </c>
      <c r="J50" s="44">
        <f>J48-J49</f>
      </c>
      <c r="K50" s="44">
        <f>K48-K49</f>
      </c>
    </row>
    <row r="51">
      <c r="B51" s="33" t="inlineStr">
        <is>
          <t xml:space="preserve">  Applied: Secured Bridge sweep</t>
        </is>
      </c>
      <c r="D51" s="44">
        <f>0</f>
      </c>
      <c r="E51" s="44">
        <f>MIN(E50,E19-E21)</f>
      </c>
      <c r="F51" s="44">
        <f>MIN(F50,F19-F21)</f>
      </c>
      <c r="G51" s="44">
        <f>MIN(G50,G19-G21)</f>
      </c>
      <c r="H51" s="44">
        <f>MIN(H50,H19-H21)</f>
      </c>
      <c r="I51" s="44">
        <f>MIN(I50,I19-I21)</f>
      </c>
      <c r="J51" s="44">
        <f>MIN(J50,J19-J21)</f>
      </c>
      <c r="K51" s="44">
        <f>MIN(K50,K19-K21)</f>
      </c>
    </row>
    <row r="52">
      <c r="B52" s="33" t="inlineStr">
        <is>
          <t xml:space="preserve">  Remaining sweep pool</t>
        </is>
      </c>
      <c r="D52" s="44">
        <f>0</f>
      </c>
      <c r="E52" s="44">
        <f>E50-E51</f>
      </c>
      <c r="F52" s="44">
        <f>F50-F51</f>
      </c>
      <c r="G52" s="44">
        <f>G50-G51</f>
      </c>
      <c r="H52" s="44">
        <f>H50-H51</f>
      </c>
      <c r="I52" s="44">
        <f>I50-I51</f>
      </c>
      <c r="J52" s="44">
        <f>J50-J51</f>
      </c>
      <c r="K52" s="44">
        <f>K50-K51</f>
      </c>
    </row>
    <row r="53">
      <c r="B53" s="33" t="inlineStr">
        <is>
          <t xml:space="preserve">  Applied: Unsecured Bridge sweep</t>
        </is>
      </c>
      <c r="D53" s="44">
        <f>0</f>
      </c>
      <c r="E53" s="44">
        <f>MIN(E52,E26-E28)</f>
      </c>
      <c r="F53" s="44">
        <f>MIN(F52,F26-F28)</f>
      </c>
      <c r="G53" s="44">
        <f>MIN(G52,G26-G28)</f>
      </c>
      <c r="H53" s="44">
        <f>MIN(H52,H26-H28)</f>
      </c>
      <c r="I53" s="44">
        <f>MIN(I52,I26-I28)</f>
      </c>
      <c r="J53" s="44">
        <f>MIN(J52,J26-J28)</f>
      </c>
      <c r="K53" s="44">
        <f>MIN(K52,K26-K28)</f>
      </c>
    </row>
    <row r="54">
      <c r="B54" s="33" t="inlineStr">
        <is>
          <t xml:space="preserve">  Unswept cash retained (debt fully repaid)</t>
        </is>
      </c>
      <c r="D54" s="44">
        <f>0</f>
      </c>
      <c r="E54" s="44">
        <f>E52-E53</f>
      </c>
      <c r="F54" s="44">
        <f>F52-F53</f>
      </c>
      <c r="G54" s="44">
        <f>G52-G53</f>
      </c>
      <c r="H54" s="44">
        <f>H52-H53</f>
      </c>
      <c r="I54" s="44">
        <f>I52-I53</f>
      </c>
      <c r="J54" s="44">
        <f>J52-J53</f>
      </c>
      <c r="K54" s="44">
        <f>K52-K53</f>
      </c>
    </row>
    <row r="55">
      <c r="B55" s="16" t="inlineStr">
        <is>
          <t>Closing cash balance</t>
        </is>
      </c>
      <c r="D55" s="42">
        <f>D42</f>
      </c>
      <c r="E55" s="42">
        <f>E42-(E47+E49+E51+E53)+E46</f>
      </c>
      <c r="F55" s="42">
        <f>F42-(F47+F49+F51+F53)+F46</f>
      </c>
      <c r="G55" s="42">
        <f>G42-(G47+G49+G51+G53)+G46</f>
      </c>
      <c r="H55" s="42">
        <f>H42-(H47+H49+H51+H53)+H46</f>
      </c>
      <c r="I55" s="42">
        <f>I42-(I47+I49+I51+I53)+I46</f>
      </c>
      <c r="J55" s="42">
        <f>J42-(J47+J49+J51+J53)+J46</f>
      </c>
      <c r="K55" s="42">
        <f>K42-(K47+K49+K51+K53)+K46</f>
      </c>
    </row>
    <row r="56"/>
    <row r="57">
      <c r="B57" s="16" t="inlineStr">
        <is>
          <t>Total debt outstanding (closing)</t>
        </is>
      </c>
      <c r="D57" s="42">
        <f>D16+D23+D30+D36</f>
      </c>
      <c r="E57" s="42">
        <f>E16+E23+E30+E36</f>
      </c>
      <c r="F57" s="42">
        <f>F16+F23+F30+F36</f>
      </c>
      <c r="G57" s="42">
        <f>G16+G23+G30+G36</f>
      </c>
      <c r="H57" s="42">
        <f>H16+H23+H30+H36</f>
      </c>
      <c r="I57" s="42">
        <f>I16+I23+I30+I36</f>
      </c>
      <c r="J57" s="42">
        <f>J16+J23+J30+J36</f>
      </c>
      <c r="K57" s="42">
        <f>K16+K23+K30+K36</f>
      </c>
    </row>
    <row r="58">
      <c r="B58" s="16" t="inlineStr">
        <is>
          <t>Net debt (total debt - cash)</t>
        </is>
      </c>
      <c r="D58" s="42">
        <f>D57-D55</f>
      </c>
      <c r="E58" s="42">
        <f>E57-E55</f>
      </c>
      <c r="F58" s="42">
        <f>F57-F55</f>
      </c>
      <c r="G58" s="42">
        <f>G57-G55</f>
      </c>
      <c r="H58" s="42">
        <f>H57-H55</f>
      </c>
      <c r="I58" s="42">
        <f>I57-I55</f>
      </c>
      <c r="J58" s="42">
        <f>J57-J55</f>
      </c>
      <c r="K58" s="42">
        <f>K57-K55</f>
      </c>
    </row>
    <row r="59">
      <c r="B59" s="16" t="inlineStr">
        <is>
          <t>Total cash interest expense</t>
        </is>
      </c>
      <c r="D59" s="42">
        <f>D13+D20+D27+D34</f>
      </c>
      <c r="E59" s="42">
        <f>E13+E20+E27+E34</f>
      </c>
      <c r="F59" s="42">
        <f>F13+F20+F27+F34</f>
      </c>
      <c r="G59" s="42">
        <f>G13+G20+G27+G34</f>
      </c>
      <c r="H59" s="42">
        <f>H13+H20+H27+H34</f>
      </c>
      <c r="I59" s="42">
        <f>I13+I20+I27+I34</f>
      </c>
      <c r="J59" s="42">
        <f>J13+J20+J27+J34</f>
      </c>
      <c r="K59" s="42">
        <f>K13+K20+K27+K34</f>
      </c>
    </row>
    <row r="60"/>
    <row r="61" ht="42" customHeight="1">
      <c r="B61" s="13" t="inlineStr">
        <is>
          <t>Revolver draw fires whenever cash before sweep falls below the minimum cash floor -- this occurs in the Actual-Path scenario's early years when interest on the $13.0bn package exceeds operating cash flow (sub-1.0x coverage). Sweep and draw are mutually exclusive each period by construction (MAX(0, x) formulas), so there is no double-counting.</t>
        </is>
      </c>
    </row>
  </sheetData>
  <mergeCells count="1">
    <mergeCell ref="B61:K61"/>
  </mergeCells>
  <conditionalFormatting sqref="E46:K46">
    <cfRule type="cellIs" priority="1" operator="greaterThan" dxfId="1">
      <formula>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6"/>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34" customWidth="1" min="2" max="2"/>
    <col width="14" customWidth="1" min="3" max="3"/>
    <col width="14" customWidth="1" min="4" max="4"/>
    <col width="14" customWidth="1" min="5" max="5"/>
    <col width="14" customWidth="1" min="6" max="6"/>
    <col width="14" customWidth="1" min="7" max="7"/>
    <col width="14" customWidth="1" min="8" max="8"/>
    <col width="14" customWidth="1" min="9" max="9"/>
    <col width="30" customWidth="1" min="10" max="10"/>
  </cols>
  <sheetData>
    <row r="1"/>
    <row r="2">
      <c r="B2" s="1" t="inlineStr">
        <is>
          <t>Returns - Exit Analysis, Sensitivities &amp; Actual-Outcome Comparison</t>
        </is>
      </c>
    </row>
    <row r="3">
      <c r="B3" s="2" t="inlineStr">
        <is>
          <t>($ in millions, except per-turn and per-share figures)</t>
        </is>
      </c>
    </row>
    <row r="4"/>
    <row r="5" ht="84" customHeight="1">
      <c r="B5" s="13" t="inlineStr">
        <is>
          <t>Basis note: the BASE CASE table immediately below is driven by the full 4-tranche DebtSchedule waterfall (mandatory amortisation + cash sweep + revolver draws) for the scenario selected by the Assumptions toggle -- these are the headline returns. The two scenario tables that follow use the Support-tab single blended-rate mini debt model (master spec Sec.4.2 architecture) so that BOTH scenarios can be shown side-by-side off one toggle setting; that simplification pauses paydown rather than drawing the revolver when FCF falls short of interest, so its net debt at exit runs LOWER (returns slightly more favourable) than the full waterfall in the early, cash-short years. The reconciliation rows beneath the base-case table quantify that gap. The sensitivity grids further below are Support-driven by design (master spec Sec.4.2 requires a leverage-independent FCF row for grid re-derivation).</t>
        </is>
      </c>
    </row>
    <row r="6"/>
    <row r="7">
      <c r="B7" s="6" t="inlineStr">
        <is>
          <t>BASE CASE (Active Scenario) - Exit Analysis on Full DebtSchedule Waterfall</t>
        </is>
      </c>
      <c r="C7" s="6" t="n"/>
      <c r="D7" s="6" t="n"/>
      <c r="E7" s="6" t="n"/>
      <c r="F7" s="6" t="n"/>
      <c r="G7" s="6" t="n"/>
      <c r="H7" s="6" t="n"/>
      <c r="I7" s="6" t="n"/>
    </row>
    <row r="8">
      <c r="B8" s="6" t="inlineStr">
        <is>
          <t>Exit year</t>
        </is>
      </c>
      <c r="D8" s="28" t="inlineStr">
        <is>
          <t>Year 3</t>
        </is>
      </c>
      <c r="E8" s="28" t="inlineStr">
        <is>
          <t>Year 5</t>
        </is>
      </c>
      <c r="F8" s="28" t="inlineStr">
        <is>
          <t>Year 7</t>
        </is>
      </c>
    </row>
    <row r="9">
      <c r="B9" s="4" t="inlineStr">
        <is>
          <t>Exit EBITDA</t>
        </is>
      </c>
      <c r="D9" s="38">
        <f>Model!G10</f>
      </c>
      <c r="E9" s="38">
        <f>Model!I10</f>
      </c>
      <c r="F9" s="38">
        <f>Model!K10</f>
      </c>
    </row>
    <row r="10">
      <c r="B10" s="4" t="inlineStr">
        <is>
          <t>Exit EV / EBITDA multiple</t>
        </is>
      </c>
      <c r="D10" s="37">
        <f>'Assumptions'!$D$68</f>
      </c>
      <c r="E10" s="37">
        <f>'Assumptions'!$D$68</f>
      </c>
      <c r="F10" s="37">
        <f>'Assumptions'!$D$68</f>
      </c>
    </row>
    <row r="11">
      <c r="B11" s="16" t="inlineStr">
        <is>
          <t>Exit enterprise value</t>
        </is>
      </c>
      <c r="D11" s="42">
        <f>D9*D10</f>
      </c>
      <c r="E11" s="42">
        <f>E9*E10</f>
      </c>
      <c r="F11" s="42">
        <f>F9*F10</f>
      </c>
    </row>
    <row r="12">
      <c r="B12" s="4" t="inlineStr">
        <is>
          <t>Less: net debt at exit</t>
        </is>
      </c>
      <c r="D12" s="38">
        <f>DebtSchedule!G58</f>
      </c>
      <c r="E12" s="38">
        <f>DebtSchedule!I58</f>
      </c>
      <c r="F12" s="38">
        <f>DebtSchedule!K58</f>
      </c>
    </row>
    <row r="13">
      <c r="B13" s="16" t="inlineStr">
        <is>
          <t>Equity value at exit</t>
        </is>
      </c>
      <c r="D13" s="42">
        <f>D11-D12</f>
      </c>
      <c r="E13" s="42">
        <f>E11-E12</f>
      </c>
      <c r="F13" s="42">
        <f>F11-F12</f>
      </c>
    </row>
    <row r="14">
      <c r="B14" s="4" t="inlineStr">
        <is>
          <t>Sponsor equity invested (entry)</t>
        </is>
      </c>
      <c r="D14" s="38">
        <f>'Sources-Uses'!$D$12</f>
      </c>
      <c r="E14" s="38">
        <f>'Sources-Uses'!$D$12</f>
      </c>
      <c r="F14" s="38">
        <f>'Sources-Uses'!$D$12</f>
      </c>
    </row>
    <row r="15">
      <c r="B15" s="16" t="inlineStr">
        <is>
          <t>MOIC</t>
        </is>
      </c>
      <c r="D15" s="45">
        <f>IFERROR(D13/D14,"n.m.")</f>
      </c>
      <c r="E15" s="45">
        <f>IFERROR(E13/E14,"n.m.")</f>
      </c>
      <c r="F15" s="45">
        <f>IFERROR(F13/F14,"n.m.")</f>
      </c>
    </row>
    <row r="16">
      <c r="B16" s="16" t="inlineStr">
        <is>
          <t>IRR (closed-form, single flow)</t>
        </is>
      </c>
      <c r="D16" s="51">
        <f>IFERROR((D15)^(1/3)-1,"n.m.")</f>
      </c>
      <c r="E16" s="51">
        <f>IFERROR((E15)^(1/5)-1,"n.m.")</f>
      </c>
      <c r="F16" s="51">
        <f>IFERROR((F15)^(1/7)-1,"n.m.")</f>
      </c>
    </row>
    <row r="17"/>
    <row r="18">
      <c r="B18" s="4" t="inlineStr">
        <is>
          <t>Memo: active scenario</t>
        </is>
      </c>
      <c r="D18" s="9">
        <f>'Assumptions'!D43</f>
      </c>
    </row>
    <row r="19">
      <c r="B19" s="4" t="inlineStr">
        <is>
          <t>Reconciliation: net debt at exit, full waterfall less Support mini-model (Scenario 2 basis)</t>
        </is>
      </c>
      <c r="D19" s="38">
        <f>DebtSchedule!G58-Support!G32</f>
      </c>
      <c r="E19" s="38">
        <f>DebtSchedule!I58-Support!I32</f>
      </c>
      <c r="F19" s="38">
        <f>DebtSchedule!K58-Support!K32</f>
      </c>
    </row>
    <row r="20" ht="40" customHeight="1">
      <c r="B20" s="13" t="inlineStr">
        <is>
          <t>A positive reconciliation figure is the amount by which the simplified Support mini-model understates net debt at exit (and therefore overstates equity value and MOIC) relative to the full 4-tranche waterfall. It is driven entirely by revolver draws that the mini-model does not make.</t>
        </is>
      </c>
    </row>
    <row r="21"/>
    <row r="22">
      <c r="B22" s="6" t="inlineStr">
        <is>
          <t>Scenario 1: Deal-Vintage Plan - Exit Analysis</t>
        </is>
      </c>
      <c r="C22" s="6" t="n"/>
      <c r="D22" s="6" t="n"/>
      <c r="E22" s="6" t="n"/>
      <c r="F22" s="6" t="n"/>
      <c r="G22" s="6" t="n"/>
      <c r="H22" s="6" t="n"/>
      <c r="I22" s="6" t="n"/>
    </row>
    <row r="23">
      <c r="B23" s="6" t="inlineStr">
        <is>
          <t>Exit year</t>
        </is>
      </c>
      <c r="D23" s="28" t="inlineStr">
        <is>
          <t>Year 3</t>
        </is>
      </c>
      <c r="E23" s="28" t="inlineStr">
        <is>
          <t>Year 5</t>
        </is>
      </c>
      <c r="F23" s="28" t="inlineStr">
        <is>
          <t>Year 7</t>
        </is>
      </c>
    </row>
    <row r="24">
      <c r="B24" s="4" t="inlineStr">
        <is>
          <t>Exit EBITDA</t>
        </is>
      </c>
      <c r="D24" s="38">
        <f>Support!G12</f>
      </c>
      <c r="E24" s="38">
        <f>Support!I12</f>
      </c>
      <c r="F24" s="38">
        <f>Support!K12</f>
      </c>
    </row>
    <row r="25">
      <c r="B25" s="4" t="inlineStr">
        <is>
          <t>Exit EV / EBITDA multiple</t>
        </is>
      </c>
      <c r="D25" s="37">
        <f>'Assumptions'!$D$66</f>
      </c>
      <c r="E25" s="37">
        <f>'Assumptions'!$D$66</f>
      </c>
      <c r="F25" s="37">
        <f>'Assumptions'!$D$66</f>
      </c>
    </row>
    <row r="26">
      <c r="B26" s="16" t="inlineStr">
        <is>
          <t>Exit enterprise value</t>
        </is>
      </c>
      <c r="D26" s="42">
        <f>D24*D25</f>
      </c>
      <c r="E26" s="42">
        <f>E24*E25</f>
      </c>
      <c r="F26" s="42">
        <f>F24*F25</f>
      </c>
    </row>
    <row r="27">
      <c r="B27" s="4" t="inlineStr">
        <is>
          <t>Less: net debt at exit</t>
        </is>
      </c>
      <c r="D27" s="38">
        <f>Support!G19</f>
      </c>
      <c r="E27" s="38">
        <f>Support!I19</f>
      </c>
      <c r="F27" s="38">
        <f>Support!K19</f>
      </c>
    </row>
    <row r="28">
      <c r="B28" s="16" t="inlineStr">
        <is>
          <t>Equity value at exit</t>
        </is>
      </c>
      <c r="D28" s="42">
        <f>D26-D27</f>
      </c>
      <c r="E28" s="42">
        <f>E26-E27</f>
      </c>
      <c r="F28" s="42">
        <f>F26-F27</f>
      </c>
    </row>
    <row r="29">
      <c r="B29" s="4" t="inlineStr">
        <is>
          <t>Sponsor equity invested (entry)</t>
        </is>
      </c>
      <c r="D29" s="38">
        <f>'Sources-Uses'!$D$12</f>
      </c>
      <c r="E29" s="38">
        <f>'Sources-Uses'!$D$12</f>
      </c>
      <c r="F29" s="38">
        <f>'Sources-Uses'!$D$12</f>
      </c>
    </row>
    <row r="30">
      <c r="B30" s="16" t="inlineStr">
        <is>
          <t>MOIC</t>
        </is>
      </c>
      <c r="D30" s="45">
        <f>IFERROR(D28/D29,"n.m.")</f>
      </c>
      <c r="E30" s="45">
        <f>IFERROR(E28/E29,"n.m.")</f>
      </c>
      <c r="F30" s="45">
        <f>IFERROR(F28/F29,"n.m.")</f>
      </c>
    </row>
    <row r="31">
      <c r="B31" s="16" t="inlineStr">
        <is>
          <t>IRR (closed-form, single flow)</t>
        </is>
      </c>
      <c r="D31" s="51">
        <f>IFERROR((D30)^(1/3)-1,"n.m.")</f>
      </c>
      <c r="E31" s="51">
        <f>IFERROR((E30)^(1/5)-1,"n.m.")</f>
      </c>
      <c r="F31" s="51">
        <f>IFERROR((F30)^(1/7)-1,"n.m.")</f>
      </c>
    </row>
    <row r="32"/>
    <row r="33">
      <c r="B33" s="6" t="inlineStr">
        <is>
          <t>Scenario 2: Actual Path - Exit Analysis</t>
        </is>
      </c>
      <c r="C33" s="6" t="n"/>
      <c r="D33" s="6" t="n"/>
      <c r="E33" s="6" t="n"/>
      <c r="F33" s="6" t="n"/>
      <c r="G33" s="6" t="n"/>
      <c r="H33" s="6" t="n"/>
      <c r="I33" s="6" t="n"/>
    </row>
    <row r="34">
      <c r="B34" s="6" t="inlineStr">
        <is>
          <t>Exit year</t>
        </is>
      </c>
      <c r="D34" s="28" t="inlineStr">
        <is>
          <t>Year 3</t>
        </is>
      </c>
      <c r="E34" s="28" t="inlineStr">
        <is>
          <t>Year 5</t>
        </is>
      </c>
      <c r="F34" s="28" t="inlineStr">
        <is>
          <t>Year 7</t>
        </is>
      </c>
    </row>
    <row r="35">
      <c r="B35" s="4" t="inlineStr">
        <is>
          <t>Exit EBITDA</t>
        </is>
      </c>
      <c r="D35" s="38">
        <f>Support!G25</f>
      </c>
      <c r="E35" s="38">
        <f>Support!I25</f>
      </c>
      <c r="F35" s="38">
        <f>Support!K25</f>
      </c>
    </row>
    <row r="36">
      <c r="B36" s="4" t="inlineStr">
        <is>
          <t>Exit EV / EBITDA multiple</t>
        </is>
      </c>
      <c r="D36" s="37">
        <f>'Assumptions'!$D$67</f>
      </c>
      <c r="E36" s="37">
        <f>'Assumptions'!$D$67</f>
      </c>
      <c r="F36" s="37">
        <f>'Assumptions'!$D$67</f>
      </c>
    </row>
    <row r="37">
      <c r="B37" s="16" t="inlineStr">
        <is>
          <t>Exit enterprise value</t>
        </is>
      </c>
      <c r="D37" s="42">
        <f>D35*D36</f>
      </c>
      <c r="E37" s="42">
        <f>E35*E36</f>
      </c>
      <c r="F37" s="42">
        <f>F35*F36</f>
      </c>
    </row>
    <row r="38">
      <c r="B38" s="4" t="inlineStr">
        <is>
          <t>Less: net debt at exit</t>
        </is>
      </c>
      <c r="D38" s="38">
        <f>Support!G32</f>
      </c>
      <c r="E38" s="38">
        <f>Support!I32</f>
      </c>
      <c r="F38" s="38">
        <f>Support!K32</f>
      </c>
    </row>
    <row r="39">
      <c r="B39" s="16" t="inlineStr">
        <is>
          <t>Equity value at exit</t>
        </is>
      </c>
      <c r="D39" s="42">
        <f>D37-D38</f>
      </c>
      <c r="E39" s="42">
        <f>E37-E38</f>
      </c>
      <c r="F39" s="42">
        <f>F37-F38</f>
      </c>
    </row>
    <row r="40">
      <c r="B40" s="4" t="inlineStr">
        <is>
          <t>Sponsor equity invested (entry)</t>
        </is>
      </c>
      <c r="D40" s="38">
        <f>'Sources-Uses'!$D$12</f>
      </c>
      <c r="E40" s="38">
        <f>'Sources-Uses'!$D$12</f>
      </c>
      <c r="F40" s="38">
        <f>'Sources-Uses'!$D$12</f>
      </c>
    </row>
    <row r="41">
      <c r="B41" s="16" t="inlineStr">
        <is>
          <t>MOIC</t>
        </is>
      </c>
      <c r="D41" s="45">
        <f>IFERROR(D39/D40,"n.m.")</f>
      </c>
      <c r="E41" s="45">
        <f>IFERROR(E39/E40,"n.m.")</f>
      </c>
      <c r="F41" s="45">
        <f>IFERROR(F39/F40,"n.m.")</f>
      </c>
    </row>
    <row r="42">
      <c r="B42" s="16" t="inlineStr">
        <is>
          <t>IRR (closed-form, single flow)</t>
        </is>
      </c>
      <c r="D42" s="51">
        <f>IFERROR((D41)^(1/3)-1,"n.m.")</f>
      </c>
      <c r="E42" s="51">
        <f>IFERROR((E41)^(1/5)-1,"n.m.")</f>
      </c>
      <c r="F42" s="51">
        <f>IFERROR((F41)^(1/7)-1,"n.m.")</f>
      </c>
    </row>
    <row r="43"/>
    <row r="44">
      <c r="B44" s="16" t="inlineStr">
        <is>
          <t>Cross-check: Scenario 2, Year 5 IRR via IRR() over dated flow vector</t>
        </is>
      </c>
    </row>
    <row r="45">
      <c r="B45" s="4" t="inlineStr">
        <is>
          <t xml:space="preserve">  Year 0 (outflow)</t>
        </is>
      </c>
      <c r="D45" s="38">
        <f>-'Sources-Uses'!$D$12</f>
      </c>
      <c r="E45" s="52" t="n">
        <v>0</v>
      </c>
      <c r="F45" s="52" t="n">
        <v>0</v>
      </c>
      <c r="G45" s="52" t="n">
        <v>0</v>
      </c>
      <c r="H45" s="52" t="n">
        <v>0</v>
      </c>
      <c r="I45" s="38">
        <f>Support!I25*'Assumptions'!$D$67-Support!I32</f>
      </c>
    </row>
    <row r="46">
      <c r="B46" s="4" t="inlineStr">
        <is>
          <t xml:space="preserve">  IRR() cross-check</t>
        </is>
      </c>
      <c r="D46" s="47">
        <f>IRR(D45:I45)</f>
      </c>
      <c r="F46" s="4" t="inlineStr">
        <is>
          <t>vs. closed-form:</t>
        </is>
      </c>
      <c r="G46" s="47">
        <f>E42</f>
      </c>
    </row>
    <row r="47"/>
    <row r="48">
      <c r="B48" s="6" t="inlineStr">
        <is>
          <t>Sensitivity Grid A &amp; B: Entry Multiple x Exit Multiple -&gt; Year-5 MOIC / IRR (Scenario 2)</t>
        </is>
      </c>
      <c r="C48" s="6" t="n"/>
      <c r="D48" s="6" t="n"/>
      <c r="E48" s="6" t="n"/>
      <c r="F48" s="6" t="n"/>
      <c r="G48" s="6" t="n"/>
      <c r="H48" s="6" t="n"/>
      <c r="I48" s="6" t="n"/>
    </row>
    <row r="49" ht="28" customHeight="1">
      <c r="B49" s="2" t="inlineStr">
        <is>
          <t>Debt is sized in fixed dollar tranches; flexing the entry multiple flexes sponsor equity only. Equity(entry) = EntryMult x FY2021 EBITDA - Total New Debt + Fees funded by equity. Equity(exit) = ExitMult x Year-5 EBITDA - Year-5 net debt (fixed, debt $ amounts don't change with entry multiple).</t>
        </is>
      </c>
    </row>
    <row r="50">
      <c r="B50" s="6" t="inlineStr">
        <is>
          <t>Grid A: Year-5 MOIC</t>
        </is>
      </c>
      <c r="C50" s="6" t="n"/>
      <c r="D50" s="6" t="n"/>
      <c r="E50" s="6" t="n"/>
      <c r="F50" s="6" t="n"/>
      <c r="G50" s="6" t="n"/>
      <c r="H50" s="6" t="n"/>
    </row>
    <row r="51">
      <c r="B51" s="6" t="inlineStr">
        <is>
          <t>Entry \ Exit EV/EBITDA</t>
        </is>
      </c>
      <c r="D51" s="53" t="n">
        <v>11.5</v>
      </c>
      <c r="E51" s="53" t="n">
        <v>13.5</v>
      </c>
      <c r="F51" s="53" t="n">
        <v>15.5</v>
      </c>
      <c r="G51" s="53" t="n">
        <v>17.5</v>
      </c>
      <c r="H51" s="53" t="n">
        <v>19.5</v>
      </c>
    </row>
    <row r="52">
      <c r="B52" s="53">
        <f>'Assumptions'!$D$23+(-30.0)</f>
      </c>
      <c r="C52" s="38">
        <f>B52*'Assumptions'!$D$21-'Sources-Uses'!$D$10+'Sources-Uses'!$H$8+'Sources-Uses'!$H$9</f>
      </c>
      <c r="D52" s="37">
        <f>IFERROR((D$51*Support!I25-Support!I32)/$C52,"n.m.")</f>
      </c>
      <c r="E52" s="37">
        <f>IFERROR((E$51*Support!I25-Support!I32)/$C52,"n.m.")</f>
      </c>
      <c r="F52" s="37">
        <f>IFERROR((F$51*Support!I25-Support!I32)/$C52,"n.m.")</f>
      </c>
      <c r="G52" s="37">
        <f>IFERROR((G$51*Support!I25-Support!I32)/$C52,"n.m.")</f>
      </c>
      <c r="H52" s="37">
        <f>IFERROR((H$51*Support!I25-Support!I32)/$C52,"n.m.")</f>
      </c>
    </row>
    <row r="53">
      <c r="B53" s="53">
        <f>'Assumptions'!$D$23+(-20.0)</f>
      </c>
      <c r="C53" s="38">
        <f>B53*'Assumptions'!$D$21-'Sources-Uses'!$D$10+'Sources-Uses'!$H$8+'Sources-Uses'!$H$9</f>
      </c>
      <c r="D53" s="37">
        <f>IFERROR((D$51*Support!I25-Support!I32)/$C53,"n.m.")</f>
      </c>
      <c r="E53" s="37">
        <f>IFERROR((E$51*Support!I25-Support!I32)/$C53,"n.m.")</f>
      </c>
      <c r="F53" s="37">
        <f>IFERROR((F$51*Support!I25-Support!I32)/$C53,"n.m.")</f>
      </c>
      <c r="G53" s="37">
        <f>IFERROR((G$51*Support!I25-Support!I32)/$C53,"n.m.")</f>
      </c>
      <c r="H53" s="37">
        <f>IFERROR((H$51*Support!I25-Support!I32)/$C53,"n.m.")</f>
      </c>
    </row>
    <row r="54">
      <c r="B54" s="53">
        <f>'Assumptions'!$D$23+(-10.0)</f>
      </c>
      <c r="C54" s="38">
        <f>B54*'Assumptions'!$D$21-'Sources-Uses'!$D$10+'Sources-Uses'!$H$8+'Sources-Uses'!$H$9</f>
      </c>
      <c r="D54" s="37">
        <f>IFERROR((D$51*Support!I25-Support!I32)/$C54,"n.m.")</f>
      </c>
      <c r="E54" s="37">
        <f>IFERROR((E$51*Support!I25-Support!I32)/$C54,"n.m.")</f>
      </c>
      <c r="F54" s="37">
        <f>IFERROR((F$51*Support!I25-Support!I32)/$C54,"n.m.")</f>
      </c>
      <c r="G54" s="37">
        <f>IFERROR((G$51*Support!I25-Support!I32)/$C54,"n.m.")</f>
      </c>
      <c r="H54" s="37">
        <f>IFERROR((H$51*Support!I25-Support!I32)/$C54,"n.m.")</f>
      </c>
    </row>
    <row r="55">
      <c r="B55" s="53">
        <f>'Assumptions'!$D$23+(+0.0)</f>
      </c>
      <c r="C55" s="38">
        <f>B55*'Assumptions'!$D$21-'Sources-Uses'!$D$10+'Sources-Uses'!$H$8+'Sources-Uses'!$H$9</f>
      </c>
      <c r="D55" s="37">
        <f>IFERROR((D$51*Support!I25-Support!I32)/$C55,"n.m.")</f>
      </c>
      <c r="E55" s="37">
        <f>IFERROR((E$51*Support!I25-Support!I32)/$C55,"n.m.")</f>
      </c>
      <c r="F55" s="37">
        <f>IFERROR((F$51*Support!I25-Support!I32)/$C55,"n.m.")</f>
      </c>
      <c r="G55" s="37">
        <f>IFERROR((G$51*Support!I25-Support!I32)/$C55,"n.m.")</f>
      </c>
      <c r="H55" s="37">
        <f>IFERROR((H$51*Support!I25-Support!I32)/$C55,"n.m.")</f>
      </c>
    </row>
    <row r="56">
      <c r="B56" s="53">
        <f>'Assumptions'!$D$23+(+10.0)</f>
      </c>
      <c r="C56" s="38">
        <f>B56*'Assumptions'!$D$21-'Sources-Uses'!$D$10+'Sources-Uses'!$H$8+'Sources-Uses'!$H$9</f>
      </c>
      <c r="D56" s="37">
        <f>IFERROR((D$51*Support!I25-Support!I32)/$C56,"n.m.")</f>
      </c>
      <c r="E56" s="37">
        <f>IFERROR((E$51*Support!I25-Support!I32)/$C56,"n.m.")</f>
      </c>
      <c r="F56" s="37">
        <f>IFERROR((F$51*Support!I25-Support!I32)/$C56,"n.m.")</f>
      </c>
      <c r="G56" s="37">
        <f>IFERROR((G$51*Support!I25-Support!I32)/$C56,"n.m.")</f>
      </c>
      <c r="H56" s="37">
        <f>IFERROR((H$51*Support!I25-Support!I32)/$C56,"n.m.")</f>
      </c>
    </row>
    <row r="57">
      <c r="B57" s="53">
        <f>'Assumptions'!$D$23+(+20.0)</f>
      </c>
      <c r="C57" s="38">
        <f>B57*'Assumptions'!$D$21-'Sources-Uses'!$D$10+'Sources-Uses'!$H$8+'Sources-Uses'!$H$9</f>
      </c>
      <c r="D57" s="37">
        <f>IFERROR((D$51*Support!I25-Support!I32)/$C57,"n.m.")</f>
      </c>
      <c r="E57" s="37">
        <f>IFERROR((E$51*Support!I25-Support!I32)/$C57,"n.m.")</f>
      </c>
      <c r="F57" s="37">
        <f>IFERROR((F$51*Support!I25-Support!I32)/$C57,"n.m.")</f>
      </c>
      <c r="G57" s="37">
        <f>IFERROR((G$51*Support!I25-Support!I32)/$C57,"n.m.")</f>
      </c>
      <c r="H57" s="37">
        <f>IFERROR((H$51*Support!I25-Support!I32)/$C57,"n.m.")</f>
      </c>
    </row>
    <row r="58">
      <c r="B58" s="53">
        <f>'Assumptions'!$D$23+(+30.0)</f>
      </c>
      <c r="C58" s="38">
        <f>B58*'Assumptions'!$D$21-'Sources-Uses'!$D$10+'Sources-Uses'!$H$8+'Sources-Uses'!$H$9</f>
      </c>
      <c r="D58" s="37">
        <f>IFERROR((D$51*Support!I25-Support!I32)/$C58,"n.m.")</f>
      </c>
      <c r="E58" s="37">
        <f>IFERROR((E$51*Support!I25-Support!I32)/$C58,"n.m.")</f>
      </c>
      <c r="F58" s="37">
        <f>IFERROR((F$51*Support!I25-Support!I32)/$C58,"n.m.")</f>
      </c>
      <c r="G58" s="37">
        <f>IFERROR((G$51*Support!I25-Support!I32)/$C58,"n.m.")</f>
      </c>
      <c r="H58" s="37">
        <f>IFERROR((H$51*Support!I25-Support!I32)/$C58,"n.m.")</f>
      </c>
    </row>
    <row r="59"/>
    <row r="60">
      <c r="B60" s="6" t="inlineStr">
        <is>
          <t>Grid B: Year-5 IRR</t>
        </is>
      </c>
      <c r="C60" s="6" t="n"/>
      <c r="D60" s="6" t="n"/>
      <c r="E60" s="6" t="n"/>
      <c r="F60" s="6" t="n"/>
      <c r="G60" s="6" t="n"/>
      <c r="H60" s="6" t="n"/>
    </row>
    <row r="61">
      <c r="B61" s="6" t="inlineStr">
        <is>
          <t>Entry \ Exit EV/EBITDA</t>
        </is>
      </c>
      <c r="D61" s="53" t="n">
        <v>11.5</v>
      </c>
      <c r="E61" s="53" t="n">
        <v>13.5</v>
      </c>
      <c r="F61" s="53" t="n">
        <v>15.5</v>
      </c>
      <c r="G61" s="53" t="n">
        <v>17.5</v>
      </c>
      <c r="H61" s="53" t="n">
        <v>19.5</v>
      </c>
    </row>
    <row r="62">
      <c r="B62" s="53">
        <f>'Assumptions'!$D$23+(-30.0)</f>
      </c>
      <c r="C62" s="38">
        <f>B62*'Assumptions'!$D$21-'Sources-Uses'!$D$10+'Sources-Uses'!$H$8+'Sources-Uses'!$H$9</f>
      </c>
      <c r="D62" s="39">
        <f>IFERROR(((D$61*Support!I25-Support!I32)/$C62)^(1/5)-1,"n.m.")</f>
      </c>
      <c r="E62" s="39">
        <f>IFERROR(((E$61*Support!I25-Support!I32)/$C62)^(1/5)-1,"n.m.")</f>
      </c>
      <c r="F62" s="39">
        <f>IFERROR(((F$61*Support!I25-Support!I32)/$C62)^(1/5)-1,"n.m.")</f>
      </c>
      <c r="G62" s="39">
        <f>IFERROR(((G$61*Support!I25-Support!I32)/$C62)^(1/5)-1,"n.m.")</f>
      </c>
      <c r="H62" s="39">
        <f>IFERROR(((H$61*Support!I25-Support!I32)/$C62)^(1/5)-1,"n.m.")</f>
      </c>
    </row>
    <row r="63">
      <c r="B63" s="53">
        <f>'Assumptions'!$D$23+(-20.0)</f>
      </c>
      <c r="C63" s="38">
        <f>B63*'Assumptions'!$D$21-'Sources-Uses'!$D$10+'Sources-Uses'!$H$8+'Sources-Uses'!$H$9</f>
      </c>
      <c r="D63" s="39">
        <f>IFERROR(((D$61*Support!I25-Support!I32)/$C63)^(1/5)-1,"n.m.")</f>
      </c>
      <c r="E63" s="39">
        <f>IFERROR(((E$61*Support!I25-Support!I32)/$C63)^(1/5)-1,"n.m.")</f>
      </c>
      <c r="F63" s="39">
        <f>IFERROR(((F$61*Support!I25-Support!I32)/$C63)^(1/5)-1,"n.m.")</f>
      </c>
      <c r="G63" s="39">
        <f>IFERROR(((G$61*Support!I25-Support!I32)/$C63)^(1/5)-1,"n.m.")</f>
      </c>
      <c r="H63" s="39">
        <f>IFERROR(((H$61*Support!I25-Support!I32)/$C63)^(1/5)-1,"n.m.")</f>
      </c>
    </row>
    <row r="64">
      <c r="B64" s="53">
        <f>'Assumptions'!$D$23+(-10.0)</f>
      </c>
      <c r="C64" s="38">
        <f>B64*'Assumptions'!$D$21-'Sources-Uses'!$D$10+'Sources-Uses'!$H$8+'Sources-Uses'!$H$9</f>
      </c>
      <c r="D64" s="39">
        <f>IFERROR(((D$61*Support!I25-Support!I32)/$C64)^(1/5)-1,"n.m.")</f>
      </c>
      <c r="E64" s="39">
        <f>IFERROR(((E$61*Support!I25-Support!I32)/$C64)^(1/5)-1,"n.m.")</f>
      </c>
      <c r="F64" s="39">
        <f>IFERROR(((F$61*Support!I25-Support!I32)/$C64)^(1/5)-1,"n.m.")</f>
      </c>
      <c r="G64" s="39">
        <f>IFERROR(((G$61*Support!I25-Support!I32)/$C64)^(1/5)-1,"n.m.")</f>
      </c>
      <c r="H64" s="39">
        <f>IFERROR(((H$61*Support!I25-Support!I32)/$C64)^(1/5)-1,"n.m.")</f>
      </c>
    </row>
    <row r="65">
      <c r="B65" s="53">
        <f>'Assumptions'!$D$23+(+0.0)</f>
      </c>
      <c r="C65" s="38">
        <f>B65*'Assumptions'!$D$21-'Sources-Uses'!$D$10+'Sources-Uses'!$H$8+'Sources-Uses'!$H$9</f>
      </c>
      <c r="D65" s="39">
        <f>IFERROR(((D$61*Support!I25-Support!I32)/$C65)^(1/5)-1,"n.m.")</f>
      </c>
      <c r="E65" s="39">
        <f>IFERROR(((E$61*Support!I25-Support!I32)/$C65)^(1/5)-1,"n.m.")</f>
      </c>
      <c r="F65" s="39">
        <f>IFERROR(((F$61*Support!I25-Support!I32)/$C65)^(1/5)-1,"n.m.")</f>
      </c>
      <c r="G65" s="39">
        <f>IFERROR(((G$61*Support!I25-Support!I32)/$C65)^(1/5)-1,"n.m.")</f>
      </c>
      <c r="H65" s="39">
        <f>IFERROR(((H$61*Support!I25-Support!I32)/$C65)^(1/5)-1,"n.m.")</f>
      </c>
    </row>
    <row r="66">
      <c r="B66" s="53">
        <f>'Assumptions'!$D$23+(+10.0)</f>
      </c>
      <c r="C66" s="38">
        <f>B66*'Assumptions'!$D$21-'Sources-Uses'!$D$10+'Sources-Uses'!$H$8+'Sources-Uses'!$H$9</f>
      </c>
      <c r="D66" s="39">
        <f>IFERROR(((D$61*Support!I25-Support!I32)/$C66)^(1/5)-1,"n.m.")</f>
      </c>
      <c r="E66" s="39">
        <f>IFERROR(((E$61*Support!I25-Support!I32)/$C66)^(1/5)-1,"n.m.")</f>
      </c>
      <c r="F66" s="39">
        <f>IFERROR(((F$61*Support!I25-Support!I32)/$C66)^(1/5)-1,"n.m.")</f>
      </c>
      <c r="G66" s="39">
        <f>IFERROR(((G$61*Support!I25-Support!I32)/$C66)^(1/5)-1,"n.m.")</f>
      </c>
      <c r="H66" s="39">
        <f>IFERROR(((H$61*Support!I25-Support!I32)/$C66)^(1/5)-1,"n.m.")</f>
      </c>
    </row>
    <row r="67">
      <c r="B67" s="53">
        <f>'Assumptions'!$D$23+(+20.0)</f>
      </c>
      <c r="C67" s="38">
        <f>B67*'Assumptions'!$D$21-'Sources-Uses'!$D$10+'Sources-Uses'!$H$8+'Sources-Uses'!$H$9</f>
      </c>
      <c r="D67" s="39">
        <f>IFERROR(((D$61*Support!I25-Support!I32)/$C67)^(1/5)-1,"n.m.")</f>
      </c>
      <c r="E67" s="39">
        <f>IFERROR(((E$61*Support!I25-Support!I32)/$C67)^(1/5)-1,"n.m.")</f>
      </c>
      <c r="F67" s="39">
        <f>IFERROR(((F$61*Support!I25-Support!I32)/$C67)^(1/5)-1,"n.m.")</f>
      </c>
      <c r="G67" s="39">
        <f>IFERROR(((G$61*Support!I25-Support!I32)/$C67)^(1/5)-1,"n.m.")</f>
      </c>
      <c r="H67" s="39">
        <f>IFERROR(((H$61*Support!I25-Support!I32)/$C67)^(1/5)-1,"n.m.")</f>
      </c>
    </row>
    <row r="68">
      <c r="B68" s="53">
        <f>'Assumptions'!$D$23+(+30.0)</f>
      </c>
      <c r="C68" s="38">
        <f>B68*'Assumptions'!$D$21-'Sources-Uses'!$D$10+'Sources-Uses'!$H$8+'Sources-Uses'!$H$9</f>
      </c>
      <c r="D68" s="39">
        <f>IFERROR(((D$61*Support!I25-Support!I32)/$C68)^(1/5)-1,"n.m.")</f>
      </c>
      <c r="E68" s="39">
        <f>IFERROR(((E$61*Support!I25-Support!I32)/$C68)^(1/5)-1,"n.m.")</f>
      </c>
      <c r="F68" s="39">
        <f>IFERROR(((F$61*Support!I25-Support!I32)/$C68)^(1/5)-1,"n.m.")</f>
      </c>
      <c r="G68" s="39">
        <f>IFERROR(((G$61*Support!I25-Support!I32)/$C68)^(1/5)-1,"n.m.")</f>
      </c>
      <c r="H68" s="39">
        <f>IFERROR(((H$61*Support!I25-Support!I32)/$C68)^(1/5)-1,"n.m.")</f>
      </c>
    </row>
    <row r="69"/>
    <row r="70">
      <c r="B70" s="4" t="inlineStr">
        <is>
          <t>Check: Grid B center vs. Scenario 2 Year-5 IRR (must be ~0, small diff = entry multiple base rounding)</t>
        </is>
      </c>
      <c r="D70" s="47">
        <f>ROUND(F65-E42,3)</f>
      </c>
    </row>
    <row r="71"/>
    <row r="72"/>
    <row r="73">
      <c r="B73" s="6" t="inlineStr">
        <is>
          <t>Grid C: Entry Leverage (turns) x Exit Multiple -&gt; Year-5 IRR (Scenario 2, Support mini debt models)</t>
        </is>
      </c>
      <c r="C73" s="6" t="n"/>
      <c r="D73" s="6" t="n"/>
      <c r="E73" s="6" t="n"/>
      <c r="F73" s="6" t="n"/>
      <c r="G73" s="6" t="n"/>
      <c r="H73" s="6" t="n"/>
    </row>
    <row r="74">
      <c r="B74" s="6" t="inlineStr">
        <is>
          <t>Leverage \ Exit EV/EBITDA</t>
        </is>
      </c>
      <c r="D74" s="53" t="n">
        <v>11.5</v>
      </c>
      <c r="E74" s="53" t="n">
        <v>13.5</v>
      </c>
      <c r="F74" s="53" t="n">
        <v>15.5</v>
      </c>
      <c r="G74" s="53" t="n">
        <v>17.5</v>
      </c>
      <c r="H74" s="53" t="n">
        <v>19.5</v>
      </c>
    </row>
    <row r="75">
      <c r="B75" s="53" t="n">
        <v>4</v>
      </c>
      <c r="C75" s="38">
        <f>'Assumptions'!$D$15-B75*'Assumptions'!$D$21+'Sources-Uses'!$H$8+'Sources-Uses'!$H$9</f>
      </c>
      <c r="D75" s="39">
        <f>IFERROR(((D$74*Support!I25-Support!I43)/$C75)^(1/5)-1,"n.m.")</f>
      </c>
      <c r="E75" s="39">
        <f>IFERROR(((E$74*Support!I25-Support!I43)/$C75)^(1/5)-1,"n.m.")</f>
      </c>
      <c r="F75" s="39">
        <f>IFERROR(((F$74*Support!I25-Support!I43)/$C75)^(1/5)-1,"n.m.")</f>
      </c>
      <c r="G75" s="39">
        <f>IFERROR(((G$74*Support!I25-Support!I43)/$C75)^(1/5)-1,"n.m.")</f>
      </c>
      <c r="H75" s="39">
        <f>IFERROR(((H$74*Support!I25-Support!I43)/$C75)^(1/5)-1,"n.m.")</f>
      </c>
    </row>
    <row r="76">
      <c r="B76" s="53" t="n">
        <v>6</v>
      </c>
      <c r="C76" s="38">
        <f>'Assumptions'!$D$15-B76*'Assumptions'!$D$21+'Sources-Uses'!$H$8+'Sources-Uses'!$H$9</f>
      </c>
      <c r="D76" s="39">
        <f>IFERROR(((D$74*Support!I25-Support!I49)/$C76)^(1/5)-1,"n.m.")</f>
      </c>
      <c r="E76" s="39">
        <f>IFERROR(((E$74*Support!I25-Support!I49)/$C76)^(1/5)-1,"n.m.")</f>
      </c>
      <c r="F76" s="39">
        <f>IFERROR(((F$74*Support!I25-Support!I49)/$C76)^(1/5)-1,"n.m.")</f>
      </c>
      <c r="G76" s="39">
        <f>IFERROR(((G$74*Support!I25-Support!I49)/$C76)^(1/5)-1,"n.m.")</f>
      </c>
      <c r="H76" s="39">
        <f>IFERROR(((H$74*Support!I25-Support!I49)/$C76)^(1/5)-1,"n.m.")</f>
      </c>
    </row>
    <row r="77">
      <c r="B77" s="53" t="n">
        <v>8</v>
      </c>
      <c r="C77" s="38">
        <f>'Assumptions'!$D$15-B77*'Assumptions'!$D$21+'Sources-Uses'!$H$8+'Sources-Uses'!$H$9</f>
      </c>
      <c r="D77" s="39">
        <f>IFERROR(((D$74*Support!I25-Support!I55)/$C77)^(1/5)-1,"n.m.")</f>
      </c>
      <c r="E77" s="39">
        <f>IFERROR(((E$74*Support!I25-Support!I55)/$C77)^(1/5)-1,"n.m.")</f>
      </c>
      <c r="F77" s="39">
        <f>IFERROR(((F$74*Support!I25-Support!I55)/$C77)^(1/5)-1,"n.m.")</f>
      </c>
      <c r="G77" s="39">
        <f>IFERROR(((G$74*Support!I25-Support!I55)/$C77)^(1/5)-1,"n.m.")</f>
      </c>
      <c r="H77" s="39">
        <f>IFERROR(((H$74*Support!I25-Support!I55)/$C77)^(1/5)-1,"n.m.")</f>
      </c>
    </row>
    <row r="78">
      <c r="B78" s="53" t="n">
        <v>10</v>
      </c>
      <c r="C78" s="38">
        <f>'Assumptions'!$D$15-B78*'Assumptions'!$D$21+'Sources-Uses'!$H$8+'Sources-Uses'!$H$9</f>
      </c>
      <c r="D78" s="39">
        <f>IFERROR(((D$74*Support!I25-Support!I61)/$C78)^(1/5)-1,"n.m.")</f>
      </c>
      <c r="E78" s="39">
        <f>IFERROR(((E$74*Support!I25-Support!I61)/$C78)^(1/5)-1,"n.m.")</f>
      </c>
      <c r="F78" s="39">
        <f>IFERROR(((F$74*Support!I25-Support!I61)/$C78)^(1/5)-1,"n.m.")</f>
      </c>
      <c r="G78" s="39">
        <f>IFERROR(((G$74*Support!I25-Support!I61)/$C78)^(1/5)-1,"n.m.")</f>
      </c>
      <c r="H78" s="39">
        <f>IFERROR(((H$74*Support!I25-Support!I61)/$C78)^(1/5)-1,"n.m.")</f>
      </c>
    </row>
    <row r="79">
      <c r="B79" s="53" t="n">
        <v>12</v>
      </c>
      <c r="C79" s="38">
        <f>'Assumptions'!$D$15-B79*'Assumptions'!$D$21+'Sources-Uses'!$H$8+'Sources-Uses'!$H$9</f>
      </c>
      <c r="D79" s="39">
        <f>IFERROR(((D$74*Support!I25-Support!I67)/$C79)^(1/5)-1,"n.m.")</f>
      </c>
      <c r="E79" s="39">
        <f>IFERROR(((E$74*Support!I25-Support!I67)/$C79)^(1/5)-1,"n.m.")</f>
      </c>
      <c r="F79" s="39">
        <f>IFERROR(((F$74*Support!I25-Support!I67)/$C79)^(1/5)-1,"n.m.")</f>
      </c>
      <c r="G79" s="39">
        <f>IFERROR(((G$74*Support!I25-Support!I67)/$C79)^(1/5)-1,"n.m.")</f>
      </c>
      <c r="H79" s="39">
        <f>IFERROR(((H$74*Support!I25-Support!I67)/$C79)^(1/5)-1,"n.m.")</f>
      </c>
    </row>
    <row r="80"/>
    <row r="81"/>
    <row r="82" ht="40" customHeight="1">
      <c r="B82" s="13" t="inlineStr">
        <is>
          <t>Grid C's leverage rows show that even at conservative 4.0x-6.0x entry leverage (vs. the actual ~19x turns on FY2021 EBITDA), Scenario 2's revenue collapse and near-breakeven early EBITDA still produce weak or negative IRRs at low exit multiples -- the deal's problem was the entry price relative to sustainable EBITDA, not leverage alone.</t>
        </is>
      </c>
    </row>
    <row r="83"/>
    <row r="84"/>
    <row r="85">
      <c r="B85" s="6" t="inlineStr">
        <is>
          <t>Actual Outcome vs. Model (March 2025 xAI/X Merger Reference)</t>
        </is>
      </c>
      <c r="C85" s="6" t="n"/>
      <c r="D85" s="6" t="n"/>
      <c r="E85" s="6" t="n"/>
      <c r="F85" s="6" t="n"/>
      <c r="G85" s="6" t="n"/>
      <c r="H85" s="6" t="n"/>
      <c r="I85" s="6" t="n"/>
    </row>
    <row r="86">
      <c r="B86" s="4" t="inlineStr">
        <is>
          <t>Entry sponsor equity invested (Oct 2022)</t>
        </is>
      </c>
      <c r="D86" s="38">
        <f>'Sources-Uses'!$D$12</f>
      </c>
    </row>
    <row r="87">
      <c r="B87" s="4" t="inlineStr">
        <is>
          <t>Modeled Scenario 2 (Actual Path) Year-3 (FY2025E) equity value at exit</t>
        </is>
      </c>
      <c r="D87" s="44">
        <f>D39</f>
      </c>
    </row>
    <row r="88">
      <c r="B88" s="4" t="inlineStr">
        <is>
          <t>Modeled BASE CASE (full DebtSchedule waterfall) Year-3 equity value at exit</t>
        </is>
      </c>
      <c r="D88" s="44">
        <f>D13</f>
      </c>
    </row>
    <row r="89">
      <c r="B89" s="4" t="inlineStr">
        <is>
          <t>Actual xAI/X merger reference equity value (Mar 2025)</t>
        </is>
      </c>
      <c r="D89" s="38">
        <f>'Assumptions'!$D$73</f>
      </c>
    </row>
    <row r="90">
      <c r="B90" s="4" t="inlineStr">
        <is>
          <t>Actual xAI/X merger reference enterprise value (Mar 2025)</t>
        </is>
      </c>
      <c r="D90" s="38">
        <f>'Assumptions'!$D$72</f>
      </c>
    </row>
    <row r="91">
      <c r="B91" s="4" t="inlineStr">
        <is>
          <t>Implied actual MOIC on entry equity (using xAI Mar-2025 equity mark)</t>
        </is>
      </c>
      <c r="D91" s="37">
        <f>'Assumptions'!$D$73/'Sources-Uses'!$D$12</f>
      </c>
    </row>
    <row r="92">
      <c r="B92" s="4" t="inlineStr">
        <is>
          <t>Implied actual IRR (2.42 yrs, Oct 2022 -&gt; Mar 2025)</t>
        </is>
      </c>
      <c r="D92" s="47">
        <f>IFERROR((D91)^(1/2.42)-1,"n.m.")</f>
      </c>
    </row>
    <row r="93"/>
    <row r="94" ht="40" customHeight="1">
      <c r="B94" s="13" t="inlineStr">
        <is>
          <t>Reading the grids: at the actual entry multiple (~67x EV/EBITDA) and actual exit multiple (~15.5x, back-solved to tie the xAI Year-3 reference), Scenario 2's Year-5 MOIC/IRR in Grids A/B sit well below 1.0x/0%, consistent with the xAI-merger mark of ~$33.0bn equity value versus the ~$36-38bn of total equity invested at signing.</t>
        </is>
      </c>
    </row>
    <row r="95" ht="40" customHeight="1">
      <c r="B95" s="13" t="inlineStr">
        <is>
          <t>The debt schedule (DebtSchedule tab) shows revolver draws firing in the early Actual-Path years, when interest on the $13.0bn package (~$1.15-1.5bn/yr at a ~9-10% blended rate) exceeds operating EBITDA -- coverage below 1.0x is the headline credit metric of this deal, not a modeling artifact.</t>
        </is>
      </c>
    </row>
    <row r="96" ht="40" customHeight="1">
      <c r="B96" s="13" t="inlineStr">
        <is>
          <t>By contrast, Scenario 1 (Deal-Vintage Plan) assumed the pre-close FY2021 revenue/EBITDA trajectory would hold and margins would expand with cost discipline; under that (never-realized) plan case, coverage recovers above 1.5x by Year 2 and MOIC/IRR are materially better than the actual outcome -- the gap between the two scenario blocks IS the pedagogical point of this model.</t>
        </is>
      </c>
    </row>
  </sheetData>
  <mergeCells count="7">
    <mergeCell ref="B96:I96"/>
    <mergeCell ref="B82:I82"/>
    <mergeCell ref="B20:I20"/>
    <mergeCell ref="B95:I95"/>
    <mergeCell ref="B5:I5"/>
    <mergeCell ref="B94:I94"/>
    <mergeCell ref="B49:I4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7"/>
  <sheetViews>
    <sheetView showGridLines="0"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row r="2">
      <c r="B2" s="1" t="inlineStr">
        <is>
          <t>Support - Scenario &amp; Leverage-Sensitivity Mini Debt Models</t>
        </is>
      </c>
    </row>
    <row r="3">
      <c r="B3" s="2" t="inlineStr">
        <is>
          <t>($ in millions; simplified single blended-rate debt models per Master Spec Sec.4.2)</t>
        </is>
      </c>
    </row>
    <row r="4"/>
    <row r="5"/>
    <row r="6">
      <c r="E6" s="28" t="inlineStr">
        <is>
          <t>FY2023E</t>
        </is>
      </c>
      <c r="F6" s="28" t="inlineStr">
        <is>
          <t>FY2024E</t>
        </is>
      </c>
      <c r="G6" s="28" t="inlineStr">
        <is>
          <t>FY2025E</t>
        </is>
      </c>
      <c r="H6" s="28" t="inlineStr">
        <is>
          <t>FY2026E</t>
        </is>
      </c>
      <c r="I6" s="28" t="inlineStr">
        <is>
          <t>FY2027E</t>
        </is>
      </c>
      <c r="J6" s="28" t="inlineStr">
        <is>
          <t>FY2028E</t>
        </is>
      </c>
      <c r="K6" s="28" t="inlineStr">
        <is>
          <t>FY2029E</t>
        </is>
      </c>
    </row>
    <row r="7"/>
    <row r="8">
      <c r="B8" s="6" t="inlineStr">
        <is>
          <t>Scenario Mini-Model: Scenario 1 -- Deal-Vintage Plan</t>
        </is>
      </c>
      <c r="C8" s="6" t="n"/>
      <c r="D8" s="6" t="n"/>
      <c r="E8" s="6" t="n"/>
      <c r="F8" s="6" t="n"/>
      <c r="G8" s="6" t="n"/>
      <c r="H8" s="6" t="n"/>
      <c r="I8" s="6" t="n"/>
      <c r="J8" s="6" t="n"/>
      <c r="K8" s="6" t="n"/>
    </row>
    <row r="9">
      <c r="B9" s="4" t="inlineStr">
        <is>
          <t>Revenue growth % YoY</t>
        </is>
      </c>
      <c r="E9" s="39">
        <f>Assumptions!E49</f>
      </c>
      <c r="F9" s="39">
        <f>Assumptions!F49</f>
      </c>
      <c r="G9" s="39">
        <f>Assumptions!G49</f>
      </c>
      <c r="H9" s="39">
        <f>Assumptions!H49</f>
      </c>
      <c r="I9" s="39">
        <f>Assumptions!I49</f>
      </c>
      <c r="J9" s="39">
        <f>Assumptions!J49</f>
      </c>
      <c r="K9" s="39">
        <f>Assumptions!K49</f>
      </c>
    </row>
    <row r="10">
      <c r="B10" s="16" t="inlineStr">
        <is>
          <t>Revenue</t>
        </is>
      </c>
      <c r="E10" s="38">
        <f>Model!D8*(1+E9)</f>
      </c>
      <c r="F10" s="44">
        <f>E10*(1+F9)</f>
      </c>
      <c r="G10" s="44">
        <f>F10*(1+G9)</f>
      </c>
      <c r="H10" s="44">
        <f>G10*(1+H9)</f>
      </c>
      <c r="I10" s="44">
        <f>H10*(1+I9)</f>
      </c>
      <c r="J10" s="44">
        <f>I10*(1+J9)</f>
      </c>
      <c r="K10" s="44">
        <f>J10*(1+K9)</f>
      </c>
    </row>
    <row r="11">
      <c r="B11" s="4" t="inlineStr">
        <is>
          <t>EBITDA margin %</t>
        </is>
      </c>
      <c r="E11" s="39">
        <f>Assumptions!E55</f>
      </c>
      <c r="F11" s="39">
        <f>Assumptions!F55</f>
      </c>
      <c r="G11" s="39">
        <f>Assumptions!G55</f>
      </c>
      <c r="H11" s="39">
        <f>Assumptions!H55</f>
      </c>
      <c r="I11" s="39">
        <f>Assumptions!I55</f>
      </c>
      <c r="J11" s="39">
        <f>Assumptions!J55</f>
      </c>
      <c r="K11" s="39">
        <f>Assumptions!K55</f>
      </c>
    </row>
    <row r="12">
      <c r="B12" s="16" t="inlineStr">
        <is>
          <t>EBITDA</t>
        </is>
      </c>
      <c r="E12" s="42">
        <f>E10*E11</f>
      </c>
      <c r="F12" s="42">
        <f>F10*F11</f>
      </c>
      <c r="G12" s="42">
        <f>G10*G11</f>
      </c>
      <c r="H12" s="42">
        <f>H10*H11</f>
      </c>
      <c r="I12" s="42">
        <f>I10*I11</f>
      </c>
      <c r="J12" s="42">
        <f>J10*J11</f>
      </c>
      <c r="K12" s="42">
        <f>K10*K11</f>
      </c>
    </row>
    <row r="13">
      <c r="B13" s="4" t="inlineStr">
        <is>
          <t>Less: capex</t>
        </is>
      </c>
      <c r="E13" s="38">
        <f>-E10*Assumptions!E61</f>
      </c>
      <c r="F13" s="38">
        <f>-F10*Assumptions!F61</f>
      </c>
      <c r="G13" s="38">
        <f>-G10*Assumptions!G61</f>
      </c>
      <c r="H13" s="38">
        <f>-H10*Assumptions!H61</f>
      </c>
      <c r="I13" s="38">
        <f>-I10*Assumptions!I61</f>
      </c>
      <c r="J13" s="38">
        <f>-J10*Assumptions!J61</f>
      </c>
      <c r="K13" s="38">
        <f>-K10*Assumptions!K61</f>
      </c>
    </row>
    <row r="14">
      <c r="B14" s="4" t="inlineStr">
        <is>
          <t>Less: cash taxes (NOL-adjusted, pre-interest approx.)</t>
        </is>
      </c>
      <c r="E14" s="38">
        <f>-MAX(E12+E13,0)*Assumptions!E63</f>
      </c>
      <c r="F14" s="38">
        <f>-MAX(F12+F13,0)*Assumptions!F63</f>
      </c>
      <c r="G14" s="38">
        <f>-MAX(G12+G13,0)*Assumptions!G63</f>
      </c>
      <c r="H14" s="38">
        <f>-MAX(H12+H13,0)*Assumptions!H63</f>
      </c>
      <c r="I14" s="38">
        <f>-MAX(I12+I13,0)*Assumptions!I63</f>
      </c>
      <c r="J14" s="38">
        <f>-MAX(J12+J13,0)*Assumptions!J63</f>
      </c>
      <c r="K14" s="38">
        <f>-MAX(K12+K13,0)*Assumptions!K63</f>
      </c>
    </row>
    <row r="15">
      <c r="B15" s="16" t="inlineStr">
        <is>
          <t>Pre-financing free cash flow</t>
        </is>
      </c>
      <c r="E15" s="42">
        <f>E12+E13+E14</f>
      </c>
      <c r="F15" s="42">
        <f>F12+F13+F14</f>
      </c>
      <c r="G15" s="42">
        <f>G12+G13+G14</f>
      </c>
      <c r="H15" s="42">
        <f>H12+H13+H14</f>
      </c>
      <c r="I15" s="42">
        <f>I12+I13+I14</f>
      </c>
      <c r="J15" s="42">
        <f>J12+J13+J14</f>
      </c>
      <c r="K15" s="42">
        <f>K12+K13+K14</f>
      </c>
    </row>
    <row r="16">
      <c r="B16" s="4" t="inlineStr">
        <is>
          <t>Total debt -- opening</t>
        </is>
      </c>
      <c r="E16" s="38">
        <f>'Assumptions'!$C$37</f>
      </c>
      <c r="F16" s="44">
        <f>E19</f>
      </c>
      <c r="G16" s="44">
        <f>F19</f>
      </c>
      <c r="H16" s="44">
        <f>G19</f>
      </c>
      <c r="I16" s="44">
        <f>H19</f>
      </c>
      <c r="J16" s="44">
        <f>I19</f>
      </c>
      <c r="K16" s="44">
        <f>J19</f>
      </c>
    </row>
    <row r="17">
      <c r="B17" s="4" t="inlineStr">
        <is>
          <t>Interest @ blended rate</t>
        </is>
      </c>
      <c r="E17" s="38">
        <f>E16*'Assumptions'!$C$38</f>
      </c>
      <c r="F17" s="38">
        <f>F16*'Assumptions'!$C$38</f>
      </c>
      <c r="G17" s="38">
        <f>G16*'Assumptions'!$C$38</f>
      </c>
      <c r="H17" s="38">
        <f>H16*'Assumptions'!$C$38</f>
      </c>
      <c r="I17" s="38">
        <f>I16*'Assumptions'!$C$38</f>
      </c>
      <c r="J17" s="38">
        <f>J16*'Assumptions'!$C$38</f>
      </c>
      <c r="K17" s="38">
        <f>K16*'Assumptions'!$C$38</f>
      </c>
    </row>
    <row r="18">
      <c r="B18" s="4" t="inlineStr">
        <is>
          <t>Paydown (sweep, capped at opening)</t>
        </is>
      </c>
      <c r="E18" s="44">
        <f>MIN(MAX(E15-E17,0),E16)</f>
      </c>
      <c r="F18" s="44">
        <f>MIN(MAX(F15-F17,0),F16)</f>
      </c>
      <c r="G18" s="44">
        <f>MIN(MAX(G15-G17,0),G16)</f>
      </c>
      <c r="H18" s="44">
        <f>MIN(MAX(H15-H17,0),H16)</f>
      </c>
      <c r="I18" s="44">
        <f>MIN(MAX(I15-I17,0),I16)</f>
      </c>
      <c r="J18" s="44">
        <f>MIN(MAX(J15-J17,0),J16)</f>
      </c>
      <c r="K18" s="44">
        <f>MIN(MAX(K15-K17,0),K16)</f>
      </c>
    </row>
    <row r="19">
      <c r="B19" s="16" t="inlineStr">
        <is>
          <t>Total debt -- closing</t>
        </is>
      </c>
      <c r="E19" s="42">
        <f>E16-E18</f>
      </c>
      <c r="F19" s="42">
        <f>F16-F18</f>
      </c>
      <c r="G19" s="42">
        <f>G16-G18</f>
      </c>
      <c r="H19" s="42">
        <f>H16-H18</f>
      </c>
      <c r="I19" s="42">
        <f>I16-I18</f>
      </c>
      <c r="J19" s="42">
        <f>J16-J18</f>
      </c>
      <c r="K19" s="42">
        <f>K16-K18</f>
      </c>
    </row>
    <row r="20"/>
    <row r="21">
      <c r="B21" s="6" t="inlineStr">
        <is>
          <t>Scenario Mini-Model: Scenario 2 -- Actual Path</t>
        </is>
      </c>
      <c r="C21" s="6" t="n"/>
      <c r="D21" s="6" t="n"/>
      <c r="E21" s="6" t="n"/>
      <c r="F21" s="6" t="n"/>
      <c r="G21" s="6" t="n"/>
      <c r="H21" s="6" t="n"/>
      <c r="I21" s="6" t="n"/>
      <c r="J21" s="6" t="n"/>
      <c r="K21" s="6" t="n"/>
    </row>
    <row r="22">
      <c r="B22" s="4" t="inlineStr">
        <is>
          <t>Revenue growth % YoY</t>
        </is>
      </c>
      <c r="E22" s="39">
        <f>Assumptions!E50</f>
      </c>
      <c r="F22" s="39">
        <f>Assumptions!F50</f>
      </c>
      <c r="G22" s="39">
        <f>Assumptions!G50</f>
      </c>
      <c r="H22" s="39">
        <f>Assumptions!H50</f>
      </c>
      <c r="I22" s="39">
        <f>Assumptions!I50</f>
      </c>
      <c r="J22" s="39">
        <f>Assumptions!J50</f>
      </c>
      <c r="K22" s="39">
        <f>Assumptions!K50</f>
      </c>
    </row>
    <row r="23">
      <c r="B23" s="16" t="inlineStr">
        <is>
          <t>Revenue</t>
        </is>
      </c>
      <c r="E23" s="38">
        <f>Model!D8*(1+E22)</f>
      </c>
      <c r="F23" s="44">
        <f>E23*(1+F22)</f>
      </c>
      <c r="G23" s="44">
        <f>F23*(1+G22)</f>
      </c>
      <c r="H23" s="44">
        <f>G23*(1+H22)</f>
      </c>
      <c r="I23" s="44">
        <f>H23*(1+I22)</f>
      </c>
      <c r="J23" s="44">
        <f>I23*(1+J22)</f>
      </c>
      <c r="K23" s="44">
        <f>J23*(1+K22)</f>
      </c>
    </row>
    <row r="24">
      <c r="B24" s="4" t="inlineStr">
        <is>
          <t>EBITDA margin %</t>
        </is>
      </c>
      <c r="E24" s="39">
        <f>Assumptions!E56</f>
      </c>
      <c r="F24" s="39">
        <f>Assumptions!F56</f>
      </c>
      <c r="G24" s="39">
        <f>Assumptions!G56</f>
      </c>
      <c r="H24" s="39">
        <f>Assumptions!H56</f>
      </c>
      <c r="I24" s="39">
        <f>Assumptions!I56</f>
      </c>
      <c r="J24" s="39">
        <f>Assumptions!J56</f>
      </c>
      <c r="K24" s="39">
        <f>Assumptions!K56</f>
      </c>
    </row>
    <row r="25">
      <c r="B25" s="16" t="inlineStr">
        <is>
          <t>EBITDA</t>
        </is>
      </c>
      <c r="E25" s="42">
        <f>E23*E24</f>
      </c>
      <c r="F25" s="42">
        <f>F23*F24</f>
      </c>
      <c r="G25" s="42">
        <f>G23*G24</f>
      </c>
      <c r="H25" s="42">
        <f>H23*H24</f>
      </c>
      <c r="I25" s="42">
        <f>I23*I24</f>
      </c>
      <c r="J25" s="42">
        <f>J23*J24</f>
      </c>
      <c r="K25" s="42">
        <f>K23*K24</f>
      </c>
    </row>
    <row r="26">
      <c r="B26" s="4" t="inlineStr">
        <is>
          <t>Less: capex</t>
        </is>
      </c>
      <c r="E26" s="38">
        <f>-E23*Assumptions!E61</f>
      </c>
      <c r="F26" s="38">
        <f>-F23*Assumptions!F61</f>
      </c>
      <c r="G26" s="38">
        <f>-G23*Assumptions!G61</f>
      </c>
      <c r="H26" s="38">
        <f>-H23*Assumptions!H61</f>
      </c>
      <c r="I26" s="38">
        <f>-I23*Assumptions!I61</f>
      </c>
      <c r="J26" s="38">
        <f>-J23*Assumptions!J61</f>
      </c>
      <c r="K26" s="38">
        <f>-K23*Assumptions!K61</f>
      </c>
    </row>
    <row r="27">
      <c r="B27" s="4" t="inlineStr">
        <is>
          <t>Less: cash taxes (NOL-adjusted, pre-interest approx.)</t>
        </is>
      </c>
      <c r="E27" s="38">
        <f>-MAX(E25+E26,0)*Assumptions!E63</f>
      </c>
      <c r="F27" s="38">
        <f>-MAX(F25+F26,0)*Assumptions!F63</f>
      </c>
      <c r="G27" s="38">
        <f>-MAX(G25+G26,0)*Assumptions!G63</f>
      </c>
      <c r="H27" s="38">
        <f>-MAX(H25+H26,0)*Assumptions!H63</f>
      </c>
      <c r="I27" s="38">
        <f>-MAX(I25+I26,0)*Assumptions!I63</f>
      </c>
      <c r="J27" s="38">
        <f>-MAX(J25+J26,0)*Assumptions!J63</f>
      </c>
      <c r="K27" s="38">
        <f>-MAX(K25+K26,0)*Assumptions!K63</f>
      </c>
    </row>
    <row r="28">
      <c r="B28" s="16" t="inlineStr">
        <is>
          <t>Pre-financing free cash flow</t>
        </is>
      </c>
      <c r="E28" s="42">
        <f>E25+E26+E27</f>
      </c>
      <c r="F28" s="42">
        <f>F25+F26+F27</f>
      </c>
      <c r="G28" s="42">
        <f>G25+G26+G27</f>
      </c>
      <c r="H28" s="42">
        <f>H25+H26+H27</f>
      </c>
      <c r="I28" s="42">
        <f>I25+I26+I27</f>
      </c>
      <c r="J28" s="42">
        <f>J25+J26+J27</f>
      </c>
      <c r="K28" s="42">
        <f>K25+K26+K27</f>
      </c>
    </row>
    <row r="29">
      <c r="B29" s="4" t="inlineStr">
        <is>
          <t>Total debt -- opening</t>
        </is>
      </c>
      <c r="E29" s="38">
        <f>'Assumptions'!$C$37</f>
      </c>
      <c r="F29" s="44">
        <f>E32</f>
      </c>
      <c r="G29" s="44">
        <f>F32</f>
      </c>
      <c r="H29" s="44">
        <f>G32</f>
      </c>
      <c r="I29" s="44">
        <f>H32</f>
      </c>
      <c r="J29" s="44">
        <f>I32</f>
      </c>
      <c r="K29" s="44">
        <f>J32</f>
      </c>
    </row>
    <row r="30">
      <c r="B30" s="4" t="inlineStr">
        <is>
          <t>Interest @ blended rate</t>
        </is>
      </c>
      <c r="E30" s="38">
        <f>E29*'Assumptions'!$C$38</f>
      </c>
      <c r="F30" s="38">
        <f>F29*'Assumptions'!$C$38</f>
      </c>
      <c r="G30" s="38">
        <f>G29*'Assumptions'!$C$38</f>
      </c>
      <c r="H30" s="38">
        <f>H29*'Assumptions'!$C$38</f>
      </c>
      <c r="I30" s="38">
        <f>I29*'Assumptions'!$C$38</f>
      </c>
      <c r="J30" s="38">
        <f>J29*'Assumptions'!$C$38</f>
      </c>
      <c r="K30" s="38">
        <f>K29*'Assumptions'!$C$38</f>
      </c>
    </row>
    <row r="31">
      <c r="B31" s="4" t="inlineStr">
        <is>
          <t>Paydown (sweep, capped at opening)</t>
        </is>
      </c>
      <c r="E31" s="44">
        <f>MIN(MAX(E28-E30,0),E29)</f>
      </c>
      <c r="F31" s="44">
        <f>MIN(MAX(F28-F30,0),F29)</f>
      </c>
      <c r="G31" s="44">
        <f>MIN(MAX(G28-G30,0),G29)</f>
      </c>
      <c r="H31" s="44">
        <f>MIN(MAX(H28-H30,0),H29)</f>
      </c>
      <c r="I31" s="44">
        <f>MIN(MAX(I28-I30,0),I29)</f>
      </c>
      <c r="J31" s="44">
        <f>MIN(MAX(J28-J30,0),J29)</f>
      </c>
      <c r="K31" s="44">
        <f>MIN(MAX(K28-K30,0),K29)</f>
      </c>
    </row>
    <row r="32">
      <c r="B32" s="16" t="inlineStr">
        <is>
          <t>Total debt -- closing</t>
        </is>
      </c>
      <c r="E32" s="42">
        <f>E29-E31</f>
      </c>
      <c r="F32" s="42">
        <f>F29-F31</f>
      </c>
      <c r="G32" s="42">
        <f>G29-G31</f>
      </c>
      <c r="H32" s="42">
        <f>H29-H31</f>
      </c>
      <c r="I32" s="42">
        <f>I29-I31</f>
      </c>
      <c r="J32" s="42">
        <f>J29-J31</f>
      </c>
      <c r="K32" s="42">
        <f>K29-K31</f>
      </c>
    </row>
    <row r="33"/>
    <row r="34" ht="42" customHeight="1">
      <c r="B34" s="13" t="inlineStr">
        <is>
          <t>Scenario mini-models use a single blended-rate, whole-debt-balance simplification (master spec Sec.4.2 leverage-sensitivity pattern) rather than the full 4-tranche waterfall on DebtSchedule -- this lets Returns show both scenarios' outcomes at Years 3/5/7 side-by-side without duplicating the detailed schedule. The detailed DebtSchedule tab (4 tranches, mandatory amort + cash sweep + revolver) always reflects the ACTIVE scenario selected by the Assumptions!D42 toggle.</t>
        </is>
      </c>
    </row>
    <row r="35"/>
    <row r="36"/>
    <row r="37">
      <c r="B37" s="6" t="inlineStr">
        <is>
          <t>Leverage Sensitivity Mini Debt Models (Actual-Path FCF, 5 leverage scenarios)</t>
        </is>
      </c>
      <c r="C37" s="6" t="n"/>
      <c r="D37" s="6" t="n"/>
      <c r="E37" s="6" t="n"/>
      <c r="F37" s="6" t="n"/>
      <c r="G37" s="6" t="n"/>
      <c r="H37" s="6" t="n"/>
      <c r="I37" s="6" t="n"/>
      <c r="J37" s="6" t="n"/>
      <c r="K37" s="6" t="n"/>
    </row>
    <row r="38">
      <c r="B38" s="2" t="inlineStr">
        <is>
          <t>Each block: opening debt = leverage turns x FY2021 Adj. EBITDA; interest = opening x blended rate; FCF is leverage-independent (Scenario 2 pre-financing FCF above); paydown = MIN(FCF-interest,opening).</t>
        </is>
      </c>
    </row>
    <row r="39">
      <c r="B39" s="6" t="inlineStr">
        <is>
          <t>Leverage = 4.0x FY2021 EBITDA</t>
        </is>
      </c>
      <c r="C39" s="6" t="n"/>
      <c r="D39" s="6" t="n"/>
      <c r="E39" s="6" t="n"/>
      <c r="F39" s="6" t="n"/>
      <c r="G39" s="6" t="n"/>
      <c r="H39" s="6" t="n"/>
      <c r="I39" s="6" t="n"/>
      <c r="J39" s="6" t="n"/>
      <c r="K39" s="6" t="n"/>
    </row>
    <row r="40">
      <c r="B40" s="4" t="inlineStr">
        <is>
          <t>Debt -- opening</t>
        </is>
      </c>
      <c r="E40" s="44">
        <f>4.0*'Assumptions'!$D$21</f>
      </c>
      <c r="F40" s="44">
        <f>E43</f>
      </c>
      <c r="G40" s="44">
        <f>F43</f>
      </c>
      <c r="H40" s="44">
        <f>G43</f>
      </c>
      <c r="I40" s="44">
        <f>H43</f>
      </c>
      <c r="J40" s="44">
        <f>I43</f>
      </c>
      <c r="K40" s="44">
        <f>J43</f>
      </c>
    </row>
    <row r="41">
      <c r="B41" s="4" t="inlineStr">
        <is>
          <t>Interest @ blended rate</t>
        </is>
      </c>
      <c r="E41" s="38">
        <f>E40*'Assumptions'!$C$38</f>
      </c>
      <c r="F41" s="38">
        <f>F40*'Assumptions'!$C$38</f>
      </c>
      <c r="G41" s="38">
        <f>G40*'Assumptions'!$C$38</f>
      </c>
      <c r="H41" s="38">
        <f>H40*'Assumptions'!$C$38</f>
      </c>
      <c r="I41" s="38">
        <f>I40*'Assumptions'!$C$38</f>
      </c>
      <c r="J41" s="38">
        <f>J40*'Assumptions'!$C$38</f>
      </c>
      <c r="K41" s="38">
        <f>K40*'Assumptions'!$C$38</f>
      </c>
    </row>
    <row r="42">
      <c r="B42" s="4" t="inlineStr">
        <is>
          <t>Paydown</t>
        </is>
      </c>
      <c r="E42" s="44">
        <f>MIN(MAX(E28-E41,0),E40)</f>
      </c>
      <c r="F42" s="44">
        <f>MIN(MAX(F28-F41,0),F40)</f>
      </c>
      <c r="G42" s="44">
        <f>MIN(MAX(G28-G41,0),G40)</f>
      </c>
      <c r="H42" s="44">
        <f>MIN(MAX(H28-H41,0),H40)</f>
      </c>
      <c r="I42" s="44">
        <f>MIN(MAX(I28-I41,0),I40)</f>
      </c>
      <c r="J42" s="44">
        <f>MIN(MAX(J28-J41,0),J40)</f>
      </c>
      <c r="K42" s="44">
        <f>MIN(MAX(K28-K41,0),K40)</f>
      </c>
    </row>
    <row r="43">
      <c r="B43" s="16" t="inlineStr">
        <is>
          <t>Debt -- closing</t>
        </is>
      </c>
      <c r="E43" s="42">
        <f>E40-E42</f>
      </c>
      <c r="F43" s="42">
        <f>F40-F42</f>
      </c>
      <c r="G43" s="42">
        <f>G40-G42</f>
      </c>
      <c r="H43" s="42">
        <f>H40-H42</f>
      </c>
      <c r="I43" s="42">
        <f>I40-I42</f>
      </c>
      <c r="J43" s="42">
        <f>J40-J42</f>
      </c>
      <c r="K43" s="42">
        <f>K40-K42</f>
      </c>
    </row>
    <row r="44"/>
    <row r="45">
      <c r="B45" s="6" t="inlineStr">
        <is>
          <t>Leverage = 6.0x FY2021 EBITDA</t>
        </is>
      </c>
      <c r="C45" s="6" t="n"/>
      <c r="D45" s="6" t="n"/>
      <c r="E45" s="6" t="n"/>
      <c r="F45" s="6" t="n"/>
      <c r="G45" s="6" t="n"/>
      <c r="H45" s="6" t="n"/>
      <c r="I45" s="6" t="n"/>
      <c r="J45" s="6" t="n"/>
      <c r="K45" s="6" t="n"/>
    </row>
    <row r="46">
      <c r="B46" s="4" t="inlineStr">
        <is>
          <t>Debt -- opening</t>
        </is>
      </c>
      <c r="E46" s="44">
        <f>6.0*'Assumptions'!$D$21</f>
      </c>
      <c r="F46" s="44">
        <f>E49</f>
      </c>
      <c r="G46" s="44">
        <f>F49</f>
      </c>
      <c r="H46" s="44">
        <f>G49</f>
      </c>
      <c r="I46" s="44">
        <f>H49</f>
      </c>
      <c r="J46" s="44">
        <f>I49</f>
      </c>
      <c r="K46" s="44">
        <f>J49</f>
      </c>
    </row>
    <row r="47">
      <c r="B47" s="4" t="inlineStr">
        <is>
          <t>Interest @ blended rate</t>
        </is>
      </c>
      <c r="E47" s="38">
        <f>E46*'Assumptions'!$C$38</f>
      </c>
      <c r="F47" s="38">
        <f>F46*'Assumptions'!$C$38</f>
      </c>
      <c r="G47" s="38">
        <f>G46*'Assumptions'!$C$38</f>
      </c>
      <c r="H47" s="38">
        <f>H46*'Assumptions'!$C$38</f>
      </c>
      <c r="I47" s="38">
        <f>I46*'Assumptions'!$C$38</f>
      </c>
      <c r="J47" s="38">
        <f>J46*'Assumptions'!$C$38</f>
      </c>
      <c r="K47" s="38">
        <f>K46*'Assumptions'!$C$38</f>
      </c>
    </row>
    <row r="48">
      <c r="B48" s="4" t="inlineStr">
        <is>
          <t>Paydown</t>
        </is>
      </c>
      <c r="E48" s="44">
        <f>MIN(MAX(E28-E47,0),E46)</f>
      </c>
      <c r="F48" s="44">
        <f>MIN(MAX(F28-F47,0),F46)</f>
      </c>
      <c r="G48" s="44">
        <f>MIN(MAX(G28-G47,0),G46)</f>
      </c>
      <c r="H48" s="44">
        <f>MIN(MAX(H28-H47,0),H46)</f>
      </c>
      <c r="I48" s="44">
        <f>MIN(MAX(I28-I47,0),I46)</f>
      </c>
      <c r="J48" s="44">
        <f>MIN(MAX(J28-J47,0),J46)</f>
      </c>
      <c r="K48" s="44">
        <f>MIN(MAX(K28-K47,0),K46)</f>
      </c>
    </row>
    <row r="49">
      <c r="B49" s="16" t="inlineStr">
        <is>
          <t>Debt -- closing</t>
        </is>
      </c>
      <c r="E49" s="42">
        <f>E46-E48</f>
      </c>
      <c r="F49" s="42">
        <f>F46-F48</f>
      </c>
      <c r="G49" s="42">
        <f>G46-G48</f>
      </c>
      <c r="H49" s="42">
        <f>H46-H48</f>
      </c>
      <c r="I49" s="42">
        <f>I46-I48</f>
      </c>
      <c r="J49" s="42">
        <f>J46-J48</f>
      </c>
      <c r="K49" s="42">
        <f>K46-K48</f>
      </c>
    </row>
    <row r="50"/>
    <row r="51">
      <c r="B51" s="6" t="inlineStr">
        <is>
          <t>Leverage = 8.0x FY2021 EBITDA</t>
        </is>
      </c>
      <c r="C51" s="6" t="n"/>
      <c r="D51" s="6" t="n"/>
      <c r="E51" s="6" t="n"/>
      <c r="F51" s="6" t="n"/>
      <c r="G51" s="6" t="n"/>
      <c r="H51" s="6" t="n"/>
      <c r="I51" s="6" t="n"/>
      <c r="J51" s="6" t="n"/>
      <c r="K51" s="6" t="n"/>
    </row>
    <row r="52">
      <c r="B52" s="4" t="inlineStr">
        <is>
          <t>Debt -- opening</t>
        </is>
      </c>
      <c r="E52" s="44">
        <f>8.0*'Assumptions'!$D$21</f>
      </c>
      <c r="F52" s="44">
        <f>E55</f>
      </c>
      <c r="G52" s="44">
        <f>F55</f>
      </c>
      <c r="H52" s="44">
        <f>G55</f>
      </c>
      <c r="I52" s="44">
        <f>H55</f>
      </c>
      <c r="J52" s="44">
        <f>I55</f>
      </c>
      <c r="K52" s="44">
        <f>J55</f>
      </c>
    </row>
    <row r="53">
      <c r="B53" s="4" t="inlineStr">
        <is>
          <t>Interest @ blended rate</t>
        </is>
      </c>
      <c r="E53" s="38">
        <f>E52*'Assumptions'!$C$38</f>
      </c>
      <c r="F53" s="38">
        <f>F52*'Assumptions'!$C$38</f>
      </c>
      <c r="G53" s="38">
        <f>G52*'Assumptions'!$C$38</f>
      </c>
      <c r="H53" s="38">
        <f>H52*'Assumptions'!$C$38</f>
      </c>
      <c r="I53" s="38">
        <f>I52*'Assumptions'!$C$38</f>
      </c>
      <c r="J53" s="38">
        <f>J52*'Assumptions'!$C$38</f>
      </c>
      <c r="K53" s="38">
        <f>K52*'Assumptions'!$C$38</f>
      </c>
    </row>
    <row r="54">
      <c r="B54" s="4" t="inlineStr">
        <is>
          <t>Paydown</t>
        </is>
      </c>
      <c r="E54" s="44">
        <f>MIN(MAX(E28-E53,0),E52)</f>
      </c>
      <c r="F54" s="44">
        <f>MIN(MAX(F28-F53,0),F52)</f>
      </c>
      <c r="G54" s="44">
        <f>MIN(MAX(G28-G53,0),G52)</f>
      </c>
      <c r="H54" s="44">
        <f>MIN(MAX(H28-H53,0),H52)</f>
      </c>
      <c r="I54" s="44">
        <f>MIN(MAX(I28-I53,0),I52)</f>
      </c>
      <c r="J54" s="44">
        <f>MIN(MAX(J28-J53,0),J52)</f>
      </c>
      <c r="K54" s="44">
        <f>MIN(MAX(K28-K53,0),K52)</f>
      </c>
    </row>
    <row r="55">
      <c r="B55" s="16" t="inlineStr">
        <is>
          <t>Debt -- closing</t>
        </is>
      </c>
      <c r="E55" s="42">
        <f>E52-E54</f>
      </c>
      <c r="F55" s="42">
        <f>F52-F54</f>
      </c>
      <c r="G55" s="42">
        <f>G52-G54</f>
      </c>
      <c r="H55" s="42">
        <f>H52-H54</f>
      </c>
      <c r="I55" s="42">
        <f>I52-I54</f>
      </c>
      <c r="J55" s="42">
        <f>J52-J54</f>
      </c>
      <c r="K55" s="42">
        <f>K52-K54</f>
      </c>
    </row>
    <row r="56"/>
    <row r="57">
      <c r="B57" s="6" t="inlineStr">
        <is>
          <t>Leverage = 10.0x FY2021 EBITDA</t>
        </is>
      </c>
      <c r="C57" s="6" t="n"/>
      <c r="D57" s="6" t="n"/>
      <c r="E57" s="6" t="n"/>
      <c r="F57" s="6" t="n"/>
      <c r="G57" s="6" t="n"/>
      <c r="H57" s="6" t="n"/>
      <c r="I57" s="6" t="n"/>
      <c r="J57" s="6" t="n"/>
      <c r="K57" s="6" t="n"/>
    </row>
    <row r="58">
      <c r="B58" s="4" t="inlineStr">
        <is>
          <t>Debt -- opening</t>
        </is>
      </c>
      <c r="E58" s="44">
        <f>10.0*'Assumptions'!$D$21</f>
      </c>
      <c r="F58" s="44">
        <f>E61</f>
      </c>
      <c r="G58" s="44">
        <f>F61</f>
      </c>
      <c r="H58" s="44">
        <f>G61</f>
      </c>
      <c r="I58" s="44">
        <f>H61</f>
      </c>
      <c r="J58" s="44">
        <f>I61</f>
      </c>
      <c r="K58" s="44">
        <f>J61</f>
      </c>
    </row>
    <row r="59">
      <c r="B59" s="4" t="inlineStr">
        <is>
          <t>Interest @ blended rate</t>
        </is>
      </c>
      <c r="E59" s="38">
        <f>E58*'Assumptions'!$C$38</f>
      </c>
      <c r="F59" s="38">
        <f>F58*'Assumptions'!$C$38</f>
      </c>
      <c r="G59" s="38">
        <f>G58*'Assumptions'!$C$38</f>
      </c>
      <c r="H59" s="38">
        <f>H58*'Assumptions'!$C$38</f>
      </c>
      <c r="I59" s="38">
        <f>I58*'Assumptions'!$C$38</f>
      </c>
      <c r="J59" s="38">
        <f>J58*'Assumptions'!$C$38</f>
      </c>
      <c r="K59" s="38">
        <f>K58*'Assumptions'!$C$38</f>
      </c>
    </row>
    <row r="60">
      <c r="B60" s="4" t="inlineStr">
        <is>
          <t>Paydown</t>
        </is>
      </c>
      <c r="E60" s="44">
        <f>MIN(MAX(E28-E59,0),E58)</f>
      </c>
      <c r="F60" s="44">
        <f>MIN(MAX(F28-F59,0),F58)</f>
      </c>
      <c r="G60" s="44">
        <f>MIN(MAX(G28-G59,0),G58)</f>
      </c>
      <c r="H60" s="44">
        <f>MIN(MAX(H28-H59,0),H58)</f>
      </c>
      <c r="I60" s="44">
        <f>MIN(MAX(I28-I59,0),I58)</f>
      </c>
      <c r="J60" s="44">
        <f>MIN(MAX(J28-J59,0),J58)</f>
      </c>
      <c r="K60" s="44">
        <f>MIN(MAX(K28-K59,0),K58)</f>
      </c>
    </row>
    <row r="61">
      <c r="B61" s="16" t="inlineStr">
        <is>
          <t>Debt -- closing</t>
        </is>
      </c>
      <c r="E61" s="42">
        <f>E58-E60</f>
      </c>
      <c r="F61" s="42">
        <f>F58-F60</f>
      </c>
      <c r="G61" s="42">
        <f>G58-G60</f>
      </c>
      <c r="H61" s="42">
        <f>H58-H60</f>
      </c>
      <c r="I61" s="42">
        <f>I58-I60</f>
      </c>
      <c r="J61" s="42">
        <f>J58-J60</f>
      </c>
      <c r="K61" s="42">
        <f>K58-K60</f>
      </c>
    </row>
    <row r="62"/>
    <row r="63">
      <c r="B63" s="6" t="inlineStr">
        <is>
          <t>Leverage = 12.0x FY2021 EBITDA</t>
        </is>
      </c>
      <c r="C63" s="6" t="n"/>
      <c r="D63" s="6" t="n"/>
      <c r="E63" s="6" t="n"/>
      <c r="F63" s="6" t="n"/>
      <c r="G63" s="6" t="n"/>
      <c r="H63" s="6" t="n"/>
      <c r="I63" s="6" t="n"/>
      <c r="J63" s="6" t="n"/>
      <c r="K63" s="6" t="n"/>
    </row>
    <row r="64">
      <c r="B64" s="4" t="inlineStr">
        <is>
          <t>Debt -- opening</t>
        </is>
      </c>
      <c r="E64" s="44">
        <f>12.0*'Assumptions'!$D$21</f>
      </c>
      <c r="F64" s="44">
        <f>E67</f>
      </c>
      <c r="G64" s="44">
        <f>F67</f>
      </c>
      <c r="H64" s="44">
        <f>G67</f>
      </c>
      <c r="I64" s="44">
        <f>H67</f>
      </c>
      <c r="J64" s="44">
        <f>I67</f>
      </c>
      <c r="K64" s="44">
        <f>J67</f>
      </c>
    </row>
    <row r="65">
      <c r="B65" s="4" t="inlineStr">
        <is>
          <t>Interest @ blended rate</t>
        </is>
      </c>
      <c r="E65" s="38">
        <f>E64*'Assumptions'!$C$38</f>
      </c>
      <c r="F65" s="38">
        <f>F64*'Assumptions'!$C$38</f>
      </c>
      <c r="G65" s="38">
        <f>G64*'Assumptions'!$C$38</f>
      </c>
      <c r="H65" s="38">
        <f>H64*'Assumptions'!$C$38</f>
      </c>
      <c r="I65" s="38">
        <f>I64*'Assumptions'!$C$38</f>
      </c>
      <c r="J65" s="38">
        <f>J64*'Assumptions'!$C$38</f>
      </c>
      <c r="K65" s="38">
        <f>K64*'Assumptions'!$C$38</f>
      </c>
    </row>
    <row r="66">
      <c r="B66" s="4" t="inlineStr">
        <is>
          <t>Paydown</t>
        </is>
      </c>
      <c r="E66" s="44">
        <f>MIN(MAX(E28-E65,0),E64)</f>
      </c>
      <c r="F66" s="44">
        <f>MIN(MAX(F28-F65,0),F64)</f>
      </c>
      <c r="G66" s="44">
        <f>MIN(MAX(G28-G65,0),G64)</f>
      </c>
      <c r="H66" s="44">
        <f>MIN(MAX(H28-H65,0),H64)</f>
      </c>
      <c r="I66" s="44">
        <f>MIN(MAX(I28-I65,0),I64)</f>
      </c>
      <c r="J66" s="44">
        <f>MIN(MAX(J28-J65,0),J64)</f>
      </c>
      <c r="K66" s="44">
        <f>MIN(MAX(K28-K65,0),K64)</f>
      </c>
    </row>
    <row r="67">
      <c r="B67" s="16" t="inlineStr">
        <is>
          <t>Debt -- closing</t>
        </is>
      </c>
      <c r="E67" s="42">
        <f>E64-E66</f>
      </c>
      <c r="F67" s="42">
        <f>F64-F66</f>
      </c>
      <c r="G67" s="42">
        <f>G64-G66</f>
      </c>
      <c r="H67" s="42">
        <f>H64-H66</f>
      </c>
      <c r="I67" s="42">
        <f>I64-I66</f>
      </c>
      <c r="J67" s="42">
        <f>J64-J66</f>
      </c>
      <c r="K67" s="42">
        <f>K64-K66</f>
      </c>
    </row>
  </sheetData>
  <mergeCells count="2">
    <mergeCell ref="B34:K34"/>
    <mergeCell ref="B38:K3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2026-08-23T05:51:32Z</dcterms:created>
  <dcterms:modified xmlns:dcterms="http://purl.org/dc/terms/" xmlns:xsi="http://www.w3.org/2001/XMLSchema-instance" xsi:type="dcterms:W3CDTF">2026-08-27T05:39:42Z</dcterms:modified>
</cp:coreProperties>
</file>