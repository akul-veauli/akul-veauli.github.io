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kulveauli/Desktop/"/>
    </mc:Choice>
  </mc:AlternateContent>
  <xr:revisionPtr revIDLastSave="0" documentId="13_ncr:1_{AF4A5FF0-EF66-2145-A280-9B84D7578B37}" xr6:coauthVersionLast="47" xr6:coauthVersionMax="47" xr10:uidLastSave="{00000000-0000-0000-0000-000000000000}"/>
  <bookViews>
    <workbookView xWindow="0" yWindow="760" windowWidth="29400" windowHeight="16940" xr2:uid="{0A50C6A4-022B-8E46-B6B9-7BD663B01CE9}"/>
  </bookViews>
  <sheets>
    <sheet name="Cover Page" sheetId="2" r:id="rId1"/>
    <sheet name="Data Validation" sheetId="15" state="hidden" r:id="rId2"/>
    <sheet name="Counterfactual Analysis -&gt;" sheetId="33" r:id="rId3"/>
    <sheet name="Verizon Counterfactual DCF" sheetId="3" r:id="rId4"/>
    <sheet name="Counterfactual Buybacks&amp;Paydown" sheetId="10" r:id="rId5"/>
    <sheet name="EPS Accretion V1" sheetId="20" state="hidden" r:id="rId6"/>
    <sheet name="Assumptions" sheetId="17" state="hidden" r:id="rId7"/>
    <sheet name="EPS Accretion-Dilution" sheetId="18" state="hidden" r:id="rId8"/>
    <sheet name="Deal Structure" sheetId="19" state="hidden" r:id="rId9"/>
    <sheet name="EPS Accretion V2" sheetId="21" state="hidden" r:id="rId10"/>
    <sheet name="Assumptions (2)" sheetId="23" state="hidden" r:id="rId11"/>
    <sheet name="EPS Accretion-Dilution (2)" sheetId="24" state="hidden" r:id="rId12"/>
    <sheet name="Deal Structure (2)" sheetId="25" state="hidden" r:id="rId13"/>
    <sheet name="EPS Accretion Analysis -&gt;" sheetId="22" r:id="rId14"/>
    <sheet name="Assumptions (3) Old" sheetId="26" state="hidden" r:id="rId15"/>
    <sheet name="EPS Accretion-Dilution (3) old" sheetId="27" state="hidden" r:id="rId16"/>
    <sheet name="Deal Structure (3) Old" sheetId="28" state="hidden" r:id="rId17"/>
    <sheet name="Assumptions (VF)" sheetId="29" r:id="rId18"/>
    <sheet name="EPS Accretion-Dilution (VF)" sheetId="30" r:id="rId19"/>
    <sheet name="Deal Structure (VF)" sheetId="31" r:id="rId20"/>
    <sheet name="ROIC VS WACC -&gt;" sheetId="34" r:id="rId21"/>
    <sheet name="ROIC vs WACC" sheetId="36" r:id="rId22"/>
    <sheet name="Deal Structure &amp; Capital Impact" sheetId="37" r:id="rId23"/>
  </sheets>
  <definedNames>
    <definedName name="CIQWBGuid" hidden="1">"4d682a67-7e17-46cf-a481-2d354ef2a872"</definedName>
    <definedName name="CIQWBInfo" hidden="1">"{ ""CIQVersion"":""9.49.2423.4439"" 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7" l="1"/>
  <c r="C12" i="37" s="1"/>
  <c r="B9" i="36"/>
  <c r="C9" i="36"/>
  <c r="D9" i="36"/>
  <c r="D27" i="36" s="1"/>
  <c r="E9" i="36"/>
  <c r="F9" i="36"/>
  <c r="G9" i="36"/>
  <c r="H9" i="36"/>
  <c r="I9" i="36"/>
  <c r="I27" i="36" s="1"/>
  <c r="I29" i="36" s="1"/>
  <c r="I31" i="36" s="1"/>
  <c r="B14" i="36"/>
  <c r="C14" i="36"/>
  <c r="D14" i="36"/>
  <c r="E14" i="36"/>
  <c r="E15" i="36" s="1"/>
  <c r="E27" i="36" s="1"/>
  <c r="F14" i="36"/>
  <c r="F15" i="36" s="1"/>
  <c r="F27" i="36" s="1"/>
  <c r="G14" i="36"/>
  <c r="H15" i="36" s="1"/>
  <c r="H27" i="36" s="1"/>
  <c r="H29" i="36" s="1"/>
  <c r="H31" i="36" s="1"/>
  <c r="H14" i="36"/>
  <c r="I14" i="36"/>
  <c r="B15" i="36"/>
  <c r="C15" i="36"/>
  <c r="D15" i="36"/>
  <c r="I15" i="36"/>
  <c r="B20" i="36"/>
  <c r="C20" i="36"/>
  <c r="D20" i="36"/>
  <c r="E20" i="36"/>
  <c r="F20" i="36"/>
  <c r="G20" i="36"/>
  <c r="H20" i="36"/>
  <c r="I20" i="36"/>
  <c r="B22" i="36"/>
  <c r="C22" i="36"/>
  <c r="D22" i="36"/>
  <c r="E22" i="36"/>
  <c r="F22" i="36"/>
  <c r="G22" i="36"/>
  <c r="H22" i="36"/>
  <c r="I22" i="36"/>
  <c r="B23" i="36"/>
  <c r="C23" i="36"/>
  <c r="D23" i="36"/>
  <c r="E23" i="36"/>
  <c r="E24" i="36" s="1"/>
  <c r="E25" i="36" s="1"/>
  <c r="E28" i="36" s="1"/>
  <c r="F23" i="36"/>
  <c r="F24" i="36" s="1"/>
  <c r="F25" i="36" s="1"/>
  <c r="F28" i="36" s="1"/>
  <c r="G23" i="36"/>
  <c r="G24" i="36" s="1"/>
  <c r="G25" i="36" s="1"/>
  <c r="G28" i="36" s="1"/>
  <c r="H23" i="36"/>
  <c r="I23" i="36"/>
  <c r="B24" i="36"/>
  <c r="C24" i="36"/>
  <c r="D24" i="36"/>
  <c r="D25" i="36" s="1"/>
  <c r="D28" i="36" s="1"/>
  <c r="H24" i="36"/>
  <c r="I24" i="36"/>
  <c r="B25" i="36"/>
  <c r="C25" i="36"/>
  <c r="H25" i="36"/>
  <c r="I25" i="36"/>
  <c r="B27" i="36"/>
  <c r="C27" i="36"/>
  <c r="B28" i="36"/>
  <c r="C28" i="36"/>
  <c r="H28" i="36"/>
  <c r="I28" i="36"/>
  <c r="B29" i="36"/>
  <c r="C29" i="36"/>
  <c r="B31" i="36"/>
  <c r="C31" i="36"/>
  <c r="C5" i="31"/>
  <c r="C6" i="31"/>
  <c r="C7" i="31"/>
  <c r="B8" i="31"/>
  <c r="C8" i="31" s="1"/>
  <c r="D13" i="31"/>
  <c r="D14" i="31"/>
  <c r="B6" i="30"/>
  <c r="C6" i="30"/>
  <c r="D6" i="30"/>
  <c r="D8" i="30" s="1"/>
  <c r="D26" i="30" s="1"/>
  <c r="B7" i="30"/>
  <c r="C7" i="30"/>
  <c r="D7" i="30"/>
  <c r="B8" i="30"/>
  <c r="B26" i="30" s="1"/>
  <c r="C8" i="30"/>
  <c r="C26" i="30" s="1"/>
  <c r="B11" i="30"/>
  <c r="B12" i="30"/>
  <c r="C12" i="30"/>
  <c r="D12" i="30"/>
  <c r="B13" i="30"/>
  <c r="B29" i="30" s="1"/>
  <c r="B16" i="30"/>
  <c r="B17" i="30"/>
  <c r="B19" i="30"/>
  <c r="C19" i="30"/>
  <c r="D19" i="30"/>
  <c r="B20" i="30"/>
  <c r="C20" i="30"/>
  <c r="D20" i="30"/>
  <c r="B21" i="30"/>
  <c r="C21" i="30"/>
  <c r="D21" i="30"/>
  <c r="D40" i="30"/>
  <c r="D50" i="30" s="1"/>
  <c r="E40" i="30"/>
  <c r="E50" i="30" s="1"/>
  <c r="G41" i="30"/>
  <c r="G51" i="30" s="1"/>
  <c r="B43" i="30"/>
  <c r="B53" i="30" s="1"/>
  <c r="C43" i="30"/>
  <c r="C53" i="30" s="1"/>
  <c r="D44" i="30"/>
  <c r="D54" i="30" s="1"/>
  <c r="E44" i="30"/>
  <c r="E54" i="30" s="1"/>
  <c r="E45" i="30"/>
  <c r="F45" i="30"/>
  <c r="F55" i="30" s="1"/>
  <c r="G46" i="30"/>
  <c r="E55" i="30"/>
  <c r="G56" i="30"/>
  <c r="B8" i="29"/>
  <c r="B10" i="29"/>
  <c r="F10" i="29"/>
  <c r="F13" i="29"/>
  <c r="B17" i="29"/>
  <c r="F18" i="29"/>
  <c r="B20" i="29"/>
  <c r="B21" i="29"/>
  <c r="B24" i="29"/>
  <c r="C5" i="37" l="1"/>
  <c r="C7" i="37"/>
  <c r="C9" i="37"/>
  <c r="C8" i="37"/>
  <c r="C6" i="37"/>
  <c r="C10" i="37"/>
  <c r="C9" i="31"/>
  <c r="E29" i="36"/>
  <c r="E31" i="36" s="1"/>
  <c r="F29" i="36"/>
  <c r="F31" i="36" s="1"/>
  <c r="D29" i="36"/>
  <c r="D31" i="36" s="1"/>
  <c r="G15" i="36"/>
  <c r="G27" i="36" s="1"/>
  <c r="G29" i="36" s="1"/>
  <c r="G31" i="36" s="1"/>
  <c r="B27" i="29"/>
  <c r="C11" i="30"/>
  <c r="B18" i="30"/>
  <c r="B22" i="30" s="1"/>
  <c r="B25" i="30" s="1"/>
  <c r="B27" i="30" s="1"/>
  <c r="B30" i="30" s="1"/>
  <c r="B31" i="30" s="1"/>
  <c r="B32" i="30" s="1"/>
  <c r="F40" i="30"/>
  <c r="F50" i="30" s="1"/>
  <c r="B42" i="30"/>
  <c r="B52" i="30" s="1"/>
  <c r="D43" i="30"/>
  <c r="D53" i="30" s="1"/>
  <c r="F44" i="30"/>
  <c r="F54" i="30" s="1"/>
  <c r="B46" i="30"/>
  <c r="B56" i="30" s="1"/>
  <c r="C18" i="30"/>
  <c r="G40" i="30"/>
  <c r="G50" i="30" s="1"/>
  <c r="C42" i="30"/>
  <c r="C52" i="30" s="1"/>
  <c r="E43" i="30"/>
  <c r="E53" i="30" s="1"/>
  <c r="G44" i="30"/>
  <c r="G54" i="30" s="1"/>
  <c r="C46" i="30"/>
  <c r="C56" i="30" s="1"/>
  <c r="D18" i="30"/>
  <c r="B41" i="30"/>
  <c r="B51" i="30" s="1"/>
  <c r="D42" i="30"/>
  <c r="D52" i="30" s="1"/>
  <c r="F43" i="30"/>
  <c r="F53" i="30" s="1"/>
  <c r="B45" i="30"/>
  <c r="B55" i="30" s="1"/>
  <c r="D46" i="30"/>
  <c r="D56" i="30" s="1"/>
  <c r="C41" i="30"/>
  <c r="C51" i="30" s="1"/>
  <c r="E42" i="30"/>
  <c r="E52" i="30" s="1"/>
  <c r="G43" i="30"/>
  <c r="G53" i="30" s="1"/>
  <c r="C45" i="30"/>
  <c r="C55" i="30" s="1"/>
  <c r="E46" i="30"/>
  <c r="E56" i="30" s="1"/>
  <c r="B40" i="30"/>
  <c r="B50" i="30" s="1"/>
  <c r="D41" i="30"/>
  <c r="D51" i="30" s="1"/>
  <c r="F42" i="30"/>
  <c r="F52" i="30" s="1"/>
  <c r="B44" i="30"/>
  <c r="B54" i="30" s="1"/>
  <c r="D45" i="30"/>
  <c r="D55" i="30" s="1"/>
  <c r="F46" i="30"/>
  <c r="F56" i="30" s="1"/>
  <c r="C40" i="30"/>
  <c r="C50" i="30" s="1"/>
  <c r="E41" i="30"/>
  <c r="E51" i="30" s="1"/>
  <c r="G42" i="30"/>
  <c r="G52" i="30" s="1"/>
  <c r="C44" i="30"/>
  <c r="C54" i="30" s="1"/>
  <c r="G45" i="30"/>
  <c r="G55" i="30" s="1"/>
  <c r="F41" i="30"/>
  <c r="F51" i="30" s="1"/>
  <c r="C13" i="30" l="1"/>
  <c r="C29" i="30" s="1"/>
  <c r="D11" i="30"/>
  <c r="C16" i="30"/>
  <c r="B28" i="29"/>
  <c r="D17" i="30" s="1"/>
  <c r="C17" i="30"/>
  <c r="C41" i="10" a="1"/>
  <c r="C41" i="10" s="1"/>
  <c r="C42" i="10"/>
  <c r="D42" i="10"/>
  <c r="W23" i="3"/>
  <c r="C28" i="10"/>
  <c r="C29" i="10" s="1"/>
  <c r="D28" i="10"/>
  <c r="D29" i="10" s="1"/>
  <c r="E22" i="10"/>
  <c r="G22" i="10" s="1"/>
  <c r="I22" i="10" s="1"/>
  <c r="K22" i="10" s="1"/>
  <c r="M22" i="10" s="1"/>
  <c r="N22" i="10" s="1"/>
  <c r="E23" i="10"/>
  <c r="G23" i="10"/>
  <c r="I23" i="10" s="1"/>
  <c r="K23" i="10" s="1"/>
  <c r="M23" i="10" s="1"/>
  <c r="N23" i="10" s="1"/>
  <c r="E24" i="10"/>
  <c r="G24" i="10" s="1"/>
  <c r="I24" i="10" s="1"/>
  <c r="K24" i="10" s="1"/>
  <c r="M24" i="10" s="1"/>
  <c r="N24" i="10" s="1"/>
  <c r="C21" i="10"/>
  <c r="E21" i="10" s="1"/>
  <c r="G21" i="10" s="1"/>
  <c r="I21" i="10" s="1"/>
  <c r="K21" i="10" s="1"/>
  <c r="E28" i="10"/>
  <c r="E29" i="10" s="1"/>
  <c r="E20" i="10"/>
  <c r="G20" i="10" s="1"/>
  <c r="I20" i="10" s="1"/>
  <c r="K20" i="10" s="1"/>
  <c r="M20" i="10" s="1"/>
  <c r="N20" i="10" s="1"/>
  <c r="T15" i="3"/>
  <c r="W7" i="3"/>
  <c r="T18" i="3" s="1"/>
  <c r="J5" i="3" a="1"/>
  <c r="J5" i="3" s="1"/>
  <c r="L5" i="3" s="1"/>
  <c r="I5" i="3"/>
  <c r="D17" i="3"/>
  <c r="E17" i="3"/>
  <c r="F17" i="3"/>
  <c r="G17" i="3"/>
  <c r="H17" i="3"/>
  <c r="C17" i="3"/>
  <c r="D19" i="3"/>
  <c r="E19" i="3"/>
  <c r="F19" i="3"/>
  <c r="G19" i="3"/>
  <c r="H19" i="3"/>
  <c r="C19" i="3"/>
  <c r="C21" i="3"/>
  <c r="C28" i="3"/>
  <c r="C33" i="3"/>
  <c r="C37" i="3" s="1"/>
  <c r="C12" i="3"/>
  <c r="D12" i="3"/>
  <c r="E12" i="3"/>
  <c r="F12" i="3"/>
  <c r="T13" i="3"/>
  <c r="M3" i="3"/>
  <c r="N3" i="3" s="1"/>
  <c r="O3" i="3" s="1"/>
  <c r="P3" i="3" s="1"/>
  <c r="Q3" i="3" s="1"/>
  <c r="D6" i="3"/>
  <c r="H33" i="3"/>
  <c r="H34" i="3" s="1"/>
  <c r="D28" i="3"/>
  <c r="E28" i="3"/>
  <c r="F28" i="3"/>
  <c r="G28" i="3"/>
  <c r="H28" i="3"/>
  <c r="D8" i="3"/>
  <c r="C8" i="3"/>
  <c r="D21" i="3"/>
  <c r="E21" i="3"/>
  <c r="F21" i="3"/>
  <c r="G21" i="3"/>
  <c r="H21" i="3"/>
  <c r="D25" i="3"/>
  <c r="E25" i="3"/>
  <c r="F25" i="3"/>
  <c r="G25" i="3"/>
  <c r="H25" i="3"/>
  <c r="C25" i="3"/>
  <c r="D23" i="3"/>
  <c r="E23" i="3"/>
  <c r="F23" i="3"/>
  <c r="G23" i="3"/>
  <c r="H23" i="3"/>
  <c r="C23" i="3"/>
  <c r="D27" i="3"/>
  <c r="E27" i="3"/>
  <c r="F27" i="3"/>
  <c r="G27" i="3"/>
  <c r="H27" i="3"/>
  <c r="C27" i="3"/>
  <c r="E8" i="3"/>
  <c r="F8" i="3"/>
  <c r="G8" i="3"/>
  <c r="H8" i="3"/>
  <c r="G12" i="3"/>
  <c r="H12" i="3"/>
  <c r="H10" i="3"/>
  <c r="D10" i="3"/>
  <c r="E10" i="3"/>
  <c r="F10" i="3"/>
  <c r="G10" i="3"/>
  <c r="C10" i="3"/>
  <c r="D33" i="3"/>
  <c r="D34" i="3" s="1"/>
  <c r="E33" i="3"/>
  <c r="E34" i="3" s="1"/>
  <c r="F33" i="3"/>
  <c r="F34" i="3" s="1"/>
  <c r="G33" i="3"/>
  <c r="G34" i="3" s="1"/>
  <c r="H6" i="3"/>
  <c r="G6" i="3"/>
  <c r="F6" i="3"/>
  <c r="E6" i="3"/>
  <c r="C22" i="30" l="1"/>
  <c r="C25" i="30" s="1"/>
  <c r="C27" i="30" s="1"/>
  <c r="C30" i="30" s="1"/>
  <c r="C31" i="30" s="1"/>
  <c r="C32" i="30" s="1"/>
  <c r="D13" i="30"/>
  <c r="D29" i="30" s="1"/>
  <c r="D16" i="30"/>
  <c r="D22" i="30" s="1"/>
  <c r="D25" i="30" s="1"/>
  <c r="D27" i="30" s="1"/>
  <c r="D30" i="30" s="1"/>
  <c r="D31" i="30" s="1"/>
  <c r="D32" i="30" s="1"/>
  <c r="H29" i="3"/>
  <c r="T19" i="3"/>
  <c r="T17" i="3" s="1"/>
  <c r="C30" i="10"/>
  <c r="D30" i="10"/>
  <c r="E30" i="10"/>
  <c r="E42" i="10"/>
  <c r="D32" i="10"/>
  <c r="D31" i="10"/>
  <c r="E32" i="10"/>
  <c r="E31" i="10"/>
  <c r="C32" i="10"/>
  <c r="M21" i="10"/>
  <c r="N21" i="10" s="1"/>
  <c r="C31" i="10" s="1"/>
  <c r="K6" i="3"/>
  <c r="K5" i="3" s="1"/>
  <c r="K21" i="3"/>
  <c r="L20" i="3" s="1"/>
  <c r="K19" i="3"/>
  <c r="L18" i="3" s="1"/>
  <c r="K23" i="3"/>
  <c r="K27" i="3"/>
  <c r="L26" i="3" s="1"/>
  <c r="K25" i="3"/>
  <c r="C34" i="3"/>
  <c r="K34" i="3" s="1"/>
  <c r="T8" i="3" s="1"/>
  <c r="C2" i="10" s="1"/>
  <c r="G44" i="10" s="1"/>
  <c r="G40" i="10" s="1"/>
  <c r="G46" i="10" s="1"/>
  <c r="K12" i="3"/>
  <c r="L11" i="3" s="1"/>
  <c r="K8" i="3"/>
  <c r="L7" i="3" s="1"/>
  <c r="K10" i="3"/>
  <c r="L9" i="3" s="1"/>
  <c r="C40" i="3"/>
  <c r="C39" i="3"/>
  <c r="G37" i="3"/>
  <c r="F39" i="3"/>
  <c r="E37" i="3"/>
  <c r="E39" i="3"/>
  <c r="D37" i="3"/>
  <c r="D39" i="3"/>
  <c r="H39" i="3"/>
  <c r="G39" i="3"/>
  <c r="H37" i="3"/>
  <c r="F29" i="3"/>
  <c r="H40" i="3"/>
  <c r="G40" i="3"/>
  <c r="F40" i="3"/>
  <c r="E40" i="3"/>
  <c r="D40" i="3"/>
  <c r="M5" i="3"/>
  <c r="G29" i="3"/>
  <c r="D29" i="3"/>
  <c r="E29" i="3"/>
  <c r="F37" i="3"/>
  <c r="C44" i="10" l="1"/>
  <c r="D44" i="10"/>
  <c r="D40" i="10" s="1"/>
  <c r="D46" i="10" s="1"/>
  <c r="E44" i="10"/>
  <c r="E40" i="10" s="1"/>
  <c r="E46" i="10" s="1"/>
  <c r="C40" i="10"/>
  <c r="C46" i="10" s="1"/>
  <c r="H44" i="10"/>
  <c r="H40" i="10" s="1"/>
  <c r="H46" i="10" s="1"/>
  <c r="I44" i="10"/>
  <c r="I40" i="10" s="1"/>
  <c r="I46" i="10" s="1"/>
  <c r="J44" i="10"/>
  <c r="J40" i="10" s="1"/>
  <c r="J46" i="10" s="1"/>
  <c r="K44" i="10"/>
  <c r="K40" i="10" s="1"/>
  <c r="K46" i="10" s="1"/>
  <c r="F44" i="10"/>
  <c r="F40" i="10" s="1"/>
  <c r="F46" i="10" s="1"/>
  <c r="K40" i="3"/>
  <c r="L33" i="3" s="1"/>
  <c r="L35" i="3" s="1"/>
  <c r="M20" i="3"/>
  <c r="M26" i="3"/>
  <c r="M18" i="3"/>
  <c r="L13" i="3"/>
  <c r="L24" i="3"/>
  <c r="L22" i="3"/>
  <c r="L28" i="3" s="1"/>
  <c r="L29" i="3" s="1"/>
  <c r="T5" i="3"/>
  <c r="N5" i="3"/>
  <c r="M7" i="3"/>
  <c r="M9" i="3"/>
  <c r="M11" i="3"/>
  <c r="L14" i="3" l="1"/>
  <c r="L17" i="3"/>
  <c r="L30" i="3" s="1"/>
  <c r="L37" i="3" s="1"/>
  <c r="L15" i="3"/>
  <c r="F28" i="10" s="1"/>
  <c r="M33" i="3"/>
  <c r="M35" i="3" s="1"/>
  <c r="M22" i="3"/>
  <c r="M24" i="3"/>
  <c r="N26" i="3"/>
  <c r="N18" i="3"/>
  <c r="N20" i="3"/>
  <c r="M13" i="3"/>
  <c r="N9" i="3"/>
  <c r="N11" i="3"/>
  <c r="O5" i="3"/>
  <c r="N7" i="3"/>
  <c r="F29" i="10" l="1"/>
  <c r="F32" i="10"/>
  <c r="F31" i="10"/>
  <c r="F30" i="10"/>
  <c r="N33" i="3"/>
  <c r="N35" i="3" s="1"/>
  <c r="M28" i="3"/>
  <c r="M29" i="3" s="1"/>
  <c r="M14" i="3"/>
  <c r="M15" i="3" s="1"/>
  <c r="G28" i="10" s="1"/>
  <c r="O18" i="3"/>
  <c r="O20" i="3"/>
  <c r="O26" i="3"/>
  <c r="N22" i="3"/>
  <c r="N24" i="3"/>
  <c r="N13" i="3"/>
  <c r="P5" i="3"/>
  <c r="O7" i="3"/>
  <c r="O9" i="3"/>
  <c r="O11" i="3"/>
  <c r="M17" i="3" l="1"/>
  <c r="M30" i="3" s="1"/>
  <c r="M37" i="3" s="1"/>
  <c r="N28" i="3"/>
  <c r="N29" i="3" s="1"/>
  <c r="G29" i="10"/>
  <c r="G32" i="10"/>
  <c r="G31" i="10"/>
  <c r="G30" i="10"/>
  <c r="O33" i="3"/>
  <c r="O35" i="3" s="1"/>
  <c r="N14" i="3"/>
  <c r="N17" i="3" s="1"/>
  <c r="O22" i="3"/>
  <c r="O24" i="3"/>
  <c r="P20" i="3"/>
  <c r="P26" i="3"/>
  <c r="P18" i="3"/>
  <c r="O13" i="3"/>
  <c r="Q5" i="3"/>
  <c r="P7" i="3"/>
  <c r="P9" i="3"/>
  <c r="P11" i="3"/>
  <c r="N15" i="3" l="1"/>
  <c r="H28" i="10" s="1"/>
  <c r="H29" i="10" s="1"/>
  <c r="N30" i="3"/>
  <c r="N37" i="3" s="1"/>
  <c r="H32" i="10"/>
  <c r="H31" i="10"/>
  <c r="H30" i="10"/>
  <c r="P33" i="3"/>
  <c r="P35" i="3" s="1"/>
  <c r="O14" i="3"/>
  <c r="O17" i="3" s="1"/>
  <c r="O28" i="3"/>
  <c r="O29" i="3" s="1"/>
  <c r="Q9" i="3"/>
  <c r="Q20" i="3"/>
  <c r="Q18" i="3"/>
  <c r="Q26" i="3"/>
  <c r="P24" i="3"/>
  <c r="P22" i="3"/>
  <c r="P13" i="3"/>
  <c r="Q7" i="3"/>
  <c r="Q11" i="3"/>
  <c r="O15" i="3" l="1"/>
  <c r="I28" i="10" s="1"/>
  <c r="P28" i="3"/>
  <c r="P29" i="3" s="1"/>
  <c r="P14" i="3"/>
  <c r="P15" i="3" s="1"/>
  <c r="J28" i="10" s="1"/>
  <c r="I29" i="10"/>
  <c r="I31" i="10"/>
  <c r="I32" i="10"/>
  <c r="I30" i="10"/>
  <c r="W10" i="3"/>
  <c r="O30" i="3"/>
  <c r="O37" i="3" s="1"/>
  <c r="Q22" i="3"/>
  <c r="Q24" i="3"/>
  <c r="Q33" i="3"/>
  <c r="Q35" i="3" s="1"/>
  <c r="Q13" i="3"/>
  <c r="P17" i="3" l="1"/>
  <c r="Q14" i="3"/>
  <c r="Q17" i="3" s="1"/>
  <c r="J29" i="10"/>
  <c r="J32" i="10"/>
  <c r="J30" i="10"/>
  <c r="J31" i="10"/>
  <c r="P30" i="3"/>
  <c r="P37" i="3" s="1"/>
  <c r="Q15" i="3"/>
  <c r="K28" i="10" s="1"/>
  <c r="Q28" i="3"/>
  <c r="Q29" i="3" s="1"/>
  <c r="K29" i="10" l="1"/>
  <c r="K31" i="10"/>
  <c r="K30" i="10"/>
  <c r="K32" i="10"/>
  <c r="Q30" i="3"/>
  <c r="W11" i="3" l="1"/>
  <c r="W9" i="3" s="1"/>
  <c r="Q37" i="3"/>
  <c r="L38" i="3" s="1"/>
  <c r="W13" i="3" l="1"/>
  <c r="W14" i="3" s="1"/>
  <c r="W15" i="3" s="1"/>
  <c r="W17" i="3" s="1"/>
  <c r="W2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Akul Veauli</author>
  </authors>
  <commentList>
    <comment ref="V5" authorId="0" shapeId="0" xr:uid="{92F33766-9D7B-44E5-A1DD-5078A22EB305}">
      <text>
        <r>
          <rPr>
            <b/>
            <sz val="9"/>
            <color indexed="81"/>
            <rFont val="Tahoma"/>
            <family val="2"/>
          </rPr>
          <t>Akul Veauli:</t>
        </r>
        <r>
          <rPr>
            <sz val="9"/>
            <color indexed="81"/>
            <rFont val="Tahoma"/>
            <family val="2"/>
          </rPr>
          <t xml:space="preserve">
Adjusted Close Price is 22.06</t>
        </r>
      </text>
    </comment>
    <comment ref="T10" authorId="0" shapeId="0" xr:uid="{008151A6-C9D1-4F17-84B8-78ACB7B278F0}">
      <text>
        <r>
          <rPr>
            <b/>
            <sz val="9"/>
            <color indexed="81"/>
            <rFont val="Tahoma"/>
            <family val="2"/>
          </rPr>
          <t>Akul Veauli:</t>
        </r>
        <r>
          <rPr>
            <sz val="9"/>
            <color indexed="81"/>
            <rFont val="Tahoma"/>
            <family val="2"/>
          </rPr>
          <t xml:space="preserve">
Based on current 5 year beta</t>
        </r>
      </text>
    </comment>
    <comment ref="V14" authorId="0" shapeId="0" xr:uid="{7BAB8F64-6DFF-4837-95B8-5E48E9C1643B}">
      <text>
        <r>
          <rPr>
            <b/>
            <sz val="9"/>
            <color indexed="81"/>
            <rFont val="Tahoma"/>
            <family val="2"/>
          </rPr>
          <t>Akul Veauli:</t>
        </r>
        <r>
          <rPr>
            <sz val="9"/>
            <color indexed="81"/>
            <rFont val="Tahoma"/>
            <family val="2"/>
          </rPr>
          <t xml:space="preserve">
This is where the minority interest of 45% that vodafone owned comes into play.
Up till now we have been granting 100% of Verizon's FCF to itself. Firstly We will take Equity Value of the whole firm, then take 45% of that away as that belongs to Vodafone. After that we get the share price for Verizon assuming they didn't buy back this stake</t>
        </r>
      </text>
    </comment>
    <comment ref="B16" authorId="0" shapeId="0" xr:uid="{954E5BB5-9F33-4132-90C3-9E5F8D38EB16}">
      <text>
        <r>
          <rPr>
            <b/>
            <sz val="9"/>
            <color rgb="FF000000"/>
            <rFont val="Tahoma"/>
            <family val="2"/>
          </rPr>
          <t>Akul Veauli: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Based on broader 10 year normalized calculation ETR works out to be 23.19%</t>
        </r>
      </text>
    </comment>
    <comment ref="V19" authorId="0" shapeId="0" xr:uid="{0908233C-6AB1-4E09-93C3-624588D8B378}">
      <text>
        <r>
          <rPr>
            <b/>
            <sz val="9"/>
            <color rgb="FF000000"/>
            <rFont val="Tahoma"/>
            <family val="2"/>
          </rPr>
          <t>Akul Veauli: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Assuming growth at Inflation</t>
        </r>
      </text>
    </comment>
    <comment ref="V20" authorId="0" shapeId="0" xr:uid="{435D2634-DE5C-4FAD-875F-702302B414DA}">
      <text>
        <r>
          <rPr>
            <b/>
            <sz val="9"/>
            <color indexed="81"/>
            <rFont val="Tahoma"/>
            <family val="2"/>
          </rPr>
          <t>Akul Veauli:</t>
        </r>
        <r>
          <rPr>
            <sz val="9"/>
            <color indexed="81"/>
            <rFont val="Tahoma"/>
            <family val="2"/>
          </rPr>
          <t xml:space="preserve">
Industry Standard in 2012 was about 6-8x, as verizon is a larger player I gave it a multiple on the higher end of the scale.</t>
        </r>
      </text>
    </comment>
    <comment ref="V23" authorId="0" shapeId="0" xr:uid="{61F209B7-A0E8-4AEF-B324-EC0AEDF2565A}">
      <text>
        <r>
          <rPr>
            <b/>
            <sz val="9"/>
            <color rgb="FF000000"/>
            <rFont val="Tahoma"/>
            <family val="2"/>
          </rPr>
          <t>Akul Veauli: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 of December 31st 2018 MOC price was 56.22. Adjusted close was 37.65</t>
        </r>
      </text>
    </comment>
    <comment ref="K40" authorId="0" shapeId="0" xr:uid="{61186B9E-25A3-4FBD-B4F5-1CDBFF07416E}">
      <text>
        <r>
          <rPr>
            <b/>
            <sz val="9"/>
            <color indexed="81"/>
            <rFont val="Tahoma"/>
            <family val="2"/>
          </rPr>
          <t>Akul Veauli:</t>
        </r>
        <r>
          <rPr>
            <sz val="9"/>
            <color indexed="81"/>
            <rFont val="Tahoma"/>
            <family val="2"/>
          </rPr>
          <t xml:space="preserve">
Normalized Debt/Ebitda to forcast total debt growth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<sst xmlns="http://schemas.openxmlformats.org/spreadsheetml/2006/main" count="912" uniqueCount="447">
  <si>
    <t>VERIZON / VODAFONE  – M&amp;A Deal Analysis</t>
  </si>
  <si>
    <t>Transaction: Verizon acquires Vodafone's 45% stake in Verizon Wireless  |  Announced Sep 2 2013  |  Closed Feb 21 2014</t>
  </si>
  <si>
    <t>Currently Running</t>
  </si>
  <si>
    <t>Base Case</t>
  </si>
  <si>
    <t>All Data From:</t>
  </si>
  <si>
    <t>Pitchbook</t>
  </si>
  <si>
    <t>Verizon SEC 10k Filings</t>
  </si>
  <si>
    <t>Bloomberg</t>
  </si>
  <si>
    <t>Yahoo Finance</t>
  </si>
  <si>
    <t>Federal Reserve Economic Data - St. Louis Fed</t>
  </si>
  <si>
    <t>VERIZON / VODAFONE  – Data Validation</t>
  </si>
  <si>
    <t>Used for BBB case switching</t>
  </si>
  <si>
    <t>Case Switcher</t>
  </si>
  <si>
    <t>Verizon Rev Growth Rates</t>
  </si>
  <si>
    <t>Vodafone Rev Growth Rates</t>
  </si>
  <si>
    <t>Bear Case</t>
  </si>
  <si>
    <t>Bull Case</t>
  </si>
  <si>
    <t>Counterfactual DCF Assuming Verizon Continued after 2012</t>
  </si>
  <si>
    <t>Historical Financials, All Amounts in Thousands</t>
  </si>
  <si>
    <t>Forecasted Financials, All Amounts in Thousands</t>
  </si>
  <si>
    <t>WACC Calculations, All Amounts as Normal</t>
  </si>
  <si>
    <t>Implied Share Price Assuming No Deal with Vodafone</t>
  </si>
  <si>
    <t>Merger Announced</t>
  </si>
  <si>
    <t>Merger Closed</t>
  </si>
  <si>
    <t>Operating and Financial Summary</t>
  </si>
  <si>
    <t>FY2009</t>
  </si>
  <si>
    <t>FY2010</t>
  </si>
  <si>
    <t>FY2011</t>
  </si>
  <si>
    <t>FY2012</t>
  </si>
  <si>
    <t>FY2013</t>
  </si>
  <si>
    <t>FY2014</t>
  </si>
  <si>
    <t>CAGR</t>
  </si>
  <si>
    <t>Rev Growth Rate</t>
  </si>
  <si>
    <t>Average</t>
  </si>
  <si>
    <t>FY2015</t>
  </si>
  <si>
    <t>FY2016</t>
  </si>
  <si>
    <t>FY2017</t>
  </si>
  <si>
    <t>FY2018</t>
  </si>
  <si>
    <t>Revenue</t>
  </si>
  <si>
    <t>WACC Calculation</t>
  </si>
  <si>
    <t>December 31st 2012 MOC Price</t>
  </si>
  <si>
    <t>Growth %</t>
  </si>
  <si>
    <t>-</t>
  </si>
  <si>
    <t>Fully Diluted Shares O/S</t>
  </si>
  <si>
    <t>COGS</t>
  </si>
  <si>
    <t>RF rate</t>
  </si>
  <si>
    <t>Market Cap</t>
  </si>
  <si>
    <t>% of Rev</t>
  </si>
  <si>
    <t xml:space="preserve">AVG Cost of debt </t>
  </si>
  <si>
    <t>EBITDA</t>
  </si>
  <si>
    <t>TV</t>
  </si>
  <si>
    <t>Beta</t>
  </si>
  <si>
    <t>Exit Multiple</t>
  </si>
  <si>
    <t>D&amp;A</t>
  </si>
  <si>
    <t>Rm</t>
  </si>
  <si>
    <t xml:space="preserve">Perpetuity Growth </t>
  </si>
  <si>
    <t>EBIT</t>
  </si>
  <si>
    <t>CAPM</t>
  </si>
  <si>
    <t>Enterprise Value</t>
  </si>
  <si>
    <t>EBT</t>
  </si>
  <si>
    <t>Equity Value Firm</t>
  </si>
  <si>
    <t>Income Tax</t>
  </si>
  <si>
    <t>Tax Rate</t>
  </si>
  <si>
    <t>Equity Value Verizon</t>
  </si>
  <si>
    <t>ETR</t>
  </si>
  <si>
    <t>NOPAT</t>
  </si>
  <si>
    <t xml:space="preserve">Value of firm </t>
  </si>
  <si>
    <t>Implied Share price</t>
  </si>
  <si>
    <t>Capex</t>
  </si>
  <si>
    <t>MKT Cap</t>
  </si>
  <si>
    <t>Total Debt</t>
  </si>
  <si>
    <t>Growth rate</t>
  </si>
  <si>
    <t>AR</t>
  </si>
  <si>
    <t>Multiple</t>
  </si>
  <si>
    <t>Inventory</t>
  </si>
  <si>
    <t>Counterfactual Growth %</t>
  </si>
  <si>
    <t>% of COGS</t>
  </si>
  <si>
    <t>Realized Growth %</t>
  </si>
  <si>
    <t>AP</t>
  </si>
  <si>
    <t>Accrued Expenses</t>
  </si>
  <si>
    <t>NWC</t>
  </si>
  <si>
    <t>Changes in NWC</t>
  </si>
  <si>
    <t>FCFF</t>
  </si>
  <si>
    <t>Short Term Debt</t>
  </si>
  <si>
    <t>LT Debt</t>
  </si>
  <si>
    <t>Avg Int Rate</t>
  </si>
  <si>
    <t>Interest Expense</t>
  </si>
  <si>
    <t>C&amp;CE</t>
  </si>
  <si>
    <t>Net Debt</t>
  </si>
  <si>
    <t>Discounted FCF</t>
  </si>
  <si>
    <t>Total Shareholder Equity</t>
  </si>
  <si>
    <t>Sum of FCF</t>
  </si>
  <si>
    <t>Debt to Equity</t>
  </si>
  <si>
    <t>Debt to Ebitda</t>
  </si>
  <si>
    <t>Buyback Accretion</t>
  </si>
  <si>
    <t>Share Price</t>
  </si>
  <si>
    <t>Amount of shares Bought Back</t>
  </si>
  <si>
    <t>New Share Count</t>
  </si>
  <si>
    <t>New Share Price</t>
  </si>
  <si>
    <t>Average Repurchase Price</t>
  </si>
  <si>
    <t>Actual Shares bought back</t>
  </si>
  <si>
    <t>Actual Shares Remaining</t>
  </si>
  <si>
    <t>Total Budget</t>
  </si>
  <si>
    <t>Cash (new debt + BS)</t>
  </si>
  <si>
    <t>CCE 2012</t>
  </si>
  <si>
    <t>5B Buyback</t>
  </si>
  <si>
    <t>10B Buyback</t>
  </si>
  <si>
    <t>20B Buyback</t>
  </si>
  <si>
    <t>Net Income</t>
  </si>
  <si>
    <t>EPS No Buybacks</t>
  </si>
  <si>
    <t>EPS 5B</t>
  </si>
  <si>
    <t>EPS 10B</t>
  </si>
  <si>
    <t>EPS 20B</t>
  </si>
  <si>
    <t>New Net Income</t>
  </si>
  <si>
    <t>Debt Repaid</t>
  </si>
  <si>
    <t>Old Net Income</t>
  </si>
  <si>
    <t>Interest Savings</t>
  </si>
  <si>
    <t>Average Interest Rate</t>
  </si>
  <si>
    <t>New EPS</t>
  </si>
  <si>
    <t>VERIZON / VODAFONE  –  EPS ACCRETION / DILUTION MODEL  (v1)</t>
  </si>
  <si>
    <t xml:space="preserve">  A.  ACQUIRER  –  VERIZON COMMUNICATIONS (VZ)</t>
  </si>
  <si>
    <t xml:space="preserve">  B.  TARGET / DEAL TERMS  –  VODAFONE 45% STAKE</t>
  </si>
  <si>
    <t>Assumption</t>
  </si>
  <si>
    <t>Value</t>
  </si>
  <si>
    <t>Notes / Source</t>
  </si>
  <si>
    <t>Share Price (at announcement)</t>
  </si>
  <si>
    <t>Bloomberg, Sep 2 2013</t>
  </si>
  <si>
    <t>Total Transaction Value ($mm)</t>
  </si>
  <si>
    <t>VZ press release, Sep 2 2013</t>
  </si>
  <si>
    <t>Diluted Shares Outstanding (mm)</t>
  </si>
  <si>
    <t>VZ 10-K FY2013, p.38</t>
  </si>
  <si>
    <t xml:space="preserve">  Cash Consideration ($mm)</t>
  </si>
  <si>
    <t>VZ 8-K, Sep 2 2013</t>
  </si>
  <si>
    <t>Market Capitalization ($mm)</t>
  </si>
  <si>
    <t>Calculated</t>
  </si>
  <si>
    <t xml:space="preserve">  VZ Stock Consideration ($mm)</t>
  </si>
  <si>
    <t>VZ 8-K Sep 2 2013 (new VZ shares)</t>
  </si>
  <si>
    <t>Net Debt ($mm)</t>
  </si>
  <si>
    <t>VZ 10-K FY2013, p.42</t>
  </si>
  <si>
    <t xml:space="preserve">  Verizon Notes to Vodafone ($mm)</t>
  </si>
  <si>
    <t>8.5-yr notes, 5.9% coupon</t>
  </si>
  <si>
    <t>Enterprise Value ($mm)</t>
  </si>
  <si>
    <t xml:space="preserve">  Other (Omnitel stake, misc.) ($mm)</t>
  </si>
  <si>
    <t>Historical Net Income – 2009 ($mm)</t>
  </si>
  <si>
    <t>VZ 10-K FY2009 (SEC EDGAR)</t>
  </si>
  <si>
    <t>New Shares Issued (mm)</t>
  </si>
  <si>
    <t>VZ 8-K – 1,274mm new VZ shares</t>
  </si>
  <si>
    <t>Historical Net Income – 2010 ($mm)</t>
  </si>
  <si>
    <t>VZ 10-K FY2010 (SEC EDGAR)</t>
  </si>
  <si>
    <t>Issue Price (implied)</t>
  </si>
  <si>
    <t>Avg. price at closing</t>
  </si>
  <si>
    <t>Historical Net Income – 2011 ($mm)</t>
  </si>
  <si>
    <t>VZ 10-K FY2011 (SEC EDGAR)</t>
  </si>
  <si>
    <t>Historical Net Income – 2012 ($mm)</t>
  </si>
  <si>
    <t>VZ 10-K FY2012 (SEC EDGAR)</t>
  </si>
  <si>
    <t>New Debt Raised ($mm)</t>
  </si>
  <si>
    <t>VZ record bond offering, Feb 2014</t>
  </si>
  <si>
    <t>Historical Net Income – 2013 ($mm)</t>
  </si>
  <si>
    <t>VZ 10-K FY2013, p.50 (55% VZW share)</t>
  </si>
  <si>
    <t>Blended Interest Rate on New Debt</t>
  </si>
  <si>
    <t>Weighted avg. coupon assumption</t>
  </si>
  <si>
    <t>5-Yr Trailing CAGR (2009–2013)</t>
  </si>
  <si>
    <t>CAGR preferred; YoY avg distorted by 2012 dip &amp; 2013 Vodafone distributions</t>
  </si>
  <si>
    <t>Updated: 23.19% blended effective rate</t>
  </si>
  <si>
    <t>After-tax Interest Cost ($mm) – Yr 1</t>
  </si>
  <si>
    <t>LTM Net Income Attr. to VZ ($mm)</t>
  </si>
  <si>
    <t>2013 actuals (55% VZW ownership)</t>
  </si>
  <si>
    <t>Standalone EPS (Diluted)</t>
  </si>
  <si>
    <t>Annual Synergies ($mm) – Pre-Tax</t>
  </si>
  <si>
    <t>Conservative; VZ guided $1B+ LT</t>
  </si>
  <si>
    <t>D&amp;A on Purchase Price Step-Up ($mm/yr)</t>
  </si>
  <si>
    <t>Est. incremental amortization</t>
  </si>
  <si>
    <t>NI Growth Rate (Yr 2) – 5yr Trailing CAGR</t>
  </si>
  <si>
    <t>Linked from 5-yr CAGR above</t>
  </si>
  <si>
    <t>Yr 1 Transaction/Integration Costs ($mm)</t>
  </si>
  <si>
    <t>One-time costs, Year 1 only</t>
  </si>
  <si>
    <t>NI Growth Rate (Yr 3) – 5yr Trailing CAGR</t>
  </si>
  <si>
    <t>Same rate applied; sensitivities on sheet 2</t>
  </si>
  <si>
    <t>Pro Forma Net Income – Year 1 ($mm)</t>
  </si>
  <si>
    <t>Mgmt guidance, Feb 2014 IR presentation</t>
  </si>
  <si>
    <t>Pro Forma Net Income – Year 2 ($mm)</t>
  </si>
  <si>
    <t>Calculated using 5-yr CAGR</t>
  </si>
  <si>
    <t>Pro Forma Net Income – Year 3 ($mm)</t>
  </si>
  <si>
    <t>Color Key:   Blue = Hardcoded Input     Black = Formula     Green = Cross-sheet link</t>
  </si>
  <si>
    <t>VERIZON / VODAFONE  –  EPS ACCRETION / DILUTION ANALYSIS  (v1)</t>
  </si>
  <si>
    <t>$mm unless noted  |  NI growth = 5-yr trailing CAGR (23.8%)  |  Tax Rate = 23.19%</t>
  </si>
  <si>
    <t>Description</t>
  </si>
  <si>
    <t>Year 1 (FY2014E)</t>
  </si>
  <si>
    <t>Year 2 (FY2015E)</t>
  </si>
  <si>
    <t>Year 3 (FY2016E)</t>
  </si>
  <si>
    <t xml:space="preserve">  1.  PRO FORMA SHARE COUNT</t>
  </si>
  <si>
    <t>Standalone Diluted Shares (mm)</t>
  </si>
  <si>
    <t xml:space="preserve">  (+) New Shares Issued to Vodafone (mm)</t>
  </si>
  <si>
    <t>Pro Forma Diluted Shares (mm)</t>
  </si>
  <si>
    <t xml:space="preserve">  2.  STANDALONE EPS  (55% VZW OWNERSHIP)</t>
  </si>
  <si>
    <t>Standalone Net Income ($mm)</t>
  </si>
  <si>
    <t>STANDALONE EPS (Diluted)</t>
  </si>
  <si>
    <t xml:space="preserve">  3.  PRO FORMA NET INCOME BRIDGE  ($MM)</t>
  </si>
  <si>
    <t xml:space="preserve">  (+) Incr. NI from 100% VZW Ownership</t>
  </si>
  <si>
    <t xml:space="preserve">  (-) After-tax Interest on New Debt</t>
  </si>
  <si>
    <t xml:space="preserve">  (+) After-tax Synergies</t>
  </si>
  <si>
    <t xml:space="preserve">  (-) D&amp;A on Purchase Price Step-Up</t>
  </si>
  <si>
    <t xml:space="preserve">  (-) Transaction / Integration Costs</t>
  </si>
  <si>
    <t>PRO FORMA NET INCOME ($mm)</t>
  </si>
  <si>
    <t xml:space="preserve">  4.  PRO FORMA EPS  &amp;  ACCRETION / (DILUTION)</t>
  </si>
  <si>
    <t>Pro Forma Net Income ($mm)</t>
  </si>
  <si>
    <t>PRO FORMA EPS (Diluted)</t>
  </si>
  <si>
    <t>Standalone EPS</t>
  </si>
  <si>
    <t>Pro Forma EPS</t>
  </si>
  <si>
    <t>$ Accretion / (Dilution)</t>
  </si>
  <si>
    <t>% Accretion / (Dilution)</t>
  </si>
  <si>
    <t>VERIZON / VODAFONE  –  YEAR 3 EPS SENSITIVITY ANALYSIS</t>
  </si>
  <si>
    <t>Vary Pre-Tax Synergies ($mm) vs. Pro Forma NI Growth Rate (5-yr CAGR base = 23.8%)</t>
  </si>
  <si>
    <t>TABLE 1  –  PRO FORMA EPS (YEAR 3)</t>
  </si>
  <si>
    <t>Synergies ($mm) ↓  /  NI Grwth →</t>
  </si>
  <si>
    <t>10.0%</t>
  </si>
  <si>
    <t>15.0%</t>
  </si>
  <si>
    <t>23.8% (Base)</t>
  </si>
  <si>
    <t>30.0%</t>
  </si>
  <si>
    <t>35.0%</t>
  </si>
  <si>
    <t>40.0%</t>
  </si>
  <si>
    <t>TABLE 2  –  % ACCRETION / (DILUTION)  (YEAR 3)</t>
  </si>
  <si>
    <t>VERIZON / VODAFONE  –  DEAL STRUCTURE &amp; CONSIDERATION</t>
  </si>
  <si>
    <t>Breakdown of $130bn total consideration  |  Closed February 21, 2014</t>
  </si>
  <si>
    <t>Consideration Component</t>
  </si>
  <si>
    <t>Amount ($mm)</t>
  </si>
  <si>
    <t>% of Total</t>
  </si>
  <si>
    <t>Notes</t>
  </si>
  <si>
    <t>Cash (new debt + balance sheet)</t>
  </si>
  <si>
    <t>Record bond offering at time ($49bn new debt)</t>
  </si>
  <si>
    <t>Verizon Stock (new shares)</t>
  </si>
  <si>
    <t>1,274mm new VZ shares issued to Vodafone</t>
  </si>
  <si>
    <t>Verizon Notes to Vodafone</t>
  </si>
  <si>
    <t>Other (Omnitel, misc.)</t>
  </si>
  <si>
    <t>Verizon Italy stake + other</t>
  </si>
  <si>
    <t>TOTAL CONSIDERATION</t>
  </si>
  <si>
    <t>Announced Sep 2, 2013</t>
  </si>
  <si>
    <t xml:space="preserve">  OWNERSHIP  –  VERIZON WIRELESS</t>
  </si>
  <si>
    <t>Entity</t>
  </si>
  <si>
    <t>Pre-Deal %</t>
  </si>
  <si>
    <t>Post-Deal %</t>
  </si>
  <si>
    <t>Change</t>
  </si>
  <si>
    <t>Verizon Communications</t>
  </si>
  <si>
    <t>Vodafone Group</t>
  </si>
  <si>
    <t>VERIZON / VODAFONE  –  EPS ACCRETION / DILUTION MODEL  (v3)</t>
  </si>
  <si>
    <t>VZ 10-K FY2013, p.38 (SEC EDGAR)</t>
  </si>
  <si>
    <t>Historical NI – 2008 ($mm)</t>
  </si>
  <si>
    <t>VZ 10-K FY2010; pension remeasurement loss renders 2008 NI negative</t>
  </si>
  <si>
    <t>Historical NI – 2009 ($mm)</t>
  </si>
  <si>
    <t>VZ 10-K FY2012 (SEC EDGAR), Selected Financial Data</t>
  </si>
  <si>
    <t>Historical NI – 2010 ($mm)</t>
  </si>
  <si>
    <t>Historical NI – 2011 ($mm)</t>
  </si>
  <si>
    <t>Historical NI – 2012 ($mm)</t>
  </si>
  <si>
    <t>VZ 10-K FY2013 (SEC EDGAR), Selected Financial Data</t>
  </si>
  <si>
    <t>5-Yr CAGR 2008–2012</t>
  </si>
  <si>
    <t>N/A – neg. base</t>
  </si>
  <si>
    <t>⚠ 2008 NI is negative (pension charge) → CAGR undefined; see note below</t>
  </si>
  <si>
    <t>23.19% blended effective rate</t>
  </si>
  <si>
    <t>NI Growth Rate – Analyst Consensus</t>
  </si>
  <si>
    <t>Buy-side consensus fwd EPS growth for VZ at time of deal (FactSet ~5–6%)</t>
  </si>
  <si>
    <t xml:space="preserve">  Used for Year 2 growth</t>
  </si>
  <si>
    <t>Linked from consensus rate</t>
  </si>
  <si>
    <t xml:space="preserve">  Used for Year 3 growth</t>
  </si>
  <si>
    <t>Calculated using consensus growth</t>
  </si>
  <si>
    <t>⚠  NOTE: 2008–2012 CAGR cannot be calculated because 2008 VZ net income was $(2,193)mm (negative), driven by a large non-cash pension/OPEB remeasurement loss. A CAGR from a negative base is mathematically undefined. Analyst consensus forward growth (~5.5%) is used instead as the industry-standard approach for accretion/dilution models.</t>
  </si>
  <si>
    <t>VERIZON / VODAFONE  –  EPS ACCRETION / DILUTION ANALYSIS  (v2)</t>
  </si>
  <si>
    <t>NI growth = analyst consensus ~5.5%  |  Tax Rate = 23.19%  |  $mm unless noted</t>
  </si>
  <si>
    <t>Color Key:   Green fill = Accretive     Red fill = Dilutive     Yellow = Breakeven (±2%)</t>
  </si>
  <si>
    <t>Vary Pre-Tax Synergies ($mm) vs. NI Growth Rate  |  Base: Synergies=$500mm, Growth=5.5%</t>
  </si>
  <si>
    <t>TABLE 1  –  PRO FORMA EPS  (YEAR 3)</t>
  </si>
  <si>
    <t>Synergies ($mm) ↓  /  Growth →</t>
  </si>
  <si>
    <t>3.0%</t>
  </si>
  <si>
    <t>4.0%</t>
  </si>
  <si>
    <t>5.5% (Base)</t>
  </si>
  <si>
    <t>7.0%</t>
  </si>
  <si>
    <t>9.0%</t>
  </si>
  <si>
    <t>11.0%</t>
  </si>
  <si>
    <t>Green = Accretive  |  Red = Dilutive  |  Yellow = Breakeven (±2%)  |  Base: $500mm synergies, 5.5% growth</t>
  </si>
  <si>
    <t>Record bond offering ($49bn new debt)</t>
  </si>
  <si>
    <t>1,274mm new VZ shares issued</t>
  </si>
  <si>
    <t>Verizon Italy + other non-cash</t>
  </si>
  <si>
    <t>Pre-Deal</t>
  </si>
  <si>
    <t>Post-Deal</t>
  </si>
  <si>
    <t>VERIZON / VODAFONE  –  EPS ACCRETION MODEL - PREVIOUS VERSIONS HIDDEN</t>
  </si>
  <si>
    <t>NI growth rate per instruction (4.0%) for VZ at time of deal (FactSet ~5–6%)</t>
  </si>
  <si>
    <t>⚠  NOTE: 2008–2012 CAGR cannot be calculated because 2008 VZ net income was $(2,193)mm (negative), driven by a large non-cash pension/OPEB remeasurement loss. A CAGR from a negative base is mathematically undefined. NI growth rate of 4.0% is used per instruction. used instead as the industry-standard approach for accretion/dilution models.</t>
  </si>
  <si>
    <t>VERIZON / VODAFONE  –  EPS ACCRETION / DILUTION ANALYSIS  (v3)</t>
  </si>
  <si>
    <t>NI growth = 4.0%  |  Tax Rate = 23.19%  |  $mm unless noted</t>
  </si>
  <si>
    <t>Vary Pre-Tax Synergies ($mm) vs. NI Growth Rate  |  Base: Synergies=$500mm, Growth=4.0%</t>
  </si>
  <si>
    <t>2.0%</t>
  </si>
  <si>
    <t>4.0% (Base)</t>
  </si>
  <si>
    <t>5.0%</t>
  </si>
  <si>
    <t>6.0%</t>
  </si>
  <si>
    <t>$ Amount</t>
  </si>
  <si>
    <t>Item</t>
  </si>
  <si>
    <t>FY2012A</t>
  </si>
  <si>
    <t>FY2013A</t>
  </si>
  <si>
    <t>FY2014A</t>
  </si>
  <si>
    <t>FY2013E</t>
  </si>
  <si>
    <t>FY2014E</t>
  </si>
  <si>
    <t>FY2015E</t>
  </si>
  <si>
    <t>FY2016E</t>
  </si>
  <si>
    <t>FY2017E</t>
  </si>
  <si>
    <t>FY2018E</t>
  </si>
  <si>
    <t>Case</t>
  </si>
  <si>
    <t>Paydown Amounts</t>
  </si>
  <si>
    <t>Paydown Switcher</t>
  </si>
  <si>
    <t>$5B</t>
  </si>
  <si>
    <t>$10B</t>
  </si>
  <si>
    <t>$20B</t>
  </si>
  <si>
    <t>VERIZON / VODAFONE  –  EPS ACCRETION / DILUTION MODEL  (v4)</t>
  </si>
  <si>
    <t>VERIZON / VODAFONE  –  EPS ACCRETION / DILUTION ANALYSIS  (v4)</t>
  </si>
  <si>
    <t>VERIZON / VODAFONE  –  COUNTERFACTUAL ANALYSIS</t>
  </si>
  <si>
    <t>VERIZON / VODAFONE  –  ROIC VS WACC ANALYSIS</t>
  </si>
  <si>
    <t xml:space="preserve">  11. Color coding: Blue = hardcoded input assumptions; Black = formula / calculation; Green background = value creating (ROIC &gt; WACC); Red background = value destroying</t>
  </si>
  <si>
    <t xml:space="preserve">  10. 2018 tax rate drop from 35% to ~21% reflects Tax Cuts &amp; Jobs Act; boosts NOPAT and ROIC mechanically</t>
  </si>
  <si>
    <t xml:space="preserve">  9. WACC = Wd × Kd(1−t) + We × Ke, where weights are book-value based for consistency with ROIC denominator</t>
  </si>
  <si>
    <t xml:space="preserve">  8. Pre-Tax Cost of Debt: Approximated as interest expense / average gross debt per Verizon 10-K; blended coupon rate</t>
  </si>
  <si>
    <t xml:space="preserve">  7. Beta: 5-year monthly regression vs. S&amp;P 500 (Bloomberg; post-deal beta rises reflecting increased financial leverage from $59 Bn debt issuance)</t>
  </si>
  <si>
    <t xml:space="preserve">  6. Equity Risk Premium: Damodaran implied ERP estimates (pages.stern.nyu.edu/~adamodar), Jan 1 of each year</t>
  </si>
  <si>
    <t xml:space="preserve">  5. Risk-Free Rate: 10-year constant-maturity US Treasury yield (Federal Reserve H.15, annual average)</t>
  </si>
  <si>
    <t xml:space="preserve">  4. Goodwill spike in 2014 reflects ~$70 Bn step-up from Vodafone purchase price allocation across spectrum &amp; subscriber intangibles</t>
  </si>
  <si>
    <t xml:space="preserve">  3. Invested Capital = Total Debt (short-term + long-term) + Total Book Equity; excludes non-interest-bearing current liabilities</t>
  </si>
  <si>
    <t xml:space="preserve">  2. NOPAT = EBIT × (1 − Effective Tax Rate). Effective tax rate derived from income tax expense / pre-tax income per 10-K</t>
  </si>
  <si>
    <t xml:space="preserve">  1. Revenue / EBIT / Debt / Equity: Verizon Communications 10-K filings FY2011–FY2018 (SEC EDGAR)</t>
  </si>
  <si>
    <t>SOURCES &amp; METHODOLOGY</t>
  </si>
  <si>
    <t>Economic Profit  [Spread × Avg IC] ($mm)</t>
  </si>
  <si>
    <t xml:space="preserve"> VALUE CREATING</t>
  </si>
  <si>
    <t>VALUE CREATING</t>
  </si>
  <si>
    <t>VALUE DESTROYING</t>
  </si>
  <si>
    <t>Verdict</t>
  </si>
  <si>
    <t>Spread  (ROIC − WACC)</t>
  </si>
  <si>
    <t>WACC</t>
  </si>
  <si>
    <t>ROIC  [NOPAT / Avg Invested Capital]</t>
  </si>
  <si>
    <t>ROIC vs. WACC — VALUE SPREAD</t>
  </si>
  <si>
    <t>WACC  [Wd×Kd + We×Ke]</t>
  </si>
  <si>
    <t>Equity Weight  [E/(D+E)]</t>
  </si>
  <si>
    <t>Debt Weight  [D/(D+E)]</t>
  </si>
  <si>
    <t>After-Tax Cost of Debt  [Kd×(1−t)]</t>
  </si>
  <si>
    <t>Pre-Tax Cost of Debt</t>
  </si>
  <si>
    <t>Cost of Equity  [Rf + β×ERP]</t>
  </si>
  <si>
    <t>Beta (VZ, 5yr monthly)</t>
  </si>
  <si>
    <t>Equity Risk Premium</t>
  </si>
  <si>
    <t>Risk-Free Rate (10yr UST)</t>
  </si>
  <si>
    <t>WACC COMPONENTS</t>
  </si>
  <si>
    <t>Average Invested Capital</t>
  </si>
  <si>
    <t>Invested Capital  [=Debt+Equity]</t>
  </si>
  <si>
    <t>Goodwill &amp; Intangibles</t>
  </si>
  <si>
    <t>Total Equity (BV)</t>
  </si>
  <si>
    <t>Total Debt (BV)</t>
  </si>
  <si>
    <t>BALANCE SHEET INPUTS ($mm)</t>
  </si>
  <si>
    <t>NOPAT  [=EBIT×(1−Tax Rate)]</t>
  </si>
  <si>
    <t>Effective Tax Rate</t>
  </si>
  <si>
    <t>EBIT (Operating Income)</t>
  </si>
  <si>
    <t>INCOME STATEMENT INPUTS ($mm)</t>
  </si>
  <si>
    <t>2018</t>
  </si>
  <si>
    <t>2017</t>
  </si>
  <si>
    <t>2016</t>
  </si>
  <si>
    <t>2015</t>
  </si>
  <si>
    <t>2014</t>
  </si>
  <si>
    <t>2013</t>
  </si>
  <si>
    <t>2012</t>
  </si>
  <si>
    <t>2011</t>
  </si>
  <si>
    <t>Metric</t>
  </si>
  <si>
    <t>◀  POST-DEAL INTEGRATION  ▶</t>
  </si>
  <si>
    <t>CLOSING</t>
  </si>
  <si>
    <t>◀  PRE-DEAL BASELINE  ▶</t>
  </si>
  <si>
    <t>Verizon acquired Vodafone's 45% minority interest in Verizon Wireless on Feb 21, 2014  |  Deal value: ~$130 Bn  |  Cash: ~$58.9 Bn  |  Stock: ~$61.3 Bn
Analysis spans 2011–2018: pre-deal baseline → announcement → closing → post-deal integration</t>
  </si>
  <si>
    <t>VERIZON COMMUNICATIONS  |  ROIC vs. WACC — VALUE CREATION / DESTRUCTION ANALYSIS</t>
  </si>
  <si>
    <t>Still positive but spread compressed substantially at closing</t>
  </si>
  <si>
    <t>~−1.4 pp</t>
  </si>
  <si>
    <t>~+6.0%</t>
  </si>
  <si>
    <t>~+7.4%</t>
  </si>
  <si>
    <t>Spread (ROIC − WACC)</t>
  </si>
  <si>
    <t>Diluted by massive IC base; not yet earning deal's required return</t>
  </si>
  <si>
    <t>~−1.9 pp</t>
  </si>
  <si>
    <t>~9.5%</t>
  </si>
  <si>
    <t>~11.4%</t>
  </si>
  <si>
    <t>ROIC</t>
  </si>
  <si>
    <t>Large jump from goodwill/intangibles step-up</t>
  </si>
  <si>
    <t>~+36%</t>
  </si>
  <si>
    <t>~136,000</t>
  </si>
  <si>
    <t>~100,000</t>
  </si>
  <si>
    <t>Avg Invested Capital ($mm)</t>
  </si>
  <si>
    <t>Full wireless consolidation boosts NOPAT</t>
  </si>
  <si>
    <t>~+12.5%</t>
  </si>
  <si>
    <t>~12,855</t>
  </si>
  <si>
    <t>~11,430</t>
  </si>
  <si>
    <t>NOPAT ($mm)</t>
  </si>
  <si>
    <t>WACC FELL — low-rate environment; new cheap debt dominates</t>
  </si>
  <si>
    <t>~−0.5 pp</t>
  </si>
  <si>
    <t>~3.5%</t>
  </si>
  <si>
    <t>~4.0%</t>
  </si>
  <si>
    <t>Lower coupon on new bonds + lower effective tax rate blend</t>
  </si>
  <si>
    <t>−0.33 pp</t>
  </si>
  <si>
    <t>2.99%</t>
  </si>
  <si>
    <t>3.32%</t>
  </si>
  <si>
    <t>After-Tax Cost of Debt (Kd)</t>
  </si>
  <si>
    <t>Roughly flat — benefit of low Rf offset by slightly higher beta</t>
  </si>
  <si>
    <t>+0.02 pp</t>
  </si>
  <si>
    <t>4.78%</t>
  </si>
  <si>
    <t>4.76%</t>
  </si>
  <si>
    <t>Cost of Equity (Ke)</t>
  </si>
  <si>
    <t>Modest beta increase; more financial risk perceived by market</t>
  </si>
  <si>
    <t>+0.02x</t>
  </si>
  <si>
    <t>0.50x</t>
  </si>
  <si>
    <t>0.48x</t>
  </si>
  <si>
    <t>Beta (5yr monthly)</t>
  </si>
  <si>
    <t>Leverage surged — higher Wd mechanically raises WACC debt term</t>
  </si>
  <si>
    <t>+11.0 pp</t>
  </si>
  <si>
    <t>89.8%</t>
  </si>
  <si>
    <t>78.8%</t>
  </si>
  <si>
    <t>Debt / (Debt + Equity) %</t>
  </si>
  <si>
    <t>Goodwill step-up absorbed equity; massive pension obligations</t>
  </si>
  <si>
    <t>−$11.7 Bn</t>
  </si>
  <si>
    <t>12,523</t>
  </si>
  <si>
    <t>24,232</t>
  </si>
  <si>
    <t>Total Equity ($mm)</t>
  </si>
  <si>
    <t>Net new debt after repayment of Verizon notes; new bonds issued</t>
  </si>
  <si>
    <t>+$20.7 Bn</t>
  </si>
  <si>
    <t>110,536</t>
  </si>
  <si>
    <t>89,850</t>
  </si>
  <si>
    <t>Total Debt ($mm)</t>
  </si>
  <si>
    <t>Commentary</t>
  </si>
  <si>
    <t>Post-Deal (FY2014)</t>
  </si>
  <si>
    <t>Pre-Deal (FY2013)</t>
  </si>
  <si>
    <t>CAPITAL STRUCTURE IMPACT ON WACC  (Pre-Deal 2013 vs. Post-Deal 2014)</t>
  </si>
  <si>
    <t>Per Verizon 8-K / proxy statement filed with SEC, Feb 2014</t>
  </si>
  <si>
    <t>Advisory, legal &amp; financing fees (estimated ~$300mm, not separately disclosed)</t>
  </si>
  <si>
    <t>Cash</t>
  </si>
  <si>
    <t>Transaction costs &amp; fees</t>
  </si>
  <si>
    <t>Verizon's 23.1% interest in Vodafone Omnitel (Italy) transferred to Vodafone</t>
  </si>
  <si>
    <t>Asset</t>
  </si>
  <si>
    <t>Omnitel interest (asset transfer)</t>
  </si>
  <si>
    <t>Preferred interests in Verizon subsidiary issued to Vodafone</t>
  </si>
  <si>
    <t>Equity</t>
  </si>
  <si>
    <t>VAI preferred stock</t>
  </si>
  <si>
    <t>Short-term promissory notes due within 12 months of close</t>
  </si>
  <si>
    <t>Verizon notes to Vodafone</t>
  </si>
  <si>
    <t>~1.27 Bn new VZ shares issued to Vodafone; ~23% dilution at closing price</t>
  </si>
  <si>
    <t>Verizon common stock issued</t>
  </si>
  <si>
    <t>New bond issuances at various maturities (2014–2044) at avg ~4.3% coupon</t>
  </si>
  <si>
    <t>New external debt issued</t>
  </si>
  <si>
    <t>Form</t>
  </si>
  <si>
    <t>Verizon acquired Vodafone's 45% stake in Verizon Wireless  |  Announced Sep 2, 2013  |  Closed Feb 21, 2014  |  Total consideration: ~$130.3 Bn</t>
  </si>
  <si>
    <t>VERIZON / VODAFONE WIRELESS TRANSACTION  |  Deal Structure &amp; Capital Impact on WACC</t>
  </si>
  <si>
    <t>Actual 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</si>
</sst>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\$#,##0.0;&quot;($&quot;#,##0.0\);\-"/>
    <numFmt numFmtId="165" formatCode="\$#,##0;&quot;($&quot;#,##0\);\-"/>
    <numFmt numFmtId="166" formatCode="#,##0.0;\(#,##0.0\);\-"/>
    <numFmt numFmtId="167" formatCode="0.0%;\(0.0%\);\-"/>
    <numFmt numFmtId="168" formatCode="\$#,##0.00;&quot;($&quot;#,##0.00\);\-"/>
    <numFmt numFmtId="169" formatCode="\$#,##0;\(\$#,##0\);&quot;-&quot;"/>
    <numFmt numFmtId="170" formatCode="\$#,##0.00;\(\$#,##0.00\);&quot;-&quot;"/>
    <numFmt numFmtId="171" formatCode="0.0%;\(0.0%\);&quot;-&quot;"/>
    <numFmt numFmtId="172" formatCode="\$#,##0.0;\(\$#,##0.0\);&quot;-&quot;"/>
    <numFmt numFmtId="173" formatCode="#,##0.0;\(#,##0.0\);&quot;-&quot;"/>
    <numFmt numFmtId="174" formatCode="#,##0;\(#,##0\);\-"/>
    <numFmt numFmtId="175" formatCode="0.00%;\(0.00%\);\-"/>
    <numFmt numFmtId="176" formatCode="0.0%"/>
  </numFmts>
  <fonts count="5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595959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i/>
      <sz val="8"/>
      <color rgb="FF9C0006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2"/>
      <color rgb="FF0000FF"/>
      <name val="Calibri"/>
      <family val="2"/>
    </font>
    <font>
      <i/>
      <sz val="16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sz val="12"/>
      <color rgb="FF008000"/>
      <name val="Calibri"/>
      <family val="2"/>
    </font>
    <font>
      <sz val="14"/>
      <color rgb="FF25282B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sz val="12"/>
      <name val="Calibri"/>
      <family val="2"/>
    </font>
    <font>
      <b/>
      <sz val="16"/>
      <color rgb="FFFFFFFF"/>
      <name val="Calibri"/>
      <family val="2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i/>
      <sz val="20"/>
      <name val="Calibri"/>
      <family val="2"/>
    </font>
    <font>
      <b/>
      <sz val="13"/>
      <color rgb="FFFFFFFF"/>
      <name val="Arial"/>
      <family val="2"/>
    </font>
    <font>
      <b/>
      <sz val="2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2"/>
      <color rgb="FF0000FF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b/>
      <sz val="9"/>
      <color rgb="FFFFFFFF"/>
      <name val="Arial"/>
      <family val="2"/>
    </font>
    <font>
      <i/>
      <sz val="10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FFFFFF"/>
      <name val="Arial"/>
      <family val="2"/>
    </font>
    <font>
      <sz val="9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D9E1F2"/>
        <bgColor rgb="FFEEF2F7"/>
      </patternFill>
    </fill>
    <fill>
      <patternFill patternType="solid">
        <fgColor rgb="FFEEF2F7"/>
        <bgColor rgb="FFFFFFFF"/>
      </patternFill>
    </fill>
    <fill>
      <patternFill patternType="solid">
        <fgColor rgb="FFFFFF00"/>
      </patternFill>
    </fill>
    <fill>
      <patternFill patternType="solid">
        <fgColor rgb="FFFFEB9C"/>
        <bgColor rgb="FFFFCC99"/>
      </patternFill>
    </fill>
    <fill>
      <patternFill patternType="solid">
        <fgColor rgb="FFFFEB9C"/>
      </patternFill>
    </fill>
    <fill>
      <patternFill patternType="solid">
        <fgColor rgb="FFEEF2F7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3F4"/>
        <bgColor rgb="FFFFFFFF"/>
      </patternFill>
    </fill>
    <fill>
      <patternFill patternType="solid">
        <fgColor rgb="FFFFFFFF"/>
        <bgColor rgb="FFF2F3F4"/>
      </patternFill>
    </fill>
    <fill>
      <patternFill patternType="solid">
        <fgColor rgb="FF2C3E50"/>
        <bgColor rgb="FF273746"/>
      </patternFill>
    </fill>
    <fill>
      <patternFill patternType="solid">
        <fgColor rgb="FFD5F5E3"/>
        <bgColor rgb="FFD6E4F0"/>
      </patternFill>
    </fill>
    <fill>
      <patternFill patternType="solid">
        <fgColor rgb="FFFADBD8"/>
        <bgColor rgb="FFFAD7A0"/>
      </patternFill>
    </fill>
    <fill>
      <patternFill patternType="solid">
        <fgColor rgb="FFD5D8DC"/>
        <bgColor rgb="FFD6E4F0"/>
      </patternFill>
    </fill>
    <fill>
      <patternFill patternType="solid">
        <fgColor rgb="FFD6E4F0"/>
        <bgColor rgb="FFD5D8DC"/>
      </patternFill>
    </fill>
    <fill>
      <patternFill patternType="solid">
        <fgColor rgb="FFAED6F1"/>
        <bgColor rgb="FFD5D8DC"/>
      </patternFill>
    </fill>
    <fill>
      <patternFill patternType="solid">
        <fgColor rgb="FFFDFEB3"/>
        <bgColor rgb="FFF2F3F4"/>
      </patternFill>
    </fill>
    <fill>
      <patternFill patternType="solid">
        <fgColor rgb="FF273746"/>
        <bgColor rgb="FF2C3E50"/>
      </patternFill>
    </fill>
    <fill>
      <patternFill patternType="solid">
        <fgColor rgb="FF1E8449"/>
        <bgColor rgb="FF008080"/>
      </patternFill>
    </fill>
    <fill>
      <patternFill patternType="solid">
        <fgColor rgb="FF784212"/>
        <bgColor rgb="FF555555"/>
      </patternFill>
    </fill>
    <fill>
      <patternFill patternType="solid">
        <fgColor rgb="FF1A5276"/>
        <bgColor rgb="FF1B3A5C"/>
      </patternFill>
    </fill>
    <fill>
      <patternFill patternType="solid">
        <fgColor rgb="FF1B3A5C"/>
        <bgColor rgb="FF273746"/>
      </patternFill>
    </fill>
    <fill>
      <patternFill patternType="solid">
        <fgColor rgb="FF0D1B2A"/>
        <bgColor rgb="FF000000"/>
      </patternFill>
    </fill>
    <fill>
      <patternFill patternType="solid">
        <fgColor rgb="FFFAD7A0"/>
        <bgColor rgb="FFFADBD8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5555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2" fillId="0" borderId="0"/>
  </cellStyleXfs>
  <cellXfs count="246">
    <xf numFmtId="0" fontId="0" fillId="0" borderId="0" xfId="0"/>
    <xf numFmtId="44" fontId="0" fillId="0" borderId="0" xfId="0" applyNumberFormat="1"/>
    <xf numFmtId="4" fontId="0" fillId="0" borderId="0" xfId="0" applyNumberFormat="1"/>
    <xf numFmtId="0" fontId="3" fillId="0" borderId="0" xfId="2"/>
    <xf numFmtId="0" fontId="6" fillId="6" borderId="0" xfId="2" applyFont="1" applyFill="1" applyAlignment="1">
      <alignment horizontal="left" vertical="center"/>
    </xf>
    <xf numFmtId="0" fontId="3" fillId="6" borderId="0" xfId="2" applyFill="1"/>
    <xf numFmtId="0" fontId="7" fillId="7" borderId="0" xfId="2" applyFont="1" applyFill="1" applyAlignment="1">
      <alignment horizontal="center" vertical="center" wrapText="1"/>
    </xf>
    <xf numFmtId="0" fontId="8" fillId="8" borderId="0" xfId="2" applyFont="1" applyFill="1" applyAlignment="1">
      <alignment horizontal="left" vertical="center"/>
    </xf>
    <xf numFmtId="164" fontId="9" fillId="8" borderId="0" xfId="2" applyNumberFormat="1" applyFont="1" applyFill="1" applyAlignment="1">
      <alignment horizontal="right" vertical="center"/>
    </xf>
    <xf numFmtId="0" fontId="10" fillId="8" borderId="0" xfId="2" applyFont="1" applyFill="1" applyAlignment="1">
      <alignment horizontal="left" vertical="center"/>
    </xf>
    <xf numFmtId="165" fontId="9" fillId="8" borderId="0" xfId="2" applyNumberFormat="1" applyFont="1" applyFill="1" applyAlignment="1">
      <alignment horizontal="right" vertical="center"/>
    </xf>
    <xf numFmtId="0" fontId="8" fillId="0" borderId="0" xfId="2" applyFont="1" applyAlignment="1">
      <alignment horizontal="left" vertical="center"/>
    </xf>
    <xf numFmtId="166" fontId="9" fillId="0" borderId="0" xfId="2" applyNumberFormat="1" applyFont="1" applyAlignment="1">
      <alignment horizontal="right" vertical="center"/>
    </xf>
    <xf numFmtId="0" fontId="10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165" fontId="9" fillId="0" borderId="0" xfId="2" applyNumberFormat="1" applyFont="1" applyAlignment="1">
      <alignment horizontal="right" vertical="center"/>
    </xf>
    <xf numFmtId="165" fontId="11" fillId="8" borderId="0" xfId="2" applyNumberFormat="1" applyFont="1" applyFill="1" applyAlignment="1">
      <alignment horizontal="right" vertical="center"/>
    </xf>
    <xf numFmtId="0" fontId="11" fillId="8" borderId="0" xfId="2" applyFont="1" applyFill="1" applyAlignment="1">
      <alignment horizontal="left" vertical="center"/>
    </xf>
    <xf numFmtId="166" fontId="9" fillId="8" borderId="0" xfId="2" applyNumberFormat="1" applyFont="1" applyFill="1" applyAlignment="1">
      <alignment horizontal="right" vertical="center"/>
    </xf>
    <xf numFmtId="164" fontId="11" fillId="0" borderId="0" xfId="2" applyNumberFormat="1" applyFont="1" applyAlignment="1">
      <alignment horizontal="right" vertical="center"/>
    </xf>
    <xf numFmtId="167" fontId="9" fillId="0" borderId="0" xfId="2" applyNumberFormat="1" applyFont="1" applyAlignment="1">
      <alignment horizontal="right" vertical="center"/>
    </xf>
    <xf numFmtId="167" fontId="11" fillId="0" borderId="0" xfId="2" applyNumberFormat="1" applyFont="1" applyAlignment="1">
      <alignment horizontal="right" vertical="center"/>
    </xf>
    <xf numFmtId="167" fontId="9" fillId="8" borderId="0" xfId="2" applyNumberFormat="1" applyFont="1" applyFill="1" applyAlignment="1">
      <alignment horizontal="right" vertical="center"/>
    </xf>
    <xf numFmtId="165" fontId="11" fillId="0" borderId="0" xfId="2" applyNumberFormat="1" applyFont="1" applyAlignment="1">
      <alignment horizontal="right" vertical="center"/>
    </xf>
    <xf numFmtId="168" fontId="11" fillId="0" borderId="0" xfId="2" applyNumberFormat="1" applyFont="1" applyAlignment="1">
      <alignment horizontal="right" vertical="center"/>
    </xf>
    <xf numFmtId="167" fontId="11" fillId="8" borderId="0" xfId="2" applyNumberFormat="1" applyFont="1" applyFill="1" applyAlignment="1">
      <alignment horizontal="right" vertical="center"/>
    </xf>
    <xf numFmtId="0" fontId="6" fillId="5" borderId="0" xfId="2" applyFont="1" applyFill="1" applyAlignment="1">
      <alignment horizontal="center" vertical="center" wrapText="1"/>
    </xf>
    <xf numFmtId="166" fontId="12" fillId="8" borderId="0" xfId="2" applyNumberFormat="1" applyFont="1" applyFill="1" applyAlignment="1">
      <alignment horizontal="right" vertical="center"/>
    </xf>
    <xf numFmtId="166" fontId="12" fillId="0" borderId="0" xfId="2" applyNumberFormat="1" applyFont="1" applyAlignment="1">
      <alignment horizontal="right" vertical="center"/>
    </xf>
    <xf numFmtId="166" fontId="11" fillId="8" borderId="0" xfId="2" applyNumberFormat="1" applyFont="1" applyFill="1" applyAlignment="1">
      <alignment horizontal="right" vertical="center"/>
    </xf>
    <xf numFmtId="165" fontId="12" fillId="8" borderId="0" xfId="2" applyNumberFormat="1" applyFont="1" applyFill="1" applyAlignment="1">
      <alignment horizontal="right" vertical="center"/>
    </xf>
    <xf numFmtId="168" fontId="11" fillId="8" borderId="0" xfId="2" applyNumberFormat="1" applyFont="1" applyFill="1" applyAlignment="1">
      <alignment horizontal="right" vertical="center"/>
    </xf>
    <xf numFmtId="165" fontId="12" fillId="0" borderId="0" xfId="2" applyNumberFormat="1" applyFont="1" applyAlignment="1">
      <alignment horizontal="right" vertical="center"/>
    </xf>
    <xf numFmtId="166" fontId="11" fillId="0" borderId="0" xfId="2" applyNumberFormat="1" applyFont="1" applyAlignment="1">
      <alignment horizontal="right" vertical="center"/>
    </xf>
    <xf numFmtId="0" fontId="11" fillId="0" borderId="0" xfId="2" applyFont="1" applyAlignment="1">
      <alignment horizontal="right" vertical="center"/>
    </xf>
    <xf numFmtId="168" fontId="13" fillId="4" borderId="0" xfId="2" applyNumberFormat="1" applyFont="1" applyFill="1" applyAlignment="1">
      <alignment horizontal="right" vertical="center"/>
    </xf>
    <xf numFmtId="167" fontId="13" fillId="4" borderId="0" xfId="2" applyNumberFormat="1" applyFont="1" applyFill="1" applyAlignment="1">
      <alignment horizontal="right" vertical="center"/>
    </xf>
    <xf numFmtId="165" fontId="8" fillId="7" borderId="0" xfId="2" applyNumberFormat="1" applyFont="1" applyFill="1" applyAlignment="1">
      <alignment horizontal="right" vertical="center"/>
    </xf>
    <xf numFmtId="168" fontId="13" fillId="4" borderId="0" xfId="2" applyNumberFormat="1" applyFont="1" applyFill="1" applyAlignment="1">
      <alignment horizontal="center" vertical="center" wrapText="1"/>
    </xf>
    <xf numFmtId="168" fontId="13" fillId="9" borderId="0" xfId="2" applyNumberFormat="1" applyFont="1" applyFill="1" applyAlignment="1">
      <alignment horizontal="center" vertical="center" wrapText="1"/>
    </xf>
    <xf numFmtId="168" fontId="13" fillId="3" borderId="0" xfId="2" applyNumberFormat="1" applyFont="1" applyFill="1" applyAlignment="1">
      <alignment horizontal="center" vertical="center" wrapText="1"/>
    </xf>
    <xf numFmtId="167" fontId="13" fillId="4" borderId="0" xfId="2" applyNumberFormat="1" applyFont="1" applyFill="1" applyAlignment="1">
      <alignment horizontal="center" vertical="center" wrapText="1"/>
    </xf>
    <xf numFmtId="167" fontId="13" fillId="9" borderId="0" xfId="2" applyNumberFormat="1" applyFont="1" applyFill="1" applyAlignment="1">
      <alignment horizontal="center" vertical="center" wrapText="1"/>
    </xf>
    <xf numFmtId="167" fontId="13" fillId="3" borderId="0" xfId="2" applyNumberFormat="1" applyFont="1" applyFill="1" applyAlignment="1">
      <alignment horizontal="center" vertical="center" wrapText="1"/>
    </xf>
    <xf numFmtId="167" fontId="11" fillId="8" borderId="0" xfId="2" applyNumberFormat="1" applyFont="1" applyFill="1" applyAlignment="1">
      <alignment horizontal="center" vertical="center" wrapText="1"/>
    </xf>
    <xf numFmtId="167" fontId="11" fillId="0" borderId="0" xfId="2" applyNumberFormat="1" applyFont="1" applyAlignment="1">
      <alignment horizontal="center" vertical="center" wrapText="1"/>
    </xf>
    <xf numFmtId="167" fontId="15" fillId="3" borderId="0" xfId="2" applyNumberFormat="1" applyFont="1" applyFill="1" applyAlignment="1">
      <alignment horizontal="center" vertical="center" wrapText="1"/>
    </xf>
    <xf numFmtId="167" fontId="15" fillId="9" borderId="0" xfId="2" applyNumberFormat="1" applyFont="1" applyFill="1" applyAlignment="1">
      <alignment horizontal="center" vertical="center" wrapText="1"/>
    </xf>
    <xf numFmtId="167" fontId="15" fillId="4" borderId="0" xfId="2" applyNumberFormat="1" applyFont="1" applyFill="1" applyAlignment="1">
      <alignment horizontal="center" vertical="center" wrapText="1"/>
    </xf>
    <xf numFmtId="168" fontId="15" fillId="3" borderId="0" xfId="2" applyNumberFormat="1" applyFont="1" applyFill="1" applyAlignment="1">
      <alignment horizontal="center" vertical="center" wrapText="1"/>
    </xf>
    <xf numFmtId="168" fontId="15" fillId="9" borderId="0" xfId="2" applyNumberFormat="1" applyFont="1" applyFill="1" applyAlignment="1">
      <alignment horizontal="center" vertical="center" wrapText="1"/>
    </xf>
    <xf numFmtId="168" fontId="15" fillId="4" borderId="0" xfId="2" applyNumberFormat="1" applyFont="1" applyFill="1" applyAlignment="1">
      <alignment horizontal="center" vertical="center" wrapText="1"/>
    </xf>
    <xf numFmtId="167" fontId="15" fillId="4" borderId="0" xfId="2" applyNumberFormat="1" applyFont="1" applyFill="1" applyAlignment="1">
      <alignment horizontal="right" vertical="center"/>
    </xf>
    <xf numFmtId="168" fontId="15" fillId="4" borderId="0" xfId="2" applyNumberFormat="1" applyFont="1" applyFill="1" applyAlignment="1">
      <alignment horizontal="right" vertical="center"/>
    </xf>
    <xf numFmtId="0" fontId="18" fillId="8" borderId="0" xfId="2" applyFont="1" applyFill="1" applyAlignment="1">
      <alignment horizontal="left" vertical="center"/>
    </xf>
    <xf numFmtId="44" fontId="18" fillId="8" borderId="0" xfId="2" applyNumberFormat="1" applyFont="1" applyFill="1" applyAlignment="1">
      <alignment horizontal="right" vertical="center"/>
    </xf>
    <xf numFmtId="0" fontId="18" fillId="0" borderId="0" xfId="2" applyFont="1" applyAlignment="1">
      <alignment horizontal="left" vertical="center"/>
    </xf>
    <xf numFmtId="10" fontId="18" fillId="0" borderId="0" xfId="1" applyNumberFormat="1" applyFont="1" applyAlignment="1">
      <alignment horizontal="right" vertical="center"/>
    </xf>
    <xf numFmtId="44" fontId="18" fillId="0" borderId="0" xfId="2" applyNumberFormat="1" applyFont="1" applyAlignment="1">
      <alignment horizontal="right" vertical="center"/>
    </xf>
    <xf numFmtId="10" fontId="19" fillId="0" borderId="0" xfId="1" applyNumberFormat="1" applyFont="1" applyAlignment="1">
      <alignment horizontal="right" vertical="center"/>
    </xf>
    <xf numFmtId="10" fontId="18" fillId="8" borderId="0" xfId="1" applyNumberFormat="1" applyFont="1" applyFill="1" applyAlignment="1">
      <alignment horizontal="right" vertical="center"/>
    </xf>
    <xf numFmtId="0" fontId="20" fillId="0" borderId="0" xfId="2" applyFont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0" fontId="21" fillId="0" borderId="0" xfId="0" applyFont="1"/>
    <xf numFmtId="10" fontId="21" fillId="0" borderId="0" xfId="1" applyNumberFormat="1" applyFont="1"/>
    <xf numFmtId="10" fontId="21" fillId="0" borderId="0" xfId="1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3" fillId="2" borderId="0" xfId="0" applyFont="1" applyFill="1"/>
    <xf numFmtId="14" fontId="23" fillId="2" borderId="0" xfId="0" applyNumberFormat="1" applyFont="1" applyFill="1" applyAlignment="1">
      <alignment horizontal="center"/>
    </xf>
    <xf numFmtId="10" fontId="24" fillId="0" borderId="0" xfId="1" applyNumberFormat="1" applyFont="1" applyFill="1" applyAlignment="1">
      <alignment horizontal="center"/>
    </xf>
    <xf numFmtId="10" fontId="21" fillId="0" borderId="0" xfId="0" applyNumberFormat="1" applyFont="1"/>
    <xf numFmtId="44" fontId="18" fillId="8" borderId="0" xfId="2" applyNumberFormat="1" applyFont="1" applyFill="1" applyAlignment="1">
      <alignment vertical="center"/>
    </xf>
    <xf numFmtId="44" fontId="18" fillId="0" borderId="0" xfId="1" applyNumberFormat="1" applyFont="1" applyAlignment="1">
      <alignment vertical="center"/>
    </xf>
    <xf numFmtId="44" fontId="21" fillId="0" borderId="0" xfId="0" applyNumberFormat="1" applyFont="1"/>
    <xf numFmtId="3" fontId="25" fillId="0" borderId="0" xfId="0" applyNumberFormat="1" applyFont="1"/>
    <xf numFmtId="10" fontId="26" fillId="0" borderId="0" xfId="1" applyNumberFormat="1" applyFont="1" applyAlignment="1">
      <alignment horizontal="right" vertical="center"/>
    </xf>
    <xf numFmtId="10" fontId="19" fillId="0" borderId="0" xfId="1" applyNumberFormat="1" applyFont="1" applyAlignment="1">
      <alignment vertical="center"/>
    </xf>
    <xf numFmtId="44" fontId="27" fillId="0" borderId="0" xfId="2" applyNumberFormat="1" applyFont="1" applyAlignment="1">
      <alignment horizontal="right" vertical="center"/>
    </xf>
    <xf numFmtId="44" fontId="27" fillId="0" borderId="0" xfId="2" applyNumberFormat="1" applyFont="1" applyAlignment="1">
      <alignment horizontal="center" vertical="center"/>
    </xf>
    <xf numFmtId="44" fontId="21" fillId="0" borderId="0" xfId="1" applyNumberFormat="1" applyFont="1" applyFill="1" applyBorder="1"/>
    <xf numFmtId="44" fontId="21" fillId="0" borderId="0" xfId="1" applyNumberFormat="1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44" fontId="21" fillId="0" borderId="1" xfId="0" applyNumberFormat="1" applyFont="1" applyBorder="1"/>
    <xf numFmtId="44" fontId="21" fillId="0" borderId="2" xfId="0" applyNumberFormat="1" applyFont="1" applyBorder="1"/>
    <xf numFmtId="44" fontId="21" fillId="0" borderId="3" xfId="0" applyNumberFormat="1" applyFont="1" applyBorder="1"/>
    <xf numFmtId="44" fontId="21" fillId="0" borderId="4" xfId="0" applyNumberFormat="1" applyFont="1" applyBorder="1"/>
    <xf numFmtId="0" fontId="21" fillId="0" borderId="5" xfId="0" applyFont="1" applyBorder="1"/>
    <xf numFmtId="0" fontId="21" fillId="0" borderId="6" xfId="0" applyFont="1" applyBorder="1"/>
    <xf numFmtId="2" fontId="21" fillId="0" borderId="0" xfId="0" applyNumberFormat="1" applyFont="1"/>
    <xf numFmtId="3" fontId="21" fillId="0" borderId="0" xfId="0" applyNumberFormat="1" applyFont="1"/>
    <xf numFmtId="3" fontId="28" fillId="0" borderId="0" xfId="0" applyNumberFormat="1" applyFont="1"/>
    <xf numFmtId="3" fontId="21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top"/>
    </xf>
    <xf numFmtId="0" fontId="21" fillId="0" borderId="0" xfId="1" applyNumberFormat="1" applyFont="1"/>
    <xf numFmtId="10" fontId="18" fillId="8" borderId="0" xfId="1" applyNumberFormat="1" applyFont="1" applyFill="1" applyAlignment="1">
      <alignment vertical="center"/>
    </xf>
    <xf numFmtId="10" fontId="18" fillId="0" borderId="0" xfId="1" applyNumberFormat="1" applyFont="1" applyAlignment="1">
      <alignment vertical="center"/>
    </xf>
    <xf numFmtId="10" fontId="19" fillId="8" borderId="0" xfId="1" applyNumberFormat="1" applyFont="1" applyFill="1" applyAlignment="1">
      <alignment vertical="center"/>
    </xf>
    <xf numFmtId="0" fontId="19" fillId="0" borderId="0" xfId="1" applyNumberFormat="1" applyFont="1" applyAlignment="1">
      <alignment vertical="center"/>
    </xf>
    <xf numFmtId="44" fontId="18" fillId="8" borderId="0" xfId="1" applyNumberFormat="1" applyFont="1" applyFill="1" applyAlignment="1">
      <alignment vertical="center"/>
    </xf>
    <xf numFmtId="44" fontId="19" fillId="0" borderId="0" xfId="1" applyNumberFormat="1" applyFont="1" applyAlignment="1">
      <alignment vertical="center"/>
    </xf>
    <xf numFmtId="0" fontId="30" fillId="0" borderId="0" xfId="2" applyFont="1"/>
    <xf numFmtId="0" fontId="31" fillId="6" borderId="0" xfId="2" applyFont="1" applyFill="1" applyAlignment="1">
      <alignment horizontal="left" vertical="center"/>
    </xf>
    <xf numFmtId="0" fontId="32" fillId="8" borderId="0" xfId="2" applyFont="1" applyFill="1" applyAlignment="1">
      <alignment horizontal="center" vertical="center"/>
    </xf>
    <xf numFmtId="10" fontId="32" fillId="8" borderId="0" xfId="1" applyNumberFormat="1" applyFont="1" applyFill="1" applyAlignment="1">
      <alignment horizontal="center" vertical="center"/>
    </xf>
    <xf numFmtId="0" fontId="32" fillId="0" borderId="0" xfId="2" applyFont="1" applyAlignment="1">
      <alignment horizontal="center" vertical="center"/>
    </xf>
    <xf numFmtId="10" fontId="32" fillId="0" borderId="0" xfId="1" applyNumberFormat="1" applyFont="1" applyAlignment="1">
      <alignment horizontal="center" vertical="center"/>
    </xf>
    <xf numFmtId="0" fontId="18" fillId="8" borderId="1" xfId="2" applyFont="1" applyFill="1" applyBorder="1" applyAlignment="1">
      <alignment horizontal="left" vertical="center"/>
    </xf>
    <xf numFmtId="10" fontId="28" fillId="8" borderId="3" xfId="1" applyNumberFormat="1" applyFont="1" applyFill="1" applyBorder="1" applyAlignment="1">
      <alignment vertical="center"/>
    </xf>
    <xf numFmtId="0" fontId="21" fillId="0" borderId="4" xfId="0" applyFont="1" applyBorder="1"/>
    <xf numFmtId="10" fontId="21" fillId="0" borderId="6" xfId="1" applyNumberFormat="1" applyFont="1" applyBorder="1"/>
    <xf numFmtId="2" fontId="0" fillId="0" borderId="0" xfId="0" applyNumberFormat="1"/>
    <xf numFmtId="0" fontId="36" fillId="0" borderId="0" xfId="2" applyFont="1" applyAlignment="1">
      <alignment horizontal="left" vertical="center"/>
    </xf>
    <xf numFmtId="44" fontId="36" fillId="0" borderId="0" xfId="2" applyNumberFormat="1" applyFont="1" applyAlignment="1">
      <alignment horizontal="left" vertical="center"/>
    </xf>
    <xf numFmtId="0" fontId="37" fillId="5" borderId="0" xfId="2" applyFont="1" applyFill="1" applyAlignment="1">
      <alignment horizontal="center" vertical="center" wrapText="1"/>
    </xf>
    <xf numFmtId="0" fontId="34" fillId="0" borderId="0" xfId="2" applyFon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68" fontId="38" fillId="0" borderId="0" xfId="2" applyNumberFormat="1" applyFont="1" applyAlignment="1">
      <alignment horizontal="right" vertical="center"/>
    </xf>
    <xf numFmtId="10" fontId="39" fillId="0" borderId="0" xfId="1" applyNumberFormat="1" applyFont="1"/>
    <xf numFmtId="0" fontId="0" fillId="0" borderId="1" xfId="0" applyBorder="1"/>
    <xf numFmtId="44" fontId="0" fillId="0" borderId="3" xfId="0" applyNumberFormat="1" applyBorder="1"/>
    <xf numFmtId="0" fontId="0" fillId="0" borderId="7" xfId="0" applyBorder="1"/>
    <xf numFmtId="44" fontId="0" fillId="0" borderId="8" xfId="0" applyNumberFormat="1" applyBorder="1"/>
    <xf numFmtId="0" fontId="0" fillId="0" borderId="4" xfId="0" applyBorder="1"/>
    <xf numFmtId="44" fontId="0" fillId="0" borderId="6" xfId="0" applyNumberFormat="1" applyBorder="1"/>
    <xf numFmtId="0" fontId="0" fillId="0" borderId="9" xfId="0" applyBorder="1"/>
    <xf numFmtId="44" fontId="0" fillId="0" borderId="10" xfId="0" applyNumberFormat="1" applyBorder="1"/>
    <xf numFmtId="10" fontId="0" fillId="0" borderId="3" xfId="0" applyNumberFormat="1" applyBorder="1"/>
    <xf numFmtId="44" fontId="32" fillId="8" borderId="0" xfId="2" applyNumberFormat="1" applyFont="1" applyFill="1" applyAlignment="1">
      <alignment horizontal="center" vertical="center"/>
    </xf>
    <xf numFmtId="44" fontId="32" fillId="0" borderId="0" xfId="2" applyNumberFormat="1" applyFont="1" applyAlignment="1">
      <alignment horizontal="center" vertical="center"/>
    </xf>
    <xf numFmtId="0" fontId="31" fillId="6" borderId="0" xfId="2" applyFont="1" applyFill="1" applyAlignment="1">
      <alignment horizontal="center" vertical="center"/>
    </xf>
    <xf numFmtId="0" fontId="0" fillId="0" borderId="10" xfId="0" applyBorder="1"/>
    <xf numFmtId="0" fontId="42" fillId="0" borderId="0" xfId="3"/>
    <xf numFmtId="0" fontId="10" fillId="0" borderId="0" xfId="3" applyFont="1" applyAlignment="1">
      <alignment horizontal="left" vertical="center"/>
    </xf>
    <xf numFmtId="169" fontId="11" fillId="0" borderId="0" xfId="3" applyNumberFormat="1" applyFont="1" applyAlignment="1">
      <alignment horizontal="right" vertical="center"/>
    </xf>
    <xf numFmtId="0" fontId="8" fillId="0" borderId="0" xfId="3" applyFont="1" applyAlignment="1">
      <alignment horizontal="left" vertical="center"/>
    </xf>
    <xf numFmtId="0" fontId="10" fillId="12" borderId="0" xfId="3" applyFont="1" applyFill="1" applyAlignment="1">
      <alignment horizontal="left" vertical="center"/>
    </xf>
    <xf numFmtId="169" fontId="11" fillId="12" borderId="0" xfId="3" applyNumberFormat="1" applyFont="1" applyFill="1" applyAlignment="1">
      <alignment horizontal="right" vertical="center"/>
    </xf>
    <xf numFmtId="0" fontId="8" fillId="12" borderId="0" xfId="3" applyFont="1" applyFill="1" applyAlignment="1">
      <alignment horizontal="left" vertical="center"/>
    </xf>
    <xf numFmtId="169" fontId="9" fillId="0" borderId="0" xfId="3" applyNumberFormat="1" applyFont="1" applyAlignment="1">
      <alignment horizontal="right" vertical="center"/>
    </xf>
    <xf numFmtId="0" fontId="11" fillId="0" borderId="0" xfId="3" applyFont="1" applyAlignment="1">
      <alignment horizontal="left" vertical="center"/>
    </xf>
    <xf numFmtId="170" fontId="11" fillId="12" borderId="0" xfId="3" applyNumberFormat="1" applyFont="1" applyFill="1" applyAlignment="1">
      <alignment horizontal="right" vertical="center"/>
    </xf>
    <xf numFmtId="169" fontId="9" fillId="12" borderId="0" xfId="3" applyNumberFormat="1" applyFont="1" applyFill="1" applyAlignment="1">
      <alignment horizontal="right" vertical="center"/>
    </xf>
    <xf numFmtId="171" fontId="11" fillId="12" borderId="0" xfId="3" applyNumberFormat="1" applyFont="1" applyFill="1" applyAlignment="1">
      <alignment horizontal="right" vertical="center"/>
    </xf>
    <xf numFmtId="0" fontId="11" fillId="12" borderId="0" xfId="3" applyFont="1" applyFill="1" applyAlignment="1">
      <alignment horizontal="left" vertical="center"/>
    </xf>
    <xf numFmtId="171" fontId="11" fillId="0" borderId="0" xfId="3" applyNumberFormat="1" applyFont="1" applyAlignment="1">
      <alignment horizontal="right" vertical="center"/>
    </xf>
    <xf numFmtId="171" fontId="9" fillId="12" borderId="0" xfId="3" applyNumberFormat="1" applyFont="1" applyFill="1" applyAlignment="1">
      <alignment horizontal="right" vertical="center"/>
    </xf>
    <xf numFmtId="171" fontId="9" fillId="0" borderId="0" xfId="3" applyNumberFormat="1" applyFont="1" applyAlignment="1">
      <alignment horizontal="right" vertical="center"/>
    </xf>
    <xf numFmtId="172" fontId="11" fillId="0" borderId="0" xfId="3" applyNumberFormat="1" applyFont="1" applyAlignment="1">
      <alignment horizontal="right" vertical="center"/>
    </xf>
    <xf numFmtId="173" fontId="9" fillId="12" borderId="0" xfId="3" applyNumberFormat="1" applyFont="1" applyFill="1" applyAlignment="1">
      <alignment horizontal="right" vertical="center"/>
    </xf>
    <xf numFmtId="173" fontId="9" fillId="0" borderId="0" xfId="3" applyNumberFormat="1" applyFont="1" applyAlignment="1">
      <alignment horizontal="right" vertical="center"/>
    </xf>
    <xf numFmtId="172" fontId="9" fillId="12" borderId="0" xfId="3" applyNumberFormat="1" applyFont="1" applyFill="1" applyAlignment="1">
      <alignment horizontal="right" vertical="center"/>
    </xf>
    <xf numFmtId="0" fontId="7" fillId="13" borderId="0" xfId="3" applyFont="1" applyFill="1" applyAlignment="1">
      <alignment horizontal="center" vertical="center" wrapText="1"/>
    </xf>
    <xf numFmtId="0" fontId="42" fillId="14" borderId="0" xfId="3" applyFill="1"/>
    <xf numFmtId="0" fontId="6" fillId="14" borderId="0" xfId="3" applyFont="1" applyFill="1" applyAlignment="1">
      <alignment horizontal="left" vertical="center"/>
    </xf>
    <xf numFmtId="171" fontId="15" fillId="16" borderId="0" xfId="3" applyNumberFormat="1" applyFont="1" applyFill="1" applyAlignment="1">
      <alignment horizontal="center" vertical="center" wrapText="1"/>
    </xf>
    <xf numFmtId="169" fontId="8" fillId="13" borderId="0" xfId="3" applyNumberFormat="1" applyFont="1" applyFill="1" applyAlignment="1">
      <alignment horizontal="right" vertical="center"/>
    </xf>
    <xf numFmtId="171" fontId="15" fillId="17" borderId="0" xfId="3" applyNumberFormat="1" applyFont="1" applyFill="1" applyAlignment="1">
      <alignment horizontal="center" vertical="center" wrapText="1"/>
    </xf>
    <xf numFmtId="10" fontId="7" fillId="13" borderId="0" xfId="3" applyNumberFormat="1" applyFont="1" applyFill="1" applyAlignment="1">
      <alignment horizontal="center" vertical="center" wrapText="1"/>
    </xf>
    <xf numFmtId="0" fontId="6" fillId="15" borderId="0" xfId="3" applyFont="1" applyFill="1" applyAlignment="1">
      <alignment horizontal="center" vertical="center" wrapText="1"/>
    </xf>
    <xf numFmtId="170" fontId="15" fillId="16" borderId="0" xfId="3" applyNumberFormat="1" applyFont="1" applyFill="1" applyAlignment="1">
      <alignment horizontal="center" vertical="center" wrapText="1"/>
    </xf>
    <xf numFmtId="170" fontId="15" fillId="17" borderId="0" xfId="3" applyNumberFormat="1" applyFont="1" applyFill="1" applyAlignment="1">
      <alignment horizontal="center" vertical="center" wrapText="1"/>
    </xf>
    <xf numFmtId="171" fontId="15" fillId="12" borderId="0" xfId="3" applyNumberFormat="1" applyFont="1" applyFill="1" applyAlignment="1">
      <alignment horizontal="right" vertical="center"/>
    </xf>
    <xf numFmtId="170" fontId="15" fillId="12" borderId="0" xfId="3" applyNumberFormat="1" applyFont="1" applyFill="1" applyAlignment="1">
      <alignment horizontal="right" vertical="center"/>
    </xf>
    <xf numFmtId="170" fontId="11" fillId="0" borderId="0" xfId="3" applyNumberFormat="1" applyFont="1" applyAlignment="1">
      <alignment horizontal="right" vertical="center"/>
    </xf>
    <xf numFmtId="0" fontId="11" fillId="0" borderId="0" xfId="3" applyFont="1" applyAlignment="1">
      <alignment horizontal="right" vertical="center"/>
    </xf>
    <xf numFmtId="173" fontId="11" fillId="0" borderId="0" xfId="3" applyNumberFormat="1" applyFont="1" applyAlignment="1">
      <alignment horizontal="right" vertical="center"/>
    </xf>
    <xf numFmtId="169" fontId="12" fillId="0" borderId="0" xfId="3" applyNumberFormat="1" applyFont="1" applyAlignment="1">
      <alignment horizontal="right" vertical="center"/>
    </xf>
    <xf numFmtId="169" fontId="12" fillId="12" borderId="0" xfId="3" applyNumberFormat="1" applyFont="1" applyFill="1" applyAlignment="1">
      <alignment horizontal="right" vertical="center"/>
    </xf>
    <xf numFmtId="173" fontId="12" fillId="0" borderId="0" xfId="3" applyNumberFormat="1" applyFont="1" applyAlignment="1">
      <alignment horizontal="right" vertical="center"/>
    </xf>
    <xf numFmtId="173" fontId="11" fillId="12" borderId="0" xfId="3" applyNumberFormat="1" applyFont="1" applyFill="1" applyAlignment="1">
      <alignment horizontal="right" vertical="center"/>
    </xf>
    <xf numFmtId="173" fontId="12" fillId="12" borderId="0" xfId="3" applyNumberFormat="1" applyFont="1" applyFill="1" applyAlignment="1">
      <alignment horizontal="right" vertical="center"/>
    </xf>
    <xf numFmtId="171" fontId="11" fillId="0" borderId="0" xfId="3" applyNumberFormat="1" applyFont="1" applyAlignment="1">
      <alignment horizontal="center" vertical="center" wrapText="1"/>
    </xf>
    <xf numFmtId="171" fontId="11" fillId="12" borderId="0" xfId="3" applyNumberFormat="1" applyFont="1" applyFill="1" applyAlignment="1">
      <alignment horizontal="center" vertical="center" wrapText="1"/>
    </xf>
    <xf numFmtId="174" fontId="8" fillId="21" borderId="11" xfId="2" applyNumberFormat="1" applyFont="1" applyFill="1" applyBorder="1" applyAlignment="1">
      <alignment horizontal="center" vertical="center" wrapText="1"/>
    </xf>
    <xf numFmtId="174" fontId="8" fillId="22" borderId="11" xfId="2" applyNumberFormat="1" applyFont="1" applyFill="1" applyBorder="1" applyAlignment="1">
      <alignment horizontal="center" vertical="center" wrapText="1"/>
    </xf>
    <xf numFmtId="0" fontId="8" fillId="0" borderId="11" xfId="2" applyFont="1" applyBorder="1" applyAlignment="1">
      <alignment horizontal="left" vertical="center" wrapText="1"/>
    </xf>
    <xf numFmtId="0" fontId="8" fillId="21" borderId="11" xfId="2" applyFont="1" applyFill="1" applyBorder="1" applyAlignment="1">
      <alignment horizontal="center" vertical="center" wrapText="1"/>
    </xf>
    <xf numFmtId="0" fontId="8" fillId="22" borderId="11" xfId="2" applyFont="1" applyFill="1" applyBorder="1" applyAlignment="1">
      <alignment horizontal="center" vertical="center" wrapText="1"/>
    </xf>
    <xf numFmtId="0" fontId="8" fillId="23" borderId="11" xfId="2" applyFont="1" applyFill="1" applyBorder="1" applyAlignment="1">
      <alignment horizontal="left" vertical="center" wrapText="1"/>
    </xf>
    <xf numFmtId="175" fontId="8" fillId="21" borderId="11" xfId="2" applyNumberFormat="1" applyFont="1" applyFill="1" applyBorder="1" applyAlignment="1">
      <alignment horizontal="center" vertical="center" wrapText="1"/>
    </xf>
    <xf numFmtId="175" fontId="8" fillId="22" borderId="11" xfId="2" applyNumberFormat="1" applyFont="1" applyFill="1" applyBorder="1" applyAlignment="1">
      <alignment horizontal="center" vertical="center" wrapText="1"/>
    </xf>
    <xf numFmtId="175" fontId="11" fillId="24" borderId="11" xfId="2" applyNumberFormat="1" applyFont="1" applyFill="1" applyBorder="1" applyAlignment="1">
      <alignment horizontal="center" vertical="center" wrapText="1"/>
    </xf>
    <xf numFmtId="0" fontId="11" fillId="24" borderId="11" xfId="2" applyFont="1" applyFill="1" applyBorder="1" applyAlignment="1">
      <alignment horizontal="left" vertical="center" wrapText="1"/>
    </xf>
    <xf numFmtId="175" fontId="8" fillId="25" borderId="11" xfId="2" applyNumberFormat="1" applyFont="1" applyFill="1" applyBorder="1" applyAlignment="1">
      <alignment horizontal="center" vertical="center" wrapText="1"/>
    </xf>
    <xf numFmtId="0" fontId="8" fillId="25" borderId="11" xfId="2" applyFont="1" applyFill="1" applyBorder="1" applyAlignment="1">
      <alignment horizontal="left" vertical="center" wrapText="1"/>
    </xf>
    <xf numFmtId="175" fontId="9" fillId="26" borderId="11" xfId="2" applyNumberFormat="1" applyFont="1" applyFill="1" applyBorder="1" applyAlignment="1">
      <alignment horizontal="center" vertical="center" wrapText="1"/>
    </xf>
    <xf numFmtId="0" fontId="11" fillId="19" borderId="11" xfId="2" applyFont="1" applyFill="1" applyBorder="1" applyAlignment="1">
      <alignment horizontal="left" vertical="center" wrapText="1"/>
    </xf>
    <xf numFmtId="2" fontId="9" fillId="26" borderId="11" xfId="2" applyNumberFormat="1" applyFont="1" applyFill="1" applyBorder="1" applyAlignment="1">
      <alignment horizontal="center" vertical="center" wrapText="1"/>
    </xf>
    <xf numFmtId="0" fontId="11" fillId="18" borderId="11" xfId="2" applyFont="1" applyFill="1" applyBorder="1" applyAlignment="1">
      <alignment horizontal="left" vertical="center" wrapText="1"/>
    </xf>
    <xf numFmtId="174" fontId="11" fillId="24" borderId="11" xfId="2" applyNumberFormat="1" applyFont="1" applyFill="1" applyBorder="1" applyAlignment="1">
      <alignment horizontal="center" vertical="center" wrapText="1"/>
    </xf>
    <xf numFmtId="174" fontId="9" fillId="26" borderId="11" xfId="2" applyNumberFormat="1" applyFont="1" applyFill="1" applyBorder="1" applyAlignment="1">
      <alignment horizontal="center" vertical="center" wrapText="1"/>
    </xf>
    <xf numFmtId="167" fontId="9" fillId="26" borderId="11" xfId="2" applyNumberFormat="1" applyFont="1" applyFill="1" applyBorder="1" applyAlignment="1">
      <alignment horizontal="center" vertical="center" wrapText="1"/>
    </xf>
    <xf numFmtId="0" fontId="6" fillId="27" borderId="12" xfId="2" applyFont="1" applyFill="1" applyBorder="1" applyAlignment="1">
      <alignment horizontal="center" vertical="center" wrapText="1"/>
    </xf>
    <xf numFmtId="0" fontId="6" fillId="27" borderId="12" xfId="2" applyFont="1" applyFill="1" applyBorder="1" applyAlignment="1">
      <alignment horizontal="left" vertical="center" wrapText="1"/>
    </xf>
    <xf numFmtId="0" fontId="44" fillId="29" borderId="0" xfId="2" applyFont="1" applyFill="1" applyAlignment="1">
      <alignment horizontal="center" vertical="center" wrapText="1"/>
    </xf>
    <xf numFmtId="0" fontId="46" fillId="19" borderId="11" xfId="2" applyFont="1" applyFill="1" applyBorder="1" applyAlignment="1">
      <alignment horizontal="center" vertical="center" wrapText="1"/>
    </xf>
    <xf numFmtId="0" fontId="11" fillId="22" borderId="11" xfId="2" applyFont="1" applyFill="1" applyBorder="1" applyAlignment="1">
      <alignment horizontal="center" vertical="center" wrapText="1"/>
    </xf>
    <xf numFmtId="0" fontId="11" fillId="19" borderId="11" xfId="2" applyFont="1" applyFill="1" applyBorder="1" applyAlignment="1">
      <alignment horizontal="center" vertical="center" wrapText="1"/>
    </xf>
    <xf numFmtId="0" fontId="8" fillId="19" borderId="11" xfId="2" applyFont="1" applyFill="1" applyBorder="1" applyAlignment="1">
      <alignment horizontal="left" vertical="center" wrapText="1"/>
    </xf>
    <xf numFmtId="0" fontId="46" fillId="18" borderId="11" xfId="2" applyFont="1" applyFill="1" applyBorder="1" applyAlignment="1">
      <alignment horizontal="center" vertical="center" wrapText="1"/>
    </xf>
    <xf numFmtId="0" fontId="11" fillId="18" borderId="11" xfId="2" applyFont="1" applyFill="1" applyBorder="1" applyAlignment="1">
      <alignment horizontal="center" vertical="center" wrapText="1"/>
    </xf>
    <xf numFmtId="0" fontId="8" fillId="18" borderId="11" xfId="2" applyFont="1" applyFill="1" applyBorder="1" applyAlignment="1">
      <alignment horizontal="left" vertical="center" wrapText="1"/>
    </xf>
    <xf numFmtId="0" fontId="11" fillId="21" borderId="11" xfId="2" applyFont="1" applyFill="1" applyBorder="1" applyAlignment="1">
      <alignment horizontal="center" vertical="center" wrapText="1"/>
    </xf>
    <xf numFmtId="0" fontId="48" fillId="20" borderId="11" xfId="2" applyFont="1" applyFill="1" applyBorder="1" applyAlignment="1">
      <alignment horizontal="left" vertical="center" wrapText="1"/>
    </xf>
    <xf numFmtId="0" fontId="6" fillId="20" borderId="11" xfId="2" applyFont="1" applyFill="1" applyBorder="1" applyAlignment="1">
      <alignment horizontal="center" vertical="center" wrapText="1"/>
    </xf>
    <xf numFmtId="167" fontId="6" fillId="20" borderId="11" xfId="2" applyNumberFormat="1" applyFont="1" applyFill="1" applyBorder="1" applyAlignment="1">
      <alignment horizontal="center" vertical="center" wrapText="1"/>
    </xf>
    <xf numFmtId="174" fontId="6" fillId="20" borderId="11" xfId="2" applyNumberFormat="1" applyFont="1" applyFill="1" applyBorder="1" applyAlignment="1">
      <alignment horizontal="center" vertical="center" wrapText="1"/>
    </xf>
    <xf numFmtId="0" fontId="6" fillId="20" borderId="11" xfId="2" applyFont="1" applyFill="1" applyBorder="1" applyAlignment="1">
      <alignment horizontal="left" vertical="center" wrapText="1"/>
    </xf>
    <xf numFmtId="0" fontId="49" fillId="18" borderId="11" xfId="2" applyFont="1" applyFill="1" applyBorder="1" applyAlignment="1">
      <alignment horizontal="left" vertical="center" wrapText="1"/>
    </xf>
    <xf numFmtId="0" fontId="11" fillId="24" borderId="11" xfId="2" applyFont="1" applyFill="1" applyBorder="1" applyAlignment="1">
      <alignment horizontal="center" vertical="center" wrapText="1"/>
    </xf>
    <xf numFmtId="0" fontId="49" fillId="19" borderId="11" xfId="2" applyFont="1" applyFill="1" applyBorder="1" applyAlignment="1">
      <alignment horizontal="left" vertical="center" wrapText="1"/>
    </xf>
    <xf numFmtId="0" fontId="11" fillId="33" borderId="11" xfId="2" applyFont="1" applyFill="1" applyBorder="1" applyAlignment="1">
      <alignment horizontal="center" vertical="center" wrapText="1"/>
    </xf>
    <xf numFmtId="167" fontId="11" fillId="24" borderId="11" xfId="2" applyNumberFormat="1" applyFont="1" applyFill="1" applyBorder="1" applyAlignment="1">
      <alignment horizontal="center" vertical="center" wrapText="1"/>
    </xf>
    <xf numFmtId="0" fontId="21" fillId="0" borderId="13" xfId="0" applyFont="1" applyBorder="1"/>
    <xf numFmtId="169" fontId="42" fillId="0" borderId="0" xfId="3" applyNumberFormat="1"/>
    <xf numFmtId="176" fontId="11" fillId="24" borderId="11" xfId="1" applyNumberFormat="1" applyFont="1" applyFill="1" applyBorder="1" applyAlignment="1">
      <alignment horizontal="center" vertical="center" wrapText="1"/>
    </xf>
    <xf numFmtId="174" fontId="3" fillId="0" borderId="0" xfId="2" applyNumberFormat="1"/>
    <xf numFmtId="0" fontId="29" fillId="5" borderId="0" xfId="2" applyFont="1" applyFill="1" applyAlignment="1">
      <alignment horizontal="center" vertical="center" wrapText="1"/>
    </xf>
    <xf numFmtId="0" fontId="20" fillId="6" borderId="0" xfId="2" applyFont="1" applyFill="1" applyAlignment="1">
      <alignment horizontal="center" vertical="center" wrapText="1"/>
    </xf>
    <xf numFmtId="0" fontId="35" fillId="5" borderId="0" xfId="2" applyFont="1" applyFill="1" applyAlignment="1">
      <alignment horizontal="center" vertical="center" wrapText="1"/>
    </xf>
    <xf numFmtId="0" fontId="22" fillId="5" borderId="0" xfId="2" applyFont="1" applyFill="1" applyAlignment="1">
      <alignment horizontal="center" vertical="center" wrapText="1"/>
    </xf>
    <xf numFmtId="0" fontId="21" fillId="0" borderId="0" xfId="2" applyFont="1"/>
    <xf numFmtId="0" fontId="33" fillId="0" borderId="0" xfId="2" applyFont="1" applyAlignment="1">
      <alignment horizontal="center" vertical="center" wrapText="1"/>
    </xf>
    <xf numFmtId="0" fontId="34" fillId="5" borderId="0" xfId="2" applyFont="1" applyFill="1" applyAlignment="1">
      <alignment horizontal="center" vertical="center" wrapText="1"/>
    </xf>
    <xf numFmtId="0" fontId="3" fillId="0" borderId="0" xfId="2"/>
    <xf numFmtId="0" fontId="5" fillId="6" borderId="0" xfId="2" applyFont="1" applyFill="1" applyAlignment="1">
      <alignment horizontal="center" vertical="center" wrapText="1"/>
    </xf>
    <xf numFmtId="0" fontId="10" fillId="0" borderId="0" xfId="2" applyFont="1" applyAlignment="1">
      <alignment horizontal="left" vertical="center"/>
    </xf>
    <xf numFmtId="0" fontId="6" fillId="5" borderId="0" xfId="2" applyFont="1" applyFill="1" applyAlignment="1">
      <alignment horizontal="center" vertical="center" wrapText="1"/>
    </xf>
    <xf numFmtId="0" fontId="4" fillId="5" borderId="0" xfId="2" applyFont="1" applyFill="1" applyAlignment="1">
      <alignment horizontal="center" vertical="center" wrapText="1"/>
    </xf>
    <xf numFmtId="0" fontId="14" fillId="10" borderId="0" xfId="2" applyFont="1" applyFill="1" applyAlignment="1">
      <alignment horizontal="left" vertical="top" wrapText="1"/>
    </xf>
    <xf numFmtId="0" fontId="10" fillId="0" borderId="0" xfId="3" applyFont="1" applyAlignment="1">
      <alignment horizontal="left" vertical="center"/>
    </xf>
    <xf numFmtId="0" fontId="42" fillId="0" borderId="0" xfId="3"/>
    <xf numFmtId="0" fontId="5" fillId="14" borderId="0" xfId="3" applyFont="1" applyFill="1" applyAlignment="1">
      <alignment horizontal="center" vertical="center" wrapText="1"/>
    </xf>
    <xf numFmtId="0" fontId="4" fillId="15" borderId="0" xfId="3" applyFont="1" applyFill="1" applyAlignment="1">
      <alignment horizontal="center" vertical="center" wrapText="1"/>
    </xf>
    <xf numFmtId="0" fontId="14" fillId="11" borderId="0" xfId="3" applyFont="1" applyFill="1" applyAlignment="1">
      <alignment horizontal="left" vertical="top" wrapText="1"/>
    </xf>
    <xf numFmtId="0" fontId="6" fillId="15" borderId="0" xfId="3" applyFont="1" applyFill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0" fontId="43" fillId="19" borderId="0" xfId="2" applyFont="1" applyFill="1" applyAlignment="1">
      <alignment horizontal="left" vertical="center" wrapText="1"/>
    </xf>
    <xf numFmtId="0" fontId="43" fillId="18" borderId="0" xfId="2" applyFont="1" applyFill="1" applyAlignment="1">
      <alignment horizontal="left" vertical="center" wrapText="1"/>
    </xf>
    <xf numFmtId="0" fontId="4" fillId="32" borderId="0" xfId="2" applyFont="1" applyFill="1" applyAlignment="1">
      <alignment horizontal="center" vertical="center" wrapText="1"/>
    </xf>
    <xf numFmtId="0" fontId="45" fillId="31" borderId="0" xfId="2" applyFont="1" applyFill="1" applyAlignment="1">
      <alignment horizontal="center" vertical="center" wrapText="1"/>
    </xf>
    <xf numFmtId="0" fontId="44" fillId="30" borderId="0" xfId="2" applyFont="1" applyFill="1" applyAlignment="1">
      <alignment horizontal="center" vertical="center" wrapText="1"/>
    </xf>
    <xf numFmtId="0" fontId="44" fillId="28" borderId="0" xfId="2" applyFont="1" applyFill="1" applyAlignment="1">
      <alignment horizontal="center" vertical="center" wrapText="1"/>
    </xf>
    <xf numFmtId="0" fontId="6" fillId="20" borderId="0" xfId="2" applyFont="1" applyFill="1" applyAlignment="1">
      <alignment horizontal="left" vertical="center" wrapText="1"/>
    </xf>
    <xf numFmtId="0" fontId="44" fillId="20" borderId="0" xfId="2" applyFont="1" applyFill="1" applyAlignment="1">
      <alignment horizontal="left" vertical="center" wrapText="1"/>
    </xf>
    <xf numFmtId="0" fontId="47" fillId="31" borderId="0" xfId="2" applyFont="1" applyFill="1" applyAlignment="1">
      <alignment horizontal="center" vertical="center" wrapText="1"/>
    </xf>
  </cellXfs>
  <cellStyles count="4">
    <cellStyle name="Normal" xfId="0" builtinId="0"/>
    <cellStyle name="Normal 2" xfId="2" xr:uid="{639C6B2E-8CDE-4BEC-A668-3BDCF73DEAFD}"/>
    <cellStyle name="Normal 3" xfId="3" xr:uid="{29FCACF8-8114-BF4A-A5FD-2C6EC2F25C9D}"/>
    <cellStyle name="Percent" xfId="1" builtinId="5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83FA-D05D-1847-B81D-1857F594D356}">
  <dimension ref="A1:M15"/>
  <sheetViews>
    <sheetView showGridLines="0" tabSelected="1" zoomScale="130" zoomScaleNormal="130" workbookViewId="0">
      <selection sqref="A1:M1"/>
    </sheetView>
  </sheetViews>
  <sheetFormatPr baseColWidth="10" defaultColWidth="11" defaultRowHeight="16" x14ac:dyDescent="0.2"/>
  <cols>
    <col min="1" max="1" width="17.5" style="63" customWidth="1"/>
    <col min="2" max="16384" width="11" style="63"/>
  </cols>
  <sheetData>
    <row r="1" spans="1:13" ht="21" customHeight="1" x14ac:dyDescent="0.2">
      <c r="A1" s="217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</row>
    <row r="2" spans="1:13" ht="21" customHeight="1" x14ac:dyDescent="0.2">
      <c r="A2" s="218" t="s">
        <v>1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</row>
    <row r="3" spans="1:13" ht="17" thickBot="1" x14ac:dyDescent="0.25">
      <c r="A3" s="100"/>
      <c r="B3" s="100"/>
      <c r="C3" s="100"/>
      <c r="D3" s="100"/>
      <c r="E3" s="100"/>
      <c r="F3" s="100"/>
      <c r="G3" s="100"/>
    </row>
    <row r="4" spans="1:13" ht="17" thickBot="1" x14ac:dyDescent="0.25">
      <c r="A4" s="63" t="s">
        <v>2</v>
      </c>
      <c r="B4" s="213" t="s">
        <v>3</v>
      </c>
    </row>
    <row r="10" spans="1:13" x14ac:dyDescent="0.2">
      <c r="A10" s="63" t="s">
        <v>4</v>
      </c>
    </row>
    <row r="11" spans="1:13" x14ac:dyDescent="0.2">
      <c r="A11" s="63" t="s">
        <v>5</v>
      </c>
    </row>
    <row r="12" spans="1:13" x14ac:dyDescent="0.2">
      <c r="A12" s="63" t="s">
        <v>6</v>
      </c>
    </row>
    <row r="13" spans="1:13" x14ac:dyDescent="0.2">
      <c r="A13" s="63" t="s">
        <v>7</v>
      </c>
    </row>
    <row r="14" spans="1:13" x14ac:dyDescent="0.2">
      <c r="A14" s="63" t="s">
        <v>8</v>
      </c>
    </row>
    <row r="15" spans="1:13" ht="15.75" customHeight="1" x14ac:dyDescent="0.2">
      <c r="A15" s="63" t="s">
        <v>9</v>
      </c>
    </row>
  </sheetData>
  <mergeCells count="2">
    <mergeCell ref="A1:M1"/>
    <mergeCell ref="A2:M2"/>
  </mergeCells>
  <phoneticPr fontId="2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FDAF8B-F3AE-498E-8DDE-FE3382C7C3E5}">
          <x14:formula1>
            <xm:f>'Data Validation'!$B$5:$B$7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4585-0D91-B44F-8B1B-A932301C98D7}">
  <dimension ref="A1:M7"/>
  <sheetViews>
    <sheetView showGridLines="0" topLeftCell="B1" zoomScale="173" zoomScaleNormal="130" workbookViewId="0">
      <selection activeCell="J8" sqref="J8"/>
    </sheetView>
  </sheetViews>
  <sheetFormatPr baseColWidth="10" defaultColWidth="11" defaultRowHeight="16" x14ac:dyDescent="0.2"/>
  <cols>
    <col min="1" max="1" width="11" style="63"/>
    <col min="2" max="2" width="12.33203125" style="63" bestFit="1" customWidth="1"/>
    <col min="3" max="3" width="11" style="63"/>
    <col min="4" max="4" width="21.5" style="63" bestFit="1" customWidth="1"/>
    <col min="5" max="5" width="11" style="63"/>
    <col min="6" max="6" width="23.1640625" style="63" bestFit="1" customWidth="1"/>
    <col min="7" max="7" width="11" style="63"/>
    <col min="8" max="8" width="15.83203125" style="63" bestFit="1" customWidth="1"/>
    <col min="9" max="9" width="11" style="63"/>
    <col min="10" max="10" width="13.5" style="63" bestFit="1" customWidth="1"/>
    <col min="11" max="16384" width="11" style="63"/>
  </cols>
  <sheetData>
    <row r="1" spans="1:13" ht="21" x14ac:dyDescent="0.2">
      <c r="A1" s="217" t="s">
        <v>10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</row>
    <row r="2" spans="1:13" ht="21" x14ac:dyDescent="0.2">
      <c r="A2" s="218" t="s">
        <v>11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</row>
    <row r="4" spans="1:13" s="101" customFormat="1" ht="14" x14ac:dyDescent="0.2">
      <c r="B4" s="101" t="s">
        <v>12</v>
      </c>
      <c r="D4" s="101" t="s">
        <v>13</v>
      </c>
      <c r="F4" s="101" t="s">
        <v>14</v>
      </c>
      <c r="H4" s="129" t="s">
        <v>305</v>
      </c>
      <c r="J4" s="129" t="s">
        <v>306</v>
      </c>
    </row>
    <row r="5" spans="1:13" s="102" customFormat="1" ht="14" x14ac:dyDescent="0.2">
      <c r="B5" s="102" t="s">
        <v>3</v>
      </c>
      <c r="D5" s="103">
        <v>0.03</v>
      </c>
      <c r="E5" s="103"/>
      <c r="F5" s="103">
        <v>0.01</v>
      </c>
      <c r="H5" s="127">
        <v>5000000000</v>
      </c>
      <c r="J5" s="102" t="s">
        <v>307</v>
      </c>
    </row>
    <row r="6" spans="1:13" s="104" customFormat="1" ht="14" x14ac:dyDescent="0.2">
      <c r="B6" s="104" t="s">
        <v>15</v>
      </c>
      <c r="D6" s="105">
        <v>0.02</v>
      </c>
      <c r="E6" s="105"/>
      <c r="F6" s="105">
        <v>-0.01</v>
      </c>
      <c r="H6" s="128">
        <v>10000000000</v>
      </c>
      <c r="J6" s="104" t="s">
        <v>308</v>
      </c>
    </row>
    <row r="7" spans="1:13" s="102" customFormat="1" ht="14" x14ac:dyDescent="0.2">
      <c r="B7" s="102" t="s">
        <v>16</v>
      </c>
      <c r="D7" s="103">
        <v>0.04</v>
      </c>
      <c r="E7" s="103"/>
      <c r="F7" s="103">
        <v>0.03</v>
      </c>
      <c r="H7" s="127">
        <v>20000000000</v>
      </c>
      <c r="J7" s="102" t="s">
        <v>309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2538-F9F1-EB4E-ADC5-E401F9F852DE}">
  <sheetPr>
    <tabColor theme="0"/>
  </sheetPr>
  <dimension ref="A1:Y3"/>
  <sheetViews>
    <sheetView showGridLines="0" workbookViewId="0">
      <selection sqref="A1:Y3"/>
    </sheetView>
  </sheetViews>
  <sheetFormatPr baseColWidth="10" defaultRowHeight="16" x14ac:dyDescent="0.2"/>
  <sheetData>
    <row r="1" spans="1:25" x14ac:dyDescent="0.2">
      <c r="A1" s="219" t="s">
        <v>312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2" spans="1:25" x14ac:dyDescent="0.2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5" x14ac:dyDescent="0.2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</row>
  </sheetData>
  <mergeCells count="1">
    <mergeCell ref="A1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A8A3-E821-304A-AAE6-9B6D111D232B}">
  <dimension ref="A1:AA68"/>
  <sheetViews>
    <sheetView showGridLines="0" zoomScale="135" zoomScaleNormal="100" workbookViewId="0">
      <pane xSplit="2" ySplit="4" topLeftCell="C5" activePane="bottomRight" state="frozen"/>
      <selection pane="topRight" activeCell="C1" sqref="C1"/>
      <selection pane="bottomLeft" activeCell="A3" sqref="A3"/>
      <selection pane="bottomRight" sqref="A1:B2"/>
    </sheetView>
  </sheetViews>
  <sheetFormatPr baseColWidth="10" defaultColWidth="11" defaultRowHeight="16" outlineLevelRow="1" outlineLevelCol="1" x14ac:dyDescent="0.2"/>
  <cols>
    <col min="1" max="1" width="20.1640625" style="63" bestFit="1" customWidth="1"/>
    <col min="2" max="2" width="25.6640625" style="63" bestFit="1" customWidth="1"/>
    <col min="3" max="6" width="15.6640625" style="63" bestFit="1" customWidth="1"/>
    <col min="7" max="7" width="18.1640625" style="63" bestFit="1" customWidth="1"/>
    <col min="8" max="8" width="15.6640625" style="63" bestFit="1" customWidth="1"/>
    <col min="9" max="9" width="11" style="64" hidden="1" customWidth="1" outlineLevel="1"/>
    <col min="10" max="10" width="14.1640625" style="65" bestFit="1" customWidth="1" collapsed="1"/>
    <col min="11" max="11" width="15.5" style="63" hidden="1" customWidth="1" outlineLevel="1"/>
    <col min="12" max="12" width="15.6640625" style="63" bestFit="1" customWidth="1" collapsed="1"/>
    <col min="13" max="13" width="19.1640625" style="63" bestFit="1" customWidth="1"/>
    <col min="14" max="17" width="15.6640625" style="63" bestFit="1" customWidth="1"/>
    <col min="18" max="18" width="20.1640625" style="63" customWidth="1"/>
    <col min="19" max="19" width="15.6640625" style="63" bestFit="1" customWidth="1"/>
    <col min="20" max="20" width="29.33203125" style="63" customWidth="1"/>
    <col min="21" max="21" width="19.1640625" style="63" bestFit="1" customWidth="1"/>
    <col min="22" max="22" width="28.83203125" style="63" bestFit="1" customWidth="1"/>
    <col min="23" max="23" width="19.33203125" style="63" bestFit="1" customWidth="1"/>
    <col min="24" max="24" width="19.1640625" style="63" bestFit="1" customWidth="1"/>
    <col min="25" max="25" width="11" style="63"/>
    <col min="26" max="26" width="7.5" style="63" bestFit="1" customWidth="1"/>
    <col min="27" max="27" width="19.1640625" style="63" bestFit="1" customWidth="1"/>
    <col min="28" max="16384" width="11" style="63"/>
  </cols>
  <sheetData>
    <row r="1" spans="1:26" ht="20.25" customHeight="1" x14ac:dyDescent="0.2">
      <c r="A1" s="222" t="s">
        <v>17</v>
      </c>
      <c r="B1" s="222"/>
      <c r="C1" s="61"/>
      <c r="D1" s="61"/>
      <c r="E1" s="61"/>
      <c r="F1" s="61"/>
      <c r="G1" s="62"/>
      <c r="H1" s="61"/>
      <c r="I1" s="61"/>
      <c r="J1" s="61"/>
      <c r="K1" s="61"/>
      <c r="L1" s="61"/>
    </row>
    <row r="2" spans="1:26" ht="39" customHeight="1" x14ac:dyDescent="0.2">
      <c r="A2" s="222"/>
      <c r="B2" s="222"/>
      <c r="C2" s="220" t="s">
        <v>18</v>
      </c>
      <c r="D2" s="221"/>
      <c r="E2" s="221"/>
      <c r="F2" s="221"/>
      <c r="G2" s="221"/>
      <c r="H2" s="221"/>
      <c r="L2" s="220" t="s">
        <v>19</v>
      </c>
      <c r="M2" s="221"/>
      <c r="N2" s="221"/>
      <c r="O2" s="221"/>
      <c r="P2" s="221"/>
      <c r="Q2" s="221"/>
      <c r="S2" s="220" t="s">
        <v>20</v>
      </c>
      <c r="T2" s="221"/>
      <c r="V2" s="220" t="s">
        <v>21</v>
      </c>
      <c r="W2" s="221"/>
    </row>
    <row r="3" spans="1:26" x14ac:dyDescent="0.2">
      <c r="G3" s="66" t="s">
        <v>22</v>
      </c>
      <c r="H3" s="66" t="s">
        <v>23</v>
      </c>
      <c r="L3" s="63">
        <v>1</v>
      </c>
      <c r="M3" s="63">
        <f>L3+1</f>
        <v>2</v>
      </c>
      <c r="N3" s="63">
        <f t="shared" ref="N3:Q3" si="0">M3+1</f>
        <v>3</v>
      </c>
      <c r="O3" s="63">
        <f t="shared" si="0"/>
        <v>4</v>
      </c>
      <c r="P3" s="63">
        <f t="shared" si="0"/>
        <v>5</v>
      </c>
      <c r="Q3" s="63">
        <f t="shared" si="0"/>
        <v>6</v>
      </c>
    </row>
    <row r="4" spans="1:26" ht="16" customHeight="1" x14ac:dyDescent="0.2">
      <c r="B4" s="67" t="s">
        <v>24</v>
      </c>
      <c r="C4" s="68" t="s">
        <v>25</v>
      </c>
      <c r="D4" s="68" t="s">
        <v>26</v>
      </c>
      <c r="E4" s="68" t="s">
        <v>27</v>
      </c>
      <c r="F4" s="68" t="s">
        <v>28</v>
      </c>
      <c r="G4" s="68" t="s">
        <v>29</v>
      </c>
      <c r="H4" s="68" t="s">
        <v>30</v>
      </c>
      <c r="I4" s="64" t="s">
        <v>31</v>
      </c>
      <c r="J4" s="65" t="s">
        <v>32</v>
      </c>
      <c r="K4" s="63" t="s">
        <v>33</v>
      </c>
      <c r="L4" s="68" t="s">
        <v>29</v>
      </c>
      <c r="M4" s="68" t="s">
        <v>30</v>
      </c>
      <c r="N4" s="68" t="s">
        <v>34</v>
      </c>
      <c r="O4" s="68" t="s">
        <v>35</v>
      </c>
      <c r="P4" s="68" t="s">
        <v>36</v>
      </c>
      <c r="Q4" s="68" t="s">
        <v>37</v>
      </c>
    </row>
    <row r="5" spans="1:26" x14ac:dyDescent="0.2">
      <c r="B5" s="54" t="s">
        <v>38</v>
      </c>
      <c r="C5" s="55">
        <v>107808000</v>
      </c>
      <c r="D5" s="55">
        <v>106565000</v>
      </c>
      <c r="E5" s="55">
        <v>110875000</v>
      </c>
      <c r="F5" s="55">
        <v>115846000</v>
      </c>
      <c r="G5" s="55">
        <v>120550000</v>
      </c>
      <c r="H5" s="55">
        <v>127079000</v>
      </c>
      <c r="I5" s="64">
        <f>('Verizon Counterfactual DCF'!$G5/'Verizon Counterfactual DCF'!$C5)^(1/5)-1</f>
        <v>2.2594011484641463E-2</v>
      </c>
      <c r="J5" s="69" cm="1">
        <f t="array" ref="J5">_xlfn.SWITCH('Cover Page'!B4,'Data Validation'!B5,'Data Validation'!D5,'Data Validation'!B6,'Data Validation'!D6,'Data Validation'!B7,'Data Validation'!D7)</f>
        <v>0.03</v>
      </c>
      <c r="K5" s="70">
        <f>AVERAGE(K6,I5)</f>
        <v>2.8148510375577758E-2</v>
      </c>
      <c r="L5" s="71">
        <f>'Verizon Counterfactual DCF'!$F5*(1+$J$5)</f>
        <v>119321380</v>
      </c>
      <c r="M5" s="71">
        <f>L5*(1+$J$5)</f>
        <v>122901021.40000001</v>
      </c>
      <c r="N5" s="71">
        <f>M5*(1+$J$5)</f>
        <v>126588052.04200001</v>
      </c>
      <c r="O5" s="71">
        <f>N5*(1+$J$5)</f>
        <v>130385693.60326001</v>
      </c>
      <c r="P5" s="71">
        <f>O5*(1+$J$5)</f>
        <v>134297264.41135782</v>
      </c>
      <c r="Q5" s="71">
        <f>P5*(1+$J$5)</f>
        <v>138326182.34369856</v>
      </c>
      <c r="S5" s="54" t="s">
        <v>39</v>
      </c>
      <c r="T5" s="94">
        <f>((T18/T17)*T13)+((T19/T17)*T8*(1-T15))</f>
        <v>4.7013643956858676E-2</v>
      </c>
      <c r="V5" s="54" t="s">
        <v>40</v>
      </c>
      <c r="W5" s="98">
        <v>43.27</v>
      </c>
    </row>
    <row r="6" spans="1:26" x14ac:dyDescent="0.2">
      <c r="B6" s="56" t="s">
        <v>41</v>
      </c>
      <c r="C6" s="57" t="s">
        <v>42</v>
      </c>
      <c r="D6" s="57">
        <f>(D5-C5)/C5</f>
        <v>-1.152975660433363E-2</v>
      </c>
      <c r="E6" s="57">
        <f>(E5-D5)/D5</f>
        <v>4.0444798948998266E-2</v>
      </c>
      <c r="F6" s="57">
        <f>(F5-E5)/E5</f>
        <v>4.4834272829763246E-2</v>
      </c>
      <c r="G6" s="57">
        <f>(G5-F5)/F5</f>
        <v>4.0605631614384616E-2</v>
      </c>
      <c r="H6" s="57">
        <f>(H5-G5)/G5</f>
        <v>5.4160099543757778E-2</v>
      </c>
      <c r="K6" s="70">
        <f>AVERAGE(D6:H6)</f>
        <v>3.3703009266514053E-2</v>
      </c>
      <c r="L6" s="72"/>
      <c r="M6" s="72"/>
      <c r="N6" s="72"/>
      <c r="O6" s="72"/>
      <c r="P6" s="72"/>
      <c r="Q6" s="72"/>
      <c r="S6" s="56"/>
      <c r="T6" s="95"/>
      <c r="V6" s="56" t="s">
        <v>43</v>
      </c>
      <c r="W6" s="99">
        <v>2800000000</v>
      </c>
    </row>
    <row r="7" spans="1:26" x14ac:dyDescent="0.2">
      <c r="B7" s="54" t="s">
        <v>44</v>
      </c>
      <c r="C7" s="55">
        <v>44579000</v>
      </c>
      <c r="D7" s="55">
        <v>44149000</v>
      </c>
      <c r="E7" s="55">
        <v>45875000</v>
      </c>
      <c r="F7" s="55">
        <v>46275000</v>
      </c>
      <c r="G7" s="55">
        <v>44887000</v>
      </c>
      <c r="H7" s="55">
        <v>49931000</v>
      </c>
      <c r="L7" s="71">
        <f>L5*$K$8</f>
        <v>47853185.636762969</v>
      </c>
      <c r="M7" s="71">
        <f t="shared" ref="M7:Q7" si="1">M5*$K$8</f>
        <v>49288781.20586586</v>
      </c>
      <c r="N7" s="71">
        <f t="shared" si="1"/>
        <v>50767444.642041832</v>
      </c>
      <c r="O7" s="71">
        <f t="shared" si="1"/>
        <v>52290467.981303088</v>
      </c>
      <c r="P7" s="71">
        <f t="shared" si="1"/>
        <v>53859182.020742185</v>
      </c>
      <c r="Q7" s="71">
        <f t="shared" si="1"/>
        <v>55474957.481364451</v>
      </c>
      <c r="S7" s="54" t="s">
        <v>45</v>
      </c>
      <c r="T7" s="96">
        <v>3.04E-2</v>
      </c>
      <c r="V7" s="54" t="s">
        <v>46</v>
      </c>
      <c r="W7" s="98">
        <f>W5*W6</f>
        <v>121156000000.00002</v>
      </c>
    </row>
    <row r="8" spans="1:26" x14ac:dyDescent="0.2">
      <c r="B8" s="56" t="s">
        <v>47</v>
      </c>
      <c r="C8" s="57">
        <f>C7/C5</f>
        <v>0.41350363609379637</v>
      </c>
      <c r="D8" s="57">
        <f>D7/D5</f>
        <v>0.41429174682118897</v>
      </c>
      <c r="E8" s="57">
        <f t="shared" ref="E8:H8" si="2">E7/E5</f>
        <v>0.41375422773393461</v>
      </c>
      <c r="F8" s="57">
        <f t="shared" si="2"/>
        <v>0.39945272171676188</v>
      </c>
      <c r="G8" s="57">
        <f t="shared" si="2"/>
        <v>0.37235172127747823</v>
      </c>
      <c r="H8" s="57">
        <f t="shared" si="2"/>
        <v>0.39291306982270868</v>
      </c>
      <c r="K8" s="64">
        <f>AVERAGE('Verizon Counterfactual DCF'!$C8:$H8)</f>
        <v>0.40104452057764473</v>
      </c>
      <c r="L8" s="72"/>
      <c r="M8" s="72"/>
      <c r="N8" s="72"/>
      <c r="O8" s="72"/>
      <c r="P8" s="72"/>
      <c r="Q8" s="72"/>
      <c r="S8" s="56" t="s">
        <v>48</v>
      </c>
      <c r="T8" s="95">
        <f>K34</f>
        <v>4.8263086662935405E-2</v>
      </c>
      <c r="V8" s="56"/>
      <c r="W8" s="72"/>
    </row>
    <row r="9" spans="1:26" x14ac:dyDescent="0.2">
      <c r="B9" s="54" t="s">
        <v>49</v>
      </c>
      <c r="C9" s="55">
        <v>33081000</v>
      </c>
      <c r="D9" s="55">
        <v>31520000</v>
      </c>
      <c r="E9" s="55">
        <v>29738000</v>
      </c>
      <c r="F9" s="55">
        <v>28871000</v>
      </c>
      <c r="G9" s="55">
        <v>48486000</v>
      </c>
      <c r="H9" s="55">
        <v>36610000</v>
      </c>
      <c r="L9" s="71">
        <f>L5*$K$10</f>
        <v>36002418.220762998</v>
      </c>
      <c r="M9" s="71">
        <f t="shared" ref="M9:Q9" si="3">M5*$K$10</f>
        <v>37082490.767385893</v>
      </c>
      <c r="N9" s="71">
        <f t="shared" si="3"/>
        <v>38194965.490407474</v>
      </c>
      <c r="O9" s="71">
        <f t="shared" si="3"/>
        <v>39340814.455119692</v>
      </c>
      <c r="P9" s="71">
        <f t="shared" si="3"/>
        <v>40521038.888773285</v>
      </c>
      <c r="Q9" s="71">
        <f t="shared" si="3"/>
        <v>41736670.055436492</v>
      </c>
      <c r="S9" s="54"/>
      <c r="T9" s="94"/>
      <c r="V9" s="54" t="s">
        <v>50</v>
      </c>
      <c r="W9" s="98">
        <f>W10*0.5+(W11*0.5)</f>
        <v>310456649539.16992</v>
      </c>
    </row>
    <row r="10" spans="1:26" ht="19" x14ac:dyDescent="0.25">
      <c r="B10" s="56" t="s">
        <v>47</v>
      </c>
      <c r="C10" s="57">
        <f>C9/C5</f>
        <v>0.30685106856634015</v>
      </c>
      <c r="D10" s="57">
        <f t="shared" ref="D10:G10" si="4">D9/D5</f>
        <v>0.29578191713977386</v>
      </c>
      <c r="E10" s="57">
        <f t="shared" si="4"/>
        <v>0.26821195039458851</v>
      </c>
      <c r="F10" s="57">
        <f t="shared" si="4"/>
        <v>0.24921879046320114</v>
      </c>
      <c r="G10" s="57">
        <f t="shared" si="4"/>
        <v>0.40220655329738697</v>
      </c>
      <c r="H10" s="57">
        <f>H9/H5</f>
        <v>0.28808851187056872</v>
      </c>
      <c r="K10" s="64">
        <f>AVERAGE('Verizon Counterfactual DCF'!$C10:$H10)</f>
        <v>0.30172646528864316</v>
      </c>
      <c r="L10" s="72"/>
      <c r="M10" s="72"/>
      <c r="N10" s="72"/>
      <c r="O10" s="72"/>
      <c r="P10" s="72"/>
      <c r="Q10" s="72"/>
      <c r="S10" s="56" t="s">
        <v>51</v>
      </c>
      <c r="T10" s="97">
        <v>0.3</v>
      </c>
      <c r="V10" s="56" t="s">
        <v>52</v>
      </c>
      <c r="W10" s="72">
        <f>((Q9*1000)*W20)/(1+T5)^Q3</f>
        <v>253450840766.72672</v>
      </c>
      <c r="Z10" s="74"/>
    </row>
    <row r="11" spans="1:26" x14ac:dyDescent="0.2">
      <c r="B11" s="54" t="s">
        <v>53</v>
      </c>
      <c r="C11" s="55">
        <v>16534000</v>
      </c>
      <c r="D11" s="55">
        <v>16405000</v>
      </c>
      <c r="E11" s="55">
        <v>16496000</v>
      </c>
      <c r="F11" s="55">
        <v>16460000</v>
      </c>
      <c r="G11" s="55">
        <v>16606000</v>
      </c>
      <c r="H11" s="55">
        <v>16533000</v>
      </c>
      <c r="L11" s="71">
        <f>L5*$K$12</f>
        <v>17222576.102301415</v>
      </c>
      <c r="M11" s="71">
        <f t="shared" ref="M11:Q11" si="5">M5*$K$12</f>
        <v>17739253.385370459</v>
      </c>
      <c r="N11" s="71">
        <f t="shared" si="5"/>
        <v>18271430.986931574</v>
      </c>
      <c r="O11" s="71">
        <f t="shared" si="5"/>
        <v>18819573.91653952</v>
      </c>
      <c r="P11" s="71">
        <f t="shared" si="5"/>
        <v>19384161.13403571</v>
      </c>
      <c r="Q11" s="71">
        <f t="shared" si="5"/>
        <v>19965685.968056779</v>
      </c>
      <c r="S11" s="54" t="s">
        <v>54</v>
      </c>
      <c r="T11" s="96">
        <v>0.1</v>
      </c>
      <c r="V11" s="54" t="s">
        <v>55</v>
      </c>
      <c r="W11" s="98">
        <f>(((Q30*1000)*(1+W19))/(T5-W19))/(1+T5)^Q3</f>
        <v>367462458311.61316</v>
      </c>
    </row>
    <row r="12" spans="1:26" x14ac:dyDescent="0.2">
      <c r="B12" s="56" t="s">
        <v>47</v>
      </c>
      <c r="C12" s="57">
        <f>C11/C5</f>
        <v>0.15336524191154646</v>
      </c>
      <c r="D12" s="57">
        <f t="shared" ref="D12:H12" si="6">D11/D5</f>
        <v>0.15394360249612912</v>
      </c>
      <c r="E12" s="57">
        <f t="shared" si="6"/>
        <v>0.14878015783540022</v>
      </c>
      <c r="F12" s="57">
        <f t="shared" si="6"/>
        <v>0.1420851820520346</v>
      </c>
      <c r="G12" s="57">
        <f t="shared" si="6"/>
        <v>0.13775197013687265</v>
      </c>
      <c r="H12" s="57">
        <f t="shared" si="6"/>
        <v>0.13010017390756931</v>
      </c>
      <c r="K12" s="70">
        <f>AVERAGE('Verizon Counterfactual DCF'!$C12:$H12)</f>
        <v>0.1443377213899254</v>
      </c>
      <c r="L12" s="72"/>
      <c r="M12" s="72"/>
      <c r="N12" s="72"/>
      <c r="O12" s="72"/>
      <c r="P12" s="72"/>
      <c r="Q12" s="72"/>
      <c r="S12" s="56"/>
      <c r="T12" s="95"/>
      <c r="V12" s="56"/>
      <c r="W12" s="72"/>
    </row>
    <row r="13" spans="1:26" x14ac:dyDescent="0.2">
      <c r="B13" s="54" t="s">
        <v>56</v>
      </c>
      <c r="C13" s="55">
        <v>16547000</v>
      </c>
      <c r="D13" s="55">
        <v>15115000</v>
      </c>
      <c r="E13" s="55">
        <v>13242000</v>
      </c>
      <c r="F13" s="55">
        <v>12411000</v>
      </c>
      <c r="G13" s="55">
        <v>31880000</v>
      </c>
      <c r="H13" s="55">
        <v>20077000</v>
      </c>
      <c r="L13" s="71">
        <f>L9-L11</f>
        <v>18779842.118461583</v>
      </c>
      <c r="M13" s="71">
        <f t="shared" ref="M13:Q13" si="7">M9-M11</f>
        <v>19343237.382015433</v>
      </c>
      <c r="N13" s="71">
        <f t="shared" si="7"/>
        <v>19923534.503475901</v>
      </c>
      <c r="O13" s="71">
        <f t="shared" si="7"/>
        <v>20521240.538580172</v>
      </c>
      <c r="P13" s="71">
        <f t="shared" si="7"/>
        <v>21136877.754737575</v>
      </c>
      <c r="Q13" s="71">
        <f t="shared" si="7"/>
        <v>21770984.087379713</v>
      </c>
      <c r="S13" s="54" t="s">
        <v>57</v>
      </c>
      <c r="T13" s="94">
        <f>(T7+(T10*(T11-T7)))</f>
        <v>5.1280000000000006E-2</v>
      </c>
      <c r="V13" s="54" t="s">
        <v>58</v>
      </c>
      <c r="W13" s="98">
        <f>W9+(L38*1000)</f>
        <v>373733700167.85718</v>
      </c>
    </row>
    <row r="14" spans="1:26" x14ac:dyDescent="0.2">
      <c r="B14" s="56" t="s">
        <v>59</v>
      </c>
      <c r="C14" s="58">
        <v>13520000</v>
      </c>
      <c r="D14" s="58">
        <v>12684000</v>
      </c>
      <c r="E14" s="58">
        <v>10483000</v>
      </c>
      <c r="F14" s="58">
        <v>9897000</v>
      </c>
      <c r="G14" s="58">
        <v>29277000</v>
      </c>
      <c r="H14" s="58">
        <v>15270000</v>
      </c>
      <c r="I14" s="63"/>
      <c r="L14" s="72">
        <f>L13-L35</f>
        <v>15646917.147482239</v>
      </c>
      <c r="M14" s="72">
        <f t="shared" ref="M14:Q14" si="8">M13-M35</f>
        <v>16116324.661906708</v>
      </c>
      <c r="N14" s="72">
        <f t="shared" si="8"/>
        <v>16599814.401763912</v>
      </c>
      <c r="O14" s="72">
        <f t="shared" si="8"/>
        <v>17097808.833816826</v>
      </c>
      <c r="P14" s="72">
        <f t="shared" si="8"/>
        <v>17610743.098831326</v>
      </c>
      <c r="Q14" s="72">
        <f t="shared" si="8"/>
        <v>18139065.391796276</v>
      </c>
      <c r="S14" s="56"/>
      <c r="T14" s="95"/>
      <c r="V14" s="56" t="s">
        <v>60</v>
      </c>
      <c r="W14" s="72">
        <f>W13-(F37*1000)</f>
        <v>325309700167.85718</v>
      </c>
    </row>
    <row r="15" spans="1:26" x14ac:dyDescent="0.2">
      <c r="B15" s="54" t="s">
        <v>61</v>
      </c>
      <c r="C15" s="55">
        <v>1919000</v>
      </c>
      <c r="D15" s="55">
        <v>2467000</v>
      </c>
      <c r="E15" s="55">
        <v>285000</v>
      </c>
      <c r="F15" s="55">
        <v>-660000</v>
      </c>
      <c r="G15" s="55">
        <v>5730000</v>
      </c>
      <c r="H15" s="55">
        <v>3314000</v>
      </c>
      <c r="K15" s="64"/>
      <c r="L15" s="71">
        <f>L14*L16</f>
        <v>3628520.0865011313</v>
      </c>
      <c r="M15" s="71">
        <f t="shared" ref="M15:Q15" si="9">M14*M16</f>
        <v>3737375.6890961654</v>
      </c>
      <c r="N15" s="71">
        <f t="shared" si="9"/>
        <v>3849496.9597690511</v>
      </c>
      <c r="O15" s="71">
        <f t="shared" si="9"/>
        <v>3964981.8685621219</v>
      </c>
      <c r="P15" s="71">
        <f t="shared" si="9"/>
        <v>4083931.3246189845</v>
      </c>
      <c r="Q15" s="71">
        <f t="shared" si="9"/>
        <v>4206449.2643575566</v>
      </c>
      <c r="S15" s="54" t="s">
        <v>62</v>
      </c>
      <c r="T15" s="96">
        <f>'Assumptions (3) Old'!F17</f>
        <v>0.2319</v>
      </c>
      <c r="V15" s="54" t="s">
        <v>63</v>
      </c>
      <c r="W15" s="98">
        <f>W14-(W14*0.45)</f>
        <v>178920335092.32144</v>
      </c>
    </row>
    <row r="16" spans="1:26" x14ac:dyDescent="0.2">
      <c r="B16" s="56" t="s">
        <v>64</v>
      </c>
      <c r="C16" s="59">
        <v>0.2319</v>
      </c>
      <c r="D16" s="59">
        <v>0.2319</v>
      </c>
      <c r="E16" s="59">
        <v>0.2319</v>
      </c>
      <c r="F16" s="59">
        <v>0.2319</v>
      </c>
      <c r="G16" s="59">
        <v>0.2319</v>
      </c>
      <c r="H16" s="59">
        <v>0.2319</v>
      </c>
      <c r="I16" s="75"/>
      <c r="J16" s="75"/>
      <c r="K16" s="75"/>
      <c r="L16" s="76">
        <v>0.2319</v>
      </c>
      <c r="M16" s="76">
        <v>0.2319</v>
      </c>
      <c r="N16" s="76">
        <v>0.2319</v>
      </c>
      <c r="O16" s="76">
        <v>0.2319</v>
      </c>
      <c r="P16" s="76">
        <v>0.2319</v>
      </c>
      <c r="Q16" s="76">
        <v>0.2319</v>
      </c>
      <c r="S16" s="56"/>
      <c r="T16" s="72"/>
      <c r="V16" s="56"/>
      <c r="W16" s="72"/>
    </row>
    <row r="17" spans="2:27" x14ac:dyDescent="0.2">
      <c r="B17" s="54" t="s">
        <v>65</v>
      </c>
      <c r="C17" s="55">
        <f>C13*(1-C16)</f>
        <v>12709750.699999999</v>
      </c>
      <c r="D17" s="55">
        <f t="shared" ref="D17:H17" si="10">D13*(1-D16)</f>
        <v>11609831.5</v>
      </c>
      <c r="E17" s="55">
        <f t="shared" si="10"/>
        <v>10171180.199999999</v>
      </c>
      <c r="F17" s="55">
        <f t="shared" si="10"/>
        <v>9532889.0999999996</v>
      </c>
      <c r="G17" s="55">
        <f t="shared" si="10"/>
        <v>24487028</v>
      </c>
      <c r="H17" s="55">
        <f t="shared" si="10"/>
        <v>15421143.699999999</v>
      </c>
      <c r="K17" s="64"/>
      <c r="L17" s="71">
        <f>L14*(1-L16)</f>
        <v>12018397.060981108</v>
      </c>
      <c r="M17" s="71">
        <f t="shared" ref="M17:Q17" si="11">M14*(1-M16)</f>
        <v>12378948.972810542</v>
      </c>
      <c r="N17" s="71">
        <f t="shared" si="11"/>
        <v>12750317.441994861</v>
      </c>
      <c r="O17" s="71">
        <f t="shared" si="11"/>
        <v>13132826.965254704</v>
      </c>
      <c r="P17" s="71">
        <f t="shared" si="11"/>
        <v>13526811.774212342</v>
      </c>
      <c r="Q17" s="71">
        <f t="shared" si="11"/>
        <v>13932616.12743872</v>
      </c>
      <c r="S17" s="54" t="s">
        <v>66</v>
      </c>
      <c r="T17" s="71">
        <f>T18+T19</f>
        <v>173143000000</v>
      </c>
      <c r="V17" s="54" t="s">
        <v>67</v>
      </c>
      <c r="W17" s="98">
        <f>W15/W6</f>
        <v>63.900119675829089</v>
      </c>
    </row>
    <row r="18" spans="2:27" x14ac:dyDescent="0.2">
      <c r="B18" s="56" t="s">
        <v>68</v>
      </c>
      <c r="C18" s="58">
        <v>16872000</v>
      </c>
      <c r="D18" s="58">
        <v>17244000</v>
      </c>
      <c r="E18" s="58">
        <v>16465000</v>
      </c>
      <c r="F18" s="58">
        <v>20473000</v>
      </c>
      <c r="G18" s="58">
        <v>17184000</v>
      </c>
      <c r="H18" s="58">
        <v>17545000</v>
      </c>
      <c r="K18" s="64"/>
      <c r="L18" s="72">
        <f>L5*$K$19</f>
        <v>18378557.569867011</v>
      </c>
      <c r="M18" s="72">
        <f t="shared" ref="M18:Q18" si="12">M5*$K$19</f>
        <v>18929914.296963021</v>
      </c>
      <c r="N18" s="72">
        <f t="shared" si="12"/>
        <v>19497811.725871913</v>
      </c>
      <c r="O18" s="72">
        <f t="shared" si="12"/>
        <v>20082746.07764807</v>
      </c>
      <c r="P18" s="72">
        <f t="shared" si="12"/>
        <v>20685228.459977515</v>
      </c>
      <c r="Q18" s="72">
        <f t="shared" si="12"/>
        <v>21305785.31377684</v>
      </c>
      <c r="S18" s="56" t="s">
        <v>69</v>
      </c>
      <c r="T18" s="72">
        <f>W7</f>
        <v>121156000000.00002</v>
      </c>
      <c r="V18" s="56"/>
      <c r="W18" s="72"/>
    </row>
    <row r="19" spans="2:27" x14ac:dyDescent="0.2">
      <c r="B19" s="54" t="s">
        <v>47</v>
      </c>
      <c r="C19" s="60">
        <f>C18/C5</f>
        <v>0.15650044523597506</v>
      </c>
      <c r="D19" s="60">
        <f t="shared" ref="D19:H19" si="13">D18/D5</f>
        <v>0.16181673157227983</v>
      </c>
      <c r="E19" s="60">
        <f t="shared" si="13"/>
        <v>0.14850056369785794</v>
      </c>
      <c r="F19" s="60">
        <f t="shared" si="13"/>
        <v>0.17672599830809868</v>
      </c>
      <c r="G19" s="60">
        <f t="shared" si="13"/>
        <v>0.14254666113645789</v>
      </c>
      <c r="H19" s="60">
        <f t="shared" si="13"/>
        <v>0.13806372414010182</v>
      </c>
      <c r="K19" s="64">
        <f>AVERAGE(C19:H19)</f>
        <v>0.15402568734846186</v>
      </c>
      <c r="L19" s="71"/>
      <c r="M19" s="71"/>
      <c r="N19" s="71"/>
      <c r="O19" s="71"/>
      <c r="P19" s="71"/>
      <c r="Q19" s="71"/>
      <c r="S19" s="54" t="s">
        <v>70</v>
      </c>
      <c r="T19" s="71">
        <f>F33*1000</f>
        <v>51987000000</v>
      </c>
      <c r="V19" s="54" t="s">
        <v>71</v>
      </c>
      <c r="W19" s="96">
        <v>0.02</v>
      </c>
    </row>
    <row r="20" spans="2:27" x14ac:dyDescent="0.2">
      <c r="B20" s="56" t="s">
        <v>72</v>
      </c>
      <c r="C20" s="58">
        <v>12573000</v>
      </c>
      <c r="D20" s="58">
        <v>11781000</v>
      </c>
      <c r="E20" s="58">
        <v>11776000</v>
      </c>
      <c r="F20" s="58">
        <v>12576000</v>
      </c>
      <c r="G20" s="58">
        <v>12439000</v>
      </c>
      <c r="H20" s="58">
        <v>13993000</v>
      </c>
      <c r="K20" s="64"/>
      <c r="L20" s="72">
        <f>L5*$K$21</f>
        <v>13030727.149355823</v>
      </c>
      <c r="M20" s="72">
        <f t="shared" ref="M20:Q20" si="14">M5*$K$21</f>
        <v>13421648.963836499</v>
      </c>
      <c r="N20" s="72">
        <f t="shared" si="14"/>
        <v>13824298.432751594</v>
      </c>
      <c r="O20" s="72">
        <f t="shared" si="14"/>
        <v>14239027.385734141</v>
      </c>
      <c r="P20" s="72">
        <f t="shared" si="14"/>
        <v>14666198.207306167</v>
      </c>
      <c r="Q20" s="72">
        <f t="shared" si="14"/>
        <v>15106184.153525352</v>
      </c>
      <c r="V20" s="56" t="s">
        <v>73</v>
      </c>
      <c r="W20" s="97">
        <v>8</v>
      </c>
    </row>
    <row r="21" spans="2:27" ht="17" thickBot="1" x14ac:dyDescent="0.25">
      <c r="B21" s="54" t="s">
        <v>47</v>
      </c>
      <c r="C21" s="60">
        <f t="shared" ref="C21:H21" si="15">C20/C5</f>
        <v>0.1166239982190561</v>
      </c>
      <c r="D21" s="60">
        <f t="shared" si="15"/>
        <v>0.11055224510861915</v>
      </c>
      <c r="E21" s="60">
        <f t="shared" si="15"/>
        <v>0.10620969560315671</v>
      </c>
      <c r="F21" s="60">
        <f t="shared" si="15"/>
        <v>0.10855791309151805</v>
      </c>
      <c r="G21" s="60">
        <f t="shared" si="15"/>
        <v>0.10318540024885939</v>
      </c>
      <c r="H21" s="60">
        <f t="shared" si="15"/>
        <v>0.11011260711840666</v>
      </c>
      <c r="K21" s="64">
        <f>AVERAGE(C21:H21)</f>
        <v>0.109206976564936</v>
      </c>
      <c r="L21" s="71"/>
      <c r="M21" s="71"/>
      <c r="N21" s="71"/>
      <c r="O21" s="71"/>
      <c r="P21" s="71"/>
      <c r="Q21" s="71"/>
    </row>
    <row r="22" spans="2:27" x14ac:dyDescent="0.2">
      <c r="B22" s="56" t="s">
        <v>74</v>
      </c>
      <c r="C22" s="58">
        <v>1426000</v>
      </c>
      <c r="D22" s="58">
        <v>1131000</v>
      </c>
      <c r="E22" s="58">
        <v>940000</v>
      </c>
      <c r="F22" s="58">
        <v>1075000</v>
      </c>
      <c r="G22" s="58">
        <v>1020000</v>
      </c>
      <c r="H22" s="58">
        <v>1153000</v>
      </c>
      <c r="K22" s="64"/>
      <c r="L22" s="72">
        <f>L7*$K$23</f>
        <v>1173541.1143060881</v>
      </c>
      <c r="M22" s="72">
        <f t="shared" ref="M22:Q22" si="16">M7*$K$23</f>
        <v>1208747.3477352709</v>
      </c>
      <c r="N22" s="72">
        <f t="shared" si="16"/>
        <v>1245009.7681673288</v>
      </c>
      <c r="O22" s="72">
        <f t="shared" si="16"/>
        <v>1282360.0612123488</v>
      </c>
      <c r="P22" s="72">
        <f t="shared" si="16"/>
        <v>1320830.8630487192</v>
      </c>
      <c r="Q22" s="72">
        <f t="shared" si="16"/>
        <v>1360455.788940181</v>
      </c>
      <c r="V22" s="106" t="s">
        <v>75</v>
      </c>
      <c r="W22" s="107">
        <f>W17/W5-1</f>
        <v>0.47677651203672489</v>
      </c>
    </row>
    <row r="23" spans="2:27" ht="17" thickBot="1" x14ac:dyDescent="0.25">
      <c r="B23" s="54" t="s">
        <v>76</v>
      </c>
      <c r="C23" s="60">
        <f t="shared" ref="C23:H23" si="17">C22/C7</f>
        <v>3.198815585813948E-2</v>
      </c>
      <c r="D23" s="60">
        <f t="shared" si="17"/>
        <v>2.5617794287526332E-2</v>
      </c>
      <c r="E23" s="60">
        <f t="shared" si="17"/>
        <v>2.0490463215258856E-2</v>
      </c>
      <c r="F23" s="60">
        <f t="shared" si="17"/>
        <v>2.3230686115613183E-2</v>
      </c>
      <c r="G23" s="60">
        <f t="shared" si="17"/>
        <v>2.2723728473722903E-2</v>
      </c>
      <c r="H23" s="60">
        <f t="shared" si="17"/>
        <v>2.3091866776151087E-2</v>
      </c>
      <c r="K23" s="64">
        <f>AVERAGE(C23:H23)</f>
        <v>2.4523782454401972E-2</v>
      </c>
      <c r="L23" s="71"/>
      <c r="M23" s="71"/>
      <c r="N23" s="71"/>
      <c r="O23" s="71"/>
      <c r="P23" s="71"/>
      <c r="Q23" s="71"/>
      <c r="V23" s="108" t="s">
        <v>77</v>
      </c>
      <c r="W23" s="109">
        <f>(37.65/22.06)-1</f>
        <v>0.70670897552130563</v>
      </c>
      <c r="X23" s="73"/>
      <c r="AA23" s="73"/>
    </row>
    <row r="24" spans="2:27" x14ac:dyDescent="0.2">
      <c r="B24" s="56" t="s">
        <v>78</v>
      </c>
      <c r="C24" s="58">
        <v>13361000</v>
      </c>
      <c r="D24" s="58">
        <v>13259000</v>
      </c>
      <c r="E24" s="58">
        <v>11986000</v>
      </c>
      <c r="F24" s="58">
        <v>8141000</v>
      </c>
      <c r="G24" s="58">
        <v>9248000</v>
      </c>
      <c r="H24" s="58">
        <v>10840000</v>
      </c>
      <c r="K24" s="64"/>
      <c r="L24" s="72">
        <f>L7*$K$25</f>
        <v>11647216.668207161</v>
      </c>
      <c r="M24" s="72">
        <f t="shared" ref="M24:Q24" si="18">M7*$K$25</f>
        <v>11996633.168253377</v>
      </c>
      <c r="N24" s="72">
        <f t="shared" si="18"/>
        <v>12356532.163300976</v>
      </c>
      <c r="O24" s="72">
        <f t="shared" si="18"/>
        <v>12727228.128200006</v>
      </c>
      <c r="P24" s="72">
        <f t="shared" si="18"/>
        <v>13109044.972046008</v>
      </c>
      <c r="Q24" s="72">
        <f t="shared" si="18"/>
        <v>13502316.321207387</v>
      </c>
      <c r="X24" s="73"/>
      <c r="AA24" s="73"/>
    </row>
    <row r="25" spans="2:27" x14ac:dyDescent="0.2">
      <c r="B25" s="54" t="s">
        <v>76</v>
      </c>
      <c r="C25" s="60">
        <f t="shared" ref="C25:H25" si="19">C24/C7</f>
        <v>0.29971511249691557</v>
      </c>
      <c r="D25" s="60">
        <f t="shared" si="19"/>
        <v>0.30032390314616414</v>
      </c>
      <c r="E25" s="60">
        <f t="shared" si="19"/>
        <v>0.26127520435967305</v>
      </c>
      <c r="F25" s="60">
        <f t="shared" si="19"/>
        <v>0.17592652620205296</v>
      </c>
      <c r="G25" s="60">
        <f t="shared" si="19"/>
        <v>0.20602847149508766</v>
      </c>
      <c r="H25" s="60">
        <f t="shared" si="19"/>
        <v>0.21709959744447338</v>
      </c>
      <c r="K25" s="64">
        <f>AVERAGE(C25:H25)</f>
        <v>0.24339480252406112</v>
      </c>
      <c r="L25" s="71"/>
      <c r="M25" s="71"/>
      <c r="N25" s="71"/>
      <c r="O25" s="71"/>
      <c r="P25" s="71"/>
      <c r="Q25" s="71"/>
      <c r="AA25" s="73"/>
    </row>
    <row r="26" spans="2:27" x14ac:dyDescent="0.2">
      <c r="B26" s="56" t="s">
        <v>79</v>
      </c>
      <c r="C26" s="58">
        <v>8570000</v>
      </c>
      <c r="D26" s="58">
        <v>9796000</v>
      </c>
      <c r="E26" s="58">
        <v>8643000</v>
      </c>
      <c r="F26" s="58">
        <v>9535000</v>
      </c>
      <c r="G26" s="58">
        <v>8744000</v>
      </c>
      <c r="H26" s="58">
        <v>8147000</v>
      </c>
      <c r="K26" s="64"/>
      <c r="L26" s="72">
        <f>L5*$K$27</f>
        <v>9313479.7714303844</v>
      </c>
      <c r="M26" s="72">
        <f t="shared" ref="M26:Q26" si="20">M5*$K$27</f>
        <v>9592884.1645732969</v>
      </c>
      <c r="N26" s="72">
        <f t="shared" si="20"/>
        <v>9880670.6895104963</v>
      </c>
      <c r="O26" s="72">
        <f t="shared" si="20"/>
        <v>10177090.810195811</v>
      </c>
      <c r="P26" s="72">
        <f t="shared" si="20"/>
        <v>10482403.534501685</v>
      </c>
      <c r="Q26" s="72">
        <f t="shared" si="20"/>
        <v>10796875.640536737</v>
      </c>
      <c r="X26" s="73"/>
    </row>
    <row r="27" spans="2:27" x14ac:dyDescent="0.2">
      <c r="B27" s="54" t="s">
        <v>47</v>
      </c>
      <c r="C27" s="60">
        <f t="shared" ref="C27:H27" si="21">C26/C5</f>
        <v>7.9493173048382312E-2</v>
      </c>
      <c r="D27" s="60">
        <f t="shared" si="21"/>
        <v>9.1925116126307882E-2</v>
      </c>
      <c r="E27" s="60">
        <f t="shared" si="21"/>
        <v>7.7952649379932362E-2</v>
      </c>
      <c r="F27" s="60">
        <f t="shared" si="21"/>
        <v>8.2307546225160996E-2</v>
      </c>
      <c r="G27" s="60">
        <f t="shared" si="21"/>
        <v>7.2534218166735789E-2</v>
      </c>
      <c r="H27" s="60">
        <f t="shared" si="21"/>
        <v>6.4109727020200027E-2</v>
      </c>
      <c r="K27" s="64">
        <f>AVERAGE(C27:H27)</f>
        <v>7.8053738327786559E-2</v>
      </c>
      <c r="L27" s="71"/>
      <c r="M27" s="71"/>
      <c r="N27" s="71"/>
      <c r="O27" s="71"/>
      <c r="P27" s="71"/>
      <c r="Q27" s="71"/>
    </row>
    <row r="28" spans="2:27" x14ac:dyDescent="0.2">
      <c r="B28" s="56" t="s">
        <v>80</v>
      </c>
      <c r="C28" s="58">
        <f>(C20+C22)-(C24+C26)</f>
        <v>-7932000</v>
      </c>
      <c r="D28" s="58">
        <f t="shared" ref="D28:Q28" si="22">(D20+D22)-(D24+D26)</f>
        <v>-10143000</v>
      </c>
      <c r="E28" s="58">
        <f t="shared" si="22"/>
        <v>-7913000</v>
      </c>
      <c r="F28" s="58">
        <f t="shared" si="22"/>
        <v>-4025000</v>
      </c>
      <c r="G28" s="58">
        <f t="shared" si="22"/>
        <v>-4533000</v>
      </c>
      <c r="H28" s="58">
        <f t="shared" si="22"/>
        <v>-3841000</v>
      </c>
      <c r="I28" s="77"/>
      <c r="J28" s="78"/>
      <c r="K28" s="77"/>
      <c r="L28" s="72">
        <f t="shared" si="22"/>
        <v>-6756428.1759756338</v>
      </c>
      <c r="M28" s="72">
        <f t="shared" si="22"/>
        <v>-6959121.0212549046</v>
      </c>
      <c r="N28" s="72">
        <f t="shared" si="22"/>
        <v>-7167894.6518925484</v>
      </c>
      <c r="O28" s="72">
        <f t="shared" si="22"/>
        <v>-7382931.4914493263</v>
      </c>
      <c r="P28" s="72">
        <f t="shared" si="22"/>
        <v>-7604419.4361928068</v>
      </c>
      <c r="Q28" s="72">
        <f t="shared" si="22"/>
        <v>-7832552.0192785896</v>
      </c>
    </row>
    <row r="29" spans="2:27" x14ac:dyDescent="0.2">
      <c r="B29" s="54" t="s">
        <v>81</v>
      </c>
      <c r="C29" s="55">
        <v>0</v>
      </c>
      <c r="D29" s="55">
        <f>D28-C28</f>
        <v>-2211000</v>
      </c>
      <c r="E29" s="55">
        <f>E28-D28</f>
        <v>2230000</v>
      </c>
      <c r="F29" s="55">
        <f>F28-E28</f>
        <v>3888000</v>
      </c>
      <c r="G29" s="55">
        <f>G28-F28</f>
        <v>-508000</v>
      </c>
      <c r="H29" s="55">
        <f>H28-G28</f>
        <v>692000</v>
      </c>
      <c r="I29" s="79"/>
      <c r="J29" s="80"/>
      <c r="K29" s="79"/>
      <c r="L29" s="71">
        <f>L28-F28</f>
        <v>-2731428.1759756338</v>
      </c>
      <c r="M29" s="71">
        <f>M28-L28</f>
        <v>-202692.84527927078</v>
      </c>
      <c r="N29" s="71">
        <f t="shared" ref="N29:Q29" si="23">N28-M28</f>
        <v>-208773.63063764386</v>
      </c>
      <c r="O29" s="71">
        <f t="shared" si="23"/>
        <v>-215036.83955677785</v>
      </c>
      <c r="P29" s="71">
        <f t="shared" si="23"/>
        <v>-221487.94474348053</v>
      </c>
      <c r="Q29" s="71">
        <f t="shared" si="23"/>
        <v>-228132.58308578283</v>
      </c>
    </row>
    <row r="30" spans="2:27" x14ac:dyDescent="0.2">
      <c r="B30" s="56" t="s">
        <v>82</v>
      </c>
      <c r="C30" s="58">
        <v>19690709</v>
      </c>
      <c r="D30" s="58">
        <v>17950538</v>
      </c>
      <c r="E30" s="58">
        <v>18344671</v>
      </c>
      <c r="F30" s="58">
        <v>13087150</v>
      </c>
      <c r="G30" s="58">
        <v>23783268</v>
      </c>
      <c r="H30" s="58">
        <v>19094445</v>
      </c>
      <c r="I30" s="79"/>
      <c r="J30" s="80"/>
      <c r="K30" s="79"/>
      <c r="L30" s="72">
        <f>L17+L11-L18-L29</f>
        <v>13593843.769391144</v>
      </c>
      <c r="M30" s="72">
        <f t="shared" ref="M30:Q30" si="24">M17+M11-M18-M29</f>
        <v>11390980.906497249</v>
      </c>
      <c r="N30" s="72">
        <f t="shared" si="24"/>
        <v>11732710.333692165</v>
      </c>
      <c r="O30" s="72">
        <f t="shared" si="24"/>
        <v>12084691.64370293</v>
      </c>
      <c r="P30" s="72">
        <f t="shared" si="24"/>
        <v>12447232.393014017</v>
      </c>
      <c r="Q30" s="72">
        <f t="shared" si="24"/>
        <v>12820649.364804443</v>
      </c>
    </row>
    <row r="31" spans="2:27" hidden="1" outlineLevel="1" x14ac:dyDescent="0.2">
      <c r="B31" s="54" t="s">
        <v>83</v>
      </c>
      <c r="C31" s="55">
        <v>7205000</v>
      </c>
      <c r="D31" s="55">
        <v>7542000</v>
      </c>
      <c r="E31" s="55">
        <v>4849000</v>
      </c>
      <c r="F31" s="55">
        <v>4369000</v>
      </c>
      <c r="G31" s="55">
        <v>3933000</v>
      </c>
      <c r="H31" s="55">
        <v>2735000</v>
      </c>
      <c r="K31" s="64"/>
      <c r="L31" s="71"/>
      <c r="M31" s="71"/>
      <c r="N31" s="71"/>
      <c r="O31" s="71"/>
      <c r="P31" s="71"/>
      <c r="Q31" s="71"/>
    </row>
    <row r="32" spans="2:27" hidden="1" outlineLevel="1" x14ac:dyDescent="0.2">
      <c r="B32" s="56" t="s">
        <v>84</v>
      </c>
      <c r="C32" s="58">
        <v>55051000</v>
      </c>
      <c r="D32" s="58">
        <v>45252000</v>
      </c>
      <c r="E32" s="58">
        <v>50303000</v>
      </c>
      <c r="F32" s="58">
        <v>47618000</v>
      </c>
      <c r="G32" s="58">
        <v>89658000</v>
      </c>
      <c r="H32" s="58">
        <v>110536000</v>
      </c>
      <c r="L32" s="72"/>
      <c r="M32" s="72"/>
      <c r="N32" s="72"/>
      <c r="O32" s="72"/>
      <c r="P32" s="72"/>
      <c r="Q32" s="72"/>
    </row>
    <row r="33" spans="2:17" collapsed="1" x14ac:dyDescent="0.2">
      <c r="B33" s="54" t="s">
        <v>70</v>
      </c>
      <c r="C33" s="55">
        <f>SUM(C31:C32)</f>
        <v>62256000</v>
      </c>
      <c r="D33" s="55">
        <f t="shared" ref="D33:H33" si="25">SUM(D31:D32)</f>
        <v>52794000</v>
      </c>
      <c r="E33" s="55">
        <f t="shared" si="25"/>
        <v>55152000</v>
      </c>
      <c r="F33" s="55">
        <f t="shared" si="25"/>
        <v>51987000</v>
      </c>
      <c r="G33" s="55">
        <f t="shared" si="25"/>
        <v>93591000</v>
      </c>
      <c r="H33" s="55">
        <f t="shared" si="25"/>
        <v>113271000</v>
      </c>
      <c r="L33" s="71">
        <f>L9*$K$40</f>
        <v>64913481.246224076</v>
      </c>
      <c r="M33" s="71">
        <f t="shared" ref="M33:Q33" si="26">M9*$K$40</f>
        <v>66860885.683610804</v>
      </c>
      <c r="N33" s="71">
        <f t="shared" si="26"/>
        <v>68866712.254119143</v>
      </c>
      <c r="O33" s="71">
        <f t="shared" si="26"/>
        <v>70932713.621742696</v>
      </c>
      <c r="P33" s="71">
        <f t="shared" si="26"/>
        <v>73060695.030394986</v>
      </c>
      <c r="Q33" s="71">
        <f t="shared" si="26"/>
        <v>75252515.881306857</v>
      </c>
    </row>
    <row r="34" spans="2:17" x14ac:dyDescent="0.2">
      <c r="B34" s="56" t="s">
        <v>85</v>
      </c>
      <c r="C34" s="57">
        <f>C35/C33</f>
        <v>4.8621819583654587E-2</v>
      </c>
      <c r="D34" s="57">
        <f t="shared" ref="D34:H34" si="27">D35/D33</f>
        <v>4.6046899268856308E-2</v>
      </c>
      <c r="E34" s="57">
        <f t="shared" si="27"/>
        <v>5.0025384392225127E-2</v>
      </c>
      <c r="F34" s="57">
        <f t="shared" si="27"/>
        <v>4.8358243407005598E-2</v>
      </c>
      <c r="G34" s="57">
        <f t="shared" si="27"/>
        <v>2.7812503338996271E-2</v>
      </c>
      <c r="H34" s="57">
        <f t="shared" si="27"/>
        <v>4.2438046808097395E-2</v>
      </c>
      <c r="K34" s="70">
        <f>AVERAGE(C34:F34)</f>
        <v>4.8263086662935405E-2</v>
      </c>
      <c r="L34" s="72"/>
      <c r="M34" s="72"/>
      <c r="N34" s="72"/>
      <c r="O34" s="72"/>
      <c r="P34" s="72"/>
      <c r="Q34" s="72"/>
    </row>
    <row r="35" spans="2:17" x14ac:dyDescent="0.2">
      <c r="B35" s="54" t="s">
        <v>86</v>
      </c>
      <c r="C35" s="55">
        <v>3027000</v>
      </c>
      <c r="D35" s="55">
        <v>2431000</v>
      </c>
      <c r="E35" s="55">
        <v>2759000</v>
      </c>
      <c r="F35" s="55">
        <v>2514000</v>
      </c>
      <c r="G35" s="55">
        <v>2603000</v>
      </c>
      <c r="H35" s="55">
        <v>4807000</v>
      </c>
      <c r="K35" s="64"/>
      <c r="L35" s="71">
        <f t="shared" ref="L35:Q35" si="28">L33*$K$34</f>
        <v>3132924.9709793446</v>
      </c>
      <c r="M35" s="71">
        <f t="shared" si="28"/>
        <v>3226912.7201087251</v>
      </c>
      <c r="N35" s="71">
        <f t="shared" si="28"/>
        <v>3323720.101711988</v>
      </c>
      <c r="O35" s="71">
        <f t="shared" si="28"/>
        <v>3423431.7047633464</v>
      </c>
      <c r="P35" s="71">
        <f t="shared" si="28"/>
        <v>3526134.6559062474</v>
      </c>
      <c r="Q35" s="71">
        <f t="shared" si="28"/>
        <v>3631918.6955834357</v>
      </c>
    </row>
    <row r="36" spans="2:17" ht="17" thickBot="1" x14ac:dyDescent="0.25">
      <c r="B36" s="56" t="s">
        <v>87</v>
      </c>
      <c r="C36" s="58">
        <v>2499000</v>
      </c>
      <c r="D36" s="58">
        <v>7213000</v>
      </c>
      <c r="E36" s="58">
        <v>13954000</v>
      </c>
      <c r="F36" s="58">
        <v>3563000</v>
      </c>
      <c r="G36" s="58">
        <v>54129000</v>
      </c>
      <c r="H36" s="58">
        <v>11153000</v>
      </c>
    </row>
    <row r="37" spans="2:17" x14ac:dyDescent="0.2">
      <c r="B37" s="54" t="s">
        <v>88</v>
      </c>
      <c r="C37" s="55">
        <f t="shared" ref="C37:H37" si="29">C33-C36</f>
        <v>59757000</v>
      </c>
      <c r="D37" s="55">
        <f t="shared" si="29"/>
        <v>45581000</v>
      </c>
      <c r="E37" s="55">
        <f t="shared" si="29"/>
        <v>41198000</v>
      </c>
      <c r="F37" s="55">
        <f t="shared" si="29"/>
        <v>48424000</v>
      </c>
      <c r="G37" s="55">
        <f t="shared" si="29"/>
        <v>39462000</v>
      </c>
      <c r="H37" s="55">
        <f t="shared" si="29"/>
        <v>102118000</v>
      </c>
      <c r="J37" s="81" t="s">
        <v>89</v>
      </c>
      <c r="L37" s="82">
        <f>L30/(1+$T$5)^L3</f>
        <v>12983444.721902084</v>
      </c>
      <c r="M37" s="83">
        <f t="shared" ref="M37:Q37" si="30">M30/(1+$T$5)^M3</f>
        <v>10390978.38977734</v>
      </c>
      <c r="N37" s="83">
        <f t="shared" si="30"/>
        <v>10222128.243738202</v>
      </c>
      <c r="O37" s="83">
        <f t="shared" si="30"/>
        <v>10056021.859715303</v>
      </c>
      <c r="P37" s="83">
        <f t="shared" si="30"/>
        <v>9892614.6524347905</v>
      </c>
      <c r="Q37" s="84">
        <f t="shared" si="30"/>
        <v>9731862.761119552</v>
      </c>
    </row>
    <row r="38" spans="2:17" ht="17" thickBot="1" x14ac:dyDescent="0.25">
      <c r="B38" s="56" t="s">
        <v>90</v>
      </c>
      <c r="C38" s="58">
        <v>84143000</v>
      </c>
      <c r="D38" s="58">
        <v>86912000</v>
      </c>
      <c r="E38" s="58">
        <v>85908000</v>
      </c>
      <c r="F38" s="58">
        <v>85533000</v>
      </c>
      <c r="G38" s="58">
        <v>95416000</v>
      </c>
      <c r="H38" s="58">
        <v>13676000</v>
      </c>
      <c r="J38" s="81" t="s">
        <v>91</v>
      </c>
      <c r="L38" s="85">
        <f>SUM(L37:Q37)</f>
        <v>63277050.62868727</v>
      </c>
      <c r="M38" s="86"/>
      <c r="N38" s="86"/>
      <c r="O38" s="86"/>
      <c r="P38" s="86"/>
      <c r="Q38" s="87"/>
    </row>
    <row r="39" spans="2:17" x14ac:dyDescent="0.2">
      <c r="B39" s="54" t="s">
        <v>92</v>
      </c>
      <c r="C39" s="55">
        <f t="shared" ref="C39:H39" si="31">C33/C38</f>
        <v>0.73988329391630914</v>
      </c>
      <c r="D39" s="55">
        <f t="shared" si="31"/>
        <v>0.60744201030927836</v>
      </c>
      <c r="E39" s="55">
        <f t="shared" si="31"/>
        <v>0.64198910462355074</v>
      </c>
      <c r="F39" s="55">
        <f t="shared" si="31"/>
        <v>0.60780049805338288</v>
      </c>
      <c r="G39" s="55">
        <f t="shared" si="31"/>
        <v>0.98087322880858552</v>
      </c>
      <c r="H39" s="55">
        <f t="shared" si="31"/>
        <v>8.2824656332260886</v>
      </c>
    </row>
    <row r="40" spans="2:17" x14ac:dyDescent="0.2">
      <c r="B40" s="56" t="s">
        <v>93</v>
      </c>
      <c r="C40" s="58">
        <f t="shared" ref="C40:H40" si="32">C33/C9</f>
        <v>1.8819261811916206</v>
      </c>
      <c r="D40" s="58">
        <f t="shared" si="32"/>
        <v>1.6749365482233503</v>
      </c>
      <c r="E40" s="58">
        <f t="shared" si="32"/>
        <v>1.8545968121595264</v>
      </c>
      <c r="F40" s="58">
        <f t="shared" si="32"/>
        <v>1.8006650271899138</v>
      </c>
      <c r="G40" s="58">
        <f t="shared" si="32"/>
        <v>1.9302685311223859</v>
      </c>
      <c r="H40" s="58">
        <f t="shared" si="32"/>
        <v>3.0939907129199673</v>
      </c>
      <c r="K40" s="88">
        <f>AVERAGE('Verizon Counterfactual DCF'!$C40:$F40)</f>
        <v>1.8030311421911027</v>
      </c>
    </row>
    <row r="41" spans="2:17" x14ac:dyDescent="0.2">
      <c r="C41" s="88"/>
      <c r="D41" s="88"/>
      <c r="E41" s="88"/>
      <c r="F41" s="88"/>
      <c r="G41" s="88"/>
      <c r="H41" s="88"/>
    </row>
    <row r="42" spans="2:17" x14ac:dyDescent="0.2">
      <c r="D42" s="70"/>
      <c r="E42" s="70"/>
      <c r="F42" s="70"/>
      <c r="G42" s="73"/>
      <c r="H42" s="70"/>
    </row>
    <row r="43" spans="2:17" x14ac:dyDescent="0.2"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</row>
    <row r="44" spans="2:17" x14ac:dyDescent="0.2">
      <c r="D44" s="70"/>
      <c r="E44" s="70"/>
      <c r="F44" s="70"/>
      <c r="G44" s="70"/>
      <c r="H44" s="70"/>
    </row>
    <row r="45" spans="2:17" x14ac:dyDescent="0.2">
      <c r="D45" s="64"/>
      <c r="E45" s="64"/>
      <c r="F45" s="64"/>
      <c r="G45" s="64"/>
      <c r="H45" s="64"/>
    </row>
    <row r="46" spans="2:17" x14ac:dyDescent="0.2">
      <c r="D46" s="89"/>
      <c r="E46" s="89"/>
    </row>
    <row r="47" spans="2:17" x14ac:dyDescent="0.2">
      <c r="D47" s="89"/>
      <c r="E47" s="89"/>
    </row>
    <row r="48" spans="2:17" x14ac:dyDescent="0.2">
      <c r="D48" s="89"/>
      <c r="E48" s="89"/>
    </row>
    <row r="49" spans="3:12" x14ac:dyDescent="0.2">
      <c r="C49" s="79"/>
      <c r="D49" s="79"/>
      <c r="E49" s="79"/>
      <c r="F49" s="79"/>
      <c r="G49" s="79"/>
      <c r="H49" s="79"/>
    </row>
    <row r="50" spans="3:12" x14ac:dyDescent="0.2">
      <c r="D50" s="89"/>
      <c r="E50" s="89"/>
    </row>
    <row r="51" spans="3:12" x14ac:dyDescent="0.2">
      <c r="D51" s="90"/>
      <c r="E51" s="89"/>
    </row>
    <row r="52" spans="3:12" ht="15.75" customHeight="1" x14ac:dyDescent="0.2">
      <c r="C52" s="91"/>
      <c r="D52" s="92"/>
      <c r="E52" s="89"/>
    </row>
    <row r="53" spans="3:12" x14ac:dyDescent="0.2">
      <c r="C53" s="92"/>
      <c r="D53" s="89"/>
      <c r="E53" s="89"/>
    </row>
    <row r="54" spans="3:12" x14ac:dyDescent="0.2">
      <c r="C54" s="89"/>
      <c r="D54" s="89"/>
    </row>
    <row r="55" spans="3:12" x14ac:dyDescent="0.2">
      <c r="C55" s="89"/>
      <c r="D55" s="89"/>
    </row>
    <row r="56" spans="3:12" x14ac:dyDescent="0.2">
      <c r="C56" s="89"/>
      <c r="D56" s="89"/>
    </row>
    <row r="57" spans="3:12" x14ac:dyDescent="0.2">
      <c r="C57" s="89"/>
      <c r="D57" s="89"/>
    </row>
    <row r="58" spans="3:12" x14ac:dyDescent="0.2">
      <c r="C58" s="89"/>
    </row>
    <row r="59" spans="3:12" x14ac:dyDescent="0.2">
      <c r="C59" s="89"/>
      <c r="H59" s="93"/>
    </row>
    <row r="60" spans="3:12" x14ac:dyDescent="0.2">
      <c r="C60" s="89"/>
      <c r="K60" s="93"/>
      <c r="L60" s="93"/>
    </row>
    <row r="64" spans="3:12" x14ac:dyDescent="0.2">
      <c r="G64" s="93"/>
    </row>
    <row r="65" spans="7:7" x14ac:dyDescent="0.2">
      <c r="G65" s="93"/>
    </row>
    <row r="66" spans="7:7" x14ac:dyDescent="0.2">
      <c r="G66" s="93"/>
    </row>
    <row r="67" spans="7:7" x14ac:dyDescent="0.2">
      <c r="G67" s="93"/>
    </row>
    <row r="68" spans="7:7" x14ac:dyDescent="0.2">
      <c r="G68" s="93"/>
    </row>
  </sheetData>
  <mergeCells count="5">
    <mergeCell ref="V2:W2"/>
    <mergeCell ref="C2:H2"/>
    <mergeCell ref="L2:Q2"/>
    <mergeCell ref="S2:T2"/>
    <mergeCell ref="A1:B2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A812-4133-2642-83F0-4E559C71627A}">
  <dimension ref="B1:O47"/>
  <sheetViews>
    <sheetView showGridLines="0" zoomScale="84" zoomScaleNormal="84" workbookViewId="0"/>
  </sheetViews>
  <sheetFormatPr baseColWidth="10" defaultColWidth="11" defaultRowHeight="16" x14ac:dyDescent="0.2"/>
  <cols>
    <col min="2" max="2" width="27.1640625" bestFit="1" customWidth="1"/>
    <col min="3" max="3" width="32.1640625" bestFit="1" customWidth="1"/>
    <col min="4" max="4" width="19.1640625" bestFit="1" customWidth="1"/>
    <col min="5" max="5" width="32" customWidth="1"/>
    <col min="6" max="10" width="19.1640625" bestFit="1" customWidth="1"/>
    <col min="11" max="11" width="27.5" bestFit="1" customWidth="1"/>
    <col min="12" max="12" width="15.1640625" bestFit="1" customWidth="1"/>
    <col min="13" max="13" width="27.6640625" bestFit="1" customWidth="1"/>
    <col min="14" max="14" width="25.83203125" bestFit="1" customWidth="1"/>
  </cols>
  <sheetData>
    <row r="1" spans="2:11" ht="17" thickBot="1" x14ac:dyDescent="0.25"/>
    <row r="2" spans="2:11" x14ac:dyDescent="0.2">
      <c r="B2" s="118" t="s">
        <v>117</v>
      </c>
      <c r="C2" s="126">
        <f>'Verizon Counterfactual DCF'!T8</f>
        <v>4.8263086662935405E-2</v>
      </c>
    </row>
    <row r="3" spans="2:11" x14ac:dyDescent="0.2">
      <c r="B3" s="120" t="s">
        <v>40</v>
      </c>
      <c r="C3" s="121">
        <v>43.27</v>
      </c>
    </row>
    <row r="4" spans="2:11" x14ac:dyDescent="0.2">
      <c r="B4" s="120" t="s">
        <v>43</v>
      </c>
      <c r="C4" s="121">
        <v>2800000000</v>
      </c>
    </row>
    <row r="5" spans="2:11" ht="17" thickBot="1" x14ac:dyDescent="0.25">
      <c r="B5" s="122" t="s">
        <v>46</v>
      </c>
      <c r="C5" s="123">
        <v>121156000000.00002</v>
      </c>
    </row>
    <row r="6" spans="2:11" ht="17" thickBot="1" x14ac:dyDescent="0.25">
      <c r="C6" s="1"/>
    </row>
    <row r="7" spans="2:11" x14ac:dyDescent="0.2">
      <c r="B7" s="118" t="s">
        <v>50</v>
      </c>
      <c r="C7" s="119">
        <v>310456649539.16992</v>
      </c>
    </row>
    <row r="8" spans="2:11" x14ac:dyDescent="0.2">
      <c r="B8" s="120" t="s">
        <v>52</v>
      </c>
      <c r="C8" s="121">
        <v>253450840766.72672</v>
      </c>
    </row>
    <row r="9" spans="2:11" ht="17" thickBot="1" x14ac:dyDescent="0.25">
      <c r="B9" s="122" t="s">
        <v>55</v>
      </c>
      <c r="C9" s="123">
        <v>367462458311.61316</v>
      </c>
    </row>
    <row r="10" spans="2:11" ht="17" thickBot="1" x14ac:dyDescent="0.25">
      <c r="C10" s="1"/>
    </row>
    <row r="11" spans="2:11" x14ac:dyDescent="0.2">
      <c r="B11" s="118" t="s">
        <v>58</v>
      </c>
      <c r="C11" s="119">
        <v>373733700167.85718</v>
      </c>
    </row>
    <row r="12" spans="2:11" x14ac:dyDescent="0.2">
      <c r="B12" s="120" t="s">
        <v>60</v>
      </c>
      <c r="C12" s="121">
        <v>325309700167.85718</v>
      </c>
    </row>
    <row r="13" spans="2:11" ht="15.75" customHeight="1" thickBot="1" x14ac:dyDescent="0.25">
      <c r="B13" s="122" t="s">
        <v>63</v>
      </c>
      <c r="C13" s="123">
        <v>178920335092.32144</v>
      </c>
      <c r="G13" s="114"/>
      <c r="H13" s="3"/>
      <c r="I13" s="3"/>
      <c r="J13" s="3"/>
      <c r="K13" s="3"/>
    </row>
    <row r="14" spans="2:11" ht="17" thickBot="1" x14ac:dyDescent="0.25">
      <c r="C14" s="1"/>
    </row>
    <row r="15" spans="2:11" ht="17" thickBot="1" x14ac:dyDescent="0.25">
      <c r="B15" s="124" t="s">
        <v>67</v>
      </c>
      <c r="C15" s="125">
        <v>63.900119675829089</v>
      </c>
    </row>
    <row r="17" spans="2:14" x14ac:dyDescent="0.2">
      <c r="C17" s="1"/>
    </row>
    <row r="18" spans="2:14" ht="15.75" customHeight="1" x14ac:dyDescent="0.2">
      <c r="B18" s="113" t="s">
        <v>94</v>
      </c>
      <c r="C18" s="113" t="s">
        <v>293</v>
      </c>
      <c r="D18" s="113" t="s">
        <v>95</v>
      </c>
      <c r="E18" s="113" t="s">
        <v>96</v>
      </c>
      <c r="F18" s="113"/>
      <c r="G18" s="113" t="s">
        <v>97</v>
      </c>
      <c r="I18" s="113" t="s">
        <v>98</v>
      </c>
      <c r="J18" s="113"/>
      <c r="K18" s="113" t="s">
        <v>99</v>
      </c>
      <c r="L18" s="113"/>
      <c r="M18" s="113" t="s">
        <v>100</v>
      </c>
      <c r="N18" s="113" t="s">
        <v>101</v>
      </c>
    </row>
    <row r="19" spans="2:14" x14ac:dyDescent="0.2">
      <c r="B19" t="s">
        <v>102</v>
      </c>
      <c r="C19" s="1">
        <v>130000000000</v>
      </c>
      <c r="D19" s="1"/>
      <c r="E19" s="2"/>
      <c r="G19" s="2"/>
      <c r="I19" s="1"/>
      <c r="K19" s="1"/>
      <c r="M19" s="2"/>
    </row>
    <row r="20" spans="2:14" x14ac:dyDescent="0.2">
      <c r="B20" t="s">
        <v>103</v>
      </c>
      <c r="C20" s="1">
        <v>58893000000</v>
      </c>
      <c r="D20" s="1">
        <v>43.27</v>
      </c>
      <c r="E20" s="2">
        <f t="shared" ref="E20" si="0">C20/D20</f>
        <v>1361058470.0716431</v>
      </c>
      <c r="G20" s="2">
        <f>$C$4-E20</f>
        <v>1438941529.9283569</v>
      </c>
      <c r="I20" s="1">
        <f>$C$13/G20</f>
        <v>124.34162985151291</v>
      </c>
      <c r="K20" s="1">
        <f t="shared" ref="K20" si="1">(I20+D20)/2</f>
        <v>83.805814925756451</v>
      </c>
      <c r="M20" s="115">
        <f t="shared" ref="M20" si="2">C20/K20</f>
        <v>702731666.67698765</v>
      </c>
      <c r="N20" s="1">
        <f>$C$4-M20</f>
        <v>2097268333.3230124</v>
      </c>
    </row>
    <row r="21" spans="2:14" x14ac:dyDescent="0.2">
      <c r="B21" t="s">
        <v>104</v>
      </c>
      <c r="C21" s="1">
        <f>'Verizon Counterfactual DCF'!F36*1000</f>
        <v>3563000000</v>
      </c>
      <c r="D21" s="1">
        <v>43.27</v>
      </c>
      <c r="E21" s="2">
        <f t="shared" ref="E21" si="3">C21/D21</f>
        <v>82343425.005777672</v>
      </c>
      <c r="G21" s="2">
        <f>$C$4-E21</f>
        <v>2717656574.9942222</v>
      </c>
      <c r="I21" s="1">
        <f>$C$13/G21</f>
        <v>65.83625640509851</v>
      </c>
      <c r="K21" s="1">
        <f t="shared" ref="K21" si="4">(I21+D21)/2</f>
        <v>54.55312820254926</v>
      </c>
      <c r="M21" s="115">
        <f t="shared" ref="M21" si="5">C21/K21</f>
        <v>65312478.264692828</v>
      </c>
      <c r="N21" s="1">
        <f>$C$4-M21</f>
        <v>2734687521.7353072</v>
      </c>
    </row>
    <row r="22" spans="2:14" x14ac:dyDescent="0.2">
      <c r="B22" t="s">
        <v>105</v>
      </c>
      <c r="C22" s="1">
        <v>5000000000</v>
      </c>
      <c r="D22" s="1">
        <v>43.27</v>
      </c>
      <c r="E22" s="2">
        <f t="shared" ref="E22:E24" si="6">C22/D22</f>
        <v>115553501.27108851</v>
      </c>
      <c r="G22" s="2">
        <f>$C$4-E22</f>
        <v>2684446498.7289114</v>
      </c>
      <c r="I22" s="1">
        <f>$C$13/G22</f>
        <v>66.650736074285859</v>
      </c>
      <c r="K22" s="1">
        <f t="shared" ref="K22:K24" si="7">(I22+D22)/2</f>
        <v>54.960368037142928</v>
      </c>
      <c r="M22" s="115">
        <f t="shared" ref="M22:M24" si="8">C22/K22</f>
        <v>90974645.523132876</v>
      </c>
      <c r="N22" s="1">
        <f>$C$4-M22</f>
        <v>2709025354.4768672</v>
      </c>
    </row>
    <row r="23" spans="2:14" x14ac:dyDescent="0.2">
      <c r="B23" t="s">
        <v>106</v>
      </c>
      <c r="C23" s="1">
        <v>10000000000</v>
      </c>
      <c r="D23" s="1">
        <v>43.27</v>
      </c>
      <c r="E23" s="2">
        <f t="shared" si="6"/>
        <v>231107002.54217702</v>
      </c>
      <c r="G23" s="2">
        <f>$C$4-E23</f>
        <v>2568892997.4578228</v>
      </c>
      <c r="I23" s="1">
        <f>$C$13/G23</f>
        <v>69.648807976580201</v>
      </c>
      <c r="K23" s="1">
        <f t="shared" si="7"/>
        <v>56.459403988290106</v>
      </c>
      <c r="M23" s="115">
        <f t="shared" si="8"/>
        <v>177118412.40963221</v>
      </c>
      <c r="N23" s="1">
        <f>$C$4-M23</f>
        <v>2622881587.5903678</v>
      </c>
    </row>
    <row r="24" spans="2:14" x14ac:dyDescent="0.2">
      <c r="B24" t="s">
        <v>107</v>
      </c>
      <c r="C24" s="1">
        <v>20000000000</v>
      </c>
      <c r="D24" s="1">
        <v>43.27</v>
      </c>
      <c r="E24" s="2">
        <f t="shared" si="6"/>
        <v>462214005.08435404</v>
      </c>
      <c r="G24" s="2">
        <f>$C$4-E24</f>
        <v>2337785994.9156461</v>
      </c>
      <c r="I24" s="1">
        <f>$C$13/G24</f>
        <v>76.534094857890267</v>
      </c>
      <c r="K24" s="1">
        <f t="shared" si="7"/>
        <v>59.902047428945139</v>
      </c>
      <c r="M24" s="115">
        <f t="shared" si="8"/>
        <v>333878404.13507873</v>
      </c>
      <c r="N24" s="1">
        <f>$C$4-M24</f>
        <v>2466121595.8649211</v>
      </c>
    </row>
    <row r="25" spans="2:14" x14ac:dyDescent="0.2">
      <c r="C25" s="1"/>
      <c r="D25" s="1"/>
      <c r="E25" s="2"/>
      <c r="G25" s="2"/>
      <c r="I25" s="1"/>
      <c r="K25" s="1"/>
      <c r="M25" s="115"/>
    </row>
    <row r="26" spans="2:14" x14ac:dyDescent="0.2">
      <c r="B26" s="14"/>
      <c r="C26" s="15"/>
    </row>
    <row r="27" spans="2:14" x14ac:dyDescent="0.2">
      <c r="B27" s="68" t="s">
        <v>294</v>
      </c>
      <c r="C27" s="68" t="s">
        <v>295</v>
      </c>
      <c r="D27" s="68" t="s">
        <v>296</v>
      </c>
      <c r="E27" s="68" t="s">
        <v>297</v>
      </c>
      <c r="F27" s="68" t="s">
        <v>298</v>
      </c>
      <c r="G27" s="68" t="s">
        <v>299</v>
      </c>
      <c r="H27" s="68" t="s">
        <v>300</v>
      </c>
      <c r="I27" s="68" t="s">
        <v>301</v>
      </c>
      <c r="J27" s="68" t="s">
        <v>302</v>
      </c>
      <c r="K27" s="68" t="s">
        <v>303</v>
      </c>
    </row>
    <row r="28" spans="2:14" x14ac:dyDescent="0.2">
      <c r="B28" t="s">
        <v>108</v>
      </c>
      <c r="C28" s="112">
        <f>'Verizon Counterfactual DCF'!F9-'Verizon Counterfactual DCF'!F11-'Verizon Counterfactual DCF'!F35-'Verizon Counterfactual DCF'!F15</f>
        <v>10557000</v>
      </c>
      <c r="D28" s="112">
        <f>'Verizon Counterfactual DCF'!G9-'Verizon Counterfactual DCF'!G11-'Verizon Counterfactual DCF'!G35-'Verizon Counterfactual DCF'!G15</f>
        <v>23547000</v>
      </c>
      <c r="E28" s="112">
        <f>'Verizon Counterfactual DCF'!H9-'Verizon Counterfactual DCF'!H11-'Verizon Counterfactual DCF'!H35-'Verizon Counterfactual DCF'!H15</f>
        <v>11956000</v>
      </c>
      <c r="F28" s="112">
        <f>'Verizon Counterfactual DCF'!L9-'Verizon Counterfactual DCF'!L11-'Verizon Counterfactual DCF'!L35-'Verizon Counterfactual DCF'!L15</f>
        <v>12018397.060981108</v>
      </c>
      <c r="G28" s="112">
        <f>'Verizon Counterfactual DCF'!M9-'Verizon Counterfactual DCF'!M11-'Verizon Counterfactual DCF'!M35-'Verizon Counterfactual DCF'!M15</f>
        <v>12378948.972810542</v>
      </c>
      <c r="H28" s="112">
        <f>'Verizon Counterfactual DCF'!N9-'Verizon Counterfactual DCF'!N11-'Verizon Counterfactual DCF'!N35-'Verizon Counterfactual DCF'!N15</f>
        <v>12750317.441994861</v>
      </c>
      <c r="I28" s="112">
        <f>'Verizon Counterfactual DCF'!O9-'Verizon Counterfactual DCF'!O11-'Verizon Counterfactual DCF'!O35-'Verizon Counterfactual DCF'!O15</f>
        <v>13132826.965254705</v>
      </c>
      <c r="J28" s="112">
        <f>'Verizon Counterfactual DCF'!P9-'Verizon Counterfactual DCF'!P11-'Verizon Counterfactual DCF'!P35-'Verizon Counterfactual DCF'!P15</f>
        <v>13526811.774212342</v>
      </c>
      <c r="K28" s="112">
        <f>'Verizon Counterfactual DCF'!Q9-'Verizon Counterfactual DCF'!Q11-'Verizon Counterfactual DCF'!Q35-'Verizon Counterfactual DCF'!Q15</f>
        <v>13932616.12743872</v>
      </c>
    </row>
    <row r="29" spans="2:14" x14ac:dyDescent="0.2">
      <c r="B29" s="111" t="s">
        <v>109</v>
      </c>
      <c r="C29" s="116">
        <f t="shared" ref="C29:K29" si="9">(1000*C28)/$C$4</f>
        <v>3.7703571428571427</v>
      </c>
      <c r="D29" s="116">
        <f t="shared" si="9"/>
        <v>8.4096428571428579</v>
      </c>
      <c r="E29" s="116">
        <f t="shared" si="9"/>
        <v>4.2699999999999996</v>
      </c>
      <c r="F29" s="116">
        <f t="shared" si="9"/>
        <v>4.2922846646361101</v>
      </c>
      <c r="G29" s="116">
        <f t="shared" si="9"/>
        <v>4.4210532045751938</v>
      </c>
      <c r="H29" s="116">
        <f t="shared" si="9"/>
        <v>4.5536848007124506</v>
      </c>
      <c r="I29" s="116">
        <f t="shared" si="9"/>
        <v>4.6902953447338236</v>
      </c>
      <c r="J29" s="116">
        <f t="shared" si="9"/>
        <v>4.8310042050758364</v>
      </c>
      <c r="K29" s="116">
        <f t="shared" si="9"/>
        <v>4.9759343312281148</v>
      </c>
    </row>
    <row r="30" spans="2:14" x14ac:dyDescent="0.2">
      <c r="B30" t="s">
        <v>110</v>
      </c>
      <c r="C30" s="110">
        <f>($C$28*1000)/$N$22</f>
        <v>3.8969734936418248</v>
      </c>
      <c r="D30" s="110">
        <f t="shared" ref="D30:K30" si="10">(D$28*1000)/$N22</f>
        <v>8.6920559680575966</v>
      </c>
      <c r="E30" s="110">
        <f t="shared" si="10"/>
        <v>4.413395385998073</v>
      </c>
      <c r="F30" s="110">
        <f t="shared" si="10"/>
        <v>4.43642841552583</v>
      </c>
      <c r="G30" s="110">
        <f t="shared" si="10"/>
        <v>4.5695212679916057</v>
      </c>
      <c r="H30" s="110">
        <f t="shared" si="10"/>
        <v>4.7066069060313547</v>
      </c>
      <c r="I30" s="110">
        <f t="shared" si="10"/>
        <v>4.8478051132122948</v>
      </c>
      <c r="J30" s="110">
        <f t="shared" si="10"/>
        <v>4.9932392666086614</v>
      </c>
      <c r="K30" s="110">
        <f t="shared" si="10"/>
        <v>5.143036444606925</v>
      </c>
    </row>
    <row r="31" spans="2:14" x14ac:dyDescent="0.2">
      <c r="B31" t="s">
        <v>111</v>
      </c>
      <c r="C31" s="110">
        <f>($C$28*1000)/$N$21</f>
        <v>3.8604044945146101</v>
      </c>
      <c r="D31" s="110">
        <f>(D$28*1000)/$N23</f>
        <v>8.9775307095096686</v>
      </c>
      <c r="E31" s="110">
        <f t="shared" ref="E31" si="11">(E$28*1000)/$N23</f>
        <v>4.5583453162992145</v>
      </c>
      <c r="F31" s="110">
        <f t="shared" ref="F31:K32" si="12">(F$28*1000)/$N23</f>
        <v>4.5821348237159141</v>
      </c>
      <c r="G31" s="110">
        <f t="shared" si="12"/>
        <v>4.7195988684273926</v>
      </c>
      <c r="H31" s="110">
        <f t="shared" si="12"/>
        <v>4.8611868344802156</v>
      </c>
      <c r="I31" s="110">
        <f t="shared" si="12"/>
        <v>5.0070224395146212</v>
      </c>
      <c r="J31" s="110">
        <f t="shared" si="12"/>
        <v>5.1572331127000579</v>
      </c>
      <c r="K31" s="110">
        <f t="shared" si="12"/>
        <v>5.3119501060810626</v>
      </c>
    </row>
    <row r="32" spans="2:14" x14ac:dyDescent="0.2">
      <c r="B32" t="s">
        <v>112</v>
      </c>
      <c r="C32" s="110">
        <f>($C$28*1000)/$N$22</f>
        <v>3.8969734936418248</v>
      </c>
      <c r="D32" s="110">
        <f>(D$28*1000)/$N24</f>
        <v>9.5481909892369146</v>
      </c>
      <c r="E32" s="110">
        <f>(E$28*1000)/$N24</f>
        <v>4.8480983338563961</v>
      </c>
      <c r="F32" s="110">
        <f t="shared" si="12"/>
        <v>4.8734000306931344</v>
      </c>
      <c r="G32" s="110">
        <f t="shared" si="12"/>
        <v>5.0196020316139291</v>
      </c>
      <c r="H32" s="110">
        <f t="shared" si="12"/>
        <v>5.1701900925623478</v>
      </c>
      <c r="I32" s="110">
        <f t="shared" si="12"/>
        <v>5.3252957953392173</v>
      </c>
      <c r="J32" s="110">
        <f t="shared" si="12"/>
        <v>5.4850546691993918</v>
      </c>
      <c r="K32" s="110">
        <f t="shared" si="12"/>
        <v>5.6496063092753772</v>
      </c>
    </row>
    <row r="37" spans="2:15" ht="17" thickBot="1" x14ac:dyDescent="0.25"/>
    <row r="38" spans="2:15" ht="17" thickBot="1" x14ac:dyDescent="0.25">
      <c r="B38" s="124" t="s">
        <v>304</v>
      </c>
      <c r="C38" s="130" t="s">
        <v>307</v>
      </c>
    </row>
    <row r="39" spans="2:15" x14ac:dyDescent="0.2">
      <c r="B39" s="68" t="s">
        <v>294</v>
      </c>
      <c r="C39" s="68">
        <v>0</v>
      </c>
      <c r="D39" s="68" t="s">
        <v>296</v>
      </c>
      <c r="E39" s="68" t="s">
        <v>297</v>
      </c>
      <c r="F39" s="68" t="s">
        <v>298</v>
      </c>
      <c r="G39" s="68" t="s">
        <v>299</v>
      </c>
      <c r="H39" s="68" t="s">
        <v>300</v>
      </c>
      <c r="I39" s="68" t="s">
        <v>301</v>
      </c>
      <c r="J39" s="68" t="s">
        <v>302</v>
      </c>
      <c r="K39" s="68" t="s">
        <v>303</v>
      </c>
    </row>
    <row r="40" spans="2:15" x14ac:dyDescent="0.2">
      <c r="B40" t="s">
        <v>113</v>
      </c>
      <c r="C40" s="1">
        <f>C43+(C44*(1-C45))</f>
        <v>12298849291.293377</v>
      </c>
      <c r="D40" s="1">
        <f>D43+(D44*(1-D45))</f>
        <v>26831146052.418148</v>
      </c>
      <c r="E40" s="1">
        <f t="shared" ref="E40:K40" si="13">E43+(E44*(1-E45))</f>
        <v>15969700909.137106</v>
      </c>
      <c r="F40" s="1">
        <f t="shared" si="13"/>
        <v>14239442346.86134</v>
      </c>
      <c r="G40" s="1">
        <f t="shared" si="13"/>
        <v>14672186248.79705</v>
      </c>
      <c r="H40" s="1">
        <f t="shared" si="13"/>
        <v>15117912467.790836</v>
      </c>
      <c r="I40" s="1">
        <f t="shared" si="13"/>
        <v>15577010473.354427</v>
      </c>
      <c r="J40" s="1">
        <f t="shared" si="13"/>
        <v>16049881419.084927</v>
      </c>
      <c r="K40" s="1">
        <f t="shared" si="13"/>
        <v>16536938493.187355</v>
      </c>
    </row>
    <row r="41" spans="2:15" x14ac:dyDescent="0.2">
      <c r="B41" t="s">
        <v>114</v>
      </c>
      <c r="C41" s="1" cm="1">
        <f t="array" ref="C41">_xlfn.SWITCH(C38,'Data Validation'!J5,'Data Validation'!H5,'Data Validation'!J6,'Data Validation'!H6,'Data Validation'!J7,'Data Validation'!H7)</f>
        <v>5000000000</v>
      </c>
    </row>
    <row r="42" spans="2:15" x14ac:dyDescent="0.2">
      <c r="B42" t="s">
        <v>70</v>
      </c>
      <c r="C42" s="1">
        <f>'Verizon Counterfactual DCF'!F33*1000</f>
        <v>51987000000</v>
      </c>
      <c r="D42" s="1">
        <f>'Verizon Counterfactual DCF'!G33*1000</f>
        <v>93591000000</v>
      </c>
      <c r="E42" s="1">
        <f>'Verizon Counterfactual DCF'!H33*1000</f>
        <v>113271000000</v>
      </c>
      <c r="F42" s="1">
        <v>64913481246.224075</v>
      </c>
      <c r="G42" s="1">
        <v>66860885683.610802</v>
      </c>
      <c r="H42" s="1">
        <v>68866712254.119141</v>
      </c>
      <c r="I42" s="1">
        <v>70932713621.742691</v>
      </c>
      <c r="J42" s="1">
        <v>73060695030.394989</v>
      </c>
      <c r="K42" s="1">
        <v>75252515881.306854</v>
      </c>
      <c r="L42" s="1"/>
      <c r="M42" s="1"/>
      <c r="N42" s="1"/>
      <c r="O42" s="1"/>
    </row>
    <row r="43" spans="2:15" x14ac:dyDescent="0.2">
      <c r="B43" t="s">
        <v>115</v>
      </c>
      <c r="C43" s="1">
        <v>10557000000</v>
      </c>
      <c r="D43" s="1">
        <v>23547000000</v>
      </c>
      <c r="E43" s="1">
        <v>11956000000</v>
      </c>
      <c r="F43" s="1">
        <v>12018397060.981108</v>
      </c>
      <c r="G43" s="1">
        <v>12378948972.810543</v>
      </c>
      <c r="H43" s="1">
        <v>12750317441.994862</v>
      </c>
      <c r="I43" s="1">
        <v>13132826965.254705</v>
      </c>
      <c r="J43" s="1">
        <v>13526811774.212341</v>
      </c>
      <c r="K43" s="1">
        <v>13932616127.438721</v>
      </c>
    </row>
    <row r="44" spans="2:15" x14ac:dyDescent="0.2">
      <c r="B44" t="s">
        <v>116</v>
      </c>
      <c r="C44" s="1">
        <f t="shared" ref="C44:K44" si="14">(C42-$C$41)*$C$2</f>
        <v>2267737653.0313458</v>
      </c>
      <c r="D44" s="1">
        <f t="shared" si="14"/>
        <v>4275675110.5561104</v>
      </c>
      <c r="E44" s="1">
        <f t="shared" si="14"/>
        <v>5225492656.0826788</v>
      </c>
      <c r="F44" s="1">
        <f t="shared" si="14"/>
        <v>2891609537.6646676</v>
      </c>
      <c r="G44" s="1">
        <f t="shared" si="14"/>
        <v>2985597286.7940483</v>
      </c>
      <c r="H44" s="1">
        <f t="shared" si="14"/>
        <v>3082404668.3973107</v>
      </c>
      <c r="I44" s="1">
        <f t="shared" si="14"/>
        <v>3182116271.448669</v>
      </c>
      <c r="J44" s="1">
        <f t="shared" si="14"/>
        <v>3284819222.5915704</v>
      </c>
      <c r="K44" s="1">
        <f t="shared" si="14"/>
        <v>3390603262.2687588</v>
      </c>
    </row>
    <row r="45" spans="2:15" x14ac:dyDescent="0.2">
      <c r="B45" t="s">
        <v>62</v>
      </c>
      <c r="C45" s="117">
        <v>0.2319</v>
      </c>
      <c r="D45" s="117">
        <v>0.2319</v>
      </c>
      <c r="E45" s="117">
        <v>0.2319</v>
      </c>
      <c r="F45" s="117">
        <v>0.2319</v>
      </c>
      <c r="G45" s="117">
        <v>0.2319</v>
      </c>
      <c r="H45" s="117">
        <v>0.2319</v>
      </c>
      <c r="I45" s="117">
        <v>0.2319</v>
      </c>
      <c r="J45" s="117">
        <v>0.2319</v>
      </c>
      <c r="K45" s="117">
        <v>0.2319</v>
      </c>
    </row>
    <row r="46" spans="2:15" x14ac:dyDescent="0.2">
      <c r="B46" t="s">
        <v>118</v>
      </c>
      <c r="C46" s="110">
        <f t="shared" ref="C46:K46" si="15">C40/$C$4</f>
        <v>4.3924461754619202</v>
      </c>
      <c r="D46" s="110">
        <f t="shared" si="15"/>
        <v>9.5825521615779099</v>
      </c>
      <c r="E46" s="110">
        <f t="shared" si="15"/>
        <v>5.7034646104061091</v>
      </c>
      <c r="F46" s="110">
        <f t="shared" si="15"/>
        <v>5.0855151238790501</v>
      </c>
      <c r="G46" s="110">
        <f t="shared" si="15"/>
        <v>5.2400665174275183</v>
      </c>
      <c r="H46" s="110">
        <f t="shared" si="15"/>
        <v>5.3992544527824418</v>
      </c>
      <c r="I46" s="110">
        <f t="shared" si="15"/>
        <v>5.56321802619801</v>
      </c>
      <c r="J46" s="110">
        <f t="shared" si="15"/>
        <v>5.7321005068160451</v>
      </c>
      <c r="K46" s="110">
        <f t="shared" si="15"/>
        <v>5.9060494618526267</v>
      </c>
    </row>
    <row r="47" spans="2:15" x14ac:dyDescent="0.2">
      <c r="B47" t="s">
        <v>446</v>
      </c>
      <c r="C47">
        <v>0.31</v>
      </c>
      <c r="D47">
        <v>4.01</v>
      </c>
      <c r="E47">
        <v>2.42</v>
      </c>
      <c r="F47">
        <v>4.01</v>
      </c>
      <c r="G47">
        <v>2.42</v>
      </c>
      <c r="H47">
        <v>4.38</v>
      </c>
      <c r="I47">
        <v>3.22</v>
      </c>
      <c r="J47">
        <v>7.37</v>
      </c>
      <c r="K47">
        <v>3.76</v>
      </c>
    </row>
  </sheetData>
  <conditionalFormatting sqref="C30:C32">
    <cfRule type="cellIs" dxfId="23" priority="36" operator="greaterThan">
      <formula>$C$29</formula>
    </cfRule>
    <cfRule type="cellIs" dxfId="22" priority="35" operator="lessThan">
      <formula>$C$29</formula>
    </cfRule>
  </conditionalFormatting>
  <conditionalFormatting sqref="C46">
    <cfRule type="cellIs" dxfId="21" priority="17" operator="lessThan">
      <formula>$C$29</formula>
    </cfRule>
    <cfRule type="cellIs" dxfId="20" priority="18" operator="greaterThan">
      <formula>$C$29</formula>
    </cfRule>
  </conditionalFormatting>
  <conditionalFormatting sqref="D30:D32">
    <cfRule type="cellIs" dxfId="19" priority="34" operator="greaterThan">
      <formula>$D$29</formula>
    </cfRule>
    <cfRule type="cellIs" dxfId="18" priority="33" operator="lessThan">
      <formula>$D$29</formula>
    </cfRule>
  </conditionalFormatting>
  <conditionalFormatting sqref="D46">
    <cfRule type="cellIs" dxfId="17" priority="15" operator="lessThan">
      <formula>$D$29</formula>
    </cfRule>
    <cfRule type="cellIs" dxfId="16" priority="16" operator="greaterThan">
      <formula>$D$29</formula>
    </cfRule>
  </conditionalFormatting>
  <conditionalFormatting sqref="E30:E32">
    <cfRule type="cellIs" dxfId="15" priority="32" operator="greaterThan">
      <formula>$E$29</formula>
    </cfRule>
    <cfRule type="cellIs" dxfId="14" priority="31" operator="lessThan">
      <formula>$E$29</formula>
    </cfRule>
  </conditionalFormatting>
  <conditionalFormatting sqref="E46">
    <cfRule type="cellIs" dxfId="13" priority="13" operator="lessThan">
      <formula>$E$29</formula>
    </cfRule>
    <cfRule type="cellIs" dxfId="12" priority="14" operator="greaterThan">
      <formula>$E$29</formula>
    </cfRule>
  </conditionalFormatting>
  <conditionalFormatting sqref="F30:F32 F46">
    <cfRule type="cellIs" dxfId="11" priority="29" operator="lessThan">
      <formula>$F$29</formula>
    </cfRule>
    <cfRule type="cellIs" dxfId="10" priority="30" operator="greaterThan">
      <formula>$F$29</formula>
    </cfRule>
  </conditionalFormatting>
  <conditionalFormatting sqref="G30:G32 G46">
    <cfRule type="cellIs" dxfId="9" priority="27" operator="lessThan">
      <formula>$G$29</formula>
    </cfRule>
    <cfRule type="cellIs" dxfId="8" priority="28" operator="greaterThan">
      <formula>$G$29</formula>
    </cfRule>
  </conditionalFormatting>
  <conditionalFormatting sqref="H30:H32 H46">
    <cfRule type="cellIs" dxfId="7" priority="26" operator="greaterThan">
      <formula>$H$29</formula>
    </cfRule>
    <cfRule type="cellIs" dxfId="6" priority="25" operator="lessThan">
      <formula>$H$29</formula>
    </cfRule>
  </conditionalFormatting>
  <conditionalFormatting sqref="I30:I32 I46">
    <cfRule type="cellIs" dxfId="5" priority="24" operator="lessThan">
      <formula>$I$29</formula>
    </cfRule>
    <cfRule type="cellIs" dxfId="4" priority="21" operator="greaterThan">
      <formula>$I$29</formula>
    </cfRule>
  </conditionalFormatting>
  <conditionalFormatting sqref="J30:J32 J46">
    <cfRule type="cellIs" dxfId="3" priority="23" operator="lessThan">
      <formula>$J$29</formula>
    </cfRule>
    <cfRule type="cellIs" dxfId="2" priority="20" operator="greaterThan">
      <formula>$J$29</formula>
    </cfRule>
  </conditionalFormatting>
  <conditionalFormatting sqref="K30:K32 K46">
    <cfRule type="cellIs" dxfId="1" priority="22" operator="lessThan">
      <formula>$K$29</formula>
    </cfRule>
    <cfRule type="cellIs" dxfId="0" priority="19" operator="greaterThan">
      <formula>$K$29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A02C02-1A0E-764D-BDC0-08F8ADBC05D4}">
          <x14:formula1>
            <xm:f>'Data Validation'!$J$5:$J$7</xm:f>
          </x14:formula1>
          <xm:sqref>C38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9644-9E46-49B6-9470-65DC7519E105}">
  <dimension ref="A1"/>
  <sheetViews>
    <sheetView showGridLines="0" workbookViewId="0">
      <selection activeCell="E3" sqref="E3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4D29-4077-464C-9EAE-3041E6160F07}">
  <dimension ref="A1:G29"/>
  <sheetViews>
    <sheetView showGridLines="0" zoomScaleNormal="100" workbookViewId="0">
      <selection activeCell="E3" sqref="E3"/>
    </sheetView>
  </sheetViews>
  <sheetFormatPr baseColWidth="10" defaultColWidth="6.6640625" defaultRowHeight="15" x14ac:dyDescent="0.2"/>
  <cols>
    <col min="1" max="1" width="42.83203125" style="3" bestFit="1" customWidth="1"/>
    <col min="2" max="2" width="7.5" style="3" bestFit="1" customWidth="1"/>
    <col min="3" max="3" width="50.5" style="3" bestFit="1" customWidth="1"/>
    <col min="4" max="4" width="2.33203125" style="3" customWidth="1"/>
    <col min="5" max="5" width="45.1640625" style="3" bestFit="1" customWidth="1"/>
    <col min="6" max="6" width="7.5" style="3" bestFit="1" customWidth="1"/>
    <col min="7" max="7" width="25.83203125" style="3" bestFit="1" customWidth="1"/>
    <col min="8" max="16384" width="6.6640625" style="3"/>
  </cols>
  <sheetData>
    <row r="1" spans="1:7" ht="27.75" customHeight="1" x14ac:dyDescent="0.2">
      <c r="A1" s="223" t="s">
        <v>119</v>
      </c>
      <c r="B1" s="224"/>
      <c r="C1" s="224"/>
      <c r="D1" s="224"/>
      <c r="E1" s="224"/>
      <c r="F1" s="224"/>
      <c r="G1" s="224"/>
    </row>
    <row r="2" spans="1:7" ht="15.75" customHeight="1" x14ac:dyDescent="0.2">
      <c r="A2" s="225" t="s">
        <v>1</v>
      </c>
      <c r="B2" s="224"/>
      <c r="C2" s="224"/>
      <c r="D2" s="224"/>
      <c r="E2" s="224"/>
      <c r="F2" s="224"/>
      <c r="G2" s="224"/>
    </row>
    <row r="3" spans="1:7" ht="6" customHeight="1" x14ac:dyDescent="0.2"/>
    <row r="4" spans="1:7" ht="16.5" customHeight="1" x14ac:dyDescent="0.2">
      <c r="A4" s="4" t="s">
        <v>120</v>
      </c>
      <c r="B4" s="5"/>
      <c r="C4" s="5"/>
      <c r="E4" s="4" t="s">
        <v>121</v>
      </c>
      <c r="F4" s="5"/>
      <c r="G4" s="5"/>
    </row>
    <row r="5" spans="1:7" ht="21.75" customHeight="1" x14ac:dyDescent="0.2">
      <c r="A5" s="6" t="s">
        <v>122</v>
      </c>
      <c r="B5" s="6" t="s">
        <v>123</v>
      </c>
      <c r="C5" s="6" t="s">
        <v>124</v>
      </c>
      <c r="E5" s="6" t="s">
        <v>122</v>
      </c>
      <c r="F5" s="6" t="s">
        <v>123</v>
      </c>
      <c r="G5" s="6" t="s">
        <v>124</v>
      </c>
    </row>
    <row r="6" spans="1:7" ht="15" customHeight="1" x14ac:dyDescent="0.2">
      <c r="A6" s="7" t="s">
        <v>125</v>
      </c>
      <c r="B6" s="8">
        <v>46.31</v>
      </c>
      <c r="C6" s="9" t="s">
        <v>126</v>
      </c>
      <c r="E6" s="7" t="s">
        <v>127</v>
      </c>
      <c r="F6" s="10">
        <v>130000</v>
      </c>
      <c r="G6" s="9" t="s">
        <v>128</v>
      </c>
    </row>
    <row r="7" spans="1:7" ht="15" customHeight="1" x14ac:dyDescent="0.2">
      <c r="A7" s="11" t="s">
        <v>129</v>
      </c>
      <c r="B7" s="12">
        <v>2868</v>
      </c>
      <c r="C7" s="13" t="s">
        <v>130</v>
      </c>
      <c r="E7" s="14" t="s">
        <v>131</v>
      </c>
      <c r="F7" s="15">
        <v>58893</v>
      </c>
      <c r="G7" s="13" t="s">
        <v>132</v>
      </c>
    </row>
    <row r="8" spans="1:7" ht="15" customHeight="1" x14ac:dyDescent="0.2">
      <c r="A8" s="7" t="s">
        <v>133</v>
      </c>
      <c r="B8" s="16">
        <v>132817.07999999999</v>
      </c>
      <c r="C8" s="9" t="s">
        <v>134</v>
      </c>
      <c r="E8" s="17" t="s">
        <v>135</v>
      </c>
      <c r="F8" s="10">
        <v>60895</v>
      </c>
      <c r="G8" s="9" t="s">
        <v>136</v>
      </c>
    </row>
    <row r="9" spans="1:7" ht="15" customHeight="1" x14ac:dyDescent="0.2">
      <c r="A9" s="11" t="s">
        <v>137</v>
      </c>
      <c r="B9" s="15">
        <v>45922</v>
      </c>
      <c r="C9" s="13" t="s">
        <v>138</v>
      </c>
      <c r="E9" s="14" t="s">
        <v>139</v>
      </c>
      <c r="F9" s="15">
        <v>3500</v>
      </c>
      <c r="G9" s="13" t="s">
        <v>140</v>
      </c>
    </row>
    <row r="10" spans="1:7" ht="15" customHeight="1" x14ac:dyDescent="0.2">
      <c r="A10" s="7" t="s">
        <v>141</v>
      </c>
      <c r="B10" s="16">
        <v>178739.08</v>
      </c>
      <c r="C10" s="9" t="s">
        <v>134</v>
      </c>
      <c r="E10" s="17" t="s">
        <v>142</v>
      </c>
      <c r="F10" s="16">
        <v>6712</v>
      </c>
      <c r="G10" s="9" t="s">
        <v>134</v>
      </c>
    </row>
    <row r="11" spans="1:7" ht="15" customHeight="1" x14ac:dyDescent="0.2">
      <c r="A11" s="14"/>
      <c r="C11" s="13"/>
      <c r="E11" s="14"/>
      <c r="G11" s="13"/>
    </row>
    <row r="12" spans="1:7" ht="15" customHeight="1" x14ac:dyDescent="0.2">
      <c r="A12" s="7" t="s">
        <v>143</v>
      </c>
      <c r="B12" s="10">
        <v>4894</v>
      </c>
      <c r="C12" s="9" t="s">
        <v>144</v>
      </c>
      <c r="E12" s="7" t="s">
        <v>145</v>
      </c>
      <c r="F12" s="18">
        <v>1274</v>
      </c>
      <c r="G12" s="9" t="s">
        <v>146</v>
      </c>
    </row>
    <row r="13" spans="1:7" ht="15" customHeight="1" x14ac:dyDescent="0.2">
      <c r="A13" s="11" t="s">
        <v>147</v>
      </c>
      <c r="B13" s="15">
        <v>2549</v>
      </c>
      <c r="C13" s="13" t="s">
        <v>148</v>
      </c>
      <c r="E13" s="11" t="s">
        <v>149</v>
      </c>
      <c r="F13" s="19">
        <v>47.798273155415998</v>
      </c>
      <c r="G13" s="13" t="s">
        <v>150</v>
      </c>
    </row>
    <row r="14" spans="1:7" ht="15" customHeight="1" x14ac:dyDescent="0.2">
      <c r="A14" s="7" t="s">
        <v>151</v>
      </c>
      <c r="B14" s="10">
        <v>2404</v>
      </c>
      <c r="C14" s="9" t="s">
        <v>152</v>
      </c>
      <c r="E14" s="14"/>
      <c r="G14" s="13"/>
    </row>
    <row r="15" spans="1:7" ht="15" customHeight="1" x14ac:dyDescent="0.2">
      <c r="A15" s="11" t="s">
        <v>153</v>
      </c>
      <c r="B15" s="15">
        <v>875</v>
      </c>
      <c r="C15" s="13" t="s">
        <v>154</v>
      </c>
      <c r="E15" s="7" t="s">
        <v>155</v>
      </c>
      <c r="F15" s="10">
        <v>49000</v>
      </c>
      <c r="G15" s="9" t="s">
        <v>156</v>
      </c>
    </row>
    <row r="16" spans="1:7" ht="15" customHeight="1" x14ac:dyDescent="0.2">
      <c r="A16" s="7" t="s">
        <v>157</v>
      </c>
      <c r="B16" s="10">
        <v>11497</v>
      </c>
      <c r="C16" s="9" t="s">
        <v>158</v>
      </c>
      <c r="E16" s="11" t="s">
        <v>159</v>
      </c>
      <c r="F16" s="20">
        <v>5.5E-2</v>
      </c>
      <c r="G16" s="13" t="s">
        <v>160</v>
      </c>
    </row>
    <row r="17" spans="1:7" ht="15" customHeight="1" x14ac:dyDescent="0.2">
      <c r="A17" s="11" t="s">
        <v>161</v>
      </c>
      <c r="B17" s="21">
        <v>0.23802707216861399</v>
      </c>
      <c r="C17" s="13" t="s">
        <v>162</v>
      </c>
      <c r="E17" s="7" t="s">
        <v>62</v>
      </c>
      <c r="F17" s="22">
        <v>0.2319</v>
      </c>
      <c r="G17" s="9" t="s">
        <v>163</v>
      </c>
    </row>
    <row r="18" spans="1:7" ht="15" customHeight="1" x14ac:dyDescent="0.2">
      <c r="A18" s="14"/>
      <c r="C18" s="13"/>
      <c r="E18" s="11" t="s">
        <v>164</v>
      </c>
      <c r="F18" s="23">
        <v>2070.0295000000001</v>
      </c>
      <c r="G18" s="13" t="s">
        <v>134</v>
      </c>
    </row>
    <row r="19" spans="1:7" ht="15" customHeight="1" x14ac:dyDescent="0.2">
      <c r="A19" s="7" t="s">
        <v>165</v>
      </c>
      <c r="B19" s="16">
        <v>11497</v>
      </c>
      <c r="C19" s="9" t="s">
        <v>166</v>
      </c>
      <c r="E19" s="14"/>
      <c r="G19" s="13"/>
    </row>
    <row r="20" spans="1:7" ht="15" customHeight="1" x14ac:dyDescent="0.2">
      <c r="A20" s="11" t="s">
        <v>167</v>
      </c>
      <c r="B20" s="24">
        <v>4.0087168758716896</v>
      </c>
      <c r="C20" s="13" t="s">
        <v>134</v>
      </c>
      <c r="E20" s="7" t="s">
        <v>168</v>
      </c>
      <c r="F20" s="10">
        <v>500</v>
      </c>
      <c r="G20" s="9" t="s">
        <v>169</v>
      </c>
    </row>
    <row r="21" spans="1:7" ht="15" customHeight="1" x14ac:dyDescent="0.2">
      <c r="A21" s="14"/>
      <c r="C21" s="13"/>
      <c r="E21" s="11" t="s">
        <v>170</v>
      </c>
      <c r="F21" s="15">
        <v>800</v>
      </c>
      <c r="G21" s="13" t="s">
        <v>171</v>
      </c>
    </row>
    <row r="22" spans="1:7" ht="15" customHeight="1" x14ac:dyDescent="0.2">
      <c r="A22" s="7" t="s">
        <v>172</v>
      </c>
      <c r="B22" s="25">
        <v>0.23802707216861399</v>
      </c>
      <c r="C22" s="9" t="s">
        <v>173</v>
      </c>
      <c r="E22" s="7" t="s">
        <v>174</v>
      </c>
      <c r="F22" s="10">
        <v>1200</v>
      </c>
      <c r="G22" s="9" t="s">
        <v>175</v>
      </c>
    </row>
    <row r="23" spans="1:7" ht="15" customHeight="1" x14ac:dyDescent="0.2">
      <c r="A23" s="11" t="s">
        <v>176</v>
      </c>
      <c r="B23" s="21">
        <v>0.23802707216861399</v>
      </c>
      <c r="C23" s="13" t="s">
        <v>177</v>
      </c>
    </row>
    <row r="24" spans="1:7" ht="15" customHeight="1" x14ac:dyDescent="0.2">
      <c r="A24" s="14"/>
      <c r="C24" s="13"/>
    </row>
    <row r="25" spans="1:7" ht="15" customHeight="1" x14ac:dyDescent="0.2">
      <c r="A25" s="7" t="s">
        <v>178</v>
      </c>
      <c r="B25" s="10">
        <v>17800</v>
      </c>
      <c r="C25" s="9" t="s">
        <v>179</v>
      </c>
    </row>
    <row r="26" spans="1:7" ht="15" customHeight="1" x14ac:dyDescent="0.2">
      <c r="A26" s="11" t="s">
        <v>180</v>
      </c>
      <c r="B26" s="23">
        <v>22036.881884601298</v>
      </c>
      <c r="C26" s="13" t="s">
        <v>181</v>
      </c>
    </row>
    <row r="27" spans="1:7" ht="15" customHeight="1" x14ac:dyDescent="0.2">
      <c r="A27" s="7" t="s">
        <v>182</v>
      </c>
      <c r="B27" s="16">
        <v>27282.256359318599</v>
      </c>
      <c r="C27" s="9" t="s">
        <v>181</v>
      </c>
    </row>
    <row r="28" spans="1:7" ht="6" customHeight="1" x14ac:dyDescent="0.2"/>
    <row r="29" spans="1:7" ht="15" customHeight="1" x14ac:dyDescent="0.2">
      <c r="A29" s="226" t="s">
        <v>183</v>
      </c>
      <c r="B29" s="224"/>
      <c r="C29" s="224"/>
      <c r="D29" s="224"/>
      <c r="E29" s="224"/>
      <c r="F29" s="224"/>
      <c r="G29" s="224"/>
    </row>
  </sheetData>
  <mergeCells count="3">
    <mergeCell ref="A1:G1"/>
    <mergeCell ref="A2:G2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3596-E441-4BEC-B712-DE9A22A61430}">
  <dimension ref="A1:G56"/>
  <sheetViews>
    <sheetView showGridLines="0" zoomScaleNormal="100" workbookViewId="0">
      <selection activeCell="E3" sqref="E3"/>
    </sheetView>
  </sheetViews>
  <sheetFormatPr baseColWidth="10" defaultColWidth="6.6640625" defaultRowHeight="15" x14ac:dyDescent="0.2"/>
  <cols>
    <col min="1" max="1" width="41.33203125" style="3" bestFit="1" customWidth="1"/>
    <col min="2" max="4" width="14" style="3" bestFit="1" customWidth="1"/>
    <col min="5" max="7" width="5.33203125" style="3" bestFit="1" customWidth="1"/>
    <col min="8" max="16384" width="6.6640625" style="3"/>
  </cols>
  <sheetData>
    <row r="1" spans="1:5" ht="27.75" customHeight="1" x14ac:dyDescent="0.2">
      <c r="A1" s="223" t="s">
        <v>184</v>
      </c>
      <c r="B1" s="224"/>
      <c r="C1" s="224"/>
      <c r="D1" s="224"/>
      <c r="E1" s="224"/>
    </row>
    <row r="2" spans="1:5" ht="15.75" customHeight="1" x14ac:dyDescent="0.2">
      <c r="A2" s="225" t="s">
        <v>185</v>
      </c>
      <c r="B2" s="224"/>
      <c r="C2" s="224"/>
      <c r="D2" s="224"/>
      <c r="E2" s="224"/>
    </row>
    <row r="3" spans="1:5" ht="6" customHeight="1" x14ac:dyDescent="0.2"/>
    <row r="4" spans="1:5" ht="21.75" customHeight="1" x14ac:dyDescent="0.2">
      <c r="A4" s="26" t="s">
        <v>186</v>
      </c>
      <c r="B4" s="26" t="s">
        <v>187</v>
      </c>
      <c r="C4" s="26" t="s">
        <v>188</v>
      </c>
      <c r="D4" s="26" t="s">
        <v>189</v>
      </c>
    </row>
    <row r="5" spans="1:5" ht="16.5" customHeight="1" x14ac:dyDescent="0.2">
      <c r="A5" s="4" t="s">
        <v>190</v>
      </c>
      <c r="B5" s="5"/>
      <c r="C5" s="5"/>
      <c r="D5" s="5"/>
    </row>
    <row r="6" spans="1:5" ht="15" customHeight="1" x14ac:dyDescent="0.2">
      <c r="A6" s="17" t="s">
        <v>191</v>
      </c>
      <c r="B6" s="27">
        <v>2868</v>
      </c>
      <c r="C6" s="27">
        <v>2868</v>
      </c>
      <c r="D6" s="27">
        <v>2868</v>
      </c>
    </row>
    <row r="7" spans="1:5" ht="15" customHeight="1" x14ac:dyDescent="0.2">
      <c r="A7" s="14" t="s">
        <v>192</v>
      </c>
      <c r="B7" s="28">
        <v>1274</v>
      </c>
      <c r="C7" s="28">
        <v>1274</v>
      </c>
      <c r="D7" s="28">
        <v>1274</v>
      </c>
    </row>
    <row r="8" spans="1:5" ht="15" customHeight="1" x14ac:dyDescent="0.2">
      <c r="A8" s="7" t="s">
        <v>193</v>
      </c>
      <c r="B8" s="29">
        <v>4142</v>
      </c>
      <c r="C8" s="29">
        <v>4142</v>
      </c>
      <c r="D8" s="29">
        <v>4142</v>
      </c>
    </row>
    <row r="9" spans="1:5" ht="6" customHeight="1" x14ac:dyDescent="0.2"/>
    <row r="10" spans="1:5" ht="16.5" customHeight="1" x14ac:dyDescent="0.2">
      <c r="A10" s="4" t="s">
        <v>194</v>
      </c>
      <c r="B10" s="5"/>
      <c r="C10" s="5"/>
      <c r="D10" s="5"/>
    </row>
    <row r="11" spans="1:5" ht="15" customHeight="1" x14ac:dyDescent="0.2">
      <c r="A11" s="17" t="s">
        <v>195</v>
      </c>
      <c r="B11" s="30">
        <v>11497</v>
      </c>
      <c r="C11" s="30">
        <v>14233.597248722601</v>
      </c>
      <c r="D11" s="30">
        <v>17621.578728263201</v>
      </c>
    </row>
    <row r="12" spans="1:5" ht="15" customHeight="1" x14ac:dyDescent="0.2">
      <c r="A12" s="14" t="s">
        <v>191</v>
      </c>
      <c r="B12" s="28">
        <v>2868</v>
      </c>
      <c r="C12" s="28">
        <v>2868</v>
      </c>
      <c r="D12" s="28">
        <v>2868</v>
      </c>
    </row>
    <row r="13" spans="1:5" ht="15" customHeight="1" x14ac:dyDescent="0.2">
      <c r="A13" s="7" t="s">
        <v>196</v>
      </c>
      <c r="B13" s="31">
        <v>4.0087168758716896</v>
      </c>
      <c r="C13" s="31">
        <v>4.9629000169883399</v>
      </c>
      <c r="D13" s="31">
        <v>6.1442045774976402</v>
      </c>
    </row>
    <row r="14" spans="1:5" ht="6" customHeight="1" x14ac:dyDescent="0.2"/>
    <row r="15" spans="1:5" ht="16.5" customHeight="1" x14ac:dyDescent="0.2">
      <c r="A15" s="4" t="s">
        <v>197</v>
      </c>
      <c r="B15" s="5"/>
      <c r="C15" s="5"/>
      <c r="D15" s="5"/>
    </row>
    <row r="16" spans="1:5" ht="15" customHeight="1" x14ac:dyDescent="0.2">
      <c r="A16" s="17" t="s">
        <v>195</v>
      </c>
      <c r="B16" s="16">
        <v>11497</v>
      </c>
      <c r="C16" s="16">
        <v>14233.597248722601</v>
      </c>
      <c r="D16" s="16">
        <v>17621.578728263201</v>
      </c>
    </row>
    <row r="17" spans="1:4" ht="15" customHeight="1" x14ac:dyDescent="0.2">
      <c r="A17" s="14" t="s">
        <v>198</v>
      </c>
      <c r="B17" s="32">
        <v>6303</v>
      </c>
      <c r="C17" s="32">
        <v>7803.2846358787801</v>
      </c>
      <c r="D17" s="32">
        <v>9660.6776310553396</v>
      </c>
    </row>
    <row r="18" spans="1:4" ht="15" customHeight="1" x14ac:dyDescent="0.2">
      <c r="A18" s="17" t="s">
        <v>199</v>
      </c>
      <c r="B18" s="30">
        <v>-2070.0295000000001</v>
      </c>
      <c r="C18" s="30">
        <v>-2070.0295000000001</v>
      </c>
      <c r="D18" s="30">
        <v>-2070.0295000000001</v>
      </c>
    </row>
    <row r="19" spans="1:4" ht="15" customHeight="1" x14ac:dyDescent="0.2">
      <c r="A19" s="14" t="s">
        <v>200</v>
      </c>
      <c r="B19" s="32">
        <v>384.05</v>
      </c>
      <c r="C19" s="32">
        <v>422.45499999999998</v>
      </c>
      <c r="D19" s="32">
        <v>460.86</v>
      </c>
    </row>
    <row r="20" spans="1:4" ht="15" customHeight="1" x14ac:dyDescent="0.2">
      <c r="A20" s="17" t="s">
        <v>201</v>
      </c>
      <c r="B20" s="30">
        <v>-800</v>
      </c>
      <c r="C20" s="30">
        <v>-800</v>
      </c>
      <c r="D20" s="30">
        <v>-800</v>
      </c>
    </row>
    <row r="21" spans="1:4" ht="15" customHeight="1" x14ac:dyDescent="0.2">
      <c r="A21" s="14" t="s">
        <v>202</v>
      </c>
      <c r="B21" s="32">
        <v>-1200</v>
      </c>
      <c r="C21" s="23">
        <v>0</v>
      </c>
      <c r="D21" s="23">
        <v>0</v>
      </c>
    </row>
    <row r="22" spans="1:4" ht="15" customHeight="1" x14ac:dyDescent="0.2">
      <c r="A22" s="7" t="s">
        <v>203</v>
      </c>
      <c r="B22" s="16">
        <v>14114.020500000001</v>
      </c>
      <c r="C22" s="16">
        <v>19589.307384601299</v>
      </c>
      <c r="D22" s="16">
        <v>24873.086859318599</v>
      </c>
    </row>
    <row r="23" spans="1:4" ht="6" customHeight="1" x14ac:dyDescent="0.2"/>
    <row r="24" spans="1:4" ht="16.5" customHeight="1" x14ac:dyDescent="0.2">
      <c r="A24" s="4" t="s">
        <v>204</v>
      </c>
      <c r="B24" s="5"/>
      <c r="C24" s="5"/>
      <c r="D24" s="5"/>
    </row>
    <row r="25" spans="1:4" ht="15" customHeight="1" x14ac:dyDescent="0.2">
      <c r="A25" s="17" t="s">
        <v>205</v>
      </c>
      <c r="B25" s="16">
        <v>14114.020500000001</v>
      </c>
      <c r="C25" s="16">
        <v>19589.307384601299</v>
      </c>
      <c r="D25" s="16">
        <v>24873.086859318599</v>
      </c>
    </row>
    <row r="26" spans="1:4" ht="15" customHeight="1" x14ac:dyDescent="0.2">
      <c r="A26" s="14" t="s">
        <v>193</v>
      </c>
      <c r="B26" s="33">
        <v>4142</v>
      </c>
      <c r="C26" s="33">
        <v>4142</v>
      </c>
      <c r="D26" s="33">
        <v>4142</v>
      </c>
    </row>
    <row r="27" spans="1:4" ht="15" customHeight="1" x14ac:dyDescent="0.2">
      <c r="A27" s="7" t="s">
        <v>206</v>
      </c>
      <c r="B27" s="31">
        <v>3.40753754225012</v>
      </c>
      <c r="C27" s="31">
        <v>4.7294320098023501</v>
      </c>
      <c r="D27" s="31">
        <v>6.0050909848668699</v>
      </c>
    </row>
    <row r="28" spans="1:4" ht="15" customHeight="1" x14ac:dyDescent="0.2">
      <c r="A28" s="14"/>
      <c r="B28" s="34"/>
      <c r="C28" s="34"/>
      <c r="D28" s="34"/>
    </row>
    <row r="29" spans="1:4" ht="15" customHeight="1" x14ac:dyDescent="0.2">
      <c r="A29" s="17" t="s">
        <v>207</v>
      </c>
      <c r="B29" s="31">
        <v>4.0087168758716896</v>
      </c>
      <c r="C29" s="31">
        <v>4.9629000169883399</v>
      </c>
      <c r="D29" s="31">
        <v>6.1442045774976402</v>
      </c>
    </row>
    <row r="30" spans="1:4" ht="15" customHeight="1" x14ac:dyDescent="0.2">
      <c r="A30" s="14" t="s">
        <v>208</v>
      </c>
      <c r="B30" s="24">
        <v>3.40753754225012</v>
      </c>
      <c r="C30" s="24">
        <v>4.7294320098023501</v>
      </c>
      <c r="D30" s="24">
        <v>6.0050909848668699</v>
      </c>
    </row>
    <row r="31" spans="1:4" ht="15" customHeight="1" x14ac:dyDescent="0.2">
      <c r="A31" s="7" t="s">
        <v>209</v>
      </c>
      <c r="B31" s="35">
        <v>-0.60117933362156695</v>
      </c>
      <c r="C31" s="35">
        <v>-0.23346800718598901</v>
      </c>
      <c r="D31" s="35">
        <v>-0.139113592630771</v>
      </c>
    </row>
    <row r="32" spans="1:4" ht="15" customHeight="1" x14ac:dyDescent="0.2">
      <c r="A32" s="7" t="s">
        <v>210</v>
      </c>
      <c r="B32" s="36">
        <v>-0.149968020251079</v>
      </c>
      <c r="C32" s="36">
        <v>-4.70426577982253E-2</v>
      </c>
      <c r="D32" s="36">
        <v>-2.2641432406117601E-2</v>
      </c>
    </row>
    <row r="33" spans="1:7" ht="6" customHeight="1" x14ac:dyDescent="0.2"/>
    <row r="35" spans="1:7" x14ac:dyDescent="0.2">
      <c r="A35" s="228" t="s">
        <v>211</v>
      </c>
      <c r="B35" s="224"/>
      <c r="C35" s="224"/>
      <c r="D35" s="224"/>
      <c r="E35" s="224"/>
      <c r="F35" s="224"/>
      <c r="G35" s="224"/>
    </row>
    <row r="36" spans="1:7" x14ac:dyDescent="0.2">
      <c r="A36" s="225" t="s">
        <v>212</v>
      </c>
      <c r="B36" s="224"/>
      <c r="C36" s="224"/>
      <c r="D36" s="224"/>
      <c r="E36" s="224"/>
      <c r="F36" s="224"/>
      <c r="G36" s="224"/>
    </row>
    <row r="38" spans="1:7" x14ac:dyDescent="0.2">
      <c r="A38" s="227" t="s">
        <v>213</v>
      </c>
      <c r="B38" s="224"/>
      <c r="C38" s="224"/>
      <c r="D38" s="224"/>
      <c r="E38" s="224"/>
      <c r="F38" s="224"/>
      <c r="G38" s="224"/>
    </row>
    <row r="39" spans="1:7" ht="26" x14ac:dyDescent="0.2">
      <c r="A39" s="6" t="s">
        <v>214</v>
      </c>
      <c r="B39" s="6" t="s">
        <v>215</v>
      </c>
      <c r="C39" s="6" t="s">
        <v>216</v>
      </c>
      <c r="D39" s="6" t="s">
        <v>217</v>
      </c>
      <c r="E39" s="6" t="s">
        <v>218</v>
      </c>
      <c r="F39" s="6" t="s">
        <v>219</v>
      </c>
      <c r="G39" s="6" t="s">
        <v>220</v>
      </c>
    </row>
    <row r="40" spans="1:7" x14ac:dyDescent="0.2">
      <c r="A40" s="37">
        <v>0</v>
      </c>
      <c r="B40" s="38">
        <v>4.50699432641236</v>
      </c>
      <c r="C40" s="38">
        <v>4.99045642201835</v>
      </c>
      <c r="D40" s="38">
        <v>5.8935378319652303</v>
      </c>
      <c r="E40" s="38">
        <v>6.5697659343312402</v>
      </c>
      <c r="F40" s="38">
        <v>7.1391768469338501</v>
      </c>
      <c r="G40" s="39">
        <v>7.7300749637856097</v>
      </c>
    </row>
    <row r="41" spans="1:7" x14ac:dyDescent="0.2">
      <c r="A41" s="37">
        <v>250</v>
      </c>
      <c r="B41" s="38">
        <v>4.5626268710767803</v>
      </c>
      <c r="C41" s="38">
        <v>5.0460889666827597</v>
      </c>
      <c r="D41" s="38">
        <v>5.9491703766296498</v>
      </c>
      <c r="E41" s="38">
        <v>6.6253984789956597</v>
      </c>
      <c r="F41" s="39">
        <v>7.1948093915982598</v>
      </c>
      <c r="G41" s="39">
        <v>7.7857075084500202</v>
      </c>
    </row>
    <row r="42" spans="1:7" x14ac:dyDescent="0.2">
      <c r="A42" s="37">
        <v>500</v>
      </c>
      <c r="B42" s="38">
        <v>4.61825941574119</v>
      </c>
      <c r="C42" s="38">
        <v>5.1017215113471801</v>
      </c>
      <c r="D42" s="38">
        <v>6.0048029212940603</v>
      </c>
      <c r="E42" s="39">
        <v>6.6810310236600703</v>
      </c>
      <c r="F42" s="39">
        <v>7.2504419362626802</v>
      </c>
      <c r="G42" s="39">
        <v>7.8413400531144397</v>
      </c>
    </row>
    <row r="43" spans="1:7" x14ac:dyDescent="0.2">
      <c r="A43" s="37">
        <v>750</v>
      </c>
      <c r="B43" s="38">
        <v>4.6738919604055997</v>
      </c>
      <c r="C43" s="38">
        <v>5.1573540560115898</v>
      </c>
      <c r="D43" s="39">
        <v>6.06043546595847</v>
      </c>
      <c r="E43" s="39">
        <v>6.73666356832448</v>
      </c>
      <c r="F43" s="39">
        <v>7.3060744809270899</v>
      </c>
      <c r="G43" s="39">
        <v>7.8969725977788503</v>
      </c>
    </row>
    <row r="44" spans="1:7" x14ac:dyDescent="0.2">
      <c r="A44" s="37">
        <v>1000</v>
      </c>
      <c r="B44" s="38">
        <v>4.7295245050700201</v>
      </c>
      <c r="C44" s="39">
        <v>5.2129866006760004</v>
      </c>
      <c r="D44" s="39">
        <v>6.1160680106228904</v>
      </c>
      <c r="E44" s="39">
        <v>6.7922961129889003</v>
      </c>
      <c r="F44" s="39">
        <v>7.3617070255914996</v>
      </c>
      <c r="G44" s="39">
        <v>7.95260514244326</v>
      </c>
    </row>
    <row r="45" spans="1:7" x14ac:dyDescent="0.2">
      <c r="A45" s="37">
        <v>1500</v>
      </c>
      <c r="B45" s="39">
        <v>4.8407895943988404</v>
      </c>
      <c r="C45" s="39">
        <v>5.3242516900048296</v>
      </c>
      <c r="D45" s="39">
        <v>6.2273330999517098</v>
      </c>
      <c r="E45" s="39">
        <v>6.9035612023177197</v>
      </c>
      <c r="F45" s="40">
        <v>7.4729721149203296</v>
      </c>
      <c r="G45" s="40">
        <v>8.0638702317720892</v>
      </c>
    </row>
    <row r="46" spans="1:7" x14ac:dyDescent="0.2">
      <c r="A46" s="37">
        <v>2000</v>
      </c>
      <c r="B46" s="40">
        <v>4.9520546837276704</v>
      </c>
      <c r="C46" s="40">
        <v>5.4355167793336499</v>
      </c>
      <c r="D46" s="40">
        <v>6.3385981892805399</v>
      </c>
      <c r="E46" s="40">
        <v>7.0148262916465498</v>
      </c>
      <c r="F46" s="40">
        <v>7.5842372042491597</v>
      </c>
      <c r="G46" s="40">
        <v>8.1751353211009192</v>
      </c>
    </row>
    <row r="48" spans="1:7" x14ac:dyDescent="0.2">
      <c r="A48" s="227" t="s">
        <v>221</v>
      </c>
      <c r="B48" s="224"/>
      <c r="C48" s="224"/>
      <c r="D48" s="224"/>
      <c r="E48" s="224"/>
      <c r="F48" s="224"/>
      <c r="G48" s="224"/>
    </row>
    <row r="49" spans="1:7" ht="26" x14ac:dyDescent="0.2">
      <c r="A49" s="6" t="s">
        <v>214</v>
      </c>
      <c r="B49" s="6" t="s">
        <v>215</v>
      </c>
      <c r="C49" s="6" t="s">
        <v>216</v>
      </c>
      <c r="D49" s="6" t="s">
        <v>217</v>
      </c>
      <c r="E49" s="6" t="s">
        <v>218</v>
      </c>
      <c r="F49" s="6" t="s">
        <v>219</v>
      </c>
      <c r="G49" s="6" t="s">
        <v>220</v>
      </c>
    </row>
    <row r="50" spans="1:7" x14ac:dyDescent="0.2">
      <c r="A50" s="37">
        <v>0</v>
      </c>
      <c r="B50" s="41">
        <v>-7.0827695032865096E-2</v>
      </c>
      <c r="C50" s="41">
        <v>-5.8675846343173799E-2</v>
      </c>
      <c r="D50" s="41">
        <v>-4.0755314010137801E-2</v>
      </c>
      <c r="E50" s="41">
        <v>-3.0254421932451502E-2</v>
      </c>
      <c r="F50" s="41">
        <v>-2.2818539433796199E-2</v>
      </c>
      <c r="G50" s="42">
        <v>-1.61650423385899E-2</v>
      </c>
    </row>
    <row r="51" spans="1:7" x14ac:dyDescent="0.2">
      <c r="A51" s="37">
        <v>250</v>
      </c>
      <c r="B51" s="41">
        <v>-5.9358361811368103E-2</v>
      </c>
      <c r="C51" s="41">
        <v>-4.8182165286076301E-2</v>
      </c>
      <c r="D51" s="41">
        <v>-3.1700443343491397E-2</v>
      </c>
      <c r="E51" s="41">
        <v>-2.2042650809367799E-2</v>
      </c>
      <c r="F51" s="42">
        <v>-1.52037832208955E-2</v>
      </c>
      <c r="G51" s="42">
        <v>-9.0844845845024901E-3</v>
      </c>
    </row>
    <row r="52" spans="1:7" x14ac:dyDescent="0.2">
      <c r="A52" s="37">
        <v>500</v>
      </c>
      <c r="B52" s="41">
        <v>-4.7889028589870798E-2</v>
      </c>
      <c r="C52" s="41">
        <v>-3.7688484228978698E-2</v>
      </c>
      <c r="D52" s="41">
        <v>-2.26455726768451E-2</v>
      </c>
      <c r="E52" s="42">
        <v>-1.38308796862841E-2</v>
      </c>
      <c r="F52" s="42">
        <v>-7.58902700799501E-3</v>
      </c>
      <c r="G52" s="42">
        <v>-2.0039268304150302E-3</v>
      </c>
    </row>
    <row r="53" spans="1:7" x14ac:dyDescent="0.2">
      <c r="A53" s="37">
        <v>750</v>
      </c>
      <c r="B53" s="41">
        <v>-3.6419695368373799E-2</v>
      </c>
      <c r="C53" s="41">
        <v>-2.71948031718812E-2</v>
      </c>
      <c r="D53" s="42">
        <v>-1.35907020101988E-2</v>
      </c>
      <c r="E53" s="42">
        <v>-5.6191085632004596E-3</v>
      </c>
      <c r="F53" s="42">
        <v>2.5729204905626101E-5</v>
      </c>
      <c r="G53" s="42">
        <v>5.0766309236725399E-3</v>
      </c>
    </row>
    <row r="54" spans="1:7" x14ac:dyDescent="0.2">
      <c r="A54" s="37">
        <v>1000</v>
      </c>
      <c r="B54" s="41">
        <v>-2.4950362146876799E-2</v>
      </c>
      <c r="C54" s="42">
        <v>-1.6701122114783699E-2</v>
      </c>
      <c r="D54" s="42">
        <v>-4.5358313435525498E-3</v>
      </c>
      <c r="E54" s="42">
        <v>2.59266255988322E-3</v>
      </c>
      <c r="F54" s="42">
        <v>7.64048541780639E-3</v>
      </c>
      <c r="G54" s="42">
        <v>1.215718867776E-2</v>
      </c>
    </row>
    <row r="55" spans="1:7" x14ac:dyDescent="0.2">
      <c r="A55" s="37">
        <v>1500</v>
      </c>
      <c r="B55" s="42">
        <v>-2.0116957038828899E-3</v>
      </c>
      <c r="C55" s="42">
        <v>4.2862399994110798E-3</v>
      </c>
      <c r="D55" s="42">
        <v>1.357390998974E-2</v>
      </c>
      <c r="E55" s="42">
        <v>1.90162048060506E-2</v>
      </c>
      <c r="F55" s="43">
        <v>2.2869997843607701E-2</v>
      </c>
      <c r="G55" s="43">
        <v>2.6318304185935001E-2</v>
      </c>
    </row>
    <row r="56" spans="1:7" x14ac:dyDescent="0.2">
      <c r="A56" s="37">
        <v>2000</v>
      </c>
      <c r="B56" s="43">
        <v>2.09269707391114E-2</v>
      </c>
      <c r="C56" s="43">
        <v>2.52736021136062E-2</v>
      </c>
      <c r="D56" s="43">
        <v>3.1683651323032601E-2</v>
      </c>
      <c r="E56" s="43">
        <v>3.5439747052217897E-2</v>
      </c>
      <c r="F56" s="43">
        <v>3.8099510269408901E-2</v>
      </c>
      <c r="G56" s="43">
        <v>4.0479419694109897E-2</v>
      </c>
    </row>
  </sheetData>
  <mergeCells count="6">
    <mergeCell ref="A48:G48"/>
    <mergeCell ref="A1:E1"/>
    <mergeCell ref="A2:E2"/>
    <mergeCell ref="A35:G35"/>
    <mergeCell ref="A36:G36"/>
    <mergeCell ref="A38:G3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C909-067D-4758-B7DF-9C9C1F2A7F3E}">
  <dimension ref="A1:D14"/>
  <sheetViews>
    <sheetView showGridLines="0" zoomScaleNormal="100" workbookViewId="0">
      <selection activeCell="E3" sqref="E3"/>
    </sheetView>
  </sheetViews>
  <sheetFormatPr baseColWidth="10" defaultColWidth="6.6640625" defaultRowHeight="15" x14ac:dyDescent="0.2"/>
  <cols>
    <col min="1" max="1" width="31.33203125" style="3" bestFit="1" customWidth="1"/>
    <col min="2" max="2" width="12.33203125" style="3" bestFit="1" customWidth="1"/>
    <col min="3" max="3" width="9.1640625" style="3" bestFit="1" customWidth="1"/>
    <col min="4" max="4" width="30.6640625" style="3" bestFit="1" customWidth="1"/>
    <col min="5" max="16384" width="6.6640625" style="3"/>
  </cols>
  <sheetData>
    <row r="1" spans="1:4" ht="27.75" customHeight="1" x14ac:dyDescent="0.2">
      <c r="A1" s="228" t="s">
        <v>222</v>
      </c>
      <c r="B1" s="224"/>
      <c r="C1" s="224"/>
      <c r="D1" s="224"/>
    </row>
    <row r="2" spans="1:4" ht="15.75" customHeight="1" x14ac:dyDescent="0.2">
      <c r="A2" s="225" t="s">
        <v>223</v>
      </c>
      <c r="B2" s="224"/>
      <c r="C2" s="224"/>
      <c r="D2" s="224"/>
    </row>
    <row r="3" spans="1:4" ht="6" customHeight="1" x14ac:dyDescent="0.2"/>
    <row r="4" spans="1:4" ht="21.75" customHeight="1" x14ac:dyDescent="0.2">
      <c r="A4" s="26" t="s">
        <v>224</v>
      </c>
      <c r="B4" s="26" t="s">
        <v>225</v>
      </c>
      <c r="C4" s="26" t="s">
        <v>226</v>
      </c>
      <c r="D4" s="26" t="s">
        <v>227</v>
      </c>
    </row>
    <row r="5" spans="1:4" ht="15" customHeight="1" x14ac:dyDescent="0.2">
      <c r="A5" s="17" t="s">
        <v>228</v>
      </c>
      <c r="B5" s="10">
        <v>58893</v>
      </c>
      <c r="C5" s="25">
        <v>0.45302307692307697</v>
      </c>
      <c r="D5" s="9" t="s">
        <v>229</v>
      </c>
    </row>
    <row r="6" spans="1:4" ht="15" customHeight="1" x14ac:dyDescent="0.2">
      <c r="A6" s="14" t="s">
        <v>230</v>
      </c>
      <c r="B6" s="15">
        <v>60895</v>
      </c>
      <c r="C6" s="21">
        <v>0.468423076923077</v>
      </c>
      <c r="D6" s="13" t="s">
        <v>231</v>
      </c>
    </row>
    <row r="7" spans="1:4" ht="15" customHeight="1" x14ac:dyDescent="0.2">
      <c r="A7" s="17" t="s">
        <v>232</v>
      </c>
      <c r="B7" s="10">
        <v>3500</v>
      </c>
      <c r="C7" s="25">
        <v>2.69230769230769E-2</v>
      </c>
      <c r="D7" s="9" t="s">
        <v>140</v>
      </c>
    </row>
    <row r="8" spans="1:4" ht="15" customHeight="1" x14ac:dyDescent="0.2">
      <c r="A8" s="14" t="s">
        <v>233</v>
      </c>
      <c r="B8" s="23">
        <v>6712</v>
      </c>
      <c r="C8" s="21">
        <v>5.1630769230769202E-2</v>
      </c>
      <c r="D8" s="13" t="s">
        <v>234</v>
      </c>
    </row>
    <row r="9" spans="1:4" ht="15" customHeight="1" x14ac:dyDescent="0.2">
      <c r="A9" s="7" t="s">
        <v>235</v>
      </c>
      <c r="B9" s="10">
        <v>130000</v>
      </c>
      <c r="C9" s="25">
        <v>1</v>
      </c>
      <c r="D9" s="9" t="s">
        <v>236</v>
      </c>
    </row>
    <row r="10" spans="1:4" ht="6" customHeight="1" x14ac:dyDescent="0.2"/>
    <row r="11" spans="1:4" ht="16.5" customHeight="1" x14ac:dyDescent="0.2">
      <c r="A11" s="4" t="s">
        <v>237</v>
      </c>
      <c r="B11" s="5"/>
      <c r="C11" s="5"/>
      <c r="D11" s="5"/>
    </row>
    <row r="12" spans="1:4" ht="21.75" customHeight="1" x14ac:dyDescent="0.2">
      <c r="A12" s="6" t="s">
        <v>238</v>
      </c>
      <c r="B12" s="6" t="s">
        <v>239</v>
      </c>
      <c r="C12" s="6" t="s">
        <v>240</v>
      </c>
      <c r="D12" s="6" t="s">
        <v>241</v>
      </c>
    </row>
    <row r="13" spans="1:4" ht="15" customHeight="1" x14ac:dyDescent="0.2">
      <c r="A13" s="17" t="s">
        <v>242</v>
      </c>
      <c r="B13" s="44">
        <v>0.55000000000000004</v>
      </c>
      <c r="C13" s="44">
        <v>1</v>
      </c>
      <c r="D13" s="44">
        <v>0.45</v>
      </c>
    </row>
    <row r="14" spans="1:4" ht="15" customHeight="1" x14ac:dyDescent="0.2">
      <c r="A14" s="14" t="s">
        <v>243</v>
      </c>
      <c r="B14" s="45">
        <v>0.45</v>
      </c>
      <c r="C14" s="45">
        <v>0</v>
      </c>
      <c r="D14" s="45">
        <v>-0.45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466C-ACF9-42C2-9296-C480CE4C1975}">
  <dimension ref="A1"/>
  <sheetViews>
    <sheetView showGridLines="0" workbookViewId="0">
      <selection sqref="A1:D1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D83A-803C-4C9C-82EE-9DA7431907FB}">
  <dimension ref="A1:G32"/>
  <sheetViews>
    <sheetView showGridLines="0" zoomScaleNormal="100" workbookViewId="0">
      <selection sqref="A1:D1"/>
    </sheetView>
  </sheetViews>
  <sheetFormatPr baseColWidth="10" defaultColWidth="6.6640625" defaultRowHeight="15" x14ac:dyDescent="0.2"/>
  <cols>
    <col min="1" max="1" width="42.83203125" style="3" bestFit="1" customWidth="1"/>
    <col min="2" max="2" width="12.6640625" style="3" bestFit="1" customWidth="1"/>
    <col min="3" max="3" width="49.1640625" style="3" bestFit="1" customWidth="1"/>
    <col min="4" max="4" width="2.33203125" style="3" customWidth="1"/>
    <col min="5" max="5" width="45.1640625" style="3" bestFit="1" customWidth="1"/>
    <col min="6" max="6" width="7.5" style="3" bestFit="1" customWidth="1"/>
    <col min="7" max="7" width="23.6640625" style="3" bestFit="1" customWidth="1"/>
    <col min="8" max="16384" width="6.6640625" style="3"/>
  </cols>
  <sheetData>
    <row r="1" spans="1:7" ht="27.75" customHeight="1" x14ac:dyDescent="0.2">
      <c r="A1" s="223" t="s">
        <v>244</v>
      </c>
      <c r="B1" s="224"/>
      <c r="C1" s="224"/>
      <c r="D1" s="224"/>
      <c r="E1" s="224"/>
      <c r="F1" s="224"/>
      <c r="G1" s="224"/>
    </row>
    <row r="2" spans="1:7" ht="15.75" customHeight="1" x14ac:dyDescent="0.2">
      <c r="A2" s="225" t="s">
        <v>1</v>
      </c>
      <c r="B2" s="224"/>
      <c r="C2" s="224"/>
      <c r="D2" s="224"/>
      <c r="E2" s="224"/>
      <c r="F2" s="224"/>
      <c r="G2" s="224"/>
    </row>
    <row r="3" spans="1:7" ht="6" customHeight="1" x14ac:dyDescent="0.2"/>
    <row r="4" spans="1:7" ht="16.5" customHeight="1" x14ac:dyDescent="0.2">
      <c r="A4" s="4" t="s">
        <v>120</v>
      </c>
      <c r="B4" s="5"/>
      <c r="C4" s="5"/>
      <c r="E4" s="4" t="s">
        <v>121</v>
      </c>
      <c r="F4" s="5"/>
      <c r="G4" s="5"/>
    </row>
    <row r="5" spans="1:7" ht="21.75" customHeight="1" x14ac:dyDescent="0.2">
      <c r="A5" s="6" t="s">
        <v>122</v>
      </c>
      <c r="B5" s="6" t="s">
        <v>123</v>
      </c>
      <c r="C5" s="6" t="s">
        <v>124</v>
      </c>
      <c r="E5" s="6" t="s">
        <v>122</v>
      </c>
      <c r="F5" s="6" t="s">
        <v>123</v>
      </c>
      <c r="G5" s="6" t="s">
        <v>124</v>
      </c>
    </row>
    <row r="6" spans="1:7" ht="15" customHeight="1" x14ac:dyDescent="0.2">
      <c r="A6" s="7" t="s">
        <v>125</v>
      </c>
      <c r="B6" s="8">
        <v>46.31</v>
      </c>
      <c r="C6" s="9" t="s">
        <v>126</v>
      </c>
      <c r="E6" s="7" t="s">
        <v>127</v>
      </c>
      <c r="F6" s="10">
        <v>130000</v>
      </c>
      <c r="G6" s="9" t="s">
        <v>128</v>
      </c>
    </row>
    <row r="7" spans="1:7" ht="15" customHeight="1" x14ac:dyDescent="0.2">
      <c r="A7" s="11" t="s">
        <v>129</v>
      </c>
      <c r="B7" s="12">
        <v>2868</v>
      </c>
      <c r="C7" s="13" t="s">
        <v>245</v>
      </c>
      <c r="E7" s="14" t="s">
        <v>131</v>
      </c>
      <c r="F7" s="15">
        <v>58893</v>
      </c>
      <c r="G7" s="13" t="s">
        <v>132</v>
      </c>
    </row>
    <row r="8" spans="1:7" ht="15" customHeight="1" x14ac:dyDescent="0.2">
      <c r="A8" s="7" t="s">
        <v>133</v>
      </c>
      <c r="B8" s="16">
        <v>132817.07999999999</v>
      </c>
      <c r="C8" s="9" t="s">
        <v>134</v>
      </c>
      <c r="E8" s="17" t="s">
        <v>135</v>
      </c>
      <c r="F8" s="10">
        <v>60895</v>
      </c>
      <c r="G8" s="9" t="s">
        <v>136</v>
      </c>
    </row>
    <row r="9" spans="1:7" ht="15" customHeight="1" x14ac:dyDescent="0.2">
      <c r="A9" s="11" t="s">
        <v>137</v>
      </c>
      <c r="B9" s="15">
        <v>45922</v>
      </c>
      <c r="C9" s="13" t="s">
        <v>138</v>
      </c>
      <c r="E9" s="14" t="s">
        <v>139</v>
      </c>
      <c r="F9" s="15">
        <v>3500</v>
      </c>
      <c r="G9" s="13" t="s">
        <v>140</v>
      </c>
    </row>
    <row r="10" spans="1:7" ht="15" customHeight="1" x14ac:dyDescent="0.2">
      <c r="A10" s="7" t="s">
        <v>141</v>
      </c>
      <c r="B10" s="16">
        <v>178739.08</v>
      </c>
      <c r="C10" s="9" t="s">
        <v>134</v>
      </c>
      <c r="E10" s="17" t="s">
        <v>142</v>
      </c>
      <c r="F10" s="16">
        <v>6712</v>
      </c>
      <c r="G10" s="9" t="s">
        <v>134</v>
      </c>
    </row>
    <row r="11" spans="1:7" ht="15" customHeight="1" x14ac:dyDescent="0.2">
      <c r="A11" s="14"/>
      <c r="C11" s="13"/>
      <c r="E11" s="14"/>
      <c r="G11" s="13"/>
    </row>
    <row r="12" spans="1:7" ht="15" customHeight="1" x14ac:dyDescent="0.2">
      <c r="A12" s="7" t="s">
        <v>246</v>
      </c>
      <c r="B12" s="10">
        <v>-2193</v>
      </c>
      <c r="C12" s="9" t="s">
        <v>247</v>
      </c>
      <c r="E12" s="7" t="s">
        <v>145</v>
      </c>
      <c r="F12" s="18">
        <v>1274</v>
      </c>
      <c r="G12" s="9" t="s">
        <v>146</v>
      </c>
    </row>
    <row r="13" spans="1:7" ht="15" customHeight="1" x14ac:dyDescent="0.2">
      <c r="A13" s="11" t="s">
        <v>248</v>
      </c>
      <c r="B13" s="15">
        <v>4894</v>
      </c>
      <c r="C13" s="13" t="s">
        <v>249</v>
      </c>
      <c r="E13" s="11" t="s">
        <v>149</v>
      </c>
      <c r="F13" s="19">
        <v>47.798273155415998</v>
      </c>
      <c r="G13" s="13" t="s">
        <v>150</v>
      </c>
    </row>
    <row r="14" spans="1:7" ht="15" customHeight="1" x14ac:dyDescent="0.2">
      <c r="A14" s="7" t="s">
        <v>250</v>
      </c>
      <c r="B14" s="10">
        <v>2549</v>
      </c>
      <c r="C14" s="9" t="s">
        <v>249</v>
      </c>
      <c r="E14" s="14"/>
      <c r="G14" s="13"/>
    </row>
    <row r="15" spans="1:7" ht="15" customHeight="1" x14ac:dyDescent="0.2">
      <c r="A15" s="11" t="s">
        <v>251</v>
      </c>
      <c r="B15" s="15">
        <v>2404</v>
      </c>
      <c r="C15" s="13" t="s">
        <v>249</v>
      </c>
      <c r="E15" s="7" t="s">
        <v>155</v>
      </c>
      <c r="F15" s="10">
        <v>49000</v>
      </c>
      <c r="G15" s="9" t="s">
        <v>156</v>
      </c>
    </row>
    <row r="16" spans="1:7" ht="15" customHeight="1" x14ac:dyDescent="0.2">
      <c r="A16" s="7" t="s">
        <v>252</v>
      </c>
      <c r="B16" s="10">
        <v>875</v>
      </c>
      <c r="C16" s="9" t="s">
        <v>253</v>
      </c>
      <c r="E16" s="11" t="s">
        <v>159</v>
      </c>
      <c r="F16" s="20">
        <v>5.5E-2</v>
      </c>
      <c r="G16" s="13" t="s">
        <v>160</v>
      </c>
    </row>
    <row r="17" spans="1:7" ht="15" customHeight="1" x14ac:dyDescent="0.2">
      <c r="A17" s="11" t="s">
        <v>254</v>
      </c>
      <c r="B17" s="21" t="s">
        <v>255</v>
      </c>
      <c r="C17" s="13" t="s">
        <v>256</v>
      </c>
      <c r="E17" s="7" t="s">
        <v>62</v>
      </c>
      <c r="F17" s="22">
        <v>0.2319</v>
      </c>
      <c r="G17" s="9" t="s">
        <v>257</v>
      </c>
    </row>
    <row r="18" spans="1:7" ht="15" customHeight="1" x14ac:dyDescent="0.2">
      <c r="A18" s="14"/>
      <c r="C18" s="13"/>
      <c r="E18" s="11" t="s">
        <v>164</v>
      </c>
      <c r="F18" s="23">
        <v>2070.0295000000001</v>
      </c>
      <c r="G18" s="13" t="s">
        <v>134</v>
      </c>
    </row>
    <row r="19" spans="1:7" ht="15" customHeight="1" x14ac:dyDescent="0.2">
      <c r="A19" s="7" t="s">
        <v>258</v>
      </c>
      <c r="B19" s="22">
        <v>5.5E-2</v>
      </c>
      <c r="C19" s="9" t="s">
        <v>259</v>
      </c>
      <c r="E19" s="14"/>
      <c r="G19" s="13"/>
    </row>
    <row r="20" spans="1:7" ht="15" customHeight="1" x14ac:dyDescent="0.2">
      <c r="A20" s="14" t="s">
        <v>260</v>
      </c>
      <c r="B20" s="21">
        <v>5.5E-2</v>
      </c>
      <c r="C20" s="13" t="s">
        <v>261</v>
      </c>
      <c r="E20" s="7" t="s">
        <v>168</v>
      </c>
      <c r="F20" s="10">
        <v>500</v>
      </c>
      <c r="G20" s="9" t="s">
        <v>169</v>
      </c>
    </row>
    <row r="21" spans="1:7" ht="15" customHeight="1" x14ac:dyDescent="0.2">
      <c r="A21" s="17" t="s">
        <v>262</v>
      </c>
      <c r="B21" s="25">
        <v>5.5E-2</v>
      </c>
      <c r="C21" s="9" t="s">
        <v>261</v>
      </c>
      <c r="E21" s="11" t="s">
        <v>170</v>
      </c>
      <c r="F21" s="15">
        <v>800</v>
      </c>
      <c r="G21" s="13" t="s">
        <v>171</v>
      </c>
    </row>
    <row r="22" spans="1:7" ht="15" customHeight="1" x14ac:dyDescent="0.2">
      <c r="A22" s="14"/>
      <c r="C22" s="13"/>
      <c r="E22" s="7" t="s">
        <v>174</v>
      </c>
      <c r="F22" s="10">
        <v>1200</v>
      </c>
      <c r="G22" s="9" t="s">
        <v>175</v>
      </c>
    </row>
    <row r="23" spans="1:7" ht="15" customHeight="1" x14ac:dyDescent="0.2">
      <c r="A23" s="11" t="s">
        <v>165</v>
      </c>
      <c r="B23" s="15">
        <v>11497</v>
      </c>
      <c r="C23" s="13" t="s">
        <v>158</v>
      </c>
    </row>
    <row r="24" spans="1:7" ht="15" customHeight="1" x14ac:dyDescent="0.2">
      <c r="A24" s="7" t="s">
        <v>167</v>
      </c>
      <c r="B24" s="31">
        <v>4.0087168758716896</v>
      </c>
      <c r="C24" s="9" t="s">
        <v>134</v>
      </c>
    </row>
    <row r="25" spans="1:7" ht="15" customHeight="1" x14ac:dyDescent="0.2">
      <c r="A25" s="14"/>
      <c r="C25" s="13"/>
    </row>
    <row r="26" spans="1:7" ht="15" customHeight="1" x14ac:dyDescent="0.2">
      <c r="A26" s="11" t="s">
        <v>178</v>
      </c>
      <c r="B26" s="15">
        <v>17800</v>
      </c>
      <c r="C26" s="13" t="s">
        <v>179</v>
      </c>
    </row>
    <row r="27" spans="1:7" ht="15" customHeight="1" x14ac:dyDescent="0.2">
      <c r="A27" s="7" t="s">
        <v>180</v>
      </c>
      <c r="B27" s="16">
        <v>18779</v>
      </c>
      <c r="C27" s="9" t="s">
        <v>263</v>
      </c>
    </row>
    <row r="28" spans="1:7" ht="15" customHeight="1" x14ac:dyDescent="0.2">
      <c r="A28" s="11" t="s">
        <v>182</v>
      </c>
      <c r="B28" s="23">
        <v>19811.845000000001</v>
      </c>
      <c r="C28" s="13" t="s">
        <v>263</v>
      </c>
    </row>
    <row r="29" spans="1:7" ht="37.5" customHeight="1" x14ac:dyDescent="0.2">
      <c r="A29" s="229" t="s">
        <v>264</v>
      </c>
      <c r="B29" s="224"/>
      <c r="C29" s="224"/>
    </row>
    <row r="30" spans="1:7" ht="6" customHeight="1" x14ac:dyDescent="0.2">
      <c r="A30" s="224"/>
      <c r="B30" s="224"/>
      <c r="C30" s="224"/>
    </row>
    <row r="31" spans="1:7" ht="6" customHeight="1" x14ac:dyDescent="0.2"/>
    <row r="32" spans="1:7" ht="15" customHeight="1" x14ac:dyDescent="0.2">
      <c r="A32" s="226" t="s">
        <v>183</v>
      </c>
      <c r="B32" s="224"/>
      <c r="C32" s="224"/>
      <c r="D32" s="224"/>
      <c r="E32" s="224"/>
      <c r="F32" s="224"/>
      <c r="G32" s="224"/>
    </row>
  </sheetData>
  <mergeCells count="4">
    <mergeCell ref="A32:G32"/>
    <mergeCell ref="A2:G2"/>
    <mergeCell ref="A1:G1"/>
    <mergeCell ref="A29:C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6EC5-2680-4189-A8EB-EF507D208E62}">
  <dimension ref="A1:G57"/>
  <sheetViews>
    <sheetView showGridLines="0" zoomScaleNormal="100" workbookViewId="0">
      <selection sqref="A1:D1"/>
    </sheetView>
  </sheetViews>
  <sheetFormatPr baseColWidth="10" defaultColWidth="6.6640625" defaultRowHeight="15" x14ac:dyDescent="0.2"/>
  <cols>
    <col min="1" max="1" width="41.33203125" style="3" bestFit="1" customWidth="1"/>
    <col min="2" max="4" width="14" style="3" bestFit="1" customWidth="1"/>
    <col min="5" max="7" width="5.33203125" style="3" bestFit="1" customWidth="1"/>
    <col min="8" max="16384" width="6.6640625" style="3"/>
  </cols>
  <sheetData>
    <row r="1" spans="1:5" ht="27.75" customHeight="1" x14ac:dyDescent="0.2">
      <c r="A1" s="223" t="s">
        <v>265</v>
      </c>
      <c r="B1" s="224"/>
      <c r="C1" s="224"/>
      <c r="D1" s="224"/>
      <c r="E1" s="224"/>
    </row>
    <row r="2" spans="1:5" ht="15.75" customHeight="1" x14ac:dyDescent="0.2">
      <c r="A2" s="225" t="s">
        <v>266</v>
      </c>
      <c r="B2" s="224"/>
      <c r="C2" s="224"/>
      <c r="D2" s="224"/>
      <c r="E2" s="224"/>
    </row>
    <row r="3" spans="1:5" ht="6" customHeight="1" x14ac:dyDescent="0.2"/>
    <row r="4" spans="1:5" ht="21.75" customHeight="1" x14ac:dyDescent="0.2">
      <c r="A4" s="26" t="s">
        <v>186</v>
      </c>
      <c r="B4" s="26" t="s">
        <v>187</v>
      </c>
      <c r="C4" s="26" t="s">
        <v>188</v>
      </c>
      <c r="D4" s="26" t="s">
        <v>189</v>
      </c>
    </row>
    <row r="5" spans="1:5" ht="16.5" customHeight="1" x14ac:dyDescent="0.2">
      <c r="A5" s="4" t="s">
        <v>190</v>
      </c>
      <c r="B5" s="5"/>
      <c r="C5" s="5"/>
      <c r="D5" s="5"/>
    </row>
    <row r="6" spans="1:5" ht="15" customHeight="1" x14ac:dyDescent="0.2">
      <c r="A6" s="17" t="s">
        <v>191</v>
      </c>
      <c r="B6" s="27">
        <v>2868</v>
      </c>
      <c r="C6" s="27">
        <v>2868</v>
      </c>
      <c r="D6" s="27">
        <v>2868</v>
      </c>
    </row>
    <row r="7" spans="1:5" ht="15" customHeight="1" x14ac:dyDescent="0.2">
      <c r="A7" s="14" t="s">
        <v>192</v>
      </c>
      <c r="B7" s="28">
        <v>1274</v>
      </c>
      <c r="C7" s="28">
        <v>1274</v>
      </c>
      <c r="D7" s="28">
        <v>1274</v>
      </c>
    </row>
    <row r="8" spans="1:5" ht="15" customHeight="1" x14ac:dyDescent="0.2">
      <c r="A8" s="7" t="s">
        <v>193</v>
      </c>
      <c r="B8" s="29">
        <v>4142</v>
      </c>
      <c r="C8" s="29">
        <v>4142</v>
      </c>
      <c r="D8" s="29">
        <v>4142</v>
      </c>
    </row>
    <row r="9" spans="1:5" ht="6" customHeight="1" x14ac:dyDescent="0.2"/>
    <row r="10" spans="1:5" ht="16.5" customHeight="1" x14ac:dyDescent="0.2">
      <c r="A10" s="4" t="s">
        <v>194</v>
      </c>
      <c r="B10" s="5"/>
      <c r="C10" s="5"/>
      <c r="D10" s="5"/>
    </row>
    <row r="11" spans="1:5" ht="15" customHeight="1" x14ac:dyDescent="0.2">
      <c r="A11" s="17" t="s">
        <v>195</v>
      </c>
      <c r="B11" s="30">
        <v>11497</v>
      </c>
      <c r="C11" s="30">
        <v>12129.334999999999</v>
      </c>
      <c r="D11" s="30">
        <v>12796.448425</v>
      </c>
    </row>
    <row r="12" spans="1:5" ht="15" customHeight="1" x14ac:dyDescent="0.2">
      <c r="A12" s="14" t="s">
        <v>191</v>
      </c>
      <c r="B12" s="28">
        <v>2868</v>
      </c>
      <c r="C12" s="28">
        <v>2868</v>
      </c>
      <c r="D12" s="28">
        <v>2868</v>
      </c>
    </row>
    <row r="13" spans="1:5" ht="15" customHeight="1" x14ac:dyDescent="0.2">
      <c r="A13" s="7" t="s">
        <v>196</v>
      </c>
      <c r="B13" s="31">
        <v>4.0087168758716896</v>
      </c>
      <c r="C13" s="31">
        <v>4.2291963040446303</v>
      </c>
      <c r="D13" s="31">
        <v>4.4618021007670903</v>
      </c>
    </row>
    <row r="14" spans="1:5" ht="6" customHeight="1" x14ac:dyDescent="0.2"/>
    <row r="15" spans="1:5" ht="16.5" customHeight="1" x14ac:dyDescent="0.2">
      <c r="A15" s="4" t="s">
        <v>197</v>
      </c>
      <c r="B15" s="5"/>
      <c r="C15" s="5"/>
      <c r="D15" s="5"/>
    </row>
    <row r="16" spans="1:5" ht="15" customHeight="1" x14ac:dyDescent="0.2">
      <c r="A16" s="17" t="s">
        <v>195</v>
      </c>
      <c r="B16" s="16">
        <v>11497</v>
      </c>
      <c r="C16" s="16">
        <v>12129.334999999999</v>
      </c>
      <c r="D16" s="16">
        <v>12796.448425</v>
      </c>
    </row>
    <row r="17" spans="1:4" ht="15" customHeight="1" x14ac:dyDescent="0.2">
      <c r="A17" s="14" t="s">
        <v>198</v>
      </c>
      <c r="B17" s="32">
        <v>6303</v>
      </c>
      <c r="C17" s="32">
        <v>6649.665</v>
      </c>
      <c r="D17" s="32">
        <v>7015.3965749999998</v>
      </c>
    </row>
    <row r="18" spans="1:4" ht="15" customHeight="1" x14ac:dyDescent="0.2">
      <c r="A18" s="17" t="s">
        <v>199</v>
      </c>
      <c r="B18" s="30">
        <v>-2070.0295000000001</v>
      </c>
      <c r="C18" s="30">
        <v>-2070.0295000000001</v>
      </c>
      <c r="D18" s="30">
        <v>-2070.0295000000001</v>
      </c>
    </row>
    <row r="19" spans="1:4" ht="15" customHeight="1" x14ac:dyDescent="0.2">
      <c r="A19" s="14" t="s">
        <v>200</v>
      </c>
      <c r="B19" s="32">
        <v>384.05</v>
      </c>
      <c r="C19" s="32">
        <v>422.45499999999998</v>
      </c>
      <c r="D19" s="32">
        <v>460.86</v>
      </c>
    </row>
    <row r="20" spans="1:4" ht="15" customHeight="1" x14ac:dyDescent="0.2">
      <c r="A20" s="17" t="s">
        <v>201</v>
      </c>
      <c r="B20" s="30">
        <v>-800</v>
      </c>
      <c r="C20" s="30">
        <v>-800</v>
      </c>
      <c r="D20" s="30">
        <v>-800</v>
      </c>
    </row>
    <row r="21" spans="1:4" ht="15" customHeight="1" x14ac:dyDescent="0.2">
      <c r="A21" s="14" t="s">
        <v>202</v>
      </c>
      <c r="B21" s="32">
        <v>-1200</v>
      </c>
      <c r="C21" s="23">
        <v>0</v>
      </c>
      <c r="D21" s="23">
        <v>0</v>
      </c>
    </row>
    <row r="22" spans="1:4" ht="15" customHeight="1" x14ac:dyDescent="0.2">
      <c r="A22" s="7" t="s">
        <v>203</v>
      </c>
      <c r="B22" s="16">
        <v>14114.020500000001</v>
      </c>
      <c r="C22" s="16">
        <v>16331.425499999999</v>
      </c>
      <c r="D22" s="16">
        <v>17402.675500000001</v>
      </c>
    </row>
    <row r="23" spans="1:4" ht="6" customHeight="1" x14ac:dyDescent="0.2"/>
    <row r="24" spans="1:4" ht="16.5" customHeight="1" x14ac:dyDescent="0.2">
      <c r="A24" s="4" t="s">
        <v>204</v>
      </c>
      <c r="B24" s="5"/>
      <c r="C24" s="5"/>
      <c r="D24" s="5"/>
    </row>
    <row r="25" spans="1:4" ht="15" customHeight="1" x14ac:dyDescent="0.2">
      <c r="A25" s="17" t="s">
        <v>205</v>
      </c>
      <c r="B25" s="16">
        <v>14114.020500000001</v>
      </c>
      <c r="C25" s="16">
        <v>16331.425499999999</v>
      </c>
      <c r="D25" s="16">
        <v>17402.675500000001</v>
      </c>
    </row>
    <row r="26" spans="1:4" ht="15" customHeight="1" x14ac:dyDescent="0.2">
      <c r="A26" s="14" t="s">
        <v>193</v>
      </c>
      <c r="B26" s="33">
        <v>4142</v>
      </c>
      <c r="C26" s="33">
        <v>4142</v>
      </c>
      <c r="D26" s="33">
        <v>4142</v>
      </c>
    </row>
    <row r="27" spans="1:4" ht="15" customHeight="1" x14ac:dyDescent="0.2">
      <c r="A27" s="7" t="s">
        <v>206</v>
      </c>
      <c r="B27" s="31">
        <v>3.40753754225012</v>
      </c>
      <c r="C27" s="31">
        <v>3.9428839932399802</v>
      </c>
      <c r="D27" s="31">
        <v>4.2015150893288302</v>
      </c>
    </row>
    <row r="28" spans="1:4" ht="15" customHeight="1" x14ac:dyDescent="0.2">
      <c r="A28" s="14"/>
      <c r="B28" s="34"/>
      <c r="C28" s="34"/>
      <c r="D28" s="34"/>
    </row>
    <row r="29" spans="1:4" ht="15" customHeight="1" x14ac:dyDescent="0.2">
      <c r="A29" s="17" t="s">
        <v>207</v>
      </c>
      <c r="B29" s="31">
        <v>4.0087168758716896</v>
      </c>
      <c r="C29" s="31">
        <v>4.2291963040446303</v>
      </c>
      <c r="D29" s="31">
        <v>4.4618021007670903</v>
      </c>
    </row>
    <row r="30" spans="1:4" ht="15" customHeight="1" x14ac:dyDescent="0.2">
      <c r="A30" s="14" t="s">
        <v>208</v>
      </c>
      <c r="B30" s="24">
        <v>3.40753754225012</v>
      </c>
      <c r="C30" s="24">
        <v>3.9428839932399802</v>
      </c>
      <c r="D30" s="24">
        <v>4.2015150893288302</v>
      </c>
    </row>
    <row r="31" spans="1:4" ht="15" customHeight="1" x14ac:dyDescent="0.2">
      <c r="A31" s="7" t="s">
        <v>209</v>
      </c>
      <c r="B31" s="53">
        <v>-0.60117933362156695</v>
      </c>
      <c r="C31" s="53">
        <v>-0.28631231080464897</v>
      </c>
      <c r="D31" s="53">
        <v>-0.260287011438259</v>
      </c>
    </row>
    <row r="32" spans="1:4" ht="15" customHeight="1" x14ac:dyDescent="0.2">
      <c r="A32" s="7" t="s">
        <v>210</v>
      </c>
      <c r="B32" s="52">
        <v>-0.149968020251079</v>
      </c>
      <c r="C32" s="52">
        <v>-6.7698988228763898E-2</v>
      </c>
      <c r="D32" s="52">
        <v>-5.8336745010162998E-2</v>
      </c>
    </row>
    <row r="33" spans="1:7" ht="6" customHeight="1" x14ac:dyDescent="0.2"/>
    <row r="34" spans="1:7" ht="15" customHeight="1" x14ac:dyDescent="0.2">
      <c r="A34" s="226" t="s">
        <v>267</v>
      </c>
      <c r="B34" s="224"/>
      <c r="C34" s="224"/>
      <c r="D34" s="224"/>
      <c r="E34" s="224"/>
    </row>
    <row r="35" spans="1:7" x14ac:dyDescent="0.2">
      <c r="A35" s="228" t="s">
        <v>211</v>
      </c>
      <c r="B35" s="224"/>
      <c r="C35" s="224"/>
      <c r="D35" s="224"/>
      <c r="E35" s="224"/>
      <c r="F35" s="224"/>
      <c r="G35" s="224"/>
    </row>
    <row r="36" spans="1:7" x14ac:dyDescent="0.2">
      <c r="A36" s="225" t="s">
        <v>268</v>
      </c>
      <c r="B36" s="224"/>
      <c r="C36" s="224"/>
      <c r="D36" s="224"/>
      <c r="E36" s="224"/>
      <c r="F36" s="224"/>
      <c r="G36" s="224"/>
    </row>
    <row r="38" spans="1:7" x14ac:dyDescent="0.2">
      <c r="A38" s="227" t="s">
        <v>269</v>
      </c>
      <c r="B38" s="224"/>
      <c r="C38" s="224"/>
      <c r="D38" s="224"/>
      <c r="E38" s="224"/>
      <c r="F38" s="224"/>
      <c r="G38" s="224"/>
    </row>
    <row r="39" spans="1:7" ht="26" x14ac:dyDescent="0.2">
      <c r="A39" s="6" t="s">
        <v>270</v>
      </c>
      <c r="B39" s="6" t="s">
        <v>271</v>
      </c>
      <c r="C39" s="6" t="s">
        <v>272</v>
      </c>
      <c r="D39" s="6" t="s">
        <v>273</v>
      </c>
      <c r="E39" s="6" t="s">
        <v>274</v>
      </c>
      <c r="F39" s="6" t="s">
        <v>275</v>
      </c>
      <c r="G39" s="6" t="s">
        <v>276</v>
      </c>
    </row>
    <row r="40" spans="1:7" x14ac:dyDescent="0.2">
      <c r="A40" s="37">
        <v>0</v>
      </c>
      <c r="B40" s="51">
        <v>3.8662458957025598</v>
      </c>
      <c r="C40" s="51">
        <v>3.95520292129406</v>
      </c>
      <c r="D40" s="51">
        <v>4.0902500000000002</v>
      </c>
      <c r="E40" s="51">
        <v>4.2272309270883603</v>
      </c>
      <c r="F40" s="51">
        <v>4.4128803718010596</v>
      </c>
      <c r="G40" s="51">
        <v>4.6019677691936298</v>
      </c>
    </row>
    <row r="41" spans="1:7" x14ac:dyDescent="0.2">
      <c r="A41" s="37">
        <v>250</v>
      </c>
      <c r="B41" s="51">
        <v>3.92187844036697</v>
      </c>
      <c r="C41" s="51">
        <v>4.01083546595848</v>
      </c>
      <c r="D41" s="51">
        <v>4.1458825446644099</v>
      </c>
      <c r="E41" s="51">
        <v>4.2828634717527798</v>
      </c>
      <c r="F41" s="51">
        <v>4.46851291646548</v>
      </c>
      <c r="G41" s="51">
        <v>4.6576003138580404</v>
      </c>
    </row>
    <row r="42" spans="1:7" x14ac:dyDescent="0.2">
      <c r="A42" s="37">
        <v>500</v>
      </c>
      <c r="B42" s="51">
        <v>3.9775109850313899</v>
      </c>
      <c r="C42" s="51">
        <v>4.0664680106228897</v>
      </c>
      <c r="D42" s="51">
        <v>4.2015150893288302</v>
      </c>
      <c r="E42" s="51">
        <v>4.3384960164171904</v>
      </c>
      <c r="F42" s="51">
        <v>4.5241454611298897</v>
      </c>
      <c r="G42" s="51">
        <v>4.7132328585224501</v>
      </c>
    </row>
    <row r="43" spans="1:7" x14ac:dyDescent="0.2">
      <c r="A43" s="37">
        <v>750</v>
      </c>
      <c r="B43" s="51">
        <v>4.0331435296958</v>
      </c>
      <c r="C43" s="51">
        <v>4.1221005552873002</v>
      </c>
      <c r="D43" s="51">
        <v>4.2571476339932399</v>
      </c>
      <c r="E43" s="51">
        <v>4.3941285610816001</v>
      </c>
      <c r="F43" s="51">
        <v>4.5797780057943003</v>
      </c>
      <c r="G43" s="51">
        <v>4.7688654031868696</v>
      </c>
    </row>
    <row r="44" spans="1:7" x14ac:dyDescent="0.2">
      <c r="A44" s="37">
        <v>1000</v>
      </c>
      <c r="B44" s="51">
        <v>4.0887760743602097</v>
      </c>
      <c r="C44" s="51">
        <v>4.1777330999517197</v>
      </c>
      <c r="D44" s="51">
        <v>4.3127801786576496</v>
      </c>
      <c r="E44" s="51">
        <v>4.4497611057460196</v>
      </c>
      <c r="F44" s="51">
        <v>4.6354105504587197</v>
      </c>
      <c r="G44" s="51">
        <v>4.8244979478512802</v>
      </c>
    </row>
    <row r="45" spans="1:7" x14ac:dyDescent="0.2">
      <c r="A45" s="37">
        <v>1500</v>
      </c>
      <c r="B45" s="50">
        <v>4.2000411636890398</v>
      </c>
      <c r="C45" s="50">
        <v>4.28899818928054</v>
      </c>
      <c r="D45" s="50">
        <v>4.4240452679864797</v>
      </c>
      <c r="E45" s="50">
        <v>4.5610261950748399</v>
      </c>
      <c r="F45" s="50">
        <v>4.74667563978754</v>
      </c>
      <c r="G45" s="50">
        <v>4.9357630371801102</v>
      </c>
    </row>
    <row r="46" spans="1:7" x14ac:dyDescent="0.2">
      <c r="A46" s="37">
        <v>2000</v>
      </c>
      <c r="B46" s="50">
        <v>4.3113062530178698</v>
      </c>
      <c r="C46" s="50">
        <v>4.4002632786093701</v>
      </c>
      <c r="D46" s="50">
        <v>4.5353103573153097</v>
      </c>
      <c r="E46" s="50">
        <v>4.6722912844036699</v>
      </c>
      <c r="F46" s="50">
        <v>4.8579407291163701</v>
      </c>
      <c r="G46" s="49">
        <v>5.0470281265089296</v>
      </c>
    </row>
    <row r="48" spans="1:7" x14ac:dyDescent="0.2">
      <c r="A48" s="227" t="s">
        <v>221</v>
      </c>
      <c r="B48" s="224"/>
      <c r="C48" s="224"/>
      <c r="D48" s="224"/>
      <c r="E48" s="224"/>
      <c r="F48" s="224"/>
      <c r="G48" s="224"/>
    </row>
    <row r="49" spans="1:7" ht="26" x14ac:dyDescent="0.2">
      <c r="A49" s="6" t="s">
        <v>270</v>
      </c>
      <c r="B49" s="6" t="s">
        <v>271</v>
      </c>
      <c r="C49" s="6" t="s">
        <v>272</v>
      </c>
      <c r="D49" s="6" t="s">
        <v>273</v>
      </c>
      <c r="E49" s="6" t="s">
        <v>274</v>
      </c>
      <c r="F49" s="6" t="s">
        <v>275</v>
      </c>
      <c r="G49" s="6" t="s">
        <v>276</v>
      </c>
    </row>
    <row r="50" spans="1:7" x14ac:dyDescent="0.2">
      <c r="A50" s="37">
        <v>0</v>
      </c>
      <c r="B50" s="48">
        <v>-9.0904227502484197E-2</v>
      </c>
      <c r="C50" s="48">
        <v>-8.7786055274053407E-2</v>
      </c>
      <c r="D50" s="48">
        <v>-8.3273998347709696E-2</v>
      </c>
      <c r="E50" s="48">
        <v>-7.8950367561096094E-2</v>
      </c>
      <c r="F50" s="48">
        <v>-7.3460851281496098E-2</v>
      </c>
      <c r="G50" s="48">
        <v>-6.8265384112100799E-2</v>
      </c>
    </row>
    <row r="51" spans="1:7" x14ac:dyDescent="0.2">
      <c r="A51" s="37">
        <v>250</v>
      </c>
      <c r="B51" s="48">
        <v>-7.7822982146643405E-2</v>
      </c>
      <c r="C51" s="48">
        <v>-7.4955162894235206E-2</v>
      </c>
      <c r="D51" s="48">
        <v>-7.0805371678936302E-2</v>
      </c>
      <c r="E51" s="48">
        <v>-6.6828878175113599E-2</v>
      </c>
      <c r="F51" s="48">
        <v>-6.1780106228039797E-2</v>
      </c>
      <c r="G51" s="48">
        <v>-5.7001774666429701E-2</v>
      </c>
    </row>
    <row r="52" spans="1:7" x14ac:dyDescent="0.2">
      <c r="A52" s="37">
        <v>500</v>
      </c>
      <c r="B52" s="48">
        <v>-6.4741736790802598E-2</v>
      </c>
      <c r="C52" s="48">
        <v>-6.21242705144169E-2</v>
      </c>
      <c r="D52" s="48">
        <v>-5.8336745010162998E-2</v>
      </c>
      <c r="E52" s="48">
        <v>-5.4707388789130798E-2</v>
      </c>
      <c r="F52" s="48">
        <v>-5.0099361174583502E-2</v>
      </c>
      <c r="G52" s="48">
        <v>-4.5738165220758499E-2</v>
      </c>
    </row>
    <row r="53" spans="1:7" x14ac:dyDescent="0.2">
      <c r="A53" s="37">
        <v>750</v>
      </c>
      <c r="B53" s="48">
        <v>-5.1660491434961903E-2</v>
      </c>
      <c r="C53" s="48">
        <v>-4.9293378134598498E-2</v>
      </c>
      <c r="D53" s="48">
        <v>-4.5868118341389701E-2</v>
      </c>
      <c r="E53" s="48">
        <v>-4.2585899403148303E-2</v>
      </c>
      <c r="F53" s="48">
        <v>-3.8418616121127298E-2</v>
      </c>
      <c r="G53" s="48">
        <v>-3.44745557750872E-2</v>
      </c>
    </row>
    <row r="54" spans="1:7" x14ac:dyDescent="0.2">
      <c r="A54" s="37">
        <v>1000</v>
      </c>
      <c r="B54" s="48">
        <v>-3.85792460791212E-2</v>
      </c>
      <c r="C54" s="48">
        <v>-3.6462485754780297E-2</v>
      </c>
      <c r="D54" s="48">
        <v>-3.3399491672616202E-2</v>
      </c>
      <c r="E54" s="48">
        <v>-3.04644100171657E-2</v>
      </c>
      <c r="F54" s="48">
        <v>-2.6737871067670799E-2</v>
      </c>
      <c r="G54" s="48">
        <v>-2.3210946329416102E-2</v>
      </c>
    </row>
    <row r="55" spans="1:7" x14ac:dyDescent="0.2">
      <c r="A55" s="37">
        <v>1500</v>
      </c>
      <c r="B55" s="47">
        <v>-1.2416755367439801E-2</v>
      </c>
      <c r="C55" s="47">
        <v>-1.0800700995143801E-2</v>
      </c>
      <c r="D55" s="47">
        <v>-8.46223833506979E-3</v>
      </c>
      <c r="E55" s="47">
        <v>-6.2214312452006501E-3</v>
      </c>
      <c r="F55" s="47">
        <v>-3.3763809607583999E-3</v>
      </c>
      <c r="G55" s="47">
        <v>-6.8372743807380702E-4</v>
      </c>
    </row>
    <row r="56" spans="1:7" x14ac:dyDescent="0.2">
      <c r="A56" s="37">
        <v>2000</v>
      </c>
      <c r="B56" s="47">
        <v>1.3745735344241601E-2</v>
      </c>
      <c r="C56" s="47">
        <v>1.4861083764492499E-2</v>
      </c>
      <c r="D56" s="47">
        <v>1.6475015002476799E-2</v>
      </c>
      <c r="E56" s="47">
        <v>1.8021547526764398E-2</v>
      </c>
      <c r="F56" s="47">
        <v>1.9985109146154201E-2</v>
      </c>
      <c r="G56" s="46">
        <v>2.1843491453268301E-2</v>
      </c>
    </row>
    <row r="57" spans="1:7" x14ac:dyDescent="0.2">
      <c r="A57" s="226" t="s">
        <v>277</v>
      </c>
      <c r="B57" s="224"/>
      <c r="C57" s="224"/>
      <c r="D57" s="224"/>
      <c r="E57" s="224"/>
      <c r="F57" s="224"/>
      <c r="G57" s="224"/>
    </row>
  </sheetData>
  <mergeCells count="8">
    <mergeCell ref="A57:G57"/>
    <mergeCell ref="A2:E2"/>
    <mergeCell ref="A34:E34"/>
    <mergeCell ref="A1:E1"/>
    <mergeCell ref="A48:G48"/>
    <mergeCell ref="A35:G35"/>
    <mergeCell ref="A38:G38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8EDA-539C-452A-9315-DD67243EF1A3}">
  <dimension ref="A1:D14"/>
  <sheetViews>
    <sheetView showGridLines="0" zoomScaleNormal="100" workbookViewId="0">
      <selection activeCell="E2" sqref="E2"/>
    </sheetView>
  </sheetViews>
  <sheetFormatPr baseColWidth="10" defaultColWidth="6.6640625" defaultRowHeight="15" x14ac:dyDescent="0.2"/>
  <cols>
    <col min="1" max="1" width="34.1640625" style="3" customWidth="1"/>
    <col min="2" max="2" width="14" style="3" customWidth="1"/>
    <col min="3" max="3" width="12.5" style="3" customWidth="1"/>
    <col min="4" max="4" width="29.5" style="3" customWidth="1"/>
    <col min="5" max="16384" width="6.6640625" style="3"/>
  </cols>
  <sheetData>
    <row r="1" spans="1:4" ht="27.75" customHeight="1" x14ac:dyDescent="0.2">
      <c r="A1" s="228" t="s">
        <v>222</v>
      </c>
      <c r="B1" s="224"/>
      <c r="C1" s="224"/>
      <c r="D1" s="224"/>
    </row>
    <row r="2" spans="1:4" ht="15.75" customHeight="1" x14ac:dyDescent="0.2">
      <c r="A2" s="225" t="s">
        <v>223</v>
      </c>
      <c r="B2" s="224"/>
      <c r="C2" s="224"/>
      <c r="D2" s="224"/>
    </row>
    <row r="3" spans="1:4" ht="6" customHeight="1" x14ac:dyDescent="0.2"/>
    <row r="4" spans="1:4" ht="21.75" customHeight="1" x14ac:dyDescent="0.2">
      <c r="A4" s="26" t="s">
        <v>224</v>
      </c>
      <c r="B4" s="26" t="s">
        <v>225</v>
      </c>
      <c r="C4" s="26" t="s">
        <v>226</v>
      </c>
      <c r="D4" s="26" t="s">
        <v>227</v>
      </c>
    </row>
    <row r="5" spans="1:4" ht="15" customHeight="1" x14ac:dyDescent="0.2">
      <c r="A5" s="17" t="s">
        <v>228</v>
      </c>
      <c r="B5" s="10">
        <v>58893</v>
      </c>
      <c r="C5" s="25">
        <v>0.45302307692307697</v>
      </c>
      <c r="D5" s="9" t="s">
        <v>278</v>
      </c>
    </row>
    <row r="6" spans="1:4" ht="15" customHeight="1" x14ac:dyDescent="0.2">
      <c r="A6" s="14" t="s">
        <v>230</v>
      </c>
      <c r="B6" s="15">
        <v>60895</v>
      </c>
      <c r="C6" s="21">
        <v>0.468423076923077</v>
      </c>
      <c r="D6" s="13" t="s">
        <v>279</v>
      </c>
    </row>
    <row r="7" spans="1:4" ht="15" customHeight="1" x14ac:dyDescent="0.2">
      <c r="A7" s="17" t="s">
        <v>232</v>
      </c>
      <c r="B7" s="10">
        <v>3500</v>
      </c>
      <c r="C7" s="25">
        <v>2.69230769230769E-2</v>
      </c>
      <c r="D7" s="9" t="s">
        <v>140</v>
      </c>
    </row>
    <row r="8" spans="1:4" ht="15" customHeight="1" x14ac:dyDescent="0.2">
      <c r="A8" s="14" t="s">
        <v>233</v>
      </c>
      <c r="B8" s="23">
        <v>6712</v>
      </c>
      <c r="C8" s="21">
        <v>5.1630769230769202E-2</v>
      </c>
      <c r="D8" s="13" t="s">
        <v>280</v>
      </c>
    </row>
    <row r="9" spans="1:4" ht="15" customHeight="1" x14ac:dyDescent="0.2">
      <c r="A9" s="7" t="s">
        <v>235</v>
      </c>
      <c r="B9" s="10">
        <v>130000</v>
      </c>
      <c r="C9" s="25">
        <v>1</v>
      </c>
      <c r="D9" s="9" t="s">
        <v>236</v>
      </c>
    </row>
    <row r="10" spans="1:4" ht="6" customHeight="1" x14ac:dyDescent="0.2"/>
    <row r="11" spans="1:4" ht="16.5" customHeight="1" x14ac:dyDescent="0.2">
      <c r="A11" s="4" t="s">
        <v>237</v>
      </c>
      <c r="B11" s="5"/>
      <c r="C11" s="5"/>
      <c r="D11" s="5"/>
    </row>
    <row r="12" spans="1:4" ht="21.75" customHeight="1" x14ac:dyDescent="0.2">
      <c r="A12" s="6" t="s">
        <v>238</v>
      </c>
      <c r="B12" s="6" t="s">
        <v>281</v>
      </c>
      <c r="C12" s="6" t="s">
        <v>282</v>
      </c>
      <c r="D12" s="6" t="s">
        <v>241</v>
      </c>
    </row>
    <row r="13" spans="1:4" ht="15" customHeight="1" x14ac:dyDescent="0.2">
      <c r="A13" s="17" t="s">
        <v>242</v>
      </c>
      <c r="B13" s="44">
        <v>0.55000000000000004</v>
      </c>
      <c r="C13" s="44">
        <v>1</v>
      </c>
      <c r="D13" s="44">
        <v>0.45</v>
      </c>
    </row>
    <row r="14" spans="1:4" ht="15" customHeight="1" x14ac:dyDescent="0.2">
      <c r="A14" s="14" t="s">
        <v>243</v>
      </c>
      <c r="B14" s="45">
        <v>0.45</v>
      </c>
      <c r="C14" s="45">
        <v>0</v>
      </c>
      <c r="D14" s="45">
        <v>-0.45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151E-1139-4590-AE60-F88D52943CC6}">
  <sheetPr>
    <tabColor theme="0"/>
  </sheetPr>
  <dimension ref="A1:Y3"/>
  <sheetViews>
    <sheetView showGridLines="0" workbookViewId="0">
      <selection sqref="A1:Y3"/>
    </sheetView>
  </sheetViews>
  <sheetFormatPr baseColWidth="10" defaultColWidth="8.83203125" defaultRowHeight="16" x14ac:dyDescent="0.2"/>
  <sheetData>
    <row r="1" spans="1:25" ht="15.75" customHeight="1" x14ac:dyDescent="0.2">
      <c r="A1" s="219" t="s">
        <v>283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2" spans="1:25" x14ac:dyDescent="0.2">
      <c r="A2" s="219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5" x14ac:dyDescent="0.2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</row>
  </sheetData>
  <mergeCells count="1">
    <mergeCell ref="A1: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D141-2815-4B80-9CFB-169F2D530FBA}">
  <dimension ref="A1:G32"/>
  <sheetViews>
    <sheetView showGridLines="0" zoomScaleNormal="100" workbookViewId="0">
      <selection activeCell="K42" sqref="K42"/>
    </sheetView>
  </sheetViews>
  <sheetFormatPr baseColWidth="10" defaultColWidth="6.6640625" defaultRowHeight="15" x14ac:dyDescent="0.2"/>
  <cols>
    <col min="1" max="1" width="42.83203125" style="3" bestFit="1" customWidth="1"/>
    <col min="2" max="2" width="12.6640625" style="3" bestFit="1" customWidth="1"/>
    <col min="3" max="3" width="49.1640625" style="3" bestFit="1" customWidth="1"/>
    <col min="4" max="4" width="2.33203125" style="3" customWidth="1"/>
    <col min="5" max="5" width="45.1640625" style="3" bestFit="1" customWidth="1"/>
    <col min="6" max="6" width="7.5" style="3" bestFit="1" customWidth="1"/>
    <col min="7" max="7" width="23.6640625" style="3" bestFit="1" customWidth="1"/>
    <col min="8" max="16384" width="6.6640625" style="3"/>
  </cols>
  <sheetData>
    <row r="1" spans="1:7" ht="27.75" customHeight="1" x14ac:dyDescent="0.2">
      <c r="A1" s="223" t="s">
        <v>244</v>
      </c>
      <c r="B1" s="224"/>
      <c r="C1" s="224"/>
      <c r="D1" s="224"/>
      <c r="E1" s="224"/>
      <c r="F1" s="224"/>
      <c r="G1" s="224"/>
    </row>
    <row r="2" spans="1:7" ht="15.75" customHeight="1" x14ac:dyDescent="0.2">
      <c r="A2" s="225" t="s">
        <v>1</v>
      </c>
      <c r="B2" s="224"/>
      <c r="C2" s="224"/>
      <c r="D2" s="224"/>
      <c r="E2" s="224"/>
      <c r="F2" s="224"/>
      <c r="G2" s="224"/>
    </row>
    <row r="3" spans="1:7" ht="6" customHeight="1" x14ac:dyDescent="0.2"/>
    <row r="4" spans="1:7" ht="16.5" customHeight="1" x14ac:dyDescent="0.2">
      <c r="A4" s="4" t="s">
        <v>120</v>
      </c>
      <c r="B4" s="5"/>
      <c r="C4" s="5"/>
      <c r="E4" s="4" t="s">
        <v>121</v>
      </c>
      <c r="F4" s="5"/>
      <c r="G4" s="5"/>
    </row>
    <row r="5" spans="1:7" ht="21.75" customHeight="1" x14ac:dyDescent="0.2">
      <c r="A5" s="6" t="s">
        <v>122</v>
      </c>
      <c r="B5" s="6" t="s">
        <v>123</v>
      </c>
      <c r="C5" s="6" t="s">
        <v>124</v>
      </c>
      <c r="E5" s="6" t="s">
        <v>122</v>
      </c>
      <c r="F5" s="6" t="s">
        <v>123</v>
      </c>
      <c r="G5" s="6" t="s">
        <v>124</v>
      </c>
    </row>
    <row r="6" spans="1:7" ht="15" customHeight="1" x14ac:dyDescent="0.2">
      <c r="A6" s="7" t="s">
        <v>125</v>
      </c>
      <c r="B6" s="8">
        <v>46.31</v>
      </c>
      <c r="C6" s="9" t="s">
        <v>126</v>
      </c>
      <c r="E6" s="7" t="s">
        <v>127</v>
      </c>
      <c r="F6" s="10">
        <v>130000</v>
      </c>
      <c r="G6" s="9" t="s">
        <v>128</v>
      </c>
    </row>
    <row r="7" spans="1:7" ht="15" customHeight="1" x14ac:dyDescent="0.2">
      <c r="A7" s="11" t="s">
        <v>129</v>
      </c>
      <c r="B7" s="12">
        <v>2868</v>
      </c>
      <c r="C7" s="13" t="s">
        <v>245</v>
      </c>
      <c r="E7" s="14" t="s">
        <v>131</v>
      </c>
      <c r="F7" s="15">
        <v>58893</v>
      </c>
      <c r="G7" s="13" t="s">
        <v>132</v>
      </c>
    </row>
    <row r="8" spans="1:7" ht="15" customHeight="1" x14ac:dyDescent="0.2">
      <c r="A8" s="7" t="s">
        <v>133</v>
      </c>
      <c r="B8" s="16">
        <v>132817.07999999999</v>
      </c>
      <c r="C8" s="9" t="s">
        <v>134</v>
      </c>
      <c r="E8" s="17" t="s">
        <v>135</v>
      </c>
      <c r="F8" s="10">
        <v>60895</v>
      </c>
      <c r="G8" s="9" t="s">
        <v>136</v>
      </c>
    </row>
    <row r="9" spans="1:7" ht="15" customHeight="1" x14ac:dyDescent="0.2">
      <c r="A9" s="11" t="s">
        <v>137</v>
      </c>
      <c r="B9" s="15">
        <v>45922</v>
      </c>
      <c r="C9" s="13" t="s">
        <v>138</v>
      </c>
      <c r="E9" s="14" t="s">
        <v>139</v>
      </c>
      <c r="F9" s="15">
        <v>3500</v>
      </c>
      <c r="G9" s="13" t="s">
        <v>140</v>
      </c>
    </row>
    <row r="10" spans="1:7" ht="15" customHeight="1" x14ac:dyDescent="0.2">
      <c r="A10" s="7" t="s">
        <v>141</v>
      </c>
      <c r="B10" s="16">
        <v>178739.08</v>
      </c>
      <c r="C10" s="9" t="s">
        <v>134</v>
      </c>
      <c r="E10" s="17" t="s">
        <v>142</v>
      </c>
      <c r="F10" s="16">
        <v>6712</v>
      </c>
      <c r="G10" s="9" t="s">
        <v>134</v>
      </c>
    </row>
    <row r="11" spans="1:7" ht="15" customHeight="1" x14ac:dyDescent="0.2">
      <c r="A11" s="14"/>
      <c r="C11" s="13"/>
      <c r="E11" s="14"/>
      <c r="G11" s="13"/>
    </row>
    <row r="12" spans="1:7" ht="15" customHeight="1" x14ac:dyDescent="0.2">
      <c r="A12" s="7" t="s">
        <v>246</v>
      </c>
      <c r="B12" s="10">
        <v>-2193</v>
      </c>
      <c r="C12" s="9" t="s">
        <v>247</v>
      </c>
      <c r="E12" s="7" t="s">
        <v>145</v>
      </c>
      <c r="F12" s="18">
        <v>1274</v>
      </c>
      <c r="G12" s="9" t="s">
        <v>146</v>
      </c>
    </row>
    <row r="13" spans="1:7" ht="15" customHeight="1" x14ac:dyDescent="0.2">
      <c r="A13" s="11" t="s">
        <v>248</v>
      </c>
      <c r="B13" s="15">
        <v>4894</v>
      </c>
      <c r="C13" s="13" t="s">
        <v>249</v>
      </c>
      <c r="E13" s="11" t="s">
        <v>149</v>
      </c>
      <c r="F13" s="19">
        <v>47.798273155415998</v>
      </c>
      <c r="G13" s="13" t="s">
        <v>150</v>
      </c>
    </row>
    <row r="14" spans="1:7" ht="15" customHeight="1" x14ac:dyDescent="0.2">
      <c r="A14" s="7" t="s">
        <v>250</v>
      </c>
      <c r="B14" s="10">
        <v>2549</v>
      </c>
      <c r="C14" s="9" t="s">
        <v>249</v>
      </c>
      <c r="E14" s="14"/>
      <c r="G14" s="13"/>
    </row>
    <row r="15" spans="1:7" ht="15" customHeight="1" x14ac:dyDescent="0.2">
      <c r="A15" s="11" t="s">
        <v>251</v>
      </c>
      <c r="B15" s="15">
        <v>2404</v>
      </c>
      <c r="C15" s="13" t="s">
        <v>249</v>
      </c>
      <c r="E15" s="7" t="s">
        <v>155</v>
      </c>
      <c r="F15" s="10">
        <v>49000</v>
      </c>
      <c r="G15" s="9" t="s">
        <v>156</v>
      </c>
    </row>
    <row r="16" spans="1:7" ht="15" customHeight="1" x14ac:dyDescent="0.2">
      <c r="A16" s="7" t="s">
        <v>252</v>
      </c>
      <c r="B16" s="10">
        <v>875</v>
      </c>
      <c r="C16" s="9" t="s">
        <v>253</v>
      </c>
      <c r="E16" s="11" t="s">
        <v>159</v>
      </c>
      <c r="F16" s="20">
        <v>5.5E-2</v>
      </c>
      <c r="G16" s="13" t="s">
        <v>160</v>
      </c>
    </row>
    <row r="17" spans="1:7" ht="15" customHeight="1" x14ac:dyDescent="0.2">
      <c r="A17" s="11" t="s">
        <v>254</v>
      </c>
      <c r="B17" s="21" t="s">
        <v>255</v>
      </c>
      <c r="C17" s="13" t="s">
        <v>256</v>
      </c>
      <c r="E17" s="7" t="s">
        <v>62</v>
      </c>
      <c r="F17" s="22">
        <v>0.2319</v>
      </c>
      <c r="G17" s="9" t="s">
        <v>257</v>
      </c>
    </row>
    <row r="18" spans="1:7" ht="15" customHeight="1" x14ac:dyDescent="0.2">
      <c r="A18" s="14"/>
      <c r="C18" s="13"/>
      <c r="E18" s="11" t="s">
        <v>164</v>
      </c>
      <c r="F18" s="23">
        <v>2070.0295000000001</v>
      </c>
      <c r="G18" s="13" t="s">
        <v>134</v>
      </c>
    </row>
    <row r="19" spans="1:7" ht="15" customHeight="1" x14ac:dyDescent="0.2">
      <c r="A19" s="7" t="s">
        <v>258</v>
      </c>
      <c r="B19" s="22">
        <v>0.04</v>
      </c>
      <c r="C19" s="9" t="s">
        <v>284</v>
      </c>
      <c r="E19" s="14"/>
      <c r="G19" s="13"/>
    </row>
    <row r="20" spans="1:7" ht="15" customHeight="1" x14ac:dyDescent="0.2">
      <c r="A20" s="14" t="s">
        <v>260</v>
      </c>
      <c r="B20" s="21">
        <v>0.04</v>
      </c>
      <c r="C20" s="13" t="s">
        <v>261</v>
      </c>
      <c r="E20" s="7" t="s">
        <v>168</v>
      </c>
      <c r="F20" s="10">
        <v>500</v>
      </c>
      <c r="G20" s="9" t="s">
        <v>169</v>
      </c>
    </row>
    <row r="21" spans="1:7" ht="15" customHeight="1" x14ac:dyDescent="0.2">
      <c r="A21" s="17" t="s">
        <v>262</v>
      </c>
      <c r="B21" s="25">
        <v>0.04</v>
      </c>
      <c r="C21" s="9" t="s">
        <v>261</v>
      </c>
      <c r="E21" s="11" t="s">
        <v>170</v>
      </c>
      <c r="F21" s="15">
        <v>800</v>
      </c>
      <c r="G21" s="13" t="s">
        <v>171</v>
      </c>
    </row>
    <row r="22" spans="1:7" ht="15" customHeight="1" x14ac:dyDescent="0.2">
      <c r="A22" s="14"/>
      <c r="C22" s="13"/>
      <c r="E22" s="7" t="s">
        <v>174</v>
      </c>
      <c r="F22" s="10">
        <v>1200</v>
      </c>
      <c r="G22" s="9" t="s">
        <v>175</v>
      </c>
    </row>
    <row r="23" spans="1:7" ht="15" customHeight="1" x14ac:dyDescent="0.2">
      <c r="A23" s="11" t="s">
        <v>165</v>
      </c>
      <c r="B23" s="15">
        <v>11497</v>
      </c>
      <c r="C23" s="13" t="s">
        <v>158</v>
      </c>
    </row>
    <row r="24" spans="1:7" ht="15" customHeight="1" x14ac:dyDescent="0.2">
      <c r="A24" s="7" t="s">
        <v>167</v>
      </c>
      <c r="B24" s="31">
        <v>4.0087168758716896</v>
      </c>
      <c r="C24" s="9" t="s">
        <v>134</v>
      </c>
    </row>
    <row r="25" spans="1:7" ht="15" customHeight="1" x14ac:dyDescent="0.2">
      <c r="A25" s="14"/>
      <c r="C25" s="13"/>
    </row>
    <row r="26" spans="1:7" ht="15" customHeight="1" x14ac:dyDescent="0.2">
      <c r="A26" s="11" t="s">
        <v>178</v>
      </c>
      <c r="B26" s="15">
        <v>17800</v>
      </c>
      <c r="C26" s="13" t="s">
        <v>179</v>
      </c>
    </row>
    <row r="27" spans="1:7" ht="15" customHeight="1" x14ac:dyDescent="0.2">
      <c r="A27" s="7" t="s">
        <v>180</v>
      </c>
      <c r="B27" s="16">
        <v>18512</v>
      </c>
      <c r="C27" s="9" t="s">
        <v>263</v>
      </c>
    </row>
    <row r="28" spans="1:7" ht="15" customHeight="1" x14ac:dyDescent="0.2">
      <c r="A28" s="11" t="s">
        <v>182</v>
      </c>
      <c r="B28" s="23">
        <v>19252.48</v>
      </c>
      <c r="C28" s="13" t="s">
        <v>263</v>
      </c>
    </row>
    <row r="29" spans="1:7" ht="37.5" customHeight="1" x14ac:dyDescent="0.2">
      <c r="A29" s="229" t="s">
        <v>285</v>
      </c>
      <c r="B29" s="224"/>
      <c r="C29" s="224"/>
    </row>
    <row r="30" spans="1:7" ht="6" customHeight="1" x14ac:dyDescent="0.2">
      <c r="A30" s="224"/>
      <c r="B30" s="224"/>
      <c r="C30" s="224"/>
    </row>
    <row r="31" spans="1:7" ht="6" customHeight="1" x14ac:dyDescent="0.2"/>
    <row r="32" spans="1:7" ht="15" customHeight="1" x14ac:dyDescent="0.2">
      <c r="A32" s="226" t="s">
        <v>183</v>
      </c>
      <c r="B32" s="224"/>
      <c r="C32" s="224"/>
      <c r="D32" s="224"/>
      <c r="E32" s="224"/>
      <c r="F32" s="224"/>
      <c r="G32" s="224"/>
    </row>
  </sheetData>
  <mergeCells count="4">
    <mergeCell ref="A32:G32"/>
    <mergeCell ref="A2:G2"/>
    <mergeCell ref="A1:G1"/>
    <mergeCell ref="A29:C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2994-F19D-47DC-B32C-C5AF16F8BE62}">
  <dimension ref="A1:G57"/>
  <sheetViews>
    <sheetView showGridLines="0" zoomScaleNormal="100" workbookViewId="0">
      <selection activeCell="K42" sqref="K42"/>
    </sheetView>
  </sheetViews>
  <sheetFormatPr baseColWidth="10" defaultColWidth="6.6640625" defaultRowHeight="15" x14ac:dyDescent="0.2"/>
  <cols>
    <col min="1" max="1" width="41.33203125" style="3" bestFit="1" customWidth="1"/>
    <col min="2" max="4" width="14" style="3" bestFit="1" customWidth="1"/>
    <col min="5" max="7" width="5.33203125" style="3" bestFit="1" customWidth="1"/>
    <col min="8" max="16384" width="6.6640625" style="3"/>
  </cols>
  <sheetData>
    <row r="1" spans="1:5" ht="27.75" customHeight="1" x14ac:dyDescent="0.2">
      <c r="A1" s="223" t="s">
        <v>286</v>
      </c>
      <c r="B1" s="224"/>
      <c r="C1" s="224"/>
      <c r="D1" s="224"/>
      <c r="E1" s="224"/>
    </row>
    <row r="2" spans="1:5" ht="15.75" customHeight="1" x14ac:dyDescent="0.2">
      <c r="A2" s="225" t="s">
        <v>287</v>
      </c>
      <c r="B2" s="224"/>
      <c r="C2" s="224"/>
      <c r="D2" s="224"/>
      <c r="E2" s="224"/>
    </row>
    <row r="3" spans="1:5" ht="6" customHeight="1" x14ac:dyDescent="0.2"/>
    <row r="4" spans="1:5" ht="21.75" customHeight="1" x14ac:dyDescent="0.2">
      <c r="A4" s="26" t="s">
        <v>186</v>
      </c>
      <c r="B4" s="26" t="s">
        <v>187</v>
      </c>
      <c r="C4" s="26" t="s">
        <v>188</v>
      </c>
      <c r="D4" s="26" t="s">
        <v>189</v>
      </c>
    </row>
    <row r="5" spans="1:5" ht="16.5" customHeight="1" x14ac:dyDescent="0.2">
      <c r="A5" s="4" t="s">
        <v>190</v>
      </c>
      <c r="B5" s="5"/>
      <c r="C5" s="5"/>
      <c r="D5" s="5"/>
    </row>
    <row r="6" spans="1:5" ht="15" customHeight="1" x14ac:dyDescent="0.2">
      <c r="A6" s="17" t="s">
        <v>191</v>
      </c>
      <c r="B6" s="27">
        <v>2868</v>
      </c>
      <c r="C6" s="27">
        <v>2868</v>
      </c>
      <c r="D6" s="27">
        <v>2868</v>
      </c>
    </row>
    <row r="7" spans="1:5" ht="15" customHeight="1" x14ac:dyDescent="0.2">
      <c r="A7" s="14" t="s">
        <v>192</v>
      </c>
      <c r="B7" s="28">
        <v>1274</v>
      </c>
      <c r="C7" s="28">
        <v>1274</v>
      </c>
      <c r="D7" s="28">
        <v>1274</v>
      </c>
    </row>
    <row r="8" spans="1:5" ht="15" customHeight="1" x14ac:dyDescent="0.2">
      <c r="A8" s="7" t="s">
        <v>193</v>
      </c>
      <c r="B8" s="29">
        <v>4142</v>
      </c>
      <c r="C8" s="29">
        <v>4142</v>
      </c>
      <c r="D8" s="29">
        <v>4142</v>
      </c>
    </row>
    <row r="9" spans="1:5" ht="6" customHeight="1" x14ac:dyDescent="0.2"/>
    <row r="10" spans="1:5" ht="16.5" customHeight="1" x14ac:dyDescent="0.2">
      <c r="A10" s="4" t="s">
        <v>194</v>
      </c>
      <c r="B10" s="5"/>
      <c r="C10" s="5"/>
      <c r="D10" s="5"/>
    </row>
    <row r="11" spans="1:5" ht="15" customHeight="1" x14ac:dyDescent="0.2">
      <c r="A11" s="17" t="s">
        <v>195</v>
      </c>
      <c r="B11" s="30">
        <v>11497</v>
      </c>
      <c r="C11" s="30">
        <v>11956.88</v>
      </c>
      <c r="D11" s="30">
        <v>12435.155199999999</v>
      </c>
    </row>
    <row r="12" spans="1:5" ht="15" customHeight="1" x14ac:dyDescent="0.2">
      <c r="A12" s="14" t="s">
        <v>191</v>
      </c>
      <c r="B12" s="28">
        <v>2868</v>
      </c>
      <c r="C12" s="28">
        <v>2868</v>
      </c>
      <c r="D12" s="28">
        <v>2868</v>
      </c>
    </row>
    <row r="13" spans="1:5" ht="15" customHeight="1" x14ac:dyDescent="0.2">
      <c r="A13" s="7" t="s">
        <v>196</v>
      </c>
      <c r="B13" s="31">
        <v>4.0087168758716896</v>
      </c>
      <c r="C13" s="31">
        <v>4.1690655509065602</v>
      </c>
      <c r="D13" s="31">
        <v>4.3358281729428203</v>
      </c>
    </row>
    <row r="14" spans="1:5" ht="6" customHeight="1" x14ac:dyDescent="0.2"/>
    <row r="15" spans="1:5" ht="16.5" customHeight="1" x14ac:dyDescent="0.2">
      <c r="A15" s="4" t="s">
        <v>197</v>
      </c>
      <c r="B15" s="5"/>
      <c r="C15" s="5"/>
      <c r="D15" s="5"/>
    </row>
    <row r="16" spans="1:5" ht="15" customHeight="1" x14ac:dyDescent="0.2">
      <c r="A16" s="17" t="s">
        <v>195</v>
      </c>
      <c r="B16" s="16">
        <v>11497</v>
      </c>
      <c r="C16" s="16">
        <v>11956.88</v>
      </c>
      <c r="D16" s="16">
        <v>12435.155199999999</v>
      </c>
    </row>
    <row r="17" spans="1:4" ht="15" customHeight="1" x14ac:dyDescent="0.2">
      <c r="A17" s="14" t="s">
        <v>198</v>
      </c>
      <c r="B17" s="32">
        <v>6303</v>
      </c>
      <c r="C17" s="32">
        <v>6555.12</v>
      </c>
      <c r="D17" s="32">
        <v>6817.3248000000003</v>
      </c>
    </row>
    <row r="18" spans="1:4" ht="15" customHeight="1" x14ac:dyDescent="0.2">
      <c r="A18" s="17" t="s">
        <v>199</v>
      </c>
      <c r="B18" s="30">
        <v>-2070.0295000000001</v>
      </c>
      <c r="C18" s="30">
        <v>-2070.0295000000001</v>
      </c>
      <c r="D18" s="30">
        <v>-2070.0295000000001</v>
      </c>
    </row>
    <row r="19" spans="1:4" ht="15" customHeight="1" x14ac:dyDescent="0.2">
      <c r="A19" s="14" t="s">
        <v>200</v>
      </c>
      <c r="B19" s="32">
        <v>384.05</v>
      </c>
      <c r="C19" s="32">
        <v>422.45499999999998</v>
      </c>
      <c r="D19" s="32">
        <v>460.86</v>
      </c>
    </row>
    <row r="20" spans="1:4" ht="15" customHeight="1" x14ac:dyDescent="0.2">
      <c r="A20" s="17" t="s">
        <v>201</v>
      </c>
      <c r="B20" s="30">
        <v>-800</v>
      </c>
      <c r="C20" s="30">
        <v>-800</v>
      </c>
      <c r="D20" s="30">
        <v>-800</v>
      </c>
    </row>
    <row r="21" spans="1:4" ht="15" customHeight="1" x14ac:dyDescent="0.2">
      <c r="A21" s="14" t="s">
        <v>202</v>
      </c>
      <c r="B21" s="32">
        <v>-1200</v>
      </c>
      <c r="C21" s="23">
        <v>0</v>
      </c>
      <c r="D21" s="23">
        <v>0</v>
      </c>
    </row>
    <row r="22" spans="1:4" ht="15" customHeight="1" x14ac:dyDescent="0.2">
      <c r="A22" s="7" t="s">
        <v>203</v>
      </c>
      <c r="B22" s="16">
        <v>14114.020500000001</v>
      </c>
      <c r="C22" s="16">
        <v>16064.425499999999</v>
      </c>
      <c r="D22" s="16">
        <v>16843.3105</v>
      </c>
    </row>
    <row r="23" spans="1:4" ht="6" customHeight="1" x14ac:dyDescent="0.2"/>
    <row r="24" spans="1:4" ht="16.5" customHeight="1" x14ac:dyDescent="0.2">
      <c r="A24" s="4" t="s">
        <v>204</v>
      </c>
      <c r="B24" s="5"/>
      <c r="C24" s="5"/>
      <c r="D24" s="5"/>
    </row>
    <row r="25" spans="1:4" ht="15" customHeight="1" x14ac:dyDescent="0.2">
      <c r="A25" s="17" t="s">
        <v>205</v>
      </c>
      <c r="B25" s="16">
        <v>14114.020500000001</v>
      </c>
      <c r="C25" s="16">
        <v>16064.425499999999</v>
      </c>
      <c r="D25" s="16">
        <v>16843.3105</v>
      </c>
    </row>
    <row r="26" spans="1:4" ht="15" customHeight="1" x14ac:dyDescent="0.2">
      <c r="A26" s="14" t="s">
        <v>193</v>
      </c>
      <c r="B26" s="33">
        <v>4142</v>
      </c>
      <c r="C26" s="33">
        <v>4142</v>
      </c>
      <c r="D26" s="33">
        <v>4142</v>
      </c>
    </row>
    <row r="27" spans="1:4" ht="15" customHeight="1" x14ac:dyDescent="0.2">
      <c r="A27" s="7" t="s">
        <v>206</v>
      </c>
      <c r="B27" s="31">
        <v>3.40753754225012</v>
      </c>
      <c r="C27" s="31">
        <v>3.8784223804925202</v>
      </c>
      <c r="D27" s="31">
        <v>4.0664680106228897</v>
      </c>
    </row>
    <row r="28" spans="1:4" ht="15" customHeight="1" x14ac:dyDescent="0.2">
      <c r="A28" s="14"/>
      <c r="B28" s="34"/>
      <c r="C28" s="34"/>
      <c r="D28" s="34"/>
    </row>
    <row r="29" spans="1:4" ht="15" customHeight="1" x14ac:dyDescent="0.2">
      <c r="A29" s="17" t="s">
        <v>207</v>
      </c>
      <c r="B29" s="31">
        <v>4.0087168758716896</v>
      </c>
      <c r="C29" s="31">
        <v>4.1690655509065602</v>
      </c>
      <c r="D29" s="31">
        <v>4.3358281729428203</v>
      </c>
    </row>
    <row r="30" spans="1:4" ht="15" customHeight="1" x14ac:dyDescent="0.2">
      <c r="A30" s="14" t="s">
        <v>208</v>
      </c>
      <c r="B30" s="24">
        <v>3.40753754225012</v>
      </c>
      <c r="C30" s="24">
        <v>3.8784223804925202</v>
      </c>
      <c r="D30" s="24">
        <v>4.0664680106228897</v>
      </c>
    </row>
    <row r="31" spans="1:4" ht="15" customHeight="1" x14ac:dyDescent="0.2">
      <c r="A31" s="7" t="s">
        <v>209</v>
      </c>
      <c r="B31" s="53">
        <v>-0.60117933362156695</v>
      </c>
      <c r="C31" s="53">
        <v>-0.29064317041403998</v>
      </c>
      <c r="D31" s="53">
        <v>-0.26936016231993098</v>
      </c>
    </row>
    <row r="32" spans="1:4" ht="15" customHeight="1" x14ac:dyDescent="0.2">
      <c r="A32" s="7" t="s">
        <v>210</v>
      </c>
      <c r="B32" s="52">
        <v>-0.149968020251079</v>
      </c>
      <c r="C32" s="52">
        <v>-6.9714224174489095E-2</v>
      </c>
      <c r="D32" s="52">
        <v>-6.2124270514417101E-2</v>
      </c>
    </row>
    <row r="33" spans="1:7" ht="6" customHeight="1" x14ac:dyDescent="0.2"/>
    <row r="34" spans="1:7" ht="15" customHeight="1" x14ac:dyDescent="0.2">
      <c r="A34" s="226" t="s">
        <v>267</v>
      </c>
      <c r="B34" s="224"/>
      <c r="C34" s="224"/>
      <c r="D34" s="224"/>
      <c r="E34" s="224"/>
    </row>
    <row r="35" spans="1:7" x14ac:dyDescent="0.2">
      <c r="A35" s="228" t="s">
        <v>211</v>
      </c>
      <c r="B35" s="224"/>
      <c r="C35" s="224"/>
      <c r="D35" s="224"/>
      <c r="E35" s="224"/>
      <c r="F35" s="224"/>
      <c r="G35" s="224"/>
    </row>
    <row r="36" spans="1:7" x14ac:dyDescent="0.2">
      <c r="A36" s="225" t="s">
        <v>288</v>
      </c>
      <c r="B36" s="224"/>
      <c r="C36" s="224"/>
      <c r="D36" s="224"/>
      <c r="E36" s="224"/>
      <c r="F36" s="224"/>
      <c r="G36" s="224"/>
    </row>
    <row r="38" spans="1:7" x14ac:dyDescent="0.2">
      <c r="A38" s="227" t="s">
        <v>269</v>
      </c>
      <c r="B38" s="224"/>
      <c r="C38" s="224"/>
      <c r="D38" s="224"/>
      <c r="E38" s="224"/>
      <c r="F38" s="224"/>
      <c r="G38" s="224"/>
    </row>
    <row r="39" spans="1:7" x14ac:dyDescent="0.2">
      <c r="A39" s="6" t="s">
        <v>270</v>
      </c>
      <c r="B39" s="6" t="s">
        <v>289</v>
      </c>
      <c r="C39" s="6" t="s">
        <v>271</v>
      </c>
      <c r="D39" s="6" t="s">
        <v>290</v>
      </c>
      <c r="E39" s="6" t="s">
        <v>291</v>
      </c>
      <c r="F39" s="6" t="s">
        <v>292</v>
      </c>
      <c r="G39" s="6" t="s">
        <v>274</v>
      </c>
    </row>
    <row r="40" spans="1:7" x14ac:dyDescent="0.2">
      <c r="A40" s="37">
        <v>0</v>
      </c>
      <c r="B40" s="51">
        <v>3.7781483582810198</v>
      </c>
      <c r="C40" s="51">
        <v>3.8662458957025598</v>
      </c>
      <c r="D40" s="51">
        <v>3.95520292129406</v>
      </c>
      <c r="E40" s="51">
        <v>4.0450194350555302</v>
      </c>
      <c r="F40" s="51">
        <v>4.1356954369869596</v>
      </c>
      <c r="G40" s="51">
        <v>4.2272309270883603</v>
      </c>
    </row>
    <row r="41" spans="1:7" x14ac:dyDescent="0.2">
      <c r="A41" s="37">
        <v>250</v>
      </c>
      <c r="B41" s="51">
        <v>3.8337809029454402</v>
      </c>
      <c r="C41" s="51">
        <v>3.92187844036697</v>
      </c>
      <c r="D41" s="51">
        <v>4.01083546595848</v>
      </c>
      <c r="E41" s="51">
        <v>4.1006519797199399</v>
      </c>
      <c r="F41" s="51">
        <v>4.19132798165138</v>
      </c>
      <c r="G41" s="51">
        <v>4.2828634717527798</v>
      </c>
    </row>
    <row r="42" spans="1:7" x14ac:dyDescent="0.2">
      <c r="A42" s="37">
        <v>500</v>
      </c>
      <c r="B42" s="51">
        <v>3.8894134476098499</v>
      </c>
      <c r="C42" s="51">
        <v>3.9775109850313899</v>
      </c>
      <c r="D42" s="51">
        <v>4.0664680106228897</v>
      </c>
      <c r="E42" s="51">
        <v>4.1562845243843602</v>
      </c>
      <c r="F42" s="51">
        <v>4.2469605263157897</v>
      </c>
      <c r="G42" s="51">
        <v>4.3384960164171904</v>
      </c>
    </row>
    <row r="43" spans="1:7" x14ac:dyDescent="0.2">
      <c r="A43" s="37">
        <v>750</v>
      </c>
      <c r="B43" s="51">
        <v>3.94504599227426</v>
      </c>
      <c r="C43" s="51">
        <v>4.0331435296958</v>
      </c>
      <c r="D43" s="51">
        <v>4.1221005552873002</v>
      </c>
      <c r="E43" s="51">
        <v>4.2119170690487699</v>
      </c>
      <c r="F43" s="51">
        <v>4.3025930709802003</v>
      </c>
      <c r="G43" s="51">
        <v>4.3941285610816001</v>
      </c>
    </row>
    <row r="44" spans="1:7" x14ac:dyDescent="0.2">
      <c r="A44" s="37">
        <v>1000</v>
      </c>
      <c r="B44" s="51">
        <v>4.0006785369386799</v>
      </c>
      <c r="C44" s="51">
        <v>4.0887760743602097</v>
      </c>
      <c r="D44" s="51">
        <v>4.1777330999517197</v>
      </c>
      <c r="E44" s="51">
        <v>4.2675496137131796</v>
      </c>
      <c r="F44" s="51">
        <v>4.3582256156446197</v>
      </c>
      <c r="G44" s="51">
        <v>4.4497611057460196</v>
      </c>
    </row>
    <row r="45" spans="1:7" x14ac:dyDescent="0.2">
      <c r="A45" s="37">
        <v>1500</v>
      </c>
      <c r="B45" s="50">
        <v>4.1119436262675002</v>
      </c>
      <c r="C45" s="50">
        <v>4.2000411636890398</v>
      </c>
      <c r="D45" s="50">
        <v>4.28899818928054</v>
      </c>
      <c r="E45" s="50">
        <v>4.3788147030420097</v>
      </c>
      <c r="F45" s="50">
        <v>4.46949070497344</v>
      </c>
      <c r="G45" s="50">
        <v>4.5610261950748399</v>
      </c>
    </row>
    <row r="46" spans="1:7" x14ac:dyDescent="0.2">
      <c r="A46" s="37">
        <v>2000</v>
      </c>
      <c r="B46" s="50">
        <v>4.2232087155963303</v>
      </c>
      <c r="C46" s="50">
        <v>4.3113062530178698</v>
      </c>
      <c r="D46" s="50">
        <v>4.4002632786093701</v>
      </c>
      <c r="E46" s="50">
        <v>4.4900797923708398</v>
      </c>
      <c r="F46" s="50">
        <v>4.5807557943022701</v>
      </c>
      <c r="G46" s="50">
        <v>4.6722912844036699</v>
      </c>
    </row>
    <row r="48" spans="1:7" x14ac:dyDescent="0.2">
      <c r="A48" s="227" t="s">
        <v>221</v>
      </c>
      <c r="B48" s="224"/>
      <c r="C48" s="224"/>
      <c r="D48" s="224"/>
      <c r="E48" s="224"/>
      <c r="F48" s="224"/>
      <c r="G48" s="224"/>
    </row>
    <row r="49" spans="1:7" x14ac:dyDescent="0.2">
      <c r="A49" s="6" t="s">
        <v>270</v>
      </c>
      <c r="B49" s="6" t="s">
        <v>289</v>
      </c>
      <c r="C49" s="6" t="s">
        <v>271</v>
      </c>
      <c r="D49" s="6" t="s">
        <v>290</v>
      </c>
      <c r="E49" s="6" t="s">
        <v>291</v>
      </c>
      <c r="F49" s="6" t="s">
        <v>292</v>
      </c>
      <c r="G49" s="6" t="s">
        <v>274</v>
      </c>
    </row>
    <row r="50" spans="1:7" x14ac:dyDescent="0.2">
      <c r="A50" s="37">
        <v>0</v>
      </c>
      <c r="B50" s="48">
        <v>-9.4114559518345395E-2</v>
      </c>
      <c r="C50" s="48">
        <v>-9.0904227502484197E-2</v>
      </c>
      <c r="D50" s="48">
        <v>-8.7786055274053407E-2</v>
      </c>
      <c r="E50" s="48">
        <v>-8.4756548756443506E-2</v>
      </c>
      <c r="F50" s="48">
        <v>-8.1812377906793396E-2</v>
      </c>
      <c r="G50" s="48">
        <v>-7.8950367561096094E-2</v>
      </c>
    </row>
    <row r="51" spans="1:7" x14ac:dyDescent="0.2">
      <c r="A51" s="37">
        <v>250</v>
      </c>
      <c r="B51" s="48">
        <v>-8.0775561827061901E-2</v>
      </c>
      <c r="C51" s="48">
        <v>-7.7822982146643405E-2</v>
      </c>
      <c r="D51" s="48">
        <v>-7.4955162894235206E-2</v>
      </c>
      <c r="E51" s="48">
        <v>-7.2168890526954702E-2</v>
      </c>
      <c r="F51" s="48">
        <v>-6.9461102365665398E-2</v>
      </c>
      <c r="G51" s="48">
        <v>-6.6828878175113599E-2</v>
      </c>
    </row>
    <row r="52" spans="1:7" x14ac:dyDescent="0.2">
      <c r="A52" s="37">
        <v>500</v>
      </c>
      <c r="B52" s="48">
        <v>-6.7436564135778296E-2</v>
      </c>
      <c r="C52" s="48">
        <v>-6.4741736790802598E-2</v>
      </c>
      <c r="D52" s="48">
        <v>-6.21242705144169E-2</v>
      </c>
      <c r="E52" s="48">
        <v>-5.9581232297465703E-2</v>
      </c>
      <c r="F52" s="48">
        <v>-5.7109826824537399E-2</v>
      </c>
      <c r="G52" s="48">
        <v>-5.4707388789130798E-2</v>
      </c>
    </row>
    <row r="53" spans="1:7" x14ac:dyDescent="0.2">
      <c r="A53" s="37">
        <v>750</v>
      </c>
      <c r="B53" s="48">
        <v>-5.4097566444494601E-2</v>
      </c>
      <c r="C53" s="48">
        <v>-5.1660491434961903E-2</v>
      </c>
      <c r="D53" s="48">
        <v>-4.9293378134598498E-2</v>
      </c>
      <c r="E53" s="48">
        <v>-4.6993574067976801E-2</v>
      </c>
      <c r="F53" s="48">
        <v>-4.4758551283409401E-2</v>
      </c>
      <c r="G53" s="48">
        <v>-4.2585899403148303E-2</v>
      </c>
    </row>
    <row r="54" spans="1:7" x14ac:dyDescent="0.2">
      <c r="A54" s="37">
        <v>1000</v>
      </c>
      <c r="B54" s="48">
        <v>-4.0758568753211002E-2</v>
      </c>
      <c r="C54" s="48">
        <v>-3.85792460791212E-2</v>
      </c>
      <c r="D54" s="48">
        <v>-3.6462485754780297E-2</v>
      </c>
      <c r="E54" s="48">
        <v>-3.4405915838488003E-2</v>
      </c>
      <c r="F54" s="48">
        <v>-3.2407275742281298E-2</v>
      </c>
      <c r="G54" s="48">
        <v>-3.04644100171657E-2</v>
      </c>
    </row>
    <row r="55" spans="1:7" x14ac:dyDescent="0.2">
      <c r="A55" s="37">
        <v>1500</v>
      </c>
      <c r="B55" s="47">
        <v>-1.4080573370644099E-2</v>
      </c>
      <c r="C55" s="47">
        <v>-1.2416755367439801E-2</v>
      </c>
      <c r="D55" s="47">
        <v>-1.0800700995143801E-2</v>
      </c>
      <c r="E55" s="47">
        <v>-9.23059937951041E-3</v>
      </c>
      <c r="F55" s="47">
        <v>-7.7047246600252797E-3</v>
      </c>
      <c r="G55" s="47">
        <v>-6.2214312452006501E-3</v>
      </c>
    </row>
    <row r="56" spans="1:7" x14ac:dyDescent="0.2">
      <c r="A56" s="37">
        <v>2000</v>
      </c>
      <c r="B56" s="47">
        <v>1.2597422011923E-2</v>
      </c>
      <c r="C56" s="47">
        <v>1.3745735344241601E-2</v>
      </c>
      <c r="D56" s="47">
        <v>1.4861083764492499E-2</v>
      </c>
      <c r="E56" s="47">
        <v>1.5944717079467201E-2</v>
      </c>
      <c r="F56" s="47">
        <v>1.6997826422230501E-2</v>
      </c>
      <c r="G56" s="47">
        <v>1.8021547526764398E-2</v>
      </c>
    </row>
    <row r="57" spans="1:7" x14ac:dyDescent="0.2">
      <c r="A57" s="226" t="s">
        <v>277</v>
      </c>
      <c r="B57" s="224"/>
      <c r="C57" s="224"/>
      <c r="D57" s="224"/>
      <c r="E57" s="224"/>
      <c r="F57" s="224"/>
      <c r="G57" s="224"/>
    </row>
  </sheetData>
  <mergeCells count="8">
    <mergeCell ref="A57:G57"/>
    <mergeCell ref="A36:G36"/>
    <mergeCell ref="A2:E2"/>
    <mergeCell ref="A34:E34"/>
    <mergeCell ref="A1:E1"/>
    <mergeCell ref="A48:G48"/>
    <mergeCell ref="A35:G35"/>
    <mergeCell ref="A38:G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5D55-245B-466C-B0F4-620D1BE57BDB}">
  <dimension ref="A1:D14"/>
  <sheetViews>
    <sheetView showGridLines="0" zoomScaleNormal="100" workbookViewId="0">
      <selection activeCell="K42" sqref="K42"/>
    </sheetView>
  </sheetViews>
  <sheetFormatPr baseColWidth="10" defaultColWidth="6.6640625" defaultRowHeight="15" x14ac:dyDescent="0.2"/>
  <cols>
    <col min="1" max="1" width="31.33203125" style="3" bestFit="1" customWidth="1"/>
    <col min="2" max="2" width="12.33203125" style="3" bestFit="1" customWidth="1"/>
    <col min="3" max="3" width="8.6640625" style="3" bestFit="1" customWidth="1"/>
    <col min="4" max="4" width="26" style="3" bestFit="1" customWidth="1"/>
    <col min="5" max="16384" width="6.6640625" style="3"/>
  </cols>
  <sheetData>
    <row r="1" spans="1:4" ht="27.75" customHeight="1" x14ac:dyDescent="0.2">
      <c r="A1" s="228" t="s">
        <v>222</v>
      </c>
      <c r="B1" s="224"/>
      <c r="C1" s="224"/>
      <c r="D1" s="224"/>
    </row>
    <row r="2" spans="1:4" ht="15.75" customHeight="1" x14ac:dyDescent="0.2">
      <c r="A2" s="225" t="s">
        <v>223</v>
      </c>
      <c r="B2" s="224"/>
      <c r="C2" s="224"/>
      <c r="D2" s="224"/>
    </row>
    <row r="3" spans="1:4" ht="6" customHeight="1" x14ac:dyDescent="0.2"/>
    <row r="4" spans="1:4" ht="21.75" customHeight="1" x14ac:dyDescent="0.2">
      <c r="A4" s="26" t="s">
        <v>224</v>
      </c>
      <c r="B4" s="26" t="s">
        <v>225</v>
      </c>
      <c r="C4" s="26" t="s">
        <v>226</v>
      </c>
      <c r="D4" s="26" t="s">
        <v>227</v>
      </c>
    </row>
    <row r="5" spans="1:4" ht="15" customHeight="1" x14ac:dyDescent="0.2">
      <c r="A5" s="17" t="s">
        <v>228</v>
      </c>
      <c r="B5" s="10">
        <v>58893</v>
      </c>
      <c r="C5" s="25">
        <v>0.45302307692307697</v>
      </c>
      <c r="D5" s="9" t="s">
        <v>278</v>
      </c>
    </row>
    <row r="6" spans="1:4" ht="15" customHeight="1" x14ac:dyDescent="0.2">
      <c r="A6" s="14" t="s">
        <v>230</v>
      </c>
      <c r="B6" s="15">
        <v>60895</v>
      </c>
      <c r="C6" s="21">
        <v>0.468423076923077</v>
      </c>
      <c r="D6" s="13" t="s">
        <v>279</v>
      </c>
    </row>
    <row r="7" spans="1:4" ht="15" customHeight="1" x14ac:dyDescent="0.2">
      <c r="A7" s="17" t="s">
        <v>232</v>
      </c>
      <c r="B7" s="10">
        <v>3500</v>
      </c>
      <c r="C7" s="25">
        <v>2.69230769230769E-2</v>
      </c>
      <c r="D7" s="9" t="s">
        <v>140</v>
      </c>
    </row>
    <row r="8" spans="1:4" ht="15" customHeight="1" x14ac:dyDescent="0.2">
      <c r="A8" s="14" t="s">
        <v>233</v>
      </c>
      <c r="B8" s="23">
        <v>6712</v>
      </c>
      <c r="C8" s="21">
        <v>5.1630769230769202E-2</v>
      </c>
      <c r="D8" s="13" t="s">
        <v>280</v>
      </c>
    </row>
    <row r="9" spans="1:4" ht="15" customHeight="1" x14ac:dyDescent="0.2">
      <c r="A9" s="7" t="s">
        <v>235</v>
      </c>
      <c r="B9" s="10">
        <v>130000</v>
      </c>
      <c r="C9" s="25">
        <v>1</v>
      </c>
      <c r="D9" s="9" t="s">
        <v>236</v>
      </c>
    </row>
    <row r="10" spans="1:4" ht="6" customHeight="1" x14ac:dyDescent="0.2"/>
    <row r="11" spans="1:4" ht="16.5" customHeight="1" x14ac:dyDescent="0.2">
      <c r="A11" s="4" t="s">
        <v>237</v>
      </c>
      <c r="B11" s="5"/>
      <c r="C11" s="5"/>
      <c r="D11" s="5"/>
    </row>
    <row r="12" spans="1:4" ht="21.75" customHeight="1" x14ac:dyDescent="0.2">
      <c r="A12" s="6" t="s">
        <v>238</v>
      </c>
      <c r="B12" s="6" t="s">
        <v>281</v>
      </c>
      <c r="C12" s="6" t="s">
        <v>282</v>
      </c>
      <c r="D12" s="6" t="s">
        <v>241</v>
      </c>
    </row>
    <row r="13" spans="1:4" ht="15" customHeight="1" x14ac:dyDescent="0.2">
      <c r="A13" s="17" t="s">
        <v>242</v>
      </c>
      <c r="B13" s="44">
        <v>0.55000000000000004</v>
      </c>
      <c r="C13" s="44">
        <v>1</v>
      </c>
      <c r="D13" s="44">
        <v>0.45</v>
      </c>
    </row>
    <row r="14" spans="1:4" ht="15" customHeight="1" x14ac:dyDescent="0.2">
      <c r="A14" s="14" t="s">
        <v>243</v>
      </c>
      <c r="B14" s="45">
        <v>0.45</v>
      </c>
      <c r="C14" s="45">
        <v>0</v>
      </c>
      <c r="D14" s="45">
        <v>-0.45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AFBE-7BDC-3349-B573-184522846419}">
  <dimension ref="A1:G32"/>
  <sheetViews>
    <sheetView showGridLines="0" zoomScale="132" workbookViewId="0">
      <selection sqref="A1:G1"/>
    </sheetView>
  </sheetViews>
  <sheetFormatPr baseColWidth="10" defaultColWidth="8.83203125" defaultRowHeight="15" x14ac:dyDescent="0.2"/>
  <cols>
    <col min="1" max="1" width="42" style="131" customWidth="1"/>
    <col min="2" max="2" width="16" style="131" customWidth="1"/>
    <col min="3" max="3" width="47.83203125" style="131" customWidth="1"/>
    <col min="4" max="4" width="3" style="131" customWidth="1"/>
    <col min="5" max="5" width="42" style="131" customWidth="1"/>
    <col min="6" max="6" width="16" style="131" customWidth="1"/>
    <col min="7" max="7" width="36" style="131" customWidth="1"/>
    <col min="8" max="16384" width="8.83203125" style="131"/>
  </cols>
  <sheetData>
    <row r="1" spans="1:7" ht="28" customHeight="1" x14ac:dyDescent="0.2">
      <c r="A1" s="233" t="s">
        <v>310</v>
      </c>
      <c r="B1" s="231"/>
      <c r="C1" s="231"/>
      <c r="D1" s="231"/>
      <c r="E1" s="231"/>
      <c r="F1" s="231"/>
      <c r="G1" s="231"/>
    </row>
    <row r="2" spans="1:7" ht="16" customHeight="1" x14ac:dyDescent="0.2">
      <c r="A2" s="232" t="s">
        <v>1</v>
      </c>
      <c r="B2" s="231"/>
      <c r="C2" s="231"/>
      <c r="D2" s="231"/>
      <c r="E2" s="231"/>
      <c r="F2" s="231"/>
      <c r="G2" s="231"/>
    </row>
    <row r="3" spans="1:7" ht="6" customHeight="1" x14ac:dyDescent="0.2"/>
    <row r="4" spans="1:7" ht="17" customHeight="1" x14ac:dyDescent="0.2">
      <c r="A4" s="153" t="s">
        <v>120</v>
      </c>
      <c r="B4" s="152"/>
      <c r="C4" s="152"/>
      <c r="E4" s="153" t="s">
        <v>121</v>
      </c>
      <c r="F4" s="152"/>
      <c r="G4" s="152"/>
    </row>
    <row r="5" spans="1:7" ht="22" customHeight="1" x14ac:dyDescent="0.2">
      <c r="A5" s="151" t="s">
        <v>122</v>
      </c>
      <c r="B5" s="151" t="s">
        <v>123</v>
      </c>
      <c r="C5" s="151" t="s">
        <v>124</v>
      </c>
      <c r="E5" s="151" t="s">
        <v>122</v>
      </c>
      <c r="F5" s="151" t="s">
        <v>123</v>
      </c>
      <c r="G5" s="151" t="s">
        <v>124</v>
      </c>
    </row>
    <row r="6" spans="1:7" x14ac:dyDescent="0.2">
      <c r="A6" s="137" t="s">
        <v>125</v>
      </c>
      <c r="B6" s="150">
        <v>46.31</v>
      </c>
      <c r="C6" s="135" t="s">
        <v>126</v>
      </c>
      <c r="E6" s="137" t="s">
        <v>127</v>
      </c>
      <c r="F6" s="141">
        <v>130000</v>
      </c>
      <c r="G6" s="135" t="s">
        <v>128</v>
      </c>
    </row>
    <row r="7" spans="1:7" x14ac:dyDescent="0.2">
      <c r="A7" s="134" t="s">
        <v>129</v>
      </c>
      <c r="B7" s="149">
        <v>2868</v>
      </c>
      <c r="C7" s="132" t="s">
        <v>245</v>
      </c>
      <c r="E7" s="139" t="s">
        <v>131</v>
      </c>
      <c r="F7" s="138">
        <v>58893</v>
      </c>
      <c r="G7" s="132" t="s">
        <v>132</v>
      </c>
    </row>
    <row r="8" spans="1:7" x14ac:dyDescent="0.2">
      <c r="A8" s="137" t="s">
        <v>133</v>
      </c>
      <c r="B8" s="136">
        <f>B6*B7</f>
        <v>132817.08000000002</v>
      </c>
      <c r="C8" s="135" t="s">
        <v>134</v>
      </c>
      <c r="E8" s="143" t="s">
        <v>135</v>
      </c>
      <c r="F8" s="141">
        <v>60895</v>
      </c>
      <c r="G8" s="135" t="s">
        <v>136</v>
      </c>
    </row>
    <row r="9" spans="1:7" x14ac:dyDescent="0.2">
      <c r="A9" s="134" t="s">
        <v>137</v>
      </c>
      <c r="B9" s="138">
        <v>45922</v>
      </c>
      <c r="C9" s="132" t="s">
        <v>138</v>
      </c>
      <c r="E9" s="139" t="s">
        <v>139</v>
      </c>
      <c r="F9" s="138">
        <v>3500</v>
      </c>
      <c r="G9" s="132" t="s">
        <v>140</v>
      </c>
    </row>
    <row r="10" spans="1:7" x14ac:dyDescent="0.2">
      <c r="A10" s="137" t="s">
        <v>141</v>
      </c>
      <c r="B10" s="136">
        <f>B8+B9</f>
        <v>178739.08000000002</v>
      </c>
      <c r="C10" s="135" t="s">
        <v>134</v>
      </c>
      <c r="E10" s="143" t="s">
        <v>142</v>
      </c>
      <c r="F10" s="136">
        <f>F6-F7-F8-F9</f>
        <v>6712</v>
      </c>
      <c r="G10" s="135" t="s">
        <v>134</v>
      </c>
    </row>
    <row r="11" spans="1:7" x14ac:dyDescent="0.2">
      <c r="A11" s="139"/>
      <c r="C11" s="132"/>
      <c r="E11" s="139"/>
      <c r="G11" s="132"/>
    </row>
    <row r="12" spans="1:7" x14ac:dyDescent="0.2">
      <c r="A12" s="137" t="s">
        <v>246</v>
      </c>
      <c r="B12" s="141">
        <v>-2193</v>
      </c>
      <c r="C12" s="135" t="s">
        <v>247</v>
      </c>
      <c r="E12" s="137" t="s">
        <v>145</v>
      </c>
      <c r="F12" s="148">
        <v>1274</v>
      </c>
      <c r="G12" s="135" t="s">
        <v>146</v>
      </c>
    </row>
    <row r="13" spans="1:7" x14ac:dyDescent="0.2">
      <c r="A13" s="134" t="s">
        <v>248</v>
      </c>
      <c r="B13" s="138">
        <v>4894</v>
      </c>
      <c r="C13" s="132" t="s">
        <v>249</v>
      </c>
      <c r="E13" s="134" t="s">
        <v>149</v>
      </c>
      <c r="F13" s="147">
        <f>F8/F12</f>
        <v>47.798273155416013</v>
      </c>
      <c r="G13" s="132" t="s">
        <v>150</v>
      </c>
    </row>
    <row r="14" spans="1:7" x14ac:dyDescent="0.2">
      <c r="A14" s="137" t="s">
        <v>250</v>
      </c>
      <c r="B14" s="141">
        <v>2549</v>
      </c>
      <c r="C14" s="135" t="s">
        <v>249</v>
      </c>
      <c r="E14" s="139"/>
      <c r="G14" s="132"/>
    </row>
    <row r="15" spans="1:7" x14ac:dyDescent="0.2">
      <c r="A15" s="134" t="s">
        <v>251</v>
      </c>
      <c r="B15" s="138">
        <v>2404</v>
      </c>
      <c r="C15" s="132" t="s">
        <v>249</v>
      </c>
      <c r="E15" s="137" t="s">
        <v>155</v>
      </c>
      <c r="F15" s="141">
        <v>49000</v>
      </c>
      <c r="G15" s="135" t="s">
        <v>156</v>
      </c>
    </row>
    <row r="16" spans="1:7" x14ac:dyDescent="0.2">
      <c r="A16" s="137" t="s">
        <v>252</v>
      </c>
      <c r="B16" s="141">
        <v>875</v>
      </c>
      <c r="C16" s="135" t="s">
        <v>253</v>
      </c>
      <c r="E16" s="134" t="s">
        <v>159</v>
      </c>
      <c r="F16" s="146">
        <v>5.5E-2</v>
      </c>
      <c r="G16" s="132" t="s">
        <v>160</v>
      </c>
    </row>
    <row r="17" spans="1:7" x14ac:dyDescent="0.2">
      <c r="A17" s="134" t="s">
        <v>254</v>
      </c>
      <c r="B17" s="144" t="str">
        <f>IF(B12&lt;0,"N/A – neg. base",((B16/B12)^(1/4)-1))</f>
        <v>N/A – neg. base</v>
      </c>
      <c r="C17" s="132" t="s">
        <v>256</v>
      </c>
      <c r="E17" s="137" t="s">
        <v>62</v>
      </c>
      <c r="F17" s="145">
        <v>0.2319</v>
      </c>
      <c r="G17" s="135" t="s">
        <v>257</v>
      </c>
    </row>
    <row r="18" spans="1:7" x14ac:dyDescent="0.2">
      <c r="A18" s="139"/>
      <c r="C18" s="132"/>
      <c r="E18" s="134" t="s">
        <v>164</v>
      </c>
      <c r="F18" s="133">
        <f>F15*F16*(1-F17)</f>
        <v>2070.0295000000001</v>
      </c>
      <c r="G18" s="132" t="s">
        <v>134</v>
      </c>
    </row>
    <row r="19" spans="1:7" x14ac:dyDescent="0.2">
      <c r="A19" s="137" t="s">
        <v>258</v>
      </c>
      <c r="B19" s="145">
        <v>0.04</v>
      </c>
      <c r="C19" s="135" t="s">
        <v>284</v>
      </c>
      <c r="E19" s="139"/>
      <c r="G19" s="132"/>
    </row>
    <row r="20" spans="1:7" x14ac:dyDescent="0.2">
      <c r="A20" s="139" t="s">
        <v>260</v>
      </c>
      <c r="B20" s="144">
        <f>B19</f>
        <v>0.04</v>
      </c>
      <c r="C20" s="132" t="s">
        <v>261</v>
      </c>
      <c r="E20" s="137" t="s">
        <v>168</v>
      </c>
      <c r="F20" s="141">
        <v>500</v>
      </c>
      <c r="G20" s="135" t="s">
        <v>169</v>
      </c>
    </row>
    <row r="21" spans="1:7" x14ac:dyDescent="0.2">
      <c r="A21" s="143" t="s">
        <v>262</v>
      </c>
      <c r="B21" s="142">
        <f>B19</f>
        <v>0.04</v>
      </c>
      <c r="C21" s="135" t="s">
        <v>261</v>
      </c>
      <c r="E21" s="134" t="s">
        <v>170</v>
      </c>
      <c r="F21" s="138">
        <v>800</v>
      </c>
      <c r="G21" s="132" t="s">
        <v>171</v>
      </c>
    </row>
    <row r="22" spans="1:7" x14ac:dyDescent="0.2">
      <c r="A22" s="139"/>
      <c r="C22" s="132"/>
      <c r="E22" s="137" t="s">
        <v>174</v>
      </c>
      <c r="F22" s="141">
        <v>1200</v>
      </c>
      <c r="G22" s="135" t="s">
        <v>175</v>
      </c>
    </row>
    <row r="23" spans="1:7" x14ac:dyDescent="0.2">
      <c r="A23" s="134" t="s">
        <v>165</v>
      </c>
      <c r="B23" s="138">
        <v>11497</v>
      </c>
      <c r="C23" s="132" t="s">
        <v>158</v>
      </c>
    </row>
    <row r="24" spans="1:7" x14ac:dyDescent="0.2">
      <c r="A24" s="137" t="s">
        <v>167</v>
      </c>
      <c r="B24" s="140">
        <f>B23/B7</f>
        <v>4.0087168758716878</v>
      </c>
      <c r="C24" s="135" t="s">
        <v>134</v>
      </c>
    </row>
    <row r="25" spans="1:7" x14ac:dyDescent="0.2">
      <c r="A25" s="139"/>
      <c r="C25" s="132"/>
    </row>
    <row r="26" spans="1:7" x14ac:dyDescent="0.2">
      <c r="A26" s="134" t="s">
        <v>178</v>
      </c>
      <c r="B26" s="138">
        <v>17800</v>
      </c>
      <c r="C26" s="132" t="s">
        <v>179</v>
      </c>
    </row>
    <row r="27" spans="1:7" x14ac:dyDescent="0.2">
      <c r="A27" s="137" t="s">
        <v>180</v>
      </c>
      <c r="B27" s="136">
        <f>B26*(1+B20)</f>
        <v>18512</v>
      </c>
      <c r="C27" s="135" t="s">
        <v>263</v>
      </c>
    </row>
    <row r="28" spans="1:7" x14ac:dyDescent="0.2">
      <c r="A28" s="134" t="s">
        <v>182</v>
      </c>
      <c r="B28" s="133">
        <f>B27*(1+B21)</f>
        <v>19252.48</v>
      </c>
      <c r="C28" s="132" t="s">
        <v>263</v>
      </c>
    </row>
    <row r="29" spans="1:7" ht="38" customHeight="1" x14ac:dyDescent="0.2">
      <c r="A29" s="234" t="s">
        <v>285</v>
      </c>
      <c r="B29" s="231"/>
      <c r="C29" s="231"/>
    </row>
    <row r="30" spans="1:7" ht="6" customHeight="1" x14ac:dyDescent="0.2">
      <c r="A30" s="231"/>
      <c r="B30" s="231"/>
      <c r="C30" s="231"/>
    </row>
    <row r="31" spans="1:7" ht="6" customHeight="1" x14ac:dyDescent="0.2"/>
    <row r="32" spans="1:7" x14ac:dyDescent="0.2">
      <c r="A32" s="230" t="s">
        <v>183</v>
      </c>
      <c r="B32" s="231"/>
      <c r="C32" s="231"/>
      <c r="D32" s="231"/>
      <c r="E32" s="231"/>
      <c r="F32" s="231"/>
      <c r="G32" s="231"/>
    </row>
  </sheetData>
  <mergeCells count="4">
    <mergeCell ref="A32:G32"/>
    <mergeCell ref="A2:G2"/>
    <mergeCell ref="A1:G1"/>
    <mergeCell ref="A29:C3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805F-85F0-CB41-B24F-4CC0805A8062}">
  <dimension ref="A1:G58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45.83203125" style="131" bestFit="1" customWidth="1"/>
    <col min="2" max="3" width="15.6640625" style="131" bestFit="1" customWidth="1"/>
    <col min="4" max="4" width="18.5" style="131" customWidth="1"/>
    <col min="5" max="5" width="6.6640625" style="131" bestFit="1" customWidth="1"/>
    <col min="6" max="16384" width="8.83203125" style="131"/>
  </cols>
  <sheetData>
    <row r="1" spans="1:5" ht="28" customHeight="1" x14ac:dyDescent="0.2">
      <c r="A1" s="233" t="s">
        <v>311</v>
      </c>
      <c r="B1" s="231"/>
      <c r="C1" s="231"/>
      <c r="D1" s="231"/>
      <c r="E1" s="231"/>
    </row>
    <row r="2" spans="1:5" ht="16" customHeight="1" x14ac:dyDescent="0.2">
      <c r="A2" s="232" t="s">
        <v>287</v>
      </c>
      <c r="B2" s="231"/>
      <c r="C2" s="231"/>
      <c r="D2" s="231"/>
      <c r="E2" s="231"/>
    </row>
    <row r="3" spans="1:5" ht="6" customHeight="1" x14ac:dyDescent="0.2"/>
    <row r="4" spans="1:5" ht="22" customHeight="1" x14ac:dyDescent="0.2">
      <c r="A4" s="158" t="s">
        <v>186</v>
      </c>
      <c r="B4" s="158" t="s">
        <v>187</v>
      </c>
      <c r="C4" s="158" t="s">
        <v>188</v>
      </c>
      <c r="D4" s="158" t="s">
        <v>189</v>
      </c>
    </row>
    <row r="5" spans="1:5" ht="17" customHeight="1" x14ac:dyDescent="0.2">
      <c r="A5" s="153" t="s">
        <v>190</v>
      </c>
      <c r="B5" s="152"/>
      <c r="C5" s="152"/>
      <c r="D5" s="152"/>
    </row>
    <row r="6" spans="1:5" x14ac:dyDescent="0.2">
      <c r="A6" s="143" t="s">
        <v>191</v>
      </c>
      <c r="B6" s="170">
        <f>'Assumptions (VF)'!B7</f>
        <v>2868</v>
      </c>
      <c r="C6" s="170">
        <f>'Assumptions (VF)'!B7</f>
        <v>2868</v>
      </c>
      <c r="D6" s="170">
        <f>'Assumptions (VF)'!B7</f>
        <v>2868</v>
      </c>
    </row>
    <row r="7" spans="1:5" x14ac:dyDescent="0.2">
      <c r="A7" s="139" t="s">
        <v>192</v>
      </c>
      <c r="B7" s="168">
        <f>'Assumptions (VF)'!F12</f>
        <v>1274</v>
      </c>
      <c r="C7" s="168">
        <f>'Assumptions (VF)'!F12</f>
        <v>1274</v>
      </c>
      <c r="D7" s="168">
        <f>'Assumptions (VF)'!F12</f>
        <v>1274</v>
      </c>
    </row>
    <row r="8" spans="1:5" x14ac:dyDescent="0.2">
      <c r="A8" s="137" t="s">
        <v>193</v>
      </c>
      <c r="B8" s="169">
        <f>B6+B7</f>
        <v>4142</v>
      </c>
      <c r="C8" s="169">
        <f>C6+C7</f>
        <v>4142</v>
      </c>
      <c r="D8" s="169">
        <f>D6+D7</f>
        <v>4142</v>
      </c>
    </row>
    <row r="9" spans="1:5" ht="6" customHeight="1" x14ac:dyDescent="0.2"/>
    <row r="10" spans="1:5" ht="17" customHeight="1" x14ac:dyDescent="0.2">
      <c r="A10" s="153" t="s">
        <v>194</v>
      </c>
      <c r="B10" s="152"/>
      <c r="C10" s="152"/>
      <c r="D10" s="152"/>
    </row>
    <row r="11" spans="1:5" x14ac:dyDescent="0.2">
      <c r="A11" s="143" t="s">
        <v>195</v>
      </c>
      <c r="B11" s="167">
        <f>'Assumptions (VF)'!B23</f>
        <v>11497</v>
      </c>
      <c r="C11" s="167">
        <f>B11*(1+'Assumptions (VF)'!B20)</f>
        <v>11956.880000000001</v>
      </c>
      <c r="D11" s="167">
        <f>C11*(1+'Assumptions (VF)'!B21)</f>
        <v>12435.155200000001</v>
      </c>
    </row>
    <row r="12" spans="1:5" x14ac:dyDescent="0.2">
      <c r="A12" s="139" t="s">
        <v>191</v>
      </c>
      <c r="B12" s="168">
        <f>'Assumptions (VF)'!B7</f>
        <v>2868</v>
      </c>
      <c r="C12" s="168">
        <f>'Assumptions (VF)'!B7</f>
        <v>2868</v>
      </c>
      <c r="D12" s="168">
        <f>'Assumptions (VF)'!B7</f>
        <v>2868</v>
      </c>
    </row>
    <row r="13" spans="1:5" x14ac:dyDescent="0.2">
      <c r="A13" s="137" t="s">
        <v>196</v>
      </c>
      <c r="B13" s="140">
        <f>B11/B12</f>
        <v>4.0087168758716878</v>
      </c>
      <c r="C13" s="140">
        <f>C11/C12</f>
        <v>4.1690655509065557</v>
      </c>
      <c r="D13" s="140">
        <f>D11/D12</f>
        <v>4.3358281729428176</v>
      </c>
    </row>
    <row r="14" spans="1:5" ht="6" customHeight="1" x14ac:dyDescent="0.2"/>
    <row r="15" spans="1:5" ht="17" customHeight="1" x14ac:dyDescent="0.2">
      <c r="A15" s="153" t="s">
        <v>197</v>
      </c>
      <c r="B15" s="152"/>
      <c r="C15" s="152"/>
      <c r="D15" s="152"/>
    </row>
    <row r="16" spans="1:5" x14ac:dyDescent="0.2">
      <c r="A16" s="143" t="s">
        <v>195</v>
      </c>
      <c r="B16" s="136">
        <f>B11</f>
        <v>11497</v>
      </c>
      <c r="C16" s="136">
        <f>C11</f>
        <v>11956.880000000001</v>
      </c>
      <c r="D16" s="136">
        <f>D11</f>
        <v>12435.155200000001</v>
      </c>
    </row>
    <row r="17" spans="1:4" x14ac:dyDescent="0.2">
      <c r="A17" s="139" t="s">
        <v>198</v>
      </c>
      <c r="B17" s="166">
        <f>'Assumptions (VF)'!B26-'Assumptions (VF)'!B23</f>
        <v>6303</v>
      </c>
      <c r="C17" s="166">
        <f>'Assumptions (VF)'!B27-B11*(1+'Assumptions (VF)'!B20)</f>
        <v>6555.119999999999</v>
      </c>
      <c r="D17" s="166">
        <f>'Assumptions (VF)'!B28-C11*(1+'Assumptions (VF)'!B21)</f>
        <v>6817.3247999999985</v>
      </c>
    </row>
    <row r="18" spans="1:4" x14ac:dyDescent="0.2">
      <c r="A18" s="143" t="s">
        <v>199</v>
      </c>
      <c r="B18" s="167">
        <f>-'Assumptions (VF)'!F18</f>
        <v>-2070.0295000000001</v>
      </c>
      <c r="C18" s="167">
        <f>-'Assumptions (VF)'!F18</f>
        <v>-2070.0295000000001</v>
      </c>
      <c r="D18" s="167">
        <f>-'Assumptions (VF)'!F18</f>
        <v>-2070.0295000000001</v>
      </c>
    </row>
    <row r="19" spans="1:4" x14ac:dyDescent="0.2">
      <c r="A19" s="139" t="s">
        <v>200</v>
      </c>
      <c r="B19" s="166">
        <f>'Assumptions (VF)'!F20*(1-'Assumptions (VF)'!F17)</f>
        <v>384.05</v>
      </c>
      <c r="C19" s="166">
        <f>'Assumptions (VF)'!F20*(1-'Assumptions (VF)'!F17)*1.1</f>
        <v>422.45500000000004</v>
      </c>
      <c r="D19" s="166">
        <f>'Assumptions (VF)'!F20*(1-'Assumptions (VF)'!F17)*1.2</f>
        <v>460.86</v>
      </c>
    </row>
    <row r="20" spans="1:4" x14ac:dyDescent="0.2">
      <c r="A20" s="143" t="s">
        <v>201</v>
      </c>
      <c r="B20" s="167">
        <f>-'Assumptions (VF)'!F21</f>
        <v>-800</v>
      </c>
      <c r="C20" s="167">
        <f>-'Assumptions (VF)'!F21</f>
        <v>-800</v>
      </c>
      <c r="D20" s="167">
        <f>-'Assumptions (VF)'!F21</f>
        <v>-800</v>
      </c>
    </row>
    <row r="21" spans="1:4" x14ac:dyDescent="0.2">
      <c r="A21" s="139" t="s">
        <v>202</v>
      </c>
      <c r="B21" s="166">
        <f>-'Assumptions (VF)'!F22</f>
        <v>-1200</v>
      </c>
      <c r="C21" s="133">
        <f>0</f>
        <v>0</v>
      </c>
      <c r="D21" s="133">
        <f>0</f>
        <v>0</v>
      </c>
    </row>
    <row r="22" spans="1:4" x14ac:dyDescent="0.2">
      <c r="A22" s="137" t="s">
        <v>203</v>
      </c>
      <c r="B22" s="136">
        <f>SUM(B16:B21)</f>
        <v>14114.020499999999</v>
      </c>
      <c r="C22" s="136">
        <f>SUM(C16:C21)</f>
        <v>16064.425500000001</v>
      </c>
      <c r="D22" s="136">
        <f>SUM(D16:D21)</f>
        <v>16843.3105</v>
      </c>
    </row>
    <row r="23" spans="1:4" ht="6" customHeight="1" x14ac:dyDescent="0.2"/>
    <row r="24" spans="1:4" ht="17" customHeight="1" x14ac:dyDescent="0.2">
      <c r="A24" s="153" t="s">
        <v>204</v>
      </c>
      <c r="B24" s="152"/>
      <c r="C24" s="152"/>
      <c r="D24" s="152"/>
    </row>
    <row r="25" spans="1:4" x14ac:dyDescent="0.2">
      <c r="A25" s="143" t="s">
        <v>205</v>
      </c>
      <c r="B25" s="136">
        <f>B22</f>
        <v>14114.020499999999</v>
      </c>
      <c r="C25" s="136">
        <f>C22</f>
        <v>16064.425500000001</v>
      </c>
      <c r="D25" s="136">
        <f>D22</f>
        <v>16843.3105</v>
      </c>
    </row>
    <row r="26" spans="1:4" x14ac:dyDescent="0.2">
      <c r="A26" s="139" t="s">
        <v>193</v>
      </c>
      <c r="B26" s="165">
        <f>B8</f>
        <v>4142</v>
      </c>
      <c r="C26" s="165">
        <f>C8</f>
        <v>4142</v>
      </c>
      <c r="D26" s="165">
        <f>D8</f>
        <v>4142</v>
      </c>
    </row>
    <row r="27" spans="1:4" x14ac:dyDescent="0.2">
      <c r="A27" s="137" t="s">
        <v>206</v>
      </c>
      <c r="B27" s="140">
        <f>B25/B26</f>
        <v>3.4075375422501204</v>
      </c>
      <c r="C27" s="140">
        <f>C25/C26</f>
        <v>3.8784223804925162</v>
      </c>
      <c r="D27" s="140">
        <f>D25/D26</f>
        <v>4.066468010622887</v>
      </c>
    </row>
    <row r="28" spans="1:4" x14ac:dyDescent="0.2">
      <c r="A28" s="139"/>
      <c r="B28" s="164"/>
      <c r="C28" s="164"/>
      <c r="D28" s="164"/>
    </row>
    <row r="29" spans="1:4" x14ac:dyDescent="0.2">
      <c r="A29" s="143" t="s">
        <v>207</v>
      </c>
      <c r="B29" s="140">
        <f>B13</f>
        <v>4.0087168758716878</v>
      </c>
      <c r="C29" s="140">
        <f>C13</f>
        <v>4.1690655509065557</v>
      </c>
      <c r="D29" s="140">
        <f>D13</f>
        <v>4.3358281729428176</v>
      </c>
    </row>
    <row r="30" spans="1:4" x14ac:dyDescent="0.2">
      <c r="A30" s="139" t="s">
        <v>208</v>
      </c>
      <c r="B30" s="163">
        <f>B27</f>
        <v>3.4075375422501204</v>
      </c>
      <c r="C30" s="163">
        <f>C27</f>
        <v>3.8784223804925162</v>
      </c>
      <c r="D30" s="163">
        <f>D27</f>
        <v>4.066468010622887</v>
      </c>
    </row>
    <row r="31" spans="1:4" x14ac:dyDescent="0.2">
      <c r="A31" s="137" t="s">
        <v>209</v>
      </c>
      <c r="B31" s="162">
        <f>B30-B29</f>
        <v>-0.60117933362156739</v>
      </c>
      <c r="C31" s="162">
        <f>C30-C29</f>
        <v>-0.29064317041403953</v>
      </c>
      <c r="D31" s="162">
        <f>D30-D29</f>
        <v>-0.26936016231993065</v>
      </c>
    </row>
    <row r="32" spans="1:4" x14ac:dyDescent="0.2">
      <c r="A32" s="137" t="s">
        <v>210</v>
      </c>
      <c r="B32" s="161">
        <f>B31/B29</f>
        <v>-0.149968020251079</v>
      </c>
      <c r="C32" s="161">
        <f>C31/C29</f>
        <v>-6.9714224174489095E-2</v>
      </c>
      <c r="D32" s="161">
        <f>D31/D29</f>
        <v>-6.2124270514417143E-2</v>
      </c>
    </row>
    <row r="33" spans="1:7" ht="6" customHeight="1" x14ac:dyDescent="0.2"/>
    <row r="34" spans="1:7" x14ac:dyDescent="0.2">
      <c r="A34" s="230" t="s">
        <v>267</v>
      </c>
      <c r="B34" s="231"/>
      <c r="C34" s="231"/>
      <c r="D34" s="231"/>
      <c r="E34" s="231"/>
    </row>
    <row r="35" spans="1:7" x14ac:dyDescent="0.2">
      <c r="A35" s="233" t="s">
        <v>211</v>
      </c>
      <c r="B35" s="231"/>
      <c r="C35" s="231"/>
      <c r="D35" s="231"/>
      <c r="E35" s="231"/>
      <c r="F35" s="231"/>
      <c r="G35" s="231"/>
    </row>
    <row r="36" spans="1:7" x14ac:dyDescent="0.2">
      <c r="A36" s="232" t="s">
        <v>288</v>
      </c>
      <c r="B36" s="231"/>
      <c r="C36" s="231"/>
      <c r="D36" s="231"/>
      <c r="E36" s="231"/>
      <c r="F36" s="231"/>
      <c r="G36" s="231"/>
    </row>
    <row r="38" spans="1:7" x14ac:dyDescent="0.2">
      <c r="A38" s="235" t="s">
        <v>269</v>
      </c>
      <c r="B38" s="231"/>
      <c r="C38" s="231"/>
      <c r="D38" s="231"/>
      <c r="E38" s="231"/>
      <c r="F38" s="231"/>
      <c r="G38" s="231"/>
    </row>
    <row r="39" spans="1:7" x14ac:dyDescent="0.2">
      <c r="A39" s="151" t="s">
        <v>270</v>
      </c>
      <c r="B39" s="157">
        <v>0.02</v>
      </c>
      <c r="C39" s="157">
        <v>0.03</v>
      </c>
      <c r="D39" s="151" t="s">
        <v>290</v>
      </c>
      <c r="E39" s="157">
        <v>0.05</v>
      </c>
      <c r="F39" s="157">
        <v>0.06</v>
      </c>
      <c r="G39" s="157">
        <v>7.0000000000000007E-2</v>
      </c>
    </row>
    <row r="40" spans="1:7" x14ac:dyDescent="0.2">
      <c r="A40" s="155">
        <v>0</v>
      </c>
      <c r="B40" s="160">
        <f>('Assumptions (VF)'!B26*(1+0.02)^2+0*1.2*(1-'Assumptions (VF)'!F17)-'Assumptions (VF)'!F18-'Assumptions (VF)'!F21)/('Assumptions (VF)'!B7+'Assumptions (VF)'!F12)</f>
        <v>3.7781483582810234</v>
      </c>
      <c r="C40" s="160">
        <f>('Assumptions (VF)'!B26*(1+0.03)^2+0*1.2*(1-'Assumptions (VF)'!F17)-'Assumptions (VF)'!F18-'Assumptions (VF)'!F21)/('Assumptions (VF)'!B7+'Assumptions (VF)'!F12)</f>
        <v>3.8662458957025589</v>
      </c>
      <c r="D40" s="160">
        <f>('Assumptions (VF)'!B26*(1+0.04)^2+0*1.2*(1-'Assumptions (VF)'!F17)-'Assumptions (VF)'!F18-'Assumptions (VF)'!F21)/('Assumptions (VF)'!B7+'Assumptions (VF)'!F12)</f>
        <v>3.9552029212940614</v>
      </c>
      <c r="E40" s="160">
        <f>('Assumptions (VF)'!B26*(1+0.05)^2+0*1.2*(1-'Assumptions (VF)'!F17)-'Assumptions (VF)'!F18-'Assumptions (VF)'!F21)/('Assumptions (VF)'!B7+'Assumptions (VF)'!F12)</f>
        <v>4.0450194350555284</v>
      </c>
      <c r="F40" s="160">
        <f>('Assumptions (VF)'!B26*(1+0.06)^2+0*1.2*(1-'Assumptions (VF)'!F17)-'Assumptions (VF)'!F18-'Assumptions (VF)'!F21)/('Assumptions (VF)'!B7+'Assumptions (VF)'!F12)</f>
        <v>4.1356954369869632</v>
      </c>
      <c r="G40" s="160">
        <f>('Assumptions (VF)'!B26*(1+0.07)^2+0*1.2*(1-'Assumptions (VF)'!F17)-'Assumptions (VF)'!F18-'Assumptions (VF)'!F21)/('Assumptions (VF)'!B7+'Assumptions (VF)'!F12)</f>
        <v>4.227230927088363</v>
      </c>
    </row>
    <row r="41" spans="1:7" x14ac:dyDescent="0.2">
      <c r="A41" s="155">
        <v>250</v>
      </c>
      <c r="B41" s="160">
        <f>('Assumptions (VF)'!B26*(1+0.02)^2+250*1.2*(1-'Assumptions (VF)'!F17)-'Assumptions (VF)'!F18-'Assumptions (VF)'!F21)/('Assumptions (VF)'!B7+'Assumptions (VF)'!F12)</f>
        <v>3.8337809029454366</v>
      </c>
      <c r="C41" s="160">
        <f>('Assumptions (VF)'!B26*(1+0.03)^2+250*1.2*(1-'Assumptions (VF)'!F17)-'Assumptions (VF)'!F18-'Assumptions (VF)'!F21)/('Assumptions (VF)'!B7+'Assumptions (VF)'!F12)</f>
        <v>3.9218784403669726</v>
      </c>
      <c r="D41" s="160">
        <f>('Assumptions (VF)'!B26*(1+0.04)^2+250*1.2*(1-'Assumptions (VF)'!F17)-'Assumptions (VF)'!F18-'Assumptions (VF)'!F21)/('Assumptions (VF)'!B7+'Assumptions (VF)'!F12)</f>
        <v>4.0108354659584746</v>
      </c>
      <c r="E41" s="160">
        <f>('Assumptions (VF)'!B26*(1+0.05)^2+250*1.2*(1-'Assumptions (VF)'!F17)-'Assumptions (VF)'!F18-'Assumptions (VF)'!F21)/('Assumptions (VF)'!B7+'Assumptions (VF)'!F12)</f>
        <v>4.1006519797199417</v>
      </c>
      <c r="F41" s="160">
        <f>('Assumptions (VF)'!B26*(1+0.06)^2+250*1.2*(1-'Assumptions (VF)'!F17)-'Assumptions (VF)'!F18-'Assumptions (VF)'!F21)/('Assumptions (VF)'!B7+'Assumptions (VF)'!F12)</f>
        <v>4.1913279816513764</v>
      </c>
      <c r="G41" s="160">
        <f>('Assumptions (VF)'!B26*(1+0.07)^2+250*1.2*(1-'Assumptions (VF)'!F17)-'Assumptions (VF)'!F18-'Assumptions (VF)'!F21)/('Assumptions (VF)'!B7+'Assumptions (VF)'!F12)</f>
        <v>4.2828634717527763</v>
      </c>
    </row>
    <row r="42" spans="1:7" x14ac:dyDescent="0.2">
      <c r="A42" s="155">
        <v>500</v>
      </c>
      <c r="B42" s="160">
        <f>('Assumptions (VF)'!B26*(1+0.02)^2+500*1.2*(1-'Assumptions (VF)'!F17)-'Assumptions (VF)'!F18-'Assumptions (VF)'!F21)/('Assumptions (VF)'!B7+'Assumptions (VF)'!F12)</f>
        <v>3.8894134476098499</v>
      </c>
      <c r="C42" s="160">
        <f>('Assumptions (VF)'!B26*(1+0.03)^2+500*1.2*(1-'Assumptions (VF)'!F17)-'Assumptions (VF)'!F18-'Assumptions (VF)'!F21)/('Assumptions (VF)'!B7+'Assumptions (VF)'!F12)</f>
        <v>3.9775109850313859</v>
      </c>
      <c r="D42" s="160">
        <f>('Assumptions (VF)'!B26*(1+0.04)^2+500*1.2*(1-'Assumptions (VF)'!F17)-'Assumptions (VF)'!F18-'Assumptions (VF)'!F21)/('Assumptions (VF)'!B7+'Assumptions (VF)'!F12)</f>
        <v>4.0664680106228879</v>
      </c>
      <c r="E42" s="160">
        <f>('Assumptions (VF)'!B26*(1+0.05)^2+500*1.2*(1-'Assumptions (VF)'!F17)-'Assumptions (VF)'!F18-'Assumptions (VF)'!F21)/('Assumptions (VF)'!B7+'Assumptions (VF)'!F12)</f>
        <v>4.1562845243843558</v>
      </c>
      <c r="F42" s="160">
        <f>('Assumptions (VF)'!B26*(1+0.06)^2+500*1.2*(1-'Assumptions (VF)'!F17)-'Assumptions (VF)'!F18-'Assumptions (VF)'!F21)/('Assumptions (VF)'!B7+'Assumptions (VF)'!F12)</f>
        <v>4.2469605263157897</v>
      </c>
      <c r="G42" s="160">
        <f>('Assumptions (VF)'!B26*(1+0.07)^2+500*1.2*(1-'Assumptions (VF)'!F17)-'Assumptions (VF)'!F18-'Assumptions (VF)'!F21)/('Assumptions (VF)'!B7+'Assumptions (VF)'!F12)</f>
        <v>4.3384960164171904</v>
      </c>
    </row>
    <row r="43" spans="1:7" x14ac:dyDescent="0.2">
      <c r="A43" s="155">
        <v>750</v>
      </c>
      <c r="B43" s="160">
        <f>('Assumptions (VF)'!B26*(1+0.02)^2+750*1.2*(1-'Assumptions (VF)'!F17)-'Assumptions (VF)'!F18-'Assumptions (VF)'!F21)/('Assumptions (VF)'!B7+'Assumptions (VF)'!F12)</f>
        <v>3.9450459922742636</v>
      </c>
      <c r="C43" s="160">
        <f>('Assumptions (VF)'!B26*(1+0.03)^2+750*1.2*(1-'Assumptions (VF)'!F17)-'Assumptions (VF)'!F18-'Assumptions (VF)'!F21)/('Assumptions (VF)'!B7+'Assumptions (VF)'!F12)</f>
        <v>4.0331435296957991</v>
      </c>
      <c r="D43" s="160">
        <f>('Assumptions (VF)'!B26*(1+0.04)^2+750*1.2*(1-'Assumptions (VF)'!F17)-'Assumptions (VF)'!F18-'Assumptions (VF)'!F21)/('Assumptions (VF)'!B7+'Assumptions (VF)'!F12)</f>
        <v>4.122100555287302</v>
      </c>
      <c r="E43" s="160">
        <f>('Assumptions (VF)'!B26*(1+0.05)^2+750*1.2*(1-'Assumptions (VF)'!F17)-'Assumptions (VF)'!F18-'Assumptions (VF)'!F21)/('Assumptions (VF)'!B7+'Assumptions (VF)'!F12)</f>
        <v>4.2119170690487691</v>
      </c>
      <c r="F43" s="160">
        <f>('Assumptions (VF)'!B26*(1+0.06)^2+750*1.2*(1-'Assumptions (VF)'!F17)-'Assumptions (VF)'!F18-'Assumptions (VF)'!F21)/('Assumptions (VF)'!B7+'Assumptions (VF)'!F12)</f>
        <v>4.3025930709802029</v>
      </c>
      <c r="G43" s="160">
        <f>('Assumptions (VF)'!B26*(1+0.07)^2+750*1.2*(1-'Assumptions (VF)'!F17)-'Assumptions (VF)'!F18-'Assumptions (VF)'!F21)/('Assumptions (VF)'!B7+'Assumptions (VF)'!F12)</f>
        <v>4.3941285610816037</v>
      </c>
    </row>
    <row r="44" spans="1:7" x14ac:dyDescent="0.2">
      <c r="A44" s="155">
        <v>1000</v>
      </c>
      <c r="B44" s="160">
        <f>('Assumptions (VF)'!B26*(1+0.02)^2+1000*1.2*(1-'Assumptions (VF)'!F17)-'Assumptions (VF)'!F18-'Assumptions (VF)'!F21)/('Assumptions (VF)'!B7+'Assumptions (VF)'!F12)</f>
        <v>4.0006785369386773</v>
      </c>
      <c r="C44" s="160">
        <f>('Assumptions (VF)'!B26*(1+0.03)^2+1000*1.2*(1-'Assumptions (VF)'!F17)-'Assumptions (VF)'!F18-'Assumptions (VF)'!F21)/('Assumptions (VF)'!B7+'Assumptions (VF)'!F12)</f>
        <v>4.0887760743602124</v>
      </c>
      <c r="D44" s="160">
        <f>('Assumptions (VF)'!B26*(1+0.04)^2+1000*1.2*(1-'Assumptions (VF)'!F17)-'Assumptions (VF)'!F18-'Assumptions (VF)'!F21)/('Assumptions (VF)'!B7+'Assumptions (VF)'!F12)</f>
        <v>4.1777330999517153</v>
      </c>
      <c r="E44" s="160">
        <f>('Assumptions (VF)'!B26*(1+0.05)^2+1000*1.2*(1-'Assumptions (VF)'!F17)-'Assumptions (VF)'!F18-'Assumptions (VF)'!F21)/('Assumptions (VF)'!B7+'Assumptions (VF)'!F12)</f>
        <v>4.2675496137131823</v>
      </c>
      <c r="F44" s="160">
        <f>('Assumptions (VF)'!B26*(1+0.06)^2+1000*1.2*(1-'Assumptions (VF)'!F17)-'Assumptions (VF)'!F18-'Assumptions (VF)'!F21)/('Assumptions (VF)'!B7+'Assumptions (VF)'!F12)</f>
        <v>4.3582256156446171</v>
      </c>
      <c r="G44" s="160">
        <f>('Assumptions (VF)'!B26*(1+0.07)^2+1000*1.2*(1-'Assumptions (VF)'!F17)-'Assumptions (VF)'!F18-'Assumptions (VF)'!F21)/('Assumptions (VF)'!B7+'Assumptions (VF)'!F12)</f>
        <v>4.4497611057460169</v>
      </c>
    </row>
    <row r="45" spans="1:7" x14ac:dyDescent="0.2">
      <c r="A45" s="155">
        <v>1500</v>
      </c>
      <c r="B45" s="159">
        <f>('Assumptions (VF)'!B26*(1+0.02)^2+1500*1.2*(1-'Assumptions (VF)'!F17)-'Assumptions (VF)'!F18-'Assumptions (VF)'!F21)/('Assumptions (VF)'!B7+'Assumptions (VF)'!F12)</f>
        <v>4.1119436262675029</v>
      </c>
      <c r="C45" s="159">
        <f>('Assumptions (VF)'!B26*(1+0.03)^2+1500*1.2*(1-'Assumptions (VF)'!F17)-'Assumptions (VF)'!F18-'Assumptions (VF)'!F21)/('Assumptions (VF)'!B7+'Assumptions (VF)'!F12)</f>
        <v>4.2000411636890389</v>
      </c>
      <c r="D45" s="159">
        <f>('Assumptions (VF)'!B26*(1+0.04)^2+1500*1.2*(1-'Assumptions (VF)'!F17)-'Assumptions (VF)'!F18-'Assumptions (VF)'!F21)/('Assumptions (VF)'!B7+'Assumptions (VF)'!F12)</f>
        <v>4.2889981892805418</v>
      </c>
      <c r="E45" s="159">
        <f>('Assumptions (VF)'!B26*(1+0.05)^2+1500*1.2*(1-'Assumptions (VF)'!F17)-'Assumptions (VF)'!F18-'Assumptions (VF)'!F21)/('Assumptions (VF)'!B7+'Assumptions (VF)'!F12)</f>
        <v>4.3788147030420088</v>
      </c>
      <c r="F45" s="159">
        <f>('Assumptions (VF)'!B26*(1+0.06)^2+1500*1.2*(1-'Assumptions (VF)'!F17)-'Assumptions (VF)'!F18-'Assumptions (VF)'!F21)/('Assumptions (VF)'!B7+'Assumptions (VF)'!F12)</f>
        <v>4.4694907049734436</v>
      </c>
      <c r="G45" s="159">
        <f>('Assumptions (VF)'!B26*(1+0.07)^2+1500*1.2*(1-'Assumptions (VF)'!F17)-'Assumptions (VF)'!F18-'Assumptions (VF)'!F21)/('Assumptions (VF)'!B7+'Assumptions (VF)'!F12)</f>
        <v>4.5610261950748434</v>
      </c>
    </row>
    <row r="46" spans="1:7" x14ac:dyDescent="0.2">
      <c r="A46" s="155">
        <v>2000</v>
      </c>
      <c r="B46" s="159">
        <f>('Assumptions (VF)'!B26*(1+0.02)^2+2000*1.2*(1-'Assumptions (VF)'!F17)-'Assumptions (VF)'!F18-'Assumptions (VF)'!F21)/('Assumptions (VF)'!B7+'Assumptions (VF)'!F12)</f>
        <v>4.2232087155963294</v>
      </c>
      <c r="C46" s="159">
        <f>('Assumptions (VF)'!B26*(1+0.03)^2+2000*1.2*(1-'Assumptions (VF)'!F17)-'Assumptions (VF)'!F18-'Assumptions (VF)'!F21)/('Assumptions (VF)'!B7+'Assumptions (VF)'!F12)</f>
        <v>4.3113062530178654</v>
      </c>
      <c r="D46" s="159">
        <f>('Assumptions (VF)'!B26*(1+0.04)^2+2000*1.2*(1-'Assumptions (VF)'!F17)-'Assumptions (VF)'!F18-'Assumptions (VF)'!F21)/('Assumptions (VF)'!B7+'Assumptions (VF)'!F12)</f>
        <v>4.4002632786093674</v>
      </c>
      <c r="E46" s="159">
        <f>('Assumptions (VF)'!B26*(1+0.05)^2+2000*1.2*(1-'Assumptions (VF)'!F17)-'Assumptions (VF)'!F18-'Assumptions (VF)'!F21)/('Assumptions (VF)'!B7+'Assumptions (VF)'!F12)</f>
        <v>4.4900797923708353</v>
      </c>
      <c r="F46" s="159">
        <f>('Assumptions (VF)'!B26*(1+0.06)^2+2000*1.2*(1-'Assumptions (VF)'!F17)-'Assumptions (VF)'!F18-'Assumptions (VF)'!F21)/('Assumptions (VF)'!B7+'Assumptions (VF)'!F12)</f>
        <v>4.5807557943022692</v>
      </c>
      <c r="G46" s="159">
        <f>('Assumptions (VF)'!B26*(1+0.07)^2+2000*1.2*(1-'Assumptions (VF)'!F17)-'Assumptions (VF)'!F18-'Assumptions (VF)'!F21)/('Assumptions (VF)'!B7+'Assumptions (VF)'!F12)</f>
        <v>4.6722912844036699</v>
      </c>
    </row>
    <row r="48" spans="1:7" x14ac:dyDescent="0.2">
      <c r="A48" s="235" t="s">
        <v>221</v>
      </c>
      <c r="B48" s="231"/>
      <c r="C48" s="231"/>
      <c r="D48" s="231"/>
      <c r="E48" s="231"/>
      <c r="F48" s="231"/>
      <c r="G48" s="231"/>
    </row>
    <row r="49" spans="1:7" x14ac:dyDescent="0.2">
      <c r="A49" s="151" t="s">
        <v>270</v>
      </c>
      <c r="B49" s="157">
        <v>0.02</v>
      </c>
      <c r="C49" s="157">
        <v>0.03</v>
      </c>
      <c r="D49" s="151" t="s">
        <v>290</v>
      </c>
      <c r="E49" s="157">
        <v>0.05</v>
      </c>
      <c r="F49" s="157">
        <v>0.06</v>
      </c>
      <c r="G49" s="157">
        <v>7.0000000000000007E-2</v>
      </c>
    </row>
    <row r="50" spans="1:7" x14ac:dyDescent="0.2">
      <c r="A50" s="155">
        <v>0</v>
      </c>
      <c r="B50" s="156">
        <f>(B40-('Assumptions (VF)'!B23*(1+0.02)^2/'Assumptions (VF)'!B7))/('Assumptions (VF)'!B23*(1+0.02)^2/'Assumptions (VF)'!B7)</f>
        <v>-9.4114559518345409E-2</v>
      </c>
      <c r="C50" s="156">
        <f>(C40-('Assumptions (VF)'!B23*(1+0.03)^2/'Assumptions (VF)'!B7))/('Assumptions (VF)'!B23*(1+0.03)^2/'Assumptions (VF)'!B7)</f>
        <v>-9.0904227502484169E-2</v>
      </c>
      <c r="D50" s="156">
        <f>(D40-('Assumptions (VF)'!B23*(1+0.04)^2/'Assumptions (VF)'!B7))/('Assumptions (VF)'!B23*(1+0.04)^2/'Assumptions (VF)'!B7)</f>
        <v>-8.7786055274053421E-2</v>
      </c>
      <c r="E50" s="156">
        <f>(E40-('Assumptions (VF)'!B23*(1+0.05)^2/'Assumptions (VF)'!B7))/('Assumptions (VF)'!B23*(1+0.05)^2/'Assumptions (VF)'!B7)</f>
        <v>-8.4756548756443464E-2</v>
      </c>
      <c r="F50" s="156">
        <f>(F40-('Assumptions (VF)'!B23*(1+0.06)^2/'Assumptions (VF)'!B7))/('Assumptions (VF)'!B23*(1+0.06)^2/'Assumptions (VF)'!B7)</f>
        <v>-8.181237790679341E-2</v>
      </c>
      <c r="G50" s="156">
        <f>(G40-('Assumptions (VF)'!B23*(1+0.07)^2/'Assumptions (VF)'!B7))/('Assumptions (VF)'!B23*(1+0.07)^2/'Assumptions (VF)'!B7)</f>
        <v>-7.8950367561096094E-2</v>
      </c>
    </row>
    <row r="51" spans="1:7" x14ac:dyDescent="0.2">
      <c r="A51" s="155">
        <v>250</v>
      </c>
      <c r="B51" s="156">
        <f>(B41-('Assumptions (VF)'!B23*(1+0.02)^2/'Assumptions (VF)'!B7))/('Assumptions (VF)'!B23*(1+0.02)^2/'Assumptions (VF)'!B7)</f>
        <v>-8.0775561827061845E-2</v>
      </c>
      <c r="C51" s="156">
        <f>(C41-('Assumptions (VF)'!B23*(1+0.03)^2/'Assumptions (VF)'!B7))/('Assumptions (VF)'!B23*(1+0.03)^2/'Assumptions (VF)'!B7)</f>
        <v>-7.7822982146643349E-2</v>
      </c>
      <c r="D51" s="156">
        <f>(D41-('Assumptions (VF)'!B23*(1+0.04)^2/'Assumptions (VF)'!B7))/('Assumptions (VF)'!B23*(1+0.04)^2/'Assumptions (VF)'!B7)</f>
        <v>-7.4955162894235178E-2</v>
      </c>
      <c r="E51" s="156">
        <f>(E41-('Assumptions (VF)'!B23*(1+0.05)^2/'Assumptions (VF)'!B7))/('Assumptions (VF)'!B23*(1+0.05)^2/'Assumptions (VF)'!B7)</f>
        <v>-7.216889052695466E-2</v>
      </c>
      <c r="F51" s="156">
        <f>(F41-('Assumptions (VF)'!B23*(1+0.06)^2/'Assumptions (VF)'!B7))/('Assumptions (VF)'!B23*(1+0.06)^2/'Assumptions (VF)'!B7)</f>
        <v>-6.9461102365665425E-2</v>
      </c>
      <c r="G51" s="156">
        <f>(G41-('Assumptions (VF)'!B23*(1+0.07)^2/'Assumptions (VF)'!B7))/('Assumptions (VF)'!B23*(1+0.07)^2/'Assumptions (VF)'!B7)</f>
        <v>-6.6828878175113557E-2</v>
      </c>
    </row>
    <row r="52" spans="1:7" x14ac:dyDescent="0.2">
      <c r="A52" s="155">
        <v>500</v>
      </c>
      <c r="B52" s="156">
        <f>(B42-('Assumptions (VF)'!B23*(1+0.02)^2/'Assumptions (VF)'!B7))/('Assumptions (VF)'!B23*(1+0.02)^2/'Assumptions (VF)'!B7)</f>
        <v>-6.7436564135778296E-2</v>
      </c>
      <c r="C52" s="156">
        <f>(C42-('Assumptions (VF)'!B23*(1+0.03)^2/'Assumptions (VF)'!B7))/('Assumptions (VF)'!B23*(1+0.03)^2/'Assumptions (VF)'!B7)</f>
        <v>-6.474173679080264E-2</v>
      </c>
      <c r="D52" s="156">
        <f>(D42-('Assumptions (VF)'!B23*(1+0.04)^2/'Assumptions (VF)'!B7))/('Assumptions (VF)'!B23*(1+0.04)^2/'Assumptions (VF)'!B7)</f>
        <v>-6.2124270514416942E-2</v>
      </c>
      <c r="E52" s="156">
        <f>(E42-('Assumptions (VF)'!B23*(1+0.05)^2/'Assumptions (VF)'!B7))/('Assumptions (VF)'!B23*(1+0.05)^2/'Assumptions (VF)'!B7)</f>
        <v>-5.9581232297465647E-2</v>
      </c>
      <c r="F52" s="156">
        <f>(F42-('Assumptions (VF)'!B23*(1+0.06)^2/'Assumptions (VF)'!B7))/('Assumptions (VF)'!B23*(1+0.06)^2/'Assumptions (VF)'!B7)</f>
        <v>-5.7109826824537434E-2</v>
      </c>
      <c r="G52" s="156">
        <f>(G42-('Assumptions (VF)'!B23*(1+0.07)^2/'Assumptions (VF)'!B7))/('Assumptions (VF)'!B23*(1+0.07)^2/'Assumptions (VF)'!B7)</f>
        <v>-5.4707388789130819E-2</v>
      </c>
    </row>
    <row r="53" spans="1:7" x14ac:dyDescent="0.2">
      <c r="A53" s="155">
        <v>750</v>
      </c>
      <c r="B53" s="156">
        <f>(B43-('Assumptions (VF)'!B23*(1+0.02)^2/'Assumptions (VF)'!B7))/('Assumptions (VF)'!B23*(1+0.02)^2/'Assumptions (VF)'!B7)</f>
        <v>-5.4097566444494635E-2</v>
      </c>
      <c r="C53" s="156">
        <f>(C43-('Assumptions (VF)'!B23*(1+0.03)^2/'Assumptions (VF)'!B7))/('Assumptions (VF)'!B23*(1+0.03)^2/'Assumptions (VF)'!B7)</f>
        <v>-5.1660491434961917E-2</v>
      </c>
      <c r="D53" s="156">
        <f>(D43-('Assumptions (VF)'!B23*(1+0.04)^2/'Assumptions (VF)'!B7))/('Assumptions (VF)'!B23*(1+0.04)^2/'Assumptions (VF)'!B7)</f>
        <v>-4.9293378134598491E-2</v>
      </c>
      <c r="E53" s="156">
        <f>(E43-('Assumptions (VF)'!B23*(1+0.05)^2/'Assumptions (VF)'!B7))/('Assumptions (VF)'!B23*(1+0.05)^2/'Assumptions (VF)'!B7)</f>
        <v>-4.6993574067976836E-2</v>
      </c>
      <c r="F53" s="156">
        <f>(F43-('Assumptions (VF)'!B23*(1+0.06)^2/'Assumptions (VF)'!B7))/('Assumptions (VF)'!B23*(1+0.06)^2/'Assumptions (VF)'!B7)</f>
        <v>-4.4758551283409442E-2</v>
      </c>
      <c r="G53" s="156">
        <f>(G43-('Assumptions (VF)'!B23*(1+0.07)^2/'Assumptions (VF)'!B7))/('Assumptions (VF)'!B23*(1+0.07)^2/'Assumptions (VF)'!B7)</f>
        <v>-4.2585899403148275E-2</v>
      </c>
    </row>
    <row r="54" spans="1:7" x14ac:dyDescent="0.2">
      <c r="A54" s="155">
        <v>1000</v>
      </c>
      <c r="B54" s="156">
        <f>(B44-('Assumptions (VF)'!B23*(1+0.02)^2/'Assumptions (VF)'!B7))/('Assumptions (VF)'!B23*(1+0.02)^2/'Assumptions (VF)'!B7)</f>
        <v>-4.0758568753210975E-2</v>
      </c>
      <c r="C54" s="156">
        <f>(C44-('Assumptions (VF)'!B23*(1+0.03)^2/'Assumptions (VF)'!B7))/('Assumptions (VF)'!B23*(1+0.03)^2/'Assumptions (VF)'!B7)</f>
        <v>-3.8579246079121207E-2</v>
      </c>
      <c r="D54" s="156">
        <f>(D44-('Assumptions (VF)'!B23*(1+0.04)^2/'Assumptions (VF)'!B7))/('Assumptions (VF)'!B23*(1+0.04)^2/'Assumptions (VF)'!B7)</f>
        <v>-3.6462485754780248E-2</v>
      </c>
      <c r="E54" s="156">
        <f>(E44-('Assumptions (VF)'!B23*(1+0.05)^2/'Assumptions (VF)'!B7))/('Assumptions (VF)'!B23*(1+0.05)^2/'Assumptions (VF)'!B7)</f>
        <v>-3.4405915838488031E-2</v>
      </c>
      <c r="F54" s="156">
        <f>(F44-('Assumptions (VF)'!B23*(1+0.06)^2/'Assumptions (VF)'!B7))/('Assumptions (VF)'!B23*(1+0.06)^2/'Assumptions (VF)'!B7)</f>
        <v>-3.2407275742281257E-2</v>
      </c>
      <c r="G54" s="156">
        <f>(G44-('Assumptions (VF)'!B23*(1+0.07)^2/'Assumptions (VF)'!B7))/('Assumptions (VF)'!B23*(1+0.07)^2/'Assumptions (VF)'!B7)</f>
        <v>-3.0464410017165735E-2</v>
      </c>
    </row>
    <row r="55" spans="1:7" x14ac:dyDescent="0.2">
      <c r="A55" s="155">
        <v>1500</v>
      </c>
      <c r="B55" s="154">
        <f>(B45-('Assumptions (VF)'!B23*(1+0.02)^2/'Assumptions (VF)'!B7))/('Assumptions (VF)'!B23*(1+0.02)^2/'Assumptions (VF)'!B7)</f>
        <v>-1.4080573370644079E-2</v>
      </c>
      <c r="C55" s="154">
        <f>(C45-('Assumptions (VF)'!B23*(1+0.03)^2/'Assumptions (VF)'!B7))/('Assumptions (VF)'!B23*(1+0.03)^2/'Assumptions (VF)'!B7)</f>
        <v>-1.2416755367439778E-2</v>
      </c>
      <c r="D55" s="154">
        <f>(D45-('Assumptions (VF)'!B23*(1+0.04)^2/'Assumptions (VF)'!B7))/('Assumptions (VF)'!B23*(1+0.04)^2/'Assumptions (VF)'!B7)</f>
        <v>-1.0800700995143766E-2</v>
      </c>
      <c r="E55" s="154">
        <f>(E45-('Assumptions (VF)'!B23*(1+0.05)^2/'Assumptions (VF)'!B7))/('Assumptions (VF)'!B23*(1+0.05)^2/'Assumptions (VF)'!B7)</f>
        <v>-9.2305993795104135E-3</v>
      </c>
      <c r="F55" s="154">
        <f>(F45-('Assumptions (VF)'!B23*(1+0.06)^2/'Assumptions (VF)'!B7))/('Assumptions (VF)'!B23*(1+0.06)^2/'Assumptions (VF)'!B7)</f>
        <v>-7.7047246600252754E-3</v>
      </c>
      <c r="G55" s="154">
        <f>(G45-('Assumptions (VF)'!B23*(1+0.07)^2/'Assumptions (VF)'!B7))/('Assumptions (VF)'!B23*(1+0.07)^2/'Assumptions (VF)'!B7)</f>
        <v>-6.2214312452006509E-3</v>
      </c>
    </row>
    <row r="56" spans="1:7" x14ac:dyDescent="0.2">
      <c r="A56" s="155">
        <v>2000</v>
      </c>
      <c r="B56" s="154">
        <f>(B46-('Assumptions (VF)'!B23*(1+0.02)^2/'Assumptions (VF)'!B7))/('Assumptions (VF)'!B23*(1+0.02)^2/'Assumptions (VF)'!B7)</f>
        <v>1.2597422011923031E-2</v>
      </c>
      <c r="C56" s="154">
        <f>(C46-('Assumptions (VF)'!B23*(1+0.03)^2/'Assumptions (VF)'!B7))/('Assumptions (VF)'!B23*(1+0.03)^2/'Assumptions (VF)'!B7)</f>
        <v>1.3745735344241648E-2</v>
      </c>
      <c r="D56" s="154">
        <f>(D46-('Assumptions (VF)'!B23*(1+0.04)^2/'Assumptions (VF)'!B7))/('Assumptions (VF)'!B23*(1+0.04)^2/'Assumptions (VF)'!B7)</f>
        <v>1.4861083764492515E-2</v>
      </c>
      <c r="E56" s="154">
        <f>(E46-('Assumptions (VF)'!B23*(1+0.05)^2/'Assumptions (VF)'!B7))/('Assumptions (VF)'!B23*(1+0.05)^2/'Assumptions (VF)'!B7)</f>
        <v>1.5944717079467201E-2</v>
      </c>
      <c r="F56" s="154">
        <f>(F46-('Assumptions (VF)'!B23*(1+0.06)^2/'Assumptions (VF)'!B7))/('Assumptions (VF)'!B23*(1+0.06)^2/'Assumptions (VF)'!B7)</f>
        <v>1.6997826422230508E-2</v>
      </c>
      <c r="G56" s="154">
        <f>(G46-('Assumptions (VF)'!B23*(1+0.07)^2/'Assumptions (VF)'!B7))/('Assumptions (VF)'!B23*(1+0.07)^2/'Assumptions (VF)'!B7)</f>
        <v>1.8021547526764433E-2</v>
      </c>
    </row>
    <row r="58" spans="1:7" x14ac:dyDescent="0.2">
      <c r="A58" s="230" t="s">
        <v>277</v>
      </c>
      <c r="B58" s="231"/>
      <c r="C58" s="231"/>
      <c r="D58" s="231"/>
      <c r="E58" s="231"/>
      <c r="F58" s="231"/>
      <c r="G58" s="231"/>
    </row>
  </sheetData>
  <mergeCells count="8">
    <mergeCell ref="A58:G58"/>
    <mergeCell ref="A36:G36"/>
    <mergeCell ref="A2:E2"/>
    <mergeCell ref="A34:E34"/>
    <mergeCell ref="A1:E1"/>
    <mergeCell ref="A48:G48"/>
    <mergeCell ref="A35:G35"/>
    <mergeCell ref="A38:G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DECA-349A-A844-9929-BB338FE00309}">
  <dimension ref="A1:E14"/>
  <sheetViews>
    <sheetView showGridLines="0" zoomScale="166" workbookViewId="0">
      <selection sqref="A1:D1"/>
    </sheetView>
  </sheetViews>
  <sheetFormatPr baseColWidth="10" defaultColWidth="8.83203125" defaultRowHeight="15" x14ac:dyDescent="0.2"/>
  <cols>
    <col min="1" max="1" width="44" style="131" customWidth="1"/>
    <col min="2" max="2" width="18" style="131" customWidth="1"/>
    <col min="3" max="3" width="16" style="131" customWidth="1"/>
    <col min="4" max="4" width="38" style="131" customWidth="1"/>
    <col min="5" max="16384" width="8.83203125" style="131"/>
  </cols>
  <sheetData>
    <row r="1" spans="1:5" ht="28" customHeight="1" x14ac:dyDescent="0.2">
      <c r="A1" s="233" t="s">
        <v>222</v>
      </c>
      <c r="B1" s="231"/>
      <c r="C1" s="231"/>
      <c r="D1" s="231"/>
    </row>
    <row r="2" spans="1:5" ht="16" customHeight="1" x14ac:dyDescent="0.2">
      <c r="A2" s="232" t="s">
        <v>223</v>
      </c>
      <c r="B2" s="231"/>
      <c r="C2" s="231"/>
      <c r="D2" s="231"/>
    </row>
    <row r="3" spans="1:5" ht="6" customHeight="1" x14ac:dyDescent="0.2"/>
    <row r="4" spans="1:5" ht="22" customHeight="1" x14ac:dyDescent="0.2">
      <c r="A4" s="158" t="s">
        <v>224</v>
      </c>
      <c r="B4" s="158" t="s">
        <v>225</v>
      </c>
      <c r="C4" s="158" t="s">
        <v>226</v>
      </c>
      <c r="D4" s="158" t="s">
        <v>227</v>
      </c>
    </row>
    <row r="5" spans="1:5" x14ac:dyDescent="0.2">
      <c r="A5" s="143" t="s">
        <v>228</v>
      </c>
      <c r="B5" s="141">
        <v>58893</v>
      </c>
      <c r="C5" s="142">
        <f>B5/B9</f>
        <v>0.45302307692307692</v>
      </c>
      <c r="D5" s="135" t="s">
        <v>278</v>
      </c>
    </row>
    <row r="6" spans="1:5" x14ac:dyDescent="0.2">
      <c r="A6" s="139" t="s">
        <v>230</v>
      </c>
      <c r="B6" s="138">
        <v>60895</v>
      </c>
      <c r="C6" s="144">
        <f>B6/B9</f>
        <v>0.46842307692307694</v>
      </c>
      <c r="D6" s="132" t="s">
        <v>279</v>
      </c>
    </row>
    <row r="7" spans="1:5" x14ac:dyDescent="0.2">
      <c r="A7" s="143" t="s">
        <v>232</v>
      </c>
      <c r="B7" s="141">
        <v>5000</v>
      </c>
      <c r="C7" s="142">
        <f>B7/B9</f>
        <v>3.8461538461538464E-2</v>
      </c>
      <c r="D7" s="135" t="s">
        <v>140</v>
      </c>
    </row>
    <row r="8" spans="1:5" x14ac:dyDescent="0.2">
      <c r="A8" s="139" t="s">
        <v>233</v>
      </c>
      <c r="B8" s="133">
        <f>B9-B5-B6-B7</f>
        <v>5212</v>
      </c>
      <c r="C8" s="144">
        <f>B8/B9</f>
        <v>4.0092307692307691E-2</v>
      </c>
      <c r="D8" s="132" t="s">
        <v>280</v>
      </c>
    </row>
    <row r="9" spans="1:5" x14ac:dyDescent="0.2">
      <c r="A9" s="137" t="s">
        <v>235</v>
      </c>
      <c r="B9" s="141">
        <v>130000</v>
      </c>
      <c r="C9" s="142">
        <f>SUM(C5:C8)</f>
        <v>0.99999999999999989</v>
      </c>
      <c r="D9" s="135" t="s">
        <v>236</v>
      </c>
      <c r="E9" s="214"/>
    </row>
    <row r="10" spans="1:5" ht="6" customHeight="1" x14ac:dyDescent="0.2"/>
    <row r="11" spans="1:5" ht="17" customHeight="1" x14ac:dyDescent="0.2">
      <c r="A11" s="153" t="s">
        <v>237</v>
      </c>
      <c r="B11" s="152"/>
      <c r="C11" s="152"/>
      <c r="D11" s="152"/>
    </row>
    <row r="12" spans="1:5" ht="22" customHeight="1" x14ac:dyDescent="0.2">
      <c r="A12" s="151" t="s">
        <v>238</v>
      </c>
      <c r="B12" s="151" t="s">
        <v>281</v>
      </c>
      <c r="C12" s="151" t="s">
        <v>282</v>
      </c>
      <c r="D12" s="151" t="s">
        <v>241</v>
      </c>
    </row>
    <row r="13" spans="1:5" x14ac:dyDescent="0.2">
      <c r="A13" s="143" t="s">
        <v>242</v>
      </c>
      <c r="B13" s="172">
        <v>0.55000000000000004</v>
      </c>
      <c r="C13" s="172">
        <v>1</v>
      </c>
      <c r="D13" s="172">
        <f>C13-B13</f>
        <v>0.44999999999999996</v>
      </c>
    </row>
    <row r="14" spans="1:5" x14ac:dyDescent="0.2">
      <c r="A14" s="139" t="s">
        <v>243</v>
      </c>
      <c r="B14" s="171">
        <v>0.45</v>
      </c>
      <c r="C14" s="171">
        <v>0</v>
      </c>
      <c r="D14" s="171">
        <f>C14-B14</f>
        <v>-0.45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AB4A-A219-F844-87E9-81035015F868}">
  <sheetPr>
    <tabColor theme="0"/>
  </sheetPr>
  <dimension ref="A1:Y3"/>
  <sheetViews>
    <sheetView showGridLines="0" workbookViewId="0">
      <selection sqref="A1:Y3"/>
    </sheetView>
  </sheetViews>
  <sheetFormatPr baseColWidth="10" defaultRowHeight="16" x14ac:dyDescent="0.2"/>
  <sheetData>
    <row r="1" spans="1:25" x14ac:dyDescent="0.2">
      <c r="A1" s="236" t="s">
        <v>313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</row>
    <row r="2" spans="1:25" x14ac:dyDescent="0.2">
      <c r="A2" s="236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</row>
    <row r="3" spans="1:25" x14ac:dyDescent="0.2">
      <c r="A3" s="236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</row>
  </sheetData>
  <mergeCells count="1">
    <mergeCell ref="A1:Y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FC5-51A9-2D49-9135-F78D6AFC10D8}">
  <dimension ref="A1:I44"/>
  <sheetViews>
    <sheetView showGridLines="0" zoomScale="110" zoomScaleNormal="100" workbookViewId="0">
      <selection sqref="A1:I1"/>
    </sheetView>
  </sheetViews>
  <sheetFormatPr baseColWidth="10" defaultColWidth="8.6640625" defaultRowHeight="15" x14ac:dyDescent="0.2"/>
  <cols>
    <col min="1" max="1" width="36" style="3" customWidth="1"/>
    <col min="2" max="4" width="14" style="3" customWidth="1"/>
    <col min="5" max="5" width="14.1640625" style="3" customWidth="1"/>
    <col min="6" max="9" width="14" style="3" customWidth="1"/>
    <col min="10" max="16384" width="8.6640625" style="3"/>
  </cols>
  <sheetData>
    <row r="1" spans="1:9" ht="32" customHeight="1" x14ac:dyDescent="0.2">
      <c r="A1" s="239" t="s">
        <v>368</v>
      </c>
      <c r="B1" s="239"/>
      <c r="C1" s="239"/>
      <c r="D1" s="239"/>
      <c r="E1" s="239"/>
      <c r="F1" s="239"/>
      <c r="G1" s="239"/>
      <c r="H1" s="239"/>
      <c r="I1" s="239"/>
    </row>
    <row r="2" spans="1:9" ht="37.5" customHeight="1" x14ac:dyDescent="0.2">
      <c r="A2" s="240" t="s">
        <v>367</v>
      </c>
      <c r="B2" s="240"/>
      <c r="C2" s="240"/>
      <c r="D2" s="240"/>
      <c r="E2" s="240"/>
      <c r="F2" s="240"/>
      <c r="G2" s="240"/>
      <c r="H2" s="240"/>
      <c r="I2" s="240"/>
    </row>
    <row r="3" spans="1:9" ht="19.5" customHeight="1" x14ac:dyDescent="0.2">
      <c r="B3" s="241" t="s">
        <v>366</v>
      </c>
      <c r="C3" s="241"/>
      <c r="D3" s="241"/>
      <c r="E3" s="194" t="s">
        <v>365</v>
      </c>
      <c r="F3" s="242" t="s">
        <v>364</v>
      </c>
      <c r="G3" s="242"/>
      <c r="H3" s="242"/>
      <c r="I3" s="242"/>
    </row>
    <row r="4" spans="1:9" ht="21.75" customHeight="1" thickBot="1" x14ac:dyDescent="0.25">
      <c r="A4" s="193" t="s">
        <v>363</v>
      </c>
      <c r="B4" s="192" t="s">
        <v>362</v>
      </c>
      <c r="C4" s="192" t="s">
        <v>361</v>
      </c>
      <c r="D4" s="192" t="s">
        <v>360</v>
      </c>
      <c r="E4" s="192" t="s">
        <v>359</v>
      </c>
      <c r="F4" s="192" t="s">
        <v>358</v>
      </c>
      <c r="G4" s="192" t="s">
        <v>357</v>
      </c>
      <c r="H4" s="192" t="s">
        <v>356</v>
      </c>
      <c r="I4" s="192" t="s">
        <v>355</v>
      </c>
    </row>
    <row r="5" spans="1:9" ht="18" customHeight="1" x14ac:dyDescent="0.2">
      <c r="A5" s="243" t="s">
        <v>354</v>
      </c>
      <c r="B5" s="243"/>
      <c r="C5" s="243"/>
      <c r="D5" s="243"/>
      <c r="E5" s="243"/>
      <c r="F5" s="243"/>
      <c r="G5" s="243"/>
      <c r="H5" s="243"/>
      <c r="I5" s="243"/>
    </row>
    <row r="6" spans="1:9" ht="18" customHeight="1" x14ac:dyDescent="0.2">
      <c r="A6" s="188" t="s">
        <v>38</v>
      </c>
      <c r="B6" s="190">
        <v>115846</v>
      </c>
      <c r="C6" s="190">
        <v>115302</v>
      </c>
      <c r="D6" s="190">
        <v>120550</v>
      </c>
      <c r="E6" s="190">
        <v>127079</v>
      </c>
      <c r="F6" s="190">
        <v>131620</v>
      </c>
      <c r="G6" s="190">
        <v>125980</v>
      </c>
      <c r="H6" s="190">
        <v>126034</v>
      </c>
      <c r="I6" s="190">
        <v>130863</v>
      </c>
    </row>
    <row r="7" spans="1:9" ht="18" customHeight="1" x14ac:dyDescent="0.2">
      <c r="A7" s="186" t="s">
        <v>353</v>
      </c>
      <c r="B7" s="190">
        <v>14688</v>
      </c>
      <c r="C7" s="190">
        <v>13160</v>
      </c>
      <c r="D7" s="190">
        <v>16303</v>
      </c>
      <c r="E7" s="190">
        <v>18496</v>
      </c>
      <c r="F7" s="190">
        <v>33060</v>
      </c>
      <c r="G7" s="190">
        <v>30496</v>
      </c>
      <c r="H7" s="190">
        <v>26978</v>
      </c>
      <c r="I7" s="190">
        <v>30015</v>
      </c>
    </row>
    <row r="8" spans="1:9" ht="18" customHeight="1" x14ac:dyDescent="0.2">
      <c r="A8" s="188" t="s">
        <v>352</v>
      </c>
      <c r="B8" s="191">
        <v>0.28100000000000003</v>
      </c>
      <c r="C8" s="191">
        <v>0.28699999999999998</v>
      </c>
      <c r="D8" s="191">
        <v>0.29899999999999999</v>
      </c>
      <c r="E8" s="191">
        <v>0.30499999999999999</v>
      </c>
      <c r="F8" s="191">
        <v>0.36099999999999999</v>
      </c>
      <c r="G8" s="191">
        <v>0.35399999999999998</v>
      </c>
      <c r="H8" s="191">
        <v>0.36699999999999999</v>
      </c>
      <c r="I8" s="191">
        <v>0.218</v>
      </c>
    </row>
    <row r="9" spans="1:9" ht="18" customHeight="1" x14ac:dyDescent="0.2">
      <c r="A9" s="182" t="s">
        <v>351</v>
      </c>
      <c r="B9" s="189">
        <f t="shared" ref="B9:I9" si="0">B7*(1-B8)</f>
        <v>10560.672</v>
      </c>
      <c r="C9" s="189">
        <f t="shared" si="0"/>
        <v>9383.0800000000017</v>
      </c>
      <c r="D9" s="189">
        <f t="shared" si="0"/>
        <v>11428.403</v>
      </c>
      <c r="E9" s="189">
        <f t="shared" si="0"/>
        <v>12854.720000000001</v>
      </c>
      <c r="F9" s="189">
        <f t="shared" si="0"/>
        <v>21125.34</v>
      </c>
      <c r="G9" s="189">
        <f t="shared" si="0"/>
        <v>19700.416000000001</v>
      </c>
      <c r="H9" s="189">
        <f t="shared" si="0"/>
        <v>17077.074000000001</v>
      </c>
      <c r="I9" s="189">
        <f t="shared" si="0"/>
        <v>23471.73</v>
      </c>
    </row>
    <row r="10" spans="1:9" ht="18" customHeight="1" x14ac:dyDescent="0.2">
      <c r="A10" s="243" t="s">
        <v>350</v>
      </c>
      <c r="B10" s="243"/>
      <c r="C10" s="243"/>
      <c r="D10" s="243"/>
      <c r="E10" s="243"/>
      <c r="F10" s="243"/>
      <c r="G10" s="243"/>
      <c r="H10" s="243"/>
      <c r="I10" s="243"/>
    </row>
    <row r="11" spans="1:9" ht="18" customHeight="1" x14ac:dyDescent="0.2">
      <c r="A11" s="186" t="s">
        <v>349</v>
      </c>
      <c r="B11" s="190">
        <v>52814</v>
      </c>
      <c r="C11" s="190">
        <v>54059</v>
      </c>
      <c r="D11" s="190">
        <v>89850</v>
      </c>
      <c r="E11" s="190">
        <v>110536</v>
      </c>
      <c r="F11" s="190">
        <v>109652</v>
      </c>
      <c r="G11" s="190">
        <v>108209</v>
      </c>
      <c r="H11" s="190">
        <v>117068</v>
      </c>
      <c r="I11" s="190">
        <v>116073</v>
      </c>
    </row>
    <row r="12" spans="1:9" ht="18" customHeight="1" x14ac:dyDescent="0.2">
      <c r="A12" s="188" t="s">
        <v>348</v>
      </c>
      <c r="B12" s="190">
        <v>38569</v>
      </c>
      <c r="C12" s="190">
        <v>31974</v>
      </c>
      <c r="D12" s="190">
        <v>24232</v>
      </c>
      <c r="E12" s="190">
        <v>12523</v>
      </c>
      <c r="F12" s="190">
        <v>17842</v>
      </c>
      <c r="G12" s="190">
        <v>21961</v>
      </c>
      <c r="H12" s="190">
        <v>24060</v>
      </c>
      <c r="I12" s="190">
        <v>25268</v>
      </c>
    </row>
    <row r="13" spans="1:9" ht="18" customHeight="1" x14ac:dyDescent="0.2">
      <c r="A13" s="186" t="s">
        <v>347</v>
      </c>
      <c r="B13" s="190">
        <v>38416</v>
      </c>
      <c r="C13" s="190">
        <v>37916</v>
      </c>
      <c r="D13" s="190">
        <v>37378</v>
      </c>
      <c r="E13" s="190">
        <v>107447</v>
      </c>
      <c r="F13" s="190">
        <v>108249</v>
      </c>
      <c r="G13" s="190">
        <v>107219</v>
      </c>
      <c r="H13" s="190">
        <v>105576</v>
      </c>
      <c r="I13" s="190">
        <v>104380</v>
      </c>
    </row>
    <row r="14" spans="1:9" ht="18" customHeight="1" x14ac:dyDescent="0.2">
      <c r="A14" s="182" t="s">
        <v>346</v>
      </c>
      <c r="B14" s="189">
        <f t="shared" ref="B14:I14" si="1">B11+B12</f>
        <v>91383</v>
      </c>
      <c r="C14" s="189">
        <f t="shared" si="1"/>
        <v>86033</v>
      </c>
      <c r="D14" s="189">
        <f t="shared" si="1"/>
        <v>114082</v>
      </c>
      <c r="E14" s="189">
        <f t="shared" si="1"/>
        <v>123059</v>
      </c>
      <c r="F14" s="189">
        <f t="shared" si="1"/>
        <v>127494</v>
      </c>
      <c r="G14" s="189">
        <f t="shared" si="1"/>
        <v>130170</v>
      </c>
      <c r="H14" s="189">
        <f t="shared" si="1"/>
        <v>141128</v>
      </c>
      <c r="I14" s="189">
        <f t="shared" si="1"/>
        <v>141341</v>
      </c>
    </row>
    <row r="15" spans="1:9" ht="18" customHeight="1" x14ac:dyDescent="0.2">
      <c r="A15" s="182" t="s">
        <v>345</v>
      </c>
      <c r="B15" s="189">
        <f>B14</f>
        <v>91383</v>
      </c>
      <c r="C15" s="189">
        <f t="shared" ref="C15:I15" si="2">(C14+B14)/2</f>
        <v>88708</v>
      </c>
      <c r="D15" s="189">
        <f t="shared" si="2"/>
        <v>100057.5</v>
      </c>
      <c r="E15" s="189">
        <f t="shared" si="2"/>
        <v>118570.5</v>
      </c>
      <c r="F15" s="189">
        <f t="shared" si="2"/>
        <v>125276.5</v>
      </c>
      <c r="G15" s="189">
        <f t="shared" si="2"/>
        <v>128832</v>
      </c>
      <c r="H15" s="189">
        <f t="shared" si="2"/>
        <v>135649</v>
      </c>
      <c r="I15" s="189">
        <f t="shared" si="2"/>
        <v>141234.5</v>
      </c>
    </row>
    <row r="16" spans="1:9" ht="18" customHeight="1" x14ac:dyDescent="0.2">
      <c r="A16" s="243" t="s">
        <v>344</v>
      </c>
      <c r="B16" s="243"/>
      <c r="C16" s="243"/>
      <c r="D16" s="243"/>
      <c r="E16" s="243"/>
      <c r="F16" s="243"/>
      <c r="G16" s="243"/>
      <c r="H16" s="243"/>
      <c r="I16" s="243"/>
    </row>
    <row r="17" spans="1:9" ht="18" customHeight="1" x14ac:dyDescent="0.2">
      <c r="A17" s="186" t="s">
        <v>343</v>
      </c>
      <c r="B17" s="185">
        <v>1.8800000000000001E-2</v>
      </c>
      <c r="C17" s="185">
        <v>1.7600000000000001E-2</v>
      </c>
      <c r="D17" s="185">
        <v>2.35E-2</v>
      </c>
      <c r="E17" s="185">
        <v>2.5399999999999999E-2</v>
      </c>
      <c r="F17" s="185">
        <v>2.2100000000000002E-2</v>
      </c>
      <c r="G17" s="185">
        <v>2.4500000000000001E-2</v>
      </c>
      <c r="H17" s="185">
        <v>2.3300000000000001E-2</v>
      </c>
      <c r="I17" s="185">
        <v>2.9100000000000001E-2</v>
      </c>
    </row>
    <row r="18" spans="1:9" ht="18" customHeight="1" x14ac:dyDescent="0.2">
      <c r="A18" s="188" t="s">
        <v>342</v>
      </c>
      <c r="B18" s="185">
        <v>5.5E-2</v>
      </c>
      <c r="C18" s="185">
        <v>5.6000000000000001E-2</v>
      </c>
      <c r="D18" s="185">
        <v>5.3999999999999999E-2</v>
      </c>
      <c r="E18" s="185">
        <v>5.3999999999999999E-2</v>
      </c>
      <c r="F18" s="185">
        <v>5.2999999999999999E-2</v>
      </c>
      <c r="G18" s="185">
        <v>5.1999999999999998E-2</v>
      </c>
      <c r="H18" s="185">
        <v>5.0999999999999997E-2</v>
      </c>
      <c r="I18" s="185">
        <v>5.0999999999999997E-2</v>
      </c>
    </row>
    <row r="19" spans="1:9" ht="18" customHeight="1" x14ac:dyDescent="0.2">
      <c r="A19" s="186" t="s">
        <v>341</v>
      </c>
      <c r="B19" s="187">
        <v>0.52</v>
      </c>
      <c r="C19" s="187">
        <v>0.5</v>
      </c>
      <c r="D19" s="187">
        <v>0.48</v>
      </c>
      <c r="E19" s="187">
        <v>0.5</v>
      </c>
      <c r="F19" s="187">
        <v>0.55000000000000004</v>
      </c>
      <c r="G19" s="187">
        <v>0.56999999999999995</v>
      </c>
      <c r="H19" s="187">
        <v>0.57999999999999996</v>
      </c>
      <c r="I19" s="187">
        <v>0.6</v>
      </c>
    </row>
    <row r="20" spans="1:9" ht="18" customHeight="1" x14ac:dyDescent="0.2">
      <c r="A20" s="182" t="s">
        <v>340</v>
      </c>
      <c r="B20" s="181">
        <f t="shared" ref="B20:I20" si="3">B17+B19*B18</f>
        <v>4.7399999999999998E-2</v>
      </c>
      <c r="C20" s="181">
        <f t="shared" si="3"/>
        <v>4.5600000000000002E-2</v>
      </c>
      <c r="D20" s="181">
        <f t="shared" si="3"/>
        <v>4.9419999999999999E-2</v>
      </c>
      <c r="E20" s="181">
        <f t="shared" si="3"/>
        <v>5.2400000000000002E-2</v>
      </c>
      <c r="F20" s="181">
        <f t="shared" si="3"/>
        <v>5.1250000000000004E-2</v>
      </c>
      <c r="G20" s="181">
        <f t="shared" si="3"/>
        <v>5.4139999999999994E-2</v>
      </c>
      <c r="H20" s="181">
        <f t="shared" si="3"/>
        <v>5.2879999999999996E-2</v>
      </c>
      <c r="I20" s="181">
        <f t="shared" si="3"/>
        <v>5.9699999999999996E-2</v>
      </c>
    </row>
    <row r="21" spans="1:9" ht="18" customHeight="1" x14ac:dyDescent="0.2">
      <c r="A21" s="186" t="s">
        <v>339</v>
      </c>
      <c r="B21" s="185">
        <v>5.0999999999999997E-2</v>
      </c>
      <c r="C21" s="185">
        <v>4.9000000000000002E-2</v>
      </c>
      <c r="D21" s="185">
        <v>4.7E-2</v>
      </c>
      <c r="E21" s="185">
        <v>4.2999999999999997E-2</v>
      </c>
      <c r="F21" s="185">
        <v>4.1500000000000002E-2</v>
      </c>
      <c r="G21" s="185">
        <v>4.1000000000000002E-2</v>
      </c>
      <c r="H21" s="185">
        <v>4.0800000000000003E-2</v>
      </c>
      <c r="I21" s="185">
        <v>4.1500000000000002E-2</v>
      </c>
    </row>
    <row r="22" spans="1:9" ht="18" customHeight="1" x14ac:dyDescent="0.2">
      <c r="A22" s="182" t="s">
        <v>338</v>
      </c>
      <c r="B22" s="181">
        <f t="shared" ref="B22:I22" si="4">B21*(1-B8)</f>
        <v>3.6668999999999993E-2</v>
      </c>
      <c r="C22" s="181">
        <f t="shared" si="4"/>
        <v>3.4937000000000003E-2</v>
      </c>
      <c r="D22" s="181">
        <f t="shared" si="4"/>
        <v>3.2947000000000004E-2</v>
      </c>
      <c r="E22" s="181">
        <f t="shared" si="4"/>
        <v>2.9885000000000002E-2</v>
      </c>
      <c r="F22" s="181">
        <f t="shared" si="4"/>
        <v>2.65185E-2</v>
      </c>
      <c r="G22" s="181">
        <f t="shared" si="4"/>
        <v>2.6486000000000003E-2</v>
      </c>
      <c r="H22" s="181">
        <f t="shared" si="4"/>
        <v>2.5826400000000003E-2</v>
      </c>
      <c r="I22" s="181">
        <f t="shared" si="4"/>
        <v>3.2453000000000003E-2</v>
      </c>
    </row>
    <row r="23" spans="1:9" ht="18" customHeight="1" x14ac:dyDescent="0.2">
      <c r="A23" s="182" t="s">
        <v>337</v>
      </c>
      <c r="B23" s="181">
        <f t="shared" ref="B23:I23" si="5">IF((B11+B12)=0,0,B11/(B11+B12))</f>
        <v>0.57794119256316823</v>
      </c>
      <c r="C23" s="181">
        <f t="shared" si="5"/>
        <v>0.62835191147582903</v>
      </c>
      <c r="D23" s="181">
        <f t="shared" si="5"/>
        <v>0.78759138163776932</v>
      </c>
      <c r="E23" s="181">
        <f t="shared" si="5"/>
        <v>0.89823580558918892</v>
      </c>
      <c r="F23" s="181">
        <f t="shared" si="5"/>
        <v>0.86005615950554537</v>
      </c>
      <c r="G23" s="181">
        <f t="shared" si="5"/>
        <v>0.83128985173235004</v>
      </c>
      <c r="H23" s="181">
        <f t="shared" si="5"/>
        <v>0.8295164673204467</v>
      </c>
      <c r="I23" s="181">
        <f t="shared" si="5"/>
        <v>0.82122667874148336</v>
      </c>
    </row>
    <row r="24" spans="1:9" ht="18" customHeight="1" x14ac:dyDescent="0.2">
      <c r="A24" s="182" t="s">
        <v>336</v>
      </c>
      <c r="B24" s="181">
        <f t="shared" ref="B24:I24" si="6">1-B23</f>
        <v>0.42205880743683177</v>
      </c>
      <c r="C24" s="181">
        <f t="shared" si="6"/>
        <v>0.37164808852417097</v>
      </c>
      <c r="D24" s="181">
        <f t="shared" si="6"/>
        <v>0.21240861836223068</v>
      </c>
      <c r="E24" s="181">
        <f t="shared" si="6"/>
        <v>0.10176419441081108</v>
      </c>
      <c r="F24" s="181">
        <f t="shared" si="6"/>
        <v>0.13994384049445463</v>
      </c>
      <c r="G24" s="181">
        <f t="shared" si="6"/>
        <v>0.16871014826764996</v>
      </c>
      <c r="H24" s="181">
        <f t="shared" si="6"/>
        <v>0.1704835326795533</v>
      </c>
      <c r="I24" s="181">
        <f t="shared" si="6"/>
        <v>0.17877332125851664</v>
      </c>
    </row>
    <row r="25" spans="1:9" ht="18" customHeight="1" x14ac:dyDescent="0.2">
      <c r="A25" s="184" t="s">
        <v>335</v>
      </c>
      <c r="B25" s="183">
        <f t="shared" ref="B25:I25" si="7">B23*B22+B24*B20</f>
        <v>4.1198113062604638E-2</v>
      </c>
      <c r="C25" s="183">
        <f t="shared" si="7"/>
        <v>3.8899883567933238E-2</v>
      </c>
      <c r="D25" s="183">
        <f t="shared" si="7"/>
        <v>3.6446007170281028E-2</v>
      </c>
      <c r="E25" s="183">
        <f t="shared" si="7"/>
        <v>3.217622083715941E-2</v>
      </c>
      <c r="F25" s="183">
        <f t="shared" si="7"/>
        <v>2.9979521091188604E-2</v>
      </c>
      <c r="G25" s="183">
        <f t="shared" si="7"/>
        <v>3.115151044019359E-2</v>
      </c>
      <c r="H25" s="183">
        <f t="shared" si="7"/>
        <v>3.0438593299699564E-2</v>
      </c>
      <c r="I25" s="183">
        <f t="shared" si="7"/>
        <v>3.7324036684330805E-2</v>
      </c>
    </row>
    <row r="26" spans="1:9" ht="18" customHeight="1" x14ac:dyDescent="0.2">
      <c r="A26" s="243" t="s">
        <v>334</v>
      </c>
      <c r="B26" s="243"/>
      <c r="C26" s="243"/>
      <c r="D26" s="243"/>
      <c r="E26" s="243"/>
      <c r="F26" s="243"/>
      <c r="G26" s="243"/>
      <c r="H26" s="243"/>
      <c r="I26" s="243"/>
    </row>
    <row r="27" spans="1:9" ht="18" customHeight="1" x14ac:dyDescent="0.2">
      <c r="A27" s="184" t="s">
        <v>333</v>
      </c>
      <c r="B27" s="183">
        <f t="shared" ref="B27:I27" si="8">IF(B15=0,0,B9/B15)</f>
        <v>0.11556495190571552</v>
      </c>
      <c r="C27" s="183">
        <f t="shared" si="8"/>
        <v>0.10577490192541825</v>
      </c>
      <c r="D27" s="183">
        <f t="shared" si="8"/>
        <v>0.11421835444619344</v>
      </c>
      <c r="E27" s="183">
        <f t="shared" si="8"/>
        <v>0.108414150231297</v>
      </c>
      <c r="F27" s="183">
        <f t="shared" si="8"/>
        <v>0.16862971107909305</v>
      </c>
      <c r="G27" s="183">
        <f t="shared" si="8"/>
        <v>0.1529155489319424</v>
      </c>
      <c r="H27" s="183">
        <f t="shared" si="8"/>
        <v>0.12589163207985316</v>
      </c>
      <c r="I27" s="183">
        <f t="shared" si="8"/>
        <v>0.16618977657725273</v>
      </c>
    </row>
    <row r="28" spans="1:9" ht="18" customHeight="1" x14ac:dyDescent="0.2">
      <c r="A28" s="182" t="s">
        <v>332</v>
      </c>
      <c r="B28" s="181">
        <f t="shared" ref="B28:I28" si="9">B25</f>
        <v>4.1198113062604638E-2</v>
      </c>
      <c r="C28" s="181">
        <f t="shared" si="9"/>
        <v>3.8899883567933238E-2</v>
      </c>
      <c r="D28" s="181">
        <f t="shared" si="9"/>
        <v>3.6446007170281028E-2</v>
      </c>
      <c r="E28" s="181">
        <f t="shared" si="9"/>
        <v>3.217622083715941E-2</v>
      </c>
      <c r="F28" s="181">
        <f t="shared" si="9"/>
        <v>2.9979521091188604E-2</v>
      </c>
      <c r="G28" s="181">
        <f t="shared" si="9"/>
        <v>3.115151044019359E-2</v>
      </c>
      <c r="H28" s="181">
        <f t="shared" si="9"/>
        <v>3.0438593299699564E-2</v>
      </c>
      <c r="I28" s="181">
        <f t="shared" si="9"/>
        <v>3.7324036684330805E-2</v>
      </c>
    </row>
    <row r="29" spans="1:9" ht="18" customHeight="1" x14ac:dyDescent="0.2">
      <c r="A29" s="175" t="s">
        <v>331</v>
      </c>
      <c r="B29" s="179">
        <f t="shared" ref="B29:I29" si="10">B27-B28</f>
        <v>7.4366838843110877E-2</v>
      </c>
      <c r="C29" s="179">
        <f t="shared" si="10"/>
        <v>6.6875018357485008E-2</v>
      </c>
      <c r="D29" s="179">
        <f t="shared" si="10"/>
        <v>7.777234727591241E-2</v>
      </c>
      <c r="E29" s="180">
        <f t="shared" si="10"/>
        <v>7.6237929394137594E-2</v>
      </c>
      <c r="F29" s="180">
        <f t="shared" si="10"/>
        <v>0.13865018998790446</v>
      </c>
      <c r="G29" s="179">
        <f t="shared" si="10"/>
        <v>0.1217640384917488</v>
      </c>
      <c r="H29" s="179">
        <f t="shared" si="10"/>
        <v>9.5453038780153598E-2</v>
      </c>
      <c r="I29" s="179">
        <f t="shared" si="10"/>
        <v>0.12886573989292194</v>
      </c>
    </row>
    <row r="30" spans="1:9" ht="28" x14ac:dyDescent="0.2">
      <c r="A30" s="178" t="s">
        <v>330</v>
      </c>
      <c r="B30" s="176" t="s">
        <v>327</v>
      </c>
      <c r="C30" s="176" t="s">
        <v>328</v>
      </c>
      <c r="D30" s="176" t="s">
        <v>328</v>
      </c>
      <c r="E30" s="177" t="s">
        <v>329</v>
      </c>
      <c r="F30" s="177" t="s">
        <v>329</v>
      </c>
      <c r="G30" s="176" t="s">
        <v>328</v>
      </c>
      <c r="H30" s="176" t="s">
        <v>328</v>
      </c>
      <c r="I30" s="176" t="s">
        <v>327</v>
      </c>
    </row>
    <row r="31" spans="1:9" x14ac:dyDescent="0.2">
      <c r="A31" s="175" t="s">
        <v>326</v>
      </c>
      <c r="B31" s="173">
        <f t="shared" ref="B31:I31" si="11">B29*B15</f>
        <v>6795.8648340000009</v>
      </c>
      <c r="C31" s="173">
        <f t="shared" si="11"/>
        <v>5932.3491284557804</v>
      </c>
      <c r="D31" s="173">
        <f t="shared" si="11"/>
        <v>7781.706637559606</v>
      </c>
      <c r="E31" s="174">
        <f t="shared" si="11"/>
        <v>9039.569407227591</v>
      </c>
      <c r="F31" s="174">
        <f t="shared" si="11"/>
        <v>17369.610526019715</v>
      </c>
      <c r="G31" s="173">
        <f t="shared" si="11"/>
        <v>15687.104606968982</v>
      </c>
      <c r="H31" s="173">
        <f t="shared" si="11"/>
        <v>12948.109257489055</v>
      </c>
      <c r="I31" s="173">
        <f t="shared" si="11"/>
        <v>18200.288340906882</v>
      </c>
    </row>
    <row r="33" spans="1:9" ht="13.5" customHeight="1" x14ac:dyDescent="0.2">
      <c r="A33" s="244" t="s">
        <v>325</v>
      </c>
      <c r="B33" s="244"/>
      <c r="C33" s="244"/>
      <c r="D33" s="244"/>
      <c r="E33" s="244"/>
      <c r="F33" s="244"/>
      <c r="G33" s="244"/>
      <c r="H33" s="244"/>
      <c r="I33" s="244"/>
    </row>
    <row r="34" spans="1:9" ht="13.5" customHeight="1" x14ac:dyDescent="0.2">
      <c r="A34" s="238" t="s">
        <v>324</v>
      </c>
      <c r="B34" s="238"/>
      <c r="C34" s="238"/>
      <c r="D34" s="238"/>
      <c r="E34" s="238"/>
      <c r="F34" s="238"/>
      <c r="G34" s="238"/>
      <c r="H34" s="238"/>
      <c r="I34" s="238"/>
    </row>
    <row r="35" spans="1:9" ht="13.5" customHeight="1" x14ac:dyDescent="0.2">
      <c r="A35" s="237" t="s">
        <v>323</v>
      </c>
      <c r="B35" s="237"/>
      <c r="C35" s="237"/>
      <c r="D35" s="237"/>
      <c r="E35" s="237"/>
      <c r="F35" s="237"/>
      <c r="G35" s="237"/>
      <c r="H35" s="237"/>
      <c r="I35" s="237"/>
    </row>
    <row r="36" spans="1:9" ht="13.5" customHeight="1" x14ac:dyDescent="0.2">
      <c r="A36" s="238" t="s">
        <v>322</v>
      </c>
      <c r="B36" s="238"/>
      <c r="C36" s="238"/>
      <c r="D36" s="238"/>
      <c r="E36" s="238"/>
      <c r="F36" s="238"/>
      <c r="G36" s="238"/>
      <c r="H36" s="238"/>
      <c r="I36" s="238"/>
    </row>
    <row r="37" spans="1:9" ht="13.5" customHeight="1" x14ac:dyDescent="0.2">
      <c r="A37" s="237" t="s">
        <v>321</v>
      </c>
      <c r="B37" s="237"/>
      <c r="C37" s="237"/>
      <c r="D37" s="237"/>
      <c r="E37" s="237"/>
      <c r="F37" s="237"/>
      <c r="G37" s="237"/>
      <c r="H37" s="237"/>
      <c r="I37" s="237"/>
    </row>
    <row r="38" spans="1:9" ht="13.5" customHeight="1" x14ac:dyDescent="0.2">
      <c r="A38" s="238" t="s">
        <v>320</v>
      </c>
      <c r="B38" s="238"/>
      <c r="C38" s="238"/>
      <c r="D38" s="238"/>
      <c r="E38" s="238"/>
      <c r="F38" s="238"/>
      <c r="G38" s="238"/>
      <c r="H38" s="238"/>
      <c r="I38" s="238"/>
    </row>
    <row r="39" spans="1:9" ht="13.5" customHeight="1" x14ac:dyDescent="0.2">
      <c r="A39" s="237" t="s">
        <v>319</v>
      </c>
      <c r="B39" s="237"/>
      <c r="C39" s="237"/>
      <c r="D39" s="237"/>
      <c r="E39" s="237"/>
      <c r="F39" s="237"/>
      <c r="G39" s="237"/>
      <c r="H39" s="237"/>
      <c r="I39" s="237"/>
    </row>
    <row r="40" spans="1:9" ht="13.5" customHeight="1" x14ac:dyDescent="0.2">
      <c r="A40" s="238" t="s">
        <v>318</v>
      </c>
      <c r="B40" s="238"/>
      <c r="C40" s="238"/>
      <c r="D40" s="238"/>
      <c r="E40" s="238"/>
      <c r="F40" s="238"/>
      <c r="G40" s="238"/>
      <c r="H40" s="238"/>
      <c r="I40" s="238"/>
    </row>
    <row r="41" spans="1:9" ht="13.5" customHeight="1" x14ac:dyDescent="0.2">
      <c r="A41" s="237" t="s">
        <v>317</v>
      </c>
      <c r="B41" s="237"/>
      <c r="C41" s="237"/>
      <c r="D41" s="237"/>
      <c r="E41" s="237"/>
      <c r="F41" s="237"/>
      <c r="G41" s="237"/>
      <c r="H41" s="237"/>
      <c r="I41" s="237"/>
    </row>
    <row r="42" spans="1:9" ht="13.5" customHeight="1" x14ac:dyDescent="0.2">
      <c r="A42" s="238" t="s">
        <v>316</v>
      </c>
      <c r="B42" s="238"/>
      <c r="C42" s="238"/>
      <c r="D42" s="238"/>
      <c r="E42" s="238"/>
      <c r="F42" s="238"/>
      <c r="G42" s="238"/>
      <c r="H42" s="238"/>
      <c r="I42" s="238"/>
    </row>
    <row r="43" spans="1:9" ht="13.5" customHeight="1" x14ac:dyDescent="0.2">
      <c r="A43" s="237" t="s">
        <v>315</v>
      </c>
      <c r="B43" s="237"/>
      <c r="C43" s="237"/>
      <c r="D43" s="237"/>
      <c r="E43" s="237"/>
      <c r="F43" s="237"/>
      <c r="G43" s="237"/>
      <c r="H43" s="237"/>
      <c r="I43" s="237"/>
    </row>
    <row r="44" spans="1:9" ht="13.5" customHeight="1" x14ac:dyDescent="0.2">
      <c r="A44" s="238" t="s">
        <v>314</v>
      </c>
      <c r="B44" s="238"/>
      <c r="C44" s="238"/>
      <c r="D44" s="238"/>
      <c r="E44" s="238"/>
      <c r="F44" s="238"/>
      <c r="G44" s="238"/>
      <c r="H44" s="238"/>
      <c r="I44" s="238"/>
    </row>
  </sheetData>
  <mergeCells count="20">
    <mergeCell ref="A36:I36"/>
    <mergeCell ref="A1:I1"/>
    <mergeCell ref="A2:I2"/>
    <mergeCell ref="B3:D3"/>
    <mergeCell ref="F3:I3"/>
    <mergeCell ref="A5:I5"/>
    <mergeCell ref="A10:I10"/>
    <mergeCell ref="A16:I16"/>
    <mergeCell ref="A26:I26"/>
    <mergeCell ref="A33:I33"/>
    <mergeCell ref="A34:I34"/>
    <mergeCell ref="A35:I35"/>
    <mergeCell ref="A43:I43"/>
    <mergeCell ref="A44:I44"/>
    <mergeCell ref="A37:I37"/>
    <mergeCell ref="A38:I38"/>
    <mergeCell ref="A39:I39"/>
    <mergeCell ref="A40:I40"/>
    <mergeCell ref="A41:I41"/>
    <mergeCell ref="A42:I4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1A61-8229-E043-B83E-854DEADF0EC5}">
  <dimension ref="A1:G27"/>
  <sheetViews>
    <sheetView showGridLines="0" zoomScale="150" zoomScaleNormal="100" workbookViewId="0">
      <selection sqref="A1:E1"/>
    </sheetView>
  </sheetViews>
  <sheetFormatPr baseColWidth="10" defaultColWidth="8.6640625" defaultRowHeight="15" x14ac:dyDescent="0.2"/>
  <cols>
    <col min="1" max="1" width="38" style="3" customWidth="1"/>
    <col min="2" max="4" width="18" style="3" customWidth="1"/>
    <col min="5" max="5" width="47.1640625" style="3" customWidth="1"/>
    <col min="6" max="16384" width="8.6640625" style="3"/>
  </cols>
  <sheetData>
    <row r="1" spans="1:7" ht="16.25" customHeight="1" x14ac:dyDescent="0.2">
      <c r="A1" s="239" t="s">
        <v>445</v>
      </c>
      <c r="B1" s="239"/>
      <c r="C1" s="239"/>
      <c r="D1" s="239"/>
      <c r="E1" s="239"/>
    </row>
    <row r="2" spans="1:7" ht="24" customHeight="1" x14ac:dyDescent="0.2">
      <c r="A2" s="240" t="s">
        <v>444</v>
      </c>
      <c r="B2" s="240"/>
      <c r="C2" s="240"/>
      <c r="D2" s="240"/>
      <c r="E2" s="240"/>
    </row>
    <row r="4" spans="1:7" ht="16" thickBot="1" x14ac:dyDescent="0.25">
      <c r="A4" s="192" t="s">
        <v>224</v>
      </c>
      <c r="B4" s="192" t="s">
        <v>225</v>
      </c>
      <c r="C4" s="192" t="s">
        <v>226</v>
      </c>
      <c r="D4" s="192" t="s">
        <v>443</v>
      </c>
      <c r="E4" s="192" t="s">
        <v>227</v>
      </c>
    </row>
    <row r="5" spans="1:7" ht="24" customHeight="1" x14ac:dyDescent="0.2">
      <c r="A5" s="186" t="s">
        <v>442</v>
      </c>
      <c r="B5" s="190">
        <v>58893</v>
      </c>
      <c r="C5" s="212">
        <f>B5/B$12</f>
        <v>0.45302307692307692</v>
      </c>
      <c r="D5" s="209" t="s">
        <v>429</v>
      </c>
      <c r="E5" s="210" t="s">
        <v>441</v>
      </c>
    </row>
    <row r="6" spans="1:7" ht="27" customHeight="1" x14ac:dyDescent="0.2">
      <c r="A6" s="188" t="s">
        <v>440</v>
      </c>
      <c r="B6" s="190">
        <v>60895</v>
      </c>
      <c r="C6" s="212">
        <f>B6/B$12</f>
        <v>0.46842307692307694</v>
      </c>
      <c r="D6" s="202" t="s">
        <v>435</v>
      </c>
      <c r="E6" s="208" t="s">
        <v>439</v>
      </c>
    </row>
    <row r="7" spans="1:7" ht="18" customHeight="1" x14ac:dyDescent="0.2">
      <c r="A7" s="186" t="s">
        <v>438</v>
      </c>
      <c r="B7" s="190">
        <v>5000</v>
      </c>
      <c r="C7" s="212">
        <f>B7/B$12</f>
        <v>3.8461538461538464E-2</v>
      </c>
      <c r="D7" s="209" t="s">
        <v>429</v>
      </c>
      <c r="E7" s="210" t="s">
        <v>437</v>
      </c>
    </row>
    <row r="8" spans="1:7" ht="18" customHeight="1" x14ac:dyDescent="0.2">
      <c r="A8" s="188" t="s">
        <v>436</v>
      </c>
      <c r="B8" s="190">
        <v>1712</v>
      </c>
      <c r="C8" s="212">
        <f>B8/B$12</f>
        <v>1.316923076923077E-2</v>
      </c>
      <c r="D8" s="202" t="s">
        <v>435</v>
      </c>
      <c r="E8" s="208" t="s">
        <v>434</v>
      </c>
    </row>
    <row r="9" spans="1:7" ht="28" customHeight="1" x14ac:dyDescent="0.2">
      <c r="A9" s="186" t="s">
        <v>433</v>
      </c>
      <c r="B9" s="190">
        <v>3500</v>
      </c>
      <c r="C9" s="212">
        <f>B9/B$12</f>
        <v>2.6923076923076925E-2</v>
      </c>
      <c r="D9" s="211" t="s">
        <v>432</v>
      </c>
      <c r="E9" s="210" t="s">
        <v>431</v>
      </c>
      <c r="G9" s="216"/>
    </row>
    <row r="10" spans="1:7" ht="26" customHeight="1" x14ac:dyDescent="0.2">
      <c r="A10" s="188" t="s">
        <v>430</v>
      </c>
      <c r="B10" s="190"/>
      <c r="C10" s="215">
        <f>B10/B12</f>
        <v>0</v>
      </c>
      <c r="D10" s="209" t="s">
        <v>429</v>
      </c>
      <c r="E10" s="208" t="s">
        <v>428</v>
      </c>
    </row>
    <row r="11" spans="1:7" ht="18" customHeight="1" x14ac:dyDescent="0.2"/>
    <row r="12" spans="1:7" ht="29" customHeight="1" x14ac:dyDescent="0.2">
      <c r="A12" s="207" t="s">
        <v>235</v>
      </c>
      <c r="B12" s="206">
        <f>SUM(B5:B10)</f>
        <v>130000</v>
      </c>
      <c r="C12" s="205">
        <f>B12/B12</f>
        <v>1</v>
      </c>
      <c r="D12" s="204"/>
      <c r="E12" s="203" t="s">
        <v>427</v>
      </c>
    </row>
    <row r="15" spans="1:7" ht="19.5" customHeight="1" x14ac:dyDescent="0.2">
      <c r="A15" s="245" t="s">
        <v>426</v>
      </c>
      <c r="B15" s="245"/>
      <c r="C15" s="245"/>
      <c r="D15" s="245"/>
      <c r="E15" s="245"/>
    </row>
    <row r="16" spans="1:7" ht="16" thickBot="1" x14ac:dyDescent="0.25">
      <c r="A16" s="192" t="s">
        <v>363</v>
      </c>
      <c r="B16" s="192" t="s">
        <v>425</v>
      </c>
      <c r="C16" s="192" t="s">
        <v>424</v>
      </c>
      <c r="D16" s="192" t="s">
        <v>241</v>
      </c>
      <c r="E16" s="192" t="s">
        <v>423</v>
      </c>
    </row>
    <row r="17" spans="1:5" ht="22" customHeight="1" x14ac:dyDescent="0.2">
      <c r="A17" s="198" t="s">
        <v>422</v>
      </c>
      <c r="B17" s="197" t="s">
        <v>421</v>
      </c>
      <c r="C17" s="197" t="s">
        <v>420</v>
      </c>
      <c r="D17" s="202" t="s">
        <v>419</v>
      </c>
      <c r="E17" s="195" t="s">
        <v>418</v>
      </c>
    </row>
    <row r="18" spans="1:5" ht="18" customHeight="1" x14ac:dyDescent="0.2">
      <c r="A18" s="201" t="s">
        <v>417</v>
      </c>
      <c r="B18" s="200" t="s">
        <v>416</v>
      </c>
      <c r="C18" s="200" t="s">
        <v>415</v>
      </c>
      <c r="D18" s="196" t="s">
        <v>414</v>
      </c>
      <c r="E18" s="199" t="s">
        <v>413</v>
      </c>
    </row>
    <row r="19" spans="1:5" ht="25" customHeight="1" x14ac:dyDescent="0.2">
      <c r="A19" s="198" t="s">
        <v>412</v>
      </c>
      <c r="B19" s="197" t="s">
        <v>411</v>
      </c>
      <c r="C19" s="197" t="s">
        <v>410</v>
      </c>
      <c r="D19" s="202" t="s">
        <v>409</v>
      </c>
      <c r="E19" s="195" t="s">
        <v>408</v>
      </c>
    </row>
    <row r="20" spans="1:5" ht="18" customHeight="1" x14ac:dyDescent="0.2">
      <c r="A20" s="201" t="s">
        <v>407</v>
      </c>
      <c r="B20" s="200" t="s">
        <v>406</v>
      </c>
      <c r="C20" s="200" t="s">
        <v>405</v>
      </c>
      <c r="D20" s="202" t="s">
        <v>404</v>
      </c>
      <c r="E20" s="199" t="s">
        <v>403</v>
      </c>
    </row>
    <row r="21" spans="1:5" ht="18" customHeight="1" x14ac:dyDescent="0.2">
      <c r="A21" s="198" t="s">
        <v>402</v>
      </c>
      <c r="B21" s="197" t="s">
        <v>401</v>
      </c>
      <c r="C21" s="197" t="s">
        <v>400</v>
      </c>
      <c r="D21" s="202" t="s">
        <v>399</v>
      </c>
      <c r="E21" s="195" t="s">
        <v>398</v>
      </c>
    </row>
    <row r="22" spans="1:5" ht="18" customHeight="1" x14ac:dyDescent="0.2">
      <c r="A22" s="201" t="s">
        <v>397</v>
      </c>
      <c r="B22" s="200" t="s">
        <v>396</v>
      </c>
      <c r="C22" s="200" t="s">
        <v>395</v>
      </c>
      <c r="D22" s="196" t="s">
        <v>394</v>
      </c>
      <c r="E22" s="199" t="s">
        <v>393</v>
      </c>
    </row>
    <row r="23" spans="1:5" ht="18" customHeight="1" x14ac:dyDescent="0.2">
      <c r="A23" s="198" t="s">
        <v>332</v>
      </c>
      <c r="B23" s="197" t="s">
        <v>392</v>
      </c>
      <c r="C23" s="197" t="s">
        <v>391</v>
      </c>
      <c r="D23" s="196" t="s">
        <v>390</v>
      </c>
      <c r="E23" s="195" t="s">
        <v>389</v>
      </c>
    </row>
    <row r="24" spans="1:5" ht="18" customHeight="1" x14ac:dyDescent="0.2">
      <c r="A24" s="201" t="s">
        <v>388</v>
      </c>
      <c r="B24" s="200" t="s">
        <v>387</v>
      </c>
      <c r="C24" s="200" t="s">
        <v>386</v>
      </c>
      <c r="D24" s="202" t="s">
        <v>385</v>
      </c>
      <c r="E24" s="199" t="s">
        <v>384</v>
      </c>
    </row>
    <row r="25" spans="1:5" ht="18" customHeight="1" x14ac:dyDescent="0.2">
      <c r="A25" s="198" t="s">
        <v>383</v>
      </c>
      <c r="B25" s="197" t="s">
        <v>382</v>
      </c>
      <c r="C25" s="197" t="s">
        <v>381</v>
      </c>
      <c r="D25" s="202" t="s">
        <v>380</v>
      </c>
      <c r="E25" s="195" t="s">
        <v>379</v>
      </c>
    </row>
    <row r="26" spans="1:5" ht="18" customHeight="1" x14ac:dyDescent="0.2">
      <c r="A26" s="201" t="s">
        <v>378</v>
      </c>
      <c r="B26" s="200" t="s">
        <v>377</v>
      </c>
      <c r="C26" s="200" t="s">
        <v>376</v>
      </c>
      <c r="D26" s="196" t="s">
        <v>375</v>
      </c>
      <c r="E26" s="199" t="s">
        <v>374</v>
      </c>
    </row>
    <row r="27" spans="1:5" ht="18" customHeight="1" x14ac:dyDescent="0.2">
      <c r="A27" s="198" t="s">
        <v>373</v>
      </c>
      <c r="B27" s="197" t="s">
        <v>372</v>
      </c>
      <c r="C27" s="197" t="s">
        <v>371</v>
      </c>
      <c r="D27" s="196" t="s">
        <v>370</v>
      </c>
      <c r="E27" s="195" t="s">
        <v>369</v>
      </c>
    </row>
  </sheetData>
  <mergeCells count="3">
    <mergeCell ref="A1:E1"/>
    <mergeCell ref="A2:E2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DB740074F67C41A4C35EB618A06C22" ma:contentTypeVersion="9" ma:contentTypeDescription="Create a new document." ma:contentTypeScope="" ma:versionID="f9ff74c96d282be4d376c4880d01f28f">
  <xsd:schema xmlns:xsd="http://www.w3.org/2001/XMLSchema" xmlns:xs="http://www.w3.org/2001/XMLSchema" xmlns:p="http://schemas.microsoft.com/office/2006/metadata/properties" xmlns:ns3="39c253dd-750e-49f2-b9e0-df4649350370" xmlns:ns4="1fd0f161-8cac-428d-bb0d-db3eea82b135" targetNamespace="http://schemas.microsoft.com/office/2006/metadata/properties" ma:root="true" ma:fieldsID="2ed4c3aca728f71d233ae273cdfab16d" ns3:_="" ns4:_="">
    <xsd:import namespace="39c253dd-750e-49f2-b9e0-df4649350370"/>
    <xsd:import namespace="1fd0f161-8cac-428d-bb0d-db3eea82b13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253dd-750e-49f2-b9e0-df46493503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0f161-8cac-428d-bb0d-db3eea82b1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d0f161-8cac-428d-bb0d-db3eea82b1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E8E31-9C1B-4B34-88DF-333714514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c253dd-750e-49f2-b9e0-df4649350370"/>
    <ds:schemaRef ds:uri="1fd0f161-8cac-428d-bb0d-db3eea82b1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700678-439D-4A65-A8D1-F29238795DCA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1fd0f161-8cac-428d-bb0d-db3eea82b135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39c253dd-750e-49f2-b9e0-df464935037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9C11964-986B-4414-95FD-16130A9F1B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Cover Page</vt:lpstr>
      <vt:lpstr>Data Validation</vt:lpstr>
      <vt:lpstr>Counterfactual Analysis -&gt;</vt:lpstr>
      <vt:lpstr>Verizon Counterfactual DCF</vt:lpstr>
      <vt:lpstr>Counterfactual Buybacks&amp;Paydown</vt:lpstr>
      <vt:lpstr>EPS Accretion V1</vt:lpstr>
      <vt:lpstr>Assumptions</vt:lpstr>
      <vt:lpstr>EPS Accretion-Dilution</vt:lpstr>
      <vt:lpstr>Deal Structure</vt:lpstr>
      <vt:lpstr>EPS Accretion V2</vt:lpstr>
      <vt:lpstr>Assumptions (2)</vt:lpstr>
      <vt:lpstr>EPS Accretion-Dilution (2)</vt:lpstr>
      <vt:lpstr>Deal Structure (2)</vt:lpstr>
      <vt:lpstr>EPS Accretion Analysis -&gt;</vt:lpstr>
      <vt:lpstr>Assumptions (3) Old</vt:lpstr>
      <vt:lpstr>EPS Accretion-Dilution (3) old</vt:lpstr>
      <vt:lpstr>Deal Structure (3) Old</vt:lpstr>
      <vt:lpstr>Assumptions (VF)</vt:lpstr>
      <vt:lpstr>EPS Accretion-Dilution (VF)</vt:lpstr>
      <vt:lpstr>Deal Structure (VF)</vt:lpstr>
      <vt:lpstr>ROIC VS WACC -&gt;</vt:lpstr>
      <vt:lpstr>ROIC vs WACC</vt:lpstr>
      <vt:lpstr>Deal Structure &amp; Capital Impact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Akul Veauli</dc:creator>
  <cp:keywords/>
  <dc:description/>
  <cp:lastModifiedBy>Akul Veauli</cp:lastModifiedBy>
  <cp:revision/>
  <dcterms:created xsi:type="dcterms:W3CDTF">2026-03-05T22:44:15Z</dcterms:created>
  <dcterms:modified xsi:type="dcterms:W3CDTF">2026-09-04T20:48:19Z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0x010100AADB740074F67C41A4C35EB618A06C22</vt:lpwstr>
  </property>
</Properties>
</file>