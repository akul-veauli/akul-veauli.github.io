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760" windowWidth="29400" windowHeight="1686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Acquirer" sheetId="3" state="visible" r:id="rId3"/>
    <sheet xmlns:r="http://schemas.openxmlformats.org/officeDocument/2006/relationships" name="Target" sheetId="4" state="visible" r:id="rId4"/>
    <sheet xmlns:r="http://schemas.openxmlformats.org/officeDocument/2006/relationships" name="Synergies" sheetId="5" state="visible" r:id="rId5"/>
    <sheet xmlns:r="http://schemas.openxmlformats.org/officeDocument/2006/relationships" name="PPA-Financing" sheetId="6" state="visible" r:id="rId6"/>
    <sheet xmlns:r="http://schemas.openxmlformats.org/officeDocument/2006/relationships" name="ProForma" sheetId="7" state="visible" r:id="rId7"/>
    <sheet xmlns:r="http://schemas.openxmlformats.org/officeDocument/2006/relationships" name="Contribution" sheetId="8" state="visible" r:id="rId8"/>
    <sheet xmlns:r="http://schemas.openxmlformats.org/officeDocument/2006/relationships" name="Sensitivity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\$#,##0.00"/>
    <numFmt numFmtId="165" formatCode="0.0%"/>
    <numFmt numFmtId="166" formatCode="#,##0.0;\(#,##0.0\)"/>
    <numFmt numFmtId="167" formatCode="0.0\x"/>
    <numFmt numFmtId="168" formatCode="#,##0.0"/>
  </numFmts>
  <fonts count="10">
    <font>
      <name val="Calibri"/>
      <family val="2"/>
      <color theme="1"/>
      <sz val="11"/>
      <scheme val="minor"/>
    </font>
    <font>
      <name val="Arial"/>
      <family val="2"/>
      <b val="1"/>
      <color rgb="FF1F3864"/>
      <sz val="14"/>
    </font>
    <font>
      <name val="Arial"/>
      <family val="2"/>
      <i val="1"/>
      <color rgb="FF7F7F7F"/>
      <sz val="9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</font>
    <font>
      <name val="Arial"/>
      <family val="2"/>
      <color rgb="FF000000"/>
      <sz val="10"/>
    </font>
    <font>
      <name val="Arial"/>
      <family val="2"/>
      <color rgb="FF008000"/>
      <sz val="10"/>
    </font>
    <font>
      <name val="Arial"/>
      <family val="2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/>
      <top style="thin">
        <color rgb="FF7F7F7F"/>
      </top>
      <bottom style="double">
        <color rgb="FF00000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164" fontId="6" fillId="3" borderId="0" pivotButton="0" quotePrefix="0" xfId="0"/>
    <xf numFmtId="165" fontId="7" fillId="0" borderId="0" pivotButton="0" quotePrefix="0" xfId="0"/>
    <xf numFmtId="168" fontId="6" fillId="3" borderId="0" pivotButton="0" quotePrefix="0" xfId="0"/>
    <xf numFmtId="166" fontId="7" fillId="4" borderId="1" pivotButton="0" quotePrefix="0" xfId="0"/>
    <xf numFmtId="166" fontId="6" fillId="3" borderId="0" pivotButton="0" quotePrefix="0" xfId="0"/>
    <xf numFmtId="165" fontId="6" fillId="3" borderId="0" pivotButton="0" quotePrefix="0" xfId="0"/>
    <xf numFmtId="166" fontId="7" fillId="0" borderId="0" pivotButton="0" quotePrefix="0" xfId="0"/>
    <xf numFmtId="168" fontId="7" fillId="0" borderId="0" pivotButton="0" quotePrefix="0" xfId="0"/>
    <xf numFmtId="167" fontId="7" fillId="0" borderId="0" pivotButton="0" quotePrefix="0" xfId="0"/>
    <xf numFmtId="167" fontId="6" fillId="3" borderId="0" pivotButton="0" quotePrefix="0" xfId="0"/>
    <xf numFmtId="10" fontId="6" fillId="3" borderId="0" pivotButton="0" quotePrefix="0" xfId="0"/>
    <xf numFmtId="1" fontId="6" fillId="3" borderId="0" pivotButton="0" quotePrefix="0" xfId="0"/>
    <xf numFmtId="0" fontId="9" fillId="0" borderId="0" pivotButton="0" quotePrefix="0" xfId="0"/>
    <xf numFmtId="0" fontId="5" fillId="2" borderId="0" applyAlignment="1" pivotButton="0" quotePrefix="0" xfId="0">
      <alignment horizontal="center"/>
    </xf>
    <xf numFmtId="0" fontId="4" fillId="0" borderId="0" applyAlignment="1" pivotButton="0" quotePrefix="0" xfId="0">
      <alignment indent="1"/>
    </xf>
    <xf numFmtId="164" fontId="7" fillId="4" borderId="1" pivotButton="0" quotePrefix="0" xfId="0"/>
    <xf numFmtId="168" fontId="8" fillId="0" borderId="0" pivotButton="0" quotePrefix="0" xfId="0"/>
    <xf numFmtId="166" fontId="8" fillId="4" borderId="1" pivotButton="0" quotePrefix="0" xfId="0"/>
    <xf numFmtId="165" fontId="7" fillId="4" borderId="1" pivotButton="0" quotePrefix="0" xfId="0"/>
    <xf numFmtId="167" fontId="7" fillId="4" borderId="1" pivotButton="0" quotePrefix="0" xfId="0"/>
    <xf numFmtId="164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168" fontId="6" fillId="3" borderId="0" pivotButton="0" quotePrefix="0" xfId="0"/>
    <xf numFmtId="166" fontId="7" fillId="4" borderId="1" pivotButton="0" quotePrefix="0" xfId="0"/>
    <xf numFmtId="166" fontId="6" fillId="3" borderId="0" pivotButton="0" quotePrefix="0" xfId="0"/>
    <xf numFmtId="166" fontId="7" fillId="0" borderId="0" pivotButton="0" quotePrefix="0" xfId="0"/>
    <xf numFmtId="168" fontId="7" fillId="0" borderId="0" pivotButton="0" quotePrefix="0" xfId="0"/>
    <xf numFmtId="167" fontId="7" fillId="0" borderId="0" pivotButton="0" quotePrefix="0" xfId="0"/>
    <xf numFmtId="167" fontId="6" fillId="3" borderId="0" pivotButton="0" quotePrefix="0" xfId="0"/>
    <xf numFmtId="168" fontId="8" fillId="0" borderId="0" pivotButton="0" quotePrefix="0" xfId="0"/>
    <xf numFmtId="166" fontId="8" fillId="4" borderId="1" pivotButton="0" quotePrefix="0" xfId="0"/>
    <xf numFmtId="167" fontId="7" fillId="4" borderId="1" pivotButton="0" quotePrefix="0" xfId="0"/>
  </cellXfs>
  <cellStyles count="1">
    <cellStyle name="Normal" xfId="0" builtinId="0"/>
  </cellStyles>
  <dxfs count="1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tabSelected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35" min="1" max="1"/>
    <col width="46" customWidth="1" style="35" min="2" max="2"/>
    <col width="20" customWidth="1" style="35" min="3" max="7"/>
  </cols>
  <sheetData>
    <row r="1"/>
    <row r="2" ht="18" customHeight="1" s="35">
      <c r="B2" s="1" t="inlineStr">
        <is>
          <t>The Walt Disney Company / 21st Century Fox - Merger Model</t>
        </is>
      </c>
    </row>
    <row r="3">
      <c r="B3" s="37" t="inlineStr">
        <is>
          <t>($ in millions, except per-share data, unless noted)</t>
        </is>
      </c>
    </row>
    <row r="4" ht="28" customHeight="1" s="35">
      <c r="B4" s="37" t="inlineStr">
        <is>
          <t>Deal: Disney acquisition of 21st Century Fox's entertainment assets ('acquired perimeter') for $38.00/share, $71.3B equity value (~$85.1B EV incl. assumed net debt); amended agreement signed June 20, 2018; closed March 20, 2019.</t>
        </is>
      </c>
    </row>
    <row r="5">
      <c r="B5" s="3" t="inlineStr">
        <is>
          <t>Prepared by: Akul Veauli</t>
        </is>
      </c>
    </row>
    <row r="6">
      <c r="B6" s="4" t="inlineStr">
        <is>
          <t>Date: August 23, 2026</t>
        </is>
      </c>
    </row>
    <row r="7"/>
    <row r="8" ht="130" customHeight="1" s="35">
      <c r="B8" s="36" t="inlineStr">
        <is>
          <t>Model description: Accretion/dilution merger model for Disney's acquisition of 21st Century Fox's film &amp; TV studio, cable networks (ex-Fox News/FS1/FBC/RSNs), and international businesses - the 'acquired perimeter' remaining after Fox's spin-off of 'New Fox' (Fox Corporation: Fox News, Fox Broadcasting, FS1, regional sports networks) into RemainCo immediately prior to close. Target financials are carved out as Total 21CF less RemainCo pro forma. Consideration is 50% cash / 50% stock, subject to a collar on the exchange ratio (0.4517x base, executed within the collar at close). New debt funds the cash consideration net of balance-sheet cash used. Includes purchase price allocation (goodwill &amp; intangible step-up with incremental amortization), $2.0B run-rate cost synergies phased in over 4 years, 5-year pro forma EPS accretion/dilution, breakeven synergies, contribution analysis, and live premium x synergies / consideration-mix sensitivity grids.</t>
        </is>
      </c>
    </row>
    <row r="9"/>
    <row r="10"/>
    <row r="11"/>
    <row r="12">
      <c r="B12" s="5" t="inlineStr">
        <is>
          <t>Color-code legend</t>
        </is>
      </c>
      <c r="C12" s="5" t="n"/>
      <c r="D12" s="5" t="n"/>
    </row>
    <row r="13">
      <c r="B13" s="6" t="inlineStr">
        <is>
          <t>38.00  (hardcoded input)</t>
        </is>
      </c>
      <c r="C13" t="inlineStr">
        <is>
          <t>Blue font / yellow fill = hardcoded assumption</t>
        </is>
      </c>
    </row>
    <row r="14">
      <c r="B14" s="7" t="inlineStr">
        <is>
          <t>e.g. B12*2  (same-sheet formula)</t>
        </is>
      </c>
      <c r="C14" t="inlineStr">
        <is>
          <t>Black font = formula referencing same tab</t>
        </is>
      </c>
    </row>
    <row r="15">
      <c r="B15" s="8" t="inlineStr">
        <is>
          <t>e.g. Assumptions!B12  (cross-tab link)</t>
        </is>
      </c>
      <c r="C15" t="inlineStr">
        <is>
          <t>Green font = formula linking from another tab</t>
        </is>
      </c>
    </row>
    <row r="16"/>
    <row r="17"/>
    <row r="18">
      <c r="B18" s="5" t="inlineStr">
        <is>
          <t>Table of contents</t>
        </is>
      </c>
      <c r="C18" s="5" t="n"/>
    </row>
    <row r="19">
      <c r="B19" s="4" t="inlineStr">
        <is>
          <t>Cover</t>
        </is>
      </c>
    </row>
    <row r="20">
      <c r="B20" s="4" t="inlineStr">
        <is>
          <t>Assumptions</t>
        </is>
      </c>
    </row>
    <row r="21">
      <c r="B21" s="4" t="inlineStr">
        <is>
          <t>Acquirer</t>
        </is>
      </c>
    </row>
    <row r="22">
      <c r="B22" s="4" t="inlineStr">
        <is>
          <t>Target</t>
        </is>
      </c>
    </row>
    <row r="23">
      <c r="B23" s="4" t="inlineStr">
        <is>
          <t>Synergies</t>
        </is>
      </c>
    </row>
    <row r="24">
      <c r="B24" s="4" t="inlineStr">
        <is>
          <t>PPA-Financing</t>
        </is>
      </c>
    </row>
    <row r="25">
      <c r="B25" s="4" t="inlineStr">
        <is>
          <t>ProForma</t>
        </is>
      </c>
    </row>
    <row r="26">
      <c r="B26" s="4" t="inlineStr">
        <is>
          <t>Contribution</t>
        </is>
      </c>
    </row>
    <row r="27">
      <c r="B27" s="4" t="inlineStr">
        <is>
          <t>Sensitivity</t>
        </is>
      </c>
    </row>
    <row r="28"/>
    <row r="29">
      <c r="B29" s="5" t="inlineStr">
        <is>
          <t>Key outputs</t>
        </is>
      </c>
      <c r="C29" s="5" t="n"/>
      <c r="D29" s="5" t="n"/>
      <c r="E29" s="5" t="n"/>
    </row>
    <row r="30">
      <c r="B30" s="4" t="inlineStr">
        <is>
          <t>Offer price per Fox share</t>
        </is>
      </c>
      <c r="D30" s="9">
        <f>Assumptions!D6</f>
      </c>
    </row>
    <row r="31">
      <c r="B31" s="4" t="inlineStr">
        <is>
          <t>Premium to unaffected price</t>
        </is>
      </c>
      <c r="D31" s="10">
        <f>Assumptions!D8</f>
      </c>
    </row>
    <row r="32">
      <c r="B32" s="4" t="inlineStr">
        <is>
          <t>Equity purchase price</t>
        </is>
      </c>
      <c r="D32" s="38">
        <f>Assumptions!D10</f>
      </c>
    </row>
    <row r="33">
      <c r="B33" s="4" t="inlineStr">
        <is>
          <t>Actual disclosed exchange ratio (collar)</t>
        </is>
      </c>
      <c r="D33" s="39">
        <f>Assumptions!D22</f>
      </c>
    </row>
    <row r="34">
      <c r="B34" s="4" t="inlineStr">
        <is>
          <t>New goodwill created</t>
        </is>
      </c>
      <c r="D34" s="38">
        <f>'PPA-Financing'!D26</f>
      </c>
    </row>
    <row r="35">
      <c r="B35" s="4" t="inlineStr">
        <is>
          <t>FY2019E accretion/(dilution) %</t>
        </is>
      </c>
      <c r="D35" s="10">
        <f>ProForma!G25</f>
      </c>
    </row>
    <row r="36">
      <c r="B36" s="4" t="inlineStr">
        <is>
          <t>FY2020E accretion/(dilution) %</t>
        </is>
      </c>
      <c r="D36" s="10">
        <f>ProForma!H25</f>
      </c>
    </row>
    <row r="37">
      <c r="B37" s="4" t="inlineStr">
        <is>
          <t>Breakeven run-rate synergies (pre-tax, Yr1)</t>
        </is>
      </c>
      <c r="D37" s="38">
        <f>ProForma!G27</f>
      </c>
    </row>
    <row r="38"/>
    <row r="39" ht="60" customHeight="1" s="35">
      <c r="B39" s="34" t="inlineStr">
        <is>
          <t>Sources: Disney FY2018 10-K (filed 11/21/2018, SEC CIK 1744489); 21st Century Fox FY2018 10-K (filed 10/5/2018, SEC CIK 1308161); Disney/Fox amended merger agreement &amp; press release (6/20/2018); Fox Corporation Form 10 and Disney 8-K/A pro forma exhibits (RemainCo carve-out, March 2019); Disney 8-K12B exchange-ratio/VWAP exhibit (3/2019). See Assumptions and Target tabs for line-by-line flagged estimates.</t>
        </is>
      </c>
    </row>
    <row r="40"/>
    <row r="41"/>
    <row r="42">
      <c r="B42" s="5" t="inlineStr">
        <is>
          <t>DealNotes - Data Gaps &amp; Assumption Choices (flagged by research)</t>
        </is>
      </c>
      <c r="C42" s="5" t="n"/>
      <c r="D42" s="5" t="n"/>
      <c r="E42" s="5" t="n"/>
      <c r="F42" s="5" t="n"/>
      <c r="G42" s="5" t="n"/>
    </row>
    <row r="43" ht="44" customHeight="1" s="35">
      <c r="B43" s="34" t="inlineStr">
        <is>
          <t>RemainCo ('New Fox') FY2018 pro forma EBITDA is disclosed only as a $2.0-2.8B range in available search results; this model uses the midpoint $2.4B as a blue input, with the full range shown as a sensitivity note on the Target tab. RemainCo revenue of $10.2B is used directly (single point estimate available).</t>
        </is>
      </c>
    </row>
    <row r="44" ht="44" customHeight="1" s="35">
      <c r="B44" s="34" t="inlineStr">
        <is>
          <t>Target (acquired-perimeter) FY2016-17 history is not separately disclosed pre-carve-out; this model holds the RemainCo revenue/EBITDA share of Total 21CF constant at the FY2018 ratio for FY2016-17, then derives the acquired perimeter as Total-21CF-less-RemainCo in each historical year (visible carve-out block on Target tab).</t>
        </is>
      </c>
    </row>
    <row r="45" ht="44" customHeight="1" s="35">
      <c r="B45" s="34" t="inlineStr">
        <is>
          <t>Disney FY2016-17 D&amp;A and FY2018 cash/debt detail were not returned in full precision by the research pass; D&amp;A is estimated at a stable ~8.5% of revenue (consistent with FY2018 approximate op-income-to-EBITDA bridge) and FY2018 net debt is estimated at ~$17.1B total debt less ~$4.0B cash (~$13.1B net) - both flagged blue inputs, adjustable.</t>
        </is>
      </c>
    </row>
    <row r="46" ht="44" customHeight="1" s="35">
      <c r="B46" s="34" t="inlineStr">
        <is>
          <t>Deal advisory + financing fees are not quantified in the S-4/proxy excerpts retrieved; this model uses a conservative fallback of 0.75% of equity purchase price for advisory fees and 0.5% of new debt for financing fees, both blue inputs, expensed at close (add-back memo only, not run through the 5-yr P&amp;L).</t>
        </is>
      </c>
    </row>
    <row r="47" ht="44" customHeight="1" s="35">
      <c r="B47" s="34" t="inlineStr">
        <is>
          <t>New-debt blended coupon uses the fallback 2019 single-A industrial yield of 4.00% (Disney was upper-single-A / high-BBB rated pre-deal); intangible step-up amortization life uses the deal-model convention of 15 years straight-line, allocation 40% of premium-over-book to identifiable intangibles (customer relationships, trademarks, content library), remainder to goodwill, with a DTL toggle (default ON) at the 21% blended rate.</t>
        </is>
      </c>
    </row>
  </sheetData>
  <mergeCells count="8">
    <mergeCell ref="B47:G47"/>
    <mergeCell ref="B46:G46"/>
    <mergeCell ref="B45:G45"/>
    <mergeCell ref="B8:G8"/>
    <mergeCell ref="B4:G4"/>
    <mergeCell ref="B43:G43"/>
    <mergeCell ref="B44:G44"/>
    <mergeCell ref="B39:G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35" min="1" max="1"/>
    <col width="46" customWidth="1" style="35" min="2" max="2"/>
    <col width="8" customWidth="1" style="35" min="3" max="3"/>
    <col width="16" customWidth="1" style="35" min="4" max="4"/>
    <col width="46" customWidth="1" style="35" min="5" max="5"/>
  </cols>
  <sheetData>
    <row r="1"/>
    <row r="2" ht="18" customHeight="1" s="35">
      <c r="B2" s="1" t="inlineStr">
        <is>
          <t>Assumptions</t>
        </is>
      </c>
    </row>
    <row r="3">
      <c r="B3" s="37" t="inlineStr">
        <is>
          <t>($ in millions, except per-share and per-share-price data, unless noted)</t>
        </is>
      </c>
    </row>
    <row r="4"/>
    <row r="5">
      <c r="B5" s="5" t="inlineStr">
        <is>
          <t>1. Deal Terms</t>
        </is>
      </c>
      <c r="C5" s="5" t="n"/>
      <c r="D5" s="5" t="n"/>
      <c r="E5" s="5" t="n"/>
    </row>
    <row r="6">
      <c r="B6" s="4" t="inlineStr">
        <is>
          <t>Offer price per Fox share ($ cash or Disney stock)</t>
        </is>
      </c>
      <c r="D6" s="13" t="n">
        <v>38</v>
      </c>
      <c r="E6" s="37" t="inlineStr">
        <is>
          <t>Amended merger agreement, 6/20/2018 press release</t>
        </is>
      </c>
    </row>
    <row r="7">
      <c r="B7" s="4" t="inlineStr">
        <is>
          <t>Target unaffected share price ($)</t>
        </is>
      </c>
      <c r="D7" s="13" t="n">
        <v>26</v>
      </c>
      <c r="E7" s="37" t="inlineStr">
        <is>
          <t>FLAGGED: pre-rumor ~11/2/2017 level, disclosed range $25-26; midpoint used</t>
        </is>
      </c>
    </row>
    <row r="8">
      <c r="B8" s="4" t="inlineStr">
        <is>
          <t>Premium to unaffected price</t>
        </is>
      </c>
      <c r="D8" s="14">
        <f>D6/D7-1</f>
      </c>
    </row>
    <row r="9">
      <c r="B9" s="4" t="inlineStr">
        <is>
          <t>Target fully-diluted shares, deal-level (mm)</t>
        </is>
      </c>
      <c r="D9" s="40" t="n">
        <v>1876</v>
      </c>
      <c r="E9" s="37" t="inlineStr">
        <is>
          <t>Implied by $71.3B equity value / $38.00 per S-4 disclosure</t>
        </is>
      </c>
    </row>
    <row r="10">
      <c r="B10" s="4" t="inlineStr">
        <is>
          <t>Equity purchase price ($mm)</t>
        </is>
      </c>
      <c r="D10" s="41">
        <f>D6*D9</f>
      </c>
      <c r="E10" s="37" t="inlineStr">
        <is>
          <t>Check: ties to disclosed $71.3B</t>
        </is>
      </c>
    </row>
    <row r="11">
      <c r="B11" s="4" t="inlineStr">
        <is>
          <t>Assumed net debt of Fox at close ($mm)</t>
        </is>
      </c>
      <c r="D11" s="42" t="n">
        <v>13800</v>
      </c>
      <c r="E11" s="37" t="inlineStr">
        <is>
          <t>S-4 pro forma disclosure, ~$13.8B</t>
        </is>
      </c>
    </row>
    <row r="12">
      <c r="B12" s="4" t="inlineStr">
        <is>
          <t>Total enterprise value ($mm)</t>
        </is>
      </c>
      <c r="D12" s="41">
        <f>D10+D11</f>
      </c>
      <c r="E12" s="37" t="inlineStr">
        <is>
          <t>Check: ties to disclosed ~$85.1B</t>
        </is>
      </c>
    </row>
    <row r="13"/>
    <row r="14">
      <c r="B14" s="5" t="inlineStr">
        <is>
          <t>2. Consideration Mix &amp; Exchange Mechanics</t>
        </is>
      </c>
      <c r="C14" s="5" t="n"/>
      <c r="D14" s="5" t="n"/>
      <c r="E14" s="5" t="n"/>
    </row>
    <row r="15">
      <c r="B15" s="4" t="inlineStr">
        <is>
          <t>% Cash consideration</t>
        </is>
      </c>
      <c r="D15" s="18" t="n">
        <v>0.5</v>
      </c>
      <c r="E15" s="37" t="inlineStr">
        <is>
          <t>50/50 aggregate proration per amended agreement</t>
        </is>
      </c>
    </row>
    <row r="16">
      <c r="B16" s="4" t="inlineStr">
        <is>
          <t>% Stock consideration</t>
        </is>
      </c>
      <c r="D16" s="14">
        <f>1-D15</f>
      </c>
    </row>
    <row r="17">
      <c r="B17" s="4" t="inlineStr">
        <is>
          <t>Cash consideration ($mm)</t>
        </is>
      </c>
      <c r="D17" s="43">
        <f>D10*D15</f>
      </c>
      <c r="E17" s="37" t="inlineStr">
        <is>
          <t>Check: ties to disclosed $35.7B</t>
        </is>
      </c>
    </row>
    <row r="18">
      <c r="B18" s="4" t="inlineStr">
        <is>
          <t>Stock consideration ($mm)</t>
        </is>
      </c>
      <c r="D18" s="43">
        <f>D10*D16</f>
      </c>
    </row>
    <row r="19">
      <c r="B19" s="4" t="inlineStr">
        <is>
          <t>Acquirer (Disney) share price at close ($)</t>
        </is>
      </c>
      <c r="D19" s="13" t="n">
        <v>114.75</v>
      </c>
      <c r="E19" s="37" t="inlineStr">
        <is>
          <t>3/18/2019 close, last trading day pre-close (3/20/2019)</t>
        </is>
      </c>
    </row>
    <row r="20">
      <c r="B20" s="4" t="inlineStr">
        <is>
          <t>New Disney shares issued (mm)</t>
        </is>
      </c>
      <c r="D20" s="44">
        <f>D18/D19</f>
      </c>
      <c r="E20" s="37" t="inlineStr">
        <is>
          <t>Equals stock consideration $ / Disney price; check vs. disclosed 343mm</t>
        </is>
      </c>
    </row>
    <row r="21">
      <c r="B21" s="4" t="inlineStr">
        <is>
          <t>Implied blended exchange ratio (memo, Disney sh / Fox sh)</t>
        </is>
      </c>
      <c r="D21" s="45">
        <f>D20/D9</f>
      </c>
    </row>
    <row r="22">
      <c r="B22" s="4" t="inlineStr">
        <is>
          <t>Actual disclosed exchange ratio (stock electors, per collar)</t>
        </is>
      </c>
      <c r="D22" s="46" t="n">
        <v>0.4517</v>
      </c>
      <c r="E22" s="37" t="inlineStr">
        <is>
          <t>Collar band $93.53-$114.32 Disney VWAP; fixed at 0.4517 within band (steps to 0.3324 above / 0.4063 below). Differs from the memo blended ratio above because only shareholders electing stock receive the full per-share ratio; this model uses the dollar-based 50/50 split for P&amp;L purposes, consistent with the master-spec grid architecture.</t>
        </is>
      </c>
    </row>
    <row r="23">
      <c r="B23" s="4" t="inlineStr">
        <is>
          <t>Hulu / RSN divestiture treatment</t>
        </is>
      </c>
      <c r="D23" s="37" t="inlineStr">
        <is>
          <t>Memo only</t>
        </is>
      </c>
      <c r="E23" s="37" t="inlineStr">
        <is>
          <t>Not separately modeled; immaterial to combined P&amp;L for this model's purposes</t>
        </is>
      </c>
    </row>
    <row r="24"/>
    <row r="25">
      <c r="B25" s="5" t="inlineStr">
        <is>
          <t>3. Financing</t>
        </is>
      </c>
      <c r="C25" s="5" t="n"/>
      <c r="D25" s="5" t="n"/>
      <c r="E25" s="5" t="n"/>
    </row>
    <row r="26">
      <c r="B26" s="4" t="inlineStr">
        <is>
          <t>Cash consideration funded from Disney balance sheet ($mm)</t>
        </is>
      </c>
      <c r="D26" s="42" t="n">
        <v>0</v>
      </c>
      <c r="E26" s="37" t="inlineStr">
        <is>
          <t>Model assumes cash consideration fully debt-funded, per disclosed $35.7B bridge</t>
        </is>
      </c>
    </row>
    <row r="27">
      <c r="B27" s="4" t="inlineStr">
        <is>
          <t>New debt raised ($mm)</t>
        </is>
      </c>
      <c r="D27" s="41">
        <f>D17-D26</f>
      </c>
    </row>
    <row r="28">
      <c r="B28" s="4" t="inlineStr">
        <is>
          <t>Blended new-debt interest rate</t>
        </is>
      </c>
      <c r="D28" s="23" t="n">
        <v>0.04</v>
      </c>
      <c r="E28" s="37" t="inlineStr">
        <is>
          <t>Fallback: 2019 single-A industrial bond yield, 3.5%-4.0% range</t>
        </is>
      </c>
    </row>
    <row r="29">
      <c r="B29" s="4" t="inlineStr">
        <is>
          <t>Foregone interest rate on cash used</t>
        </is>
      </c>
      <c r="D29" s="23" t="n">
        <v>0.02</v>
      </c>
      <c r="E29" s="37" t="inlineStr">
        <is>
          <t>Opportunity cost, short-term investment yield</t>
        </is>
      </c>
    </row>
    <row r="30">
      <c r="B30" s="4" t="inlineStr">
        <is>
          <t>Advisory fees (% of equity purchase price)</t>
        </is>
      </c>
      <c r="D30" s="23" t="n">
        <v>0.0075</v>
      </c>
      <c r="E30" s="37" t="inlineStr">
        <is>
          <t>FLAGGED: not quantified in retrieved S-4 excerpts; fallback 0.5%-1.5% range, midpoint-low used</t>
        </is>
      </c>
    </row>
    <row r="31">
      <c r="B31" s="4" t="inlineStr">
        <is>
          <t>Advisory fees ($mm)</t>
        </is>
      </c>
      <c r="D31" s="43">
        <f>D10*D30</f>
      </c>
    </row>
    <row r="32">
      <c r="B32" s="4" t="inlineStr">
        <is>
          <t>Financing fees (% of new debt)</t>
        </is>
      </c>
      <c r="D32" s="23" t="n">
        <v>0.005</v>
      </c>
      <c r="E32" s="37" t="inlineStr">
        <is>
          <t>FLAGGED estimate on $35.7B bridge/notes; fallback 0.5%-1.0% range</t>
        </is>
      </c>
    </row>
    <row r="33">
      <c r="B33" s="4" t="inlineStr">
        <is>
          <t>Financing fees ($mm)</t>
        </is>
      </c>
      <c r="D33" s="43">
        <f>D27*D32</f>
      </c>
    </row>
    <row r="34">
      <c r="B34" s="4" t="inlineStr">
        <is>
          <t>Financing fee amortization life (yrs)</t>
        </is>
      </c>
      <c r="D34" s="24" t="n">
        <v>5</v>
      </c>
    </row>
    <row r="35">
      <c r="B35" s="4" t="inlineStr">
        <is>
          <t>Financing fee amortization / yr ($mm)</t>
        </is>
      </c>
      <c r="D35" s="43">
        <f>D33/D34</f>
      </c>
    </row>
    <row r="36"/>
    <row r="37">
      <c r="B37" s="5" t="inlineStr">
        <is>
          <t>4. Purchase Price Allocation (PPA) Inputs</t>
        </is>
      </c>
      <c r="C37" s="5" t="n"/>
      <c r="D37" s="5" t="n"/>
      <c r="E37" s="5" t="n"/>
    </row>
    <row r="38">
      <c r="B38" s="4" t="inlineStr">
        <is>
          <t>Target book equity acquired ($mm)</t>
        </is>
      </c>
      <c r="D38" s="42" t="n">
        <v>15000</v>
      </c>
      <c r="E38" s="37" t="inlineStr">
        <is>
          <t>FLAGGED: acquired-perimeter carve-out book equity not separately disclosed; estimate</t>
        </is>
      </c>
    </row>
    <row r="39">
      <c r="B39" s="4" t="inlineStr">
        <is>
          <t>Existing target goodwill written off ($mm)</t>
        </is>
      </c>
      <c r="D39" s="42" t="n">
        <v>2000</v>
      </c>
      <c r="E39" s="37" t="inlineStr">
        <is>
          <t>FLAGGED estimate; existing 21CF goodwill allocable to acquired perimeter</t>
        </is>
      </c>
    </row>
    <row r="40">
      <c r="B40" s="4" t="inlineStr">
        <is>
          <t>Intangible step-up (% of premium-over-book)</t>
        </is>
      </c>
      <c r="D40" s="18" t="n">
        <v>0.4</v>
      </c>
      <c r="E40" s="37" t="inlineStr">
        <is>
          <t>Deal-model convention; identifiable intangibles (content library, trademarks, relationships)</t>
        </is>
      </c>
    </row>
    <row r="41">
      <c r="B41" s="4" t="inlineStr">
        <is>
          <t>Intangible step-up amortization life (yrs)</t>
        </is>
      </c>
      <c r="D41" s="24" t="n">
        <v>15</v>
      </c>
    </row>
    <row r="42">
      <c r="B42" s="4" t="inlineStr">
        <is>
          <t>Deferred tax liability (DTL) toggle on step-up (1=on, 0=off)</t>
        </is>
      </c>
      <c r="D42" s="24" t="n">
        <v>1</v>
      </c>
      <c r="E42" s="37" t="inlineStr">
        <is>
          <t>DTL = intangible step-up x tax rate, added to goodwill</t>
        </is>
      </c>
    </row>
    <row r="43"/>
    <row r="44">
      <c r="B44" s="5" t="inlineStr">
        <is>
          <t>5. Other</t>
        </is>
      </c>
      <c r="C44" s="5" t="n"/>
      <c r="D44" s="5" t="n"/>
      <c r="E44" s="5" t="n"/>
    </row>
    <row r="45">
      <c r="B45" s="4" t="inlineStr">
        <is>
          <t>Blended tax rate</t>
        </is>
      </c>
      <c r="D45" s="18" t="n">
        <v>0.21</v>
      </c>
      <c r="E45" s="37" t="inlineStr">
        <is>
          <t>US federal statutory rate post-TCJA (2018+)</t>
        </is>
      </c>
    </row>
    <row r="46">
      <c r="B46" s="4" t="inlineStr">
        <is>
          <t>EPS accretion/dilution modeled years</t>
        </is>
      </c>
      <c r="D46" s="7" t="inlineStr">
        <is>
          <t>FY2019E-FY2023E</t>
        </is>
      </c>
    </row>
    <row r="47">
      <c r="B47" s="4" t="inlineStr">
        <is>
          <t>Debt paydown sweep (% of pro forma NI to debt paydown, memo)</t>
        </is>
      </c>
      <c r="D47" s="18" t="n">
        <v>0.5</v>
      </c>
    </row>
    <row r="48"/>
    <row r="49">
      <c r="B49" s="25" t="inlineStr">
        <is>
          <t>Run-rate cost synergies &amp; phase-in schedule -&gt;</t>
        </is>
      </c>
      <c r="D49" s="38">
        <f>Synergies!D6</f>
      </c>
      <c r="E49" s="37" t="inlineStr">
        <is>
          <t>Run-rate cost synergies (green link); see Synergies tab for phase-in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35" min="1" max="1"/>
    <col width="42" customWidth="1" style="35" min="2" max="2"/>
    <col width="3" customWidth="1" style="35" min="3" max="3"/>
    <col width="13" customWidth="1" style="35" min="4" max="11"/>
  </cols>
  <sheetData>
    <row r="1"/>
    <row r="2" ht="18" customHeight="1" s="35">
      <c r="B2" s="1" t="inlineStr">
        <is>
          <t>Acquirer - The Walt Disney Company (Standalone)</t>
        </is>
      </c>
    </row>
    <row r="3">
      <c r="B3" s="37" t="inlineStr">
        <is>
          <t>($ in millions, except per-share data; FYE September)</t>
        </is>
      </c>
    </row>
    <row r="4"/>
    <row r="5">
      <c r="D5" s="26" t="inlineStr">
        <is>
          <t>FY2016A</t>
        </is>
      </c>
      <c r="E5" s="26" t="inlineStr">
        <is>
          <t>FY2017A</t>
        </is>
      </c>
      <c r="F5" s="26" t="inlineStr">
        <is>
          <t>FY2018A</t>
        </is>
      </c>
      <c r="G5" s="26" t="inlineStr">
        <is>
          <t>FY2019E</t>
        </is>
      </c>
      <c r="H5" s="26" t="inlineStr">
        <is>
          <t>FY2020E</t>
        </is>
      </c>
      <c r="I5" s="26" t="inlineStr">
        <is>
          <t>FY2021E</t>
        </is>
      </c>
      <c r="J5" s="26" t="inlineStr">
        <is>
          <t>FY2022E</t>
        </is>
      </c>
      <c r="K5" s="26" t="inlineStr">
        <is>
          <t>FY2023E</t>
        </is>
      </c>
    </row>
    <row r="6">
      <c r="B6" s="25" t="inlineStr">
        <is>
          <t>Revenue</t>
        </is>
      </c>
      <c r="D6" s="42" t="n">
        <v>54100</v>
      </c>
      <c r="E6" s="42" t="n">
        <v>55100</v>
      </c>
      <c r="F6" s="42" t="n">
        <v>59400</v>
      </c>
      <c r="G6" s="43">
        <f>F6*(1+G7)</f>
      </c>
      <c r="H6" s="43">
        <f>G6*(1+H7)</f>
      </c>
      <c r="I6" s="43">
        <f>H6*(1+I7)</f>
      </c>
      <c r="J6" s="43">
        <f>I6*(1+J7)</f>
      </c>
      <c r="K6" s="43">
        <f>J6*(1+K7)</f>
      </c>
    </row>
    <row r="7">
      <c r="B7" s="27" t="inlineStr">
        <is>
          <t xml:space="preserve">  Revenue growth %</t>
        </is>
      </c>
      <c r="D7" s="37" t="inlineStr">
        <is>
          <t>n/a</t>
        </is>
      </c>
      <c r="E7" s="14">
        <f>E6/D6-1</f>
      </c>
      <c r="F7" s="14">
        <f>F6/E6-1</f>
      </c>
      <c r="G7" s="18" t="n">
        <v>0.08</v>
      </c>
      <c r="H7" s="18" t="n">
        <v>0.06</v>
      </c>
      <c r="I7" s="18" t="n">
        <v>0.05</v>
      </c>
      <c r="J7" s="18" t="n">
        <v>0.05</v>
      </c>
      <c r="K7" s="18" t="n">
        <v>0.05</v>
      </c>
    </row>
    <row r="8">
      <c r="B8" s="25" t="inlineStr">
        <is>
          <t>EBITDA</t>
        </is>
      </c>
      <c r="D8" s="42" t="n">
        <v>19398.5</v>
      </c>
      <c r="E8" s="42" t="n">
        <v>19483.5</v>
      </c>
      <c r="F8" s="42" t="n">
        <v>20749</v>
      </c>
      <c r="G8" s="43">
        <f>G6*G9</f>
      </c>
      <c r="H8" s="43">
        <f>H6*H9</f>
      </c>
      <c r="I8" s="43">
        <f>I6*I9</f>
      </c>
      <c r="J8" s="43">
        <f>J6*J9</f>
      </c>
      <c r="K8" s="43">
        <f>K6*K9</f>
      </c>
    </row>
    <row r="9">
      <c r="B9" s="27" t="inlineStr">
        <is>
          <t xml:space="preserve">  EBITDA margin %</t>
        </is>
      </c>
      <c r="D9" s="14">
        <f>D8/D6</f>
      </c>
      <c r="E9" s="14">
        <f>E8/E6</f>
      </c>
      <c r="F9" s="14">
        <f>F8/F6</f>
      </c>
      <c r="G9" s="18" t="n">
        <v>0.35</v>
      </c>
      <c r="H9" s="18" t="n">
        <v>0.35</v>
      </c>
      <c r="I9" s="18" t="n">
        <v>0.35</v>
      </c>
      <c r="J9" s="18" t="n">
        <v>0.35</v>
      </c>
      <c r="K9" s="18" t="n">
        <v>0.35</v>
      </c>
    </row>
    <row r="10">
      <c r="B10" s="4" t="inlineStr">
        <is>
          <t>D&amp;A</t>
        </is>
      </c>
      <c r="D10" s="42" t="n">
        <v>4598.5</v>
      </c>
      <c r="E10" s="42" t="n">
        <v>4683.5</v>
      </c>
      <c r="F10" s="42" t="n">
        <v>5049</v>
      </c>
      <c r="G10" s="43">
        <f>G6*G11</f>
      </c>
      <c r="H10" s="43">
        <f>H6*H11</f>
      </c>
      <c r="I10" s="43">
        <f>I6*I11</f>
      </c>
      <c r="J10" s="43">
        <f>J6*J11</f>
      </c>
      <c r="K10" s="43">
        <f>K6*K11</f>
      </c>
    </row>
    <row r="11">
      <c r="B11" s="27" t="inlineStr">
        <is>
          <t xml:space="preserve">  D&amp;A % of revenue</t>
        </is>
      </c>
      <c r="D11" s="14">
        <f>D10/D6</f>
      </c>
      <c r="E11" s="14">
        <f>E10/E6</f>
      </c>
      <c r="F11" s="14">
        <f>F10/F6</f>
      </c>
      <c r="G11" s="18" t="n">
        <v>0.08500000000000001</v>
      </c>
      <c r="H11" s="18" t="n">
        <v>0.08500000000000001</v>
      </c>
      <c r="I11" s="18" t="n">
        <v>0.08500000000000001</v>
      </c>
      <c r="J11" s="18" t="n">
        <v>0.08500000000000001</v>
      </c>
      <c r="K11" s="18" t="n">
        <v>0.08500000000000001</v>
      </c>
    </row>
    <row r="12">
      <c r="B12" s="25" t="inlineStr">
        <is>
          <t>EBIT</t>
        </is>
      </c>
      <c r="D12" s="41">
        <f>D8-D10</f>
      </c>
      <c r="E12" s="41">
        <f>E8-E10</f>
      </c>
      <c r="F12" s="41">
        <f>F8-F10</f>
      </c>
      <c r="G12" s="41">
        <f>G8-G10</f>
      </c>
      <c r="H12" s="41">
        <f>H8-H10</f>
      </c>
      <c r="I12" s="41">
        <f>I8-I10</f>
      </c>
      <c r="J12" s="41">
        <f>J8-J10</f>
      </c>
      <c r="K12" s="41">
        <f>K8-K10</f>
      </c>
    </row>
    <row r="13">
      <c r="B13" s="4" t="inlineStr">
        <is>
          <t>Interest expense</t>
        </is>
      </c>
      <c r="D13" s="43">
        <f>$D22*$D23</f>
      </c>
      <c r="E13" s="43">
        <f>$D22*$D23</f>
      </c>
      <c r="F13" s="43">
        <f>$D22*$D23</f>
      </c>
      <c r="G13" s="43">
        <f>$D22*$D23</f>
      </c>
      <c r="H13" s="43">
        <f>$D22*$D23</f>
      </c>
      <c r="I13" s="43">
        <f>$D22*$D23</f>
      </c>
      <c r="J13" s="43">
        <f>$D22*$D23</f>
      </c>
      <c r="K13" s="43">
        <f>$D22*$D23</f>
      </c>
    </row>
    <row r="14">
      <c r="B14" s="4" t="inlineStr">
        <is>
          <t>EBT</t>
        </is>
      </c>
      <c r="D14" s="43">
        <f>D12-D13</f>
      </c>
      <c r="E14" s="43">
        <f>E12-E13</f>
      </c>
      <c r="F14" s="43">
        <f>F12-F13</f>
      </c>
      <c r="G14" s="43">
        <f>G12-G13</f>
      </c>
      <c r="H14" s="43">
        <f>H12-H13</f>
      </c>
      <c r="I14" s="43">
        <f>I12-I13</f>
      </c>
      <c r="J14" s="43">
        <f>J12-J13</f>
      </c>
      <c r="K14" s="43">
        <f>K12-K13</f>
      </c>
    </row>
    <row r="15">
      <c r="B15" s="4" t="inlineStr">
        <is>
          <t>Taxes</t>
        </is>
      </c>
      <c r="D15" s="43">
        <f>D14-D16</f>
      </c>
      <c r="E15" s="43">
        <f>E14-E16</f>
      </c>
      <c r="F15" s="43">
        <f>F14-F16</f>
      </c>
      <c r="G15" s="38">
        <f>G14*Assumptions!$D45</f>
      </c>
      <c r="H15" s="38">
        <f>H14*Assumptions!$D45</f>
      </c>
      <c r="I15" s="38">
        <f>I14*Assumptions!$D45</f>
      </c>
      <c r="J15" s="38">
        <f>J14*Assumptions!$D45</f>
      </c>
      <c r="K15" s="38">
        <f>K14*Assumptions!$D45</f>
      </c>
    </row>
    <row r="16">
      <c r="B16" s="25" t="inlineStr">
        <is>
          <t>Net income</t>
        </is>
      </c>
      <c r="D16" s="42" t="n">
        <v>12400</v>
      </c>
      <c r="E16" s="42" t="n">
        <v>12600</v>
      </c>
      <c r="F16" s="42" t="n">
        <v>12600</v>
      </c>
      <c r="G16" s="43">
        <f>G14-G15</f>
      </c>
      <c r="H16" s="43">
        <f>H14-H15</f>
      </c>
      <c r="I16" s="43">
        <f>I14-I15</f>
      </c>
      <c r="J16" s="43">
        <f>J14-J15</f>
      </c>
      <c r="K16" s="43">
        <f>K14-K15</f>
      </c>
    </row>
    <row r="17">
      <c r="B17" s="4" t="inlineStr">
        <is>
          <t>Diluted shares outstanding (mm)</t>
        </is>
      </c>
      <c r="D17" s="40" t="n">
        <v>1509</v>
      </c>
      <c r="E17" s="40" t="n">
        <v>1499</v>
      </c>
      <c r="F17" s="40" t="n">
        <v>1489</v>
      </c>
      <c r="G17" s="44">
        <f>F17</f>
      </c>
      <c r="H17" s="44">
        <f>G17</f>
      </c>
      <c r="I17" s="44">
        <f>H17</f>
      </c>
      <c r="J17" s="44">
        <f>I17</f>
      </c>
      <c r="K17" s="44">
        <f>J17</f>
      </c>
    </row>
    <row r="18">
      <c r="B18" s="25" t="inlineStr">
        <is>
          <t>Standalone diluted EPS</t>
        </is>
      </c>
      <c r="D18" s="28">
        <f>D16/D17</f>
      </c>
      <c r="E18" s="28">
        <f>E16/E17</f>
      </c>
      <c r="F18" s="28">
        <f>F16/F17</f>
      </c>
      <c r="G18" s="28">
        <f>G16/G17</f>
      </c>
      <c r="H18" s="28">
        <f>H16/H17</f>
      </c>
      <c r="I18" s="28">
        <f>I16/I17</f>
      </c>
      <c r="J18" s="28">
        <f>J16/J17</f>
      </c>
      <c r="K18" s="28">
        <f>K16/K17</f>
      </c>
    </row>
    <row r="19"/>
    <row r="20"/>
    <row r="21">
      <c r="B21" s="25" t="inlineStr">
        <is>
          <t>Standalone debt assumptions (for interest expense)</t>
        </is>
      </c>
    </row>
    <row r="22">
      <c r="B22" s="4" t="inlineStr">
        <is>
          <t>Disney standalone debt, constant ($mm)</t>
        </is>
      </c>
      <c r="D22" s="42" t="n">
        <v>17100</v>
      </c>
      <c r="E22" s="37" t="inlineStr">
        <is>
          <t>FLAGGED estimate: FY2018 total debt reference (~$17.1B, mid-2018 disclosure)</t>
        </is>
      </c>
    </row>
    <row r="23">
      <c r="B23" s="4" t="inlineStr">
        <is>
          <t>Disney standalone debt rate</t>
        </is>
      </c>
      <c r="D23" s="23" t="n">
        <v>0.035</v>
      </c>
      <c r="E23" s="37" t="inlineStr">
        <is>
          <t>FLAGGED estimate: consistent with A-rated cost of debt pre-deal</t>
        </is>
      </c>
    </row>
    <row r="24"/>
    <row r="25">
      <c r="B25" s="25" t="inlineStr">
        <is>
          <t>Revenue growth % driver (projection years, blue)</t>
        </is>
      </c>
    </row>
    <row r="26">
      <c r="B26" s="27" t="inlineStr">
        <is>
          <t xml:space="preserve">  FY19E-23E growth assumption row -&gt;</t>
        </is>
      </c>
      <c r="E26" s="37" t="inlineStr">
        <is>
          <t>Set directly on the Revenue growth % row above for FY2019E-FY2023E</t>
        </is>
      </c>
    </row>
    <row r="27"/>
    <row r="28" ht="44" customHeight="1" s="35">
      <c r="B28" s="34" t="inlineStr">
        <is>
          <t>Note: Historical D&amp;A is estimated at ~8.5% of revenue (not separately disclosed at this precision in retrieved 10-K excerpts) - FLAGGED. Historical EBITDA = disclosed operating income + estimated D&amp;A. Historical interest expense/taxes are formula-derived (EBT less reported net income) given actual effective tax rates shifted materially around the FY2018 TCJA transition.</t>
        </is>
      </c>
    </row>
    <row r="29"/>
  </sheetData>
  <mergeCells count="1">
    <mergeCell ref="B28:K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35" min="1" max="1"/>
    <col width="44" customWidth="1" style="35" min="2" max="2"/>
    <col width="3" customWidth="1" style="35" min="3" max="3"/>
    <col width="13" customWidth="1" style="35" min="4" max="11"/>
  </cols>
  <sheetData>
    <row r="1"/>
    <row r="2" ht="18" customHeight="1" s="35">
      <c r="B2" s="1" t="inlineStr">
        <is>
          <t>Target - 21st Century Fox 'Acquired Perimeter' (Carved from RemainCo)</t>
        </is>
      </c>
    </row>
    <row r="3">
      <c r="B3" s="37" t="inlineStr">
        <is>
          <t>($ in millions, except per-share data; FYE June; RemainCo carve-out shown for FY2016A-FY2018A only)</t>
        </is>
      </c>
    </row>
    <row r="4"/>
    <row r="5">
      <c r="D5" s="26" t="inlineStr">
        <is>
          <t>FY2016A</t>
        </is>
      </c>
      <c r="E5" s="26" t="inlineStr">
        <is>
          <t>FY2017A</t>
        </is>
      </c>
      <c r="F5" s="26" t="inlineStr">
        <is>
          <t>FY2018A</t>
        </is>
      </c>
      <c r="G5" s="26" t="inlineStr">
        <is>
          <t>FY2019E</t>
        </is>
      </c>
      <c r="H5" s="26" t="inlineStr">
        <is>
          <t>FY2020E</t>
        </is>
      </c>
      <c r="I5" s="26" t="inlineStr">
        <is>
          <t>FY2021E</t>
        </is>
      </c>
      <c r="J5" s="26" t="inlineStr">
        <is>
          <t>FY2022E</t>
        </is>
      </c>
      <c r="K5" s="26" t="inlineStr">
        <is>
          <t>FY2023E</t>
        </is>
      </c>
    </row>
    <row r="6">
      <c r="B6" s="5" t="inlineStr">
        <is>
          <t>A. Historical Carve-Out: Total 21CF less RemainCo ('New Fox') Pro Forma</t>
        </is>
      </c>
      <c r="C6" s="5" t="n"/>
      <c r="D6" s="5" t="n"/>
      <c r="E6" s="5" t="n"/>
      <c r="F6" s="5" t="n"/>
    </row>
    <row r="7">
      <c r="B7" s="4" t="inlineStr">
        <is>
          <t>Total 21st Century Fox revenue (reported)</t>
        </is>
      </c>
      <c r="D7" s="42" t="n">
        <v>27326</v>
      </c>
      <c r="E7" s="42" t="n">
        <v>28500</v>
      </c>
      <c r="F7" s="42" t="n">
        <v>30400</v>
      </c>
    </row>
    <row r="8">
      <c r="B8" s="4" t="inlineStr">
        <is>
          <t>Total 21st Century Fox EBITDA (op. income + est. D&amp;A)</t>
        </is>
      </c>
      <c r="D8" s="42" t="n">
        <v>8459.34</v>
      </c>
      <c r="E8" s="42" t="n">
        <v>8865</v>
      </c>
      <c r="F8" s="42" t="n">
        <v>9036</v>
      </c>
    </row>
    <row r="9">
      <c r="B9" s="27" t="inlineStr">
        <is>
          <t xml:space="preserve">  Less: RemainCo ('New Fox') pro forma revenue</t>
        </is>
      </c>
      <c r="D9" s="43">
        <f>D7*(F9/F7)</f>
      </c>
      <c r="E9" s="43">
        <f>E7*(F9/F7)</f>
      </c>
      <c r="F9" s="42" t="n">
        <v>10200</v>
      </c>
      <c r="K9" s="37" t="inlineStr">
        <is>
          <t>Pro forma disclosure, S-4/Form 10 exhibits</t>
        </is>
      </c>
    </row>
    <row r="10">
      <c r="B10" s="27" t="inlineStr">
        <is>
          <t xml:space="preserve">  Less: RemainCo ('New Fox') pro forma EBITDA</t>
        </is>
      </c>
      <c r="D10" s="43">
        <f>D8*(F10/F8)</f>
      </c>
      <c r="E10" s="43">
        <f>E8*(F10/F8)</f>
      </c>
      <c r="F10" s="42" t="n">
        <v>2400</v>
      </c>
      <c r="K10" s="37" t="inlineStr">
        <is>
          <t>FLAGGED: midpoint of disclosed $2.0-2.8B range</t>
        </is>
      </c>
    </row>
    <row r="11">
      <c r="B11" s="25" t="inlineStr">
        <is>
          <t>Equals Acquired perimeter revenue (carve-out)</t>
        </is>
      </c>
      <c r="D11" s="41">
        <f>D7-D9</f>
      </c>
      <c r="E11" s="41">
        <f>E7-E9</f>
      </c>
      <c r="F11" s="41">
        <f>F7-F9</f>
      </c>
    </row>
    <row r="12">
      <c r="B12" s="25" t="inlineStr">
        <is>
          <t>Equals Acquired perimeter EBITDA (carve-out)</t>
        </is>
      </c>
      <c r="D12" s="41">
        <f>D8-D10</f>
      </c>
      <c r="E12" s="41">
        <f>E8-E10</f>
      </c>
      <c r="F12" s="41">
        <f>F8-F10</f>
      </c>
    </row>
    <row r="13" ht="46" customHeight="1" s="35">
      <c r="B13" s="34" t="inlineStr">
        <is>
          <t>Note: RemainCo FY2018 EBITDA disclosed only as a $2.0-2.8B range; midpoint $2.4B used above (blue input, cell F10). RemainCo FY2016-17 revenue/EBITDA held at FY2018 ratio to Total 21CF (no separate pre-close carve-out disclosure). Total 21CF EBITDA = disclosed operating income + estimated D&amp;A (~9% of revenue, FLAGGED, segment D&amp;A not separately disclosed).</t>
        </is>
      </c>
    </row>
    <row r="14"/>
    <row r="15">
      <c r="B15" s="5" t="inlineStr">
        <is>
          <t>B. Target (Acquired Perimeter) Standalone Projection</t>
        </is>
      </c>
      <c r="C15" s="5" t="n"/>
      <c r="D15" s="5" t="n"/>
      <c r="E15" s="5" t="n"/>
      <c r="F15" s="5" t="n"/>
      <c r="G15" s="5" t="n"/>
      <c r="H15" s="5" t="n"/>
      <c r="I15" s="5" t="n"/>
    </row>
    <row r="16">
      <c r="B16" s="25" t="inlineStr">
        <is>
          <t>Revenue</t>
        </is>
      </c>
      <c r="D16" s="43">
        <f>D11</f>
      </c>
      <c r="E16" s="43">
        <f>E11</f>
      </c>
      <c r="F16" s="43">
        <f>F11</f>
      </c>
      <c r="G16" s="43">
        <f>F16*(1+G17)</f>
      </c>
      <c r="H16" s="43">
        <f>G16*(1+H17)</f>
      </c>
      <c r="I16" s="43">
        <f>H16*(1+I17)</f>
      </c>
      <c r="J16" s="43">
        <f>I16*(1+J17)</f>
      </c>
      <c r="K16" s="43">
        <f>J16*(1+K17)</f>
      </c>
    </row>
    <row r="17">
      <c r="B17" s="27" t="inlineStr">
        <is>
          <t xml:space="preserve">  Revenue growth %</t>
        </is>
      </c>
      <c r="D17" s="37" t="inlineStr">
        <is>
          <t>n/a</t>
        </is>
      </c>
      <c r="E17" s="14">
        <f>E16/D16-1</f>
      </c>
      <c r="F17" s="14">
        <f>F16/E16-1</f>
      </c>
      <c r="G17" s="18" t="n">
        <v>0.06</v>
      </c>
      <c r="H17" s="18" t="n">
        <v>0.05</v>
      </c>
      <c r="I17" s="18" t="n">
        <v>0.045</v>
      </c>
      <c r="J17" s="18" t="n">
        <v>0.04</v>
      </c>
      <c r="K17" s="18" t="n">
        <v>0.04</v>
      </c>
    </row>
    <row r="18">
      <c r="B18" s="25" t="inlineStr">
        <is>
          <t>EBITDA</t>
        </is>
      </c>
      <c r="D18" s="43">
        <f>D12</f>
      </c>
      <c r="E18" s="43">
        <f>E12</f>
      </c>
      <c r="F18" s="43">
        <f>F12</f>
      </c>
      <c r="G18" s="43">
        <f>G16*G19</f>
      </c>
      <c r="H18" s="43">
        <f>H16*H19</f>
      </c>
      <c r="I18" s="43">
        <f>I16*I19</f>
      </c>
      <c r="J18" s="43">
        <f>J16*J19</f>
      </c>
      <c r="K18" s="43">
        <f>K16*K19</f>
      </c>
    </row>
    <row r="19">
      <c r="B19" s="27" t="inlineStr">
        <is>
          <t xml:space="preserve">  EBITDA margin %</t>
        </is>
      </c>
      <c r="D19" s="14">
        <f>D18/D16</f>
      </c>
      <c r="E19" s="14">
        <f>E18/E16</f>
      </c>
      <c r="F19" s="14">
        <f>F18/F16</f>
      </c>
      <c r="G19" s="18" t="n">
        <v>0.33</v>
      </c>
      <c r="H19" s="18" t="n">
        <v>0.33</v>
      </c>
      <c r="I19" s="18" t="n">
        <v>0.335</v>
      </c>
      <c r="J19" s="18" t="n">
        <v>0.335</v>
      </c>
      <c r="K19" s="18" t="n">
        <v>0.335</v>
      </c>
    </row>
    <row r="20">
      <c r="B20" s="4" t="inlineStr">
        <is>
          <t>D&amp;A</t>
        </is>
      </c>
      <c r="D20" s="43">
        <f>D16*D21</f>
      </c>
      <c r="E20" s="43">
        <f>E16*E21</f>
      </c>
      <c r="F20" s="43">
        <f>F16*F21</f>
      </c>
      <c r="G20" s="43">
        <f>G16*G21</f>
      </c>
      <c r="H20" s="43">
        <f>H16*H21</f>
      </c>
      <c r="I20" s="43">
        <f>I16*I21</f>
      </c>
      <c r="J20" s="43">
        <f>J16*J21</f>
      </c>
      <c r="K20" s="43">
        <f>K16*K21</f>
      </c>
    </row>
    <row r="21">
      <c r="B21" s="27" t="inlineStr">
        <is>
          <t xml:space="preserve">  D&amp;A % of revenue</t>
        </is>
      </c>
      <c r="D21" s="18" t="n">
        <v>0.09</v>
      </c>
      <c r="E21" s="18" t="n">
        <v>0.09</v>
      </c>
      <c r="F21" s="18" t="n">
        <v>0.09</v>
      </c>
      <c r="G21" s="18" t="n">
        <v>0.09</v>
      </c>
      <c r="H21" s="18" t="n">
        <v>0.09</v>
      </c>
      <c r="I21" s="18" t="n">
        <v>0.09</v>
      </c>
      <c r="J21" s="18" t="n">
        <v>0.09</v>
      </c>
      <c r="K21" s="18" t="n">
        <v>0.09</v>
      </c>
    </row>
    <row r="22">
      <c r="B22" s="25" t="inlineStr">
        <is>
          <t>EBIT</t>
        </is>
      </c>
      <c r="D22" s="41">
        <f>D18-D20</f>
      </c>
      <c r="E22" s="41">
        <f>E18-E20</f>
      </c>
      <c r="F22" s="41">
        <f>F18-F20</f>
      </c>
      <c r="G22" s="41">
        <f>G18-G20</f>
      </c>
      <c r="H22" s="41">
        <f>H18-H20</f>
      </c>
      <c r="I22" s="41">
        <f>I18-I20</f>
      </c>
      <c r="J22" s="41">
        <f>J18-J20</f>
      </c>
      <c r="K22" s="41">
        <f>K18-K20</f>
      </c>
    </row>
    <row r="23">
      <c r="B23" s="4" t="inlineStr">
        <is>
          <t>Interest expense</t>
        </is>
      </c>
      <c r="D23" s="38">
        <f>$D32*$D33</f>
      </c>
      <c r="E23" s="38">
        <f>$D32*$D33</f>
      </c>
      <c r="F23" s="38">
        <f>$D32*$D33</f>
      </c>
      <c r="G23" s="38">
        <f>$D32*$D33</f>
      </c>
      <c r="H23" s="38">
        <f>$D32*$D33</f>
      </c>
      <c r="I23" s="38">
        <f>$D32*$D33</f>
      </c>
      <c r="J23" s="38">
        <f>$D32*$D33</f>
      </c>
      <c r="K23" s="38">
        <f>$D32*$D33</f>
      </c>
    </row>
    <row r="24">
      <c r="B24" s="4" t="inlineStr">
        <is>
          <t>EBT</t>
        </is>
      </c>
      <c r="D24" s="43">
        <f>D22-D23</f>
      </c>
      <c r="E24" s="43">
        <f>E22-E23</f>
      </c>
      <c r="F24" s="43">
        <f>F22-F23</f>
      </c>
      <c r="G24" s="43">
        <f>G22-G23</f>
      </c>
      <c r="H24" s="43">
        <f>H22-H23</f>
      </c>
      <c r="I24" s="43">
        <f>I22-I23</f>
      </c>
      <c r="J24" s="43">
        <f>J22-J23</f>
      </c>
      <c r="K24" s="43">
        <f>K22-K23</f>
      </c>
    </row>
    <row r="25">
      <c r="B25" s="4" t="inlineStr">
        <is>
          <t>Taxes</t>
        </is>
      </c>
      <c r="D25" s="38">
        <f>D24*Assumptions!$D45</f>
      </c>
      <c r="E25" s="38">
        <f>E24*Assumptions!$D45</f>
      </c>
      <c r="F25" s="38">
        <f>F24*Assumptions!$D45</f>
      </c>
      <c r="G25" s="38">
        <f>G24*Assumptions!$D45</f>
      </c>
      <c r="H25" s="38">
        <f>H24*Assumptions!$D45</f>
      </c>
      <c r="I25" s="38">
        <f>I24*Assumptions!$D45</f>
      </c>
      <c r="J25" s="38">
        <f>J24*Assumptions!$D45</f>
      </c>
      <c r="K25" s="38">
        <f>K24*Assumptions!$D45</f>
      </c>
    </row>
    <row r="26">
      <c r="B26" s="25" t="inlineStr">
        <is>
          <t>Net income</t>
        </is>
      </c>
      <c r="D26" s="43">
        <f>D24-D25</f>
      </c>
      <c r="E26" s="43">
        <f>E24-E25</f>
      </c>
      <c r="F26" s="43">
        <f>F24-F25</f>
      </c>
      <c r="G26" s="43">
        <f>G24-G25</f>
      </c>
      <c r="H26" s="43">
        <f>H24-H25</f>
      </c>
      <c r="I26" s="43">
        <f>I24-I25</f>
      </c>
      <c r="J26" s="43">
        <f>J24-J25</f>
      </c>
      <c r="K26" s="43">
        <f>K24-K25</f>
      </c>
    </row>
    <row r="27">
      <c r="B27" s="4" t="inlineStr">
        <is>
          <t>Deal-level FD shares (memo, mm)</t>
        </is>
      </c>
      <c r="D27" s="47">
        <f>Assumptions!$D9</f>
      </c>
      <c r="E27" s="47">
        <f>Assumptions!$D9</f>
      </c>
      <c r="F27" s="47">
        <f>Assumptions!$D9</f>
      </c>
      <c r="G27" s="47">
        <f>Assumptions!$D9</f>
      </c>
      <c r="H27" s="47">
        <f>Assumptions!$D9</f>
      </c>
      <c r="I27" s="47">
        <f>Assumptions!$D9</f>
      </c>
      <c r="J27" s="47">
        <f>Assumptions!$D9</f>
      </c>
      <c r="K27" s="47">
        <f>Assumptions!$D9</f>
      </c>
    </row>
    <row r="28">
      <c r="B28" s="25" t="inlineStr">
        <is>
          <t>Analytical standalone EPS (memo, not a reported Fox metric)</t>
        </is>
      </c>
      <c r="D28" s="28">
        <f>D26/D27</f>
      </c>
      <c r="E28" s="28">
        <f>E26/E27</f>
      </c>
      <c r="F28" s="28">
        <f>F26/F27</f>
      </c>
      <c r="G28" s="28">
        <f>G26/G27</f>
      </c>
      <c r="H28" s="28">
        <f>H26/H27</f>
      </c>
      <c r="I28" s="28">
        <f>I26/I27</f>
      </c>
      <c r="J28" s="28">
        <f>J26/J27</f>
      </c>
      <c r="K28" s="28">
        <f>K26/K27</f>
      </c>
    </row>
    <row r="29"/>
    <row r="30"/>
    <row r="31">
      <c r="B31" s="25" t="inlineStr">
        <is>
          <t>Target standalone debt assumptions (for interest expense)</t>
        </is>
      </c>
    </row>
    <row r="32">
      <c r="B32" s="4" t="inlineStr">
        <is>
          <t>Target debt, constant ($mm)</t>
        </is>
      </c>
      <c r="D32" s="38">
        <f>Assumptions!$D11</f>
      </c>
      <c r="E32" s="37" t="inlineStr">
        <is>
          <t>Equals assumed net debt of Fox at close, per Assumptions tab</t>
        </is>
      </c>
    </row>
    <row r="33">
      <c r="B33" s="4" t="inlineStr">
        <is>
          <t>Target debt rate</t>
        </is>
      </c>
      <c r="D33" s="23" t="n">
        <v>0.045</v>
      </c>
      <c r="E33" s="37" t="inlineStr">
        <is>
          <t>FLAGGED estimate: slightly above Disney's cost of debt, reflecting Fox credit profile</t>
        </is>
      </c>
    </row>
  </sheetData>
  <mergeCells count="1">
    <mergeCell ref="B13:K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35" min="1" max="1"/>
    <col width="44" customWidth="1" style="35" min="2" max="2"/>
    <col width="3" customWidth="1" style="35" min="3" max="3"/>
    <col width="13" customWidth="1" style="35" min="4" max="11"/>
  </cols>
  <sheetData>
    <row r="1"/>
    <row r="2" ht="18" customHeight="1" s="35">
      <c r="B2" s="1" t="inlineStr">
        <is>
          <t>Synergies</t>
        </is>
      </c>
    </row>
    <row r="3">
      <c r="B3" s="37" t="inlineStr">
        <is>
          <t>($ in millions; PROJ years only, FY2019E-FY2023E)</t>
        </is>
      </c>
    </row>
    <row r="4"/>
    <row r="5">
      <c r="D5" s="26" t="inlineStr">
        <is>
          <t>FY2016A</t>
        </is>
      </c>
      <c r="E5" s="26" t="inlineStr">
        <is>
          <t>FY2017A</t>
        </is>
      </c>
      <c r="F5" s="26" t="inlineStr">
        <is>
          <t>FY2018A</t>
        </is>
      </c>
      <c r="G5" s="26" t="inlineStr">
        <is>
          <t>FY2019E</t>
        </is>
      </c>
      <c r="H5" s="26" t="inlineStr">
        <is>
          <t>FY2020E</t>
        </is>
      </c>
      <c r="I5" s="26" t="inlineStr">
        <is>
          <t>FY2021E</t>
        </is>
      </c>
      <c r="J5" s="26" t="inlineStr">
        <is>
          <t>FY2022E</t>
        </is>
      </c>
      <c r="K5" s="26" t="inlineStr">
        <is>
          <t>FY2023E</t>
        </is>
      </c>
    </row>
    <row r="6">
      <c r="B6" s="4" t="inlineStr">
        <is>
          <t>Run-rate cost synergies, fully phased-in ($mm)</t>
        </is>
      </c>
      <c r="D6" s="42" t="n">
        <v>2000</v>
      </c>
      <c r="E6" s="37" t="inlineStr">
        <is>
          <t>Deal-announced target, per press release; constant across FY2019E-FY2023E</t>
        </is>
      </c>
    </row>
    <row r="7">
      <c r="B7" s="4" t="inlineStr">
        <is>
          <t>Phase-in % of run-rate cost synergies</t>
        </is>
      </c>
      <c r="G7" s="18" t="n">
        <v>0.25</v>
      </c>
      <c r="H7" s="18" t="n">
        <v>0.5</v>
      </c>
      <c r="I7" s="18" t="n">
        <v>0.75</v>
      </c>
      <c r="J7" s="18" t="n">
        <v>1</v>
      </c>
      <c r="K7" s="18" t="n">
        <v>1</v>
      </c>
    </row>
    <row r="8">
      <c r="B8" s="25" t="inlineStr">
        <is>
          <t>Cost synergies realized, pre-tax ($mm)</t>
        </is>
      </c>
      <c r="G8" s="41">
        <f>$D6*G7</f>
      </c>
      <c r="H8" s="41">
        <f>$D6*H7</f>
      </c>
      <c r="I8" s="41">
        <f>$D6*I7</f>
      </c>
      <c r="J8" s="41">
        <f>$D6*J7</f>
      </c>
      <c r="K8" s="41">
        <f>$D6*K7</f>
      </c>
    </row>
    <row r="9"/>
    <row r="10">
      <c r="B10" s="4" t="inlineStr">
        <is>
          <t>Revenue synergies, run-rate ($mm)</t>
        </is>
      </c>
      <c r="D10" s="42" t="n">
        <v>0</v>
      </c>
      <c r="E10" s="37" t="inlineStr">
        <is>
          <t>Not quantified in deal documents; base case = 0 per spec guidance</t>
        </is>
      </c>
    </row>
    <row r="11">
      <c r="B11" s="4" t="inlineStr">
        <is>
          <t>Revenue synergy phase-in %</t>
        </is>
      </c>
      <c r="G11" s="18" t="n">
        <v>0.25</v>
      </c>
      <c r="H11" s="18" t="n">
        <v>0.5</v>
      </c>
      <c r="I11" s="18" t="n">
        <v>0.75</v>
      </c>
      <c r="J11" s="18" t="n">
        <v>1</v>
      </c>
      <c r="K11" s="18" t="n">
        <v>1</v>
      </c>
    </row>
    <row r="12">
      <c r="B12" s="4" t="inlineStr">
        <is>
          <t>Revenue synergy incremental margin %</t>
        </is>
      </c>
      <c r="D12" s="18" t="n">
        <v>0.3</v>
      </c>
      <c r="E12" s="37" t="inlineStr">
        <is>
          <t>Memo assumption; not used while revenue synergies = 0</t>
        </is>
      </c>
    </row>
    <row r="13">
      <c r="B13" s="4" t="inlineStr">
        <is>
          <t>Revenue synergies realized, top-line $ impact ($mm)</t>
        </is>
      </c>
      <c r="G13" s="43">
        <f>$D10*G11</f>
      </c>
      <c r="H13" s="43">
        <f>$D10*H11</f>
      </c>
      <c r="I13" s="43">
        <f>$D10*I11</f>
      </c>
      <c r="J13" s="43">
        <f>$D10*J11</f>
      </c>
      <c r="K13" s="43">
        <f>$D10*K11</f>
      </c>
    </row>
    <row r="14">
      <c r="B14" s="25" t="inlineStr">
        <is>
          <t>Revenue synergies realized, pre-tax EBITDA impact ($mm)</t>
        </is>
      </c>
      <c r="G14" s="41">
        <f>G13*$D12</f>
      </c>
      <c r="H14" s="41">
        <f>H13*$D12</f>
      </c>
      <c r="I14" s="41">
        <f>I13*$D12</f>
      </c>
      <c r="J14" s="41">
        <f>J13*$D12</f>
      </c>
      <c r="K14" s="41">
        <f>K13*$D12</f>
      </c>
    </row>
    <row r="15"/>
    <row r="16">
      <c r="B16" s="4" t="inlineStr">
        <is>
          <t>One-time integration costs, pre-tax ($mm)</t>
        </is>
      </c>
      <c r="G16" s="42" t="n">
        <v>400</v>
      </c>
      <c r="H16" s="42" t="n">
        <v>300</v>
      </c>
      <c r="I16" s="42" t="n">
        <v>0</v>
      </c>
      <c r="J16" s="42" t="n">
        <v>0</v>
      </c>
      <c r="K16" s="42" t="n">
        <v>0</v>
      </c>
    </row>
    <row r="17">
      <c r="B17" s="37" t="inlineStr">
        <is>
          <t>FLAGGED estimate: severance, systems integration, consolidation, expensed in FY2019E-FY2020E</t>
        </is>
      </c>
    </row>
    <row r="18"/>
    <row r="19">
      <c r="B19" s="25" t="inlineStr">
        <is>
          <t>Total pre-tax synergy impact to EBITDA ($mm)</t>
        </is>
      </c>
      <c r="G19" s="41">
        <f>G8+G14-G16</f>
      </c>
      <c r="H19" s="41">
        <f>H8+H14-H16</f>
      </c>
      <c r="I19" s="41">
        <f>I8+I14-I16</f>
      </c>
      <c r="J19" s="41">
        <f>J8+J14-J16</f>
      </c>
      <c r="K19" s="41">
        <f>K8+K14-K16</f>
      </c>
    </row>
    <row r="20">
      <c r="B20" s="25" t="inlineStr">
        <is>
          <t>Total after-tax synergy impact ($mm)</t>
        </is>
      </c>
      <c r="G20" s="48">
        <f>G19*(1-Assumptions!$D45)</f>
      </c>
      <c r="H20" s="48">
        <f>H19*(1-Assumptions!$D45)</f>
      </c>
      <c r="I20" s="48">
        <f>I19*(1-Assumptions!$D45)</f>
      </c>
      <c r="J20" s="48">
        <f>J19*(1-Assumptions!$D45)</f>
      </c>
      <c r="K20" s="48">
        <f>K19*(1-Assumptions!$D45)</f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35" min="1" max="1"/>
    <col width="44" customWidth="1" style="35" min="2" max="2"/>
    <col width="3" customWidth="1" style="35" min="3" max="3"/>
    <col width="13" customWidth="1" style="35" min="4" max="11"/>
  </cols>
  <sheetData>
    <row r="1"/>
    <row r="2" ht="18" customHeight="1" s="35">
      <c r="B2" s="1" t="inlineStr">
        <is>
          <t>PPA &amp; Financing</t>
        </is>
      </c>
    </row>
    <row r="3">
      <c r="B3" s="37" t="inlineStr">
        <is>
          <t>($ in millions, unless noted)</t>
        </is>
      </c>
    </row>
    <row r="4"/>
    <row r="5">
      <c r="B5" s="5" t="inlineStr">
        <is>
          <t>1. Sources &amp; Uses of Funds</t>
        </is>
      </c>
      <c r="C5" s="5" t="n"/>
      <c r="D5" s="5" t="n"/>
      <c r="E5" s="5" t="n"/>
    </row>
    <row r="6">
      <c r="B6" s="25" t="inlineStr">
        <is>
          <t>Uses:</t>
        </is>
      </c>
    </row>
    <row r="7">
      <c r="B7" s="27" t="inlineStr">
        <is>
          <t xml:space="preserve">  Equity purchase price for acquired perimeter</t>
        </is>
      </c>
      <c r="D7" s="38">
        <f>Assumptions!$D10</f>
      </c>
    </row>
    <row r="8">
      <c r="B8" s="27" t="inlineStr">
        <is>
          <t xml:space="preserve">  Advisory fees</t>
        </is>
      </c>
      <c r="D8" s="38">
        <f>Assumptions!$D31</f>
      </c>
    </row>
    <row r="9">
      <c r="B9" s="27" t="inlineStr">
        <is>
          <t xml:space="preserve">  Financing fees</t>
        </is>
      </c>
      <c r="D9" s="38">
        <f>Assumptions!$D33</f>
      </c>
    </row>
    <row r="10">
      <c r="B10" s="25" t="inlineStr">
        <is>
          <t>Total uses</t>
        </is>
      </c>
      <c r="D10" s="41">
        <f>SUM(D7:D9)</f>
      </c>
    </row>
    <row r="11"/>
    <row r="12">
      <c r="B12" s="25" t="inlineStr">
        <is>
          <t>Sources:</t>
        </is>
      </c>
    </row>
    <row r="13">
      <c r="B13" s="27" t="inlineStr">
        <is>
          <t xml:space="preserve">  Cash from Disney balance sheet</t>
        </is>
      </c>
      <c r="D13" s="38">
        <f>Assumptions!$D26</f>
      </c>
    </row>
    <row r="14">
      <c r="B14" s="27" t="inlineStr">
        <is>
          <t xml:space="preserve">  Stock issued to Fox sellers (at value)</t>
        </is>
      </c>
      <c r="D14" s="38">
        <f>Assumptions!$D18</f>
      </c>
    </row>
    <row r="15">
      <c r="B15" s="27" t="inlineStr">
        <is>
          <t xml:space="preserve">  New debt raised (plug, incl. fees)</t>
        </is>
      </c>
      <c r="D15" s="43">
        <f>D10-D13-D14</f>
      </c>
    </row>
    <row r="16">
      <c r="B16" s="25" t="inlineStr">
        <is>
          <t>Total sources</t>
        </is>
      </c>
      <c r="D16" s="41">
        <f>SUM(D13:D15)</f>
      </c>
    </row>
    <row r="17">
      <c r="B17" s="4" t="inlineStr">
        <is>
          <t>Check: Total sources - Total uses (must = 0.0)</t>
        </is>
      </c>
      <c r="D17" s="43">
        <f>ROUND(D16-D10,2)</f>
      </c>
    </row>
    <row r="18"/>
    <row r="19">
      <c r="B19" s="5" t="inlineStr">
        <is>
          <t>2. Goodwill Build (Purchase Price Allocation Waterfall)</t>
        </is>
      </c>
      <c r="C19" s="5" t="n"/>
      <c r="D19" s="5" t="n"/>
      <c r="E19" s="5" t="n"/>
    </row>
    <row r="20">
      <c r="B20" s="4" t="inlineStr">
        <is>
          <t>Equity purchase price</t>
        </is>
      </c>
      <c r="D20" s="38">
        <f>Assumptions!$D10</f>
      </c>
    </row>
    <row r="21">
      <c r="B21" s="4" t="inlineStr">
        <is>
          <t>Less: Target book equity acquired</t>
        </is>
      </c>
      <c r="D21" s="38">
        <f>-Assumptions!$D38</f>
      </c>
    </row>
    <row r="22">
      <c r="B22" s="4" t="inlineStr">
        <is>
          <t>Add: Existing target goodwill written off</t>
        </is>
      </c>
      <c r="D22" s="38">
        <f>Assumptions!$D39</f>
      </c>
    </row>
    <row r="23">
      <c r="B23" s="25" t="inlineStr">
        <is>
          <t>Equals Premium over adjusted net asset value</t>
        </is>
      </c>
      <c r="D23" s="41">
        <f>D20+D21+D22</f>
      </c>
    </row>
    <row r="24">
      <c r="B24" s="4" t="inlineStr">
        <is>
          <t>Less: Intangible step-up (% of premium, per Assumptions)</t>
        </is>
      </c>
      <c r="D24" s="38">
        <f>-D23*Assumptions!$D40</f>
      </c>
    </row>
    <row r="25">
      <c r="B25" s="4" t="inlineStr">
        <is>
          <t>Add: Deferred tax liability (DTL) created on step-up</t>
        </is>
      </c>
      <c r="D25" s="38">
        <f>-D24*Assumptions!$D45*Assumptions!$D42</f>
      </c>
    </row>
    <row r="26">
      <c r="B26" s="25" t="inlineStr">
        <is>
          <t>Equals New goodwill created</t>
        </is>
      </c>
      <c r="D26" s="41">
        <f>D23+D24+D25</f>
      </c>
    </row>
    <row r="27">
      <c r="B27" s="4" t="inlineStr">
        <is>
          <t>Intangible step-up asset, gross ($mm, positive)</t>
        </is>
      </c>
      <c r="D27" s="43">
        <f>-D24</f>
      </c>
    </row>
    <row r="28"/>
    <row r="29">
      <c r="B29" s="5" t="inlineStr">
        <is>
          <t>3. Financing &amp; Amortization Effects per Year (FY2019E-FY2023E)</t>
        </is>
      </c>
      <c r="C29" s="5" t="n"/>
      <c r="D29" s="5" t="n"/>
      <c r="E29" s="5" t="n"/>
      <c r="F29" s="5" t="n"/>
      <c r="G29" s="5" t="n"/>
      <c r="H29" s="5" t="n"/>
    </row>
    <row r="30">
      <c r="D30" s="26" t="inlineStr">
        <is>
          <t>FY2019E</t>
        </is>
      </c>
      <c r="E30" s="26" t="inlineStr">
        <is>
          <t>FY2020E</t>
        </is>
      </c>
      <c r="F30" s="26" t="inlineStr">
        <is>
          <t>FY2021E</t>
        </is>
      </c>
      <c r="G30" s="26" t="inlineStr">
        <is>
          <t>FY2022E</t>
        </is>
      </c>
      <c r="H30" s="26" t="inlineStr">
        <is>
          <t>FY2023E</t>
        </is>
      </c>
    </row>
    <row r="31">
      <c r="B31" s="4" t="inlineStr">
        <is>
          <t>New-debt interest expense</t>
        </is>
      </c>
      <c r="D31" s="38">
        <f>$D15*Assumptions!$D28</f>
      </c>
      <c r="E31" s="38">
        <f>$D15*Assumptions!$D28</f>
      </c>
      <c r="F31" s="38">
        <f>$D15*Assumptions!$D28</f>
      </c>
      <c r="G31" s="38">
        <f>$D15*Assumptions!$D28</f>
      </c>
      <c r="H31" s="38">
        <f>$D15*Assumptions!$D28</f>
      </c>
    </row>
    <row r="32">
      <c r="B32" s="4" t="inlineStr">
        <is>
          <t>Foregone interest income on cash used</t>
        </is>
      </c>
      <c r="D32" s="38">
        <f>$D13*Assumptions!$D29</f>
      </c>
      <c r="E32" s="38">
        <f>$D13*Assumptions!$D29</f>
      </c>
      <c r="F32" s="38">
        <f>$D13*Assumptions!$D29</f>
      </c>
      <c r="G32" s="38">
        <f>$D13*Assumptions!$D29</f>
      </c>
      <c r="H32" s="38">
        <f>$D13*Assumptions!$D29</f>
      </c>
    </row>
    <row r="33">
      <c r="B33" s="4" t="inlineStr">
        <is>
          <t>Financing fee amortization</t>
        </is>
      </c>
      <c r="D33" s="38">
        <f>Assumptions!$D35</f>
      </c>
      <c r="E33" s="38">
        <f>Assumptions!$D35</f>
      </c>
      <c r="F33" s="38">
        <f>Assumptions!$D35</f>
      </c>
      <c r="G33" s="38">
        <f>Assumptions!$D35</f>
      </c>
      <c r="H33" s="38">
        <f>Assumptions!$D35</f>
      </c>
    </row>
    <row r="34">
      <c r="B34" s="4" t="inlineStr">
        <is>
          <t>New intangible amortization</t>
        </is>
      </c>
      <c r="D34" s="38">
        <f>$D27/Assumptions!$D41</f>
      </c>
      <c r="E34" s="38">
        <f>$D27/Assumptions!$D41</f>
      </c>
      <c r="F34" s="38">
        <f>$D27/Assumptions!$D41</f>
      </c>
      <c r="G34" s="38">
        <f>$D27/Assumptions!$D41</f>
      </c>
      <c r="H34" s="38">
        <f>$D27/Assumptions!$D41</f>
      </c>
    </row>
    <row r="35"/>
    <row r="36" ht="44" customHeight="1" s="35">
      <c r="B36" s="34" t="inlineStr">
        <is>
          <t>Note: 'New debt raised' above (Sources &amp; Uses) is inclusive of advisory + financing fees and is the figure driving pro forma interest expense; Assumptions!D27 shows a simplified memo (cash consideration less BS cash only, excluding fees) for reference against the disclosed ~$35.7B cash/bridge figure.</t>
        </is>
      </c>
    </row>
    <row r="37"/>
  </sheetData>
  <mergeCells count="1">
    <mergeCell ref="B36:H37"/>
  </mergeCells>
  <conditionalFormatting sqref="D17">
    <cfRule type="expression" priority="1" dxfId="1">
      <formula>ROUND(D17,2)=0</formula>
    </cfRule>
    <cfRule type="expression" priority="2" dxfId="0">
      <formula>ROUND(D17,2)&lt;&gt;0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35" min="1" max="1"/>
    <col width="46" customWidth="1" style="35" min="2" max="2"/>
    <col width="3" customWidth="1" style="35" min="3" max="3"/>
    <col width="13" customWidth="1" style="35" min="4" max="11"/>
  </cols>
  <sheetData>
    <row r="1"/>
    <row r="2" ht="18" customHeight="1" s="35">
      <c r="B2" s="1" t="inlineStr">
        <is>
          <t>ProForma - Combined Company Accretion / (Dilution)</t>
        </is>
      </c>
    </row>
    <row r="3">
      <c r="B3" s="37" t="inlineStr">
        <is>
          <t>($ in millions, except per-share data; FY2019E-FY2023E)</t>
        </is>
      </c>
    </row>
    <row r="4"/>
    <row r="5">
      <c r="G5" s="26" t="inlineStr">
        <is>
          <t>FY2019E</t>
        </is>
      </c>
      <c r="H5" s="26" t="inlineStr">
        <is>
          <t>FY2020E</t>
        </is>
      </c>
      <c r="I5" s="26" t="inlineStr">
        <is>
          <t>FY2021E</t>
        </is>
      </c>
      <c r="J5" s="26" t="inlineStr">
        <is>
          <t>FY2022E</t>
        </is>
      </c>
      <c r="K5" s="26" t="inlineStr">
        <is>
          <t>FY2023E</t>
        </is>
      </c>
    </row>
    <row r="6">
      <c r="B6" s="4" t="inlineStr">
        <is>
          <t>Target debt refinance toggle (1=refi at Disney rate, 0=assume Fox's own rate)</t>
        </is>
      </c>
      <c r="D6" s="24" t="n">
        <v>1</v>
      </c>
    </row>
    <row r="7"/>
    <row r="8">
      <c r="B8" s="25" t="inlineStr">
        <is>
          <t>Revenue (Acquirer + Target + revenue synergies)</t>
        </is>
      </c>
      <c r="G8" s="38">
        <f>Acquirer!G6+Target!G16+Synergies!G13</f>
      </c>
      <c r="H8" s="38">
        <f>Acquirer!H6+Target!H16+Synergies!H13</f>
      </c>
      <c r="I8" s="38">
        <f>Acquirer!I6+Target!I16+Synergies!I13</f>
      </c>
      <c r="J8" s="38">
        <f>Acquirer!J6+Target!J16+Synergies!J13</f>
      </c>
      <c r="K8" s="38">
        <f>Acquirer!K6+Target!K16+Synergies!K13</f>
      </c>
    </row>
    <row r="9">
      <c r="B9" s="25" t="inlineStr">
        <is>
          <t>EBITDA (Acquirer + Target + cost synergies - integration + rev. syn. EBITDA impact)</t>
        </is>
      </c>
      <c r="G9" s="38">
        <f>Acquirer!G8+Target!G18+Synergies!G19</f>
      </c>
      <c r="H9" s="38">
        <f>Acquirer!H8+Target!H18+Synergies!H19</f>
      </c>
      <c r="I9" s="38">
        <f>Acquirer!I8+Target!I18+Synergies!I19</f>
      </c>
      <c r="J9" s="38">
        <f>Acquirer!J8+Target!J18+Synergies!J19</f>
      </c>
      <c r="K9" s="38">
        <f>Acquirer!K8+Target!K18+Synergies!K19</f>
      </c>
    </row>
    <row r="10">
      <c r="B10" s="4" t="inlineStr">
        <is>
          <t>Combined D&amp;A (Acquirer + Target)</t>
        </is>
      </c>
      <c r="G10" s="38">
        <f>Acquirer!G10+Target!G20</f>
      </c>
      <c r="H10" s="38">
        <f>Acquirer!H10+Target!H20</f>
      </c>
      <c r="I10" s="38">
        <f>Acquirer!I10+Target!I20</f>
      </c>
      <c r="J10" s="38">
        <f>Acquirer!J10+Target!J20</f>
      </c>
      <c r="K10" s="38">
        <f>Acquirer!K10+Target!K20</f>
      </c>
    </row>
    <row r="11">
      <c r="B11" s="4" t="inlineStr">
        <is>
          <t>New intangible amortization (from PPA step-up)</t>
        </is>
      </c>
      <c r="G11" s="38">
        <f>'PPA-Financing'!D34</f>
      </c>
      <c r="H11" s="38">
        <f>'PPA-Financing'!E34</f>
      </c>
      <c r="I11" s="38">
        <f>'PPA-Financing'!F34</f>
      </c>
      <c r="J11" s="38">
        <f>'PPA-Financing'!G34</f>
      </c>
      <c r="K11" s="38">
        <f>'PPA-Financing'!H34</f>
      </c>
    </row>
    <row r="12">
      <c r="B12" s="25" t="inlineStr">
        <is>
          <t>EBIT</t>
        </is>
      </c>
      <c r="G12" s="41">
        <f>G9-G10-G11</f>
      </c>
      <c r="H12" s="41">
        <f>H9-H10-H11</f>
      </c>
      <c r="I12" s="41">
        <f>I9-I10-I11</f>
      </c>
      <c r="J12" s="41">
        <f>J9-J10-J11</f>
      </c>
      <c r="K12" s="41">
        <f>K9-K10-K11</f>
      </c>
    </row>
    <row r="13">
      <c r="B13" s="27" t="inlineStr">
        <is>
          <t xml:space="preserve">  Acquirer standalone interest expense</t>
        </is>
      </c>
      <c r="G13" s="38">
        <f>Acquirer!G13</f>
      </c>
      <c r="H13" s="38">
        <f>Acquirer!H13</f>
      </c>
      <c r="I13" s="38">
        <f>Acquirer!I13</f>
      </c>
      <c r="J13" s="38">
        <f>Acquirer!J13</f>
      </c>
      <c r="K13" s="38">
        <f>Acquirer!K13</f>
      </c>
    </row>
    <row r="14">
      <c r="B14" s="27" t="inlineStr">
        <is>
          <t xml:space="preserve">  Target interest expense (per refinance toggle)</t>
        </is>
      </c>
      <c r="G14" s="38">
        <f>IF($D6=1,Target!$D32*Assumptions!$D28,Target!G23)</f>
      </c>
      <c r="H14" s="38">
        <f>IF($D6=1,Target!$D32*Assumptions!$D28,Target!H23)</f>
      </c>
      <c r="I14" s="38">
        <f>IF($D6=1,Target!$D32*Assumptions!$D28,Target!I23)</f>
      </c>
      <c r="J14" s="38">
        <f>IF($D6=1,Target!$D32*Assumptions!$D28,Target!J23)</f>
      </c>
      <c r="K14" s="38">
        <f>IF($D6=1,Target!$D32*Assumptions!$D28,Target!K23)</f>
      </c>
    </row>
    <row r="15">
      <c r="B15" s="27" t="inlineStr">
        <is>
          <t xml:space="preserve">  New-debt interest expense</t>
        </is>
      </c>
      <c r="G15" s="38">
        <f>'PPA-Financing'!D31</f>
      </c>
      <c r="H15" s="38">
        <f>'PPA-Financing'!E31</f>
      </c>
      <c r="I15" s="38">
        <f>'PPA-Financing'!F31</f>
      </c>
      <c r="J15" s="38">
        <f>'PPA-Financing'!G31</f>
      </c>
      <c r="K15" s="38">
        <f>'PPA-Financing'!H31</f>
      </c>
    </row>
    <row r="16">
      <c r="B16" s="27" t="inlineStr">
        <is>
          <t xml:space="preserve">  Foregone interest income on cash used</t>
        </is>
      </c>
      <c r="G16" s="38">
        <f>'PPA-Financing'!D32</f>
      </c>
      <c r="H16" s="38">
        <f>'PPA-Financing'!E32</f>
      </c>
      <c r="I16" s="38">
        <f>'PPA-Financing'!F32</f>
      </c>
      <c r="J16" s="38">
        <f>'PPA-Financing'!G32</f>
      </c>
      <c r="K16" s="38">
        <f>'PPA-Financing'!H32</f>
      </c>
    </row>
    <row r="17">
      <c r="B17" s="25" t="inlineStr">
        <is>
          <t>Total interest expense</t>
        </is>
      </c>
      <c r="G17" s="41">
        <f>G13+G14+G15+G16</f>
      </c>
      <c r="H17" s="41">
        <f>H13+H14+H15+H16</f>
      </c>
      <c r="I17" s="41">
        <f>I13+I14+I15+I16</f>
      </c>
      <c r="J17" s="41">
        <f>J13+J14+J15+J16</f>
      </c>
      <c r="K17" s="41">
        <f>K13+K14+K15+K16</f>
      </c>
    </row>
    <row r="18">
      <c r="B18" s="25" t="inlineStr">
        <is>
          <t>EBT</t>
        </is>
      </c>
      <c r="G18" s="43">
        <f>G12-G17</f>
      </c>
      <c r="H18" s="43">
        <f>H12-H17</f>
      </c>
      <c r="I18" s="43">
        <f>I12-I17</f>
      </c>
      <c r="J18" s="43">
        <f>J12-J17</f>
      </c>
      <c r="K18" s="43">
        <f>K12-K17</f>
      </c>
    </row>
    <row r="19">
      <c r="B19" s="4" t="inlineStr">
        <is>
          <t>Taxes</t>
        </is>
      </c>
      <c r="G19" s="38">
        <f>G18*Assumptions!$D45</f>
      </c>
      <c r="H19" s="38">
        <f>H18*Assumptions!$D45</f>
      </c>
      <c r="I19" s="38">
        <f>I18*Assumptions!$D45</f>
      </c>
      <c r="J19" s="38">
        <f>J18*Assumptions!$D45</f>
      </c>
      <c r="K19" s="38">
        <f>K18*Assumptions!$D45</f>
      </c>
    </row>
    <row r="20">
      <c r="B20" s="25" t="inlineStr">
        <is>
          <t>Pro forma net income</t>
        </is>
      </c>
      <c r="G20" s="41">
        <f>G18-G19</f>
      </c>
      <c r="H20" s="41">
        <f>H18-H19</f>
      </c>
      <c r="I20" s="41">
        <f>I18-I19</f>
      </c>
      <c r="J20" s="41">
        <f>J18-J19</f>
      </c>
      <c r="K20" s="41">
        <f>K18-K19</f>
      </c>
    </row>
    <row r="21">
      <c r="B21" s="4" t="inlineStr">
        <is>
          <t>Pro forma diluted shares (Acquirer standalone + new shares issued)</t>
        </is>
      </c>
      <c r="G21" s="47">
        <f>Acquirer!G17+Assumptions!$D20</f>
      </c>
      <c r="H21" s="47">
        <f>Acquirer!H17+Assumptions!$D20</f>
      </c>
      <c r="I21" s="47">
        <f>Acquirer!I17+Assumptions!$D20</f>
      </c>
      <c r="J21" s="47">
        <f>Acquirer!J17+Assumptions!$D20</f>
      </c>
      <c r="K21" s="47">
        <f>Acquirer!K17+Assumptions!$D20</f>
      </c>
    </row>
    <row r="22">
      <c r="B22" s="25" t="inlineStr">
        <is>
          <t>Pro forma diluted EPS</t>
        </is>
      </c>
      <c r="G22" s="28">
        <f>G20/G21</f>
      </c>
      <c r="H22" s="28">
        <f>H20/H21</f>
      </c>
      <c r="I22" s="28">
        <f>I20/I21</f>
      </c>
      <c r="J22" s="28">
        <f>J20/J21</f>
      </c>
      <c r="K22" s="28">
        <f>K20/K21</f>
      </c>
    </row>
    <row r="23">
      <c r="B23" s="4" t="inlineStr">
        <is>
          <t>Acquirer standalone diluted EPS (memo)</t>
        </is>
      </c>
      <c r="G23" s="9">
        <f>Acquirer!G18</f>
      </c>
      <c r="H23" s="9">
        <f>Acquirer!H18</f>
      </c>
      <c r="I23" s="9">
        <f>Acquirer!I18</f>
      </c>
      <c r="J23" s="9">
        <f>Acquirer!J18</f>
      </c>
      <c r="K23" s="9">
        <f>Acquirer!K18</f>
      </c>
    </row>
    <row r="24">
      <c r="B24" s="25" t="inlineStr">
        <is>
          <t>Accretion / (dilution), $ per share</t>
        </is>
      </c>
      <c r="G24" s="28">
        <f>G22-G23</f>
      </c>
      <c r="H24" s="28">
        <f>H22-H23</f>
      </c>
      <c r="I24" s="28">
        <f>I22-I23</f>
      </c>
      <c r="J24" s="28">
        <f>J22-J23</f>
      </c>
      <c r="K24" s="28">
        <f>K22-K23</f>
      </c>
    </row>
    <row r="25">
      <c r="B25" s="25" t="inlineStr">
        <is>
          <t>Accretion / (dilution), %</t>
        </is>
      </c>
      <c r="G25" s="31">
        <f>G22/G23-1</f>
      </c>
      <c r="H25" s="31">
        <f>H22/H23-1</f>
      </c>
      <c r="I25" s="31">
        <f>I22/I23-1</f>
      </c>
      <c r="J25" s="31">
        <f>J22/J23-1</f>
      </c>
      <c r="K25" s="31">
        <f>K22/K23-1</f>
      </c>
    </row>
    <row r="26"/>
    <row r="27">
      <c r="B27" s="25" t="inlineStr">
        <is>
          <t>Breakeven run-rate cost synergies, pre-tax (FY2019E only)</t>
        </is>
      </c>
      <c r="G27" s="41">
        <f>(Acquirer!G18*G21/(1-Assumptions!$D45)-(G18-Synergies!G8))/Synergies!G7</f>
      </c>
    </row>
    <row r="28">
      <c r="B28" s="27" t="inlineStr">
        <is>
          <t xml:space="preserve">  Check: accretion at breakeven synergies (must = 0.0000)</t>
        </is>
      </c>
      <c r="G28" s="43">
        <f>ROUND(((G18-Synergies!G8+G27*Synergies!G7)*(1-Assumptions!$D45))/G21-Acquirer!G18,4)</f>
      </c>
    </row>
    <row r="29"/>
    <row r="30">
      <c r="B30" s="5" t="inlineStr">
        <is>
          <t>Memo: Pro Forma Leverage (simple debt-paydown sweep)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B31" s="4" t="inlineStr">
        <is>
          <t>Net debt, beginning of year</t>
        </is>
      </c>
      <c r="G31" s="38">
        <f>Acquirer!$D22+Assumptions!$D11+'PPA-Financing'!$D15-Assumptions!$D26</f>
      </c>
      <c r="H31" s="43">
        <f>G33</f>
      </c>
      <c r="I31" s="43">
        <f>H33</f>
      </c>
      <c r="J31" s="43">
        <f>I33</f>
      </c>
      <c r="K31" s="43">
        <f>J33</f>
      </c>
    </row>
    <row r="32">
      <c r="B32" s="4" t="inlineStr">
        <is>
          <t>Less: debt paydown (sweep % x pro forma NI)</t>
        </is>
      </c>
      <c r="G32" s="38">
        <f>Assumptions!$D47*G20</f>
      </c>
      <c r="H32" s="38">
        <f>Assumptions!$D47*H20</f>
      </c>
      <c r="I32" s="38">
        <f>Assumptions!$D47*I20</f>
      </c>
      <c r="J32" s="38">
        <f>Assumptions!$D47*J20</f>
      </c>
      <c r="K32" s="38">
        <f>Assumptions!$D47*K20</f>
      </c>
    </row>
    <row r="33">
      <c r="B33" s="4" t="inlineStr">
        <is>
          <t>Net debt, end of year</t>
        </is>
      </c>
      <c r="G33" s="41">
        <f>G31-G32</f>
      </c>
      <c r="H33" s="41">
        <f>H31-H32</f>
      </c>
      <c r="I33" s="41">
        <f>I31-I32</f>
      </c>
      <c r="J33" s="41">
        <f>J31-J32</f>
      </c>
      <c r="K33" s="41">
        <f>K31-K32</f>
      </c>
    </row>
    <row r="34">
      <c r="B34" s="25" t="inlineStr">
        <is>
          <t>Net debt / EBITDA (x)</t>
        </is>
      </c>
      <c r="G34" s="49">
        <f>G33/G9</f>
      </c>
      <c r="H34" s="49">
        <f>H33/H9</f>
      </c>
      <c r="I34" s="49">
        <f>I33/I9</f>
      </c>
      <c r="J34" s="49">
        <f>J33/J9</f>
      </c>
      <c r="K34" s="49">
        <f>K33/K9</f>
      </c>
    </row>
  </sheetData>
  <conditionalFormatting sqref="G28">
    <cfRule type="expression" priority="3" dxfId="1">
      <formula>ROUND(G28,2)=0</formula>
    </cfRule>
    <cfRule type="expression" priority="4" dxfId="0">
      <formula>ROUND(G28,2)&lt;&gt;0</formula>
    </cfRule>
  </conditionalFormatting>
  <conditionalFormatting sqref="G25:K25">
    <cfRule type="cellIs" priority="1" operator="greaterThanOrEqual" dxfId="1">
      <formula>0</formula>
    </cfRule>
    <cfRule type="cellIs" priority="2" operator="lessThan" dxfId="0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35" min="1" max="1"/>
    <col width="34" customWidth="1" style="35" min="2" max="2"/>
    <col width="16" customWidth="1" style="35" min="3" max="5"/>
    <col width="14" customWidth="1" style="35" min="6" max="7"/>
    <col width="16" customWidth="1" style="35" min="8" max="8"/>
  </cols>
  <sheetData>
    <row r="1"/>
    <row r="2" ht="18" customHeight="1" s="35">
      <c r="B2" s="1" t="inlineStr">
        <is>
          <t>Contribution Analysis</t>
        </is>
      </c>
    </row>
    <row r="3">
      <c r="B3" s="37" t="inlineStr">
        <is>
          <t>($ in millions; FY2019E, first full pro forma year)</t>
        </is>
      </c>
    </row>
    <row r="4"/>
    <row r="5">
      <c r="B5" s="5" t="inlineStr">
        <is>
          <t>Metric</t>
        </is>
      </c>
      <c r="C5" s="5" t="inlineStr">
        <is>
          <t>Acquirer (Disney)</t>
        </is>
      </c>
      <c r="D5" s="5" t="inlineStr">
        <is>
          <t>Target (Fox perimeter)</t>
        </is>
      </c>
      <c r="E5" s="5" t="inlineStr">
        <is>
          <t>Combined</t>
        </is>
      </c>
      <c r="F5" s="5" t="inlineStr">
        <is>
          <t>Acquirer %</t>
        </is>
      </c>
      <c r="G5" s="5" t="inlineStr">
        <is>
          <t>Target %</t>
        </is>
      </c>
    </row>
    <row r="6">
      <c r="B6" s="4" t="inlineStr">
        <is>
          <t>Revenue</t>
        </is>
      </c>
      <c r="C6" s="38">
        <f>Acquirer!G6</f>
      </c>
      <c r="D6" s="38">
        <f>Target!G16</f>
      </c>
      <c r="E6" s="41">
        <f>C6+D6</f>
      </c>
      <c r="F6" s="14">
        <f>C6/E6</f>
      </c>
      <c r="G6" s="14">
        <f>D6/E6</f>
      </c>
    </row>
    <row r="7"/>
    <row r="8">
      <c r="B8" s="4" t="inlineStr">
        <is>
          <t>EBITDA</t>
        </is>
      </c>
      <c r="C8" s="38">
        <f>Acquirer!G8</f>
      </c>
      <c r="D8" s="38">
        <f>Target!G18</f>
      </c>
      <c r="E8" s="41">
        <f>C8+D8</f>
      </c>
      <c r="F8" s="14">
        <f>C8/E8</f>
      </c>
      <c r="G8" s="14">
        <f>D8/E8</f>
      </c>
    </row>
    <row r="9"/>
    <row r="10">
      <c r="B10" s="4" t="inlineStr">
        <is>
          <t>EBIT</t>
        </is>
      </c>
      <c r="C10" s="38">
        <f>Acquirer!G12</f>
      </c>
      <c r="D10" s="38">
        <f>Target!G22</f>
      </c>
      <c r="E10" s="41">
        <f>C10+D10</f>
      </c>
      <c r="F10" s="14">
        <f>C10/E10</f>
      </c>
      <c r="G10" s="14">
        <f>D10/E10</f>
      </c>
    </row>
    <row r="11"/>
    <row r="12">
      <c r="B12" s="4" t="inlineStr">
        <is>
          <t>Net income</t>
        </is>
      </c>
      <c r="C12" s="38">
        <f>Acquirer!G16</f>
      </c>
      <c r="D12" s="38">
        <f>Target!G26</f>
      </c>
      <c r="E12" s="41">
        <f>C12+D12</f>
      </c>
      <c r="F12" s="14">
        <f>C12/E12</f>
      </c>
      <c r="G12" s="14">
        <f>D12/E12</f>
      </c>
    </row>
    <row r="13"/>
    <row r="14">
      <c r="B14" s="5" t="inlineStr">
        <is>
          <t>Ownership Split vs. Economic Contribution (Net Income)</t>
        </is>
      </c>
      <c r="C14" s="5" t="n"/>
      <c r="D14" s="5" t="n"/>
      <c r="E14" s="5" t="n"/>
      <c r="F14" s="5" t="n"/>
      <c r="G14" s="5" t="n"/>
    </row>
    <row r="15">
      <c r="B15" s="4" t="inlineStr">
        <is>
          <t>Pro forma shares owned by Acquirer legacy holders</t>
        </is>
      </c>
      <c r="C15" s="47">
        <f>Acquirer!G17</f>
      </c>
      <c r="F15" s="10">
        <f>C15/ProForma!G21</f>
      </c>
    </row>
    <row r="16">
      <c r="B16" s="4" t="inlineStr">
        <is>
          <t>Pro forma shares issued to Target (Fox) holders</t>
        </is>
      </c>
      <c r="C16" s="47">
        <f>Assumptions!D20</f>
      </c>
      <c r="F16" s="10">
        <f>C16/ProForma!G21</f>
      </c>
    </row>
    <row r="17"/>
    <row r="18">
      <c r="B18" s="25" t="inlineStr">
        <is>
          <t>Contribution vs. ownership delta - Acquirer (NI% - Ownership%)</t>
        </is>
      </c>
      <c r="C18" s="31">
        <f>F12-F15</f>
      </c>
    </row>
    <row r="19">
      <c r="B19" s="25" t="inlineStr">
        <is>
          <t>Contribution vs. ownership delta - Target (NI% - Ownership%)</t>
        </is>
      </c>
      <c r="C19" s="31">
        <f>G12-F16</f>
      </c>
    </row>
    <row r="20"/>
    <row r="21" ht="44" customHeight="1" s="35">
      <c r="B21" s="34" t="inlineStr">
        <is>
          <t>Interpretation: a positive delta for Target means Fox shareholders receive a larger share of pro forma net income than their share of pro forma equity (i.e., Disney holders are diluted on an economic-contribution basis, before synergies); Disney's cost/revenue synergies and Fox's typically higher-margin content assets are the offsetting considerations.</t>
        </is>
      </c>
    </row>
    <row r="22"/>
  </sheetData>
  <mergeCells count="1"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35" min="1" max="1"/>
    <col width="16" customWidth="1" style="35" min="2" max="2"/>
    <col width="12.5" customWidth="1" style="35" min="3" max="20"/>
  </cols>
  <sheetData>
    <row r="1"/>
    <row r="2" ht="18" customHeight="1" s="35">
      <c r="B2" s="1" t="inlineStr">
        <is>
          <t>Sensitivity</t>
        </is>
      </c>
    </row>
    <row r="3">
      <c r="B3" s="37" t="inlineStr">
        <is>
          <t>FY2019E accretion / (dilution) %; live algebraic re-derivation grids (no Data Tables)</t>
        </is>
      </c>
    </row>
    <row r="4"/>
    <row r="5">
      <c r="B5" s="5" t="inlineStr">
        <is>
          <t>Grid 1 - Offer Price Shock (vs. $38.00 base) x Run-Rate Cost Synergies -&gt; FY2019E Accretion/(Dilution) %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6">
      <c r="B6" s="4" t="inlineStr">
        <is>
          <t>Corner (check, ties to ProForma FY2019E)</t>
        </is>
      </c>
      <c r="C6" s="14">
        <f>ROUND(R11-ProForma!G25,4)</f>
      </c>
    </row>
    <row r="7">
      <c r="B7" s="25" t="inlineStr">
        <is>
          <t>Offer price delta (rows) \ Synergies (cols)</t>
        </is>
      </c>
      <c r="C7" s="37" t="inlineStr">
        <is>
          <t>Offer price ($)</t>
        </is>
      </c>
      <c r="D7" s="37" t="inlineStr">
        <is>
          <t>Equity price</t>
        </is>
      </c>
      <c r="E7" s="37" t="inlineStr">
        <is>
          <t>Cash consid.</t>
        </is>
      </c>
      <c r="F7" s="37" t="inlineStr">
        <is>
          <t>Stock consid.</t>
        </is>
      </c>
      <c r="G7" s="37" t="inlineStr">
        <is>
          <t>New shares</t>
        </is>
      </c>
      <c r="H7" s="37" t="inlineStr">
        <is>
          <t>Total new debt</t>
        </is>
      </c>
      <c r="I7" s="37" t="inlineStr">
        <is>
          <t>Premium over NAV</t>
        </is>
      </c>
      <c r="J7" s="37" t="inlineStr">
        <is>
          <t>Intangible step-up</t>
        </is>
      </c>
      <c r="K7" s="37" t="inlineStr">
        <is>
          <t>Intang. amort/yr</t>
        </is>
      </c>
      <c r="L7" s="37" t="inlineStr">
        <is>
          <t>New-debt interest</t>
        </is>
      </c>
      <c r="M7" s="37" t="inlineStr">
        <is>
          <t>Foregone interest</t>
        </is>
      </c>
      <c r="N7" s="37" t="inlineStr">
        <is>
          <t>Interest, total</t>
        </is>
      </c>
      <c r="O7" s="37" t="inlineStr">
        <is>
          <t>PF shares, total</t>
        </is>
      </c>
      <c r="P7" s="42" t="n">
        <v>0</v>
      </c>
      <c r="Q7" s="42" t="n">
        <v>1000</v>
      </c>
      <c r="R7" s="42" t="n">
        <v>2000</v>
      </c>
      <c r="S7" s="42" t="n">
        <v>3000</v>
      </c>
      <c r="T7" s="42" t="n">
        <v>4000</v>
      </c>
    </row>
    <row r="8">
      <c r="B8" s="18" t="n">
        <v>-0.2</v>
      </c>
      <c r="C8" s="33">
        <f>Assumptions!D6*(1+$B8)</f>
      </c>
      <c r="D8" s="43">
        <f>C8*Assumptions!D9</f>
      </c>
      <c r="E8" s="43">
        <f>D8*Assumptions!D15</f>
      </c>
      <c r="F8" s="43">
        <f>D8*Assumptions!D16</f>
      </c>
      <c r="G8" s="44">
        <f>F8/Assumptions!D19</f>
      </c>
      <c r="H8" s="43">
        <f>(E8-Assumptions!D26)*(1+Assumptions!D32)+D8*Assumptions!D30</f>
      </c>
      <c r="I8" s="43">
        <f>D8-Assumptions!D38+Assumptions!D39</f>
      </c>
      <c r="J8" s="43">
        <f>I8*Assumptions!D40</f>
      </c>
      <c r="K8" s="43">
        <f>J8/Assumptions!D41</f>
      </c>
      <c r="L8" s="43">
        <f>H8*Assumptions!D28</f>
      </c>
      <c r="M8" s="43">
        <f>Assumptions!D26*Assumptions!D29</f>
      </c>
      <c r="N8" s="43">
        <f>Acquirer!G13+IF(ProForma!D6=1,Target!D32*Assumptions!D28,Target!G23)+L8+M8</f>
      </c>
      <c r="O8" s="44">
        <f>Acquirer!G17+G8</f>
      </c>
      <c r="P8" s="14">
        <f>(((Acquirer!G8+Target!G18+P$7*Synergies!G7-Synergies!G16)-Acquirer!G10-Target!G20-K8)-N8)*(1-Assumptions!D45)/O8/Acquirer!G18-1</f>
      </c>
      <c r="Q8" s="14">
        <f>(((Acquirer!G8+Target!G18+Q$7*Synergies!G7-Synergies!G16)-Acquirer!G10-Target!G20-K8)-N8)*(1-Assumptions!D45)/O8/Acquirer!G18-1</f>
      </c>
      <c r="R8" s="14">
        <f>(((Acquirer!G8+Target!G18+R$7*Synergies!G7-Synergies!G16)-Acquirer!G10-Target!G20-K8)-N8)*(1-Assumptions!D45)/O8/Acquirer!G18-1</f>
      </c>
      <c r="S8" s="14">
        <f>(((Acquirer!G8+Target!G18+S$7*Synergies!G7-Synergies!G16)-Acquirer!G10-Target!G20-K8)-N8)*(1-Assumptions!D45)/O8/Acquirer!G18-1</f>
      </c>
      <c r="T8" s="14">
        <f>(((Acquirer!G8+Target!G18+T$7*Synergies!G7-Synergies!G16)-Acquirer!G10-Target!G20-K8)-N8)*(1-Assumptions!D45)/O8/Acquirer!G18-1</f>
      </c>
    </row>
    <row r="9">
      <c r="B9" s="18" t="n">
        <v>-0.1333</v>
      </c>
      <c r="C9" s="33">
        <f>Assumptions!D6*(1+$B9)</f>
      </c>
      <c r="D9" s="43">
        <f>C9*Assumptions!D9</f>
      </c>
      <c r="E9" s="43">
        <f>D9*Assumptions!D15</f>
      </c>
      <c r="F9" s="43">
        <f>D9*Assumptions!D16</f>
      </c>
      <c r="G9" s="44">
        <f>F9/Assumptions!D19</f>
      </c>
      <c r="H9" s="43">
        <f>(E9-Assumptions!D26)*(1+Assumptions!D32)+D9*Assumptions!D30</f>
      </c>
      <c r="I9" s="43">
        <f>D9-Assumptions!D38+Assumptions!D39</f>
      </c>
      <c r="J9" s="43">
        <f>I9*Assumptions!D40</f>
      </c>
      <c r="K9" s="43">
        <f>J9/Assumptions!D41</f>
      </c>
      <c r="L9" s="43">
        <f>H9*Assumptions!D28</f>
      </c>
      <c r="M9" s="43">
        <f>Assumptions!D26*Assumptions!D29</f>
      </c>
      <c r="N9" s="43">
        <f>Acquirer!G13+IF(ProForma!D6=1,Target!D32*Assumptions!D28,Target!G23)+L9+M9</f>
      </c>
      <c r="O9" s="44">
        <f>Acquirer!G17+G9</f>
      </c>
      <c r="P9" s="14">
        <f>(((Acquirer!G8+Target!G18+P$7*Synergies!G7-Synergies!G16)-Acquirer!G10-Target!G20-K9)-N9)*(1-Assumptions!D45)/O9/Acquirer!G18-1</f>
      </c>
      <c r="Q9" s="14">
        <f>(((Acquirer!G8+Target!G18+Q$7*Synergies!G7-Synergies!G16)-Acquirer!G10-Target!G20-K9)-N9)*(1-Assumptions!D45)/O9/Acquirer!G18-1</f>
      </c>
      <c r="R9" s="14">
        <f>(((Acquirer!G8+Target!G18+R$7*Synergies!G7-Synergies!G16)-Acquirer!G10-Target!G20-K9)-N9)*(1-Assumptions!D45)/O9/Acquirer!G18-1</f>
      </c>
      <c r="S9" s="14">
        <f>(((Acquirer!G8+Target!G18+S$7*Synergies!G7-Synergies!G16)-Acquirer!G10-Target!G20-K9)-N9)*(1-Assumptions!D45)/O9/Acquirer!G18-1</f>
      </c>
      <c r="T9" s="14">
        <f>(((Acquirer!G8+Target!G18+T$7*Synergies!G7-Synergies!G16)-Acquirer!G10-Target!G20-K9)-N9)*(1-Assumptions!D45)/O9/Acquirer!G18-1</f>
      </c>
    </row>
    <row r="10">
      <c r="B10" s="18" t="n">
        <v>-0.0667</v>
      </c>
      <c r="C10" s="33">
        <f>Assumptions!D6*(1+$B10)</f>
      </c>
      <c r="D10" s="43">
        <f>C10*Assumptions!D9</f>
      </c>
      <c r="E10" s="43">
        <f>D10*Assumptions!D15</f>
      </c>
      <c r="F10" s="43">
        <f>D10*Assumptions!D16</f>
      </c>
      <c r="G10" s="44">
        <f>F10/Assumptions!D19</f>
      </c>
      <c r="H10" s="43">
        <f>(E10-Assumptions!D26)*(1+Assumptions!D32)+D10*Assumptions!D30</f>
      </c>
      <c r="I10" s="43">
        <f>D10-Assumptions!D38+Assumptions!D39</f>
      </c>
      <c r="J10" s="43">
        <f>I10*Assumptions!D40</f>
      </c>
      <c r="K10" s="43">
        <f>J10/Assumptions!D41</f>
      </c>
      <c r="L10" s="43">
        <f>H10*Assumptions!D28</f>
      </c>
      <c r="M10" s="43">
        <f>Assumptions!D26*Assumptions!D29</f>
      </c>
      <c r="N10" s="43">
        <f>Acquirer!G13+IF(ProForma!D6=1,Target!D32*Assumptions!D28,Target!G23)+L10+M10</f>
      </c>
      <c r="O10" s="44">
        <f>Acquirer!G17+G10</f>
      </c>
      <c r="P10" s="14">
        <f>(((Acquirer!G8+Target!G18+P$7*Synergies!G7-Synergies!G16)-Acquirer!G10-Target!G20-K10)-N10)*(1-Assumptions!D45)/O10/Acquirer!G18-1</f>
      </c>
      <c r="Q10" s="14">
        <f>(((Acquirer!G8+Target!G18+Q$7*Synergies!G7-Synergies!G16)-Acquirer!G10-Target!G20-K10)-N10)*(1-Assumptions!D45)/O10/Acquirer!G18-1</f>
      </c>
      <c r="R10" s="14">
        <f>(((Acquirer!G8+Target!G18+R$7*Synergies!G7-Synergies!G16)-Acquirer!G10-Target!G20-K10)-N10)*(1-Assumptions!D45)/O10/Acquirer!G18-1</f>
      </c>
      <c r="S10" s="14">
        <f>(((Acquirer!G8+Target!G18+S$7*Synergies!G7-Synergies!G16)-Acquirer!G10-Target!G20-K10)-N10)*(1-Assumptions!D45)/O10/Acquirer!G18-1</f>
      </c>
      <c r="T10" s="14">
        <f>(((Acquirer!G8+Target!G18+T$7*Synergies!G7-Synergies!G16)-Acquirer!G10-Target!G20-K10)-N10)*(1-Assumptions!D45)/O10/Acquirer!G18-1</f>
      </c>
    </row>
    <row r="11">
      <c r="B11" s="18" t="n">
        <v>0</v>
      </c>
      <c r="C11" s="33">
        <f>Assumptions!D6*(1+$B11)</f>
      </c>
      <c r="D11" s="43">
        <f>C11*Assumptions!D9</f>
      </c>
      <c r="E11" s="43">
        <f>D11*Assumptions!D15</f>
      </c>
      <c r="F11" s="43">
        <f>D11*Assumptions!D16</f>
      </c>
      <c r="G11" s="44">
        <f>F11/Assumptions!D19</f>
      </c>
      <c r="H11" s="43">
        <f>(E11-Assumptions!D26)*(1+Assumptions!D32)+D11*Assumptions!D30</f>
      </c>
      <c r="I11" s="43">
        <f>D11-Assumptions!D38+Assumptions!D39</f>
      </c>
      <c r="J11" s="43">
        <f>I11*Assumptions!D40</f>
      </c>
      <c r="K11" s="43">
        <f>J11/Assumptions!D41</f>
      </c>
      <c r="L11" s="43">
        <f>H11*Assumptions!D28</f>
      </c>
      <c r="M11" s="43">
        <f>Assumptions!D26*Assumptions!D29</f>
      </c>
      <c r="N11" s="43">
        <f>Acquirer!G13+IF(ProForma!D6=1,Target!D32*Assumptions!D28,Target!G23)+L11+M11</f>
      </c>
      <c r="O11" s="44">
        <f>Acquirer!G17+G11</f>
      </c>
      <c r="P11" s="14">
        <f>(((Acquirer!G8+Target!G18+P$7*Synergies!G7-Synergies!G16)-Acquirer!G10-Target!G20-K11)-N11)*(1-Assumptions!D45)/O11/Acquirer!G18-1</f>
      </c>
      <c r="Q11" s="14">
        <f>(((Acquirer!G8+Target!G18+Q$7*Synergies!G7-Synergies!G16)-Acquirer!G10-Target!G20-K11)-N11)*(1-Assumptions!D45)/O11/Acquirer!G18-1</f>
      </c>
      <c r="R11" s="14">
        <f>(((Acquirer!G8+Target!G18+R$7*Synergies!G7-Synergies!G16)-Acquirer!G10-Target!G20-K11)-N11)*(1-Assumptions!D45)/O11/Acquirer!G18-1</f>
      </c>
      <c r="S11" s="14">
        <f>(((Acquirer!G8+Target!G18+S$7*Synergies!G7-Synergies!G16)-Acquirer!G10-Target!G20-K11)-N11)*(1-Assumptions!D45)/O11/Acquirer!G18-1</f>
      </c>
      <c r="T11" s="14">
        <f>(((Acquirer!G8+Target!G18+T$7*Synergies!G7-Synergies!G16)-Acquirer!G10-Target!G20-K11)-N11)*(1-Assumptions!D45)/O11/Acquirer!G18-1</f>
      </c>
    </row>
    <row r="12">
      <c r="B12" s="18" t="n">
        <v>0.0667</v>
      </c>
      <c r="C12" s="33">
        <f>Assumptions!D6*(1+$B12)</f>
      </c>
      <c r="D12" s="43">
        <f>C12*Assumptions!D9</f>
      </c>
      <c r="E12" s="43">
        <f>D12*Assumptions!D15</f>
      </c>
      <c r="F12" s="43">
        <f>D12*Assumptions!D16</f>
      </c>
      <c r="G12" s="44">
        <f>F12/Assumptions!D19</f>
      </c>
      <c r="H12" s="43">
        <f>(E12-Assumptions!D26)*(1+Assumptions!D32)+D12*Assumptions!D30</f>
      </c>
      <c r="I12" s="43">
        <f>D12-Assumptions!D38+Assumptions!D39</f>
      </c>
      <c r="J12" s="43">
        <f>I12*Assumptions!D40</f>
      </c>
      <c r="K12" s="43">
        <f>J12/Assumptions!D41</f>
      </c>
      <c r="L12" s="43">
        <f>H12*Assumptions!D28</f>
      </c>
      <c r="M12" s="43">
        <f>Assumptions!D26*Assumptions!D29</f>
      </c>
      <c r="N12" s="43">
        <f>Acquirer!G13+IF(ProForma!D6=1,Target!D32*Assumptions!D28,Target!G23)+L12+M12</f>
      </c>
      <c r="O12" s="44">
        <f>Acquirer!G17+G12</f>
      </c>
      <c r="P12" s="14">
        <f>(((Acquirer!G8+Target!G18+P$7*Synergies!G7-Synergies!G16)-Acquirer!G10-Target!G20-K12)-N12)*(1-Assumptions!D45)/O12/Acquirer!G18-1</f>
      </c>
      <c r="Q12" s="14">
        <f>(((Acquirer!G8+Target!G18+Q$7*Synergies!G7-Synergies!G16)-Acquirer!G10-Target!G20-K12)-N12)*(1-Assumptions!D45)/O12/Acquirer!G18-1</f>
      </c>
      <c r="R12" s="14">
        <f>(((Acquirer!G8+Target!G18+R$7*Synergies!G7-Synergies!G16)-Acquirer!G10-Target!G20-K12)-N12)*(1-Assumptions!D45)/O12/Acquirer!G18-1</f>
      </c>
      <c r="S12" s="14">
        <f>(((Acquirer!G8+Target!G18+S$7*Synergies!G7-Synergies!G16)-Acquirer!G10-Target!G20-K12)-N12)*(1-Assumptions!D45)/O12/Acquirer!G18-1</f>
      </c>
      <c r="T12" s="14">
        <f>(((Acquirer!G8+Target!G18+T$7*Synergies!G7-Synergies!G16)-Acquirer!G10-Target!G20-K12)-N12)*(1-Assumptions!D45)/O12/Acquirer!G18-1</f>
      </c>
    </row>
    <row r="13">
      <c r="B13" s="18" t="n">
        <v>0.1333</v>
      </c>
      <c r="C13" s="33">
        <f>Assumptions!D6*(1+$B13)</f>
      </c>
      <c r="D13" s="43">
        <f>C13*Assumptions!D9</f>
      </c>
      <c r="E13" s="43">
        <f>D13*Assumptions!D15</f>
      </c>
      <c r="F13" s="43">
        <f>D13*Assumptions!D16</f>
      </c>
      <c r="G13" s="44">
        <f>F13/Assumptions!D19</f>
      </c>
      <c r="H13" s="43">
        <f>(E13-Assumptions!D26)*(1+Assumptions!D32)+D13*Assumptions!D30</f>
      </c>
      <c r="I13" s="43">
        <f>D13-Assumptions!D38+Assumptions!D39</f>
      </c>
      <c r="J13" s="43">
        <f>I13*Assumptions!D40</f>
      </c>
      <c r="K13" s="43">
        <f>J13/Assumptions!D41</f>
      </c>
      <c r="L13" s="43">
        <f>H13*Assumptions!D28</f>
      </c>
      <c r="M13" s="43">
        <f>Assumptions!D26*Assumptions!D29</f>
      </c>
      <c r="N13" s="43">
        <f>Acquirer!G13+IF(ProForma!D6=1,Target!D32*Assumptions!D28,Target!G23)+L13+M13</f>
      </c>
      <c r="O13" s="44">
        <f>Acquirer!G17+G13</f>
      </c>
      <c r="P13" s="14">
        <f>(((Acquirer!G8+Target!G18+P$7*Synergies!G7-Synergies!G16)-Acquirer!G10-Target!G20-K13)-N13)*(1-Assumptions!D45)/O13/Acquirer!G18-1</f>
      </c>
      <c r="Q13" s="14">
        <f>(((Acquirer!G8+Target!G18+Q$7*Synergies!G7-Synergies!G16)-Acquirer!G10-Target!G20-K13)-N13)*(1-Assumptions!D45)/O13/Acquirer!G18-1</f>
      </c>
      <c r="R13" s="14">
        <f>(((Acquirer!G8+Target!G18+R$7*Synergies!G7-Synergies!G16)-Acquirer!G10-Target!G20-K13)-N13)*(1-Assumptions!D45)/O13/Acquirer!G18-1</f>
      </c>
      <c r="S13" s="14">
        <f>(((Acquirer!G8+Target!G18+S$7*Synergies!G7-Synergies!G16)-Acquirer!G10-Target!G20-K13)-N13)*(1-Assumptions!D45)/O13/Acquirer!G18-1</f>
      </c>
      <c r="T13" s="14">
        <f>(((Acquirer!G8+Target!G18+T$7*Synergies!G7-Synergies!G16)-Acquirer!G10-Target!G20-K13)-N13)*(1-Assumptions!D45)/O13/Acquirer!G18-1</f>
      </c>
    </row>
    <row r="14">
      <c r="B14" s="18" t="n">
        <v>0.2</v>
      </c>
      <c r="C14" s="33">
        <f>Assumptions!D6*(1+$B14)</f>
      </c>
      <c r="D14" s="43">
        <f>C14*Assumptions!D9</f>
      </c>
      <c r="E14" s="43">
        <f>D14*Assumptions!D15</f>
      </c>
      <c r="F14" s="43">
        <f>D14*Assumptions!D16</f>
      </c>
      <c r="G14" s="44">
        <f>F14/Assumptions!D19</f>
      </c>
      <c r="H14" s="43">
        <f>(E14-Assumptions!D26)*(1+Assumptions!D32)+D14*Assumptions!D30</f>
      </c>
      <c r="I14" s="43">
        <f>D14-Assumptions!D38+Assumptions!D39</f>
      </c>
      <c r="J14" s="43">
        <f>I14*Assumptions!D40</f>
      </c>
      <c r="K14" s="43">
        <f>J14/Assumptions!D41</f>
      </c>
      <c r="L14" s="43">
        <f>H14*Assumptions!D28</f>
      </c>
      <c r="M14" s="43">
        <f>Assumptions!D26*Assumptions!D29</f>
      </c>
      <c r="N14" s="43">
        <f>Acquirer!G13+IF(ProForma!D6=1,Target!D32*Assumptions!D28,Target!G23)+L14+M14</f>
      </c>
      <c r="O14" s="44">
        <f>Acquirer!G17+G14</f>
      </c>
      <c r="P14" s="14">
        <f>(((Acquirer!G8+Target!G18+P$7*Synergies!G7-Synergies!G16)-Acquirer!G10-Target!G20-K14)-N14)*(1-Assumptions!D45)/O14/Acquirer!G18-1</f>
      </c>
      <c r="Q14" s="14">
        <f>(((Acquirer!G8+Target!G18+Q$7*Synergies!G7-Synergies!G16)-Acquirer!G10-Target!G20-K14)-N14)*(1-Assumptions!D45)/O14/Acquirer!G18-1</f>
      </c>
      <c r="R14" s="14">
        <f>(((Acquirer!G8+Target!G18+R$7*Synergies!G7-Synergies!G16)-Acquirer!G10-Target!G20-K14)-N14)*(1-Assumptions!D45)/O14/Acquirer!G18-1</f>
      </c>
      <c r="S14" s="14">
        <f>(((Acquirer!G8+Target!G18+S$7*Synergies!G7-Synergies!G16)-Acquirer!G10-Target!G20-K14)-N14)*(1-Assumptions!D45)/O14/Acquirer!G18-1</f>
      </c>
      <c r="T14" s="14">
        <f>(((Acquirer!G8+Target!G18+T$7*Synergies!G7-Synergies!G16)-Acquirer!G10-Target!G20-K14)-N14)*(1-Assumptions!D45)/O14/Acquirer!G18-1</f>
      </c>
    </row>
    <row r="15"/>
    <row r="16"/>
    <row r="17">
      <c r="B17" s="5" t="inlineStr">
        <is>
          <t>Grid 2 - % Cash Consideration (offer price fixed at $38.00) x Run-Rate Cost Synergies -&gt; FY2019E Accretion/(Dilution) %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</row>
    <row r="18">
      <c r="B18" s="4" t="inlineStr">
        <is>
          <t>Corner (check, ties to ProForma FY2019E)</t>
        </is>
      </c>
      <c r="C18" s="14">
        <f>ROUND(M22-ProForma!G25,4)</f>
      </c>
    </row>
    <row r="19">
      <c r="B19" s="25" t="inlineStr">
        <is>
          <t>% Cash consideration (rows) \ Synergies (cols)</t>
        </is>
      </c>
      <c r="C19" s="37" t="inlineStr">
        <is>
          <t>Cash consid.</t>
        </is>
      </c>
      <c r="D19" s="37" t="inlineStr">
        <is>
          <t>Stock consid.</t>
        </is>
      </c>
      <c r="E19" s="37" t="inlineStr">
        <is>
          <t>New shares</t>
        </is>
      </c>
      <c r="F19" s="37" t="inlineStr">
        <is>
          <t>Total new debt</t>
        </is>
      </c>
      <c r="G19" s="37" t="inlineStr">
        <is>
          <t>New-debt interest</t>
        </is>
      </c>
      <c r="H19" s="37" t="inlineStr">
        <is>
          <t>Foregone interest</t>
        </is>
      </c>
      <c r="I19" s="37" t="inlineStr">
        <is>
          <t>Interest, total</t>
        </is>
      </c>
      <c r="J19" s="37" t="inlineStr">
        <is>
          <t>PF shares, total</t>
        </is>
      </c>
      <c r="K19" s="42" t="n">
        <v>0</v>
      </c>
      <c r="L19" s="42" t="n">
        <v>1000</v>
      </c>
      <c r="M19" s="42" t="n">
        <v>2000</v>
      </c>
      <c r="N19" s="42" t="n">
        <v>3000</v>
      </c>
      <c r="O19" s="42" t="n">
        <v>4000</v>
      </c>
    </row>
    <row r="20">
      <c r="B20" s="18" t="n">
        <v>0</v>
      </c>
      <c r="C20" s="43">
        <f>Assumptions!D10*$B20</f>
      </c>
      <c r="D20" s="43">
        <f>Assumptions!D10*(1-$B20)</f>
      </c>
      <c r="E20" s="44">
        <f>D20/Assumptions!D19</f>
      </c>
      <c r="F20" s="43">
        <f>(C20-Assumptions!D26)*(1+Assumptions!D32)+Assumptions!D10*Assumptions!D30</f>
      </c>
      <c r="G20" s="43">
        <f>F20*Assumptions!D28</f>
      </c>
      <c r="H20" s="43">
        <f>Assumptions!D26*Assumptions!D29</f>
      </c>
      <c r="I20" s="43">
        <f>Acquirer!G13+IF(ProForma!D6=1,Target!D32*Assumptions!D28,Target!G23)+G20+H20</f>
      </c>
      <c r="J20" s="44">
        <f>Acquirer!G17+E20</f>
      </c>
      <c r="K20" s="14">
        <f>(((Acquirer!G8+Target!G18+K$19*Synergies!G7-Synergies!G16)-Acquirer!G10-Target!G20-'PPA-Financing'!D34)-I20)*(1-Assumptions!D45)/J20/Acquirer!G18-1</f>
      </c>
      <c r="L20" s="14">
        <f>(((Acquirer!G8+Target!G18+L$19*Synergies!G7-Synergies!G16)-Acquirer!G10-Target!G20-'PPA-Financing'!D34)-I20)*(1-Assumptions!D45)/J20/Acquirer!G18-1</f>
      </c>
      <c r="M20" s="14">
        <f>(((Acquirer!G8+Target!G18+M$19*Synergies!G7-Synergies!G16)-Acquirer!G10-Target!G20-'PPA-Financing'!D34)-I20)*(1-Assumptions!D45)/J20/Acquirer!G18-1</f>
      </c>
      <c r="N20" s="14">
        <f>(((Acquirer!G8+Target!G18+N$19*Synergies!G7-Synergies!G16)-Acquirer!G10-Target!G20-'PPA-Financing'!D34)-I20)*(1-Assumptions!D45)/J20/Acquirer!G18-1</f>
      </c>
      <c r="O20" s="14">
        <f>(((Acquirer!G8+Target!G18+O$19*Synergies!G7-Synergies!G16)-Acquirer!G10-Target!G20-'PPA-Financing'!D34)-I20)*(1-Assumptions!D45)/J20/Acquirer!G18-1</f>
      </c>
    </row>
    <row r="21">
      <c r="B21" s="18" t="n">
        <v>0.25</v>
      </c>
      <c r="C21" s="43">
        <f>Assumptions!D10*$B21</f>
      </c>
      <c r="D21" s="43">
        <f>Assumptions!D10*(1-$B21)</f>
      </c>
      <c r="E21" s="44">
        <f>D21/Assumptions!D19</f>
      </c>
      <c r="F21" s="43">
        <f>(C21-Assumptions!D26)*(1+Assumptions!D32)+Assumptions!D10*Assumptions!D30</f>
      </c>
      <c r="G21" s="43">
        <f>F21*Assumptions!D28</f>
      </c>
      <c r="H21" s="43">
        <f>Assumptions!D26*Assumptions!D29</f>
      </c>
      <c r="I21" s="43">
        <f>Acquirer!G13+IF(ProForma!D6=1,Target!D32*Assumptions!D28,Target!G23)+G21+H21</f>
      </c>
      <c r="J21" s="44">
        <f>Acquirer!G17+E21</f>
      </c>
      <c r="K21" s="14">
        <f>(((Acquirer!G8+Target!G18+K$19*Synergies!G7-Synergies!G16)-Acquirer!G10-Target!G20-'PPA-Financing'!D34)-I21)*(1-Assumptions!D45)/J21/Acquirer!G18-1</f>
      </c>
      <c r="L21" s="14">
        <f>(((Acquirer!G8+Target!G18+L$19*Synergies!G7-Synergies!G16)-Acquirer!G10-Target!G20-'PPA-Financing'!D34)-I21)*(1-Assumptions!D45)/J21/Acquirer!G18-1</f>
      </c>
      <c r="M21" s="14">
        <f>(((Acquirer!G8+Target!G18+M$19*Synergies!G7-Synergies!G16)-Acquirer!G10-Target!G20-'PPA-Financing'!D34)-I21)*(1-Assumptions!D45)/J21/Acquirer!G18-1</f>
      </c>
      <c r="N21" s="14">
        <f>(((Acquirer!G8+Target!G18+N$19*Synergies!G7-Synergies!G16)-Acquirer!G10-Target!G20-'PPA-Financing'!D34)-I21)*(1-Assumptions!D45)/J21/Acquirer!G18-1</f>
      </c>
      <c r="O21" s="14">
        <f>(((Acquirer!G8+Target!G18+O$19*Synergies!G7-Synergies!G16)-Acquirer!G10-Target!G20-'PPA-Financing'!D34)-I21)*(1-Assumptions!D45)/J21/Acquirer!G18-1</f>
      </c>
    </row>
    <row r="22">
      <c r="B22" s="18" t="n">
        <v>0.5</v>
      </c>
      <c r="C22" s="43">
        <f>Assumptions!D10*$B22</f>
      </c>
      <c r="D22" s="43">
        <f>Assumptions!D10*(1-$B22)</f>
      </c>
      <c r="E22" s="44">
        <f>D22/Assumptions!D19</f>
      </c>
      <c r="F22" s="43">
        <f>(C22-Assumptions!D26)*(1+Assumptions!D32)+Assumptions!D10*Assumptions!D30</f>
      </c>
      <c r="G22" s="43">
        <f>F22*Assumptions!D28</f>
      </c>
      <c r="H22" s="43">
        <f>Assumptions!D26*Assumptions!D29</f>
      </c>
      <c r="I22" s="43">
        <f>Acquirer!G13+IF(ProForma!D6=1,Target!D32*Assumptions!D28,Target!G23)+G22+H22</f>
      </c>
      <c r="J22" s="44">
        <f>Acquirer!G17+E22</f>
      </c>
      <c r="K22" s="14">
        <f>(((Acquirer!G8+Target!G18+K$19*Synergies!G7-Synergies!G16)-Acquirer!G10-Target!G20-'PPA-Financing'!D34)-I22)*(1-Assumptions!D45)/J22/Acquirer!G18-1</f>
      </c>
      <c r="L22" s="14">
        <f>(((Acquirer!G8+Target!G18+L$19*Synergies!G7-Synergies!G16)-Acquirer!G10-Target!G20-'PPA-Financing'!D34)-I22)*(1-Assumptions!D45)/J22/Acquirer!G18-1</f>
      </c>
      <c r="M22" s="14">
        <f>(((Acquirer!G8+Target!G18+M$19*Synergies!G7-Synergies!G16)-Acquirer!G10-Target!G20-'PPA-Financing'!D34)-I22)*(1-Assumptions!D45)/J22/Acquirer!G18-1</f>
      </c>
      <c r="N22" s="14">
        <f>(((Acquirer!G8+Target!G18+N$19*Synergies!G7-Synergies!G16)-Acquirer!G10-Target!G20-'PPA-Financing'!D34)-I22)*(1-Assumptions!D45)/J22/Acquirer!G18-1</f>
      </c>
      <c r="O22" s="14">
        <f>(((Acquirer!G8+Target!G18+O$19*Synergies!G7-Synergies!G16)-Acquirer!G10-Target!G20-'PPA-Financing'!D34)-I22)*(1-Assumptions!D45)/J22/Acquirer!G18-1</f>
      </c>
    </row>
    <row r="23">
      <c r="B23" s="18" t="n">
        <v>0.75</v>
      </c>
      <c r="C23" s="43">
        <f>Assumptions!D10*$B23</f>
      </c>
      <c r="D23" s="43">
        <f>Assumptions!D10*(1-$B23)</f>
      </c>
      <c r="E23" s="44">
        <f>D23/Assumptions!D19</f>
      </c>
      <c r="F23" s="43">
        <f>(C23-Assumptions!D26)*(1+Assumptions!D32)+Assumptions!D10*Assumptions!D30</f>
      </c>
      <c r="G23" s="43">
        <f>F23*Assumptions!D28</f>
      </c>
      <c r="H23" s="43">
        <f>Assumptions!D26*Assumptions!D29</f>
      </c>
      <c r="I23" s="43">
        <f>Acquirer!G13+IF(ProForma!D6=1,Target!D32*Assumptions!D28,Target!G23)+G23+H23</f>
      </c>
      <c r="J23" s="44">
        <f>Acquirer!G17+E23</f>
      </c>
      <c r="K23" s="14">
        <f>(((Acquirer!G8+Target!G18+K$19*Synergies!G7-Synergies!G16)-Acquirer!G10-Target!G20-'PPA-Financing'!D34)-I23)*(1-Assumptions!D45)/J23/Acquirer!G18-1</f>
      </c>
      <c r="L23" s="14">
        <f>(((Acquirer!G8+Target!G18+L$19*Synergies!G7-Synergies!G16)-Acquirer!G10-Target!G20-'PPA-Financing'!D34)-I23)*(1-Assumptions!D45)/J23/Acquirer!G18-1</f>
      </c>
      <c r="M23" s="14">
        <f>(((Acquirer!G8+Target!G18+M$19*Synergies!G7-Synergies!G16)-Acquirer!G10-Target!G20-'PPA-Financing'!D34)-I23)*(1-Assumptions!D45)/J23/Acquirer!G18-1</f>
      </c>
      <c r="N23" s="14">
        <f>(((Acquirer!G8+Target!G18+N$19*Synergies!G7-Synergies!G16)-Acquirer!G10-Target!G20-'PPA-Financing'!D34)-I23)*(1-Assumptions!D45)/J23/Acquirer!G18-1</f>
      </c>
      <c r="O23" s="14">
        <f>(((Acquirer!G8+Target!G18+O$19*Synergies!G7-Synergies!G16)-Acquirer!G10-Target!G20-'PPA-Financing'!D34)-I23)*(1-Assumptions!D45)/J23/Acquirer!G18-1</f>
      </c>
    </row>
    <row r="24">
      <c r="B24" s="18" t="n">
        <v>1</v>
      </c>
      <c r="C24" s="43">
        <f>Assumptions!D10*$B24</f>
      </c>
      <c r="D24" s="43">
        <f>Assumptions!D10*(1-$B24)</f>
      </c>
      <c r="E24" s="44">
        <f>D24/Assumptions!D19</f>
      </c>
      <c r="F24" s="43">
        <f>(C24-Assumptions!D26)*(1+Assumptions!D32)+Assumptions!D10*Assumptions!D30</f>
      </c>
      <c r="G24" s="43">
        <f>F24*Assumptions!D28</f>
      </c>
      <c r="H24" s="43">
        <f>Assumptions!D26*Assumptions!D29</f>
      </c>
      <c r="I24" s="43">
        <f>Acquirer!G13+IF(ProForma!D6=1,Target!D32*Assumptions!D28,Target!G23)+G24+H24</f>
      </c>
      <c r="J24" s="44">
        <f>Acquirer!G17+E24</f>
      </c>
      <c r="K24" s="14">
        <f>(((Acquirer!G8+Target!G18+K$19*Synergies!G7-Synergies!G16)-Acquirer!G10-Target!G20-'PPA-Financing'!D34)-I24)*(1-Assumptions!D45)/J24/Acquirer!G18-1</f>
      </c>
      <c r="L24" s="14">
        <f>(((Acquirer!G8+Target!G18+L$19*Synergies!G7-Synergies!G16)-Acquirer!G10-Target!G20-'PPA-Financing'!D34)-I24)*(1-Assumptions!D45)/J24/Acquirer!G18-1</f>
      </c>
      <c r="M24" s="14">
        <f>(((Acquirer!G8+Target!G18+M$19*Synergies!G7-Synergies!G16)-Acquirer!G10-Target!G20-'PPA-Financing'!D34)-I24)*(1-Assumptions!D45)/J24/Acquirer!G18-1</f>
      </c>
      <c r="N24" s="14">
        <f>(((Acquirer!G8+Target!G18+N$19*Synergies!G7-Synergies!G16)-Acquirer!G10-Target!G20-'PPA-Financing'!D34)-I24)*(1-Assumptions!D45)/J24/Acquirer!G18-1</f>
      </c>
      <c r="O24" s="14">
        <f>(((Acquirer!G8+Target!G18+O$19*Synergies!G7-Synergies!G16)-Acquirer!G10-Target!G20-'PPA-Financing'!D34)-I24)*(1-Assumptions!D45)/J24/Acquirer!G18-1</f>
      </c>
    </row>
    <row r="25"/>
    <row r="26"/>
    <row r="27" ht="44" customHeight="1" s="35">
      <c r="B27" s="34" t="inlineStr">
        <is>
          <t>Architecture note: each grid cell algebraically rebuilds FY2019E pro forma EPS from the operating model's fixed FY2019E EBITDA/D&amp;A/interest building blocks plus the row/column shocked inputs (offer price or cash %, and run-rate synergies) - fully live, no Excel Data Tables. Grid 1 re-derives goodwill/intangible step-up and its amortization per row since offer price changes purchase price; Grid 2 holds the PPA constant (fixed at base offer price) and only re-derives the cash/stock/debt/share-count split, per the master-spec architecture.</t>
        </is>
      </c>
    </row>
    <row r="28"/>
  </sheetData>
  <mergeCells count="1">
    <mergeCell ref="B27:T28"/>
  </mergeCells>
  <conditionalFormatting sqref="C6">
    <cfRule type="expression" priority="1" dxfId="1">
      <formula>ROUND(C6,2)=0</formula>
    </cfRule>
    <cfRule type="expression" priority="2" dxfId="0">
      <formula>ROUND(C6,2)&lt;&gt;0</formula>
    </cfRule>
    <cfRule type="expression" priority="3" dxfId="1">
      <formula>ROUND(C6,2)=0</formula>
    </cfRule>
    <cfRule type="expression" priority="4" dxfId="0">
      <formula>ROUND(C6,2)&lt;&gt;0</formula>
    </cfRule>
  </conditionalFormatting>
  <conditionalFormatting sqref="C18">
    <cfRule type="expression" priority="6" dxfId="1">
      <formula>ROUND(C18,2)=0</formula>
    </cfRule>
    <cfRule type="expression" priority="7" dxfId="0">
      <formula>ROUND(C18,2)&lt;&gt;0</formula>
    </cfRule>
  </conditionalFormatting>
  <conditionalFormatting sqref="K20:O24">
    <cfRule type="colorScale" priority="8">
      <colorScale>
        <cfvo type="min"/>
        <cfvo type="num" val="0"/>
        <cfvo type="max"/>
        <color rgb="FFFFC7CE"/>
        <color rgb="FFFFF2CC"/>
        <color rgb="FFC6EFCE"/>
      </colorScale>
    </cfRule>
  </conditionalFormatting>
  <conditionalFormatting sqref="P8:T14">
    <cfRule type="colorScale" priority="5">
      <colorScale>
        <cfvo type="min"/>
        <cfvo type="num" val="0"/>
        <cfvo type="max"/>
        <color rgb="FFFFC7CE"/>
        <color rgb="FFFFF2CC"/>
        <color rgb="FF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2026-08-23T05:47:24Z</dcterms:created>
  <dcterms:modified xmlns:dcterms="http://purl.org/dc/terms/" xmlns:xsi="http://www.w3.org/2001/XMLSchema-instance" xsi:type="dcterms:W3CDTF">2026-08-27T05:39:42Z</dcterms:modified>
  <cp:lastModifiedBy>Akul Veauli</cp:lastModifiedBy>
</cp:coreProperties>
</file>