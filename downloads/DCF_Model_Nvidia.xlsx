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CF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#,##0;(#,##0)"/>
    <numFmt numFmtId="166" formatCode="0.0%"/>
    <numFmt numFmtId="167" formatCode="#,##0.0"/>
    <numFmt numFmtId="168" formatCode="#,##0.0;(#,##0.0)"/>
    <numFmt numFmtId="169" formatCode="0.0x"/>
    <numFmt numFmtId="170" formatCode="0.000"/>
  </numFmts>
  <fonts count="10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i val="1"/>
      <color rgb="FF7F7F7F"/>
      <sz val="9"/>
    </font>
    <font>
      <name val="Arial"/>
      <b val="1"/>
      <color rgb="FFFFFFFF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b val="1"/>
      <color rgb="FF000000"/>
      <sz val="10"/>
    </font>
    <font>
      <name val="Arial"/>
      <color rgb="FF008000"/>
      <sz val="10"/>
    </font>
    <font>
      <name val="Arial"/>
      <b val="1"/>
      <color rgb="FF008000"/>
      <sz val="10"/>
    </font>
    <font/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top style="thin">
        <color rgb="FF7F7F7F"/>
      </top>
      <bottom style="double">
        <color rgb="FF000000"/>
      </bottom>
    </border>
    <border/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2" fontId="5" fillId="3" borderId="0" pivotButton="0" quotePrefix="0" xfId="0"/>
    <xf numFmtId="2" fontId="4" fillId="0" borderId="0" pivotButton="0" quotePrefix="0" xfId="0"/>
    <xf numFmtId="164" fontId="7" fillId="0" borderId="0" pivotButton="0" quotePrefix="0" xfId="0"/>
    <xf numFmtId="0" fontId="6" fillId="0" borderId="0" pivotButton="0" quotePrefix="0" xfId="0"/>
    <xf numFmtId="164" fontId="7" fillId="4" borderId="0" pivotButton="0" quotePrefix="0" xfId="0"/>
    <xf numFmtId="165" fontId="7" fillId="4" borderId="0" pivotButton="0" quotePrefix="0" xfId="0"/>
    <xf numFmtId="166" fontId="7" fillId="4" borderId="0" pivotButton="0" quotePrefix="0" xfId="0"/>
    <xf numFmtId="10" fontId="7" fillId="4" borderId="0" pivotButton="0" quotePrefix="0" xfId="0"/>
    <xf numFmtId="0" fontId="5" fillId="3" borderId="0" pivotButton="0" quotePrefix="0" xfId="0"/>
    <xf numFmtId="164" fontId="5" fillId="3" borderId="0" pivotButton="0" quotePrefix="0" xfId="0"/>
    <xf numFmtId="167" fontId="5" fillId="3" borderId="0" pivotButton="0" quotePrefix="0" xfId="0"/>
    <xf numFmtId="168" fontId="5" fillId="3" borderId="0" pivotButton="0" quotePrefix="0" xfId="0"/>
    <xf numFmtId="168" fontId="4" fillId="4" borderId="1" pivotButton="0" quotePrefix="0" xfId="0"/>
    <xf numFmtId="0" fontId="3" fillId="2" borderId="0" applyAlignment="1" pivotButton="0" quotePrefix="0" xfId="0">
      <alignment horizontal="center"/>
    </xf>
    <xf numFmtId="166" fontId="5" fillId="3" borderId="0" pivotButton="0" quotePrefix="0" xfId="0"/>
    <xf numFmtId="10" fontId="5" fillId="3" borderId="0" pivotButton="0" quotePrefix="0" xfId="0"/>
    <xf numFmtId="169" fontId="5" fillId="3" borderId="0" pivotButton="0" quotePrefix="0" xfId="0"/>
    <xf numFmtId="1" fontId="5" fillId="3" borderId="0" pivotButton="0" quotePrefix="0" xfId="0"/>
    <xf numFmtId="1" fontId="4" fillId="0" borderId="0" pivotButton="0" quotePrefix="0" xfId="0"/>
    <xf numFmtId="166" fontId="4" fillId="0" borderId="0" pivotButton="0" quotePrefix="0" xfId="0"/>
    <xf numFmtId="166" fontId="7" fillId="0" borderId="0" pivotButton="0" quotePrefix="0" xfId="0"/>
    <xf numFmtId="168" fontId="4" fillId="0" borderId="0" pivotButton="0" quotePrefix="0" xfId="0"/>
    <xf numFmtId="168" fontId="4" fillId="4" borderId="0" pivotButton="0" quotePrefix="0" xfId="0"/>
    <xf numFmtId="168" fontId="7" fillId="0" borderId="0" pivotButton="0" quotePrefix="0" xfId="0"/>
    <xf numFmtId="168" fontId="7" fillId="4" borderId="0" pivotButton="0" quotePrefix="0" xfId="0"/>
    <xf numFmtId="170" fontId="7" fillId="0" borderId="0" pivotButton="0" quotePrefix="0" xfId="0"/>
    <xf numFmtId="10" fontId="7" fillId="0" borderId="0" pivotButton="0" quotePrefix="0" xfId="0"/>
    <xf numFmtId="169" fontId="4" fillId="0" borderId="0" pivotButton="0" quotePrefix="0" xfId="0"/>
    <xf numFmtId="169" fontId="7" fillId="0" borderId="0" pivotButton="0" quotePrefix="0" xfId="0"/>
    <xf numFmtId="10" fontId="4" fillId="0" borderId="0" pivotButton="0" quotePrefix="0" xfId="0"/>
    <xf numFmtId="0" fontId="2" fillId="0" borderId="0" applyAlignment="1" pivotButton="0" quotePrefix="0" xfId="0">
      <alignment wrapText="1"/>
    </xf>
    <xf numFmtId="0" fontId="6" fillId="4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167" fontId="7" fillId="0" borderId="0" pivotButton="0" quotePrefix="0" xfId="0"/>
    <xf numFmtId="164" fontId="4" fillId="4" borderId="1" pivotButton="0" quotePrefix="0" xfId="0"/>
    <xf numFmtId="166" fontId="4" fillId="4" borderId="0" pivotButton="0" quotePrefix="0" xfId="0"/>
    <xf numFmtId="10" fontId="4" fillId="4" borderId="1" pivotButton="0" quotePrefix="0" xfId="0"/>
    <xf numFmtId="165" fontId="4" fillId="0" borderId="0" pivotButton="0" quotePrefix="0" xfId="0"/>
    <xf numFmtId="165" fontId="4" fillId="4" borderId="1" pivotButton="0" quotePrefix="0" xfId="0"/>
    <xf numFmtId="10" fontId="6" fillId="0" borderId="0" applyAlignment="1" pivotButton="0" quotePrefix="0" xfId="0">
      <alignment horizontal="center"/>
    </xf>
    <xf numFmtId="10" fontId="8" fillId="0" borderId="0" applyAlignment="1" pivotButton="0" quotePrefix="0" xfId="0">
      <alignment horizontal="center"/>
    </xf>
    <xf numFmtId="10" fontId="6" fillId="0" borderId="0" pivotButton="0" quotePrefix="0" xfId="0"/>
    <xf numFmtId="164" fontId="4" fillId="0" borderId="0" pivotButton="0" quotePrefix="0" xfId="0"/>
    <xf numFmtId="10" fontId="8" fillId="0" borderId="0" pivotButton="0" quotePrefix="0" xfId="0"/>
    <xf numFmtId="164" fontId="4" fillId="4" borderId="0" pivotButton="0" quotePrefix="0" xfId="0"/>
    <xf numFmtId="169" fontId="6" fillId="0" borderId="0" applyAlignment="1" pivotButton="0" quotePrefix="0" xfId="0">
      <alignment horizontal="center"/>
    </xf>
    <xf numFmtId="169" fontId="8" fillId="0" borderId="0" applyAlignment="1" pivotButton="0" quotePrefix="0" xfId="0">
      <alignment horizontal="center"/>
    </xf>
    <xf numFmtId="165" fontId="7" fillId="4" borderId="0" pivotButton="0" quotePrefix="0" xfId="0"/>
    <xf numFmtId="166" fontId="7" fillId="4" borderId="0" pivotButton="0" quotePrefix="0" xfId="0"/>
    <xf numFmtId="167" fontId="5" fillId="3" borderId="0" pivotButton="0" quotePrefix="0" xfId="0"/>
    <xf numFmtId="168" fontId="5" fillId="3" borderId="0" pivotButton="0" quotePrefix="0" xfId="0"/>
    <xf numFmtId="168" fontId="4" fillId="4" borderId="1" pivotButton="0" quotePrefix="0" xfId="0"/>
    <xf numFmtId="0" fontId="9" fillId="0" borderId="2" pivotButton="0" quotePrefix="0" xfId="0"/>
    <xf numFmtId="166" fontId="5" fillId="3" borderId="0" pivotButton="0" quotePrefix="0" xfId="0"/>
    <xf numFmtId="169" fontId="5" fillId="3" borderId="0" pivotButton="0" quotePrefix="0" xfId="0"/>
    <xf numFmtId="166" fontId="4" fillId="0" borderId="0" pivotButton="0" quotePrefix="0" xfId="0"/>
    <xf numFmtId="166" fontId="7" fillId="0" borderId="0" pivotButton="0" quotePrefix="0" xfId="0"/>
    <xf numFmtId="168" fontId="4" fillId="0" borderId="0" pivotButton="0" quotePrefix="0" xfId="0"/>
    <xf numFmtId="168" fontId="4" fillId="4" borderId="0" pivotButton="0" quotePrefix="0" xfId="0"/>
    <xf numFmtId="168" fontId="7" fillId="0" borderId="0" pivotButton="0" quotePrefix="0" xfId="0"/>
    <xf numFmtId="168" fontId="7" fillId="4" borderId="0" pivotButton="0" quotePrefix="0" xfId="0"/>
    <xf numFmtId="169" fontId="4" fillId="0" borderId="0" pivotButton="0" quotePrefix="0" xfId="0"/>
    <xf numFmtId="169" fontId="7" fillId="0" borderId="0" pivotButton="0" quotePrefix="0" xfId="0"/>
    <xf numFmtId="167" fontId="7" fillId="0" borderId="0" pivotButton="0" quotePrefix="0" xfId="0"/>
    <xf numFmtId="166" fontId="4" fillId="4" borderId="0" pivotButton="0" quotePrefix="0" xfId="0"/>
    <xf numFmtId="165" fontId="4" fillId="0" borderId="0" pivotButton="0" quotePrefix="0" xfId="0"/>
    <xf numFmtId="165" fontId="4" fillId="4" borderId="1" pivotButton="0" quotePrefix="0" xfId="0"/>
    <xf numFmtId="169" fontId="6" fillId="0" borderId="0" applyAlignment="1" pivotButton="0" quotePrefix="0" xfId="0">
      <alignment horizontal="center"/>
    </xf>
    <xf numFmtId="169" fontId="8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8" customWidth="1" min="3" max="3"/>
    <col width="60" customWidth="1" min="4" max="4"/>
  </cols>
  <sheetData>
    <row r="1"/>
    <row r="2">
      <c r="B2" s="1" t="inlineStr">
        <is>
          <t>NVIDIA Corporation (NVDA) - Discounted Cash Flow Analysis</t>
        </is>
      </c>
    </row>
    <row r="3">
      <c r="B3" s="2" t="inlineStr">
        <is>
          <t>Prepared by: Akul Veauli   |   Date: August 23, 2026</t>
        </is>
      </c>
    </row>
    <row r="4"/>
    <row r="5" ht="75" customHeight="1">
      <c r="B5" s="3" t="inlineStr">
        <is>
          <t>This workbook presents a 7-year explicit-period discounted cash flow (DCF) valuation of NVIDIA Corporation (NASDAQ: NVDA). Given NVDA's hypergrowth AI data-center cycle, the model uses a 7-year explicit fade (vs. the standard 5-year template) with fully flexible, explicit driver rows for revenue growth, EBIT margin, D&amp;A, capex and net working capital, allowing the user to stress-test the pace and shape of normalization from cyclically elevated FY2024-26 margins toward a mature terminal state. Terminal value is cross-checked via both the Gordon Growth and Exit Multiple methods.</t>
        </is>
      </c>
    </row>
    <row r="6"/>
    <row r="7"/>
    <row r="8">
      <c r="B8" s="4" t="inlineStr">
        <is>
          <t>Color Code Legend</t>
        </is>
      </c>
      <c r="C8" s="4" t="n"/>
      <c r="D8" s="4" t="n"/>
    </row>
    <row r="9">
      <c r="B9" s="5" t="inlineStr">
        <is>
          <t>Blue = hardcoded input</t>
        </is>
      </c>
      <c r="C9" s="6" t="n">
        <v>1</v>
      </c>
    </row>
    <row r="10">
      <c r="B10" s="5" t="inlineStr">
        <is>
          <t>Black = formula (same sheet)</t>
        </is>
      </c>
      <c r="C10" s="7">
        <f>C9*2</f>
      </c>
    </row>
    <row r="11">
      <c r="B11" s="5" t="inlineStr">
        <is>
          <t>Green = link from another tab</t>
        </is>
      </c>
      <c r="C11" s="8">
        <f>Assumptions!$D$7</f>
      </c>
    </row>
    <row r="12"/>
    <row r="13">
      <c r="B13" s="4" t="inlineStr">
        <is>
          <t>Table of Contents</t>
        </is>
      </c>
      <c r="C13" s="4" t="n"/>
      <c r="D13" s="4" t="n"/>
    </row>
    <row r="14">
      <c r="B14" s="9" t="inlineStr">
        <is>
          <t>Cover</t>
        </is>
      </c>
      <c r="C14" s="5" t="inlineStr">
        <is>
          <t>This tab - overview, key outputs, legend, sources</t>
        </is>
      </c>
    </row>
    <row r="15">
      <c r="B15" s="9" t="inlineStr">
        <is>
          <t>Assumptions</t>
        </is>
      </c>
      <c r="C15" s="5" t="inlineStr">
        <is>
          <t>All blue inputs: valuation setup, balance sheet, NWC build, 7-yr operating drivers, terminal assumptions, rationale</t>
        </is>
      </c>
    </row>
    <row r="16">
      <c r="B16" s="9" t="inlineStr">
        <is>
          <t>DCF</t>
        </is>
      </c>
      <c r="C16" s="5" t="inlineStr">
        <is>
          <t>Historical &amp; projected operating build, UFCF, terminal value (both methods), EV-to-equity bridge</t>
        </is>
      </c>
    </row>
    <row r="17">
      <c r="B17" s="9" t="inlineStr">
        <is>
          <t>WACC</t>
        </is>
      </c>
      <c r="C17" s="5" t="inlineStr">
        <is>
          <t>CAPM cost of equity, cost of debt, capital-structure weights, WACC</t>
        </is>
      </c>
    </row>
    <row r="18">
      <c r="B18" s="9" t="inlineStr">
        <is>
          <t>Sensitivity</t>
        </is>
      </c>
      <c r="C18" s="5" t="inlineStr">
        <is>
          <t>Two live 7×5 sensitivity grids (WACC×g and WACC×exit multiple)</t>
        </is>
      </c>
    </row>
    <row r="19"/>
    <row r="20">
      <c r="B20" s="4" t="inlineStr">
        <is>
          <t>Key Outputs</t>
        </is>
      </c>
      <c r="C20" s="4" t="n"/>
      <c r="D20" s="4" t="n"/>
    </row>
    <row r="21">
      <c r="B21" s="5" t="inlineStr">
        <is>
          <t>Implied Share Price - Gordon Growth ($)</t>
        </is>
      </c>
      <c r="C21" s="10">
        <f>DCF!$D$65</f>
      </c>
    </row>
    <row r="22">
      <c r="B22" s="5" t="inlineStr">
        <is>
          <t>Implied Share Price - Exit Multiple ($)</t>
        </is>
      </c>
      <c r="C22" s="10">
        <f>DCF!$F$65</f>
      </c>
    </row>
    <row r="23">
      <c r="B23" s="5" t="inlineStr">
        <is>
          <t>Enterprise Value - Gordon ($mm)</t>
        </is>
      </c>
      <c r="C23" s="53">
        <f>DCF!$D$60</f>
      </c>
    </row>
    <row r="24">
      <c r="B24" s="5" t="inlineStr">
        <is>
          <t>Enterprise Value - Exit Multiple ($mm)</t>
        </is>
      </c>
      <c r="C24" s="53">
        <f>DCF!$F$60</f>
      </c>
    </row>
    <row r="25">
      <c r="B25" s="5" t="inlineStr">
        <is>
          <t>Actual Share Price, as of Aug 21, 2026 ($)</t>
        </is>
      </c>
      <c r="C25" s="10">
        <f>DCF!$D$66</f>
      </c>
    </row>
    <row r="26">
      <c r="B26" s="5" t="inlineStr">
        <is>
          <t>Implied Upside / (Downside) - Gordon</t>
        </is>
      </c>
      <c r="C26" s="54">
        <f>DCF!$D$67</f>
      </c>
    </row>
    <row r="27">
      <c r="B27" s="5" t="inlineStr">
        <is>
          <t>Implied Upside / (Downside) - Exit Multiple</t>
        </is>
      </c>
      <c r="C27" s="54">
        <f>DCF!$F$67</f>
      </c>
    </row>
    <row r="28">
      <c r="B28" s="5" t="inlineStr">
        <is>
          <t>WACC</t>
        </is>
      </c>
      <c r="C28" s="13">
        <f>WACC!$D$26</f>
      </c>
    </row>
    <row r="29"/>
    <row r="30">
      <c r="B30" s="4" t="inlineStr">
        <is>
          <t>Key Judgment Calls for Reviewer</t>
        </is>
      </c>
      <c r="C30" s="4" t="n"/>
      <c r="D30" s="4" t="n"/>
    </row>
    <row r="31" ht="45" customHeight="1">
      <c r="B31" s="3" t="inlineStr">
        <is>
          <t>Terminal value methods diverge materially: Gordon (g=3.0%) implies ~6.8x terminal EV/EBITDA; Exit Multiple (18.0x) implies ~9.9% perpetual growth. Read the $97-$179 implied-price range these methods produce as a genuine uncertainty band for a still-abnormal-margin hypergrowth name at a 7-year horizon (see Assumptions row 48, DCF row 54).</t>
        </is>
      </c>
    </row>
    <row r="32" ht="45" customHeight="1">
      <c r="B32" s="3" t="inlineStr">
        <is>
          <t>NWC redefinition: the raw Current-Assets − Current-Liabilities figure from the FY2026 10-K is $93.4B (43.3% of revenue) but double-counts NVDA's large cash balance. The model uses Operating NWC (AR+Inv−AP−Accrued) = $28.7B (13.3% of revenue) instead - see Assumptions row 46.</t>
        </is>
      </c>
    </row>
    <row r="33" ht="45" customHeight="1">
      <c r="B33" s="3" t="inlineStr">
        <is>
          <t>FY2024 D&amp;A ($1.5B, DCF!C14) is a low-confidence estimate, not a directly sourced 10-K figure - see DCF cell note N14.</t>
        </is>
      </c>
    </row>
    <row r="34" ht="45" customHeight="1">
      <c r="B34" s="3" t="inlineStr">
        <is>
          <t>Revenue growth and EBIT margin fade paths (Assumptions rows 30-31) are the single highest-leverage judgment calls in the model; both are explicit, flexible driver rows designed to be stress-tested directly.</t>
        </is>
      </c>
    </row>
    <row r="35"/>
    <row r="36">
      <c r="B36" s="4" t="inlineStr">
        <is>
          <t>Sources</t>
        </is>
      </c>
      <c r="C36" s="4" t="n"/>
      <c r="D36" s="4" t="n"/>
    </row>
    <row r="37">
      <c r="B37" s="2" t="inlineStr">
        <is>
          <t>NVDA FY2024-26 10-Ks (SEC EDGAR); StockAnalysis.com financials; MacroTrends D&amp;A history; FinBox effective tax rate.</t>
        </is>
      </c>
    </row>
    <row r="38">
      <c r="B38" s="2" t="inlineStr">
        <is>
          <t>GuruFocus / Macroaxis beta (Aug 2026); Yahoo Finance / StockAnalysis market price &amp; shares (as of Aug 21, 2026).</t>
        </is>
      </c>
    </row>
    <row r="39">
      <c r="B39" s="2" t="inlineStr">
        <is>
          <t>Simply Wall St FY2027 consensus revenue ($391.3B); Trading Economics / CNBC 10Y UST (4.74%, Aug 21, 2026).</t>
        </is>
      </c>
    </row>
    <row r="40">
      <c r="B40" s="2" t="inlineStr">
        <is>
          <t>Damodaran equity risk premium convention (fallback 5.0% per spec).</t>
        </is>
      </c>
    </row>
  </sheetData>
  <mergeCells count="14">
    <mergeCell ref="B33:D33"/>
    <mergeCell ref="B5:D5"/>
    <mergeCell ref="B37:D37"/>
    <mergeCell ref="C16:D16"/>
    <mergeCell ref="B31:D31"/>
    <mergeCell ref="C15:D15"/>
    <mergeCell ref="B32:D32"/>
    <mergeCell ref="B40:D40"/>
    <mergeCell ref="C14:D14"/>
    <mergeCell ref="C18:D18"/>
    <mergeCell ref="B39:D39"/>
    <mergeCell ref="C17:D17"/>
    <mergeCell ref="B38:D38"/>
    <mergeCell ref="B34:D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3" customWidth="1" min="11" max="11"/>
    <col width="70" customWidth="1" min="12" max="12"/>
    <col width="3" customWidth="1" min="13" max="13"/>
    <col width="70" customWidth="1" min="14" max="14"/>
  </cols>
  <sheetData>
    <row r="1"/>
    <row r="2">
      <c r="B2" s="1" t="inlineStr">
        <is>
          <t>NVIDIA Corporation (NVDA) - DCF Model Assumptions</t>
        </is>
      </c>
    </row>
    <row r="3">
      <c r="B3" s="2" t="inlineStr">
        <is>
          <t>($ in millions, except per-share data and %'s; FYE = last Sunday of January)</t>
        </is>
      </c>
    </row>
    <row r="4"/>
    <row r="5">
      <c r="B5" s="4" t="inlineStr">
        <is>
          <t>1. Valuation Setup</t>
        </is>
      </c>
      <c r="C5" s="4" t="n"/>
      <c r="D5" s="4" t="n"/>
    </row>
    <row r="6">
      <c r="B6" s="5" t="inlineStr">
        <is>
          <t>Valuation date</t>
        </is>
      </c>
      <c r="D6" s="14" t="inlineStr">
        <is>
          <t>Aug 21, 2026</t>
        </is>
      </c>
    </row>
    <row r="7">
      <c r="B7" s="5" t="inlineStr">
        <is>
          <t>Actual share price ($)</t>
        </is>
      </c>
      <c r="D7" s="15" t="n">
        <v>216.17</v>
      </c>
      <c r="N7" s="2" t="inlineStr">
        <is>
          <t>NVDA close, Aug 21, 2026 (StockAnalysis / Yahoo Finance)</t>
        </is>
      </c>
    </row>
    <row r="8">
      <c r="B8" s="5" t="inlineStr">
        <is>
          <t>Diluted shares outstanding (mm)</t>
        </is>
      </c>
      <c r="D8" s="55" t="n">
        <v>24220</v>
      </c>
      <c r="N8" s="2" t="inlineStr">
        <is>
          <t>Latest cover / 10-Q count, Aug 2026 (~ basic; diluted not materially different)</t>
        </is>
      </c>
    </row>
    <row r="9">
      <c r="B9" s="2" t="inlineStr">
        <is>
          <t>Fiscal year-end</t>
        </is>
      </c>
      <c r="D9" s="2" t="inlineStr">
        <is>
          <t>Last Sunday of January; "FY2026" = year ended Jan 25, 2026 (fiscal label runs ~1 yr ahead of calendar)</t>
        </is>
      </c>
    </row>
    <row r="10"/>
    <row r="11">
      <c r="B11" s="4" t="inlineStr">
        <is>
          <t>2. Balance Sheet Items (FY2026 10-K, as of Jan 25, 2026)</t>
        </is>
      </c>
      <c r="C11" s="4" t="n"/>
      <c r="D11" s="4" t="n"/>
    </row>
    <row r="12">
      <c r="B12" s="5" t="inlineStr">
        <is>
          <t>Cash &amp; cash equivalents + short-term investments ($mm)</t>
        </is>
      </c>
      <c r="D12" s="56" t="n">
        <v>62556</v>
      </c>
      <c r="N12" s="2" t="inlineStr">
        <is>
          <t>FY2026 10-K balance sheet (StockAnalysis / SEC EDGAR)</t>
        </is>
      </c>
    </row>
    <row r="13">
      <c r="B13" s="5" t="inlineStr">
        <is>
          <t>Short-term debt ($mm)</t>
        </is>
      </c>
      <c r="D13" s="56" t="n">
        <v>999</v>
      </c>
      <c r="N13" s="2" t="inlineStr">
        <is>
          <t>FY2026 10-K balance sheet (SEC EDGAR): current portion of debt = $999mm (actual reported figure, not a placeholder)</t>
        </is>
      </c>
    </row>
    <row r="14">
      <c r="B14" s="5" t="inlineStr">
        <is>
          <t>Long-term debt &amp; other long-term obligations ($mm)</t>
        </is>
      </c>
      <c r="D14" s="56" t="n">
        <v>10413</v>
      </c>
      <c r="N14" s="2" t="inlineStr">
        <is>
          <t>Plug to reported total debt of $11,412mm (StockAnalysis): FY2026 10-K LT debt $7,469mm + other LT obligations/finance leases ~$2,944mm</t>
        </is>
      </c>
    </row>
    <row r="15">
      <c r="B15" s="9" t="inlineStr">
        <is>
          <t>Total debt ($mm)</t>
        </is>
      </c>
      <c r="D15" s="57">
        <f>D13+D14</f>
      </c>
    </row>
    <row r="16">
      <c r="B16" s="5" t="inlineStr">
        <is>
          <t>Minority interest ($mm)</t>
        </is>
      </c>
      <c r="D16" s="56" t="n">
        <v>0</v>
      </c>
    </row>
    <row r="17">
      <c r="B17" s="5" t="inlineStr">
        <is>
          <t>Non-operating investments ($mm)</t>
        </is>
      </c>
      <c r="D17" s="56" t="n">
        <v>0</v>
      </c>
    </row>
    <row r="18">
      <c r="B18" s="9" t="inlineStr">
        <is>
          <t>Net debt / (net cash) ($mm)</t>
        </is>
      </c>
      <c r="D18" s="57">
        <f>D15-D12</f>
      </c>
      <c r="N18" s="2" t="inlineStr">
        <is>
          <t>Negative = net cash position ($51,144mm net cash per FY2026 10-K, consistent with reported figure)</t>
        </is>
      </c>
    </row>
    <row r="19"/>
    <row r="20">
      <c r="B20" s="4" t="inlineStr">
        <is>
          <t>3. Operating NWC Components - FY2026A Historical Basis</t>
        </is>
      </c>
      <c r="C20" s="4" t="n"/>
      <c r="D20" s="4" t="n"/>
    </row>
    <row r="21">
      <c r="B21" s="5" t="inlineStr">
        <is>
          <t>Accounts receivable ($mm)</t>
        </is>
      </c>
      <c r="D21" s="56" t="n">
        <v>38466</v>
      </c>
      <c r="N21" s="2" t="inlineStr">
        <is>
          <t>FY2026 10-K balance sheet detail (SEC EDGAR / StockAnalysis)</t>
        </is>
      </c>
    </row>
    <row r="22">
      <c r="B22" s="5" t="inlineStr">
        <is>
          <t>Inventory ($mm)</t>
        </is>
      </c>
      <c r="D22" s="56" t="n">
        <v>21403</v>
      </c>
    </row>
    <row r="23">
      <c r="B23" s="5" t="inlineStr">
        <is>
          <t>Accounts payable ($mm)</t>
        </is>
      </c>
      <c r="D23" s="56" t="n">
        <v>9812</v>
      </c>
    </row>
    <row r="24">
      <c r="B24" s="5" t="inlineStr">
        <is>
          <t>Accrued &amp; other current liabilities ($mm)</t>
        </is>
      </c>
      <c r="D24" s="56" t="n">
        <v>21352</v>
      </c>
    </row>
    <row r="25">
      <c r="B25" s="9" t="inlineStr">
        <is>
          <t>Operating NWC balance ($mm) = AR + Inv − AP − Accrued</t>
        </is>
      </c>
      <c r="D25" s="57">
        <f>D21+D22-D23-D24</f>
      </c>
      <c r="N25" s="2" t="inlineStr">
        <is>
          <t>See Note (row 46 below): deliberately excludes cash/investments from current assets, unlike the naive 43.3% figure sometimes quoted.</t>
        </is>
      </c>
    </row>
    <row r="26">
      <c r="B26" s="9" t="inlineStr">
        <is>
          <t>NWC % of FY2026A revenue</t>
        </is>
      </c>
      <c r="D26" s="54">
        <f>D25/DCF!$E$10</f>
      </c>
    </row>
    <row r="27"/>
    <row r="28">
      <c r="B28" s="4" t="inlineStr">
        <is>
          <t>4. Operating Drivers - FY2027E–FY2033E (7-Year Explicit Fade)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B29" s="9" t="inlineStr">
        <is>
          <t>Driver / Fiscal Year</t>
        </is>
      </c>
      <c r="D29" s="19" t="inlineStr">
        <is>
          <t>FY2027E</t>
        </is>
      </c>
      <c r="E29" s="19" t="inlineStr">
        <is>
          <t>FY2028E</t>
        </is>
      </c>
      <c r="F29" s="19" t="inlineStr">
        <is>
          <t>FY2029E</t>
        </is>
      </c>
      <c r="G29" s="19" t="inlineStr">
        <is>
          <t>FY2030E</t>
        </is>
      </c>
      <c r="H29" s="19" t="inlineStr">
        <is>
          <t>FY2031E</t>
        </is>
      </c>
      <c r="I29" s="19" t="inlineStr">
        <is>
          <t>FY2032E</t>
        </is>
      </c>
      <c r="J29" s="19" t="inlineStr">
        <is>
          <t>FY2033E</t>
        </is>
      </c>
      <c r="M29" s="58" t="n"/>
      <c r="N29" s="58" t="n"/>
    </row>
    <row r="30">
      <c r="B30" s="9" t="inlineStr">
        <is>
          <t>Revenue growth % (fade driver)</t>
        </is>
      </c>
      <c r="D30" s="59" t="n">
        <v>0.8122</v>
      </c>
      <c r="E30" s="59" t="n">
        <v>0.3</v>
      </c>
      <c r="F30" s="59" t="n">
        <v>0.18</v>
      </c>
      <c r="G30" s="59" t="n">
        <v>0.14</v>
      </c>
      <c r="H30" s="59" t="n">
        <v>0.12</v>
      </c>
      <c r="I30" s="59" t="n">
        <v>0.11</v>
      </c>
      <c r="J30" s="59" t="n">
        <v>0.1</v>
      </c>
      <c r="M30" s="58" t="n"/>
      <c r="N30" s="58" t="n"/>
    </row>
    <row r="31">
      <c r="B31" s="9" t="inlineStr">
        <is>
          <t>EBIT margin % (fade driver)</t>
        </is>
      </c>
      <c r="D31" s="59" t="n">
        <v>0.6</v>
      </c>
      <c r="E31" s="59" t="n">
        <v>0.58</v>
      </c>
      <c r="F31" s="59" t="n">
        <v>0.55</v>
      </c>
      <c r="G31" s="59" t="n">
        <v>0.52</v>
      </c>
      <c r="H31" s="59" t="n">
        <v>0.5</v>
      </c>
      <c r="I31" s="59" t="n">
        <v>0.48</v>
      </c>
      <c r="J31" s="59" t="n">
        <v>0.46</v>
      </c>
      <c r="M31" s="58" t="n"/>
      <c r="N31" s="58" t="n"/>
    </row>
    <row r="32">
      <c r="B32" s="5" t="inlineStr">
        <is>
          <t>D&amp;A % of revenue</t>
        </is>
      </c>
      <c r="D32" s="59" t="n">
        <v>0.018</v>
      </c>
      <c r="E32" s="59" t="n">
        <v>0.022</v>
      </c>
      <c r="F32" s="59" t="n">
        <v>0.026</v>
      </c>
      <c r="G32" s="59" t="n">
        <v>0.03</v>
      </c>
      <c r="H32" s="59" t="n">
        <v>0.032</v>
      </c>
      <c r="I32" s="59" t="n">
        <v>0.034</v>
      </c>
      <c r="J32" s="59" t="n">
        <v>0.035</v>
      </c>
      <c r="M32" s="58" t="n"/>
      <c r="N32" s="58" t="n"/>
    </row>
    <row r="33">
      <c r="B33" s="5" t="inlineStr">
        <is>
          <t>Capex % of revenue</t>
        </is>
      </c>
      <c r="D33" s="59" t="n">
        <v>0.04</v>
      </c>
      <c r="E33" s="59" t="n">
        <v>0.045</v>
      </c>
      <c r="F33" s="59" t="n">
        <v>0.045</v>
      </c>
      <c r="G33" s="59" t="n">
        <v>0.04</v>
      </c>
      <c r="H33" s="59" t="n">
        <v>0.038</v>
      </c>
      <c r="I33" s="59" t="n">
        <v>0.035</v>
      </c>
      <c r="J33" s="59" t="n">
        <v>0.035</v>
      </c>
      <c r="M33" s="58" t="n"/>
      <c r="N33" s="58" t="n"/>
    </row>
    <row r="34">
      <c r="B34" s="9" t="inlineStr">
        <is>
          <t>NWC % of revenue (fade driver)</t>
        </is>
      </c>
      <c r="D34" s="59" t="n">
        <v>0.14</v>
      </c>
      <c r="E34" s="59" t="n">
        <v>0.145</v>
      </c>
      <c r="F34" s="59" t="n">
        <v>0.14</v>
      </c>
      <c r="G34" s="59" t="n">
        <v>0.13</v>
      </c>
      <c r="H34" s="59" t="n">
        <v>0.12</v>
      </c>
      <c r="I34" s="59" t="n">
        <v>0.11</v>
      </c>
      <c r="J34" s="59" t="n">
        <v>0.11</v>
      </c>
      <c r="L34" s="2" t="inlineStr">
        <is>
          <t>Terminal year (FY2033E) held FLAT at the prior year's 11.0% rather than continuing the fade: the Gordon perpetuity assumes steady state, and a still-falling NWC ratio in the terminal year produces an artificially low (here, zero) terminal working-capital investment, overstating terminal FCF and TV.</t>
        </is>
      </c>
      <c r="M34" s="58" t="n"/>
      <c r="N34" s="58" t="n"/>
    </row>
    <row r="35"/>
    <row r="36">
      <c r="B36" s="5" t="inlineStr">
        <is>
          <t>Tax rate (flat, all projection years)</t>
        </is>
      </c>
      <c r="D36" s="59" t="n">
        <v>0.17</v>
      </c>
      <c r="N36" s="2" t="inlineStr">
        <is>
          <t>FY2024-26 actual rates 11.3% / 13.6% / 16.6% (discrete IRS benefit rolled off); stabilizing near 16-17%.</t>
        </is>
      </c>
    </row>
    <row r="37"/>
    <row r="38">
      <c r="B38" s="4" t="inlineStr">
        <is>
          <t>5. Terminal Assumptions</t>
        </is>
      </c>
      <c r="C38" s="4" t="n"/>
      <c r="D38" s="4" t="n"/>
    </row>
    <row r="39">
      <c r="B39" s="5" t="inlineStr">
        <is>
          <t>Terminal growth rate (g)</t>
        </is>
      </c>
      <c r="D39" s="21" t="n">
        <v>0.03</v>
      </c>
      <c r="N39" s="2" t="inlineStr">
        <is>
          <t>Upper end of spec-allowable range (up to 3.0%) given NVDA's structurally higher secular growth vs. mature mega-caps.</t>
        </is>
      </c>
    </row>
    <row r="40">
      <c r="B40" s="5" t="inlineStr">
        <is>
          <t>Exit EV/EBITDA multiple</t>
        </is>
      </c>
      <c r="D40" s="60" t="n">
        <v>18</v>
      </c>
      <c r="N40" s="2" t="inlineStr">
        <is>
          <t>Approx. large-cap AI-semiconductor multiple; wide sensitivity range applied given valuation dispersion.</t>
        </is>
      </c>
    </row>
    <row r="41">
      <c r="B41" s="2" t="inlineStr">
        <is>
          <t>Discounting convention</t>
        </is>
      </c>
      <c r="D41" s="2" t="inlineStr">
        <is>
          <t>End-of-period discounting throughout (no mid-year convention).</t>
        </is>
      </c>
    </row>
    <row r="42"/>
    <row r="43">
      <c r="B43" s="4" t="inlineStr">
        <is>
          <t>6. Key Assumption Rationale - Margin, Growth &amp; NWC Normalization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 ht="60" customHeight="1">
      <c r="B44" s="3" t="inlineStr">
        <is>
          <t>Revenue: FY2027E growth of 81.2% is anchored to consensus revenue of $391.3B (Simply Wall St, Aug 2026); thereafter growth fades steeply (30% → 18% → 14% → 12% → 11% → 10%) as the AI data-center capex supercycle normalizes and year-over-year comparisons become progressively harder. Growth/margin fade reflects normalization of the AI capex cycle.</t>
        </is>
      </c>
    </row>
    <row r="45" ht="60" customHeight="1">
      <c r="B45" s="3" t="inlineStr">
        <is>
          <t>EBIT margin: FY2024-26 margins of 54.1% / 62.4% / 60.3% reflect a supply-constrained, pricing-power-favorable environment (structural GPU shortage). We fade margins toward the mid-40s% by FY2033E as competition (custom ASICs from hyperscalers, AMD MI-series) and capacity expansion normalize pricing over the cycle. This fade path is a flexible, explicit driver (row 31) - flex it directly to stress bull/bear durability cases.</t>
        </is>
      </c>
    </row>
    <row r="46" ht="60" customHeight="1">
      <c r="B46" s="3" t="inlineStr">
        <is>
          <t>NWC: a naive Current-Assets-minus-Current-Liabilities calculation on the FY2026 10-K produces $93.4B, or 43.3% of revenue - an unusually high ratio flagged by the data explorer. This naive figure is misleading because NVDA's current assets include its large cash &amp; short-term investments balance; since cash is already captured separately in the EV-to-equity bridge (net debt), including it in NWC would double-count cash. We instead define Operating NWC = AR + Inventory − AP − Accrued liabilities (excludes cash &amp; debt), which is $28.7B, or 13.3% of FY2026A revenue - in line with the semiconductor-peer norm of 10-20% cited by the explorer. Only one historical data point (FY2026) is available; FY2024-25 balance-sheet detail was not sourced, so no historical trend can be shown for this ratio (data limitation, flagged).</t>
        </is>
      </c>
    </row>
    <row r="47" ht="60" customHeight="1">
      <c r="B47" s="3" t="inlineStr">
        <is>
          <t>D&amp;A / Capex: FY2024 D&amp;A of ~$1.5B (DCF!C14) is a LOW-CONFIDENCE ESTIMATE - not directly sourced from a detailed FY2024 cash-flow statement line, but extrapolated from the FY2025-26 trend (MacroTrends). Use FY2025-26 as the primary historical reference. Capex intensity is projected to rise (data-center infrastructure buildout, 4.0%→4.5% of revenue) before moderating as growth decelerates; the D&amp;A ratio rises with a lag (1.8%→3.5%) to track the capex ramp converting into depreciation over a ~5-6 year asset life.</t>
        </is>
      </c>
    </row>
    <row r="48" ht="60" customHeight="1">
      <c r="B48" s="3" t="inlineStr">
        <is>
          <t>Terminal value cross-check tension (see DCF rows 39-54): the Gordon Growth method (g=3.0%, WACC~14.6%) implies a terminal EV/EBITDA of only ~6.8x, while the Exit Multiple method (18.0x) implies a terminal growth rate of ~9.9% - far above a credible perpetuity rate. This wide bracket is a genuine, common finding for still-abnormal-margin hypergrowth names at a 7-year horizon and should be read as bounding significant valuation uncertainty, not as a modeling error. See DCF tab note (row 54) and Cover tab 'Key Judgment Calls'.</t>
        </is>
      </c>
    </row>
  </sheetData>
  <mergeCells count="5">
    <mergeCell ref="B46:N46"/>
    <mergeCell ref="B45:N45"/>
    <mergeCell ref="B44:N44"/>
    <mergeCell ref="B48:N48"/>
    <mergeCell ref="B47:N4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3" customWidth="1" min="13" max="13"/>
    <col width="70" customWidth="1" min="14" max="14"/>
  </cols>
  <sheetData>
    <row r="1"/>
    <row r="2">
      <c r="B2" s="1" t="inlineStr">
        <is>
          <t>NVIDIA Corporation (NVDA) - Discounted Cash Flow</t>
        </is>
      </c>
    </row>
    <row r="3">
      <c r="B3" s="2" t="inlineStr">
        <is>
          <t>($ in millions, except per-share data; FYE = last Sunday of January)</t>
        </is>
      </c>
    </row>
    <row r="4">
      <c r="B4" s="2" t="inlineStr">
        <is>
          <t>Fiscal-year labels run ~1 year ahead of the calendar year (e.g. "FY2027E" = year ending Jan 2027).</t>
        </is>
      </c>
    </row>
    <row r="5">
      <c r="B5" s="4" t="inlineStr">
        <is>
          <t>Fiscal Year</t>
        </is>
      </c>
      <c r="C5" s="19" t="inlineStr">
        <is>
          <t>FY2024A (Jan-24)</t>
        </is>
      </c>
      <c r="D5" s="19" t="inlineStr">
        <is>
          <t>FY2025A (Jan-25)</t>
        </is>
      </c>
      <c r="E5" s="19" t="inlineStr">
        <is>
          <t>FY2026A (Jan-26)</t>
        </is>
      </c>
      <c r="F5" s="19" t="inlineStr">
        <is>
          <t>FY2027E (Jan-27)</t>
        </is>
      </c>
      <c r="G5" s="19" t="inlineStr">
        <is>
          <t>FY2028E (Jan-28)</t>
        </is>
      </c>
      <c r="H5" s="19" t="inlineStr">
        <is>
          <t>FY2029E (Jan-29)</t>
        </is>
      </c>
      <c r="I5" s="19" t="inlineStr">
        <is>
          <t>FY2030E (Jan-30)</t>
        </is>
      </c>
      <c r="J5" s="19" t="inlineStr">
        <is>
          <t>FY2031E (Jan-31)</t>
        </is>
      </c>
      <c r="K5" s="19" t="inlineStr">
        <is>
          <t>FY2032E (Jan-32)</t>
        </is>
      </c>
      <c r="L5" s="19" t="inlineStr">
        <is>
          <t>FY2033E (Jan-33)</t>
        </is>
      </c>
    </row>
    <row r="6">
      <c r="B6" s="9" t="inlineStr">
        <is>
          <t>Discount Period</t>
        </is>
      </c>
      <c r="F6" s="23" t="n">
        <v>1</v>
      </c>
      <c r="G6" s="24">
        <f>F6+1</f>
      </c>
      <c r="H6" s="24">
        <f>G6+1</f>
      </c>
      <c r="I6" s="24">
        <f>H6+1</f>
      </c>
      <c r="J6" s="24">
        <f>I6+1</f>
      </c>
      <c r="K6" s="24">
        <f>J6+1</f>
      </c>
      <c r="L6" s="24">
        <f>K6+1</f>
      </c>
    </row>
    <row r="7"/>
    <row r="8">
      <c r="B8" s="4" t="inlineStr">
        <is>
          <t>Historical &amp; Projected Operating Build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B9" s="5" t="inlineStr">
        <is>
          <t>Revenue growth %</t>
        </is>
      </c>
      <c r="D9" s="61">
        <f>D10/C10-1</f>
      </c>
      <c r="E9" s="61">
        <f>E10/D10-1</f>
      </c>
      <c r="F9" s="62">
        <f>Assumptions!D30</f>
      </c>
      <c r="G9" s="62">
        <f>Assumptions!E30</f>
      </c>
      <c r="H9" s="62">
        <f>Assumptions!F30</f>
      </c>
      <c r="I9" s="62">
        <f>Assumptions!G30</f>
      </c>
      <c r="J9" s="62">
        <f>Assumptions!H30</f>
      </c>
      <c r="K9" s="62">
        <f>Assumptions!I30</f>
      </c>
      <c r="L9" s="62">
        <f>Assumptions!J30</f>
      </c>
    </row>
    <row r="10">
      <c r="B10" s="9" t="inlineStr">
        <is>
          <t>Revenue ($mm)</t>
        </is>
      </c>
      <c r="C10" s="56" t="n">
        <v>60922</v>
      </c>
      <c r="D10" s="56" t="n">
        <v>130497</v>
      </c>
      <c r="E10" s="56" t="n">
        <v>215938</v>
      </c>
      <c r="F10" s="63">
        <f>E10*(1+F9)</f>
      </c>
      <c r="G10" s="63">
        <f>F10*(1+G9)</f>
      </c>
      <c r="H10" s="63">
        <f>G10*(1+H9)</f>
      </c>
      <c r="I10" s="63">
        <f>H10*(1+I9)</f>
      </c>
      <c r="J10" s="63">
        <f>I10*(1+J9)</f>
      </c>
      <c r="K10" s="63">
        <f>J10*(1+K9)</f>
      </c>
      <c r="L10" s="63">
        <f>K10*(1+L9)</f>
      </c>
    </row>
    <row r="11">
      <c r="B11" s="5" t="inlineStr">
        <is>
          <t>EBIT margin %</t>
        </is>
      </c>
      <c r="C11" s="61">
        <f>C12/C10</f>
      </c>
      <c r="D11" s="61">
        <f>D12/D10</f>
      </c>
      <c r="E11" s="61">
        <f>E12/E10</f>
      </c>
      <c r="F11" s="62">
        <f>Assumptions!D31</f>
      </c>
      <c r="G11" s="62">
        <f>Assumptions!E31</f>
      </c>
      <c r="H11" s="62">
        <f>Assumptions!F31</f>
      </c>
      <c r="I11" s="62">
        <f>Assumptions!G31</f>
      </c>
      <c r="J11" s="62">
        <f>Assumptions!H31</f>
      </c>
      <c r="K11" s="62">
        <f>Assumptions!I31</f>
      </c>
      <c r="L11" s="62">
        <f>Assumptions!J31</f>
      </c>
    </row>
    <row r="12">
      <c r="B12" s="9" t="inlineStr">
        <is>
          <t>EBIT ($mm)</t>
        </is>
      </c>
      <c r="C12" s="56" t="n">
        <v>32972</v>
      </c>
      <c r="D12" s="56" t="n">
        <v>81453</v>
      </c>
      <c r="E12" s="56" t="n">
        <v>130387</v>
      </c>
      <c r="F12" s="63">
        <f>F10*F11</f>
      </c>
      <c r="G12" s="63">
        <f>G10*G11</f>
      </c>
      <c r="H12" s="63">
        <f>H10*H11</f>
      </c>
      <c r="I12" s="63">
        <f>I10*I11</f>
      </c>
      <c r="J12" s="63">
        <f>J10*J11</f>
      </c>
      <c r="K12" s="63">
        <f>K10*K11</f>
      </c>
      <c r="L12" s="63">
        <f>L10*L11</f>
      </c>
    </row>
    <row r="13">
      <c r="B13" s="5" t="inlineStr">
        <is>
          <t>D&amp;A % of revenue</t>
        </is>
      </c>
      <c r="C13" s="61">
        <f>C14/C10</f>
      </c>
      <c r="D13" s="61">
        <f>D14/D10</f>
      </c>
      <c r="E13" s="61">
        <f>E14/E10</f>
      </c>
      <c r="F13" s="62">
        <f>Assumptions!D32</f>
      </c>
      <c r="G13" s="62">
        <f>Assumptions!E32</f>
      </c>
      <c r="H13" s="62">
        <f>Assumptions!F32</f>
      </c>
      <c r="I13" s="62">
        <f>Assumptions!G32</f>
      </c>
      <c r="J13" s="62">
        <f>Assumptions!H32</f>
      </c>
      <c r="K13" s="62">
        <f>Assumptions!I32</f>
      </c>
      <c r="L13" s="62">
        <f>Assumptions!J32</f>
      </c>
    </row>
    <row r="14">
      <c r="B14" s="5" t="inlineStr">
        <is>
          <t>D&amp;A ($mm)</t>
        </is>
      </c>
      <c r="C14" s="56" t="n">
        <v>1511</v>
      </c>
      <c r="D14" s="56" t="n">
        <v>1864</v>
      </c>
      <c r="E14" s="56" t="n">
        <v>2843</v>
      </c>
      <c r="F14" s="63">
        <f>F10*F13</f>
      </c>
      <c r="G14" s="63">
        <f>G10*G13</f>
      </c>
      <c r="H14" s="63">
        <f>H10*H13</f>
      </c>
      <c r="I14" s="63">
        <f>I10*I13</f>
      </c>
      <c r="J14" s="63">
        <f>J10*J13</f>
      </c>
      <c r="K14" s="63">
        <f>K10*K13</f>
      </c>
      <c r="L14" s="63">
        <f>L10*L13</f>
      </c>
      <c r="N14" s="2" t="inlineStr">
        <is>
          <t>LOW-CONFIDENCE ESTIMATE: not directly sourced from FY2024 CF statement; extrapolated from FY2025-26 trend (MacroTrends). Use FY2025-26 as primary reference.</t>
        </is>
      </c>
    </row>
    <row r="15">
      <c r="B15" s="9" t="inlineStr">
        <is>
          <t>EBITDA ($mm)</t>
        </is>
      </c>
      <c r="C15" s="64">
        <f>C12+C14</f>
      </c>
      <c r="D15" s="64">
        <f>D12+D14</f>
      </c>
      <c r="E15" s="64">
        <f>E12+E14</f>
      </c>
      <c r="F15" s="64">
        <f>F12+F14</f>
      </c>
      <c r="G15" s="64">
        <f>G12+G14</f>
      </c>
      <c r="H15" s="64">
        <f>H12+H14</f>
      </c>
      <c r="I15" s="64">
        <f>I12+I14</f>
      </c>
      <c r="J15" s="64">
        <f>J12+J14</f>
      </c>
      <c r="K15" s="64">
        <f>K12+K14</f>
      </c>
      <c r="L15" s="64">
        <f>L12+L14</f>
      </c>
    </row>
    <row r="16">
      <c r="B16" s="5" t="inlineStr">
        <is>
          <t>Capex % of revenue</t>
        </is>
      </c>
      <c r="C16" s="61">
        <f>C17/C10</f>
      </c>
      <c r="D16" s="61">
        <f>D17/D10</f>
      </c>
      <c r="E16" s="61">
        <f>E17/E10</f>
      </c>
      <c r="F16" s="62">
        <f>Assumptions!D33</f>
      </c>
      <c r="G16" s="62">
        <f>Assumptions!E33</f>
      </c>
      <c r="H16" s="62">
        <f>Assumptions!F33</f>
      </c>
      <c r="I16" s="62">
        <f>Assumptions!G33</f>
      </c>
      <c r="J16" s="62">
        <f>Assumptions!H33</f>
      </c>
      <c r="K16" s="62">
        <f>Assumptions!I33</f>
      </c>
      <c r="L16" s="62">
        <f>Assumptions!J33</f>
      </c>
    </row>
    <row r="17">
      <c r="B17" s="5" t="inlineStr">
        <is>
          <t>Less: Capex ($mm)</t>
        </is>
      </c>
      <c r="C17" s="56" t="n">
        <v>1069</v>
      </c>
      <c r="D17" s="56" t="n">
        <v>3236</v>
      </c>
      <c r="E17" s="56" t="n">
        <v>6042</v>
      </c>
      <c r="F17" s="63">
        <f>F10*F16</f>
      </c>
      <c r="G17" s="63">
        <f>G10*G16</f>
      </c>
      <c r="H17" s="63">
        <f>H10*H16</f>
      </c>
      <c r="I17" s="63">
        <f>I10*I16</f>
      </c>
      <c r="J17" s="63">
        <f>J10*J16</f>
      </c>
      <c r="K17" s="63">
        <f>K10*K16</f>
      </c>
      <c r="L17" s="63">
        <f>L10*L16</f>
      </c>
    </row>
    <row r="18">
      <c r="B18" s="4" t="inlineStr">
        <is>
          <t>Operating Net Working Capital (excl. cash &amp; debt - see Assumptions note 46)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B19" s="5" t="inlineStr">
        <is>
          <t>Accounts receivable ($mm)</t>
        </is>
      </c>
      <c r="C19" s="2" t="inlineStr">
        <is>
          <t>n/a</t>
        </is>
      </c>
      <c r="D19" s="2" t="inlineStr">
        <is>
          <t>n/a</t>
        </is>
      </c>
      <c r="E19" s="65">
        <f>Assumptions!$D$21</f>
      </c>
    </row>
    <row r="20">
      <c r="B20" s="5" t="inlineStr">
        <is>
          <t>Inventory ($mm)</t>
        </is>
      </c>
      <c r="C20" s="2" t="inlineStr">
        <is>
          <t>n/a</t>
        </is>
      </c>
      <c r="D20" s="2" t="inlineStr">
        <is>
          <t>n/a</t>
        </is>
      </c>
      <c r="E20" s="65">
        <f>Assumptions!$D$22</f>
      </c>
    </row>
    <row r="21">
      <c r="B21" s="5" t="inlineStr">
        <is>
          <t>Less: Accounts payable ($mm)</t>
        </is>
      </c>
      <c r="C21" s="2" t="inlineStr">
        <is>
          <t>n/a</t>
        </is>
      </c>
      <c r="D21" s="2" t="inlineStr">
        <is>
          <t>n/a</t>
        </is>
      </c>
      <c r="E21" s="65">
        <f>Assumptions!$D$23</f>
      </c>
    </row>
    <row r="22">
      <c r="B22" s="5" t="inlineStr">
        <is>
          <t>Less: Accrued &amp; other current liabilities ($mm)</t>
        </is>
      </c>
      <c r="C22" s="2" t="inlineStr">
        <is>
          <t>n/a</t>
        </is>
      </c>
      <c r="D22" s="2" t="inlineStr">
        <is>
          <t>n/a</t>
        </is>
      </c>
      <c r="E22" s="65">
        <f>Assumptions!$D$24</f>
      </c>
    </row>
    <row r="23">
      <c r="B23" s="5" t="inlineStr">
        <is>
          <t>NWC % of revenue</t>
        </is>
      </c>
      <c r="C23" s="2" t="inlineStr">
        <is>
          <t>n/a</t>
        </is>
      </c>
      <c r="D23" s="2" t="inlineStr">
        <is>
          <t>n/a</t>
        </is>
      </c>
      <c r="E23" s="62">
        <f>Assumptions!$D$26</f>
      </c>
      <c r="F23" s="62">
        <f>Assumptions!D34</f>
      </c>
      <c r="G23" s="62">
        <f>Assumptions!E34</f>
      </c>
      <c r="H23" s="62">
        <f>Assumptions!F34</f>
      </c>
      <c r="I23" s="62">
        <f>Assumptions!G34</f>
      </c>
      <c r="J23" s="62">
        <f>Assumptions!H34</f>
      </c>
      <c r="K23" s="62">
        <f>Assumptions!I34</f>
      </c>
      <c r="L23" s="62">
        <f>Assumptions!J34</f>
      </c>
    </row>
    <row r="24">
      <c r="B24" s="9" t="inlineStr">
        <is>
          <t>Operating NWC balance ($mm)</t>
        </is>
      </c>
      <c r="C24" s="2" t="inlineStr">
        <is>
          <t>n/a</t>
        </is>
      </c>
      <c r="D24" s="2" t="inlineStr">
        <is>
          <t>n/a</t>
        </is>
      </c>
      <c r="E24" s="66">
        <f>Assumptions!$D$25</f>
      </c>
      <c r="F24" s="64">
        <f>F10*F23</f>
      </c>
      <c r="G24" s="64">
        <f>G10*G23</f>
      </c>
      <c r="H24" s="64">
        <f>H10*H23</f>
      </c>
      <c r="I24" s="64">
        <f>I10*I23</f>
      </c>
      <c r="J24" s="64">
        <f>J10*J23</f>
      </c>
      <c r="K24" s="64">
        <f>K10*K23</f>
      </c>
      <c r="L24" s="64">
        <f>L10*L23</f>
      </c>
    </row>
    <row r="25">
      <c r="B25" s="5" t="inlineStr">
        <is>
          <t>(Increase) / decrease in NWC - Δ NWC ($mm)</t>
        </is>
      </c>
      <c r="F25" s="63">
        <f>F24-E24</f>
      </c>
      <c r="G25" s="63">
        <f>G24-F24</f>
      </c>
      <c r="H25" s="63">
        <f>H24-G24</f>
      </c>
      <c r="I25" s="63">
        <f>I24-H24</f>
      </c>
      <c r="J25" s="63">
        <f>J24-I24</f>
      </c>
      <c r="K25" s="63">
        <f>K24-J24</f>
      </c>
      <c r="L25" s="63">
        <f>L24-K24</f>
      </c>
    </row>
    <row r="26"/>
    <row r="27">
      <c r="B27" s="4" t="inlineStr">
        <is>
          <t>Unlevered Free Cash Flow Build (FY2027E–FY2033E)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B28" s="5" t="inlineStr">
        <is>
          <t>EBIT ($mm)</t>
        </is>
      </c>
      <c r="F28" s="63">
        <f>F12</f>
      </c>
      <c r="G28" s="63">
        <f>G12</f>
      </c>
      <c r="H28" s="63">
        <f>H12</f>
      </c>
      <c r="I28" s="63">
        <f>I12</f>
      </c>
      <c r="J28" s="63">
        <f>J12</f>
      </c>
      <c r="K28" s="63">
        <f>K12</f>
      </c>
      <c r="L28" s="63">
        <f>L12</f>
      </c>
    </row>
    <row r="29">
      <c r="B29" s="5" t="inlineStr">
        <is>
          <t>Less: Cash taxes</t>
        </is>
      </c>
      <c r="F29" s="65">
        <f>F28*Assumptions!$D$36</f>
      </c>
      <c r="G29" s="65">
        <f>G28*Assumptions!$D$36</f>
      </c>
      <c r="H29" s="65">
        <f>H28*Assumptions!$D$36</f>
      </c>
      <c r="I29" s="65">
        <f>I28*Assumptions!$D$36</f>
      </c>
      <c r="J29" s="65">
        <f>J28*Assumptions!$D$36</f>
      </c>
      <c r="K29" s="65">
        <f>K28*Assumptions!$D$36</f>
      </c>
      <c r="L29" s="65">
        <f>L28*Assumptions!$D$36</f>
      </c>
    </row>
    <row r="30">
      <c r="B30" s="9" t="inlineStr">
        <is>
          <t>NOPAT</t>
        </is>
      </c>
      <c r="F30" s="63">
        <f>F28-F29</f>
      </c>
      <c r="G30" s="63">
        <f>G28-G29</f>
      </c>
      <c r="H30" s="63">
        <f>H28-H29</f>
      </c>
      <c r="I30" s="63">
        <f>I28-I29</f>
      </c>
      <c r="J30" s="63">
        <f>J28-J29</f>
      </c>
      <c r="K30" s="63">
        <f>K28-K29</f>
      </c>
      <c r="L30" s="63">
        <f>L28-L29</f>
      </c>
    </row>
    <row r="31">
      <c r="B31" s="5" t="inlineStr">
        <is>
          <t>Plus: D&amp;A</t>
        </is>
      </c>
      <c r="F31" s="63">
        <f>F14</f>
      </c>
      <c r="G31" s="63">
        <f>G14</f>
      </c>
      <c r="H31" s="63">
        <f>H14</f>
      </c>
      <c r="I31" s="63">
        <f>I14</f>
      </c>
      <c r="J31" s="63">
        <f>J14</f>
      </c>
      <c r="K31" s="63">
        <f>K14</f>
      </c>
      <c r="L31" s="63">
        <f>L14</f>
      </c>
    </row>
    <row r="32">
      <c r="B32" s="5" t="inlineStr">
        <is>
          <t>Less: Capex</t>
        </is>
      </c>
      <c r="F32" s="63">
        <f>F17</f>
      </c>
      <c r="G32" s="63">
        <f>G17</f>
      </c>
      <c r="H32" s="63">
        <f>H17</f>
      </c>
      <c r="I32" s="63">
        <f>I17</f>
      </c>
      <c r="J32" s="63">
        <f>J17</f>
      </c>
      <c r="K32" s="63">
        <f>K17</f>
      </c>
      <c r="L32" s="63">
        <f>L17</f>
      </c>
    </row>
    <row r="33">
      <c r="B33" s="5" t="inlineStr">
        <is>
          <t>Less: Δ NWC</t>
        </is>
      </c>
      <c r="F33" s="63">
        <f>F25</f>
      </c>
      <c r="G33" s="63">
        <f>G25</f>
      </c>
      <c r="H33" s="63">
        <f>H25</f>
      </c>
      <c r="I33" s="63">
        <f>I25</f>
      </c>
      <c r="J33" s="63">
        <f>J25</f>
      </c>
      <c r="K33" s="63">
        <f>K25</f>
      </c>
      <c r="L33" s="63">
        <f>L25</f>
      </c>
    </row>
    <row r="34">
      <c r="B34" s="9" t="inlineStr">
        <is>
          <t>Unlevered Free Cash Flow ($mm)</t>
        </is>
      </c>
      <c r="F34" s="57">
        <f>F30+F31-F32-F33</f>
      </c>
      <c r="G34" s="57">
        <f>G30+G31-G32-G33</f>
      </c>
      <c r="H34" s="57">
        <f>H30+H31-H32-H33</f>
      </c>
      <c r="I34" s="57">
        <f>I30+I31-I32-I33</f>
      </c>
      <c r="J34" s="57">
        <f>J30+J31-J32-J33</f>
      </c>
      <c r="K34" s="57">
        <f>K30+K31-K32-K33</f>
      </c>
      <c r="L34" s="57">
        <f>L30+L31-L32-L33</f>
      </c>
    </row>
    <row r="35">
      <c r="B35" s="5" t="inlineStr">
        <is>
          <t>PV factor @ WACC</t>
        </is>
      </c>
      <c r="F35" s="31">
        <f>1/(1+WACC!$D$26)^F6</f>
      </c>
      <c r="G35" s="31">
        <f>1/(1+WACC!$D$26)^G6</f>
      </c>
      <c r="H35" s="31">
        <f>1/(1+WACC!$D$26)^H6</f>
      </c>
      <c r="I35" s="31">
        <f>1/(1+WACC!$D$26)^I6</f>
      </c>
      <c r="J35" s="31">
        <f>1/(1+WACC!$D$26)^J6</f>
      </c>
      <c r="K35" s="31">
        <f>1/(1+WACC!$D$26)^K6</f>
      </c>
      <c r="L35" s="31">
        <f>1/(1+WACC!$D$26)^L6</f>
      </c>
    </row>
    <row r="36">
      <c r="B36" s="5" t="inlineStr">
        <is>
          <t>PV of Unlevered FCF ($mm)</t>
        </is>
      </c>
      <c r="F36" s="63">
        <f>F34*F35</f>
      </c>
      <c r="G36" s="63">
        <f>G34*G35</f>
      </c>
      <c r="H36" s="63">
        <f>H34*H35</f>
      </c>
      <c r="I36" s="63">
        <f>I34*I35</f>
      </c>
      <c r="J36" s="63">
        <f>J34*J35</f>
      </c>
      <c r="K36" s="63">
        <f>K34*K35</f>
      </c>
      <c r="L36" s="63">
        <f>L34*L35</f>
      </c>
    </row>
    <row r="37">
      <c r="B37" s="9" t="inlineStr">
        <is>
          <t>Cumulative PV of Explicit FCF (FY2027E–FY2033E)</t>
        </is>
      </c>
      <c r="D37" s="57">
        <f>SUM(F36:L36)</f>
      </c>
    </row>
    <row r="38"/>
    <row r="39">
      <c r="B39" s="4" t="inlineStr">
        <is>
          <t>Terminal Value - Gordon Growth Method</t>
        </is>
      </c>
      <c r="C39" s="4" t="n"/>
      <c r="D39" s="4" t="n"/>
    </row>
    <row r="40">
      <c r="B40" s="5" t="inlineStr">
        <is>
          <t>Terminal-year Unlevered FCF ($mm)</t>
        </is>
      </c>
      <c r="D40" s="63">
        <f>L34</f>
      </c>
    </row>
    <row r="41">
      <c r="B41" s="5" t="inlineStr">
        <is>
          <t>Terminal growth rate (g)</t>
        </is>
      </c>
      <c r="D41" s="32">
        <f>Assumptions!$D$39</f>
      </c>
    </row>
    <row r="42">
      <c r="B42" s="5" t="inlineStr">
        <is>
          <t>WACC</t>
        </is>
      </c>
      <c r="D42" s="32">
        <f>WACC!$D$26</f>
      </c>
    </row>
    <row r="43">
      <c r="B43" s="9" t="inlineStr">
        <is>
          <t>Terminal Value (Gordon) ($mm)</t>
        </is>
      </c>
      <c r="D43" s="64">
        <f>D40*(1+D41)/(D42-D41)</f>
      </c>
    </row>
    <row r="44">
      <c r="B44" s="9" t="inlineStr">
        <is>
          <t>PV of Terminal Value (Gordon) ($mm)</t>
        </is>
      </c>
      <c r="D44" s="64">
        <f>D43/(1+D42)^L6</f>
      </c>
    </row>
    <row r="45">
      <c r="B45" s="5" t="inlineStr">
        <is>
          <t>Implied exit EV/EBITDA (cross-check)</t>
        </is>
      </c>
      <c r="D45" s="67">
        <f>D43/L15</f>
      </c>
    </row>
    <row r="46"/>
    <row r="47">
      <c r="B47" s="4" t="inlineStr">
        <is>
          <t>Terminal Value - Exit Multiple Method</t>
        </is>
      </c>
      <c r="C47" s="4" t="n"/>
      <c r="D47" s="4" t="n"/>
    </row>
    <row r="48">
      <c r="B48" s="5" t="inlineStr">
        <is>
          <t>Terminal-year EBITDA ($mm)</t>
        </is>
      </c>
      <c r="D48" s="63">
        <f>L15</f>
      </c>
    </row>
    <row r="49">
      <c r="B49" s="5" t="inlineStr">
        <is>
          <t>Exit EV/EBITDA multiple</t>
        </is>
      </c>
      <c r="D49" s="68">
        <f>Assumptions!$D$40</f>
      </c>
    </row>
    <row r="50">
      <c r="B50" s="9" t="inlineStr">
        <is>
          <t>Terminal Value (Exit Multiple) ($mm)</t>
        </is>
      </c>
      <c r="D50" s="64">
        <f>D48*D49</f>
      </c>
    </row>
    <row r="51">
      <c r="B51" s="9" t="inlineStr">
        <is>
          <t>PV of Terminal Value (Exit Multiple) ($mm)</t>
        </is>
      </c>
      <c r="D51" s="64">
        <f>D50/(1+D42)^L6</f>
      </c>
    </row>
    <row r="52">
      <c r="B52" s="5" t="inlineStr">
        <is>
          <t>Implied terminal growth rate (cross-check)</t>
        </is>
      </c>
      <c r="D52" s="35">
        <f>(D42*D50-D40)/(D50+D40)</f>
      </c>
    </row>
    <row r="53"/>
    <row r="54" ht="30" customHeight="1">
      <c r="B54" s="36" t="inlineStr">
        <is>
          <t>Cross-check note: the two implied stats above should bracket sensibly around the assumed g (3.0%) and multiple (18.0x). See Assumptions row 48 for discussion of the wide bracket observed for this name.</t>
        </is>
      </c>
    </row>
    <row r="55"/>
    <row r="56">
      <c r="B56" s="4" t="inlineStr">
        <is>
          <t>Enterprise Value → Equity Value Bridge</t>
        </is>
      </c>
      <c r="C56" s="4" t="n"/>
      <c r="D56" s="4" t="n"/>
      <c r="E56" s="4" t="n"/>
      <c r="F56" s="4" t="n"/>
    </row>
    <row r="57">
      <c r="D57" s="37" t="inlineStr">
        <is>
          <t>Gordon Growth</t>
        </is>
      </c>
      <c r="F57" s="38" t="inlineStr">
        <is>
          <t>Exit Multiple</t>
        </is>
      </c>
    </row>
    <row r="58">
      <c r="B58" s="5" t="inlineStr">
        <is>
          <t>Sum of PV of Explicit FCF ($mm)</t>
        </is>
      </c>
      <c r="D58" s="63">
        <f>$D$37</f>
      </c>
      <c r="F58" s="63">
        <f>$D$37</f>
      </c>
    </row>
    <row r="59">
      <c r="B59" s="5" t="inlineStr">
        <is>
          <t>PV of Terminal Value ($mm)</t>
        </is>
      </c>
      <c r="D59" s="63">
        <f>D44</f>
      </c>
      <c r="F59" s="63">
        <f>D51</f>
      </c>
    </row>
    <row r="60">
      <c r="B60" s="9" t="inlineStr">
        <is>
          <t>Enterprise Value ($mm)</t>
        </is>
      </c>
      <c r="D60" s="57">
        <f>D58+D59</f>
      </c>
      <c r="F60" s="57">
        <f>F58+F59</f>
      </c>
    </row>
    <row r="61">
      <c r="B61" s="5" t="inlineStr">
        <is>
          <t>Less: Net Debt / (Net Cash) ($mm)</t>
        </is>
      </c>
      <c r="D61" s="65">
        <f>Assumptions!$D$18</f>
      </c>
      <c r="F61" s="65">
        <f>Assumptions!$D$18</f>
      </c>
    </row>
    <row r="62">
      <c r="B62" s="5" t="inlineStr">
        <is>
          <t>Plus: Non-operating investments ($mm)</t>
        </is>
      </c>
      <c r="D62" s="65">
        <f>Assumptions!$D$17</f>
      </c>
      <c r="F62" s="65">
        <f>Assumptions!$D$17</f>
      </c>
    </row>
    <row r="63">
      <c r="B63" s="9" t="inlineStr">
        <is>
          <t>Equity Value ($mm)</t>
        </is>
      </c>
      <c r="D63" s="57">
        <f>D60-D61+D62</f>
      </c>
      <c r="F63" s="57">
        <f>F60-F61+F62</f>
      </c>
    </row>
    <row r="64">
      <c r="B64" s="5" t="inlineStr">
        <is>
          <t>Diluted Shares (mm)</t>
        </is>
      </c>
      <c r="D64" s="69">
        <f>Assumptions!$D$8</f>
      </c>
      <c r="F64" s="69">
        <f>Assumptions!$D$8</f>
      </c>
    </row>
    <row r="65">
      <c r="B65" s="9" t="inlineStr">
        <is>
          <t>Implied Share Price ($)</t>
        </is>
      </c>
      <c r="D65" s="40">
        <f>D63/D64</f>
      </c>
      <c r="F65" s="40">
        <f>F63/F64</f>
      </c>
    </row>
    <row r="66">
      <c r="B66" s="5" t="inlineStr">
        <is>
          <t>Actual Share Price ($)</t>
        </is>
      </c>
      <c r="D66" s="8">
        <f>Assumptions!$D$7</f>
      </c>
      <c r="F66" s="8">
        <f>Assumptions!$D$7</f>
      </c>
    </row>
    <row r="67">
      <c r="B67" s="9" t="inlineStr">
        <is>
          <t>Implied Upside / (Downside) %</t>
        </is>
      </c>
      <c r="D67" s="70">
        <f>D65/D66-1</f>
      </c>
      <c r="F67" s="70">
        <f>F65/F66-1</f>
      </c>
    </row>
  </sheetData>
  <mergeCells count="1">
    <mergeCell ref="B54:N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3" customWidth="1" min="3" max="3"/>
    <col width="16" customWidth="1" min="4" max="4"/>
    <col width="3" customWidth="1" min="5" max="5"/>
    <col width="70" customWidth="1" min="6" max="6"/>
  </cols>
  <sheetData>
    <row r="1"/>
    <row r="2">
      <c r="B2" s="1" t="inlineStr">
        <is>
          <t>NVIDIA Corporation (NVDA) - WACC Build</t>
        </is>
      </c>
    </row>
    <row r="3">
      <c r="B3" s="2" t="inlineStr">
        <is>
          <t>(CAPM cost of equity; rates in %)</t>
        </is>
      </c>
    </row>
    <row r="4"/>
    <row r="5">
      <c r="B5" s="4" t="inlineStr">
        <is>
          <t>Cost of Equity (CAPM)</t>
        </is>
      </c>
      <c r="C5" s="4" t="n"/>
      <c r="D5" s="4" t="n"/>
    </row>
    <row r="6">
      <c r="B6" s="5" t="inlineStr">
        <is>
          <t>Risk-free rate (10Y UST)</t>
        </is>
      </c>
      <c r="D6" s="21" t="n">
        <v>0.0474</v>
      </c>
      <c r="F6" s="2" t="inlineStr">
        <is>
          <t>As of Aug 21, 2026 (Trading Economics / CNBC)</t>
        </is>
      </c>
    </row>
    <row r="7">
      <c r="B7" s="5" t="inlineStr">
        <is>
          <t>Levered beta</t>
        </is>
      </c>
      <c r="D7" s="6" t="n">
        <v>1.98</v>
      </c>
      <c r="F7" s="2" t="inlineStr">
        <is>
          <t>Current 5Y-monthly beta, Aug 2026 (GuruFocus 1.98 / Macroaxis 2.21); spec fallback 1.70 if unavailable</t>
        </is>
      </c>
    </row>
    <row r="8">
      <c r="B8" s="5" t="inlineStr">
        <is>
          <t>Equity risk premium</t>
        </is>
      </c>
      <c r="D8" s="21" t="n">
        <v>0.05</v>
      </c>
      <c r="F8" s="2" t="inlineStr">
        <is>
          <t>Damodaran / Duff &amp; Phelps convention; spec fallback 5.0%</t>
        </is>
      </c>
    </row>
    <row r="9">
      <c r="B9" s="9" t="inlineStr">
        <is>
          <t>Cost of equity = rf + β × ERP</t>
        </is>
      </c>
      <c r="D9" s="42">
        <f>D6+D7*D8</f>
      </c>
    </row>
    <row r="10"/>
    <row r="11">
      <c r="B11" s="4" t="inlineStr">
        <is>
          <t>Cost of Debt</t>
        </is>
      </c>
      <c r="C11" s="4" t="n"/>
      <c r="D11" s="4" t="n"/>
    </row>
    <row r="12">
      <c r="B12" s="5" t="inlineStr">
        <is>
          <t>Pre-tax cost of debt</t>
        </is>
      </c>
      <c r="D12" s="21" t="n">
        <v>0.055</v>
      </c>
      <c r="F12" s="2" t="inlineStr">
        <is>
          <t>Estimated single-A credit spread over 10Y UST; NVDA carries minimal debt ($11.4B) with no actively traded benchmark bond used for a precise YTM.</t>
        </is>
      </c>
    </row>
    <row r="13">
      <c r="B13" s="5" t="inlineStr">
        <is>
          <t>Tax rate</t>
        </is>
      </c>
      <c r="D13" s="62">
        <f>Assumptions!$D$36</f>
      </c>
    </row>
    <row r="14">
      <c r="B14" s="9" t="inlineStr">
        <is>
          <t>After-tax cost of debt</t>
        </is>
      </c>
      <c r="D14" s="42">
        <f>D12*(1-D13)</f>
      </c>
    </row>
    <row r="15"/>
    <row r="16">
      <c r="B16" s="4" t="inlineStr">
        <is>
          <t>Capital Structure Weights</t>
        </is>
      </c>
      <c r="C16" s="4" t="n"/>
      <c r="D16" s="4" t="n"/>
    </row>
    <row r="17">
      <c r="B17" s="5" t="inlineStr">
        <is>
          <t>Share price ($)</t>
        </is>
      </c>
      <c r="D17" s="8">
        <f>Assumptions!$D$7</f>
      </c>
    </row>
    <row r="18">
      <c r="B18" s="5" t="inlineStr">
        <is>
          <t>Diluted shares (mm)</t>
        </is>
      </c>
      <c r="D18" s="69">
        <f>Assumptions!$D$8</f>
      </c>
    </row>
    <row r="19">
      <c r="B19" s="5" t="inlineStr">
        <is>
          <t>Market capitalization ($mm)</t>
        </is>
      </c>
      <c r="D19" s="71">
        <f>D17*D18</f>
      </c>
    </row>
    <row r="20">
      <c r="B20" s="5" t="inlineStr">
        <is>
          <t>Total debt ($mm)</t>
        </is>
      </c>
      <c r="D20" s="65">
        <f>Assumptions!$D$15</f>
      </c>
    </row>
    <row r="21">
      <c r="B21" s="9" t="inlineStr">
        <is>
          <t>Total capital ($mm)</t>
        </is>
      </c>
      <c r="D21" s="72">
        <f>D19+D20</f>
      </c>
    </row>
    <row r="22">
      <c r="B22" s="5" t="inlineStr">
        <is>
          <t>E / (D+E)</t>
        </is>
      </c>
      <c r="D22" s="61">
        <f>D19/D21</f>
      </c>
    </row>
    <row r="23">
      <c r="B23" s="5" t="inlineStr">
        <is>
          <t>D / (D+E)</t>
        </is>
      </c>
      <c r="D23" s="61">
        <f>D20/D21</f>
      </c>
    </row>
    <row r="24"/>
    <row r="25">
      <c r="B25" s="4" t="inlineStr">
        <is>
          <t>WACC</t>
        </is>
      </c>
      <c r="C25" s="4" t="n"/>
      <c r="D25" s="4" t="n"/>
    </row>
    <row r="26">
      <c r="B26" s="9" t="inlineStr">
        <is>
          <t>WACC = E/(D+E)×Ke + D/(D+E)×Kd(after-tax)</t>
        </is>
      </c>
      <c r="D26" s="42">
        <f>D22*D9+D23*D14</f>
      </c>
    </row>
    <row r="27">
      <c r="B27" s="2" t="inlineStr">
        <is>
          <t>WACC sanity note</t>
        </is>
      </c>
      <c r="D27" s="36" t="inlineStr">
        <is>
          <t>NVDA is ~99.8% equity-financed; WACC is effectively the CAPM cost of equity given negligible net leverage.</t>
        </is>
      </c>
    </row>
  </sheetData>
  <mergeCells count="1">
    <mergeCell ref="D27:F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pane xSplit="3" ySplit="7" topLeftCell="D8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>
      <c r="B2" s="1" t="inlineStr">
        <is>
          <t>NVIDIA Corporation (NVDA) - DCF Sensitivity Grids</t>
        </is>
      </c>
    </row>
    <row r="3">
      <c r="B3" s="2" t="inlineStr">
        <is>
          <t>(Algebraic re-derivation per cell; fully live; end-of-period discounting; $ = implied share price)</t>
        </is>
      </c>
    </row>
    <row r="4"/>
    <row r="5">
      <c r="B5" s="4" t="inlineStr">
        <is>
          <t>Grid A - WACC (rows) × Terminal Growth g (cols) → Implied Share Price (Gordon Growth)</t>
        </is>
      </c>
      <c r="C5" s="4" t="n"/>
      <c r="D5" s="4" t="n"/>
      <c r="E5" s="4" t="n"/>
      <c r="F5" s="4" t="n"/>
      <c r="G5" s="4" t="n"/>
      <c r="H5" s="4" t="n"/>
    </row>
    <row r="6" ht="28" customHeight="1">
      <c r="B6" s="36" t="inlineStr">
        <is>
          <t>Each cell rebuilds EV/equity live from DCF!$F$34:$L$34 (explicit UFCF) and Gordon TV using the row's WACC and column's g. Corner cell (C7) ties to the base-case Gordon price on the DCF tab.</t>
        </is>
      </c>
    </row>
    <row r="7">
      <c r="B7" s="9" t="inlineStr">
        <is>
          <t>WACC \ g</t>
        </is>
      </c>
      <c r="C7" s="10">
        <f>DCF!$D$65</f>
      </c>
      <c r="D7" s="45">
        <f>F7-0.01</f>
      </c>
      <c r="E7" s="45">
        <f>F7-0.005</f>
      </c>
      <c r="F7" s="46">
        <f>Assumptions!$D$39</f>
      </c>
      <c r="G7" s="45">
        <f>F7+0.005</f>
      </c>
      <c r="H7" s="45">
        <f>F7+0.01</f>
      </c>
    </row>
    <row r="8">
      <c r="C8" s="47">
        <f>$C$11-0.015</f>
      </c>
      <c r="D8" s="48">
        <f>(SUMPRODUCT(DCF!$F$34:$L$34,1/(1+$C8)^DCF!$F$6:$L$6)+(DCF!$L$34*(1+D$7))/($C8-D$7)/(1+$C8)^DCF!$L$6-DCF!$D$61)/DCF!$D$64</f>
      </c>
      <c r="E8" s="48">
        <f>(SUMPRODUCT(DCF!$F$34:$L$34,1/(1+$C8)^DCF!$F$6:$L$6)+(DCF!$L$34*(1+E$7))/($C8-E$7)/(1+$C8)^DCF!$L$6-DCF!$D$61)/DCF!$D$64</f>
      </c>
      <c r="F8" s="48">
        <f>(SUMPRODUCT(DCF!$F$34:$L$34,1/(1+$C8)^DCF!$F$6:$L$6)+(DCF!$L$34*(1+F$7))/($C8-F$7)/(1+$C8)^DCF!$L$6-DCF!$D$61)/DCF!$D$64</f>
      </c>
      <c r="G8" s="48">
        <f>(SUMPRODUCT(DCF!$F$34:$L$34,1/(1+$C8)^DCF!$F$6:$L$6)+(DCF!$L$34*(1+G$7))/($C8-G$7)/(1+$C8)^DCF!$L$6-DCF!$D$61)/DCF!$D$64</f>
      </c>
      <c r="H8" s="48">
        <f>(SUMPRODUCT(DCF!$F$34:$L$34,1/(1+$C8)^DCF!$F$6:$L$6)+(DCF!$L$34*(1+H$7))/($C8-H$7)/(1+$C8)^DCF!$L$6-DCF!$D$61)/DCF!$D$64</f>
      </c>
    </row>
    <row r="9">
      <c r="C9" s="47">
        <f>$C$11-0.01</f>
      </c>
      <c r="D9" s="48">
        <f>(SUMPRODUCT(DCF!$F$34:$L$34,1/(1+$C9)^DCF!$F$6:$L$6)+(DCF!$L$34*(1+D$7))/($C9-D$7)/(1+$C9)^DCF!$L$6-DCF!$D$61)/DCF!$D$64</f>
      </c>
      <c r="E9" s="48">
        <f>(SUMPRODUCT(DCF!$F$34:$L$34,1/(1+$C9)^DCF!$F$6:$L$6)+(DCF!$L$34*(1+E$7))/($C9-E$7)/(1+$C9)^DCF!$L$6-DCF!$D$61)/DCF!$D$64</f>
      </c>
      <c r="F9" s="48">
        <f>(SUMPRODUCT(DCF!$F$34:$L$34,1/(1+$C9)^DCF!$F$6:$L$6)+(DCF!$L$34*(1+F$7))/($C9-F$7)/(1+$C9)^DCF!$L$6-DCF!$D$61)/DCF!$D$64</f>
      </c>
      <c r="G9" s="48">
        <f>(SUMPRODUCT(DCF!$F$34:$L$34,1/(1+$C9)^DCF!$F$6:$L$6)+(DCF!$L$34*(1+G$7))/($C9-G$7)/(1+$C9)^DCF!$L$6-DCF!$D$61)/DCF!$D$64</f>
      </c>
      <c r="H9" s="48">
        <f>(SUMPRODUCT(DCF!$F$34:$L$34,1/(1+$C9)^DCF!$F$6:$L$6)+(DCF!$L$34*(1+H$7))/($C9-H$7)/(1+$C9)^DCF!$L$6-DCF!$D$61)/DCF!$D$64</f>
      </c>
    </row>
    <row r="10">
      <c r="C10" s="47">
        <f>$C$11-0.005</f>
      </c>
      <c r="D10" s="48">
        <f>(SUMPRODUCT(DCF!$F$34:$L$34,1/(1+$C10)^DCF!$F$6:$L$6)+(DCF!$L$34*(1+D$7))/($C10-D$7)/(1+$C10)^DCF!$L$6-DCF!$D$61)/DCF!$D$64</f>
      </c>
      <c r="E10" s="48">
        <f>(SUMPRODUCT(DCF!$F$34:$L$34,1/(1+$C10)^DCF!$F$6:$L$6)+(DCF!$L$34*(1+E$7))/($C10-E$7)/(1+$C10)^DCF!$L$6-DCF!$D$61)/DCF!$D$64</f>
      </c>
      <c r="F10" s="48">
        <f>(SUMPRODUCT(DCF!$F$34:$L$34,1/(1+$C10)^DCF!$F$6:$L$6)+(DCF!$L$34*(1+F$7))/($C10-F$7)/(1+$C10)^DCF!$L$6-DCF!$D$61)/DCF!$D$64</f>
      </c>
      <c r="G10" s="48">
        <f>(SUMPRODUCT(DCF!$F$34:$L$34,1/(1+$C10)^DCF!$F$6:$L$6)+(DCF!$L$34*(1+G$7))/($C10-G$7)/(1+$C10)^DCF!$L$6-DCF!$D$61)/DCF!$D$64</f>
      </c>
      <c r="H10" s="48">
        <f>(SUMPRODUCT(DCF!$F$34:$L$34,1/(1+$C10)^DCF!$F$6:$L$6)+(DCF!$L$34*(1+H$7))/($C10-H$7)/(1+$C10)^DCF!$L$6-DCF!$D$61)/DCF!$D$64</f>
      </c>
    </row>
    <row r="11">
      <c r="C11" s="49">
        <f>WACC!$D$26</f>
      </c>
      <c r="D11" s="48">
        <f>(SUMPRODUCT(DCF!$F$34:$L$34,1/(1+$C11)^DCF!$F$6:$L$6)+(DCF!$L$34*(1+D$7))/($C11-D$7)/(1+$C11)^DCF!$L$6-DCF!$D$61)/DCF!$D$64</f>
      </c>
      <c r="E11" s="48">
        <f>(SUMPRODUCT(DCF!$F$34:$L$34,1/(1+$C11)^DCF!$F$6:$L$6)+(DCF!$L$34*(1+E$7))/($C11-E$7)/(1+$C11)^DCF!$L$6-DCF!$D$61)/DCF!$D$64</f>
      </c>
      <c r="F11" s="50">
        <f>(SUMPRODUCT(DCF!$F$34:$L$34,1/(1+$C11)^DCF!$F$6:$L$6)+(DCF!$L$34*(1+F$7))/($C11-F$7)/(1+$C11)^DCF!$L$6-DCF!$D$61)/DCF!$D$64</f>
      </c>
      <c r="G11" s="48">
        <f>(SUMPRODUCT(DCF!$F$34:$L$34,1/(1+$C11)^DCF!$F$6:$L$6)+(DCF!$L$34*(1+G$7))/($C11-G$7)/(1+$C11)^DCF!$L$6-DCF!$D$61)/DCF!$D$64</f>
      </c>
      <c r="H11" s="48">
        <f>(SUMPRODUCT(DCF!$F$34:$L$34,1/(1+$C11)^DCF!$F$6:$L$6)+(DCF!$L$34*(1+H$7))/($C11-H$7)/(1+$C11)^DCF!$L$6-DCF!$D$61)/DCF!$D$64</f>
      </c>
    </row>
    <row r="12">
      <c r="C12" s="47">
        <f>$C$11+0.005</f>
      </c>
      <c r="D12" s="48">
        <f>(SUMPRODUCT(DCF!$F$34:$L$34,1/(1+$C12)^DCF!$F$6:$L$6)+(DCF!$L$34*(1+D$7))/($C12-D$7)/(1+$C12)^DCF!$L$6-DCF!$D$61)/DCF!$D$64</f>
      </c>
      <c r="E12" s="48">
        <f>(SUMPRODUCT(DCF!$F$34:$L$34,1/(1+$C12)^DCF!$F$6:$L$6)+(DCF!$L$34*(1+E$7))/($C12-E$7)/(1+$C12)^DCF!$L$6-DCF!$D$61)/DCF!$D$64</f>
      </c>
      <c r="F12" s="48">
        <f>(SUMPRODUCT(DCF!$F$34:$L$34,1/(1+$C12)^DCF!$F$6:$L$6)+(DCF!$L$34*(1+F$7))/($C12-F$7)/(1+$C12)^DCF!$L$6-DCF!$D$61)/DCF!$D$64</f>
      </c>
      <c r="G12" s="48">
        <f>(SUMPRODUCT(DCF!$F$34:$L$34,1/(1+$C12)^DCF!$F$6:$L$6)+(DCF!$L$34*(1+G$7))/($C12-G$7)/(1+$C12)^DCF!$L$6-DCF!$D$61)/DCF!$D$64</f>
      </c>
      <c r="H12" s="48">
        <f>(SUMPRODUCT(DCF!$F$34:$L$34,1/(1+$C12)^DCF!$F$6:$L$6)+(DCF!$L$34*(1+H$7))/($C12-H$7)/(1+$C12)^DCF!$L$6-DCF!$D$61)/DCF!$D$64</f>
      </c>
    </row>
    <row r="13">
      <c r="C13" s="47">
        <f>$C$11+0.01</f>
      </c>
      <c r="D13" s="48">
        <f>(SUMPRODUCT(DCF!$F$34:$L$34,1/(1+$C13)^DCF!$F$6:$L$6)+(DCF!$L$34*(1+D$7))/($C13-D$7)/(1+$C13)^DCF!$L$6-DCF!$D$61)/DCF!$D$64</f>
      </c>
      <c r="E13" s="48">
        <f>(SUMPRODUCT(DCF!$F$34:$L$34,1/(1+$C13)^DCF!$F$6:$L$6)+(DCF!$L$34*(1+E$7))/($C13-E$7)/(1+$C13)^DCF!$L$6-DCF!$D$61)/DCF!$D$64</f>
      </c>
      <c r="F13" s="48">
        <f>(SUMPRODUCT(DCF!$F$34:$L$34,1/(1+$C13)^DCF!$F$6:$L$6)+(DCF!$L$34*(1+F$7))/($C13-F$7)/(1+$C13)^DCF!$L$6-DCF!$D$61)/DCF!$D$64</f>
      </c>
      <c r="G13" s="48">
        <f>(SUMPRODUCT(DCF!$F$34:$L$34,1/(1+$C13)^DCF!$F$6:$L$6)+(DCF!$L$34*(1+G$7))/($C13-G$7)/(1+$C13)^DCF!$L$6-DCF!$D$61)/DCF!$D$64</f>
      </c>
      <c r="H13" s="48">
        <f>(SUMPRODUCT(DCF!$F$34:$L$34,1/(1+$C13)^DCF!$F$6:$L$6)+(DCF!$L$34*(1+H$7))/($C13-H$7)/(1+$C13)^DCF!$L$6-DCF!$D$61)/DCF!$D$64</f>
      </c>
    </row>
    <row r="14">
      <c r="C14" s="47">
        <f>$C$11+0.015</f>
      </c>
      <c r="D14" s="48">
        <f>(SUMPRODUCT(DCF!$F$34:$L$34,1/(1+$C14)^DCF!$F$6:$L$6)+(DCF!$L$34*(1+D$7))/($C14-D$7)/(1+$C14)^DCF!$L$6-DCF!$D$61)/DCF!$D$64</f>
      </c>
      <c r="E14" s="48">
        <f>(SUMPRODUCT(DCF!$F$34:$L$34,1/(1+$C14)^DCF!$F$6:$L$6)+(DCF!$L$34*(1+E$7))/($C14-E$7)/(1+$C14)^DCF!$L$6-DCF!$D$61)/DCF!$D$64</f>
      </c>
      <c r="F14" s="48">
        <f>(SUMPRODUCT(DCF!$F$34:$L$34,1/(1+$C14)^DCF!$F$6:$L$6)+(DCF!$L$34*(1+F$7))/($C14-F$7)/(1+$C14)^DCF!$L$6-DCF!$D$61)/DCF!$D$64</f>
      </c>
      <c r="G14" s="48">
        <f>(SUMPRODUCT(DCF!$F$34:$L$34,1/(1+$C14)^DCF!$F$6:$L$6)+(DCF!$L$34*(1+G$7))/($C14-G$7)/(1+$C14)^DCF!$L$6-DCF!$D$61)/DCF!$D$64</f>
      </c>
      <c r="H14" s="48">
        <f>(SUMPRODUCT(DCF!$F$34:$L$34,1/(1+$C14)^DCF!$F$6:$L$6)+(DCF!$L$34*(1+H$7))/($C14-H$7)/(1+$C14)^DCF!$L$6-DCF!$D$61)/DCF!$D$64</f>
      </c>
    </row>
    <row r="15"/>
    <row r="16">
      <c r="B16" s="5" t="inlineStr">
        <is>
          <t>Check: center cell − DCF base case (must be 0.00)</t>
        </is>
      </c>
      <c r="D16" s="48">
        <f>ROUND(F11-DCF!$D$65,2)</f>
      </c>
    </row>
    <row r="17"/>
    <row r="18">
      <c r="B18" s="4" t="inlineStr">
        <is>
          <t>Grid B - WACC (rows) × Exit EV/EBITDA Multiple (cols) → Implied Share Price (Exit Multiple)</t>
        </is>
      </c>
      <c r="C18" s="4" t="n"/>
      <c r="D18" s="4" t="n"/>
      <c r="E18" s="4" t="n"/>
      <c r="F18" s="4" t="n"/>
      <c r="G18" s="4" t="n"/>
      <c r="H18" s="4" t="n"/>
    </row>
    <row r="19" ht="28" customHeight="1">
      <c r="B19" s="36" t="inlineStr">
        <is>
          <t>Each cell rebuilds EV/equity live from DCF!$F$34:$L$34 and terminal EBITDA (DCF!$L$15) × the column's exit multiple. Corner cell (C20) ties to the base-case exit-multiple price on the DCF tab.</t>
        </is>
      </c>
    </row>
    <row r="20">
      <c r="B20" s="9" t="inlineStr">
        <is>
          <t>WACC \ Multiple</t>
        </is>
      </c>
      <c r="C20" s="10">
        <f>DCF!$F$65</f>
      </c>
      <c r="D20" s="73">
        <f>F20-4</f>
      </c>
      <c r="E20" s="73">
        <f>F20-2</f>
      </c>
      <c r="F20" s="74">
        <f>Assumptions!$D$40</f>
      </c>
      <c r="G20" s="73">
        <f>F20+2</f>
      </c>
      <c r="H20" s="73">
        <f>F20+4</f>
      </c>
    </row>
    <row r="21">
      <c r="C21" s="47">
        <f>$C$24-0.015</f>
      </c>
      <c r="D21" s="48">
        <f>(SUMPRODUCT(DCF!$F$34:$L$34,1/(1+$C21)^DCF!$F$6:$L$6)+(DCF!$L$15*D$20)/(1+$C21)^DCF!$L$6-DCF!$D$61)/DCF!$D$64</f>
      </c>
      <c r="E21" s="48">
        <f>(SUMPRODUCT(DCF!$F$34:$L$34,1/(1+$C21)^DCF!$F$6:$L$6)+(DCF!$L$15*E$20)/(1+$C21)^DCF!$L$6-DCF!$D$61)/DCF!$D$64</f>
      </c>
      <c r="F21" s="48">
        <f>(SUMPRODUCT(DCF!$F$34:$L$34,1/(1+$C21)^DCF!$F$6:$L$6)+(DCF!$L$15*F$20)/(1+$C21)^DCF!$L$6-DCF!$D$61)/DCF!$D$64</f>
      </c>
      <c r="G21" s="48">
        <f>(SUMPRODUCT(DCF!$F$34:$L$34,1/(1+$C21)^DCF!$F$6:$L$6)+(DCF!$L$15*G$20)/(1+$C21)^DCF!$L$6-DCF!$D$61)/DCF!$D$64</f>
      </c>
      <c r="H21" s="48">
        <f>(SUMPRODUCT(DCF!$F$34:$L$34,1/(1+$C21)^DCF!$F$6:$L$6)+(DCF!$L$15*H$20)/(1+$C21)^DCF!$L$6-DCF!$D$61)/DCF!$D$64</f>
      </c>
    </row>
    <row r="22">
      <c r="C22" s="47">
        <f>$C$24-0.01</f>
      </c>
      <c r="D22" s="48">
        <f>(SUMPRODUCT(DCF!$F$34:$L$34,1/(1+$C22)^DCF!$F$6:$L$6)+(DCF!$L$15*D$20)/(1+$C22)^DCF!$L$6-DCF!$D$61)/DCF!$D$64</f>
      </c>
      <c r="E22" s="48">
        <f>(SUMPRODUCT(DCF!$F$34:$L$34,1/(1+$C22)^DCF!$F$6:$L$6)+(DCF!$L$15*E$20)/(1+$C22)^DCF!$L$6-DCF!$D$61)/DCF!$D$64</f>
      </c>
      <c r="F22" s="48">
        <f>(SUMPRODUCT(DCF!$F$34:$L$34,1/(1+$C22)^DCF!$F$6:$L$6)+(DCF!$L$15*F$20)/(1+$C22)^DCF!$L$6-DCF!$D$61)/DCF!$D$64</f>
      </c>
      <c r="G22" s="48">
        <f>(SUMPRODUCT(DCF!$F$34:$L$34,1/(1+$C22)^DCF!$F$6:$L$6)+(DCF!$L$15*G$20)/(1+$C22)^DCF!$L$6-DCF!$D$61)/DCF!$D$64</f>
      </c>
      <c r="H22" s="48">
        <f>(SUMPRODUCT(DCF!$F$34:$L$34,1/(1+$C22)^DCF!$F$6:$L$6)+(DCF!$L$15*H$20)/(1+$C22)^DCF!$L$6-DCF!$D$61)/DCF!$D$64</f>
      </c>
    </row>
    <row r="23">
      <c r="C23" s="47">
        <f>$C$24-0.005</f>
      </c>
      <c r="D23" s="48">
        <f>(SUMPRODUCT(DCF!$F$34:$L$34,1/(1+$C23)^DCF!$F$6:$L$6)+(DCF!$L$15*D$20)/(1+$C23)^DCF!$L$6-DCF!$D$61)/DCF!$D$64</f>
      </c>
      <c r="E23" s="48">
        <f>(SUMPRODUCT(DCF!$F$34:$L$34,1/(1+$C23)^DCF!$F$6:$L$6)+(DCF!$L$15*E$20)/(1+$C23)^DCF!$L$6-DCF!$D$61)/DCF!$D$64</f>
      </c>
      <c r="F23" s="48">
        <f>(SUMPRODUCT(DCF!$F$34:$L$34,1/(1+$C23)^DCF!$F$6:$L$6)+(DCF!$L$15*F$20)/(1+$C23)^DCF!$L$6-DCF!$D$61)/DCF!$D$64</f>
      </c>
      <c r="G23" s="48">
        <f>(SUMPRODUCT(DCF!$F$34:$L$34,1/(1+$C23)^DCF!$F$6:$L$6)+(DCF!$L$15*G$20)/(1+$C23)^DCF!$L$6-DCF!$D$61)/DCF!$D$64</f>
      </c>
      <c r="H23" s="48">
        <f>(SUMPRODUCT(DCF!$F$34:$L$34,1/(1+$C23)^DCF!$F$6:$L$6)+(DCF!$L$15*H$20)/(1+$C23)^DCF!$L$6-DCF!$D$61)/DCF!$D$64</f>
      </c>
    </row>
    <row r="24">
      <c r="C24" s="49">
        <f>WACC!$D$26</f>
      </c>
      <c r="D24" s="48">
        <f>(SUMPRODUCT(DCF!$F$34:$L$34,1/(1+$C24)^DCF!$F$6:$L$6)+(DCF!$L$15*D$20)/(1+$C24)^DCF!$L$6-DCF!$D$61)/DCF!$D$64</f>
      </c>
      <c r="E24" s="48">
        <f>(SUMPRODUCT(DCF!$F$34:$L$34,1/(1+$C24)^DCF!$F$6:$L$6)+(DCF!$L$15*E$20)/(1+$C24)^DCF!$L$6-DCF!$D$61)/DCF!$D$64</f>
      </c>
      <c r="F24" s="50">
        <f>(SUMPRODUCT(DCF!$F$34:$L$34,1/(1+$C24)^DCF!$F$6:$L$6)+(DCF!$L$15*F$20)/(1+$C24)^DCF!$L$6-DCF!$D$61)/DCF!$D$64</f>
      </c>
      <c r="G24" s="48">
        <f>(SUMPRODUCT(DCF!$F$34:$L$34,1/(1+$C24)^DCF!$F$6:$L$6)+(DCF!$L$15*G$20)/(1+$C24)^DCF!$L$6-DCF!$D$61)/DCF!$D$64</f>
      </c>
      <c r="H24" s="48">
        <f>(SUMPRODUCT(DCF!$F$34:$L$34,1/(1+$C24)^DCF!$F$6:$L$6)+(DCF!$L$15*H$20)/(1+$C24)^DCF!$L$6-DCF!$D$61)/DCF!$D$64</f>
      </c>
    </row>
    <row r="25">
      <c r="C25" s="47">
        <f>$C$24+0.005</f>
      </c>
      <c r="D25" s="48">
        <f>(SUMPRODUCT(DCF!$F$34:$L$34,1/(1+$C25)^DCF!$F$6:$L$6)+(DCF!$L$15*D$20)/(1+$C25)^DCF!$L$6-DCF!$D$61)/DCF!$D$64</f>
      </c>
      <c r="E25" s="48">
        <f>(SUMPRODUCT(DCF!$F$34:$L$34,1/(1+$C25)^DCF!$F$6:$L$6)+(DCF!$L$15*E$20)/(1+$C25)^DCF!$L$6-DCF!$D$61)/DCF!$D$64</f>
      </c>
      <c r="F25" s="48">
        <f>(SUMPRODUCT(DCF!$F$34:$L$34,1/(1+$C25)^DCF!$F$6:$L$6)+(DCF!$L$15*F$20)/(1+$C25)^DCF!$L$6-DCF!$D$61)/DCF!$D$64</f>
      </c>
      <c r="G25" s="48">
        <f>(SUMPRODUCT(DCF!$F$34:$L$34,1/(1+$C25)^DCF!$F$6:$L$6)+(DCF!$L$15*G$20)/(1+$C25)^DCF!$L$6-DCF!$D$61)/DCF!$D$64</f>
      </c>
      <c r="H25" s="48">
        <f>(SUMPRODUCT(DCF!$F$34:$L$34,1/(1+$C25)^DCF!$F$6:$L$6)+(DCF!$L$15*H$20)/(1+$C25)^DCF!$L$6-DCF!$D$61)/DCF!$D$64</f>
      </c>
    </row>
    <row r="26">
      <c r="C26" s="47">
        <f>$C$24+0.01</f>
      </c>
      <c r="D26" s="48">
        <f>(SUMPRODUCT(DCF!$F$34:$L$34,1/(1+$C26)^DCF!$F$6:$L$6)+(DCF!$L$15*D$20)/(1+$C26)^DCF!$L$6-DCF!$D$61)/DCF!$D$64</f>
      </c>
      <c r="E26" s="48">
        <f>(SUMPRODUCT(DCF!$F$34:$L$34,1/(1+$C26)^DCF!$F$6:$L$6)+(DCF!$L$15*E$20)/(1+$C26)^DCF!$L$6-DCF!$D$61)/DCF!$D$64</f>
      </c>
      <c r="F26" s="48">
        <f>(SUMPRODUCT(DCF!$F$34:$L$34,1/(1+$C26)^DCF!$F$6:$L$6)+(DCF!$L$15*F$20)/(1+$C26)^DCF!$L$6-DCF!$D$61)/DCF!$D$64</f>
      </c>
      <c r="G26" s="48">
        <f>(SUMPRODUCT(DCF!$F$34:$L$34,1/(1+$C26)^DCF!$F$6:$L$6)+(DCF!$L$15*G$20)/(1+$C26)^DCF!$L$6-DCF!$D$61)/DCF!$D$64</f>
      </c>
      <c r="H26" s="48">
        <f>(SUMPRODUCT(DCF!$F$34:$L$34,1/(1+$C26)^DCF!$F$6:$L$6)+(DCF!$L$15*H$20)/(1+$C26)^DCF!$L$6-DCF!$D$61)/DCF!$D$64</f>
      </c>
    </row>
    <row r="27">
      <c r="C27" s="47">
        <f>$C$24+0.015</f>
      </c>
      <c r="D27" s="48">
        <f>(SUMPRODUCT(DCF!$F$34:$L$34,1/(1+$C27)^DCF!$F$6:$L$6)+(DCF!$L$15*D$20)/(1+$C27)^DCF!$L$6-DCF!$D$61)/DCF!$D$64</f>
      </c>
      <c r="E27" s="48">
        <f>(SUMPRODUCT(DCF!$F$34:$L$34,1/(1+$C27)^DCF!$F$6:$L$6)+(DCF!$L$15*E$20)/(1+$C27)^DCF!$L$6-DCF!$D$61)/DCF!$D$64</f>
      </c>
      <c r="F27" s="48">
        <f>(SUMPRODUCT(DCF!$F$34:$L$34,1/(1+$C27)^DCF!$F$6:$L$6)+(DCF!$L$15*F$20)/(1+$C27)^DCF!$L$6-DCF!$D$61)/DCF!$D$64</f>
      </c>
      <c r="G27" s="48">
        <f>(SUMPRODUCT(DCF!$F$34:$L$34,1/(1+$C27)^DCF!$F$6:$L$6)+(DCF!$L$15*G$20)/(1+$C27)^DCF!$L$6-DCF!$D$61)/DCF!$D$64</f>
      </c>
      <c r="H27" s="48">
        <f>(SUMPRODUCT(DCF!$F$34:$L$34,1/(1+$C27)^DCF!$F$6:$L$6)+(DCF!$L$15*H$20)/(1+$C27)^DCF!$L$6-DCF!$D$61)/DCF!$D$64</f>
      </c>
    </row>
    <row r="28"/>
    <row r="29">
      <c r="B29" s="5" t="inlineStr">
        <is>
          <t>Check: center cell − DCF base case (must be 0.00)</t>
        </is>
      </c>
      <c r="D29" s="48">
        <f>ROUND(F24-DCF!$F$65,2)</f>
      </c>
    </row>
  </sheetData>
  <mergeCells count="2">
    <mergeCell ref="B6:H6"/>
    <mergeCell ref="B19:H19"/>
  </mergeCells>
  <conditionalFormatting sqref="D16">
    <cfRule type="cellIs" priority="1" operator="equal" dxfId="0">
      <formula>0</formula>
    </cfRule>
    <cfRule type="cellIs" priority="2" operator="notEqual" dxfId="1">
      <formula>0</formula>
    </cfRule>
  </conditionalFormatting>
  <conditionalFormatting sqref="D29">
    <cfRule type="cellIs" priority="3" operator="equal" dxfId="0">
      <formula>0</formula>
    </cfRule>
    <cfRule type="cellIs" priority="4" operator="notEqual" dxfId="1">
      <formula>0</formula>
    </cfRule>
  </conditionalFormatting>
  <conditionalFormatting sqref="D8:H1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1:H2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2026-08-23T05:50:07Z</dcterms:created>
  <dcterms:modified xmlns:dcterms="http://purl.org/dc/terms/" xmlns:xsi="http://www.w3.org/2001/XMLSchema-instance" xsi:type="dcterms:W3CDTF">2026-08-27T05:39:42Z</dcterms:modified>
</cp:coreProperties>
</file>