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akulveauli/Desktop/Rebuilt Models - Akul Veauli/"/>
    </mc:Choice>
  </mc:AlternateContent>
  <xr:revisionPtr revIDLastSave="0" documentId="13_ncr:1_{5E6753F4-8E7F-D844-889E-7D89045294D8}" xr6:coauthVersionLast="47" xr6:coauthVersionMax="47" xr10:uidLastSave="{00000000-0000-0000-0000-000000000000}"/>
  <bookViews>
    <workbookView xWindow="0" yWindow="760" windowWidth="29400" windowHeight="16860" xr2:uid="{00000000-000D-0000-FFFF-FFFF00000000}"/>
  </bookViews>
  <sheets>
    <sheet name="Cover" sheetId="1" r:id="rId1"/>
    <sheet name="Inputs" sheetId="2" r:id="rId2"/>
    <sheet name="Precedents" sheetId="3" r:id="rId3"/>
    <sheet name="ImpliedVal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7" i="4" l="1"/>
  <c r="D97" i="4"/>
  <c r="C97" i="4"/>
  <c r="E94" i="4"/>
  <c r="D94" i="4"/>
  <c r="C94" i="4"/>
  <c r="E88" i="4"/>
  <c r="D88" i="4"/>
  <c r="C88" i="4"/>
  <c r="E73" i="4"/>
  <c r="D73" i="4"/>
  <c r="C73" i="4"/>
  <c r="E70" i="4"/>
  <c r="D70" i="4"/>
  <c r="C70" i="4"/>
  <c r="E64" i="4"/>
  <c r="D64" i="4"/>
  <c r="C64" i="4"/>
  <c r="E49" i="4"/>
  <c r="D49" i="4"/>
  <c r="C49" i="4"/>
  <c r="E46" i="4"/>
  <c r="D46" i="4"/>
  <c r="C46" i="4"/>
  <c r="E40" i="4"/>
  <c r="D40" i="4"/>
  <c r="C40" i="4"/>
  <c r="E25" i="4"/>
  <c r="D25" i="4"/>
  <c r="C25" i="4"/>
  <c r="E22" i="4"/>
  <c r="D22" i="4"/>
  <c r="C22" i="4"/>
  <c r="E16" i="4"/>
  <c r="D16" i="4"/>
  <c r="C16" i="4"/>
  <c r="H17" i="3"/>
  <c r="N17" i="3" s="1"/>
  <c r="G17" i="3"/>
  <c r="L17" i="3" s="1"/>
  <c r="F17" i="3"/>
  <c r="E17" i="3"/>
  <c r="D17" i="3"/>
  <c r="I17" i="3" s="1"/>
  <c r="C17" i="3"/>
  <c r="B17" i="3"/>
  <c r="J16" i="3"/>
  <c r="G16" i="3"/>
  <c r="F16" i="3"/>
  <c r="E16" i="3"/>
  <c r="D16" i="3"/>
  <c r="I16" i="3" s="1"/>
  <c r="C16" i="3"/>
  <c r="H16" i="3" s="1"/>
  <c r="B16" i="3"/>
  <c r="J15" i="3"/>
  <c r="H15" i="3"/>
  <c r="G15" i="3"/>
  <c r="N15" i="3" s="1"/>
  <c r="F15" i="3"/>
  <c r="E15" i="3"/>
  <c r="D15" i="3"/>
  <c r="C15" i="3"/>
  <c r="B15" i="3"/>
  <c r="G14" i="3"/>
  <c r="F14" i="3"/>
  <c r="E14" i="3"/>
  <c r="J14" i="3" s="1"/>
  <c r="D14" i="3"/>
  <c r="C14" i="3"/>
  <c r="H14" i="3" s="1"/>
  <c r="L14" i="3" s="1"/>
  <c r="B14" i="3"/>
  <c r="I13" i="3"/>
  <c r="G13" i="3"/>
  <c r="F13" i="3"/>
  <c r="E13" i="3"/>
  <c r="D13" i="3"/>
  <c r="C13" i="3"/>
  <c r="H13" i="3" s="1"/>
  <c r="B13" i="3"/>
  <c r="N12" i="3"/>
  <c r="L12" i="3"/>
  <c r="H12" i="3"/>
  <c r="G12" i="3"/>
  <c r="M12" i="3" s="1"/>
  <c r="F12" i="3"/>
  <c r="E12" i="3"/>
  <c r="D12" i="3"/>
  <c r="C12" i="3"/>
  <c r="B12" i="3"/>
  <c r="I11" i="3"/>
  <c r="G11" i="3"/>
  <c r="J11" i="3" s="1"/>
  <c r="F11" i="3"/>
  <c r="E11" i="3"/>
  <c r="D11" i="3"/>
  <c r="C11" i="3"/>
  <c r="H11" i="3" s="1"/>
  <c r="B11" i="3"/>
  <c r="J10" i="3"/>
  <c r="I10" i="3"/>
  <c r="H10" i="3"/>
  <c r="N10" i="3" s="1"/>
  <c r="G10" i="3"/>
  <c r="F10" i="3"/>
  <c r="E10" i="3"/>
  <c r="D10" i="3"/>
  <c r="C10" i="3"/>
  <c r="B10" i="3"/>
  <c r="G9" i="3"/>
  <c r="F9" i="3"/>
  <c r="E9" i="3"/>
  <c r="D9" i="3"/>
  <c r="C9" i="3"/>
  <c r="H9" i="3" s="1"/>
  <c r="B9" i="3"/>
  <c r="J8" i="3"/>
  <c r="H8" i="3"/>
  <c r="N8" i="3" s="1"/>
  <c r="G8" i="3"/>
  <c r="I8" i="3" s="1"/>
  <c r="F8" i="3"/>
  <c r="E8" i="3"/>
  <c r="D8" i="3"/>
  <c r="C8" i="3"/>
  <c r="B8" i="3"/>
  <c r="H7" i="3"/>
  <c r="G7" i="3"/>
  <c r="N7" i="3" s="1"/>
  <c r="F7" i="3"/>
  <c r="E7" i="3"/>
  <c r="D7" i="3"/>
  <c r="C7" i="3"/>
  <c r="B7" i="3"/>
  <c r="L6" i="3"/>
  <c r="J6" i="3"/>
  <c r="H6" i="3"/>
  <c r="G6" i="3"/>
  <c r="K6" i="3" s="1"/>
  <c r="F6" i="3"/>
  <c r="E6" i="3"/>
  <c r="D6" i="3"/>
  <c r="M6" i="3" s="1"/>
  <c r="C6" i="3"/>
  <c r="B6" i="3"/>
  <c r="B14" i="1"/>
  <c r="B13" i="1"/>
  <c r="N11" i="3" l="1"/>
  <c r="K11" i="3"/>
  <c r="L11" i="3"/>
  <c r="D36" i="3" s="1"/>
  <c r="E37" i="3"/>
  <c r="K14" i="3"/>
  <c r="K9" i="3"/>
  <c r="N9" i="3"/>
  <c r="M9" i="3"/>
  <c r="E38" i="3" s="1"/>
  <c r="N13" i="3"/>
  <c r="L9" i="3"/>
  <c r="N16" i="3"/>
  <c r="M16" i="3"/>
  <c r="E39" i="3" s="1"/>
  <c r="L16" i="3"/>
  <c r="K16" i="3"/>
  <c r="M17" i="3"/>
  <c r="M14" i="3"/>
  <c r="K8" i="3"/>
  <c r="J13" i="3"/>
  <c r="N6" i="3"/>
  <c r="I7" i="3"/>
  <c r="L8" i="3"/>
  <c r="M11" i="3"/>
  <c r="K13" i="3"/>
  <c r="N14" i="3"/>
  <c r="I15" i="3"/>
  <c r="J7" i="3"/>
  <c r="D28" i="3" s="1"/>
  <c r="F25" i="1" s="1"/>
  <c r="M8" i="3"/>
  <c r="K10" i="3"/>
  <c r="I12" i="3"/>
  <c r="L13" i="3"/>
  <c r="K7" i="3"/>
  <c r="C36" i="3" s="1"/>
  <c r="I9" i="3"/>
  <c r="L10" i="3"/>
  <c r="J12" i="3"/>
  <c r="M13" i="3"/>
  <c r="K15" i="3"/>
  <c r="I6" i="3"/>
  <c r="L7" i="3"/>
  <c r="D38" i="3" s="1"/>
  <c r="J9" i="3"/>
  <c r="D24" i="3" s="1"/>
  <c r="M10" i="3"/>
  <c r="K12" i="3"/>
  <c r="I14" i="3"/>
  <c r="L15" i="3"/>
  <c r="J17" i="3"/>
  <c r="M15" i="3"/>
  <c r="K17" i="3"/>
  <c r="M7" i="3"/>
  <c r="E35" i="3" s="1"/>
  <c r="D14" i="4" l="1"/>
  <c r="D15" i="4" s="1"/>
  <c r="D17" i="4" s="1"/>
  <c r="D18" i="4" s="1"/>
  <c r="D26" i="4" s="1"/>
  <c r="D38" i="4"/>
  <c r="D39" i="4" s="1"/>
  <c r="D41" i="4" s="1"/>
  <c r="D42" i="4" s="1"/>
  <c r="D50" i="4" s="1"/>
  <c r="D62" i="4"/>
  <c r="D63" i="4" s="1"/>
  <c r="D65" i="4" s="1"/>
  <c r="D66" i="4" s="1"/>
  <c r="D74" i="4" s="1"/>
  <c r="D86" i="4"/>
  <c r="D87" i="4" s="1"/>
  <c r="D89" i="4" s="1"/>
  <c r="D90" i="4" s="1"/>
  <c r="D98" i="4" s="1"/>
  <c r="C25" i="1"/>
  <c r="D39" i="3"/>
  <c r="D22" i="3"/>
  <c r="D37" i="3"/>
  <c r="D35" i="3"/>
  <c r="C37" i="3"/>
  <c r="C38" i="3"/>
  <c r="D26" i="3"/>
  <c r="D23" i="3"/>
  <c r="C35" i="3"/>
  <c r="D25" i="3"/>
  <c r="C28" i="3"/>
  <c r="F24" i="1" s="1"/>
  <c r="C23" i="3"/>
  <c r="C26" i="3"/>
  <c r="C22" i="3"/>
  <c r="C25" i="3"/>
  <c r="C21" i="3"/>
  <c r="C24" i="3"/>
  <c r="E36" i="3"/>
  <c r="F38" i="3"/>
  <c r="F36" i="3"/>
  <c r="F39" i="3"/>
  <c r="F37" i="3"/>
  <c r="F35" i="3"/>
  <c r="C39" i="3"/>
  <c r="D21" i="3"/>
  <c r="C24" i="1" l="1"/>
  <c r="D20" i="4"/>
  <c r="D21" i="4" s="1"/>
  <c r="D23" i="4" s="1"/>
  <c r="D24" i="4" s="1"/>
  <c r="D27" i="4" s="1"/>
  <c r="D44" i="4"/>
  <c r="D45" i="4" s="1"/>
  <c r="D47" i="4" s="1"/>
  <c r="D48" i="4" s="1"/>
  <c r="D51" i="4" s="1"/>
  <c r="D68" i="4"/>
  <c r="D69" i="4" s="1"/>
  <c r="D71" i="4" s="1"/>
  <c r="D72" i="4" s="1"/>
  <c r="D75" i="4" s="1"/>
  <c r="D92" i="4"/>
  <c r="D93" i="4" s="1"/>
  <c r="D95" i="4" s="1"/>
  <c r="D96" i="4" s="1"/>
  <c r="D99" i="4" s="1"/>
  <c r="D24" i="1"/>
  <c r="C20" i="4"/>
  <c r="C21" i="4" s="1"/>
  <c r="C23" i="4" s="1"/>
  <c r="C24" i="4" s="1"/>
  <c r="C27" i="4" s="1"/>
  <c r="C44" i="4"/>
  <c r="C45" i="4" s="1"/>
  <c r="C47" i="4" s="1"/>
  <c r="C48" i="4" s="1"/>
  <c r="C51" i="4" s="1"/>
  <c r="C68" i="4"/>
  <c r="C69" i="4" s="1"/>
  <c r="C71" i="4" s="1"/>
  <c r="C72" i="4" s="1"/>
  <c r="C75" i="4" s="1"/>
  <c r="C92" i="4"/>
  <c r="C93" i="4" s="1"/>
  <c r="C95" i="4" s="1"/>
  <c r="C96" i="4" s="1"/>
  <c r="C99" i="4" s="1"/>
  <c r="C14" i="4"/>
  <c r="C15" i="4" s="1"/>
  <c r="C17" i="4" s="1"/>
  <c r="C18" i="4" s="1"/>
  <c r="C26" i="4" s="1"/>
  <c r="D25" i="1"/>
  <c r="C38" i="4"/>
  <c r="C39" i="4" s="1"/>
  <c r="C41" i="4" s="1"/>
  <c r="C42" i="4" s="1"/>
  <c r="C50" i="4" s="1"/>
  <c r="C62" i="4"/>
  <c r="C63" i="4" s="1"/>
  <c r="C65" i="4" s="1"/>
  <c r="C66" i="4" s="1"/>
  <c r="C74" i="4" s="1"/>
  <c r="C86" i="4"/>
  <c r="C87" i="4" s="1"/>
  <c r="C89" i="4" s="1"/>
  <c r="C90" i="4" s="1"/>
  <c r="C98" i="4" s="1"/>
  <c r="E14" i="4"/>
  <c r="E15" i="4" s="1"/>
  <c r="E17" i="4" s="1"/>
  <c r="E18" i="4" s="1"/>
  <c r="E26" i="4" s="1"/>
  <c r="E38" i="4"/>
  <c r="E39" i="4" s="1"/>
  <c r="E41" i="4" s="1"/>
  <c r="E42" i="4" s="1"/>
  <c r="E50" i="4" s="1"/>
  <c r="E25" i="1"/>
  <c r="E62" i="4"/>
  <c r="E63" i="4" s="1"/>
  <c r="E65" i="4" s="1"/>
  <c r="E66" i="4" s="1"/>
  <c r="E74" i="4" s="1"/>
  <c r="E86" i="4"/>
  <c r="E87" i="4" s="1"/>
  <c r="E89" i="4" s="1"/>
  <c r="E90" i="4" s="1"/>
  <c r="E98" i="4" s="1"/>
  <c r="E20" i="4"/>
  <c r="E21" i="4" s="1"/>
  <c r="E23" i="4" s="1"/>
  <c r="E24" i="4" s="1"/>
  <c r="E27" i="4" s="1"/>
  <c r="E44" i="4"/>
  <c r="E45" i="4" s="1"/>
  <c r="E47" i="4" s="1"/>
  <c r="E48" i="4" s="1"/>
  <c r="E51" i="4" s="1"/>
  <c r="E24" i="1"/>
  <c r="E68" i="4"/>
  <c r="E69" i="4" s="1"/>
  <c r="E71" i="4" s="1"/>
  <c r="E72" i="4" s="1"/>
  <c r="E75" i="4" s="1"/>
  <c r="E92" i="4"/>
  <c r="E93" i="4" s="1"/>
  <c r="E95" i="4" s="1"/>
  <c r="E96" i="4" s="1"/>
  <c r="E99" i="4" s="1"/>
</calcChain>
</file>

<file path=xl/sharedStrings.xml><?xml version="1.0" encoding="utf-8"?>
<sst xmlns="http://schemas.openxmlformats.org/spreadsheetml/2006/main" count="306" uniqueCount="192">
  <si>
    <t>Precedent Transactions Analysis - Large Tech/Media M&amp;A</t>
  </si>
  <si>
    <t>($ in millions, except per-share data and multiples)</t>
  </si>
  <si>
    <t>Prepared by: Akul Veauli</t>
  </si>
  <si>
    <t>Date: August 23, 2026</t>
  </si>
  <si>
    <t>Twelve-deal precedent set (2016-2024) of large tech/media (plus one energy outlier) acquisitions, spanning Microsoft/LinkedIn (2016) through Broadcom/VMware and ExxonMobil/Pioneer (2023). Six deals form a high-confidence core (MSFT/Activision, Salesforce/Slack, AMD/Xilinx, NVDA/Mellanox, MSFT/LinkedIn, Oracle/Cerner); four suite deals (Disney/Fox, Twitter, XOM/Pioneer, Broadcom/VMware) are added for coherence with the wider model suite. Adobe/Figma (terminated, private target) and Amazon/MGM (private, no disclosed financials) are shown as rows but flagged Include=0 and excluded from all summary statistics. Implied valuation ranges are applied to the four DCF subject companies (MSFT, NVDA, AAPL, GOOGL) on the ImpliedVal tab.</t>
  </si>
  <si>
    <t>Color-Code Legend</t>
  </si>
  <si>
    <t>123.4</t>
  </si>
  <si>
    <t>&lt;- Blue = hardcoded input (source-cited)</t>
  </si>
  <si>
    <t>&lt;- Black = formula (same sheet)</t>
  </si>
  <si>
    <t>&lt;- Green = link/formula from another tab</t>
  </si>
  <si>
    <t>Table of Contents</t>
  </si>
  <si>
    <t>Cover</t>
  </si>
  <si>
    <t>This page</t>
  </si>
  <si>
    <t>Inputs</t>
  </si>
  <si>
    <t>12-deal precedent input table (all blue, source-cited)</t>
  </si>
  <si>
    <t>Precedents</t>
  </si>
  <si>
    <t>Computed multiples, Include-flag stats blocks, era split</t>
  </si>
  <si>
    <t>ImpliedVal</t>
  </si>
  <si>
    <t>Implied valuation for MSFT / NVDA / AAPL / GOOGL</t>
  </si>
  <si>
    <t>Key Outputs - Core Set (Include=1) Summary Multiples</t>
  </si>
  <si>
    <t>Metric</t>
  </si>
  <si>
    <t>Median</t>
  </si>
  <si>
    <t>25th pct</t>
  </si>
  <si>
    <t>75th pct</t>
  </si>
  <si>
    <t># deals incl.</t>
  </si>
  <si>
    <t>EV / LTM Revenue</t>
  </si>
  <si>
    <t>EV / LTM EBITDA</t>
  </si>
  <si>
    <t>Sources: SEC EDGAR (10-K/10-Q/DEFM14A/S-4/SC 14D-9), company press releases, and public deal announcements for each transaction (see Inputs tab column P for per-deal citations). Market/subject-company data as of August 21-23, 2026 (see E1-E4 data packs).</t>
  </si>
  <si>
    <t>Inputs - Precedent Transaction Data (all cells blue = hardcoded, source-cited)</t>
  </si>
  <si>
    <t>($ in millions except per-share consideration; dates mm/dd/yyyy)</t>
  </si>
  <si>
    <t>Deal</t>
  </si>
  <si>
    <t>Acquirer</t>
  </si>
  <si>
    <t>Target</t>
  </si>
  <si>
    <t>Announce
Date</t>
  </si>
  <si>
    <t>Close / Term Date</t>
  </si>
  <si>
    <t>Consideration Form</t>
  </si>
  <si>
    <t>Transaction
EV ($mm)</t>
  </si>
  <si>
    <t>Equity
Value ($mm)</t>
  </si>
  <si>
    <t>Target LTM
Revenue ($mm)</t>
  </si>
  <si>
    <t>Target LTM
EBITDA ($mm)</t>
  </si>
  <si>
    <t>Target NTM
Revenue ($mm)</t>
  </si>
  <si>
    <t>1-Day
Premium %</t>
  </si>
  <si>
    <t>Include in
Stats? (1/0)</t>
  </si>
  <si>
    <t>Notes</t>
  </si>
  <si>
    <t>Source</t>
  </si>
  <si>
    <t>Broadcom / VMware</t>
  </si>
  <si>
    <t>Broadcom</t>
  </si>
  <si>
    <t>VMware, Inc.</t>
  </si>
  <si>
    <t>11/22/2023</t>
  </si>
  <si>
    <t>Cash/stock election, prorated 47.9% cash / 52.1% stock</t>
  </si>
  <si>
    <t>n.a.</t>
  </si>
  <si>
    <t>EV incl. $8.25B assumed VMW senior notes less $6.6B cash acquired. Premium not computable (proration + collar mechanics; no single unaffected reference price).</t>
  </si>
  <si>
    <t>AVGO FY2024 10-K Note 3; VMW FY2023 10-K; AVGO/VMW press 5/26/22 &amp; 11/22/23</t>
  </si>
  <si>
    <t>Microsoft / Activision Blizzard</t>
  </si>
  <si>
    <t>Microsoft</t>
  </si>
  <si>
    <t>Activision Blizzard, Inc.</t>
  </si>
  <si>
    <t>10/13/2023</t>
  </si>
  <si>
    <t>100% cash, $95.00/sh</t>
  </si>
  <si>
    <t>LTM EBITDA derived from ~20.2x reported deal multiple; not directly disclosed in DEFM14A.</t>
  </si>
  <si>
    <t>SEC DEFM14A 3/21/22; MSFT press 1/18/22; ATVI 10-K FY2021</t>
  </si>
  <si>
    <t>ExxonMobil / Pioneer Natural Resources Co.</t>
  </si>
  <si>
    <t>ExxonMobil</t>
  </si>
  <si>
    <t>Pioneer Natural Resources Co.</t>
  </si>
  <si>
    <t>5/3/2024</t>
  </si>
  <si>
    <t>100% stock, 2.3234x XOM/PXD exchange ratio</t>
  </si>
  <si>
    <t>Energy-sector outlier vs. tech/media peer set - kept in stats for era comparability per spec. PXD standalone EBITDA not broken out in 10-K DD&amp;A footnote; EV/EBITDA n.m.</t>
  </si>
  <si>
    <t>XOM/PXD 10-K FY2023; XOM S-4 11/2023; press 10/11/23</t>
  </si>
  <si>
    <t>Disney / 21st Century Fox</t>
  </si>
  <si>
    <t>Disney</t>
  </si>
  <si>
    <t>21st Century Fox (entertainment assets)</t>
  </si>
  <si>
    <t>3/20/2019</t>
  </si>
  <si>
    <t>50% cash / 50% stock (amended 6/20/18; ~$38.00/sh equivalent)</t>
  </si>
  <si>
    <t>Target = acquired Fox entertainment assets only (Total 21CF less RemainCo/Fox Corp spin-off). Revenue &amp; EBITDA derived (Total 21CF minus RemainCo pro forma); both flagged ESTIMATE.</t>
  </si>
  <si>
    <t>Disney S-4; 8-K12B 3/2019; RemainCo pro forma exhibits (SEC 3/2019)</t>
  </si>
  <si>
    <t>Elon Musk / X Holdings / Twitter</t>
  </si>
  <si>
    <t>Elon Musk / X Holdings</t>
  </si>
  <si>
    <t>Twitter, Inc.</t>
  </si>
  <si>
    <t>10/27/2022</t>
  </si>
  <si>
    <t>100% cash, $54.20/sh</t>
  </si>
  <si>
    <t>EV = equity value + existing debt ($4.25B) less cash ($2.19B). FY2021 Adj. EBITDA ($682mm) used 'as-is' -&gt; implies a pathological ~67x EV/EBITDA multiple; shown, not forced to n.m., per spec note.</t>
  </si>
  <si>
    <t>Twitter 10-K FY2021; DEFM14A 9/2/22; premium vs. 4/1/22 unaffected close ($39.31, widely reported)</t>
  </si>
  <si>
    <t>Salesforce / Slack Technologies</t>
  </si>
  <si>
    <t>Salesforce</t>
  </si>
  <si>
    <t>Slack Technologies, Inc.</t>
  </si>
  <si>
    <t>7/21/2021</t>
  </si>
  <si>
    <t>64% cash / 36% stock</t>
  </si>
  <si>
    <t>FY2020 (ended 1/31/21) EBITDA negative; pre-profitability SaaS growth premium. EV/EBITDA n.m.</t>
  </si>
  <si>
    <t>SEC DEFM14A 1/29/21; Slack 10-K FY2020</t>
  </si>
  <si>
    <t>AMD / Xilinx</t>
  </si>
  <si>
    <t>AMD</t>
  </si>
  <si>
    <t>Xilinx, Inc.</t>
  </si>
  <si>
    <t>2/14/2022</t>
  </si>
  <si>
    <t>100% stock, 1.7234x AMD/XLNX exchange ratio</t>
  </si>
  <si>
    <t>EBITDA not separately disclosed in S-4 (all-stock deal); EV/EBITDA n.m. Premium range 25-35% reported; midpoint (30%) used.</t>
  </si>
  <si>
    <t>SEC S-4 10/27/20; XLNX 10-K FY2020 (ended 4/2/20)</t>
  </si>
  <si>
    <t>Nvidia / Mellanox Technologies</t>
  </si>
  <si>
    <t>Nvidia</t>
  </si>
  <si>
    <t>Mellanox Technologies, Ltd.</t>
  </si>
  <si>
    <t>4/27/2020</t>
  </si>
  <si>
    <t>100% cash, $125.00/sh</t>
  </si>
  <si>
    <t>Clean all-cash deal; complete DEFM14A financial detail.</t>
  </si>
  <si>
    <t>SEC DEFM14A 6/20/19; MLNX 10-K FY2018</t>
  </si>
  <si>
    <t>Microsoft / LinkedIn Corporation</t>
  </si>
  <si>
    <t>LinkedIn Corporation</t>
  </si>
  <si>
    <t>12/8/2016</t>
  </si>
  <si>
    <t>100% cash, $196.00/sh</t>
  </si>
  <si>
    <t>Complete SEC DEFM14A financial detail.</t>
  </si>
  <si>
    <t>SEC DEFM14A 7/22/16; LNKD 10-K FY2015</t>
  </si>
  <si>
    <t>Adobe / Figma</t>
  </si>
  <si>
    <t>Adobe</t>
  </si>
  <si>
    <t>Figma, Inc.</t>
  </si>
  <si>
    <t>TERMINATED 12/18/23</t>
  </si>
  <si>
    <t>50% cash / 50% stock (deal never closed)</t>
  </si>
  <si>
    <t>TERMINATED Dec-2023 (UK CMA / DOJ regulatory opposition; $1B fee paid by Adobe). Figma is private: 'revenue' is an ARR estimate, not GAAP LTM revenue; EBITDA heavily negative (est.). EXCLUDED from stats (Include=0).</t>
  </si>
  <si>
    <t>Adobe S-4 11/14/22; Adobe termination press 12/18/23</t>
  </si>
  <si>
    <t>Oracle / Cerner Corporation</t>
  </si>
  <si>
    <t>Oracle</t>
  </si>
  <si>
    <t>Cerner Corporation</t>
  </si>
  <si>
    <t>6/8/2022</t>
  </si>
  <si>
    <t>100% cash, $95.00/sh tender offer</t>
  </si>
  <si>
    <t>Clean tender offer; complete financial detail.</t>
  </si>
  <si>
    <t>Oracle Tender Offer Statement 12/21/21; Cerner SC 14D-9 1/19/22</t>
  </si>
  <si>
    <t>Amazon / MGM Holdings Inc.</t>
  </si>
  <si>
    <t>Amazon</t>
  </si>
  <si>
    <t>MGM Holdings Inc.</t>
  </si>
  <si>
    <t>3/17/2023</t>
  </si>
  <si>
    <t>100% cash</t>
  </si>
  <si>
    <t>MGM is private -&gt; no SEC disclosures; revenue/EBITDA unavailable from public sources. EXCLUDED from stats (Include=0).</t>
  </si>
  <si>
    <t>Amazon press 5/26/22; private deal database estimates (low confidence)</t>
  </si>
  <si>
    <t>NTM revenue: not disclosed for any of the 12 targets at announcement (deal-date sell-side consensus unavailable in public filings/press for private or newly-announced targets) - column retained per spec, shown 'n.a.' throughout.</t>
  </si>
  <si>
    <t>'n.a.' in Target LTM Revenue/EBITDA = not disclosed / not derivable from public sources (never backed into a fabricated number). See Precedents tab for n.m. multiple handling.</t>
  </si>
  <si>
    <t>Precedents - Computed Multiples &amp; Include-Flag Statistics</t>
  </si>
  <si>
    <t>(multiples 0.0x; helper columns I-N drive flag-conditional QUARTILE.INC/MEDIAN - see note)</t>
  </si>
  <si>
    <t>Announce
Year</t>
  </si>
  <si>
    <t>EV / LTM
Revenue</t>
  </si>
  <si>
    <t>EV / LTM
EBITDA</t>
  </si>
  <si>
    <t>Include
(1/0)</t>
  </si>
  <si>
    <t>Era</t>
  </si>
  <si>
    <t>Helper:
EV/Rev (incl.)</t>
  </si>
  <si>
    <t>Helper:
EV/EBITDA (incl.)</t>
  </si>
  <si>
    <t>Helper:
EV/Rev 16-19</t>
  </si>
  <si>
    <t>Helper:
EV/EBITDA 16-19</t>
  </si>
  <si>
    <t>Helper:
EV/Rev 20-24</t>
  </si>
  <si>
    <t>Helper:
EV/EBITDA 20-24</t>
  </si>
  <si>
    <t>Summary Statistics - Core Set (Include = 1, n = 10 of 12 deals)</t>
  </si>
  <si>
    <t>Statistic</t>
  </si>
  <si>
    <t>Max</t>
  </si>
  <si>
    <t>75th pctile</t>
  </si>
  <si>
    <t>Mean</t>
  </si>
  <si>
    <t>25th pctile</t>
  </si>
  <si>
    <t>Min</t>
  </si>
  <si>
    <t># deals included (n)</t>
  </si>
  <si>
    <t>Median row references (for reviewer QA): 25th/Median/75th EV/LTM EBITDA computed via QUARTILE.INC/MEDIAN over helper column J6:J17 (blank for Include=0 or n.m. rows, which QUARTILE.INC/MEDIAN ignore as text). E9 research recommendation (6-deal core, pre-suite-deal expansion): median EV/EBITDA ~28.6x, median EV/Revenue ~8.3x.</t>
  </si>
  <si>
    <t>Mean uses AVERAGE over the same Include-flag helper column (Excel's AVERAGE ignores the blank-text '' results), so it also ignores n.m./Include=0 rows.</t>
  </si>
  <si>
    <t>Secondary Statistics - By Era (Include=1 deals only)</t>
  </si>
  <si>
    <t>EV/Rev 2016-19</t>
  </si>
  <si>
    <t>EV/EBITDA 2016-19</t>
  </si>
  <si>
    <t>EV/Rev 2020-24</t>
  </si>
  <si>
    <t>EV/EBITDA 2020-24</t>
  </si>
  <si>
    <t>Era split shows the multiple regime shift: 2016-19 cohort (LinkedIn, Mellanox, Disney/Fox) vs. 2020-24 cohort (Activision, Slack [rev only], Xilinx [rev only], Cerner, Twitter, XOM/Pioneer, Broadcom/VMware).</t>
  </si>
  <si>
    <t>ImpliedVal - Precedent-Multiple Implied Valuation of DCF Subjects</t>
  </si>
  <si>
    <t>($ in millions except per-share; multiples from Precedents core-set stats block)</t>
  </si>
  <si>
    <t>Note: precedent multiples embed a control premium (deals above averaged ~30-45% 1-day premium); these ranges sit ABOVE trading-comps (minority-stake) valuations and feed the football-field 'precedent transactions' bar in workbook 10.</t>
  </si>
  <si>
    <t>MSFT - Microsoft Corporation</t>
  </si>
  <si>
    <t>Low (25th)</t>
  </si>
  <si>
    <t>Mid (Median)</t>
  </si>
  <si>
    <t>High (75th)</t>
  </si>
  <si>
    <t>LTM Revenue ($mm)</t>
  </si>
  <si>
    <t>Per E4 comps data pack (as of 8/21/26).</t>
  </si>
  <si>
    <t>LTM EBITDA ($mm)</t>
  </si>
  <si>
    <t>Per E4 comps pack (12mo ended 6/30/26, YF); direct figure.</t>
  </si>
  <si>
    <t>Net Debt ($mm) [debt - cash &amp; inv.]</t>
  </si>
  <si>
    <t>Per E1/E2/E3/E4 data packs; negative = net cash.</t>
  </si>
  <si>
    <t>Diluted Shares (mm)</t>
  </si>
  <si>
    <t>Current Share Price</t>
  </si>
  <si>
    <t>Close 8/21/26 per E4 comps pack.</t>
  </si>
  <si>
    <t>Applied EV/LTM EBITDA multiple</t>
  </si>
  <si>
    <t>Implied EV ($mm)</t>
  </si>
  <si>
    <t>Less: Net Debt ($mm)</t>
  </si>
  <si>
    <t>Implied Equity Value ($mm)</t>
  </si>
  <si>
    <t>Implied Share Price (EV/EBITDA method)</t>
  </si>
  <si>
    <t>Applied EV/LTM Revenue multiple</t>
  </si>
  <si>
    <t>Implied Share Price (EV/Revenue method)</t>
  </si>
  <si>
    <t>Memo: Current Share Price</t>
  </si>
  <si>
    <t>Implied Upside/(Downside) vs. Current (EV/EBITDA)</t>
  </si>
  <si>
    <t>Implied Upside/(Downside) vs. Current (EV/Revenue)</t>
  </si>
  <si>
    <t>NVDA - NVIDIA Corporation</t>
  </si>
  <si>
    <t>Derived: FY2026 Op Income $130,387mm + D&amp;A $2,843mm (LTM proxy).</t>
  </si>
  <si>
    <t>AAPL - Apple Inc.</t>
  </si>
  <si>
    <t>Derived: FY2025 Op Income $133,050mm + D&amp;A $11,698mm (LTM proxy).</t>
  </si>
  <si>
    <t>GOOGL - Alphabet Inc.</t>
  </si>
  <si>
    <t>Derived (est.): FY2025 Op Income ~$113,100mm (9mo-annualized) + D&amp;A ~$27,000mm (mid-range est.).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</si>
</sst>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\x"/>
    <numFmt numFmtId="165" formatCode="#,##0;\(#,##0\)"/>
    <numFmt numFmtId="166" formatCode="mm/dd/yyyy"/>
    <numFmt numFmtId="167" formatCode="0.0%"/>
    <numFmt numFmtId="168" formatCode="#,##0.0"/>
    <numFmt numFmtId="169" formatCode="\$#,##0.00"/>
  </numFmts>
  <fonts count="8" x14ac:knownFonts="1">
    <font>
      <sz val="11"/>
      <color theme="1"/>
      <name val="Calibri"/>
      <family val="2"/>
      <scheme val="minor"/>
    </font>
    <font>
      <b/>
      <sz val="14"/>
      <color rgb="FF1F3864"/>
      <name val="Arial"/>
      <family val="2"/>
    </font>
    <font>
      <i/>
      <sz val="9"/>
      <color rgb="FF7F7F7F"/>
      <name val="Arial"/>
      <family val="2"/>
    </font>
    <font>
      <sz val="10"/>
      <color rgb="FF000000"/>
      <name val="Arial"/>
      <family val="2"/>
    </font>
    <font>
      <b/>
      <sz val="10"/>
      <color rgb="FFFFFFFF"/>
      <name val="Arial"/>
      <family val="2"/>
    </font>
    <font>
      <sz val="10"/>
      <color rgb="FF0000FF"/>
      <name val="Arial"/>
      <family val="2"/>
    </font>
    <font>
      <sz val="10"/>
      <color rgb="FF008000"/>
      <name val="Arial"/>
      <family val="2"/>
    </font>
    <font>
      <b/>
      <sz val="10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FFF2CC"/>
        <bgColor rgb="FFFFF2CC"/>
      </patternFill>
    </fill>
    <fill>
      <patternFill patternType="solid">
        <fgColor rgb="FFF2F2F2"/>
        <bgColor rgb="FFF2F2F2"/>
      </patternFill>
    </fill>
    <fill>
      <patternFill patternType="solid">
        <fgColor rgb="FFD9E1F2"/>
        <b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vertical="top" wrapText="1"/>
    </xf>
    <xf numFmtId="0" fontId="4" fillId="2" borderId="0" xfId="0" applyFont="1" applyFill="1"/>
    <xf numFmtId="0" fontId="5" fillId="3" borderId="0" xfId="0" applyFont="1" applyFill="1"/>
    <xf numFmtId="0" fontId="6" fillId="0" borderId="0" xfId="0" applyFont="1"/>
    <xf numFmtId="0" fontId="4" fillId="2" borderId="0" xfId="0" applyFont="1" applyFill="1" applyAlignment="1">
      <alignment horizontal="center" vertical="center" wrapText="1"/>
    </xf>
    <xf numFmtId="164" fontId="6" fillId="0" borderId="0" xfId="0" applyNumberFormat="1" applyFont="1"/>
    <xf numFmtId="165" fontId="6" fillId="0" borderId="0" xfId="0" applyNumberFormat="1" applyFont="1"/>
    <xf numFmtId="166" fontId="5" fillId="3" borderId="0" xfId="0" applyNumberFormat="1" applyFont="1" applyFill="1"/>
    <xf numFmtId="165" fontId="5" fillId="3" borderId="0" xfId="0" applyNumberFormat="1" applyFont="1" applyFill="1"/>
    <xf numFmtId="0" fontId="5" fillId="3" borderId="0" xfId="0" applyFont="1" applyFill="1" applyAlignment="1">
      <alignment vertical="top" wrapText="1"/>
    </xf>
    <xf numFmtId="167" fontId="5" fillId="3" borderId="0" xfId="0" applyNumberFormat="1" applyFont="1" applyFill="1"/>
    <xf numFmtId="1" fontId="6" fillId="0" borderId="0" xfId="0" applyNumberFormat="1" applyFont="1"/>
    <xf numFmtId="167" fontId="6" fillId="0" borderId="0" xfId="0" applyNumberFormat="1" applyFont="1"/>
    <xf numFmtId="0" fontId="6" fillId="4" borderId="0" xfId="0" applyFont="1" applyFill="1"/>
    <xf numFmtId="1" fontId="6" fillId="4" borderId="0" xfId="0" applyNumberFormat="1" applyFont="1" applyFill="1"/>
    <xf numFmtId="164" fontId="6" fillId="4" borderId="0" xfId="0" applyNumberFormat="1" applyFont="1" applyFill="1"/>
    <xf numFmtId="167" fontId="6" fillId="4" borderId="0" xfId="0" applyNumberFormat="1" applyFont="1" applyFill="1"/>
    <xf numFmtId="0" fontId="3" fillId="4" borderId="0" xfId="0" applyFont="1" applyFill="1"/>
    <xf numFmtId="0" fontId="7" fillId="0" borderId="0" xfId="0" applyFont="1"/>
    <xf numFmtId="164" fontId="3" fillId="5" borderId="0" xfId="0" applyNumberFormat="1" applyFont="1" applyFill="1"/>
    <xf numFmtId="164" fontId="3" fillId="0" borderId="0" xfId="0" applyNumberFormat="1" applyFont="1"/>
    <xf numFmtId="165" fontId="3" fillId="0" borderId="0" xfId="0" applyNumberFormat="1" applyFont="1"/>
    <xf numFmtId="168" fontId="5" fillId="3" borderId="0" xfId="0" applyNumberFormat="1" applyFont="1" applyFill="1"/>
    <xf numFmtId="169" fontId="5" fillId="3" borderId="0" xfId="0" applyNumberFormat="1" applyFont="1" applyFill="1"/>
    <xf numFmtId="165" fontId="3" fillId="5" borderId="0" xfId="0" applyNumberFormat="1" applyFont="1" applyFill="1"/>
    <xf numFmtId="169" fontId="3" fillId="0" borderId="0" xfId="0" applyNumberFormat="1" applyFont="1"/>
    <xf numFmtId="167" fontId="3" fillId="0" borderId="0" xfId="0" applyNumberFormat="1" applyFont="1"/>
    <xf numFmtId="0" fontId="2" fillId="0" borderId="0" xfId="0" applyFont="1" applyAlignment="1">
      <alignment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29"/>
  <sheetViews>
    <sheetView showGridLines="0" tabSelected="1" workbookViewId="0"/>
  </sheetViews>
  <sheetFormatPr baseColWidth="10" defaultColWidth="8.83203125" defaultRowHeight="15" x14ac:dyDescent="0.2"/>
  <cols>
    <col min="1" max="1" width="2" customWidth="1"/>
    <col min="2" max="2" width="40" customWidth="1"/>
    <col min="3" max="6" width="22" customWidth="1"/>
  </cols>
  <sheetData>
    <row r="2" spans="2:6" ht="18" customHeight="1" x14ac:dyDescent="0.2">
      <c r="B2" s="1" t="s">
        <v>0</v>
      </c>
    </row>
    <row r="3" spans="2:6" x14ac:dyDescent="0.2">
      <c r="B3" s="2" t="s">
        <v>1</v>
      </c>
    </row>
    <row r="5" spans="2:6" x14ac:dyDescent="0.2">
      <c r="B5" s="3" t="s">
        <v>2</v>
      </c>
    </row>
    <row r="6" spans="2:6" x14ac:dyDescent="0.2">
      <c r="B6" s="3" t="s">
        <v>3</v>
      </c>
    </row>
    <row r="8" spans="2:6" ht="90" customHeight="1" x14ac:dyDescent="0.2">
      <c r="B8" s="31" t="s">
        <v>4</v>
      </c>
      <c r="C8" s="32"/>
      <c r="D8" s="32"/>
      <c r="E8" s="32"/>
      <c r="F8" s="32"/>
    </row>
    <row r="11" spans="2:6" x14ac:dyDescent="0.2">
      <c r="B11" s="5" t="s">
        <v>5</v>
      </c>
      <c r="C11" s="5"/>
      <c r="D11" s="5"/>
      <c r="E11" s="5"/>
      <c r="F11" s="5"/>
    </row>
    <row r="12" spans="2:6" x14ac:dyDescent="0.2">
      <c r="B12" s="6" t="s">
        <v>6</v>
      </c>
      <c r="C12" s="2" t="s">
        <v>7</v>
      </c>
    </row>
    <row r="13" spans="2:6" x14ac:dyDescent="0.2">
      <c r="B13" s="3">
        <f>1+1</f>
        <v>2</v>
      </c>
      <c r="C13" s="2" t="s">
        <v>8</v>
      </c>
    </row>
    <row r="14" spans="2:6" x14ac:dyDescent="0.2">
      <c r="B14" s="7" t="str">
        <f>Inputs!B6</f>
        <v>Broadcom / VMware</v>
      </c>
      <c r="C14" s="2" t="s">
        <v>9</v>
      </c>
    </row>
    <row r="16" spans="2:6" x14ac:dyDescent="0.2">
      <c r="B16" s="5" t="s">
        <v>10</v>
      </c>
      <c r="C16" s="5"/>
      <c r="D16" s="5"/>
      <c r="E16" s="5"/>
      <c r="F16" s="5"/>
    </row>
    <row r="17" spans="2:6" x14ac:dyDescent="0.2">
      <c r="B17" s="3" t="s">
        <v>11</v>
      </c>
      <c r="C17" s="2" t="s">
        <v>12</v>
      </c>
    </row>
    <row r="18" spans="2:6" x14ac:dyDescent="0.2">
      <c r="B18" s="3" t="s">
        <v>13</v>
      </c>
      <c r="C18" s="2" t="s">
        <v>14</v>
      </c>
    </row>
    <row r="19" spans="2:6" x14ac:dyDescent="0.2">
      <c r="B19" s="3" t="s">
        <v>15</v>
      </c>
      <c r="C19" s="2" t="s">
        <v>16</v>
      </c>
    </row>
    <row r="20" spans="2:6" x14ac:dyDescent="0.2">
      <c r="B20" s="3" t="s">
        <v>17</v>
      </c>
      <c r="C20" s="2" t="s">
        <v>18</v>
      </c>
    </row>
    <row r="22" spans="2:6" x14ac:dyDescent="0.2">
      <c r="B22" s="5" t="s">
        <v>19</v>
      </c>
      <c r="C22" s="5"/>
      <c r="D22" s="5"/>
      <c r="E22" s="5"/>
      <c r="F22" s="5"/>
    </row>
    <row r="23" spans="2:6" x14ac:dyDescent="0.2">
      <c r="B23" s="8" t="s">
        <v>20</v>
      </c>
      <c r="C23" s="8" t="s">
        <v>21</v>
      </c>
      <c r="D23" s="8" t="s">
        <v>22</v>
      </c>
      <c r="E23" s="8" t="s">
        <v>23</v>
      </c>
      <c r="F23" s="8" t="s">
        <v>24</v>
      </c>
    </row>
    <row r="24" spans="2:6" x14ac:dyDescent="0.2">
      <c r="B24" s="3" t="s">
        <v>25</v>
      </c>
      <c r="C24" s="9">
        <f>Precedents!C24</f>
        <v>6.8622105890364313</v>
      </c>
      <c r="D24" s="9">
        <f>Precedents!C25</f>
        <v>4.7887931034482758</v>
      </c>
      <c r="E24" s="9">
        <f>Precedents!C22</f>
        <v>8.9841207349081369</v>
      </c>
      <c r="F24" s="10">
        <f>Precedents!C28</f>
        <v>10</v>
      </c>
    </row>
    <row r="25" spans="2:6" x14ac:dyDescent="0.2">
      <c r="B25" s="3" t="s">
        <v>26</v>
      </c>
      <c r="C25" s="9">
        <f>Precedents!D24</f>
        <v>19.790697674418606</v>
      </c>
      <c r="D25" s="9">
        <f>Precedents!D25</f>
        <v>18.019281914893618</v>
      </c>
      <c r="E25" s="9">
        <f>Precedents!D22</f>
        <v>36.627435305264406</v>
      </c>
      <c r="F25" s="10">
        <f>Precedents!D28</f>
        <v>7</v>
      </c>
    </row>
    <row r="29" spans="2:6" ht="78" customHeight="1" x14ac:dyDescent="0.2">
      <c r="B29" s="4" t="s">
        <v>27</v>
      </c>
    </row>
  </sheetData>
  <mergeCells count="1">
    <mergeCell ref="B8:F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P20"/>
  <sheetViews>
    <sheetView showGridLines="0" workbookViewId="0">
      <pane xSplit="2" ySplit="5" topLeftCell="C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2" customWidth="1"/>
    <col min="2" max="2" width="30" customWidth="1"/>
    <col min="3" max="3" width="12" customWidth="1"/>
    <col min="4" max="4" width="16" customWidth="1"/>
    <col min="5" max="5" width="12" customWidth="1"/>
    <col min="6" max="6" width="34" customWidth="1"/>
    <col min="7" max="7" width="40" customWidth="1"/>
    <col min="8" max="12" width="13" customWidth="1"/>
    <col min="13" max="13" width="11" customWidth="1"/>
    <col min="14" max="14" width="9" customWidth="1"/>
    <col min="15" max="15" width="46" customWidth="1"/>
    <col min="16" max="16" width="40" customWidth="1"/>
  </cols>
  <sheetData>
    <row r="2" spans="2:16" ht="18" customHeight="1" x14ac:dyDescent="0.2">
      <c r="B2" s="1" t="s">
        <v>28</v>
      </c>
    </row>
    <row r="3" spans="2:16" x14ac:dyDescent="0.2">
      <c r="B3" s="2" t="s">
        <v>29</v>
      </c>
    </row>
    <row r="5" spans="2:16" ht="32" customHeight="1" x14ac:dyDescent="0.2">
      <c r="B5" s="8" t="s">
        <v>30</v>
      </c>
      <c r="C5" s="8" t="s">
        <v>31</v>
      </c>
      <c r="D5" s="8" t="s">
        <v>32</v>
      </c>
      <c r="E5" s="8" t="s">
        <v>33</v>
      </c>
      <c r="F5" s="8" t="s">
        <v>34</v>
      </c>
      <c r="G5" s="8" t="s">
        <v>35</v>
      </c>
      <c r="H5" s="8" t="s">
        <v>36</v>
      </c>
      <c r="I5" s="8" t="s">
        <v>37</v>
      </c>
      <c r="J5" s="8" t="s">
        <v>38</v>
      </c>
      <c r="K5" s="8" t="s">
        <v>39</v>
      </c>
      <c r="L5" s="8" t="s">
        <v>40</v>
      </c>
      <c r="M5" s="8" t="s">
        <v>41</v>
      </c>
      <c r="N5" s="8" t="s">
        <v>42</v>
      </c>
      <c r="O5" s="8" t="s">
        <v>43</v>
      </c>
      <c r="P5" s="8" t="s">
        <v>44</v>
      </c>
    </row>
    <row r="6" spans="2:16" ht="30" customHeight="1" x14ac:dyDescent="0.2">
      <c r="B6" s="6" t="s">
        <v>45</v>
      </c>
      <c r="C6" s="6" t="s">
        <v>46</v>
      </c>
      <c r="D6" s="6" t="s">
        <v>47</v>
      </c>
      <c r="E6" s="11">
        <v>44707</v>
      </c>
      <c r="F6" s="6" t="s">
        <v>48</v>
      </c>
      <c r="G6" s="6" t="s">
        <v>49</v>
      </c>
      <c r="H6" s="12">
        <v>79000</v>
      </c>
      <c r="I6" s="12">
        <v>69000</v>
      </c>
      <c r="J6" s="12">
        <v>13350</v>
      </c>
      <c r="K6" s="12">
        <v>4700</v>
      </c>
      <c r="L6" s="6" t="s">
        <v>50</v>
      </c>
      <c r="M6" s="6" t="s">
        <v>50</v>
      </c>
      <c r="N6" s="6">
        <v>1</v>
      </c>
      <c r="O6" s="13" t="s">
        <v>51</v>
      </c>
      <c r="P6" s="13" t="s">
        <v>52</v>
      </c>
    </row>
    <row r="7" spans="2:16" ht="30" customHeight="1" x14ac:dyDescent="0.2">
      <c r="B7" s="6" t="s">
        <v>53</v>
      </c>
      <c r="C7" s="6" t="s">
        <v>54</v>
      </c>
      <c r="D7" s="6" t="s">
        <v>55</v>
      </c>
      <c r="E7" s="11">
        <v>44579</v>
      </c>
      <c r="F7" s="6" t="s">
        <v>56</v>
      </c>
      <c r="G7" s="6" t="s">
        <v>57</v>
      </c>
      <c r="H7" s="12">
        <v>68700</v>
      </c>
      <c r="I7" s="12">
        <v>68700</v>
      </c>
      <c r="J7" s="12">
        <v>8800</v>
      </c>
      <c r="K7" s="12">
        <v>1732</v>
      </c>
      <c r="L7" s="6" t="s">
        <v>50</v>
      </c>
      <c r="M7" s="14">
        <v>0.46200000000000002</v>
      </c>
      <c r="N7" s="6">
        <v>1</v>
      </c>
      <c r="O7" s="13" t="s">
        <v>58</v>
      </c>
      <c r="P7" s="13" t="s">
        <v>59</v>
      </c>
    </row>
    <row r="8" spans="2:16" ht="30" customHeight="1" x14ac:dyDescent="0.2">
      <c r="B8" s="6" t="s">
        <v>60</v>
      </c>
      <c r="C8" s="6" t="s">
        <v>61</v>
      </c>
      <c r="D8" s="6" t="s">
        <v>62</v>
      </c>
      <c r="E8" s="11">
        <v>45210</v>
      </c>
      <c r="F8" s="6" t="s">
        <v>63</v>
      </c>
      <c r="G8" s="6" t="s">
        <v>64</v>
      </c>
      <c r="H8" s="12">
        <v>64500</v>
      </c>
      <c r="I8" s="12">
        <v>59500</v>
      </c>
      <c r="J8" s="12">
        <v>19370</v>
      </c>
      <c r="K8" s="6" t="s">
        <v>50</v>
      </c>
      <c r="L8" s="6" t="s">
        <v>50</v>
      </c>
      <c r="M8" s="14">
        <v>0.18</v>
      </c>
      <c r="N8" s="6">
        <v>1</v>
      </c>
      <c r="O8" s="13" t="s">
        <v>65</v>
      </c>
      <c r="P8" s="13" t="s">
        <v>66</v>
      </c>
    </row>
    <row r="9" spans="2:16" ht="30" customHeight="1" x14ac:dyDescent="0.2">
      <c r="B9" s="6" t="s">
        <v>67</v>
      </c>
      <c r="C9" s="6" t="s">
        <v>68</v>
      </c>
      <c r="D9" s="6" t="s">
        <v>69</v>
      </c>
      <c r="E9" s="11">
        <v>43083</v>
      </c>
      <c r="F9" s="6" t="s">
        <v>70</v>
      </c>
      <c r="G9" s="6" t="s">
        <v>71</v>
      </c>
      <c r="H9" s="12">
        <v>85100</v>
      </c>
      <c r="I9" s="12">
        <v>71300</v>
      </c>
      <c r="J9" s="12">
        <v>20200</v>
      </c>
      <c r="K9" s="12">
        <v>4300</v>
      </c>
      <c r="L9" s="6" t="s">
        <v>50</v>
      </c>
      <c r="M9" s="14">
        <v>0.46200000000000002</v>
      </c>
      <c r="N9" s="6">
        <v>1</v>
      </c>
      <c r="O9" s="13" t="s">
        <v>72</v>
      </c>
      <c r="P9" s="13" t="s">
        <v>73</v>
      </c>
    </row>
    <row r="10" spans="2:16" ht="30" customHeight="1" x14ac:dyDescent="0.2">
      <c r="B10" s="6" t="s">
        <v>74</v>
      </c>
      <c r="C10" s="6" t="s">
        <v>75</v>
      </c>
      <c r="D10" s="6" t="s">
        <v>76</v>
      </c>
      <c r="E10" s="11">
        <v>44676</v>
      </c>
      <c r="F10" s="6" t="s">
        <v>77</v>
      </c>
      <c r="G10" s="6" t="s">
        <v>78</v>
      </c>
      <c r="H10" s="12">
        <v>46064</v>
      </c>
      <c r="I10" s="12">
        <v>44000</v>
      </c>
      <c r="J10" s="12">
        <v>5080</v>
      </c>
      <c r="K10" s="12">
        <v>682</v>
      </c>
      <c r="L10" s="6" t="s">
        <v>50</v>
      </c>
      <c r="M10" s="14">
        <v>0.379</v>
      </c>
      <c r="N10" s="6">
        <v>1</v>
      </c>
      <c r="O10" s="13" t="s">
        <v>79</v>
      </c>
      <c r="P10" s="13" t="s">
        <v>80</v>
      </c>
    </row>
    <row r="11" spans="2:16" ht="30" customHeight="1" x14ac:dyDescent="0.2">
      <c r="B11" s="6" t="s">
        <v>81</v>
      </c>
      <c r="C11" s="6" t="s">
        <v>82</v>
      </c>
      <c r="D11" s="6" t="s">
        <v>83</v>
      </c>
      <c r="E11" s="11">
        <v>44166</v>
      </c>
      <c r="F11" s="6" t="s">
        <v>84</v>
      </c>
      <c r="G11" s="6" t="s">
        <v>85</v>
      </c>
      <c r="H11" s="12">
        <v>27700</v>
      </c>
      <c r="I11" s="12">
        <v>27700</v>
      </c>
      <c r="J11" s="12">
        <v>630</v>
      </c>
      <c r="K11" s="12">
        <v>-555</v>
      </c>
      <c r="L11" s="6" t="s">
        <v>50</v>
      </c>
      <c r="M11" s="14">
        <v>0.54</v>
      </c>
      <c r="N11" s="6">
        <v>1</v>
      </c>
      <c r="O11" s="13" t="s">
        <v>86</v>
      </c>
      <c r="P11" s="13" t="s">
        <v>87</v>
      </c>
    </row>
    <row r="12" spans="2:16" ht="30" customHeight="1" x14ac:dyDescent="0.2">
      <c r="B12" s="6" t="s">
        <v>88</v>
      </c>
      <c r="C12" s="6" t="s">
        <v>89</v>
      </c>
      <c r="D12" s="6" t="s">
        <v>90</v>
      </c>
      <c r="E12" s="11">
        <v>44131</v>
      </c>
      <c r="F12" s="6" t="s">
        <v>91</v>
      </c>
      <c r="G12" s="6" t="s">
        <v>92</v>
      </c>
      <c r="H12" s="12">
        <v>48800</v>
      </c>
      <c r="I12" s="12" t="s">
        <v>50</v>
      </c>
      <c r="J12" s="12">
        <v>3000</v>
      </c>
      <c r="K12" s="6" t="s">
        <v>50</v>
      </c>
      <c r="L12" s="6" t="s">
        <v>50</v>
      </c>
      <c r="M12" s="14">
        <v>0.3</v>
      </c>
      <c r="N12" s="6">
        <v>1</v>
      </c>
      <c r="O12" s="13" t="s">
        <v>93</v>
      </c>
      <c r="P12" s="13" t="s">
        <v>94</v>
      </c>
    </row>
    <row r="13" spans="2:16" ht="30" customHeight="1" x14ac:dyDescent="0.2">
      <c r="B13" s="6" t="s">
        <v>95</v>
      </c>
      <c r="C13" s="6" t="s">
        <v>96</v>
      </c>
      <c r="D13" s="6" t="s">
        <v>97</v>
      </c>
      <c r="E13" s="11">
        <v>43535</v>
      </c>
      <c r="F13" s="6" t="s">
        <v>98</v>
      </c>
      <c r="G13" s="6" t="s">
        <v>99</v>
      </c>
      <c r="H13" s="12">
        <v>6900</v>
      </c>
      <c r="I13" s="12">
        <v>6900</v>
      </c>
      <c r="J13" s="12">
        <v>1450</v>
      </c>
      <c r="K13" s="12">
        <v>376</v>
      </c>
      <c r="L13" s="6" t="s">
        <v>50</v>
      </c>
      <c r="M13" s="14">
        <v>0.14299999999999999</v>
      </c>
      <c r="N13" s="6">
        <v>1</v>
      </c>
      <c r="O13" s="13" t="s">
        <v>100</v>
      </c>
      <c r="P13" s="13" t="s">
        <v>101</v>
      </c>
    </row>
    <row r="14" spans="2:16" ht="30" customHeight="1" x14ac:dyDescent="0.2">
      <c r="B14" s="6" t="s">
        <v>102</v>
      </c>
      <c r="C14" s="6" t="s">
        <v>54</v>
      </c>
      <c r="D14" s="6" t="s">
        <v>103</v>
      </c>
      <c r="E14" s="11">
        <v>42534</v>
      </c>
      <c r="F14" s="6" t="s">
        <v>104</v>
      </c>
      <c r="G14" s="6" t="s">
        <v>105</v>
      </c>
      <c r="H14" s="12">
        <v>26200</v>
      </c>
      <c r="I14" s="12">
        <v>26200</v>
      </c>
      <c r="J14" s="12">
        <v>3000</v>
      </c>
      <c r="K14" s="12">
        <v>780</v>
      </c>
      <c r="L14" s="6" t="s">
        <v>50</v>
      </c>
      <c r="M14" s="14">
        <v>0.496</v>
      </c>
      <c r="N14" s="6">
        <v>1</v>
      </c>
      <c r="O14" s="13" t="s">
        <v>106</v>
      </c>
      <c r="P14" s="13" t="s">
        <v>107</v>
      </c>
    </row>
    <row r="15" spans="2:16" ht="30" customHeight="1" x14ac:dyDescent="0.2">
      <c r="B15" s="6" t="s">
        <v>108</v>
      </c>
      <c r="C15" s="6" t="s">
        <v>109</v>
      </c>
      <c r="D15" s="6" t="s">
        <v>110</v>
      </c>
      <c r="E15" s="11">
        <v>44819</v>
      </c>
      <c r="F15" s="6" t="s">
        <v>111</v>
      </c>
      <c r="G15" s="6" t="s">
        <v>112</v>
      </c>
      <c r="H15" s="12">
        <v>20000</v>
      </c>
      <c r="I15" s="12" t="s">
        <v>50</v>
      </c>
      <c r="J15" s="12">
        <v>425</v>
      </c>
      <c r="K15" s="12">
        <v>-869</v>
      </c>
      <c r="L15" s="6" t="s">
        <v>50</v>
      </c>
      <c r="M15" s="6" t="s">
        <v>50</v>
      </c>
      <c r="N15" s="6">
        <v>0</v>
      </c>
      <c r="O15" s="13" t="s">
        <v>113</v>
      </c>
      <c r="P15" s="13" t="s">
        <v>114</v>
      </c>
    </row>
    <row r="16" spans="2:16" ht="30" customHeight="1" x14ac:dyDescent="0.2">
      <c r="B16" s="6" t="s">
        <v>115</v>
      </c>
      <c r="C16" s="6" t="s">
        <v>116</v>
      </c>
      <c r="D16" s="6" t="s">
        <v>117</v>
      </c>
      <c r="E16" s="11">
        <v>44550</v>
      </c>
      <c r="F16" s="6" t="s">
        <v>118</v>
      </c>
      <c r="G16" s="6" t="s">
        <v>119</v>
      </c>
      <c r="H16" s="12">
        <v>28300</v>
      </c>
      <c r="I16" s="12">
        <v>28300</v>
      </c>
      <c r="J16" s="12">
        <v>5800</v>
      </c>
      <c r="K16" s="12">
        <v>1600</v>
      </c>
      <c r="L16" s="6" t="s">
        <v>50</v>
      </c>
      <c r="M16" s="14">
        <v>5.8000000000000003E-2</v>
      </c>
      <c r="N16" s="6">
        <v>1</v>
      </c>
      <c r="O16" s="13" t="s">
        <v>120</v>
      </c>
      <c r="P16" s="13" t="s">
        <v>121</v>
      </c>
    </row>
    <row r="17" spans="2:16" ht="30" customHeight="1" x14ac:dyDescent="0.2">
      <c r="B17" s="6" t="s">
        <v>122</v>
      </c>
      <c r="C17" s="6" t="s">
        <v>123</v>
      </c>
      <c r="D17" s="6" t="s">
        <v>124</v>
      </c>
      <c r="E17" s="11">
        <v>44707</v>
      </c>
      <c r="F17" s="6" t="s">
        <v>125</v>
      </c>
      <c r="G17" s="6" t="s">
        <v>126</v>
      </c>
      <c r="H17" s="12">
        <v>8450</v>
      </c>
      <c r="I17" s="12">
        <v>8450</v>
      </c>
      <c r="J17" s="6" t="s">
        <v>50</v>
      </c>
      <c r="K17" s="6" t="s">
        <v>50</v>
      </c>
      <c r="L17" s="6" t="s">
        <v>50</v>
      </c>
      <c r="M17" s="14">
        <v>0.41</v>
      </c>
      <c r="N17" s="6">
        <v>0</v>
      </c>
      <c r="O17" s="13" t="s">
        <v>127</v>
      </c>
      <c r="P17" s="13" t="s">
        <v>128</v>
      </c>
    </row>
    <row r="19" spans="2:16" ht="78" customHeight="1" x14ac:dyDescent="0.2">
      <c r="B19" s="4" t="s">
        <v>129</v>
      </c>
    </row>
    <row r="20" spans="2:16" ht="65" customHeight="1" x14ac:dyDescent="0.2">
      <c r="B20" s="4" t="s">
        <v>130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N41"/>
  <sheetViews>
    <sheetView showGridLines="0" zoomScale="139" workbookViewId="0">
      <pane xSplit="2" ySplit="5" topLeftCell="C31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2" customWidth="1"/>
    <col min="2" max="2" width="30" customWidth="1"/>
    <col min="3" max="3" width="10" customWidth="1"/>
    <col min="4" max="5" width="11" customWidth="1"/>
    <col min="6" max="6" width="10" customWidth="1"/>
    <col min="7" max="7" width="8" customWidth="1"/>
    <col min="8" max="8" width="10" customWidth="1"/>
    <col min="9" max="14" width="11" hidden="1" customWidth="1"/>
  </cols>
  <sheetData>
    <row r="2" spans="2:14" ht="18" customHeight="1" x14ac:dyDescent="0.2">
      <c r="B2" s="1" t="s">
        <v>131</v>
      </c>
    </row>
    <row r="3" spans="2:14" x14ac:dyDescent="0.2">
      <c r="B3" s="2" t="s">
        <v>132</v>
      </c>
    </row>
    <row r="5" spans="2:14" ht="34" customHeight="1" x14ac:dyDescent="0.2">
      <c r="B5" s="8" t="s">
        <v>30</v>
      </c>
      <c r="C5" s="8" t="s">
        <v>133</v>
      </c>
      <c r="D5" s="8" t="s">
        <v>134</v>
      </c>
      <c r="E5" s="8" t="s">
        <v>135</v>
      </c>
      <c r="F5" s="8" t="s">
        <v>41</v>
      </c>
      <c r="G5" s="8" t="s">
        <v>136</v>
      </c>
      <c r="H5" s="8" t="s">
        <v>137</v>
      </c>
      <c r="I5" s="8" t="s">
        <v>138</v>
      </c>
      <c r="J5" s="8" t="s">
        <v>139</v>
      </c>
      <c r="K5" s="8" t="s">
        <v>140</v>
      </c>
      <c r="L5" s="8" t="s">
        <v>141</v>
      </c>
      <c r="M5" s="8" t="s">
        <v>142</v>
      </c>
      <c r="N5" s="8" t="s">
        <v>143</v>
      </c>
    </row>
    <row r="6" spans="2:14" x14ac:dyDescent="0.2">
      <c r="B6" s="7" t="str">
        <f>Inputs!B6</f>
        <v>Broadcom / VMware</v>
      </c>
      <c r="C6" s="15">
        <f>YEAR(Inputs!E6)</f>
        <v>2022</v>
      </c>
      <c r="D6" s="9">
        <f>IF(OR(ISTEXT(Inputs!J6),Inputs!J6&lt;=0),"n.m.",Inputs!H6/Inputs!J6)</f>
        <v>5.9176029962546819</v>
      </c>
      <c r="E6" s="9">
        <f>IF(OR(ISTEXT(Inputs!K6),Inputs!K6&lt;=0),"n.m.",Inputs!H6/Inputs!K6)</f>
        <v>16.808510638297872</v>
      </c>
      <c r="F6" s="16" t="str">
        <f>Inputs!M6</f>
        <v>n.a.</v>
      </c>
      <c r="G6" s="15">
        <f>Inputs!N6</f>
        <v>1</v>
      </c>
      <c r="H6" s="3" t="str">
        <f t="shared" ref="H6:H17" si="0">IF(C6&lt;=2019,"2016-19","2020-24")</f>
        <v>2020-24</v>
      </c>
      <c r="I6" s="3">
        <f t="shared" ref="I6:I17" si="1">IF(AND(G6=1,ISNUMBER(D6)),D6,"")</f>
        <v>5.9176029962546819</v>
      </c>
      <c r="J6" s="3">
        <f t="shared" ref="J6:J17" si="2">IF(AND(G6=1,ISNUMBER(E6)),E6,"")</f>
        <v>16.808510638297872</v>
      </c>
      <c r="K6" s="3" t="str">
        <f t="shared" ref="K6:K17" si="3">IF(AND(G6=1,H6="2016-19",ISNUMBER(D6)),D6,"")</f>
        <v/>
      </c>
      <c r="L6" s="3" t="str">
        <f t="shared" ref="L6:L17" si="4">IF(AND(G6=1,H6="2016-19",ISNUMBER(E6)),E6,"")</f>
        <v/>
      </c>
      <c r="M6" s="3">
        <f t="shared" ref="M6:M17" si="5">IF(AND(G6=1,H6="2020-24",ISNUMBER(D6)),D6,"")</f>
        <v>5.9176029962546819</v>
      </c>
      <c r="N6" s="3">
        <f t="shared" ref="N6:N17" si="6">IF(AND(G6=1,H6="2020-24",ISNUMBER(E6)),E6,"")</f>
        <v>16.808510638297872</v>
      </c>
    </row>
    <row r="7" spans="2:14" x14ac:dyDescent="0.2">
      <c r="B7" s="7" t="str">
        <f>Inputs!B7</f>
        <v>Microsoft / Activision Blizzard</v>
      </c>
      <c r="C7" s="15">
        <f>YEAR(Inputs!E7)</f>
        <v>2022</v>
      </c>
      <c r="D7" s="9">
        <f>IF(OR(ISTEXT(Inputs!J7),Inputs!J7&lt;=0),"n.m.",Inputs!H7/Inputs!J7)</f>
        <v>7.8068181818181817</v>
      </c>
      <c r="E7" s="9">
        <f>IF(OR(ISTEXT(Inputs!K7),Inputs!K7&lt;=0),"n.m.",Inputs!H7/Inputs!K7)</f>
        <v>39.665127020785221</v>
      </c>
      <c r="F7" s="16">
        <f>Inputs!M7</f>
        <v>0.46200000000000002</v>
      </c>
      <c r="G7" s="15">
        <f>Inputs!N7</f>
        <v>1</v>
      </c>
      <c r="H7" s="3" t="str">
        <f t="shared" si="0"/>
        <v>2020-24</v>
      </c>
      <c r="I7" s="3">
        <f t="shared" si="1"/>
        <v>7.8068181818181817</v>
      </c>
      <c r="J7" s="3">
        <f t="shared" si="2"/>
        <v>39.665127020785221</v>
      </c>
      <c r="K7" s="3" t="str">
        <f t="shared" si="3"/>
        <v/>
      </c>
      <c r="L7" s="3" t="str">
        <f t="shared" si="4"/>
        <v/>
      </c>
      <c r="M7" s="3">
        <f t="shared" si="5"/>
        <v>7.8068181818181817</v>
      </c>
      <c r="N7" s="3">
        <f t="shared" si="6"/>
        <v>39.665127020785221</v>
      </c>
    </row>
    <row r="8" spans="2:14" x14ac:dyDescent="0.2">
      <c r="B8" s="7" t="str">
        <f>Inputs!B8</f>
        <v>ExxonMobil / Pioneer Natural Resources Co.</v>
      </c>
      <c r="C8" s="15">
        <f>YEAR(Inputs!E8)</f>
        <v>2023</v>
      </c>
      <c r="D8" s="9">
        <f>IF(OR(ISTEXT(Inputs!J8),Inputs!J8&lt;=0),"n.m.",Inputs!H8/Inputs!J8)</f>
        <v>3.329891584925142</v>
      </c>
      <c r="E8" s="9" t="str">
        <f>IF(OR(ISTEXT(Inputs!K8),Inputs!K8&lt;=0),"n.m.",Inputs!H8/Inputs!K8)</f>
        <v>n.m.</v>
      </c>
      <c r="F8" s="16">
        <f>Inputs!M8</f>
        <v>0.18</v>
      </c>
      <c r="G8" s="15">
        <f>Inputs!N8</f>
        <v>1</v>
      </c>
      <c r="H8" s="3" t="str">
        <f t="shared" si="0"/>
        <v>2020-24</v>
      </c>
      <c r="I8" s="3">
        <f t="shared" si="1"/>
        <v>3.329891584925142</v>
      </c>
      <c r="J8" s="3" t="str">
        <f t="shared" si="2"/>
        <v/>
      </c>
      <c r="K8" s="3" t="str">
        <f t="shared" si="3"/>
        <v/>
      </c>
      <c r="L8" s="3" t="str">
        <f t="shared" si="4"/>
        <v/>
      </c>
      <c r="M8" s="3">
        <f t="shared" si="5"/>
        <v>3.329891584925142</v>
      </c>
      <c r="N8" s="3" t="str">
        <f t="shared" si="6"/>
        <v/>
      </c>
    </row>
    <row r="9" spans="2:14" x14ac:dyDescent="0.2">
      <c r="B9" s="7" t="str">
        <f>Inputs!B9</f>
        <v>Disney / 21st Century Fox</v>
      </c>
      <c r="C9" s="15">
        <f>YEAR(Inputs!E9)</f>
        <v>2017</v>
      </c>
      <c r="D9" s="9">
        <f>IF(OR(ISTEXT(Inputs!J9),Inputs!J9&lt;=0),"n.m.",Inputs!H9/Inputs!J9)</f>
        <v>4.2128712871287126</v>
      </c>
      <c r="E9" s="9">
        <f>IF(OR(ISTEXT(Inputs!K9),Inputs!K9&lt;=0),"n.m.",Inputs!H9/Inputs!K9)</f>
        <v>19.790697674418606</v>
      </c>
      <c r="F9" s="16">
        <f>Inputs!M9</f>
        <v>0.46200000000000002</v>
      </c>
      <c r="G9" s="15">
        <f>Inputs!N9</f>
        <v>1</v>
      </c>
      <c r="H9" s="3" t="str">
        <f t="shared" si="0"/>
        <v>2016-19</v>
      </c>
      <c r="I9" s="3">
        <f t="shared" si="1"/>
        <v>4.2128712871287126</v>
      </c>
      <c r="J9" s="3">
        <f t="shared" si="2"/>
        <v>19.790697674418606</v>
      </c>
      <c r="K9" s="3">
        <f t="shared" si="3"/>
        <v>4.2128712871287126</v>
      </c>
      <c r="L9" s="3">
        <f t="shared" si="4"/>
        <v>19.790697674418606</v>
      </c>
      <c r="M9" s="3" t="str">
        <f t="shared" si="5"/>
        <v/>
      </c>
      <c r="N9" s="3" t="str">
        <f t="shared" si="6"/>
        <v/>
      </c>
    </row>
    <row r="10" spans="2:14" x14ac:dyDescent="0.2">
      <c r="B10" s="7" t="str">
        <f>Inputs!B10</f>
        <v>Elon Musk / X Holdings / Twitter</v>
      </c>
      <c r="C10" s="15">
        <f>YEAR(Inputs!E10)</f>
        <v>2022</v>
      </c>
      <c r="D10" s="9">
        <f>IF(OR(ISTEXT(Inputs!J10),Inputs!J10&lt;=0),"n.m.",Inputs!H10/Inputs!J10)</f>
        <v>9.0677165354330711</v>
      </c>
      <c r="E10" s="9">
        <f>IF(OR(ISTEXT(Inputs!K10),Inputs!K10&lt;=0),"n.m.",Inputs!H10/Inputs!K10)</f>
        <v>67.542521994134901</v>
      </c>
      <c r="F10" s="16">
        <f>Inputs!M10</f>
        <v>0.379</v>
      </c>
      <c r="G10" s="15">
        <f>Inputs!N10</f>
        <v>1</v>
      </c>
      <c r="H10" s="3" t="str">
        <f t="shared" si="0"/>
        <v>2020-24</v>
      </c>
      <c r="I10" s="3">
        <f t="shared" si="1"/>
        <v>9.0677165354330711</v>
      </c>
      <c r="J10" s="3">
        <f t="shared" si="2"/>
        <v>67.542521994134901</v>
      </c>
      <c r="K10" s="3" t="str">
        <f t="shared" si="3"/>
        <v/>
      </c>
      <c r="L10" s="3" t="str">
        <f t="shared" si="4"/>
        <v/>
      </c>
      <c r="M10" s="3">
        <f t="shared" si="5"/>
        <v>9.0677165354330711</v>
      </c>
      <c r="N10" s="3">
        <f t="shared" si="6"/>
        <v>67.542521994134901</v>
      </c>
    </row>
    <row r="11" spans="2:14" x14ac:dyDescent="0.2">
      <c r="B11" s="7" t="str">
        <f>Inputs!B11</f>
        <v>Salesforce / Slack Technologies</v>
      </c>
      <c r="C11" s="15">
        <f>YEAR(Inputs!E11)</f>
        <v>2020</v>
      </c>
      <c r="D11" s="9">
        <f>IF(OR(ISTEXT(Inputs!J11),Inputs!J11&lt;=0),"n.m.",Inputs!H11/Inputs!J11)</f>
        <v>43.968253968253968</v>
      </c>
      <c r="E11" s="9" t="str">
        <f>IF(OR(ISTEXT(Inputs!K11),Inputs!K11&lt;=0),"n.m.",Inputs!H11/Inputs!K11)</f>
        <v>n.m.</v>
      </c>
      <c r="F11" s="16">
        <f>Inputs!M11</f>
        <v>0.54</v>
      </c>
      <c r="G11" s="15">
        <f>Inputs!N11</f>
        <v>1</v>
      </c>
      <c r="H11" s="3" t="str">
        <f t="shared" si="0"/>
        <v>2020-24</v>
      </c>
      <c r="I11" s="3">
        <f t="shared" si="1"/>
        <v>43.968253968253968</v>
      </c>
      <c r="J11" s="3" t="str">
        <f t="shared" si="2"/>
        <v/>
      </c>
      <c r="K11" s="3" t="str">
        <f t="shared" si="3"/>
        <v/>
      </c>
      <c r="L11" s="3" t="str">
        <f t="shared" si="4"/>
        <v/>
      </c>
      <c r="M11" s="3">
        <f t="shared" si="5"/>
        <v>43.968253968253968</v>
      </c>
      <c r="N11" s="3" t="str">
        <f t="shared" si="6"/>
        <v/>
      </c>
    </row>
    <row r="12" spans="2:14" x14ac:dyDescent="0.2">
      <c r="B12" s="7" t="str">
        <f>Inputs!B12</f>
        <v>AMD / Xilinx</v>
      </c>
      <c r="C12" s="15">
        <f>YEAR(Inputs!E12)</f>
        <v>2020</v>
      </c>
      <c r="D12" s="9">
        <f>IF(OR(ISTEXT(Inputs!J12),Inputs!J12&lt;=0),"n.m.",Inputs!H12/Inputs!J12)</f>
        <v>16.266666666666666</v>
      </c>
      <c r="E12" s="9" t="str">
        <f>IF(OR(ISTEXT(Inputs!K12),Inputs!K12&lt;=0),"n.m.",Inputs!H12/Inputs!K12)</f>
        <v>n.m.</v>
      </c>
      <c r="F12" s="16">
        <f>Inputs!M12</f>
        <v>0.3</v>
      </c>
      <c r="G12" s="15">
        <f>Inputs!N12</f>
        <v>1</v>
      </c>
      <c r="H12" s="3" t="str">
        <f t="shared" si="0"/>
        <v>2020-24</v>
      </c>
      <c r="I12" s="3">
        <f t="shared" si="1"/>
        <v>16.266666666666666</v>
      </c>
      <c r="J12" s="3" t="str">
        <f t="shared" si="2"/>
        <v/>
      </c>
      <c r="K12" s="3" t="str">
        <f t="shared" si="3"/>
        <v/>
      </c>
      <c r="L12" s="3" t="str">
        <f t="shared" si="4"/>
        <v/>
      </c>
      <c r="M12" s="3">
        <f t="shared" si="5"/>
        <v>16.266666666666666</v>
      </c>
      <c r="N12" s="3" t="str">
        <f t="shared" si="6"/>
        <v/>
      </c>
    </row>
    <row r="13" spans="2:14" x14ac:dyDescent="0.2">
      <c r="B13" s="7" t="str">
        <f>Inputs!B13</f>
        <v>Nvidia / Mellanox Technologies</v>
      </c>
      <c r="C13" s="15">
        <f>YEAR(Inputs!E13)</f>
        <v>2019</v>
      </c>
      <c r="D13" s="9">
        <f>IF(OR(ISTEXT(Inputs!J13),Inputs!J13&lt;=0),"n.m.",Inputs!H13/Inputs!J13)</f>
        <v>4.7586206896551726</v>
      </c>
      <c r="E13" s="9">
        <f>IF(OR(ISTEXT(Inputs!K13),Inputs!K13&lt;=0),"n.m.",Inputs!H13/Inputs!K13)</f>
        <v>18.351063829787233</v>
      </c>
      <c r="F13" s="16">
        <f>Inputs!M13</f>
        <v>0.14299999999999999</v>
      </c>
      <c r="G13" s="15">
        <f>Inputs!N13</f>
        <v>1</v>
      </c>
      <c r="H13" s="3" t="str">
        <f t="shared" si="0"/>
        <v>2016-19</v>
      </c>
      <c r="I13" s="3">
        <f t="shared" si="1"/>
        <v>4.7586206896551726</v>
      </c>
      <c r="J13" s="3">
        <f t="shared" si="2"/>
        <v>18.351063829787233</v>
      </c>
      <c r="K13" s="3">
        <f t="shared" si="3"/>
        <v>4.7586206896551726</v>
      </c>
      <c r="L13" s="3">
        <f t="shared" si="4"/>
        <v>18.351063829787233</v>
      </c>
      <c r="M13" s="3" t="str">
        <f t="shared" si="5"/>
        <v/>
      </c>
      <c r="N13" s="3" t="str">
        <f t="shared" si="6"/>
        <v/>
      </c>
    </row>
    <row r="14" spans="2:14" x14ac:dyDescent="0.2">
      <c r="B14" s="7" t="str">
        <f>Inputs!B14</f>
        <v>Microsoft / LinkedIn Corporation</v>
      </c>
      <c r="C14" s="15">
        <f>YEAR(Inputs!E14)</f>
        <v>2016</v>
      </c>
      <c r="D14" s="9">
        <f>IF(OR(ISTEXT(Inputs!J14),Inputs!J14&lt;=0),"n.m.",Inputs!H14/Inputs!J14)</f>
        <v>8.7333333333333325</v>
      </c>
      <c r="E14" s="9">
        <f>IF(OR(ISTEXT(Inputs!K14),Inputs!K14&lt;=0),"n.m.",Inputs!H14/Inputs!K14)</f>
        <v>33.589743589743591</v>
      </c>
      <c r="F14" s="16">
        <f>Inputs!M14</f>
        <v>0.496</v>
      </c>
      <c r="G14" s="15">
        <f>Inputs!N14</f>
        <v>1</v>
      </c>
      <c r="H14" s="3" t="str">
        <f t="shared" si="0"/>
        <v>2016-19</v>
      </c>
      <c r="I14" s="3">
        <f t="shared" si="1"/>
        <v>8.7333333333333325</v>
      </c>
      <c r="J14" s="3">
        <f t="shared" si="2"/>
        <v>33.589743589743591</v>
      </c>
      <c r="K14" s="3">
        <f t="shared" si="3"/>
        <v>8.7333333333333325</v>
      </c>
      <c r="L14" s="3">
        <f t="shared" si="4"/>
        <v>33.589743589743591</v>
      </c>
      <c r="M14" s="3" t="str">
        <f t="shared" si="5"/>
        <v/>
      </c>
      <c r="N14" s="3" t="str">
        <f t="shared" si="6"/>
        <v/>
      </c>
    </row>
    <row r="15" spans="2:14" x14ac:dyDescent="0.2">
      <c r="B15" s="17" t="str">
        <f>Inputs!B15</f>
        <v>Adobe / Figma</v>
      </c>
      <c r="C15" s="18">
        <f>YEAR(Inputs!E15)</f>
        <v>2022</v>
      </c>
      <c r="D15" s="19">
        <f>IF(OR(ISTEXT(Inputs!J15),Inputs!J15&lt;=0),"n.m.",Inputs!H15/Inputs!J15)</f>
        <v>47.058823529411768</v>
      </c>
      <c r="E15" s="19" t="str">
        <f>IF(OR(ISTEXT(Inputs!K15),Inputs!K15&lt;=0),"n.m.",Inputs!H15/Inputs!K15)</f>
        <v>n.m.</v>
      </c>
      <c r="F15" s="20" t="str">
        <f>Inputs!M15</f>
        <v>n.a.</v>
      </c>
      <c r="G15" s="18">
        <f>Inputs!N15</f>
        <v>0</v>
      </c>
      <c r="H15" s="21" t="str">
        <f t="shared" si="0"/>
        <v>2020-24</v>
      </c>
      <c r="I15" s="21" t="str">
        <f t="shared" si="1"/>
        <v/>
      </c>
      <c r="J15" s="21" t="str">
        <f t="shared" si="2"/>
        <v/>
      </c>
      <c r="K15" s="21" t="str">
        <f t="shared" si="3"/>
        <v/>
      </c>
      <c r="L15" s="21" t="str">
        <f t="shared" si="4"/>
        <v/>
      </c>
      <c r="M15" s="21" t="str">
        <f t="shared" si="5"/>
        <v/>
      </c>
      <c r="N15" s="21" t="str">
        <f t="shared" si="6"/>
        <v/>
      </c>
    </row>
    <row r="16" spans="2:14" x14ac:dyDescent="0.2">
      <c r="B16" s="7" t="str">
        <f>Inputs!B16</f>
        <v>Oracle / Cerner Corporation</v>
      </c>
      <c r="C16" s="15">
        <f>YEAR(Inputs!E16)</f>
        <v>2021</v>
      </c>
      <c r="D16" s="9">
        <f>IF(OR(ISTEXT(Inputs!J16),Inputs!J16&lt;=0),"n.m.",Inputs!H16/Inputs!J16)</f>
        <v>4.8793103448275863</v>
      </c>
      <c r="E16" s="9">
        <f>IF(OR(ISTEXT(Inputs!K16),Inputs!K16&lt;=0),"n.m.",Inputs!H16/Inputs!K16)</f>
        <v>17.6875</v>
      </c>
      <c r="F16" s="16">
        <f>Inputs!M16</f>
        <v>5.8000000000000003E-2</v>
      </c>
      <c r="G16" s="15">
        <f>Inputs!N16</f>
        <v>1</v>
      </c>
      <c r="H16" s="3" t="str">
        <f t="shared" si="0"/>
        <v>2020-24</v>
      </c>
      <c r="I16" s="3">
        <f t="shared" si="1"/>
        <v>4.8793103448275863</v>
      </c>
      <c r="J16" s="3">
        <f t="shared" si="2"/>
        <v>17.6875</v>
      </c>
      <c r="K16" s="3" t="str">
        <f t="shared" si="3"/>
        <v/>
      </c>
      <c r="L16" s="3" t="str">
        <f t="shared" si="4"/>
        <v/>
      </c>
      <c r="M16" s="3">
        <f t="shared" si="5"/>
        <v>4.8793103448275863</v>
      </c>
      <c r="N16" s="3">
        <f t="shared" si="6"/>
        <v>17.6875</v>
      </c>
    </row>
    <row r="17" spans="2:14" x14ac:dyDescent="0.2">
      <c r="B17" s="17" t="str">
        <f>Inputs!B17</f>
        <v>Amazon / MGM Holdings Inc.</v>
      </c>
      <c r="C17" s="18">
        <f>YEAR(Inputs!E17)</f>
        <v>2022</v>
      </c>
      <c r="D17" s="19" t="str">
        <f>IF(OR(ISTEXT(Inputs!J17),Inputs!J17&lt;=0),"n.m.",Inputs!H17/Inputs!J17)</f>
        <v>n.m.</v>
      </c>
      <c r="E17" s="19" t="str">
        <f>IF(OR(ISTEXT(Inputs!K17),Inputs!K17&lt;=0),"n.m.",Inputs!H17/Inputs!K17)</f>
        <v>n.m.</v>
      </c>
      <c r="F17" s="20">
        <f>Inputs!M17</f>
        <v>0.41</v>
      </c>
      <c r="G17" s="18">
        <f>Inputs!N17</f>
        <v>0</v>
      </c>
      <c r="H17" s="21" t="str">
        <f t="shared" si="0"/>
        <v>2020-24</v>
      </c>
      <c r="I17" s="21" t="str">
        <f t="shared" si="1"/>
        <v/>
      </c>
      <c r="J17" s="21" t="str">
        <f t="shared" si="2"/>
        <v/>
      </c>
      <c r="K17" s="21" t="str">
        <f t="shared" si="3"/>
        <v/>
      </c>
      <c r="L17" s="21" t="str">
        <f t="shared" si="4"/>
        <v/>
      </c>
      <c r="M17" s="21" t="str">
        <f t="shared" si="5"/>
        <v/>
      </c>
      <c r="N17" s="21" t="str">
        <f t="shared" si="6"/>
        <v/>
      </c>
    </row>
    <row r="19" spans="2:14" x14ac:dyDescent="0.2">
      <c r="B19" s="5" t="s">
        <v>144</v>
      </c>
      <c r="C19" s="5"/>
      <c r="D19" s="5"/>
      <c r="E19" s="5"/>
    </row>
    <row r="20" spans="2:14" ht="28" customHeight="1" x14ac:dyDescent="0.2">
      <c r="B20" s="8" t="s">
        <v>145</v>
      </c>
      <c r="C20" s="8" t="s">
        <v>25</v>
      </c>
      <c r="D20" s="8" t="s">
        <v>26</v>
      </c>
    </row>
    <row r="21" spans="2:14" x14ac:dyDescent="0.2">
      <c r="B21" s="22" t="s">
        <v>146</v>
      </c>
      <c r="C21" s="23">
        <f>MAX(I6:I17)</f>
        <v>43.968253968253968</v>
      </c>
      <c r="D21" s="23">
        <f>MAX(J6:J17)</f>
        <v>67.542521994134901</v>
      </c>
    </row>
    <row r="22" spans="2:14" x14ac:dyDescent="0.2">
      <c r="B22" s="22" t="s">
        <v>147</v>
      </c>
      <c r="C22" s="24">
        <f>_xlfn.QUARTILE.INC(I6:I17,3)</f>
        <v>8.9841207349081369</v>
      </c>
      <c r="D22" s="24">
        <f>_xlfn.QUARTILE.INC(J6:J17,3)</f>
        <v>36.627435305264406</v>
      </c>
    </row>
    <row r="23" spans="2:14" x14ac:dyDescent="0.2">
      <c r="B23" s="22" t="s">
        <v>148</v>
      </c>
      <c r="C23" s="24">
        <f>AVERAGE(I6:I17)</f>
        <v>10.894108558829652</v>
      </c>
      <c r="D23" s="24">
        <f>AVERAGE(J6:J17)</f>
        <v>30.490737821023917</v>
      </c>
    </row>
    <row r="24" spans="2:14" x14ac:dyDescent="0.2">
      <c r="B24" s="22" t="s">
        <v>21</v>
      </c>
      <c r="C24" s="24">
        <f>MEDIAN(I6:I17)</f>
        <v>6.8622105890364313</v>
      </c>
      <c r="D24" s="24">
        <f>MEDIAN(J6:J17)</f>
        <v>19.790697674418606</v>
      </c>
    </row>
    <row r="25" spans="2:14" x14ac:dyDescent="0.2">
      <c r="B25" s="22" t="s">
        <v>149</v>
      </c>
      <c r="C25" s="24">
        <f>_xlfn.QUARTILE.INC(I6:I17,1)</f>
        <v>4.7887931034482758</v>
      </c>
      <c r="D25" s="24">
        <f>_xlfn.QUARTILE.INC(J6:J17,1)</f>
        <v>18.019281914893618</v>
      </c>
    </row>
    <row r="26" spans="2:14" x14ac:dyDescent="0.2">
      <c r="B26" s="22" t="s">
        <v>150</v>
      </c>
      <c r="C26" s="24">
        <f>MIN(I6:I17)</f>
        <v>3.329891584925142</v>
      </c>
      <c r="D26" s="24">
        <f>MIN(J6:J17)</f>
        <v>16.808510638297872</v>
      </c>
    </row>
    <row r="28" spans="2:14" x14ac:dyDescent="0.2">
      <c r="B28" s="22" t="s">
        <v>151</v>
      </c>
      <c r="C28" s="25">
        <f>COUNT(I6:I17)</f>
        <v>10</v>
      </c>
      <c r="D28" s="25">
        <f>COUNT(J6:J17)</f>
        <v>7</v>
      </c>
    </row>
    <row r="30" spans="2:14" ht="130" customHeight="1" x14ac:dyDescent="0.2">
      <c r="B30" s="4" t="s">
        <v>152</v>
      </c>
    </row>
    <row r="31" spans="2:14" ht="65" customHeight="1" x14ac:dyDescent="0.2">
      <c r="B31" s="4" t="s">
        <v>153</v>
      </c>
    </row>
    <row r="33" spans="2:6" x14ac:dyDescent="0.2">
      <c r="B33" s="5" t="s">
        <v>154</v>
      </c>
      <c r="C33" s="5"/>
      <c r="D33" s="5"/>
      <c r="E33" s="5"/>
      <c r="F33" s="5"/>
    </row>
    <row r="34" spans="2:6" ht="28" customHeight="1" x14ac:dyDescent="0.2">
      <c r="B34" s="8" t="s">
        <v>145</v>
      </c>
      <c r="C34" s="8" t="s">
        <v>155</v>
      </c>
      <c r="D34" s="8" t="s">
        <v>156</v>
      </c>
      <c r="E34" s="8" t="s">
        <v>157</v>
      </c>
      <c r="F34" s="8" t="s">
        <v>158</v>
      </c>
    </row>
    <row r="35" spans="2:6" x14ac:dyDescent="0.2">
      <c r="B35" s="22" t="s">
        <v>146</v>
      </c>
      <c r="C35" s="24">
        <f>MAX(K6:K17)</f>
        <v>8.7333333333333325</v>
      </c>
      <c r="D35" s="24">
        <f>MAX(L6:L17)</f>
        <v>33.589743589743591</v>
      </c>
      <c r="E35" s="24">
        <f>MAX(M6:M17)</f>
        <v>43.968253968253968</v>
      </c>
      <c r="F35" s="24">
        <f>MAX(N6:N17)</f>
        <v>67.542521994134901</v>
      </c>
    </row>
    <row r="36" spans="2:6" x14ac:dyDescent="0.2">
      <c r="B36" s="22" t="s">
        <v>147</v>
      </c>
      <c r="C36" s="24">
        <f>_xlfn.QUARTILE.INC(K6:K17,3)</f>
        <v>6.7459770114942526</v>
      </c>
      <c r="D36" s="24">
        <f>_xlfn.QUARTILE.INC(L6:L17,3)</f>
        <v>26.6902206320811</v>
      </c>
      <c r="E36" s="24">
        <f>_xlfn.QUARTILE.INC(M6:M17,3)</f>
        <v>12.667191601049868</v>
      </c>
      <c r="F36" s="24">
        <f>_xlfn.QUARTILE.INC(N6:N17,3)</f>
        <v>46.634475764122641</v>
      </c>
    </row>
    <row r="37" spans="2:6" x14ac:dyDescent="0.2">
      <c r="B37" s="22" t="s">
        <v>21</v>
      </c>
      <c r="C37" s="24">
        <f>MEDIAN(K6:K17)</f>
        <v>4.7586206896551726</v>
      </c>
      <c r="D37" s="24">
        <f>MEDIAN(L6:L17)</f>
        <v>19.790697674418606</v>
      </c>
      <c r="E37" s="24">
        <f>MEDIAN(M6:M17)</f>
        <v>7.8068181818181817</v>
      </c>
      <c r="F37" s="24">
        <f>MEDIAN(N6:N17)</f>
        <v>28.67631351039261</v>
      </c>
    </row>
    <row r="38" spans="2:6" x14ac:dyDescent="0.2">
      <c r="B38" s="22" t="s">
        <v>149</v>
      </c>
      <c r="C38" s="24">
        <f>_xlfn.QUARTILE.INC(K6:K17,1)</f>
        <v>4.4857459883919422</v>
      </c>
      <c r="D38" s="24">
        <f>_xlfn.QUARTILE.INC(L6:L17,1)</f>
        <v>19.070880752102919</v>
      </c>
      <c r="E38" s="24">
        <f>_xlfn.QUARTILE.INC(M6:M17,1)</f>
        <v>5.3984566705411341</v>
      </c>
      <c r="F38" s="24">
        <f>_xlfn.QUARTILE.INC(N6:N17,1)</f>
        <v>17.467752659574469</v>
      </c>
    </row>
    <row r="39" spans="2:6" x14ac:dyDescent="0.2">
      <c r="B39" s="22" t="s">
        <v>150</v>
      </c>
      <c r="C39" s="24">
        <f>MIN(K6:K17)</f>
        <v>4.2128712871287126</v>
      </c>
      <c r="D39" s="24">
        <f>MIN(L6:L17)</f>
        <v>18.351063829787233</v>
      </c>
      <c r="E39" s="24">
        <f>MIN(M6:M17)</f>
        <v>3.329891584925142</v>
      </c>
      <c r="F39" s="24">
        <f>MIN(N6:N17)</f>
        <v>16.808510638297872</v>
      </c>
    </row>
    <row r="41" spans="2:6" ht="78" customHeight="1" x14ac:dyDescent="0.2">
      <c r="B41" s="4" t="s">
        <v>159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G99"/>
  <sheetViews>
    <sheetView showGridLines="0" workbookViewId="0">
      <pane xSplit="2" ySplit="5" topLeftCell="C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2" customWidth="1"/>
    <col min="2" max="2" width="30" customWidth="1"/>
    <col min="3" max="6" width="16" customWidth="1"/>
    <col min="7" max="7" width="34" customWidth="1"/>
  </cols>
  <sheetData>
    <row r="2" spans="2:7" ht="18" customHeight="1" x14ac:dyDescent="0.2">
      <c r="B2" s="1" t="s">
        <v>160</v>
      </c>
    </row>
    <row r="3" spans="2:7" x14ac:dyDescent="0.2">
      <c r="B3" s="2" t="s">
        <v>161</v>
      </c>
    </row>
    <row r="4" spans="2:7" ht="91" customHeight="1" x14ac:dyDescent="0.2">
      <c r="B4" s="4" t="s">
        <v>162</v>
      </c>
    </row>
    <row r="6" spans="2:7" x14ac:dyDescent="0.2">
      <c r="B6" s="5" t="s">
        <v>163</v>
      </c>
      <c r="C6" s="5"/>
      <c r="D6" s="5"/>
      <c r="E6" s="5"/>
      <c r="F6" s="5"/>
      <c r="G6" s="5"/>
    </row>
    <row r="7" spans="2:7" x14ac:dyDescent="0.2">
      <c r="B7" s="8" t="s">
        <v>20</v>
      </c>
      <c r="C7" s="8" t="s">
        <v>164</v>
      </c>
      <c r="D7" s="8" t="s">
        <v>165</v>
      </c>
      <c r="E7" s="8" t="s">
        <v>166</v>
      </c>
      <c r="F7" s="8"/>
      <c r="G7" s="8" t="s">
        <v>43</v>
      </c>
    </row>
    <row r="8" spans="2:7" x14ac:dyDescent="0.2">
      <c r="B8" s="3" t="s">
        <v>167</v>
      </c>
      <c r="C8" s="12">
        <v>290000</v>
      </c>
      <c r="G8" s="4" t="s">
        <v>168</v>
      </c>
    </row>
    <row r="9" spans="2:7" ht="26" customHeight="1" x14ac:dyDescent="0.2">
      <c r="B9" s="3" t="s">
        <v>169</v>
      </c>
      <c r="C9" s="12">
        <v>193800</v>
      </c>
      <c r="G9" s="4" t="s">
        <v>170</v>
      </c>
    </row>
    <row r="10" spans="2:7" ht="26" customHeight="1" x14ac:dyDescent="0.2">
      <c r="B10" s="3" t="s">
        <v>171</v>
      </c>
      <c r="C10" s="12">
        <v>-36500</v>
      </c>
      <c r="G10" s="4" t="s">
        <v>172</v>
      </c>
    </row>
    <row r="11" spans="2:7" x14ac:dyDescent="0.2">
      <c r="B11" s="3" t="s">
        <v>173</v>
      </c>
      <c r="C11" s="26">
        <v>7420</v>
      </c>
    </row>
    <row r="12" spans="2:7" x14ac:dyDescent="0.2">
      <c r="B12" s="3" t="s">
        <v>174</v>
      </c>
      <c r="C12" s="27">
        <v>483.24</v>
      </c>
      <c r="G12" s="4" t="s">
        <v>175</v>
      </c>
    </row>
    <row r="14" spans="2:7" x14ac:dyDescent="0.2">
      <c r="B14" s="22" t="s">
        <v>176</v>
      </c>
      <c r="C14" s="9">
        <f>Precedents!D25</f>
        <v>18.019281914893618</v>
      </c>
      <c r="D14" s="9">
        <f>Precedents!D24</f>
        <v>19.790697674418606</v>
      </c>
      <c r="E14" s="9">
        <f>Precedents!D22</f>
        <v>36.627435305264406</v>
      </c>
    </row>
    <row r="15" spans="2:7" x14ac:dyDescent="0.2">
      <c r="B15" s="3" t="s">
        <v>177</v>
      </c>
      <c r="C15" s="25">
        <f>C14*$C$9</f>
        <v>3492136.8351063831</v>
      </c>
      <c r="D15" s="25">
        <f>D14*$C$9</f>
        <v>3835437.2093023257</v>
      </c>
      <c r="E15" s="25">
        <f>E14*$C$9</f>
        <v>7098396.9621602418</v>
      </c>
    </row>
    <row r="16" spans="2:7" x14ac:dyDescent="0.2">
      <c r="B16" s="3" t="s">
        <v>178</v>
      </c>
      <c r="C16" s="25">
        <f>-$C$10</f>
        <v>36500</v>
      </c>
      <c r="D16" s="25">
        <f>-$C$10</f>
        <v>36500</v>
      </c>
      <c r="E16" s="25">
        <f>-$C$10</f>
        <v>36500</v>
      </c>
    </row>
    <row r="17" spans="2:7" x14ac:dyDescent="0.2">
      <c r="B17" s="3" t="s">
        <v>179</v>
      </c>
      <c r="C17" s="28">
        <f>C15+C16</f>
        <v>3528636.8351063831</v>
      </c>
      <c r="D17" s="28">
        <f>D15+D16</f>
        <v>3871937.2093023257</v>
      </c>
      <c r="E17" s="28">
        <f>E15+E16</f>
        <v>7134896.9621602418</v>
      </c>
    </row>
    <row r="18" spans="2:7" x14ac:dyDescent="0.2">
      <c r="B18" s="22" t="s">
        <v>180</v>
      </c>
      <c r="C18" s="29">
        <f>C17/$C$11</f>
        <v>475.5575249469519</v>
      </c>
      <c r="D18" s="29">
        <f>D17/$C$11</f>
        <v>521.82442173885795</v>
      </c>
      <c r="E18" s="29">
        <f>E17/$C$11</f>
        <v>961.57640999464172</v>
      </c>
    </row>
    <row r="20" spans="2:7" x14ac:dyDescent="0.2">
      <c r="B20" s="22" t="s">
        <v>181</v>
      </c>
      <c r="C20" s="9">
        <f>Precedents!C25</f>
        <v>4.7887931034482758</v>
      </c>
      <c r="D20" s="9">
        <f>Precedents!C24</f>
        <v>6.8622105890364313</v>
      </c>
      <c r="E20" s="9">
        <f>Precedents!C22</f>
        <v>8.9841207349081369</v>
      </c>
    </row>
    <row r="21" spans="2:7" x14ac:dyDescent="0.2">
      <c r="B21" s="3" t="s">
        <v>177</v>
      </c>
      <c r="C21" s="25">
        <f>C20*$C$8</f>
        <v>1388750</v>
      </c>
      <c r="D21" s="25">
        <f>D20*$C$8</f>
        <v>1990041.0708205651</v>
      </c>
      <c r="E21" s="25">
        <f>E20*$C$8</f>
        <v>2605395.0131233595</v>
      </c>
    </row>
    <row r="22" spans="2:7" x14ac:dyDescent="0.2">
      <c r="B22" s="3" t="s">
        <v>178</v>
      </c>
      <c r="C22" s="25">
        <f>-$C$10</f>
        <v>36500</v>
      </c>
      <c r="D22" s="25">
        <f>-$C$10</f>
        <v>36500</v>
      </c>
      <c r="E22" s="25">
        <f>-$C$10</f>
        <v>36500</v>
      </c>
    </row>
    <row r="23" spans="2:7" x14ac:dyDescent="0.2">
      <c r="B23" s="3" t="s">
        <v>179</v>
      </c>
      <c r="C23" s="28">
        <f>C21+C22</f>
        <v>1425250</v>
      </c>
      <c r="D23" s="28">
        <f>D21+D22</f>
        <v>2026541.0708205651</v>
      </c>
      <c r="E23" s="28">
        <f>E21+E22</f>
        <v>2641895.0131233595</v>
      </c>
    </row>
    <row r="24" spans="2:7" x14ac:dyDescent="0.2">
      <c r="B24" s="22" t="s">
        <v>182</v>
      </c>
      <c r="C24" s="29">
        <f>C23/$C$11</f>
        <v>192.08221024258759</v>
      </c>
      <c r="D24" s="29">
        <f>D23/$C$11</f>
        <v>273.11874269818935</v>
      </c>
      <c r="E24" s="29">
        <f>E23/$C$11</f>
        <v>356.05054085220479</v>
      </c>
    </row>
    <row r="25" spans="2:7" x14ac:dyDescent="0.2">
      <c r="B25" s="2" t="s">
        <v>183</v>
      </c>
      <c r="C25" s="29">
        <f>$C$12</f>
        <v>483.24</v>
      </c>
      <c r="D25" s="29">
        <f>$C$12</f>
        <v>483.24</v>
      </c>
      <c r="E25" s="29">
        <f>$C$12</f>
        <v>483.24</v>
      </c>
    </row>
    <row r="26" spans="2:7" x14ac:dyDescent="0.2">
      <c r="B26" s="2" t="s">
        <v>184</v>
      </c>
      <c r="C26" s="30">
        <f>C18/$C$12-1</f>
        <v>-1.5897845900687213E-2</v>
      </c>
      <c r="D26" s="30">
        <f>D18/$C$12-1</f>
        <v>7.9845256474749382E-2</v>
      </c>
      <c r="E26" s="30">
        <f>E18/$C$12-1</f>
        <v>0.98985268188610576</v>
      </c>
    </row>
    <row r="27" spans="2:7" x14ac:dyDescent="0.2">
      <c r="B27" s="2" t="s">
        <v>185</v>
      </c>
      <c r="C27" s="30">
        <f>C24/$C$12-1</f>
        <v>-0.6025117741855236</v>
      </c>
      <c r="D27" s="30">
        <f>D24/$C$12-1</f>
        <v>-0.43481760057489172</v>
      </c>
      <c r="E27" s="30">
        <f>E24/$C$12-1</f>
        <v>-0.26320143023713938</v>
      </c>
    </row>
    <row r="30" spans="2:7" x14ac:dyDescent="0.2">
      <c r="B30" s="5" t="s">
        <v>186</v>
      </c>
      <c r="C30" s="5"/>
      <c r="D30" s="5"/>
      <c r="E30" s="5"/>
      <c r="F30" s="5"/>
      <c r="G30" s="5"/>
    </row>
    <row r="31" spans="2:7" x14ac:dyDescent="0.2">
      <c r="B31" s="8" t="s">
        <v>20</v>
      </c>
      <c r="C31" s="8" t="s">
        <v>164</v>
      </c>
      <c r="D31" s="8" t="s">
        <v>165</v>
      </c>
      <c r="E31" s="8" t="s">
        <v>166</v>
      </c>
      <c r="F31" s="8"/>
      <c r="G31" s="8" t="s">
        <v>43</v>
      </c>
    </row>
    <row r="32" spans="2:7" x14ac:dyDescent="0.2">
      <c r="B32" s="3" t="s">
        <v>167</v>
      </c>
      <c r="C32" s="12">
        <v>254000</v>
      </c>
      <c r="G32" s="4" t="s">
        <v>168</v>
      </c>
    </row>
    <row r="33" spans="2:7" ht="26" customHeight="1" x14ac:dyDescent="0.2">
      <c r="B33" s="3" t="s">
        <v>169</v>
      </c>
      <c r="C33" s="12">
        <v>133230</v>
      </c>
      <c r="G33" s="4" t="s">
        <v>187</v>
      </c>
    </row>
    <row r="34" spans="2:7" ht="26" customHeight="1" x14ac:dyDescent="0.2">
      <c r="B34" s="3" t="s">
        <v>171</v>
      </c>
      <c r="C34" s="12">
        <v>-51144</v>
      </c>
      <c r="G34" s="4" t="s">
        <v>172</v>
      </c>
    </row>
    <row r="35" spans="2:7" x14ac:dyDescent="0.2">
      <c r="B35" s="3" t="s">
        <v>173</v>
      </c>
      <c r="C35" s="26">
        <v>24200</v>
      </c>
    </row>
    <row r="36" spans="2:7" x14ac:dyDescent="0.2">
      <c r="B36" s="3" t="s">
        <v>174</v>
      </c>
      <c r="C36" s="27">
        <v>214.72</v>
      </c>
      <c r="G36" s="4" t="s">
        <v>175</v>
      </c>
    </row>
    <row r="38" spans="2:7" x14ac:dyDescent="0.2">
      <c r="B38" s="22" t="s">
        <v>176</v>
      </c>
      <c r="C38" s="9">
        <f>Precedents!D25</f>
        <v>18.019281914893618</v>
      </c>
      <c r="D38" s="9">
        <f>Precedents!D24</f>
        <v>19.790697674418606</v>
      </c>
      <c r="E38" s="9">
        <f>Precedents!D22</f>
        <v>36.627435305264406</v>
      </c>
    </row>
    <row r="39" spans="2:7" x14ac:dyDescent="0.2">
      <c r="B39" s="3" t="s">
        <v>177</v>
      </c>
      <c r="C39" s="25">
        <f>C38*$C$33</f>
        <v>2400708.9295212766</v>
      </c>
      <c r="D39" s="25">
        <f>D38*$C$33</f>
        <v>2636714.6511627911</v>
      </c>
      <c r="E39" s="25">
        <f>E38*$C$33</f>
        <v>4879873.2057203772</v>
      </c>
    </row>
    <row r="40" spans="2:7" x14ac:dyDescent="0.2">
      <c r="B40" s="3" t="s">
        <v>178</v>
      </c>
      <c r="C40" s="25">
        <f>-$C$34</f>
        <v>51144</v>
      </c>
      <c r="D40" s="25">
        <f>-$C$34</f>
        <v>51144</v>
      </c>
      <c r="E40" s="25">
        <f>-$C$34</f>
        <v>51144</v>
      </c>
    </row>
    <row r="41" spans="2:7" x14ac:dyDescent="0.2">
      <c r="B41" s="3" t="s">
        <v>179</v>
      </c>
      <c r="C41" s="28">
        <f>C39+C40</f>
        <v>2451852.9295212766</v>
      </c>
      <c r="D41" s="28">
        <f>D39+D40</f>
        <v>2687858.6511627911</v>
      </c>
      <c r="E41" s="28">
        <f>E39+E40</f>
        <v>4931017.2057203772</v>
      </c>
    </row>
    <row r="42" spans="2:7" x14ac:dyDescent="0.2">
      <c r="B42" s="22" t="s">
        <v>180</v>
      </c>
      <c r="C42" s="29">
        <f>C41/$C$35</f>
        <v>101.31623675707755</v>
      </c>
      <c r="D42" s="29">
        <f>D41/$C$35</f>
        <v>111.06853930424757</v>
      </c>
      <c r="E42" s="29">
        <f>E41/$C$35</f>
        <v>203.76104155869328</v>
      </c>
    </row>
    <row r="44" spans="2:7" x14ac:dyDescent="0.2">
      <c r="B44" s="22" t="s">
        <v>181</v>
      </c>
      <c r="C44" s="9">
        <f>Precedents!C25</f>
        <v>4.7887931034482758</v>
      </c>
      <c r="D44" s="9">
        <f>Precedents!C24</f>
        <v>6.8622105890364313</v>
      </c>
      <c r="E44" s="9">
        <f>Precedents!C22</f>
        <v>8.9841207349081369</v>
      </c>
    </row>
    <row r="45" spans="2:7" x14ac:dyDescent="0.2">
      <c r="B45" s="3" t="s">
        <v>177</v>
      </c>
      <c r="C45" s="25">
        <f>C44*$C$32</f>
        <v>1216353.448275862</v>
      </c>
      <c r="D45" s="25">
        <f>D44*$C$32</f>
        <v>1743001.4896152536</v>
      </c>
      <c r="E45" s="25">
        <f>E44*$C$32</f>
        <v>2281966.666666667</v>
      </c>
    </row>
    <row r="46" spans="2:7" x14ac:dyDescent="0.2">
      <c r="B46" s="3" t="s">
        <v>178</v>
      </c>
      <c r="C46" s="25">
        <f>-$C$34</f>
        <v>51144</v>
      </c>
      <c r="D46" s="25">
        <f>-$C$34</f>
        <v>51144</v>
      </c>
      <c r="E46" s="25">
        <f>-$C$34</f>
        <v>51144</v>
      </c>
    </row>
    <row r="47" spans="2:7" x14ac:dyDescent="0.2">
      <c r="B47" s="3" t="s">
        <v>179</v>
      </c>
      <c r="C47" s="28">
        <f>C45+C46</f>
        <v>1267497.448275862</v>
      </c>
      <c r="D47" s="28">
        <f>D45+D46</f>
        <v>1794145.4896152536</v>
      </c>
      <c r="E47" s="28">
        <f>E45+E46</f>
        <v>2333110.666666667</v>
      </c>
    </row>
    <row r="48" spans="2:7" x14ac:dyDescent="0.2">
      <c r="B48" s="22" t="s">
        <v>182</v>
      </c>
      <c r="C48" s="29">
        <f>C47/$C$35</f>
        <v>52.375927614705041</v>
      </c>
      <c r="D48" s="29">
        <f>D47/$C$35</f>
        <v>74.138243372531136</v>
      </c>
      <c r="E48" s="29">
        <f>E47/$C$35</f>
        <v>96.409531680440779</v>
      </c>
    </row>
    <row r="49" spans="2:7" x14ac:dyDescent="0.2">
      <c r="B49" s="2" t="s">
        <v>183</v>
      </c>
      <c r="C49" s="29">
        <f>$C$36</f>
        <v>214.72</v>
      </c>
      <c r="D49" s="29">
        <f>$C$36</f>
        <v>214.72</v>
      </c>
      <c r="E49" s="29">
        <f>$C$36</f>
        <v>214.72</v>
      </c>
    </row>
    <row r="50" spans="2:7" x14ac:dyDescent="0.2">
      <c r="B50" s="2" t="s">
        <v>184</v>
      </c>
      <c r="C50" s="30">
        <f>C42/$C$36-1</f>
        <v>-0.5281471835083944</v>
      </c>
      <c r="D50" s="30">
        <f>D42/$C$36-1</f>
        <v>-0.48272848684683511</v>
      </c>
      <c r="E50" s="30">
        <f>E42/$C$36-1</f>
        <v>-5.1038368299677339E-2</v>
      </c>
    </row>
    <row r="51" spans="2:7" x14ac:dyDescent="0.2">
      <c r="B51" s="2" t="s">
        <v>185</v>
      </c>
      <c r="C51" s="30">
        <f>C48/$C$36-1</f>
        <v>-0.75607336245014412</v>
      </c>
      <c r="D51" s="30">
        <f>D48/$C$36-1</f>
        <v>-0.65472129576876337</v>
      </c>
      <c r="E51" s="30">
        <f>E48/$C$36-1</f>
        <v>-0.55099882786679966</v>
      </c>
    </row>
    <row r="54" spans="2:7" x14ac:dyDescent="0.2">
      <c r="B54" s="5" t="s">
        <v>188</v>
      </c>
      <c r="C54" s="5"/>
      <c r="D54" s="5"/>
      <c r="E54" s="5"/>
      <c r="F54" s="5"/>
      <c r="G54" s="5"/>
    </row>
    <row r="55" spans="2:7" x14ac:dyDescent="0.2">
      <c r="B55" s="8" t="s">
        <v>20</v>
      </c>
      <c r="C55" s="8" t="s">
        <v>164</v>
      </c>
      <c r="D55" s="8" t="s">
        <v>165</v>
      </c>
      <c r="E55" s="8" t="s">
        <v>166</v>
      </c>
      <c r="F55" s="8"/>
      <c r="G55" s="8" t="s">
        <v>43</v>
      </c>
    </row>
    <row r="56" spans="2:7" x14ac:dyDescent="0.2">
      <c r="B56" s="3" t="s">
        <v>167</v>
      </c>
      <c r="C56" s="12">
        <v>430000</v>
      </c>
      <c r="G56" s="4" t="s">
        <v>168</v>
      </c>
    </row>
    <row r="57" spans="2:7" ht="26" customHeight="1" x14ac:dyDescent="0.2">
      <c r="B57" s="3" t="s">
        <v>169</v>
      </c>
      <c r="C57" s="12">
        <v>144748</v>
      </c>
      <c r="G57" s="4" t="s">
        <v>189</v>
      </c>
    </row>
    <row r="58" spans="2:7" ht="26" customHeight="1" x14ac:dyDescent="0.2">
      <c r="B58" s="3" t="s">
        <v>171</v>
      </c>
      <c r="C58" s="12">
        <v>-50120</v>
      </c>
      <c r="G58" s="4" t="s">
        <v>172</v>
      </c>
    </row>
    <row r="59" spans="2:7" x14ac:dyDescent="0.2">
      <c r="B59" s="3" t="s">
        <v>173</v>
      </c>
      <c r="C59" s="26">
        <v>14600</v>
      </c>
    </row>
    <row r="60" spans="2:7" x14ac:dyDescent="0.2">
      <c r="B60" s="3" t="s">
        <v>174</v>
      </c>
      <c r="C60" s="27">
        <v>309.35000000000002</v>
      </c>
      <c r="G60" s="4" t="s">
        <v>175</v>
      </c>
    </row>
    <row r="62" spans="2:7" x14ac:dyDescent="0.2">
      <c r="B62" s="22" t="s">
        <v>176</v>
      </c>
      <c r="C62" s="9">
        <f>Precedents!D25</f>
        <v>18.019281914893618</v>
      </c>
      <c r="D62" s="9">
        <f>Precedents!D24</f>
        <v>19.790697674418606</v>
      </c>
      <c r="E62" s="9">
        <f>Precedents!D22</f>
        <v>36.627435305264406</v>
      </c>
    </row>
    <row r="63" spans="2:7" x14ac:dyDescent="0.2">
      <c r="B63" s="3" t="s">
        <v>177</v>
      </c>
      <c r="C63" s="25">
        <f>C62*$C$57</f>
        <v>2608255.0186170214</v>
      </c>
      <c r="D63" s="25">
        <f>D62*$C$57</f>
        <v>2864663.9069767445</v>
      </c>
      <c r="E63" s="25">
        <f>E62*$C$57</f>
        <v>5301748.0055664126</v>
      </c>
    </row>
    <row r="64" spans="2:7" x14ac:dyDescent="0.2">
      <c r="B64" s="3" t="s">
        <v>178</v>
      </c>
      <c r="C64" s="25">
        <f>-$C$58</f>
        <v>50120</v>
      </c>
      <c r="D64" s="25">
        <f>-$C$58</f>
        <v>50120</v>
      </c>
      <c r="E64" s="25">
        <f>-$C$58</f>
        <v>50120</v>
      </c>
    </row>
    <row r="65" spans="2:7" x14ac:dyDescent="0.2">
      <c r="B65" s="3" t="s">
        <v>179</v>
      </c>
      <c r="C65" s="28">
        <f>C63+C64</f>
        <v>2658375.0186170214</v>
      </c>
      <c r="D65" s="28">
        <f>D63+D64</f>
        <v>2914783.9069767445</v>
      </c>
      <c r="E65" s="28">
        <f>E63+E64</f>
        <v>5351868.0055664126</v>
      </c>
    </row>
    <row r="66" spans="2:7" x14ac:dyDescent="0.2">
      <c r="B66" s="22" t="s">
        <v>180</v>
      </c>
      <c r="C66" s="29">
        <f>C65/$C$59</f>
        <v>182.08048072719325</v>
      </c>
      <c r="D66" s="29">
        <f>D65/$C$59</f>
        <v>199.64273335457153</v>
      </c>
      <c r="E66" s="29">
        <f>E65/$C$59</f>
        <v>366.56630175112417</v>
      </c>
    </row>
    <row r="68" spans="2:7" x14ac:dyDescent="0.2">
      <c r="B68" s="22" t="s">
        <v>181</v>
      </c>
      <c r="C68" s="9">
        <f>Precedents!C25</f>
        <v>4.7887931034482758</v>
      </c>
      <c r="D68" s="9">
        <f>Precedents!C24</f>
        <v>6.8622105890364313</v>
      </c>
      <c r="E68" s="9">
        <f>Precedents!C22</f>
        <v>8.9841207349081369</v>
      </c>
    </row>
    <row r="69" spans="2:7" x14ac:dyDescent="0.2">
      <c r="B69" s="3" t="s">
        <v>177</v>
      </c>
      <c r="C69" s="25">
        <f>C68*$C$56</f>
        <v>2059181.0344827585</v>
      </c>
      <c r="D69" s="25">
        <f>D68*$C$56</f>
        <v>2950750.5532856653</v>
      </c>
      <c r="E69" s="25">
        <f>E68*$C$56</f>
        <v>3863171.916010499</v>
      </c>
    </row>
    <row r="70" spans="2:7" x14ac:dyDescent="0.2">
      <c r="B70" s="3" t="s">
        <v>178</v>
      </c>
      <c r="C70" s="25">
        <f>-$C$58</f>
        <v>50120</v>
      </c>
      <c r="D70" s="25">
        <f>-$C$58</f>
        <v>50120</v>
      </c>
      <c r="E70" s="25">
        <f>-$C$58</f>
        <v>50120</v>
      </c>
    </row>
    <row r="71" spans="2:7" x14ac:dyDescent="0.2">
      <c r="B71" s="3" t="s">
        <v>179</v>
      </c>
      <c r="C71" s="28">
        <f>C69+C70</f>
        <v>2109301.0344827585</v>
      </c>
      <c r="D71" s="28">
        <f>D69+D70</f>
        <v>3000870.5532856653</v>
      </c>
      <c r="E71" s="28">
        <f>E69+E70</f>
        <v>3913291.916010499</v>
      </c>
    </row>
    <row r="72" spans="2:7" x14ac:dyDescent="0.2">
      <c r="B72" s="22" t="s">
        <v>182</v>
      </c>
      <c r="C72" s="29">
        <f>C71/$C$59</f>
        <v>144.47267359470948</v>
      </c>
      <c r="D72" s="29">
        <f>D71/$C$59</f>
        <v>205.53907899216887</v>
      </c>
      <c r="E72" s="29">
        <f>E71/$C$59</f>
        <v>268.03369287743146</v>
      </c>
    </row>
    <row r="73" spans="2:7" x14ac:dyDescent="0.2">
      <c r="B73" s="2" t="s">
        <v>183</v>
      </c>
      <c r="C73" s="29">
        <f>$C$60</f>
        <v>309.35000000000002</v>
      </c>
      <c r="D73" s="29">
        <f>$C$60</f>
        <v>309.35000000000002</v>
      </c>
      <c r="E73" s="29">
        <f>$C$60</f>
        <v>309.35000000000002</v>
      </c>
    </row>
    <row r="74" spans="2:7" x14ac:dyDescent="0.2">
      <c r="B74" s="2" t="s">
        <v>184</v>
      </c>
      <c r="C74" s="30">
        <f>C66/$C$60-1</f>
        <v>-0.41140946912172871</v>
      </c>
      <c r="D74" s="30">
        <f>D66/$C$60-1</f>
        <v>-0.35463800434921122</v>
      </c>
      <c r="E74" s="30">
        <f>E66/$C$60-1</f>
        <v>0.18495652739978707</v>
      </c>
    </row>
    <row r="75" spans="2:7" x14ac:dyDescent="0.2">
      <c r="B75" s="2" t="s">
        <v>185</v>
      </c>
      <c r="C75" s="30">
        <f>C72/$C$60-1</f>
        <v>-0.53297988170451116</v>
      </c>
      <c r="D75" s="30">
        <f>D72/$C$60-1</f>
        <v>-0.33557756912180747</v>
      </c>
      <c r="E75" s="30">
        <f>E72/$C$60-1</f>
        <v>-0.13355845198826111</v>
      </c>
    </row>
    <row r="78" spans="2:7" x14ac:dyDescent="0.2">
      <c r="B78" s="5" t="s">
        <v>190</v>
      </c>
      <c r="C78" s="5"/>
      <c r="D78" s="5"/>
      <c r="E78" s="5"/>
      <c r="F78" s="5"/>
      <c r="G78" s="5"/>
    </row>
    <row r="79" spans="2:7" x14ac:dyDescent="0.2">
      <c r="B79" s="8" t="s">
        <v>20</v>
      </c>
      <c r="C79" s="8" t="s">
        <v>164</v>
      </c>
      <c r="D79" s="8" t="s">
        <v>165</v>
      </c>
      <c r="E79" s="8" t="s">
        <v>166</v>
      </c>
      <c r="F79" s="8"/>
      <c r="G79" s="8" t="s">
        <v>43</v>
      </c>
    </row>
    <row r="80" spans="2:7" x14ac:dyDescent="0.2">
      <c r="B80" s="3" t="s">
        <v>167</v>
      </c>
      <c r="C80" s="12">
        <v>446000</v>
      </c>
      <c r="G80" s="4" t="s">
        <v>168</v>
      </c>
    </row>
    <row r="81" spans="2:7" ht="39" customHeight="1" x14ac:dyDescent="0.2">
      <c r="B81" s="3" t="s">
        <v>169</v>
      </c>
      <c r="C81" s="12">
        <v>140100</v>
      </c>
      <c r="G81" s="4" t="s">
        <v>191</v>
      </c>
    </row>
    <row r="82" spans="2:7" ht="26" customHeight="1" x14ac:dyDescent="0.2">
      <c r="B82" s="3" t="s">
        <v>171</v>
      </c>
      <c r="C82" s="12">
        <v>-154400</v>
      </c>
      <c r="G82" s="4" t="s">
        <v>172</v>
      </c>
    </row>
    <row r="83" spans="2:7" x14ac:dyDescent="0.2">
      <c r="B83" s="3" t="s">
        <v>173</v>
      </c>
      <c r="C83" s="26">
        <v>12200</v>
      </c>
    </row>
    <row r="84" spans="2:7" x14ac:dyDescent="0.2">
      <c r="B84" s="3" t="s">
        <v>174</v>
      </c>
      <c r="C84" s="27">
        <v>344.82</v>
      </c>
      <c r="G84" s="4" t="s">
        <v>175</v>
      </c>
    </row>
    <row r="86" spans="2:7" x14ac:dyDescent="0.2">
      <c r="B86" s="22" t="s">
        <v>176</v>
      </c>
      <c r="C86" s="9">
        <f>Precedents!D25</f>
        <v>18.019281914893618</v>
      </c>
      <c r="D86" s="9">
        <f>Precedents!D24</f>
        <v>19.790697674418606</v>
      </c>
      <c r="E86" s="9">
        <f>Precedents!D22</f>
        <v>36.627435305264406</v>
      </c>
    </row>
    <row r="87" spans="2:7" x14ac:dyDescent="0.2">
      <c r="B87" s="3" t="s">
        <v>177</v>
      </c>
      <c r="C87" s="25">
        <f>C86*$C$81</f>
        <v>2524501.396276596</v>
      </c>
      <c r="D87" s="25">
        <f>D86*$C$81</f>
        <v>2772676.7441860465</v>
      </c>
      <c r="E87" s="25">
        <f>E86*$C$81</f>
        <v>5131503.6862675436</v>
      </c>
    </row>
    <row r="88" spans="2:7" x14ac:dyDescent="0.2">
      <c r="B88" s="3" t="s">
        <v>178</v>
      </c>
      <c r="C88" s="25">
        <f>-$C$82</f>
        <v>154400</v>
      </c>
      <c r="D88" s="25">
        <f>-$C$82</f>
        <v>154400</v>
      </c>
      <c r="E88" s="25">
        <f>-$C$82</f>
        <v>154400</v>
      </c>
    </row>
    <row r="89" spans="2:7" x14ac:dyDescent="0.2">
      <c r="B89" s="3" t="s">
        <v>179</v>
      </c>
      <c r="C89" s="28">
        <f>C87+C88</f>
        <v>2678901.396276596</v>
      </c>
      <c r="D89" s="28">
        <f>D87+D88</f>
        <v>2927076.7441860465</v>
      </c>
      <c r="E89" s="28">
        <f>E87+E88</f>
        <v>5285903.6862675436</v>
      </c>
    </row>
    <row r="90" spans="2:7" x14ac:dyDescent="0.2">
      <c r="B90" s="22" t="s">
        <v>180</v>
      </c>
      <c r="C90" s="29">
        <f>C89/$C$83</f>
        <v>219.58208166201607</v>
      </c>
      <c r="D90" s="29">
        <f>D89/$C$83</f>
        <v>239.92432329393824</v>
      </c>
      <c r="E90" s="29">
        <f>E89/$C$83</f>
        <v>433.27079395635604</v>
      </c>
    </row>
    <row r="92" spans="2:7" x14ac:dyDescent="0.2">
      <c r="B92" s="22" t="s">
        <v>181</v>
      </c>
      <c r="C92" s="9">
        <f>Precedents!C25</f>
        <v>4.7887931034482758</v>
      </c>
      <c r="D92" s="9">
        <f>Precedents!C24</f>
        <v>6.8622105890364313</v>
      </c>
      <c r="E92" s="9">
        <f>Precedents!C22</f>
        <v>8.9841207349081369</v>
      </c>
    </row>
    <row r="93" spans="2:7" x14ac:dyDescent="0.2">
      <c r="B93" s="3" t="s">
        <v>177</v>
      </c>
      <c r="C93" s="25">
        <f>C92*$C$80</f>
        <v>2135801.7241379311</v>
      </c>
      <c r="D93" s="25">
        <f>D92*$C$80</f>
        <v>3060545.9227102483</v>
      </c>
      <c r="E93" s="25">
        <f>E92*$C$80</f>
        <v>4006917.847769029</v>
      </c>
    </row>
    <row r="94" spans="2:7" x14ac:dyDescent="0.2">
      <c r="B94" s="3" t="s">
        <v>178</v>
      </c>
      <c r="C94" s="25">
        <f>-$C$82</f>
        <v>154400</v>
      </c>
      <c r="D94" s="25">
        <f>-$C$82</f>
        <v>154400</v>
      </c>
      <c r="E94" s="25">
        <f>-$C$82</f>
        <v>154400</v>
      </c>
    </row>
    <row r="95" spans="2:7" x14ac:dyDescent="0.2">
      <c r="B95" s="3" t="s">
        <v>179</v>
      </c>
      <c r="C95" s="28">
        <f>C93+C94</f>
        <v>2290201.7241379311</v>
      </c>
      <c r="D95" s="28">
        <f>D93+D94</f>
        <v>3214945.9227102483</v>
      </c>
      <c r="E95" s="28">
        <f>E93+E94</f>
        <v>4161317.847769029</v>
      </c>
    </row>
    <row r="96" spans="2:7" x14ac:dyDescent="0.2">
      <c r="B96" s="22" t="s">
        <v>182</v>
      </c>
      <c r="C96" s="29">
        <f>C95/$C$83</f>
        <v>187.72145279819108</v>
      </c>
      <c r="D96" s="29">
        <f>D95/$C$83</f>
        <v>263.52015759920067</v>
      </c>
      <c r="E96" s="29">
        <f>E95/$C$83</f>
        <v>341.09162686631385</v>
      </c>
    </row>
    <row r="97" spans="2:5" x14ac:dyDescent="0.2">
      <c r="B97" s="2" t="s">
        <v>183</v>
      </c>
      <c r="C97" s="29">
        <f>$C$84</f>
        <v>344.82</v>
      </c>
      <c r="D97" s="29">
        <f>$C$84</f>
        <v>344.82</v>
      </c>
      <c r="E97" s="29">
        <f>$C$84</f>
        <v>344.82</v>
      </c>
    </row>
    <row r="98" spans="2:5" x14ac:dyDescent="0.2">
      <c r="B98" s="2" t="s">
        <v>184</v>
      </c>
      <c r="C98" s="30">
        <f>C90/$C$84-1</f>
        <v>-0.36319795353513118</v>
      </c>
      <c r="D98" s="30">
        <f>D90/$C$84-1</f>
        <v>-0.30420415493898778</v>
      </c>
      <c r="E98" s="30">
        <f>E90/$C$84-1</f>
        <v>0.25651294575823913</v>
      </c>
    </row>
    <row r="99" spans="2:5" x14ac:dyDescent="0.2">
      <c r="B99" s="2" t="s">
        <v>185</v>
      </c>
      <c r="C99" s="30">
        <f>C96/$C$84-1</f>
        <v>-0.4555958099930657</v>
      </c>
      <c r="D99" s="30">
        <f>D96/$C$84-1</f>
        <v>-0.23577473000637816</v>
      </c>
      <c r="E99" s="30">
        <f>E96/$C$84-1</f>
        <v>-1.0812519963129041E-2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</vt:lpstr>
      <vt:lpstr>Inputs</vt:lpstr>
      <vt:lpstr>Precedents</vt:lpstr>
      <vt:lpstr>ImpliedVal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Akul Veauli</cp:lastModifiedBy>
  <dcterms:created xsi:type="dcterms:W3CDTF">2026-08-23T05:54:03Z</dcterms:created>
  <dcterms:modified xsi:type="dcterms:W3CDTF">2026-08-27T17:33:56Z</dcterms:modified>
</cp:coreProperties>
</file>