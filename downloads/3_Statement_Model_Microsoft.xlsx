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IS" sheetId="3" state="visible" r:id="rId3"/>
    <sheet name="BS" sheetId="4" state="visible" r:id="rId4"/>
    <sheet name="CF" sheetId="5" state="visible" r:id="rId5"/>
    <sheet name="DebtSchedule" sheetId="6" state="visible" r:id="rId6"/>
    <sheet name="Checks" sheetId="7" state="visible" r:id="rId7"/>
  </sheets>
  <definedNames/>
  <calcPr calcId="124519" fullCalcOnLoad="1"/>
</workbook>
</file>

<file path=xl/styles.xml><?xml version="1.0" encoding="utf-8"?>
<styleSheet xmlns="http://schemas.openxmlformats.org/spreadsheetml/2006/main">
  <numFmts count="6">
    <numFmt numFmtId="164" formatCode="#,##0.0;(#,##0.0)"/>
    <numFmt numFmtId="165" formatCode="#,##0;(#,##0)"/>
    <numFmt numFmtId="166" formatCode="$#,##0.00"/>
    <numFmt numFmtId="167" formatCode="0.0%"/>
    <numFmt numFmtId="168" formatCode="0.0"/>
    <numFmt numFmtId="169" formatCode="#,##0.0"/>
  </numFmts>
  <fonts count="10">
    <font>
      <name val="Calibri"/>
      <family val="2"/>
      <color theme="1"/>
      <sz val="11"/>
      <scheme val="minor"/>
    </font>
    <font>
      <name val="Arial"/>
      <b val="1"/>
      <color rgb="FF1F3864"/>
      <sz val="14"/>
    </font>
    <font>
      <name val="Arial"/>
      <i val="1"/>
      <color rgb="FF7F7F7F"/>
      <sz val="9"/>
    </font>
    <font>
      <name val="Arial"/>
      <b val="1"/>
      <sz val="10"/>
    </font>
    <font>
      <name val="Arial"/>
      <sz val="10"/>
    </font>
    <font>
      <name val="Arial"/>
      <b val="1"/>
      <color rgb="FF000000"/>
      <sz val="10"/>
    </font>
    <font>
      <name val="Arial"/>
      <color rgb="FF0000FF"/>
      <sz val="10"/>
    </font>
    <font>
      <name val="Arial"/>
      <color rgb="FF000000"/>
      <sz val="10"/>
    </font>
    <font>
      <name val="Arial"/>
      <color rgb="FF008000"/>
      <sz val="10"/>
    </font>
    <font>
      <name val="Arial"/>
      <b val="1"/>
      <color rgb="FFFFFFFF"/>
      <sz val="10"/>
    </font>
  </fonts>
  <fills count="5">
    <fill>
      <patternFill/>
    </fill>
    <fill>
      <patternFill patternType="gray125"/>
    </fill>
    <fill>
      <patternFill patternType="solid">
        <fgColor rgb="FFFFF2CC"/>
        <bgColor rgb="FFFFF2CC"/>
      </patternFill>
    </fill>
    <fill>
      <patternFill patternType="solid">
        <fgColor rgb="FF1F3864"/>
        <bgColor rgb="FF1F3864"/>
      </patternFill>
    </fill>
    <fill>
      <patternFill patternType="solid">
        <fgColor rgb="FFD9E1F2"/>
        <bgColor rgb="FFD9E1F2"/>
      </patternFill>
    </fill>
  </fills>
  <borders count="4">
    <border>
      <left/>
      <right/>
      <top/>
      <bottom/>
      <diagonal/>
    </border>
    <border>
      <top style="thin">
        <color rgb="FF7F7F7F"/>
      </top>
      <bottom style="double">
        <color rgb="FF000000"/>
      </bottom>
    </border>
    <border>
      <left/>
      <right/>
      <top style="thin">
        <color rgb="FF7F7F7F"/>
      </top>
      <bottom/>
      <diagonal/>
    </border>
    <border>
      <left/>
      <right/>
      <top style="thin">
        <color rgb="FF7F7F7F"/>
      </top>
      <bottom style="double">
        <color rgb="FF000000"/>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164" fontId="6" fillId="2" borderId="0" pivotButton="0" quotePrefix="0" xfId="0"/>
    <xf numFmtId="164" fontId="7" fillId="0" borderId="0" pivotButton="0" quotePrefix="0" xfId="0"/>
    <xf numFmtId="164" fontId="8" fillId="0" borderId="0" pivotButton="0" quotePrefix="0" xfId="0"/>
    <xf numFmtId="165" fontId="8" fillId="0" borderId="0" pivotButton="0" quotePrefix="0" xfId="0"/>
    <xf numFmtId="166" fontId="8" fillId="0" borderId="0" pivotButton="0" quotePrefix="0" xfId="0"/>
    <xf numFmtId="0" fontId="8" fillId="0" borderId="0" pivotButton="0" quotePrefix="0" xfId="0"/>
    <xf numFmtId="0" fontId="2" fillId="0" borderId="0" applyAlignment="1" pivotButton="0" quotePrefix="0" xfId="0">
      <alignment wrapText="1"/>
    </xf>
    <xf numFmtId="0" fontId="9" fillId="3" borderId="0" applyAlignment="1" pivotButton="0" quotePrefix="0" xfId="0">
      <alignment horizontal="center"/>
    </xf>
    <xf numFmtId="0" fontId="9" fillId="3" borderId="0" pivotButton="0" quotePrefix="0" xfId="0"/>
    <xf numFmtId="167" fontId="8" fillId="0" borderId="0" pivotButton="0" quotePrefix="0" xfId="0"/>
    <xf numFmtId="167" fontId="6" fillId="2" borderId="0" pivotButton="0" quotePrefix="0" xfId="0"/>
    <xf numFmtId="168" fontId="8" fillId="0" borderId="0" pivotButton="0" quotePrefix="0" xfId="0"/>
    <xf numFmtId="168" fontId="6" fillId="2" borderId="0" pivotButton="0" quotePrefix="0" xfId="0"/>
    <xf numFmtId="10" fontId="8" fillId="0" borderId="0" pivotButton="0" quotePrefix="0" xfId="0"/>
    <xf numFmtId="10" fontId="6" fillId="2" borderId="0" pivotButton="0" quotePrefix="0" xfId="0"/>
    <xf numFmtId="166" fontId="6" fillId="2" borderId="0" pivotButton="0" quotePrefix="0" xfId="0"/>
    <xf numFmtId="166" fontId="7" fillId="0" borderId="0" pivotButton="0" quotePrefix="0" xfId="0"/>
    <xf numFmtId="165" fontId="6" fillId="2" borderId="0" pivotButton="0" quotePrefix="0" xfId="0"/>
    <xf numFmtId="165" fontId="7" fillId="0" borderId="0" pivotButton="0" quotePrefix="0" xfId="0"/>
    <xf numFmtId="165" fontId="5" fillId="4" borderId="1" pivotButton="0" quotePrefix="0" xfId="0"/>
    <xf numFmtId="169" fontId="6" fillId="2" borderId="0" pivotButton="0" quotePrefix="0" xfId="0"/>
    <xf numFmtId="169" fontId="7" fillId="0" borderId="0" pivotButton="0" quotePrefix="0" xfId="0"/>
    <xf numFmtId="0" fontId="5" fillId="4" borderId="1" pivotButton="0" quotePrefix="0" xfId="0"/>
    <xf numFmtId="0" fontId="0" fillId="0" borderId="3" pivotButton="0" quotePrefix="0" xfId="0"/>
  </cellXfs>
  <cellStyles count="1">
    <cellStyle name="Normal" xfId="0" builtinId="0" hidden="0"/>
  </cellStyles>
  <dxfs count="2">
    <dxf>
      <fill>
        <patternFill patternType="solid">
          <fgColor rgb="FFC6EFCE"/>
          <bgColor rgb="FFC6EFCE"/>
        </patternFill>
      </fill>
    </dxf>
    <dxf>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showGridLines="0" workbookViewId="0">
      <selection activeCell="A1" sqref="A1"/>
    </sheetView>
  </sheetViews>
  <sheetFormatPr baseColWidth="8" defaultRowHeight="15"/>
  <cols>
    <col width="2" customWidth="1" min="1" max="1"/>
    <col width="34" customWidth="1" min="2" max="2"/>
    <col width="62" customWidth="1" min="3" max="3"/>
  </cols>
  <sheetData>
    <row r="1"/>
    <row r="2">
      <c r="B2" s="1" t="inlineStr">
        <is>
          <t>3-Statement Integrated Model</t>
        </is>
      </c>
    </row>
    <row r="3">
      <c r="B3" s="2" t="inlineStr">
        <is>
          <t>Subject: Microsoft Corporation (NASDAQ: MSFT)  |  Fiscal Year End: June 30</t>
        </is>
      </c>
    </row>
    <row r="4">
      <c r="B4" s="3" t="inlineStr">
        <is>
          <t>Prepared by: Akul Veauli</t>
        </is>
      </c>
    </row>
    <row r="5">
      <c r="B5" s="4" t="inlineStr">
        <is>
          <t>Date: August 23, 2026</t>
        </is>
      </c>
    </row>
    <row r="6"/>
    <row r="7">
      <c r="B7" s="5" t="inlineStr">
        <is>
          <t>Fully-linked three-statement model covering FY2023A-FY2025A historicals and FY2026E-FY2030E projections. Revenue, margin, and balance-sheet drivers sit on the Assumptions tab; the Income Statement, Balance Sheet, and Cash Flow Statement are 100% formula-driven off those drivers and off each other. A dedicated Debt Schedule computes interest on beginning-of-period balances and sizes the revolver as an end-of-period plug, so the model contains no circular references and requires no iterative calculation. The Balance Sheet carries a live balance-check row (Total Assets less Total Liabilities &amp; Equity) that equals 0.000 in every column, and the Checks tab consolidates all cross-statement ties.</t>
        </is>
      </c>
    </row>
    <row r="8"/>
    <row r="9"/>
    <row r="10"/>
    <row r="11"/>
    <row r="12"/>
    <row r="13"/>
    <row r="14">
      <c r="B14" s="6" t="inlineStr">
        <is>
          <t>Color-code legend</t>
        </is>
      </c>
    </row>
    <row r="15">
      <c r="B15" s="7" t="n">
        <v>123.4</v>
      </c>
      <c r="C15" s="2" t="inlineStr">
        <is>
          <t>Blue on yellow = hardcoded input</t>
        </is>
      </c>
    </row>
    <row r="16">
      <c r="B16" s="8">
        <f>B15</f>
      </c>
      <c r="C16" s="2" t="inlineStr">
        <is>
          <t>Black = formula (same sheet)</t>
        </is>
      </c>
    </row>
    <row r="17">
      <c r="B17" s="9">
        <f>IS!D19</f>
      </c>
      <c r="C17" s="2" t="inlineStr">
        <is>
          <t>Green = link from another tab</t>
        </is>
      </c>
    </row>
    <row r="18"/>
    <row r="19">
      <c r="B19" s="6" t="inlineStr">
        <is>
          <t>Table of contents</t>
        </is>
      </c>
    </row>
    <row r="20">
      <c r="B20" t="inlineStr">
        <is>
          <t>Assumptions</t>
        </is>
      </c>
      <c r="C20" s="2" t="inlineStr">
        <is>
          <t>All model drivers (blue inputs)</t>
        </is>
      </c>
    </row>
    <row r="21">
      <c r="B21" t="inlineStr">
        <is>
          <t>IS</t>
        </is>
      </c>
      <c r="C21" s="2" t="inlineStr">
        <is>
          <t>Income statement, FY23A-FY30E</t>
        </is>
      </c>
    </row>
    <row r="22">
      <c r="B22" t="inlineStr">
        <is>
          <t>BS</t>
        </is>
      </c>
      <c r="C22" s="2" t="inlineStr">
        <is>
          <t>Balance sheet + balance check</t>
        </is>
      </c>
    </row>
    <row r="23">
      <c r="B23" t="inlineStr">
        <is>
          <t>CF</t>
        </is>
      </c>
      <c r="C23" s="2" t="inlineStr">
        <is>
          <t>Indirect cash flow statement</t>
        </is>
      </c>
    </row>
    <row r="24">
      <c r="B24" t="inlineStr">
        <is>
          <t>DebtSchedule</t>
        </is>
      </c>
      <c r="C24" s="2" t="inlineStr">
        <is>
          <t>Long-term debt + revolver plug</t>
        </is>
      </c>
    </row>
    <row r="25">
      <c r="B25" t="inlineStr">
        <is>
          <t>Checks</t>
        </is>
      </c>
      <c r="C25" s="2" t="inlineStr">
        <is>
          <t>Consolidated tie-out panel</t>
        </is>
      </c>
    </row>
    <row r="26"/>
    <row r="27">
      <c r="B27" s="6" t="inlineStr">
        <is>
          <t>Key outputs (FY2030E)</t>
        </is>
      </c>
    </row>
    <row r="28">
      <c r="B28" t="inlineStr">
        <is>
          <t>Revenue</t>
        </is>
      </c>
      <c r="C28" s="10">
        <f>IS!K7</f>
      </c>
    </row>
    <row r="29">
      <c r="B29" t="inlineStr">
        <is>
          <t>Net income</t>
        </is>
      </c>
      <c r="C29" s="10">
        <f>IS!K19</f>
      </c>
    </row>
    <row r="30">
      <c r="B30" t="inlineStr">
        <is>
          <t>Diluted EPS</t>
        </is>
      </c>
      <c r="C30" s="11">
        <f>IS!K24</f>
      </c>
    </row>
    <row r="31">
      <c r="B31" t="inlineStr">
        <is>
          <t>Total assets</t>
        </is>
      </c>
      <c r="C31" s="10">
        <f>BS!K17</f>
      </c>
    </row>
    <row r="32">
      <c r="B32" t="inlineStr">
        <is>
          <t>Ending cash &amp; ST investments</t>
        </is>
      </c>
      <c r="C32" s="10">
        <f>CF!K42</f>
      </c>
    </row>
    <row r="33">
      <c r="B33" t="inlineStr">
        <is>
          <t>Consolidated check status</t>
        </is>
      </c>
      <c r="C33" s="12">
        <f>Checks!D15</f>
      </c>
    </row>
    <row r="34"/>
    <row r="35"/>
    <row r="36">
      <c r="B36" s="6" t="inlineStr">
        <is>
          <t>Sources</t>
        </is>
      </c>
    </row>
    <row r="37">
      <c r="B37" s="13" t="inlineStr">
        <is>
          <t>MSFT FY2023-FY2025 Form 10-K filings (SEC accession nos. 000095017023035122, 000095017024087843, 000095017025100235); FY2025 10-K debt footnote / 10-Q (9/30/25) maturity schedule (weighted-avg coupon 4.52%); company earnings releases and IR disclosures. FY2025 unearned revenue and select opex/BS 'other' line detail are estimates reconciled to reported totals; see Assumptions tab and build notes for the reconciliation.</t>
        </is>
      </c>
    </row>
    <row r="38"/>
    <row r="39"/>
  </sheetData>
  <mergeCells count="2">
    <mergeCell ref="B37:C39"/>
    <mergeCell ref="B7: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Assumptions &amp; Drivers</t>
        </is>
      </c>
    </row>
    <row r="3">
      <c r="B3" s="2" t="inlineStr">
        <is>
          <t>($ in millions except per-share, days, and % rows; blue = hardcoded input)</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c r="B7" s="15" t="inlineStr">
        <is>
          <t>Income Statement Drivers</t>
        </is>
      </c>
      <c r="D7" s="15" t="n"/>
      <c r="E7" s="15" t="n"/>
      <c r="F7" s="15" t="n"/>
      <c r="G7" s="15" t="n"/>
      <c r="H7" s="15" t="n"/>
      <c r="I7" s="15" t="n"/>
      <c r="J7" s="15" t="n"/>
      <c r="K7" s="15" t="n"/>
    </row>
    <row r="8">
      <c r="B8" s="4" t="inlineStr">
        <is>
          <t>Revenue growth %</t>
        </is>
      </c>
      <c r="D8" s="2" t="inlineStr">
        <is>
          <t>n/a</t>
        </is>
      </c>
      <c r="E8" s="16">
        <f>IS!E7/IS!D7-1</f>
      </c>
      <c r="F8" s="16">
        <f>IS!F7/IS!E7-1</f>
      </c>
      <c r="G8" s="17" t="n">
        <v>0.16</v>
      </c>
      <c r="H8" s="17" t="n">
        <v>0.14</v>
      </c>
      <c r="I8" s="17" t="n">
        <v>0.12</v>
      </c>
      <c r="J8" s="17" t="n">
        <v>0.11</v>
      </c>
      <c r="K8" s="17" t="n">
        <v>0.1</v>
      </c>
    </row>
    <row r="9">
      <c r="B9" s="4" t="inlineStr">
        <is>
          <t>Gross margin %</t>
        </is>
      </c>
      <c r="D9" s="16">
        <f>IS!D9/IS!D7</f>
      </c>
      <c r="E9" s="16">
        <f>IS!E9/IS!E7</f>
      </c>
      <c r="F9" s="16">
        <f>IS!F9/IS!F7</f>
      </c>
      <c r="G9" s="17" t="n">
        <v>0.6899999999999999</v>
      </c>
      <c r="H9" s="17" t="n">
        <v>0.6899999999999999</v>
      </c>
      <c r="I9" s="17" t="n">
        <v>0.6899999999999999</v>
      </c>
      <c r="J9" s="17" t="n">
        <v>0.6899999999999999</v>
      </c>
      <c r="K9" s="17" t="n">
        <v>0.6899999999999999</v>
      </c>
    </row>
    <row r="10">
      <c r="B10" s="4" t="inlineStr">
        <is>
          <t>R&amp;D % of revenue</t>
        </is>
      </c>
      <c r="D10" s="16">
        <f>IS!D10/IS!D7</f>
      </c>
      <c r="E10" s="16">
        <f>IS!E10/IS!E7</f>
      </c>
      <c r="F10" s="16">
        <f>IS!F10/IS!F7</f>
      </c>
      <c r="G10" s="17" t="n">
        <v>0.115</v>
      </c>
      <c r="H10" s="17" t="n">
        <v>0.115</v>
      </c>
      <c r="I10" s="17" t="n">
        <v>0.115</v>
      </c>
      <c r="J10" s="17" t="n">
        <v>0.115</v>
      </c>
      <c r="K10" s="17" t="n">
        <v>0.115</v>
      </c>
    </row>
    <row r="11">
      <c r="B11" s="4" t="inlineStr">
        <is>
          <t>Sales &amp; marketing % of revenue</t>
        </is>
      </c>
      <c r="D11" s="16">
        <f>IS!D11/IS!D7</f>
      </c>
      <c r="E11" s="16">
        <f>IS!E11/IS!E7</f>
      </c>
      <c r="F11" s="16">
        <f>IS!F11/IS!F7</f>
      </c>
      <c r="G11" s="17" t="n">
        <v>0.09</v>
      </c>
      <c r="H11" s="17" t="n">
        <v>0.09</v>
      </c>
      <c r="I11" s="17" t="n">
        <v>0.09</v>
      </c>
      <c r="J11" s="17" t="n">
        <v>0.09</v>
      </c>
      <c r="K11" s="17" t="n">
        <v>0.09</v>
      </c>
    </row>
    <row r="12">
      <c r="B12" s="4" t="inlineStr">
        <is>
          <t>G&amp;A % of revenue</t>
        </is>
      </c>
      <c r="D12" s="16">
        <f>IS!D12/IS!D7</f>
      </c>
      <c r="E12" s="16">
        <f>IS!E12/IS!E7</f>
      </c>
      <c r="F12" s="16">
        <f>IS!F12/IS!F7</f>
      </c>
      <c r="G12" s="17" t="n">
        <v>0.024</v>
      </c>
      <c r="H12" s="17" t="n">
        <v>0.024</v>
      </c>
      <c r="I12" s="17" t="n">
        <v>0.024</v>
      </c>
      <c r="J12" s="17" t="n">
        <v>0.024</v>
      </c>
      <c r="K12" s="17" t="n">
        <v>0.024</v>
      </c>
    </row>
    <row r="13">
      <c r="B13" s="4" t="inlineStr">
        <is>
          <t>Effective tax rate %</t>
        </is>
      </c>
      <c r="D13" s="16">
        <f>IS!D18/IS!D17</f>
      </c>
      <c r="E13" s="16">
        <f>IS!E18/IS!E17</f>
      </c>
      <c r="F13" s="16">
        <f>IS!F18/IS!F17</f>
      </c>
      <c r="G13" s="17" t="n">
        <v>0.19</v>
      </c>
      <c r="H13" s="17" t="n">
        <v>0.19</v>
      </c>
      <c r="I13" s="17" t="n">
        <v>0.19</v>
      </c>
      <c r="J13" s="17" t="n">
        <v>0.19</v>
      </c>
      <c r="K13" s="17" t="n">
        <v>0.19</v>
      </c>
    </row>
    <row r="14">
      <c r="B14" s="4" t="inlineStr">
        <is>
          <t>Other income / (expense), net ($mm, held flat)</t>
        </is>
      </c>
      <c r="D14" s="9">
        <f>IS!D16</f>
      </c>
      <c r="E14" s="9">
        <f>IS!E16</f>
      </c>
      <c r="F14" s="9">
        <f>IS!F16</f>
      </c>
      <c r="G14" s="7" t="n">
        <v>-500</v>
      </c>
      <c r="H14" s="7" t="n">
        <v>-500</v>
      </c>
      <c r="I14" s="7" t="n">
        <v>-500</v>
      </c>
      <c r="J14" s="7" t="n">
        <v>-500</v>
      </c>
      <c r="K14" s="7" t="n">
        <v>-500</v>
      </c>
    </row>
    <row r="15"/>
    <row r="16">
      <c r="B16" s="15" t="inlineStr">
        <is>
          <t>Balance Sheet Drivers</t>
        </is>
      </c>
      <c r="D16" s="15" t="n"/>
      <c r="E16" s="15" t="n"/>
      <c r="F16" s="15" t="n"/>
      <c r="G16" s="15" t="n"/>
      <c r="H16" s="15" t="n"/>
      <c r="I16" s="15" t="n"/>
      <c r="J16" s="15" t="n"/>
      <c r="K16" s="15" t="n"/>
    </row>
    <row r="17">
      <c r="B17" s="4" t="inlineStr">
        <is>
          <t>Days sales outstanding (AR)</t>
        </is>
      </c>
      <c r="D17" s="18">
        <f>BS!D9/IS!D7*365</f>
      </c>
      <c r="E17" s="18">
        <f>BS!E9/IS!E7*365</f>
      </c>
      <c r="F17" s="18">
        <f>BS!F9/IS!F7*365</f>
      </c>
      <c r="G17" s="19" t="n">
        <v>88</v>
      </c>
      <c r="H17" s="19" t="n">
        <v>88</v>
      </c>
      <c r="I17" s="19" t="n">
        <v>88</v>
      </c>
      <c r="J17" s="19" t="n">
        <v>88</v>
      </c>
      <c r="K17" s="19" t="n">
        <v>88</v>
      </c>
    </row>
    <row r="18">
      <c r="B18" s="4" t="inlineStr">
        <is>
          <t>Inventory % of COGS</t>
        </is>
      </c>
      <c r="D18" s="20">
        <f>BS!D10/IS!D8</f>
      </c>
      <c r="E18" s="20">
        <f>BS!E10/IS!E8</f>
      </c>
      <c r="F18" s="20">
        <f>BS!F10/IS!F8</f>
      </c>
      <c r="G18" s="21" t="n">
        <v>0.0005</v>
      </c>
      <c r="H18" s="21" t="n">
        <v>0.0005</v>
      </c>
      <c r="I18" s="21" t="n">
        <v>0.0005</v>
      </c>
      <c r="J18" s="21" t="n">
        <v>0.0005</v>
      </c>
      <c r="K18" s="21" t="n">
        <v>0.0005</v>
      </c>
    </row>
    <row r="19">
      <c r="B19" s="4" t="inlineStr">
        <is>
          <t>Days payable outstanding (AP)</t>
        </is>
      </c>
      <c r="D19" s="18">
        <f>BS!D20/IS!D8*365</f>
      </c>
      <c r="E19" s="18">
        <f>BS!E20/IS!E8*365</f>
      </c>
      <c r="F19" s="18">
        <f>BS!F20/IS!F8*365</f>
      </c>
      <c r="G19" s="19" t="n">
        <v>110</v>
      </c>
      <c r="H19" s="19" t="n">
        <v>110</v>
      </c>
      <c r="I19" s="19" t="n">
        <v>110</v>
      </c>
      <c r="J19" s="19" t="n">
        <v>110</v>
      </c>
      <c r="K19" s="19" t="n">
        <v>110</v>
      </c>
    </row>
    <row r="20">
      <c r="B20" s="4" t="inlineStr">
        <is>
          <t>Accrued compensation % of total opex</t>
        </is>
      </c>
      <c r="D20" s="16">
        <f>BS!D21/(IS!D10+IS!D11+IS!D12)</f>
      </c>
      <c r="E20" s="16">
        <f>BS!E21/(IS!E10+IS!E11+IS!E12)</f>
      </c>
      <c r="F20" s="16">
        <f>BS!F21/(IS!F10+IS!F11+IS!F12)</f>
      </c>
      <c r="G20" s="17" t="n">
        <v>0.2</v>
      </c>
      <c r="H20" s="17" t="n">
        <v>0.2</v>
      </c>
      <c r="I20" s="17" t="n">
        <v>0.2</v>
      </c>
      <c r="J20" s="17" t="n">
        <v>0.2</v>
      </c>
      <c r="K20" s="17" t="n">
        <v>0.2</v>
      </c>
    </row>
    <row r="21">
      <c r="B21" s="4" t="inlineStr">
        <is>
          <t>Total unearned revenue % of revenue</t>
        </is>
      </c>
      <c r="D21" s="16">
        <f>(BS!D22+BS!D27)/IS!D7</f>
      </c>
      <c r="E21" s="16">
        <f>(BS!E22+BS!E27)/IS!E7</f>
      </c>
      <c r="F21" s="16">
        <f>(BS!F22+BS!F27)/IS!F7</f>
      </c>
      <c r="G21" s="17" t="n">
        <v>0.185</v>
      </c>
      <c r="H21" s="17" t="n">
        <v>0.182</v>
      </c>
      <c r="I21" s="17" t="n">
        <v>0.179</v>
      </c>
      <c r="J21" s="17" t="n">
        <v>0.176</v>
      </c>
      <c r="K21" s="17" t="n">
        <v>0.173</v>
      </c>
    </row>
    <row r="22">
      <c r="B22" s="4" t="inlineStr">
        <is>
          <t>Short-term unearned revenue % of total unearned rev.</t>
        </is>
      </c>
      <c r="D22" s="16">
        <f>BS!D22/(BS!D22+BS!D27)</f>
      </c>
      <c r="E22" s="16">
        <f>BS!E22/(BS!E22+BS!E27)</f>
      </c>
      <c r="F22" s="16">
        <f>BS!F22/(BS!F22+BS!F27)</f>
      </c>
      <c r="G22" s="17" t="n">
        <v>0.62</v>
      </c>
      <c r="H22" s="17" t="n">
        <v>0.62</v>
      </c>
      <c r="I22" s="17" t="n">
        <v>0.62</v>
      </c>
      <c r="J22" s="17" t="n">
        <v>0.62</v>
      </c>
      <c r="K22" s="17" t="n">
        <v>0.62</v>
      </c>
    </row>
    <row r="23">
      <c r="B23" s="4" t="inlineStr">
        <is>
          <t>Other current assets % of revenue</t>
        </is>
      </c>
      <c r="D23" s="16">
        <f>BS!D11/IS!D7</f>
      </c>
      <c r="E23" s="16">
        <f>BS!E11/IS!E7</f>
      </c>
      <c r="F23" s="16">
        <f>BS!F11/IS!F7</f>
      </c>
      <c r="G23" s="17" t="n">
        <v>0.07000000000000001</v>
      </c>
      <c r="H23" s="17" t="n">
        <v>0.07000000000000001</v>
      </c>
      <c r="I23" s="17" t="n">
        <v>0.07000000000000001</v>
      </c>
      <c r="J23" s="17" t="n">
        <v>0.07000000000000001</v>
      </c>
      <c r="K23" s="17" t="n">
        <v>0.07000000000000001</v>
      </c>
    </row>
    <row r="24">
      <c r="B24" s="4" t="inlineStr">
        <is>
          <t>Other current liabilities % of revenue</t>
        </is>
      </c>
      <c r="D24" s="16">
        <f>BS!D24/IS!D7</f>
      </c>
      <c r="E24" s="16">
        <f>BS!E24/IS!E7</f>
      </c>
      <c r="F24" s="16">
        <f>BS!F24/IS!F7</f>
      </c>
      <c r="G24" s="17" t="n">
        <v>0.025</v>
      </c>
      <c r="H24" s="17" t="n">
        <v>0.025</v>
      </c>
      <c r="I24" s="17" t="n">
        <v>0.025</v>
      </c>
      <c r="J24" s="17" t="n">
        <v>0.025</v>
      </c>
      <c r="K24" s="17" t="n">
        <v>0.025</v>
      </c>
    </row>
    <row r="25">
      <c r="B25" s="4" t="inlineStr">
        <is>
          <t>Other LT assets % of revenue</t>
        </is>
      </c>
      <c r="D25" s="16">
        <f>BS!D16/IS!D7</f>
      </c>
      <c r="E25" s="16">
        <f>BS!E16/IS!E7</f>
      </c>
      <c r="F25" s="16">
        <f>BS!F16/IS!F7</f>
      </c>
      <c r="G25" s="17" t="n">
        <v>0.64</v>
      </c>
      <c r="H25" s="17" t="n">
        <v>0.63</v>
      </c>
      <c r="I25" s="17" t="n">
        <v>0.62</v>
      </c>
      <c r="J25" s="17" t="n">
        <v>0.61</v>
      </c>
      <c r="K25" s="17" t="n">
        <v>0.6</v>
      </c>
    </row>
    <row r="26">
      <c r="B26" s="4" t="inlineStr">
        <is>
          <t>Other LT liabilities % of revenue</t>
        </is>
      </c>
      <c r="D26" s="16">
        <f>BS!D28/IS!D7</f>
      </c>
      <c r="E26" s="16">
        <f>BS!E28/IS!E7</f>
      </c>
      <c r="F26" s="16">
        <f>BS!F28/IS!F7</f>
      </c>
      <c r="G26" s="17" t="n">
        <v>0.44</v>
      </c>
      <c r="H26" s="17" t="n">
        <v>0.43</v>
      </c>
      <c r="I26" s="17" t="n">
        <v>0.42</v>
      </c>
      <c r="J26" s="17" t="n">
        <v>0.41</v>
      </c>
      <c r="K26" s="17" t="n">
        <v>0.4</v>
      </c>
    </row>
    <row r="27">
      <c r="B27" s="4" t="inlineStr">
        <is>
          <t>Capex % of revenue</t>
        </is>
      </c>
      <c r="D27" s="2" t="inlineStr">
        <is>
          <t>n/a (see CF memo)</t>
        </is>
      </c>
      <c r="E27" s="2" t="inlineStr">
        <is>
          <t>n/a (see CF memo)</t>
        </is>
      </c>
      <c r="F27" s="2" t="inlineStr">
        <is>
          <t>n/a (see CF memo)</t>
        </is>
      </c>
      <c r="G27" s="17" t="n">
        <v>0.23</v>
      </c>
      <c r="H27" s="17" t="n">
        <v>0.21</v>
      </c>
      <c r="I27" s="17" t="n">
        <v>0.19</v>
      </c>
      <c r="J27" s="17" t="n">
        <v>0.17</v>
      </c>
      <c r="K27" s="17" t="n">
        <v>0.15</v>
      </c>
    </row>
    <row r="28">
      <c r="B28" s="4" t="inlineStr">
        <is>
          <t>Depreciation % of revenue</t>
        </is>
      </c>
      <c r="D28" s="2" t="inlineStr">
        <is>
          <t>n/a (see CF memo)</t>
        </is>
      </c>
      <c r="E28" s="2" t="inlineStr">
        <is>
          <t>n/a (see CF memo)</t>
        </is>
      </c>
      <c r="F28" s="2" t="inlineStr">
        <is>
          <t>n/a (see CF memo)</t>
        </is>
      </c>
      <c r="G28" s="17" t="n">
        <v>0.13</v>
      </c>
      <c r="H28" s="17" t="n">
        <v>0.13</v>
      </c>
      <c r="I28" s="17" t="n">
        <v>0.13</v>
      </c>
      <c r="J28" s="17" t="n">
        <v>0.13</v>
      </c>
      <c r="K28" s="17" t="n">
        <v>0.13</v>
      </c>
    </row>
    <row r="29">
      <c r="B29" s="4" t="inlineStr">
        <is>
          <t>Intangible asset amortization ($mm)</t>
        </is>
      </c>
      <c r="D29" s="2" t="inlineStr">
        <is>
          <t>n/a</t>
        </is>
      </c>
      <c r="E29" s="2" t="inlineStr">
        <is>
          <t>n/a</t>
        </is>
      </c>
      <c r="F29" s="2" t="inlineStr">
        <is>
          <t>n/a</t>
        </is>
      </c>
      <c r="G29" s="7" t="n">
        <v>2800</v>
      </c>
      <c r="H29" s="7" t="n">
        <v>2600</v>
      </c>
      <c r="I29" s="7" t="n">
        <v>2400</v>
      </c>
      <c r="J29" s="7" t="n">
        <v>2200</v>
      </c>
      <c r="K29" s="7" t="n">
        <v>2000</v>
      </c>
    </row>
    <row r="30"/>
    <row r="31">
      <c r="B31" s="15" t="inlineStr">
        <is>
          <t>Financing &amp; Capital Structure Policy</t>
        </is>
      </c>
      <c r="D31" s="15" t="n"/>
      <c r="E31" s="15" t="n"/>
      <c r="F31" s="15" t="n"/>
      <c r="G31" s="15" t="n"/>
      <c r="H31" s="15" t="n"/>
      <c r="I31" s="15" t="n"/>
      <c r="J31" s="15" t="n"/>
      <c r="K31" s="15" t="n"/>
    </row>
    <row r="32">
      <c r="B32" s="4" t="inlineStr">
        <is>
          <t>Dividend per share ($, annualized run-rate)</t>
        </is>
      </c>
      <c r="D32" s="2" t="inlineStr">
        <is>
          <t>n/a</t>
        </is>
      </c>
      <c r="E32" s="2" t="inlineStr">
        <is>
          <t>n/a</t>
        </is>
      </c>
      <c r="F32" s="22" t="n">
        <v>1.7824</v>
      </c>
      <c r="G32" s="23">
        <f>F32*(1+G33)</f>
      </c>
      <c r="H32" s="23">
        <f>G32*(1+H33)</f>
      </c>
      <c r="I32" s="23">
        <f>H32*(1+I33)</f>
      </c>
      <c r="J32" s="23">
        <f>I32*(1+J33)</f>
      </c>
      <c r="K32" s="23">
        <f>J32*(1+K33)</f>
      </c>
    </row>
    <row r="33">
      <c r="B33" s="4" t="inlineStr">
        <is>
          <t>Dividend per share growth %</t>
        </is>
      </c>
      <c r="D33" s="2" t="inlineStr">
        <is>
          <t>n/a</t>
        </is>
      </c>
      <c r="E33" s="2" t="inlineStr">
        <is>
          <t>n/a</t>
        </is>
      </c>
      <c r="F33" s="2" t="inlineStr">
        <is>
          <t>n/a</t>
        </is>
      </c>
      <c r="G33" s="17" t="n">
        <v>0.1</v>
      </c>
      <c r="H33" s="17" t="n">
        <v>0.09</v>
      </c>
      <c r="I33" s="17" t="n">
        <v>0.07000000000000001</v>
      </c>
      <c r="J33" s="17" t="n">
        <v>0.05</v>
      </c>
      <c r="K33" s="17" t="n">
        <v>0.04</v>
      </c>
    </row>
    <row r="34">
      <c r="B34" s="4" t="inlineStr">
        <is>
          <t>Share buybacks ($mm/yr)</t>
        </is>
      </c>
      <c r="D34" s="2" t="inlineStr">
        <is>
          <t>n/a</t>
        </is>
      </c>
      <c r="E34" s="2" t="inlineStr">
        <is>
          <t>n/a</t>
        </is>
      </c>
      <c r="F34" s="2" t="inlineStr">
        <is>
          <t>n/a</t>
        </is>
      </c>
      <c r="G34" s="7" t="n">
        <v>20000</v>
      </c>
      <c r="H34" s="7" t="n">
        <v>22000</v>
      </c>
      <c r="I34" s="7" t="n">
        <v>24000</v>
      </c>
      <c r="J34" s="7" t="n">
        <v>26000</v>
      </c>
      <c r="K34" s="7" t="n">
        <v>28000</v>
      </c>
    </row>
    <row r="35">
      <c r="B35" s="4" t="inlineStr">
        <is>
          <t>Assumed avg. share price for buybacks ($)</t>
        </is>
      </c>
      <c r="D35" s="2" t="inlineStr">
        <is>
          <t>n/a</t>
        </is>
      </c>
      <c r="E35" s="2" t="inlineStr">
        <is>
          <t>n/a</t>
        </is>
      </c>
      <c r="F35" s="2" t="inlineStr">
        <is>
          <t>n/a</t>
        </is>
      </c>
      <c r="G35" s="22" t="n">
        <v>520</v>
      </c>
      <c r="H35" s="22" t="n">
        <v>560</v>
      </c>
      <c r="I35" s="22" t="n">
        <v>605</v>
      </c>
      <c r="J35" s="22" t="n">
        <v>650</v>
      </c>
      <c r="K35" s="22" t="n">
        <v>700</v>
      </c>
    </row>
    <row r="36">
      <c r="B36" s="4" t="inlineStr">
        <is>
          <t>Stock-based compensation % of revenue</t>
        </is>
      </c>
      <c r="D36" s="2" t="inlineStr">
        <is>
          <t>n/a</t>
        </is>
      </c>
      <c r="E36" s="2" t="inlineStr">
        <is>
          <t>n/a</t>
        </is>
      </c>
      <c r="F36" s="2" t="inlineStr">
        <is>
          <t>n/a</t>
        </is>
      </c>
      <c r="G36" s="17" t="n">
        <v>0.042</v>
      </c>
      <c r="H36" s="17" t="n">
        <v>0.042</v>
      </c>
      <c r="I36" s="17" t="n">
        <v>0.042</v>
      </c>
      <c r="J36" s="17" t="n">
        <v>0.042</v>
      </c>
      <c r="K36" s="17" t="n">
        <v>0.042</v>
      </c>
    </row>
    <row r="37">
      <c r="B37" s="4" t="inlineStr">
        <is>
          <t>SBC share dilution (% of shares/yr)</t>
        </is>
      </c>
      <c r="D37" s="2" t="inlineStr">
        <is>
          <t>n/a</t>
        </is>
      </c>
      <c r="E37" s="2" t="inlineStr">
        <is>
          <t>n/a</t>
        </is>
      </c>
      <c r="F37" s="2" t="inlineStr">
        <is>
          <t>n/a</t>
        </is>
      </c>
      <c r="G37" s="17" t="n">
        <v>0.005</v>
      </c>
      <c r="H37" s="17" t="n">
        <v>0.005</v>
      </c>
      <c r="I37" s="17" t="n">
        <v>0.005</v>
      </c>
      <c r="J37" s="17" t="n">
        <v>0.005</v>
      </c>
      <c r="K37" s="17" t="n">
        <v>0.005</v>
      </c>
    </row>
    <row r="38">
      <c r="B38" s="4" t="inlineStr">
        <is>
          <t>Option / stock plan proceeds ($mm/yr)</t>
        </is>
      </c>
      <c r="D38" s="2" t="inlineStr">
        <is>
          <t>n/a</t>
        </is>
      </c>
      <c r="E38" s="2" t="inlineStr">
        <is>
          <t>n/a</t>
        </is>
      </c>
      <c r="F38" s="2" t="inlineStr">
        <is>
          <t>n/a</t>
        </is>
      </c>
      <c r="G38" s="7" t="n">
        <v>900</v>
      </c>
      <c r="H38" s="7" t="n">
        <v>900</v>
      </c>
      <c r="I38" s="7" t="n">
        <v>900</v>
      </c>
      <c r="J38" s="7" t="n">
        <v>900</v>
      </c>
      <c r="K38" s="7" t="n">
        <v>900</v>
      </c>
    </row>
    <row r="39">
      <c r="B39" s="4" t="inlineStr">
        <is>
          <t>Scheduled LT debt maturities ($mm)</t>
        </is>
      </c>
      <c r="D39" s="2" t="inlineStr">
        <is>
          <t>n/a</t>
        </is>
      </c>
      <c r="E39" s="2" t="inlineStr">
        <is>
          <t>n/a</t>
        </is>
      </c>
      <c r="F39" s="2" t="inlineStr">
        <is>
          <t>n/a</t>
        </is>
      </c>
      <c r="G39" s="7" t="n">
        <v>3186</v>
      </c>
      <c r="H39" s="7" t="n">
        <v>2932</v>
      </c>
      <c r="I39" s="7" t="n">
        <v>2038</v>
      </c>
      <c r="J39" s="7" t="n">
        <v>1853</v>
      </c>
      <c r="K39" s="7" t="n">
        <v>1385</v>
      </c>
    </row>
    <row r="40">
      <c r="B40" s="4" t="inlineStr">
        <is>
          <t>Blended coupon rate on debt %</t>
        </is>
      </c>
      <c r="D40" s="2" t="inlineStr">
        <is>
          <t>n/a</t>
        </is>
      </c>
      <c r="E40" s="2" t="inlineStr">
        <is>
          <t>n/a</t>
        </is>
      </c>
      <c r="F40" s="2" t="inlineStr">
        <is>
          <t>n/a</t>
        </is>
      </c>
      <c r="G40" s="21" t="n">
        <v>0.0452</v>
      </c>
      <c r="H40" s="21" t="n">
        <v>0.0452</v>
      </c>
      <c r="I40" s="21" t="n">
        <v>0.0452</v>
      </c>
      <c r="J40" s="21" t="n">
        <v>0.0452</v>
      </c>
      <c r="K40" s="21" t="n">
        <v>0.0452</v>
      </c>
    </row>
    <row r="41">
      <c r="B41" s="4" t="inlineStr">
        <is>
          <t>Revolver interest rate %</t>
        </is>
      </c>
      <c r="D41" s="2" t="inlineStr">
        <is>
          <t>n/a</t>
        </is>
      </c>
      <c r="E41" s="2" t="inlineStr">
        <is>
          <t>n/a</t>
        </is>
      </c>
      <c r="F41" s="2" t="inlineStr">
        <is>
          <t>n/a</t>
        </is>
      </c>
      <c r="G41" s="21" t="n">
        <v>0.055</v>
      </c>
      <c r="H41" s="21" t="n">
        <v>0.055</v>
      </c>
      <c r="I41" s="21" t="n">
        <v>0.055</v>
      </c>
      <c r="J41" s="21" t="n">
        <v>0.055</v>
      </c>
      <c r="K41" s="21" t="n">
        <v>0.055</v>
      </c>
    </row>
    <row r="42">
      <c r="B42" s="4" t="inlineStr">
        <is>
          <t>Cash / ST investment interest income rate %</t>
        </is>
      </c>
      <c r="D42" s="2" t="inlineStr">
        <is>
          <t>n/a</t>
        </is>
      </c>
      <c r="E42" s="2" t="inlineStr">
        <is>
          <t>n/a</t>
        </is>
      </c>
      <c r="F42" s="2" t="inlineStr">
        <is>
          <t>n/a</t>
        </is>
      </c>
      <c r="G42" s="21" t="n">
        <v>0.04</v>
      </c>
      <c r="H42" s="21" t="n">
        <v>0.04</v>
      </c>
      <c r="I42" s="21" t="n">
        <v>0.04</v>
      </c>
      <c r="J42" s="21" t="n">
        <v>0.04</v>
      </c>
      <c r="K42" s="21" t="n">
        <v>0.04</v>
      </c>
    </row>
    <row r="43">
      <c r="B43" s="4" t="inlineStr">
        <is>
          <t>Minimum cash balance ($mm)</t>
        </is>
      </c>
      <c r="D43" s="2" t="inlineStr">
        <is>
          <t>n/a</t>
        </is>
      </c>
      <c r="E43" s="2" t="inlineStr">
        <is>
          <t>n/a</t>
        </is>
      </c>
      <c r="F43" s="2" t="inlineStr">
        <is>
          <t>n/a</t>
        </is>
      </c>
      <c r="G43" s="7" t="n">
        <v>15000</v>
      </c>
      <c r="H43" s="7" t="n">
        <v>15000</v>
      </c>
      <c r="I43" s="7" t="n">
        <v>15000</v>
      </c>
      <c r="J43" s="7" t="n">
        <v>15000</v>
      </c>
      <c r="K43" s="7" t="n">
        <v>15000</v>
      </c>
    </row>
    <row r="44"/>
    <row r="45">
      <c r="B45" s="2" t="inlineStr">
        <is>
          <t>Circularity convention: interest expense = beginning-of-period debt balance x coupon; interest income = beginning-of-period cash balance x rate; the revolver is sized as an end-of-period plug on the DebtSchedule tab. No iterative calculation is used or required.</t>
        </is>
      </c>
    </row>
  </sheetData>
  <mergeCells count="1">
    <mergeCell ref="B45:K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Income Statement</t>
        </is>
      </c>
    </row>
    <row r="3">
      <c r="B3" s="2" t="inlineStr">
        <is>
          <t>($ in millions, except per-share data)</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c r="B7" s="4" t="inlineStr">
        <is>
          <t>Total revenue</t>
        </is>
      </c>
      <c r="D7" s="24" t="n">
        <v>211915</v>
      </c>
      <c r="E7" s="24" t="n">
        <v>245122</v>
      </c>
      <c r="F7" s="24" t="n">
        <v>281724</v>
      </c>
      <c r="G7" s="25">
        <f>F7*(1+Assumptions!G8)</f>
      </c>
      <c r="H7" s="25">
        <f>G7*(1+Assumptions!H8)</f>
      </c>
      <c r="I7" s="25">
        <f>H7*(1+Assumptions!I8)</f>
      </c>
      <c r="J7" s="25">
        <f>I7*(1+Assumptions!J8)</f>
      </c>
      <c r="K7" s="25">
        <f>J7*(1+Assumptions!K8)</f>
      </c>
    </row>
    <row r="8">
      <c r="B8" s="4" t="inlineStr">
        <is>
          <t>Cost of revenue</t>
        </is>
      </c>
      <c r="D8" s="24" t="n">
        <v>65863</v>
      </c>
      <c r="E8" s="24" t="n">
        <v>74114</v>
      </c>
      <c r="F8" s="24" t="n">
        <v>88159</v>
      </c>
      <c r="G8" s="25">
        <f>G7*(1-Assumptions!G9)</f>
      </c>
      <c r="H8" s="25">
        <f>H7*(1-Assumptions!H9)</f>
      </c>
      <c r="I8" s="25">
        <f>I7*(1-Assumptions!I9)</f>
      </c>
      <c r="J8" s="25">
        <f>J7*(1-Assumptions!J9)</f>
      </c>
      <c r="K8" s="25">
        <f>K7*(1-Assumptions!K9)</f>
      </c>
    </row>
    <row r="9">
      <c r="B9" s="6" t="inlineStr">
        <is>
          <t>Gross profit</t>
        </is>
      </c>
      <c r="D9" s="26">
        <f>D7-D8</f>
      </c>
      <c r="E9" s="26">
        <f>E7-E8</f>
      </c>
      <c r="F9" s="26">
        <f>F7-F8</f>
      </c>
      <c r="G9" s="26">
        <f>G7-G8</f>
      </c>
      <c r="H9" s="26">
        <f>H7-H8</f>
      </c>
      <c r="I9" s="26">
        <f>I7-I8</f>
      </c>
      <c r="J9" s="26">
        <f>J7-J8</f>
      </c>
      <c r="K9" s="26">
        <f>K7-K8</f>
      </c>
    </row>
    <row r="10">
      <c r="B10" s="4" t="inlineStr">
        <is>
          <t>Research &amp; development</t>
        </is>
      </c>
      <c r="D10" s="24" t="n">
        <v>27195</v>
      </c>
      <c r="E10" s="24" t="n">
        <v>29510</v>
      </c>
      <c r="F10" s="24" t="n">
        <v>32500</v>
      </c>
      <c r="G10" s="25">
        <f>G7*Assumptions!G10</f>
      </c>
      <c r="H10" s="25">
        <f>H7*Assumptions!H10</f>
      </c>
      <c r="I10" s="25">
        <f>I7*Assumptions!I10</f>
      </c>
      <c r="J10" s="25">
        <f>J7*Assumptions!J10</f>
      </c>
      <c r="K10" s="25">
        <f>K7*Assumptions!K10</f>
      </c>
    </row>
    <row r="11">
      <c r="B11" s="4" t="inlineStr">
        <is>
          <t>Sales &amp; marketing</t>
        </is>
      </c>
      <c r="D11" s="24" t="n">
        <v>22759</v>
      </c>
      <c r="E11" s="24" t="n">
        <v>24456</v>
      </c>
      <c r="F11" s="24" t="n">
        <v>25700</v>
      </c>
      <c r="G11" s="25">
        <f>G7*Assumptions!G11</f>
      </c>
      <c r="H11" s="25">
        <f>H7*Assumptions!H11</f>
      </c>
      <c r="I11" s="25">
        <f>I7*Assumptions!I11</f>
      </c>
      <c r="J11" s="25">
        <f>J7*Assumptions!J11</f>
      </c>
      <c r="K11" s="25">
        <f>K7*Assumptions!K11</f>
      </c>
    </row>
    <row r="12">
      <c r="B12" s="4" t="inlineStr">
        <is>
          <t>General &amp; administrative</t>
        </is>
      </c>
      <c r="D12" s="24" t="n">
        <v>7575</v>
      </c>
      <c r="E12" s="24" t="n">
        <v>7609</v>
      </c>
      <c r="F12" s="24" t="n">
        <v>6837</v>
      </c>
      <c r="G12" s="25">
        <f>G7*Assumptions!G12</f>
      </c>
      <c r="H12" s="25">
        <f>H7*Assumptions!H12</f>
      </c>
      <c r="I12" s="25">
        <f>I7*Assumptions!I12</f>
      </c>
      <c r="J12" s="25">
        <f>J7*Assumptions!J12</f>
      </c>
      <c r="K12" s="25">
        <f>K7*Assumptions!K12</f>
      </c>
    </row>
    <row r="13">
      <c r="B13" s="6" t="inlineStr">
        <is>
          <t>Operating income</t>
        </is>
      </c>
      <c r="D13" s="26">
        <f>D9-D10-D11-D12</f>
      </c>
      <c r="E13" s="26">
        <f>E9-E10-E11-E12</f>
      </c>
      <c r="F13" s="26">
        <f>F9-F10-F11-F12</f>
      </c>
      <c r="G13" s="26">
        <f>G9-G10-G11-G12</f>
      </c>
      <c r="H13" s="26">
        <f>H9-H10-H11-H12</f>
      </c>
      <c r="I13" s="26">
        <f>I9-I10-I11-I12</f>
      </c>
      <c r="J13" s="26">
        <f>J9-J10-J11-J12</f>
      </c>
      <c r="K13" s="26">
        <f>K9-K10-K11-K12</f>
      </c>
    </row>
    <row r="14">
      <c r="B14" s="4" t="inlineStr">
        <is>
          <t>Interest income</t>
        </is>
      </c>
      <c r="D14" s="24" t="n">
        <v>2900</v>
      </c>
      <c r="E14" s="24" t="n">
        <v>3200</v>
      </c>
      <c r="F14" s="24" t="n">
        <v>3800</v>
      </c>
      <c r="G14" s="10">
        <f>DebtSchedule!G26</f>
      </c>
      <c r="H14" s="10">
        <f>DebtSchedule!H26</f>
      </c>
      <c r="I14" s="10">
        <f>DebtSchedule!I26</f>
      </c>
      <c r="J14" s="10">
        <f>DebtSchedule!J26</f>
      </c>
      <c r="K14" s="10">
        <f>DebtSchedule!K26</f>
      </c>
    </row>
    <row r="15">
      <c r="B15" s="4" t="inlineStr">
        <is>
          <t>Interest expense</t>
        </is>
      </c>
      <c r="D15" s="24" t="n">
        <v>1968</v>
      </c>
      <c r="E15" s="24" t="n">
        <v>2300</v>
      </c>
      <c r="F15" s="24" t="n">
        <v>2000</v>
      </c>
      <c r="G15" s="10">
        <f>DebtSchedule!G24</f>
      </c>
      <c r="H15" s="10">
        <f>DebtSchedule!H24</f>
      </c>
      <c r="I15" s="10">
        <f>DebtSchedule!I24</f>
      </c>
      <c r="J15" s="10">
        <f>DebtSchedule!J24</f>
      </c>
      <c r="K15" s="10">
        <f>DebtSchedule!K24</f>
      </c>
    </row>
    <row r="16">
      <c r="B16" s="4" t="inlineStr">
        <is>
          <t>Other income / (expense), net</t>
        </is>
      </c>
      <c r="D16" s="24" t="n">
        <v>-144</v>
      </c>
      <c r="E16" s="24" t="n">
        <v>-2850</v>
      </c>
      <c r="F16" s="24" t="n">
        <v>-4455</v>
      </c>
      <c r="G16" s="10">
        <f>Assumptions!G14</f>
      </c>
      <c r="H16" s="10">
        <f>Assumptions!H14</f>
      </c>
      <c r="I16" s="10">
        <f>Assumptions!I14</f>
      </c>
      <c r="J16" s="10">
        <f>Assumptions!J14</f>
      </c>
      <c r="K16" s="10">
        <f>Assumptions!K14</f>
      </c>
    </row>
    <row r="17">
      <c r="B17" s="6" t="inlineStr">
        <is>
          <t>Pre-tax income</t>
        </is>
      </c>
      <c r="D17" s="26">
        <f>D13+D14-D15+D16</f>
      </c>
      <c r="E17" s="26">
        <f>E13+E14-E15+E16</f>
      </c>
      <c r="F17" s="26">
        <f>F13+F14-F15+F16</f>
      </c>
      <c r="G17" s="26">
        <f>G13+G14-G15+G16</f>
      </c>
      <c r="H17" s="26">
        <f>H13+H14-H15+H16</f>
      </c>
      <c r="I17" s="26">
        <f>I13+I14-I15+I16</f>
      </c>
      <c r="J17" s="26">
        <f>J13+J14-J15+J16</f>
      </c>
      <c r="K17" s="26">
        <f>K13+K14-K15+K16</f>
      </c>
    </row>
    <row r="18">
      <c r="B18" s="4" t="inlineStr">
        <is>
          <t>Income tax expense</t>
        </is>
      </c>
      <c r="D18" s="24" t="n">
        <v>16950</v>
      </c>
      <c r="E18" s="24" t="n">
        <v>19347</v>
      </c>
      <c r="F18" s="24" t="n">
        <v>24041</v>
      </c>
      <c r="G18" s="25">
        <f>G17*Assumptions!G13</f>
      </c>
      <c r="H18" s="25">
        <f>H17*Assumptions!H13</f>
      </c>
      <c r="I18" s="25">
        <f>I17*Assumptions!I13</f>
      </c>
      <c r="J18" s="25">
        <f>J17*Assumptions!J13</f>
      </c>
      <c r="K18" s="25">
        <f>K17*Assumptions!K13</f>
      </c>
    </row>
    <row r="19">
      <c r="B19" s="6" t="inlineStr">
        <is>
          <t>Net income</t>
        </is>
      </c>
      <c r="D19" s="26">
        <f>D17-D18</f>
      </c>
      <c r="E19" s="26">
        <f>E17-E18</f>
      </c>
      <c r="F19" s="26">
        <f>F17-F18</f>
      </c>
      <c r="G19" s="26">
        <f>G17-G18</f>
      </c>
      <c r="H19" s="26">
        <f>H17-H18</f>
      </c>
      <c r="I19" s="26">
        <f>I17-I18</f>
      </c>
      <c r="J19" s="26">
        <f>J17-J18</f>
      </c>
      <c r="K19" s="26">
        <f>K17-K18</f>
      </c>
    </row>
    <row r="20"/>
    <row r="21">
      <c r="B21" s="6" t="inlineStr">
        <is>
          <t>EPS memo</t>
        </is>
      </c>
    </row>
    <row r="22">
      <c r="B22" s="4" t="inlineStr">
        <is>
          <t>Diluted shares outstanding, end of period (mm)</t>
        </is>
      </c>
      <c r="D22" s="27" t="n">
        <v>8097</v>
      </c>
      <c r="E22" s="27" t="n">
        <v>8024</v>
      </c>
      <c r="F22" s="27" t="n">
        <v>7462</v>
      </c>
      <c r="G22" s="28">
        <f>F22-Assumptions!G34/Assumptions!G35+Assumptions!G37*F22</f>
      </c>
      <c r="H22" s="28">
        <f>G22-Assumptions!H34/Assumptions!H35+Assumptions!H37*G22</f>
      </c>
      <c r="I22" s="28">
        <f>H22-Assumptions!I34/Assumptions!I35+Assumptions!I37*H22</f>
      </c>
      <c r="J22" s="28">
        <f>I22-Assumptions!J34/Assumptions!J35+Assumptions!J37*I22</f>
      </c>
      <c r="K22" s="28">
        <f>J22-Assumptions!K34/Assumptions!K35+Assumptions!K37*J22</f>
      </c>
    </row>
    <row r="23">
      <c r="B23" s="4" t="inlineStr">
        <is>
          <t>Weighted-avg diluted shares (mm)</t>
        </is>
      </c>
      <c r="D23" s="27" t="n">
        <v>8097</v>
      </c>
      <c r="E23" s="27" t="n">
        <v>8024</v>
      </c>
      <c r="F23" s="27" t="n">
        <v>7462</v>
      </c>
      <c r="G23" s="28">
        <f>AVERAGE(F22,G22)</f>
      </c>
      <c r="H23" s="28">
        <f>AVERAGE(G22,H22)</f>
      </c>
      <c r="I23" s="28">
        <f>AVERAGE(H22,I22)</f>
      </c>
      <c r="J23" s="28">
        <f>AVERAGE(I22,J22)</f>
      </c>
      <c r="K23" s="28">
        <f>AVERAGE(J22,K22)</f>
      </c>
    </row>
    <row r="24">
      <c r="B24" s="4" t="inlineStr">
        <is>
          <t>Diluted EPS ($)</t>
        </is>
      </c>
      <c r="D24" s="23">
        <f>D19/D23</f>
      </c>
      <c r="E24" s="23">
        <f>E19/E23</f>
      </c>
      <c r="F24" s="23">
        <f>F19/F23</f>
      </c>
      <c r="G24" s="23">
        <f>G19/G23</f>
      </c>
      <c r="H24" s="23">
        <f>H19/H23</f>
      </c>
      <c r="I24" s="23">
        <f>I19/I23</f>
      </c>
      <c r="J24" s="23">
        <f>J19/J23</f>
      </c>
      <c r="K24" s="23">
        <f>K19/K23</f>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Balance Sheet</t>
        </is>
      </c>
    </row>
    <row r="3">
      <c r="B3" s="2" t="inlineStr">
        <is>
          <t>($ in millions)</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c r="B7" s="15" t="inlineStr">
        <is>
          <t>ASSETS</t>
        </is>
      </c>
      <c r="D7" s="15" t="n"/>
      <c r="E7" s="15" t="n"/>
      <c r="F7" s="15" t="n"/>
      <c r="G7" s="15" t="n"/>
      <c r="H7" s="15" t="n"/>
      <c r="I7" s="15" t="n"/>
      <c r="J7" s="15" t="n"/>
      <c r="K7" s="15" t="n"/>
    </row>
    <row r="8">
      <c r="B8" s="4" t="inlineStr">
        <is>
          <t>Cash &amp; equivalents + ST investments</t>
        </is>
      </c>
      <c r="D8" s="24" t="n">
        <v>111262</v>
      </c>
      <c r="E8" s="24" t="n">
        <v>75543</v>
      </c>
      <c r="F8" s="24" t="n">
        <v>94565</v>
      </c>
      <c r="G8" s="10">
        <f>CF!G42</f>
      </c>
      <c r="H8" s="10">
        <f>CF!H42</f>
      </c>
      <c r="I8" s="10">
        <f>CF!I42</f>
      </c>
      <c r="J8" s="10">
        <f>CF!J42</f>
      </c>
      <c r="K8" s="10">
        <f>CF!K42</f>
      </c>
    </row>
    <row r="9">
      <c r="B9" s="4" t="inlineStr">
        <is>
          <t>Accounts receivable</t>
        </is>
      </c>
      <c r="D9" s="24" t="n">
        <v>56900</v>
      </c>
      <c r="E9" s="24" t="n">
        <v>56924</v>
      </c>
      <c r="F9" s="24" t="n">
        <v>69905</v>
      </c>
      <c r="G9" s="10">
        <f>IS!G7/365*Assumptions!G17</f>
      </c>
      <c r="H9" s="10">
        <f>IS!H7/365*Assumptions!H17</f>
      </c>
      <c r="I9" s="10">
        <f>IS!I7/365*Assumptions!I17</f>
      </c>
      <c r="J9" s="10">
        <f>IS!J7/365*Assumptions!J17</f>
      </c>
      <c r="K9" s="10">
        <f>IS!K7/365*Assumptions!K17</f>
      </c>
    </row>
    <row r="10">
      <c r="B10" s="4" t="inlineStr">
        <is>
          <t>Inventory</t>
        </is>
      </c>
      <c r="D10" s="24" t="n">
        <v>30</v>
      </c>
      <c r="E10" s="24" t="n">
        <v>30</v>
      </c>
      <c r="F10" s="24" t="n">
        <v>30</v>
      </c>
      <c r="G10" s="10">
        <f>IS!G8*Assumptions!G18</f>
      </c>
      <c r="H10" s="10">
        <f>IS!H8*Assumptions!H18</f>
      </c>
      <c r="I10" s="10">
        <f>IS!I8*Assumptions!I18</f>
      </c>
      <c r="J10" s="10">
        <f>IS!J8*Assumptions!J18</f>
      </c>
      <c r="K10" s="10">
        <f>IS!K8*Assumptions!K18</f>
      </c>
    </row>
    <row r="11">
      <c r="B11" s="4" t="inlineStr">
        <is>
          <t>Other current assets</t>
        </is>
      </c>
      <c r="D11" s="24" t="n">
        <v>13000</v>
      </c>
      <c r="E11" s="24" t="n">
        <v>19500</v>
      </c>
      <c r="F11" s="24" t="n">
        <v>20000</v>
      </c>
      <c r="G11" s="10">
        <f>IS!G7*Assumptions!G23</f>
      </c>
      <c r="H11" s="10">
        <f>IS!H7*Assumptions!H23</f>
      </c>
      <c r="I11" s="10">
        <f>IS!I7*Assumptions!I23</f>
      </c>
      <c r="J11" s="10">
        <f>IS!J7*Assumptions!J23</f>
      </c>
      <c r="K11" s="10">
        <f>IS!K7*Assumptions!K23</f>
      </c>
    </row>
    <row r="12">
      <c r="B12" s="6" t="inlineStr">
        <is>
          <t>Total current assets</t>
        </is>
      </c>
      <c r="D12" s="26">
        <f>SUM(D8:D11)</f>
      </c>
      <c r="E12" s="26">
        <f>SUM(E8:E11)</f>
      </c>
      <c r="F12" s="26">
        <f>SUM(F8:F11)</f>
      </c>
      <c r="G12" s="26">
        <f>SUM(G8:G11)</f>
      </c>
      <c r="H12" s="26">
        <f>SUM(H8:H11)</f>
      </c>
      <c r="I12" s="26">
        <f>SUM(I8:I11)</f>
      </c>
      <c r="J12" s="26">
        <f>SUM(J8:J11)</f>
      </c>
      <c r="K12" s="26">
        <f>SUM(K8:K11)</f>
      </c>
    </row>
    <row r="13">
      <c r="B13" s="4" t="inlineStr">
        <is>
          <t>Net property, plant &amp; equipment</t>
        </is>
      </c>
      <c r="D13" s="24" t="n">
        <v>44800</v>
      </c>
      <c r="E13" s="24" t="n">
        <v>66300</v>
      </c>
      <c r="F13" s="24" t="n">
        <v>105000</v>
      </c>
      <c r="G13" s="25">
        <f>F13-CF!G29-CF!G14</f>
      </c>
      <c r="H13" s="25">
        <f>G13-CF!H29-CF!H14</f>
      </c>
      <c r="I13" s="25">
        <f>H13-CF!I29-CF!I14</f>
      </c>
      <c r="J13" s="25">
        <f>I13-CF!J29-CF!J14</f>
      </c>
      <c r="K13" s="25">
        <f>J13-CF!K29-CF!K14</f>
      </c>
    </row>
    <row r="14">
      <c r="B14" s="4" t="inlineStr">
        <is>
          <t>Goodwill</t>
        </is>
      </c>
      <c r="D14" s="24" t="n">
        <v>67886</v>
      </c>
      <c r="E14" s="24" t="n">
        <v>119220</v>
      </c>
      <c r="F14" s="24" t="n">
        <v>119509</v>
      </c>
      <c r="G14" s="25">
        <f>F14</f>
      </c>
      <c r="H14" s="25">
        <f>G14</f>
      </c>
      <c r="I14" s="25">
        <f>H14</f>
      </c>
      <c r="J14" s="25">
        <f>I14</f>
      </c>
      <c r="K14" s="25">
        <f>J14</f>
      </c>
    </row>
    <row r="15">
      <c r="B15" s="4" t="inlineStr">
        <is>
          <t>Intangible assets, net</t>
        </is>
      </c>
      <c r="D15" s="24" t="n">
        <v>9366</v>
      </c>
      <c r="E15" s="24" t="n">
        <v>27597</v>
      </c>
      <c r="F15" s="24" t="n">
        <v>28000</v>
      </c>
      <c r="G15" s="25">
        <f>F15-Assumptions!G29</f>
      </c>
      <c r="H15" s="25">
        <f>G15-Assumptions!H29</f>
      </c>
      <c r="I15" s="25">
        <f>H15-Assumptions!I29</f>
      </c>
      <c r="J15" s="25">
        <f>I15-Assumptions!J29</f>
      </c>
      <c r="K15" s="25">
        <f>J15-Assumptions!K29</f>
      </c>
    </row>
    <row r="16">
      <c r="B16" s="4" t="inlineStr">
        <is>
          <t>Other LT assets (incl. lease ROU, deferred tax, equity invest.)</t>
        </is>
      </c>
      <c r="D16" s="24" t="n">
        <v>108736</v>
      </c>
      <c r="E16" s="24" t="n">
        <v>147046</v>
      </c>
      <c r="F16" s="24" t="n">
        <v>181991</v>
      </c>
      <c r="G16" s="10">
        <f>IS!G7*Assumptions!G25</f>
      </c>
      <c r="H16" s="10">
        <f>IS!H7*Assumptions!H25</f>
      </c>
      <c r="I16" s="10">
        <f>IS!I7*Assumptions!I25</f>
      </c>
      <c r="J16" s="10">
        <f>IS!J7*Assumptions!J25</f>
      </c>
      <c r="K16" s="10">
        <f>IS!K7*Assumptions!K25</f>
      </c>
    </row>
    <row r="17">
      <c r="B17" s="6" t="inlineStr">
        <is>
          <t>TOTAL ASSETS</t>
        </is>
      </c>
      <c r="D17" s="26">
        <f>D12+SUM(D13:D16)</f>
      </c>
      <c r="E17" s="26">
        <f>E12+SUM(E13:E16)</f>
      </c>
      <c r="F17" s="26">
        <f>F12+SUM(F13:F16)</f>
      </c>
      <c r="G17" s="26">
        <f>G12+SUM(G13:G16)</f>
      </c>
      <c r="H17" s="26">
        <f>H12+SUM(H13:H16)</f>
      </c>
      <c r="I17" s="26">
        <f>I12+SUM(I13:I16)</f>
      </c>
      <c r="J17" s="26">
        <f>J12+SUM(J13:J16)</f>
      </c>
      <c r="K17" s="26">
        <f>K12+SUM(K13:K16)</f>
      </c>
    </row>
    <row r="18"/>
    <row r="19">
      <c r="B19" s="15" t="inlineStr">
        <is>
          <t>LIABILITIES</t>
        </is>
      </c>
      <c r="D19" s="15" t="n"/>
      <c r="E19" s="15" t="n"/>
      <c r="F19" s="15" t="n"/>
      <c r="G19" s="15" t="n"/>
      <c r="H19" s="15" t="n"/>
      <c r="I19" s="15" t="n"/>
      <c r="J19" s="15" t="n"/>
      <c r="K19" s="15" t="n"/>
    </row>
    <row r="20">
      <c r="B20" s="4" t="inlineStr">
        <is>
          <t>Accounts payable</t>
        </is>
      </c>
      <c r="D20" s="24" t="n">
        <v>18095</v>
      </c>
      <c r="E20" s="24" t="n">
        <v>21996</v>
      </c>
      <c r="F20" s="24" t="n">
        <v>27724</v>
      </c>
      <c r="G20" s="10">
        <f>IS!G8/365*Assumptions!G19</f>
      </c>
      <c r="H20" s="10">
        <f>IS!H8/365*Assumptions!H19</f>
      </c>
      <c r="I20" s="10">
        <f>IS!I8/365*Assumptions!I19</f>
      </c>
      <c r="J20" s="10">
        <f>IS!J8/365*Assumptions!J19</f>
      </c>
      <c r="K20" s="10">
        <f>IS!K8/365*Assumptions!K19</f>
      </c>
    </row>
    <row r="21">
      <c r="B21" s="4" t="inlineStr">
        <is>
          <t>Accrued compensation</t>
        </is>
      </c>
      <c r="D21" s="24" t="n">
        <v>9000</v>
      </c>
      <c r="E21" s="24" t="n">
        <v>11000</v>
      </c>
      <c r="F21" s="24" t="n">
        <v>13000</v>
      </c>
      <c r="G21" s="10">
        <f>(IS!G10+IS!G11+IS!G12)*Assumptions!G20</f>
      </c>
      <c r="H21" s="10">
        <f>(IS!H10+IS!H11+IS!H12)*Assumptions!H20</f>
      </c>
      <c r="I21" s="10">
        <f>(IS!I10+IS!I11+IS!I12)*Assumptions!I20</f>
      </c>
      <c r="J21" s="10">
        <f>(IS!J10+IS!J11+IS!J12)*Assumptions!J20</f>
      </c>
      <c r="K21" s="10">
        <f>(IS!K10+IS!K11+IS!K12)*Assumptions!K20</f>
      </c>
    </row>
    <row r="22">
      <c r="B22" s="4" t="inlineStr">
        <is>
          <t>Short-term unearned revenue</t>
        </is>
      </c>
      <c r="D22" s="24" t="n">
        <v>27600</v>
      </c>
      <c r="E22" s="24" t="n">
        <v>31400</v>
      </c>
      <c r="F22" s="24" t="n">
        <v>32000</v>
      </c>
      <c r="G22" s="10">
        <f>IS!G7*Assumptions!G21*Assumptions!G22</f>
      </c>
      <c r="H22" s="10">
        <f>IS!H7*Assumptions!H21*Assumptions!H22</f>
      </c>
      <c r="I22" s="10">
        <f>IS!I7*Assumptions!I21*Assumptions!I22</f>
      </c>
      <c r="J22" s="10">
        <f>IS!J7*Assumptions!J21*Assumptions!J22</f>
      </c>
      <c r="K22" s="10">
        <f>IS!K7*Assumptions!K21*Assumptions!K22</f>
      </c>
    </row>
    <row r="23">
      <c r="B23" s="4" t="inlineStr">
        <is>
          <t>Current portion of LTD + revolver borrowings</t>
        </is>
      </c>
      <c r="D23" s="24" t="n">
        <v>2600</v>
      </c>
      <c r="E23" s="24" t="n">
        <v>4400</v>
      </c>
      <c r="F23" s="24" t="n">
        <v>9227</v>
      </c>
      <c r="G23" s="10">
        <f>DebtSchedule!G11+DebtSchedule!G19</f>
      </c>
      <c r="H23" s="10">
        <f>DebtSchedule!H11+DebtSchedule!H19</f>
      </c>
      <c r="I23" s="10">
        <f>DebtSchedule!I11+DebtSchedule!I19</f>
      </c>
      <c r="J23" s="10">
        <f>DebtSchedule!J11+DebtSchedule!J19</f>
      </c>
      <c r="K23" s="10">
        <f>DebtSchedule!K11+DebtSchedule!K19</f>
      </c>
    </row>
    <row r="24">
      <c r="B24" s="4" t="inlineStr">
        <is>
          <t>Other current liabilities</t>
        </is>
      </c>
      <c r="D24" s="24" t="n">
        <v>6000</v>
      </c>
      <c r="E24" s="24" t="n">
        <v>6500</v>
      </c>
      <c r="F24" s="24" t="n">
        <v>7000</v>
      </c>
      <c r="G24" s="10">
        <f>IS!G7*Assumptions!G24</f>
      </c>
      <c r="H24" s="10">
        <f>IS!H7*Assumptions!H24</f>
      </c>
      <c r="I24" s="10">
        <f>IS!I7*Assumptions!I24</f>
      </c>
      <c r="J24" s="10">
        <f>IS!J7*Assumptions!J24</f>
      </c>
      <c r="K24" s="10">
        <f>IS!K7*Assumptions!K24</f>
      </c>
    </row>
    <row r="25">
      <c r="B25" s="6" t="inlineStr">
        <is>
          <t>Total current liabilities</t>
        </is>
      </c>
      <c r="D25" s="26">
        <f>SUM(D20:D24)</f>
      </c>
      <c r="E25" s="26">
        <f>SUM(E20:E24)</f>
      </c>
      <c r="F25" s="26">
        <f>SUM(F20:F24)</f>
      </c>
      <c r="G25" s="26">
        <f>SUM(G20:G24)</f>
      </c>
      <c r="H25" s="26">
        <f>SUM(H20:H24)</f>
      </c>
      <c r="I25" s="26">
        <f>SUM(I20:I24)</f>
      </c>
      <c r="J25" s="26">
        <f>SUM(J20:J24)</f>
      </c>
      <c r="K25" s="26">
        <f>SUM(K20:K24)</f>
      </c>
    </row>
    <row r="26">
      <c r="B26" s="4" t="inlineStr">
        <is>
          <t>Long-term debt</t>
        </is>
      </c>
      <c r="D26" s="24" t="n">
        <v>55035</v>
      </c>
      <c r="E26" s="24" t="n">
        <v>56577</v>
      </c>
      <c r="F26" s="24" t="n">
        <v>40150</v>
      </c>
      <c r="G26" s="10">
        <f>DebtSchedule!G12</f>
      </c>
      <c r="H26" s="10">
        <f>DebtSchedule!H12</f>
      </c>
      <c r="I26" s="10">
        <f>DebtSchedule!I12</f>
      </c>
      <c r="J26" s="10">
        <f>DebtSchedule!J12</f>
      </c>
      <c r="K26" s="10">
        <f>DebtSchedule!K12</f>
      </c>
    </row>
    <row r="27">
      <c r="B27" s="4" t="inlineStr">
        <is>
          <t>Long-term unearned revenue</t>
        </is>
      </c>
      <c r="D27" s="24" t="n">
        <v>26000</v>
      </c>
      <c r="E27" s="24" t="n">
        <v>28800</v>
      </c>
      <c r="F27" s="24" t="n">
        <v>20000</v>
      </c>
      <c r="G27" s="10">
        <f>IS!G7*Assumptions!G21*(1-Assumptions!G22)</f>
      </c>
      <c r="H27" s="10">
        <f>IS!H7*Assumptions!H21*(1-Assumptions!H22)</f>
      </c>
      <c r="I27" s="10">
        <f>IS!I7*Assumptions!I21*(1-Assumptions!I22)</f>
      </c>
      <c r="J27" s="10">
        <f>IS!J7*Assumptions!J21*(1-Assumptions!J22)</f>
      </c>
      <c r="K27" s="10">
        <f>IS!K7*Assumptions!K21*(1-Assumptions!K22)</f>
      </c>
    </row>
    <row r="28">
      <c r="B28" s="4" t="inlineStr">
        <is>
          <t>Other LT liabilities (leases, deferred tax, pension, other)</t>
        </is>
      </c>
      <c r="D28" s="24" t="n">
        <v>61430</v>
      </c>
      <c r="E28" s="24" t="n">
        <v>83007</v>
      </c>
      <c r="F28" s="24" t="n">
        <v>126419</v>
      </c>
      <c r="G28" s="10">
        <f>IS!G7*Assumptions!G26</f>
      </c>
      <c r="H28" s="10">
        <f>IS!H7*Assumptions!H26</f>
      </c>
      <c r="I28" s="10">
        <f>IS!I7*Assumptions!I26</f>
      </c>
      <c r="J28" s="10">
        <f>IS!J7*Assumptions!J26</f>
      </c>
      <c r="K28" s="10">
        <f>IS!K7*Assumptions!K26</f>
      </c>
    </row>
    <row r="29">
      <c r="B29" s="6" t="inlineStr">
        <is>
          <t>Total liabilities</t>
        </is>
      </c>
      <c r="D29" s="26">
        <f>D25+SUM(D26:D28)</f>
      </c>
      <c r="E29" s="26">
        <f>E25+SUM(E26:E28)</f>
      </c>
      <c r="F29" s="26">
        <f>F25+SUM(F26:F28)</f>
      </c>
      <c r="G29" s="26">
        <f>G25+SUM(G26:G28)</f>
      </c>
      <c r="H29" s="26">
        <f>H25+SUM(H26:H28)</f>
      </c>
      <c r="I29" s="26">
        <f>I25+SUM(I26:I28)</f>
      </c>
      <c r="J29" s="26">
        <f>J25+SUM(J26:J28)</f>
      </c>
      <c r="K29" s="26">
        <f>K25+SUM(K26:K28)</f>
      </c>
    </row>
    <row r="30"/>
    <row r="31">
      <c r="B31" s="15" t="inlineStr">
        <is>
          <t>EQUITY</t>
        </is>
      </c>
      <c r="D31" s="15" t="n"/>
      <c r="E31" s="15" t="n"/>
      <c r="F31" s="15" t="n"/>
      <c r="G31" s="15" t="n"/>
      <c r="H31" s="15" t="n"/>
      <c r="I31" s="15" t="n"/>
      <c r="J31" s="15" t="n"/>
      <c r="K31" s="15" t="n"/>
    </row>
    <row r="32">
      <c r="B32" s="4" t="inlineStr">
        <is>
          <t>Common stock &amp; APIC</t>
        </is>
      </c>
      <c r="D32" s="24" t="n">
        <v>38000</v>
      </c>
      <c r="E32" s="24" t="n">
        <v>46000</v>
      </c>
      <c r="F32" s="24" t="n">
        <v>54000</v>
      </c>
      <c r="G32" s="25">
        <f>F32+CF!G16+Assumptions!G38</f>
      </c>
      <c r="H32" s="25">
        <f>G32+CF!H16+Assumptions!H38</f>
      </c>
      <c r="I32" s="25">
        <f>H32+CF!I16+Assumptions!I38</f>
      </c>
      <c r="J32" s="25">
        <f>I32+CF!J16+Assumptions!J38</f>
      </c>
      <c r="K32" s="25">
        <f>J32+CF!K16+Assumptions!K38</f>
      </c>
    </row>
    <row r="33">
      <c r="B33" s="4" t="inlineStr">
        <is>
          <t>Retained earnings</t>
        </is>
      </c>
      <c r="D33" s="24" t="n">
        <v>165220</v>
      </c>
      <c r="E33" s="24" t="n">
        <v>220480</v>
      </c>
      <c r="F33" s="24" t="n">
        <v>280480</v>
      </c>
      <c r="G33" s="25">
        <f>F33+IS!G19+CF!G33+CF!G34</f>
      </c>
      <c r="H33" s="25">
        <f>G33+IS!H19+CF!H33+CF!H34</f>
      </c>
      <c r="I33" s="25">
        <f>H33+IS!I19+CF!I33+CF!I34</f>
      </c>
      <c r="J33" s="25">
        <f>I33+IS!J19+CF!J33+CF!J34</f>
      </c>
      <c r="K33" s="25">
        <f>J33+IS!K19+CF!K33+CF!K34</f>
      </c>
    </row>
    <row r="34">
      <c r="B34" s="4" t="inlineStr">
        <is>
          <t>Accumulated other comprehensive income / (loss)</t>
        </is>
      </c>
      <c r="D34" s="24" t="n">
        <v>3000</v>
      </c>
      <c r="E34" s="24" t="n">
        <v>2000</v>
      </c>
      <c r="F34" s="24" t="n">
        <v>9000</v>
      </c>
      <c r="G34" s="25">
        <f>F34</f>
      </c>
      <c r="H34" s="25">
        <f>G34</f>
      </c>
      <c r="I34" s="25">
        <f>H34</f>
      </c>
      <c r="J34" s="25">
        <f>I34</f>
      </c>
      <c r="K34" s="25">
        <f>J34</f>
      </c>
    </row>
    <row r="35">
      <c r="B35" s="6" t="inlineStr">
        <is>
          <t>Total equity</t>
        </is>
      </c>
      <c r="D35" s="26">
        <f>SUM(D32:D34)</f>
      </c>
      <c r="E35" s="26">
        <f>SUM(E32:E34)</f>
      </c>
      <c r="F35" s="26">
        <f>SUM(F32:F34)</f>
      </c>
      <c r="G35" s="26">
        <f>SUM(G32:G34)</f>
      </c>
      <c r="H35" s="26">
        <f>SUM(H32:H34)</f>
      </c>
      <c r="I35" s="26">
        <f>SUM(I32:I34)</f>
      </c>
      <c r="J35" s="26">
        <f>SUM(J32:J34)</f>
      </c>
      <c r="K35" s="26">
        <f>SUM(K32:K34)</f>
      </c>
    </row>
    <row r="36"/>
    <row r="37">
      <c r="B37" s="6" t="inlineStr">
        <is>
          <t>TOTAL LIABILITIES + EQUITY</t>
        </is>
      </c>
      <c r="D37" s="26">
        <f>D29+D35</f>
      </c>
      <c r="E37" s="26">
        <f>E29+E35</f>
      </c>
      <c r="F37" s="26">
        <f>F29+F35</f>
      </c>
      <c r="G37" s="26">
        <f>G29+G35</f>
      </c>
      <c r="H37" s="26">
        <f>H29+H35</f>
      </c>
      <c r="I37" s="26">
        <f>I29+I35</f>
      </c>
      <c r="J37" s="26">
        <f>J29+J35</f>
      </c>
      <c r="K37" s="26">
        <f>K29+K35</f>
      </c>
    </row>
    <row r="38"/>
    <row r="39">
      <c r="B39" s="6" t="inlineStr">
        <is>
          <t>BALANCE CHECK (Total assets - Total L+E; must = 0.000)</t>
        </is>
      </c>
      <c r="D39" s="8">
        <f>ROUND(D17-D37,3)</f>
      </c>
      <c r="E39" s="8">
        <f>ROUND(E17-E37,3)</f>
      </c>
      <c r="F39" s="8">
        <f>ROUND(F17-F37,3)</f>
      </c>
      <c r="G39" s="8">
        <f>ROUND(G17-G37,3)</f>
      </c>
      <c r="H39" s="8">
        <f>ROUND(H17-H37,3)</f>
      </c>
      <c r="I39" s="8">
        <f>ROUND(I17-I37,3)</f>
      </c>
      <c r="J39" s="8">
        <f>ROUND(J17-J37,3)</f>
      </c>
      <c r="K39" s="8">
        <f>ROUND(K17-K37,3)</f>
      </c>
    </row>
  </sheetData>
  <conditionalFormatting sqref="D39:K39">
    <cfRule type="cellIs" priority="1" operator="equal" dxfId="0">
      <formula>0</formula>
    </cfRule>
    <cfRule type="cellIs" priority="2" operator="notEqual" dxfId="1">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Cash Flow Statement</t>
        </is>
      </c>
    </row>
    <row r="3">
      <c r="B3" s="2" t="inlineStr">
        <is>
          <t>($ in millions; indirect method; projection years fully built, historical years shown as a sourced memo per spec)</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c r="B7" s="15" t="inlineStr">
        <is>
          <t>Historical CF Memo (selected lines, source: 10-K; not part of the projected build)</t>
        </is>
      </c>
      <c r="D7" s="15" t="n"/>
      <c r="E7" s="15" t="n"/>
      <c r="F7" s="15" t="n"/>
      <c r="G7" s="15" t="n"/>
      <c r="H7" s="15" t="n"/>
      <c r="I7" s="15" t="n"/>
      <c r="J7" s="15" t="n"/>
      <c r="K7" s="15" t="n"/>
    </row>
    <row r="8">
      <c r="B8" s="4" t="inlineStr">
        <is>
          <t>Operating cash flow</t>
        </is>
      </c>
      <c r="D8" s="24" t="n">
        <v>87580</v>
      </c>
      <c r="E8" s="24" t="n">
        <v>118550</v>
      </c>
      <c r="F8" s="24" t="n">
        <v>136160</v>
      </c>
    </row>
    <row r="9">
      <c r="B9" s="4" t="inlineStr">
        <is>
          <t>Capital expenditures</t>
        </is>
      </c>
      <c r="D9" s="24" t="n">
        <v>-28110</v>
      </c>
      <c r="E9" s="24" t="n">
        <v>-44480</v>
      </c>
      <c r="F9" s="24" t="n">
        <v>-64550</v>
      </c>
    </row>
    <row r="10">
      <c r="B10" s="4" t="inlineStr">
        <is>
          <t>Financing cash flow</t>
        </is>
      </c>
      <c r="D10" s="24" t="n">
        <v>-30000</v>
      </c>
      <c r="E10" s="24" t="n">
        <v>-26200</v>
      </c>
      <c r="F10" s="24" t="n">
        <v>-42400</v>
      </c>
    </row>
    <row r="11"/>
    <row r="12">
      <c r="B12" s="15" t="inlineStr">
        <is>
          <t>Operating Activities (indirect method) -- projection years</t>
        </is>
      </c>
      <c r="D12" s="15" t="n"/>
      <c r="E12" s="15" t="n"/>
      <c r="F12" s="15" t="n"/>
      <c r="G12" s="15" t="n"/>
      <c r="H12" s="15" t="n"/>
      <c r="I12" s="15" t="n"/>
      <c r="J12" s="15" t="n"/>
      <c r="K12" s="15" t="n"/>
    </row>
    <row r="13">
      <c r="B13" s="4" t="inlineStr">
        <is>
          <t>Net income</t>
        </is>
      </c>
      <c r="G13" s="10">
        <f>IS!G19</f>
      </c>
      <c r="H13" s="10">
        <f>IS!H19</f>
      </c>
      <c r="I13" s="10">
        <f>IS!I19</f>
      </c>
      <c r="J13" s="10">
        <f>IS!J19</f>
      </c>
      <c r="K13" s="10">
        <f>IS!K19</f>
      </c>
    </row>
    <row r="14">
      <c r="B14" s="4" t="inlineStr">
        <is>
          <t>+ Depreciation</t>
        </is>
      </c>
      <c r="G14" s="10">
        <f>IS!G7*Assumptions!G28</f>
      </c>
      <c r="H14" s="10">
        <f>IS!H7*Assumptions!H28</f>
      </c>
      <c r="I14" s="10">
        <f>IS!I7*Assumptions!I28</f>
      </c>
      <c r="J14" s="10">
        <f>IS!J7*Assumptions!J28</f>
      </c>
      <c r="K14" s="10">
        <f>IS!K7*Assumptions!K28</f>
      </c>
    </row>
    <row r="15">
      <c r="B15" s="4" t="inlineStr">
        <is>
          <t>+ Intangible amortization</t>
        </is>
      </c>
      <c r="G15" s="10">
        <f>Assumptions!G29</f>
      </c>
      <c r="H15" s="10">
        <f>Assumptions!H29</f>
      </c>
      <c r="I15" s="10">
        <f>Assumptions!I29</f>
      </c>
      <c r="J15" s="10">
        <f>Assumptions!J29</f>
      </c>
      <c r="K15" s="10">
        <f>Assumptions!K29</f>
      </c>
    </row>
    <row r="16">
      <c r="B16" s="4" t="inlineStr">
        <is>
          <t>+ Stock-based compensation</t>
        </is>
      </c>
      <c r="G16" s="10">
        <f>IS!G7*Assumptions!G36</f>
      </c>
      <c r="H16" s="10">
        <f>IS!H7*Assumptions!H36</f>
      </c>
      <c r="I16" s="10">
        <f>IS!I7*Assumptions!I36</f>
      </c>
      <c r="J16" s="10">
        <f>IS!J7*Assumptions!J36</f>
      </c>
      <c r="K16" s="10">
        <f>IS!K7*Assumptions!K36</f>
      </c>
    </row>
    <row r="17">
      <c r="B17" s="4" t="inlineStr">
        <is>
          <t>(-) Increase in accounts receivable</t>
        </is>
      </c>
      <c r="G17" s="10">
        <f>-(BS!G9-BS!F9)</f>
      </c>
      <c r="H17" s="10">
        <f>-(BS!H9-BS!G9)</f>
      </c>
      <c r="I17" s="10">
        <f>-(BS!I9-BS!H9)</f>
      </c>
      <c r="J17" s="10">
        <f>-(BS!J9-BS!I9)</f>
      </c>
      <c r="K17" s="10">
        <f>-(BS!K9-BS!J9)</f>
      </c>
    </row>
    <row r="18">
      <c r="B18" s="4" t="inlineStr">
        <is>
          <t>(-) Increase in inventory</t>
        </is>
      </c>
      <c r="G18" s="10">
        <f>-(BS!G10-BS!F10)</f>
      </c>
      <c r="H18" s="10">
        <f>-(BS!H10-BS!G10)</f>
      </c>
      <c r="I18" s="10">
        <f>-(BS!I10-BS!H10)</f>
      </c>
      <c r="J18" s="10">
        <f>-(BS!J10-BS!I10)</f>
      </c>
      <c r="K18" s="10">
        <f>-(BS!K10-BS!J10)</f>
      </c>
    </row>
    <row r="19">
      <c r="B19" s="4" t="inlineStr">
        <is>
          <t>+ Increase in accounts payable</t>
        </is>
      </c>
      <c r="G19" s="10">
        <f>BS!G20-BS!F20</f>
      </c>
      <c r="H19" s="10">
        <f>BS!H20-BS!G20</f>
      </c>
      <c r="I19" s="10">
        <f>BS!I20-BS!H20</f>
      </c>
      <c r="J19" s="10">
        <f>BS!J20-BS!I20</f>
      </c>
      <c r="K19" s="10">
        <f>BS!K20-BS!J20</f>
      </c>
    </row>
    <row r="20">
      <c r="B20" s="4" t="inlineStr">
        <is>
          <t>+ Increase in accrued compensation</t>
        </is>
      </c>
      <c r="G20" s="10">
        <f>BS!G21-BS!F21</f>
      </c>
      <c r="H20" s="10">
        <f>BS!H21-BS!G21</f>
      </c>
      <c r="I20" s="10">
        <f>BS!I21-BS!H21</f>
      </c>
      <c r="J20" s="10">
        <f>BS!J21-BS!I21</f>
      </c>
      <c r="K20" s="10">
        <f>BS!K21-BS!J21</f>
      </c>
    </row>
    <row r="21">
      <c r="B21" s="4" t="inlineStr">
        <is>
          <t>(-) Increase in other current assets</t>
        </is>
      </c>
      <c r="G21" s="10">
        <f>-(BS!G11-BS!F11)</f>
      </c>
      <c r="H21" s="10">
        <f>-(BS!H11-BS!G11)</f>
      </c>
      <c r="I21" s="10">
        <f>-(BS!I11-BS!H11)</f>
      </c>
      <c r="J21" s="10">
        <f>-(BS!J11-BS!I11)</f>
      </c>
      <c r="K21" s="10">
        <f>-(BS!K11-BS!J11)</f>
      </c>
    </row>
    <row r="22">
      <c r="B22" s="4" t="inlineStr">
        <is>
          <t>+ Increase in other current liabilities</t>
        </is>
      </c>
      <c r="G22" s="10">
        <f>BS!G24-BS!F24</f>
      </c>
      <c r="H22" s="10">
        <f>BS!H24-BS!G24</f>
      </c>
      <c r="I22" s="10">
        <f>BS!I24-BS!H24</f>
      </c>
      <c r="J22" s="10">
        <f>BS!J24-BS!I24</f>
      </c>
      <c r="K22" s="10">
        <f>BS!K24-BS!J24</f>
      </c>
    </row>
    <row r="23">
      <c r="B23" s="4" t="inlineStr">
        <is>
          <t>+ Increase in unearned revenue (ST + LT)</t>
        </is>
      </c>
      <c r="G23" s="10">
        <f>(BS!G22+BS!G27)-(BS!F22+BS!F27)</f>
      </c>
      <c r="H23" s="10">
        <f>(BS!H22+BS!H27)-(BS!G22+BS!G27)</f>
      </c>
      <c r="I23" s="10">
        <f>(BS!I22+BS!I27)-(BS!H22+BS!H27)</f>
      </c>
      <c r="J23" s="10">
        <f>(BS!J22+BS!J27)-(BS!I22+BS!I27)</f>
      </c>
      <c r="K23" s="10">
        <f>(BS!K22+BS!K27)-(BS!J22+BS!J27)</f>
      </c>
    </row>
    <row r="24">
      <c r="B24" s="4" t="inlineStr">
        <is>
          <t>+ Increase in other LT liabilities</t>
        </is>
      </c>
      <c r="G24" s="10">
        <f>BS!G28-BS!F28</f>
      </c>
      <c r="H24" s="10">
        <f>BS!H28-BS!G28</f>
      </c>
      <c r="I24" s="10">
        <f>BS!I28-BS!H28</f>
      </c>
      <c r="J24" s="10">
        <f>BS!J28-BS!I28</f>
      </c>
      <c r="K24" s="10">
        <f>BS!K28-BS!J28</f>
      </c>
    </row>
    <row r="25">
      <c r="B25" s="4" t="inlineStr">
        <is>
          <t>(-) Increase in other LT assets</t>
        </is>
      </c>
      <c r="G25" s="10">
        <f>-(BS!G16-BS!F16)</f>
      </c>
      <c r="H25" s="10">
        <f>-(BS!H16-BS!G16)</f>
      </c>
      <c r="I25" s="10">
        <f>-(BS!I16-BS!H16)</f>
      </c>
      <c r="J25" s="10">
        <f>-(BS!J16-BS!I16)</f>
      </c>
      <c r="K25" s="10">
        <f>-(BS!K16-BS!J16)</f>
      </c>
    </row>
    <row r="26">
      <c r="B26" s="6" t="inlineStr">
        <is>
          <t>Cash flow from operations (CFO)</t>
        </is>
      </c>
      <c r="G26" s="26">
        <f>SUM(G13:G25)</f>
      </c>
      <c r="H26" s="26">
        <f>SUM(H13:H25)</f>
      </c>
      <c r="I26" s="26">
        <f>SUM(I13:I25)</f>
      </c>
      <c r="J26" s="26">
        <f>SUM(J13:J25)</f>
      </c>
      <c r="K26" s="26">
        <f>SUM(K13:K25)</f>
      </c>
    </row>
    <row r="27"/>
    <row r="28">
      <c r="B28" s="15" t="inlineStr">
        <is>
          <t>Investing Activities</t>
        </is>
      </c>
      <c r="D28" s="15" t="n"/>
      <c r="E28" s="15" t="n"/>
      <c r="F28" s="15" t="n"/>
      <c r="G28" s="15" t="n"/>
      <c r="H28" s="15" t="n"/>
      <c r="I28" s="15" t="n"/>
      <c r="J28" s="15" t="n"/>
      <c r="K28" s="15" t="n"/>
    </row>
    <row r="29">
      <c r="B29" s="4" t="inlineStr">
        <is>
          <t>Capital expenditures</t>
        </is>
      </c>
      <c r="G29" s="10">
        <f>-IS!G7*Assumptions!G27</f>
      </c>
      <c r="H29" s="10">
        <f>-IS!H7*Assumptions!H27</f>
      </c>
      <c r="I29" s="10">
        <f>-IS!I7*Assumptions!I27</f>
      </c>
      <c r="J29" s="10">
        <f>-IS!J7*Assumptions!J27</f>
      </c>
      <c r="K29" s="10">
        <f>-IS!K7*Assumptions!K27</f>
      </c>
    </row>
    <row r="30">
      <c r="B30" s="6" t="inlineStr">
        <is>
          <t>Cash flow from investing (CFI)</t>
        </is>
      </c>
      <c r="G30" s="26">
        <f>G29</f>
      </c>
      <c r="H30" s="26">
        <f>H29</f>
      </c>
      <c r="I30" s="26">
        <f>I29</f>
      </c>
      <c r="J30" s="26">
        <f>J29</f>
      </c>
      <c r="K30" s="26">
        <f>K29</f>
      </c>
    </row>
    <row r="31"/>
    <row r="32">
      <c r="B32" s="15" t="inlineStr">
        <is>
          <t>Financing Activities</t>
        </is>
      </c>
      <c r="D32" s="15" t="n"/>
      <c r="E32" s="15" t="n"/>
      <c r="F32" s="15" t="n"/>
      <c r="G32" s="15" t="n"/>
      <c r="H32" s="15" t="n"/>
      <c r="I32" s="15" t="n"/>
      <c r="J32" s="15" t="n"/>
      <c r="K32" s="15" t="n"/>
    </row>
    <row r="33">
      <c r="B33" s="4" t="inlineStr">
        <is>
          <t>Dividends paid</t>
        </is>
      </c>
      <c r="G33" s="10">
        <f>-Assumptions!G32*IS!G23</f>
      </c>
      <c r="H33" s="10">
        <f>-Assumptions!H32*IS!H23</f>
      </c>
      <c r="I33" s="10">
        <f>-Assumptions!I32*IS!I23</f>
      </c>
      <c r="J33" s="10">
        <f>-Assumptions!J32*IS!J23</f>
      </c>
      <c r="K33" s="10">
        <f>-Assumptions!K32*IS!K23</f>
      </c>
    </row>
    <row r="34">
      <c r="B34" s="4" t="inlineStr">
        <is>
          <t>Share buybacks</t>
        </is>
      </c>
      <c r="G34" s="10">
        <f>-Assumptions!G34</f>
      </c>
      <c r="H34" s="10">
        <f>-Assumptions!H34</f>
      </c>
      <c r="I34" s="10">
        <f>-Assumptions!I34</f>
      </c>
      <c r="J34" s="10">
        <f>-Assumptions!J34</f>
      </c>
      <c r="K34" s="10">
        <f>-Assumptions!K34</f>
      </c>
    </row>
    <row r="35">
      <c r="B35" s="4" t="inlineStr">
        <is>
          <t>Scheduled long-term debt repayment</t>
        </is>
      </c>
      <c r="G35" s="10">
        <f>-DebtSchedule!G9</f>
      </c>
      <c r="H35" s="10">
        <f>-DebtSchedule!H9</f>
      </c>
      <c r="I35" s="10">
        <f>-DebtSchedule!I9</f>
      </c>
      <c r="J35" s="10">
        <f>-DebtSchedule!J9</f>
      </c>
      <c r="K35" s="10">
        <f>-DebtSchedule!K9</f>
      </c>
    </row>
    <row r="36">
      <c r="B36" s="4" t="inlineStr">
        <is>
          <t>Revolver draw / (repayment)</t>
        </is>
      </c>
      <c r="G36" s="10">
        <f>DebtSchedule!G18</f>
      </c>
      <c r="H36" s="10">
        <f>DebtSchedule!H18</f>
      </c>
      <c r="I36" s="10">
        <f>DebtSchedule!I18</f>
      </c>
      <c r="J36" s="10">
        <f>DebtSchedule!J18</f>
      </c>
      <c r="K36" s="10">
        <f>DebtSchedule!K18</f>
      </c>
    </row>
    <row r="37">
      <c r="B37" s="4" t="inlineStr">
        <is>
          <t>Option / stock plan proceeds</t>
        </is>
      </c>
      <c r="G37" s="10">
        <f>Assumptions!G38</f>
      </c>
      <c r="H37" s="10">
        <f>Assumptions!H38</f>
      </c>
      <c r="I37" s="10">
        <f>Assumptions!I38</f>
      </c>
      <c r="J37" s="10">
        <f>Assumptions!J38</f>
      </c>
      <c r="K37" s="10">
        <f>Assumptions!K38</f>
      </c>
    </row>
    <row r="38">
      <c r="B38" s="6" t="inlineStr">
        <is>
          <t>Cash flow from financing (CFF)</t>
        </is>
      </c>
      <c r="G38" s="26">
        <f>SUM(G33:G37)</f>
      </c>
      <c r="H38" s="26">
        <f>SUM(H33:H37)</f>
      </c>
      <c r="I38" s="26">
        <f>SUM(I33:I37)</f>
      </c>
      <c r="J38" s="26">
        <f>SUM(J33:J37)</f>
      </c>
      <c r="K38" s="26">
        <f>SUM(K33:K37)</f>
      </c>
    </row>
    <row r="39"/>
    <row r="40">
      <c r="B40" s="6" t="inlineStr">
        <is>
          <t>Net change in cash</t>
        </is>
      </c>
      <c r="G40" s="26">
        <f>G26+G30+G38</f>
      </c>
      <c r="H40" s="26">
        <f>H26+H30+H38</f>
      </c>
      <c r="I40" s="26">
        <f>I26+I30+I38</f>
      </c>
      <c r="J40" s="26">
        <f>J26+J30+J38</f>
      </c>
      <c r="K40" s="26">
        <f>K26+K30+K38</f>
      </c>
    </row>
    <row r="41">
      <c r="B41" s="4" t="inlineStr">
        <is>
          <t>Beginning cash &amp; ST investments</t>
        </is>
      </c>
      <c r="G41" s="10">
        <f>BS!F8</f>
      </c>
      <c r="H41" s="10">
        <f>BS!G8</f>
      </c>
      <c r="I41" s="10">
        <f>BS!H8</f>
      </c>
      <c r="J41" s="10">
        <f>BS!I8</f>
      </c>
      <c r="K41" s="10">
        <f>BS!J8</f>
      </c>
    </row>
    <row r="42">
      <c r="B42" s="6" t="inlineStr">
        <is>
          <t>Ending cash &amp; ST investments</t>
        </is>
      </c>
      <c r="G42" s="26">
        <f>G41+G40</f>
      </c>
      <c r="H42" s="26">
        <f>H41+H40</f>
      </c>
      <c r="I42" s="26">
        <f>I41+I40</f>
      </c>
      <c r="J42" s="26">
        <f>J41+J40</f>
      </c>
      <c r="K42" s="26">
        <f>K41+K40</f>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Debt Schedule</t>
        </is>
      </c>
    </row>
    <row r="3">
      <c r="B3" s="2" t="inlineStr">
        <is>
          <t>($ in millions; interest on beginning-of-period balances -- no circularity)</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c r="B7" s="15" t="inlineStr">
        <is>
          <t>Long-Term Debt</t>
        </is>
      </c>
      <c r="D7" s="15" t="n"/>
      <c r="E7" s="15" t="n"/>
      <c r="F7" s="15" t="n"/>
      <c r="G7" s="15" t="n"/>
      <c r="H7" s="15" t="n"/>
      <c r="I7" s="15" t="n"/>
      <c r="J7" s="15" t="n"/>
      <c r="K7" s="15" t="n"/>
    </row>
    <row r="8">
      <c r="B8" s="4" t="inlineStr">
        <is>
          <t>Opening balance (LT debt + current portion)</t>
        </is>
      </c>
      <c r="D8" s="2" t="inlineStr">
        <is>
          <t>n/a</t>
        </is>
      </c>
      <c r="E8" s="2" t="inlineStr">
        <is>
          <t>n/a</t>
        </is>
      </c>
      <c r="F8" s="2" t="inlineStr">
        <is>
          <t>n/a</t>
        </is>
      </c>
      <c r="G8" s="25">
        <f>F10</f>
      </c>
      <c r="H8" s="25">
        <f>G10</f>
      </c>
      <c r="I8" s="25">
        <f>H10</f>
      </c>
      <c r="J8" s="25">
        <f>I10</f>
      </c>
      <c r="K8" s="25">
        <f>J10</f>
      </c>
    </row>
    <row r="9">
      <c r="B9" s="4" t="inlineStr">
        <is>
          <t>Scheduled maturity / repayment</t>
        </is>
      </c>
      <c r="D9" s="2" t="inlineStr">
        <is>
          <t>n/a</t>
        </is>
      </c>
      <c r="E9" s="2" t="inlineStr">
        <is>
          <t>n/a</t>
        </is>
      </c>
      <c r="F9" s="2" t="inlineStr">
        <is>
          <t>n/a</t>
        </is>
      </c>
      <c r="G9" s="10">
        <f>Assumptions!G39</f>
      </c>
      <c r="H9" s="10">
        <f>Assumptions!H39</f>
      </c>
      <c r="I9" s="10">
        <f>Assumptions!I39</f>
      </c>
      <c r="J9" s="10">
        <f>Assumptions!J39</f>
      </c>
      <c r="K9" s="10">
        <f>Assumptions!K39</f>
      </c>
    </row>
    <row r="10">
      <c r="B10" s="6" t="inlineStr">
        <is>
          <t>Closing balance (total funded debt)</t>
        </is>
      </c>
      <c r="D10" s="24" t="n">
        <v>57635</v>
      </c>
      <c r="E10" s="24" t="n">
        <v>60977</v>
      </c>
      <c r="F10" s="24" t="n">
        <v>49377</v>
      </c>
      <c r="G10" s="26">
        <f>G8-G9</f>
      </c>
      <c r="H10" s="26">
        <f>H8-H9</f>
      </c>
      <c r="I10" s="26">
        <f>I8-I9</f>
      </c>
      <c r="J10" s="26">
        <f>J8-J9</f>
      </c>
      <c r="K10" s="26">
        <f>K8-K9</f>
      </c>
    </row>
    <row r="11">
      <c r="B11" s="4" t="inlineStr">
        <is>
          <t>Of which: current portion (next FY scheduled maturity) -&gt; BS</t>
        </is>
      </c>
      <c r="D11" s="24" t="n">
        <v>2600</v>
      </c>
      <c r="E11" s="24" t="n">
        <v>4400</v>
      </c>
      <c r="F11" s="24" t="n">
        <v>9227</v>
      </c>
      <c r="G11" s="24" t="n">
        <v>2932</v>
      </c>
      <c r="H11" s="24" t="n">
        <v>2038</v>
      </c>
      <c r="I11" s="24" t="n">
        <v>1853</v>
      </c>
      <c r="J11" s="24" t="n">
        <v>1385</v>
      </c>
      <c r="K11" s="24" t="n">
        <v>1300</v>
      </c>
    </row>
    <row r="12">
      <c r="B12" s="4" t="inlineStr">
        <is>
          <t>Of which: long-term portion -&gt; BS</t>
        </is>
      </c>
      <c r="D12" s="24" t="n">
        <v>55035</v>
      </c>
      <c r="E12" s="24" t="n">
        <v>56577</v>
      </c>
      <c r="F12" s="24" t="n">
        <v>40150</v>
      </c>
      <c r="G12" s="25">
        <f>G10-G11</f>
      </c>
      <c r="H12" s="25">
        <f>H10-H11</f>
      </c>
      <c r="I12" s="25">
        <f>I10-I11</f>
      </c>
      <c r="J12" s="25">
        <f>J10-J11</f>
      </c>
      <c r="K12" s="25">
        <f>K10-K11</f>
      </c>
    </row>
    <row r="13">
      <c r="B13" s="4" t="inlineStr">
        <is>
          <t>Interest expense (opening balance x coupon)</t>
        </is>
      </c>
      <c r="D13" s="2" t="inlineStr">
        <is>
          <t>n/a</t>
        </is>
      </c>
      <c r="E13" s="2" t="inlineStr">
        <is>
          <t>n/a</t>
        </is>
      </c>
      <c r="F13" s="2" t="inlineStr">
        <is>
          <t>n/a</t>
        </is>
      </c>
      <c r="G13" s="25">
        <f>G8*Assumptions!G40</f>
      </c>
      <c r="H13" s="25">
        <f>H8*Assumptions!H40</f>
      </c>
      <c r="I13" s="25">
        <f>I8*Assumptions!I40</f>
      </c>
      <c r="J13" s="25">
        <f>J8*Assumptions!J40</f>
      </c>
      <c r="K13" s="25">
        <f>K8*Assumptions!K40</f>
      </c>
    </row>
    <row r="14"/>
    <row r="15">
      <c r="B15" s="15" t="inlineStr">
        <is>
          <t>Revolver (period-end plug)</t>
        </is>
      </c>
      <c r="D15" s="15" t="n"/>
      <c r="E15" s="15" t="n"/>
      <c r="F15" s="15" t="n"/>
      <c r="G15" s="15" t="n"/>
      <c r="H15" s="15" t="n"/>
      <c r="I15" s="15" t="n"/>
      <c r="J15" s="15" t="n"/>
      <c r="K15" s="15" t="n"/>
    </row>
    <row r="16">
      <c r="B16" s="4" t="inlineStr">
        <is>
          <t>Opening revolver balance</t>
        </is>
      </c>
      <c r="D16" s="2" t="inlineStr">
        <is>
          <t>n/a</t>
        </is>
      </c>
      <c r="E16" s="2" t="inlineStr">
        <is>
          <t>n/a</t>
        </is>
      </c>
      <c r="F16" s="2" t="inlineStr">
        <is>
          <t>n/a</t>
        </is>
      </c>
      <c r="G16" s="25" t="n">
        <v>0</v>
      </c>
      <c r="H16" s="25">
        <f>G19</f>
      </c>
      <c r="I16" s="25">
        <f>H19</f>
      </c>
      <c r="J16" s="25">
        <f>I19</f>
      </c>
      <c r="K16" s="25">
        <f>J19</f>
      </c>
    </row>
    <row r="17">
      <c r="B17" s="4" t="inlineStr">
        <is>
          <t>Cash available before revolver draw/(repay)</t>
        </is>
      </c>
      <c r="D17" s="2" t="inlineStr">
        <is>
          <t>n/a</t>
        </is>
      </c>
      <c r="E17" s="2" t="inlineStr">
        <is>
          <t>n/a</t>
        </is>
      </c>
      <c r="F17" s="2" t="inlineStr">
        <is>
          <t>n/a</t>
        </is>
      </c>
      <c r="G17" s="10">
        <f>BS!F8+CF!G26+CF!G30+CF!G33+CF!G34+CF!G35+CF!G37</f>
      </c>
      <c r="H17" s="10">
        <f>BS!G8+CF!H26+CF!H30+CF!H33+CF!H34+CF!H35+CF!H37</f>
      </c>
      <c r="I17" s="10">
        <f>BS!H8+CF!I26+CF!I30+CF!I33+CF!I34+CF!I35+CF!I37</f>
      </c>
      <c r="J17" s="10">
        <f>BS!I8+CF!J26+CF!J30+CF!J33+CF!J34+CF!J35+CF!J37</f>
      </c>
      <c r="K17" s="10">
        <f>BS!J8+CF!K26+CF!K30+CF!K33+CF!K34+CF!K35+CF!K37</f>
      </c>
    </row>
    <row r="18">
      <c r="B18" s="4" t="inlineStr">
        <is>
          <t>Revolver draw / (repay)</t>
        </is>
      </c>
      <c r="D18" s="2" t="inlineStr">
        <is>
          <t>n/a</t>
        </is>
      </c>
      <c r="E18" s="2" t="inlineStr">
        <is>
          <t>n/a</t>
        </is>
      </c>
      <c r="F18" s="2" t="inlineStr">
        <is>
          <t>n/a</t>
        </is>
      </c>
      <c r="G18" s="10">
        <f>MAX(0,Assumptions!G43-G17)-MIN(G16,MAX(0,G17-Assumptions!G43))</f>
      </c>
      <c r="H18" s="10">
        <f>MAX(0,Assumptions!H43-H17)-MIN(H16,MAX(0,H17-Assumptions!H43))</f>
      </c>
      <c r="I18" s="10">
        <f>MAX(0,Assumptions!I43-I17)-MIN(I16,MAX(0,I17-Assumptions!I43))</f>
      </c>
      <c r="J18" s="10">
        <f>MAX(0,Assumptions!J43-J17)-MIN(J16,MAX(0,J17-Assumptions!J43))</f>
      </c>
      <c r="K18" s="10">
        <f>MAX(0,Assumptions!K43-K17)-MIN(K16,MAX(0,K17-Assumptions!K43))</f>
      </c>
    </row>
    <row r="19">
      <c r="B19" s="6" t="inlineStr">
        <is>
          <t>Closing revolver balance</t>
        </is>
      </c>
      <c r="D19" s="24" t="n">
        <v>0</v>
      </c>
      <c r="E19" s="24" t="n">
        <v>0</v>
      </c>
      <c r="F19" s="24" t="n">
        <v>0</v>
      </c>
      <c r="G19" s="26">
        <f>G16+G18</f>
      </c>
      <c r="H19" s="26">
        <f>H16+H18</f>
      </c>
      <c r="I19" s="26">
        <f>I16+I18</f>
      </c>
      <c r="J19" s="26">
        <f>J16+J18</f>
      </c>
      <c r="K19" s="26">
        <f>K16+K18</f>
      </c>
    </row>
    <row r="20">
      <c r="B20" s="4" t="inlineStr">
        <is>
          <t>Interest expense on revolver (opening balance x rate)</t>
        </is>
      </c>
      <c r="D20" s="2" t="inlineStr">
        <is>
          <t>n/a</t>
        </is>
      </c>
      <c r="E20" s="2" t="inlineStr">
        <is>
          <t>n/a</t>
        </is>
      </c>
      <c r="F20" s="2" t="inlineStr">
        <is>
          <t>n/a</t>
        </is>
      </c>
      <c r="G20" s="25">
        <f>G16*Assumptions!G41</f>
      </c>
      <c r="H20" s="25">
        <f>H16*Assumptions!H41</f>
      </c>
      <c r="I20" s="25">
        <f>I16*Assumptions!I41</f>
      </c>
      <c r="J20" s="25">
        <f>J16*Assumptions!J41</f>
      </c>
      <c r="K20" s="25">
        <f>K16*Assumptions!K41</f>
      </c>
    </row>
    <row r="21"/>
    <row r="22">
      <c r="B22" s="15" t="inlineStr">
        <is>
          <t>Totals (-&gt; IS)</t>
        </is>
      </c>
      <c r="D22" s="15" t="n"/>
      <c r="E22" s="15" t="n"/>
      <c r="F22" s="15" t="n"/>
      <c r="G22" s="15" t="n"/>
      <c r="H22" s="15" t="n"/>
      <c r="I22" s="15" t="n"/>
      <c r="J22" s="15" t="n"/>
      <c r="K22" s="15" t="n"/>
    </row>
    <row r="23">
      <c r="B23" s="6" t="inlineStr">
        <is>
          <t>Total debt (LT + current portion + revolver)</t>
        </is>
      </c>
      <c r="D23" s="26">
        <f>D10+D19</f>
      </c>
      <c r="E23" s="26">
        <f>E10+E19</f>
      </c>
      <c r="F23" s="26">
        <f>F10+F19</f>
      </c>
      <c r="G23" s="26">
        <f>G10+G19</f>
      </c>
      <c r="H23" s="26">
        <f>H10+H19</f>
      </c>
      <c r="I23" s="26">
        <f>I10+I19</f>
      </c>
      <c r="J23" s="26">
        <f>J10+J19</f>
      </c>
      <c r="K23" s="26">
        <f>K10+K19</f>
      </c>
    </row>
    <row r="24">
      <c r="B24" s="6" t="inlineStr">
        <is>
          <t>Total interest expense (debt + revolver) -&gt; IS</t>
        </is>
      </c>
      <c r="D24" s="2" t="inlineStr">
        <is>
          <t>n/a</t>
        </is>
      </c>
      <c r="E24" s="2" t="inlineStr">
        <is>
          <t>n/a</t>
        </is>
      </c>
      <c r="F24" s="2" t="inlineStr">
        <is>
          <t>n/a</t>
        </is>
      </c>
      <c r="G24" s="26">
        <f>G13+G20</f>
      </c>
      <c r="H24" s="26">
        <f>H13+H20</f>
      </c>
      <c r="I24" s="26">
        <f>I13+I20</f>
      </c>
      <c r="J24" s="26">
        <f>J13+J20</f>
      </c>
      <c r="K24" s="26">
        <f>K13+K20</f>
      </c>
    </row>
    <row r="25">
      <c r="B25" s="4" t="inlineStr">
        <is>
          <t>Beginning cash &amp; ST investments (for interest income)</t>
        </is>
      </c>
      <c r="D25" s="2" t="inlineStr">
        <is>
          <t>n/a</t>
        </is>
      </c>
      <c r="E25" s="2" t="inlineStr">
        <is>
          <t>n/a</t>
        </is>
      </c>
      <c r="F25" s="2" t="inlineStr">
        <is>
          <t>n/a</t>
        </is>
      </c>
      <c r="G25" s="10">
        <f>BS!F8</f>
      </c>
      <c r="H25" s="10">
        <f>BS!G8</f>
      </c>
      <c r="I25" s="10">
        <f>BS!H8</f>
      </c>
      <c r="J25" s="10">
        <f>BS!I8</f>
      </c>
      <c r="K25" s="10">
        <f>BS!J8</f>
      </c>
    </row>
    <row r="26">
      <c r="B26" s="6" t="inlineStr">
        <is>
          <t>Interest income (beginning cash x rate) -&gt; IS</t>
        </is>
      </c>
      <c r="D26" s="2" t="inlineStr">
        <is>
          <t>n/a</t>
        </is>
      </c>
      <c r="E26" s="2" t="inlineStr">
        <is>
          <t>n/a</t>
        </is>
      </c>
      <c r="F26" s="2" t="inlineStr">
        <is>
          <t>n/a</t>
        </is>
      </c>
      <c r="G26" s="26">
        <f>G25*Assumptions!G42</f>
      </c>
      <c r="H26" s="26">
        <f>H25*Assumptions!H42</f>
      </c>
      <c r="I26" s="26">
        <f>I25*Assumptions!I42</f>
      </c>
      <c r="J26" s="26">
        <f>J25*Assumptions!J42</f>
      </c>
      <c r="K26" s="26">
        <f>K25*Assumptions!K42</f>
      </c>
    </row>
    <row r="27"/>
    <row r="28"/>
    <row r="29">
      <c r="B29" s="2" t="inlineStr">
        <is>
          <t>Note: cash available before revolver already nets dividends, buybacks, and scheduled debt repayment (see CF cols 33-35, 37); the revolver draws only if available cash would fall below the minimum cash balance, and repays any outstanding balance first out of any cash surplus above minimum. MSFT's projected cash generation keeps the revolver undrawn in every year, which is the expected, realistic outcome.</t>
        </is>
      </c>
    </row>
  </sheetData>
  <mergeCells count="1">
    <mergeCell ref="B29:K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row r="2">
      <c r="B2" s="1" t="inlineStr">
        <is>
          <t>Consolidated Checks</t>
        </is>
      </c>
    </row>
    <row r="3">
      <c r="B3" s="2" t="inlineStr">
        <is>
          <t>(all cells are live green links; every value must equal 0.000)</t>
        </is>
      </c>
    </row>
    <row r="4"/>
    <row r="5">
      <c r="D5" s="14" t="inlineStr">
        <is>
          <t>FY2023A</t>
        </is>
      </c>
      <c r="E5" s="14" t="inlineStr">
        <is>
          <t>FY2024A</t>
        </is>
      </c>
      <c r="F5" s="14" t="inlineStr">
        <is>
          <t>FY2025A</t>
        </is>
      </c>
      <c r="G5" s="14" t="inlineStr">
        <is>
          <t>FY2026E</t>
        </is>
      </c>
      <c r="H5" s="14" t="inlineStr">
        <is>
          <t>FY2027E</t>
        </is>
      </c>
      <c r="I5" s="14" t="inlineStr">
        <is>
          <t>FY2028E</t>
        </is>
      </c>
      <c r="J5" s="14" t="inlineStr">
        <is>
          <t>FY2029E</t>
        </is>
      </c>
      <c r="K5" s="14" t="inlineStr">
        <is>
          <t>FY2030E</t>
        </is>
      </c>
    </row>
    <row r="6"/>
    <row r="7"/>
    <row r="8">
      <c r="B8" s="6" t="inlineStr">
        <is>
          <t>BS balance check (Total assets - Total L+E)</t>
        </is>
      </c>
      <c r="D8" s="9">
        <f>BS!D39</f>
      </c>
      <c r="E8" s="9">
        <f>BS!E39</f>
      </c>
      <c r="F8" s="9">
        <f>BS!F39</f>
      </c>
      <c r="G8" s="9">
        <f>BS!G39</f>
      </c>
      <c r="H8" s="9">
        <f>BS!H39</f>
      </c>
      <c r="I8" s="9">
        <f>BS!I39</f>
      </c>
      <c r="J8" s="9">
        <f>BS!J39</f>
      </c>
      <c r="K8" s="9">
        <f>BS!K39</f>
      </c>
    </row>
    <row r="9">
      <c r="B9" s="4" t="inlineStr">
        <is>
          <t>CF ending cash = BS cash</t>
        </is>
      </c>
      <c r="D9" s="2" t="inlineStr">
        <is>
          <t>n/a (hist.)</t>
        </is>
      </c>
      <c r="E9" s="2" t="inlineStr">
        <is>
          <t>n/a (hist.)</t>
        </is>
      </c>
      <c r="F9" s="2" t="inlineStr">
        <is>
          <t>n/a (hist.)</t>
        </is>
      </c>
      <c r="G9" s="9">
        <f>ROUND(CF!G42-BS!G8,3)</f>
      </c>
      <c r="H9" s="9">
        <f>ROUND(CF!H42-BS!H8,3)</f>
      </c>
      <c r="I9" s="9">
        <f>ROUND(CF!I42-BS!I8,3)</f>
      </c>
      <c r="J9" s="9">
        <f>ROUND(CF!J42-BS!J8,3)</f>
      </c>
      <c r="K9" s="9">
        <f>ROUND(CF!K42-BS!K8,3)</f>
      </c>
    </row>
    <row r="10">
      <c r="B10" s="4" t="inlineStr">
        <is>
          <t>Retained earnings roll-forward tie</t>
        </is>
      </c>
      <c r="D10" s="2" t="inlineStr">
        <is>
          <t>n/a (hist.)</t>
        </is>
      </c>
      <c r="E10" s="2" t="inlineStr">
        <is>
          <t>n/a (hist.)</t>
        </is>
      </c>
      <c r="F10" s="2" t="inlineStr">
        <is>
          <t>n/a (hist.)</t>
        </is>
      </c>
      <c r="G10" s="9">
        <f>ROUND(BS!G33-(BS!F33+IS!G19+CF!G33+CF!G34),3)</f>
      </c>
      <c r="H10" s="9">
        <f>ROUND(BS!H33-(BS!G33+IS!H19+CF!H33+CF!H34),3)</f>
      </c>
      <c r="I10" s="9">
        <f>ROUND(BS!I33-(BS!H33+IS!I19+CF!I33+CF!I34),3)</f>
      </c>
      <c r="J10" s="9">
        <f>ROUND(BS!J33-(BS!I33+IS!J19+CF!J33+CF!J34),3)</f>
      </c>
      <c r="K10" s="9">
        <f>ROUND(BS!K33-(BS!J33+IS!K19+CF!K33+CF!K34),3)</f>
      </c>
    </row>
    <row r="11">
      <c r="B11" s="4" t="inlineStr">
        <is>
          <t>Debt schedule total debt = BS debt (LTD + ST debt incl. revolver)</t>
        </is>
      </c>
      <c r="D11" s="2" t="inlineStr">
        <is>
          <t>n/a (hist.)</t>
        </is>
      </c>
      <c r="E11" s="2" t="inlineStr">
        <is>
          <t>n/a (hist.)</t>
        </is>
      </c>
      <c r="F11" s="2" t="inlineStr">
        <is>
          <t>n/a (hist.)</t>
        </is>
      </c>
      <c r="G11" s="9">
        <f>ROUND(DebtSchedule!G23-(BS!G26+BS!G23),3)</f>
      </c>
      <c r="H11" s="9">
        <f>ROUND(DebtSchedule!H23-(BS!H26+BS!H23),3)</f>
      </c>
      <c r="I11" s="9">
        <f>ROUND(DebtSchedule!I23-(BS!I26+BS!I23),3)</f>
      </c>
      <c r="J11" s="9">
        <f>ROUND(DebtSchedule!J23-(BS!J26+BS!J23),3)</f>
      </c>
      <c r="K11" s="9">
        <f>ROUND(DebtSchedule!K23-(BS!K26+BS!K23),3)</f>
      </c>
    </row>
    <row r="12">
      <c r="B12" s="4" t="inlineStr">
        <is>
          <t>Interest expense: IS = DebtSchedule</t>
        </is>
      </c>
      <c r="D12" s="2" t="inlineStr">
        <is>
          <t>n/a (hist.)</t>
        </is>
      </c>
      <c r="E12" s="2" t="inlineStr">
        <is>
          <t>n/a (hist.)</t>
        </is>
      </c>
      <c r="F12" s="2" t="inlineStr">
        <is>
          <t>n/a (hist.)</t>
        </is>
      </c>
      <c r="G12" s="9">
        <f>ROUND(IS!G15-DebtSchedule!G24,3)</f>
      </c>
      <c r="H12" s="9">
        <f>ROUND(IS!H15-DebtSchedule!H24,3)</f>
      </c>
      <c r="I12" s="9">
        <f>ROUND(IS!I15-DebtSchedule!I24,3)</f>
      </c>
      <c r="J12" s="9">
        <f>ROUND(IS!J15-DebtSchedule!J24,3)</f>
      </c>
      <c r="K12" s="9">
        <f>ROUND(IS!K15-DebtSchedule!K24,3)</f>
      </c>
    </row>
    <row r="13"/>
    <row r="14"/>
    <row r="15">
      <c r="B15" s="6" t="inlineStr">
        <is>
          <t>ALL CHECKS PASS?</t>
        </is>
      </c>
      <c r="D15" s="29">
        <f>IF(AND(SUMPRODUCT(--ISERROR(D8:K12))=0,SUMPRODUCT(ABS(IF(ISNUMBER(D8:K12),D8:K12,0)))&lt;0.01),"ALL CHECKS PASS","CHECK FAILED")</f>
      </c>
      <c r="E15" s="30" t="n"/>
      <c r="F15" s="30" t="n"/>
      <c r="G15" s="30" t="n"/>
      <c r="H15" s="30" t="n"/>
      <c r="I15" s="30" t="n"/>
      <c r="J15" s="30" t="n"/>
      <c r="K15" s="30" t="n"/>
    </row>
  </sheetData>
  <mergeCells count="1">
    <mergeCell ref="D15:K15"/>
  </mergeCells>
  <conditionalFormatting sqref="D8:K8">
    <cfRule type="cellIs" priority="1" operator="equal" dxfId="0">
      <formula>0</formula>
    </cfRule>
    <cfRule type="cellIs" priority="2" operator="notEqual" dxfId="1">
      <formula>0</formula>
    </cfRule>
  </conditionalFormatting>
  <conditionalFormatting sqref="G9:K9">
    <cfRule type="cellIs" priority="3" operator="equal" dxfId="0">
      <formula>0</formula>
    </cfRule>
    <cfRule type="cellIs" priority="4" operator="notEqual" dxfId="1">
      <formula>0</formula>
    </cfRule>
  </conditionalFormatting>
  <conditionalFormatting sqref="G10:K10">
    <cfRule type="cellIs" priority="5" operator="equal" dxfId="0">
      <formula>0</formula>
    </cfRule>
    <cfRule type="cellIs" priority="6" operator="notEqual" dxfId="1">
      <formula>0</formula>
    </cfRule>
  </conditionalFormatting>
  <conditionalFormatting sqref="G11:K11">
    <cfRule type="cellIs" priority="7" operator="equal" dxfId="0">
      <formula>0</formula>
    </cfRule>
    <cfRule type="cellIs" priority="8" operator="notEqual" dxfId="1">
      <formula>0</formula>
    </cfRule>
  </conditionalFormatting>
  <conditionalFormatting sqref="G12:K12">
    <cfRule type="cellIs" priority="9" operator="equal" dxfId="0">
      <formula>0</formula>
    </cfRule>
    <cfRule type="cellIs" priority="10" operator="not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2026-08-23T05:53:16Z</dcterms:created>
  <dcterms:modified xsi:type="dcterms:W3CDTF">2026-08-23T05:53:16Z</dcterms:modified>
</cp:coreProperties>
</file>