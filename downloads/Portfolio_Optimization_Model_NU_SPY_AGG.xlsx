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kulveauli/Desktop/Rebuilt Models - Akul Veauli/"/>
    </mc:Choice>
  </mc:AlternateContent>
  <xr:revisionPtr revIDLastSave="0" documentId="13_ncr:1_{763163A6-4E25-694C-A245-45A1C5C37E78}" xr6:coauthVersionLast="47" xr6:coauthVersionMax="47" xr10:uidLastSave="{00000000-0000-0000-0000-000000000000}"/>
  <bookViews>
    <workbookView xWindow="0" yWindow="760" windowWidth="29400" windowHeight="16860" activeTab="5" xr2:uid="{00000000-000D-0000-FFFF-FFFF00000000}"/>
  </bookViews>
  <sheets>
    <sheet name="Overview" sheetId="1" r:id="rId1"/>
    <sheet name="Price Data" sheetId="2" r:id="rId2"/>
    <sheet name="Return Stats" sheetId="3" r:id="rId3"/>
    <sheet name="Optimizer" sheetId="4" r:id="rId4"/>
    <sheet name="Efficient Frontier" sheetId="5" r:id="rId5"/>
    <sheet name="Risk (VaR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4" i="4" l="1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49" i="3"/>
  <c r="E42" i="3"/>
  <c r="E44" i="3" s="1"/>
  <c r="C11" i="5" s="1"/>
  <c r="D42" i="3"/>
  <c r="D44" i="3" s="1"/>
  <c r="C10" i="5" s="1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55" i="3" s="1"/>
  <c r="D61" i="3" s="1"/>
  <c r="C5" i="3"/>
  <c r="D48" i="3" s="1"/>
  <c r="B5" i="3"/>
  <c r="D26" i="1"/>
  <c r="E48" i="3" l="1"/>
  <c r="E41" i="3"/>
  <c r="E43" i="3" s="1"/>
  <c r="D11" i="5" s="1"/>
  <c r="E56" i="3"/>
  <c r="E62" i="3" s="1"/>
  <c r="D50" i="3"/>
  <c r="C56" i="3"/>
  <c r="C62" i="3" s="1"/>
  <c r="E54" i="3"/>
  <c r="E60" i="3" s="1"/>
  <c r="C55" i="3"/>
  <c r="C61" i="3" s="1"/>
  <c r="D54" i="3"/>
  <c r="D60" i="3" s="1"/>
  <c r="C42" i="3"/>
  <c r="C44" i="3" s="1"/>
  <c r="C9" i="5" s="1"/>
  <c r="C54" i="3"/>
  <c r="C60" i="3" s="1"/>
  <c r="C50" i="3"/>
  <c r="C41" i="3"/>
  <c r="C43" i="3" s="1"/>
  <c r="E55" i="3"/>
  <c r="E61" i="3" s="1"/>
  <c r="D41" i="3"/>
  <c r="D43" i="3" s="1"/>
  <c r="D10" i="5" s="1"/>
  <c r="D56" i="3"/>
  <c r="D62" i="3" s="1"/>
  <c r="C49" i="3"/>
  <c r="F244" i="4" l="1"/>
  <c r="F240" i="4"/>
  <c r="F236" i="4"/>
  <c r="F232" i="4"/>
  <c r="F228" i="4"/>
  <c r="F224" i="4"/>
  <c r="F220" i="4"/>
  <c r="F216" i="4"/>
  <c r="F212" i="4"/>
  <c r="F208" i="4"/>
  <c r="F204" i="4"/>
  <c r="F200" i="4"/>
  <c r="F196" i="4"/>
  <c r="F192" i="4"/>
  <c r="F188" i="4"/>
  <c r="F184" i="4"/>
  <c r="F180" i="4"/>
  <c r="D9" i="5"/>
  <c r="F241" i="4"/>
  <c r="F237" i="4"/>
  <c r="F233" i="4"/>
  <c r="F229" i="4"/>
  <c r="F225" i="4"/>
  <c r="F221" i="4"/>
  <c r="F217" i="4"/>
  <c r="F213" i="4"/>
  <c r="F209" i="4"/>
  <c r="F205" i="4"/>
  <c r="F201" i="4"/>
  <c r="F197" i="4"/>
  <c r="F193" i="4"/>
  <c r="F189" i="4"/>
  <c r="F185" i="4"/>
  <c r="F181" i="4"/>
  <c r="F177" i="4"/>
  <c r="F173" i="4"/>
  <c r="F169" i="4"/>
  <c r="F165" i="4"/>
  <c r="F161" i="4"/>
  <c r="F157" i="4"/>
  <c r="F153" i="4"/>
  <c r="F149" i="4"/>
  <c r="F145" i="4"/>
  <c r="F141" i="4"/>
  <c r="F137" i="4"/>
  <c r="F170" i="4"/>
  <c r="F167" i="4"/>
  <c r="F164" i="4"/>
  <c r="F138" i="4"/>
  <c r="F135" i="4"/>
  <c r="F131" i="4"/>
  <c r="F127" i="4"/>
  <c r="F123" i="4"/>
  <c r="F119" i="4"/>
  <c r="F115" i="4"/>
  <c r="F111" i="4"/>
  <c r="F107" i="4"/>
  <c r="F103" i="4"/>
  <c r="F99" i="4"/>
  <c r="F95" i="4"/>
  <c r="F91" i="4"/>
  <c r="F242" i="4"/>
  <c r="F238" i="4"/>
  <c r="F231" i="4"/>
  <c r="F235" i="4"/>
  <c r="F226" i="4"/>
  <c r="F218" i="4"/>
  <c r="F191" i="4"/>
  <c r="F187" i="4"/>
  <c r="F152" i="4"/>
  <c r="F140" i="4"/>
  <c r="F124" i="4"/>
  <c r="F121" i="4"/>
  <c r="F118" i="4"/>
  <c r="F92" i="4"/>
  <c r="F89" i="4"/>
  <c r="F85" i="4"/>
  <c r="F81" i="4"/>
  <c r="F77" i="4"/>
  <c r="F73" i="4"/>
  <c r="F69" i="4"/>
  <c r="F65" i="4"/>
  <c r="F61" i="4"/>
  <c r="F57" i="4"/>
  <c r="F53" i="4"/>
  <c r="F49" i="4"/>
  <c r="F45" i="4"/>
  <c r="F41" i="4"/>
  <c r="F37" i="4"/>
  <c r="F33" i="4"/>
  <c r="F29" i="4"/>
  <c r="F25" i="4"/>
  <c r="F21" i="4"/>
  <c r="F17" i="4"/>
  <c r="F214" i="4"/>
  <c r="F210" i="4"/>
  <c r="F206" i="4"/>
  <c r="F183" i="4"/>
  <c r="F179" i="4"/>
  <c r="F172" i="4"/>
  <c r="F160" i="4"/>
  <c r="F155" i="4"/>
  <c r="F150" i="4"/>
  <c r="F133" i="4"/>
  <c r="F130" i="4"/>
  <c r="F230" i="4"/>
  <c r="F202" i="4"/>
  <c r="F163" i="4"/>
  <c r="F158" i="4"/>
  <c r="F239" i="4"/>
  <c r="F234" i="4"/>
  <c r="F198" i="4"/>
  <c r="F194" i="4"/>
  <c r="F190" i="4"/>
  <c r="F175" i="4"/>
  <c r="F168" i="4"/>
  <c r="F148" i="4"/>
  <c r="F227" i="4"/>
  <c r="F223" i="4"/>
  <c r="F219" i="4"/>
  <c r="F186" i="4"/>
  <c r="F166" i="4"/>
  <c r="F156" i="4"/>
  <c r="F146" i="4"/>
  <c r="F139" i="4"/>
  <c r="F134" i="4"/>
  <c r="F108" i="4"/>
  <c r="F105" i="4"/>
  <c r="F102" i="4"/>
  <c r="F87" i="4"/>
  <c r="F83" i="4"/>
  <c r="F79" i="4"/>
  <c r="F75" i="4"/>
  <c r="F71" i="4"/>
  <c r="F67" i="4"/>
  <c r="F63" i="4"/>
  <c r="F59" i="4"/>
  <c r="F147" i="4"/>
  <c r="F144" i="4"/>
  <c r="F126" i="4"/>
  <c r="F101" i="4"/>
  <c r="F88" i="4"/>
  <c r="F72" i="4"/>
  <c r="F50" i="4"/>
  <c r="F47" i="4"/>
  <c r="F44" i="4"/>
  <c r="F18" i="4"/>
  <c r="F15" i="4"/>
  <c r="F116" i="4"/>
  <c r="F122" i="4"/>
  <c r="F120" i="4"/>
  <c r="F97" i="4"/>
  <c r="F86" i="4"/>
  <c r="F70" i="4"/>
  <c r="F56" i="4"/>
  <c r="F30" i="4"/>
  <c r="F27" i="4"/>
  <c r="F24" i="4"/>
  <c r="F176" i="4"/>
  <c r="F159" i="4"/>
  <c r="F132" i="4"/>
  <c r="F114" i="4"/>
  <c r="F112" i="4"/>
  <c r="F93" i="4"/>
  <c r="F84" i="4"/>
  <c r="F68" i="4"/>
  <c r="F42" i="4"/>
  <c r="F39" i="4"/>
  <c r="F36" i="4"/>
  <c r="F243" i="4"/>
  <c r="F162" i="4"/>
  <c r="F143" i="4"/>
  <c r="F110" i="4"/>
  <c r="F82" i="4"/>
  <c r="F66" i="4"/>
  <c r="F54" i="4"/>
  <c r="F51" i="4"/>
  <c r="F48" i="4"/>
  <c r="F22" i="4"/>
  <c r="F19" i="4"/>
  <c r="F16" i="4"/>
  <c r="F215" i="4"/>
  <c r="F211" i="4"/>
  <c r="F129" i="4"/>
  <c r="F125" i="4"/>
  <c r="F106" i="4"/>
  <c r="F104" i="4"/>
  <c r="F100" i="4"/>
  <c r="F80" i="4"/>
  <c r="F64" i="4"/>
  <c r="F34" i="4"/>
  <c r="F31" i="4"/>
  <c r="F28" i="4"/>
  <c r="F171" i="4"/>
  <c r="F96" i="4"/>
  <c r="F58" i="4"/>
  <c r="F55" i="4"/>
  <c r="F52" i="4"/>
  <c r="F207" i="4"/>
  <c r="F78" i="4"/>
  <c r="F154" i="4"/>
  <c r="F14" i="4"/>
  <c r="F109" i="4"/>
  <c r="F94" i="4"/>
  <c r="F35" i="4"/>
  <c r="F195" i="4"/>
  <c r="F117" i="4"/>
  <c r="F74" i="4"/>
  <c r="F60" i="4"/>
  <c r="F26" i="4"/>
  <c r="F23" i="4"/>
  <c r="F20" i="4"/>
  <c r="F222" i="4"/>
  <c r="F142" i="4"/>
  <c r="F38" i="4"/>
  <c r="F32" i="4"/>
  <c r="F203" i="4"/>
  <c r="F182" i="4"/>
  <c r="F151" i="4"/>
  <c r="F136" i="4"/>
  <c r="F76" i="4"/>
  <c r="F46" i="4"/>
  <c r="F43" i="4"/>
  <c r="F40" i="4"/>
  <c r="F199" i="4"/>
  <c r="F178" i="4"/>
  <c r="F174" i="4"/>
  <c r="F128" i="4"/>
  <c r="F113" i="4"/>
  <c r="F98" i="4"/>
  <c r="F90" i="4"/>
  <c r="F62" i="4"/>
  <c r="G244" i="4"/>
  <c r="H244" i="4" s="1"/>
  <c r="G242" i="4"/>
  <c r="H242" i="4" s="1"/>
  <c r="G238" i="4"/>
  <c r="H238" i="4" s="1"/>
  <c r="G231" i="4"/>
  <c r="H231" i="4" s="1"/>
  <c r="G224" i="4"/>
  <c r="H224" i="4" s="1"/>
  <c r="G222" i="4"/>
  <c r="H222" i="4" s="1"/>
  <c r="G215" i="4"/>
  <c r="H215" i="4" s="1"/>
  <c r="G208" i="4"/>
  <c r="H208" i="4" s="1"/>
  <c r="G206" i="4"/>
  <c r="H206" i="4" s="1"/>
  <c r="G199" i="4"/>
  <c r="H199" i="4" s="1"/>
  <c r="G192" i="4"/>
  <c r="H192" i="4" s="1"/>
  <c r="G190" i="4"/>
  <c r="H190" i="4" s="1"/>
  <c r="G183" i="4"/>
  <c r="H183" i="4" s="1"/>
  <c r="G176" i="4"/>
  <c r="H176" i="4" s="1"/>
  <c r="G173" i="4"/>
  <c r="H173" i="4" s="1"/>
  <c r="G150" i="4"/>
  <c r="H150" i="4" s="1"/>
  <c r="G147" i="4"/>
  <c r="H147" i="4" s="1"/>
  <c r="G144" i="4"/>
  <c r="H144" i="4" s="1"/>
  <c r="G141" i="4"/>
  <c r="H141" i="4" s="1"/>
  <c r="G229" i="4"/>
  <c r="H229" i="4" s="1"/>
  <c r="G237" i="4"/>
  <c r="H237" i="4" s="1"/>
  <c r="G214" i="4"/>
  <c r="H214" i="4" s="1"/>
  <c r="G210" i="4"/>
  <c r="H210" i="4" s="1"/>
  <c r="G185" i="4"/>
  <c r="H185" i="4" s="1"/>
  <c r="G181" i="4"/>
  <c r="H181" i="4" s="1"/>
  <c r="G179" i="4"/>
  <c r="H179" i="4" s="1"/>
  <c r="G172" i="4"/>
  <c r="H172" i="4" s="1"/>
  <c r="G165" i="4"/>
  <c r="H165" i="4" s="1"/>
  <c r="G160" i="4"/>
  <c r="H160" i="4" s="1"/>
  <c r="G155" i="4"/>
  <c r="H155" i="4" s="1"/>
  <c r="G145" i="4"/>
  <c r="H145" i="4" s="1"/>
  <c r="G138" i="4"/>
  <c r="H138" i="4" s="1"/>
  <c r="G133" i="4"/>
  <c r="H133" i="4" s="1"/>
  <c r="G130" i="4"/>
  <c r="H130" i="4" s="1"/>
  <c r="G127" i="4"/>
  <c r="H127" i="4" s="1"/>
  <c r="G104" i="4"/>
  <c r="H104" i="4" s="1"/>
  <c r="G101" i="4"/>
  <c r="H101" i="4" s="1"/>
  <c r="G98" i="4"/>
  <c r="H98" i="4" s="1"/>
  <c r="G95" i="4"/>
  <c r="H95" i="4" s="1"/>
  <c r="G230" i="4"/>
  <c r="H230" i="4" s="1"/>
  <c r="G228" i="4"/>
  <c r="H228" i="4" s="1"/>
  <c r="G216" i="4"/>
  <c r="H216" i="4" s="1"/>
  <c r="G212" i="4"/>
  <c r="H212" i="4" s="1"/>
  <c r="G204" i="4"/>
  <c r="H204" i="4" s="1"/>
  <c r="G202" i="4"/>
  <c r="H202" i="4" s="1"/>
  <c r="G177" i="4"/>
  <c r="H177" i="4" s="1"/>
  <c r="G170" i="4"/>
  <c r="H170" i="4" s="1"/>
  <c r="G163" i="4"/>
  <c r="H163" i="4" s="1"/>
  <c r="G158" i="4"/>
  <c r="H158" i="4" s="1"/>
  <c r="G143" i="4"/>
  <c r="H143" i="4" s="1"/>
  <c r="G136" i="4"/>
  <c r="H136" i="4" s="1"/>
  <c r="G239" i="4"/>
  <c r="H239" i="4" s="1"/>
  <c r="G234" i="4"/>
  <c r="H234" i="4" s="1"/>
  <c r="G198" i="4"/>
  <c r="H198" i="4" s="1"/>
  <c r="G194" i="4"/>
  <c r="H194" i="4" s="1"/>
  <c r="G175" i="4"/>
  <c r="H175" i="4" s="1"/>
  <c r="G168" i="4"/>
  <c r="H168" i="4" s="1"/>
  <c r="G153" i="4"/>
  <c r="H153" i="4" s="1"/>
  <c r="G148" i="4"/>
  <c r="H148" i="4" s="1"/>
  <c r="G236" i="4"/>
  <c r="H236" i="4" s="1"/>
  <c r="G232" i="4"/>
  <c r="H232" i="4" s="1"/>
  <c r="G227" i="4"/>
  <c r="H227" i="4" s="1"/>
  <c r="G225" i="4"/>
  <c r="H225" i="4" s="1"/>
  <c r="G223" i="4"/>
  <c r="H223" i="4" s="1"/>
  <c r="G221" i="4"/>
  <c r="H221" i="4" s="1"/>
  <c r="G219" i="4"/>
  <c r="H219" i="4" s="1"/>
  <c r="G200" i="4"/>
  <c r="H200" i="4" s="1"/>
  <c r="G196" i="4"/>
  <c r="H196" i="4" s="1"/>
  <c r="G188" i="4"/>
  <c r="H188" i="4" s="1"/>
  <c r="G186" i="4"/>
  <c r="H186" i="4" s="1"/>
  <c r="G166" i="4"/>
  <c r="H166" i="4" s="1"/>
  <c r="G161" i="4"/>
  <c r="H161" i="4" s="1"/>
  <c r="G156" i="4"/>
  <c r="H156" i="4" s="1"/>
  <c r="G146" i="4"/>
  <c r="H146" i="4" s="1"/>
  <c r="G139" i="4"/>
  <c r="H139" i="4" s="1"/>
  <c r="G134" i="4"/>
  <c r="H134" i="4" s="1"/>
  <c r="G131" i="4"/>
  <c r="H131" i="4" s="1"/>
  <c r="G241" i="4"/>
  <c r="H241" i="4" s="1"/>
  <c r="G217" i="4"/>
  <c r="H217" i="4" s="1"/>
  <c r="G213" i="4"/>
  <c r="H213" i="4" s="1"/>
  <c r="G211" i="4"/>
  <c r="H211" i="4" s="1"/>
  <c r="G182" i="4"/>
  <c r="H182" i="4" s="1"/>
  <c r="G178" i="4"/>
  <c r="H178" i="4" s="1"/>
  <c r="G171" i="4"/>
  <c r="H171" i="4" s="1"/>
  <c r="G159" i="4"/>
  <c r="H159" i="4" s="1"/>
  <c r="G151" i="4"/>
  <c r="H151" i="4" s="1"/>
  <c r="G120" i="4"/>
  <c r="H120" i="4" s="1"/>
  <c r="G117" i="4"/>
  <c r="H117" i="4" s="1"/>
  <c r="G114" i="4"/>
  <c r="H114" i="4" s="1"/>
  <c r="G111" i="4"/>
  <c r="H111" i="4" s="1"/>
  <c r="G240" i="4"/>
  <c r="H240" i="4" s="1"/>
  <c r="G209" i="4"/>
  <c r="H209" i="4" s="1"/>
  <c r="G205" i="4"/>
  <c r="H205" i="4" s="1"/>
  <c r="G167" i="4"/>
  <c r="H167" i="4" s="1"/>
  <c r="G157" i="4"/>
  <c r="H157" i="4" s="1"/>
  <c r="G124" i="4"/>
  <c r="H124" i="4" s="1"/>
  <c r="G122" i="4"/>
  <c r="H122" i="4" s="1"/>
  <c r="G116" i="4"/>
  <c r="H116" i="4" s="1"/>
  <c r="G105" i="4"/>
  <c r="H105" i="4" s="1"/>
  <c r="G103" i="4"/>
  <c r="H103" i="4" s="1"/>
  <c r="G99" i="4"/>
  <c r="H99" i="4" s="1"/>
  <c r="G97" i="4"/>
  <c r="H97" i="4" s="1"/>
  <c r="G86" i="4"/>
  <c r="H86" i="4" s="1"/>
  <c r="G79" i="4"/>
  <c r="H79" i="4" s="1"/>
  <c r="G70" i="4"/>
  <c r="H70" i="4" s="1"/>
  <c r="G63" i="4"/>
  <c r="H63" i="4" s="1"/>
  <c r="G56" i="4"/>
  <c r="H56" i="4" s="1"/>
  <c r="G53" i="4"/>
  <c r="H53" i="4" s="1"/>
  <c r="G30" i="4"/>
  <c r="H30" i="4" s="1"/>
  <c r="G27" i="4"/>
  <c r="H27" i="4" s="1"/>
  <c r="G24" i="4"/>
  <c r="H24" i="4" s="1"/>
  <c r="G21" i="4"/>
  <c r="H21" i="4" s="1"/>
  <c r="G118" i="4"/>
  <c r="H118" i="4" s="1"/>
  <c r="G112" i="4"/>
  <c r="H112" i="4" s="1"/>
  <c r="G201" i="4"/>
  <c r="H201" i="4" s="1"/>
  <c r="G191" i="4"/>
  <c r="H191" i="4" s="1"/>
  <c r="G184" i="4"/>
  <c r="H184" i="4" s="1"/>
  <c r="G180" i="4"/>
  <c r="H180" i="4" s="1"/>
  <c r="G132" i="4"/>
  <c r="H132" i="4" s="1"/>
  <c r="G93" i="4"/>
  <c r="H93" i="4" s="1"/>
  <c r="G84" i="4"/>
  <c r="H84" i="4" s="1"/>
  <c r="G77" i="4"/>
  <c r="H77" i="4" s="1"/>
  <c r="G68" i="4"/>
  <c r="H68" i="4" s="1"/>
  <c r="G61" i="4"/>
  <c r="H61" i="4" s="1"/>
  <c r="G42" i="4"/>
  <c r="H42" i="4" s="1"/>
  <c r="G39" i="4"/>
  <c r="H39" i="4" s="1"/>
  <c r="G36" i="4"/>
  <c r="H36" i="4" s="1"/>
  <c r="G33" i="4"/>
  <c r="H33" i="4" s="1"/>
  <c r="G243" i="4"/>
  <c r="H243" i="4" s="1"/>
  <c r="G235" i="4"/>
  <c r="H235" i="4" s="1"/>
  <c r="G220" i="4"/>
  <c r="H220" i="4" s="1"/>
  <c r="G197" i="4"/>
  <c r="H197" i="4" s="1"/>
  <c r="G162" i="4"/>
  <c r="H162" i="4" s="1"/>
  <c r="G135" i="4"/>
  <c r="H135" i="4" s="1"/>
  <c r="G110" i="4"/>
  <c r="H110" i="4" s="1"/>
  <c r="G91" i="4"/>
  <c r="H91" i="4" s="1"/>
  <c r="G82" i="4"/>
  <c r="H82" i="4" s="1"/>
  <c r="G75" i="4"/>
  <c r="H75" i="4" s="1"/>
  <c r="G66" i="4"/>
  <c r="H66" i="4" s="1"/>
  <c r="G59" i="4"/>
  <c r="H59" i="4" s="1"/>
  <c r="G54" i="4"/>
  <c r="H54" i="4" s="1"/>
  <c r="G51" i="4"/>
  <c r="H51" i="4" s="1"/>
  <c r="G48" i="4"/>
  <c r="H48" i="4" s="1"/>
  <c r="G45" i="4"/>
  <c r="H45" i="4" s="1"/>
  <c r="G22" i="4"/>
  <c r="H22" i="4" s="1"/>
  <c r="G19" i="4"/>
  <c r="H19" i="4" s="1"/>
  <c r="G16" i="4"/>
  <c r="H16" i="4" s="1"/>
  <c r="G187" i="4"/>
  <c r="H187" i="4" s="1"/>
  <c r="G169" i="4"/>
  <c r="H169" i="4" s="1"/>
  <c r="G149" i="4"/>
  <c r="H149" i="4" s="1"/>
  <c r="G129" i="4"/>
  <c r="H129" i="4" s="1"/>
  <c r="G125" i="4"/>
  <c r="H125" i="4" s="1"/>
  <c r="G108" i="4"/>
  <c r="H108" i="4" s="1"/>
  <c r="G106" i="4"/>
  <c r="H106" i="4" s="1"/>
  <c r="G100" i="4"/>
  <c r="H100" i="4" s="1"/>
  <c r="G89" i="4"/>
  <c r="H89" i="4" s="1"/>
  <c r="G80" i="4"/>
  <c r="H80" i="4" s="1"/>
  <c r="G73" i="4"/>
  <c r="H73" i="4" s="1"/>
  <c r="G64" i="4"/>
  <c r="H64" i="4" s="1"/>
  <c r="G57" i="4"/>
  <c r="H57" i="4" s="1"/>
  <c r="G34" i="4"/>
  <c r="H34" i="4" s="1"/>
  <c r="G31" i="4"/>
  <c r="H31" i="4" s="1"/>
  <c r="G28" i="4"/>
  <c r="H28" i="4" s="1"/>
  <c r="G25" i="4"/>
  <c r="H25" i="4" s="1"/>
  <c r="G226" i="4"/>
  <c r="H226" i="4" s="1"/>
  <c r="G207" i="4"/>
  <c r="H207" i="4" s="1"/>
  <c r="G203" i="4"/>
  <c r="H203" i="4" s="1"/>
  <c r="G193" i="4"/>
  <c r="H193" i="4" s="1"/>
  <c r="G152" i="4"/>
  <c r="H152" i="4" s="1"/>
  <c r="G140" i="4"/>
  <c r="H140" i="4" s="1"/>
  <c r="G137" i="4"/>
  <c r="H137" i="4" s="1"/>
  <c r="G123" i="4"/>
  <c r="H123" i="4" s="1"/>
  <c r="G102" i="4"/>
  <c r="H102" i="4" s="1"/>
  <c r="G96" i="4"/>
  <c r="H96" i="4" s="1"/>
  <c r="G87" i="4"/>
  <c r="H87" i="4" s="1"/>
  <c r="G78" i="4"/>
  <c r="H78" i="4" s="1"/>
  <c r="G71" i="4"/>
  <c r="H71" i="4" s="1"/>
  <c r="G62" i="4"/>
  <c r="H62" i="4" s="1"/>
  <c r="G46" i="4"/>
  <c r="H46" i="4" s="1"/>
  <c r="G43" i="4"/>
  <c r="H43" i="4" s="1"/>
  <c r="G40" i="4"/>
  <c r="H40" i="4" s="1"/>
  <c r="G37" i="4"/>
  <c r="H37" i="4" s="1"/>
  <c r="G14" i="4"/>
  <c r="H14" i="4" s="1"/>
  <c r="G72" i="4"/>
  <c r="H72" i="4" s="1"/>
  <c r="G65" i="4"/>
  <c r="H65" i="4" s="1"/>
  <c r="G18" i="4"/>
  <c r="H18" i="4" s="1"/>
  <c r="G15" i="4"/>
  <c r="H15" i="4" s="1"/>
  <c r="G154" i="4"/>
  <c r="H154" i="4" s="1"/>
  <c r="G126" i="4"/>
  <c r="H126" i="4" s="1"/>
  <c r="G92" i="4"/>
  <c r="H92" i="4" s="1"/>
  <c r="G85" i="4"/>
  <c r="H85" i="4" s="1"/>
  <c r="G195" i="4"/>
  <c r="H195" i="4" s="1"/>
  <c r="G164" i="4"/>
  <c r="H164" i="4" s="1"/>
  <c r="G107" i="4"/>
  <c r="H107" i="4" s="1"/>
  <c r="G74" i="4"/>
  <c r="H74" i="4" s="1"/>
  <c r="G60" i="4"/>
  <c r="H60" i="4" s="1"/>
  <c r="G26" i="4"/>
  <c r="H26" i="4" s="1"/>
  <c r="G23" i="4"/>
  <c r="H23" i="4" s="1"/>
  <c r="G20" i="4"/>
  <c r="H20" i="4" s="1"/>
  <c r="G17" i="4"/>
  <c r="H17" i="4" s="1"/>
  <c r="G29" i="4"/>
  <c r="H29" i="4" s="1"/>
  <c r="G90" i="4"/>
  <c r="H90" i="4" s="1"/>
  <c r="G41" i="4"/>
  <c r="H41" i="4" s="1"/>
  <c r="G218" i="4"/>
  <c r="H218" i="4" s="1"/>
  <c r="G174" i="4"/>
  <c r="H174" i="4" s="1"/>
  <c r="G128" i="4"/>
  <c r="H128" i="4" s="1"/>
  <c r="G121" i="4"/>
  <c r="H121" i="4" s="1"/>
  <c r="G113" i="4"/>
  <c r="H113" i="4" s="1"/>
  <c r="G88" i="4"/>
  <c r="H88" i="4" s="1"/>
  <c r="G81" i="4"/>
  <c r="H81" i="4" s="1"/>
  <c r="G67" i="4"/>
  <c r="H67" i="4" s="1"/>
  <c r="G38" i="4"/>
  <c r="H38" i="4" s="1"/>
  <c r="G32" i="4"/>
  <c r="H32" i="4" s="1"/>
  <c r="G76" i="4"/>
  <c r="H76" i="4" s="1"/>
  <c r="G50" i="4"/>
  <c r="H50" i="4" s="1"/>
  <c r="G44" i="4"/>
  <c r="H44" i="4" s="1"/>
  <c r="G83" i="4"/>
  <c r="H83" i="4" s="1"/>
  <c r="G119" i="4"/>
  <c r="H119" i="4" s="1"/>
  <c r="G58" i="4"/>
  <c r="H58" i="4" s="1"/>
  <c r="G55" i="4"/>
  <c r="H55" i="4" s="1"/>
  <c r="G52" i="4"/>
  <c r="H52" i="4" s="1"/>
  <c r="G49" i="4"/>
  <c r="H49" i="4" s="1"/>
  <c r="G189" i="4"/>
  <c r="H189" i="4" s="1"/>
  <c r="G142" i="4"/>
  <c r="H142" i="4" s="1"/>
  <c r="G109" i="4"/>
  <c r="H109" i="4" s="1"/>
  <c r="G94" i="4"/>
  <c r="H94" i="4" s="1"/>
  <c r="G35" i="4"/>
  <c r="H35" i="4" s="1"/>
  <c r="G47" i="4"/>
  <c r="H47" i="4" s="1"/>
  <c r="G115" i="4"/>
  <c r="H115" i="4" s="1"/>
  <c r="G69" i="4"/>
  <c r="H69" i="4" s="1"/>
  <c r="G233" i="4"/>
  <c r="H233" i="4" s="1"/>
  <c r="J40" i="4" l="1"/>
  <c r="I40" i="4"/>
  <c r="J78" i="4"/>
  <c r="I78" i="4"/>
  <c r="J129" i="4"/>
  <c r="I129" i="4"/>
  <c r="J39" i="4"/>
  <c r="I39" i="4"/>
  <c r="J63" i="4"/>
  <c r="I63" i="4"/>
  <c r="J219" i="4"/>
  <c r="I219" i="4"/>
  <c r="J133" i="4"/>
  <c r="I133" i="4"/>
  <c r="I124" i="4"/>
  <c r="J124" i="4"/>
  <c r="J231" i="4"/>
  <c r="I231" i="4"/>
  <c r="J111" i="4"/>
  <c r="I111" i="4"/>
  <c r="J164" i="4"/>
  <c r="I164" i="4"/>
  <c r="J157" i="4"/>
  <c r="I157" i="4"/>
  <c r="J216" i="4"/>
  <c r="I216" i="4"/>
  <c r="D7" i="4"/>
  <c r="C7" i="4"/>
  <c r="F7" i="4"/>
  <c r="G22" i="1" s="1"/>
  <c r="E7" i="4"/>
  <c r="G7" i="4"/>
  <c r="H22" i="1" s="1"/>
  <c r="I90" i="4"/>
  <c r="J90" i="4"/>
  <c r="J38" i="4"/>
  <c r="I38" i="4"/>
  <c r="J211" i="4"/>
  <c r="I211" i="4"/>
  <c r="I42" i="4"/>
  <c r="J42" i="4"/>
  <c r="J67" i="4"/>
  <c r="I67" i="4"/>
  <c r="I150" i="4"/>
  <c r="J150" i="4"/>
  <c r="J77" i="4"/>
  <c r="I77" i="4"/>
  <c r="J238" i="4"/>
  <c r="I238" i="4"/>
  <c r="J115" i="4"/>
  <c r="I115" i="4"/>
  <c r="J161" i="4"/>
  <c r="I161" i="4"/>
  <c r="J193" i="4"/>
  <c r="I193" i="4"/>
  <c r="J225" i="4"/>
  <c r="I225" i="4"/>
  <c r="I188" i="4"/>
  <c r="J188" i="4"/>
  <c r="J98" i="4"/>
  <c r="I98" i="4"/>
  <c r="J46" i="4"/>
  <c r="I46" i="4"/>
  <c r="J142" i="4"/>
  <c r="I142" i="4"/>
  <c r="J195" i="4"/>
  <c r="I195" i="4"/>
  <c r="J52" i="4"/>
  <c r="I52" i="4"/>
  <c r="J64" i="4"/>
  <c r="I64" i="4"/>
  <c r="J215" i="4"/>
  <c r="I215" i="4"/>
  <c r="J82" i="4"/>
  <c r="I82" i="4"/>
  <c r="I68" i="4"/>
  <c r="J68" i="4"/>
  <c r="J24" i="4"/>
  <c r="I24" i="4"/>
  <c r="I122" i="4"/>
  <c r="J122" i="4"/>
  <c r="J88" i="4"/>
  <c r="I88" i="4"/>
  <c r="J71" i="4"/>
  <c r="I71" i="4"/>
  <c r="J134" i="4"/>
  <c r="I134" i="4"/>
  <c r="J227" i="4"/>
  <c r="I227" i="4"/>
  <c r="J239" i="4"/>
  <c r="I239" i="4"/>
  <c r="J155" i="4"/>
  <c r="I155" i="4"/>
  <c r="J17" i="4"/>
  <c r="I17" i="4"/>
  <c r="J49" i="4"/>
  <c r="I49" i="4"/>
  <c r="J81" i="4"/>
  <c r="I81" i="4"/>
  <c r="J152" i="4"/>
  <c r="I152" i="4"/>
  <c r="J242" i="4"/>
  <c r="I242" i="4"/>
  <c r="I119" i="4"/>
  <c r="J119" i="4"/>
  <c r="I170" i="4"/>
  <c r="J170" i="4"/>
  <c r="I165" i="4"/>
  <c r="J165" i="4"/>
  <c r="I197" i="4"/>
  <c r="J197" i="4"/>
  <c r="I229" i="4"/>
  <c r="J229" i="4"/>
  <c r="J192" i="4"/>
  <c r="I192" i="4"/>
  <c r="I224" i="4"/>
  <c r="J224" i="4"/>
  <c r="J113" i="4"/>
  <c r="I113" i="4"/>
  <c r="J76" i="4"/>
  <c r="I76" i="4"/>
  <c r="J222" i="4"/>
  <c r="I222" i="4"/>
  <c r="J35" i="4"/>
  <c r="I35" i="4"/>
  <c r="J55" i="4"/>
  <c r="I55" i="4"/>
  <c r="J80" i="4"/>
  <c r="I80" i="4"/>
  <c r="I16" i="4"/>
  <c r="J16" i="4"/>
  <c r="J110" i="4"/>
  <c r="I110" i="4"/>
  <c r="I84" i="4"/>
  <c r="J84" i="4"/>
  <c r="J27" i="4"/>
  <c r="I27" i="4"/>
  <c r="I116" i="4"/>
  <c r="J116" i="4"/>
  <c r="J101" i="4"/>
  <c r="I101" i="4"/>
  <c r="J75" i="4"/>
  <c r="I75" i="4"/>
  <c r="J139" i="4"/>
  <c r="I139" i="4"/>
  <c r="J148" i="4"/>
  <c r="I148" i="4"/>
  <c r="I158" i="4"/>
  <c r="J158" i="4"/>
  <c r="I160" i="4"/>
  <c r="J160" i="4"/>
  <c r="I21" i="4"/>
  <c r="J21" i="4"/>
  <c r="J53" i="4"/>
  <c r="I53" i="4"/>
  <c r="J85" i="4"/>
  <c r="I85" i="4"/>
  <c r="J187" i="4"/>
  <c r="I187" i="4"/>
  <c r="J91" i="4"/>
  <c r="I91" i="4"/>
  <c r="J123" i="4"/>
  <c r="I123" i="4"/>
  <c r="I137" i="4"/>
  <c r="J137" i="4"/>
  <c r="J169" i="4"/>
  <c r="I169" i="4"/>
  <c r="J201" i="4"/>
  <c r="I201" i="4"/>
  <c r="J233" i="4"/>
  <c r="I233" i="4"/>
  <c r="J196" i="4"/>
  <c r="I196" i="4"/>
  <c r="I228" i="4"/>
  <c r="J228" i="4"/>
  <c r="J43" i="4"/>
  <c r="I43" i="4"/>
  <c r="J117" i="4"/>
  <c r="I117" i="4"/>
  <c r="J34" i="4"/>
  <c r="I34" i="4"/>
  <c r="J66" i="4"/>
  <c r="I66" i="4"/>
  <c r="J176" i="4"/>
  <c r="I176" i="4"/>
  <c r="I120" i="4"/>
  <c r="J120" i="4"/>
  <c r="J72" i="4"/>
  <c r="I72" i="4"/>
  <c r="J223" i="4"/>
  <c r="I223" i="4"/>
  <c r="J234" i="4"/>
  <c r="I234" i="4"/>
  <c r="J214" i="4"/>
  <c r="I214" i="4"/>
  <c r="I45" i="4"/>
  <c r="J45" i="4"/>
  <c r="J140" i="4"/>
  <c r="I140" i="4"/>
  <c r="J167" i="4"/>
  <c r="I167" i="4"/>
  <c r="I220" i="4"/>
  <c r="J220" i="4"/>
  <c r="J128" i="4"/>
  <c r="I128" i="4"/>
  <c r="I136" i="4"/>
  <c r="J136" i="4"/>
  <c r="J20" i="4"/>
  <c r="I20" i="4"/>
  <c r="J94" i="4"/>
  <c r="I94" i="4"/>
  <c r="J58" i="4"/>
  <c r="I58" i="4"/>
  <c r="I100" i="4"/>
  <c r="J100" i="4"/>
  <c r="J19" i="4"/>
  <c r="I19" i="4"/>
  <c r="J143" i="4"/>
  <c r="I143" i="4"/>
  <c r="J93" i="4"/>
  <c r="I93" i="4"/>
  <c r="J30" i="4"/>
  <c r="I30" i="4"/>
  <c r="J15" i="4"/>
  <c r="I15" i="4"/>
  <c r="I126" i="4"/>
  <c r="J126" i="4"/>
  <c r="J79" i="4"/>
  <c r="I79" i="4"/>
  <c r="J146" i="4"/>
  <c r="I146" i="4"/>
  <c r="I168" i="4"/>
  <c r="J168" i="4"/>
  <c r="J163" i="4"/>
  <c r="I163" i="4"/>
  <c r="J172" i="4"/>
  <c r="I172" i="4"/>
  <c r="J25" i="4"/>
  <c r="I25" i="4"/>
  <c r="J57" i="4"/>
  <c r="I57" i="4"/>
  <c r="J89" i="4"/>
  <c r="I89" i="4"/>
  <c r="J191" i="4"/>
  <c r="I191" i="4"/>
  <c r="I95" i="4"/>
  <c r="J95" i="4"/>
  <c r="J127" i="4"/>
  <c r="I127" i="4"/>
  <c r="J141" i="4"/>
  <c r="I141" i="4"/>
  <c r="J173" i="4"/>
  <c r="I173" i="4"/>
  <c r="J205" i="4"/>
  <c r="I205" i="4"/>
  <c r="J237" i="4"/>
  <c r="I237" i="4"/>
  <c r="J200" i="4"/>
  <c r="I200" i="4"/>
  <c r="J232" i="4"/>
  <c r="I232" i="4"/>
  <c r="J62" i="4"/>
  <c r="I62" i="4"/>
  <c r="J31" i="4"/>
  <c r="I31" i="4"/>
  <c r="J97" i="4"/>
  <c r="I97" i="4"/>
  <c r="J198" i="4"/>
  <c r="I198" i="4"/>
  <c r="J73" i="4"/>
  <c r="I73" i="4"/>
  <c r="J221" i="4"/>
  <c r="I221" i="4"/>
  <c r="J108" i="4"/>
  <c r="I108" i="4"/>
  <c r="J174" i="4"/>
  <c r="I174" i="4"/>
  <c r="J151" i="4"/>
  <c r="I151" i="4"/>
  <c r="J23" i="4"/>
  <c r="I23" i="4"/>
  <c r="J109" i="4"/>
  <c r="I109" i="4"/>
  <c r="J96" i="4"/>
  <c r="I96" i="4"/>
  <c r="J104" i="4"/>
  <c r="I104" i="4"/>
  <c r="J22" i="4"/>
  <c r="I22" i="4"/>
  <c r="I162" i="4"/>
  <c r="J162" i="4"/>
  <c r="J112" i="4"/>
  <c r="I112" i="4"/>
  <c r="J56" i="4"/>
  <c r="I56" i="4"/>
  <c r="J18" i="4"/>
  <c r="I18" i="4"/>
  <c r="I144" i="4"/>
  <c r="J144" i="4"/>
  <c r="J83" i="4"/>
  <c r="I83" i="4"/>
  <c r="J156" i="4"/>
  <c r="I156" i="4"/>
  <c r="J175" i="4"/>
  <c r="I175" i="4"/>
  <c r="J202" i="4"/>
  <c r="I202" i="4"/>
  <c r="J179" i="4"/>
  <c r="I179" i="4"/>
  <c r="J29" i="4"/>
  <c r="I29" i="4"/>
  <c r="J61" i="4"/>
  <c r="I61" i="4"/>
  <c r="J92" i="4"/>
  <c r="I92" i="4"/>
  <c r="J218" i="4"/>
  <c r="I218" i="4"/>
  <c r="J99" i="4"/>
  <c r="I99" i="4"/>
  <c r="J131" i="4"/>
  <c r="I131" i="4"/>
  <c r="J145" i="4"/>
  <c r="I145" i="4"/>
  <c r="I177" i="4"/>
  <c r="J177" i="4"/>
  <c r="J209" i="4"/>
  <c r="I209" i="4"/>
  <c r="J241" i="4"/>
  <c r="I241" i="4"/>
  <c r="I204" i="4"/>
  <c r="J204" i="4"/>
  <c r="I236" i="4"/>
  <c r="J236" i="4"/>
  <c r="J32" i="4"/>
  <c r="I32" i="4"/>
  <c r="J159" i="4"/>
  <c r="I159" i="4"/>
  <c r="J105" i="4"/>
  <c r="I105" i="4"/>
  <c r="J41" i="4"/>
  <c r="I41" i="4"/>
  <c r="J189" i="4"/>
  <c r="I189" i="4"/>
  <c r="J207" i="4"/>
  <c r="I207" i="4"/>
  <c r="J178" i="4"/>
  <c r="I178" i="4"/>
  <c r="J182" i="4"/>
  <c r="I182" i="4"/>
  <c r="J26" i="4"/>
  <c r="I26" i="4"/>
  <c r="C8" i="4"/>
  <c r="J14" i="4"/>
  <c r="I14" i="4"/>
  <c r="H7" i="4" s="1"/>
  <c r="G8" i="4"/>
  <c r="H23" i="1" s="1"/>
  <c r="F8" i="4"/>
  <c r="G23" i="1" s="1"/>
  <c r="E8" i="4"/>
  <c r="D8" i="4"/>
  <c r="J171" i="4"/>
  <c r="I171" i="4"/>
  <c r="I106" i="4"/>
  <c r="J106" i="4"/>
  <c r="I48" i="4"/>
  <c r="J48" i="4"/>
  <c r="J243" i="4"/>
  <c r="I243" i="4"/>
  <c r="I114" i="4"/>
  <c r="J114" i="4"/>
  <c r="J70" i="4"/>
  <c r="I70" i="4"/>
  <c r="J44" i="4"/>
  <c r="I44" i="4"/>
  <c r="J147" i="4"/>
  <c r="I147" i="4"/>
  <c r="J87" i="4"/>
  <c r="I87" i="4"/>
  <c r="J166" i="4"/>
  <c r="I166" i="4"/>
  <c r="J190" i="4"/>
  <c r="I190" i="4"/>
  <c r="J230" i="4"/>
  <c r="I230" i="4"/>
  <c r="J183" i="4"/>
  <c r="I183" i="4"/>
  <c r="J33" i="4"/>
  <c r="I33" i="4"/>
  <c r="J65" i="4"/>
  <c r="I65" i="4"/>
  <c r="J118" i="4"/>
  <c r="I118" i="4"/>
  <c r="J226" i="4"/>
  <c r="I226" i="4"/>
  <c r="I103" i="4"/>
  <c r="J103" i="4"/>
  <c r="J135" i="4"/>
  <c r="I135" i="4"/>
  <c r="J149" i="4"/>
  <c r="I149" i="4"/>
  <c r="I181" i="4"/>
  <c r="J181" i="4"/>
  <c r="I213" i="4"/>
  <c r="J213" i="4"/>
  <c r="I208" i="4"/>
  <c r="J208" i="4"/>
  <c r="I240" i="4"/>
  <c r="J240" i="4"/>
  <c r="J74" i="4"/>
  <c r="I74" i="4"/>
  <c r="J54" i="4"/>
  <c r="I54" i="4"/>
  <c r="J50" i="4"/>
  <c r="I50" i="4"/>
  <c r="J210" i="4"/>
  <c r="I210" i="4"/>
  <c r="J184" i="4"/>
  <c r="I184" i="4"/>
  <c r="J199" i="4"/>
  <c r="I199" i="4"/>
  <c r="J203" i="4"/>
  <c r="I203" i="4"/>
  <c r="J60" i="4"/>
  <c r="I60" i="4"/>
  <c r="J154" i="4"/>
  <c r="I154" i="4"/>
  <c r="J28" i="4"/>
  <c r="I28" i="4"/>
  <c r="J125" i="4"/>
  <c r="I125" i="4"/>
  <c r="J51" i="4"/>
  <c r="I51" i="4"/>
  <c r="J36" i="4"/>
  <c r="I36" i="4"/>
  <c r="J132" i="4"/>
  <c r="I132" i="4"/>
  <c r="I86" i="4"/>
  <c r="J86" i="4"/>
  <c r="J47" i="4"/>
  <c r="I47" i="4"/>
  <c r="J59" i="4"/>
  <c r="I59" i="4"/>
  <c r="J102" i="4"/>
  <c r="I102" i="4"/>
  <c r="J186" i="4"/>
  <c r="I186" i="4"/>
  <c r="J194" i="4"/>
  <c r="I194" i="4"/>
  <c r="I130" i="4"/>
  <c r="J130" i="4"/>
  <c r="J206" i="4"/>
  <c r="I206" i="4"/>
  <c r="J37" i="4"/>
  <c r="I37" i="4"/>
  <c r="J69" i="4"/>
  <c r="I69" i="4"/>
  <c r="J121" i="4"/>
  <c r="I121" i="4"/>
  <c r="J235" i="4"/>
  <c r="I235" i="4"/>
  <c r="J107" i="4"/>
  <c r="I107" i="4"/>
  <c r="J138" i="4"/>
  <c r="I138" i="4"/>
  <c r="J153" i="4"/>
  <c r="I153" i="4"/>
  <c r="J185" i="4"/>
  <c r="I185" i="4"/>
  <c r="J217" i="4"/>
  <c r="I217" i="4"/>
  <c r="J180" i="4"/>
  <c r="I180" i="4"/>
  <c r="J212" i="4"/>
  <c r="I212" i="4"/>
  <c r="J244" i="4"/>
  <c r="I244" i="4"/>
  <c r="H8" i="4" s="1"/>
  <c r="K7" i="4" l="1"/>
  <c r="F22" i="1"/>
  <c r="J8" i="4"/>
  <c r="E23" i="1"/>
  <c r="K8" i="4"/>
  <c r="F23" i="1"/>
  <c r="I8" i="4"/>
  <c r="L8" i="4" s="1"/>
  <c r="D23" i="1"/>
  <c r="I7" i="4"/>
  <c r="D22" i="1"/>
  <c r="H10" i="4"/>
  <c r="G10" i="4"/>
  <c r="F10" i="4"/>
  <c r="E10" i="4"/>
  <c r="K10" i="4" s="1"/>
  <c r="D10" i="4"/>
  <c r="J10" i="4" s="1"/>
  <c r="C10" i="4"/>
  <c r="I10" i="4" s="1"/>
  <c r="L10" i="4" s="1"/>
  <c r="J7" i="4"/>
  <c r="E22" i="1"/>
  <c r="F6" i="4"/>
  <c r="D6" i="4"/>
  <c r="C6" i="4"/>
  <c r="E6" i="4"/>
  <c r="G6" i="4"/>
  <c r="H6" i="4"/>
  <c r="D25" i="1" s="1"/>
  <c r="C14" i="6" l="1"/>
  <c r="C12" i="5"/>
  <c r="H21" i="1"/>
  <c r="C9" i="6"/>
  <c r="K6" i="4"/>
  <c r="F21" i="1"/>
  <c r="C13" i="6"/>
  <c r="D12" i="5"/>
  <c r="G21" i="1"/>
  <c r="C8" i="6"/>
  <c r="J6" i="4"/>
  <c r="E21" i="1"/>
  <c r="C7" i="6"/>
  <c r="D21" i="1"/>
  <c r="I6" i="4"/>
  <c r="L6" i="4" s="1"/>
  <c r="L7" i="4"/>
  <c r="C21" i="6" l="1"/>
  <c r="D21" i="6" s="1"/>
  <c r="C20" i="6"/>
  <c r="D20" i="6" s="1"/>
  <c r="C19" i="6"/>
  <c r="D19" i="6" s="1"/>
  <c r="C18" i="6"/>
  <c r="D18" i="6" s="1"/>
</calcChain>
</file>

<file path=xl/sharedStrings.xml><?xml version="1.0" encoding="utf-8"?>
<sst xmlns="http://schemas.openxmlformats.org/spreadsheetml/2006/main" count="135" uniqueCount="92">
  <si>
    <t>Three-Asset Portfolio Optimization: NU / S&amp;P 500 / US Aggregate Bonds</t>
  </si>
  <si>
    <t>Prepared by Akul Veauli</t>
  </si>
  <si>
    <t>Data window: Oct 2023 – Jul 2026  (34 monthly closes, 33 monthly returns)</t>
  </si>
  <si>
    <t>Purpose</t>
  </si>
  <si>
    <t>This model finds the optimal allocation of a $100,000 portfolio across three assets - Nu Holdings (NU), the S&amp;P 500 (SPY), and US Aggregate Bonds (AGG) - using mean-variance optimization. It quantifies the risk/return trade-off across the feasible set of portfolio weights and identifies the allocation that maximizes risk-adjusted return (Sharpe ratio), the allocation that minimizes volatility, and the allocation reaching a user-specified target return.</t>
  </si>
  <si>
    <t>Methodology</t>
  </si>
  <si>
    <t>1. Monthly close prices for NU, SPY, and AGG are pulled from Yahoo Finance and pasted as raw input data (Price Data tab).</t>
  </si>
  <si>
    <t>2. Monthly simple returns, means, standard deviations, correlations, and the covariance matrix are computed with live Excel formulas (Return Stats tab).</t>
  </si>
  <si>
    <t>3. A grid search enumerates 231 candidate portfolios (wNU and wSPY stepped 0-100% in 5% increments, wAGG = residual, kept only where wAGG ≥ 0) and computes each portfolio's annualized expected return, variance, volatility, and Sharpe ratio (Optimizer tab).</t>
  </si>
  <si>
    <t>4. The Max-Sharpe, Min-Variance, Max-Return, and a user-targetable Custom portfolio are selected from the grid via INDEX/MATCH.</t>
  </si>
  <si>
    <t>5. The full feasible set is charted as an efficient-frontier scatter plot; its upper-left edge is the true efficient frontier (Efficient Frontier tab).</t>
  </si>
  <si>
    <t>6. Parametric (normal-distribution) VaR and CVaR are computed for the Max-Sharpe portfolio at 95% and 99% confidence (Risk (VaR) tab).</t>
  </si>
  <si>
    <t>Key Results (live links to Optimizer tab)</t>
  </si>
  <si>
    <t>Portfolio</t>
  </si>
  <si>
    <t>wNU</t>
  </si>
  <si>
    <t>wSPY</t>
  </si>
  <si>
    <t>wAGG</t>
  </si>
  <si>
    <t>Exp. Return</t>
  </si>
  <si>
    <t>Volatility</t>
  </si>
  <si>
    <t>Max Sharpe Ratio</t>
  </si>
  <si>
    <t>Minimum Variance</t>
  </si>
  <si>
    <t>Maximum Return</t>
  </si>
  <si>
    <t>Sharpe ratio of Max-Sharpe portfolio</t>
  </si>
  <si>
    <t>Risk-free rate assumption (annual)</t>
  </si>
  <si>
    <t>Color Legend</t>
  </si>
  <si>
    <t>■</t>
  </si>
  <si>
    <t>Input / raw data (editable)</t>
  </si>
  <si>
    <t>Formula / calculated output</t>
  </si>
  <si>
    <t>Data Source</t>
  </si>
  <si>
    <t>Monthly close prices from Yahoo Finance for NU, SPY, and AGG, October 2023 through July 2026. Risk-free rate is the 3-month Treasury bill yield as of August 2026 (3.81% annualized).</t>
  </si>
  <si>
    <t>Monthly Close Prices (Raw Input Data)</t>
  </si>
  <si>
    <t>Source: Yahoo Finance monthly closes. Values below are pasted data (blue).</t>
  </si>
  <si>
    <t>Date</t>
  </si>
  <si>
    <t>NU Holdings (NU)</t>
  </si>
  <si>
    <t>SPDR S&amp;P 500 ETF (SPY)</t>
  </si>
  <si>
    <t>iShares Core US Aggregate Bond (AGG)</t>
  </si>
  <si>
    <t>Return Statistics (Live Formulas)</t>
  </si>
  <si>
    <t>NU Monthly Return</t>
  </si>
  <si>
    <t>SPY Monthly Return</t>
  </si>
  <si>
    <t>AGG Monthly Return</t>
  </si>
  <si>
    <t>Summary Statistics</t>
  </si>
  <si>
    <t>Statistic</t>
  </si>
  <si>
    <t>NU</t>
  </si>
  <si>
    <t>SPY</t>
  </si>
  <si>
    <t>AGG</t>
  </si>
  <si>
    <t>Mean Monthly Return</t>
  </si>
  <si>
    <t>Stdev Monthly Return</t>
  </si>
  <si>
    <t>Annualized Return</t>
  </si>
  <si>
    <t>Annualized Volatility</t>
  </si>
  <si>
    <t>Correlation Matrix (Monthly Returns)</t>
  </si>
  <si>
    <t>Covariance Matrix (Monthly)</t>
  </si>
  <si>
    <t>Covariance Matrix (Annualized, Monthly × 12)</t>
  </si>
  <si>
    <t>Risk-Free Rate</t>
  </si>
  <si>
    <t>Risk-free rate (annual, 3-mo T-bill, Aug 2026)</t>
  </si>
  <si>
    <t>Portfolio Optimizer - Grid Search (5% weight steps)</t>
  </si>
  <si>
    <t>Optimal Portfolios ($100,000 Portfolio)</t>
  </si>
  <si>
    <t>Sharpe</t>
  </si>
  <si>
    <t>$ NU</t>
  </si>
  <si>
    <t>$ SPY</t>
  </si>
  <si>
    <t>$ AGG</t>
  </si>
  <si>
    <t>$ Total</t>
  </si>
  <si>
    <t>Target annual return (input ▸)</t>
  </si>
  <si>
    <t>Custom: Min Vol ≥ Target</t>
  </si>
  <si>
    <t>If no grid portfolio meets the target return, the Custom row falls back to the lowest-vol grid point (helper = 999 for all).</t>
  </si>
  <si>
    <t>Weight Grid (wAGG = 1 − wNU − wSPY, kept only where wAGG ≥ 0)</t>
  </si>
  <si>
    <t>Variance</t>
  </si>
  <si>
    <t>Vol-if-≥Target</t>
  </si>
  <si>
    <t>Efficient Frontier - Feasible Set of Grid Portfolios</t>
  </si>
  <si>
    <t>Each dot is a grid portfolio from the Optimizer tab (231 combinations). The efficient frontier is the upper-left edge of this cloud: for a given volatility, no other feasible portfolio in the grid offers a higher return.</t>
  </si>
  <si>
    <t>Chart Data Source</t>
  </si>
  <si>
    <t>Feasible set (231 grid portfolios): Optimizer!G / Optimizer!E</t>
  </si>
  <si>
    <t>Asset</t>
  </si>
  <si>
    <t>Expected Return</t>
  </si>
  <si>
    <t>NU Holdings</t>
  </si>
  <si>
    <t>Max Sharpe Portfolio</t>
  </si>
  <si>
    <t>Risk Analysis - Parametric VaR / CVaR (Max Sharpe Portfolio)</t>
  </si>
  <si>
    <t>Assumes normally-distributed monthly returns. Portfolio = Max Sharpe weights from Optimizer tab; $100,000 base.</t>
  </si>
  <si>
    <t>Max Sharpe Portfolio Weights</t>
  </si>
  <si>
    <t>Weight</t>
  </si>
  <si>
    <t>Monthly Portfolio Statistics (de-annualized)</t>
  </si>
  <si>
    <t>Metric</t>
  </si>
  <si>
    <t>Value</t>
  </si>
  <si>
    <t>Monthly Mean Return  =(1+AnnRet)^(1/12)−1</t>
  </si>
  <si>
    <t>Monthly Volatility  =AnnVol/√12</t>
  </si>
  <si>
    <t>Parametric Value-at-Risk &amp; Conditional VaR (Monthly)</t>
  </si>
  <si>
    <t>% of Portfolio</t>
  </si>
  <si>
    <t>$ on $100,000</t>
  </si>
  <si>
    <t>VaR (95% confidence)</t>
  </si>
  <si>
    <t>VaR (99% confidence)</t>
  </si>
  <si>
    <t>CVaR / Expected Shortfall (95%)</t>
  </si>
  <si>
    <t>CVaR / Expected Shortfall (99%)</t>
  </si>
  <si>
    <t>Caveat: These figures assume normally-distributed returns. NU Holdings has exhibited fat-tailed, skewed monthly returns typical of a young, high-beta EM fintech name; realized drawdowns can exceed the normal-model VaR/CVaR shown here, especially at the 99% confidence level. Treat as a lower-bound risk estimate, not a worst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</si>
</sst>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mmm\-yyyy"/>
    <numFmt numFmtId="166" formatCode="0.0000"/>
    <numFmt numFmtId="167" formatCode="0.000000"/>
    <numFmt numFmtId="168" formatCode="0.0%"/>
    <numFmt numFmtId="169" formatCode="\$#,##0"/>
  </numFmts>
  <fonts count="14" x14ac:knownFonts="1">
    <font>
      <sz val="11"/>
      <color theme="1"/>
      <name val="Calibri"/>
      <family val="2"/>
      <scheme val="minor"/>
    </font>
    <font>
      <b/>
      <sz val="14"/>
      <color rgb="FF305496"/>
      <name val="Calibri"/>
      <family val="2"/>
    </font>
    <font>
      <i/>
      <sz val="9"/>
      <color rgb="FF595959"/>
      <name val="Calibri"/>
      <family val="2"/>
    </font>
    <font>
      <b/>
      <sz val="10"/>
      <color rgb="FFFFFFFF"/>
      <name val="Calibri"/>
      <family val="2"/>
    </font>
    <font>
      <sz val="10"/>
      <color rgb="FF0000CC"/>
      <name val="Calibri"/>
      <family val="2"/>
    </font>
    <font>
      <sz val="10"/>
      <color rgb="FF000000"/>
      <name val="Calibri"/>
      <family val="2"/>
    </font>
    <font>
      <b/>
      <sz val="12"/>
      <color rgb="FF305496"/>
      <name val="Calibri"/>
      <family val="2"/>
    </font>
    <font>
      <b/>
      <sz val="10"/>
      <color rgb="FF305496"/>
      <name val="Calibri"/>
      <family val="2"/>
    </font>
    <font>
      <b/>
      <sz val="10"/>
      <color rgb="FF000000"/>
      <name val="Calibri"/>
      <family val="2"/>
    </font>
    <font>
      <b/>
      <sz val="10"/>
      <color rgb="FF0000CC"/>
      <name val="Calibri"/>
      <family val="2"/>
    </font>
    <font>
      <b/>
      <sz val="16"/>
      <color rgb="FF305496"/>
      <name val="Calibri"/>
      <family val="2"/>
    </font>
    <font>
      <i/>
      <sz val="11"/>
      <color rgb="FF595959"/>
      <name val="Calibri"/>
      <family val="2"/>
    </font>
    <font>
      <b/>
      <sz val="12"/>
      <color rgb="FF0000CC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10" fontId="5" fillId="0" borderId="1" xfId="0" applyNumberFormat="1" applyFont="1" applyBorder="1"/>
    <xf numFmtId="0" fontId="7" fillId="0" borderId="0" xfId="0" applyFont="1"/>
    <xf numFmtId="166" fontId="8" fillId="0" borderId="0" xfId="0" applyNumberFormat="1" applyFont="1"/>
    <xf numFmtId="10" fontId="5" fillId="0" borderId="0" xfId="0" applyNumberFormat="1" applyFont="1"/>
    <xf numFmtId="0" fontId="12" fillId="0" borderId="0" xfId="0" applyFont="1"/>
    <xf numFmtId="0" fontId="5" fillId="0" borderId="0" xfId="0" applyFont="1"/>
    <xf numFmtId="0" fontId="13" fillId="0" borderId="0" xfId="0" applyFont="1"/>
    <xf numFmtId="165" fontId="4" fillId="0" borderId="1" xfId="0" applyNumberFormat="1" applyFont="1" applyBorder="1"/>
    <xf numFmtId="2" fontId="4" fillId="0" borderId="1" xfId="0" applyNumberFormat="1" applyFont="1" applyBorder="1"/>
    <xf numFmtId="165" fontId="5" fillId="0" borderId="1" xfId="0" applyNumberFormat="1" applyFont="1" applyBorder="1"/>
    <xf numFmtId="10" fontId="8" fillId="0" borderId="1" xfId="0" applyNumberFormat="1" applyFont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167" fontId="8" fillId="0" borderId="1" xfId="0" applyNumberFormat="1" applyFont="1" applyBorder="1"/>
    <xf numFmtId="10" fontId="9" fillId="0" borderId="1" xfId="0" applyNumberFormat="1" applyFont="1" applyBorder="1"/>
    <xf numFmtId="168" fontId="5" fillId="0" borderId="1" xfId="0" applyNumberFormat="1" applyFont="1" applyBorder="1"/>
    <xf numFmtId="166" fontId="8" fillId="0" borderId="1" xfId="0" applyNumberFormat="1" applyFont="1" applyBorder="1"/>
    <xf numFmtId="169" fontId="5" fillId="0" borderId="1" xfId="0" applyNumberFormat="1" applyFont="1" applyBorder="1"/>
    <xf numFmtId="169" fontId="8" fillId="0" borderId="1" xfId="0" applyNumberFormat="1" applyFont="1" applyBorder="1"/>
    <xf numFmtId="168" fontId="9" fillId="0" borderId="1" xfId="0" applyNumberFormat="1" applyFont="1" applyBorder="1"/>
    <xf numFmtId="168" fontId="4" fillId="0" borderId="0" xfId="0" applyNumberFormat="1" applyFont="1"/>
    <xf numFmtId="168" fontId="5" fillId="0" borderId="0" xfId="0" applyNumberFormat="1" applyFont="1"/>
    <xf numFmtId="167" fontId="5" fillId="0" borderId="0" xfId="0" applyNumberFormat="1" applyFont="1"/>
    <xf numFmtId="166" fontId="5" fillId="0" borderId="0" xfId="0" applyNumberFormat="1" applyFont="1"/>
    <xf numFmtId="0" fontId="5" fillId="0" borderId="1" xfId="0" applyFont="1" applyBorder="1"/>
    <xf numFmtId="0" fontId="8" fillId="0" borderId="1" xfId="0" applyFont="1" applyBorder="1"/>
    <xf numFmtId="0" fontId="10" fillId="0" borderId="0" xfId="0" applyFont="1" applyAlignment="1">
      <alignment horizontal="left" vertical="center"/>
    </xf>
    <xf numFmtId="0" fontId="0" fillId="0" borderId="0" xfId="0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Efficient Frontier: Volatility vs. Expected Return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Feasible Set (Grid Portfolios)</c:v>
          </c:tx>
          <c:spPr>
            <a:ln>
              <a:noFill/>
              <a:prstDash val="solid"/>
            </a:ln>
          </c:spPr>
          <c:marker>
            <c:symbol val="circle"/>
            <c:size val="4"/>
            <c:spPr>
              <a:solidFill>
                <a:srgbClr val="9DC3E6"/>
              </a:solidFill>
              <a:ln>
                <a:solidFill>
                  <a:srgbClr val="5B9BD5"/>
                </a:solidFill>
                <a:prstDash val="solid"/>
              </a:ln>
            </c:spPr>
          </c:marker>
          <c:xVal>
            <c:numRef>
              <c:f>Optimizer!$H$14:$H$244</c:f>
              <c:numCache>
                <c:formatCode>0.00%</c:formatCode>
                <c:ptCount val="231"/>
                <c:pt idx="0">
                  <c:v>5.4289876865504155E-2</c:v>
                </c:pt>
                <c:pt idx="1">
                  <c:v>5.4863989630507586E-2</c:v>
                </c:pt>
                <c:pt idx="2">
                  <c:v>5.6005717399271938E-2</c:v>
                </c:pt>
                <c:pt idx="3">
                  <c:v>5.7681364406223998E-2</c:v>
                </c:pt>
                <c:pt idx="4">
                  <c:v>5.9846099398757187E-2</c:v>
                </c:pt>
                <c:pt idx="5">
                  <c:v>6.244908183355518E-2</c:v>
                </c:pt>
                <c:pt idx="6">
                  <c:v>6.5438035007081646E-2</c:v>
                </c:pt>
                <c:pt idx="7">
                  <c:v>6.8762645560273797E-2</c:v>
                </c:pt>
                <c:pt idx="8">
                  <c:v>7.2376673165001626E-2</c:v>
                </c:pt>
                <c:pt idx="9">
                  <c:v>7.6238970399297237E-2</c:v>
                </c:pt>
                <c:pt idx="10">
                  <c:v>8.0313727293546758E-2</c:v>
                </c:pt>
                <c:pt idx="11">
                  <c:v>8.4570239275677236E-2</c:v>
                </c:pt>
                <c:pt idx="12">
                  <c:v>8.8982427173202192E-2</c:v>
                </c:pt>
                <c:pt idx="13">
                  <c:v>9.352826158573134E-2</c:v>
                </c:pt>
                <c:pt idx="14">
                  <c:v>9.8189182092476818E-2</c:v>
                </c:pt>
                <c:pt idx="15">
                  <c:v>0.10294955871617897</c:v>
                </c:pt>
                <c:pt idx="16">
                  <c:v>0.10779621605069549</c:v>
                </c:pt>
                <c:pt idx="17">
                  <c:v>0.11271802493375351</c:v>
                </c:pt>
                <c:pt idx="18">
                  <c:v>0.11770555845078078</c:v>
                </c:pt>
                <c:pt idx="19">
                  <c:v>0.12275080541723497</c:v>
                </c:pt>
                <c:pt idx="20">
                  <c:v>0.12784693334638661</c:v>
                </c:pt>
                <c:pt idx="21">
                  <c:v>5.6322463684896011E-2</c:v>
                </c:pt>
                <c:pt idx="22">
                  <c:v>5.7370210781608158E-2</c:v>
                </c:pt>
                <c:pt idx="23">
                  <c:v>5.894386015389301E-2</c:v>
                </c:pt>
                <c:pt idx="24">
                  <c:v>6.1002726247956073E-2</c:v>
                </c:pt>
                <c:pt idx="25">
                  <c:v>6.3499629641835462E-2</c:v>
                </c:pt>
                <c:pt idx="26">
                  <c:v>6.6385161856722871E-2</c:v>
                </c:pt>
                <c:pt idx="27">
                  <c:v>6.9611011054014613E-2</c:v>
                </c:pt>
                <c:pt idx="28">
                  <c:v>7.3132157087746452E-2</c:v>
                </c:pt>
                <c:pt idx="29">
                  <c:v>7.6908051176566211E-2</c:v>
                </c:pt>
                <c:pt idx="30">
                  <c:v>8.0903032491827259E-2</c:v>
                </c:pt>
                <c:pt idx="31">
                  <c:v>8.508624678581031E-2</c:v>
                </c:pt>
                <c:pt idx="32">
                  <c:v>8.943128374871849E-2</c:v>
                </c:pt>
                <c:pt idx="33">
                  <c:v>9.3915685744808408E-2</c:v>
                </c:pt>
                <c:pt idx="34">
                  <c:v>9.8520423974002694E-2</c:v>
                </c:pt>
                <c:pt idx="35">
                  <c:v>0.10322939623112548</c:v>
                </c:pt>
                <c:pt idx="36">
                  <c:v>0.10802897272303387</c:v>
                </c:pt>
                <c:pt idx="37">
                  <c:v>0.11290759958510814</c:v>
                </c:pt>
                <c:pt idx="38">
                  <c:v>0.11785546035578516</c:v>
                </c:pt>
                <c:pt idx="39">
                  <c:v>0.12286419096873923</c:v>
                </c:pt>
                <c:pt idx="40">
                  <c:v>0.1279266418861115</c:v>
                </c:pt>
                <c:pt idx="41">
                  <c:v>6.6313586158697577E-2</c:v>
                </c:pt>
                <c:pt idx="42">
                  <c:v>6.7624458743132318E-2</c:v>
                </c:pt>
                <c:pt idx="43">
                  <c:v>6.9372613663476981E-2</c:v>
                </c:pt>
                <c:pt idx="44">
                  <c:v>7.1525995468978157E-2</c:v>
                </c:pt>
                <c:pt idx="45">
                  <c:v>7.4049260119736254E-2</c:v>
                </c:pt>
                <c:pt idx="46">
                  <c:v>7.6906008971069778E-2</c:v>
                </c:pt>
                <c:pt idx="47">
                  <c:v>8.0060551475505073E-2</c:v>
                </c:pt>
                <c:pt idx="48">
                  <c:v>8.347913502421761E-2</c:v>
                </c:pt>
                <c:pt idx="49">
                  <c:v>8.7130686106256142E-2</c:v>
                </c:pt>
                <c:pt idx="50">
                  <c:v>9.0987160266864847E-2</c:v>
                </c:pt>
                <c:pt idx="51">
                  <c:v>9.5023610753513163E-2</c:v>
                </c:pt>
                <c:pt idx="52">
                  <c:v>9.921807427564823E-2</c:v>
                </c:pt>
                <c:pt idx="53">
                  <c:v>0.10355135112796324</c:v>
                </c:pt>
                <c:pt idx="54">
                  <c:v>0.10800673485024558</c:v>
                </c:pt>
                <c:pt idx="55">
                  <c:v>0.11256972781668077</c:v>
                </c:pt>
                <c:pt idx="56">
                  <c:v>0.11722776490046101</c:v>
                </c:pt>
                <c:pt idx="57">
                  <c:v>0.12196995737278814</c:v>
                </c:pt>
                <c:pt idx="58">
                  <c:v>0.12678686262624994</c:v>
                </c:pt>
                <c:pt idx="59">
                  <c:v>0.13167028124379937</c:v>
                </c:pt>
                <c:pt idx="60">
                  <c:v>8.1383082462778047E-2</c:v>
                </c:pt>
                <c:pt idx="61">
                  <c:v>8.2796354773038219E-2</c:v>
                </c:pt>
                <c:pt idx="62">
                  <c:v>8.4564667630093099E-2</c:v>
                </c:pt>
                <c:pt idx="63">
                  <c:v>8.6666291337516257E-2</c:v>
                </c:pt>
                <c:pt idx="64">
                  <c:v>8.9077637441370233E-2</c:v>
                </c:pt>
                <c:pt idx="65">
                  <c:v>9.1774295558173513E-2</c:v>
                </c:pt>
                <c:pt idx="66">
                  <c:v>9.4731903566789996E-2</c:v>
                </c:pt>
                <c:pt idx="67">
                  <c:v>9.7926820517680618E-2</c:v>
                </c:pt>
                <c:pt idx="68">
                  <c:v>0.1013366034320388</c:v>
                </c:pt>
                <c:pt idx="69">
                  <c:v>0.10494030974181649</c:v>
                </c:pt>
                <c:pt idx="70">
                  <c:v>0.10871865717254008</c:v>
                </c:pt>
                <c:pt idx="71">
                  <c:v>0.11265407503156752</c:v>
                </c:pt>
                <c:pt idx="72">
                  <c:v>0.11673067814487163</c:v>
                </c:pt>
                <c:pt idx="73">
                  <c:v>0.12093418960009203</c:v>
                </c:pt>
                <c:pt idx="74">
                  <c:v>0.12525183273479965</c:v>
                </c:pt>
                <c:pt idx="75">
                  <c:v>0.12967220746076344</c:v>
                </c:pt>
                <c:pt idx="76">
                  <c:v>0.13418516150153917</c:v>
                </c:pt>
                <c:pt idx="77">
                  <c:v>0.13878166356463251</c:v>
                </c:pt>
                <c:pt idx="78">
                  <c:v>9.9243957605918809E-2</c:v>
                </c:pt>
                <c:pt idx="79">
                  <c:v>0.10068688055218399</c:v>
                </c:pt>
                <c:pt idx="80">
                  <c:v>0.10242191711005975</c:v>
                </c:pt>
                <c:pt idx="81">
                  <c:v>0.10443450908964891</c:v>
                </c:pt>
                <c:pt idx="82">
                  <c:v>0.10670895308369302</c:v>
                </c:pt>
                <c:pt idx="83">
                  <c:v>0.10922889289361795</c:v>
                </c:pt>
                <c:pt idx="84">
                  <c:v>0.11197775588231329</c:v>
                </c:pt>
                <c:pt idx="85">
                  <c:v>0.11493911856821534</c:v>
                </c:pt>
                <c:pt idx="86">
                  <c:v>0.11809699630881137</c:v>
                </c:pt>
                <c:pt idx="87">
                  <c:v>0.1214360592748891</c:v>
                </c:pt>
                <c:pt idx="88">
                  <c:v>0.1249417818121351</c:v>
                </c:pt>
                <c:pt idx="89">
                  <c:v>0.12860053494326448</c:v>
                </c:pt>
                <c:pt idx="90">
                  <c:v>0.13239963265856231</c:v>
                </c:pt>
                <c:pt idx="91">
                  <c:v>0.13632734231868718</c:v>
                </c:pt>
                <c:pt idx="92">
                  <c:v>0.14037286844100827</c:v>
                </c:pt>
                <c:pt idx="93">
                  <c:v>0.14452631774234942</c:v>
                </c:pt>
                <c:pt idx="94">
                  <c:v>0.14877865183249339</c:v>
                </c:pt>
                <c:pt idx="95">
                  <c:v>0.11864216257154633</c:v>
                </c:pt>
                <c:pt idx="96">
                  <c:v>0.12008706039862274</c:v>
                </c:pt>
                <c:pt idx="97">
                  <c:v>0.12177749301836334</c:v>
                </c:pt>
                <c:pt idx="98">
                  <c:v>0.12370339498824769</c:v>
                </c:pt>
                <c:pt idx="99">
                  <c:v>0.12585395684095568</c:v>
                </c:pt>
                <c:pt idx="100">
                  <c:v>0.12821787460630316</c:v>
                </c:pt>
                <c:pt idx="101">
                  <c:v>0.13078357954925399</c:v>
                </c:pt>
                <c:pt idx="102">
                  <c:v>0.13353944131229636</c:v>
                </c:pt>
                <c:pt idx="103">
                  <c:v>0.13647394068982646</c:v>
                </c:pt>
                <c:pt idx="104">
                  <c:v>0.13957581088407156</c:v>
                </c:pt>
                <c:pt idx="105">
                  <c:v>0.14283414814254952</c:v>
                </c:pt>
                <c:pt idx="106">
                  <c:v>0.14623849411969231</c:v>
                </c:pt>
                <c:pt idx="107">
                  <c:v>0.14977889318695278</c:v>
                </c:pt>
                <c:pt idx="108">
                  <c:v>0.15344592833095236</c:v>
                </c:pt>
                <c:pt idx="109">
                  <c:v>0.1572307393403489</c:v>
                </c:pt>
                <c:pt idx="110">
                  <c:v>0.16112502679845719</c:v>
                </c:pt>
                <c:pt idx="111">
                  <c:v>0.13893525458373338</c:v>
                </c:pt>
                <c:pt idx="112">
                  <c:v>0.14037235783180718</c:v>
                </c:pt>
                <c:pt idx="113">
                  <c:v>0.14202010109629151</c:v>
                </c:pt>
                <c:pt idx="114">
                  <c:v>0.14387124724095024</c:v>
                </c:pt>
                <c:pt idx="115">
                  <c:v>0.14591805524011833</c:v>
                </c:pt>
                <c:pt idx="116">
                  <c:v>0.14815241578379898</c:v>
                </c:pt>
                <c:pt idx="117">
                  <c:v>0.15056597940842711</c:v>
                </c:pt>
                <c:pt idx="118">
                  <c:v>0.15315027392397301</c:v>
                </c:pt>
                <c:pt idx="119">
                  <c:v>0.15589680896632513</c:v>
                </c:pt>
                <c:pt idx="120">
                  <c:v>0.15879716648575187</c:v>
                </c:pt>
                <c:pt idx="121">
                  <c:v>0.16184307682767943</c:v>
                </c:pt>
                <c:pt idx="122">
                  <c:v>0.16502648073967563</c:v>
                </c:pt>
                <c:pt idx="123">
                  <c:v>0.16833957814109174</c:v>
                </c:pt>
                <c:pt idx="124">
                  <c:v>0.17177486482965071</c:v>
                </c:pt>
                <c:pt idx="125">
                  <c:v>0.17532515849385286</c:v>
                </c:pt>
                <c:pt idx="126">
                  <c:v>0.15978263297701076</c:v>
                </c:pt>
                <c:pt idx="127">
                  <c:v>0.16120898926413849</c:v>
                </c:pt>
                <c:pt idx="128">
                  <c:v>0.1628192342236934</c:v>
                </c:pt>
                <c:pt idx="129">
                  <c:v>0.16460797138030889</c:v>
                </c:pt>
                <c:pt idx="130">
                  <c:v>0.16656945051784575</c:v>
                </c:pt>
                <c:pt idx="131">
                  <c:v>0.16869764623378528</c:v>
                </c:pt>
                <c:pt idx="132">
                  <c:v>0.17098633348588854</c:v>
                </c:pt>
                <c:pt idx="133">
                  <c:v>0.17342915852935875</c:v>
                </c:pt>
                <c:pt idx="134">
                  <c:v>0.17601970404639711</c:v>
                </c:pt>
                <c:pt idx="135">
                  <c:v>0.17875154766347293</c:v>
                </c:pt>
                <c:pt idx="136">
                  <c:v>0.181618313412272</c:v>
                </c:pt>
                <c:pt idx="137">
                  <c:v>0.18461371600310611</c:v>
                </c:pt>
                <c:pt idx="138">
                  <c:v>0.18773159803655484</c:v>
                </c:pt>
                <c:pt idx="139">
                  <c:v>0.1909659604782159</c:v>
                </c:pt>
                <c:pt idx="140">
                  <c:v>0.18099286517460075</c:v>
                </c:pt>
                <c:pt idx="141">
                  <c:v>0.18240811441406624</c:v>
                </c:pt>
                <c:pt idx="142">
                  <c:v>0.18398624828830221</c:v>
                </c:pt>
                <c:pt idx="143">
                  <c:v>0.18572311463423263</c:v>
                </c:pt>
                <c:pt idx="144">
                  <c:v>0.18761430503776003</c:v>
                </c:pt>
                <c:pt idx="145">
                  <c:v>0.18965520292174654</c:v>
                </c:pt>
                <c:pt idx="146">
                  <c:v>0.19184103036342837</c:v>
                </c:pt>
                <c:pt idx="147">
                  <c:v>0.19416689280523775</c:v>
                </c:pt>
                <c:pt idx="148">
                  <c:v>0.19662782099058451</c:v>
                </c:pt>
                <c:pt idx="149">
                  <c:v>0.1992188096252355</c:v>
                </c:pt>
                <c:pt idx="150">
                  <c:v>0.20193485242674714</c:v>
                </c:pt>
                <c:pt idx="151">
                  <c:v>0.20477097337233682</c:v>
                </c:pt>
                <c:pt idx="152">
                  <c:v>0.20772225408516595</c:v>
                </c:pt>
                <c:pt idx="153">
                  <c:v>0.20245193823567614</c:v>
                </c:pt>
                <c:pt idx="154">
                  <c:v>0.20385667709655914</c:v>
                </c:pt>
                <c:pt idx="155">
                  <c:v>0.20540744556477344</c:v>
                </c:pt>
                <c:pt idx="156">
                  <c:v>0.20710096326469796</c:v>
                </c:pt>
                <c:pt idx="157">
                  <c:v>0.20893375905298789</c:v>
                </c:pt>
                <c:pt idx="158">
                  <c:v>0.21090220187087677</c:v>
                </c:pt>
                <c:pt idx="159">
                  <c:v>0.21300253104383982</c:v>
                </c:pt>
                <c:pt idx="160">
                  <c:v>0.21523088557013756</c:v>
                </c:pt>
                <c:pt idx="161">
                  <c:v>0.21758333201478278</c:v>
                </c:pt>
                <c:pt idx="162">
                  <c:v>0.22005589070309062</c:v>
                </c:pt>
                <c:pt idx="163">
                  <c:v>0.2226445599845901</c:v>
                </c:pt>
                <c:pt idx="164">
                  <c:v>0.22534533841075738</c:v>
                </c:pt>
                <c:pt idx="165">
                  <c:v>0.2240883753229484</c:v>
                </c:pt>
                <c:pt idx="166">
                  <c:v>0.22548350715259027</c:v>
                </c:pt>
                <c:pt idx="167">
                  <c:v>0.22701088175660586</c:v>
                </c:pt>
                <c:pt idx="168">
                  <c:v>0.22866784922484615</c:v>
                </c:pt>
                <c:pt idx="169">
                  <c:v>0.230451614221832</c:v>
                </c:pt>
                <c:pt idx="170">
                  <c:v>0.2323592565853683</c:v>
                </c:pt>
                <c:pt idx="171">
                  <c:v>0.23438775168401565</c:v>
                </c:pt>
                <c:pt idx="172">
                  <c:v>0.23653399027031269</c:v>
                </c:pt>
                <c:pt idx="173">
                  <c:v>0.23879479760252481</c:v>
                </c:pt>
                <c:pt idx="174">
                  <c:v>0.2411669516455168</c:v>
                </c:pt>
                <c:pt idx="175">
                  <c:v>0.24364720019954489</c:v>
                </c:pt>
                <c:pt idx="176">
                  <c:v>0.24585535426872632</c:v>
                </c:pt>
                <c:pt idx="177">
                  <c:v>0.24724182859508106</c:v>
                </c:pt>
                <c:pt idx="178">
                  <c:v>0.2487490799713715</c:v>
                </c:pt>
                <c:pt idx="179">
                  <c:v>0.2503749271818046</c:v>
                </c:pt>
                <c:pt idx="180">
                  <c:v>0.25211707584197846</c:v>
                </c:pt>
                <c:pt idx="181">
                  <c:v>0.25397313262637006</c:v>
                </c:pt>
                <c:pt idx="182">
                  <c:v>0.25594061939465451</c:v>
                </c:pt>
                <c:pt idx="183">
                  <c:v>0.25801698705959819</c:v>
                </c:pt>
                <c:pt idx="184">
                  <c:v>0.26019962905744537</c:v>
                </c:pt>
                <c:pt idx="185">
                  <c:v>0.26248589430115532</c:v>
                </c:pt>
                <c:pt idx="186">
                  <c:v>0.26772103596570251</c:v>
                </c:pt>
                <c:pt idx="187">
                  <c:v>0.26909974772279588</c:v>
                </c:pt>
                <c:pt idx="188">
                  <c:v>0.27058956326052486</c:v>
                </c:pt>
                <c:pt idx="189">
                  <c:v>0.27218865821649635</c:v>
                </c:pt>
                <c:pt idx="190">
                  <c:v>0.27389511856365295</c:v>
                </c:pt>
                <c:pt idx="191">
                  <c:v>0.27570695072744211</c:v>
                </c:pt>
                <c:pt idx="192">
                  <c:v>0.27762209166594926</c:v>
                </c:pt>
                <c:pt idx="193">
                  <c:v>0.27963841881553952</c:v>
                </c:pt>
                <c:pt idx="194">
                  <c:v>0.28175375981423789</c:v>
                </c:pt>
                <c:pt idx="195">
                  <c:v>0.28966306906943251</c:v>
                </c:pt>
                <c:pt idx="196">
                  <c:v>0.29103482480646725</c:v>
                </c:pt>
                <c:pt idx="197">
                  <c:v>0.29250942089557591</c:v>
                </c:pt>
                <c:pt idx="198">
                  <c:v>0.294085310361339</c:v>
                </c:pt>
                <c:pt idx="199">
                  <c:v>0.29576087405725399</c:v>
                </c:pt>
                <c:pt idx="200">
                  <c:v>0.29753442804324753</c:v>
                </c:pt>
                <c:pt idx="201">
                  <c:v>0.29940423095550911</c:v>
                </c:pt>
                <c:pt idx="202">
                  <c:v>0.30136849130627946</c:v>
                </c:pt>
                <c:pt idx="203">
                  <c:v>0.3116653279964301</c:v>
                </c:pt>
                <c:pt idx="204">
                  <c:v>0.31303084014840377</c:v>
                </c:pt>
                <c:pt idx="205">
                  <c:v>0.31449205631944743</c:v>
                </c:pt>
                <c:pt idx="206">
                  <c:v>0.31604764907712773</c:v>
                </c:pt>
                <c:pt idx="207">
                  <c:v>0.31769623208569836</c:v>
                </c:pt>
                <c:pt idx="208">
                  <c:v>0.31943636560486716</c:v>
                </c:pt>
                <c:pt idx="209">
                  <c:v>0.32126656199388171</c:v>
                </c:pt>
                <c:pt idx="210">
                  <c:v>0.33371590069361051</c:v>
                </c:pt>
                <c:pt idx="211">
                  <c:v>0.33507579310676222</c:v>
                </c:pt>
                <c:pt idx="212">
                  <c:v>0.33652516736735988</c:v>
                </c:pt>
                <c:pt idx="213">
                  <c:v>0.33806287257292728</c:v>
                </c:pt>
                <c:pt idx="214">
                  <c:v>0.33968770915064728</c:v>
                </c:pt>
                <c:pt idx="215">
                  <c:v>0.341398433035209</c:v>
                </c:pt>
                <c:pt idx="216">
                  <c:v>0.35580580473707674</c:v>
                </c:pt>
                <c:pt idx="217">
                  <c:v>0.35716062209664395</c:v>
                </c:pt>
                <c:pt idx="218">
                  <c:v>0.3585994501717068</c:v>
                </c:pt>
                <c:pt idx="219">
                  <c:v>0.36012128199478161</c:v>
                </c:pt>
                <c:pt idx="220">
                  <c:v>0.36172506993959563</c:v>
                </c:pt>
                <c:pt idx="221">
                  <c:v>0.37792814343691783</c:v>
                </c:pt>
                <c:pt idx="222">
                  <c:v>0.37927836141154075</c:v>
                </c:pt>
                <c:pt idx="223">
                  <c:v>0.38070774310945787</c:v>
                </c:pt>
                <c:pt idx="224">
                  <c:v>0.38221540037928403</c:v>
                </c:pt>
                <c:pt idx="225">
                  <c:v>0.40007753639385724</c:v>
                </c:pt>
                <c:pt idx="226">
                  <c:v>0.40142357118361999</c:v>
                </c:pt>
                <c:pt idx="227">
                  <c:v>0.40284444674311859</c:v>
                </c:pt>
                <c:pt idx="228">
                  <c:v>0.42224972618168322</c:v>
                </c:pt>
                <c:pt idx="229">
                  <c:v>0.42359194300272524</c:v>
                </c:pt>
                <c:pt idx="230">
                  <c:v>0.44444130096364864</c:v>
                </c:pt>
              </c:numCache>
            </c:numRef>
          </c:xVal>
          <c:yVal>
            <c:numRef>
              <c:f>Optimizer!$F$14:$F$244</c:f>
              <c:numCache>
                <c:formatCode>0.00%</c:formatCode>
                <c:ptCount val="231"/>
                <c:pt idx="0">
                  <c:v>2.1046705355527218E-2</c:v>
                </c:pt>
                <c:pt idx="1">
                  <c:v>3.2211342437311399E-2</c:v>
                </c:pt>
                <c:pt idx="2">
                  <c:v>4.3375979519095581E-2</c:v>
                </c:pt>
                <c:pt idx="3">
                  <c:v>5.4540616600879749E-2</c:v>
                </c:pt>
                <c:pt idx="4">
                  <c:v>6.5705253682663931E-2</c:v>
                </c:pt>
                <c:pt idx="5">
                  <c:v>7.6869890764448112E-2</c:v>
                </c:pt>
                <c:pt idx="6">
                  <c:v>8.8034527846232294E-2</c:v>
                </c:pt>
                <c:pt idx="7">
                  <c:v>9.9199164928016476E-2</c:v>
                </c:pt>
                <c:pt idx="8">
                  <c:v>0.11036380200980064</c:v>
                </c:pt>
                <c:pt idx="9">
                  <c:v>0.12152843909158483</c:v>
                </c:pt>
                <c:pt idx="10">
                  <c:v>0.13269307617336901</c:v>
                </c:pt>
                <c:pt idx="11">
                  <c:v>0.14385771325515317</c:v>
                </c:pt>
                <c:pt idx="12">
                  <c:v>0.15502235033693737</c:v>
                </c:pt>
                <c:pt idx="13">
                  <c:v>0.16618698741872154</c:v>
                </c:pt>
                <c:pt idx="14">
                  <c:v>0.17735162450050573</c:v>
                </c:pt>
                <c:pt idx="15">
                  <c:v>0.1885162615822899</c:v>
                </c:pt>
                <c:pt idx="16">
                  <c:v>0.19968089866407407</c:v>
                </c:pt>
                <c:pt idx="17">
                  <c:v>0.21084553574585826</c:v>
                </c:pt>
                <c:pt idx="18">
                  <c:v>0.22201017282764243</c:v>
                </c:pt>
                <c:pt idx="19">
                  <c:v>0.23317480990942663</c:v>
                </c:pt>
                <c:pt idx="20">
                  <c:v>0.2443394469912108</c:v>
                </c:pt>
                <c:pt idx="21">
                  <c:v>3.7049561121485185E-2</c:v>
                </c:pt>
                <c:pt idx="22">
                  <c:v>4.8214198203269359E-2</c:v>
                </c:pt>
                <c:pt idx="23">
                  <c:v>5.9378835285053541E-2</c:v>
                </c:pt>
                <c:pt idx="24">
                  <c:v>7.0543472366837723E-2</c:v>
                </c:pt>
                <c:pt idx="25">
                  <c:v>8.1708109448621905E-2</c:v>
                </c:pt>
                <c:pt idx="26">
                  <c:v>9.2872746530406086E-2</c:v>
                </c:pt>
                <c:pt idx="27">
                  <c:v>0.10403738361219025</c:v>
                </c:pt>
                <c:pt idx="28">
                  <c:v>0.11520202069397444</c:v>
                </c:pt>
                <c:pt idx="29">
                  <c:v>0.12636665777575862</c:v>
                </c:pt>
                <c:pt idx="30">
                  <c:v>0.13753129485754279</c:v>
                </c:pt>
                <c:pt idx="31">
                  <c:v>0.14869593193932695</c:v>
                </c:pt>
                <c:pt idx="32">
                  <c:v>0.15986056902111115</c:v>
                </c:pt>
                <c:pt idx="33">
                  <c:v>0.17102520610289532</c:v>
                </c:pt>
                <c:pt idx="34">
                  <c:v>0.18218984318467951</c:v>
                </c:pt>
                <c:pt idx="35">
                  <c:v>0.19335448026646368</c:v>
                </c:pt>
                <c:pt idx="36">
                  <c:v>0.20451911734824785</c:v>
                </c:pt>
                <c:pt idx="37">
                  <c:v>0.21568375443003204</c:v>
                </c:pt>
                <c:pt idx="38">
                  <c:v>0.22684839151181621</c:v>
                </c:pt>
                <c:pt idx="39">
                  <c:v>0.23801302859360041</c:v>
                </c:pt>
                <c:pt idx="40">
                  <c:v>0.24917766567538457</c:v>
                </c:pt>
                <c:pt idx="41">
                  <c:v>5.3052416887443152E-2</c:v>
                </c:pt>
                <c:pt idx="42">
                  <c:v>6.4217053969227333E-2</c:v>
                </c:pt>
                <c:pt idx="43">
                  <c:v>7.5381691051011515E-2</c:v>
                </c:pt>
                <c:pt idx="44">
                  <c:v>8.6546328132795697E-2</c:v>
                </c:pt>
                <c:pt idx="45">
                  <c:v>9.7710965214579878E-2</c:v>
                </c:pt>
                <c:pt idx="46">
                  <c:v>0.10887560229636406</c:v>
                </c:pt>
                <c:pt idx="47">
                  <c:v>0.12004023937814823</c:v>
                </c:pt>
                <c:pt idx="48">
                  <c:v>0.13120487645993242</c:v>
                </c:pt>
                <c:pt idx="49">
                  <c:v>0.14236951354171659</c:v>
                </c:pt>
                <c:pt idx="50">
                  <c:v>0.15353415062350076</c:v>
                </c:pt>
                <c:pt idx="51">
                  <c:v>0.16469878770528495</c:v>
                </c:pt>
                <c:pt idx="52">
                  <c:v>0.17586342478706912</c:v>
                </c:pt>
                <c:pt idx="53">
                  <c:v>0.18702806186885332</c:v>
                </c:pt>
                <c:pt idx="54">
                  <c:v>0.19819269895063749</c:v>
                </c:pt>
                <c:pt idx="55">
                  <c:v>0.20935733603242165</c:v>
                </c:pt>
                <c:pt idx="56">
                  <c:v>0.22052197311420585</c:v>
                </c:pt>
                <c:pt idx="57">
                  <c:v>0.23168661019599002</c:v>
                </c:pt>
                <c:pt idx="58">
                  <c:v>0.24285124727777421</c:v>
                </c:pt>
                <c:pt idx="59">
                  <c:v>0.25401588435955835</c:v>
                </c:pt>
                <c:pt idx="60">
                  <c:v>6.9055272653401126E-2</c:v>
                </c:pt>
                <c:pt idx="61">
                  <c:v>8.0219909735185294E-2</c:v>
                </c:pt>
                <c:pt idx="62">
                  <c:v>9.1384546816969475E-2</c:v>
                </c:pt>
                <c:pt idx="63">
                  <c:v>0.10254918389875366</c:v>
                </c:pt>
                <c:pt idx="64">
                  <c:v>0.11371382098053784</c:v>
                </c:pt>
                <c:pt idx="65">
                  <c:v>0.12487845806232201</c:v>
                </c:pt>
                <c:pt idx="66">
                  <c:v>0.1360430951441062</c:v>
                </c:pt>
                <c:pt idx="67">
                  <c:v>0.14720773222589037</c:v>
                </c:pt>
                <c:pt idx="68">
                  <c:v>0.15837236930767454</c:v>
                </c:pt>
                <c:pt idx="69">
                  <c:v>0.16953700638945873</c:v>
                </c:pt>
                <c:pt idx="70">
                  <c:v>0.1807016434712429</c:v>
                </c:pt>
                <c:pt idx="71">
                  <c:v>0.1918662805530271</c:v>
                </c:pt>
                <c:pt idx="72">
                  <c:v>0.20303091763481126</c:v>
                </c:pt>
                <c:pt idx="73">
                  <c:v>0.21419555471659543</c:v>
                </c:pt>
                <c:pt idx="74">
                  <c:v>0.22536019179837963</c:v>
                </c:pt>
                <c:pt idx="75">
                  <c:v>0.2365248288801638</c:v>
                </c:pt>
                <c:pt idx="76">
                  <c:v>0.24768946596194799</c:v>
                </c:pt>
                <c:pt idx="77">
                  <c:v>0.25885410304373219</c:v>
                </c:pt>
                <c:pt idx="78">
                  <c:v>8.5058128419359086E-2</c:v>
                </c:pt>
                <c:pt idx="79">
                  <c:v>9.6222765501143268E-2</c:v>
                </c:pt>
                <c:pt idx="80">
                  <c:v>0.10738740258292745</c:v>
                </c:pt>
                <c:pt idx="81">
                  <c:v>0.11855203966471163</c:v>
                </c:pt>
                <c:pt idx="82">
                  <c:v>0.12971667674649581</c:v>
                </c:pt>
                <c:pt idx="83">
                  <c:v>0.14088131382828001</c:v>
                </c:pt>
                <c:pt idx="84">
                  <c:v>0.15204595091006418</c:v>
                </c:pt>
                <c:pt idx="85">
                  <c:v>0.16321058799184834</c:v>
                </c:pt>
                <c:pt idx="86">
                  <c:v>0.17437522507363254</c:v>
                </c:pt>
                <c:pt idx="87">
                  <c:v>0.18553986215541671</c:v>
                </c:pt>
                <c:pt idx="88">
                  <c:v>0.1967044992372009</c:v>
                </c:pt>
                <c:pt idx="89">
                  <c:v>0.20786913631898507</c:v>
                </c:pt>
                <c:pt idx="90">
                  <c:v>0.21903377340076924</c:v>
                </c:pt>
                <c:pt idx="91">
                  <c:v>0.23019841048255343</c:v>
                </c:pt>
                <c:pt idx="92">
                  <c:v>0.2413630475643376</c:v>
                </c:pt>
                <c:pt idx="93">
                  <c:v>0.2525276846461218</c:v>
                </c:pt>
                <c:pt idx="94">
                  <c:v>0.26369232172790597</c:v>
                </c:pt>
                <c:pt idx="95">
                  <c:v>0.10106098418531706</c:v>
                </c:pt>
                <c:pt idx="96">
                  <c:v>0.11222562126710124</c:v>
                </c:pt>
                <c:pt idx="97">
                  <c:v>0.12339025834888542</c:v>
                </c:pt>
                <c:pt idx="98">
                  <c:v>0.13455489543066959</c:v>
                </c:pt>
                <c:pt idx="99">
                  <c:v>0.14571953251245379</c:v>
                </c:pt>
                <c:pt idx="100">
                  <c:v>0.15688416959423795</c:v>
                </c:pt>
                <c:pt idx="101">
                  <c:v>0.16804880667602212</c:v>
                </c:pt>
                <c:pt idx="102">
                  <c:v>0.17921344375780632</c:v>
                </c:pt>
                <c:pt idx="103">
                  <c:v>0.19037808083959049</c:v>
                </c:pt>
                <c:pt idx="104">
                  <c:v>0.20154271792137468</c:v>
                </c:pt>
                <c:pt idx="105">
                  <c:v>0.21270735500315885</c:v>
                </c:pt>
                <c:pt idx="106">
                  <c:v>0.22387199208494302</c:v>
                </c:pt>
                <c:pt idx="107">
                  <c:v>0.23503662916672721</c:v>
                </c:pt>
                <c:pt idx="108">
                  <c:v>0.24620126624851138</c:v>
                </c:pt>
                <c:pt idx="109">
                  <c:v>0.25736590333029558</c:v>
                </c:pt>
                <c:pt idx="110">
                  <c:v>0.26853054041207974</c:v>
                </c:pt>
                <c:pt idx="111">
                  <c:v>0.11706383995127503</c:v>
                </c:pt>
                <c:pt idx="112">
                  <c:v>0.1282284770330592</c:v>
                </c:pt>
                <c:pt idx="113">
                  <c:v>0.13939311411484337</c:v>
                </c:pt>
                <c:pt idx="114">
                  <c:v>0.15055775119662757</c:v>
                </c:pt>
                <c:pt idx="115">
                  <c:v>0.16172238827841173</c:v>
                </c:pt>
                <c:pt idx="116">
                  <c:v>0.1728870253601959</c:v>
                </c:pt>
                <c:pt idx="117">
                  <c:v>0.1840516624419801</c:v>
                </c:pt>
                <c:pt idx="118">
                  <c:v>0.19521629952376426</c:v>
                </c:pt>
                <c:pt idx="119">
                  <c:v>0.20638093660554846</c:v>
                </c:pt>
                <c:pt idx="120">
                  <c:v>0.21754557368733263</c:v>
                </c:pt>
                <c:pt idx="121">
                  <c:v>0.2287102107691168</c:v>
                </c:pt>
                <c:pt idx="122">
                  <c:v>0.23987484785090099</c:v>
                </c:pt>
                <c:pt idx="123">
                  <c:v>0.25103948493268519</c:v>
                </c:pt>
                <c:pt idx="124">
                  <c:v>0.26220412201446935</c:v>
                </c:pt>
                <c:pt idx="125">
                  <c:v>0.27336875909625352</c:v>
                </c:pt>
                <c:pt idx="126">
                  <c:v>0.13306669571723298</c:v>
                </c:pt>
                <c:pt idx="127">
                  <c:v>0.14423133279901715</c:v>
                </c:pt>
                <c:pt idx="128">
                  <c:v>0.15539596988080134</c:v>
                </c:pt>
                <c:pt idx="129">
                  <c:v>0.16656060696258551</c:v>
                </c:pt>
                <c:pt idx="130">
                  <c:v>0.17772524404436968</c:v>
                </c:pt>
                <c:pt idx="131">
                  <c:v>0.18888988112615387</c:v>
                </c:pt>
                <c:pt idx="132">
                  <c:v>0.20005451820793804</c:v>
                </c:pt>
                <c:pt idx="133">
                  <c:v>0.21121915528972224</c:v>
                </c:pt>
                <c:pt idx="134">
                  <c:v>0.22238379237150641</c:v>
                </c:pt>
                <c:pt idx="135">
                  <c:v>0.23354842945329057</c:v>
                </c:pt>
                <c:pt idx="136">
                  <c:v>0.24471306653507477</c:v>
                </c:pt>
                <c:pt idx="137">
                  <c:v>0.25587770361685896</c:v>
                </c:pt>
                <c:pt idx="138">
                  <c:v>0.26704234069864313</c:v>
                </c:pt>
                <c:pt idx="139">
                  <c:v>0.2782069777804273</c:v>
                </c:pt>
                <c:pt idx="140">
                  <c:v>0.14906955148319095</c:v>
                </c:pt>
                <c:pt idx="141">
                  <c:v>0.16023418856497515</c:v>
                </c:pt>
                <c:pt idx="142">
                  <c:v>0.17139882564675932</c:v>
                </c:pt>
                <c:pt idx="143">
                  <c:v>0.18256346272854349</c:v>
                </c:pt>
                <c:pt idx="144">
                  <c:v>0.19372809981032768</c:v>
                </c:pt>
                <c:pt idx="145">
                  <c:v>0.20489273689211185</c:v>
                </c:pt>
                <c:pt idx="146">
                  <c:v>0.21605737397389604</c:v>
                </c:pt>
                <c:pt idx="147">
                  <c:v>0.22722201105568021</c:v>
                </c:pt>
                <c:pt idx="148">
                  <c:v>0.23838664813746438</c:v>
                </c:pt>
                <c:pt idx="149">
                  <c:v>0.24955128521924858</c:v>
                </c:pt>
                <c:pt idx="150">
                  <c:v>0.2607159223010328</c:v>
                </c:pt>
                <c:pt idx="151">
                  <c:v>0.27188055938281697</c:v>
                </c:pt>
                <c:pt idx="152">
                  <c:v>0.28304519646460113</c:v>
                </c:pt>
                <c:pt idx="153">
                  <c:v>0.16507240724914896</c:v>
                </c:pt>
                <c:pt idx="154">
                  <c:v>0.17623704433093312</c:v>
                </c:pt>
                <c:pt idx="155">
                  <c:v>0.18740168141271729</c:v>
                </c:pt>
                <c:pt idx="156">
                  <c:v>0.19856631849450149</c:v>
                </c:pt>
                <c:pt idx="157">
                  <c:v>0.20973095557628565</c:v>
                </c:pt>
                <c:pt idx="158">
                  <c:v>0.22089559265806985</c:v>
                </c:pt>
                <c:pt idx="159">
                  <c:v>0.23206022973985402</c:v>
                </c:pt>
                <c:pt idx="160">
                  <c:v>0.24322486682163819</c:v>
                </c:pt>
                <c:pt idx="161">
                  <c:v>0.25438950390342235</c:v>
                </c:pt>
                <c:pt idx="162">
                  <c:v>0.26555414098520658</c:v>
                </c:pt>
                <c:pt idx="163">
                  <c:v>0.27671877806699074</c:v>
                </c:pt>
                <c:pt idx="164">
                  <c:v>0.28788341514877491</c:v>
                </c:pt>
                <c:pt idx="165">
                  <c:v>0.1810752630151069</c:v>
                </c:pt>
                <c:pt idx="166">
                  <c:v>0.19223990009689107</c:v>
                </c:pt>
                <c:pt idx="167">
                  <c:v>0.20340453717867527</c:v>
                </c:pt>
                <c:pt idx="168">
                  <c:v>0.21456917426045943</c:v>
                </c:pt>
                <c:pt idx="169">
                  <c:v>0.22573381134224363</c:v>
                </c:pt>
                <c:pt idx="170">
                  <c:v>0.2368984484240278</c:v>
                </c:pt>
                <c:pt idx="171">
                  <c:v>0.24806308550581196</c:v>
                </c:pt>
                <c:pt idx="172">
                  <c:v>0.25922772258759613</c:v>
                </c:pt>
                <c:pt idx="173">
                  <c:v>0.27039235966938036</c:v>
                </c:pt>
                <c:pt idx="174">
                  <c:v>0.28155699675116452</c:v>
                </c:pt>
                <c:pt idx="175">
                  <c:v>0.29272163383294869</c:v>
                </c:pt>
                <c:pt idx="176">
                  <c:v>0.19707811878106488</c:v>
                </c:pt>
                <c:pt idx="177">
                  <c:v>0.20824275586284907</c:v>
                </c:pt>
                <c:pt idx="178">
                  <c:v>0.21940739294463324</c:v>
                </c:pt>
                <c:pt idx="179">
                  <c:v>0.23057203002641743</c:v>
                </c:pt>
                <c:pt idx="180">
                  <c:v>0.2417366671082016</c:v>
                </c:pt>
                <c:pt idx="181">
                  <c:v>0.2529013041899858</c:v>
                </c:pt>
                <c:pt idx="182">
                  <c:v>0.26406594127176991</c:v>
                </c:pt>
                <c:pt idx="183">
                  <c:v>0.27523057835355413</c:v>
                </c:pt>
                <c:pt idx="184">
                  <c:v>0.2863952154353383</c:v>
                </c:pt>
                <c:pt idx="185">
                  <c:v>0.29755985251712247</c:v>
                </c:pt>
                <c:pt idx="186">
                  <c:v>0.21308097454702285</c:v>
                </c:pt>
                <c:pt idx="187">
                  <c:v>0.22424561162880702</c:v>
                </c:pt>
                <c:pt idx="188">
                  <c:v>0.23541024871059121</c:v>
                </c:pt>
                <c:pt idx="189">
                  <c:v>0.24657488579237538</c:v>
                </c:pt>
                <c:pt idx="190">
                  <c:v>0.25773952287415952</c:v>
                </c:pt>
                <c:pt idx="191">
                  <c:v>0.26890415995594369</c:v>
                </c:pt>
                <c:pt idx="192">
                  <c:v>0.28006879703772791</c:v>
                </c:pt>
                <c:pt idx="193">
                  <c:v>0.29123343411951208</c:v>
                </c:pt>
                <c:pt idx="194">
                  <c:v>0.30239807120129625</c:v>
                </c:pt>
                <c:pt idx="195">
                  <c:v>0.2290838303129808</c:v>
                </c:pt>
                <c:pt idx="196">
                  <c:v>0.24024846739476499</c:v>
                </c:pt>
                <c:pt idx="197">
                  <c:v>0.25141310447654913</c:v>
                </c:pt>
                <c:pt idx="198">
                  <c:v>0.2625777415583333</c:v>
                </c:pt>
                <c:pt idx="199">
                  <c:v>0.27374237864011747</c:v>
                </c:pt>
                <c:pt idx="200">
                  <c:v>0.28490701572190169</c:v>
                </c:pt>
                <c:pt idx="201">
                  <c:v>0.29607165280368586</c:v>
                </c:pt>
                <c:pt idx="202">
                  <c:v>0.30723628988547003</c:v>
                </c:pt>
                <c:pt idx="203">
                  <c:v>0.24508668607893877</c:v>
                </c:pt>
                <c:pt idx="204">
                  <c:v>0.25625132316072291</c:v>
                </c:pt>
                <c:pt idx="205">
                  <c:v>0.26741596024250708</c:v>
                </c:pt>
                <c:pt idx="206">
                  <c:v>0.27858059732429125</c:v>
                </c:pt>
                <c:pt idx="207">
                  <c:v>0.28974523440607547</c:v>
                </c:pt>
                <c:pt idx="208">
                  <c:v>0.30090987148785964</c:v>
                </c:pt>
                <c:pt idx="209">
                  <c:v>0.3120745085696438</c:v>
                </c:pt>
                <c:pt idx="210">
                  <c:v>0.26108954184489674</c:v>
                </c:pt>
                <c:pt idx="211">
                  <c:v>0.27225417892668091</c:v>
                </c:pt>
                <c:pt idx="212">
                  <c:v>0.28341881600846508</c:v>
                </c:pt>
                <c:pt idx="213">
                  <c:v>0.2945834530902493</c:v>
                </c:pt>
                <c:pt idx="214">
                  <c:v>0.30574809017203347</c:v>
                </c:pt>
                <c:pt idx="215">
                  <c:v>0.31691272725381764</c:v>
                </c:pt>
                <c:pt idx="216">
                  <c:v>0.27709239761085469</c:v>
                </c:pt>
                <c:pt idx="217">
                  <c:v>0.28825703469263886</c:v>
                </c:pt>
                <c:pt idx="218">
                  <c:v>0.29942167177442308</c:v>
                </c:pt>
                <c:pt idx="219">
                  <c:v>0.31058630885620725</c:v>
                </c:pt>
                <c:pt idx="220">
                  <c:v>0.32175094593799142</c:v>
                </c:pt>
                <c:pt idx="221">
                  <c:v>0.29309525337681264</c:v>
                </c:pt>
                <c:pt idx="222">
                  <c:v>0.30425989045859686</c:v>
                </c:pt>
                <c:pt idx="223">
                  <c:v>0.31542452754038103</c:v>
                </c:pt>
                <c:pt idx="224">
                  <c:v>0.3265891646221652</c:v>
                </c:pt>
                <c:pt idx="225">
                  <c:v>0.30909810914277069</c:v>
                </c:pt>
                <c:pt idx="226">
                  <c:v>0.32026274622455486</c:v>
                </c:pt>
                <c:pt idx="227">
                  <c:v>0.33142738330633903</c:v>
                </c:pt>
                <c:pt idx="228">
                  <c:v>0.32510096490872864</c:v>
                </c:pt>
                <c:pt idx="229">
                  <c:v>0.33626560199051281</c:v>
                </c:pt>
                <c:pt idx="230">
                  <c:v>0.34110382067468659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F4-4F4B-A5C2-98B5C776A728}"/>
            </c:ext>
          </c:extLst>
        </c:ser>
        <c:ser>
          <c:idx val="1"/>
          <c:order val="1"/>
          <c:tx>
            <c:v>NU Holdings</c:v>
          </c:tx>
          <c:spPr>
            <a:ln>
              <a:noFill/>
              <a:prstDash val="solid"/>
            </a:ln>
          </c:spPr>
          <c:marker>
            <c:symbol val="diamond"/>
            <c:size val="10"/>
            <c:spPr>
              <a:ln>
                <a:prstDash val="solid"/>
              </a:ln>
            </c:spPr>
          </c:marker>
          <c:xVal>
            <c:numRef>
              <c:f>'Efficient Frontier'!$C$9</c:f>
              <c:numCache>
                <c:formatCode>0.00%</c:formatCode>
                <c:ptCount val="1"/>
                <c:pt idx="0">
                  <c:v>0.44444130096364848</c:v>
                </c:pt>
              </c:numCache>
            </c:numRef>
          </c:xVal>
          <c:yVal>
            <c:numRef>
              <c:f>'Efficient Frontier'!$D$9</c:f>
              <c:numCache>
                <c:formatCode>0.00%</c:formatCode>
                <c:ptCount val="1"/>
                <c:pt idx="0">
                  <c:v>0.34110382067468659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F4-4F4B-A5C2-98B5C776A728}"/>
            </c:ext>
          </c:extLst>
        </c:ser>
        <c:ser>
          <c:idx val="2"/>
          <c:order val="2"/>
          <c:tx>
            <c:v>SPY</c:v>
          </c:tx>
          <c:spPr>
            <a:ln>
              <a:noFill/>
              <a:prstDash val="solid"/>
            </a:ln>
          </c:spPr>
          <c:marker>
            <c:symbol val="diamond"/>
            <c:size val="10"/>
            <c:spPr>
              <a:ln>
                <a:prstDash val="solid"/>
              </a:ln>
            </c:spPr>
          </c:marker>
          <c:xVal>
            <c:numRef>
              <c:f>'Efficient Frontier'!$C$10</c:f>
              <c:numCache>
                <c:formatCode>0.00%</c:formatCode>
                <c:ptCount val="1"/>
                <c:pt idx="0">
                  <c:v>0.12784693334638661</c:v>
                </c:pt>
              </c:numCache>
            </c:numRef>
          </c:xVal>
          <c:yVal>
            <c:numRef>
              <c:f>'Efficient Frontier'!$D$10</c:f>
              <c:numCache>
                <c:formatCode>0.00%</c:formatCode>
                <c:ptCount val="1"/>
                <c:pt idx="0">
                  <c:v>0.2443394469912108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F4-4F4B-A5C2-98B5C776A728}"/>
            </c:ext>
          </c:extLst>
        </c:ser>
        <c:ser>
          <c:idx val="3"/>
          <c:order val="3"/>
          <c:tx>
            <c:v>AGG</c:v>
          </c:tx>
          <c:spPr>
            <a:ln>
              <a:noFill/>
              <a:prstDash val="solid"/>
            </a:ln>
          </c:spPr>
          <c:marker>
            <c:symbol val="diamond"/>
            <c:size val="10"/>
            <c:spPr>
              <a:ln>
                <a:prstDash val="solid"/>
              </a:ln>
            </c:spPr>
          </c:marker>
          <c:xVal>
            <c:numRef>
              <c:f>'Efficient Frontier'!$C$11</c:f>
              <c:numCache>
                <c:formatCode>0.00%</c:formatCode>
                <c:ptCount val="1"/>
                <c:pt idx="0">
                  <c:v>5.4289876865504148E-2</c:v>
                </c:pt>
              </c:numCache>
            </c:numRef>
          </c:xVal>
          <c:yVal>
            <c:numRef>
              <c:f>'Efficient Frontier'!$D$11</c:f>
              <c:numCache>
                <c:formatCode>0.00%</c:formatCode>
                <c:ptCount val="1"/>
                <c:pt idx="0">
                  <c:v>2.1046705355527218E-2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F4-4F4B-A5C2-98B5C776A728}"/>
            </c:ext>
          </c:extLst>
        </c:ser>
        <c:ser>
          <c:idx val="4"/>
          <c:order val="4"/>
          <c:tx>
            <c:v>Max Sharpe Portfolio</c:v>
          </c:tx>
          <c:spPr>
            <a:ln>
              <a:noFill/>
              <a:prstDash val="solid"/>
            </a:ln>
          </c:spPr>
          <c:marker>
            <c:symbol val="star"/>
            <c:size val="12"/>
            <c:spPr>
              <a:ln>
                <a:prstDash val="solid"/>
              </a:ln>
            </c:spPr>
          </c:marker>
          <c:xVal>
            <c:numRef>
              <c:f>'Efficient Frontier'!$C$12</c:f>
              <c:numCache>
                <c:formatCode>0.00%</c:formatCode>
                <c:ptCount val="1"/>
                <c:pt idx="0">
                  <c:v>0.1279266418861115</c:v>
                </c:pt>
              </c:numCache>
            </c:numRef>
          </c:xVal>
          <c:yVal>
            <c:numRef>
              <c:f>'Efficient Frontier'!$D$12</c:f>
              <c:numCache>
                <c:formatCode>0.00%</c:formatCode>
                <c:ptCount val="1"/>
                <c:pt idx="0">
                  <c:v>0.24917766567538457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8F4-4F4B-A5C2-98B5C776A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Volatility (annualized)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Expected Return (annualized)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05496"/>
  </sheetPr>
  <dimension ref="B2:H34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3" customWidth="1"/>
    <col min="3" max="3" width="40" customWidth="1"/>
    <col min="4" max="6" width="18" customWidth="1"/>
    <col min="7" max="7" width="3" customWidth="1"/>
  </cols>
  <sheetData>
    <row r="2" spans="2:7" ht="21" x14ac:dyDescent="0.2">
      <c r="B2" s="31" t="s">
        <v>0</v>
      </c>
      <c r="C2" s="32"/>
      <c r="D2" s="32"/>
      <c r="E2" s="32"/>
      <c r="F2" s="32"/>
      <c r="G2" s="32"/>
    </row>
    <row r="3" spans="2:7" x14ac:dyDescent="0.2">
      <c r="C3" s="1" t="s">
        <v>1</v>
      </c>
    </row>
    <row r="4" spans="2:7" x14ac:dyDescent="0.2">
      <c r="C4" s="2" t="s">
        <v>2</v>
      </c>
    </row>
    <row r="6" spans="2:7" ht="16" x14ac:dyDescent="0.2">
      <c r="B6" s="33" t="s">
        <v>3</v>
      </c>
      <c r="C6" s="32"/>
      <c r="D6" s="32"/>
      <c r="E6" s="32"/>
      <c r="F6" s="32"/>
      <c r="G6" s="32"/>
    </row>
    <row r="7" spans="2:7" x14ac:dyDescent="0.2">
      <c r="C7" s="34" t="s">
        <v>4</v>
      </c>
      <c r="D7" s="32"/>
      <c r="E7" s="32"/>
      <c r="F7" s="32"/>
      <c r="G7" s="32"/>
    </row>
    <row r="8" spans="2:7" x14ac:dyDescent="0.2">
      <c r="C8" s="32"/>
      <c r="D8" s="32"/>
      <c r="E8" s="32"/>
      <c r="F8" s="32"/>
      <c r="G8" s="32"/>
    </row>
    <row r="9" spans="2:7" x14ac:dyDescent="0.2">
      <c r="C9" s="32"/>
      <c r="D9" s="32"/>
      <c r="E9" s="32"/>
      <c r="F9" s="32"/>
      <c r="G9" s="32"/>
    </row>
    <row r="11" spans="2:7" ht="16" x14ac:dyDescent="0.2">
      <c r="B11" s="33" t="s">
        <v>5</v>
      </c>
      <c r="C11" s="32"/>
      <c r="D11" s="32"/>
      <c r="E11" s="32"/>
      <c r="F11" s="32"/>
      <c r="G11" s="32"/>
    </row>
    <row r="12" spans="2:7" ht="16" customHeight="1" x14ac:dyDescent="0.2">
      <c r="C12" s="34" t="s">
        <v>6</v>
      </c>
      <c r="D12" s="32"/>
      <c r="E12" s="32"/>
      <c r="F12" s="32"/>
      <c r="G12" s="32"/>
    </row>
    <row r="13" spans="2:7" ht="16" customHeight="1" x14ac:dyDescent="0.2">
      <c r="C13" s="34" t="s">
        <v>7</v>
      </c>
      <c r="D13" s="32"/>
      <c r="E13" s="32"/>
      <c r="F13" s="32"/>
      <c r="G13" s="32"/>
    </row>
    <row r="14" spans="2:7" ht="16" customHeight="1" x14ac:dyDescent="0.2">
      <c r="C14" s="34" t="s">
        <v>8</v>
      </c>
      <c r="D14" s="32"/>
      <c r="E14" s="32"/>
      <c r="F14" s="32"/>
      <c r="G14" s="32"/>
    </row>
    <row r="15" spans="2:7" ht="16" customHeight="1" x14ac:dyDescent="0.2">
      <c r="C15" s="34" t="s">
        <v>9</v>
      </c>
      <c r="D15" s="32"/>
      <c r="E15" s="32"/>
      <c r="F15" s="32"/>
      <c r="G15" s="32"/>
    </row>
    <row r="16" spans="2:7" ht="16" customHeight="1" x14ac:dyDescent="0.2">
      <c r="C16" s="34" t="s">
        <v>10</v>
      </c>
      <c r="D16" s="32"/>
      <c r="E16" s="32"/>
      <c r="F16" s="32"/>
      <c r="G16" s="32"/>
    </row>
    <row r="17" spans="2:8" ht="16" customHeight="1" x14ac:dyDescent="0.2">
      <c r="C17" s="34" t="s">
        <v>11</v>
      </c>
      <c r="D17" s="32"/>
      <c r="E17" s="32"/>
      <c r="F17" s="32"/>
      <c r="G17" s="32"/>
    </row>
    <row r="19" spans="2:8" ht="16" x14ac:dyDescent="0.2">
      <c r="B19" s="33" t="s">
        <v>12</v>
      </c>
      <c r="C19" s="32"/>
      <c r="D19" s="32"/>
      <c r="E19" s="32"/>
      <c r="F19" s="32"/>
      <c r="G19" s="32"/>
    </row>
    <row r="20" spans="2:8" ht="20" customHeight="1" x14ac:dyDescent="0.2">
      <c r="C20" s="3" t="s">
        <v>13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</row>
    <row r="21" spans="2:8" x14ac:dyDescent="0.2">
      <c r="C21" s="4" t="s">
        <v>19</v>
      </c>
      <c r="D21" s="5">
        <f>Optimizer!C6</f>
        <v>0.05</v>
      </c>
      <c r="E21" s="5">
        <f>Optimizer!D6</f>
        <v>0.95</v>
      </c>
      <c r="F21" s="5">
        <f>Optimizer!E6</f>
        <v>0</v>
      </c>
      <c r="G21" s="5">
        <f>Optimizer!F6</f>
        <v>0.24917766567538457</v>
      </c>
      <c r="H21" s="5">
        <f>Optimizer!G6</f>
        <v>0.1279266418861115</v>
      </c>
    </row>
    <row r="22" spans="2:8" x14ac:dyDescent="0.2">
      <c r="C22" s="4" t="s">
        <v>20</v>
      </c>
      <c r="D22" s="5">
        <f>Optimizer!C7</f>
        <v>0</v>
      </c>
      <c r="E22" s="5">
        <f>Optimizer!D7</f>
        <v>0</v>
      </c>
      <c r="F22" s="5">
        <f>Optimizer!E7</f>
        <v>1</v>
      </c>
      <c r="G22" s="5">
        <f>Optimizer!F7</f>
        <v>2.1046705355527218E-2</v>
      </c>
      <c r="H22" s="5">
        <f>Optimizer!G7</f>
        <v>5.4289876865504155E-2</v>
      </c>
    </row>
    <row r="23" spans="2:8" x14ac:dyDescent="0.2">
      <c r="C23" s="4" t="s">
        <v>21</v>
      </c>
      <c r="D23" s="5">
        <f>Optimizer!C8</f>
        <v>1</v>
      </c>
      <c r="E23" s="5">
        <f>Optimizer!D8</f>
        <v>0</v>
      </c>
      <c r="F23" s="5">
        <f>Optimizer!E8</f>
        <v>0</v>
      </c>
      <c r="G23" s="5">
        <f>Optimizer!F8</f>
        <v>0.34110382067468659</v>
      </c>
      <c r="H23" s="5">
        <f>Optimizer!G8</f>
        <v>0.44444130096364864</v>
      </c>
    </row>
    <row r="25" spans="2:8" x14ac:dyDescent="0.2">
      <c r="C25" s="6" t="s">
        <v>22</v>
      </c>
      <c r="D25" s="7">
        <f>Optimizer!H6</f>
        <v>1.6499898892312006</v>
      </c>
    </row>
    <row r="26" spans="2:8" x14ac:dyDescent="0.2">
      <c r="C26" s="6" t="s">
        <v>23</v>
      </c>
      <c r="D26" s="8">
        <f>'Return Stats'!C65</f>
        <v>3.8100000000000002E-2</v>
      </c>
    </row>
    <row r="28" spans="2:8" ht="16" x14ac:dyDescent="0.2">
      <c r="B28" s="33" t="s">
        <v>24</v>
      </c>
      <c r="C28" s="32"/>
      <c r="D28" s="32"/>
      <c r="E28" s="32"/>
      <c r="F28" s="32"/>
      <c r="G28" s="32"/>
    </row>
    <row r="29" spans="2:8" ht="16" x14ac:dyDescent="0.2">
      <c r="C29" s="9" t="s">
        <v>25</v>
      </c>
      <c r="D29" s="10" t="s">
        <v>26</v>
      </c>
    </row>
    <row r="30" spans="2:8" ht="16" x14ac:dyDescent="0.2">
      <c r="C30" s="11" t="s">
        <v>25</v>
      </c>
      <c r="D30" s="10" t="s">
        <v>27</v>
      </c>
    </row>
    <row r="32" spans="2:8" ht="16" x14ac:dyDescent="0.2">
      <c r="B32" s="33" t="s">
        <v>28</v>
      </c>
      <c r="C32" s="32"/>
      <c r="D32" s="32"/>
      <c r="E32" s="32"/>
      <c r="F32" s="32"/>
      <c r="G32" s="32"/>
    </row>
    <row r="33" spans="3:7" x14ac:dyDescent="0.2">
      <c r="C33" s="35" t="s">
        <v>29</v>
      </c>
      <c r="D33" s="32"/>
      <c r="E33" s="32"/>
      <c r="F33" s="32"/>
      <c r="G33" s="32"/>
    </row>
    <row r="34" spans="3:7" x14ac:dyDescent="0.2">
      <c r="C34" s="32"/>
      <c r="D34" s="32"/>
      <c r="E34" s="32"/>
      <c r="F34" s="32"/>
      <c r="G34" s="32"/>
    </row>
  </sheetData>
  <mergeCells count="14">
    <mergeCell ref="C33:G34"/>
    <mergeCell ref="B32:G32"/>
    <mergeCell ref="B6:G6"/>
    <mergeCell ref="C14:G14"/>
    <mergeCell ref="C17:G17"/>
    <mergeCell ref="C13:G13"/>
    <mergeCell ref="B2:G2"/>
    <mergeCell ref="B11:G11"/>
    <mergeCell ref="C12:G12"/>
    <mergeCell ref="B28:G28"/>
    <mergeCell ref="C16:G16"/>
    <mergeCell ref="B19:G19"/>
    <mergeCell ref="C7:G9"/>
    <mergeCell ref="C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05496"/>
  </sheetPr>
  <dimension ref="B2:E39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4" customWidth="1"/>
    <col min="3" max="4" width="16" customWidth="1"/>
    <col min="5" max="5" width="20" customWidth="1"/>
  </cols>
  <sheetData>
    <row r="2" spans="2:5" ht="19" x14ac:dyDescent="0.2">
      <c r="B2" s="36" t="s">
        <v>30</v>
      </c>
      <c r="C2" s="32"/>
      <c r="D2" s="32"/>
      <c r="E2" s="32"/>
    </row>
    <row r="3" spans="2:5" x14ac:dyDescent="0.2">
      <c r="B3" s="2" t="s">
        <v>31</v>
      </c>
    </row>
    <row r="5" spans="2:5" ht="30" customHeight="1" x14ac:dyDescent="0.2">
      <c r="B5" s="3" t="s">
        <v>32</v>
      </c>
      <c r="C5" s="3" t="s">
        <v>33</v>
      </c>
      <c r="D5" s="3" t="s">
        <v>34</v>
      </c>
      <c r="E5" s="3" t="s">
        <v>35</v>
      </c>
    </row>
    <row r="6" spans="2:5" x14ac:dyDescent="0.2">
      <c r="B6" s="12">
        <v>45200</v>
      </c>
      <c r="C6" s="13">
        <v>8.1999999999999993</v>
      </c>
      <c r="D6" s="13">
        <v>418.2</v>
      </c>
      <c r="E6" s="13">
        <v>92.31</v>
      </c>
    </row>
    <row r="7" spans="2:5" x14ac:dyDescent="0.2">
      <c r="B7" s="12">
        <v>45231</v>
      </c>
      <c r="C7" s="13">
        <v>8.14</v>
      </c>
      <c r="D7" s="13">
        <v>456.4</v>
      </c>
      <c r="E7" s="13">
        <v>96.26</v>
      </c>
    </row>
    <row r="8" spans="2:5" x14ac:dyDescent="0.2">
      <c r="B8" s="12">
        <v>45261</v>
      </c>
      <c r="C8" s="13">
        <v>8.33</v>
      </c>
      <c r="D8" s="13">
        <v>475.31</v>
      </c>
      <c r="E8" s="13">
        <v>99.25</v>
      </c>
    </row>
    <row r="9" spans="2:5" x14ac:dyDescent="0.2">
      <c r="B9" s="12">
        <v>45292</v>
      </c>
      <c r="C9" s="13">
        <v>8.61</v>
      </c>
      <c r="D9" s="13">
        <v>482.88</v>
      </c>
      <c r="E9" s="13">
        <v>99.1</v>
      </c>
    </row>
    <row r="10" spans="2:5" x14ac:dyDescent="0.2">
      <c r="B10" s="12">
        <v>45323</v>
      </c>
      <c r="C10" s="13">
        <v>11.08</v>
      </c>
      <c r="D10" s="13">
        <v>508.08</v>
      </c>
      <c r="E10" s="13">
        <v>97.35</v>
      </c>
    </row>
    <row r="11" spans="2:5" x14ac:dyDescent="0.2">
      <c r="B11" s="12">
        <v>45352</v>
      </c>
      <c r="C11" s="13">
        <v>11.93</v>
      </c>
      <c r="D11" s="13">
        <v>523.07000000000005</v>
      </c>
      <c r="E11" s="13">
        <v>97.94</v>
      </c>
    </row>
    <row r="12" spans="2:5" x14ac:dyDescent="0.2">
      <c r="B12" s="12">
        <v>45383</v>
      </c>
      <c r="C12" s="13">
        <v>10.86</v>
      </c>
      <c r="D12" s="13">
        <v>501.98</v>
      </c>
      <c r="E12" s="13">
        <v>95.23</v>
      </c>
    </row>
    <row r="13" spans="2:5" x14ac:dyDescent="0.2">
      <c r="B13" s="12">
        <v>45413</v>
      </c>
      <c r="C13" s="13">
        <v>11.88</v>
      </c>
      <c r="D13" s="13">
        <v>527.37</v>
      </c>
      <c r="E13" s="13">
        <v>96.52</v>
      </c>
    </row>
    <row r="14" spans="2:5" x14ac:dyDescent="0.2">
      <c r="B14" s="12">
        <v>45444</v>
      </c>
      <c r="C14" s="13">
        <v>12.89</v>
      </c>
      <c r="D14" s="13">
        <v>544.22</v>
      </c>
      <c r="E14" s="13">
        <v>97.07</v>
      </c>
    </row>
    <row r="15" spans="2:5" x14ac:dyDescent="0.2">
      <c r="B15" s="12">
        <v>45474</v>
      </c>
      <c r="C15" s="13">
        <v>12.13</v>
      </c>
      <c r="D15" s="13">
        <v>550.80999999999995</v>
      </c>
      <c r="E15" s="13">
        <v>99.11</v>
      </c>
    </row>
    <row r="16" spans="2:5" x14ac:dyDescent="0.2">
      <c r="B16" s="12">
        <v>45505</v>
      </c>
      <c r="C16" s="13">
        <v>14.97</v>
      </c>
      <c r="D16" s="13">
        <v>563.67999999999995</v>
      </c>
      <c r="E16" s="13">
        <v>100.25</v>
      </c>
    </row>
    <row r="17" spans="2:5" x14ac:dyDescent="0.2">
      <c r="B17" s="12">
        <v>45536</v>
      </c>
      <c r="C17" s="13">
        <v>13.65</v>
      </c>
      <c r="D17" s="13">
        <v>573.76</v>
      </c>
      <c r="E17" s="13">
        <v>101.27</v>
      </c>
    </row>
    <row r="18" spans="2:5" x14ac:dyDescent="0.2">
      <c r="B18" s="12">
        <v>45566</v>
      </c>
      <c r="C18" s="13">
        <v>15.09</v>
      </c>
      <c r="D18" s="13">
        <v>568.64</v>
      </c>
      <c r="E18" s="13">
        <v>98.42</v>
      </c>
    </row>
    <row r="19" spans="2:5" x14ac:dyDescent="0.2">
      <c r="B19" s="12">
        <v>45597</v>
      </c>
      <c r="C19" s="13">
        <v>12.53</v>
      </c>
      <c r="D19" s="13">
        <v>602.54999999999995</v>
      </c>
      <c r="E19" s="13">
        <v>99.2</v>
      </c>
    </row>
    <row r="20" spans="2:5" x14ac:dyDescent="0.2">
      <c r="B20" s="12">
        <v>45627</v>
      </c>
      <c r="C20" s="13">
        <v>10.36</v>
      </c>
      <c r="D20" s="13">
        <v>586.08000000000004</v>
      </c>
      <c r="E20" s="13">
        <v>96.9</v>
      </c>
    </row>
    <row r="21" spans="2:5" x14ac:dyDescent="0.2">
      <c r="B21" s="12">
        <v>45658</v>
      </c>
      <c r="C21" s="13">
        <v>13.24</v>
      </c>
      <c r="D21" s="13">
        <v>601.82000000000005</v>
      </c>
      <c r="E21" s="13">
        <v>97.4</v>
      </c>
    </row>
    <row r="22" spans="2:5" x14ac:dyDescent="0.2">
      <c r="B22" s="12">
        <v>45689</v>
      </c>
      <c r="C22" s="13">
        <v>10.75</v>
      </c>
      <c r="D22" s="13">
        <v>594.17999999999995</v>
      </c>
      <c r="E22" s="13">
        <v>99.25</v>
      </c>
    </row>
    <row r="23" spans="2:5" x14ac:dyDescent="0.2">
      <c r="B23" s="12">
        <v>45717</v>
      </c>
      <c r="C23" s="13">
        <v>10.24</v>
      </c>
      <c r="D23" s="13">
        <v>559.39</v>
      </c>
      <c r="E23" s="13">
        <v>98.92</v>
      </c>
    </row>
    <row r="24" spans="2:5" x14ac:dyDescent="0.2">
      <c r="B24" s="12">
        <v>45748</v>
      </c>
      <c r="C24" s="13">
        <v>12.43</v>
      </c>
      <c r="D24" s="13">
        <v>554.54</v>
      </c>
      <c r="E24" s="13">
        <v>99.02</v>
      </c>
    </row>
    <row r="25" spans="2:5" x14ac:dyDescent="0.2">
      <c r="B25" s="12">
        <v>45778</v>
      </c>
      <c r="C25" s="13">
        <v>12.01</v>
      </c>
      <c r="D25" s="13">
        <v>589.39</v>
      </c>
      <c r="E25" s="13">
        <v>98.1</v>
      </c>
    </row>
    <row r="26" spans="2:5" x14ac:dyDescent="0.2">
      <c r="B26" s="12">
        <v>45809</v>
      </c>
      <c r="C26" s="13">
        <v>13.72</v>
      </c>
      <c r="D26" s="13">
        <v>617.85</v>
      </c>
      <c r="E26" s="13">
        <v>99.2</v>
      </c>
    </row>
    <row r="27" spans="2:5" x14ac:dyDescent="0.2">
      <c r="B27" s="12">
        <v>45839</v>
      </c>
      <c r="C27" s="13">
        <v>12.22</v>
      </c>
      <c r="D27" s="13">
        <v>632.08000000000004</v>
      </c>
      <c r="E27" s="13">
        <v>98.62</v>
      </c>
    </row>
    <row r="28" spans="2:5" x14ac:dyDescent="0.2">
      <c r="B28" s="12">
        <v>45870</v>
      </c>
      <c r="C28" s="13">
        <v>14.8</v>
      </c>
      <c r="D28" s="13">
        <v>645.04999999999995</v>
      </c>
      <c r="E28" s="13">
        <v>99.46</v>
      </c>
    </row>
    <row r="29" spans="2:5" x14ac:dyDescent="0.2">
      <c r="B29" s="12">
        <v>45901</v>
      </c>
      <c r="C29" s="13">
        <v>16.010000000000002</v>
      </c>
      <c r="D29" s="13">
        <v>666.18</v>
      </c>
      <c r="E29" s="13">
        <v>100.25</v>
      </c>
    </row>
    <row r="30" spans="2:5" x14ac:dyDescent="0.2">
      <c r="B30" s="12">
        <v>45931</v>
      </c>
      <c r="C30" s="13">
        <v>16.11</v>
      </c>
      <c r="D30" s="13">
        <v>682.06</v>
      </c>
      <c r="E30" s="13">
        <v>100.54</v>
      </c>
    </row>
    <row r="31" spans="2:5" x14ac:dyDescent="0.2">
      <c r="B31" s="12">
        <v>45962</v>
      </c>
      <c r="C31" s="13">
        <v>17.39</v>
      </c>
      <c r="D31" s="13">
        <v>683.39</v>
      </c>
      <c r="E31" s="13">
        <v>100.82</v>
      </c>
    </row>
    <row r="32" spans="2:5" x14ac:dyDescent="0.2">
      <c r="B32" s="12">
        <v>45992</v>
      </c>
      <c r="C32" s="13">
        <v>16.739999999999998</v>
      </c>
      <c r="D32" s="13">
        <v>681.92</v>
      </c>
      <c r="E32" s="13">
        <v>99.88</v>
      </c>
    </row>
    <row r="33" spans="2:5" x14ac:dyDescent="0.2">
      <c r="B33" s="12">
        <v>46023</v>
      </c>
      <c r="C33" s="13">
        <v>17.75</v>
      </c>
      <c r="D33" s="13">
        <v>691.97</v>
      </c>
      <c r="E33" s="13">
        <v>100.13</v>
      </c>
    </row>
    <row r="34" spans="2:5" x14ac:dyDescent="0.2">
      <c r="B34" s="12">
        <v>46054</v>
      </c>
      <c r="C34" s="13">
        <v>14.98</v>
      </c>
      <c r="D34" s="13">
        <v>685.99</v>
      </c>
      <c r="E34" s="13">
        <v>101.4</v>
      </c>
    </row>
    <row r="35" spans="2:5" x14ac:dyDescent="0.2">
      <c r="B35" s="12">
        <v>46082</v>
      </c>
      <c r="C35" s="13">
        <v>14.37</v>
      </c>
      <c r="D35" s="13">
        <v>650.34</v>
      </c>
      <c r="E35" s="13">
        <v>99.27</v>
      </c>
    </row>
    <row r="36" spans="2:5" x14ac:dyDescent="0.2">
      <c r="B36" s="12">
        <v>46113</v>
      </c>
      <c r="C36" s="13">
        <v>14.48</v>
      </c>
      <c r="D36" s="13">
        <v>718.66</v>
      </c>
      <c r="E36" s="13">
        <v>99.1</v>
      </c>
    </row>
    <row r="37" spans="2:5" x14ac:dyDescent="0.2">
      <c r="B37" s="12">
        <v>46143</v>
      </c>
      <c r="C37" s="13">
        <v>13.13</v>
      </c>
      <c r="D37" s="13">
        <v>756.48</v>
      </c>
      <c r="E37" s="13">
        <v>99.06</v>
      </c>
    </row>
    <row r="38" spans="2:5" x14ac:dyDescent="0.2">
      <c r="B38" s="12">
        <v>46174</v>
      </c>
      <c r="C38" s="13">
        <v>13.36</v>
      </c>
      <c r="D38" s="13">
        <v>746.77</v>
      </c>
      <c r="E38" s="13">
        <v>98.98</v>
      </c>
    </row>
    <row r="39" spans="2:5" x14ac:dyDescent="0.2">
      <c r="B39" s="12">
        <v>46204</v>
      </c>
      <c r="C39" s="13">
        <v>14.33</v>
      </c>
      <c r="D39" s="13">
        <v>747.03</v>
      </c>
      <c r="E39" s="13">
        <v>97.37</v>
      </c>
    </row>
  </sheetData>
  <mergeCells count="1"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05496"/>
  </sheetPr>
  <dimension ref="B2:E65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26" customWidth="1"/>
    <col min="3" max="5" width="16" customWidth="1"/>
    <col min="6" max="6" width="4" customWidth="1"/>
  </cols>
  <sheetData>
    <row r="2" spans="2:5" ht="19" x14ac:dyDescent="0.2">
      <c r="B2" s="36" t="s">
        <v>36</v>
      </c>
      <c r="C2" s="32"/>
      <c r="D2" s="32"/>
      <c r="E2" s="32"/>
    </row>
    <row r="4" spans="2:5" ht="28" customHeight="1" x14ac:dyDescent="0.2">
      <c r="B4" s="3" t="s">
        <v>32</v>
      </c>
      <c r="C4" s="3" t="s">
        <v>37</v>
      </c>
      <c r="D4" s="3" t="s">
        <v>38</v>
      </c>
      <c r="E4" s="3" t="s">
        <v>39</v>
      </c>
    </row>
    <row r="5" spans="2:5" x14ac:dyDescent="0.2">
      <c r="B5" s="14">
        <f>'Price Data'!B7</f>
        <v>45231</v>
      </c>
      <c r="C5" s="5">
        <f>'Price Data'!C7/'Price Data'!C6-1</f>
        <v>-7.3170731707316028E-3</v>
      </c>
      <c r="D5" s="5">
        <f>'Price Data'!D7/'Price Data'!D6-1</f>
        <v>9.1343854615016706E-2</v>
      </c>
      <c r="E5" s="5">
        <f>'Price Data'!E7/'Price Data'!E6-1</f>
        <v>4.2790596901744138E-2</v>
      </c>
    </row>
    <row r="6" spans="2:5" x14ac:dyDescent="0.2">
      <c r="B6" s="14">
        <f>'Price Data'!B8</f>
        <v>45261</v>
      </c>
      <c r="C6" s="5">
        <f>'Price Data'!C8/'Price Data'!C7-1</f>
        <v>2.3341523341523285E-2</v>
      </c>
      <c r="D6" s="5">
        <f>'Price Data'!D8/'Price Data'!D7-1</f>
        <v>4.1432953549517926E-2</v>
      </c>
      <c r="E6" s="5">
        <f>'Price Data'!E8/'Price Data'!E7-1</f>
        <v>3.1061707874506572E-2</v>
      </c>
    </row>
    <row r="7" spans="2:5" x14ac:dyDescent="0.2">
      <c r="B7" s="14">
        <f>'Price Data'!B9</f>
        <v>45292</v>
      </c>
      <c r="C7" s="5">
        <f>'Price Data'!C9/'Price Data'!C8-1</f>
        <v>3.3613445378151141E-2</v>
      </c>
      <c r="D7" s="5">
        <f>'Price Data'!D9/'Price Data'!D8-1</f>
        <v>1.592644800235643E-2</v>
      </c>
      <c r="E7" s="5">
        <f>'Price Data'!E9/'Price Data'!E8-1</f>
        <v>-1.5113350125944836E-3</v>
      </c>
    </row>
    <row r="8" spans="2:5" x14ac:dyDescent="0.2">
      <c r="B8" s="14">
        <f>'Price Data'!B10</f>
        <v>45323</v>
      </c>
      <c r="C8" s="5">
        <f>'Price Data'!C10/'Price Data'!C9-1</f>
        <v>0.28687572590011623</v>
      </c>
      <c r="D8" s="5">
        <f>'Price Data'!D10/'Price Data'!D9-1</f>
        <v>5.2186878727634278E-2</v>
      </c>
      <c r="E8" s="5">
        <f>'Price Data'!E10/'Price Data'!E9-1</f>
        <v>-1.7658930373360193E-2</v>
      </c>
    </row>
    <row r="9" spans="2:5" x14ac:dyDescent="0.2">
      <c r="B9" s="14">
        <f>'Price Data'!B11</f>
        <v>45352</v>
      </c>
      <c r="C9" s="5">
        <f>'Price Data'!C11/'Price Data'!C10-1</f>
        <v>7.6714801444043301E-2</v>
      </c>
      <c r="D9" s="5">
        <f>'Price Data'!D11/'Price Data'!D10-1</f>
        <v>2.9503227838135748E-2</v>
      </c>
      <c r="E9" s="5">
        <f>'Price Data'!E11/'Price Data'!E10-1</f>
        <v>6.0606060606060996E-3</v>
      </c>
    </row>
    <row r="10" spans="2:5" x14ac:dyDescent="0.2">
      <c r="B10" s="14">
        <f>'Price Data'!B12</f>
        <v>45383</v>
      </c>
      <c r="C10" s="5">
        <f>'Price Data'!C12/'Price Data'!C11-1</f>
        <v>-8.9689857502095571E-2</v>
      </c>
      <c r="D10" s="5">
        <f>'Price Data'!D12/'Price Data'!D11-1</f>
        <v>-4.0319651289502434E-2</v>
      </c>
      <c r="E10" s="5">
        <f>'Price Data'!E12/'Price Data'!E11-1</f>
        <v>-2.7670002042066488E-2</v>
      </c>
    </row>
    <row r="11" spans="2:5" x14ac:dyDescent="0.2">
      <c r="B11" s="14">
        <f>'Price Data'!B13</f>
        <v>45413</v>
      </c>
      <c r="C11" s="5">
        <f>'Price Data'!C13/'Price Data'!C12-1</f>
        <v>9.3922651933701751E-2</v>
      </c>
      <c r="D11" s="5">
        <f>'Price Data'!D13/'Price Data'!D12-1</f>
        <v>5.0579704370691925E-2</v>
      </c>
      <c r="E11" s="5">
        <f>'Price Data'!E13/'Price Data'!E12-1</f>
        <v>1.3546151422870967E-2</v>
      </c>
    </row>
    <row r="12" spans="2:5" x14ac:dyDescent="0.2">
      <c r="B12" s="14">
        <f>'Price Data'!B14</f>
        <v>45444</v>
      </c>
      <c r="C12" s="5">
        <f>'Price Data'!C14/'Price Data'!C13-1</f>
        <v>8.5016835016834991E-2</v>
      </c>
      <c r="D12" s="5">
        <f>'Price Data'!D14/'Price Data'!D13-1</f>
        <v>3.1951002142708296E-2</v>
      </c>
      <c r="E12" s="5">
        <f>'Price Data'!E14/'Price Data'!E13-1</f>
        <v>5.6983008702859994E-3</v>
      </c>
    </row>
    <row r="13" spans="2:5" x14ac:dyDescent="0.2">
      <c r="B13" s="14">
        <f>'Price Data'!B15</f>
        <v>45474</v>
      </c>
      <c r="C13" s="5">
        <f>'Price Data'!C15/'Price Data'!C14-1</f>
        <v>-5.8960434445306409E-2</v>
      </c>
      <c r="D13" s="5">
        <f>'Price Data'!D15/'Price Data'!D14-1</f>
        <v>1.2109073536437309E-2</v>
      </c>
      <c r="E13" s="5">
        <f>'Price Data'!E15/'Price Data'!E14-1</f>
        <v>2.1015761821365997E-2</v>
      </c>
    </row>
    <row r="14" spans="2:5" x14ac:dyDescent="0.2">
      <c r="B14" s="14">
        <f>'Price Data'!B16</f>
        <v>45505</v>
      </c>
      <c r="C14" s="5">
        <f>'Price Data'!C16/'Price Data'!C15-1</f>
        <v>0.23413025556471556</v>
      </c>
      <c r="D14" s="5">
        <f>'Price Data'!D16/'Price Data'!D15-1</f>
        <v>2.3365588860042585E-2</v>
      </c>
      <c r="E14" s="5">
        <f>'Price Data'!E16/'Price Data'!E15-1</f>
        <v>1.1502371102815045E-2</v>
      </c>
    </row>
    <row r="15" spans="2:5" x14ac:dyDescent="0.2">
      <c r="B15" s="14">
        <f>'Price Data'!B17</f>
        <v>45536</v>
      </c>
      <c r="C15" s="5">
        <f>'Price Data'!C17/'Price Data'!C16-1</f>
        <v>-8.8176352705410799E-2</v>
      </c>
      <c r="D15" s="5">
        <f>'Price Data'!D17/'Price Data'!D16-1</f>
        <v>1.7882486517172946E-2</v>
      </c>
      <c r="E15" s="5">
        <f>'Price Data'!E17/'Price Data'!E16-1</f>
        <v>1.0174563591022423E-2</v>
      </c>
    </row>
    <row r="16" spans="2:5" x14ac:dyDescent="0.2">
      <c r="B16" s="14">
        <f>'Price Data'!B18</f>
        <v>45566</v>
      </c>
      <c r="C16" s="5">
        <f>'Price Data'!C18/'Price Data'!C17-1</f>
        <v>0.10549450549450556</v>
      </c>
      <c r="D16" s="5">
        <f>'Price Data'!D18/'Price Data'!D17-1</f>
        <v>-8.9235917456776948E-3</v>
      </c>
      <c r="E16" s="5">
        <f>'Price Data'!E18/'Price Data'!E17-1</f>
        <v>-2.814258911819878E-2</v>
      </c>
    </row>
    <row r="17" spans="2:5" x14ac:dyDescent="0.2">
      <c r="B17" s="14">
        <f>'Price Data'!B19</f>
        <v>45597</v>
      </c>
      <c r="C17" s="5">
        <f>'Price Data'!C19/'Price Data'!C18-1</f>
        <v>-0.16964877402253153</v>
      </c>
      <c r="D17" s="5">
        <f>'Price Data'!D19/'Price Data'!D18-1</f>
        <v>5.9633511536297146E-2</v>
      </c>
      <c r="E17" s="5">
        <f>'Price Data'!E19/'Price Data'!E18-1</f>
        <v>7.9252184515341551E-3</v>
      </c>
    </row>
    <row r="18" spans="2:5" x14ac:dyDescent="0.2">
      <c r="B18" s="14">
        <f>'Price Data'!B20</f>
        <v>45627</v>
      </c>
      <c r="C18" s="5">
        <f>'Price Data'!C20/'Price Data'!C19-1</f>
        <v>-0.17318435754189943</v>
      </c>
      <c r="D18" s="5">
        <f>'Price Data'!D20/'Price Data'!D19-1</f>
        <v>-2.7333831217326243E-2</v>
      </c>
      <c r="E18" s="5">
        <f>'Price Data'!E20/'Price Data'!E19-1</f>
        <v>-2.3185483870967749E-2</v>
      </c>
    </row>
    <row r="19" spans="2:5" x14ac:dyDescent="0.2">
      <c r="B19" s="14">
        <f>'Price Data'!B21</f>
        <v>45658</v>
      </c>
      <c r="C19" s="5">
        <f>'Price Data'!C21/'Price Data'!C20-1</f>
        <v>0.2779922779922781</v>
      </c>
      <c r="D19" s="5">
        <f>'Price Data'!D21/'Price Data'!D20-1</f>
        <v>2.6856401856401924E-2</v>
      </c>
      <c r="E19" s="5">
        <f>'Price Data'!E21/'Price Data'!E20-1</f>
        <v>5.1599587203301489E-3</v>
      </c>
    </row>
    <row r="20" spans="2:5" x14ac:dyDescent="0.2">
      <c r="B20" s="14">
        <f>'Price Data'!B22</f>
        <v>45689</v>
      </c>
      <c r="C20" s="5">
        <f>'Price Data'!C22/'Price Data'!C21-1</f>
        <v>-0.1880664652567976</v>
      </c>
      <c r="D20" s="5">
        <f>'Price Data'!D22/'Price Data'!D21-1</f>
        <v>-1.2694825695390821E-2</v>
      </c>
      <c r="E20" s="5">
        <f>'Price Data'!E22/'Price Data'!E21-1</f>
        <v>1.8993839835728998E-2</v>
      </c>
    </row>
    <row r="21" spans="2:5" x14ac:dyDescent="0.2">
      <c r="B21" s="14">
        <f>'Price Data'!B23</f>
        <v>45717</v>
      </c>
      <c r="C21" s="5">
        <f>'Price Data'!C23/'Price Data'!C22-1</f>
        <v>-4.7441860465116226E-2</v>
      </c>
      <c r="D21" s="5">
        <f>'Price Data'!D23/'Price Data'!D22-1</f>
        <v>-5.8551280756673041E-2</v>
      </c>
      <c r="E21" s="5">
        <f>'Price Data'!E23/'Price Data'!E22-1</f>
        <v>-3.3249370277077528E-3</v>
      </c>
    </row>
    <row r="22" spans="2:5" x14ac:dyDescent="0.2">
      <c r="B22" s="14">
        <f>'Price Data'!B24</f>
        <v>45748</v>
      </c>
      <c r="C22" s="5">
        <f>'Price Data'!C24/'Price Data'!C23-1</f>
        <v>0.2138671875</v>
      </c>
      <c r="D22" s="5">
        <f>'Price Data'!D24/'Price Data'!D23-1</f>
        <v>-8.6701585655803992E-3</v>
      </c>
      <c r="E22" s="5">
        <f>'Price Data'!E24/'Price Data'!E23-1</f>
        <v>1.0109179134654145E-3</v>
      </c>
    </row>
    <row r="23" spans="2:5" x14ac:dyDescent="0.2">
      <c r="B23" s="14">
        <f>'Price Data'!B25</f>
        <v>45778</v>
      </c>
      <c r="C23" s="5">
        <f>'Price Data'!C25/'Price Data'!C24-1</f>
        <v>-3.3789219629927536E-2</v>
      </c>
      <c r="D23" s="5">
        <f>'Price Data'!D25/'Price Data'!D24-1</f>
        <v>6.2844880441446982E-2</v>
      </c>
      <c r="E23" s="5">
        <f>'Price Data'!E25/'Price Data'!E24-1</f>
        <v>-9.2910523126641387E-3</v>
      </c>
    </row>
    <row r="24" spans="2:5" x14ac:dyDescent="0.2">
      <c r="B24" s="14">
        <f>'Price Data'!B26</f>
        <v>45809</v>
      </c>
      <c r="C24" s="5">
        <f>'Price Data'!C26/'Price Data'!C25-1</f>
        <v>0.1423813488759369</v>
      </c>
      <c r="D24" s="5">
        <f>'Price Data'!D26/'Price Data'!D25-1</f>
        <v>4.8287212202446694E-2</v>
      </c>
      <c r="E24" s="5">
        <f>'Price Data'!E26/'Price Data'!E25-1</f>
        <v>1.1213047910295648E-2</v>
      </c>
    </row>
    <row r="25" spans="2:5" x14ac:dyDescent="0.2">
      <c r="B25" s="14">
        <f>'Price Data'!B27</f>
        <v>45839</v>
      </c>
      <c r="C25" s="5">
        <f>'Price Data'!C27/'Price Data'!C26-1</f>
        <v>-0.10932944606413997</v>
      </c>
      <c r="D25" s="5">
        <f>'Price Data'!D27/'Price Data'!D26-1</f>
        <v>2.3031480132718274E-2</v>
      </c>
      <c r="E25" s="5">
        <f>'Price Data'!E27/'Price Data'!E26-1</f>
        <v>-5.8467741935483986E-3</v>
      </c>
    </row>
    <row r="26" spans="2:5" x14ac:dyDescent="0.2">
      <c r="B26" s="14">
        <f>'Price Data'!B28</f>
        <v>45870</v>
      </c>
      <c r="C26" s="5">
        <f>'Price Data'!C28/'Price Data'!C27-1</f>
        <v>0.21112929623567922</v>
      </c>
      <c r="D26" s="5">
        <f>'Price Data'!D28/'Price Data'!D27-1</f>
        <v>2.0519554486773783E-2</v>
      </c>
      <c r="E26" s="5">
        <f>'Price Data'!E28/'Price Data'!E27-1</f>
        <v>8.5175420807137581E-3</v>
      </c>
    </row>
    <row r="27" spans="2:5" x14ac:dyDescent="0.2">
      <c r="B27" s="14">
        <f>'Price Data'!B29</f>
        <v>45901</v>
      </c>
      <c r="C27" s="5">
        <f>'Price Data'!C29/'Price Data'!C28-1</f>
        <v>8.1756756756756754E-2</v>
      </c>
      <c r="D27" s="5">
        <f>'Price Data'!D29/'Price Data'!D28-1</f>
        <v>3.2757150608480057E-2</v>
      </c>
      <c r="E27" s="5">
        <f>'Price Data'!E29/'Price Data'!E28-1</f>
        <v>7.942891614719505E-3</v>
      </c>
    </row>
    <row r="28" spans="2:5" x14ac:dyDescent="0.2">
      <c r="B28" s="14">
        <f>'Price Data'!B30</f>
        <v>45931</v>
      </c>
      <c r="C28" s="5">
        <f>'Price Data'!C30/'Price Data'!C29-1</f>
        <v>6.2460961898811451E-3</v>
      </c>
      <c r="D28" s="5">
        <f>'Price Data'!D30/'Price Data'!D29-1</f>
        <v>2.38374013029512E-2</v>
      </c>
      <c r="E28" s="5">
        <f>'Price Data'!E30/'Price Data'!E29-1</f>
        <v>2.8927680798005451E-3</v>
      </c>
    </row>
    <row r="29" spans="2:5" x14ac:dyDescent="0.2">
      <c r="B29" s="14">
        <f>'Price Data'!B31</f>
        <v>45962</v>
      </c>
      <c r="C29" s="5">
        <f>'Price Data'!C31/'Price Data'!C30-1</f>
        <v>7.9453755431409201E-2</v>
      </c>
      <c r="D29" s="5">
        <f>'Price Data'!D31/'Price Data'!D30-1</f>
        <v>1.9499750755065381E-3</v>
      </c>
      <c r="E29" s="5">
        <f>'Price Data'!E31/'Price Data'!E30-1</f>
        <v>2.7849612094688059E-3</v>
      </c>
    </row>
    <row r="30" spans="2:5" x14ac:dyDescent="0.2">
      <c r="B30" s="14">
        <f>'Price Data'!B32</f>
        <v>45992</v>
      </c>
      <c r="C30" s="5">
        <f>'Price Data'!C32/'Price Data'!C31-1</f>
        <v>-3.7377803335250315E-2</v>
      </c>
      <c r="D30" s="5">
        <f>'Price Data'!D32/'Price Data'!D31-1</f>
        <v>-2.1510411331743251E-3</v>
      </c>
      <c r="E30" s="5">
        <f>'Price Data'!E32/'Price Data'!E31-1</f>
        <v>-9.3235469152945782E-3</v>
      </c>
    </row>
    <row r="31" spans="2:5" x14ac:dyDescent="0.2">
      <c r="B31" s="14">
        <f>'Price Data'!B33</f>
        <v>46023</v>
      </c>
      <c r="C31" s="5">
        <f>'Price Data'!C33/'Price Data'!C32-1</f>
        <v>6.0334528076463556E-2</v>
      </c>
      <c r="D31" s="5">
        <f>'Price Data'!D33/'Price Data'!D32-1</f>
        <v>1.4737799155326137E-2</v>
      </c>
      <c r="E31" s="5">
        <f>'Price Data'!E33/'Price Data'!E32-1</f>
        <v>2.5030036043252046E-3</v>
      </c>
    </row>
    <row r="32" spans="2:5" x14ac:dyDescent="0.2">
      <c r="B32" s="14">
        <f>'Price Data'!B34</f>
        <v>46054</v>
      </c>
      <c r="C32" s="5">
        <f>'Price Data'!C34/'Price Data'!C33-1</f>
        <v>-0.15605633802816898</v>
      </c>
      <c r="D32" s="5">
        <f>'Price Data'!D34/'Price Data'!D33-1</f>
        <v>-8.6419931499920333E-3</v>
      </c>
      <c r="E32" s="5">
        <f>'Price Data'!E34/'Price Data'!E33-1</f>
        <v>1.2683511435134465E-2</v>
      </c>
    </row>
    <row r="33" spans="2:5" x14ac:dyDescent="0.2">
      <c r="B33" s="14">
        <f>'Price Data'!B35</f>
        <v>46082</v>
      </c>
      <c r="C33" s="5">
        <f>'Price Data'!C35/'Price Data'!C34-1</f>
        <v>-4.0720961281708989E-2</v>
      </c>
      <c r="D33" s="5">
        <f>'Price Data'!D35/'Price Data'!D34-1</f>
        <v>-5.1968687590198126E-2</v>
      </c>
      <c r="E33" s="5">
        <f>'Price Data'!E35/'Price Data'!E34-1</f>
        <v>-2.100591715976341E-2</v>
      </c>
    </row>
    <row r="34" spans="2:5" x14ac:dyDescent="0.2">
      <c r="B34" s="14">
        <f>'Price Data'!B36</f>
        <v>46113</v>
      </c>
      <c r="C34" s="5">
        <f>'Price Data'!C36/'Price Data'!C35-1</f>
        <v>7.6548364648574285E-3</v>
      </c>
      <c r="D34" s="5">
        <f>'Price Data'!D36/'Price Data'!D35-1</f>
        <v>0.10505274164283285</v>
      </c>
      <c r="E34" s="5">
        <f>'Price Data'!E36/'Price Data'!E35-1</f>
        <v>-1.7125012591920896E-3</v>
      </c>
    </row>
    <row r="35" spans="2:5" x14ac:dyDescent="0.2">
      <c r="B35" s="14">
        <f>'Price Data'!B37</f>
        <v>46143</v>
      </c>
      <c r="C35" s="5">
        <f>'Price Data'!C37/'Price Data'!C36-1</f>
        <v>-9.323204419889497E-2</v>
      </c>
      <c r="D35" s="5">
        <f>'Price Data'!D37/'Price Data'!D36-1</f>
        <v>5.262572009016786E-2</v>
      </c>
      <c r="E35" s="5">
        <f>'Price Data'!E37/'Price Data'!E36-1</f>
        <v>-4.0363269424814607E-4</v>
      </c>
    </row>
    <row r="36" spans="2:5" x14ac:dyDescent="0.2">
      <c r="B36" s="14">
        <f>'Price Data'!B38</f>
        <v>46174</v>
      </c>
      <c r="C36" s="5">
        <f>'Price Data'!C38/'Price Data'!C37-1</f>
        <v>1.7517136329017413E-2</v>
      </c>
      <c r="D36" s="5">
        <f>'Price Data'!D38/'Price Data'!D37-1</f>
        <v>-1.2835765651438291E-2</v>
      </c>
      <c r="E36" s="5">
        <f>'Price Data'!E38/'Price Data'!E37-1</f>
        <v>-8.0759135877239707E-4</v>
      </c>
    </row>
    <row r="37" spans="2:5" x14ac:dyDescent="0.2">
      <c r="B37" s="14">
        <f>'Price Data'!B39</f>
        <v>46204</v>
      </c>
      <c r="C37" s="5">
        <f>'Price Data'!C39/'Price Data'!C38-1</f>
        <v>7.2604790419161791E-2</v>
      </c>
      <c r="D37" s="5">
        <f>'Price Data'!D39/'Price Data'!D38-1</f>
        <v>3.4816610201260367E-4</v>
      </c>
      <c r="E37" s="5">
        <f>'Price Data'!E39/'Price Data'!E38-1</f>
        <v>-1.6265912305516217E-2</v>
      </c>
    </row>
    <row r="39" spans="2:5" ht="16" x14ac:dyDescent="0.2">
      <c r="B39" s="33" t="s">
        <v>40</v>
      </c>
      <c r="C39" s="32"/>
      <c r="D39" s="32"/>
      <c r="E39" s="32"/>
    </row>
    <row r="40" spans="2:5" ht="20" customHeight="1" x14ac:dyDescent="0.2">
      <c r="B40" s="3" t="s">
        <v>41</v>
      </c>
      <c r="C40" s="3" t="s">
        <v>42</v>
      </c>
      <c r="D40" s="3" t="s">
        <v>43</v>
      </c>
      <c r="E40" s="3" t="s">
        <v>44</v>
      </c>
    </row>
    <row r="41" spans="2:5" x14ac:dyDescent="0.2">
      <c r="B41" s="4" t="s">
        <v>45</v>
      </c>
      <c r="C41" s="5">
        <f>AVERAGE(C5:C37)</f>
        <v>2.4759295960516771E-2</v>
      </c>
      <c r="D41" s="5">
        <f>AVERAGE(D5:D37)</f>
        <v>1.8384011696912811E-2</v>
      </c>
      <c r="E41" s="5">
        <f>AVERAGE(E5:E37)</f>
        <v>1.7371974199042143E-3</v>
      </c>
    </row>
    <row r="42" spans="2:5" x14ac:dyDescent="0.2">
      <c r="B42" s="4" t="s">
        <v>46</v>
      </c>
      <c r="C42" s="5">
        <f>_xlfn.STDEV.S(C5:C37)</f>
        <v>0.12829915237517497</v>
      </c>
      <c r="D42" s="5">
        <f>_xlfn.STDEV.S(D5:D37)</f>
        <v>3.6906230691302229E-2</v>
      </c>
      <c r="E42" s="5">
        <f>_xlfn.STDEV.S(E5:E37)</f>
        <v>1.5672137511285229E-2</v>
      </c>
    </row>
    <row r="43" spans="2:5" x14ac:dyDescent="0.2">
      <c r="B43" s="4" t="s">
        <v>47</v>
      </c>
      <c r="C43" s="15">
        <f>(1+C41)^12-1</f>
        <v>0.34110382067468659</v>
      </c>
      <c r="D43" s="15">
        <f>(1+D41)^12-1</f>
        <v>0.2443394469912108</v>
      </c>
      <c r="E43" s="15">
        <f>(1+E41)^12-1</f>
        <v>2.1046705355527218E-2</v>
      </c>
    </row>
    <row r="44" spans="2:5" x14ac:dyDescent="0.2">
      <c r="B44" s="4" t="s">
        <v>48</v>
      </c>
      <c r="C44" s="15">
        <f>C42*SQRT(12)</f>
        <v>0.44444130096364848</v>
      </c>
      <c r="D44" s="15">
        <f>D42*SQRT(12)</f>
        <v>0.12784693334638661</v>
      </c>
      <c r="E44" s="15">
        <f>E42*SQRT(12)</f>
        <v>5.4289876865504148E-2</v>
      </c>
    </row>
    <row r="46" spans="2:5" ht="16" x14ac:dyDescent="0.2">
      <c r="B46" s="33" t="s">
        <v>49</v>
      </c>
      <c r="C46" s="32"/>
      <c r="D46" s="32"/>
      <c r="E46" s="32"/>
    </row>
    <row r="47" spans="2:5" ht="18" customHeight="1" x14ac:dyDescent="0.2">
      <c r="B47" s="3"/>
      <c r="C47" s="3" t="s">
        <v>42</v>
      </c>
      <c r="D47" s="3" t="s">
        <v>43</v>
      </c>
      <c r="E47" s="3" t="s">
        <v>44</v>
      </c>
    </row>
    <row r="48" spans="2:5" x14ac:dyDescent="0.2">
      <c r="B48" s="4" t="s">
        <v>42</v>
      </c>
      <c r="C48" s="16">
        <v>1</v>
      </c>
      <c r="D48" s="16">
        <f>CORREL(C5:C37,D5:D37)</f>
        <v>0.20752142255713982</v>
      </c>
      <c r="E48" s="16">
        <f>CORREL(C5:C37,E5:E37)</f>
        <v>8.0182453356762579E-3</v>
      </c>
    </row>
    <row r="49" spans="2:5" x14ac:dyDescent="0.2">
      <c r="B49" s="4" t="s">
        <v>43</v>
      </c>
      <c r="C49" s="16">
        <f>CORREL(D5:D37,C5:C37)</f>
        <v>0.20752142255713982</v>
      </c>
      <c r="D49" s="16">
        <v>1</v>
      </c>
      <c r="E49" s="16">
        <f>CORREL(D5:D37,E5:E37)</f>
        <v>0.46889086599539642</v>
      </c>
    </row>
    <row r="50" spans="2:5" x14ac:dyDescent="0.2">
      <c r="B50" s="4" t="s">
        <v>44</v>
      </c>
      <c r="C50" s="16">
        <f>CORREL(E5:E37,C5:C37)</f>
        <v>8.0182453356762579E-3</v>
      </c>
      <c r="D50" s="16">
        <f>CORREL(E5:E37,D5:D37)</f>
        <v>0.46889086599539642</v>
      </c>
      <c r="E50" s="16">
        <v>1</v>
      </c>
    </row>
    <row r="52" spans="2:5" ht="16" x14ac:dyDescent="0.2">
      <c r="B52" s="33" t="s">
        <v>50</v>
      </c>
      <c r="C52" s="32"/>
      <c r="D52" s="32"/>
      <c r="E52" s="32"/>
    </row>
    <row r="53" spans="2:5" ht="18" customHeight="1" x14ac:dyDescent="0.2">
      <c r="B53" s="3"/>
      <c r="C53" s="3" t="s">
        <v>42</v>
      </c>
      <c r="D53" s="3" t="s">
        <v>43</v>
      </c>
      <c r="E53" s="3" t="s">
        <v>44</v>
      </c>
    </row>
    <row r="54" spans="2:5" x14ac:dyDescent="0.2">
      <c r="B54" s="4" t="s">
        <v>42</v>
      </c>
      <c r="C54" s="17">
        <f>_xlfn.COVARIANCE.S(C5:C37,C5:C37)</f>
        <v>1.6460672500188376E-2</v>
      </c>
      <c r="D54" s="17">
        <f>_xlfn.COVARIANCE.S(C5:C37,D5:D37)</f>
        <v>9.8262184549885358E-4</v>
      </c>
      <c r="E54" s="17">
        <f>_xlfn.COVARIANCE.S(C5:C37,E5:E37)</f>
        <v>1.6122461965927012E-5</v>
      </c>
    </row>
    <row r="55" spans="2:5" x14ac:dyDescent="0.2">
      <c r="B55" s="4" t="s">
        <v>43</v>
      </c>
      <c r="C55" s="17">
        <f>_xlfn.COVARIANCE.S(D5:D37,C5:C37)</f>
        <v>9.8262184549885358E-4</v>
      </c>
      <c r="D55" s="17">
        <f>_xlfn.COVARIANCE.S(D5:D37,D5:D37)</f>
        <v>1.3620698638396186E-3</v>
      </c>
      <c r="E55" s="17">
        <f>_xlfn.COVARIANCE.S(D5:D37,E5:E37)</f>
        <v>2.7120625295757336E-4</v>
      </c>
    </row>
    <row r="56" spans="2:5" x14ac:dyDescent="0.2">
      <c r="B56" s="4" t="s">
        <v>44</v>
      </c>
      <c r="C56" s="17">
        <f>_xlfn.COVARIANCE.S(E5:E37,C5:C37)</f>
        <v>1.6122461965927012E-5</v>
      </c>
      <c r="D56" s="17">
        <f>_xlfn.COVARIANCE.S(E5:E37,D5:D37)</f>
        <v>2.7120625295757336E-4</v>
      </c>
      <c r="E56" s="17">
        <f>_xlfn.COVARIANCE.S(E5:E37,E5:E37)</f>
        <v>2.4561589417263359E-4</v>
      </c>
    </row>
    <row r="58" spans="2:5" ht="16" x14ac:dyDescent="0.2">
      <c r="B58" s="33" t="s">
        <v>51</v>
      </c>
      <c r="C58" s="32"/>
      <c r="D58" s="32"/>
      <c r="E58" s="32"/>
    </row>
    <row r="59" spans="2:5" ht="18" customHeight="1" x14ac:dyDescent="0.2">
      <c r="B59" s="3"/>
      <c r="C59" s="3" t="s">
        <v>42</v>
      </c>
      <c r="D59" s="3" t="s">
        <v>43</v>
      </c>
      <c r="E59" s="3" t="s">
        <v>44</v>
      </c>
    </row>
    <row r="60" spans="2:5" x14ac:dyDescent="0.2">
      <c r="B60" s="4" t="s">
        <v>42</v>
      </c>
      <c r="C60" s="18">
        <f t="shared" ref="C60:E62" si="0">C54*12</f>
        <v>0.19752807000226053</v>
      </c>
      <c r="D60" s="18">
        <f t="shared" si="0"/>
        <v>1.1791462145986243E-2</v>
      </c>
      <c r="E60" s="18">
        <f t="shared" si="0"/>
        <v>1.9346954359112414E-4</v>
      </c>
    </row>
    <row r="61" spans="2:5" x14ac:dyDescent="0.2">
      <c r="B61" s="4" t="s">
        <v>43</v>
      </c>
      <c r="C61" s="18">
        <f t="shared" si="0"/>
        <v>1.1791462145986243E-2</v>
      </c>
      <c r="D61" s="18">
        <f t="shared" si="0"/>
        <v>1.6344838366075424E-2</v>
      </c>
      <c r="E61" s="18">
        <f t="shared" si="0"/>
        <v>3.2544750354908804E-3</v>
      </c>
    </row>
    <row r="62" spans="2:5" x14ac:dyDescent="0.2">
      <c r="B62" s="4" t="s">
        <v>44</v>
      </c>
      <c r="C62" s="18">
        <f t="shared" si="0"/>
        <v>1.9346954359112414E-4</v>
      </c>
      <c r="D62" s="18">
        <f t="shared" si="0"/>
        <v>3.2544750354908804E-3</v>
      </c>
      <c r="E62" s="18">
        <f t="shared" si="0"/>
        <v>2.9473907300716033E-3</v>
      </c>
    </row>
    <row r="64" spans="2:5" ht="16" x14ac:dyDescent="0.2">
      <c r="B64" s="33" t="s">
        <v>52</v>
      </c>
      <c r="C64" s="32"/>
      <c r="D64" s="32"/>
      <c r="E64" s="32"/>
    </row>
    <row r="65" spans="2:3" x14ac:dyDescent="0.2">
      <c r="B65" s="6" t="s">
        <v>53</v>
      </c>
      <c r="C65" s="19">
        <v>3.8100000000000002E-2</v>
      </c>
    </row>
  </sheetData>
  <mergeCells count="6">
    <mergeCell ref="B64:E64"/>
    <mergeCell ref="B46:E46"/>
    <mergeCell ref="B2:E2"/>
    <mergeCell ref="B39:E39"/>
    <mergeCell ref="B58:E58"/>
    <mergeCell ref="B52:E5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05496"/>
  </sheetPr>
  <dimension ref="B2:L244"/>
  <sheetViews>
    <sheetView showGridLines="0" workbookViewId="0">
      <pane xSplit="2" ySplit="13" topLeftCell="C1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20" customWidth="1"/>
    <col min="3" max="5" width="10" customWidth="1"/>
    <col min="6" max="8" width="12" customWidth="1"/>
    <col min="9" max="9" width="10" customWidth="1"/>
    <col min="10" max="13" width="12" customWidth="1"/>
  </cols>
  <sheetData>
    <row r="2" spans="2:12" ht="19" x14ac:dyDescent="0.2">
      <c r="B2" s="36" t="s">
        <v>54</v>
      </c>
      <c r="C2" s="32"/>
      <c r="D2" s="32"/>
      <c r="E2" s="32"/>
      <c r="F2" s="32"/>
      <c r="G2" s="32"/>
      <c r="H2" s="32"/>
      <c r="I2" s="32"/>
      <c r="J2" s="32"/>
      <c r="K2" s="32"/>
      <c r="L2" s="32"/>
    </row>
    <row r="4" spans="2:12" ht="16" x14ac:dyDescent="0.2">
      <c r="B4" s="33" t="s">
        <v>55</v>
      </c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2:12" ht="26" customHeight="1" x14ac:dyDescent="0.2"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56</v>
      </c>
      <c r="I5" s="3" t="s">
        <v>57</v>
      </c>
      <c r="J5" s="3" t="s">
        <v>58</v>
      </c>
      <c r="K5" s="3" t="s">
        <v>59</v>
      </c>
      <c r="L5" s="3" t="s">
        <v>60</v>
      </c>
    </row>
    <row r="6" spans="2:12" x14ac:dyDescent="0.2">
      <c r="B6" s="4" t="s">
        <v>19</v>
      </c>
      <c r="C6" s="20">
        <f>INDEX($C$14:$C$244,MATCH(MAX($I$14:$I$244),$I$14:$I$244,0))</f>
        <v>0.05</v>
      </c>
      <c r="D6" s="20">
        <f>INDEX($D$14:$D$244,MATCH(MAX($I$14:$I$244),$I$14:$I$244,0))</f>
        <v>0.95</v>
      </c>
      <c r="E6" s="20">
        <f>INDEX($E$14:$E$244,MATCH(MAX($I$14:$I$244),$I$14:$I$244,0))</f>
        <v>0</v>
      </c>
      <c r="F6" s="15">
        <f>INDEX($F$14:$F$244,MATCH(MAX($I$14:$I$244),$I$14:$I$244,0))</f>
        <v>0.24917766567538457</v>
      </c>
      <c r="G6" s="15">
        <f>INDEX($H$14:$H$244,MATCH(MAX($I$14:$I$244),$I$14:$I$244,0))</f>
        <v>0.1279266418861115</v>
      </c>
      <c r="H6" s="21">
        <f>INDEX($I$14:$I$244,MATCH(MAX($I$14:$I$244),$I$14:$I$244,0))</f>
        <v>1.6499898892312006</v>
      </c>
      <c r="I6" s="22">
        <f t="shared" ref="I6:K8" si="0">C6*100000</f>
        <v>5000</v>
      </c>
      <c r="J6" s="22">
        <f t="shared" si="0"/>
        <v>95000</v>
      </c>
      <c r="K6" s="22">
        <f t="shared" si="0"/>
        <v>0</v>
      </c>
      <c r="L6" s="23">
        <f>SUM(I6:K6)</f>
        <v>100000</v>
      </c>
    </row>
    <row r="7" spans="2:12" x14ac:dyDescent="0.2">
      <c r="B7" s="4" t="s">
        <v>20</v>
      </c>
      <c r="C7" s="20">
        <f>INDEX($C$14:$C$244,MATCH(MIN($H$14:$H$244),$H$14:$H$244,0))</f>
        <v>0</v>
      </c>
      <c r="D7" s="20">
        <f>INDEX($D$14:$D$244,MATCH(MIN($H$14:$H$244),$H$14:$H$244,0))</f>
        <v>0</v>
      </c>
      <c r="E7" s="20">
        <f>INDEX($E$14:$E$244,MATCH(MIN($H$14:$H$244),$H$14:$H$244,0))</f>
        <v>1</v>
      </c>
      <c r="F7" s="15">
        <f>INDEX($F$14:$F$244,MATCH(MIN($H$14:$H$244),$H$14:$H$244,0))</f>
        <v>2.1046705355527218E-2</v>
      </c>
      <c r="G7" s="15">
        <f>INDEX($H$14:$H$244,MATCH(MIN($H$14:$H$244),$H$14:$H$244,0))</f>
        <v>5.4289876865504155E-2</v>
      </c>
      <c r="H7" s="21">
        <f>INDEX($I$14:$I$244,MATCH(MIN($H$14:$H$244),$H$14:$H$244,0))</f>
        <v>-0.31411555208938896</v>
      </c>
      <c r="I7" s="22">
        <f t="shared" si="0"/>
        <v>0</v>
      </c>
      <c r="J7" s="22">
        <f t="shared" si="0"/>
        <v>0</v>
      </c>
      <c r="K7" s="22">
        <f t="shared" si="0"/>
        <v>100000</v>
      </c>
      <c r="L7" s="23">
        <f>SUM(I7:K7)</f>
        <v>100000</v>
      </c>
    </row>
    <row r="8" spans="2:12" x14ac:dyDescent="0.2">
      <c r="B8" s="4" t="s">
        <v>21</v>
      </c>
      <c r="C8" s="20">
        <f>INDEX($C$14:$C$244,MATCH(MAX($F$14:$F$244),$F$14:$F$244,0))</f>
        <v>1</v>
      </c>
      <c r="D8" s="20">
        <f>INDEX($D$14:$D$244,MATCH(MAX($F$14:$F$244),$F$14:$F$244,0))</f>
        <v>0</v>
      </c>
      <c r="E8" s="20">
        <f>INDEX($E$14:$E$244,MATCH(MAX($F$14:$F$244),$F$14:$F$244,0))</f>
        <v>0</v>
      </c>
      <c r="F8" s="15">
        <f>INDEX($F$14:$F$244,MATCH(MAX($F$14:$F$244),$F$14:$F$244,0))</f>
        <v>0.34110382067468659</v>
      </c>
      <c r="G8" s="15">
        <f>INDEX($H$14:$H$244,MATCH(MAX($F$14:$F$244),$F$14:$F$244,0))</f>
        <v>0.44444130096364864</v>
      </c>
      <c r="H8" s="21">
        <f>INDEX($I$14:$I$244,MATCH(MAX($F$14:$F$244),$F$14:$F$244,0))</f>
        <v>0.68176341851602484</v>
      </c>
      <c r="I8" s="22">
        <f t="shared" si="0"/>
        <v>100000</v>
      </c>
      <c r="J8" s="22">
        <f t="shared" si="0"/>
        <v>0</v>
      </c>
      <c r="K8" s="22">
        <f t="shared" si="0"/>
        <v>0</v>
      </c>
      <c r="L8" s="23">
        <f>SUM(I8:K8)</f>
        <v>100000</v>
      </c>
    </row>
    <row r="9" spans="2:12" x14ac:dyDescent="0.2">
      <c r="B9" s="4" t="s">
        <v>61</v>
      </c>
      <c r="D9" s="24">
        <v>0.15</v>
      </c>
    </row>
    <row r="10" spans="2:12" x14ac:dyDescent="0.2">
      <c r="B10" s="4" t="s">
        <v>62</v>
      </c>
      <c r="C10" s="20">
        <f>INDEX($C$14:$C$244,MATCH(MIN($J$14:$J$244),$J$14:$J$244,0))</f>
        <v>0</v>
      </c>
      <c r="D10" s="20">
        <f>INDEX($D$14:$D$244,MATCH(MIN($J$14:$J$244),$J$14:$J$244,0))</f>
        <v>0.6</v>
      </c>
      <c r="E10" s="20">
        <f>INDEX($E$14:$E$244,MATCH(MIN($J$14:$J$244),$J$14:$J$244,0))</f>
        <v>0.4</v>
      </c>
      <c r="F10" s="15">
        <f>INDEX($F$14:$F$244,MATCH(MIN($J$14:$J$244),$J$14:$J$244,0))</f>
        <v>0.15502235033693737</v>
      </c>
      <c r="G10" s="15">
        <f>INDEX($H$14:$H$244,MATCH(MIN($J$14:$J$244),$J$14:$J$244,0))</f>
        <v>8.8982427173202192E-2</v>
      </c>
      <c r="H10" s="21">
        <f>INDEX($I$14:$I$244,MATCH(MIN($J$14:$J$244),$J$14:$J$244,0))</f>
        <v>1.3139937182130443</v>
      </c>
      <c r="I10" s="22">
        <f>C10*100000</f>
        <v>0</v>
      </c>
      <c r="J10" s="22">
        <f>D10*100000</f>
        <v>60000</v>
      </c>
      <c r="K10" s="22">
        <f>E10*100000</f>
        <v>40000</v>
      </c>
      <c r="L10" s="23">
        <f>SUM(I10:K10)</f>
        <v>100000</v>
      </c>
    </row>
    <row r="11" spans="2:12" x14ac:dyDescent="0.2">
      <c r="B11" s="37" t="s">
        <v>63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2:12" ht="16" x14ac:dyDescent="0.2">
      <c r="B12" s="33" t="s">
        <v>64</v>
      </c>
      <c r="C12" s="32"/>
      <c r="D12" s="32"/>
      <c r="E12" s="32"/>
      <c r="F12" s="32"/>
      <c r="G12" s="32"/>
      <c r="H12" s="32"/>
      <c r="I12" s="32"/>
      <c r="J12" s="32"/>
    </row>
    <row r="13" spans="2:12" ht="26" customHeight="1" x14ac:dyDescent="0.2">
      <c r="C13" s="3" t="s">
        <v>14</v>
      </c>
      <c r="D13" s="3" t="s">
        <v>15</v>
      </c>
      <c r="E13" s="3" t="s">
        <v>16</v>
      </c>
      <c r="F13" s="3" t="s">
        <v>17</v>
      </c>
      <c r="G13" s="3" t="s">
        <v>65</v>
      </c>
      <c r="H13" s="3" t="s">
        <v>18</v>
      </c>
      <c r="I13" s="3" t="s">
        <v>56</v>
      </c>
      <c r="J13" s="3" t="s">
        <v>66</v>
      </c>
    </row>
    <row r="14" spans="2:12" x14ac:dyDescent="0.2">
      <c r="C14" s="25">
        <v>0</v>
      </c>
      <c r="D14" s="25">
        <v>0</v>
      </c>
      <c r="E14" s="26">
        <f t="shared" ref="E14:E77" si="1">1-C14-D14</f>
        <v>1</v>
      </c>
      <c r="F14" s="8">
        <f>C14*'Return Stats'!$C$43+D14*'Return Stats'!$D$43+E14*'Return Stats'!$E$43</f>
        <v>2.1046705355527218E-2</v>
      </c>
      <c r="G14" s="27">
        <f>C14^2*'Return Stats'!$C$60+D14^2*'Return Stats'!$D$61+E14^2*'Return Stats'!$E$62+2*C14*D14*'Return Stats'!$D$60+2*C14*E14*'Return Stats'!$E$60+2*D14*E14*'Return Stats'!$E$61</f>
        <v>2.9473907300716033E-3</v>
      </c>
      <c r="H14" s="8">
        <f t="shared" ref="H14:H77" si="2">SQRT(G14)</f>
        <v>5.4289876865504155E-2</v>
      </c>
      <c r="I14" s="28">
        <f>(F14-'Return Stats'!$C$65)/H14</f>
        <v>-0.31411555208938896</v>
      </c>
      <c r="J14" s="28">
        <f t="shared" ref="J14:J77" si="3">IF(F14&gt;=$D$9,H14,999)</f>
        <v>999</v>
      </c>
    </row>
    <row r="15" spans="2:12" x14ac:dyDescent="0.2">
      <c r="C15" s="25">
        <v>0</v>
      </c>
      <c r="D15" s="25">
        <v>0.05</v>
      </c>
      <c r="E15" s="26">
        <f t="shared" si="1"/>
        <v>0.95</v>
      </c>
      <c r="F15" s="8">
        <f>C15*'Return Stats'!$C$43+D15*'Return Stats'!$D$43+E15*'Return Stats'!$E$43</f>
        <v>3.2211342437311399E-2</v>
      </c>
      <c r="G15" s="27">
        <f>C15^2*'Return Stats'!$C$60+D15^2*'Return Stats'!$D$61+E15^2*'Return Stats'!$E$62+2*C15*D15*'Return Stats'!$D$60+2*C15*E15*'Return Stats'!$E$60+2*D15*E15*'Return Stats'!$E$61</f>
        <v>3.0100573581764442E-3</v>
      </c>
      <c r="H15" s="8">
        <f t="shared" si="2"/>
        <v>5.4863989630507586E-2</v>
      </c>
      <c r="I15" s="28">
        <f>(F15-'Return Stats'!$C$65)/H15</f>
        <v>-0.10733192395133738</v>
      </c>
      <c r="J15" s="28">
        <f t="shared" si="3"/>
        <v>999</v>
      </c>
    </row>
    <row r="16" spans="2:12" x14ac:dyDescent="0.2">
      <c r="C16" s="25">
        <v>0</v>
      </c>
      <c r="D16" s="25">
        <v>0.1</v>
      </c>
      <c r="E16" s="26">
        <f t="shared" si="1"/>
        <v>0.9</v>
      </c>
      <c r="F16" s="8">
        <f>C16*'Return Stats'!$C$43+D16*'Return Stats'!$D$43+E16*'Return Stats'!$E$43</f>
        <v>4.3375979519095581E-2</v>
      </c>
      <c r="G16" s="27">
        <f>C16^2*'Return Stats'!$C$60+D16^2*'Return Stats'!$D$61+E16^2*'Return Stats'!$E$62+2*C16*D16*'Return Stats'!$D$60+2*C16*E16*'Return Stats'!$E$60+2*D16*E16*'Return Stats'!$E$61</f>
        <v>3.1366403814071112E-3</v>
      </c>
      <c r="H16" s="8">
        <f t="shared" si="2"/>
        <v>5.6005717399271938E-2</v>
      </c>
      <c r="I16" s="28">
        <f>(F16-'Return Stats'!$C$65)/H16</f>
        <v>9.420430206227777E-2</v>
      </c>
      <c r="J16" s="28">
        <f t="shared" si="3"/>
        <v>999</v>
      </c>
    </row>
    <row r="17" spans="3:10" x14ac:dyDescent="0.2">
      <c r="C17" s="25">
        <v>0</v>
      </c>
      <c r="D17" s="25">
        <v>0.15</v>
      </c>
      <c r="E17" s="26">
        <f t="shared" si="1"/>
        <v>0.85</v>
      </c>
      <c r="F17" s="8">
        <f>C17*'Return Stats'!$C$43+D17*'Return Stats'!$D$43+E17*'Return Stats'!$E$43</f>
        <v>5.4540616600879749E-2</v>
      </c>
      <c r="G17" s="27">
        <f>C17^2*'Return Stats'!$C$60+D17^2*'Return Stats'!$D$61+E17^2*'Return Stats'!$E$62+2*C17*D17*'Return Stats'!$D$60+2*C17*E17*'Return Stats'!$E$60+2*D17*E17*'Return Stats'!$E$61</f>
        <v>3.327139799763605E-3</v>
      </c>
      <c r="H17" s="8">
        <f t="shared" si="2"/>
        <v>5.7681364406223998E-2</v>
      </c>
      <c r="I17" s="28">
        <f>(F17-'Return Stats'!$C$65)/H17</f>
        <v>0.28502475227693735</v>
      </c>
      <c r="J17" s="28">
        <f t="shared" si="3"/>
        <v>999</v>
      </c>
    </row>
    <row r="18" spans="3:10" x14ac:dyDescent="0.2">
      <c r="C18" s="25">
        <v>0</v>
      </c>
      <c r="D18" s="25">
        <v>0.2</v>
      </c>
      <c r="E18" s="26">
        <f t="shared" si="1"/>
        <v>0.8</v>
      </c>
      <c r="F18" s="8">
        <f>C18*'Return Stats'!$C$43+D18*'Return Stats'!$D$43+E18*'Return Stats'!$E$43</f>
        <v>6.5705253682663931E-2</v>
      </c>
      <c r="G18" s="27">
        <f>C18^2*'Return Stats'!$C$60+D18^2*'Return Stats'!$D$61+E18^2*'Return Stats'!$E$62+2*C18*D18*'Return Stats'!$D$60+2*C18*E18*'Return Stats'!$E$60+2*D18*E18*'Return Stats'!$E$61</f>
        <v>3.5815556132459255E-3</v>
      </c>
      <c r="H18" s="8">
        <f t="shared" si="2"/>
        <v>5.9846099398757187E-2</v>
      </c>
      <c r="I18" s="28">
        <f>(F18-'Return Stats'!$C$65)/H18</f>
        <v>0.46127072541067232</v>
      </c>
      <c r="J18" s="28">
        <f t="shared" si="3"/>
        <v>999</v>
      </c>
    </row>
    <row r="19" spans="3:10" x14ac:dyDescent="0.2">
      <c r="C19" s="25">
        <v>0</v>
      </c>
      <c r="D19" s="25">
        <v>0.25</v>
      </c>
      <c r="E19" s="26">
        <f t="shared" si="1"/>
        <v>0.75</v>
      </c>
      <c r="F19" s="8">
        <f>C19*'Return Stats'!$C$43+D19*'Return Stats'!$D$43+E19*'Return Stats'!$E$43</f>
        <v>7.6869890764448112E-2</v>
      </c>
      <c r="G19" s="27">
        <f>C19^2*'Return Stats'!$C$60+D19^2*'Return Stats'!$D$61+E19^2*'Return Stats'!$E$62+2*C19*D19*'Return Stats'!$D$60+2*C19*E19*'Return Stats'!$E$60+2*D19*E19*'Return Stats'!$E$61</f>
        <v>3.8998878218540712E-3</v>
      </c>
      <c r="H19" s="8">
        <f t="shared" si="2"/>
        <v>6.244908183355518E-2</v>
      </c>
      <c r="I19" s="28">
        <f>(F19-'Return Stats'!$C$65)/H19</f>
        <v>0.62082403177329415</v>
      </c>
      <c r="J19" s="28">
        <f t="shared" si="3"/>
        <v>999</v>
      </c>
    </row>
    <row r="20" spans="3:10" x14ac:dyDescent="0.2">
      <c r="C20" s="25">
        <v>0</v>
      </c>
      <c r="D20" s="25">
        <v>0.3</v>
      </c>
      <c r="E20" s="26">
        <f t="shared" si="1"/>
        <v>0.7</v>
      </c>
      <c r="F20" s="8">
        <f>C20*'Return Stats'!$C$43+D20*'Return Stats'!$D$43+E20*'Return Stats'!$E$43</f>
        <v>8.8034527846232294E-2</v>
      </c>
      <c r="G20" s="27">
        <f>C20^2*'Return Stats'!$C$60+D20^2*'Return Stats'!$D$61+E20^2*'Return Stats'!$E$62+2*C20*D20*'Return Stats'!$D$60+2*C20*E20*'Return Stats'!$E$60+2*D20*E20*'Return Stats'!$E$61</f>
        <v>4.2821364255880429E-3</v>
      </c>
      <c r="H20" s="8">
        <f t="shared" si="2"/>
        <v>6.5438035007081646E-2</v>
      </c>
      <c r="I20" s="28">
        <f>(F20-'Return Stats'!$C$65)/H20</f>
        <v>0.76308110169916354</v>
      </c>
      <c r="J20" s="28">
        <f t="shared" si="3"/>
        <v>999</v>
      </c>
    </row>
    <row r="21" spans="3:10" x14ac:dyDescent="0.2">
      <c r="C21" s="25">
        <v>0</v>
      </c>
      <c r="D21" s="25">
        <v>0.35</v>
      </c>
      <c r="E21" s="26">
        <f t="shared" si="1"/>
        <v>0.65</v>
      </c>
      <c r="F21" s="8">
        <f>C21*'Return Stats'!$C$43+D21*'Return Stats'!$D$43+E21*'Return Stats'!$E$43</f>
        <v>9.9199164928016476E-2</v>
      </c>
      <c r="G21" s="27">
        <f>C21^2*'Return Stats'!$C$60+D21^2*'Return Stats'!$D$61+E21^2*'Return Stats'!$E$62+2*C21*D21*'Return Stats'!$D$60+2*C21*E21*'Return Stats'!$E$60+2*D21*E21*'Return Stats'!$E$61</f>
        <v>4.7283014244478422E-3</v>
      </c>
      <c r="H21" s="8">
        <f t="shared" si="2"/>
        <v>6.8762645560273797E-2</v>
      </c>
      <c r="I21" s="28">
        <f>(F21-'Return Stats'!$C$65)/H21</f>
        <v>0.88855169009546164</v>
      </c>
      <c r="J21" s="28">
        <f t="shared" si="3"/>
        <v>999</v>
      </c>
    </row>
    <row r="22" spans="3:10" x14ac:dyDescent="0.2">
      <c r="C22" s="25">
        <v>0</v>
      </c>
      <c r="D22" s="25">
        <v>0.4</v>
      </c>
      <c r="E22" s="26">
        <f t="shared" si="1"/>
        <v>0.6</v>
      </c>
      <c r="F22" s="8">
        <f>C22*'Return Stats'!$C$43+D22*'Return Stats'!$D$43+E22*'Return Stats'!$E$43</f>
        <v>0.11036380200980064</v>
      </c>
      <c r="G22" s="27">
        <f>C22^2*'Return Stats'!$C$60+D22^2*'Return Stats'!$D$61+E22^2*'Return Stats'!$E$62+2*C22*D22*'Return Stats'!$D$60+2*C22*E22*'Return Stats'!$E$60+2*D22*E22*'Return Stats'!$E$61</f>
        <v>5.2383828184334675E-3</v>
      </c>
      <c r="H22" s="8">
        <f t="shared" si="2"/>
        <v>7.2376673165001626E-2</v>
      </c>
      <c r="I22" s="28">
        <f>(F22-'Return Stats'!$C$65)/H22</f>
        <v>0.99844050368350512</v>
      </c>
      <c r="J22" s="28">
        <f t="shared" si="3"/>
        <v>999</v>
      </c>
    </row>
    <row r="23" spans="3:10" x14ac:dyDescent="0.2">
      <c r="C23" s="25">
        <v>0</v>
      </c>
      <c r="D23" s="25">
        <v>0.45</v>
      </c>
      <c r="E23" s="26">
        <f t="shared" si="1"/>
        <v>0.55000000000000004</v>
      </c>
      <c r="F23" s="8">
        <f>C23*'Return Stats'!$C$43+D23*'Return Stats'!$D$43+E23*'Return Stats'!$E$43</f>
        <v>0.12152843909158483</v>
      </c>
      <c r="G23" s="27">
        <f>C23^2*'Return Stats'!$C$60+D23^2*'Return Stats'!$D$61+E23^2*'Return Stats'!$E$62+2*C23*D23*'Return Stats'!$D$60+2*C23*E23*'Return Stats'!$E$60+2*D23*E23*'Return Stats'!$E$61</f>
        <v>5.8123806075449196E-3</v>
      </c>
      <c r="H23" s="8">
        <f t="shared" si="2"/>
        <v>7.6238970399297237E-2</v>
      </c>
      <c r="I23" s="28">
        <f>(F23-'Return Stats'!$C$65)/H23</f>
        <v>1.0943017547932921</v>
      </c>
      <c r="J23" s="28">
        <f t="shared" si="3"/>
        <v>999</v>
      </c>
    </row>
    <row r="24" spans="3:10" x14ac:dyDescent="0.2">
      <c r="C24" s="25">
        <v>0</v>
      </c>
      <c r="D24" s="25">
        <v>0.5</v>
      </c>
      <c r="E24" s="26">
        <f t="shared" si="1"/>
        <v>0.5</v>
      </c>
      <c r="F24" s="8">
        <f>C24*'Return Stats'!$C$43+D24*'Return Stats'!$D$43+E24*'Return Stats'!$E$43</f>
        <v>0.13269307617336901</v>
      </c>
      <c r="G24" s="27">
        <f>C24^2*'Return Stats'!$C$60+D24^2*'Return Stats'!$D$61+E24^2*'Return Stats'!$E$62+2*C24*D24*'Return Stats'!$D$60+2*C24*E24*'Return Stats'!$E$60+2*D24*E24*'Return Stats'!$E$61</f>
        <v>6.4502947917821976E-3</v>
      </c>
      <c r="H24" s="8">
        <f t="shared" si="2"/>
        <v>8.0313727293546758E-2</v>
      </c>
      <c r="I24" s="28">
        <f>(F24-'Return Stats'!$C$65)/H24</f>
        <v>1.1777946231735854</v>
      </c>
      <c r="J24" s="28">
        <f t="shared" si="3"/>
        <v>999</v>
      </c>
    </row>
    <row r="25" spans="3:10" x14ac:dyDescent="0.2">
      <c r="C25" s="25">
        <v>0</v>
      </c>
      <c r="D25" s="25">
        <v>0.55000000000000004</v>
      </c>
      <c r="E25" s="26">
        <f t="shared" si="1"/>
        <v>0.44999999999999996</v>
      </c>
      <c r="F25" s="8">
        <f>C25*'Return Stats'!$C$43+D25*'Return Stats'!$D$43+E25*'Return Stats'!$E$43</f>
        <v>0.14385771325515317</v>
      </c>
      <c r="G25" s="27">
        <f>C25^2*'Return Stats'!$C$60+D25^2*'Return Stats'!$D$61+E25^2*'Return Stats'!$E$62+2*C25*D25*'Return Stats'!$D$60+2*C25*E25*'Return Stats'!$E$60+2*D25*E25*'Return Stats'!$E$61</f>
        <v>7.1521253711453016E-3</v>
      </c>
      <c r="H25" s="8">
        <f t="shared" si="2"/>
        <v>8.4570239275677236E-2</v>
      </c>
      <c r="I25" s="28">
        <f>(F25-'Return Stats'!$C$65)/H25</f>
        <v>1.2505310870696513</v>
      </c>
      <c r="J25" s="28">
        <f t="shared" si="3"/>
        <v>999</v>
      </c>
    </row>
    <row r="26" spans="3:10" x14ac:dyDescent="0.2">
      <c r="C26" s="25">
        <v>0</v>
      </c>
      <c r="D26" s="25">
        <v>0.6</v>
      </c>
      <c r="E26" s="26">
        <f t="shared" si="1"/>
        <v>0.4</v>
      </c>
      <c r="F26" s="8">
        <f>C26*'Return Stats'!$C$43+D26*'Return Stats'!$D$43+E26*'Return Stats'!$E$43</f>
        <v>0.15502235033693737</v>
      </c>
      <c r="G26" s="27">
        <f>C26^2*'Return Stats'!$C$60+D26^2*'Return Stats'!$D$61+E26^2*'Return Stats'!$E$62+2*C26*D26*'Return Stats'!$D$60+2*C26*E26*'Return Stats'!$E$60+2*D26*E26*'Return Stats'!$E$61</f>
        <v>7.9178723456342307E-3</v>
      </c>
      <c r="H26" s="8">
        <f t="shared" si="2"/>
        <v>8.8982427173202192E-2</v>
      </c>
      <c r="I26" s="28">
        <f>(F26-'Return Stats'!$C$65)/H26</f>
        <v>1.3139937182130443</v>
      </c>
      <c r="J26" s="28">
        <f t="shared" si="3"/>
        <v>8.8982427173202192E-2</v>
      </c>
    </row>
    <row r="27" spans="3:10" x14ac:dyDescent="0.2">
      <c r="C27" s="25">
        <v>0</v>
      </c>
      <c r="D27" s="25">
        <v>0.65</v>
      </c>
      <c r="E27" s="26">
        <f t="shared" si="1"/>
        <v>0.35</v>
      </c>
      <c r="F27" s="8">
        <f>C27*'Return Stats'!$C$43+D27*'Return Stats'!$D$43+E27*'Return Stats'!$E$43</f>
        <v>0.16618698741872154</v>
      </c>
      <c r="G27" s="27">
        <f>C27^2*'Return Stats'!$C$60+D27^2*'Return Stats'!$D$61+E27^2*'Return Stats'!$E$62+2*C27*D27*'Return Stats'!$D$60+2*C27*E27*'Return Stats'!$E$60+2*D27*E27*'Return Stats'!$E$61</f>
        <v>8.7475357152489892E-3</v>
      </c>
      <c r="H27" s="8">
        <f t="shared" si="2"/>
        <v>9.352826158573134E-2</v>
      </c>
      <c r="I27" s="28">
        <f>(F27-'Return Stats'!$C$65)/H27</f>
        <v>1.3695003547276716</v>
      </c>
      <c r="J27" s="28">
        <f t="shared" si="3"/>
        <v>9.352826158573134E-2</v>
      </c>
    </row>
    <row r="28" spans="3:10" x14ac:dyDescent="0.2">
      <c r="C28" s="25">
        <v>0</v>
      </c>
      <c r="D28" s="25">
        <v>0.7</v>
      </c>
      <c r="E28" s="26">
        <f t="shared" si="1"/>
        <v>0.30000000000000004</v>
      </c>
      <c r="F28" s="8">
        <f>C28*'Return Stats'!$C$43+D28*'Return Stats'!$D$43+E28*'Return Stats'!$E$43</f>
        <v>0.17735162450050573</v>
      </c>
      <c r="G28" s="27">
        <f>C28^2*'Return Stats'!$C$60+D28^2*'Return Stats'!$D$61+E28^2*'Return Stats'!$E$62+2*C28*D28*'Return Stats'!$D$60+2*C28*E28*'Return Stats'!$E$60+2*D28*E28*'Return Stats'!$E$61</f>
        <v>9.6411154799895694E-3</v>
      </c>
      <c r="H28" s="8">
        <f t="shared" si="2"/>
        <v>9.8189182092476818E-2</v>
      </c>
      <c r="I28" s="28">
        <f>(F28-'Return Stats'!$C$65)/H28</f>
        <v>1.4181972141223804</v>
      </c>
      <c r="J28" s="28">
        <f t="shared" si="3"/>
        <v>9.8189182092476818E-2</v>
      </c>
    </row>
    <row r="29" spans="3:10" x14ac:dyDescent="0.2">
      <c r="C29" s="25">
        <v>0</v>
      </c>
      <c r="D29" s="25">
        <v>0.75</v>
      </c>
      <c r="E29" s="26">
        <f t="shared" si="1"/>
        <v>0.25</v>
      </c>
      <c r="F29" s="8">
        <f>C29*'Return Stats'!$C$43+D29*'Return Stats'!$D$43+E29*'Return Stats'!$E$43</f>
        <v>0.1885162615822899</v>
      </c>
      <c r="G29" s="27">
        <f>C29^2*'Return Stats'!$C$60+D29^2*'Return Stats'!$D$61+E29^2*'Return Stats'!$E$62+2*C29*D29*'Return Stats'!$D$60+2*C29*E29*'Return Stats'!$E$60+2*D29*E29*'Return Stats'!$E$61</f>
        <v>1.0598611639855982E-2</v>
      </c>
      <c r="H29" s="8">
        <f t="shared" si="2"/>
        <v>0.10294955871617897</v>
      </c>
      <c r="I29" s="28">
        <f>(F29-'Return Stats'!$C$65)/H29</f>
        <v>1.4610675699637683</v>
      </c>
      <c r="J29" s="28">
        <f t="shared" si="3"/>
        <v>0.10294955871617897</v>
      </c>
    </row>
    <row r="30" spans="3:10" x14ac:dyDescent="0.2">
      <c r="C30" s="25">
        <v>0</v>
      </c>
      <c r="D30" s="25">
        <v>0.8</v>
      </c>
      <c r="E30" s="26">
        <f t="shared" si="1"/>
        <v>0.19999999999999996</v>
      </c>
      <c r="F30" s="8">
        <f>C30*'Return Stats'!$C$43+D30*'Return Stats'!$D$43+E30*'Return Stats'!$E$43</f>
        <v>0.19968089866407407</v>
      </c>
      <c r="G30" s="27">
        <f>C30^2*'Return Stats'!$C$60+D30^2*'Return Stats'!$D$61+E30^2*'Return Stats'!$E$62+2*C30*D30*'Return Stats'!$D$60+2*C30*E30*'Return Stats'!$E$60+2*D30*E30*'Return Stats'!$E$61</f>
        <v>1.1620024194848219E-2</v>
      </c>
      <c r="H30" s="8">
        <f t="shared" si="2"/>
        <v>0.10779621605069549</v>
      </c>
      <c r="I30" s="28">
        <f>(F30-'Return Stats'!$C$65)/H30</f>
        <v>1.4989477792808996</v>
      </c>
      <c r="J30" s="28">
        <f t="shared" si="3"/>
        <v>0.10779621605069549</v>
      </c>
    </row>
    <row r="31" spans="3:10" x14ac:dyDescent="0.2">
      <c r="C31" s="25">
        <v>0</v>
      </c>
      <c r="D31" s="25">
        <v>0.85</v>
      </c>
      <c r="E31" s="26">
        <f t="shared" si="1"/>
        <v>0.15000000000000002</v>
      </c>
      <c r="F31" s="8">
        <f>C31*'Return Stats'!$C$43+D31*'Return Stats'!$D$43+E31*'Return Stats'!$E$43</f>
        <v>0.21084553574585826</v>
      </c>
      <c r="G31" s="27">
        <f>C31^2*'Return Stats'!$C$60+D31^2*'Return Stats'!$D$61+E31^2*'Return Stats'!$E$62+2*C31*D31*'Return Stats'!$D$60+2*C31*E31*'Return Stats'!$E$60+2*D31*E31*'Return Stats'!$E$61</f>
        <v>1.2705353144966278E-2</v>
      </c>
      <c r="H31" s="8">
        <f t="shared" si="2"/>
        <v>0.11271802493375351</v>
      </c>
      <c r="I31" s="28">
        <f>(F31-'Return Stats'!$C$65)/H31</f>
        <v>1.532545800437721</v>
      </c>
      <c r="J31" s="28">
        <f t="shared" si="3"/>
        <v>0.11271802493375351</v>
      </c>
    </row>
    <row r="32" spans="3:10" x14ac:dyDescent="0.2">
      <c r="C32" s="25">
        <v>0</v>
      </c>
      <c r="D32" s="25">
        <v>0.9</v>
      </c>
      <c r="E32" s="26">
        <f t="shared" si="1"/>
        <v>9.9999999999999978E-2</v>
      </c>
      <c r="F32" s="8">
        <f>C32*'Return Stats'!$C$43+D32*'Return Stats'!$D$43+E32*'Return Stats'!$E$43</f>
        <v>0.22201017282764243</v>
      </c>
      <c r="G32" s="27">
        <f>C32^2*'Return Stats'!$C$60+D32^2*'Return Stats'!$D$61+E32^2*'Return Stats'!$E$62+2*C32*D32*'Return Stats'!$D$60+2*C32*E32*'Return Stats'!$E$60+2*D32*E32*'Return Stats'!$E$61</f>
        <v>1.3854598490210169E-2</v>
      </c>
      <c r="H32" s="8">
        <f t="shared" si="2"/>
        <v>0.11770555845078078</v>
      </c>
      <c r="I32" s="28">
        <f>(F32-'Return Stats'!$C$65)/H32</f>
        <v>1.5624595409786488</v>
      </c>
      <c r="J32" s="28">
        <f t="shared" si="3"/>
        <v>0.11770555845078078</v>
      </c>
    </row>
    <row r="33" spans="3:10" x14ac:dyDescent="0.2">
      <c r="C33" s="25">
        <v>0</v>
      </c>
      <c r="D33" s="25">
        <v>0.95</v>
      </c>
      <c r="E33" s="26">
        <f t="shared" si="1"/>
        <v>5.0000000000000044E-2</v>
      </c>
      <c r="F33" s="8">
        <f>C33*'Return Stats'!$C$43+D33*'Return Stats'!$D$43+E33*'Return Stats'!$E$43</f>
        <v>0.23317480990942663</v>
      </c>
      <c r="G33" s="27">
        <f>C33^2*'Return Stats'!$C$60+D33^2*'Return Stats'!$D$61+E33^2*'Return Stats'!$E$62+2*C33*D33*'Return Stats'!$D$60+2*C33*E33*'Return Stats'!$E$60+2*D33*E33*'Return Stats'!$E$61</f>
        <v>1.5067760230579883E-2</v>
      </c>
      <c r="H33" s="8">
        <f t="shared" si="2"/>
        <v>0.12275080541723497</v>
      </c>
      <c r="I33" s="28">
        <f>(F33-'Return Stats'!$C$65)/H33</f>
        <v>1.5891937266428471</v>
      </c>
      <c r="J33" s="28">
        <f t="shared" si="3"/>
        <v>0.12275080541723497</v>
      </c>
    </row>
    <row r="34" spans="3:10" x14ac:dyDescent="0.2">
      <c r="C34" s="25">
        <v>0</v>
      </c>
      <c r="D34" s="25">
        <v>1</v>
      </c>
      <c r="E34" s="26">
        <f t="shared" si="1"/>
        <v>0</v>
      </c>
      <c r="F34" s="8">
        <f>C34*'Return Stats'!$C$43+D34*'Return Stats'!$D$43+E34*'Return Stats'!$E$43</f>
        <v>0.2443394469912108</v>
      </c>
      <c r="G34" s="27">
        <f>C34^2*'Return Stats'!$C$60+D34^2*'Return Stats'!$D$61+E34^2*'Return Stats'!$E$62+2*C34*D34*'Return Stats'!$D$60+2*C34*E34*'Return Stats'!$E$60+2*D34*E34*'Return Stats'!$E$61</f>
        <v>1.6344838366075424E-2</v>
      </c>
      <c r="H34" s="8">
        <f t="shared" si="2"/>
        <v>0.12784693334638661</v>
      </c>
      <c r="I34" s="28">
        <f>(F34-'Return Stats'!$C$65)/H34</f>
        <v>1.6131747676139299</v>
      </c>
      <c r="J34" s="28">
        <f t="shared" si="3"/>
        <v>0.12784693334638661</v>
      </c>
    </row>
    <row r="35" spans="3:10" x14ac:dyDescent="0.2">
      <c r="C35" s="25">
        <v>0.05</v>
      </c>
      <c r="D35" s="25">
        <v>0</v>
      </c>
      <c r="E35" s="26">
        <f t="shared" si="1"/>
        <v>0.95</v>
      </c>
      <c r="F35" s="8">
        <f>C35*'Return Stats'!$C$43+D35*'Return Stats'!$D$43+E35*'Return Stats'!$E$43</f>
        <v>3.7049561121485185E-2</v>
      </c>
      <c r="G35" s="27">
        <f>C35^2*'Return Stats'!$C$60+D35^2*'Return Stats'!$D$61+E35^2*'Return Stats'!$E$62+2*C35*D35*'Return Stats'!$D$60+2*C35*E35*'Return Stats'!$E$60+2*D35*E35*'Return Stats'!$E$61</f>
        <v>3.1722199155364301E-3</v>
      </c>
      <c r="H35" s="8">
        <f t="shared" si="2"/>
        <v>5.6322463684896011E-2</v>
      </c>
      <c r="I35" s="28">
        <f>(F35-'Return Stats'!$C$65)/H35</f>
        <v>-1.8650442643838274E-2</v>
      </c>
      <c r="J35" s="28">
        <f t="shared" si="3"/>
        <v>999</v>
      </c>
    </row>
    <row r="36" spans="3:10" x14ac:dyDescent="0.2">
      <c r="C36" s="25">
        <v>0.05</v>
      </c>
      <c r="D36" s="25">
        <v>0.05</v>
      </c>
      <c r="E36" s="26">
        <f t="shared" si="1"/>
        <v>0.89999999999999991</v>
      </c>
      <c r="F36" s="8">
        <f>C36*'Return Stats'!$C$43+D36*'Return Stats'!$D$43+E36*'Return Stats'!$E$43</f>
        <v>4.8214198203269359E-2</v>
      </c>
      <c r="G36" s="27">
        <f>C36^2*'Return Stats'!$C$60+D36^2*'Return Stats'!$D$61+E36^2*'Return Stats'!$E$62+2*C36*D36*'Return Stats'!$D$60+2*C36*E36*'Return Stats'!$E$60+2*D36*E36*'Return Stats'!$E$61</f>
        <v>3.2913410851261493E-3</v>
      </c>
      <c r="H36" s="8">
        <f t="shared" si="2"/>
        <v>5.7370210781608158E-2</v>
      </c>
      <c r="I36" s="28">
        <f>(F36-'Return Stats'!$C$65)/H36</f>
        <v>0.17629703753000303</v>
      </c>
      <c r="J36" s="28">
        <f t="shared" si="3"/>
        <v>999</v>
      </c>
    </row>
    <row r="37" spans="3:10" x14ac:dyDescent="0.2">
      <c r="C37" s="25">
        <v>0.05</v>
      </c>
      <c r="D37" s="25">
        <v>0.1</v>
      </c>
      <c r="E37" s="26">
        <f t="shared" si="1"/>
        <v>0.85</v>
      </c>
      <c r="F37" s="8">
        <f>C37*'Return Stats'!$C$43+D37*'Return Stats'!$D$43+E37*'Return Stats'!$E$43</f>
        <v>5.9378835285053541E-2</v>
      </c>
      <c r="G37" s="27">
        <f>C37^2*'Return Stats'!$C$60+D37^2*'Return Stats'!$D$61+E37^2*'Return Stats'!$E$62+2*C37*D37*'Return Stats'!$D$60+2*C37*E37*'Return Stats'!$E$60+2*D37*E37*'Return Stats'!$E$61</f>
        <v>3.4743786498416963E-3</v>
      </c>
      <c r="H37" s="8">
        <f t="shared" si="2"/>
        <v>5.894386015389301E-2</v>
      </c>
      <c r="I37" s="28">
        <f>(F37-'Return Stats'!$C$65)/H37</f>
        <v>0.36100172654959983</v>
      </c>
      <c r="J37" s="28">
        <f t="shared" si="3"/>
        <v>999</v>
      </c>
    </row>
    <row r="38" spans="3:10" x14ac:dyDescent="0.2">
      <c r="C38" s="25">
        <v>0.05</v>
      </c>
      <c r="D38" s="25">
        <v>0.15</v>
      </c>
      <c r="E38" s="26">
        <f t="shared" si="1"/>
        <v>0.79999999999999993</v>
      </c>
      <c r="F38" s="8">
        <f>C38*'Return Stats'!$C$43+D38*'Return Stats'!$D$43+E38*'Return Stats'!$E$43</f>
        <v>7.0543472366837723E-2</v>
      </c>
      <c r="G38" s="27">
        <f>C38^2*'Return Stats'!$C$60+D38^2*'Return Stats'!$D$61+E38^2*'Return Stats'!$E$62+2*C38*D38*'Return Stats'!$D$60+2*C38*E38*'Return Stats'!$E$60+2*D38*E38*'Return Stats'!$E$61</f>
        <v>3.7213326096830692E-3</v>
      </c>
      <c r="H38" s="8">
        <f t="shared" si="2"/>
        <v>6.1002726247956073E-2</v>
      </c>
      <c r="I38" s="28">
        <f>(F38-'Return Stats'!$C$65)/H38</f>
        <v>0.53183643358766697</v>
      </c>
      <c r="J38" s="28">
        <f t="shared" si="3"/>
        <v>999</v>
      </c>
    </row>
    <row r="39" spans="3:10" x14ac:dyDescent="0.2">
      <c r="C39" s="25">
        <v>0.05</v>
      </c>
      <c r="D39" s="25">
        <v>0.2</v>
      </c>
      <c r="E39" s="26">
        <f t="shared" si="1"/>
        <v>0.75</v>
      </c>
      <c r="F39" s="8">
        <f>C39*'Return Stats'!$C$43+D39*'Return Stats'!$D$43+E39*'Return Stats'!$E$43</f>
        <v>8.1708109448621905E-2</v>
      </c>
      <c r="G39" s="27">
        <f>C39^2*'Return Stats'!$C$60+D39^2*'Return Stats'!$D$61+E39^2*'Return Stats'!$E$62+2*C39*D39*'Return Stats'!$D$60+2*C39*E39*'Return Stats'!$E$60+2*D39*E39*'Return Stats'!$E$61</f>
        <v>4.0322029646502689E-3</v>
      </c>
      <c r="H39" s="8">
        <f t="shared" si="2"/>
        <v>6.3499629641835462E-2</v>
      </c>
      <c r="I39" s="28">
        <f>(F39-'Return Stats'!$C$65)/H39</f>
        <v>0.6867458864656365</v>
      </c>
      <c r="J39" s="28">
        <f t="shared" si="3"/>
        <v>999</v>
      </c>
    </row>
    <row r="40" spans="3:10" x14ac:dyDescent="0.2">
      <c r="C40" s="25">
        <v>0.05</v>
      </c>
      <c r="D40" s="25">
        <v>0.25</v>
      </c>
      <c r="E40" s="26">
        <f t="shared" si="1"/>
        <v>0.7</v>
      </c>
      <c r="F40" s="8">
        <f>C40*'Return Stats'!$C$43+D40*'Return Stats'!$D$43+E40*'Return Stats'!$E$43</f>
        <v>9.2872746530406086E-2</v>
      </c>
      <c r="G40" s="27">
        <f>C40^2*'Return Stats'!$C$60+D40^2*'Return Stats'!$D$61+E40^2*'Return Stats'!$E$62+2*C40*D40*'Return Stats'!$D$60+2*C40*E40*'Return Stats'!$E$60+2*D40*E40*'Return Stats'!$E$61</f>
        <v>4.4069897147432941E-3</v>
      </c>
      <c r="H40" s="8">
        <f t="shared" si="2"/>
        <v>6.6385161856722871E-2</v>
      </c>
      <c r="I40" s="28">
        <f>(F40-'Return Stats'!$C$65)/H40</f>
        <v>0.82507513725161175</v>
      </c>
      <c r="J40" s="28">
        <f t="shared" si="3"/>
        <v>999</v>
      </c>
    </row>
    <row r="41" spans="3:10" x14ac:dyDescent="0.2">
      <c r="C41" s="25">
        <v>0.05</v>
      </c>
      <c r="D41" s="25">
        <v>0.3</v>
      </c>
      <c r="E41" s="26">
        <f t="shared" si="1"/>
        <v>0.64999999999999991</v>
      </c>
      <c r="F41" s="8">
        <f>C41*'Return Stats'!$C$43+D41*'Return Stats'!$D$43+E41*'Return Stats'!$E$43</f>
        <v>0.10403738361219025</v>
      </c>
      <c r="G41" s="27">
        <f>C41^2*'Return Stats'!$C$60+D41^2*'Return Stats'!$D$61+E41^2*'Return Stats'!$E$62+2*C41*D41*'Return Stats'!$D$60+2*C41*E41*'Return Stats'!$E$60+2*D41*E41*'Return Stats'!$E$61</f>
        <v>4.8456928599621444E-3</v>
      </c>
      <c r="H41" s="8">
        <f t="shared" si="2"/>
        <v>6.9611011054014613E-2</v>
      </c>
      <c r="I41" s="28">
        <f>(F41-'Return Stats'!$C$65)/H41</f>
        <v>0.94722634557090679</v>
      </c>
      <c r="J41" s="28">
        <f t="shared" si="3"/>
        <v>999</v>
      </c>
    </row>
    <row r="42" spans="3:10" x14ac:dyDescent="0.2">
      <c r="C42" s="25">
        <v>0.05</v>
      </c>
      <c r="D42" s="25">
        <v>0.35</v>
      </c>
      <c r="E42" s="26">
        <f t="shared" si="1"/>
        <v>0.6</v>
      </c>
      <c r="F42" s="8">
        <f>C42*'Return Stats'!$C$43+D42*'Return Stats'!$D$43+E42*'Return Stats'!$E$43</f>
        <v>0.11520202069397444</v>
      </c>
      <c r="G42" s="27">
        <f>C42^2*'Return Stats'!$C$60+D42^2*'Return Stats'!$D$61+E42^2*'Return Stats'!$E$62+2*C42*D42*'Return Stats'!$D$60+2*C42*E42*'Return Stats'!$E$60+2*D42*E42*'Return Stats'!$E$61</f>
        <v>5.3483124003068233E-3</v>
      </c>
      <c r="H42" s="8">
        <f t="shared" si="2"/>
        <v>7.3132157087746452E-2</v>
      </c>
      <c r="I42" s="28">
        <f>(F42-'Return Stats'!$C$65)/H42</f>
        <v>1.054283420102935</v>
      </c>
      <c r="J42" s="28">
        <f t="shared" si="3"/>
        <v>999</v>
      </c>
    </row>
    <row r="43" spans="3:10" x14ac:dyDescent="0.2">
      <c r="C43" s="25">
        <v>0.05</v>
      </c>
      <c r="D43" s="25">
        <v>0.4</v>
      </c>
      <c r="E43" s="26">
        <f t="shared" si="1"/>
        <v>0.54999999999999993</v>
      </c>
      <c r="F43" s="8">
        <f>C43*'Return Stats'!$C$43+D43*'Return Stats'!$D$43+E43*'Return Stats'!$E$43</f>
        <v>0.12636665777575862</v>
      </c>
      <c r="G43" s="27">
        <f>C43^2*'Return Stats'!$C$60+D43^2*'Return Stats'!$D$61+E43^2*'Return Stats'!$E$62+2*C43*D43*'Return Stats'!$D$60+2*C43*E43*'Return Stats'!$E$60+2*D43*E43*'Return Stats'!$E$61</f>
        <v>5.9148483357773281E-3</v>
      </c>
      <c r="H43" s="8">
        <f t="shared" si="2"/>
        <v>7.6908051176566211E-2</v>
      </c>
      <c r="I43" s="28">
        <f>(F43-'Return Stats'!$C$65)/H43</f>
        <v>1.147690734915584</v>
      </c>
      <c r="J43" s="28">
        <f t="shared" si="3"/>
        <v>999</v>
      </c>
    </row>
    <row r="44" spans="3:10" x14ac:dyDescent="0.2">
      <c r="C44" s="25">
        <v>0.05</v>
      </c>
      <c r="D44" s="25">
        <v>0.45</v>
      </c>
      <c r="E44" s="26">
        <f t="shared" si="1"/>
        <v>0.49999999999999994</v>
      </c>
      <c r="F44" s="8">
        <f>C44*'Return Stats'!$C$43+D44*'Return Stats'!$D$43+E44*'Return Stats'!$E$43</f>
        <v>0.13753129485754279</v>
      </c>
      <c r="G44" s="27">
        <f>C44^2*'Return Stats'!$C$60+D44^2*'Return Stats'!$D$61+E44^2*'Return Stats'!$E$62+2*C44*D44*'Return Stats'!$D$60+2*C44*E44*'Return Stats'!$E$60+2*D44*E44*'Return Stats'!$E$61</f>
        <v>6.5453006663736581E-3</v>
      </c>
      <c r="H44" s="8">
        <f t="shared" si="2"/>
        <v>8.0903032491827259E-2</v>
      </c>
      <c r="I44" s="28">
        <f>(F44-'Return Stats'!$C$65)/H44</f>
        <v>1.229018144252964</v>
      </c>
      <c r="J44" s="28">
        <f t="shared" si="3"/>
        <v>999</v>
      </c>
    </row>
    <row r="45" spans="3:10" x14ac:dyDescent="0.2">
      <c r="C45" s="25">
        <v>0.05</v>
      </c>
      <c r="D45" s="25">
        <v>0.5</v>
      </c>
      <c r="E45" s="26">
        <f t="shared" si="1"/>
        <v>0.44999999999999996</v>
      </c>
      <c r="F45" s="8">
        <f>C45*'Return Stats'!$C$43+D45*'Return Stats'!$D$43+E45*'Return Stats'!$E$43</f>
        <v>0.14869593193932695</v>
      </c>
      <c r="G45" s="27">
        <f>C45^2*'Return Stats'!$C$60+D45^2*'Return Stats'!$D$61+E45^2*'Return Stats'!$E$62+2*C45*D45*'Return Stats'!$D$60+2*C45*E45*'Return Stats'!$E$60+2*D45*E45*'Return Stats'!$E$61</f>
        <v>7.2396693920958157E-3</v>
      </c>
      <c r="H45" s="8">
        <f t="shared" si="2"/>
        <v>8.508624678581031E-2</v>
      </c>
      <c r="I45" s="28">
        <f>(F45-'Return Stats'!$C$65)/H45</f>
        <v>1.2998097356172356</v>
      </c>
      <c r="J45" s="28">
        <f t="shared" si="3"/>
        <v>999</v>
      </c>
    </row>
    <row r="46" spans="3:10" x14ac:dyDescent="0.2">
      <c r="C46" s="25">
        <v>0.05</v>
      </c>
      <c r="D46" s="25">
        <v>0.55000000000000004</v>
      </c>
      <c r="E46" s="26">
        <f t="shared" si="1"/>
        <v>0.39999999999999991</v>
      </c>
      <c r="F46" s="8">
        <f>C46*'Return Stats'!$C$43+D46*'Return Stats'!$D$43+E46*'Return Stats'!$E$43</f>
        <v>0.15986056902111115</v>
      </c>
      <c r="G46" s="27">
        <f>C46^2*'Return Stats'!$C$60+D46^2*'Return Stats'!$D$61+E46^2*'Return Stats'!$E$62+2*C46*D46*'Return Stats'!$D$60+2*C46*E46*'Return Stats'!$E$60+2*D46*E46*'Return Stats'!$E$61</f>
        <v>7.9979545129438001E-3</v>
      </c>
      <c r="H46" s="8">
        <f t="shared" si="2"/>
        <v>8.943128374871849E-2</v>
      </c>
      <c r="I46" s="28">
        <f>(F46-'Return Stats'!$C$65)/H46</f>
        <v>1.3614986156659741</v>
      </c>
      <c r="J46" s="28">
        <f t="shared" si="3"/>
        <v>8.943128374871849E-2</v>
      </c>
    </row>
    <row r="47" spans="3:10" x14ac:dyDescent="0.2">
      <c r="C47" s="25">
        <v>0.05</v>
      </c>
      <c r="D47" s="25">
        <v>0.6</v>
      </c>
      <c r="E47" s="26">
        <f t="shared" si="1"/>
        <v>0.35</v>
      </c>
      <c r="F47" s="8">
        <f>C47*'Return Stats'!$C$43+D47*'Return Stats'!$D$43+E47*'Return Stats'!$E$43</f>
        <v>0.17102520610289532</v>
      </c>
      <c r="G47" s="27">
        <f>C47^2*'Return Stats'!$C$60+D47^2*'Return Stats'!$D$61+E47^2*'Return Stats'!$E$62+2*C47*D47*'Return Stats'!$D$60+2*C47*E47*'Return Stats'!$E$60+2*D47*E47*'Return Stats'!$E$61</f>
        <v>8.8201560289176088E-3</v>
      </c>
      <c r="H47" s="8">
        <f t="shared" si="2"/>
        <v>9.3915685744808408E-2</v>
      </c>
      <c r="I47" s="28">
        <f>(F47-'Return Stats'!$C$65)/H47</f>
        <v>1.415367465495436</v>
      </c>
      <c r="J47" s="28">
        <f t="shared" si="3"/>
        <v>9.3915685744808408E-2</v>
      </c>
    </row>
    <row r="48" spans="3:10" x14ac:dyDescent="0.2">
      <c r="C48" s="25">
        <v>0.05</v>
      </c>
      <c r="D48" s="25">
        <v>0.65</v>
      </c>
      <c r="E48" s="26">
        <f t="shared" si="1"/>
        <v>0.29999999999999993</v>
      </c>
      <c r="F48" s="8">
        <f>C48*'Return Stats'!$C$43+D48*'Return Stats'!$D$43+E48*'Return Stats'!$E$43</f>
        <v>0.18218984318467951</v>
      </c>
      <c r="G48" s="27">
        <f>C48^2*'Return Stats'!$C$60+D48^2*'Return Stats'!$D$61+E48^2*'Return Stats'!$E$62+2*C48*D48*'Return Stats'!$D$60+2*C48*E48*'Return Stats'!$E$60+2*D48*E48*'Return Stats'!$E$61</f>
        <v>9.706273940017246E-3</v>
      </c>
      <c r="H48" s="8">
        <f t="shared" si="2"/>
        <v>9.8520423974002694E-2</v>
      </c>
      <c r="I48" s="28">
        <f>(F48-'Return Stats'!$C$65)/H48</f>
        <v>1.4625377903641743</v>
      </c>
      <c r="J48" s="28">
        <f t="shared" si="3"/>
        <v>9.8520423974002694E-2</v>
      </c>
    </row>
    <row r="49" spans="3:10" x14ac:dyDescent="0.2">
      <c r="C49" s="25">
        <v>0.05</v>
      </c>
      <c r="D49" s="25">
        <v>0.7</v>
      </c>
      <c r="E49" s="26">
        <f t="shared" si="1"/>
        <v>0.25</v>
      </c>
      <c r="F49" s="8">
        <f>C49*'Return Stats'!$C$43+D49*'Return Stats'!$D$43+E49*'Return Stats'!$E$43</f>
        <v>0.19335448026646368</v>
      </c>
      <c r="G49" s="27">
        <f>C49^2*'Return Stats'!$C$60+D49^2*'Return Stats'!$D$61+E49^2*'Return Stats'!$E$62+2*C49*D49*'Return Stats'!$D$60+2*C49*E49*'Return Stats'!$E$60+2*D49*E49*'Return Stats'!$E$61</f>
        <v>1.0656308246242705E-2</v>
      </c>
      <c r="H49" s="8">
        <f t="shared" si="2"/>
        <v>0.10322939623112548</v>
      </c>
      <c r="I49" s="28">
        <f>(F49-'Return Stats'!$C$65)/H49</f>
        <v>1.5039754753467378</v>
      </c>
      <c r="J49" s="28">
        <f t="shared" si="3"/>
        <v>0.10322939623112548</v>
      </c>
    </row>
    <row r="50" spans="3:10" x14ac:dyDescent="0.2">
      <c r="C50" s="25">
        <v>0.05</v>
      </c>
      <c r="D50" s="25">
        <v>0.75</v>
      </c>
      <c r="E50" s="26">
        <f t="shared" si="1"/>
        <v>0.19999999999999996</v>
      </c>
      <c r="F50" s="8">
        <f>C50*'Return Stats'!$C$43+D50*'Return Stats'!$D$43+E50*'Return Stats'!$E$43</f>
        <v>0.20451911734824785</v>
      </c>
      <c r="G50" s="27">
        <f>C50^2*'Return Stats'!$C$60+D50^2*'Return Stats'!$D$61+E50^2*'Return Stats'!$E$62+2*C50*D50*'Return Stats'!$D$60+2*C50*E50*'Return Stats'!$E$60+2*D50*E50*'Return Stats'!$E$61</f>
        <v>1.1670258947593996E-2</v>
      </c>
      <c r="H50" s="8">
        <f t="shared" si="2"/>
        <v>0.10802897272303387</v>
      </c>
      <c r="I50" s="28">
        <f>(F50-'Return Stats'!$C$65)/H50</f>
        <v>1.5405044883182906</v>
      </c>
      <c r="J50" s="28">
        <f t="shared" si="3"/>
        <v>0.10802897272303387</v>
      </c>
    </row>
    <row r="51" spans="3:10" x14ac:dyDescent="0.2">
      <c r="C51" s="25">
        <v>0.05</v>
      </c>
      <c r="D51" s="25">
        <v>0.8</v>
      </c>
      <c r="E51" s="26">
        <f t="shared" si="1"/>
        <v>0.14999999999999991</v>
      </c>
      <c r="F51" s="8">
        <f>C51*'Return Stats'!$C$43+D51*'Return Stats'!$D$43+E51*'Return Stats'!$E$43</f>
        <v>0.21568375443003204</v>
      </c>
      <c r="G51" s="27">
        <f>C51^2*'Return Stats'!$C$60+D51^2*'Return Stats'!$D$61+E51^2*'Return Stats'!$E$62+2*C51*D51*'Return Stats'!$D$60+2*C51*E51*'Return Stats'!$E$60+2*D51*E51*'Return Stats'!$E$61</f>
        <v>1.2748126044071113E-2</v>
      </c>
      <c r="H51" s="8">
        <f t="shared" si="2"/>
        <v>0.11290759958510814</v>
      </c>
      <c r="I51" s="28">
        <f>(F51-'Return Stats'!$C$65)/H51</f>
        <v>1.5728237521883719</v>
      </c>
      <c r="J51" s="28">
        <f t="shared" si="3"/>
        <v>0.11290759958510814</v>
      </c>
    </row>
    <row r="52" spans="3:10" x14ac:dyDescent="0.2">
      <c r="C52" s="25">
        <v>0.05</v>
      </c>
      <c r="D52" s="25">
        <v>0.85</v>
      </c>
      <c r="E52" s="26">
        <f t="shared" si="1"/>
        <v>9.9999999999999978E-2</v>
      </c>
      <c r="F52" s="8">
        <f>C52*'Return Stats'!$C$43+D52*'Return Stats'!$D$43+E52*'Return Stats'!$E$43</f>
        <v>0.22684839151181621</v>
      </c>
      <c r="G52" s="27">
        <f>C52^2*'Return Stats'!$C$60+D52^2*'Return Stats'!$D$61+E52^2*'Return Stats'!$E$62+2*C52*D52*'Return Stats'!$D$60+2*C52*E52*'Return Stats'!$E$60+2*D52*E52*'Return Stats'!$E$61</f>
        <v>1.3889909535674049E-2</v>
      </c>
      <c r="H52" s="8">
        <f t="shared" si="2"/>
        <v>0.11785546035578516</v>
      </c>
      <c r="I52" s="28">
        <f>(F52-'Return Stats'!$C$65)/H52</f>
        <v>1.6015243667286829</v>
      </c>
      <c r="J52" s="28">
        <f t="shared" si="3"/>
        <v>0.11785546035578516</v>
      </c>
    </row>
    <row r="53" spans="3:10" x14ac:dyDescent="0.2">
      <c r="C53" s="25">
        <v>0.05</v>
      </c>
      <c r="D53" s="25">
        <v>0.9</v>
      </c>
      <c r="E53" s="26">
        <f t="shared" si="1"/>
        <v>4.9999999999999933E-2</v>
      </c>
      <c r="F53" s="8">
        <f>C53*'Return Stats'!$C$43+D53*'Return Stats'!$D$43+E53*'Return Stats'!$E$43</f>
        <v>0.23801302859360041</v>
      </c>
      <c r="G53" s="27">
        <f>C53^2*'Return Stats'!$C$60+D53^2*'Return Stats'!$D$61+E53^2*'Return Stats'!$E$62+2*C53*D53*'Return Stats'!$D$60+2*C53*E53*'Return Stats'!$E$60+2*D53*E53*'Return Stats'!$E$61</f>
        <v>1.509560942240282E-2</v>
      </c>
      <c r="H53" s="8">
        <f t="shared" si="2"/>
        <v>0.12286419096873923</v>
      </c>
      <c r="I53" s="28">
        <f>(F53-'Return Stats'!$C$65)/H53</f>
        <v>1.6271057255768282</v>
      </c>
      <c r="J53" s="28">
        <f t="shared" si="3"/>
        <v>0.12286419096873923</v>
      </c>
    </row>
    <row r="54" spans="3:10" x14ac:dyDescent="0.2">
      <c r="C54" s="25">
        <v>0.05</v>
      </c>
      <c r="D54" s="25">
        <v>0.95</v>
      </c>
      <c r="E54" s="26">
        <f t="shared" si="1"/>
        <v>0</v>
      </c>
      <c r="F54" s="8">
        <f>C54*'Return Stats'!$C$43+D54*'Return Stats'!$D$43+E54*'Return Stats'!$E$43</f>
        <v>0.24917766567538457</v>
      </c>
      <c r="G54" s="27">
        <f>C54^2*'Return Stats'!$C$60+D54^2*'Return Stats'!$D$61+E54^2*'Return Stats'!$E$62+2*C54*D54*'Return Stats'!$D$60+2*C54*E54*'Return Stats'!$E$60+2*D54*E54*'Return Stats'!$E$61</f>
        <v>1.6365225704257413E-2</v>
      </c>
      <c r="H54" s="8">
        <f t="shared" si="2"/>
        <v>0.1279266418861115</v>
      </c>
      <c r="I54" s="28">
        <f>(F54-'Return Stats'!$C$65)/H54</f>
        <v>1.6499898892312006</v>
      </c>
      <c r="J54" s="28">
        <f t="shared" si="3"/>
        <v>0.1279266418861115</v>
      </c>
    </row>
    <row r="55" spans="3:10" x14ac:dyDescent="0.2">
      <c r="C55" s="25">
        <v>0.1</v>
      </c>
      <c r="D55" s="25">
        <v>0</v>
      </c>
      <c r="E55" s="26">
        <f t="shared" si="1"/>
        <v>0.9</v>
      </c>
      <c r="F55" s="8">
        <f>C55*'Return Stats'!$C$43+D55*'Return Stats'!$D$43+E55*'Return Stats'!$E$43</f>
        <v>5.3052416887443152E-2</v>
      </c>
      <c r="G55" s="27">
        <f>C55^2*'Return Stats'!$C$60+D55^2*'Return Stats'!$D$61+E55^2*'Return Stats'!$E$62+2*C55*D55*'Return Stats'!$D$60+2*C55*E55*'Return Stats'!$E$60+2*D55*E55*'Return Stats'!$E$61</f>
        <v>4.3974917092270069E-3</v>
      </c>
      <c r="H55" s="8">
        <f t="shared" si="2"/>
        <v>6.6313586158697577E-2</v>
      </c>
      <c r="I55" s="28">
        <f>(F55-'Return Stats'!$C$65)/H55</f>
        <v>0.22548044456018335</v>
      </c>
      <c r="J55" s="28">
        <f t="shared" si="3"/>
        <v>999</v>
      </c>
    </row>
    <row r="56" spans="3:10" x14ac:dyDescent="0.2">
      <c r="C56" s="25">
        <v>0.1</v>
      </c>
      <c r="D56" s="25">
        <v>0.05</v>
      </c>
      <c r="E56" s="26">
        <f t="shared" si="1"/>
        <v>0.85</v>
      </c>
      <c r="F56" s="8">
        <f>C56*'Return Stats'!$C$43+D56*'Return Stats'!$D$43+E56*'Return Stats'!$E$43</f>
        <v>6.4217053969227333E-2</v>
      </c>
      <c r="G56" s="27">
        <f>C56^2*'Return Stats'!$C$60+D56^2*'Return Stats'!$D$61+E56^2*'Return Stats'!$E$62+2*C56*D56*'Return Stats'!$D$60+2*C56*E56*'Return Stats'!$E$60+2*D56*E56*'Return Stats'!$E$61</f>
        <v>4.5730674203016053E-3</v>
      </c>
      <c r="H56" s="8">
        <f t="shared" si="2"/>
        <v>6.7624458743132318E-2</v>
      </c>
      <c r="I56" s="28">
        <f>(F56-'Return Stats'!$C$65)/H56</f>
        <v>0.38620721636281752</v>
      </c>
      <c r="J56" s="28">
        <f t="shared" si="3"/>
        <v>999</v>
      </c>
    </row>
    <row r="57" spans="3:10" x14ac:dyDescent="0.2">
      <c r="C57" s="25">
        <v>0.1</v>
      </c>
      <c r="D57" s="25">
        <v>0.1</v>
      </c>
      <c r="E57" s="26">
        <f t="shared" si="1"/>
        <v>0.8</v>
      </c>
      <c r="F57" s="8">
        <f>C57*'Return Stats'!$C$43+D57*'Return Stats'!$D$43+E57*'Return Stats'!$E$43</f>
        <v>7.5381691051011515E-2</v>
      </c>
      <c r="G57" s="27">
        <f>C57^2*'Return Stats'!$C$60+D57^2*'Return Stats'!$D$61+E57^2*'Return Stats'!$E$62+2*C57*D57*'Return Stats'!$D$60+2*C57*E57*'Return Stats'!$E$60+2*D57*E57*'Return Stats'!$E$61</f>
        <v>4.8125595265020331E-3</v>
      </c>
      <c r="H57" s="8">
        <f t="shared" si="2"/>
        <v>6.9372613663476981E-2</v>
      </c>
      <c r="I57" s="28">
        <f>(F57-'Return Stats'!$C$65)/H57</f>
        <v>0.53741223059380605</v>
      </c>
      <c r="J57" s="28">
        <f t="shared" si="3"/>
        <v>999</v>
      </c>
    </row>
    <row r="58" spans="3:10" x14ac:dyDescent="0.2">
      <c r="C58" s="25">
        <v>0.1</v>
      </c>
      <c r="D58" s="25">
        <v>0.15</v>
      </c>
      <c r="E58" s="26">
        <f t="shared" si="1"/>
        <v>0.75</v>
      </c>
      <c r="F58" s="8">
        <f>C58*'Return Stats'!$C$43+D58*'Return Stats'!$D$43+E58*'Return Stats'!$E$43</f>
        <v>8.6546328132795697E-2</v>
      </c>
      <c r="G58" s="27">
        <f>C58^2*'Return Stats'!$C$60+D58^2*'Return Stats'!$D$61+E58^2*'Return Stats'!$E$62+2*C58*D58*'Return Stats'!$D$60+2*C58*E58*'Return Stats'!$E$60+2*D58*E58*'Return Stats'!$E$61</f>
        <v>5.1159680278282842E-3</v>
      </c>
      <c r="H58" s="8">
        <f t="shared" si="2"/>
        <v>7.1525995468978157E-2</v>
      </c>
      <c r="I58" s="28">
        <f>(F58-'Return Stats'!$C$65)/H58</f>
        <v>0.67732476584415457</v>
      </c>
      <c r="J58" s="28">
        <f t="shared" si="3"/>
        <v>999</v>
      </c>
    </row>
    <row r="59" spans="3:10" x14ac:dyDescent="0.2">
      <c r="C59" s="25">
        <v>0.1</v>
      </c>
      <c r="D59" s="25">
        <v>0.2</v>
      </c>
      <c r="E59" s="26">
        <f t="shared" si="1"/>
        <v>0.7</v>
      </c>
      <c r="F59" s="8">
        <f>C59*'Return Stats'!$C$43+D59*'Return Stats'!$D$43+E59*'Return Stats'!$E$43</f>
        <v>9.7710965214579878E-2</v>
      </c>
      <c r="G59" s="27">
        <f>C59^2*'Return Stats'!$C$60+D59^2*'Return Stats'!$D$61+E59^2*'Return Stats'!$E$62+2*C59*D59*'Return Stats'!$D$60+2*C59*E59*'Return Stats'!$E$60+2*D59*E59*'Return Stats'!$E$61</f>
        <v>5.4832929242803622E-3</v>
      </c>
      <c r="H59" s="8">
        <f t="shared" si="2"/>
        <v>7.4049260119736254E-2</v>
      </c>
      <c r="I59" s="28">
        <f>(F59-'Return Stats'!$C$65)/H59</f>
        <v>0.80501770197555078</v>
      </c>
      <c r="J59" s="28">
        <f t="shared" si="3"/>
        <v>999</v>
      </c>
    </row>
    <row r="60" spans="3:10" x14ac:dyDescent="0.2">
      <c r="C60" s="25">
        <v>0.1</v>
      </c>
      <c r="D60" s="25">
        <v>0.25</v>
      </c>
      <c r="E60" s="26">
        <f t="shared" si="1"/>
        <v>0.65</v>
      </c>
      <c r="F60" s="8">
        <f>C60*'Return Stats'!$C$43+D60*'Return Stats'!$D$43+E60*'Return Stats'!$E$43</f>
        <v>0.10887560229636406</v>
      </c>
      <c r="G60" s="27">
        <f>C60^2*'Return Stats'!$C$60+D60^2*'Return Stats'!$D$61+E60^2*'Return Stats'!$E$62+2*C60*D60*'Return Stats'!$D$60+2*C60*E60*'Return Stats'!$E$60+2*D60*E60*'Return Stats'!$E$61</f>
        <v>5.9145342158582661E-3</v>
      </c>
      <c r="H60" s="8">
        <f t="shared" si="2"/>
        <v>7.6906008971069778E-2</v>
      </c>
      <c r="I60" s="28">
        <f>(F60-'Return Stats'!$C$65)/H60</f>
        <v>0.92028702624509062</v>
      </c>
      <c r="J60" s="28">
        <f t="shared" si="3"/>
        <v>999</v>
      </c>
    </row>
    <row r="61" spans="3:10" x14ac:dyDescent="0.2">
      <c r="C61" s="25">
        <v>0.1</v>
      </c>
      <c r="D61" s="25">
        <v>0.3</v>
      </c>
      <c r="E61" s="26">
        <f t="shared" si="1"/>
        <v>0.60000000000000009</v>
      </c>
      <c r="F61" s="8">
        <f>C61*'Return Stats'!$C$43+D61*'Return Stats'!$D$43+E61*'Return Stats'!$E$43</f>
        <v>0.12004023937814823</v>
      </c>
      <c r="G61" s="27">
        <f>C61^2*'Return Stats'!$C$60+D61^2*'Return Stats'!$D$61+E61^2*'Return Stats'!$E$62+2*C61*D61*'Return Stats'!$D$60+2*C61*E61*'Return Stats'!$E$60+2*D61*E61*'Return Stats'!$E$61</f>
        <v>6.4096919025619977E-3</v>
      </c>
      <c r="H61" s="8">
        <f t="shared" si="2"/>
        <v>8.0060551475505073E-2</v>
      </c>
      <c r="I61" s="28">
        <f>(F61-'Return Stats'!$C$65)/H61</f>
        <v>1.0234783281903606</v>
      </c>
      <c r="J61" s="28">
        <f t="shared" si="3"/>
        <v>999</v>
      </c>
    </row>
    <row r="62" spans="3:10" x14ac:dyDescent="0.2">
      <c r="C62" s="25">
        <v>0.1</v>
      </c>
      <c r="D62" s="25">
        <v>0.35</v>
      </c>
      <c r="E62" s="26">
        <f t="shared" si="1"/>
        <v>0.55000000000000004</v>
      </c>
      <c r="F62" s="8">
        <f>C62*'Return Stats'!$C$43+D62*'Return Stats'!$D$43+E62*'Return Stats'!$E$43</f>
        <v>0.13120487645993242</v>
      </c>
      <c r="G62" s="27">
        <f>C62^2*'Return Stats'!$C$60+D62^2*'Return Stats'!$D$61+E62^2*'Return Stats'!$E$62+2*C62*D62*'Return Stats'!$D$60+2*C62*E62*'Return Stats'!$E$60+2*D62*E62*'Return Stats'!$E$61</f>
        <v>6.9687659843915544E-3</v>
      </c>
      <c r="H62" s="8">
        <f t="shared" si="2"/>
        <v>8.347913502421761E-2</v>
      </c>
      <c r="I62" s="28">
        <f>(F62-'Return Stats'!$C$65)/H62</f>
        <v>1.1153071534931736</v>
      </c>
      <c r="J62" s="28">
        <f t="shared" si="3"/>
        <v>999</v>
      </c>
    </row>
    <row r="63" spans="3:10" x14ac:dyDescent="0.2">
      <c r="C63" s="25">
        <v>0.1</v>
      </c>
      <c r="D63" s="25">
        <v>0.4</v>
      </c>
      <c r="E63" s="26">
        <f t="shared" si="1"/>
        <v>0.5</v>
      </c>
      <c r="F63" s="8">
        <f>C63*'Return Stats'!$C$43+D63*'Return Stats'!$D$43+E63*'Return Stats'!$E$43</f>
        <v>0.14236951354171659</v>
      </c>
      <c r="G63" s="27">
        <f>C63^2*'Return Stats'!$C$60+D63^2*'Return Stats'!$D$61+E63^2*'Return Stats'!$E$62+2*C63*D63*'Return Stats'!$D$60+2*C63*E63*'Return Stats'!$E$60+2*D63*E63*'Return Stats'!$E$61</f>
        <v>7.5917564613469379E-3</v>
      </c>
      <c r="H63" s="8">
        <f t="shared" si="2"/>
        <v>8.7130686106256142E-2</v>
      </c>
      <c r="I63" s="28">
        <f>(F63-'Return Stats'!$C$65)/H63</f>
        <v>1.1967025419099719</v>
      </c>
      <c r="J63" s="28">
        <f t="shared" si="3"/>
        <v>999</v>
      </c>
    </row>
    <row r="64" spans="3:10" x14ac:dyDescent="0.2">
      <c r="C64" s="25">
        <v>0.1</v>
      </c>
      <c r="D64" s="25">
        <v>0.45</v>
      </c>
      <c r="E64" s="26">
        <f t="shared" si="1"/>
        <v>0.45</v>
      </c>
      <c r="F64" s="8">
        <f>C64*'Return Stats'!$C$43+D64*'Return Stats'!$D$43+E64*'Return Stats'!$E$43</f>
        <v>0.15353415062350076</v>
      </c>
      <c r="G64" s="27">
        <f>C64^2*'Return Stats'!$C$60+D64^2*'Return Stats'!$D$61+E64^2*'Return Stats'!$E$62+2*C64*D64*'Return Stats'!$D$60+2*C64*E64*'Return Stats'!$E$60+2*D64*E64*'Return Stats'!$E$61</f>
        <v>8.2786633334281483E-3</v>
      </c>
      <c r="H64" s="8">
        <f t="shared" si="2"/>
        <v>9.0987160266864847E-2</v>
      </c>
      <c r="I64" s="28">
        <f>(F64-'Return Stats'!$C$65)/H64</f>
        <v>1.2686861562107556</v>
      </c>
      <c r="J64" s="28">
        <f t="shared" si="3"/>
        <v>9.0987160266864847E-2</v>
      </c>
    </row>
    <row r="65" spans="3:10" x14ac:dyDescent="0.2">
      <c r="C65" s="25">
        <v>0.1</v>
      </c>
      <c r="D65" s="25">
        <v>0.5</v>
      </c>
      <c r="E65" s="26">
        <f t="shared" si="1"/>
        <v>0.4</v>
      </c>
      <c r="F65" s="8">
        <f>C65*'Return Stats'!$C$43+D65*'Return Stats'!$D$43+E65*'Return Stats'!$E$43</f>
        <v>0.16469878770528495</v>
      </c>
      <c r="G65" s="27">
        <f>C65^2*'Return Stats'!$C$60+D65^2*'Return Stats'!$D$61+E65^2*'Return Stats'!$E$62+2*C65*D65*'Return Stats'!$D$60+2*C65*E65*'Return Stats'!$E$60+2*D65*E65*'Return Stats'!$E$61</f>
        <v>9.0294866006351837E-3</v>
      </c>
      <c r="H65" s="8">
        <f t="shared" si="2"/>
        <v>9.5023610753513163E-2</v>
      </c>
      <c r="I65" s="28">
        <f>(F65-'Return Stats'!$C$65)/H65</f>
        <v>1.3322876988296766</v>
      </c>
      <c r="J65" s="28">
        <f t="shared" si="3"/>
        <v>9.5023610753513163E-2</v>
      </c>
    </row>
    <row r="66" spans="3:10" x14ac:dyDescent="0.2">
      <c r="C66" s="25">
        <v>0.1</v>
      </c>
      <c r="D66" s="25">
        <v>0.55000000000000004</v>
      </c>
      <c r="E66" s="26">
        <f t="shared" si="1"/>
        <v>0.35</v>
      </c>
      <c r="F66" s="8">
        <f>C66*'Return Stats'!$C$43+D66*'Return Stats'!$D$43+E66*'Return Stats'!$E$43</f>
        <v>0.17586342478706912</v>
      </c>
      <c r="G66" s="27">
        <f>C66^2*'Return Stats'!$C$60+D66^2*'Return Stats'!$D$61+E66^2*'Return Stats'!$E$62+2*C66*D66*'Return Stats'!$D$60+2*C66*E66*'Return Stats'!$E$60+2*D66*E66*'Return Stats'!$E$61</f>
        <v>9.8442262629680477E-3</v>
      </c>
      <c r="H66" s="8">
        <f t="shared" si="2"/>
        <v>9.921807427564823E-2</v>
      </c>
      <c r="I66" s="28">
        <f>(F66-'Return Stats'!$C$65)/H66</f>
        <v>1.388491217883689</v>
      </c>
      <c r="J66" s="28">
        <f t="shared" si="3"/>
        <v>9.921807427564823E-2</v>
      </c>
    </row>
    <row r="67" spans="3:10" x14ac:dyDescent="0.2">
      <c r="C67" s="25">
        <v>0.1</v>
      </c>
      <c r="D67" s="25">
        <v>0.6</v>
      </c>
      <c r="E67" s="26">
        <f t="shared" si="1"/>
        <v>0.30000000000000004</v>
      </c>
      <c r="F67" s="8">
        <f>C67*'Return Stats'!$C$43+D67*'Return Stats'!$D$43+E67*'Return Stats'!$E$43</f>
        <v>0.18702806186885332</v>
      </c>
      <c r="G67" s="27">
        <f>C67^2*'Return Stats'!$C$60+D67^2*'Return Stats'!$D$61+E67^2*'Return Stats'!$E$62+2*C67*D67*'Return Stats'!$D$60+2*C67*E67*'Return Stats'!$E$60+2*D67*E67*'Return Stats'!$E$61</f>
        <v>1.0722882320426733E-2</v>
      </c>
      <c r="H67" s="8">
        <f t="shared" si="2"/>
        <v>0.10355135112796324</v>
      </c>
      <c r="I67" s="28">
        <f>(F67-'Return Stats'!$C$65)/H67</f>
        <v>1.4382049123126937</v>
      </c>
      <c r="J67" s="28">
        <f t="shared" si="3"/>
        <v>0.10355135112796324</v>
      </c>
    </row>
    <row r="68" spans="3:10" x14ac:dyDescent="0.2">
      <c r="C68" s="25">
        <v>0.1</v>
      </c>
      <c r="D68" s="25">
        <v>0.65</v>
      </c>
      <c r="E68" s="26">
        <f t="shared" si="1"/>
        <v>0.25</v>
      </c>
      <c r="F68" s="8">
        <f>C68*'Return Stats'!$C$43+D68*'Return Stats'!$D$43+E68*'Return Stats'!$E$43</f>
        <v>0.19819269895063749</v>
      </c>
      <c r="G68" s="27">
        <f>C68^2*'Return Stats'!$C$60+D68^2*'Return Stats'!$D$61+E68^2*'Return Stats'!$E$62+2*C68*D68*'Return Stats'!$D$60+2*C68*E68*'Return Stats'!$E$60+2*D68*E68*'Return Stats'!$E$61</f>
        <v>1.1665454773011253E-2</v>
      </c>
      <c r="H68" s="8">
        <f t="shared" si="2"/>
        <v>0.10800673485024558</v>
      </c>
      <c r="I68" s="28">
        <f>(F68-'Return Stats'!$C$65)/H68</f>
        <v>1.4822473725607075</v>
      </c>
      <c r="J68" s="28">
        <f t="shared" si="3"/>
        <v>0.10800673485024558</v>
      </c>
    </row>
    <row r="69" spans="3:10" x14ac:dyDescent="0.2">
      <c r="C69" s="25">
        <v>0.1</v>
      </c>
      <c r="D69" s="25">
        <v>0.7</v>
      </c>
      <c r="E69" s="26">
        <f t="shared" si="1"/>
        <v>0.20000000000000007</v>
      </c>
      <c r="F69" s="8">
        <f>C69*'Return Stats'!$C$43+D69*'Return Stats'!$D$43+E69*'Return Stats'!$E$43</f>
        <v>0.20935733603242165</v>
      </c>
      <c r="G69" s="27">
        <f>C69^2*'Return Stats'!$C$60+D69^2*'Return Stats'!$D$61+E69^2*'Return Stats'!$E$62+2*C69*D69*'Return Stats'!$D$60+2*C69*E69*'Return Stats'!$E$60+2*D69*E69*'Return Stats'!$E$61</f>
        <v>1.2671943620721594E-2</v>
      </c>
      <c r="H69" s="8">
        <f t="shared" si="2"/>
        <v>0.11256972781668077</v>
      </c>
      <c r="I69" s="28">
        <f>(F69-'Return Stats'!$C$65)/H69</f>
        <v>1.5213444977970751</v>
      </c>
      <c r="J69" s="28">
        <f t="shared" si="3"/>
        <v>0.11256972781668077</v>
      </c>
    </row>
    <row r="70" spans="3:10" x14ac:dyDescent="0.2">
      <c r="C70" s="25">
        <v>0.1</v>
      </c>
      <c r="D70" s="25">
        <v>0.75</v>
      </c>
      <c r="E70" s="26">
        <f t="shared" si="1"/>
        <v>0.15000000000000002</v>
      </c>
      <c r="F70" s="8">
        <f>C70*'Return Stats'!$C$43+D70*'Return Stats'!$D$43+E70*'Return Stats'!$E$43</f>
        <v>0.22052197311420585</v>
      </c>
      <c r="G70" s="27">
        <f>C70^2*'Return Stats'!$C$60+D70^2*'Return Stats'!$D$61+E70^2*'Return Stats'!$E$62+2*C70*D70*'Return Stats'!$D$60+2*C70*E70*'Return Stats'!$E$60+2*D70*E70*'Return Stats'!$E$61</f>
        <v>1.374234886355776E-2</v>
      </c>
      <c r="H70" s="8">
        <f t="shared" si="2"/>
        <v>0.11722776490046101</v>
      </c>
      <c r="I70" s="28">
        <f>(F70-'Return Stats'!$C$65)/H70</f>
        <v>1.5561328262899301</v>
      </c>
      <c r="J70" s="28">
        <f t="shared" si="3"/>
        <v>0.11722776490046101</v>
      </c>
    </row>
    <row r="71" spans="3:10" x14ac:dyDescent="0.2">
      <c r="C71" s="25">
        <v>0.1</v>
      </c>
      <c r="D71" s="25">
        <v>0.8</v>
      </c>
      <c r="E71" s="26">
        <f t="shared" si="1"/>
        <v>9.9999999999999978E-2</v>
      </c>
      <c r="F71" s="8">
        <f>C71*'Return Stats'!$C$43+D71*'Return Stats'!$D$43+E71*'Return Stats'!$E$43</f>
        <v>0.23168661019599002</v>
      </c>
      <c r="G71" s="27">
        <f>C71^2*'Return Stats'!$C$60+D71^2*'Return Stats'!$D$61+E71^2*'Return Stats'!$E$62+2*C71*D71*'Return Stats'!$D$60+2*C71*E71*'Return Stats'!$E$60+2*D71*E71*'Return Stats'!$E$61</f>
        <v>1.4876670501519756E-2</v>
      </c>
      <c r="H71" s="8">
        <f t="shared" si="2"/>
        <v>0.12196995737278814</v>
      </c>
      <c r="I71" s="28">
        <f>(F71-'Return Stats'!$C$65)/H71</f>
        <v>1.587166334774663</v>
      </c>
      <c r="J71" s="28">
        <f t="shared" si="3"/>
        <v>0.12196995737278814</v>
      </c>
    </row>
    <row r="72" spans="3:10" x14ac:dyDescent="0.2">
      <c r="C72" s="25">
        <v>0.1</v>
      </c>
      <c r="D72" s="25">
        <v>0.85</v>
      </c>
      <c r="E72" s="26">
        <f t="shared" si="1"/>
        <v>5.0000000000000044E-2</v>
      </c>
      <c r="F72" s="8">
        <f>C72*'Return Stats'!$C$43+D72*'Return Stats'!$D$43+E72*'Return Stats'!$E$43</f>
        <v>0.24285124727777421</v>
      </c>
      <c r="G72" s="27">
        <f>C72^2*'Return Stats'!$C$60+D72^2*'Return Stats'!$D$61+E72^2*'Return Stats'!$E$62+2*C72*D72*'Return Stats'!$D$60+2*C72*E72*'Return Stats'!$E$60+2*D72*E72*'Return Stats'!$E$61</f>
        <v>1.6074908534607576E-2</v>
      </c>
      <c r="H72" s="8">
        <f t="shared" si="2"/>
        <v>0.12678686262624994</v>
      </c>
      <c r="I72" s="28">
        <f>(F72-'Return Stats'!$C$65)/H72</f>
        <v>1.6149247882357689</v>
      </c>
      <c r="J72" s="28">
        <f t="shared" si="3"/>
        <v>0.12678686262624994</v>
      </c>
    </row>
    <row r="73" spans="3:10" x14ac:dyDescent="0.2">
      <c r="C73" s="25">
        <v>0.1</v>
      </c>
      <c r="D73" s="25">
        <v>0.9</v>
      </c>
      <c r="E73" s="26">
        <f t="shared" si="1"/>
        <v>0</v>
      </c>
      <c r="F73" s="8">
        <f>C73*'Return Stats'!$C$43+D73*'Return Stats'!$D$43+E73*'Return Stats'!$E$43</f>
        <v>0.25401588435955835</v>
      </c>
      <c r="G73" s="27">
        <f>C73^2*'Return Stats'!$C$60+D73^2*'Return Stats'!$D$61+E73^2*'Return Stats'!$E$62+2*C73*D73*'Return Stats'!$D$60+2*C73*E73*'Return Stats'!$E$60+2*D73*E73*'Return Stats'!$E$61</f>
        <v>1.7337062962821222E-2</v>
      </c>
      <c r="H73" s="8">
        <f t="shared" si="2"/>
        <v>0.13167028124379937</v>
      </c>
      <c r="I73" s="28">
        <f>(F73-'Return Stats'!$C$65)/H73</f>
        <v>1.6398224589478219</v>
      </c>
      <c r="J73" s="28">
        <f t="shared" si="3"/>
        <v>0.13167028124379937</v>
      </c>
    </row>
    <row r="74" spans="3:10" x14ac:dyDescent="0.2">
      <c r="C74" s="25">
        <v>0.15</v>
      </c>
      <c r="D74" s="25">
        <v>0</v>
      </c>
      <c r="E74" s="26">
        <f t="shared" si="1"/>
        <v>0.85</v>
      </c>
      <c r="F74" s="8">
        <f>C74*'Return Stats'!$C$43+D74*'Return Stats'!$D$43+E74*'Return Stats'!$E$43</f>
        <v>6.9055272653401126E-2</v>
      </c>
      <c r="G74" s="27">
        <f>C74^2*'Return Stats'!$C$60+D74^2*'Return Stats'!$D$61+E74^2*'Return Stats'!$E$62+2*C74*D74*'Return Stats'!$D$60+2*C74*E74*'Return Stats'!$E$60+2*D74*E74*'Return Stats'!$E$61</f>
        <v>6.6232061111433311E-3</v>
      </c>
      <c r="H74" s="8">
        <f t="shared" si="2"/>
        <v>8.1383082462778047E-2</v>
      </c>
      <c r="I74" s="28">
        <f>(F74-'Return Stats'!$C$65)/H74</f>
        <v>0.38036495690070538</v>
      </c>
      <c r="J74" s="28">
        <f t="shared" si="3"/>
        <v>999</v>
      </c>
    </row>
    <row r="75" spans="3:10" x14ac:dyDescent="0.2">
      <c r="C75" s="25">
        <v>0.15</v>
      </c>
      <c r="D75" s="25">
        <v>0.05</v>
      </c>
      <c r="E75" s="26">
        <f t="shared" si="1"/>
        <v>0.79999999999999993</v>
      </c>
      <c r="F75" s="8">
        <f>C75*'Return Stats'!$C$43+D75*'Return Stats'!$D$43+E75*'Return Stats'!$E$43</f>
        <v>8.0219909735185294E-2</v>
      </c>
      <c r="G75" s="27">
        <f>C75^2*'Return Stats'!$C$60+D75^2*'Return Stats'!$D$61+E75^2*'Return Stats'!$E$62+2*C75*D75*'Return Stats'!$D$60+2*C75*E75*'Return Stats'!$E$60+2*D75*E75*'Return Stats'!$E$61</f>
        <v>6.855236363702809E-3</v>
      </c>
      <c r="H75" s="8">
        <f t="shared" si="2"/>
        <v>8.2796354773038219E-2</v>
      </c>
      <c r="I75" s="28">
        <f>(F75-'Return Stats'!$C$65)/H75</f>
        <v>0.50871695801879924</v>
      </c>
      <c r="J75" s="28">
        <f t="shared" si="3"/>
        <v>999</v>
      </c>
    </row>
    <row r="76" spans="3:10" x14ac:dyDescent="0.2">
      <c r="C76" s="25">
        <v>0.15</v>
      </c>
      <c r="D76" s="25">
        <v>0.1</v>
      </c>
      <c r="E76" s="26">
        <f t="shared" si="1"/>
        <v>0.75</v>
      </c>
      <c r="F76" s="8">
        <f>C76*'Return Stats'!$C$43+D76*'Return Stats'!$D$43+E76*'Return Stats'!$E$43</f>
        <v>9.1384546816969475E-2</v>
      </c>
      <c r="G76" s="27">
        <f>C76^2*'Return Stats'!$C$60+D76^2*'Return Stats'!$D$61+E76^2*'Return Stats'!$E$62+2*C76*D76*'Return Stats'!$D$60+2*C76*E76*'Return Stats'!$E$60+2*D76*E76*'Return Stats'!$E$61</f>
        <v>7.1511830113881146E-3</v>
      </c>
      <c r="H76" s="8">
        <f t="shared" si="2"/>
        <v>8.4564667630093099E-2</v>
      </c>
      <c r="I76" s="28">
        <f>(F76-'Return Stats'!$C$65)/H76</f>
        <v>0.63010413580822366</v>
      </c>
      <c r="J76" s="28">
        <f t="shared" si="3"/>
        <v>999</v>
      </c>
    </row>
    <row r="77" spans="3:10" x14ac:dyDescent="0.2">
      <c r="C77" s="25">
        <v>0.15</v>
      </c>
      <c r="D77" s="25">
        <v>0.15</v>
      </c>
      <c r="E77" s="26">
        <f t="shared" si="1"/>
        <v>0.7</v>
      </c>
      <c r="F77" s="8">
        <f>C77*'Return Stats'!$C$43+D77*'Return Stats'!$D$43+E77*'Return Stats'!$E$43</f>
        <v>0.10254918389875366</v>
      </c>
      <c r="G77" s="27">
        <f>C77^2*'Return Stats'!$C$60+D77^2*'Return Stats'!$D$61+E77^2*'Return Stats'!$E$62+2*C77*D77*'Return Stats'!$D$60+2*C77*E77*'Return Stats'!$E$60+2*D77*E77*'Return Stats'!$E$61</f>
        <v>7.5110460541992453E-3</v>
      </c>
      <c r="H77" s="8">
        <f t="shared" si="2"/>
        <v>8.6666291337516257E-2</v>
      </c>
      <c r="I77" s="28">
        <f>(F77-'Return Stats'!$C$65)/H77</f>
        <v>0.7436476501314736</v>
      </c>
      <c r="J77" s="28">
        <f t="shared" si="3"/>
        <v>999</v>
      </c>
    </row>
    <row r="78" spans="3:10" x14ac:dyDescent="0.2">
      <c r="C78" s="25">
        <v>0.15</v>
      </c>
      <c r="D78" s="25">
        <v>0.2</v>
      </c>
      <c r="E78" s="26">
        <f t="shared" ref="E78:E141" si="4">1-C78-D78</f>
        <v>0.64999999999999991</v>
      </c>
      <c r="F78" s="8">
        <f>C78*'Return Stats'!$C$43+D78*'Return Stats'!$D$43+E78*'Return Stats'!$E$43</f>
        <v>0.11371382098053784</v>
      </c>
      <c r="G78" s="27">
        <f>C78^2*'Return Stats'!$C$60+D78^2*'Return Stats'!$D$61+E78^2*'Return Stats'!$E$62+2*C78*D78*'Return Stats'!$D$60+2*C78*E78*'Return Stats'!$E$60+2*D78*E78*'Return Stats'!$E$61</f>
        <v>7.9348254921362028E-3</v>
      </c>
      <c r="H78" s="8">
        <f t="shared" ref="H78:H141" si="5">SQRT(G78)</f>
        <v>8.9077637441370233E-2</v>
      </c>
      <c r="I78" s="28">
        <f>(F78-'Return Stats'!$C$65)/H78</f>
        <v>0.84885301353334497</v>
      </c>
      <c r="J78" s="28">
        <f t="shared" ref="J78:J141" si="6">IF(F78&gt;=$D$9,H78,999)</f>
        <v>999</v>
      </c>
    </row>
    <row r="79" spans="3:10" x14ac:dyDescent="0.2">
      <c r="C79" s="25">
        <v>0.15</v>
      </c>
      <c r="D79" s="25">
        <v>0.25</v>
      </c>
      <c r="E79" s="26">
        <f t="shared" si="4"/>
        <v>0.6</v>
      </c>
      <c r="F79" s="8">
        <f>C79*'Return Stats'!$C$43+D79*'Return Stats'!$D$43+E79*'Return Stats'!$E$43</f>
        <v>0.12487845806232201</v>
      </c>
      <c r="G79" s="27">
        <f>C79^2*'Return Stats'!$C$60+D79^2*'Return Stats'!$D$61+E79^2*'Return Stats'!$E$62+2*C79*D79*'Return Stats'!$D$60+2*C79*E79*'Return Stats'!$E$60+2*D79*E79*'Return Stats'!$E$61</f>
        <v>8.4225213251989863E-3</v>
      </c>
      <c r="H79" s="8">
        <f t="shared" si="5"/>
        <v>9.1774295558173513E-2</v>
      </c>
      <c r="I79" s="28">
        <f>(F79-'Return Stats'!$C$65)/H79</f>
        <v>0.94556386986719221</v>
      </c>
      <c r="J79" s="28">
        <f t="shared" si="6"/>
        <v>999</v>
      </c>
    </row>
    <row r="80" spans="3:10" x14ac:dyDescent="0.2">
      <c r="C80" s="25">
        <v>0.15</v>
      </c>
      <c r="D80" s="25">
        <v>0.3</v>
      </c>
      <c r="E80" s="26">
        <f t="shared" si="4"/>
        <v>0.55000000000000004</v>
      </c>
      <c r="F80" s="8">
        <f>C80*'Return Stats'!$C$43+D80*'Return Stats'!$D$43+E80*'Return Stats'!$E$43</f>
        <v>0.1360430951441062</v>
      </c>
      <c r="G80" s="27">
        <f>C80^2*'Return Stats'!$C$60+D80^2*'Return Stats'!$D$61+E80^2*'Return Stats'!$E$62+2*C80*D80*'Return Stats'!$D$60+2*C80*E80*'Return Stats'!$E$60+2*D80*E80*'Return Stats'!$E$61</f>
        <v>8.9741335533875984E-3</v>
      </c>
      <c r="H80" s="8">
        <f t="shared" si="5"/>
        <v>9.4731903566789996E-2</v>
      </c>
      <c r="I80" s="28">
        <f>(F80-'Return Stats'!$C$65)/H80</f>
        <v>1.033897678146541</v>
      </c>
      <c r="J80" s="28">
        <f t="shared" si="6"/>
        <v>999</v>
      </c>
    </row>
    <row r="81" spans="3:10" x14ac:dyDescent="0.2">
      <c r="C81" s="25">
        <v>0.15</v>
      </c>
      <c r="D81" s="25">
        <v>0.35</v>
      </c>
      <c r="E81" s="26">
        <f t="shared" si="4"/>
        <v>0.5</v>
      </c>
      <c r="F81" s="8">
        <f>C81*'Return Stats'!$C$43+D81*'Return Stats'!$D$43+E81*'Return Stats'!$E$43</f>
        <v>0.14720773222589037</v>
      </c>
      <c r="G81" s="27">
        <f>C81^2*'Return Stats'!$C$60+D81^2*'Return Stats'!$D$61+E81^2*'Return Stats'!$E$62+2*C81*D81*'Return Stats'!$D$60+2*C81*E81*'Return Stats'!$E$60+2*D81*E81*'Return Stats'!$E$61</f>
        <v>9.5896621767020337E-3</v>
      </c>
      <c r="H81" s="8">
        <f t="shared" si="5"/>
        <v>9.7926820517680618E-2</v>
      </c>
      <c r="I81" s="28">
        <f>(F81-'Return Stats'!$C$65)/H81</f>
        <v>1.1141761945205915</v>
      </c>
      <c r="J81" s="28">
        <f t="shared" si="6"/>
        <v>999</v>
      </c>
    </row>
    <row r="82" spans="3:10" x14ac:dyDescent="0.2">
      <c r="C82" s="25">
        <v>0.15</v>
      </c>
      <c r="D82" s="25">
        <v>0.4</v>
      </c>
      <c r="E82" s="26">
        <f t="shared" si="4"/>
        <v>0.44999999999999996</v>
      </c>
      <c r="F82" s="8">
        <f>C82*'Return Stats'!$C$43+D82*'Return Stats'!$D$43+E82*'Return Stats'!$E$43</f>
        <v>0.15837236930767454</v>
      </c>
      <c r="G82" s="27">
        <f>C82^2*'Return Stats'!$C$60+D82^2*'Return Stats'!$D$61+E82^2*'Return Stats'!$E$62+2*C82*D82*'Return Stats'!$D$60+2*C82*E82*'Return Stats'!$E$60+2*D82*E82*'Return Stats'!$E$61</f>
        <v>1.0269107195142298E-2</v>
      </c>
      <c r="H82" s="8">
        <f t="shared" si="5"/>
        <v>0.1013366034320388</v>
      </c>
      <c r="I82" s="28">
        <f>(F82-'Return Stats'!$C$65)/H82</f>
        <v>1.1868600805071878</v>
      </c>
      <c r="J82" s="28">
        <f t="shared" si="6"/>
        <v>0.1013366034320388</v>
      </c>
    </row>
    <row r="83" spans="3:10" x14ac:dyDescent="0.2">
      <c r="C83" s="25">
        <v>0.15</v>
      </c>
      <c r="D83" s="25">
        <v>0.45</v>
      </c>
      <c r="E83" s="26">
        <f t="shared" si="4"/>
        <v>0.39999999999999997</v>
      </c>
      <c r="F83" s="8">
        <f>C83*'Return Stats'!$C$43+D83*'Return Stats'!$D$43+E83*'Return Stats'!$E$43</f>
        <v>0.16953700638945873</v>
      </c>
      <c r="G83" s="27">
        <f>C83^2*'Return Stats'!$C$60+D83^2*'Return Stats'!$D$61+E83^2*'Return Stats'!$E$62+2*C83*D83*'Return Stats'!$D$60+2*C83*E83*'Return Stats'!$E$60+2*D83*E83*'Return Stats'!$E$61</f>
        <v>1.1012468608708387E-2</v>
      </c>
      <c r="H83" s="8">
        <f t="shared" si="5"/>
        <v>0.10494030974181649</v>
      </c>
      <c r="I83" s="28">
        <f>(F83-'Return Stats'!$C$65)/H83</f>
        <v>1.2524930287782814</v>
      </c>
      <c r="J83" s="28">
        <f t="shared" si="6"/>
        <v>0.10494030974181649</v>
      </c>
    </row>
    <row r="84" spans="3:10" x14ac:dyDescent="0.2">
      <c r="C84" s="25">
        <v>0.15</v>
      </c>
      <c r="D84" s="25">
        <v>0.5</v>
      </c>
      <c r="E84" s="26">
        <f t="shared" si="4"/>
        <v>0.35</v>
      </c>
      <c r="F84" s="8">
        <f>C84*'Return Stats'!$C$43+D84*'Return Stats'!$D$43+E84*'Return Stats'!$E$43</f>
        <v>0.1807016434712429</v>
      </c>
      <c r="G84" s="27">
        <f>C84^2*'Return Stats'!$C$60+D84^2*'Return Stats'!$D$61+E84^2*'Return Stats'!$E$62+2*C84*D84*'Return Stats'!$D$60+2*C84*E84*'Return Stats'!$E$60+2*D84*E84*'Return Stats'!$E$61</f>
        <v>1.1819746417400301E-2</v>
      </c>
      <c r="H84" s="8">
        <f t="shared" si="5"/>
        <v>0.10871865717254008</v>
      </c>
      <c r="I84" s="28">
        <f>(F84-'Return Stats'!$C$65)/H84</f>
        <v>1.3116575128860304</v>
      </c>
      <c r="J84" s="28">
        <f t="shared" si="6"/>
        <v>0.10871865717254008</v>
      </c>
    </row>
    <row r="85" spans="3:10" x14ac:dyDescent="0.2">
      <c r="C85" s="25">
        <v>0.15</v>
      </c>
      <c r="D85" s="25">
        <v>0.55000000000000004</v>
      </c>
      <c r="E85" s="26">
        <f t="shared" si="4"/>
        <v>0.29999999999999993</v>
      </c>
      <c r="F85" s="8">
        <f>C85*'Return Stats'!$C$43+D85*'Return Stats'!$D$43+E85*'Return Stats'!$E$43</f>
        <v>0.1918662805530271</v>
      </c>
      <c r="G85" s="27">
        <f>C85^2*'Return Stats'!$C$60+D85^2*'Return Stats'!$D$61+E85^2*'Return Stats'!$E$62+2*C85*D85*'Return Stats'!$D$60+2*C85*E85*'Return Stats'!$E$60+2*D85*E85*'Return Stats'!$E$61</f>
        <v>1.2690940621218045E-2</v>
      </c>
      <c r="H85" s="8">
        <f t="shared" si="5"/>
        <v>0.11265407503156752</v>
      </c>
      <c r="I85" s="28">
        <f>(F85-'Return Stats'!$C$65)/H85</f>
        <v>1.364942018386279</v>
      </c>
      <c r="J85" s="28">
        <f t="shared" si="6"/>
        <v>0.11265407503156752</v>
      </c>
    </row>
    <row r="86" spans="3:10" x14ac:dyDescent="0.2">
      <c r="C86" s="25">
        <v>0.15</v>
      </c>
      <c r="D86" s="25">
        <v>0.6</v>
      </c>
      <c r="E86" s="26">
        <f t="shared" si="4"/>
        <v>0.25</v>
      </c>
      <c r="F86" s="8">
        <f>C86*'Return Stats'!$C$43+D86*'Return Stats'!$D$43+E86*'Return Stats'!$E$43</f>
        <v>0.20303091763481126</v>
      </c>
      <c r="G86" s="27">
        <f>C86^2*'Return Stats'!$C$60+D86^2*'Return Stats'!$D$61+E86^2*'Return Stats'!$E$62+2*C86*D86*'Return Stats'!$D$60+2*C86*E86*'Return Stats'!$E$60+2*D86*E86*'Return Stats'!$E$61</f>
        <v>1.3626051220161611E-2</v>
      </c>
      <c r="H86" s="8">
        <f t="shared" si="5"/>
        <v>0.11673067814487163</v>
      </c>
      <c r="I86" s="28">
        <f>(F86-'Return Stats'!$C$65)/H86</f>
        <v>1.4129183540775758</v>
      </c>
      <c r="J86" s="28">
        <f t="shared" si="6"/>
        <v>0.11673067814487163</v>
      </c>
    </row>
    <row r="87" spans="3:10" x14ac:dyDescent="0.2">
      <c r="C87" s="25">
        <v>0.15</v>
      </c>
      <c r="D87" s="25">
        <v>0.65</v>
      </c>
      <c r="E87" s="26">
        <f t="shared" si="4"/>
        <v>0.19999999999999996</v>
      </c>
      <c r="F87" s="8">
        <f>C87*'Return Stats'!$C$43+D87*'Return Stats'!$D$43+E87*'Return Stats'!$E$43</f>
        <v>0.21419555471659543</v>
      </c>
      <c r="G87" s="27">
        <f>C87^2*'Return Stats'!$C$60+D87^2*'Return Stats'!$D$61+E87^2*'Return Stats'!$E$62+2*C87*D87*'Return Stats'!$D$60+2*C87*E87*'Return Stats'!$E$60+2*D87*E87*'Return Stats'!$E$61</f>
        <v>1.4625078214231006E-2</v>
      </c>
      <c r="H87" s="8">
        <f t="shared" si="5"/>
        <v>0.12093418960009203</v>
      </c>
      <c r="I87" s="28">
        <f>(F87-'Return Stats'!$C$65)/H87</f>
        <v>1.4561271324421348</v>
      </c>
      <c r="J87" s="28">
        <f t="shared" si="6"/>
        <v>0.12093418960009203</v>
      </c>
    </row>
    <row r="88" spans="3:10" x14ac:dyDescent="0.2">
      <c r="C88" s="25">
        <v>0.15</v>
      </c>
      <c r="D88" s="25">
        <v>0.7</v>
      </c>
      <c r="E88" s="26">
        <f t="shared" si="4"/>
        <v>0.15000000000000002</v>
      </c>
      <c r="F88" s="8">
        <f>C88*'Return Stats'!$C$43+D88*'Return Stats'!$D$43+E88*'Return Stats'!$E$43</f>
        <v>0.22536019179837963</v>
      </c>
      <c r="G88" s="27">
        <f>C88^2*'Return Stats'!$C$60+D88^2*'Return Stats'!$D$61+E88^2*'Return Stats'!$E$62+2*C88*D88*'Return Stats'!$D$60+2*C88*E88*'Return Stats'!$E$60+2*D88*E88*'Return Stats'!$E$61</f>
        <v>1.5688021603426226E-2</v>
      </c>
      <c r="H88" s="8">
        <f t="shared" si="5"/>
        <v>0.12525183273479965</v>
      </c>
      <c r="I88" s="28">
        <f>(F88-'Return Stats'!$C$65)/H88</f>
        <v>1.4950694749103799</v>
      </c>
      <c r="J88" s="28">
        <f t="shared" si="6"/>
        <v>0.12525183273479965</v>
      </c>
    </row>
    <row r="89" spans="3:10" x14ac:dyDescent="0.2">
      <c r="C89" s="25">
        <v>0.15</v>
      </c>
      <c r="D89" s="25">
        <v>0.75</v>
      </c>
      <c r="E89" s="26">
        <f t="shared" si="4"/>
        <v>9.9999999999999978E-2</v>
      </c>
      <c r="F89" s="8">
        <f>C89*'Return Stats'!$C$43+D89*'Return Stats'!$D$43+E89*'Return Stats'!$E$43</f>
        <v>0.2365248288801638</v>
      </c>
      <c r="G89" s="27">
        <f>C89^2*'Return Stats'!$C$60+D89^2*'Return Stats'!$D$61+E89^2*'Return Stats'!$E$62+2*C89*D89*'Return Stats'!$D$60+2*C89*E89*'Return Stats'!$E$60+2*D89*E89*'Return Stats'!$E$61</f>
        <v>1.6814881387747272E-2</v>
      </c>
      <c r="H89" s="8">
        <f t="shared" si="5"/>
        <v>0.12967220746076344</v>
      </c>
      <c r="I89" s="28">
        <f>(F89-'Return Stats'!$C$65)/H89</f>
        <v>1.5302032159836849</v>
      </c>
      <c r="J89" s="28">
        <f t="shared" si="6"/>
        <v>0.12967220746076344</v>
      </c>
    </row>
    <row r="90" spans="3:10" x14ac:dyDescent="0.2">
      <c r="C90" s="25">
        <v>0.15</v>
      </c>
      <c r="D90" s="25">
        <v>0.8</v>
      </c>
      <c r="E90" s="26">
        <f t="shared" si="4"/>
        <v>4.9999999999999933E-2</v>
      </c>
      <c r="F90" s="8">
        <f>C90*'Return Stats'!$C$43+D90*'Return Stats'!$D$43+E90*'Return Stats'!$E$43</f>
        <v>0.24768946596194799</v>
      </c>
      <c r="G90" s="27">
        <f>C90^2*'Return Stats'!$C$60+D90^2*'Return Stats'!$D$61+E90^2*'Return Stats'!$E$62+2*C90*D90*'Return Stats'!$D$60+2*C90*E90*'Return Stats'!$E$60+2*D90*E90*'Return Stats'!$E$61</f>
        <v>1.8005657567194151E-2</v>
      </c>
      <c r="H90" s="8">
        <f t="shared" si="5"/>
        <v>0.13418516150153917</v>
      </c>
      <c r="I90" s="28">
        <f>(F90-'Return Stats'!$C$65)/H90</f>
        <v>1.5619421970106875</v>
      </c>
      <c r="J90" s="28">
        <f t="shared" si="6"/>
        <v>0.13418516150153917</v>
      </c>
    </row>
    <row r="91" spans="3:10" x14ac:dyDescent="0.2">
      <c r="C91" s="25">
        <v>0.15</v>
      </c>
      <c r="D91" s="25">
        <v>0.85</v>
      </c>
      <c r="E91" s="26">
        <f t="shared" si="4"/>
        <v>0</v>
      </c>
      <c r="F91" s="8">
        <f>C91*'Return Stats'!$C$43+D91*'Return Stats'!$D$43+E91*'Return Stats'!$E$43</f>
        <v>0.25885410304373219</v>
      </c>
      <c r="G91" s="27">
        <f>C91^2*'Return Stats'!$C$60+D91^2*'Return Stats'!$D$61+E91^2*'Return Stats'!$E$62+2*C91*D91*'Return Stats'!$D$60+2*C91*E91*'Return Stats'!$E$60+2*D91*E91*'Return Stats'!$E$61</f>
        <v>1.9260350141766847E-2</v>
      </c>
      <c r="H91" s="8">
        <f t="shared" si="5"/>
        <v>0.13878166356463251</v>
      </c>
      <c r="I91" s="28">
        <f>(F91-'Return Stats'!$C$65)/H91</f>
        <v>1.5906575650818886</v>
      </c>
      <c r="J91" s="28">
        <f t="shared" si="6"/>
        <v>0.13878166356463251</v>
      </c>
    </row>
    <row r="92" spans="3:10" x14ac:dyDescent="0.2">
      <c r="C92" s="25">
        <v>0.2</v>
      </c>
      <c r="D92" s="25">
        <v>0</v>
      </c>
      <c r="E92" s="26">
        <f t="shared" si="4"/>
        <v>0.8</v>
      </c>
      <c r="F92" s="8">
        <f>C92*'Return Stats'!$C$43+D92*'Return Stats'!$D$43+E92*'Return Stats'!$E$43</f>
        <v>8.5058128419359086E-2</v>
      </c>
      <c r="G92" s="27">
        <f>C92^2*'Return Stats'!$C$60+D92^2*'Return Stats'!$D$61+E92^2*'Return Stats'!$E$62+2*C92*D92*'Return Stats'!$D$60+2*C92*E92*'Return Stats'!$E$60+2*D92*E92*'Return Stats'!$E$61</f>
        <v>9.8493631212854104E-3</v>
      </c>
      <c r="H92" s="8">
        <f t="shared" si="5"/>
        <v>9.9243957605918809E-2</v>
      </c>
      <c r="I92" s="28">
        <f>(F92-'Return Stats'!$C$65)/H92</f>
        <v>0.47315856352506591</v>
      </c>
      <c r="J92" s="28">
        <f t="shared" si="6"/>
        <v>999</v>
      </c>
    </row>
    <row r="93" spans="3:10" x14ac:dyDescent="0.2">
      <c r="C93" s="25">
        <v>0.2</v>
      </c>
      <c r="D93" s="25">
        <v>0.05</v>
      </c>
      <c r="E93" s="26">
        <f t="shared" si="4"/>
        <v>0.75</v>
      </c>
      <c r="F93" s="8">
        <f>C93*'Return Stats'!$C$43+D93*'Return Stats'!$D$43+E93*'Return Stats'!$E$43</f>
        <v>9.6222765501143268E-2</v>
      </c>
      <c r="G93" s="27">
        <f>C93^2*'Return Stats'!$C$60+D93^2*'Return Stats'!$D$61+E93^2*'Return Stats'!$E$62+2*C93*D93*'Return Stats'!$D$60+2*C93*E93*'Return Stats'!$E$60+2*D93*E93*'Return Stats'!$E$61</f>
        <v>1.0137847915329765E-2</v>
      </c>
      <c r="H93" s="8">
        <f t="shared" si="5"/>
        <v>0.10068688055218399</v>
      </c>
      <c r="I93" s="28">
        <f>(F93-'Return Stats'!$C$65)/H93</f>
        <v>0.57726255081484434</v>
      </c>
      <c r="J93" s="28">
        <f t="shared" si="6"/>
        <v>999</v>
      </c>
    </row>
    <row r="94" spans="3:10" x14ac:dyDescent="0.2">
      <c r="C94" s="25">
        <v>0.2</v>
      </c>
      <c r="D94" s="25">
        <v>0.1</v>
      </c>
      <c r="E94" s="26">
        <f t="shared" si="4"/>
        <v>0.70000000000000007</v>
      </c>
      <c r="F94" s="8">
        <f>C94*'Return Stats'!$C$43+D94*'Return Stats'!$D$43+E94*'Return Stats'!$E$43</f>
        <v>0.10738740258292745</v>
      </c>
      <c r="G94" s="27">
        <f>C94^2*'Return Stats'!$C$60+D94^2*'Return Stats'!$D$61+E94^2*'Return Stats'!$E$62+2*C94*D94*'Return Stats'!$D$60+2*C94*E94*'Return Stats'!$E$60+2*D94*E94*'Return Stats'!$E$61</f>
        <v>1.049024910449995E-2</v>
      </c>
      <c r="H94" s="8">
        <f t="shared" si="5"/>
        <v>0.10242191711005975</v>
      </c>
      <c r="I94" s="28">
        <f>(F94-'Return Stats'!$C$65)/H94</f>
        <v>0.67648999880048266</v>
      </c>
      <c r="J94" s="28">
        <f t="shared" si="6"/>
        <v>999</v>
      </c>
    </row>
    <row r="95" spans="3:10" x14ac:dyDescent="0.2">
      <c r="C95" s="25">
        <v>0.2</v>
      </c>
      <c r="D95" s="25">
        <v>0.15</v>
      </c>
      <c r="E95" s="26">
        <f t="shared" si="4"/>
        <v>0.65</v>
      </c>
      <c r="F95" s="8">
        <f>C95*'Return Stats'!$C$43+D95*'Return Stats'!$D$43+E95*'Return Stats'!$E$43</f>
        <v>0.11855203966471163</v>
      </c>
      <c r="G95" s="27">
        <f>C95^2*'Return Stats'!$C$60+D95^2*'Return Stats'!$D$61+E95^2*'Return Stats'!$E$62+2*C95*D95*'Return Stats'!$D$60+2*C95*E95*'Return Stats'!$E$60+2*D95*E95*'Return Stats'!$E$61</f>
        <v>1.0906566688795961E-2</v>
      </c>
      <c r="H95" s="8">
        <f t="shared" si="5"/>
        <v>0.10443450908964891</v>
      </c>
      <c r="I95" s="28">
        <f>(F95-'Return Stats'!$C$65)/H95</f>
        <v>0.77035876709728013</v>
      </c>
      <c r="J95" s="28">
        <f t="shared" si="6"/>
        <v>999</v>
      </c>
    </row>
    <row r="96" spans="3:10" x14ac:dyDescent="0.2">
      <c r="C96" s="25">
        <v>0.2</v>
      </c>
      <c r="D96" s="25">
        <v>0.2</v>
      </c>
      <c r="E96" s="26">
        <f t="shared" si="4"/>
        <v>0.60000000000000009</v>
      </c>
      <c r="F96" s="8">
        <f>C96*'Return Stats'!$C$43+D96*'Return Stats'!$D$43+E96*'Return Stats'!$E$43</f>
        <v>0.12971667674649581</v>
      </c>
      <c r="G96" s="27">
        <f>C96^2*'Return Stats'!$C$60+D96^2*'Return Stats'!$D$61+E96^2*'Return Stats'!$E$62+2*C96*D96*'Return Stats'!$D$60+2*C96*E96*'Return Stats'!$E$60+2*D96*E96*'Return Stats'!$E$61</f>
        <v>1.1386800668217798E-2</v>
      </c>
      <c r="H96" s="8">
        <f t="shared" si="5"/>
        <v>0.10670895308369302</v>
      </c>
      <c r="I96" s="28">
        <f>(F96-'Return Stats'!$C$65)/H96</f>
        <v>0.85856597875756346</v>
      </c>
      <c r="J96" s="28">
        <f t="shared" si="6"/>
        <v>999</v>
      </c>
    </row>
    <row r="97" spans="3:10" x14ac:dyDescent="0.2">
      <c r="C97" s="25">
        <v>0.2</v>
      </c>
      <c r="D97" s="25">
        <v>0.25</v>
      </c>
      <c r="E97" s="26">
        <f t="shared" si="4"/>
        <v>0.55000000000000004</v>
      </c>
      <c r="F97" s="8">
        <f>C97*'Return Stats'!$C$43+D97*'Return Stats'!$D$43+E97*'Return Stats'!$E$43</f>
        <v>0.14088131382828001</v>
      </c>
      <c r="G97" s="27">
        <f>C97^2*'Return Stats'!$C$60+D97^2*'Return Stats'!$D$61+E97^2*'Return Stats'!$E$62+2*C97*D97*'Return Stats'!$D$60+2*C97*E97*'Return Stats'!$E$60+2*D97*E97*'Return Stats'!$E$61</f>
        <v>1.1930951042765462E-2</v>
      </c>
      <c r="H97" s="8">
        <f t="shared" si="5"/>
        <v>0.10922889289361795</v>
      </c>
      <c r="I97" s="28">
        <f>(F97-'Return Stats'!$C$65)/H97</f>
        <v>0.94097185374187142</v>
      </c>
      <c r="J97" s="28">
        <f t="shared" si="6"/>
        <v>999</v>
      </c>
    </row>
    <row r="98" spans="3:10" x14ac:dyDescent="0.2">
      <c r="C98" s="25">
        <v>0.2</v>
      </c>
      <c r="D98" s="25">
        <v>0.3</v>
      </c>
      <c r="E98" s="26">
        <f t="shared" si="4"/>
        <v>0.5</v>
      </c>
      <c r="F98" s="8">
        <f>C98*'Return Stats'!$C$43+D98*'Return Stats'!$D$43+E98*'Return Stats'!$E$43</f>
        <v>0.15204595091006418</v>
      </c>
      <c r="G98" s="27">
        <f>C98^2*'Return Stats'!$C$60+D98^2*'Return Stats'!$D$61+E98^2*'Return Stats'!$E$62+2*C98*D98*'Return Stats'!$D$60+2*C98*E98*'Return Stats'!$E$60+2*D98*E98*'Return Stats'!$E$61</f>
        <v>1.2539017812438949E-2</v>
      </c>
      <c r="H98" s="8">
        <f t="shared" si="5"/>
        <v>0.11197775588231329</v>
      </c>
      <c r="I98" s="28">
        <f>(F98-'Return Stats'!$C$65)/H98</f>
        <v>1.0175766607594765</v>
      </c>
      <c r="J98" s="28">
        <f t="shared" si="6"/>
        <v>0.11197775588231329</v>
      </c>
    </row>
    <row r="99" spans="3:10" x14ac:dyDescent="0.2">
      <c r="C99" s="25">
        <v>0.2</v>
      </c>
      <c r="D99" s="25">
        <v>0.35</v>
      </c>
      <c r="E99" s="26">
        <f t="shared" si="4"/>
        <v>0.45000000000000007</v>
      </c>
      <c r="F99" s="8">
        <f>C99*'Return Stats'!$C$43+D99*'Return Stats'!$D$43+E99*'Return Stats'!$E$43</f>
        <v>0.16321058799184834</v>
      </c>
      <c r="G99" s="27">
        <f>C99^2*'Return Stats'!$C$60+D99^2*'Return Stats'!$D$61+E99^2*'Return Stats'!$E$62+2*C99*D99*'Return Stats'!$D$60+2*C99*E99*'Return Stats'!$E$60+2*D99*E99*'Return Stats'!$E$61</f>
        <v>1.3211000977238267E-2</v>
      </c>
      <c r="H99" s="8">
        <f t="shared" si="5"/>
        <v>0.11493911856821534</v>
      </c>
      <c r="I99" s="28">
        <f>(F99-'Return Stats'!$C$65)/H99</f>
        <v>1.0884944094781477</v>
      </c>
      <c r="J99" s="28">
        <f t="shared" si="6"/>
        <v>0.11493911856821534</v>
      </c>
    </row>
    <row r="100" spans="3:10" x14ac:dyDescent="0.2">
      <c r="C100" s="25">
        <v>0.2</v>
      </c>
      <c r="D100" s="25">
        <v>0.4</v>
      </c>
      <c r="E100" s="26">
        <f t="shared" si="4"/>
        <v>0.4</v>
      </c>
      <c r="F100" s="8">
        <f>C100*'Return Stats'!$C$43+D100*'Return Stats'!$D$43+E100*'Return Stats'!$E$43</f>
        <v>0.17437522507363254</v>
      </c>
      <c r="G100" s="27">
        <f>C100^2*'Return Stats'!$C$60+D100^2*'Return Stats'!$D$61+E100^2*'Return Stats'!$E$62+2*C100*D100*'Return Stats'!$D$60+2*C100*E100*'Return Stats'!$E$60+2*D100*E100*'Return Stats'!$E$61</f>
        <v>1.3946900537163407E-2</v>
      </c>
      <c r="H100" s="8">
        <f t="shared" si="5"/>
        <v>0.11809699630881137</v>
      </c>
      <c r="I100" s="28">
        <f>(F100-'Return Stats'!$C$65)/H100</f>
        <v>1.1539262583553522</v>
      </c>
      <c r="J100" s="28">
        <f t="shared" si="6"/>
        <v>0.11809699630881137</v>
      </c>
    </row>
    <row r="101" spans="3:10" x14ac:dyDescent="0.2">
      <c r="C101" s="25">
        <v>0.2</v>
      </c>
      <c r="D101" s="25">
        <v>0.45</v>
      </c>
      <c r="E101" s="26">
        <f t="shared" si="4"/>
        <v>0.35000000000000003</v>
      </c>
      <c r="F101" s="8">
        <f>C101*'Return Stats'!$C$43+D101*'Return Stats'!$D$43+E101*'Return Stats'!$E$43</f>
        <v>0.18553986215541671</v>
      </c>
      <c r="G101" s="27">
        <f>C101^2*'Return Stats'!$C$60+D101^2*'Return Stats'!$D$61+E101^2*'Return Stats'!$E$62+2*C101*D101*'Return Stats'!$D$60+2*C101*E101*'Return Stats'!$E$60+2*D101*E101*'Return Stats'!$E$61</f>
        <v>1.4746716492214379E-2</v>
      </c>
      <c r="H101" s="8">
        <f t="shared" si="5"/>
        <v>0.1214360592748891</v>
      </c>
      <c r="I101" s="28">
        <f>(F101-'Return Stats'!$C$65)/H101</f>
        <v>1.2141357602988749</v>
      </c>
      <c r="J101" s="28">
        <f t="shared" si="6"/>
        <v>0.1214360592748891</v>
      </c>
    </row>
    <row r="102" spans="3:10" x14ac:dyDescent="0.2">
      <c r="C102" s="25">
        <v>0.2</v>
      </c>
      <c r="D102" s="25">
        <v>0.5</v>
      </c>
      <c r="E102" s="26">
        <f t="shared" si="4"/>
        <v>0.30000000000000004</v>
      </c>
      <c r="F102" s="8">
        <f>C102*'Return Stats'!$C$43+D102*'Return Stats'!$D$43+E102*'Return Stats'!$E$43</f>
        <v>0.1967044992372009</v>
      </c>
      <c r="G102" s="27">
        <f>C102^2*'Return Stats'!$C$60+D102^2*'Return Stats'!$D$61+E102^2*'Return Stats'!$E$62+2*C102*D102*'Return Stats'!$D$60+2*C102*E102*'Return Stats'!$E$60+2*D102*E102*'Return Stats'!$E$61</f>
        <v>1.5610448842391171E-2</v>
      </c>
      <c r="H102" s="8">
        <f t="shared" si="5"/>
        <v>0.1249417818121351</v>
      </c>
      <c r="I102" s="28">
        <f>(F102-'Return Stats'!$C$65)/H102</f>
        <v>1.2694272239184305</v>
      </c>
      <c r="J102" s="28">
        <f t="shared" si="6"/>
        <v>0.1249417818121351</v>
      </c>
    </row>
    <row r="103" spans="3:10" x14ac:dyDescent="0.2">
      <c r="C103" s="25">
        <v>0.2</v>
      </c>
      <c r="D103" s="25">
        <v>0.55000000000000004</v>
      </c>
      <c r="E103" s="26">
        <f t="shared" si="4"/>
        <v>0.25</v>
      </c>
      <c r="F103" s="8">
        <f>C103*'Return Stats'!$C$43+D103*'Return Stats'!$D$43+E103*'Return Stats'!$E$43</f>
        <v>0.20786913631898507</v>
      </c>
      <c r="G103" s="27">
        <f>C103^2*'Return Stats'!$C$60+D103^2*'Return Stats'!$D$61+E103^2*'Return Stats'!$E$62+2*C103*D103*'Return Stats'!$D$60+2*C103*E103*'Return Stats'!$E$60+2*D103*E103*'Return Stats'!$E$61</f>
        <v>1.6538097587693791E-2</v>
      </c>
      <c r="H103" s="8">
        <f t="shared" si="5"/>
        <v>0.12860053494326448</v>
      </c>
      <c r="I103" s="28">
        <f>(F103-'Return Stats'!$C$65)/H103</f>
        <v>1.3201277614738012</v>
      </c>
      <c r="J103" s="28">
        <f t="shared" si="6"/>
        <v>0.12860053494326448</v>
      </c>
    </row>
    <row r="104" spans="3:10" x14ac:dyDescent="0.2">
      <c r="C104" s="25">
        <v>0.2</v>
      </c>
      <c r="D104" s="25">
        <v>0.6</v>
      </c>
      <c r="E104" s="26">
        <f t="shared" si="4"/>
        <v>0.20000000000000007</v>
      </c>
      <c r="F104" s="8">
        <f>C104*'Return Stats'!$C$43+D104*'Return Stats'!$D$43+E104*'Return Stats'!$E$43</f>
        <v>0.21903377340076924</v>
      </c>
      <c r="G104" s="27">
        <f>C104^2*'Return Stats'!$C$60+D104^2*'Return Stats'!$D$61+E104^2*'Return Stats'!$E$62+2*C104*D104*'Return Stats'!$D$60+2*C104*E104*'Return Stats'!$E$60+2*D104*E104*'Return Stats'!$E$61</f>
        <v>1.7529662728122241E-2</v>
      </c>
      <c r="H104" s="8">
        <f t="shared" si="5"/>
        <v>0.13239963265856231</v>
      </c>
      <c r="I104" s="28">
        <f>(F104-'Return Stats'!$C$65)/H104</f>
        <v>1.3665730770369191</v>
      </c>
      <c r="J104" s="28">
        <f t="shared" si="6"/>
        <v>0.13239963265856231</v>
      </c>
    </row>
    <row r="105" spans="3:10" x14ac:dyDescent="0.2">
      <c r="C105" s="25">
        <v>0.2</v>
      </c>
      <c r="D105" s="25">
        <v>0.65</v>
      </c>
      <c r="E105" s="26">
        <f t="shared" si="4"/>
        <v>0.15000000000000002</v>
      </c>
      <c r="F105" s="8">
        <f>C105*'Return Stats'!$C$43+D105*'Return Stats'!$D$43+E105*'Return Stats'!$E$43</f>
        <v>0.23019841048255343</v>
      </c>
      <c r="G105" s="27">
        <f>C105^2*'Return Stats'!$C$60+D105^2*'Return Stats'!$D$61+E105^2*'Return Stats'!$E$62+2*C105*D105*'Return Stats'!$D$60+2*C105*E105*'Return Stats'!$E$60+2*D105*E105*'Return Stats'!$E$61</f>
        <v>1.8585144263676513E-2</v>
      </c>
      <c r="H105" s="8">
        <f t="shared" si="5"/>
        <v>0.13632734231868718</v>
      </c>
      <c r="I105" s="28">
        <f>(F105-'Return Stats'!$C$65)/H105</f>
        <v>1.4090967168823139</v>
      </c>
      <c r="J105" s="28">
        <f t="shared" si="6"/>
        <v>0.13632734231868718</v>
      </c>
    </row>
    <row r="106" spans="3:10" x14ac:dyDescent="0.2">
      <c r="C106" s="25">
        <v>0.2</v>
      </c>
      <c r="D106" s="25">
        <v>0.7</v>
      </c>
      <c r="E106" s="26">
        <f t="shared" si="4"/>
        <v>0.10000000000000009</v>
      </c>
      <c r="F106" s="8">
        <f>C106*'Return Stats'!$C$43+D106*'Return Stats'!$D$43+E106*'Return Stats'!$E$43</f>
        <v>0.2413630475643376</v>
      </c>
      <c r="G106" s="27">
        <f>C106^2*'Return Stats'!$C$60+D106^2*'Return Stats'!$D$61+E106^2*'Return Stats'!$E$62+2*C106*D106*'Return Stats'!$D$60+2*C106*E106*'Return Stats'!$E$60+2*D106*E106*'Return Stats'!$E$61</f>
        <v>1.9704542194356613E-2</v>
      </c>
      <c r="H106" s="8">
        <f t="shared" si="5"/>
        <v>0.14037286844100827</v>
      </c>
      <c r="I106" s="28">
        <f>(F106-'Return Stats'!$C$65)/H106</f>
        <v>1.4480223266917065</v>
      </c>
      <c r="J106" s="28">
        <f t="shared" si="6"/>
        <v>0.14037286844100827</v>
      </c>
    </row>
    <row r="107" spans="3:10" x14ac:dyDescent="0.2">
      <c r="C107" s="25">
        <v>0.2</v>
      </c>
      <c r="D107" s="25">
        <v>0.75</v>
      </c>
      <c r="E107" s="26">
        <f t="shared" si="4"/>
        <v>5.0000000000000044E-2</v>
      </c>
      <c r="F107" s="8">
        <f>C107*'Return Stats'!$C$43+D107*'Return Stats'!$D$43+E107*'Return Stats'!$E$43</f>
        <v>0.2525276846461218</v>
      </c>
      <c r="G107" s="27">
        <f>C107^2*'Return Stats'!$C$60+D107^2*'Return Stats'!$D$61+E107^2*'Return Stats'!$E$62+2*C107*D107*'Return Stats'!$D$60+2*C107*E107*'Return Stats'!$E$60+2*D107*E107*'Return Stats'!$E$61</f>
        <v>2.0887856520162541E-2</v>
      </c>
      <c r="H107" s="8">
        <f t="shared" si="5"/>
        <v>0.14452631774234942</v>
      </c>
      <c r="I107" s="28">
        <f>(F107-'Return Stats'!$C$65)/H107</f>
        <v>1.483658395202369</v>
      </c>
      <c r="J107" s="28">
        <f t="shared" si="6"/>
        <v>0.14452631774234942</v>
      </c>
    </row>
    <row r="108" spans="3:10" x14ac:dyDescent="0.2">
      <c r="C108" s="25">
        <v>0.2</v>
      </c>
      <c r="D108" s="25">
        <v>0.8</v>
      </c>
      <c r="E108" s="26">
        <f t="shared" si="4"/>
        <v>0</v>
      </c>
      <c r="F108" s="8">
        <f>C108*'Return Stats'!$C$43+D108*'Return Stats'!$D$43+E108*'Return Stats'!$E$43</f>
        <v>0.26369232172790597</v>
      </c>
      <c r="G108" s="27">
        <f>C108^2*'Return Stats'!$C$60+D108^2*'Return Stats'!$D$61+E108^2*'Return Stats'!$E$62+2*C108*D108*'Return Stats'!$D$60+2*C108*E108*'Return Stats'!$E$60+2*D108*E108*'Return Stats'!$E$61</f>
        <v>2.2135087241094292E-2</v>
      </c>
      <c r="H108" s="8">
        <f t="shared" si="5"/>
        <v>0.14877865183249339</v>
      </c>
      <c r="I108" s="28">
        <f>(F108-'Return Stats'!$C$65)/H108</f>
        <v>1.516294972089782</v>
      </c>
      <c r="J108" s="28">
        <f t="shared" si="6"/>
        <v>0.14877865183249339</v>
      </c>
    </row>
    <row r="109" spans="3:10" x14ac:dyDescent="0.2">
      <c r="C109" s="25">
        <v>0.25</v>
      </c>
      <c r="D109" s="25">
        <v>0</v>
      </c>
      <c r="E109" s="26">
        <f t="shared" si="4"/>
        <v>0.75</v>
      </c>
      <c r="F109" s="8">
        <f>C109*'Return Stats'!$C$43+D109*'Return Stats'!$D$43+E109*'Return Stats'!$E$43</f>
        <v>0.10106098418531706</v>
      </c>
      <c r="G109" s="27">
        <f>C109^2*'Return Stats'!$C$60+D109^2*'Return Stats'!$D$61+E109^2*'Return Stats'!$E$62+2*C109*D109*'Return Stats'!$D$60+2*C109*E109*'Return Stats'!$E$60+2*D109*E109*'Return Stats'!$E$61</f>
        <v>1.407596273965323E-2</v>
      </c>
      <c r="H109" s="8">
        <f t="shared" si="5"/>
        <v>0.11864216257154633</v>
      </c>
      <c r="I109" s="28">
        <f>(F109-'Return Stats'!$C$65)/H109</f>
        <v>0.53067967424606644</v>
      </c>
      <c r="J109" s="28">
        <f t="shared" si="6"/>
        <v>999</v>
      </c>
    </row>
    <row r="110" spans="3:10" x14ac:dyDescent="0.2">
      <c r="C110" s="25">
        <v>0.25</v>
      </c>
      <c r="D110" s="25">
        <v>0.05</v>
      </c>
      <c r="E110" s="26">
        <f t="shared" si="4"/>
        <v>0.7</v>
      </c>
      <c r="F110" s="8">
        <f>C110*'Return Stats'!$C$43+D110*'Return Stats'!$D$43+E110*'Return Stats'!$E$43</f>
        <v>0.11222562126710124</v>
      </c>
      <c r="G110" s="27">
        <f>C110^2*'Return Stats'!$C$60+D110^2*'Return Stats'!$D$61+E110^2*'Return Stats'!$E$62+2*C110*D110*'Return Stats'!$D$60+2*C110*E110*'Return Stats'!$E$60+2*D110*E110*'Return Stats'!$E$61</f>
        <v>1.4420902075182467E-2</v>
      </c>
      <c r="H110" s="8">
        <f t="shared" si="5"/>
        <v>0.12008706039862274</v>
      </c>
      <c r="I110" s="28">
        <f>(F110-'Return Stats'!$C$65)/H110</f>
        <v>0.61726568225623224</v>
      </c>
      <c r="J110" s="28">
        <f t="shared" si="6"/>
        <v>999</v>
      </c>
    </row>
    <row r="111" spans="3:10" x14ac:dyDescent="0.2">
      <c r="C111" s="25">
        <v>0.25</v>
      </c>
      <c r="D111" s="25">
        <v>0.1</v>
      </c>
      <c r="E111" s="26">
        <f t="shared" si="4"/>
        <v>0.65</v>
      </c>
      <c r="F111" s="8">
        <f>C111*'Return Stats'!$C$43+D111*'Return Stats'!$D$43+E111*'Return Stats'!$E$43</f>
        <v>0.12339025834888542</v>
      </c>
      <c r="G111" s="27">
        <f>C111^2*'Return Stats'!$C$60+D111^2*'Return Stats'!$D$61+E111^2*'Return Stats'!$E$62+2*C111*D111*'Return Stats'!$D$60+2*C111*E111*'Return Stats'!$E$60+2*D111*E111*'Return Stats'!$E$61</f>
        <v>1.4829757805837531E-2</v>
      </c>
      <c r="H111" s="8">
        <f t="shared" si="5"/>
        <v>0.12177749301836334</v>
      </c>
      <c r="I111" s="28">
        <f>(F111-'Return Stats'!$C$65)/H111</f>
        <v>0.70037784679985282</v>
      </c>
      <c r="J111" s="28">
        <f t="shared" si="6"/>
        <v>999</v>
      </c>
    </row>
    <row r="112" spans="3:10" x14ac:dyDescent="0.2">
      <c r="C112" s="25">
        <v>0.25</v>
      </c>
      <c r="D112" s="25">
        <v>0.15</v>
      </c>
      <c r="E112" s="26">
        <f t="shared" si="4"/>
        <v>0.6</v>
      </c>
      <c r="F112" s="8">
        <f>C112*'Return Stats'!$C$43+D112*'Return Stats'!$D$43+E112*'Return Stats'!$E$43</f>
        <v>0.13455489543066959</v>
      </c>
      <c r="G112" s="27">
        <f>C112^2*'Return Stats'!$C$60+D112^2*'Return Stats'!$D$61+E112^2*'Return Stats'!$E$62+2*C112*D112*'Return Stats'!$D$60+2*C112*E112*'Return Stats'!$E$60+2*D112*E112*'Return Stats'!$E$61</f>
        <v>1.5302529931618422E-2</v>
      </c>
      <c r="H112" s="8">
        <f t="shared" si="5"/>
        <v>0.12370339498824769</v>
      </c>
      <c r="I112" s="28">
        <f>(F112-'Return Stats'!$C$65)/H112</f>
        <v>0.77972714847343672</v>
      </c>
      <c r="J112" s="28">
        <f t="shared" si="6"/>
        <v>999</v>
      </c>
    </row>
    <row r="113" spans="3:10" x14ac:dyDescent="0.2">
      <c r="C113" s="25">
        <v>0.25</v>
      </c>
      <c r="D113" s="25">
        <v>0.2</v>
      </c>
      <c r="E113" s="26">
        <f t="shared" si="4"/>
        <v>0.55000000000000004</v>
      </c>
      <c r="F113" s="8">
        <f>C113*'Return Stats'!$C$43+D113*'Return Stats'!$D$43+E113*'Return Stats'!$E$43</f>
        <v>0.14571953251245379</v>
      </c>
      <c r="G113" s="27">
        <f>C113^2*'Return Stats'!$C$60+D113^2*'Return Stats'!$D$61+E113^2*'Return Stats'!$E$62+2*C113*D113*'Return Stats'!$D$60+2*C113*E113*'Return Stats'!$E$60+2*D113*E113*'Return Stats'!$E$61</f>
        <v>1.5839218452525138E-2</v>
      </c>
      <c r="H113" s="8">
        <f t="shared" si="5"/>
        <v>0.12585395684095568</v>
      </c>
      <c r="I113" s="28">
        <f>(F113-'Return Stats'!$C$65)/H113</f>
        <v>0.85511441367278485</v>
      </c>
      <c r="J113" s="28">
        <f t="shared" si="6"/>
        <v>999</v>
      </c>
    </row>
    <row r="114" spans="3:10" x14ac:dyDescent="0.2">
      <c r="C114" s="25">
        <v>0.25</v>
      </c>
      <c r="D114" s="25">
        <v>0.25</v>
      </c>
      <c r="E114" s="26">
        <f t="shared" si="4"/>
        <v>0.5</v>
      </c>
      <c r="F114" s="8">
        <f>C114*'Return Stats'!$C$43+D114*'Return Stats'!$D$43+E114*'Return Stats'!$E$43</f>
        <v>0.15688416959423795</v>
      </c>
      <c r="G114" s="27">
        <f>C114^2*'Return Stats'!$C$60+D114^2*'Return Stats'!$D$61+E114^2*'Return Stats'!$E$62+2*C114*D114*'Return Stats'!$D$60+2*C114*E114*'Return Stats'!$E$60+2*D114*E114*'Return Stats'!$E$61</f>
        <v>1.6439823368557677E-2</v>
      </c>
      <c r="H114" s="8">
        <f t="shared" si="5"/>
        <v>0.12821787460630316</v>
      </c>
      <c r="I114" s="28">
        <f>(F114-'Return Stats'!$C$65)/H114</f>
        <v>0.92642441593239888</v>
      </c>
      <c r="J114" s="28">
        <f t="shared" si="6"/>
        <v>0.12821787460630316</v>
      </c>
    </row>
    <row r="115" spans="3:10" x14ac:dyDescent="0.2">
      <c r="C115" s="25">
        <v>0.25</v>
      </c>
      <c r="D115" s="25">
        <v>0.3</v>
      </c>
      <c r="E115" s="26">
        <f t="shared" si="4"/>
        <v>0.45</v>
      </c>
      <c r="F115" s="8">
        <f>C115*'Return Stats'!$C$43+D115*'Return Stats'!$D$43+E115*'Return Stats'!$E$43</f>
        <v>0.16804880667602212</v>
      </c>
      <c r="G115" s="27">
        <f>C115^2*'Return Stats'!$C$60+D115^2*'Return Stats'!$D$61+E115^2*'Return Stats'!$E$62+2*C115*D115*'Return Stats'!$D$60+2*C115*E115*'Return Stats'!$E$60+2*D115*E115*'Return Stats'!$E$61</f>
        <v>1.7104344679716048E-2</v>
      </c>
      <c r="H115" s="8">
        <f t="shared" si="5"/>
        <v>0.13078357954925399</v>
      </c>
      <c r="I115" s="28">
        <f>(F115-'Return Stats'!$C$65)/H115</f>
        <v>0.99361714309924143</v>
      </c>
      <c r="J115" s="28">
        <f t="shared" si="6"/>
        <v>0.13078357954925399</v>
      </c>
    </row>
    <row r="116" spans="3:10" x14ac:dyDescent="0.2">
      <c r="C116" s="25">
        <v>0.25</v>
      </c>
      <c r="D116" s="25">
        <v>0.35</v>
      </c>
      <c r="E116" s="26">
        <f t="shared" si="4"/>
        <v>0.4</v>
      </c>
      <c r="F116" s="8">
        <f>C116*'Return Stats'!$C$43+D116*'Return Stats'!$D$43+E116*'Return Stats'!$E$43</f>
        <v>0.17921344375780632</v>
      </c>
      <c r="G116" s="27">
        <f>C116^2*'Return Stats'!$C$60+D116^2*'Return Stats'!$D$61+E116^2*'Return Stats'!$E$62+2*C116*D116*'Return Stats'!$D$60+2*C116*E116*'Return Stats'!$E$60+2*D116*E116*'Return Stats'!$E$61</f>
        <v>1.7832782386000244E-2</v>
      </c>
      <c r="H116" s="8">
        <f t="shared" si="5"/>
        <v>0.13353944131229636</v>
      </c>
      <c r="I116" s="28">
        <f>(F116-'Return Stats'!$C$65)/H116</f>
        <v>1.0567173441125708</v>
      </c>
      <c r="J116" s="28">
        <f t="shared" si="6"/>
        <v>0.13353944131229636</v>
      </c>
    </row>
    <row r="117" spans="3:10" x14ac:dyDescent="0.2">
      <c r="C117" s="25">
        <v>0.25</v>
      </c>
      <c r="D117" s="25">
        <v>0.4</v>
      </c>
      <c r="E117" s="26">
        <f t="shared" si="4"/>
        <v>0.35</v>
      </c>
      <c r="F117" s="8">
        <f>C117*'Return Stats'!$C$43+D117*'Return Stats'!$D$43+E117*'Return Stats'!$E$43</f>
        <v>0.19037808083959049</v>
      </c>
      <c r="G117" s="27">
        <f>C117^2*'Return Stats'!$C$60+D117^2*'Return Stats'!$D$61+E117^2*'Return Stats'!$E$62+2*C117*D117*'Return Stats'!$D$60+2*C117*E117*'Return Stats'!$E$60+2*D117*E117*'Return Stats'!$E$61</f>
        <v>1.8625136487410269E-2</v>
      </c>
      <c r="H117" s="8">
        <f t="shared" si="5"/>
        <v>0.13647394068982646</v>
      </c>
      <c r="I117" s="28">
        <f>(F117-'Return Stats'!$C$65)/H117</f>
        <v>1.1158033546175907</v>
      </c>
      <c r="J117" s="28">
        <f t="shared" si="6"/>
        <v>0.13647394068982646</v>
      </c>
    </row>
    <row r="118" spans="3:10" x14ac:dyDescent="0.2">
      <c r="C118" s="25">
        <v>0.25</v>
      </c>
      <c r="D118" s="25">
        <v>0.45</v>
      </c>
      <c r="E118" s="26">
        <f t="shared" si="4"/>
        <v>0.3</v>
      </c>
      <c r="F118" s="8">
        <f>C118*'Return Stats'!$C$43+D118*'Return Stats'!$D$43+E118*'Return Stats'!$E$43</f>
        <v>0.20154271792137468</v>
      </c>
      <c r="G118" s="27">
        <f>C118^2*'Return Stats'!$C$60+D118^2*'Return Stats'!$D$61+E118^2*'Return Stats'!$E$62+2*C118*D118*'Return Stats'!$D$60+2*C118*E118*'Return Stats'!$E$60+2*D118*E118*'Return Stats'!$E$61</f>
        <v>1.9481406983946112E-2</v>
      </c>
      <c r="H118" s="8">
        <f t="shared" si="5"/>
        <v>0.13957581088407156</v>
      </c>
      <c r="I118" s="28">
        <f>(F118-'Return Stats'!$C$65)/H118</f>
        <v>1.1709960120319589</v>
      </c>
      <c r="J118" s="28">
        <f t="shared" si="6"/>
        <v>0.13957581088407156</v>
      </c>
    </row>
    <row r="119" spans="3:10" x14ac:dyDescent="0.2">
      <c r="C119" s="25">
        <v>0.25</v>
      </c>
      <c r="D119" s="25">
        <v>0.5</v>
      </c>
      <c r="E119" s="26">
        <f t="shared" si="4"/>
        <v>0.25</v>
      </c>
      <c r="F119" s="8">
        <f>C119*'Return Stats'!$C$43+D119*'Return Stats'!$D$43+E119*'Return Stats'!$E$43</f>
        <v>0.21270735500315885</v>
      </c>
      <c r="G119" s="27">
        <f>C119^2*'Return Stats'!$C$60+D119^2*'Return Stats'!$D$61+E119^2*'Return Stats'!$E$62+2*C119*D119*'Return Stats'!$D$60+2*C119*E119*'Return Stats'!$E$60+2*D119*E119*'Return Stats'!$E$61</f>
        <v>2.0401593875607783E-2</v>
      </c>
      <c r="H119" s="8">
        <f t="shared" si="5"/>
        <v>0.14283414814254952</v>
      </c>
      <c r="I119" s="28">
        <f>(F119-'Return Stats'!$C$65)/H119</f>
        <v>1.222448253963047</v>
      </c>
      <c r="J119" s="28">
        <f t="shared" si="6"/>
        <v>0.14283414814254952</v>
      </c>
    </row>
    <row r="120" spans="3:10" x14ac:dyDescent="0.2">
      <c r="C120" s="25">
        <v>0.25</v>
      </c>
      <c r="D120" s="25">
        <v>0.55000000000000004</v>
      </c>
      <c r="E120" s="26">
        <f t="shared" si="4"/>
        <v>0.19999999999999996</v>
      </c>
      <c r="F120" s="8">
        <f>C120*'Return Stats'!$C$43+D120*'Return Stats'!$D$43+E120*'Return Stats'!$E$43</f>
        <v>0.22387199208494302</v>
      </c>
      <c r="G120" s="27">
        <f>C120^2*'Return Stats'!$C$60+D120^2*'Return Stats'!$D$61+E120^2*'Return Stats'!$E$62+2*C120*D120*'Return Stats'!$D$60+2*C120*E120*'Return Stats'!$E$60+2*D120*E120*'Return Stats'!$E$61</f>
        <v>2.1385697162395283E-2</v>
      </c>
      <c r="H120" s="8">
        <f t="shared" si="5"/>
        <v>0.14623849411969231</v>
      </c>
      <c r="I120" s="28">
        <f>(F120-'Return Stats'!$C$65)/H120</f>
        <v>1.2703357840439302</v>
      </c>
      <c r="J120" s="28">
        <f t="shared" si="6"/>
        <v>0.14623849411969231</v>
      </c>
    </row>
    <row r="121" spans="3:10" x14ac:dyDescent="0.2">
      <c r="C121" s="25">
        <v>0.25</v>
      </c>
      <c r="D121" s="25">
        <v>0.6</v>
      </c>
      <c r="E121" s="26">
        <f t="shared" si="4"/>
        <v>0.15000000000000002</v>
      </c>
      <c r="F121" s="8">
        <f>C121*'Return Stats'!$C$43+D121*'Return Stats'!$D$43+E121*'Return Stats'!$E$43</f>
        <v>0.23503662916672721</v>
      </c>
      <c r="G121" s="27">
        <f>C121^2*'Return Stats'!$C$60+D121^2*'Return Stats'!$D$61+E121^2*'Return Stats'!$E$62+2*C121*D121*'Return Stats'!$D$60+2*C121*E121*'Return Stats'!$E$60+2*D121*E121*'Return Stats'!$E$61</f>
        <v>2.2433716844308612E-2</v>
      </c>
      <c r="H121" s="8">
        <f t="shared" si="5"/>
        <v>0.14977889318695278</v>
      </c>
      <c r="I121" s="28">
        <f>(F121-'Return Stats'!$C$65)/H121</f>
        <v>1.3148490082705615</v>
      </c>
      <c r="J121" s="28">
        <f t="shared" si="6"/>
        <v>0.14977889318695278</v>
      </c>
    </row>
    <row r="122" spans="3:10" x14ac:dyDescent="0.2">
      <c r="C122" s="25">
        <v>0.25</v>
      </c>
      <c r="D122" s="25">
        <v>0.65</v>
      </c>
      <c r="E122" s="26">
        <f t="shared" si="4"/>
        <v>9.9999999999999978E-2</v>
      </c>
      <c r="F122" s="8">
        <f>C122*'Return Stats'!$C$43+D122*'Return Stats'!$D$43+E122*'Return Stats'!$E$43</f>
        <v>0.24620126624851138</v>
      </c>
      <c r="G122" s="27">
        <f>C122^2*'Return Stats'!$C$60+D122^2*'Return Stats'!$D$61+E122^2*'Return Stats'!$E$62+2*C122*D122*'Return Stats'!$D$60+2*C122*E122*'Return Stats'!$E$60+2*D122*E122*'Return Stats'!$E$61</f>
        <v>2.3545652921347766E-2</v>
      </c>
      <c r="H122" s="8">
        <f t="shared" si="5"/>
        <v>0.15344592833095236</v>
      </c>
      <c r="I122" s="28">
        <f>(F122-'Return Stats'!$C$65)/H122</f>
        <v>1.3561863029671164</v>
      </c>
      <c r="J122" s="28">
        <f t="shared" si="6"/>
        <v>0.15344592833095236</v>
      </c>
    </row>
    <row r="123" spans="3:10" x14ac:dyDescent="0.2">
      <c r="C123" s="25">
        <v>0.25</v>
      </c>
      <c r="D123" s="25">
        <v>0.7</v>
      </c>
      <c r="E123" s="26">
        <f t="shared" si="4"/>
        <v>5.0000000000000044E-2</v>
      </c>
      <c r="F123" s="8">
        <f>C123*'Return Stats'!$C$43+D123*'Return Stats'!$D$43+E123*'Return Stats'!$E$43</f>
        <v>0.25736590333029558</v>
      </c>
      <c r="G123" s="27">
        <f>C123^2*'Return Stats'!$C$60+D123^2*'Return Stats'!$D$61+E123^2*'Return Stats'!$E$62+2*C123*D123*'Return Stats'!$D$60+2*C123*E123*'Return Stats'!$E$60+2*D123*E123*'Return Stats'!$E$61</f>
        <v>2.4721505393512741E-2</v>
      </c>
      <c r="H123" s="8">
        <f t="shared" si="5"/>
        <v>0.1572307393403489</v>
      </c>
      <c r="I123" s="28">
        <f>(F123-'Return Stats'!$C$65)/H123</f>
        <v>1.3945485739634063</v>
      </c>
      <c r="J123" s="28">
        <f t="shared" si="6"/>
        <v>0.1572307393403489</v>
      </c>
    </row>
    <row r="124" spans="3:10" x14ac:dyDescent="0.2">
      <c r="C124" s="25">
        <v>0.25</v>
      </c>
      <c r="D124" s="25">
        <v>0.75</v>
      </c>
      <c r="E124" s="26">
        <f t="shared" si="4"/>
        <v>0</v>
      </c>
      <c r="F124" s="8">
        <f>C124*'Return Stats'!$C$43+D124*'Return Stats'!$D$43+E124*'Return Stats'!$E$43</f>
        <v>0.26853054041207974</v>
      </c>
      <c r="G124" s="27">
        <f>C124^2*'Return Stats'!$C$60+D124^2*'Return Stats'!$D$61+E124^2*'Return Stats'!$E$62+2*C124*D124*'Return Stats'!$D$60+2*C124*E124*'Return Stats'!$E$60+2*D124*E124*'Return Stats'!$E$61</f>
        <v>2.5961274260803548E-2</v>
      </c>
      <c r="H124" s="8">
        <f t="shared" si="5"/>
        <v>0.16112502679845719</v>
      </c>
      <c r="I124" s="28">
        <f>(F124-'Return Stats'!$C$65)/H124</f>
        <v>1.4301350013136889</v>
      </c>
      <c r="J124" s="28">
        <f t="shared" si="6"/>
        <v>0.16112502679845719</v>
      </c>
    </row>
    <row r="125" spans="3:10" x14ac:dyDescent="0.2">
      <c r="C125" s="25">
        <v>0.3</v>
      </c>
      <c r="D125" s="25">
        <v>0</v>
      </c>
      <c r="E125" s="26">
        <f t="shared" si="4"/>
        <v>0.7</v>
      </c>
      <c r="F125" s="8">
        <f>C125*'Return Stats'!$C$43+D125*'Return Stats'!$D$43+E125*'Return Stats'!$E$43</f>
        <v>0.11706383995127503</v>
      </c>
      <c r="G125" s="27">
        <f>C125^2*'Return Stats'!$C$60+D125^2*'Return Stats'!$D$61+E125^2*'Return Stats'!$E$62+2*C125*D125*'Return Stats'!$D$60+2*C125*E125*'Return Stats'!$E$60+2*D125*E125*'Return Stats'!$E$61</f>
        <v>1.9303004966246803E-2</v>
      </c>
      <c r="H125" s="8">
        <f t="shared" si="5"/>
        <v>0.13893525458373338</v>
      </c>
      <c r="I125" s="28">
        <f>(F125-'Return Stats'!$C$65)/H125</f>
        <v>0.56834991369080612</v>
      </c>
      <c r="J125" s="28">
        <f t="shared" si="6"/>
        <v>999</v>
      </c>
    </row>
    <row r="126" spans="3:10" x14ac:dyDescent="0.2">
      <c r="C126" s="25">
        <v>0.3</v>
      </c>
      <c r="D126" s="25">
        <v>0.05</v>
      </c>
      <c r="E126" s="26">
        <f t="shared" si="4"/>
        <v>0.64999999999999991</v>
      </c>
      <c r="F126" s="8">
        <f>C126*'Return Stats'!$C$43+D126*'Return Stats'!$D$43+E126*'Return Stats'!$E$43</f>
        <v>0.1282284770330592</v>
      </c>
      <c r="G126" s="27">
        <f>C126^2*'Return Stats'!$C$60+D126^2*'Return Stats'!$D$61+E126^2*'Return Stats'!$E$62+2*C126*D126*'Return Stats'!$D$60+2*C126*E126*'Return Stats'!$E$60+2*D126*E126*'Return Stats'!$E$61</f>
        <v>1.9704398843260921E-2</v>
      </c>
      <c r="H126" s="8">
        <f t="shared" si="5"/>
        <v>0.14037235783180718</v>
      </c>
      <c r="I126" s="28">
        <f>(F126-'Return Stats'!$C$65)/H126</f>
        <v>0.64206713077406796</v>
      </c>
      <c r="J126" s="28">
        <f t="shared" si="6"/>
        <v>999</v>
      </c>
    </row>
    <row r="127" spans="3:10" x14ac:dyDescent="0.2">
      <c r="C127" s="25">
        <v>0.3</v>
      </c>
      <c r="D127" s="25">
        <v>0.1</v>
      </c>
      <c r="E127" s="26">
        <f t="shared" si="4"/>
        <v>0.6</v>
      </c>
      <c r="F127" s="8">
        <f>C127*'Return Stats'!$C$43+D127*'Return Stats'!$D$43+E127*'Return Stats'!$E$43</f>
        <v>0.13939311411484337</v>
      </c>
      <c r="G127" s="27">
        <f>C127^2*'Return Stats'!$C$60+D127^2*'Return Stats'!$D$61+E127^2*'Return Stats'!$E$62+2*C127*D127*'Return Stats'!$D$60+2*C127*E127*'Return Stats'!$E$60+2*D127*E127*'Return Stats'!$E$61</f>
        <v>2.016970911540086E-2</v>
      </c>
      <c r="H127" s="8">
        <f t="shared" si="5"/>
        <v>0.14202010109629151</v>
      </c>
      <c r="I127" s="28">
        <f>(F127-'Return Stats'!$C$65)/H127</f>
        <v>0.7132308267135038</v>
      </c>
      <c r="J127" s="28">
        <f t="shared" si="6"/>
        <v>999</v>
      </c>
    </row>
    <row r="128" spans="3:10" x14ac:dyDescent="0.2">
      <c r="C128" s="25">
        <v>0.3</v>
      </c>
      <c r="D128" s="25">
        <v>0.15</v>
      </c>
      <c r="E128" s="26">
        <f t="shared" si="4"/>
        <v>0.54999999999999993</v>
      </c>
      <c r="F128" s="8">
        <f>C128*'Return Stats'!$C$43+D128*'Return Stats'!$D$43+E128*'Return Stats'!$E$43</f>
        <v>0.15055775119662757</v>
      </c>
      <c r="G128" s="27">
        <f>C128^2*'Return Stats'!$C$60+D128^2*'Return Stats'!$D$61+E128^2*'Return Stats'!$E$62+2*C128*D128*'Return Stats'!$D$60+2*C128*E128*'Return Stats'!$E$60+2*D128*E128*'Return Stats'!$E$61</f>
        <v>2.0698935782666631E-2</v>
      </c>
      <c r="H128" s="8">
        <f t="shared" si="5"/>
        <v>0.14387124724095024</v>
      </c>
      <c r="I128" s="28">
        <f>(F128-'Return Stats'!$C$65)/H128</f>
        <v>0.78165549651687871</v>
      </c>
      <c r="J128" s="28">
        <f t="shared" si="6"/>
        <v>0.14387124724095024</v>
      </c>
    </row>
    <row r="129" spans="3:10" x14ac:dyDescent="0.2">
      <c r="C129" s="25">
        <v>0.3</v>
      </c>
      <c r="D129" s="25">
        <v>0.2</v>
      </c>
      <c r="E129" s="26">
        <f t="shared" si="4"/>
        <v>0.49999999999999994</v>
      </c>
      <c r="F129" s="8">
        <f>C129*'Return Stats'!$C$43+D129*'Return Stats'!$D$43+E129*'Return Stats'!$E$43</f>
        <v>0.16172238827841173</v>
      </c>
      <c r="G129" s="27">
        <f>C129^2*'Return Stats'!$C$60+D129^2*'Return Stats'!$D$61+E129^2*'Return Stats'!$E$62+2*C129*D129*'Return Stats'!$D$60+2*C129*E129*'Return Stats'!$E$60+2*D129*E129*'Return Stats'!$E$61</f>
        <v>2.1292078845058227E-2</v>
      </c>
      <c r="H129" s="8">
        <f t="shared" si="5"/>
        <v>0.14591805524011833</v>
      </c>
      <c r="I129" s="28">
        <f>(F129-'Return Stats'!$C$65)/H129</f>
        <v>0.84720419330549934</v>
      </c>
      <c r="J129" s="28">
        <f t="shared" si="6"/>
        <v>0.14591805524011833</v>
      </c>
    </row>
    <row r="130" spans="3:10" x14ac:dyDescent="0.2">
      <c r="C130" s="25">
        <v>0.3</v>
      </c>
      <c r="D130" s="25">
        <v>0.25</v>
      </c>
      <c r="E130" s="26">
        <f t="shared" si="4"/>
        <v>0.44999999999999996</v>
      </c>
      <c r="F130" s="8">
        <f>C130*'Return Stats'!$C$43+D130*'Return Stats'!$D$43+E130*'Return Stats'!$E$43</f>
        <v>0.1728870253601959</v>
      </c>
      <c r="G130" s="27">
        <f>C130^2*'Return Stats'!$C$60+D130^2*'Return Stats'!$D$61+E130^2*'Return Stats'!$E$62+2*C130*D130*'Return Stats'!$D$60+2*C130*E130*'Return Stats'!$E$60+2*D130*E130*'Return Stats'!$E$61</f>
        <v>2.1949138302575652E-2</v>
      </c>
      <c r="H130" s="8">
        <f t="shared" si="5"/>
        <v>0.14815241578379898</v>
      </c>
      <c r="I130" s="28">
        <f>(F130-'Return Stats'!$C$65)/H130</f>
        <v>0.90978621338778987</v>
      </c>
      <c r="J130" s="28">
        <f t="shared" si="6"/>
        <v>0.14815241578379898</v>
      </c>
    </row>
    <row r="131" spans="3:10" x14ac:dyDescent="0.2">
      <c r="C131" s="25">
        <v>0.3</v>
      </c>
      <c r="D131" s="25">
        <v>0.3</v>
      </c>
      <c r="E131" s="26">
        <f t="shared" si="4"/>
        <v>0.39999999999999997</v>
      </c>
      <c r="F131" s="8">
        <f>C131*'Return Stats'!$C$43+D131*'Return Stats'!$D$43+E131*'Return Stats'!$E$43</f>
        <v>0.1840516624419801</v>
      </c>
      <c r="G131" s="27">
        <f>C131^2*'Return Stats'!$C$60+D131^2*'Return Stats'!$D$61+E131^2*'Return Stats'!$E$62+2*C131*D131*'Return Stats'!$D$60+2*C131*E131*'Return Stats'!$E$60+2*D131*E131*'Return Stats'!$E$61</f>
        <v>2.2670114155218895E-2</v>
      </c>
      <c r="H131" s="8">
        <f t="shared" si="5"/>
        <v>0.15056597940842711</v>
      </c>
      <c r="I131" s="28">
        <f>(F131-'Return Stats'!$C$65)/H131</f>
        <v>0.9693535220600521</v>
      </c>
      <c r="J131" s="28">
        <f t="shared" si="6"/>
        <v>0.15056597940842711</v>
      </c>
    </row>
    <row r="132" spans="3:10" x14ac:dyDescent="0.2">
      <c r="C132" s="25">
        <v>0.3</v>
      </c>
      <c r="D132" s="25">
        <v>0.35</v>
      </c>
      <c r="E132" s="26">
        <f t="shared" si="4"/>
        <v>0.35</v>
      </c>
      <c r="F132" s="8">
        <f>C132*'Return Stats'!$C$43+D132*'Return Stats'!$D$43+E132*'Return Stats'!$E$43</f>
        <v>0.19521629952376426</v>
      </c>
      <c r="G132" s="27">
        <f>C132^2*'Return Stats'!$C$60+D132^2*'Return Stats'!$D$61+E132^2*'Return Stats'!$E$62+2*C132*D132*'Return Stats'!$D$60+2*C132*E132*'Return Stats'!$E$60+2*D132*E132*'Return Stats'!$E$61</f>
        <v>2.345500640298797E-2</v>
      </c>
      <c r="H132" s="8">
        <f t="shared" si="5"/>
        <v>0.15315027392397301</v>
      </c>
      <c r="I132" s="28">
        <f>(F132-'Return Stats'!$C$65)/H132</f>
        <v>1.0258963010523903</v>
      </c>
      <c r="J132" s="28">
        <f t="shared" si="6"/>
        <v>0.15315027392397301</v>
      </c>
    </row>
    <row r="133" spans="3:10" x14ac:dyDescent="0.2">
      <c r="C133" s="25">
        <v>0.3</v>
      </c>
      <c r="D133" s="25">
        <v>0.4</v>
      </c>
      <c r="E133" s="26">
        <f t="shared" si="4"/>
        <v>0.29999999999999993</v>
      </c>
      <c r="F133" s="8">
        <f>C133*'Return Stats'!$C$43+D133*'Return Stats'!$D$43+E133*'Return Stats'!$E$43</f>
        <v>0.20638093660554846</v>
      </c>
      <c r="G133" s="27">
        <f>C133^2*'Return Stats'!$C$60+D133^2*'Return Stats'!$D$61+E133^2*'Return Stats'!$E$62+2*C133*D133*'Return Stats'!$D$60+2*C133*E133*'Return Stats'!$E$60+2*D133*E133*'Return Stats'!$E$61</f>
        <v>2.4303815045882873E-2</v>
      </c>
      <c r="H133" s="8">
        <f t="shared" si="5"/>
        <v>0.15589680896632513</v>
      </c>
      <c r="I133" s="28">
        <f>(F133-'Return Stats'!$C$65)/H133</f>
        <v>1.0794379802982266</v>
      </c>
      <c r="J133" s="28">
        <f t="shared" si="6"/>
        <v>0.15589680896632513</v>
      </c>
    </row>
    <row r="134" spans="3:10" x14ac:dyDescent="0.2">
      <c r="C134" s="25">
        <v>0.3</v>
      </c>
      <c r="D134" s="25">
        <v>0.45</v>
      </c>
      <c r="E134" s="26">
        <f t="shared" si="4"/>
        <v>0.24999999999999994</v>
      </c>
      <c r="F134" s="8">
        <f>C134*'Return Stats'!$C$43+D134*'Return Stats'!$D$43+E134*'Return Stats'!$E$43</f>
        <v>0.21754557368733263</v>
      </c>
      <c r="G134" s="27">
        <f>C134^2*'Return Stats'!$C$60+D134^2*'Return Stats'!$D$61+E134^2*'Return Stats'!$E$62+2*C134*D134*'Return Stats'!$D$60+2*C134*E134*'Return Stats'!$E$60+2*D134*E134*'Return Stats'!$E$61</f>
        <v>2.5216540083903598E-2</v>
      </c>
      <c r="H134" s="8">
        <f t="shared" si="5"/>
        <v>0.15879716648575187</v>
      </c>
      <c r="I134" s="28">
        <f>(F134-'Return Stats'!$C$65)/H134</f>
        <v>1.1300300733227091</v>
      </c>
      <c r="J134" s="28">
        <f t="shared" si="6"/>
        <v>0.15879716648575187</v>
      </c>
    </row>
    <row r="135" spans="3:10" x14ac:dyDescent="0.2">
      <c r="C135" s="25">
        <v>0.3</v>
      </c>
      <c r="D135" s="25">
        <v>0.5</v>
      </c>
      <c r="E135" s="26">
        <f t="shared" si="4"/>
        <v>0.19999999999999996</v>
      </c>
      <c r="F135" s="8">
        <f>C135*'Return Stats'!$C$43+D135*'Return Stats'!$D$43+E135*'Return Stats'!$E$43</f>
        <v>0.2287102107691168</v>
      </c>
      <c r="G135" s="27">
        <f>C135^2*'Return Stats'!$C$60+D135^2*'Return Stats'!$D$61+E135^2*'Return Stats'!$E$62+2*C135*D135*'Return Stats'!$D$60+2*C135*E135*'Return Stats'!$E$60+2*D135*E135*'Return Stats'!$E$61</f>
        <v>2.6193181517050149E-2</v>
      </c>
      <c r="H135" s="8">
        <f t="shared" si="5"/>
        <v>0.16184307682767943</v>
      </c>
      <c r="I135" s="28">
        <f>(F135-'Return Stats'!$C$65)/H135</f>
        <v>1.1777470776341386</v>
      </c>
      <c r="J135" s="28">
        <f t="shared" si="6"/>
        <v>0.16184307682767943</v>
      </c>
    </row>
    <row r="136" spans="3:10" x14ac:dyDescent="0.2">
      <c r="C136" s="25">
        <v>0.3</v>
      </c>
      <c r="D136" s="25">
        <v>0.55000000000000004</v>
      </c>
      <c r="E136" s="26">
        <f t="shared" si="4"/>
        <v>0.14999999999999991</v>
      </c>
      <c r="F136" s="8">
        <f>C136*'Return Stats'!$C$43+D136*'Return Stats'!$D$43+E136*'Return Stats'!$E$43</f>
        <v>0.23987484785090099</v>
      </c>
      <c r="G136" s="27">
        <f>C136^2*'Return Stats'!$C$60+D136^2*'Return Stats'!$D$61+E136^2*'Return Stats'!$E$62+2*C136*D136*'Return Stats'!$D$60+2*C136*E136*'Return Stats'!$E$60+2*D136*E136*'Return Stats'!$E$61</f>
        <v>2.7233739345322531E-2</v>
      </c>
      <c r="H136" s="8">
        <f t="shared" si="5"/>
        <v>0.16502648073967563</v>
      </c>
      <c r="I136" s="28">
        <f>(F136-'Return Stats'!$C$65)/H136</f>
        <v>1.2226816384044135</v>
      </c>
      <c r="J136" s="28">
        <f t="shared" si="6"/>
        <v>0.16502648073967563</v>
      </c>
    </row>
    <row r="137" spans="3:10" x14ac:dyDescent="0.2">
      <c r="C137" s="25">
        <v>0.3</v>
      </c>
      <c r="D137" s="25">
        <v>0.6</v>
      </c>
      <c r="E137" s="26">
        <f t="shared" si="4"/>
        <v>9.9999999999999978E-2</v>
      </c>
      <c r="F137" s="8">
        <f>C137*'Return Stats'!$C$43+D137*'Return Stats'!$D$43+E137*'Return Stats'!$E$43</f>
        <v>0.25103948493268519</v>
      </c>
      <c r="G137" s="27">
        <f>C137^2*'Return Stats'!$C$60+D137^2*'Return Stats'!$D$61+E137^2*'Return Stats'!$E$62+2*C137*D137*'Return Stats'!$D$60+2*C137*E137*'Return Stats'!$E$60+2*D137*E137*'Return Stats'!$E$61</f>
        <v>2.8338213568720735E-2</v>
      </c>
      <c r="H137" s="8">
        <f t="shared" si="5"/>
        <v>0.16833957814109174</v>
      </c>
      <c r="I137" s="28">
        <f>(F137-'Return Stats'!$C$65)/H137</f>
        <v>1.2649401126229067</v>
      </c>
      <c r="J137" s="28">
        <f t="shared" si="6"/>
        <v>0.16833957814109174</v>
      </c>
    </row>
    <row r="138" spans="3:10" x14ac:dyDescent="0.2">
      <c r="C138" s="25">
        <v>0.3</v>
      </c>
      <c r="D138" s="25">
        <v>0.65</v>
      </c>
      <c r="E138" s="26">
        <f t="shared" si="4"/>
        <v>4.9999999999999933E-2</v>
      </c>
      <c r="F138" s="8">
        <f>C138*'Return Stats'!$C$43+D138*'Return Stats'!$D$43+E138*'Return Stats'!$E$43</f>
        <v>0.26220412201446935</v>
      </c>
      <c r="G138" s="27">
        <f>C138^2*'Return Stats'!$C$60+D138^2*'Return Stats'!$D$61+E138^2*'Return Stats'!$E$62+2*C138*D138*'Return Stats'!$D$60+2*C138*E138*'Return Stats'!$E$60+2*D138*E138*'Return Stats'!$E$61</f>
        <v>2.9506604187244771E-2</v>
      </c>
      <c r="H138" s="8">
        <f t="shared" si="5"/>
        <v>0.17177486482965071</v>
      </c>
      <c r="I138" s="28">
        <f>(F138-'Return Stats'!$C$65)/H138</f>
        <v>1.3046386165794024</v>
      </c>
      <c r="J138" s="28">
        <f t="shared" si="6"/>
        <v>0.17177486482965071</v>
      </c>
    </row>
    <row r="139" spans="3:10" x14ac:dyDescent="0.2">
      <c r="C139" s="25">
        <v>0.3</v>
      </c>
      <c r="D139" s="25">
        <v>0.7</v>
      </c>
      <c r="E139" s="26">
        <f t="shared" si="4"/>
        <v>0</v>
      </c>
      <c r="F139" s="8">
        <f>C139*'Return Stats'!$C$43+D139*'Return Stats'!$D$43+E139*'Return Stats'!$E$43</f>
        <v>0.27336875909625352</v>
      </c>
      <c r="G139" s="27">
        <f>C139^2*'Return Stats'!$C$60+D139^2*'Return Stats'!$D$61+E139^2*'Return Stats'!$E$62+2*C139*D139*'Return Stats'!$D$60+2*C139*E139*'Return Stats'!$E$60+2*D139*E139*'Return Stats'!$E$61</f>
        <v>3.0738911200894628E-2</v>
      </c>
      <c r="H139" s="8">
        <f t="shared" si="5"/>
        <v>0.17532515849385286</v>
      </c>
      <c r="I139" s="28">
        <f>(F139-'Return Stats'!$C$65)/H139</f>
        <v>1.341899594543942</v>
      </c>
      <c r="J139" s="28">
        <f t="shared" si="6"/>
        <v>0.17532515849385286</v>
      </c>
    </row>
    <row r="140" spans="3:10" x14ac:dyDescent="0.2">
      <c r="C140" s="25">
        <v>0.35</v>
      </c>
      <c r="D140" s="25">
        <v>0</v>
      </c>
      <c r="E140" s="26">
        <f t="shared" si="4"/>
        <v>0.65</v>
      </c>
      <c r="F140" s="8">
        <f>C140*'Return Stats'!$C$43+D140*'Return Stats'!$D$43+E140*'Return Stats'!$E$43</f>
        <v>0.13306669571723298</v>
      </c>
      <c r="G140" s="27">
        <f>C140^2*'Return Stats'!$C$60+D140^2*'Return Stats'!$D$61+E140^2*'Return Stats'!$E$62+2*C140*D140*'Return Stats'!$D$60+2*C140*E140*'Return Stats'!$E$60+2*D140*E140*'Return Stats'!$E$61</f>
        <v>2.5530489801066123E-2</v>
      </c>
      <c r="H140" s="8">
        <f t="shared" si="5"/>
        <v>0.15978263297701076</v>
      </c>
      <c r="I140" s="28">
        <f>(F140-'Return Stats'!$C$65)/H140</f>
        <v>0.59434929784200408</v>
      </c>
      <c r="J140" s="28">
        <f t="shared" si="6"/>
        <v>999</v>
      </c>
    </row>
    <row r="141" spans="3:10" x14ac:dyDescent="0.2">
      <c r="C141" s="25">
        <v>0.35</v>
      </c>
      <c r="D141" s="25">
        <v>0.05</v>
      </c>
      <c r="E141" s="26">
        <f t="shared" si="4"/>
        <v>0.6</v>
      </c>
      <c r="F141" s="8">
        <f>C141*'Return Stats'!$C$43+D141*'Return Stats'!$D$43+E141*'Return Stats'!$E$43</f>
        <v>0.14423133279901715</v>
      </c>
      <c r="G141" s="27">
        <f>C141^2*'Return Stats'!$C$60+D141^2*'Return Stats'!$D$61+E141^2*'Return Stats'!$E$62+2*C141*D141*'Return Stats'!$D$60+2*C141*E141*'Return Stats'!$E$60+2*D141*E141*'Return Stats'!$E$61</f>
        <v>2.5988338219565119E-2</v>
      </c>
      <c r="H141" s="8">
        <f t="shared" si="5"/>
        <v>0.16120898926413849</v>
      </c>
      <c r="I141" s="28">
        <f>(F141-'Return Stats'!$C$65)/H141</f>
        <v>0.65834624535188035</v>
      </c>
      <c r="J141" s="28">
        <f t="shared" si="6"/>
        <v>999</v>
      </c>
    </row>
    <row r="142" spans="3:10" x14ac:dyDescent="0.2">
      <c r="C142" s="25">
        <v>0.35</v>
      </c>
      <c r="D142" s="25">
        <v>0.1</v>
      </c>
      <c r="E142" s="26">
        <f t="shared" ref="E142:E205" si="7">1-C142-D142</f>
        <v>0.55000000000000004</v>
      </c>
      <c r="F142" s="8">
        <f>C142*'Return Stats'!$C$43+D142*'Return Stats'!$D$43+E142*'Return Stats'!$E$43</f>
        <v>0.15539596988080134</v>
      </c>
      <c r="G142" s="27">
        <f>C142^2*'Return Stats'!$C$60+D142^2*'Return Stats'!$D$61+E142^2*'Return Stats'!$E$62+2*C142*D142*'Return Stats'!$D$60+2*C142*E142*'Return Stats'!$E$60+2*D142*E142*'Return Stats'!$E$61</f>
        <v>2.6510103033189937E-2</v>
      </c>
      <c r="H142" s="8">
        <f t="shared" ref="H142:H205" si="8">SQRT(G142)</f>
        <v>0.1628192342236934</v>
      </c>
      <c r="I142" s="28">
        <f>(F142-'Return Stats'!$C$65)/H142</f>
        <v>0.72040610214178535</v>
      </c>
      <c r="J142" s="28">
        <f t="shared" ref="J142:J205" si="9">IF(F142&gt;=$D$9,H142,999)</f>
        <v>0.1628192342236934</v>
      </c>
    </row>
    <row r="143" spans="3:10" x14ac:dyDescent="0.2">
      <c r="C143" s="25">
        <v>0.35</v>
      </c>
      <c r="D143" s="25">
        <v>0.15</v>
      </c>
      <c r="E143" s="26">
        <f t="shared" si="7"/>
        <v>0.5</v>
      </c>
      <c r="F143" s="8">
        <f>C143*'Return Stats'!$C$43+D143*'Return Stats'!$D$43+E143*'Return Stats'!$E$43</f>
        <v>0.16656060696258551</v>
      </c>
      <c r="G143" s="27">
        <f>C143^2*'Return Stats'!$C$60+D143^2*'Return Stats'!$D$61+E143^2*'Return Stats'!$E$62+2*C143*D143*'Return Stats'!$D$60+2*C143*E143*'Return Stats'!$E$60+2*D143*E143*'Return Stats'!$E$61</f>
        <v>2.709578424194059E-2</v>
      </c>
      <c r="H143" s="8">
        <f t="shared" si="8"/>
        <v>0.16460797138030889</v>
      </c>
      <c r="I143" s="28">
        <f>(F143-'Return Stats'!$C$65)/H143</f>
        <v>0.78040331756346837</v>
      </c>
      <c r="J143" s="28">
        <f t="shared" si="9"/>
        <v>0.16460797138030889</v>
      </c>
    </row>
    <row r="144" spans="3:10" x14ac:dyDescent="0.2">
      <c r="C144" s="25">
        <v>0.35</v>
      </c>
      <c r="D144" s="25">
        <v>0.2</v>
      </c>
      <c r="E144" s="26">
        <f t="shared" si="7"/>
        <v>0.45</v>
      </c>
      <c r="F144" s="8">
        <f>C144*'Return Stats'!$C$43+D144*'Return Stats'!$D$43+E144*'Return Stats'!$E$43</f>
        <v>0.17772524404436968</v>
      </c>
      <c r="G144" s="27">
        <f>C144^2*'Return Stats'!$C$60+D144^2*'Return Stats'!$D$61+E144^2*'Return Stats'!$E$62+2*C144*D144*'Return Stats'!$D$60+2*C144*E144*'Return Stats'!$E$60+2*D144*E144*'Return Stats'!$E$61</f>
        <v>2.7745381845817065E-2</v>
      </c>
      <c r="H144" s="8">
        <f t="shared" si="8"/>
        <v>0.16656945051784575</v>
      </c>
      <c r="I144" s="28">
        <f>(F144-'Return Stats'!$C$65)/H144</f>
        <v>0.83824040729131577</v>
      </c>
      <c r="J144" s="28">
        <f t="shared" si="9"/>
        <v>0.16656945051784575</v>
      </c>
    </row>
    <row r="145" spans="3:10" x14ac:dyDescent="0.2">
      <c r="C145" s="25">
        <v>0.35</v>
      </c>
      <c r="D145" s="25">
        <v>0.25</v>
      </c>
      <c r="E145" s="26">
        <f t="shared" si="7"/>
        <v>0.4</v>
      </c>
      <c r="F145" s="8">
        <f>C145*'Return Stats'!$C$43+D145*'Return Stats'!$D$43+E145*'Return Stats'!$E$43</f>
        <v>0.18888988112615387</v>
      </c>
      <c r="G145" s="27">
        <f>C145^2*'Return Stats'!$C$60+D145^2*'Return Stats'!$D$61+E145^2*'Return Stats'!$E$62+2*C145*D145*'Return Stats'!$D$60+2*C145*E145*'Return Stats'!$E$60+2*D145*E145*'Return Stats'!$E$61</f>
        <v>2.8458895844819365E-2</v>
      </c>
      <c r="H145" s="8">
        <f t="shared" si="8"/>
        <v>0.16869764623378528</v>
      </c>
      <c r="I145" s="28">
        <f>(F145-'Return Stats'!$C$65)/H145</f>
        <v>0.89384697707747274</v>
      </c>
      <c r="J145" s="28">
        <f t="shared" si="9"/>
        <v>0.16869764623378528</v>
      </c>
    </row>
    <row r="146" spans="3:10" x14ac:dyDescent="0.2">
      <c r="C146" s="25">
        <v>0.35</v>
      </c>
      <c r="D146" s="25">
        <v>0.3</v>
      </c>
      <c r="E146" s="26">
        <f t="shared" si="7"/>
        <v>0.35000000000000003</v>
      </c>
      <c r="F146" s="8">
        <f>C146*'Return Stats'!$C$43+D146*'Return Stats'!$D$43+E146*'Return Stats'!$E$43</f>
        <v>0.20005451820793804</v>
      </c>
      <c r="G146" s="27">
        <f>C146^2*'Return Stats'!$C$60+D146^2*'Return Stats'!$D$61+E146^2*'Return Stats'!$E$62+2*C146*D146*'Return Stats'!$D$60+2*C146*E146*'Return Stats'!$E$60+2*D146*E146*'Return Stats'!$E$61</f>
        <v>2.923632623894749E-2</v>
      </c>
      <c r="H146" s="8">
        <f t="shared" si="8"/>
        <v>0.17098633348588854</v>
      </c>
      <c r="I146" s="28">
        <f>(F146-'Return Stats'!$C$65)/H146</f>
        <v>0.94717814521301558</v>
      </c>
      <c r="J146" s="28">
        <f t="shared" si="9"/>
        <v>0.17098633348588854</v>
      </c>
    </row>
    <row r="147" spans="3:10" x14ac:dyDescent="0.2">
      <c r="C147" s="25">
        <v>0.35</v>
      </c>
      <c r="D147" s="25">
        <v>0.35</v>
      </c>
      <c r="E147" s="26">
        <f t="shared" si="7"/>
        <v>0.30000000000000004</v>
      </c>
      <c r="F147" s="8">
        <f>C147*'Return Stats'!$C$43+D147*'Return Stats'!$D$43+E147*'Return Stats'!$E$43</f>
        <v>0.21121915528972224</v>
      </c>
      <c r="G147" s="27">
        <f>C147^2*'Return Stats'!$C$60+D147^2*'Return Stats'!$D$61+E147^2*'Return Stats'!$E$62+2*C147*D147*'Return Stats'!$D$60+2*C147*E147*'Return Stats'!$E$60+2*D147*E147*'Return Stats'!$E$61</f>
        <v>3.0077673028201447E-2</v>
      </c>
      <c r="H147" s="8">
        <f t="shared" si="8"/>
        <v>0.17342915852935875</v>
      </c>
      <c r="I147" s="28">
        <f>(F147-'Return Stats'!$C$65)/H147</f>
        <v>0.99821250796425887</v>
      </c>
      <c r="J147" s="28">
        <f t="shared" si="9"/>
        <v>0.17342915852935875</v>
      </c>
    </row>
    <row r="148" spans="3:10" x14ac:dyDescent="0.2">
      <c r="C148" s="25">
        <v>0.35</v>
      </c>
      <c r="D148" s="25">
        <v>0.4</v>
      </c>
      <c r="E148" s="26">
        <f t="shared" si="7"/>
        <v>0.25</v>
      </c>
      <c r="F148" s="8">
        <f>C148*'Return Stats'!$C$43+D148*'Return Stats'!$D$43+E148*'Return Stats'!$E$43</f>
        <v>0.22238379237150641</v>
      </c>
      <c r="G148" s="27">
        <f>C148^2*'Return Stats'!$C$60+D148^2*'Return Stats'!$D$61+E148^2*'Return Stats'!$E$62+2*C148*D148*'Return Stats'!$D$60+2*C148*E148*'Return Stats'!$E$60+2*D148*E148*'Return Stats'!$E$61</f>
        <v>3.0982936212581226E-2</v>
      </c>
      <c r="H148" s="8">
        <f t="shared" si="8"/>
        <v>0.17601970404639711</v>
      </c>
      <c r="I148" s="28">
        <f>(F148-'Return Stats'!$C$65)/H148</f>
        <v>1.0469497910468646</v>
      </c>
      <c r="J148" s="28">
        <f t="shared" si="9"/>
        <v>0.17601970404639711</v>
      </c>
    </row>
    <row r="149" spans="3:10" x14ac:dyDescent="0.2">
      <c r="C149" s="25">
        <v>0.35</v>
      </c>
      <c r="D149" s="25">
        <v>0.45</v>
      </c>
      <c r="E149" s="26">
        <f t="shared" si="7"/>
        <v>0.2</v>
      </c>
      <c r="F149" s="8">
        <f>C149*'Return Stats'!$C$43+D149*'Return Stats'!$D$43+E149*'Return Stats'!$E$43</f>
        <v>0.23354842945329057</v>
      </c>
      <c r="G149" s="27">
        <f>C149^2*'Return Stats'!$C$60+D149^2*'Return Stats'!$D$61+E149^2*'Return Stats'!$E$62+2*C149*D149*'Return Stats'!$D$60+2*C149*E149*'Return Stats'!$E$60+2*D149*E149*'Return Stats'!$E$61</f>
        <v>3.195211579208683E-2</v>
      </c>
      <c r="H149" s="8">
        <f t="shared" si="8"/>
        <v>0.17875154766347293</v>
      </c>
      <c r="I149" s="28">
        <f>(F149-'Return Stats'!$C$65)/H149</f>
        <v>1.0934083201408251</v>
      </c>
      <c r="J149" s="28">
        <f t="shared" si="9"/>
        <v>0.17875154766347293</v>
      </c>
    </row>
    <row r="150" spans="3:10" x14ac:dyDescent="0.2">
      <c r="C150" s="25">
        <v>0.35</v>
      </c>
      <c r="D150" s="25">
        <v>0.5</v>
      </c>
      <c r="E150" s="26">
        <f t="shared" si="7"/>
        <v>0.15000000000000002</v>
      </c>
      <c r="F150" s="8">
        <f>C150*'Return Stats'!$C$43+D150*'Return Stats'!$D$43+E150*'Return Stats'!$E$43</f>
        <v>0.24471306653507477</v>
      </c>
      <c r="G150" s="27">
        <f>C150^2*'Return Stats'!$C$60+D150^2*'Return Stats'!$D$61+E150^2*'Return Stats'!$E$62+2*C150*D150*'Return Stats'!$D$60+2*C150*E150*'Return Stats'!$E$60+2*D150*E150*'Return Stats'!$E$61</f>
        <v>3.2985211766718259E-2</v>
      </c>
      <c r="H150" s="8">
        <f t="shared" si="8"/>
        <v>0.181618313412272</v>
      </c>
      <c r="I150" s="28">
        <f>(F150-'Return Stats'!$C$65)/H150</f>
        <v>1.1376224272387383</v>
      </c>
      <c r="J150" s="28">
        <f t="shared" si="9"/>
        <v>0.181618313412272</v>
      </c>
    </row>
    <row r="151" spans="3:10" x14ac:dyDescent="0.2">
      <c r="C151" s="25">
        <v>0.35</v>
      </c>
      <c r="D151" s="25">
        <v>0.55000000000000004</v>
      </c>
      <c r="E151" s="26">
        <f t="shared" si="7"/>
        <v>9.9999999999999978E-2</v>
      </c>
      <c r="F151" s="8">
        <f>C151*'Return Stats'!$C$43+D151*'Return Stats'!$D$43+E151*'Return Stats'!$E$43</f>
        <v>0.25587770361685896</v>
      </c>
      <c r="G151" s="27">
        <f>C151^2*'Return Stats'!$C$60+D151^2*'Return Stats'!$D$61+E151^2*'Return Stats'!$E$62+2*C151*D151*'Return Stats'!$D$60+2*C151*E151*'Return Stats'!$E$60+2*D151*E151*'Return Stats'!$E$61</f>
        <v>3.408222413647552E-2</v>
      </c>
      <c r="H151" s="8">
        <f t="shared" si="8"/>
        <v>0.18461371600310611</v>
      </c>
      <c r="I151" s="28">
        <f>(F151-'Return Stats'!$C$65)/H151</f>
        <v>1.1796398898833436</v>
      </c>
      <c r="J151" s="28">
        <f t="shared" si="9"/>
        <v>0.18461371600310611</v>
      </c>
    </row>
    <row r="152" spans="3:10" x14ac:dyDescent="0.2">
      <c r="C152" s="25">
        <v>0.35</v>
      </c>
      <c r="D152" s="25">
        <v>0.6</v>
      </c>
      <c r="E152" s="26">
        <f t="shared" si="7"/>
        <v>5.0000000000000044E-2</v>
      </c>
      <c r="F152" s="8">
        <f>C152*'Return Stats'!$C$43+D152*'Return Stats'!$D$43+E152*'Return Stats'!$E$43</f>
        <v>0.26704234069864313</v>
      </c>
      <c r="G152" s="27">
        <f>C152^2*'Return Stats'!$C$60+D152^2*'Return Stats'!$D$61+E152^2*'Return Stats'!$E$62+2*C152*D152*'Return Stats'!$D$60+2*C152*E152*'Return Stats'!$E$60+2*D152*E152*'Return Stats'!$E$61</f>
        <v>3.5243152901358606E-2</v>
      </c>
      <c r="H152" s="8">
        <f t="shared" si="8"/>
        <v>0.18773159803655484</v>
      </c>
      <c r="I152" s="28">
        <f>(F152-'Return Stats'!$C$65)/H152</f>
        <v>1.2195194793689648</v>
      </c>
      <c r="J152" s="28">
        <f t="shared" si="9"/>
        <v>0.18773159803655484</v>
      </c>
    </row>
    <row r="153" spans="3:10" x14ac:dyDescent="0.2">
      <c r="C153" s="25">
        <v>0.35</v>
      </c>
      <c r="D153" s="25">
        <v>0.65</v>
      </c>
      <c r="E153" s="26">
        <f t="shared" si="7"/>
        <v>0</v>
      </c>
      <c r="F153" s="8">
        <f>C153*'Return Stats'!$C$43+D153*'Return Stats'!$D$43+E153*'Return Stats'!$E$43</f>
        <v>0.2782069777804273</v>
      </c>
      <c r="G153" s="27">
        <f>C153^2*'Return Stats'!$C$60+D153^2*'Return Stats'!$D$61+E153^2*'Return Stats'!$E$62+2*C153*D153*'Return Stats'!$D$60+2*C153*E153*'Return Stats'!$E$60+2*D153*E153*'Return Stats'!$E$61</f>
        <v>3.6467998061367517E-2</v>
      </c>
      <c r="H153" s="8">
        <f t="shared" si="8"/>
        <v>0.1909659604782159</v>
      </c>
      <c r="I153" s="28">
        <f>(F153-'Return Stats'!$C$65)/H153</f>
        <v>1.2573286735455509</v>
      </c>
      <c r="J153" s="28">
        <f t="shared" si="9"/>
        <v>0.1909659604782159</v>
      </c>
    </row>
    <row r="154" spans="3:10" x14ac:dyDescent="0.2">
      <c r="C154" s="25">
        <v>0.4</v>
      </c>
      <c r="D154" s="25">
        <v>0</v>
      </c>
      <c r="E154" s="26">
        <f t="shared" si="7"/>
        <v>0.6</v>
      </c>
      <c r="F154" s="8">
        <f>C154*'Return Stats'!$C$43+D154*'Return Stats'!$D$43+E154*'Return Stats'!$E$43</f>
        <v>0.14906955148319095</v>
      </c>
      <c r="G154" s="27">
        <f>C154^2*'Return Stats'!$C$60+D154^2*'Return Stats'!$D$61+E154^2*'Return Stats'!$E$62+2*C154*D154*'Return Stats'!$D$60+2*C154*E154*'Return Stats'!$E$60+2*D154*E154*'Return Stats'!$E$61</f>
        <v>3.2758417244111208E-2</v>
      </c>
      <c r="H154" s="8">
        <f t="shared" si="8"/>
        <v>0.18099286517460075</v>
      </c>
      <c r="I154" s="28">
        <f>(F154-'Return Stats'!$C$65)/H154</f>
        <v>0.61311561301679218</v>
      </c>
      <c r="J154" s="28">
        <f t="shared" si="9"/>
        <v>999</v>
      </c>
    </row>
    <row r="155" spans="3:10" x14ac:dyDescent="0.2">
      <c r="C155" s="25">
        <v>0.4</v>
      </c>
      <c r="D155" s="25">
        <v>0.05</v>
      </c>
      <c r="E155" s="26">
        <f t="shared" si="7"/>
        <v>0.54999999999999993</v>
      </c>
      <c r="F155" s="8">
        <f>C155*'Return Stats'!$C$43+D155*'Return Stats'!$D$43+E155*'Return Stats'!$E$43</f>
        <v>0.16023418856497515</v>
      </c>
      <c r="G155" s="27">
        <f>C155^2*'Return Stats'!$C$60+D155^2*'Return Stats'!$D$61+E155^2*'Return Stats'!$E$62+2*C155*D155*'Return Stats'!$D$60+2*C155*E155*'Return Stats'!$E$60+2*D155*E155*'Return Stats'!$E$61</f>
        <v>3.327272020409508E-2</v>
      </c>
      <c r="H155" s="8">
        <f t="shared" si="8"/>
        <v>0.18240811441406624</v>
      </c>
      <c r="I155" s="28">
        <f>(F155-'Return Stats'!$C$65)/H155</f>
        <v>0.66956554513649913</v>
      </c>
      <c r="J155" s="28">
        <f t="shared" si="9"/>
        <v>0.18240811441406624</v>
      </c>
    </row>
    <row r="156" spans="3:10" x14ac:dyDescent="0.2">
      <c r="C156" s="25">
        <v>0.4</v>
      </c>
      <c r="D156" s="25">
        <v>0.1</v>
      </c>
      <c r="E156" s="26">
        <f t="shared" si="7"/>
        <v>0.5</v>
      </c>
      <c r="F156" s="8">
        <f>C156*'Return Stats'!$C$43+D156*'Return Stats'!$D$43+E156*'Return Stats'!$E$43</f>
        <v>0.17139882564675932</v>
      </c>
      <c r="G156" s="27">
        <f>C156^2*'Return Stats'!$C$60+D156^2*'Return Stats'!$D$61+E156^2*'Return Stats'!$E$62+2*C156*D156*'Return Stats'!$D$60+2*C156*E156*'Return Stats'!$E$60+2*D156*E156*'Return Stats'!$E$61</f>
        <v>3.3850939559204783E-2</v>
      </c>
      <c r="H156" s="8">
        <f t="shared" si="8"/>
        <v>0.18398624828830221</v>
      </c>
      <c r="I156" s="28">
        <f>(F156-'Return Stats'!$C$65)/H156</f>
        <v>0.72450428706977676</v>
      </c>
      <c r="J156" s="28">
        <f t="shared" si="9"/>
        <v>0.18398624828830221</v>
      </c>
    </row>
    <row r="157" spans="3:10" x14ac:dyDescent="0.2">
      <c r="C157" s="25">
        <v>0.4</v>
      </c>
      <c r="D157" s="25">
        <v>0.15</v>
      </c>
      <c r="E157" s="26">
        <f t="shared" si="7"/>
        <v>0.44999999999999996</v>
      </c>
      <c r="F157" s="8">
        <f>C157*'Return Stats'!$C$43+D157*'Return Stats'!$D$43+E157*'Return Stats'!$E$43</f>
        <v>0.18256346272854349</v>
      </c>
      <c r="G157" s="27">
        <f>C157^2*'Return Stats'!$C$60+D157^2*'Return Stats'!$D$61+E157^2*'Return Stats'!$E$62+2*C157*D157*'Return Stats'!$D$60+2*C157*E157*'Return Stats'!$E$60+2*D157*E157*'Return Stats'!$E$61</f>
        <v>3.4493075309440319E-2</v>
      </c>
      <c r="H157" s="8">
        <f t="shared" si="8"/>
        <v>0.18572311463423263</v>
      </c>
      <c r="I157" s="28">
        <f>(F157-'Return Stats'!$C$65)/H157</f>
        <v>0.77784320499391335</v>
      </c>
      <c r="J157" s="28">
        <f t="shared" si="9"/>
        <v>0.18572311463423263</v>
      </c>
    </row>
    <row r="158" spans="3:10" x14ac:dyDescent="0.2">
      <c r="C158" s="25">
        <v>0.4</v>
      </c>
      <c r="D158" s="25">
        <v>0.2</v>
      </c>
      <c r="E158" s="26">
        <f t="shared" si="7"/>
        <v>0.39999999999999997</v>
      </c>
      <c r="F158" s="8">
        <f>C158*'Return Stats'!$C$43+D158*'Return Stats'!$D$43+E158*'Return Stats'!$E$43</f>
        <v>0.19372809981032768</v>
      </c>
      <c r="G158" s="27">
        <f>C158^2*'Return Stats'!$C$60+D158^2*'Return Stats'!$D$61+E158^2*'Return Stats'!$E$62+2*C158*D158*'Return Stats'!$D$60+2*C158*E158*'Return Stats'!$E$60+2*D158*E158*'Return Stats'!$E$61</f>
        <v>3.5199127454801665E-2</v>
      </c>
      <c r="H158" s="8">
        <f t="shared" si="8"/>
        <v>0.18761430503776003</v>
      </c>
      <c r="I158" s="28">
        <f>(F158-'Return Stats'!$C$65)/H158</f>
        <v>0.82951084022620414</v>
      </c>
      <c r="J158" s="28">
        <f t="shared" si="9"/>
        <v>0.18761430503776003</v>
      </c>
    </row>
    <row r="159" spans="3:10" x14ac:dyDescent="0.2">
      <c r="C159" s="25">
        <v>0.4</v>
      </c>
      <c r="D159" s="25">
        <v>0.25</v>
      </c>
      <c r="E159" s="26">
        <f t="shared" si="7"/>
        <v>0.35</v>
      </c>
      <c r="F159" s="8">
        <f>C159*'Return Stats'!$C$43+D159*'Return Stats'!$D$43+E159*'Return Stats'!$E$43</f>
        <v>0.20489273689211185</v>
      </c>
      <c r="G159" s="27">
        <f>C159^2*'Return Stats'!$C$60+D159^2*'Return Stats'!$D$61+E159^2*'Return Stats'!$E$62+2*C159*D159*'Return Stats'!$D$60+2*C159*E159*'Return Stats'!$E$60+2*D159*E159*'Return Stats'!$E$61</f>
        <v>3.5969095995288851E-2</v>
      </c>
      <c r="H159" s="8">
        <f t="shared" si="8"/>
        <v>0.18965520292174654</v>
      </c>
      <c r="I159" s="28">
        <f>(F159-'Return Stats'!$C$65)/H159</f>
        <v>0.87945247123503412</v>
      </c>
      <c r="J159" s="28">
        <f t="shared" si="9"/>
        <v>0.18965520292174654</v>
      </c>
    </row>
    <row r="160" spans="3:10" x14ac:dyDescent="0.2">
      <c r="C160" s="25">
        <v>0.4</v>
      </c>
      <c r="D160" s="25">
        <v>0.3</v>
      </c>
      <c r="E160" s="26">
        <f t="shared" si="7"/>
        <v>0.3</v>
      </c>
      <c r="F160" s="8">
        <f>C160*'Return Stats'!$C$43+D160*'Return Stats'!$D$43+E160*'Return Stats'!$E$43</f>
        <v>0.21605737397389604</v>
      </c>
      <c r="G160" s="27">
        <f>C160^2*'Return Stats'!$C$60+D160^2*'Return Stats'!$D$61+E160^2*'Return Stats'!$E$62+2*C160*D160*'Return Stats'!$D$60+2*C160*E160*'Return Stats'!$E$60+2*D160*E160*'Return Stats'!$E$61</f>
        <v>3.6802980930901841E-2</v>
      </c>
      <c r="H160" s="8">
        <f t="shared" si="8"/>
        <v>0.19184103036342837</v>
      </c>
      <c r="I160" s="28">
        <f>(F160-'Return Stats'!$C$65)/H160</f>
        <v>0.92762936915408145</v>
      </c>
      <c r="J160" s="28">
        <f t="shared" si="9"/>
        <v>0.19184103036342837</v>
      </c>
    </row>
    <row r="161" spans="3:10" x14ac:dyDescent="0.2">
      <c r="C161" s="25">
        <v>0.4</v>
      </c>
      <c r="D161" s="25">
        <v>0.35</v>
      </c>
      <c r="E161" s="26">
        <f t="shared" si="7"/>
        <v>0.25</v>
      </c>
      <c r="F161" s="8">
        <f>C161*'Return Stats'!$C$43+D161*'Return Stats'!$D$43+E161*'Return Stats'!$E$43</f>
        <v>0.22722201105568021</v>
      </c>
      <c r="G161" s="27">
        <f>C161^2*'Return Stats'!$C$60+D161^2*'Return Stats'!$D$61+E161^2*'Return Stats'!$E$62+2*C161*D161*'Return Stats'!$D$60+2*C161*E161*'Return Stats'!$E$60+2*D161*E161*'Return Stats'!$E$61</f>
        <v>3.7700782261640683E-2</v>
      </c>
      <c r="H161" s="8">
        <f t="shared" si="8"/>
        <v>0.19416689280523775</v>
      </c>
      <c r="I161" s="28">
        <f>(F161-'Return Stats'!$C$65)/H161</f>
        <v>0.97401780665760629</v>
      </c>
      <c r="J161" s="28">
        <f t="shared" si="9"/>
        <v>0.19416689280523775</v>
      </c>
    </row>
    <row r="162" spans="3:10" x14ac:dyDescent="0.2">
      <c r="C162" s="25">
        <v>0.4</v>
      </c>
      <c r="D162" s="25">
        <v>0.4</v>
      </c>
      <c r="E162" s="26">
        <f t="shared" si="7"/>
        <v>0.19999999999999996</v>
      </c>
      <c r="F162" s="8">
        <f>C162*'Return Stats'!$C$43+D162*'Return Stats'!$D$43+E162*'Return Stats'!$E$43</f>
        <v>0.23838664813746438</v>
      </c>
      <c r="G162" s="27">
        <f>C162^2*'Return Stats'!$C$60+D162^2*'Return Stats'!$D$61+E162^2*'Return Stats'!$E$62+2*C162*D162*'Return Stats'!$D$60+2*C162*E162*'Return Stats'!$E$60+2*D162*E162*'Return Stats'!$E$61</f>
        <v>3.8662499987505344E-2</v>
      </c>
      <c r="H162" s="8">
        <f t="shared" si="8"/>
        <v>0.19662782099058451</v>
      </c>
      <c r="I162" s="28">
        <f>(F162-'Return Stats'!$C$65)/H162</f>
        <v>1.0186078812674992</v>
      </c>
      <c r="J162" s="28">
        <f t="shared" si="9"/>
        <v>0.19662782099058451</v>
      </c>
    </row>
    <row r="163" spans="3:10" x14ac:dyDescent="0.2">
      <c r="C163" s="25">
        <v>0.4</v>
      </c>
      <c r="D163" s="25">
        <v>0.45</v>
      </c>
      <c r="E163" s="26">
        <f t="shared" si="7"/>
        <v>0.14999999999999997</v>
      </c>
      <c r="F163" s="8">
        <f>C163*'Return Stats'!$C$43+D163*'Return Stats'!$D$43+E163*'Return Stats'!$E$43</f>
        <v>0.24955128521924858</v>
      </c>
      <c r="G163" s="27">
        <f>C163^2*'Return Stats'!$C$60+D163^2*'Return Stats'!$D$61+E163^2*'Return Stats'!$E$62+2*C163*D163*'Return Stats'!$D$60+2*C163*E163*'Return Stats'!$E$60+2*D163*E163*'Return Stats'!$E$61</f>
        <v>3.9688134108495823E-2</v>
      </c>
      <c r="H163" s="8">
        <f t="shared" si="8"/>
        <v>0.1992188096252355</v>
      </c>
      <c r="I163" s="28">
        <f>(F163-'Return Stats'!$C$65)/H163</f>
        <v>1.0614022120552997</v>
      </c>
      <c r="J163" s="28">
        <f t="shared" si="9"/>
        <v>0.1992188096252355</v>
      </c>
    </row>
    <row r="164" spans="3:10" x14ac:dyDescent="0.2">
      <c r="C164" s="25">
        <v>0.4</v>
      </c>
      <c r="D164" s="25">
        <v>0.5</v>
      </c>
      <c r="E164" s="26">
        <f t="shared" si="7"/>
        <v>9.9999999999999978E-2</v>
      </c>
      <c r="F164" s="8">
        <f>C164*'Return Stats'!$C$43+D164*'Return Stats'!$D$43+E164*'Return Stats'!$E$43</f>
        <v>0.2607159223010328</v>
      </c>
      <c r="G164" s="27">
        <f>C164^2*'Return Stats'!$C$60+D164^2*'Return Stats'!$D$61+E164^2*'Return Stats'!$E$62+2*C164*D164*'Return Stats'!$D$60+2*C164*E164*'Return Stats'!$E$60+2*D164*E164*'Return Stats'!$E$61</f>
        <v>4.0777684624612141E-2</v>
      </c>
      <c r="H164" s="8">
        <f t="shared" si="8"/>
        <v>0.20193485242674714</v>
      </c>
      <c r="I164" s="28">
        <f>(F164-'Return Stats'!$C$65)/H164</f>
        <v>1.1024145640326641</v>
      </c>
      <c r="J164" s="28">
        <f t="shared" si="9"/>
        <v>0.20193485242674714</v>
      </c>
    </row>
    <row r="165" spans="3:10" x14ac:dyDescent="0.2">
      <c r="C165" s="25">
        <v>0.4</v>
      </c>
      <c r="D165" s="25">
        <v>0.55000000000000004</v>
      </c>
      <c r="E165" s="26">
        <f t="shared" si="7"/>
        <v>4.9999999999999933E-2</v>
      </c>
      <c r="F165" s="8">
        <f>C165*'Return Stats'!$C$43+D165*'Return Stats'!$D$43+E165*'Return Stats'!$E$43</f>
        <v>0.27188055938281697</v>
      </c>
      <c r="G165" s="27">
        <f>C165^2*'Return Stats'!$C$60+D165^2*'Return Stats'!$D$61+E165^2*'Return Stats'!$E$62+2*C165*D165*'Return Stats'!$D$60+2*C165*E165*'Return Stats'!$E$60+2*D165*E165*'Return Stats'!$E$61</f>
        <v>4.1931151535854277E-2</v>
      </c>
      <c r="H165" s="8">
        <f t="shared" si="8"/>
        <v>0.20477097337233682</v>
      </c>
      <c r="I165" s="28">
        <f>(F165-'Return Stats'!$C$65)/H165</f>
        <v>1.1416684480848356</v>
      </c>
      <c r="J165" s="28">
        <f t="shared" si="9"/>
        <v>0.20477097337233682</v>
      </c>
    </row>
    <row r="166" spans="3:10" x14ac:dyDescent="0.2">
      <c r="C166" s="25">
        <v>0.4</v>
      </c>
      <c r="D166" s="25">
        <v>0.6</v>
      </c>
      <c r="E166" s="26">
        <f t="shared" si="7"/>
        <v>0</v>
      </c>
      <c r="F166" s="8">
        <f>C166*'Return Stats'!$C$43+D166*'Return Stats'!$D$43+E166*'Return Stats'!$E$43</f>
        <v>0.28304519646460113</v>
      </c>
      <c r="G166" s="27">
        <f>C166^2*'Return Stats'!$C$60+D166^2*'Return Stats'!$D$61+E166^2*'Return Stats'!$E$62+2*C166*D166*'Return Stats'!$D$60+2*C166*E166*'Return Stats'!$E$60+2*D166*E166*'Return Stats'!$E$61</f>
        <v>4.3148534842222239E-2</v>
      </c>
      <c r="H166" s="8">
        <f t="shared" si="8"/>
        <v>0.20772225408516595</v>
      </c>
      <c r="I166" s="28">
        <f>(F166-'Return Stats'!$C$65)/H166</f>
        <v>1.1791957368427834</v>
      </c>
      <c r="J166" s="28">
        <f t="shared" si="9"/>
        <v>0.20772225408516595</v>
      </c>
    </row>
    <row r="167" spans="3:10" x14ac:dyDescent="0.2">
      <c r="C167" s="25">
        <v>0.45</v>
      </c>
      <c r="D167" s="25">
        <v>0</v>
      </c>
      <c r="E167" s="26">
        <f t="shared" si="7"/>
        <v>0.55000000000000004</v>
      </c>
      <c r="F167" s="8">
        <f>C167*'Return Stats'!$C$43+D167*'Return Stats'!$D$43+E167*'Return Stats'!$E$43</f>
        <v>0.16507240724914896</v>
      </c>
      <c r="G167" s="27">
        <f>C167^2*'Return Stats'!$C$60+D167^2*'Return Stats'!$D$61+E167^2*'Return Stats'!$E$62+2*C167*D167*'Return Stats'!$D$60+2*C167*E167*'Return Stats'!$E$60+2*D167*E167*'Return Stats'!$E$61</f>
        <v>4.0986787295382028E-2</v>
      </c>
      <c r="H167" s="8">
        <f t="shared" si="8"/>
        <v>0.20245193823567614</v>
      </c>
      <c r="I167" s="28">
        <f>(F167-'Return Stats'!$C$65)/H167</f>
        <v>0.62717308787303006</v>
      </c>
      <c r="J167" s="28">
        <f t="shared" si="9"/>
        <v>0.20245193823567614</v>
      </c>
    </row>
    <row r="168" spans="3:10" x14ac:dyDescent="0.2">
      <c r="C168" s="25">
        <v>0.45</v>
      </c>
      <c r="D168" s="25">
        <v>0.05</v>
      </c>
      <c r="E168" s="26">
        <f t="shared" si="7"/>
        <v>0.5</v>
      </c>
      <c r="F168" s="8">
        <f>C168*'Return Stats'!$C$43+D168*'Return Stats'!$D$43+E168*'Return Stats'!$E$43</f>
        <v>0.17623704433093312</v>
      </c>
      <c r="G168" s="27">
        <f>C168^2*'Return Stats'!$C$60+D168^2*'Return Stats'!$D$61+E168^2*'Return Stats'!$E$62+2*C168*D168*'Return Stats'!$D$60+2*C168*E168*'Return Stats'!$E$60+2*D168*E168*'Return Stats'!$E$61</f>
        <v>4.1557544796850775E-2</v>
      </c>
      <c r="H168" s="8">
        <f t="shared" si="8"/>
        <v>0.20385667709655914</v>
      </c>
      <c r="I168" s="28">
        <f>(F168-'Return Stats'!$C$65)/H168</f>
        <v>0.67761844398897408</v>
      </c>
      <c r="J168" s="28">
        <f t="shared" si="9"/>
        <v>0.20385667709655914</v>
      </c>
    </row>
    <row r="169" spans="3:10" x14ac:dyDescent="0.2">
      <c r="C169" s="25">
        <v>0.45</v>
      </c>
      <c r="D169" s="25">
        <v>0.1</v>
      </c>
      <c r="E169" s="26">
        <f t="shared" si="7"/>
        <v>0.45000000000000007</v>
      </c>
      <c r="F169" s="8">
        <f>C169*'Return Stats'!$C$43+D169*'Return Stats'!$D$43+E169*'Return Stats'!$E$43</f>
        <v>0.18740168141271729</v>
      </c>
      <c r="G169" s="27">
        <f>C169^2*'Return Stats'!$C$60+D169^2*'Return Stats'!$D$61+E169^2*'Return Stats'!$E$62+2*C169*D169*'Return Stats'!$D$60+2*C169*E169*'Return Stats'!$E$60+2*D169*E169*'Return Stats'!$E$61</f>
        <v>4.219221869344536E-2</v>
      </c>
      <c r="H169" s="8">
        <f t="shared" si="8"/>
        <v>0.20540744556477344</v>
      </c>
      <c r="I169" s="28">
        <f>(F169-'Return Stats'!$C$65)/H169</f>
        <v>0.72685622958899176</v>
      </c>
      <c r="J169" s="28">
        <f t="shared" si="9"/>
        <v>0.20540744556477344</v>
      </c>
    </row>
    <row r="170" spans="3:10" x14ac:dyDescent="0.2">
      <c r="C170" s="25">
        <v>0.45</v>
      </c>
      <c r="D170" s="25">
        <v>0.15</v>
      </c>
      <c r="E170" s="26">
        <f t="shared" si="7"/>
        <v>0.4</v>
      </c>
      <c r="F170" s="8">
        <f>C170*'Return Stats'!$C$43+D170*'Return Stats'!$D$43+E170*'Return Stats'!$E$43</f>
        <v>0.19856631849450149</v>
      </c>
      <c r="G170" s="27">
        <f>C170^2*'Return Stats'!$C$60+D170^2*'Return Stats'!$D$61+E170^2*'Return Stats'!$E$62+2*C170*D170*'Return Stats'!$D$60+2*C170*E170*'Return Stats'!$E$60+2*D170*E170*'Return Stats'!$E$61</f>
        <v>4.2890808985165778E-2</v>
      </c>
      <c r="H170" s="8">
        <f t="shared" si="8"/>
        <v>0.20710096326469796</v>
      </c>
      <c r="I170" s="28">
        <f>(F170-'Return Stats'!$C$65)/H170</f>
        <v>0.77482169066209394</v>
      </c>
      <c r="J170" s="28">
        <f t="shared" si="9"/>
        <v>0.20710096326469796</v>
      </c>
    </row>
    <row r="171" spans="3:10" x14ac:dyDescent="0.2">
      <c r="C171" s="25">
        <v>0.45</v>
      </c>
      <c r="D171" s="25">
        <v>0.2</v>
      </c>
      <c r="E171" s="26">
        <f t="shared" si="7"/>
        <v>0.35000000000000003</v>
      </c>
      <c r="F171" s="8">
        <f>C171*'Return Stats'!$C$43+D171*'Return Stats'!$D$43+E171*'Return Stats'!$E$43</f>
        <v>0.20973095557628565</v>
      </c>
      <c r="G171" s="27">
        <f>C171^2*'Return Stats'!$C$60+D171^2*'Return Stats'!$D$61+E171^2*'Return Stats'!$E$62+2*C171*D171*'Return Stats'!$D$60+2*C171*E171*'Return Stats'!$E$60+2*D171*E171*'Return Stats'!$E$61</f>
        <v>4.3653315672012E-2</v>
      </c>
      <c r="H171" s="8">
        <f t="shared" si="8"/>
        <v>0.20893375905298789</v>
      </c>
      <c r="I171" s="28">
        <f>(F171-'Return Stats'!$C$65)/H171</f>
        <v>0.82146110017940266</v>
      </c>
      <c r="J171" s="28">
        <f t="shared" si="9"/>
        <v>0.20893375905298789</v>
      </c>
    </row>
    <row r="172" spans="3:10" x14ac:dyDescent="0.2">
      <c r="C172" s="25">
        <v>0.45</v>
      </c>
      <c r="D172" s="25">
        <v>0.25</v>
      </c>
      <c r="E172" s="26">
        <f t="shared" si="7"/>
        <v>0.30000000000000004</v>
      </c>
      <c r="F172" s="8">
        <f>C172*'Return Stats'!$C$43+D172*'Return Stats'!$D$43+E172*'Return Stats'!$E$43</f>
        <v>0.22089559265806985</v>
      </c>
      <c r="G172" s="27">
        <f>C172^2*'Return Stats'!$C$60+D172^2*'Return Stats'!$D$61+E172^2*'Return Stats'!$E$62+2*C172*D172*'Return Stats'!$D$60+2*C172*E172*'Return Stats'!$E$60+2*D172*E172*'Return Stats'!$E$61</f>
        <v>4.4479738753984061E-2</v>
      </c>
      <c r="H172" s="8">
        <f t="shared" si="8"/>
        <v>0.21090220187087677</v>
      </c>
      <c r="I172" s="28">
        <f>(F172-'Return Stats'!$C$65)/H172</f>
        <v>0.86673155157472004</v>
      </c>
      <c r="J172" s="28">
        <f t="shared" si="9"/>
        <v>0.21090220187087677</v>
      </c>
    </row>
    <row r="173" spans="3:10" x14ac:dyDescent="0.2">
      <c r="C173" s="25">
        <v>0.45</v>
      </c>
      <c r="D173" s="25">
        <v>0.3</v>
      </c>
      <c r="E173" s="26">
        <f t="shared" si="7"/>
        <v>0.25000000000000006</v>
      </c>
      <c r="F173" s="8">
        <f>C173*'Return Stats'!$C$43+D173*'Return Stats'!$D$43+E173*'Return Stats'!$E$43</f>
        <v>0.23206022973985402</v>
      </c>
      <c r="G173" s="27">
        <f>C173^2*'Return Stats'!$C$60+D173^2*'Return Stats'!$D$61+E173^2*'Return Stats'!$E$62+2*C173*D173*'Return Stats'!$D$60+2*C173*E173*'Return Stats'!$E$60+2*D173*E173*'Return Stats'!$E$61</f>
        <v>4.5370078231081946E-2</v>
      </c>
      <c r="H173" s="8">
        <f t="shared" si="8"/>
        <v>0.21300253104383982</v>
      </c>
      <c r="I173" s="28">
        <f>(F173-'Return Stats'!$C$65)/H173</f>
        <v>0.91060058671290367</v>
      </c>
      <c r="J173" s="28">
        <f t="shared" si="9"/>
        <v>0.21300253104383982</v>
      </c>
    </row>
    <row r="174" spans="3:10" x14ac:dyDescent="0.2">
      <c r="C174" s="25">
        <v>0.45</v>
      </c>
      <c r="D174" s="25">
        <v>0.35</v>
      </c>
      <c r="E174" s="26">
        <f t="shared" si="7"/>
        <v>0.20000000000000007</v>
      </c>
      <c r="F174" s="8">
        <f>C174*'Return Stats'!$C$43+D174*'Return Stats'!$D$43+E174*'Return Stats'!$E$43</f>
        <v>0.24322486682163819</v>
      </c>
      <c r="G174" s="27">
        <f>C174^2*'Return Stats'!$C$60+D174^2*'Return Stats'!$D$61+E174^2*'Return Stats'!$E$62+2*C174*D174*'Return Stats'!$D$60+2*C174*E174*'Return Stats'!$E$60+2*D174*E174*'Return Stats'!$E$61</f>
        <v>4.632433410330565E-2</v>
      </c>
      <c r="H174" s="8">
        <f t="shared" si="8"/>
        <v>0.21523088557013756</v>
      </c>
      <c r="I174" s="28">
        <f>(F174-'Return Stats'!$C$65)/H174</f>
        <v>0.95304568523365529</v>
      </c>
      <c r="J174" s="28">
        <f t="shared" si="9"/>
        <v>0.21523088557013756</v>
      </c>
    </row>
    <row r="175" spans="3:10" x14ac:dyDescent="0.2">
      <c r="C175" s="25">
        <v>0.45</v>
      </c>
      <c r="D175" s="25">
        <v>0.4</v>
      </c>
      <c r="E175" s="26">
        <f t="shared" si="7"/>
        <v>0.15000000000000002</v>
      </c>
      <c r="F175" s="8">
        <f>C175*'Return Stats'!$C$43+D175*'Return Stats'!$D$43+E175*'Return Stats'!$E$43</f>
        <v>0.25438950390342235</v>
      </c>
      <c r="G175" s="27">
        <f>C175^2*'Return Stats'!$C$60+D175^2*'Return Stats'!$D$61+E175^2*'Return Stats'!$E$62+2*C175*D175*'Return Stats'!$D$60+2*C175*E175*'Return Stats'!$E$60+2*D175*E175*'Return Stats'!$E$61</f>
        <v>4.7342506370655194E-2</v>
      </c>
      <c r="H175" s="8">
        <f t="shared" si="8"/>
        <v>0.21758333201478278</v>
      </c>
      <c r="I175" s="28">
        <f>(F175-'Return Stats'!$C$65)/H175</f>
        <v>0.9940536432667898</v>
      </c>
      <c r="J175" s="28">
        <f t="shared" si="9"/>
        <v>0.21758333201478278</v>
      </c>
    </row>
    <row r="176" spans="3:10" x14ac:dyDescent="0.2">
      <c r="C176" s="25">
        <v>0.45</v>
      </c>
      <c r="D176" s="25">
        <v>0.45</v>
      </c>
      <c r="E176" s="26">
        <f t="shared" si="7"/>
        <v>0.10000000000000003</v>
      </c>
      <c r="F176" s="8">
        <f>C176*'Return Stats'!$C$43+D176*'Return Stats'!$D$43+E176*'Return Stats'!$E$43</f>
        <v>0.26555414098520658</v>
      </c>
      <c r="G176" s="27">
        <f>C176^2*'Return Stats'!$C$60+D176^2*'Return Stats'!$D$61+E176^2*'Return Stats'!$E$62+2*C176*D176*'Return Stats'!$D$60+2*C176*E176*'Return Stats'!$E$60+2*D176*E176*'Return Stats'!$E$61</f>
        <v>4.8424595033130562E-2</v>
      </c>
      <c r="H176" s="8">
        <f t="shared" si="8"/>
        <v>0.22005589070309062</v>
      </c>
      <c r="I176" s="28">
        <f>(F176-'Return Stats'!$C$65)/H176</f>
        <v>1.033619869290834</v>
      </c>
      <c r="J176" s="28">
        <f t="shared" si="9"/>
        <v>0.22005589070309062</v>
      </c>
    </row>
    <row r="177" spans="3:10" x14ac:dyDescent="0.2">
      <c r="C177" s="25">
        <v>0.45</v>
      </c>
      <c r="D177" s="25">
        <v>0.5</v>
      </c>
      <c r="E177" s="26">
        <f t="shared" si="7"/>
        <v>5.0000000000000044E-2</v>
      </c>
      <c r="F177" s="8">
        <f>C177*'Return Stats'!$C$43+D177*'Return Stats'!$D$43+E177*'Return Stats'!$E$43</f>
        <v>0.27671877806699074</v>
      </c>
      <c r="G177" s="27">
        <f>C177^2*'Return Stats'!$C$60+D177^2*'Return Stats'!$D$61+E177^2*'Return Stats'!$E$62+2*C177*D177*'Return Stats'!$D$60+2*C177*E177*'Return Stats'!$E$60+2*D177*E177*'Return Stats'!$E$61</f>
        <v>4.9570600090731741E-2</v>
      </c>
      <c r="H177" s="8">
        <f t="shared" si="8"/>
        <v>0.2226445599845901</v>
      </c>
      <c r="I177" s="28">
        <f>(F177-'Return Stats'!$C$65)/H177</f>
        <v>1.0717476235822079</v>
      </c>
      <c r="J177" s="28">
        <f t="shared" si="9"/>
        <v>0.2226445599845901</v>
      </c>
    </row>
    <row r="178" spans="3:10" x14ac:dyDescent="0.2">
      <c r="C178" s="25">
        <v>0.45</v>
      </c>
      <c r="D178" s="25">
        <v>0.55000000000000004</v>
      </c>
      <c r="E178" s="26">
        <f t="shared" si="7"/>
        <v>0</v>
      </c>
      <c r="F178" s="8">
        <f>C178*'Return Stats'!$C$43+D178*'Return Stats'!$D$43+E178*'Return Stats'!$E$43</f>
        <v>0.28788341514877491</v>
      </c>
      <c r="G178" s="27">
        <f>C178^2*'Return Stats'!$C$60+D178^2*'Return Stats'!$D$61+E178^2*'Return Stats'!$E$62+2*C178*D178*'Return Stats'!$D$60+2*C178*E178*'Return Stats'!$E$60+2*D178*E178*'Return Stats'!$E$61</f>
        <v>5.0780521543458766E-2</v>
      </c>
      <c r="H178" s="8">
        <f t="shared" si="8"/>
        <v>0.22534533841075738</v>
      </c>
      <c r="I178" s="28">
        <f>(F178-'Return Stats'!$C$65)/H178</f>
        <v>1.1084472255355557</v>
      </c>
      <c r="J178" s="28">
        <f t="shared" si="9"/>
        <v>0.22534533841075738</v>
      </c>
    </row>
    <row r="179" spans="3:10" x14ac:dyDescent="0.2">
      <c r="C179" s="25">
        <v>0.5</v>
      </c>
      <c r="D179" s="25">
        <v>0</v>
      </c>
      <c r="E179" s="26">
        <f t="shared" si="7"/>
        <v>0.5</v>
      </c>
      <c r="F179" s="8">
        <f>C179*'Return Stats'!$C$43+D179*'Return Stats'!$D$43+E179*'Return Stats'!$E$43</f>
        <v>0.1810752630151069</v>
      </c>
      <c r="G179" s="27">
        <f>C179^2*'Return Stats'!$C$60+D179^2*'Return Stats'!$D$61+E179^2*'Return Stats'!$E$62+2*C179*D179*'Return Stats'!$D$60+2*C179*E179*'Return Stats'!$E$60+2*D179*E179*'Return Stats'!$E$61</f>
        <v>5.0215599954878593E-2</v>
      </c>
      <c r="H179" s="8">
        <f t="shared" si="8"/>
        <v>0.2240883753229484</v>
      </c>
      <c r="I179" s="28">
        <f>(F179-'Return Stats'!$C$65)/H179</f>
        <v>0.63803070020502362</v>
      </c>
      <c r="J179" s="28">
        <f t="shared" si="9"/>
        <v>0.2240883753229484</v>
      </c>
    </row>
    <row r="180" spans="3:10" x14ac:dyDescent="0.2">
      <c r="C180" s="25">
        <v>0.5</v>
      </c>
      <c r="D180" s="25">
        <v>0.05</v>
      </c>
      <c r="E180" s="26">
        <f t="shared" si="7"/>
        <v>0.45</v>
      </c>
      <c r="F180" s="8">
        <f>C180*'Return Stats'!$C$43+D180*'Return Stats'!$D$43+E180*'Return Stats'!$E$43</f>
        <v>0.19223990009689107</v>
      </c>
      <c r="G180" s="27">
        <f>C180^2*'Return Stats'!$C$60+D180^2*'Return Stats'!$D$61+E180^2*'Return Stats'!$E$62+2*C180*D180*'Return Stats'!$D$60+2*C180*E180*'Return Stats'!$E$60+2*D180*E180*'Return Stats'!$E$61</f>
        <v>5.0842811997832228E-2</v>
      </c>
      <c r="H180" s="8">
        <f t="shared" si="8"/>
        <v>0.22548350715259027</v>
      </c>
      <c r="I180" s="28">
        <f>(F180-'Return Stats'!$C$65)/H180</f>
        <v>0.68359722643741205</v>
      </c>
      <c r="J180" s="28">
        <f t="shared" si="9"/>
        <v>0.22548350715259027</v>
      </c>
    </row>
    <row r="181" spans="3:10" x14ac:dyDescent="0.2">
      <c r="C181" s="25">
        <v>0.5</v>
      </c>
      <c r="D181" s="25">
        <v>0.1</v>
      </c>
      <c r="E181" s="26">
        <f t="shared" si="7"/>
        <v>0.4</v>
      </c>
      <c r="F181" s="8">
        <f>C181*'Return Stats'!$C$43+D181*'Return Stats'!$D$43+E181*'Return Stats'!$E$43</f>
        <v>0.20340453717867527</v>
      </c>
      <c r="G181" s="27">
        <f>C181^2*'Return Stats'!$C$60+D181^2*'Return Stats'!$D$61+E181^2*'Return Stats'!$E$62+2*C181*D181*'Return Stats'!$D$60+2*C181*E181*'Return Stats'!$E$60+2*D181*E181*'Return Stats'!$E$61</f>
        <v>5.1533940435911689E-2</v>
      </c>
      <c r="H181" s="8">
        <f t="shared" si="8"/>
        <v>0.22701088175660586</v>
      </c>
      <c r="I181" s="28">
        <f>(F181-'Return Stats'!$C$65)/H181</f>
        <v>0.72817891327301987</v>
      </c>
      <c r="J181" s="28">
        <f t="shared" si="9"/>
        <v>0.22701088175660586</v>
      </c>
    </row>
    <row r="182" spans="3:10" x14ac:dyDescent="0.2">
      <c r="C182" s="25">
        <v>0.5</v>
      </c>
      <c r="D182" s="25">
        <v>0.15</v>
      </c>
      <c r="E182" s="26">
        <f t="shared" si="7"/>
        <v>0.35</v>
      </c>
      <c r="F182" s="8">
        <f>C182*'Return Stats'!$C$43+D182*'Return Stats'!$D$43+E182*'Return Stats'!$E$43</f>
        <v>0.21456917426045943</v>
      </c>
      <c r="G182" s="27">
        <f>C182^2*'Return Stats'!$C$60+D182^2*'Return Stats'!$D$61+E182^2*'Return Stats'!$E$62+2*C182*D182*'Return Stats'!$D$60+2*C182*E182*'Return Stats'!$E$60+2*D182*E182*'Return Stats'!$E$61</f>
        <v>5.2288985269116975E-2</v>
      </c>
      <c r="H182" s="8">
        <f t="shared" si="8"/>
        <v>0.22866784922484615</v>
      </c>
      <c r="I182" s="28">
        <f>(F182-'Return Stats'!$C$65)/H182</f>
        <v>0.77172709175630361</v>
      </c>
      <c r="J182" s="28">
        <f t="shared" si="9"/>
        <v>0.22866784922484615</v>
      </c>
    </row>
    <row r="183" spans="3:10" x14ac:dyDescent="0.2">
      <c r="C183" s="25">
        <v>0.5</v>
      </c>
      <c r="D183" s="25">
        <v>0.2</v>
      </c>
      <c r="E183" s="26">
        <f t="shared" si="7"/>
        <v>0.3</v>
      </c>
      <c r="F183" s="8">
        <f>C183*'Return Stats'!$C$43+D183*'Return Stats'!$D$43+E183*'Return Stats'!$E$43</f>
        <v>0.22573381134224363</v>
      </c>
      <c r="G183" s="27">
        <f>C183^2*'Return Stats'!$C$60+D183^2*'Return Stats'!$D$61+E183^2*'Return Stats'!$E$62+2*C183*D183*'Return Stats'!$D$60+2*C183*E183*'Return Stats'!$E$60+2*D183*E183*'Return Stats'!$E$61</f>
        <v>5.3107946497448079E-2</v>
      </c>
      <c r="H183" s="8">
        <f t="shared" si="8"/>
        <v>0.230451614221832</v>
      </c>
      <c r="I183" s="28">
        <f>(F183-'Return Stats'!$C$65)/H183</f>
        <v>0.81420046449155226</v>
      </c>
      <c r="J183" s="28">
        <f t="shared" si="9"/>
        <v>0.230451614221832</v>
      </c>
    </row>
    <row r="184" spans="3:10" x14ac:dyDescent="0.2">
      <c r="C184" s="25">
        <v>0.5</v>
      </c>
      <c r="D184" s="25">
        <v>0.25</v>
      </c>
      <c r="E184" s="26">
        <f t="shared" si="7"/>
        <v>0.25</v>
      </c>
      <c r="F184" s="8">
        <f>C184*'Return Stats'!$C$43+D184*'Return Stats'!$D$43+E184*'Return Stats'!$E$43</f>
        <v>0.2368984484240278</v>
      </c>
      <c r="G184" s="27">
        <f>C184^2*'Return Stats'!$C$60+D184^2*'Return Stats'!$D$61+E184^2*'Return Stats'!$E$62+2*C184*D184*'Return Stats'!$D$60+2*C184*E184*'Return Stats'!$E$60+2*D184*E184*'Return Stats'!$E$61</f>
        <v>5.3990824120905022E-2</v>
      </c>
      <c r="H184" s="8">
        <f t="shared" si="8"/>
        <v>0.2323592565853683</v>
      </c>
      <c r="I184" s="28">
        <f>(F184-'Return Stats'!$C$65)/H184</f>
        <v>0.85556500457725326</v>
      </c>
      <c r="J184" s="28">
        <f t="shared" si="9"/>
        <v>0.2323592565853683</v>
      </c>
    </row>
    <row r="185" spans="3:10" x14ac:dyDescent="0.2">
      <c r="C185" s="25">
        <v>0.5</v>
      </c>
      <c r="D185" s="25">
        <v>0.3</v>
      </c>
      <c r="E185" s="26">
        <f t="shared" si="7"/>
        <v>0.2</v>
      </c>
      <c r="F185" s="8">
        <f>C185*'Return Stats'!$C$43+D185*'Return Stats'!$D$43+E185*'Return Stats'!$E$43</f>
        <v>0.24806308550581196</v>
      </c>
      <c r="G185" s="27">
        <f>C185^2*'Return Stats'!$C$60+D185^2*'Return Stats'!$D$61+E185^2*'Return Stats'!$E$62+2*C185*D185*'Return Stats'!$D$60+2*C185*E185*'Return Stats'!$E$60+2*D185*E185*'Return Stats'!$E$61</f>
        <v>5.493761813948779E-2</v>
      </c>
      <c r="H185" s="8">
        <f t="shared" si="8"/>
        <v>0.23438775168401565</v>
      </c>
      <c r="I185" s="28">
        <f>(F185-'Return Stats'!$C$65)/H185</f>
        <v>0.89579376054115989</v>
      </c>
      <c r="J185" s="28">
        <f t="shared" si="9"/>
        <v>0.23438775168401565</v>
      </c>
    </row>
    <row r="186" spans="3:10" x14ac:dyDescent="0.2">
      <c r="C186" s="25">
        <v>0.5</v>
      </c>
      <c r="D186" s="25">
        <v>0.35</v>
      </c>
      <c r="E186" s="26">
        <f t="shared" si="7"/>
        <v>0.15000000000000002</v>
      </c>
      <c r="F186" s="8">
        <f>C186*'Return Stats'!$C$43+D186*'Return Stats'!$D$43+E186*'Return Stats'!$E$43</f>
        <v>0.25922772258759613</v>
      </c>
      <c r="G186" s="27">
        <f>C186^2*'Return Stats'!$C$60+D186^2*'Return Stats'!$D$61+E186^2*'Return Stats'!$E$62+2*C186*D186*'Return Stats'!$D$60+2*C186*E186*'Return Stats'!$E$60+2*D186*E186*'Return Stats'!$E$61</f>
        <v>5.5948328553196376E-2</v>
      </c>
      <c r="H186" s="8">
        <f t="shared" si="8"/>
        <v>0.23653399027031269</v>
      </c>
      <c r="I186" s="28">
        <f>(F186-'Return Stats'!$C$65)/H186</f>
        <v>0.93486658021069124</v>
      </c>
      <c r="J186" s="28">
        <f t="shared" si="9"/>
        <v>0.23653399027031269</v>
      </c>
    </row>
    <row r="187" spans="3:10" x14ac:dyDescent="0.2">
      <c r="C187" s="25">
        <v>0.5</v>
      </c>
      <c r="D187" s="25">
        <v>0.4</v>
      </c>
      <c r="E187" s="26">
        <f t="shared" si="7"/>
        <v>9.9999999999999978E-2</v>
      </c>
      <c r="F187" s="8">
        <f>C187*'Return Stats'!$C$43+D187*'Return Stats'!$D$43+E187*'Return Stats'!$E$43</f>
        <v>0.27039235966938036</v>
      </c>
      <c r="G187" s="27">
        <f>C187^2*'Return Stats'!$C$60+D187^2*'Return Stats'!$D$61+E187^2*'Return Stats'!$E$62+2*C187*D187*'Return Stats'!$D$60+2*C187*E187*'Return Stats'!$E$60+2*D187*E187*'Return Stats'!$E$61</f>
        <v>5.7022955362030794E-2</v>
      </c>
      <c r="H187" s="8">
        <f t="shared" si="8"/>
        <v>0.23879479760252481</v>
      </c>
      <c r="I187" s="28">
        <f>(F187-'Return Stats'!$C$65)/H187</f>
        <v>0.9727697671874419</v>
      </c>
      <c r="J187" s="28">
        <f t="shared" si="9"/>
        <v>0.23879479760252481</v>
      </c>
    </row>
    <row r="188" spans="3:10" x14ac:dyDescent="0.2">
      <c r="C188" s="25">
        <v>0.5</v>
      </c>
      <c r="D188" s="25">
        <v>0.45</v>
      </c>
      <c r="E188" s="26">
        <f t="shared" si="7"/>
        <v>4.9999999999999989E-2</v>
      </c>
      <c r="F188" s="8">
        <f>C188*'Return Stats'!$C$43+D188*'Return Stats'!$D$43+E188*'Return Stats'!$E$43</f>
        <v>0.28155699675116452</v>
      </c>
      <c r="G188" s="27">
        <f>C188^2*'Return Stats'!$C$60+D188^2*'Return Stats'!$D$61+E188^2*'Return Stats'!$E$62+2*C188*D188*'Return Stats'!$D$60+2*C188*E188*'Return Stats'!$E$60+2*D188*E188*'Return Stats'!$E$61</f>
        <v>5.8161498565991038E-2</v>
      </c>
      <c r="H188" s="8">
        <f t="shared" si="8"/>
        <v>0.2411669516455168</v>
      </c>
      <c r="I188" s="28">
        <f>(F188-'Return Stats'!$C$65)/H188</f>
        <v>1.0094956837577556</v>
      </c>
      <c r="J188" s="28">
        <f t="shared" si="9"/>
        <v>0.2411669516455168</v>
      </c>
    </row>
    <row r="189" spans="3:10" x14ac:dyDescent="0.2">
      <c r="C189" s="25">
        <v>0.5</v>
      </c>
      <c r="D189" s="25">
        <v>0.5</v>
      </c>
      <c r="E189" s="26">
        <f t="shared" si="7"/>
        <v>0</v>
      </c>
      <c r="F189" s="8">
        <f>C189*'Return Stats'!$C$43+D189*'Return Stats'!$D$43+E189*'Return Stats'!$E$43</f>
        <v>0.29272163383294869</v>
      </c>
      <c r="G189" s="27">
        <f>C189^2*'Return Stats'!$C$60+D189^2*'Return Stats'!$D$61+E189^2*'Return Stats'!$E$62+2*C189*D189*'Return Stats'!$D$60+2*C189*E189*'Return Stats'!$E$60+2*D189*E189*'Return Stats'!$E$61</f>
        <v>5.9363958165077106E-2</v>
      </c>
      <c r="H189" s="8">
        <f t="shared" si="8"/>
        <v>0.24364720019954489</v>
      </c>
      <c r="I189" s="28">
        <f>(F189-'Return Stats'!$C$65)/H189</f>
        <v>1.0450423137405882</v>
      </c>
      <c r="J189" s="28">
        <f t="shared" si="9"/>
        <v>0.24364720019954489</v>
      </c>
    </row>
    <row r="190" spans="3:10" x14ac:dyDescent="0.2">
      <c r="C190" s="25">
        <v>0.55000000000000004</v>
      </c>
      <c r="D190" s="25">
        <v>0</v>
      </c>
      <c r="E190" s="26">
        <f t="shared" si="7"/>
        <v>0.44999999999999996</v>
      </c>
      <c r="F190" s="8">
        <f>C190*'Return Stats'!$C$43+D190*'Return Stats'!$D$43+E190*'Return Stats'!$E$43</f>
        <v>0.19707811878106488</v>
      </c>
      <c r="G190" s="27">
        <f>C190^2*'Return Stats'!$C$60+D190^2*'Return Stats'!$D$61+E190^2*'Return Stats'!$E$62+2*C190*D190*'Return Stats'!$D$60+2*C190*E190*'Return Stats'!$E$60+2*D190*E190*'Return Stats'!$E$61</f>
        <v>6.0444855222600929E-2</v>
      </c>
      <c r="H190" s="8">
        <f t="shared" si="8"/>
        <v>0.24585535426872632</v>
      </c>
      <c r="I190" s="28">
        <f>(F190-'Return Stats'!$C$65)/H190</f>
        <v>0.64663272945155248</v>
      </c>
      <c r="J190" s="28">
        <f t="shared" si="9"/>
        <v>0.24585535426872632</v>
      </c>
    </row>
    <row r="191" spans="3:10" x14ac:dyDescent="0.2">
      <c r="C191" s="25">
        <v>0.55000000000000004</v>
      </c>
      <c r="D191" s="25">
        <v>0.05</v>
      </c>
      <c r="E191" s="26">
        <f t="shared" si="7"/>
        <v>0.39999999999999997</v>
      </c>
      <c r="F191" s="8">
        <f>C191*'Return Stats'!$C$43+D191*'Return Stats'!$D$43+E191*'Return Stats'!$E$43</f>
        <v>0.20824275586284907</v>
      </c>
      <c r="G191" s="27">
        <f>C191^2*'Return Stats'!$C$60+D191^2*'Return Stats'!$D$61+E191^2*'Return Stats'!$E$62+2*C191*D191*'Return Stats'!$D$60+2*C191*E191*'Return Stats'!$E$60+2*D191*E191*'Return Stats'!$E$61</f>
        <v>6.112852180703944E-2</v>
      </c>
      <c r="H191" s="8">
        <f t="shared" si="8"/>
        <v>0.24724182859508106</v>
      </c>
      <c r="I191" s="28">
        <f>(F191-'Return Stats'!$C$65)/H191</f>
        <v>0.68816331293803623</v>
      </c>
      <c r="J191" s="28">
        <f t="shared" si="9"/>
        <v>0.24724182859508106</v>
      </c>
    </row>
    <row r="192" spans="3:10" x14ac:dyDescent="0.2">
      <c r="C192" s="25">
        <v>0.55000000000000004</v>
      </c>
      <c r="D192" s="25">
        <v>0.1</v>
      </c>
      <c r="E192" s="26">
        <f t="shared" si="7"/>
        <v>0.35</v>
      </c>
      <c r="F192" s="8">
        <f>C192*'Return Stats'!$C$43+D192*'Return Stats'!$D$43+E192*'Return Stats'!$E$43</f>
        <v>0.21940739294463324</v>
      </c>
      <c r="G192" s="27">
        <f>C192^2*'Return Stats'!$C$60+D192^2*'Return Stats'!$D$61+E192^2*'Return Stats'!$E$62+2*C192*D192*'Return Stats'!$D$60+2*C192*E192*'Return Stats'!$E$60+2*D192*E192*'Return Stats'!$E$61</f>
        <v>6.1876104786603776E-2</v>
      </c>
      <c r="H192" s="8">
        <f t="shared" si="8"/>
        <v>0.2487490799713715</v>
      </c>
      <c r="I192" s="28">
        <f>(F192-'Return Stats'!$C$65)/H192</f>
        <v>0.72887663731459784</v>
      </c>
      <c r="J192" s="28">
        <f t="shared" si="9"/>
        <v>0.2487490799713715</v>
      </c>
    </row>
    <row r="193" spans="3:10" x14ac:dyDescent="0.2">
      <c r="C193" s="25">
        <v>0.55000000000000004</v>
      </c>
      <c r="D193" s="25">
        <v>0.15</v>
      </c>
      <c r="E193" s="26">
        <f t="shared" si="7"/>
        <v>0.29999999999999993</v>
      </c>
      <c r="F193" s="8">
        <f>C193*'Return Stats'!$C$43+D193*'Return Stats'!$D$43+E193*'Return Stats'!$E$43</f>
        <v>0.23057203002641743</v>
      </c>
      <c r="G193" s="27">
        <f>C193^2*'Return Stats'!$C$60+D193^2*'Return Stats'!$D$61+E193^2*'Return Stats'!$E$62+2*C193*D193*'Return Stats'!$D$60+2*C193*E193*'Return Stats'!$E$60+2*D193*E193*'Return Stats'!$E$61</f>
        <v>6.2687604161293944E-2</v>
      </c>
      <c r="H193" s="8">
        <f t="shared" si="8"/>
        <v>0.2503749271818046</v>
      </c>
      <c r="I193" s="28">
        <f>(F193-'Return Stats'!$C$65)/H193</f>
        <v>0.76873524115558844</v>
      </c>
      <c r="J193" s="28">
        <f t="shared" si="9"/>
        <v>0.2503749271818046</v>
      </c>
    </row>
    <row r="194" spans="3:10" x14ac:dyDescent="0.2">
      <c r="C194" s="25">
        <v>0.55000000000000004</v>
      </c>
      <c r="D194" s="25">
        <v>0.2</v>
      </c>
      <c r="E194" s="26">
        <f t="shared" si="7"/>
        <v>0.24999999999999994</v>
      </c>
      <c r="F194" s="8">
        <f>C194*'Return Stats'!$C$43+D194*'Return Stats'!$D$43+E194*'Return Stats'!$E$43</f>
        <v>0.2417366671082016</v>
      </c>
      <c r="G194" s="27">
        <f>C194^2*'Return Stats'!$C$60+D194^2*'Return Stats'!$D$61+E194^2*'Return Stats'!$E$62+2*C194*D194*'Return Stats'!$D$60+2*C194*E194*'Return Stats'!$E$60+2*D194*E194*'Return Stats'!$E$61</f>
        <v>6.3563019931109924E-2</v>
      </c>
      <c r="H194" s="8">
        <f t="shared" si="8"/>
        <v>0.25211707584197846</v>
      </c>
      <c r="I194" s="28">
        <f>(F194-'Return Stats'!$C$65)/H194</f>
        <v>0.80770676253534168</v>
      </c>
      <c r="J194" s="28">
        <f t="shared" si="9"/>
        <v>0.25211707584197846</v>
      </c>
    </row>
    <row r="195" spans="3:10" x14ac:dyDescent="0.2">
      <c r="C195" s="25">
        <v>0.55000000000000004</v>
      </c>
      <c r="D195" s="25">
        <v>0.25</v>
      </c>
      <c r="E195" s="26">
        <f t="shared" si="7"/>
        <v>0.19999999999999996</v>
      </c>
      <c r="F195" s="8">
        <f>C195*'Return Stats'!$C$43+D195*'Return Stats'!$D$43+E195*'Return Stats'!$E$43</f>
        <v>0.2529013041899858</v>
      </c>
      <c r="G195" s="27">
        <f>C195^2*'Return Stats'!$C$60+D195^2*'Return Stats'!$D$61+E195^2*'Return Stats'!$E$62+2*C195*D195*'Return Stats'!$D$60+2*C195*E195*'Return Stats'!$E$60+2*D195*E195*'Return Stats'!$E$61</f>
        <v>6.4502352096051749E-2</v>
      </c>
      <c r="H195" s="8">
        <f t="shared" si="8"/>
        <v>0.25397313262637006</v>
      </c>
      <c r="I195" s="28">
        <f>(F195-'Return Stats'!$C$65)/H195</f>
        <v>0.84576388836368965</v>
      </c>
      <c r="J195" s="28">
        <f t="shared" si="9"/>
        <v>0.25397313262637006</v>
      </c>
    </row>
    <row r="196" spans="3:10" x14ac:dyDescent="0.2">
      <c r="C196" s="25">
        <v>0.55000000000000004</v>
      </c>
      <c r="D196" s="25">
        <v>0.3</v>
      </c>
      <c r="E196" s="26">
        <f t="shared" si="7"/>
        <v>0.14999999999999997</v>
      </c>
      <c r="F196" s="8">
        <f>C196*'Return Stats'!$C$43+D196*'Return Stats'!$D$43+E196*'Return Stats'!$E$43</f>
        <v>0.26406594127176991</v>
      </c>
      <c r="G196" s="27">
        <f>C196^2*'Return Stats'!$C$60+D196^2*'Return Stats'!$D$61+E196^2*'Return Stats'!$E$62+2*C196*D196*'Return Stats'!$D$60+2*C196*E196*'Return Stats'!$E$60+2*D196*E196*'Return Stats'!$E$61</f>
        <v>6.5505600656119406E-2</v>
      </c>
      <c r="H196" s="8">
        <f t="shared" si="8"/>
        <v>0.25594061939465451</v>
      </c>
      <c r="I196" s="28">
        <f>(F196-'Return Stats'!$C$65)/H196</f>
        <v>0.88288424794086973</v>
      </c>
      <c r="J196" s="28">
        <f t="shared" si="9"/>
        <v>0.25594061939465451</v>
      </c>
    </row>
    <row r="197" spans="3:10" x14ac:dyDescent="0.2">
      <c r="C197" s="25">
        <v>0.55000000000000004</v>
      </c>
      <c r="D197" s="25">
        <v>0.35</v>
      </c>
      <c r="E197" s="26">
        <f t="shared" si="7"/>
        <v>9.9999999999999978E-2</v>
      </c>
      <c r="F197" s="8">
        <f>C197*'Return Stats'!$C$43+D197*'Return Stats'!$D$43+E197*'Return Stats'!$E$43</f>
        <v>0.27523057835355413</v>
      </c>
      <c r="G197" s="27">
        <f>C197^2*'Return Stats'!$C$60+D197^2*'Return Stats'!$D$61+E197^2*'Return Stats'!$E$62+2*C197*D197*'Return Stats'!$D$60+2*C197*E197*'Return Stats'!$E$60+2*D197*E197*'Return Stats'!$E$61</f>
        <v>6.6572765611312854E-2</v>
      </c>
      <c r="H197" s="8">
        <f t="shared" si="8"/>
        <v>0.25801698705959819</v>
      </c>
      <c r="I197" s="28">
        <f>(F197-'Return Stats'!$C$65)/H197</f>
        <v>0.91905025733356238</v>
      </c>
      <c r="J197" s="28">
        <f t="shared" si="9"/>
        <v>0.25801698705959819</v>
      </c>
    </row>
    <row r="198" spans="3:10" x14ac:dyDescent="0.2">
      <c r="C198" s="25">
        <v>0.55000000000000004</v>
      </c>
      <c r="D198" s="25">
        <v>0.4</v>
      </c>
      <c r="E198" s="26">
        <f t="shared" si="7"/>
        <v>4.9999999999999933E-2</v>
      </c>
      <c r="F198" s="8">
        <f>C198*'Return Stats'!$C$43+D198*'Return Stats'!$D$43+E198*'Return Stats'!$E$43</f>
        <v>0.2863952154353383</v>
      </c>
      <c r="G198" s="27">
        <f>C198^2*'Return Stats'!$C$60+D198^2*'Return Stats'!$D$61+E198^2*'Return Stats'!$E$62+2*C198*D198*'Return Stats'!$D$60+2*C198*E198*'Return Stats'!$E$60+2*D198*E198*'Return Stats'!$E$61</f>
        <v>6.7703846961632161E-2</v>
      </c>
      <c r="H198" s="8">
        <f t="shared" si="8"/>
        <v>0.26019962905744537</v>
      </c>
      <c r="I198" s="28">
        <f>(F198-'Return Stats'!$C$65)/H198</f>
        <v>0.95424892162517694</v>
      </c>
      <c r="J198" s="28">
        <f t="shared" si="9"/>
        <v>0.26019962905744537</v>
      </c>
    </row>
    <row r="199" spans="3:10" x14ac:dyDescent="0.2">
      <c r="C199" s="25">
        <v>0.55000000000000004</v>
      </c>
      <c r="D199" s="25">
        <v>0.45</v>
      </c>
      <c r="E199" s="26">
        <f t="shared" si="7"/>
        <v>0</v>
      </c>
      <c r="F199" s="8">
        <f>C199*'Return Stats'!$C$43+D199*'Return Stats'!$D$43+E199*'Return Stats'!$E$43</f>
        <v>0.29755985251712247</v>
      </c>
      <c r="G199" s="27">
        <f>C199^2*'Return Stats'!$C$60+D199^2*'Return Stats'!$D$61+E199^2*'Return Stats'!$E$62+2*C199*D199*'Return Stats'!$D$60+2*C199*E199*'Return Stats'!$E$60+2*D199*E199*'Return Stats'!$E$61</f>
        <v>6.8898844707077272E-2</v>
      </c>
      <c r="H199" s="8">
        <f t="shared" si="8"/>
        <v>0.26248589430115532</v>
      </c>
      <c r="I199" s="28">
        <f>(F199-'Return Stats'!$C$65)/H199</f>
        <v>0.98847160228518405</v>
      </c>
      <c r="J199" s="28">
        <f t="shared" si="9"/>
        <v>0.26248589430115532</v>
      </c>
    </row>
    <row r="200" spans="3:10" x14ac:dyDescent="0.2">
      <c r="C200" s="25">
        <v>0.6</v>
      </c>
      <c r="D200" s="25">
        <v>0</v>
      </c>
      <c r="E200" s="26">
        <f t="shared" si="7"/>
        <v>0.4</v>
      </c>
      <c r="F200" s="8">
        <f>C200*'Return Stats'!$C$43+D200*'Return Stats'!$D$43+E200*'Return Stats'!$E$43</f>
        <v>0.21308097454702285</v>
      </c>
      <c r="G200" s="27">
        <f>C200^2*'Return Stats'!$C$60+D200^2*'Return Stats'!$D$61+E200^2*'Return Stats'!$E$62+2*C200*D200*'Return Stats'!$D$60+2*C200*E200*'Return Stats'!$E$60+2*D200*E200*'Return Stats'!$E$61</f>
        <v>7.1674553098548976E-2</v>
      </c>
      <c r="H200" s="8">
        <f t="shared" si="8"/>
        <v>0.26772103596570251</v>
      </c>
      <c r="I200" s="28">
        <f>(F200-'Return Stats'!$C$65)/H200</f>
        <v>0.65359441747207159</v>
      </c>
      <c r="J200" s="28">
        <f t="shared" si="9"/>
        <v>0.26772103596570251</v>
      </c>
    </row>
    <row r="201" spans="3:10" x14ac:dyDescent="0.2">
      <c r="C201" s="25">
        <v>0.6</v>
      </c>
      <c r="D201" s="25">
        <v>0.05</v>
      </c>
      <c r="E201" s="26">
        <f t="shared" si="7"/>
        <v>0.35000000000000003</v>
      </c>
      <c r="F201" s="8">
        <f>C201*'Return Stats'!$C$43+D201*'Return Stats'!$D$43+E201*'Return Stats'!$E$43</f>
        <v>0.22424561162880702</v>
      </c>
      <c r="G201" s="27">
        <f>C201^2*'Return Stats'!$C$60+D201^2*'Return Stats'!$D$61+E201^2*'Return Stats'!$E$62+2*C201*D201*'Return Stats'!$D$60+2*C201*E201*'Return Stats'!$E$60+2*D201*E201*'Return Stats'!$E$61</f>
        <v>7.2414674224472383E-2</v>
      </c>
      <c r="H201" s="8">
        <f t="shared" si="8"/>
        <v>0.26909974772279588</v>
      </c>
      <c r="I201" s="28">
        <f>(F201-'Return Stats'!$C$65)/H201</f>
        <v>0.69173461961234806</v>
      </c>
      <c r="J201" s="28">
        <f t="shared" si="9"/>
        <v>0.26909974772279588</v>
      </c>
    </row>
    <row r="202" spans="3:10" x14ac:dyDescent="0.2">
      <c r="C202" s="25">
        <v>0.6</v>
      </c>
      <c r="D202" s="25">
        <v>0.1</v>
      </c>
      <c r="E202" s="26">
        <f t="shared" si="7"/>
        <v>0.30000000000000004</v>
      </c>
      <c r="F202" s="8">
        <f>C202*'Return Stats'!$C$43+D202*'Return Stats'!$D$43+E202*'Return Stats'!$E$43</f>
        <v>0.23541024871059121</v>
      </c>
      <c r="G202" s="27">
        <f>C202^2*'Return Stats'!$C$60+D202^2*'Return Stats'!$D$61+E202^2*'Return Stats'!$E$62+2*C202*D202*'Return Stats'!$D$60+2*C202*E202*'Return Stats'!$E$60+2*D202*E202*'Return Stats'!$E$61</f>
        <v>7.3218711745521595E-2</v>
      </c>
      <c r="H202" s="8">
        <f t="shared" si="8"/>
        <v>0.27058956326052486</v>
      </c>
      <c r="I202" s="28">
        <f>(F202-'Return Stats'!$C$65)/H202</f>
        <v>0.72918647095276179</v>
      </c>
      <c r="J202" s="28">
        <f t="shared" si="9"/>
        <v>0.27058956326052486</v>
      </c>
    </row>
    <row r="203" spans="3:10" x14ac:dyDescent="0.2">
      <c r="C203" s="25">
        <v>0.6</v>
      </c>
      <c r="D203" s="25">
        <v>0.15</v>
      </c>
      <c r="E203" s="26">
        <f t="shared" si="7"/>
        <v>0.25</v>
      </c>
      <c r="F203" s="8">
        <f>C203*'Return Stats'!$C$43+D203*'Return Stats'!$D$43+E203*'Return Stats'!$E$43</f>
        <v>0.24657488579237538</v>
      </c>
      <c r="G203" s="27">
        <f>C203^2*'Return Stats'!$C$60+D203^2*'Return Stats'!$D$61+E203^2*'Return Stats'!$E$62+2*C203*D203*'Return Stats'!$D$60+2*C203*E203*'Return Stats'!$E$60+2*D203*E203*'Return Stats'!$E$61</f>
        <v>7.4086665661696652E-2</v>
      </c>
      <c r="H203" s="8">
        <f t="shared" si="8"/>
        <v>0.27218865821649635</v>
      </c>
      <c r="I203" s="28">
        <f>(F203-'Return Stats'!$C$65)/H203</f>
        <v>0.76592054627991291</v>
      </c>
      <c r="J203" s="28">
        <f t="shared" si="9"/>
        <v>0.27218865821649635</v>
      </c>
    </row>
    <row r="204" spans="3:10" x14ac:dyDescent="0.2">
      <c r="C204" s="25">
        <v>0.6</v>
      </c>
      <c r="D204" s="25">
        <v>0.2</v>
      </c>
      <c r="E204" s="26">
        <f t="shared" si="7"/>
        <v>0.2</v>
      </c>
      <c r="F204" s="8">
        <f>C204*'Return Stats'!$C$43+D204*'Return Stats'!$D$43+E204*'Return Stats'!$E$43</f>
        <v>0.25773952287415952</v>
      </c>
      <c r="G204" s="27">
        <f>C204^2*'Return Stats'!$C$60+D204^2*'Return Stats'!$D$61+E204^2*'Return Stats'!$E$62+2*C204*D204*'Return Stats'!$D$60+2*C204*E204*'Return Stats'!$E$60+2*D204*E204*'Return Stats'!$E$61</f>
        <v>7.5018535972997499E-2</v>
      </c>
      <c r="H204" s="8">
        <f t="shared" si="8"/>
        <v>0.27389511856365295</v>
      </c>
      <c r="I204" s="28">
        <f>(F204-'Return Stats'!$C$65)/H204</f>
        <v>0.80191105276348884</v>
      </c>
      <c r="J204" s="28">
        <f t="shared" si="9"/>
        <v>0.27389511856365295</v>
      </c>
    </row>
    <row r="205" spans="3:10" x14ac:dyDescent="0.2">
      <c r="C205" s="25">
        <v>0.6</v>
      </c>
      <c r="D205" s="25">
        <v>0.25</v>
      </c>
      <c r="E205" s="26">
        <f t="shared" si="7"/>
        <v>0.15000000000000002</v>
      </c>
      <c r="F205" s="8">
        <f>C205*'Return Stats'!$C$43+D205*'Return Stats'!$D$43+E205*'Return Stats'!$E$43</f>
        <v>0.26890415995594369</v>
      </c>
      <c r="G205" s="27">
        <f>C205^2*'Return Stats'!$C$60+D205^2*'Return Stats'!$D$61+E205^2*'Return Stats'!$E$62+2*C205*D205*'Return Stats'!$D$60+2*C205*E205*'Return Stats'!$E$60+2*D205*E205*'Return Stats'!$E$61</f>
        <v>7.6014322679424207E-2</v>
      </c>
      <c r="H205" s="8">
        <f t="shared" si="8"/>
        <v>0.27570695072744211</v>
      </c>
      <c r="I205" s="28">
        <f>(F205-'Return Stats'!$C$65)/H205</f>
        <v>0.83713580432765966</v>
      </c>
      <c r="J205" s="28">
        <f t="shared" si="9"/>
        <v>0.27570695072744211</v>
      </c>
    </row>
    <row r="206" spans="3:10" x14ac:dyDescent="0.2">
      <c r="C206" s="25">
        <v>0.6</v>
      </c>
      <c r="D206" s="25">
        <v>0.3</v>
      </c>
      <c r="E206" s="26">
        <f t="shared" ref="E206:E269" si="10">1-C206-D206</f>
        <v>0.10000000000000003</v>
      </c>
      <c r="F206" s="8">
        <f>C206*'Return Stats'!$C$43+D206*'Return Stats'!$D$43+E206*'Return Stats'!$E$43</f>
        <v>0.28006879703772791</v>
      </c>
      <c r="G206" s="27">
        <f>C206^2*'Return Stats'!$C$60+D206^2*'Return Stats'!$D$61+E206^2*'Return Stats'!$E$62+2*C206*D206*'Return Stats'!$D$60+2*C206*E206*'Return Stats'!$E$60+2*D206*E206*'Return Stats'!$E$61</f>
        <v>7.7074025780976732E-2</v>
      </c>
      <c r="H206" s="8">
        <f t="shared" ref="H206:H269" si="11">SQRT(G206)</f>
        <v>0.27762209166594926</v>
      </c>
      <c r="I206" s="28">
        <f>(F206-'Return Stats'!$C$65)/H206</f>
        <v>0.8715761616293799</v>
      </c>
      <c r="J206" s="28">
        <f t="shared" ref="J206:J244" si="12">IF(F206&gt;=$D$9,H206,999)</f>
        <v>0.27762209166594926</v>
      </c>
    </row>
    <row r="207" spans="3:10" x14ac:dyDescent="0.2">
      <c r="C207" s="25">
        <v>0.6</v>
      </c>
      <c r="D207" s="25">
        <v>0.35</v>
      </c>
      <c r="E207" s="26">
        <f t="shared" si="10"/>
        <v>5.0000000000000044E-2</v>
      </c>
      <c r="F207" s="8">
        <f>C207*'Return Stats'!$C$43+D207*'Return Stats'!$D$43+E207*'Return Stats'!$E$43</f>
        <v>0.29123343411951208</v>
      </c>
      <c r="G207" s="27">
        <f>C207^2*'Return Stats'!$C$60+D207^2*'Return Stats'!$D$61+E207^2*'Return Stats'!$E$62+2*C207*D207*'Return Stats'!$D$60+2*C207*E207*'Return Stats'!$E$60+2*D207*E207*'Return Stats'!$E$61</f>
        <v>7.819764527765509E-2</v>
      </c>
      <c r="H207" s="8">
        <f t="shared" si="11"/>
        <v>0.27963841881553952</v>
      </c>
      <c r="I207" s="28">
        <f>(F207-'Return Stats'!$C$65)/H207</f>
        <v>0.905216941190362</v>
      </c>
      <c r="J207" s="28">
        <f t="shared" si="12"/>
        <v>0.27963841881553952</v>
      </c>
    </row>
    <row r="208" spans="3:10" x14ac:dyDescent="0.2">
      <c r="C208" s="25">
        <v>0.6</v>
      </c>
      <c r="D208" s="25">
        <v>0.4</v>
      </c>
      <c r="E208" s="26">
        <f t="shared" si="10"/>
        <v>0</v>
      </c>
      <c r="F208" s="8">
        <f>C208*'Return Stats'!$C$43+D208*'Return Stats'!$D$43+E208*'Return Stats'!$E$43</f>
        <v>0.30239807120129625</v>
      </c>
      <c r="G208" s="27">
        <f>C208^2*'Return Stats'!$C$60+D208^2*'Return Stats'!$D$61+E208^2*'Return Stats'!$E$62+2*C208*D208*'Return Stats'!$D$60+2*C208*E208*'Return Stats'!$E$60+2*D208*E208*'Return Stats'!$E$61</f>
        <v>7.9385181169459251E-2</v>
      </c>
      <c r="H208" s="8">
        <f t="shared" si="11"/>
        <v>0.28175375981423789</v>
      </c>
      <c r="I208" s="28">
        <f>(F208-'Return Stats'!$C$65)/H208</f>
        <v>0.93804629750300295</v>
      </c>
      <c r="J208" s="28">
        <f t="shared" si="12"/>
        <v>0.28175375981423789</v>
      </c>
    </row>
    <row r="209" spans="3:10" x14ac:dyDescent="0.2">
      <c r="C209" s="25">
        <v>0.65</v>
      </c>
      <c r="D209" s="25">
        <v>0</v>
      </c>
      <c r="E209" s="26">
        <f t="shared" si="10"/>
        <v>0.35</v>
      </c>
      <c r="F209" s="8">
        <f>C209*'Return Stats'!$C$43+D209*'Return Stats'!$D$43+E209*'Return Stats'!$E$43</f>
        <v>0.2290838303129808</v>
      </c>
      <c r="G209" s="27">
        <f>C209^2*'Return Stats'!$C$60+D209^2*'Return Stats'!$D$61+E209^2*'Return Stats'!$E$62+2*C209*D209*'Return Stats'!$D$60+2*C209*E209*'Return Stats'!$E$60+2*D209*E209*'Return Stats'!$E$61</f>
        <v>8.3904693582722817E-2</v>
      </c>
      <c r="H209" s="8">
        <f t="shared" si="11"/>
        <v>0.28966306906943251</v>
      </c>
      <c r="I209" s="28">
        <f>(F209-'Return Stats'!$C$65)/H209</f>
        <v>0.65933096313082906</v>
      </c>
      <c r="J209" s="28">
        <f t="shared" si="12"/>
        <v>0.28966306906943251</v>
      </c>
    </row>
    <row r="210" spans="3:10" x14ac:dyDescent="0.2">
      <c r="C210" s="25">
        <v>0.65</v>
      </c>
      <c r="D210" s="25">
        <v>0.05</v>
      </c>
      <c r="E210" s="26">
        <f t="shared" si="10"/>
        <v>0.3</v>
      </c>
      <c r="F210" s="8">
        <f>C210*'Return Stats'!$C$43+D210*'Return Stats'!$D$43+E210*'Return Stats'!$E$43</f>
        <v>0.24024846739476499</v>
      </c>
      <c r="G210" s="27">
        <f>C210^2*'Return Stats'!$C$60+D210^2*'Return Stats'!$D$61+E210^2*'Return Stats'!$E$62+2*C210*D210*'Return Stats'!$D$60+2*C210*E210*'Return Stats'!$E$60+2*D210*E210*'Return Stats'!$E$61</f>
        <v>8.4701269250131092E-2</v>
      </c>
      <c r="H210" s="8">
        <f t="shared" si="11"/>
        <v>0.29103482480646725</v>
      </c>
      <c r="I210" s="28">
        <f>(F210-'Return Stats'!$C$65)/H210</f>
        <v>0.69458514983280772</v>
      </c>
      <c r="J210" s="28">
        <f t="shared" si="12"/>
        <v>0.29103482480646725</v>
      </c>
    </row>
    <row r="211" spans="3:10" x14ac:dyDescent="0.2">
      <c r="C211" s="25">
        <v>0.65</v>
      </c>
      <c r="D211" s="25">
        <v>0.1</v>
      </c>
      <c r="E211" s="26">
        <f t="shared" si="10"/>
        <v>0.24999999999999997</v>
      </c>
      <c r="F211" s="8">
        <f>C211*'Return Stats'!$C$43+D211*'Return Stats'!$D$43+E211*'Return Stats'!$E$43</f>
        <v>0.25141310447654913</v>
      </c>
      <c r="G211" s="27">
        <f>C211^2*'Return Stats'!$C$60+D211^2*'Return Stats'!$D$61+E211^2*'Return Stats'!$E$62+2*C211*D211*'Return Stats'!$D$60+2*C211*E211*'Return Stats'!$E$60+2*D211*E211*'Return Stats'!$E$61</f>
        <v>8.5561761312665185E-2</v>
      </c>
      <c r="H211" s="8">
        <f t="shared" si="11"/>
        <v>0.29250942089557591</v>
      </c>
      <c r="I211" s="28">
        <f>(F211-'Return Stats'!$C$65)/H211</f>
        <v>0.7292520829703486</v>
      </c>
      <c r="J211" s="28">
        <f t="shared" si="12"/>
        <v>0.29250942089557591</v>
      </c>
    </row>
    <row r="212" spans="3:10" x14ac:dyDescent="0.2">
      <c r="C212" s="25">
        <v>0.65</v>
      </c>
      <c r="D212" s="25">
        <v>0.15</v>
      </c>
      <c r="E212" s="26">
        <f t="shared" si="10"/>
        <v>0.19999999999999998</v>
      </c>
      <c r="F212" s="8">
        <f>C212*'Return Stats'!$C$43+D212*'Return Stats'!$D$43+E212*'Return Stats'!$E$43</f>
        <v>0.2625777415583333</v>
      </c>
      <c r="G212" s="27">
        <f>C212^2*'Return Stats'!$C$60+D212^2*'Return Stats'!$D$61+E212^2*'Return Stats'!$E$62+2*C212*D212*'Return Stats'!$D$60+2*C212*E212*'Return Stats'!$E$60+2*D212*E212*'Return Stats'!$E$61</f>
        <v>8.6486169770325097E-2</v>
      </c>
      <c r="H212" s="8">
        <f t="shared" si="11"/>
        <v>0.294085310361339</v>
      </c>
      <c r="I212" s="28">
        <f>(F212-'Return Stats'!$C$65)/H212</f>
        <v>0.76330824304865907</v>
      </c>
      <c r="J212" s="28">
        <f t="shared" si="12"/>
        <v>0.294085310361339</v>
      </c>
    </row>
    <row r="213" spans="3:10" x14ac:dyDescent="0.2">
      <c r="C213" s="25">
        <v>0.65</v>
      </c>
      <c r="D213" s="25">
        <v>0.2</v>
      </c>
      <c r="E213" s="26">
        <f t="shared" si="10"/>
        <v>0.14999999999999997</v>
      </c>
      <c r="F213" s="8">
        <f>C213*'Return Stats'!$C$43+D213*'Return Stats'!$D$43+E213*'Return Stats'!$E$43</f>
        <v>0.27374237864011747</v>
      </c>
      <c r="G213" s="27">
        <f>C213^2*'Return Stats'!$C$60+D213^2*'Return Stats'!$D$61+E213^2*'Return Stats'!$E$62+2*C213*D213*'Return Stats'!$D$60+2*C213*E213*'Return Stats'!$E$60+2*D213*E213*'Return Stats'!$E$61</f>
        <v>8.7474494623110854E-2</v>
      </c>
      <c r="H213" s="8">
        <f t="shared" si="11"/>
        <v>0.29576087405725399</v>
      </c>
      <c r="I213" s="28">
        <f>(F213-'Return Stats'!$C$65)/H213</f>
        <v>0.79673276389662462</v>
      </c>
      <c r="J213" s="28">
        <f t="shared" si="12"/>
        <v>0.29576087405725399</v>
      </c>
    </row>
    <row r="214" spans="3:10" x14ac:dyDescent="0.2">
      <c r="C214" s="25">
        <v>0.65</v>
      </c>
      <c r="D214" s="25">
        <v>0.25</v>
      </c>
      <c r="E214" s="26">
        <f t="shared" si="10"/>
        <v>9.9999999999999978E-2</v>
      </c>
      <c r="F214" s="8">
        <f>C214*'Return Stats'!$C$43+D214*'Return Stats'!$D$43+E214*'Return Stats'!$E$43</f>
        <v>0.28490701572190169</v>
      </c>
      <c r="G214" s="27">
        <f>C214^2*'Return Stats'!$C$60+D214^2*'Return Stats'!$D$61+E214^2*'Return Stats'!$E$62+2*C214*D214*'Return Stats'!$D$60+2*C214*E214*'Return Stats'!$E$60+2*D214*E214*'Return Stats'!$E$61</f>
        <v>8.852673587102243E-2</v>
      </c>
      <c r="H214" s="8">
        <f t="shared" si="11"/>
        <v>0.29753442804324753</v>
      </c>
      <c r="I214" s="28">
        <f>(F214-'Return Stats'!$C$65)/H214</f>
        <v>0.8295074198473178</v>
      </c>
      <c r="J214" s="28">
        <f t="shared" si="12"/>
        <v>0.29753442804324753</v>
      </c>
    </row>
    <row r="215" spans="3:10" x14ac:dyDescent="0.2">
      <c r="C215" s="25">
        <v>0.65</v>
      </c>
      <c r="D215" s="25">
        <v>0.3</v>
      </c>
      <c r="E215" s="26">
        <f t="shared" si="10"/>
        <v>4.9999999999999989E-2</v>
      </c>
      <c r="F215" s="8">
        <f>C215*'Return Stats'!$C$43+D215*'Return Stats'!$D$43+E215*'Return Stats'!$E$43</f>
        <v>0.29607165280368586</v>
      </c>
      <c r="G215" s="27">
        <f>C215^2*'Return Stats'!$C$60+D215^2*'Return Stats'!$D$61+E215^2*'Return Stats'!$E$62+2*C215*D215*'Return Stats'!$D$60+2*C215*E215*'Return Stats'!$E$60+2*D215*E215*'Return Stats'!$E$61</f>
        <v>8.9642893514059838E-2</v>
      </c>
      <c r="H215" s="8">
        <f t="shared" si="11"/>
        <v>0.29940423095550911</v>
      </c>
      <c r="I215" s="28">
        <f>(F215-'Return Stats'!$C$65)/H215</f>
        <v>0.86161659098939025</v>
      </c>
      <c r="J215" s="28">
        <f t="shared" si="12"/>
        <v>0.29940423095550911</v>
      </c>
    </row>
    <row r="216" spans="3:10" x14ac:dyDescent="0.2">
      <c r="C216" s="25">
        <v>0.65</v>
      </c>
      <c r="D216" s="25">
        <v>0.35</v>
      </c>
      <c r="E216" s="26">
        <f t="shared" si="10"/>
        <v>0</v>
      </c>
      <c r="F216" s="8">
        <f>C216*'Return Stats'!$C$43+D216*'Return Stats'!$D$43+E216*'Return Stats'!$E$43</f>
        <v>0.30723628988547003</v>
      </c>
      <c r="G216" s="27">
        <f>C216^2*'Return Stats'!$C$60+D216^2*'Return Stats'!$D$61+E216^2*'Return Stats'!$E$62+2*C216*D216*'Return Stats'!$D$60+2*C216*E216*'Return Stats'!$E$60+2*D216*E216*'Return Stats'!$E$61</f>
        <v>9.082296755222305E-2</v>
      </c>
      <c r="H216" s="8">
        <f t="shared" si="11"/>
        <v>0.30136849130627946</v>
      </c>
      <c r="I216" s="28">
        <f>(F216-'Return Stats'!$C$65)/H216</f>
        <v>0.89304720848188468</v>
      </c>
      <c r="J216" s="28">
        <f t="shared" si="12"/>
        <v>0.30136849130627946</v>
      </c>
    </row>
    <row r="217" spans="3:10" x14ac:dyDescent="0.2">
      <c r="C217" s="25">
        <v>0.7</v>
      </c>
      <c r="D217" s="25">
        <v>0</v>
      </c>
      <c r="E217" s="26">
        <f t="shared" si="10"/>
        <v>0.30000000000000004</v>
      </c>
      <c r="F217" s="8">
        <f>C217*'Return Stats'!$C$43+D217*'Return Stats'!$D$43+E217*'Return Stats'!$E$43</f>
        <v>0.24508668607893877</v>
      </c>
      <c r="G217" s="27">
        <f>C217^2*'Return Stats'!$C$60+D217^2*'Return Stats'!$D$61+E217^2*'Return Stats'!$E$62+2*C217*D217*'Return Stats'!$D$60+2*C217*E217*'Return Stats'!$E$60+2*D217*E217*'Return Stats'!$E$61</f>
        <v>9.7135276675122367E-2</v>
      </c>
      <c r="H217" s="8">
        <f t="shared" si="11"/>
        <v>0.3116653279964301</v>
      </c>
      <c r="I217" s="28">
        <f>(F217-'Return Stats'!$C$65)/H217</f>
        <v>0.66413125710701337</v>
      </c>
      <c r="J217" s="28">
        <f t="shared" si="12"/>
        <v>0.3116653279964301</v>
      </c>
    </row>
    <row r="218" spans="3:10" x14ac:dyDescent="0.2">
      <c r="C218" s="25">
        <v>0.7</v>
      </c>
      <c r="D218" s="25">
        <v>0.05</v>
      </c>
      <c r="E218" s="26">
        <f t="shared" si="10"/>
        <v>0.25000000000000006</v>
      </c>
      <c r="F218" s="8">
        <f>C218*'Return Stats'!$C$43+D218*'Return Stats'!$D$43+E218*'Return Stats'!$E$43</f>
        <v>0.25625132316072291</v>
      </c>
      <c r="G218" s="27">
        <f>C218^2*'Return Stats'!$C$60+D218^2*'Return Stats'!$D$61+E218^2*'Return Stats'!$E$62+2*C218*D218*'Return Stats'!$D$60+2*C218*E218*'Return Stats'!$E$60+2*D218*E218*'Return Stats'!$E$61</f>
        <v>9.7988306884015511E-2</v>
      </c>
      <c r="H218" s="8">
        <f t="shared" si="11"/>
        <v>0.31303084014840377</v>
      </c>
      <c r="I218" s="28">
        <f>(F218-'Return Stats'!$C$65)/H218</f>
        <v>0.69690041740711639</v>
      </c>
      <c r="J218" s="28">
        <f t="shared" si="12"/>
        <v>0.31303084014840377</v>
      </c>
    </row>
    <row r="219" spans="3:10" x14ac:dyDescent="0.2">
      <c r="C219" s="25">
        <v>0.7</v>
      </c>
      <c r="D219" s="25">
        <v>0.1</v>
      </c>
      <c r="E219" s="26">
        <f t="shared" si="10"/>
        <v>0.20000000000000004</v>
      </c>
      <c r="F219" s="8">
        <f>C219*'Return Stats'!$C$43+D219*'Return Stats'!$D$43+E219*'Return Stats'!$E$43</f>
        <v>0.26741596024250708</v>
      </c>
      <c r="G219" s="27">
        <f>C219^2*'Return Stats'!$C$60+D219^2*'Return Stats'!$D$61+E219^2*'Return Stats'!$E$62+2*C219*D219*'Return Stats'!$D$60+2*C219*E219*'Return Stats'!$E$60+2*D219*E219*'Return Stats'!$E$61</f>
        <v>9.8905253488034486E-2</v>
      </c>
      <c r="H219" s="8">
        <f t="shared" si="11"/>
        <v>0.31449205631944743</v>
      </c>
      <c r="I219" s="28">
        <f>(F219-'Return Stats'!$C$65)/H219</f>
        <v>0.72916296496079969</v>
      </c>
      <c r="J219" s="28">
        <f t="shared" si="12"/>
        <v>0.31449205631944743</v>
      </c>
    </row>
    <row r="220" spans="3:10" x14ac:dyDescent="0.2">
      <c r="C220" s="25">
        <v>0.7</v>
      </c>
      <c r="D220" s="25">
        <v>0.15</v>
      </c>
      <c r="E220" s="26">
        <f t="shared" si="10"/>
        <v>0.15000000000000005</v>
      </c>
      <c r="F220" s="8">
        <f>C220*'Return Stats'!$C$43+D220*'Return Stats'!$D$43+E220*'Return Stats'!$E$43</f>
        <v>0.27858059732429125</v>
      </c>
      <c r="G220" s="27">
        <f>C220^2*'Return Stats'!$C$60+D220^2*'Return Stats'!$D$61+E220^2*'Return Stats'!$E$62+2*C220*D220*'Return Stats'!$D$60+2*C220*E220*'Return Stats'!$E$60+2*D220*E220*'Return Stats'!$E$61</f>
        <v>9.9886116487179294E-2</v>
      </c>
      <c r="H220" s="8">
        <f t="shared" si="11"/>
        <v>0.31604764907712773</v>
      </c>
      <c r="I220" s="28">
        <f>(F220-'Return Stats'!$C$65)/H220</f>
        <v>0.76089981376702087</v>
      </c>
      <c r="J220" s="28">
        <f t="shared" si="12"/>
        <v>0.31604764907712773</v>
      </c>
    </row>
    <row r="221" spans="3:10" x14ac:dyDescent="0.2">
      <c r="C221" s="25">
        <v>0.7</v>
      </c>
      <c r="D221" s="25">
        <v>0.2</v>
      </c>
      <c r="E221" s="26">
        <f t="shared" si="10"/>
        <v>0.10000000000000003</v>
      </c>
      <c r="F221" s="8">
        <f>C221*'Return Stats'!$C$43+D221*'Return Stats'!$D$43+E221*'Return Stats'!$E$43</f>
        <v>0.28974523440607547</v>
      </c>
      <c r="G221" s="27">
        <f>C221^2*'Return Stats'!$C$60+D221^2*'Return Stats'!$D$61+E221^2*'Return Stats'!$E$62+2*C221*D221*'Return Stats'!$D$60+2*C221*E221*'Return Stats'!$E$60+2*D221*E221*'Return Stats'!$E$61</f>
        <v>0.10093089588144992</v>
      </c>
      <c r="H221" s="8">
        <f t="shared" si="11"/>
        <v>0.31769623208569836</v>
      </c>
      <c r="I221" s="28">
        <f>(F221-'Return Stats'!$C$65)/H221</f>
        <v>0.7920938588223303</v>
      </c>
      <c r="J221" s="28">
        <f t="shared" si="12"/>
        <v>0.31769623208569836</v>
      </c>
    </row>
    <row r="222" spans="3:10" x14ac:dyDescent="0.2">
      <c r="C222" s="25">
        <v>0.7</v>
      </c>
      <c r="D222" s="25">
        <v>0.25</v>
      </c>
      <c r="E222" s="26">
        <f t="shared" si="10"/>
        <v>5.0000000000000044E-2</v>
      </c>
      <c r="F222" s="8">
        <f>C222*'Return Stats'!$C$43+D222*'Return Stats'!$D$43+E222*'Return Stats'!$E$43</f>
        <v>0.30090987148785964</v>
      </c>
      <c r="G222" s="27">
        <f>C222^2*'Return Stats'!$C$60+D222^2*'Return Stats'!$D$61+E222^2*'Return Stats'!$E$62+2*C222*D222*'Return Stats'!$D$60+2*C222*E222*'Return Stats'!$E$60+2*D222*E222*'Return Stats'!$E$61</f>
        <v>0.10203959167084636</v>
      </c>
      <c r="H222" s="8">
        <f t="shared" si="11"/>
        <v>0.31943636560486716</v>
      </c>
      <c r="I222" s="28">
        <f>(F222-'Return Stats'!$C$65)/H222</f>
        <v>0.82272996999016468</v>
      </c>
      <c r="J222" s="28">
        <f t="shared" si="12"/>
        <v>0.31943636560486716</v>
      </c>
    </row>
    <row r="223" spans="3:10" x14ac:dyDescent="0.2">
      <c r="C223" s="25">
        <v>0.7</v>
      </c>
      <c r="D223" s="25">
        <v>0.3</v>
      </c>
      <c r="E223" s="26">
        <f t="shared" si="10"/>
        <v>0</v>
      </c>
      <c r="F223" s="8">
        <f>C223*'Return Stats'!$C$43+D223*'Return Stats'!$D$43+E223*'Return Stats'!$E$43</f>
        <v>0.3120745085696438</v>
      </c>
      <c r="G223" s="27">
        <f>C223^2*'Return Stats'!$C$60+D223^2*'Return Stats'!$D$61+E223^2*'Return Stats'!$E$62+2*C223*D223*'Return Stats'!$D$60+2*C223*E223*'Return Stats'!$E$60+2*D223*E223*'Return Stats'!$E$61</f>
        <v>0.10321220385536865</v>
      </c>
      <c r="H223" s="8">
        <f t="shared" si="11"/>
        <v>0.32126656199388171</v>
      </c>
      <c r="I223" s="28">
        <f>(F223-'Return Stats'!$C$65)/H223</f>
        <v>0.85279497146939753</v>
      </c>
      <c r="J223" s="28">
        <f t="shared" si="12"/>
        <v>0.32126656199388171</v>
      </c>
    </row>
    <row r="224" spans="3:10" x14ac:dyDescent="0.2">
      <c r="C224" s="25">
        <v>0.75</v>
      </c>
      <c r="D224" s="25">
        <v>0</v>
      </c>
      <c r="E224" s="26">
        <f t="shared" si="10"/>
        <v>0.25</v>
      </c>
      <c r="F224" s="8">
        <f>C224*'Return Stats'!$C$43+D224*'Return Stats'!$D$43+E224*'Return Stats'!$E$43</f>
        <v>0.26108954184489674</v>
      </c>
      <c r="G224" s="27">
        <f>C224^2*'Return Stats'!$C$60+D224^2*'Return Stats'!$D$61+E224^2*'Return Stats'!$E$62+2*C224*D224*'Return Stats'!$D$60+2*C224*E224*'Return Stats'!$E$60+2*D224*E224*'Return Stats'!$E$61</f>
        <v>0.1113663023757477</v>
      </c>
      <c r="H224" s="8">
        <f t="shared" si="11"/>
        <v>0.33371590069361051</v>
      </c>
      <c r="I224" s="28">
        <f>(F224-'Return Stats'!$C$65)/H224</f>
        <v>0.66820172901987895</v>
      </c>
      <c r="J224" s="28">
        <f t="shared" si="12"/>
        <v>0.33371590069361051</v>
      </c>
    </row>
    <row r="225" spans="3:10" x14ac:dyDescent="0.2">
      <c r="C225" s="25">
        <v>0.75</v>
      </c>
      <c r="D225" s="25">
        <v>0.05</v>
      </c>
      <c r="E225" s="26">
        <f t="shared" si="10"/>
        <v>0.2</v>
      </c>
      <c r="F225" s="8">
        <f>C225*'Return Stats'!$C$43+D225*'Return Stats'!$D$43+E225*'Return Stats'!$E$43</f>
        <v>0.27225417892668091</v>
      </c>
      <c r="G225" s="27">
        <f>C225^2*'Return Stats'!$C$60+D225^2*'Return Stats'!$D$61+E225^2*'Return Stats'!$E$62+2*C225*D225*'Return Stats'!$D$60+2*C225*E225*'Return Stats'!$E$60+2*D225*E225*'Return Stats'!$E$61</f>
        <v>0.11227578712612572</v>
      </c>
      <c r="H225" s="8">
        <f t="shared" si="11"/>
        <v>0.33507579310676222</v>
      </c>
      <c r="I225" s="28">
        <f>(F225-'Return Stats'!$C$65)/H225</f>
        <v>0.69880959395975961</v>
      </c>
      <c r="J225" s="28">
        <f t="shared" si="12"/>
        <v>0.33507579310676222</v>
      </c>
    </row>
    <row r="226" spans="3:10" x14ac:dyDescent="0.2">
      <c r="C226" s="25">
        <v>0.75</v>
      </c>
      <c r="D226" s="25">
        <v>0.1</v>
      </c>
      <c r="E226" s="26">
        <f t="shared" si="10"/>
        <v>0.15</v>
      </c>
      <c r="F226" s="8">
        <f>C226*'Return Stats'!$C$43+D226*'Return Stats'!$D$43+E226*'Return Stats'!$E$43</f>
        <v>0.28341881600846508</v>
      </c>
      <c r="G226" s="27">
        <f>C226^2*'Return Stats'!$C$60+D226^2*'Return Stats'!$D$61+E226^2*'Return Stats'!$E$62+2*C226*D226*'Return Stats'!$D$60+2*C226*E226*'Return Stats'!$E$60+2*D226*E226*'Return Stats'!$E$61</f>
        <v>0.11324918827162958</v>
      </c>
      <c r="H226" s="8">
        <f t="shared" si="11"/>
        <v>0.33652516736735988</v>
      </c>
      <c r="I226" s="28">
        <f>(F226-'Return Stats'!$C$65)/H226</f>
        <v>0.72897613550747753</v>
      </c>
      <c r="J226" s="28">
        <f t="shared" si="12"/>
        <v>0.33652516736735988</v>
      </c>
    </row>
    <row r="227" spans="3:10" x14ac:dyDescent="0.2">
      <c r="C227" s="25">
        <v>0.75</v>
      </c>
      <c r="D227" s="25">
        <v>0.15</v>
      </c>
      <c r="E227" s="26">
        <f t="shared" si="10"/>
        <v>0.1</v>
      </c>
      <c r="F227" s="8">
        <f>C227*'Return Stats'!$C$43+D227*'Return Stats'!$D$43+E227*'Return Stats'!$E$43</f>
        <v>0.2945834530902493</v>
      </c>
      <c r="G227" s="27">
        <f>C227^2*'Return Stats'!$C$60+D227^2*'Return Stats'!$D$61+E227^2*'Return Stats'!$E$62+2*C227*D227*'Return Stats'!$D$60+2*C227*E227*'Return Stats'!$E$60+2*D227*E227*'Return Stats'!$E$61</f>
        <v>0.11428650581225927</v>
      </c>
      <c r="H227" s="8">
        <f t="shared" si="11"/>
        <v>0.33806287257292728</v>
      </c>
      <c r="I227" s="28">
        <f>(F227-'Return Stats'!$C$65)/H227</f>
        <v>0.7586856584936591</v>
      </c>
      <c r="J227" s="28">
        <f t="shared" si="12"/>
        <v>0.33806287257292728</v>
      </c>
    </row>
    <row r="228" spans="3:10" x14ac:dyDescent="0.2">
      <c r="C228" s="25">
        <v>0.75</v>
      </c>
      <c r="D228" s="25">
        <v>0.2</v>
      </c>
      <c r="E228" s="26">
        <f t="shared" si="10"/>
        <v>4.9999999999999989E-2</v>
      </c>
      <c r="F228" s="8">
        <f>C228*'Return Stats'!$C$43+D228*'Return Stats'!$D$43+E228*'Return Stats'!$E$43</f>
        <v>0.30574809017203347</v>
      </c>
      <c r="G228" s="27">
        <f>C228^2*'Return Stats'!$C$60+D228^2*'Return Stats'!$D$61+E228^2*'Return Stats'!$E$62+2*C228*D228*'Return Stats'!$D$60+2*C228*E228*'Return Stats'!$E$60+2*D228*E228*'Return Stats'!$E$61</f>
        <v>0.11538773974801475</v>
      </c>
      <c r="H228" s="8">
        <f t="shared" si="11"/>
        <v>0.33968770915064728</v>
      </c>
      <c r="I228" s="28">
        <f>(F228-'Return Stats'!$C$65)/H228</f>
        <v>0.78792397535153336</v>
      </c>
      <c r="J228" s="28">
        <f t="shared" si="12"/>
        <v>0.33968770915064728</v>
      </c>
    </row>
    <row r="229" spans="3:10" x14ac:dyDescent="0.2">
      <c r="C229" s="25">
        <v>0.75</v>
      </c>
      <c r="D229" s="25">
        <v>0.25</v>
      </c>
      <c r="E229" s="26">
        <f t="shared" si="10"/>
        <v>0</v>
      </c>
      <c r="F229" s="8">
        <f>C229*'Return Stats'!$C$43+D229*'Return Stats'!$D$43+E229*'Return Stats'!$E$43</f>
        <v>0.31691272725381764</v>
      </c>
      <c r="G229" s="27">
        <f>C229^2*'Return Stats'!$C$60+D229^2*'Return Stats'!$D$61+E229^2*'Return Stats'!$E$62+2*C229*D229*'Return Stats'!$D$60+2*C229*E229*'Return Stats'!$E$60+2*D229*E229*'Return Stats'!$E$61</f>
        <v>0.1165528900788961</v>
      </c>
      <c r="H229" s="8">
        <f t="shared" si="11"/>
        <v>0.341398433035209</v>
      </c>
      <c r="I229" s="28">
        <f>(F229-'Return Stats'!$C$65)/H229</f>
        <v>0.8166784035152943</v>
      </c>
      <c r="J229" s="28">
        <f t="shared" si="12"/>
        <v>0.341398433035209</v>
      </c>
    </row>
    <row r="230" spans="3:10" x14ac:dyDescent="0.2">
      <c r="C230" s="25">
        <v>0.8</v>
      </c>
      <c r="D230" s="25">
        <v>0</v>
      </c>
      <c r="E230" s="26">
        <f t="shared" si="10"/>
        <v>0.19999999999999996</v>
      </c>
      <c r="F230" s="8">
        <f>C230*'Return Stats'!$C$43+D230*'Return Stats'!$D$43+E230*'Return Stats'!$E$43</f>
        <v>0.27709239761085469</v>
      </c>
      <c r="G230" s="27">
        <f>C230^2*'Return Stats'!$C$60+D230^2*'Return Stats'!$D$61+E230^2*'Return Stats'!$E$62+2*C230*D230*'Return Stats'!$D$60+2*C230*E230*'Return Stats'!$E$60+2*D230*E230*'Return Stats'!$E$61</f>
        <v>0.12659777068459879</v>
      </c>
      <c r="H230" s="8">
        <f t="shared" si="11"/>
        <v>0.35580580473707674</v>
      </c>
      <c r="I230" s="28">
        <f>(F230-'Return Stats'!$C$65)/H230</f>
        <v>0.67169336314638961</v>
      </c>
      <c r="J230" s="28">
        <f t="shared" si="12"/>
        <v>0.35580580473707674</v>
      </c>
    </row>
    <row r="231" spans="3:10" x14ac:dyDescent="0.2">
      <c r="C231" s="25">
        <v>0.8</v>
      </c>
      <c r="D231" s="25">
        <v>0.05</v>
      </c>
      <c r="E231" s="26">
        <f t="shared" si="10"/>
        <v>0.14999999999999997</v>
      </c>
      <c r="F231" s="8">
        <f>C231*'Return Stats'!$C$43+D231*'Return Stats'!$D$43+E231*'Return Stats'!$E$43</f>
        <v>0.28825703469263886</v>
      </c>
      <c r="G231" s="27">
        <f>C231^2*'Return Stats'!$C$60+D231^2*'Return Stats'!$D$61+E231^2*'Return Stats'!$E$62+2*C231*D231*'Return Stats'!$D$60+2*C231*E231*'Return Stats'!$E$60+2*D231*E231*'Return Stats'!$E$61</f>
        <v>0.12756370997646171</v>
      </c>
      <c r="H231" s="8">
        <f t="shared" si="11"/>
        <v>0.35716062209664395</v>
      </c>
      <c r="I231" s="28">
        <f>(F231-'Return Stats'!$C$65)/H231</f>
        <v>0.70040485769158767</v>
      </c>
      <c r="J231" s="28">
        <f t="shared" si="12"/>
        <v>0.35716062209664395</v>
      </c>
    </row>
    <row r="232" spans="3:10" x14ac:dyDescent="0.2">
      <c r="C232" s="25">
        <v>0.8</v>
      </c>
      <c r="D232" s="25">
        <v>0.1</v>
      </c>
      <c r="E232" s="26">
        <f t="shared" si="10"/>
        <v>9.999999999999995E-2</v>
      </c>
      <c r="F232" s="8">
        <f>C232*'Return Stats'!$C$43+D232*'Return Stats'!$D$43+E232*'Return Stats'!$E$43</f>
        <v>0.29942167177442308</v>
      </c>
      <c r="G232" s="27">
        <f>C232^2*'Return Stats'!$C$60+D232^2*'Return Stats'!$D$61+E232^2*'Return Stats'!$E$62+2*C232*D232*'Return Stats'!$D$60+2*C232*E232*'Return Stats'!$E$60+2*D232*E232*'Return Stats'!$E$61</f>
        <v>0.12859356566345043</v>
      </c>
      <c r="H232" s="8">
        <f t="shared" si="11"/>
        <v>0.3585994501717068</v>
      </c>
      <c r="I232" s="28">
        <f>(F232-'Return Stats'!$C$65)/H232</f>
        <v>0.7287285902119911</v>
      </c>
      <c r="J232" s="28">
        <f t="shared" si="12"/>
        <v>0.3585994501717068</v>
      </c>
    </row>
    <row r="233" spans="3:10" x14ac:dyDescent="0.2">
      <c r="C233" s="25">
        <v>0.8</v>
      </c>
      <c r="D233" s="25">
        <v>0.15</v>
      </c>
      <c r="E233" s="26">
        <f t="shared" si="10"/>
        <v>4.9999999999999961E-2</v>
      </c>
      <c r="F233" s="8">
        <f>C233*'Return Stats'!$C$43+D233*'Return Stats'!$D$43+E233*'Return Stats'!$E$43</f>
        <v>0.31058630885620725</v>
      </c>
      <c r="G233" s="27">
        <f>C233^2*'Return Stats'!$C$60+D233^2*'Return Stats'!$D$61+E233^2*'Return Stats'!$E$62+2*C233*D233*'Return Stats'!$D$60+2*C233*E233*'Return Stats'!$E$60+2*D233*E233*'Return Stats'!$E$61</f>
        <v>0.12968733774556501</v>
      </c>
      <c r="H233" s="8">
        <f t="shared" si="11"/>
        <v>0.36012128199478161</v>
      </c>
      <c r="I233" s="28">
        <f>(F233-'Return Stats'!$C$65)/H233</f>
        <v>0.75665150181309127</v>
      </c>
      <c r="J233" s="28">
        <f t="shared" si="12"/>
        <v>0.36012128199478161</v>
      </c>
    </row>
    <row r="234" spans="3:10" x14ac:dyDescent="0.2">
      <c r="C234" s="25">
        <v>0.8</v>
      </c>
      <c r="D234" s="25">
        <v>0.2</v>
      </c>
      <c r="E234" s="26">
        <f t="shared" si="10"/>
        <v>0</v>
      </c>
      <c r="F234" s="8">
        <f>C234*'Return Stats'!$C$43+D234*'Return Stats'!$D$43+E234*'Return Stats'!$E$43</f>
        <v>0.32175094593799142</v>
      </c>
      <c r="G234" s="27">
        <f>C234^2*'Return Stats'!$C$60+D234^2*'Return Stats'!$D$61+E234^2*'Return Stats'!$E$62+2*C234*D234*'Return Stats'!$D$60+2*C234*E234*'Return Stats'!$E$60+2*D234*E234*'Return Stats'!$E$61</f>
        <v>0.13084502622280536</v>
      </c>
      <c r="H234" s="8">
        <f t="shared" si="11"/>
        <v>0.36172506993959563</v>
      </c>
      <c r="I234" s="28">
        <f>(F234-'Return Stats'!$C$65)/H234</f>
        <v>0.78416170044657996</v>
      </c>
      <c r="J234" s="28">
        <f t="shared" si="12"/>
        <v>0.36172506993959563</v>
      </c>
    </row>
    <row r="235" spans="3:10" x14ac:dyDescent="0.2">
      <c r="C235" s="25">
        <v>0.85</v>
      </c>
      <c r="D235" s="25">
        <v>0</v>
      </c>
      <c r="E235" s="26">
        <f t="shared" si="10"/>
        <v>0.15000000000000002</v>
      </c>
      <c r="F235" s="8">
        <f>C235*'Return Stats'!$C$43+D235*'Return Stats'!$D$43+E235*'Return Stats'!$E$43</f>
        <v>0.29309525337681264</v>
      </c>
      <c r="G235" s="27">
        <f>C235^2*'Return Stats'!$C$60+D235^2*'Return Stats'!$D$61+E235^2*'Return Stats'!$E$62+2*C235*D235*'Return Stats'!$D$60+2*C235*E235*'Return Stats'!$E$60+2*D235*E235*'Return Stats'!$E$61</f>
        <v>0.14282968160167556</v>
      </c>
      <c r="H235" s="8">
        <f t="shared" si="11"/>
        <v>0.37792814343691783</v>
      </c>
      <c r="I235" s="28">
        <f>(F235-'Return Stats'!$C$65)/H235</f>
        <v>0.67471887925005869</v>
      </c>
      <c r="J235" s="28">
        <f t="shared" si="12"/>
        <v>0.37792814343691783</v>
      </c>
    </row>
    <row r="236" spans="3:10" x14ac:dyDescent="0.2">
      <c r="C236" s="25">
        <v>0.85</v>
      </c>
      <c r="D236" s="25">
        <v>0.05</v>
      </c>
      <c r="E236" s="26">
        <f t="shared" si="10"/>
        <v>0.10000000000000002</v>
      </c>
      <c r="F236" s="8">
        <f>C236*'Return Stats'!$C$43+D236*'Return Stats'!$D$43+E236*'Return Stats'!$E$43</f>
        <v>0.30425989045859686</v>
      </c>
      <c r="G236" s="27">
        <f>C236^2*'Return Stats'!$C$60+D236^2*'Return Stats'!$D$61+E236^2*'Return Stats'!$E$62+2*C236*D236*'Return Stats'!$D$60+2*C236*E236*'Return Stats'!$E$60+2*D236*E236*'Return Stats'!$E$61</f>
        <v>0.14385207543502335</v>
      </c>
      <c r="H236" s="8">
        <f t="shared" si="11"/>
        <v>0.37927836141154075</v>
      </c>
      <c r="I236" s="28">
        <f>(F236-'Return Stats'!$C$65)/H236</f>
        <v>0.7017534284530319</v>
      </c>
      <c r="J236" s="28">
        <f t="shared" si="12"/>
        <v>0.37927836141154075</v>
      </c>
    </row>
    <row r="237" spans="3:10" x14ac:dyDescent="0.2">
      <c r="C237" s="25">
        <v>0.85</v>
      </c>
      <c r="D237" s="25">
        <v>0.1</v>
      </c>
      <c r="E237" s="26">
        <f t="shared" si="10"/>
        <v>5.0000000000000017E-2</v>
      </c>
      <c r="F237" s="8">
        <f>C237*'Return Stats'!$C$43+D237*'Return Stats'!$D$43+E237*'Return Stats'!$E$43</f>
        <v>0.31542452754038103</v>
      </c>
      <c r="G237" s="27">
        <f>C237^2*'Return Stats'!$C$60+D237^2*'Return Stats'!$D$61+E237^2*'Return Stats'!$E$62+2*C237*D237*'Return Stats'!$D$60+2*C237*E237*'Return Stats'!$E$60+2*D237*E237*'Return Stats'!$E$61</f>
        <v>0.14493838566349695</v>
      </c>
      <c r="H237" s="8">
        <f t="shared" si="11"/>
        <v>0.38070774310945787</v>
      </c>
      <c r="I237" s="28">
        <f>(F237-'Return Stats'!$C$65)/H237</f>
        <v>0.72844467326908824</v>
      </c>
      <c r="J237" s="28">
        <f t="shared" si="12"/>
        <v>0.38070774310945787</v>
      </c>
    </row>
    <row r="238" spans="3:10" x14ac:dyDescent="0.2">
      <c r="C238" s="25">
        <v>0.85</v>
      </c>
      <c r="D238" s="25">
        <v>0.15</v>
      </c>
      <c r="E238" s="26">
        <f t="shared" si="10"/>
        <v>0</v>
      </c>
      <c r="F238" s="8">
        <f>C238*'Return Stats'!$C$43+D238*'Return Stats'!$D$43+E238*'Return Stats'!$E$43</f>
        <v>0.3265891646221652</v>
      </c>
      <c r="G238" s="27">
        <f>C238^2*'Return Stats'!$C$60+D238^2*'Return Stats'!$D$61+E238^2*'Return Stats'!$E$62+2*C238*D238*'Return Stats'!$D$60+2*C238*E238*'Return Stats'!$E$60+2*D238*E238*'Return Stats'!$E$61</f>
        <v>0.14608861228709641</v>
      </c>
      <c r="H238" s="8">
        <f t="shared" si="11"/>
        <v>0.38221540037928403</v>
      </c>
      <c r="I238" s="28">
        <f>(F238-'Return Stats'!$C$65)/H238</f>
        <v>0.75478163448120761</v>
      </c>
      <c r="J238" s="28">
        <f t="shared" si="12"/>
        <v>0.38221540037928403</v>
      </c>
    </row>
    <row r="239" spans="3:10" x14ac:dyDescent="0.2">
      <c r="C239" s="25">
        <v>0.9</v>
      </c>
      <c r="D239" s="25">
        <v>0</v>
      </c>
      <c r="E239" s="26">
        <f t="shared" si="10"/>
        <v>9.9999999999999978E-2</v>
      </c>
      <c r="F239" s="8">
        <f>C239*'Return Stats'!$C$43+D239*'Return Stats'!$D$43+E239*'Return Stats'!$E$43</f>
        <v>0.30909810914277069</v>
      </c>
      <c r="G239" s="27">
        <f>C239^2*'Return Stats'!$C$60+D239^2*'Return Stats'!$D$61+E239^2*'Return Stats'!$E$62+2*C239*D239*'Return Stats'!$D$60+2*C239*E239*'Return Stats'!$E$60+2*D239*E239*'Return Stats'!$E$61</f>
        <v>0.16006203512697814</v>
      </c>
      <c r="H239" s="8">
        <f t="shared" si="11"/>
        <v>0.40007753639385724</v>
      </c>
      <c r="I239" s="28">
        <f>(F239-'Return Stats'!$C$65)/H239</f>
        <v>0.67736397195764064</v>
      </c>
      <c r="J239" s="28">
        <f t="shared" si="12"/>
        <v>0.40007753639385724</v>
      </c>
    </row>
    <row r="240" spans="3:10" x14ac:dyDescent="0.2">
      <c r="C240" s="25">
        <v>0.9</v>
      </c>
      <c r="D240" s="25">
        <v>0.05</v>
      </c>
      <c r="E240" s="26">
        <f t="shared" si="10"/>
        <v>4.9999999999999975E-2</v>
      </c>
      <c r="F240" s="8">
        <f>C240*'Return Stats'!$C$43+D240*'Return Stats'!$D$43+E240*'Return Stats'!$E$43</f>
        <v>0.32026274622455486</v>
      </c>
      <c r="G240" s="27">
        <f>C240^2*'Return Stats'!$C$60+D240^2*'Return Stats'!$D$61+E240^2*'Return Stats'!$E$62+2*C240*D240*'Return Stats'!$D$60+2*C240*E240*'Return Stats'!$E$60+2*D240*E240*'Return Stats'!$E$61</f>
        <v>0.16114088350181083</v>
      </c>
      <c r="H240" s="8">
        <f t="shared" si="11"/>
        <v>0.40142357118361999</v>
      </c>
      <c r="I240" s="28">
        <f>(F240-'Return Stats'!$C$65)/H240</f>
        <v>0.70290527632092481</v>
      </c>
      <c r="J240" s="28">
        <f t="shared" si="12"/>
        <v>0.40142357118361999</v>
      </c>
    </row>
    <row r="241" spans="3:10" x14ac:dyDescent="0.2">
      <c r="C241" s="25">
        <v>0.9</v>
      </c>
      <c r="D241" s="25">
        <v>0.1</v>
      </c>
      <c r="E241" s="26">
        <f t="shared" si="10"/>
        <v>0</v>
      </c>
      <c r="F241" s="8">
        <f>C241*'Return Stats'!$C$43+D241*'Return Stats'!$D$43+E241*'Return Stats'!$E$43</f>
        <v>0.33142738330633903</v>
      </c>
      <c r="G241" s="27">
        <f>C241^2*'Return Stats'!$C$60+D241^2*'Return Stats'!$D$61+E241^2*'Return Stats'!$E$62+2*C241*D241*'Return Stats'!$D$60+2*C241*E241*'Return Stats'!$E$60+2*D241*E241*'Return Stats'!$E$61</f>
        <v>0.1622836482717693</v>
      </c>
      <c r="H241" s="8">
        <f t="shared" si="11"/>
        <v>0.40284444674311859</v>
      </c>
      <c r="I241" s="28">
        <f>(F241-'Return Stats'!$C$65)/H241</f>
        <v>0.72814056561485829</v>
      </c>
      <c r="J241" s="28">
        <f t="shared" si="12"/>
        <v>0.40284444674311859</v>
      </c>
    </row>
    <row r="242" spans="3:10" x14ac:dyDescent="0.2">
      <c r="C242" s="25">
        <v>0.95</v>
      </c>
      <c r="D242" s="25">
        <v>0</v>
      </c>
      <c r="E242" s="26">
        <f t="shared" si="10"/>
        <v>5.0000000000000044E-2</v>
      </c>
      <c r="F242" s="8">
        <f>C242*'Return Stats'!$C$43+D242*'Return Stats'!$D$43+E242*'Return Stats'!$E$43</f>
        <v>0.32510096490872864</v>
      </c>
      <c r="G242" s="27">
        <f>C242^2*'Return Stats'!$C$60+D242^2*'Return Stats'!$D$61+E242^2*'Return Stats'!$E$62+2*C242*D242*'Return Stats'!$D$60+2*C242*E242*'Return Stats'!$E$60+2*D242*E242*'Return Stats'!$E$61</f>
        <v>0.17829483126050646</v>
      </c>
      <c r="H242" s="8">
        <f t="shared" si="11"/>
        <v>0.42224972618168322</v>
      </c>
      <c r="I242" s="28">
        <f>(F242-'Return Stats'!$C$65)/H242</f>
        <v>0.67969485144257846</v>
      </c>
      <c r="J242" s="28">
        <f t="shared" si="12"/>
        <v>0.42224972618168322</v>
      </c>
    </row>
    <row r="243" spans="3:10" x14ac:dyDescent="0.2">
      <c r="C243" s="25">
        <v>0.95</v>
      </c>
      <c r="D243" s="25">
        <v>0.05</v>
      </c>
      <c r="E243" s="26">
        <f t="shared" si="10"/>
        <v>0</v>
      </c>
      <c r="F243" s="8">
        <f>C243*'Return Stats'!$C$43+D243*'Return Stats'!$D$43+E243*'Return Stats'!$E$43</f>
        <v>0.33626560199051281</v>
      </c>
      <c r="G243" s="27">
        <f>C243^2*'Return Stats'!$C$60+D243^2*'Return Stats'!$D$61+E243^2*'Return Stats'!$E$62+2*C243*D243*'Return Stats'!$D$60+2*C243*E243*'Return Stats'!$E$60+2*D243*E243*'Return Stats'!$E$61</f>
        <v>0.17943013417682402</v>
      </c>
      <c r="H243" s="8">
        <f t="shared" si="11"/>
        <v>0.42359194300272524</v>
      </c>
      <c r="I243" s="28">
        <f>(F243-'Return Stats'!$C$65)/H243</f>
        <v>0.70389819002906417</v>
      </c>
      <c r="J243" s="28">
        <f t="shared" si="12"/>
        <v>0.42359194300272524</v>
      </c>
    </row>
    <row r="244" spans="3:10" x14ac:dyDescent="0.2">
      <c r="C244" s="25">
        <v>1</v>
      </c>
      <c r="D244" s="25">
        <v>0</v>
      </c>
      <c r="E244" s="26">
        <f t="shared" si="10"/>
        <v>0</v>
      </c>
      <c r="F244" s="8">
        <f>C244*'Return Stats'!$C$43+D244*'Return Stats'!$D$43+E244*'Return Stats'!$E$43</f>
        <v>0.34110382067468659</v>
      </c>
      <c r="G244" s="27">
        <f>C244^2*'Return Stats'!$C$60+D244^2*'Return Stats'!$D$61+E244^2*'Return Stats'!$E$62+2*C244*D244*'Return Stats'!$D$60+2*C244*E244*'Return Stats'!$E$60+2*D244*E244*'Return Stats'!$E$61</f>
        <v>0.19752807000226053</v>
      </c>
      <c r="H244" s="8">
        <f t="shared" si="11"/>
        <v>0.44444130096364864</v>
      </c>
      <c r="I244" s="28">
        <f>(F244-'Return Stats'!$C$65)/H244</f>
        <v>0.68176341851602484</v>
      </c>
      <c r="J244" s="28">
        <f t="shared" si="12"/>
        <v>0.44444130096364864</v>
      </c>
    </row>
  </sheetData>
  <mergeCells count="4">
    <mergeCell ref="B11:L11"/>
    <mergeCell ref="B2:L2"/>
    <mergeCell ref="B12:J12"/>
    <mergeCell ref="B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05496"/>
  </sheetPr>
  <dimension ref="B2:I12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22" customWidth="1"/>
    <col min="3" max="4" width="16" customWidth="1"/>
  </cols>
  <sheetData>
    <row r="2" spans="2:9" ht="19" x14ac:dyDescent="0.2">
      <c r="B2" s="36" t="s">
        <v>67</v>
      </c>
      <c r="C2" s="32"/>
      <c r="D2" s="32"/>
    </row>
    <row r="3" spans="2:9" x14ac:dyDescent="0.2">
      <c r="B3" s="37" t="s">
        <v>68</v>
      </c>
      <c r="C3" s="32"/>
      <c r="D3" s="32"/>
      <c r="E3" s="32"/>
      <c r="F3" s="32"/>
      <c r="G3" s="32"/>
      <c r="H3" s="32"/>
      <c r="I3" s="32"/>
    </row>
    <row r="5" spans="2:9" x14ac:dyDescent="0.2">
      <c r="B5" s="6" t="s">
        <v>69</v>
      </c>
    </row>
    <row r="6" spans="2:9" x14ac:dyDescent="0.2">
      <c r="B6" s="2" t="s">
        <v>70</v>
      </c>
    </row>
    <row r="8" spans="2:9" ht="20" customHeight="1" x14ac:dyDescent="0.2">
      <c r="B8" s="3" t="s">
        <v>71</v>
      </c>
      <c r="C8" s="3" t="s">
        <v>18</v>
      </c>
      <c r="D8" s="3" t="s">
        <v>72</v>
      </c>
    </row>
    <row r="9" spans="2:9" x14ac:dyDescent="0.2">
      <c r="B9" s="29" t="s">
        <v>73</v>
      </c>
      <c r="C9" s="5">
        <f>'Return Stats'!$C$44</f>
        <v>0.44444130096364848</v>
      </c>
      <c r="D9" s="5">
        <f>'Return Stats'!$C$43</f>
        <v>0.34110382067468659</v>
      </c>
    </row>
    <row r="10" spans="2:9" x14ac:dyDescent="0.2">
      <c r="B10" s="29" t="s">
        <v>43</v>
      </c>
      <c r="C10" s="5">
        <f>'Return Stats'!$D$44</f>
        <v>0.12784693334638661</v>
      </c>
      <c r="D10" s="5">
        <f>'Return Stats'!$D$43</f>
        <v>0.2443394469912108</v>
      </c>
    </row>
    <row r="11" spans="2:9" x14ac:dyDescent="0.2">
      <c r="B11" s="29" t="s">
        <v>44</v>
      </c>
      <c r="C11" s="5">
        <f>'Return Stats'!$E$44</f>
        <v>5.4289876865504148E-2</v>
      </c>
      <c r="D11" s="5">
        <f>'Return Stats'!$E$43</f>
        <v>2.1046705355527218E-2</v>
      </c>
    </row>
    <row r="12" spans="2:9" x14ac:dyDescent="0.2">
      <c r="B12" s="30" t="s">
        <v>74</v>
      </c>
      <c r="C12" s="15">
        <f>Optimizer!G6</f>
        <v>0.1279266418861115</v>
      </c>
      <c r="D12" s="15">
        <f>Optimizer!F6</f>
        <v>0.24917766567538457</v>
      </c>
    </row>
  </sheetData>
  <mergeCells count="2">
    <mergeCell ref="B2:D2"/>
    <mergeCell ref="B3:I3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05496"/>
  </sheetPr>
  <dimension ref="B2:D23"/>
  <sheetViews>
    <sheetView showGridLines="0" tabSelected="1" workbookViewId="0"/>
  </sheetViews>
  <sheetFormatPr baseColWidth="10" defaultColWidth="8.83203125" defaultRowHeight="15" x14ac:dyDescent="0.2"/>
  <cols>
    <col min="1" max="1" width="2" customWidth="1"/>
    <col min="2" max="2" width="38" customWidth="1"/>
    <col min="3" max="4" width="18" customWidth="1"/>
  </cols>
  <sheetData>
    <row r="2" spans="2:4" ht="19" x14ac:dyDescent="0.2">
      <c r="B2" s="36" t="s">
        <v>75</v>
      </c>
      <c r="C2" s="32"/>
      <c r="D2" s="32"/>
    </row>
    <row r="3" spans="2:4" x14ac:dyDescent="0.2">
      <c r="B3" s="37" t="s">
        <v>76</v>
      </c>
      <c r="C3" s="32"/>
      <c r="D3" s="32"/>
    </row>
    <row r="5" spans="2:4" ht="16" x14ac:dyDescent="0.2">
      <c r="B5" s="33" t="s">
        <v>77</v>
      </c>
      <c r="C5" s="32"/>
      <c r="D5" s="32"/>
    </row>
    <row r="6" spans="2:4" ht="18" customHeight="1" x14ac:dyDescent="0.2">
      <c r="B6" s="3" t="s">
        <v>71</v>
      </c>
      <c r="C6" s="3" t="s">
        <v>78</v>
      </c>
    </row>
    <row r="7" spans="2:4" x14ac:dyDescent="0.2">
      <c r="B7" s="29" t="s">
        <v>73</v>
      </c>
      <c r="C7" s="20">
        <f>Optimizer!C6</f>
        <v>0.05</v>
      </c>
    </row>
    <row r="8" spans="2:4" x14ac:dyDescent="0.2">
      <c r="B8" s="29" t="s">
        <v>43</v>
      </c>
      <c r="C8" s="20">
        <f>Optimizer!D6</f>
        <v>0.95</v>
      </c>
    </row>
    <row r="9" spans="2:4" x14ac:dyDescent="0.2">
      <c r="B9" s="29" t="s">
        <v>44</v>
      </c>
      <c r="C9" s="20">
        <f>Optimizer!E6</f>
        <v>0</v>
      </c>
    </row>
    <row r="11" spans="2:4" ht="16" x14ac:dyDescent="0.2">
      <c r="B11" s="33" t="s">
        <v>79</v>
      </c>
      <c r="C11" s="32"/>
      <c r="D11" s="32"/>
    </row>
    <row r="12" spans="2:4" ht="18" customHeight="1" x14ac:dyDescent="0.2">
      <c r="B12" s="3" t="s">
        <v>80</v>
      </c>
      <c r="C12" s="3" t="s">
        <v>81</v>
      </c>
    </row>
    <row r="13" spans="2:4" x14ac:dyDescent="0.2">
      <c r="B13" s="4" t="s">
        <v>82</v>
      </c>
      <c r="C13" s="5">
        <f>(1+Optimizer!F6)^(1/12)-1</f>
        <v>1.871339701163599E-2</v>
      </c>
    </row>
    <row r="14" spans="2:4" x14ac:dyDescent="0.2">
      <c r="B14" s="4" t="s">
        <v>83</v>
      </c>
      <c r="C14" s="5">
        <f>Optimizer!G6/SQRT(12)</f>
        <v>3.6929240564735663E-2</v>
      </c>
    </row>
    <row r="16" spans="2:4" ht="16" x14ac:dyDescent="0.2">
      <c r="B16" s="33" t="s">
        <v>84</v>
      </c>
      <c r="C16" s="32"/>
      <c r="D16" s="32"/>
    </row>
    <row r="17" spans="2:4" ht="20" customHeight="1" x14ac:dyDescent="0.2">
      <c r="B17" s="3" t="s">
        <v>80</v>
      </c>
      <c r="C17" s="3" t="s">
        <v>85</v>
      </c>
      <c r="D17" s="3" t="s">
        <v>86</v>
      </c>
    </row>
    <row r="18" spans="2:4" x14ac:dyDescent="0.2">
      <c r="B18" s="4" t="s">
        <v>87</v>
      </c>
      <c r="C18" s="5">
        <f>-($C$13+_xlfn.NORM.S.INV(0.05)*$C$14)</f>
        <v>4.2029798271832917E-2</v>
      </c>
      <c r="D18" s="23">
        <f>C18*100000</f>
        <v>4202.9798271832915</v>
      </c>
    </row>
    <row r="19" spans="2:4" x14ac:dyDescent="0.2">
      <c r="B19" s="4" t="s">
        <v>88</v>
      </c>
      <c r="C19" s="5">
        <f>-($C$13+_xlfn.NORM.S.INV(0.01)*$C$14)</f>
        <v>6.7196863266079598E-2</v>
      </c>
      <c r="D19" s="23">
        <f>C19*100000</f>
        <v>6719.6863266079599</v>
      </c>
    </row>
    <row r="20" spans="2:4" x14ac:dyDescent="0.2">
      <c r="B20" s="4" t="s">
        <v>89</v>
      </c>
      <c r="C20" s="5">
        <f>-($C$13-(_xlfn.NORM.S.DIST(_xlfn.NORM.S.INV(0.05),FALSE)/0.05)*$C$14)</f>
        <v>5.7461020472767035E-2</v>
      </c>
      <c r="D20" s="23">
        <f>C20*100000</f>
        <v>5746.1020472767032</v>
      </c>
    </row>
    <row r="21" spans="2:4" x14ac:dyDescent="0.2">
      <c r="B21" s="4" t="s">
        <v>90</v>
      </c>
      <c r="C21" s="5">
        <f>-($C$13-(_xlfn.NORM.S.DIST(_xlfn.NORM.S.INV(0.01),FALSE)/0.01)*$C$14)</f>
        <v>7.9710940088068755E-2</v>
      </c>
      <c r="D21" s="23">
        <f>C21*100000</f>
        <v>7971.0940088068755</v>
      </c>
    </row>
    <row r="23" spans="2:4" ht="45" customHeight="1" x14ac:dyDescent="0.2">
      <c r="B23" s="35" t="s">
        <v>91</v>
      </c>
      <c r="C23" s="32"/>
      <c r="D23" s="32"/>
    </row>
  </sheetData>
  <mergeCells count="6">
    <mergeCell ref="B11:D11"/>
    <mergeCell ref="B2:D2"/>
    <mergeCell ref="B23:D23"/>
    <mergeCell ref="B16:D16"/>
    <mergeCell ref="B5:D5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Price Data</vt:lpstr>
      <vt:lpstr>Return Stats</vt:lpstr>
      <vt:lpstr>Optimizer</vt:lpstr>
      <vt:lpstr>Efficient Frontier</vt:lpstr>
      <vt:lpstr>Risk (VaR)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Three-Asset Portfolio Optimization: NU / S&amp;P 500 / US Aggregate Bonds</dc:title>
  <dc:subject>Mean-Variance Portfolio Optimization</dc:subject>
  <dc:creator>Akul Veauli</dc:creator>
  <dc:description>Grid-search mean-variance optimization across NU Holdings, SPY, and AGG using monthly close prices, with parametric VaR/CVaR risk analysis.</dc:description>
  <cp:lastModifiedBy>Akul Veauli</cp:lastModifiedBy>
  <dcterms:created xsi:type="dcterms:W3CDTF">2026-08-23T03:28:15Z</dcterms:created>
  <dcterms:modified xsi:type="dcterms:W3CDTF">2026-08-27T17:15:27Z</dcterms:modified>
</cp:coreProperties>
</file>