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686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ImpliedVal" sheetId="4" state="visible" r:id="rId4"/>
    <sheet xmlns:r="http://schemas.openxmlformats.org/officeDocument/2006/relationships" name="FootballFiel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#,##0.0"/>
    <numFmt numFmtId="166" formatCode="#,##0.0;\(#,##0.0\)"/>
    <numFmt numFmtId="167" formatCode="0.0\x"/>
    <numFmt numFmtId="168" formatCode="0.0%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1F3864"/>
      <sz val="14"/>
    </font>
    <font>
      <name val="Arial"/>
      <family val="2"/>
      <i val="1"/>
      <color rgb="FF7F7F7F"/>
      <sz val="9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color rgb="FF9C5700"/>
      <sz val="10"/>
    </font>
    <font>
      <name val="Arial"/>
      <family val="2"/>
      <color rgb="FF008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8000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rgb="FF7F7F7F"/>
      </top>
      <bottom style="double">
        <color rgb="FF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4" borderId="0" pivotButton="0" quotePrefix="0" xfId="0"/>
    <xf numFmtId="0" fontId="10" fillId="0" borderId="0" pivotButton="0" quotePrefix="0" xfId="0"/>
    <xf numFmtId="164" fontId="8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64" fontId="6" fillId="3" borderId="0" pivotButton="0" quotePrefix="0" xfId="0"/>
    <xf numFmtId="165" fontId="6" fillId="3" borderId="0" pivotButton="0" quotePrefix="0" xfId="0"/>
    <xf numFmtId="166" fontId="6" fillId="3" borderId="0" pivotButton="0" quotePrefix="0" xfId="0"/>
    <xf numFmtId="166" fontId="7" fillId="4" borderId="0" pivotButton="0" quotePrefix="0" xfId="0"/>
    <xf numFmtId="164" fontId="7" fillId="4" borderId="0" pivotButton="0" quotePrefix="0" xfId="0"/>
    <xf numFmtId="0" fontId="8" fillId="5" borderId="0" pivotButton="0" quotePrefix="0" xfId="0"/>
    <xf numFmtId="164" fontId="8" fillId="5" borderId="0" pivotButton="0" quotePrefix="0" xfId="0"/>
    <xf numFmtId="166" fontId="9" fillId="5" borderId="0" pivotButton="0" quotePrefix="0" xfId="0"/>
    <xf numFmtId="167" fontId="9" fillId="5" borderId="0" pivotButton="0" quotePrefix="0" xfId="0"/>
    <xf numFmtId="167" fontId="8" fillId="5" borderId="0" pivotButton="0" quotePrefix="0" xfId="0"/>
    <xf numFmtId="168" fontId="8" fillId="5" borderId="0" pivotButton="0" quotePrefix="0" xfId="0"/>
    <xf numFmtId="166" fontId="9" fillId="0" borderId="0" pivotButton="0" quotePrefix="0" xfId="0"/>
    <xf numFmtId="167" fontId="9" fillId="0" borderId="0" pivotButton="0" quotePrefix="0" xfId="0"/>
    <xf numFmtId="167" fontId="8" fillId="0" borderId="0" pivotButton="0" quotePrefix="0" xfId="0"/>
    <xf numFmtId="168" fontId="8" fillId="0" borderId="0" pivotButton="0" quotePrefix="0" xfId="0"/>
    <xf numFmtId="168" fontId="9" fillId="0" borderId="0" pivotButton="0" quotePrefix="0" xfId="0"/>
    <xf numFmtId="167" fontId="9" fillId="5" borderId="1" pivotButton="0" quotePrefix="0" xfId="0"/>
    <xf numFmtId="168" fontId="9" fillId="5" borderId="1" pivotButton="0" quotePrefix="0" xfId="0"/>
    <xf numFmtId="166" fontId="8" fillId="0" borderId="0" pivotButton="0" quotePrefix="0" xfId="0"/>
    <xf numFmtId="165" fontId="8" fillId="0" borderId="0" pivotButton="0" quotePrefix="0" xfId="0"/>
    <xf numFmtId="164" fontId="9" fillId="5" borderId="1" pivotButton="0" quotePrefix="0" xfId="0"/>
    <xf numFmtId="164" fontId="9" fillId="0" borderId="0" pivotButton="0" quotePrefix="0" xfId="0"/>
    <xf numFmtId="164" fontId="11" fillId="5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CA"/>
              <a:t>MSFT — Football Field</a:t>
            </a:r>
          </a:p>
        </rich>
      </tx>
      <overlay val="1"/>
    </title>
    <plotArea>
      <layout/>
      <barChart>
        <barDir val="bar"/>
        <grouping val="stacked"/>
        <varyColors val="1"/>
        <ser>
          <idx val="0"/>
          <order val="0"/>
          <tx>
            <strRef>
              <f>FootballField!$I$7</f>
              <strCache>
                <ptCount val="1"/>
                <pt idx="0">
                  <v>Low (chart spacer)</v>
                </pt>
              </strCache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invertIfNegative val="1"/>
          <cat>
            <strRef>
              <f>FootballField!$B$8:$B$13</f>
              <strCache>
                <ptCount val="6"/>
                <pt idx="0">
                  <v>52-Week Trading Range</v>
                </pt>
                <pt idx="1">
                  <v>Comps - EV / NTM EBITDA (25th-75th)</v>
                </pt>
                <pt idx="2">
                  <v>Comps - P / NTM E (25th-75th)</v>
                </pt>
                <pt idx="3">
                  <v>Comps - EV / NTM Revenue (25th-75th)</v>
                </pt>
                <pt idx="4">
                  <v>DCF Range (Gordon low / Exit-multiple high)</v>
                </pt>
                <pt idx="5">
                  <v>Precedent Transactions (EV/EBITDA 25th-75th)</v>
                </pt>
              </strCache>
            </strRef>
          </cat>
          <val>
            <numRef>
              <f>FootballField!$I$8:$I$13</f>
              <numCache>
                <formatCode>\$#,##0.00</formatCode>
                <ptCount val="6"/>
                <pt idx="0">
                  <v>349.2</v>
                </pt>
                <pt idx="1">
                  <v>461.408679591712</v>
                </pt>
                <pt idx="2">
                  <v>376.369836377961</v>
                </pt>
                <pt idx="3">
                  <v>226.320671909542</v>
                </pt>
                <pt idx="4">
                  <v>246.74</v>
                </pt>
                <pt idx="5">
                  <v>475.56</v>
                </pt>
              </numCache>
            </numRef>
          </val>
        </ser>
        <ser>
          <idx val="1"/>
          <order val="1"/>
          <tx>
            <strRef>
              <f>FootballField!$J$7</f>
              <strCache>
                <ptCount val="1"/>
                <pt idx="0">
                  <v>Range (High-Low, chart)</v>
                </pt>
              </strCache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FootballField!$B$8:$B$13</f>
              <strCache>
                <ptCount val="6"/>
                <pt idx="0">
                  <v>52-Week Trading Range</v>
                </pt>
                <pt idx="1">
                  <v>Comps - EV / NTM EBITDA (25th-75th)</v>
                </pt>
                <pt idx="2">
                  <v>Comps - P / NTM E (25th-75th)</v>
                </pt>
                <pt idx="3">
                  <v>Comps - EV / NTM Revenue (25th-75th)</v>
                </pt>
                <pt idx="4">
                  <v>DCF Range (Gordon low / Exit-multiple high)</v>
                </pt>
                <pt idx="5">
                  <v>Precedent Transactions (EV/EBITDA 25th-75th)</v>
                </pt>
              </strCache>
            </strRef>
          </cat>
          <val>
            <numRef>
              <f>FootballField!$J$8:$J$13</f>
              <numCache>
                <formatCode>\$#,##0.00</formatCode>
                <ptCount val="6"/>
                <pt idx="0">
                  <v>204.52</v>
                </pt>
                <pt idx="1">
                  <v>322.225480739431</v>
                </pt>
                <pt idx="2">
                  <v>210.723464833493</v>
                </pt>
                <pt idx="3">
                  <v>261.853540127576</v>
                </pt>
                <pt idx="4">
                  <v>267.36</v>
                </pt>
                <pt idx="5">
                  <v>486.02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CA"/>
                  <a:t>$ per share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majorGridlines/>
        <majorTickMark val="none"/>
        <minorTickMark val="none"/>
        <tickLblPos val="nextTo"/>
        <crossAx val="10"/>
        <crosses val="autoZero"/>
        <crossBetween val="between"/>
      </valAx>
    </plotArea>
    <plotVisOnly val="0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CA"/>
              <a:t>NVDA — Football Field</a:t>
            </a:r>
          </a:p>
        </rich>
      </tx>
      <overlay val="1"/>
    </title>
    <plotArea>
      <layout/>
      <barChart>
        <barDir val="bar"/>
        <grouping val="stacked"/>
        <varyColors val="1"/>
        <ser>
          <idx val="0"/>
          <order val="0"/>
          <tx>
            <strRef>
              <f>FootballField!$I$17</f>
              <strCache>
                <ptCount val="1"/>
                <pt idx="0">
                  <v>Low (chart spacer)</v>
                </pt>
              </strCache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invertIfNegative val="1"/>
          <cat>
            <strRef>
              <f>FootballField!$B$18:$B$23</f>
              <strCache>
                <ptCount val="6"/>
                <pt idx="0">
                  <v>52-Week Trading Range</v>
                </pt>
                <pt idx="1">
                  <v>Comps - EV / NTM EBITDA (25th-75th)</v>
                </pt>
                <pt idx="2">
                  <v>Comps - P / NTM E (25th-75th)</v>
                </pt>
                <pt idx="3">
                  <v>Comps - EV / NTM Revenue (25th-75th)</v>
                </pt>
                <pt idx="4">
                  <v>DCF Range (Gordon low / Exit-multiple high)</v>
                </pt>
                <pt idx="5">
                  <v>Precedent Transactions (EV/EBITDA 25th-75th)</v>
                </pt>
              </strCache>
            </strRef>
          </cat>
          <val>
            <numRef>
              <f>FootballField!$I$18:$I$23</f>
              <numCache>
                <formatCode>\$#,##0.00</formatCode>
                <ptCount val="6"/>
                <pt idx="0">
                  <v>164.07</v>
                </pt>
                <pt idx="1">
                  <v>113.065610583497</v>
                </pt>
                <pt idx="2">
                  <v>160.830203276974</v>
                </pt>
                <pt idx="3">
                  <v>70.179207553526</v>
                </pt>
                <pt idx="4">
                  <v>96.93</v>
                </pt>
                <pt idx="5">
                  <v>101.32</v>
                </pt>
              </numCache>
            </numRef>
          </val>
        </ser>
        <ser>
          <idx val="1"/>
          <order val="1"/>
          <tx>
            <strRef>
              <f>FootballField!$J$17</f>
              <strCache>
                <ptCount val="1"/>
                <pt idx="0">
                  <v>Range (High-Low, chart)</v>
                </pt>
              </strCache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FootballField!$B$18:$B$23</f>
              <strCache>
                <ptCount val="6"/>
                <pt idx="0">
                  <v>52-Week Trading Range</v>
                </pt>
                <pt idx="1">
                  <v>Comps - EV / NTM EBITDA (25th-75th)</v>
                </pt>
                <pt idx="2">
                  <v>Comps - P / NTM E (25th-75th)</v>
                </pt>
                <pt idx="3">
                  <v>Comps - EV / NTM Revenue (25th-75th)</v>
                </pt>
                <pt idx="4">
                  <v>DCF Range (Gordon low / Exit-multiple high)</v>
                </pt>
                <pt idx="5">
                  <v>Precedent Transactions (EV/EBITDA 25th-75th)</v>
                </pt>
              </strCache>
            </strRef>
          </cat>
          <val>
            <numRef>
              <f>FootballField!$J$18:$J$23</f>
              <numCache>
                <formatCode>\$#,##0.00</formatCode>
                <ptCount val="6"/>
                <pt idx="0">
                  <v>72.47</v>
                </pt>
                <pt idx="1">
                  <v>79.30867941465</v>
                </pt>
                <pt idx="2">
                  <v>90.046264096374</v>
                </pt>
                <pt idx="3">
                  <v>82.155506639683</v>
                </pt>
                <pt idx="4">
                  <v>82.15</v>
                </pt>
                <pt idx="5">
                  <v>102.44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CA"/>
                  <a:t>$ per share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majorGridlines/>
        <majorTickMark val="none"/>
        <minorTickMark val="none"/>
        <tickLblPos val="nextTo"/>
        <crossAx val="10"/>
        <crosses val="autoZero"/>
        <crossBetween val="between"/>
      </valAx>
    </plotArea>
    <plotVisOnly val="0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CA"/>
              <a:t>AAPL — Football Field</a:t>
            </a:r>
          </a:p>
        </rich>
      </tx>
      <overlay val="1"/>
    </title>
    <plotArea>
      <layout/>
      <barChart>
        <barDir val="bar"/>
        <grouping val="stacked"/>
        <varyColors val="1"/>
        <ser>
          <idx val="0"/>
          <order val="0"/>
          <tx>
            <strRef>
              <f>FootballField!$I$27</f>
              <strCache>
                <ptCount val="1"/>
                <pt idx="0">
                  <v>Low (chart spacer)</v>
                </pt>
              </strCache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invertIfNegative val="1"/>
          <cat>
            <strRef>
              <f>FootballField!$B$28:$B$33</f>
              <strCache>
                <ptCount val="6"/>
                <pt idx="0">
                  <v>52-Week Trading Range</v>
                </pt>
                <pt idx="1">
                  <v>Comps - EV / NTM EBITDA (25th-75th)</v>
                </pt>
                <pt idx="2">
                  <v>Comps - P / NTM E (25th-75th)</v>
                </pt>
                <pt idx="3">
                  <v>Comps - EV / NTM Revenue (25th-75th)</v>
                </pt>
                <pt idx="4">
                  <v>DCF Range (Gordon low / Exit-multiple high)</v>
                </pt>
                <pt idx="5">
                  <v>Precedent Transactions (EV/EBITDA 25th-75th)</v>
                </pt>
              </strCache>
            </strRef>
          </cat>
          <val>
            <numRef>
              <f>FootballField!$I$28:$I$33</f>
              <numCache>
                <formatCode>\$#,##0.00</formatCode>
                <ptCount val="6"/>
                <pt idx="0">
                  <v>224.69</v>
                </pt>
                <pt idx="1">
                  <v>156.517555731007</v>
                </pt>
                <pt idx="2">
                  <v>164.516299612635</v>
                </pt>
                <pt idx="3">
                  <v>150.907663145381</v>
                </pt>
                <pt idx="4">
                  <v>124.77</v>
                </pt>
                <pt idx="5">
                  <v>182.08</v>
                </pt>
              </numCache>
            </numRef>
          </val>
        </ser>
        <ser>
          <idx val="1"/>
          <order val="1"/>
          <tx>
            <strRef>
              <f>FootballField!$J$27</f>
              <strCache>
                <ptCount val="1"/>
                <pt idx="0">
                  <v>Range (High-Low, chart)</v>
                </pt>
              </strCache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FootballField!$B$28:$B$33</f>
              <strCache>
                <ptCount val="6"/>
                <pt idx="0">
                  <v>52-Week Trading Range</v>
                </pt>
                <pt idx="1">
                  <v>Comps - EV / NTM EBITDA (25th-75th)</v>
                </pt>
                <pt idx="2">
                  <v>Comps - P / NTM E (25th-75th)</v>
                </pt>
                <pt idx="3">
                  <v>Comps - EV / NTM Revenue (25th-75th)</v>
                </pt>
                <pt idx="4">
                  <v>DCF Range (Gordon low / Exit-multiple high)</v>
                </pt>
                <pt idx="5">
                  <v>Precedent Transactions (EV/EBITDA 25th-75th)</v>
                </pt>
              </strCache>
            </strRef>
          </cat>
          <val>
            <numRef>
              <f>FootballField!$J$28:$J$33</f>
              <numCache>
                <formatCode>\$#,##0.00</formatCode>
                <ptCount val="6"/>
                <pt idx="0">
                  <v>119.88</v>
                </pt>
                <pt idx="1">
                  <v>108.04300912301</v>
                </pt>
                <pt idx="2">
                  <v>92.11005060763</v>
                </pt>
                <pt idx="3">
                  <v>174.366655721199</v>
                </pt>
                <pt idx="4">
                  <v>11.72</v>
                </pt>
                <pt idx="5">
                  <v>184.49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CA"/>
                  <a:t>$ per share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majorGridlines/>
        <majorTickMark val="none"/>
        <minorTickMark val="none"/>
        <tickLblPos val="nextTo"/>
        <crossAx val="10"/>
        <crosses val="autoZero"/>
        <crossBetween val="between"/>
      </valAx>
    </plotArea>
    <plotVisOnly val="0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CA"/>
              <a:t>GOOGL — Football Field</a:t>
            </a:r>
          </a:p>
        </rich>
      </tx>
      <overlay val="1"/>
    </title>
    <plotArea>
      <layout/>
      <barChart>
        <barDir val="bar"/>
        <grouping val="stacked"/>
        <varyColors val="1"/>
        <ser>
          <idx val="0"/>
          <order val="0"/>
          <tx>
            <strRef>
              <f>FootballField!$I$37</f>
              <strCache>
                <ptCount val="1"/>
                <pt idx="0">
                  <v>Low (chart spacer)</v>
                </pt>
              </strCache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invertIfNegative val="1"/>
          <cat>
            <strRef>
              <f>FootballField!$B$38:$B$43</f>
              <strCache>
                <ptCount val="6"/>
                <pt idx="0">
                  <v>52-Week Trading Range</v>
                </pt>
                <pt idx="1">
                  <v>Comps - EV / NTM EBITDA (25th-75th)</v>
                </pt>
                <pt idx="2">
                  <v>Comps - P / NTM E (25th-75th)</v>
                </pt>
                <pt idx="3">
                  <v>Comps - EV / NTM Revenue (25th-75th)</v>
                </pt>
                <pt idx="4">
                  <v>DCF Range (Gordon low / Exit-multiple high)</v>
                </pt>
                <pt idx="5">
                  <v>Precedent Transactions (EV/EBITDA 25th-75th)</v>
                </pt>
              </strCache>
            </strRef>
          </cat>
          <val>
            <numRef>
              <f>FootballField!$I$38:$I$43</f>
              <numCache>
                <formatCode>\$#,##0.00</formatCode>
                <ptCount val="6"/>
                <pt idx="0">
                  <v>205.28</v>
                </pt>
                <pt idx="1">
                  <v>204.143717869644</v>
                </pt>
                <pt idx="2">
                  <v>242.506337872398</v>
                </pt>
                <pt idx="3">
                  <v>210.412721799978</v>
                </pt>
                <pt idx="4">
                  <v>193.21</v>
                </pt>
                <pt idx="5">
                  <v>219.58</v>
                </pt>
              </numCache>
            </numRef>
          </val>
        </ser>
        <ser>
          <idx val="1"/>
          <order val="1"/>
          <tx>
            <strRef>
              <f>FootballField!$J$37</f>
              <strCache>
                <ptCount val="1"/>
                <pt idx="0">
                  <v>Range (High-Low, chart)</v>
                </pt>
              </strCache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FootballField!$B$38:$B$43</f>
              <strCache>
                <ptCount val="6"/>
                <pt idx="0">
                  <v>52-Week Trading Range</v>
                </pt>
                <pt idx="1">
                  <v>Comps - EV / NTM EBITDA (25th-75th)</v>
                </pt>
                <pt idx="2">
                  <v>Comps - P / NTM E (25th-75th)</v>
                </pt>
                <pt idx="3">
                  <v>Comps - EV / NTM Revenue (25th-75th)</v>
                </pt>
                <pt idx="4">
                  <v>DCF Range (Gordon low / Exit-multiple high)</v>
                </pt>
                <pt idx="5">
                  <v>Precedent Transactions (EV/EBITDA 25th-75th)</v>
                </pt>
              </strCache>
            </strRef>
          </cat>
          <val>
            <numRef>
              <f>FootballField!$J$38:$J$43</f>
              <numCache>
                <formatCode>\$#,##0.00</formatCode>
                <ptCount val="6"/>
                <pt idx="0">
                  <v>203.33</v>
                </pt>
                <pt idx="1">
                  <v>135.144991393343</v>
                </pt>
                <pt idx="2">
                  <v>135.775428372096</v>
                </pt>
                <pt idx="3">
                  <v>233.814366265317</v>
                </pt>
                <pt idx="4">
                  <v>95.43</v>
                </pt>
                <pt idx="5">
                  <v>213.69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CA"/>
                  <a:t>$ per share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majorGridlines/>
        <majorTickMark val="none"/>
        <minorTickMark val="none"/>
        <tickLblPos val="nextTo"/>
        <crossAx val="10"/>
        <crosses val="autoZero"/>
        <crossBetween val="between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24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44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8" min="1" max="1"/>
    <col width="46" customWidth="1" style="38" min="2" max="2"/>
    <col width="20" customWidth="1" style="38" min="3" max="7"/>
  </cols>
  <sheetData>
    <row r="1"/>
    <row r="2" ht="18" customHeight="1" s="38">
      <c r="B2" s="1" t="inlineStr">
        <is>
          <t>Mega-Cap Tech - Trading Comparables &amp; Football Field</t>
        </is>
      </c>
    </row>
    <row r="3">
      <c r="B3" s="2" t="inlineStr">
        <is>
          <t>($ in millions, except per-share data, unless noted)</t>
        </is>
      </c>
    </row>
    <row r="4">
      <c r="B4" s="2" t="inlineStr">
        <is>
          <t>Subjects: Microsoft (MSFT), NVIDIA (NVDA), Apple (AAPL), Alphabet (GOOGL) - vs. a 10-name comp set</t>
        </is>
      </c>
    </row>
    <row r="5">
      <c r="B5" s="3" t="inlineStr">
        <is>
          <t>Prepared by: Akul Veauli</t>
        </is>
      </c>
    </row>
    <row r="6">
      <c r="B6" s="4" t="inlineStr">
        <is>
          <t>Date: August 23, 2026</t>
        </is>
      </c>
    </row>
    <row r="7"/>
    <row r="8" ht="130" customHeight="1" s="38">
      <c r="B8" s="37" t="inlineStr">
        <is>
          <t>Model description: Trading comparables analysis of 4 mega-cap tech subjects (MSFT, NVDA, AAPL, GOOGL - the DCF-suite companies) against a 10-name comp set that adds AMZN, META, AVGO, ORCL, CRM, and AMD. The Inputs tab holds all hardcoded market/financial data (as of 8/21/26 close, latest 10-Q/10-K balance-sheet items); the Comps tab spreads EV and equity multiples and computes two summary-statistics blocks (all 10 names, and a peer-only 6-name block that excludes each subject from its own valuation range). The ImpliedVal tab applies the peer-only 25th/median/75th percentile multiples to each subject's NTM metrics to back into an implied share-price range under three methods (EV/EBITDA, EV/Revenue, P/E). The FootballField tab assembles, for each subject, six per-share ranges - 52-week trading range, the three comps-implied ranges, and (as sourced blue inputs transcribed from the completed DCF and Precedent Transactions workbooks, per the master-spec ban on cross-workbook links) the DCF range and the precedent-transactions range - with a data table (the deliverable) plus a presentation-only horizontal bar chart per subject.</t>
        </is>
      </c>
    </row>
    <row r="9"/>
    <row r="10"/>
    <row r="11"/>
    <row r="12"/>
    <row r="13">
      <c r="B13" s="5" t="inlineStr">
        <is>
          <t>Color-code legend</t>
        </is>
      </c>
      <c r="C13" s="5" t="n"/>
      <c r="D13" s="5" t="n"/>
    </row>
    <row r="14">
      <c r="B14" s="6" t="inlineStr">
        <is>
          <t>123.4  (hardcoded input)</t>
        </is>
      </c>
      <c r="C14" t="inlineStr">
        <is>
          <t>Blue font / yellow fill = hardcoded assumption</t>
        </is>
      </c>
    </row>
    <row r="15">
      <c r="B15" s="7" t="inlineStr">
        <is>
          <t>e.g.  D6*E6   (same-sheet formula)</t>
        </is>
      </c>
      <c r="C15" t="inlineStr">
        <is>
          <t>Black font = formula referencing same tab</t>
        </is>
      </c>
    </row>
    <row r="16">
      <c r="B16" s="8" t="inlineStr">
        <is>
          <t>e.g.  'Inputs'!E6   (cross-tab link)</t>
        </is>
      </c>
      <c r="C16" t="inlineStr">
        <is>
          <t>Green font = formula linking from another tab</t>
        </is>
      </c>
    </row>
    <row r="17">
      <c r="B17" s="9" t="inlineStr">
        <is>
          <t>52,100  (estimated/derived input)</t>
        </is>
      </c>
      <c r="C17" t="inlineStr">
        <is>
          <t>Orange font/fill = data-pack gap; value estimated, derived, or judgment-based (see adjacent note)</t>
        </is>
      </c>
    </row>
    <row r="18"/>
    <row r="19"/>
    <row r="20">
      <c r="B20" s="5" t="inlineStr">
        <is>
          <t>Table of contents</t>
        </is>
      </c>
      <c r="C20" s="5" t="n"/>
    </row>
    <row r="21">
      <c r="B21" s="4" t="inlineStr">
        <is>
          <t>Cover</t>
        </is>
      </c>
    </row>
    <row r="22">
      <c r="B22" s="4" t="inlineStr">
        <is>
          <t>Inputs</t>
        </is>
      </c>
    </row>
    <row r="23">
      <c r="B23" s="4" t="inlineStr">
        <is>
          <t>Comps</t>
        </is>
      </c>
    </row>
    <row r="24">
      <c r="B24" s="4" t="inlineStr">
        <is>
          <t>ImpliedVal</t>
        </is>
      </c>
    </row>
    <row r="25">
      <c r="B25" s="4" t="inlineStr">
        <is>
          <t>FootballField</t>
        </is>
      </c>
    </row>
    <row r="26"/>
    <row r="27">
      <c r="B27" s="5" t="inlineStr">
        <is>
          <t>Key outputs - Football Field per-share ranges (low / high)</t>
        </is>
      </c>
      <c r="C27" s="5" t="n"/>
      <c r="D27" s="5" t="n"/>
      <c r="E27" s="5" t="n"/>
      <c r="F27" s="5" t="n"/>
    </row>
    <row r="28">
      <c r="B28" s="10" t="inlineStr">
        <is>
          <t>Subject</t>
        </is>
      </c>
      <c r="C28" s="10" t="inlineStr">
        <is>
          <t>Current Price</t>
        </is>
      </c>
      <c r="D28" s="10" t="inlineStr">
        <is>
          <t>Comps EV/EBITDA Low-High</t>
        </is>
      </c>
      <c r="E28" s="10" t="inlineStr">
        <is>
          <t>DCF Low-High</t>
        </is>
      </c>
      <c r="F28" s="10" t="inlineStr">
        <is>
          <t>Precedents Low-High</t>
        </is>
      </c>
    </row>
    <row r="29">
      <c r="B29" s="4" t="inlineStr">
        <is>
          <t>MSFT</t>
        </is>
      </c>
      <c r="C29" s="11">
        <f>ImpliedVal!C13</f>
        <v/>
      </c>
      <c r="D29" s="8">
        <f>"$"&amp;TEXT(ImpliedVal!C19,"0.00")&amp;" - $"&amp;TEXT(ImpliedVal!E19,"0.00")</f>
        <v/>
      </c>
      <c r="E29" s="8">
        <f>"$"&amp;TEXT(FootballField!C12,"0.00")&amp;" - $"&amp;TEXT(FootballField!D12,"0.00")</f>
        <v/>
      </c>
      <c r="F29" s="8">
        <f>"$"&amp;TEXT(FootballField!C13,"0.00")&amp;" - $"&amp;TEXT(FootballField!D13,"0.00")</f>
        <v/>
      </c>
    </row>
    <row r="30">
      <c r="B30" s="4" t="inlineStr">
        <is>
          <t>NVDA</t>
        </is>
      </c>
      <c r="C30" s="11">
        <f>ImpliedVal!C43</f>
        <v/>
      </c>
      <c r="D30" s="8">
        <f>"$"&amp;TEXT(ImpliedVal!C49,"0.00")&amp;" - $"&amp;TEXT(ImpliedVal!E49,"0.00")</f>
        <v/>
      </c>
      <c r="E30" s="8">
        <f>"$"&amp;TEXT(FootballField!C22,"0.00")&amp;" - $"&amp;TEXT(FootballField!D22,"0.00")</f>
        <v/>
      </c>
      <c r="F30" s="8">
        <f>"$"&amp;TEXT(FootballField!C23,"0.00")&amp;" - $"&amp;TEXT(FootballField!D23,"0.00")</f>
        <v/>
      </c>
    </row>
    <row r="31">
      <c r="B31" s="4" t="inlineStr">
        <is>
          <t>AAPL</t>
        </is>
      </c>
      <c r="C31" s="11">
        <f>ImpliedVal!C73</f>
        <v/>
      </c>
      <c r="D31" s="8">
        <f>"$"&amp;TEXT(ImpliedVal!C79,"0.00")&amp;" - $"&amp;TEXT(ImpliedVal!E79,"0.00")</f>
        <v/>
      </c>
      <c r="E31" s="8">
        <f>"$"&amp;TEXT(FootballField!C32,"0.00")&amp;" - $"&amp;TEXT(FootballField!D32,"0.00")</f>
        <v/>
      </c>
      <c r="F31" s="8">
        <f>"$"&amp;TEXT(FootballField!C33,"0.00")&amp;" - $"&amp;TEXT(FootballField!D33,"0.00")</f>
        <v/>
      </c>
    </row>
    <row r="32">
      <c r="B32" s="4" t="inlineStr">
        <is>
          <t>GOOGL</t>
        </is>
      </c>
      <c r="C32" s="11">
        <f>ImpliedVal!C103</f>
        <v/>
      </c>
      <c r="D32" s="8">
        <f>"$"&amp;TEXT(ImpliedVal!C109,"0.00")&amp;" - $"&amp;TEXT(ImpliedVal!E109,"0.00")</f>
        <v/>
      </c>
      <c r="E32" s="8">
        <f>"$"&amp;TEXT(FootballField!C42,"0.00")&amp;" - $"&amp;TEXT(FootballField!D42,"0.00")</f>
        <v/>
      </c>
      <c r="F32" s="8">
        <f>"$"&amp;TEXT(FootballField!C43,"0.00")&amp;" - $"&amp;TEXT(FootballField!D43,"0.00")</f>
        <v/>
      </c>
    </row>
    <row r="33"/>
    <row r="34" ht="60" customHeight="1" s="38">
      <c r="B34" s="39" t="inlineStr">
        <is>
          <t>Sources: E4-comps.md data pack (incl. GAP-FILL PASS E4b) for all Inputs-tab figures - SEC 10-Q/10-K filings, Yahoo Finance market data (as of 8/21/26), and analyst-consensus aggregators (Seeking Alpha, TipRanks, MacroTrends, GuruFocus) per the source-note column on the Inputs tab. DCF ranges: Akul Veauli - DCF Model (Microsoft/Nvidia/Apple/Alphabet).xlsx implied-price outputs. Precedent ranges: Akul Veauli - Precedent Transactions.xlsx ImpliedVal/Precedents tabs. See Inputs tab source column for line-by-line citations and flagged estimates/data-quality notes. QA PASS 8/23/26: META's LTM revenue/EBITDA/net income/EPS and share count were CORRECTED against Meta's SEC-filed Q3'25-Q2'26 earnings releases - the E4 pack's $115.0B LTM revenue was ~2x low; LTM revenue is now $228,247mm. AMD's $41.31B LTM revenue was independently re-verified against AMD's Q3'25-Q2'26 releases and is exact ($9,246+$10,270+$10,253+$11,536 = $41,305mm). AMD's LTM EBITDA ($3.75B, a wide-range estimate) is now the single weakest data point in the comp set - see the orange-flagged cells and REVIEWER FLAG note on the Inputs tab.</t>
        </is>
      </c>
    </row>
  </sheetData>
  <mergeCells count="2">
    <mergeCell ref="B8:G8"/>
    <mergeCell ref="B34:G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8" min="1" max="1"/>
    <col width="8" customWidth="1" style="38" min="2" max="2"/>
    <col width="26" customWidth="1" style="38" min="3" max="3"/>
    <col width="10" customWidth="1" style="38" min="4" max="4"/>
    <col width="11" customWidth="1" style="38" min="5" max="5"/>
    <col width="12" customWidth="1" style="38" min="6" max="7"/>
    <col width="11" customWidth="1" style="38" min="8" max="8"/>
    <col width="10" customWidth="1" style="38" min="9" max="9"/>
    <col width="12" customWidth="1" style="38" min="10" max="12"/>
    <col width="10" customWidth="1" style="38" min="13" max="13"/>
    <col width="12" customWidth="1" style="38" min="14" max="15"/>
    <col width="10" customWidth="1" style="38" min="16" max="18"/>
    <col width="60" customWidth="1" style="38" min="19" max="19"/>
  </cols>
  <sheetData>
    <row r="1"/>
    <row r="2" ht="18" customHeight="1" s="38">
      <c r="B2" s="1" t="inlineStr">
        <is>
          <t>Trading Comps - Mega-Cap Tech + Peers - Company Inputs</t>
        </is>
      </c>
    </row>
    <row r="3">
      <c r="B3" s="2" t="inlineStr">
        <is>
          <t>($ in millions except per-share data, share price, and diluted shares in millions; ALL cells this tab are hardcoded inputs)</t>
        </is>
      </c>
    </row>
    <row r="4" ht="26" customHeight="1" s="38">
      <c r="B4" s="40" t="inlineStr">
        <is>
          <t>As-of date (all pricing &amp; 52-week data): August 21, 2026 close. Balance-sheet items: latest 10-Q/10-K per company (see source column). Comp set: MSFT/NVDA/AAPL/GOOGL (DCF-suite subjects) + AMZN/META/AVGO/ORCL/CRM/AMD (peers).</t>
        </is>
      </c>
    </row>
    <row r="5" ht="30" customHeight="1" s="38">
      <c r="B5" s="13" t="inlineStr">
        <is>
          <t>Ticker</t>
        </is>
      </c>
      <c r="C5" s="13" t="inlineStr">
        <is>
          <t>Company</t>
        </is>
      </c>
      <c r="D5" s="13" t="inlineStr">
        <is>
          <t>FYE</t>
        </is>
      </c>
      <c r="E5" s="13" t="inlineStr">
        <is>
          <t>Price
(8/21/26)</t>
        </is>
      </c>
      <c r="F5" s="13" t="inlineStr">
        <is>
          <t>Diluted
Shares (mm)</t>
        </is>
      </c>
      <c r="G5" s="13" t="inlineStr">
        <is>
          <t>Cash &amp;
Invest.</t>
        </is>
      </c>
      <c r="H5" s="13" t="inlineStr">
        <is>
          <t>Total
Debt</t>
        </is>
      </c>
      <c r="I5" s="13" t="inlineStr">
        <is>
          <t>Minority
Interest</t>
        </is>
      </c>
      <c r="J5" s="13" t="inlineStr">
        <is>
          <t>LTM
Revenue</t>
        </is>
      </c>
      <c r="K5" s="13" t="inlineStr">
        <is>
          <t>LTM
EBITDA</t>
        </is>
      </c>
      <c r="L5" s="13" t="inlineStr">
        <is>
          <t>LTM Net
Income</t>
        </is>
      </c>
      <c r="M5" s="13" t="inlineStr">
        <is>
          <t>LTM
Diluted EPS</t>
        </is>
      </c>
      <c r="N5" s="13" t="inlineStr">
        <is>
          <t>NTM
Revenue</t>
        </is>
      </c>
      <c r="O5" s="13" t="inlineStr">
        <is>
          <t>NTM
EBITDA</t>
        </is>
      </c>
      <c r="P5" s="13" t="inlineStr">
        <is>
          <t>NTM
Diluted EPS</t>
        </is>
      </c>
      <c r="Q5" s="13" t="inlineStr">
        <is>
          <t>52-Wk
Low</t>
        </is>
      </c>
      <c r="R5" s="13" t="inlineStr">
        <is>
          <t>52-Wk
High</t>
        </is>
      </c>
      <c r="S5" s="13" t="inlineStr">
        <is>
          <t>Source / notes (ESTIMATE flags noted in orange)</t>
        </is>
      </c>
    </row>
    <row r="6" ht="15" customHeight="1" s="38">
      <c r="B6" s="3" t="inlineStr">
        <is>
          <t>MSFT</t>
        </is>
      </c>
      <c r="C6" s="4" t="inlineStr">
        <is>
          <t>Microsoft Corporation</t>
        </is>
      </c>
      <c r="D6" s="4" t="inlineStr">
        <is>
          <t>6/30</t>
        </is>
      </c>
      <c r="E6" s="14" t="n">
        <v>483.24</v>
      </c>
      <c r="F6" s="15" t="n">
        <v>7420</v>
      </c>
      <c r="G6" s="16" t="n">
        <v>76800</v>
      </c>
      <c r="H6" s="16" t="n">
        <v>40300</v>
      </c>
      <c r="I6" s="17" t="n">
        <v>500</v>
      </c>
      <c r="J6" s="16" t="n">
        <v>290000</v>
      </c>
      <c r="K6" s="16" t="n">
        <v>193800</v>
      </c>
      <c r="L6" s="16" t="n">
        <v>88000</v>
      </c>
      <c r="M6" s="14" t="n">
        <v>17.93</v>
      </c>
      <c r="N6" s="16" t="n">
        <v>361000</v>
      </c>
      <c r="O6" s="17" t="n">
        <v>241300</v>
      </c>
      <c r="P6" s="14" t="n">
        <v>19.4</v>
      </c>
      <c r="Q6" s="14" t="n">
        <v>349.2</v>
      </c>
      <c r="R6" s="14" t="n">
        <v>553.72</v>
      </c>
      <c r="S6" s="39" t="inlineStr">
        <is>
          <t>Price/52wk: Yahoo Finance 8/21/26. Shares/cash/debt: Q4 FY26 10-Q ($20.9B cash+$55.9B ST invest; $40.3B debt). LTM EBITDA $193.8B per Yahoo Finance TTM 6/30/26. NTM rev $361.0B FY27 consensus (13% growth). MI: immaterial, ESTIMATE. NTM EBITDA: ESTIMATE, margin held flat at LTM 66.8% applied to NTM revenue (no consensus EBITDA published).</t>
        </is>
      </c>
    </row>
    <row r="7" ht="15" customHeight="1" s="38">
      <c r="B7" s="3" t="inlineStr">
        <is>
          <t>NVDA</t>
        </is>
      </c>
      <c r="C7" s="4" t="inlineStr">
        <is>
          <t>NVIDIA Corporation</t>
        </is>
      </c>
      <c r="D7" s="4" t="inlineStr">
        <is>
          <t>1/31</t>
        </is>
      </c>
      <c r="E7" s="14" t="n">
        <v>214.72</v>
      </c>
      <c r="F7" s="15" t="n">
        <v>24200</v>
      </c>
      <c r="G7" s="17" t="n">
        <v>50300</v>
      </c>
      <c r="H7" s="17" t="n">
        <v>33500</v>
      </c>
      <c r="I7" s="16" t="n">
        <v>0</v>
      </c>
      <c r="J7" s="16" t="n">
        <v>254000</v>
      </c>
      <c r="K7" s="17" t="n">
        <v>133230</v>
      </c>
      <c r="L7" s="16" t="n">
        <v>60000</v>
      </c>
      <c r="M7" s="14" t="n">
        <v>2.5</v>
      </c>
      <c r="N7" s="16" t="n">
        <v>369400</v>
      </c>
      <c r="O7" s="17" t="n">
        <v>193700</v>
      </c>
      <c r="P7" s="14" t="n">
        <v>8.289999999999999</v>
      </c>
      <c r="Q7" s="14" t="n">
        <v>164.07</v>
      </c>
      <c r="R7" s="14" t="n">
        <v>236.54</v>
      </c>
      <c r="S7" s="39" t="inlineStr">
        <is>
          <t>Price/52wk: Yahoo Finance 8/21/26. Cash: Q2 FY26 10-Q total liquid $50.3B (cash+ST invest, incl. restricted); ESTIMATE. Debt: ESTIMATE $33.5B post-Q2 subsequent event ($25B IG bond raise June 2026 per E4b; 10-Q reported figure was $8.5B pre-raise). LTM EBITDA $133.23B: ESTIMATE, FY26 op income $130.39B + D&amp;A $2.84B (GuruFocus). NTM EBITDA: ESTIMATE, margin held flat applied to NTM consensus revenue $369.4B / EPS $8.29 (Seeking Alpha).</t>
        </is>
      </c>
    </row>
    <row r="8" ht="15" customHeight="1" s="38">
      <c r="B8" s="3" t="inlineStr">
        <is>
          <t>AAPL</t>
        </is>
      </c>
      <c r="C8" s="4" t="inlineStr">
        <is>
          <t>Apple Inc.</t>
        </is>
      </c>
      <c r="D8" s="4" t="inlineStr">
        <is>
          <t>9/30</t>
        </is>
      </c>
      <c r="E8" s="14" t="n">
        <v>309.35</v>
      </c>
      <c r="F8" s="15" t="n">
        <v>14600</v>
      </c>
      <c r="G8" s="17" t="n">
        <v>132420</v>
      </c>
      <c r="H8" s="16" t="n">
        <v>82300</v>
      </c>
      <c r="I8" s="16" t="n">
        <v>0</v>
      </c>
      <c r="J8" s="16" t="n">
        <v>430000</v>
      </c>
      <c r="K8" s="17" t="n">
        <v>144748</v>
      </c>
      <c r="L8" s="16" t="n">
        <v>110000</v>
      </c>
      <c r="M8" s="14" t="n">
        <v>7.5</v>
      </c>
      <c r="N8" s="17" t="n">
        <v>473000</v>
      </c>
      <c r="O8" s="17" t="n">
        <v>159200</v>
      </c>
      <c r="P8" s="18" t="n">
        <v>8.48</v>
      </c>
      <c r="Q8" s="14" t="n">
        <v>224.69</v>
      </c>
      <c r="R8" s="14" t="n">
        <v>344.57</v>
      </c>
      <c r="S8" s="39" t="inlineStr">
        <is>
          <t>Price/52wk: Yahoo Finance 8/21/26. Debt $82.3B per 10-Q filed 7/31/26. Cash: ESTIMATE, backed into from Precedent Transactions workbook net-debt figure (-$50.12B net cash) less reported debt (10-Q did not break out full cash/investments). LTM EBITDA $144.75B: ESTIMATE, FY25 op income $133.05B + D&amp;A $11.70B. NTM revenue/EBITDA/EPS: ESTIMATE, 10% growth applied to LTM (mature-cohort assumption per E4 usage notes; no CY2027 consensus available in source data).</t>
        </is>
      </c>
    </row>
    <row r="9" ht="15" customHeight="1" s="38">
      <c r="B9" s="3" t="inlineStr">
        <is>
          <t>GOOGL</t>
        </is>
      </c>
      <c r="C9" s="4" t="inlineStr">
        <is>
          <t>Alphabet Inc.</t>
        </is>
      </c>
      <c r="D9" s="4" t="inlineStr">
        <is>
          <t>12/31</t>
        </is>
      </c>
      <c r="E9" s="14" t="n">
        <v>344.82</v>
      </c>
      <c r="F9" s="15" t="n">
        <v>12200</v>
      </c>
      <c r="G9" s="16" t="n">
        <v>252600</v>
      </c>
      <c r="H9" s="16" t="n">
        <v>98165</v>
      </c>
      <c r="I9" s="16" t="n">
        <v>0</v>
      </c>
      <c r="J9" s="16" t="n">
        <v>446000</v>
      </c>
      <c r="K9" s="17" t="n">
        <v>140100</v>
      </c>
      <c r="L9" s="16" t="n">
        <v>76000</v>
      </c>
      <c r="M9" s="14" t="n">
        <v>6.23</v>
      </c>
      <c r="N9" s="17" t="n">
        <v>530000</v>
      </c>
      <c r="O9" s="17" t="n">
        <v>166400</v>
      </c>
      <c r="P9" s="18" t="n">
        <v>12.5</v>
      </c>
      <c r="Q9" s="14" t="n">
        <v>205.28</v>
      </c>
      <c r="R9" s="14" t="n">
        <v>408.61</v>
      </c>
      <c r="S9" s="39" t="inlineStr">
        <is>
          <t>Price/52wk: Yahoo Finance 8/21/26. Cash $252.6B / debt $98.165B per Q2 10-Q (6/30/26). LTM EBITDA $140.1B: ESTIMATE, Q2 op income $40.8B annualized (~34% op margin on $446B LTM rev) + est. 3-5% D&amp;A. NTM revenue $530B: ESTIMATE, 12% consensus-adjacent growth (Zacks/Seeking Alpha). NTM EBITDA: ESTIMATE, margin held flat. NTM EPS $12.50: ESTIMATE, 8% growth off $11.57 base.</t>
        </is>
      </c>
    </row>
    <row r="10" ht="15" customHeight="1" s="38">
      <c r="B10" s="3" t="inlineStr">
        <is>
          <t>AMZN</t>
        </is>
      </c>
      <c r="C10" s="4" t="inlineStr">
        <is>
          <t>Amazon.com, Inc.</t>
        </is>
      </c>
      <c r="D10" s="4" t="inlineStr">
        <is>
          <t>12/31</t>
        </is>
      </c>
      <c r="E10" s="14" t="n">
        <v>258.63</v>
      </c>
      <c r="F10" s="15" t="n">
        <v>10783</v>
      </c>
      <c r="G10" s="16" t="n">
        <v>123000</v>
      </c>
      <c r="H10" s="16" t="n">
        <v>133000</v>
      </c>
      <c r="I10" s="16" t="n">
        <v>0</v>
      </c>
      <c r="J10" s="16" t="n">
        <v>700000</v>
      </c>
      <c r="K10" s="16" t="n">
        <v>168910</v>
      </c>
      <c r="L10" s="16" t="n">
        <v>63000</v>
      </c>
      <c r="M10" s="14" t="n">
        <v>5.84</v>
      </c>
      <c r="N10" s="17" t="n">
        <v>895000</v>
      </c>
      <c r="O10" s="17" t="n">
        <v>216000</v>
      </c>
      <c r="P10" s="18" t="n">
        <v>7.75</v>
      </c>
      <c r="Q10" s="14" t="n">
        <v>196</v>
      </c>
      <c r="R10" s="14" t="n">
        <v>287.2</v>
      </c>
      <c r="S10" s="39" t="inlineStr">
        <is>
          <t>Shares 10.783B per Q2 10-Q (6/30/26). Cash $123.0B / debt $133.0B per 10-Q (source note flags $128.9B debt alt.-figure; table value used). LTM EBITDA $168.91B per MacroTrends TTM 6/30/26 (+25.4% YoY). NTM rev $895B: ESTIMATE 11% growth (Seeking Alpha consensus base $807.7B). NTM EBITDA: ESTIMATE, margin held flat. NTM EPS $7.75: ESTIMATE consensus (alt. $8.50 AWS-upside case not used).</t>
        </is>
      </c>
    </row>
    <row r="11" ht="15" customHeight="1" s="38">
      <c r="B11" s="3" t="inlineStr">
        <is>
          <t>META</t>
        </is>
      </c>
      <c r="C11" s="4" t="inlineStr">
        <is>
          <t>Meta Platforms, Inc.</t>
        </is>
      </c>
      <c r="D11" s="4" t="inlineStr">
        <is>
          <t>12/31</t>
        </is>
      </c>
      <c r="E11" s="14" t="n">
        <v>549.9</v>
      </c>
      <c r="F11" s="15" t="n">
        <v>2566</v>
      </c>
      <c r="G11" s="16" t="n">
        <v>90300</v>
      </c>
      <c r="H11" s="16" t="n">
        <v>83700</v>
      </c>
      <c r="I11" s="16" t="n">
        <v>0</v>
      </c>
      <c r="J11" s="16" t="n">
        <v>228247</v>
      </c>
      <c r="K11" s="16" t="n">
        <v>109656</v>
      </c>
      <c r="L11" s="16" t="n">
        <v>68098</v>
      </c>
      <c r="M11" s="14" t="n">
        <v>26.55</v>
      </c>
      <c r="N11" s="17" t="n">
        <v>267050</v>
      </c>
      <c r="O11" s="17" t="n">
        <v>126104</v>
      </c>
      <c r="P11" s="18" t="n">
        <v>30.27</v>
      </c>
      <c r="Q11" s="14" t="n">
        <v>520.26</v>
      </c>
      <c r="R11" s="14" t="n">
        <v>790.8</v>
      </c>
      <c r="S11" s="39" t="inlineStr">
        <is>
          <t>CORRECTED IN QA PASS (8/23/26) -- supersedes E4 data pack. LTM = four reported quarters Q3'25+Q4'25+Q1'26+Q2'26 per Meta's SEC-filed Ex-99.1 earnings releases: revenue $51,242+$59,893+$56,311+$60,801 = $228,247mm. The E4 pack's $115.0B LTM revenue was ~2x low (it approximated H1'26 of $117.1B, not an LTM) and its $47.52B Q2 revenue was also wrong (actual Q2'26 = $60,801mm). LTM EBITDA $109,656mm = LTM operating income $86,927mm + LTM D&amp;A $22,729mm (cash-flow-statement D&amp;A), i.e. the spec's EBIT+D&amp;A definition -- REPORTED, replacing the prior $110.4B GuruFocus/MacroTrends blend. LTM net income $68,098mm; LTM diluted EPS $26.55; diluted wtd-avg shares 2,566mm per Q2'26 release. CAUTION: LTM net income/EPS straddle two large one-off tax items (a $15.93B non-cash OBBBA charge in Q3'25 and an $8.03B benefit in Q1'26), net ~$7.9B understatement vs. a clean tax rate, so P/E multiples for META read high; operating income and EBITDA are unaffected. Cash $90.3B / debt $83.7B per Q2'26 10-Q (6/30/26) -- carried from E4 pack; note the pack cited a Match Group (MTCH) 10-Q URL for these, so the citation is wrong even though the values are consistent with Meta's Q2'26 balance sheet. NTM revenue $267.05B: ESTIMATE, the pack's 17% consensus growth rate re-applied to the CORRECTED LTM base (the pack's $135B NTM was 17% on the erroneous $115B base and would have implied negative growth off corrected LTM). NTM EBITDA $126.10B: ESTIMATE, pack's 15% growth applied to corrected LTM EBITDA. NTM EPS $30.27: ESTIMATE, pack's 14% growth applied to corrected LTM EPS $26.55.</t>
        </is>
      </c>
    </row>
    <row r="12" ht="15" customHeight="1" s="38">
      <c r="B12" s="3" t="inlineStr">
        <is>
          <t>AVGO</t>
        </is>
      </c>
      <c r="C12" s="4" t="inlineStr">
        <is>
          <t>Broadcom Inc.</t>
        </is>
      </c>
      <c r="D12" s="4" t="inlineStr">
        <is>
          <t>~11/2</t>
        </is>
      </c>
      <c r="E12" s="14" t="n">
        <v>368.45</v>
      </c>
      <c r="F12" s="15" t="n">
        <v>4760</v>
      </c>
      <c r="G12" s="16" t="n">
        <v>19630</v>
      </c>
      <c r="H12" s="16" t="n">
        <v>64910</v>
      </c>
      <c r="I12" s="16" t="n">
        <v>0</v>
      </c>
      <c r="J12" s="16" t="n">
        <v>75470</v>
      </c>
      <c r="K12" s="17" t="n">
        <v>52100</v>
      </c>
      <c r="L12" s="17" t="n">
        <v>23090</v>
      </c>
      <c r="M12" s="18" t="n">
        <v>4.85</v>
      </c>
      <c r="N12" s="16" t="n">
        <v>104680</v>
      </c>
      <c r="O12" s="17" t="n">
        <v>72230</v>
      </c>
      <c r="P12" s="14" t="n">
        <v>11.35</v>
      </c>
      <c r="Q12" s="14" t="n">
        <v>287.17</v>
      </c>
      <c r="R12" s="14" t="n">
        <v>495</v>
      </c>
      <c r="S12" s="39" t="inlineStr">
        <is>
          <t>Cash $19.63B / debt $64.91B per Q2 FY26 10-Q (E4b gap-fill). LTM revenue $75.47B per MacroTrends (LTM ended 4/30/26). LTM EBITDA $52.1B: ESTIMATE, 69% adj. EBITDA margin (Q2 reported) x LTM revenue. LTM EPS $4.85 / NI: ESTIMATE, derived from Q2 GAAP EPS $1.91 annualized w/ operating leverage. NTM revenue $104.68B / EPS $11.35: 2027 consensus per Seeking Alpha. NTM EBITDA $72.23B: ESTIMATE, 69% margin applied to NTM consensus revenue (E4b gap-fill methodology).</t>
        </is>
      </c>
    </row>
    <row r="13" ht="15" customHeight="1" s="38">
      <c r="B13" s="3" t="inlineStr">
        <is>
          <t>ORCL</t>
        </is>
      </c>
      <c r="C13" s="4" t="inlineStr">
        <is>
          <t>Oracle Corporation</t>
        </is>
      </c>
      <c r="D13" s="4" t="inlineStr">
        <is>
          <t>5/31</t>
        </is>
      </c>
      <c r="E13" s="14" t="n">
        <v>146.47</v>
      </c>
      <c r="F13" s="15" t="n">
        <v>2880</v>
      </c>
      <c r="G13" s="17" t="n">
        <v>5000</v>
      </c>
      <c r="H13" s="16" t="n">
        <v>130900</v>
      </c>
      <c r="I13" s="16" t="n">
        <v>0</v>
      </c>
      <c r="J13" s="16" t="n">
        <v>59000</v>
      </c>
      <c r="K13" s="17" t="n">
        <v>27441</v>
      </c>
      <c r="L13" s="16" t="n">
        <v>11500</v>
      </c>
      <c r="M13" s="14" t="n">
        <v>4</v>
      </c>
      <c r="N13" s="16" t="n">
        <v>89200</v>
      </c>
      <c r="O13" s="17" t="n">
        <v>26000</v>
      </c>
      <c r="P13" s="14" t="n">
        <v>6.34</v>
      </c>
      <c r="Q13" s="14" t="n">
        <v>114.5</v>
      </c>
      <c r="R13" s="14" t="n">
        <v>345.72</v>
      </c>
      <c r="S13" s="39" t="inlineStr">
        <is>
          <t>Debt $130.9B per 10-Q (2/28/26). Cash $5.0B: ESTIMATE/PARTIAL - source table flags this as operating cash/liquid reserves only, not full cash+investments (10-Q review needed for complete figure). LTM EBITDA $27.44B: ESTIMATE, GuruFocus LTM (Feb 2026), mixed period basis vs. other balance-sheet dates. NTM revenue $89.2B / EPS $6.34: FY2027 consensus (ending 5/31/27). NTM EBITDA $26.0B: ESTIMATE, midpoint of E4b gap-fill range ($25-27B @ 28-30% margin).</t>
        </is>
      </c>
    </row>
    <row r="14" ht="15" customHeight="1" s="38">
      <c r="B14" s="3" t="inlineStr">
        <is>
          <t>CRM</t>
        </is>
      </c>
      <c r="C14" s="4" t="inlineStr">
        <is>
          <t>Salesforce, Inc.</t>
        </is>
      </c>
      <c r="D14" s="4" t="inlineStr">
        <is>
          <t>1/31</t>
        </is>
      </c>
      <c r="E14" s="14" t="n">
        <v>209.17</v>
      </c>
      <c r="F14" s="15" t="n">
        <v>819</v>
      </c>
      <c r="G14" s="16" t="n">
        <v>11840</v>
      </c>
      <c r="H14" s="16" t="n">
        <v>39300</v>
      </c>
      <c r="I14" s="16" t="n">
        <v>0</v>
      </c>
      <c r="J14" s="16" t="n">
        <v>41525</v>
      </c>
      <c r="K14" s="16" t="n">
        <v>14160</v>
      </c>
      <c r="L14" s="16" t="n">
        <v>2100</v>
      </c>
      <c r="M14" s="14" t="n">
        <v>2.57</v>
      </c>
      <c r="N14" s="16" t="n">
        <v>46050</v>
      </c>
      <c r="O14" s="17" t="n">
        <v>11500</v>
      </c>
      <c r="P14" s="14" t="n">
        <v>14.09</v>
      </c>
      <c r="Q14" s="14" t="n">
        <v>146.32</v>
      </c>
      <c r="R14" s="14" t="n">
        <v>269.11</v>
      </c>
      <c r="S14" s="39" t="inlineStr">
        <is>
          <t>Cash $8.94B + ST invest $2.90B = $11.84B / debt $39.3B per Q1 FY27 10-Q (4/30/26, E4b gap-fill). LTM revenue $41.525B / EBITDA $14.16B per FY2026 10-K (ended 1/31/26). NTM revenue $46.05B (midpoint of $45.9-46.2B FY2027 guidance) / EPS $14.09 (midpoint $14.06-14.12). NTM EBITDA $11.5B: ESTIMATE, midpoint of E4b gap-fill range (~$11-12B @ 24-25% margin, TTM basis).</t>
        </is>
      </c>
    </row>
    <row r="15" ht="15" customHeight="1" s="38">
      <c r="B15" s="3" t="inlineStr">
        <is>
          <t>AMD</t>
        </is>
      </c>
      <c r="C15" s="4" t="inlineStr">
        <is>
          <t>Advanced Micro Devices, Inc.</t>
        </is>
      </c>
      <c r="D15" s="4" t="inlineStr">
        <is>
          <t>~12/27 (last Sat.)</t>
        </is>
      </c>
      <c r="E15" s="14" t="n">
        <v>473.25</v>
      </c>
      <c r="F15" s="15" t="n">
        <v>1630</v>
      </c>
      <c r="G15" s="17" t="n">
        <v>13110</v>
      </c>
      <c r="H15" s="16" t="n">
        <v>3230</v>
      </c>
      <c r="I15" s="16" t="n">
        <v>0</v>
      </c>
      <c r="J15" s="16" t="n">
        <v>41310</v>
      </c>
      <c r="K15" s="17" t="n">
        <v>3750</v>
      </c>
      <c r="L15" s="17" t="n">
        <v>6930</v>
      </c>
      <c r="M15" s="18" t="n">
        <v>4.25</v>
      </c>
      <c r="N15" s="17" t="n">
        <v>68000</v>
      </c>
      <c r="O15" s="17" t="n">
        <v>16500</v>
      </c>
      <c r="P15" s="18" t="n">
        <v>20</v>
      </c>
      <c r="Q15" s="14" t="n">
        <v>149.22</v>
      </c>
      <c r="R15" s="14" t="n">
        <v>584.73</v>
      </c>
      <c r="S15" s="39" t="inlineStr">
        <is>
          <t>REVIEWER FLAG (per build brief): AMD EBITDA is the weakest data point in the comp set. Cash $13.11B (~$10.0B cash + $3.1B ST invest) / debt $3.23B per Q2 2026 10-Q (E4b gap-fill), figure ESTIMATE/approx (source uses '~'). LTM revenue $41.31B confirmed (Q2 2026 10-Q, ended 6/27/26) - NOTE this supersedes an inconsistent $56B figure in the original (pre-gap-fill) E4 pass. RE-VERIFIED IN QA PASS (8/23/26) against AMD's four reported quarterly releases Q3'25-Q2'26: $9,246+$10,270+$10,253+$11,536 = $41,305mm, i.e. $41.31B is exact, not merely approximate. Shelf-life caveat: AMD guided Q3'26 to ~$13B, which on report (early Nov 2026) replaces the $9,246mm Q3'25 quarter and lifts LTM revenue to roughly $45B. LTM EBITDA $3.75B: ESTIMATE, midpoint of E4b's wide $3.5-4.0B range (non-GAAP op-margin based; GAAP op income only ~$2B/qtr with heavy SBC/amortization add-backs - high uncertainty). LTM EPS $4.25 / NI: ESTIMATE, E4b updated post-Q2 range ($4.00-4.50) midpoint (Q2 alone was $1.38 GAAP / $1.66 non-GAAP). NTM revenue $68B consensus ESTIMATE. NTM EBITDA $16.5B: ESTIMATE, midpoint of E4b range ($15-18B @ 22-27% margin). NTM EPS $20.00: ESTIMATE, E4b flags '$20+' per CEO commentary; treated as a point estimate, not a hard consensus figure.</t>
        </is>
      </c>
    </row>
    <row r="16"/>
    <row r="17">
      <c r="B17" s="3" t="inlineStr">
        <is>
          <t>Legend:</t>
        </is>
      </c>
    </row>
    <row r="18">
      <c r="B18" s="6" t="inlineStr">
        <is>
          <t>Blue / yellow fill</t>
        </is>
      </c>
      <c r="C18" s="2" t="inlineStr">
        <is>
          <t xml:space="preserve"> - hardcoded input, directly sourced</t>
        </is>
      </c>
    </row>
    <row r="19">
      <c r="B19" s="9" t="inlineStr">
        <is>
          <t>Orange / peach fill</t>
        </is>
      </c>
      <c r="C19" s="2" t="inlineStr">
        <is>
          <t xml:space="preserve"> - ESTIMATE / derived (data-pack gap-fill, growth/margin assumption, or judgment call - see source column)</t>
        </is>
      </c>
    </row>
    <row r="20" ht="30" customHeight="1" s="38">
      <c r="B20" s="40" t="inlineStr">
        <is>
          <t>Subjects (rows 6-9) = the 4 DCF-suite companies. Peers (rows 10-15) = the 6 additional comp-set names. This split is load-bearing: the Comps tab's peer-only statistics block (feeding ImpliedVal) is a straight range over rows 10-15.</t>
        </is>
      </c>
    </row>
  </sheetData>
  <mergeCells count="2">
    <mergeCell ref="B20:S20"/>
    <mergeCell ref="B4:S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8" min="1" max="1"/>
    <col width="8" customWidth="1" style="38" min="2" max="2"/>
    <col width="26" customWidth="1" style="38" min="3" max="3"/>
    <col width="11" customWidth="1" style="38" min="4" max="4"/>
    <col width="13" customWidth="1" style="38" min="5" max="6"/>
    <col width="10" customWidth="1" style="38" min="7" max="12"/>
    <col width="12" customWidth="1" style="38" min="13" max="14"/>
  </cols>
  <sheetData>
    <row r="1"/>
    <row r="2" ht="18" customHeight="1" s="38">
      <c r="B2" s="1" t="inlineStr">
        <is>
          <t>Trading Comps - Spread of Multiples</t>
        </is>
      </c>
    </row>
    <row r="3">
      <c r="B3" s="2" t="inlineStr">
        <is>
          <t>($ in millions except per-share; multiples 0.0x; all formulas link from Inputs)</t>
        </is>
      </c>
    </row>
    <row r="4"/>
    <row r="5" ht="30" customHeight="1" s="38">
      <c r="B5" s="13" t="inlineStr">
        <is>
          <t>Ticker</t>
        </is>
      </c>
      <c r="C5" s="13" t="inlineStr">
        <is>
          <t>Company</t>
        </is>
      </c>
      <c r="D5" s="13" t="inlineStr">
        <is>
          <t>Price</t>
        </is>
      </c>
      <c r="E5" s="13" t="inlineStr">
        <is>
          <t>Market
Cap</t>
        </is>
      </c>
      <c r="F5" s="13" t="inlineStr">
        <is>
          <t>EV</t>
        </is>
      </c>
      <c r="G5" s="13" t="inlineStr">
        <is>
          <t>EV /
LTM Rev</t>
        </is>
      </c>
      <c r="H5" s="13" t="inlineStr">
        <is>
          <t>EV /
NTM Rev</t>
        </is>
      </c>
      <c r="I5" s="13" t="inlineStr">
        <is>
          <t>EV /
LTM EBITDA</t>
        </is>
      </c>
      <c r="J5" s="13" t="inlineStr">
        <is>
          <t>EV /
NTM EBITDA</t>
        </is>
      </c>
      <c r="K5" s="13" t="inlineStr">
        <is>
          <t>P /
LTM E</t>
        </is>
      </c>
      <c r="L5" s="13" t="inlineStr">
        <is>
          <t>P /
NTM E</t>
        </is>
      </c>
      <c r="M5" s="13" t="inlineStr">
        <is>
          <t>LTM EBITDA
Margin %</t>
        </is>
      </c>
      <c r="N5" s="13" t="inlineStr">
        <is>
          <t>NTM Rev
Growth %</t>
        </is>
      </c>
    </row>
    <row r="6">
      <c r="B6" s="19">
        <f>Inputs!B6</f>
        <v/>
      </c>
      <c r="C6" s="19">
        <f>Inputs!C6</f>
        <v/>
      </c>
      <c r="D6" s="20">
        <f>Inputs!E6</f>
        <v/>
      </c>
      <c r="E6" s="21">
        <f>D6*Inputs!F6</f>
        <v/>
      </c>
      <c r="F6" s="21">
        <f>E6+Inputs!H6+Inputs!I6-Inputs!G6</f>
        <v/>
      </c>
      <c r="G6" s="22">
        <f>IFERROR(F6/Inputs!J6,"n.m.")</f>
        <v/>
      </c>
      <c r="H6" s="22">
        <f>IFERROR(F6/Inputs!N6,"n.m.")</f>
        <v/>
      </c>
      <c r="I6" s="22">
        <f>IFERROR(F6/Inputs!K6,"n.m.")</f>
        <v/>
      </c>
      <c r="J6" s="22">
        <f>IFERROR(F6/Inputs!O6,"n.m.")</f>
        <v/>
      </c>
      <c r="K6" s="23">
        <f>IFERROR(Inputs!E6/Inputs!M6,"n.m.")</f>
        <v/>
      </c>
      <c r="L6" s="23">
        <f>IFERROR(Inputs!E6/Inputs!P6,"n.m.")</f>
        <v/>
      </c>
      <c r="M6" s="24">
        <f>IFERROR(Inputs!K6/Inputs!J6,"n.m.")</f>
        <v/>
      </c>
      <c r="N6" s="24">
        <f>IFERROR(Inputs!N6/Inputs!J6-1,"n.m.")</f>
        <v/>
      </c>
    </row>
    <row r="7">
      <c r="B7" s="19">
        <f>Inputs!B7</f>
        <v/>
      </c>
      <c r="C7" s="19">
        <f>Inputs!C7</f>
        <v/>
      </c>
      <c r="D7" s="20">
        <f>Inputs!E7</f>
        <v/>
      </c>
      <c r="E7" s="21">
        <f>D7*Inputs!F7</f>
        <v/>
      </c>
      <c r="F7" s="21">
        <f>E7+Inputs!H7+Inputs!I7-Inputs!G7</f>
        <v/>
      </c>
      <c r="G7" s="22">
        <f>IFERROR(F7/Inputs!J7,"n.m.")</f>
        <v/>
      </c>
      <c r="H7" s="22">
        <f>IFERROR(F7/Inputs!N7,"n.m.")</f>
        <v/>
      </c>
      <c r="I7" s="22">
        <f>IFERROR(F7/Inputs!K7,"n.m.")</f>
        <v/>
      </c>
      <c r="J7" s="22">
        <f>IFERROR(F7/Inputs!O7,"n.m.")</f>
        <v/>
      </c>
      <c r="K7" s="23">
        <f>IFERROR(Inputs!E7/Inputs!M7,"n.m.")</f>
        <v/>
      </c>
      <c r="L7" s="23">
        <f>IFERROR(Inputs!E7/Inputs!P7,"n.m.")</f>
        <v/>
      </c>
      <c r="M7" s="24">
        <f>IFERROR(Inputs!K7/Inputs!J7,"n.m.")</f>
        <v/>
      </c>
      <c r="N7" s="24">
        <f>IFERROR(Inputs!N7/Inputs!J7-1,"n.m.")</f>
        <v/>
      </c>
    </row>
    <row r="8">
      <c r="B8" s="19">
        <f>Inputs!B8</f>
        <v/>
      </c>
      <c r="C8" s="19">
        <f>Inputs!C8</f>
        <v/>
      </c>
      <c r="D8" s="20">
        <f>Inputs!E8</f>
        <v/>
      </c>
      <c r="E8" s="21">
        <f>D8*Inputs!F8</f>
        <v/>
      </c>
      <c r="F8" s="21">
        <f>E8+Inputs!H8+Inputs!I8-Inputs!G8</f>
        <v/>
      </c>
      <c r="G8" s="22">
        <f>IFERROR(F8/Inputs!J8,"n.m.")</f>
        <v/>
      </c>
      <c r="H8" s="22">
        <f>IFERROR(F8/Inputs!N8,"n.m.")</f>
        <v/>
      </c>
      <c r="I8" s="22">
        <f>IFERROR(F8/Inputs!K8,"n.m.")</f>
        <v/>
      </c>
      <c r="J8" s="22">
        <f>IFERROR(F8/Inputs!O8,"n.m.")</f>
        <v/>
      </c>
      <c r="K8" s="23">
        <f>IFERROR(Inputs!E8/Inputs!M8,"n.m.")</f>
        <v/>
      </c>
      <c r="L8" s="23">
        <f>IFERROR(Inputs!E8/Inputs!P8,"n.m.")</f>
        <v/>
      </c>
      <c r="M8" s="24">
        <f>IFERROR(Inputs!K8/Inputs!J8,"n.m.")</f>
        <v/>
      </c>
      <c r="N8" s="24">
        <f>IFERROR(Inputs!N8/Inputs!J8-1,"n.m.")</f>
        <v/>
      </c>
    </row>
    <row r="9">
      <c r="B9" s="19">
        <f>Inputs!B9</f>
        <v/>
      </c>
      <c r="C9" s="19">
        <f>Inputs!C9</f>
        <v/>
      </c>
      <c r="D9" s="20">
        <f>Inputs!E9</f>
        <v/>
      </c>
      <c r="E9" s="21">
        <f>D9*Inputs!F9</f>
        <v/>
      </c>
      <c r="F9" s="21">
        <f>E9+Inputs!H9+Inputs!I9-Inputs!G9</f>
        <v/>
      </c>
      <c r="G9" s="22">
        <f>IFERROR(F9/Inputs!J9,"n.m.")</f>
        <v/>
      </c>
      <c r="H9" s="22">
        <f>IFERROR(F9/Inputs!N9,"n.m.")</f>
        <v/>
      </c>
      <c r="I9" s="22">
        <f>IFERROR(F9/Inputs!K9,"n.m.")</f>
        <v/>
      </c>
      <c r="J9" s="22">
        <f>IFERROR(F9/Inputs!O9,"n.m.")</f>
        <v/>
      </c>
      <c r="K9" s="23">
        <f>IFERROR(Inputs!E9/Inputs!M9,"n.m.")</f>
        <v/>
      </c>
      <c r="L9" s="23">
        <f>IFERROR(Inputs!E9/Inputs!P9,"n.m.")</f>
        <v/>
      </c>
      <c r="M9" s="24">
        <f>IFERROR(Inputs!K9/Inputs!J9,"n.m.")</f>
        <v/>
      </c>
      <c r="N9" s="24">
        <f>IFERROR(Inputs!N9/Inputs!J9-1,"n.m.")</f>
        <v/>
      </c>
    </row>
    <row r="10">
      <c r="B10" s="8">
        <f>Inputs!B10</f>
        <v/>
      </c>
      <c r="C10" s="8">
        <f>Inputs!C10</f>
        <v/>
      </c>
      <c r="D10" s="11">
        <f>Inputs!E10</f>
        <v/>
      </c>
      <c r="E10" s="25">
        <f>D10*Inputs!F10</f>
        <v/>
      </c>
      <c r="F10" s="25">
        <f>E10+Inputs!H10+Inputs!I10-Inputs!G10</f>
        <v/>
      </c>
      <c r="G10" s="26">
        <f>IFERROR(F10/Inputs!J10,"n.m.")</f>
        <v/>
      </c>
      <c r="H10" s="26">
        <f>IFERROR(F10/Inputs!N10,"n.m.")</f>
        <v/>
      </c>
      <c r="I10" s="26">
        <f>IFERROR(F10/Inputs!K10,"n.m.")</f>
        <v/>
      </c>
      <c r="J10" s="26">
        <f>IFERROR(F10/Inputs!O10,"n.m.")</f>
        <v/>
      </c>
      <c r="K10" s="27">
        <f>IFERROR(Inputs!E10/Inputs!M10,"n.m.")</f>
        <v/>
      </c>
      <c r="L10" s="27">
        <f>IFERROR(Inputs!E10/Inputs!P10,"n.m.")</f>
        <v/>
      </c>
      <c r="M10" s="28">
        <f>IFERROR(Inputs!K10/Inputs!J10,"n.m.")</f>
        <v/>
      </c>
      <c r="N10" s="28">
        <f>IFERROR(Inputs!N10/Inputs!J10-1,"n.m.")</f>
        <v/>
      </c>
    </row>
    <row r="11">
      <c r="B11" s="8">
        <f>Inputs!B11</f>
        <v/>
      </c>
      <c r="C11" s="8">
        <f>Inputs!C11</f>
        <v/>
      </c>
      <c r="D11" s="11">
        <f>Inputs!E11</f>
        <v/>
      </c>
      <c r="E11" s="25">
        <f>D11*Inputs!F11</f>
        <v/>
      </c>
      <c r="F11" s="25">
        <f>E11+Inputs!H11+Inputs!I11-Inputs!G11</f>
        <v/>
      </c>
      <c r="G11" s="26">
        <f>IFERROR(F11/Inputs!J11,"n.m.")</f>
        <v/>
      </c>
      <c r="H11" s="26">
        <f>IFERROR(F11/Inputs!N11,"n.m.")</f>
        <v/>
      </c>
      <c r="I11" s="26">
        <f>IFERROR(F11/Inputs!K11,"n.m.")</f>
        <v/>
      </c>
      <c r="J11" s="26">
        <f>IFERROR(F11/Inputs!O11,"n.m.")</f>
        <v/>
      </c>
      <c r="K11" s="27">
        <f>IFERROR(Inputs!E11/Inputs!M11,"n.m.")</f>
        <v/>
      </c>
      <c r="L11" s="27">
        <f>IFERROR(Inputs!E11/Inputs!P11,"n.m.")</f>
        <v/>
      </c>
      <c r="M11" s="28">
        <f>IFERROR(Inputs!K11/Inputs!J11,"n.m.")</f>
        <v/>
      </c>
      <c r="N11" s="28">
        <f>IFERROR(Inputs!N11/Inputs!J11-1,"n.m.")</f>
        <v/>
      </c>
    </row>
    <row r="12">
      <c r="B12" s="8">
        <f>Inputs!B12</f>
        <v/>
      </c>
      <c r="C12" s="8">
        <f>Inputs!C12</f>
        <v/>
      </c>
      <c r="D12" s="11">
        <f>Inputs!E12</f>
        <v/>
      </c>
      <c r="E12" s="25">
        <f>D12*Inputs!F12</f>
        <v/>
      </c>
      <c r="F12" s="25">
        <f>E12+Inputs!H12+Inputs!I12-Inputs!G12</f>
        <v/>
      </c>
      <c r="G12" s="26">
        <f>IFERROR(F12/Inputs!J12,"n.m.")</f>
        <v/>
      </c>
      <c r="H12" s="26">
        <f>IFERROR(F12/Inputs!N12,"n.m.")</f>
        <v/>
      </c>
      <c r="I12" s="26">
        <f>IFERROR(F12/Inputs!K12,"n.m.")</f>
        <v/>
      </c>
      <c r="J12" s="26">
        <f>IFERROR(F12/Inputs!O12,"n.m.")</f>
        <v/>
      </c>
      <c r="K12" s="27">
        <f>IFERROR(Inputs!E12/Inputs!M12,"n.m.")</f>
        <v/>
      </c>
      <c r="L12" s="27">
        <f>IFERROR(Inputs!E12/Inputs!P12,"n.m.")</f>
        <v/>
      </c>
      <c r="M12" s="28">
        <f>IFERROR(Inputs!K12/Inputs!J12,"n.m.")</f>
        <v/>
      </c>
      <c r="N12" s="28">
        <f>IFERROR(Inputs!N12/Inputs!J12-1,"n.m.")</f>
        <v/>
      </c>
    </row>
    <row r="13">
      <c r="B13" s="8">
        <f>Inputs!B13</f>
        <v/>
      </c>
      <c r="C13" s="8">
        <f>Inputs!C13</f>
        <v/>
      </c>
      <c r="D13" s="11">
        <f>Inputs!E13</f>
        <v/>
      </c>
      <c r="E13" s="25">
        <f>D13*Inputs!F13</f>
        <v/>
      </c>
      <c r="F13" s="25">
        <f>E13+Inputs!H13+Inputs!I13-Inputs!G13</f>
        <v/>
      </c>
      <c r="G13" s="26">
        <f>IFERROR(F13/Inputs!J13,"n.m.")</f>
        <v/>
      </c>
      <c r="H13" s="26">
        <f>IFERROR(F13/Inputs!N13,"n.m.")</f>
        <v/>
      </c>
      <c r="I13" s="26">
        <f>IFERROR(F13/Inputs!K13,"n.m.")</f>
        <v/>
      </c>
      <c r="J13" s="26">
        <f>IFERROR(F13/Inputs!O13,"n.m.")</f>
        <v/>
      </c>
      <c r="K13" s="27">
        <f>IFERROR(Inputs!E13/Inputs!M13,"n.m.")</f>
        <v/>
      </c>
      <c r="L13" s="27">
        <f>IFERROR(Inputs!E13/Inputs!P13,"n.m.")</f>
        <v/>
      </c>
      <c r="M13" s="28">
        <f>IFERROR(Inputs!K13/Inputs!J13,"n.m.")</f>
        <v/>
      </c>
      <c r="N13" s="28">
        <f>IFERROR(Inputs!N13/Inputs!J13-1,"n.m.")</f>
        <v/>
      </c>
    </row>
    <row r="14">
      <c r="B14" s="8">
        <f>Inputs!B14</f>
        <v/>
      </c>
      <c r="C14" s="8">
        <f>Inputs!C14</f>
        <v/>
      </c>
      <c r="D14" s="11">
        <f>Inputs!E14</f>
        <v/>
      </c>
      <c r="E14" s="25">
        <f>D14*Inputs!F14</f>
        <v/>
      </c>
      <c r="F14" s="25">
        <f>E14+Inputs!H14+Inputs!I14-Inputs!G14</f>
        <v/>
      </c>
      <c r="G14" s="26">
        <f>IFERROR(F14/Inputs!J14,"n.m.")</f>
        <v/>
      </c>
      <c r="H14" s="26">
        <f>IFERROR(F14/Inputs!N14,"n.m.")</f>
        <v/>
      </c>
      <c r="I14" s="26">
        <f>IFERROR(F14/Inputs!K14,"n.m.")</f>
        <v/>
      </c>
      <c r="J14" s="26">
        <f>IFERROR(F14/Inputs!O14,"n.m.")</f>
        <v/>
      </c>
      <c r="K14" s="27">
        <f>IFERROR(Inputs!E14/Inputs!M14,"n.m.")</f>
        <v/>
      </c>
      <c r="L14" s="27">
        <f>IFERROR(Inputs!E14/Inputs!P14,"n.m.")</f>
        <v/>
      </c>
      <c r="M14" s="28">
        <f>IFERROR(Inputs!K14/Inputs!J14,"n.m.")</f>
        <v/>
      </c>
      <c r="N14" s="28">
        <f>IFERROR(Inputs!N14/Inputs!J14-1,"n.m.")</f>
        <v/>
      </c>
    </row>
    <row r="15">
      <c r="B15" s="8">
        <f>Inputs!B15</f>
        <v/>
      </c>
      <c r="C15" s="8">
        <f>Inputs!C15</f>
        <v/>
      </c>
      <c r="D15" s="11">
        <f>Inputs!E15</f>
        <v/>
      </c>
      <c r="E15" s="25">
        <f>D15*Inputs!F15</f>
        <v/>
      </c>
      <c r="F15" s="25">
        <f>E15+Inputs!H15+Inputs!I15-Inputs!G15</f>
        <v/>
      </c>
      <c r="G15" s="26">
        <f>IFERROR(F15/Inputs!J15,"n.m.")</f>
        <v/>
      </c>
      <c r="H15" s="26">
        <f>IFERROR(F15/Inputs!N15,"n.m.")</f>
        <v/>
      </c>
      <c r="I15" s="26">
        <f>IFERROR(F15/Inputs!K15,"n.m.")</f>
        <v/>
      </c>
      <c r="J15" s="26">
        <f>IFERROR(F15/Inputs!O15,"n.m.")</f>
        <v/>
      </c>
      <c r="K15" s="27">
        <f>IFERROR(Inputs!E15/Inputs!M15,"n.m.")</f>
        <v/>
      </c>
      <c r="L15" s="27">
        <f>IFERROR(Inputs!E15/Inputs!P15,"n.m.")</f>
        <v/>
      </c>
      <c r="M15" s="28">
        <f>IFERROR(Inputs!K15/Inputs!J15,"n.m.")</f>
        <v/>
      </c>
      <c r="N15" s="28">
        <f>IFERROR(Inputs!N15/Inputs!J15-1,"n.m.")</f>
        <v/>
      </c>
    </row>
    <row r="16"/>
    <row r="17"/>
    <row r="18">
      <c r="B18" s="5" t="inlineStr">
        <is>
          <t>Summary Statistics - All 10 (4 Subjects + 6 Peers)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B19" s="10" t="inlineStr">
        <is>
          <t>Statistic</t>
        </is>
      </c>
      <c r="G19" s="10" t="inlineStr">
        <is>
          <t>EV /
LTM Rev</t>
        </is>
      </c>
      <c r="H19" s="10" t="inlineStr">
        <is>
          <t>EV /
NTM Rev</t>
        </is>
      </c>
      <c r="I19" s="10" t="inlineStr">
        <is>
          <t>EV /
LTM EBITDA</t>
        </is>
      </c>
      <c r="J19" s="10" t="inlineStr">
        <is>
          <t>EV /
NTM EBITDA</t>
        </is>
      </c>
      <c r="K19" s="10" t="inlineStr">
        <is>
          <t>P /
LTM E</t>
        </is>
      </c>
      <c r="L19" s="10" t="inlineStr">
        <is>
          <t>P /
NTM E</t>
        </is>
      </c>
      <c r="M19" s="10" t="inlineStr">
        <is>
          <t>LTM EBITDA
Margin %</t>
        </is>
      </c>
      <c r="N19" s="10" t="inlineStr">
        <is>
          <t>NTM Rev
Growth %</t>
        </is>
      </c>
    </row>
    <row r="20">
      <c r="B20" s="4" t="inlineStr">
        <is>
          <t>Max</t>
        </is>
      </c>
      <c r="G20" s="26">
        <f>MAX(G6:G15)</f>
        <v/>
      </c>
      <c r="H20" s="26">
        <f>MAX(H6:H15)</f>
        <v/>
      </c>
      <c r="I20" s="26">
        <f>MAX(I6:I15)</f>
        <v/>
      </c>
      <c r="J20" s="26">
        <f>MAX(J6:J15)</f>
        <v/>
      </c>
      <c r="K20" s="26">
        <f>MAX(K6:K15)</f>
        <v/>
      </c>
      <c r="L20" s="26">
        <f>MAX(L6:L15)</f>
        <v/>
      </c>
      <c r="M20" s="29">
        <f>MAX(M6:M15)</f>
        <v/>
      </c>
      <c r="N20" s="29">
        <f>MAX(N6:N15)</f>
        <v/>
      </c>
    </row>
    <row r="21">
      <c r="B21" s="4" t="inlineStr">
        <is>
          <t>75th pctile</t>
        </is>
      </c>
      <c r="G21" s="26">
        <f>_xlfn.QUARTILE.INC(G6:G15,3)</f>
        <v/>
      </c>
      <c r="H21" s="26">
        <f>_xlfn.QUARTILE.INC(H6:H15,3)</f>
        <v/>
      </c>
      <c r="I21" s="26">
        <f>_xlfn.QUARTILE.INC(I6:I15,3)</f>
        <v/>
      </c>
      <c r="J21" s="26">
        <f>_xlfn.QUARTILE.INC(J6:J15,3)</f>
        <v/>
      </c>
      <c r="K21" s="26">
        <f>_xlfn.QUARTILE.INC(K6:K15,3)</f>
        <v/>
      </c>
      <c r="L21" s="26">
        <f>_xlfn.QUARTILE.INC(L6:L15,3)</f>
        <v/>
      </c>
      <c r="M21" s="29">
        <f>_xlfn.QUARTILE.INC(M6:M15,3)</f>
        <v/>
      </c>
      <c r="N21" s="29">
        <f>_xlfn.QUARTILE.INC(N6:N15,3)</f>
        <v/>
      </c>
    </row>
    <row r="22">
      <c r="B22" s="4" t="inlineStr">
        <is>
          <t>Mean</t>
        </is>
      </c>
      <c r="G22" s="26">
        <f>AVERAGE(G6:G15)</f>
        <v/>
      </c>
      <c r="H22" s="26">
        <f>AVERAGE(H6:H15)</f>
        <v/>
      </c>
      <c r="I22" s="26">
        <f>AVERAGE(I6:I15)</f>
        <v/>
      </c>
      <c r="J22" s="26">
        <f>AVERAGE(J6:J15)</f>
        <v/>
      </c>
      <c r="K22" s="26">
        <f>AVERAGE(K6:K15)</f>
        <v/>
      </c>
      <c r="L22" s="26">
        <f>AVERAGE(L6:L15)</f>
        <v/>
      </c>
      <c r="M22" s="29">
        <f>AVERAGE(M6:M15)</f>
        <v/>
      </c>
      <c r="N22" s="29">
        <f>AVERAGE(N6:N15)</f>
        <v/>
      </c>
    </row>
    <row r="23">
      <c r="B23" s="10" t="inlineStr">
        <is>
          <t>Median</t>
        </is>
      </c>
      <c r="G23" s="30">
        <f>MEDIAN(G6:G15)</f>
        <v/>
      </c>
      <c r="H23" s="30">
        <f>MEDIAN(H6:H15)</f>
        <v/>
      </c>
      <c r="I23" s="30">
        <f>MEDIAN(I6:I15)</f>
        <v/>
      </c>
      <c r="J23" s="30">
        <f>MEDIAN(J6:J15)</f>
        <v/>
      </c>
      <c r="K23" s="30">
        <f>MEDIAN(K6:K15)</f>
        <v/>
      </c>
      <c r="L23" s="30">
        <f>MEDIAN(L6:L15)</f>
        <v/>
      </c>
      <c r="M23" s="31">
        <f>MEDIAN(M6:M15)</f>
        <v/>
      </c>
      <c r="N23" s="31">
        <f>MEDIAN(N6:N15)</f>
        <v/>
      </c>
    </row>
    <row r="24">
      <c r="B24" s="4" t="inlineStr">
        <is>
          <t>25th pctile</t>
        </is>
      </c>
      <c r="G24" s="26">
        <f>_xlfn.QUARTILE.INC(G6:G15,1)</f>
        <v/>
      </c>
      <c r="H24" s="26">
        <f>_xlfn.QUARTILE.INC(H6:H15,1)</f>
        <v/>
      </c>
      <c r="I24" s="26">
        <f>_xlfn.QUARTILE.INC(I6:I15,1)</f>
        <v/>
      </c>
      <c r="J24" s="26">
        <f>_xlfn.QUARTILE.INC(J6:J15,1)</f>
        <v/>
      </c>
      <c r="K24" s="26">
        <f>_xlfn.QUARTILE.INC(K6:K15,1)</f>
        <v/>
      </c>
      <c r="L24" s="26">
        <f>_xlfn.QUARTILE.INC(L6:L15,1)</f>
        <v/>
      </c>
      <c r="M24" s="29">
        <f>_xlfn.QUARTILE.INC(M6:M15,1)</f>
        <v/>
      </c>
      <c r="N24" s="29">
        <f>_xlfn.QUARTILE.INC(N6:N15,1)</f>
        <v/>
      </c>
    </row>
    <row r="25">
      <c r="B25" s="4" t="inlineStr">
        <is>
          <t>Min</t>
        </is>
      </c>
      <c r="G25" s="26">
        <f>MIN(G6:G15)</f>
        <v/>
      </c>
      <c r="H25" s="26">
        <f>MIN(H6:H15)</f>
        <v/>
      </c>
      <c r="I25" s="26">
        <f>MIN(I6:I15)</f>
        <v/>
      </c>
      <c r="J25" s="26">
        <f>MIN(J6:J15)</f>
        <v/>
      </c>
      <c r="K25" s="26">
        <f>MIN(K6:K15)</f>
        <v/>
      </c>
      <c r="L25" s="26">
        <f>MIN(L6:L15)</f>
        <v/>
      </c>
      <c r="M25" s="29">
        <f>MIN(M6:M15)</f>
        <v/>
      </c>
      <c r="N25" s="29">
        <f>MIN(N6:N15)</f>
        <v/>
      </c>
    </row>
    <row r="26">
      <c r="B26" s="4" t="inlineStr">
        <is>
          <t>n (count)</t>
        </is>
      </c>
      <c r="G26" s="7">
        <f>COUNT(G6:G15)</f>
        <v/>
      </c>
      <c r="H26" s="7">
        <f>COUNT(H6:H15)</f>
        <v/>
      </c>
      <c r="I26" s="7">
        <f>COUNT(I6:I15)</f>
        <v/>
      </c>
      <c r="J26" s="7">
        <f>COUNT(J6:J15)</f>
        <v/>
      </c>
      <c r="K26" s="7">
        <f>COUNT(K6:K15)</f>
        <v/>
      </c>
      <c r="L26" s="7">
        <f>COUNT(L6:L15)</f>
        <v/>
      </c>
      <c r="M26" s="7">
        <f>COUNT(M6:M15)</f>
        <v/>
      </c>
      <c r="N26" s="7">
        <f>COUNT(N6:N15)</f>
        <v/>
      </c>
    </row>
    <row r="27" ht="28" customHeight="1" s="38">
      <c r="B27" s="40" t="inlineStr">
        <is>
          <t>Note: includes the 4 subject companies in their own stats (pragmatic simplification per spec). Use the peer-only block below for ImpliedVal (subject excluded from its own peer range).</t>
        </is>
      </c>
    </row>
    <row r="28"/>
    <row r="29"/>
    <row r="30">
      <c r="B30" s="5" t="inlineStr">
        <is>
          <t>Summary Statistics - 6 Pure Peers Only (excl. subjects; basis for ImpliedVal tab)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B31" s="10" t="inlineStr">
        <is>
          <t>Statistic</t>
        </is>
      </c>
      <c r="G31" s="10" t="inlineStr">
        <is>
          <t>EV /
LTM Rev</t>
        </is>
      </c>
      <c r="H31" s="10" t="inlineStr">
        <is>
          <t>EV /
NTM Rev</t>
        </is>
      </c>
      <c r="I31" s="10" t="inlineStr">
        <is>
          <t>EV /
LTM EBITDA</t>
        </is>
      </c>
      <c r="J31" s="10" t="inlineStr">
        <is>
          <t>EV /
NTM EBITDA</t>
        </is>
      </c>
      <c r="K31" s="10" t="inlineStr">
        <is>
          <t>P /
LTM E</t>
        </is>
      </c>
      <c r="L31" s="10" t="inlineStr">
        <is>
          <t>P /
NTM E</t>
        </is>
      </c>
      <c r="M31" s="10" t="inlineStr">
        <is>
          <t>LTM EBITDA
Margin %</t>
        </is>
      </c>
      <c r="N31" s="10" t="inlineStr">
        <is>
          <t>NTM Rev
Growth %</t>
        </is>
      </c>
    </row>
    <row r="32">
      <c r="B32" s="4" t="inlineStr">
        <is>
          <t>Max</t>
        </is>
      </c>
      <c r="G32" s="26">
        <f>MAX(G10:G15)</f>
        <v/>
      </c>
      <c r="H32" s="26">
        <f>MAX(H10:H15)</f>
        <v/>
      </c>
      <c r="I32" s="26">
        <f>MAX(I10:I15)</f>
        <v/>
      </c>
      <c r="J32" s="26">
        <f>MAX(J10:J15)</f>
        <v/>
      </c>
      <c r="K32" s="26">
        <f>MAX(K10:K15)</f>
        <v/>
      </c>
      <c r="L32" s="26">
        <f>MAX(L10:L15)</f>
        <v/>
      </c>
      <c r="M32" s="29">
        <f>MAX(M10:M15)</f>
        <v/>
      </c>
      <c r="N32" s="29">
        <f>MAX(N10:N15)</f>
        <v/>
      </c>
    </row>
    <row r="33">
      <c r="B33" s="4" t="inlineStr">
        <is>
          <t>75th pctile</t>
        </is>
      </c>
      <c r="G33" s="26">
        <f>_xlfn.QUARTILE.INC(G10:G15,3)</f>
        <v/>
      </c>
      <c r="H33" s="26">
        <f>_xlfn.QUARTILE.INC(H10:H15,3)</f>
        <v/>
      </c>
      <c r="I33" s="26">
        <f>_xlfn.QUARTILE.INC(I10:I15,3)</f>
        <v/>
      </c>
      <c r="J33" s="26">
        <f>_xlfn.QUARTILE.INC(J10:J15,3)</f>
        <v/>
      </c>
      <c r="K33" s="26">
        <f>_xlfn.QUARTILE.INC(K10:K15,3)</f>
        <v/>
      </c>
      <c r="L33" s="26">
        <f>_xlfn.QUARTILE.INC(L10:L15,3)</f>
        <v/>
      </c>
      <c r="M33" s="29">
        <f>_xlfn.QUARTILE.INC(M10:M15,3)</f>
        <v/>
      </c>
      <c r="N33" s="29">
        <f>_xlfn.QUARTILE.INC(N10:N15,3)</f>
        <v/>
      </c>
    </row>
    <row r="34">
      <c r="B34" s="4" t="inlineStr">
        <is>
          <t>Mean</t>
        </is>
      </c>
      <c r="G34" s="26">
        <f>AVERAGE(G10:G15)</f>
        <v/>
      </c>
      <c r="H34" s="26">
        <f>AVERAGE(H10:H15)</f>
        <v/>
      </c>
      <c r="I34" s="26">
        <f>AVERAGE(I10:I15)</f>
        <v/>
      </c>
      <c r="J34" s="26">
        <f>AVERAGE(J10:J15)</f>
        <v/>
      </c>
      <c r="K34" s="26">
        <f>AVERAGE(K10:K15)</f>
        <v/>
      </c>
      <c r="L34" s="26">
        <f>AVERAGE(L10:L15)</f>
        <v/>
      </c>
      <c r="M34" s="29">
        <f>AVERAGE(M10:M15)</f>
        <v/>
      </c>
      <c r="N34" s="29">
        <f>AVERAGE(N10:N15)</f>
        <v/>
      </c>
    </row>
    <row r="35">
      <c r="B35" s="10" t="inlineStr">
        <is>
          <t>Median</t>
        </is>
      </c>
      <c r="G35" s="30">
        <f>MEDIAN(G10:G15)</f>
        <v/>
      </c>
      <c r="H35" s="30">
        <f>MEDIAN(H10:H15)</f>
        <v/>
      </c>
      <c r="I35" s="30">
        <f>MEDIAN(I10:I15)</f>
        <v/>
      </c>
      <c r="J35" s="30">
        <f>MEDIAN(J10:J15)</f>
        <v/>
      </c>
      <c r="K35" s="30">
        <f>MEDIAN(K10:K15)</f>
        <v/>
      </c>
      <c r="L35" s="30">
        <f>MEDIAN(L10:L15)</f>
        <v/>
      </c>
      <c r="M35" s="31">
        <f>MEDIAN(M10:M15)</f>
        <v/>
      </c>
      <c r="N35" s="31">
        <f>MEDIAN(N10:N15)</f>
        <v/>
      </c>
    </row>
    <row r="36">
      <c r="B36" s="4" t="inlineStr">
        <is>
          <t>25th pctile</t>
        </is>
      </c>
      <c r="G36" s="26">
        <f>_xlfn.QUARTILE.INC(G10:G15,1)</f>
        <v/>
      </c>
      <c r="H36" s="26">
        <f>_xlfn.QUARTILE.INC(H10:H15,1)</f>
        <v/>
      </c>
      <c r="I36" s="26">
        <f>_xlfn.QUARTILE.INC(I10:I15,1)</f>
        <v/>
      </c>
      <c r="J36" s="26">
        <f>_xlfn.QUARTILE.INC(J10:J15,1)</f>
        <v/>
      </c>
      <c r="K36" s="26">
        <f>_xlfn.QUARTILE.INC(K10:K15,1)</f>
        <v/>
      </c>
      <c r="L36" s="26">
        <f>_xlfn.QUARTILE.INC(L10:L15,1)</f>
        <v/>
      </c>
      <c r="M36" s="29">
        <f>_xlfn.QUARTILE.INC(M10:M15,1)</f>
        <v/>
      </c>
      <c r="N36" s="29">
        <f>_xlfn.QUARTILE.INC(N10:N15,1)</f>
        <v/>
      </c>
    </row>
    <row r="37">
      <c r="B37" s="4" t="inlineStr">
        <is>
          <t>Min</t>
        </is>
      </c>
      <c r="G37" s="26">
        <f>MIN(G10:G15)</f>
        <v/>
      </c>
      <c r="H37" s="26">
        <f>MIN(H10:H15)</f>
        <v/>
      </c>
      <c r="I37" s="26">
        <f>MIN(I10:I15)</f>
        <v/>
      </c>
      <c r="J37" s="26">
        <f>MIN(J10:J15)</f>
        <v/>
      </c>
      <c r="K37" s="26">
        <f>MIN(K10:K15)</f>
        <v/>
      </c>
      <c r="L37" s="26">
        <f>MIN(L10:L15)</f>
        <v/>
      </c>
      <c r="M37" s="29">
        <f>MIN(M10:M15)</f>
        <v/>
      </c>
      <c r="N37" s="29">
        <f>MIN(N10:N15)</f>
        <v/>
      </c>
    </row>
    <row r="38">
      <c r="B38" s="4" t="inlineStr">
        <is>
          <t>n (count)</t>
        </is>
      </c>
      <c r="G38" s="7">
        <f>COUNT(G10:G15)</f>
        <v/>
      </c>
      <c r="H38" s="7">
        <f>COUNT(H10:H15)</f>
        <v/>
      </c>
      <c r="I38" s="7">
        <f>COUNT(I10:I15)</f>
        <v/>
      </c>
      <c r="J38" s="7">
        <f>COUNT(J10:J15)</f>
        <v/>
      </c>
      <c r="K38" s="7">
        <f>COUNT(K10:K15)</f>
        <v/>
      </c>
      <c r="L38" s="7">
        <f>COUNT(L10:L15)</f>
        <v/>
      </c>
      <c r="M38" s="7">
        <f>COUNT(M10:M15)</f>
        <v/>
      </c>
      <c r="N38" s="7">
        <f>COUNT(N10:N15)</f>
        <v/>
      </c>
    </row>
    <row r="39" ht="28" customHeight="1" s="38">
      <c r="B39" s="40" t="inlineStr">
        <is>
          <t>Peer set = AMZN, META, AVGO, ORCL, CRM, AMD (rows 10-15). This block feeds the ImpliedVal tab so that no subject is valued off a peer range containing itself.</t>
        </is>
      </c>
    </row>
  </sheetData>
  <mergeCells count="2">
    <mergeCell ref="B27:N27"/>
    <mergeCell ref="B39:N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8" min="1" max="1"/>
    <col width="42" customWidth="1" style="38" min="2" max="2"/>
    <col width="16" customWidth="1" style="38" min="3" max="5"/>
    <col width="3" customWidth="1" style="38" min="6" max="6"/>
    <col width="46" customWidth="1" style="38" min="7" max="7"/>
  </cols>
  <sheetData>
    <row r="1"/>
    <row r="2" ht="18" customHeight="1" s="38">
      <c r="B2" s="1" t="inlineStr">
        <is>
          <t>ImpliedVal - Trading-Comps Implied Valuation of the 4 DCF Subjects</t>
        </is>
      </c>
    </row>
    <row r="3">
      <c r="B3" s="2" t="inlineStr">
        <is>
          <t>($ in millions except per-share; peer multiples = 6 pure-peer stats block on Comps tab)</t>
        </is>
      </c>
    </row>
    <row r="4" ht="28" customHeight="1" s="38">
      <c r="B4" s="40" t="inlineStr">
        <is>
          <t>Method: applies the peer-only 25th / median / 75th percentile of EV/NTM EBITDA, EV/NTM Revenue, and P/NTM E (Comps tab, peer stats block) to each subject's own NTM metrics. EV/EBITDA and EV/Revenue methods bridge EV -&gt; less net debt -&gt; equity value -&gt; per-share. P/E method solves for price directly.</t>
        </is>
      </c>
    </row>
    <row r="5"/>
    <row r="6">
      <c r="B6" s="5" t="inlineStr">
        <is>
          <t>MSFT - Microsoft Corporation</t>
        </is>
      </c>
      <c r="C6" s="5" t="n"/>
      <c r="D6" s="5" t="n"/>
      <c r="E6" s="5" t="n"/>
      <c r="F6" s="5" t="n"/>
      <c r="G6" s="5" t="n"/>
    </row>
    <row r="7">
      <c r="B7" s="10" t="inlineStr">
        <is>
          <t>Metric</t>
        </is>
      </c>
      <c r="C7" s="10" t="inlineStr">
        <is>
          <t>Low (25th)</t>
        </is>
      </c>
      <c r="D7" s="10" t="inlineStr">
        <is>
          <t>Mid (Median)</t>
        </is>
      </c>
      <c r="E7" s="10" t="inlineStr">
        <is>
          <t>High (75th)</t>
        </is>
      </c>
      <c r="G7" s="10" t="inlineStr">
        <is>
          <t>Notes</t>
        </is>
      </c>
    </row>
    <row r="8">
      <c r="B8" s="4" t="inlineStr">
        <is>
          <t>NTM Revenue ($mm)</t>
        </is>
      </c>
      <c r="C8" s="32">
        <f>Inputs!N6</f>
        <v/>
      </c>
      <c r="G8" s="39" t="inlineStr">
        <is>
          <t>Green link from Inputs tab.</t>
        </is>
      </c>
    </row>
    <row r="9">
      <c r="B9" s="4" t="inlineStr">
        <is>
          <t>NTM EBITDA ($mm)</t>
        </is>
      </c>
      <c r="C9" s="32">
        <f>Inputs!O6</f>
        <v/>
      </c>
    </row>
    <row r="10">
      <c r="B10" s="4" t="inlineStr">
        <is>
          <t>NTM Diluted EPS</t>
        </is>
      </c>
      <c r="C10" s="11">
        <f>Inputs!P6</f>
        <v/>
      </c>
    </row>
    <row r="11">
      <c r="B11" s="4" t="inlineStr">
        <is>
          <t>Net Debt ($mm) [debt + MI - cash]</t>
        </is>
      </c>
      <c r="C11" s="32">
        <f>Inputs!H6+Inputs!I6-Inputs!G6</f>
        <v/>
      </c>
    </row>
    <row r="12">
      <c r="B12" s="4" t="inlineStr">
        <is>
          <t>Diluted Shares (mm)</t>
        </is>
      </c>
      <c r="C12" s="33">
        <f>Inputs!F6</f>
        <v/>
      </c>
    </row>
    <row r="13">
      <c r="B13" s="4" t="inlineStr">
        <is>
          <t>Current Share Price</t>
        </is>
      </c>
      <c r="C13" s="11">
        <f>Inputs!E6</f>
        <v/>
      </c>
    </row>
    <row r="14"/>
    <row r="15">
      <c r="B15" s="4" t="inlineStr">
        <is>
          <t>Applied EV/NTM EBITDA multiple</t>
        </is>
      </c>
      <c r="C15" s="27">
        <f>Comps!J36</f>
        <v/>
      </c>
      <c r="D15" s="27">
        <f>Comps!J35</f>
        <v/>
      </c>
      <c r="E15" s="27">
        <f>Comps!J33</f>
        <v/>
      </c>
    </row>
    <row r="16">
      <c r="B16" s="4" t="inlineStr">
        <is>
          <t>Implied EV ($mm)</t>
        </is>
      </c>
      <c r="C16" s="25">
        <f>C15*$C$9</f>
        <v/>
      </c>
      <c r="D16" s="25">
        <f>D15*$C$9</f>
        <v/>
      </c>
      <c r="E16" s="25">
        <f>E15*$C$9</f>
        <v/>
      </c>
    </row>
    <row r="17">
      <c r="B17" s="4" t="inlineStr">
        <is>
          <t>Less: Net Debt ($mm)</t>
        </is>
      </c>
      <c r="C17" s="25">
        <f>-$C$11</f>
        <v/>
      </c>
      <c r="D17" s="25">
        <f>-$C$11</f>
        <v/>
      </c>
      <c r="E17" s="25">
        <f>-$C$11</f>
        <v/>
      </c>
    </row>
    <row r="18">
      <c r="B18" s="4" t="inlineStr">
        <is>
          <t>Implied Equity Value ($mm)</t>
        </is>
      </c>
      <c r="C18" s="25">
        <f>C16+C17</f>
        <v/>
      </c>
      <c r="D18" s="25">
        <f>D16+D17</f>
        <v/>
      </c>
      <c r="E18" s="25">
        <f>E16+E17</f>
        <v/>
      </c>
    </row>
    <row r="19">
      <c r="B19" s="10" t="inlineStr">
        <is>
          <t>Implied Share Price (EV/EBITDA method)</t>
        </is>
      </c>
      <c r="C19" s="34">
        <f>C18/$C$12</f>
        <v/>
      </c>
      <c r="D19" s="34">
        <f>D18/$C$12</f>
        <v/>
      </c>
      <c r="E19" s="34">
        <f>E18/$C$12</f>
        <v/>
      </c>
    </row>
    <row r="20"/>
    <row r="21">
      <c r="B21" s="4" t="inlineStr">
        <is>
          <t>Applied EV/NTM Revenue multiple</t>
        </is>
      </c>
      <c r="C21" s="27">
        <f>Comps!H36</f>
        <v/>
      </c>
      <c r="D21" s="27">
        <f>Comps!H35</f>
        <v/>
      </c>
      <c r="E21" s="27">
        <f>Comps!H33</f>
        <v/>
      </c>
    </row>
    <row r="22">
      <c r="B22" s="4" t="inlineStr">
        <is>
          <t>Implied EV ($mm)</t>
        </is>
      </c>
      <c r="C22" s="25">
        <f>C21*$C$8</f>
        <v/>
      </c>
      <c r="D22" s="25">
        <f>D21*$C$8</f>
        <v/>
      </c>
      <c r="E22" s="25">
        <f>E21*$C$8</f>
        <v/>
      </c>
    </row>
    <row r="23">
      <c r="B23" s="4" t="inlineStr">
        <is>
          <t>Less: Net Debt ($mm)</t>
        </is>
      </c>
      <c r="C23" s="25">
        <f>-$C$11</f>
        <v/>
      </c>
      <c r="D23" s="25">
        <f>-$C$11</f>
        <v/>
      </c>
      <c r="E23" s="25">
        <f>-$C$11</f>
        <v/>
      </c>
    </row>
    <row r="24">
      <c r="B24" s="4" t="inlineStr">
        <is>
          <t>Implied Equity Value ($mm)</t>
        </is>
      </c>
      <c r="C24" s="25">
        <f>C22+C23</f>
        <v/>
      </c>
      <c r="D24" s="25">
        <f>D22+D23</f>
        <v/>
      </c>
      <c r="E24" s="25">
        <f>E22+E23</f>
        <v/>
      </c>
    </row>
    <row r="25">
      <c r="B25" s="10" t="inlineStr">
        <is>
          <t>Implied Share Price (EV/Revenue method)</t>
        </is>
      </c>
      <c r="C25" s="34">
        <f>C24/$C$12</f>
        <v/>
      </c>
      <c r="D25" s="34">
        <f>D24/$C$12</f>
        <v/>
      </c>
      <c r="E25" s="34">
        <f>E24/$C$12</f>
        <v/>
      </c>
    </row>
    <row r="26"/>
    <row r="27">
      <c r="B27" s="4" t="inlineStr">
        <is>
          <t>Applied P/NTM E multiple</t>
        </is>
      </c>
      <c r="C27" s="27">
        <f>Comps!L36</f>
        <v/>
      </c>
      <c r="D27" s="27">
        <f>Comps!L35</f>
        <v/>
      </c>
      <c r="E27" s="27">
        <f>Comps!L33</f>
        <v/>
      </c>
    </row>
    <row r="28">
      <c r="B28" s="10" t="inlineStr">
        <is>
          <t>Implied Share Price (P/E method)</t>
        </is>
      </c>
      <c r="C28" s="34">
        <f>C27*$C$10</f>
        <v/>
      </c>
      <c r="D28" s="34">
        <f>D27*$C$10</f>
        <v/>
      </c>
      <c r="E28" s="34">
        <f>E27*$C$10</f>
        <v/>
      </c>
    </row>
    <row r="29"/>
    <row r="30">
      <c r="B30" s="4" t="inlineStr">
        <is>
          <t>Memo: Current Share Price</t>
        </is>
      </c>
      <c r="C30" s="35">
        <f>$C$13</f>
        <v/>
      </c>
      <c r="D30" s="35">
        <f>$C$13</f>
        <v/>
      </c>
      <c r="E30" s="35">
        <f>$C$13</f>
        <v/>
      </c>
    </row>
    <row r="31">
      <c r="B31" s="4" t="inlineStr">
        <is>
          <t>Implied Upside/(Downside) vs. Current (EV/EBITDA)</t>
        </is>
      </c>
      <c r="C31" s="29">
        <f>C19/$C$13-1</f>
        <v/>
      </c>
      <c r="D31" s="29">
        <f>D19/$C$13-1</f>
        <v/>
      </c>
      <c r="E31" s="29">
        <f>E19/$C$13-1</f>
        <v/>
      </c>
    </row>
    <row r="32">
      <c r="B32" s="4" t="inlineStr">
        <is>
          <t>Implied Upside/(Downside) vs. Current (EV/Revenue)</t>
        </is>
      </c>
      <c r="C32" s="29">
        <f>C25/$C$13-1</f>
        <v/>
      </c>
      <c r="D32" s="29">
        <f>D25/$C$13-1</f>
        <v/>
      </c>
      <c r="E32" s="29">
        <f>E25/$C$13-1</f>
        <v/>
      </c>
    </row>
    <row r="33">
      <c r="B33" s="4" t="inlineStr">
        <is>
          <t>Implied Upside/(Downside) vs. Current (P/E)</t>
        </is>
      </c>
      <c r="C33" s="29">
        <f>C28/$C$13-1</f>
        <v/>
      </c>
      <c r="D33" s="29">
        <f>D28/$C$13-1</f>
        <v/>
      </c>
      <c r="E33" s="29">
        <f>E28/$C$13-1</f>
        <v/>
      </c>
    </row>
    <row r="34"/>
    <row r="35"/>
    <row r="36">
      <c r="B36" s="5" t="inlineStr">
        <is>
          <t>NVDA - NVIDIA Corporation</t>
        </is>
      </c>
      <c r="C36" s="5" t="n"/>
      <c r="D36" s="5" t="n"/>
      <c r="E36" s="5" t="n"/>
      <c r="F36" s="5" t="n"/>
      <c r="G36" s="5" t="n"/>
    </row>
    <row r="37">
      <c r="B37" s="10" t="inlineStr">
        <is>
          <t>Metric</t>
        </is>
      </c>
      <c r="C37" s="10" t="inlineStr">
        <is>
          <t>Low (25th)</t>
        </is>
      </c>
      <c r="D37" s="10" t="inlineStr">
        <is>
          <t>Mid (Median)</t>
        </is>
      </c>
      <c r="E37" s="10" t="inlineStr">
        <is>
          <t>High (75th)</t>
        </is>
      </c>
      <c r="G37" s="10" t="inlineStr">
        <is>
          <t>Notes</t>
        </is>
      </c>
    </row>
    <row r="38">
      <c r="B38" s="4" t="inlineStr">
        <is>
          <t>NTM Revenue ($mm)</t>
        </is>
      </c>
      <c r="C38" s="32">
        <f>Inputs!N7</f>
        <v/>
      </c>
      <c r="G38" s="39" t="inlineStr">
        <is>
          <t>Green link from Inputs tab.</t>
        </is>
      </c>
    </row>
    <row r="39">
      <c r="B39" s="4" t="inlineStr">
        <is>
          <t>NTM EBITDA ($mm)</t>
        </is>
      </c>
      <c r="C39" s="32">
        <f>Inputs!O7</f>
        <v/>
      </c>
    </row>
    <row r="40">
      <c r="B40" s="4" t="inlineStr">
        <is>
          <t>NTM Diluted EPS</t>
        </is>
      </c>
      <c r="C40" s="11">
        <f>Inputs!P7</f>
        <v/>
      </c>
    </row>
    <row r="41">
      <c r="B41" s="4" t="inlineStr">
        <is>
          <t>Net Debt ($mm) [debt + MI - cash]</t>
        </is>
      </c>
      <c r="C41" s="32">
        <f>Inputs!H7+Inputs!I7-Inputs!G7</f>
        <v/>
      </c>
    </row>
    <row r="42">
      <c r="B42" s="4" t="inlineStr">
        <is>
          <t>Diluted Shares (mm)</t>
        </is>
      </c>
      <c r="C42" s="33">
        <f>Inputs!F7</f>
        <v/>
      </c>
    </row>
    <row r="43">
      <c r="B43" s="4" t="inlineStr">
        <is>
          <t>Current Share Price</t>
        </is>
      </c>
      <c r="C43" s="11">
        <f>Inputs!E7</f>
        <v/>
      </c>
    </row>
    <row r="44"/>
    <row r="45">
      <c r="B45" s="4" t="inlineStr">
        <is>
          <t>Applied EV/NTM EBITDA multiple</t>
        </is>
      </c>
      <c r="C45" s="27">
        <f>Comps!J36</f>
        <v/>
      </c>
      <c r="D45" s="27">
        <f>Comps!J35</f>
        <v/>
      </c>
      <c r="E45" s="27">
        <f>Comps!J33</f>
        <v/>
      </c>
    </row>
    <row r="46">
      <c r="B46" s="4" t="inlineStr">
        <is>
          <t>Implied EV ($mm)</t>
        </is>
      </c>
      <c r="C46" s="25">
        <f>C45*$C$39</f>
        <v/>
      </c>
      <c r="D46" s="25">
        <f>D45*$C$39</f>
        <v/>
      </c>
      <c r="E46" s="25">
        <f>E45*$C$39</f>
        <v/>
      </c>
    </row>
    <row r="47">
      <c r="B47" s="4" t="inlineStr">
        <is>
          <t>Less: Net Debt ($mm)</t>
        </is>
      </c>
      <c r="C47" s="25">
        <f>-$C$41</f>
        <v/>
      </c>
      <c r="D47" s="25">
        <f>-$C$41</f>
        <v/>
      </c>
      <c r="E47" s="25">
        <f>-$C$41</f>
        <v/>
      </c>
    </row>
    <row r="48">
      <c r="B48" s="4" t="inlineStr">
        <is>
          <t>Implied Equity Value ($mm)</t>
        </is>
      </c>
      <c r="C48" s="25">
        <f>C46+C47</f>
        <v/>
      </c>
      <c r="D48" s="25">
        <f>D46+D47</f>
        <v/>
      </c>
      <c r="E48" s="25">
        <f>E46+E47</f>
        <v/>
      </c>
    </row>
    <row r="49">
      <c r="B49" s="10" t="inlineStr">
        <is>
          <t>Implied Share Price (EV/EBITDA method)</t>
        </is>
      </c>
      <c r="C49" s="34">
        <f>C48/$C$42</f>
        <v/>
      </c>
      <c r="D49" s="34">
        <f>D48/$C$42</f>
        <v/>
      </c>
      <c r="E49" s="34">
        <f>E48/$C$42</f>
        <v/>
      </c>
    </row>
    <row r="50"/>
    <row r="51">
      <c r="B51" s="4" t="inlineStr">
        <is>
          <t>Applied EV/NTM Revenue multiple</t>
        </is>
      </c>
      <c r="C51" s="27">
        <f>Comps!H36</f>
        <v/>
      </c>
      <c r="D51" s="27">
        <f>Comps!H35</f>
        <v/>
      </c>
      <c r="E51" s="27">
        <f>Comps!H33</f>
        <v/>
      </c>
    </row>
    <row r="52">
      <c r="B52" s="4" t="inlineStr">
        <is>
          <t>Implied EV ($mm)</t>
        </is>
      </c>
      <c r="C52" s="25">
        <f>C51*$C$38</f>
        <v/>
      </c>
      <c r="D52" s="25">
        <f>D51*$C$38</f>
        <v/>
      </c>
      <c r="E52" s="25">
        <f>E51*$C$38</f>
        <v/>
      </c>
    </row>
    <row r="53">
      <c r="B53" s="4" t="inlineStr">
        <is>
          <t>Less: Net Debt ($mm)</t>
        </is>
      </c>
      <c r="C53" s="25">
        <f>-$C$41</f>
        <v/>
      </c>
      <c r="D53" s="25">
        <f>-$C$41</f>
        <v/>
      </c>
      <c r="E53" s="25">
        <f>-$C$41</f>
        <v/>
      </c>
    </row>
    <row r="54">
      <c r="B54" s="4" t="inlineStr">
        <is>
          <t>Implied Equity Value ($mm)</t>
        </is>
      </c>
      <c r="C54" s="25">
        <f>C52+C53</f>
        <v/>
      </c>
      <c r="D54" s="25">
        <f>D52+D53</f>
        <v/>
      </c>
      <c r="E54" s="25">
        <f>E52+E53</f>
        <v/>
      </c>
    </row>
    <row r="55">
      <c r="B55" s="10" t="inlineStr">
        <is>
          <t>Implied Share Price (EV/Revenue method)</t>
        </is>
      </c>
      <c r="C55" s="34">
        <f>C54/$C$42</f>
        <v/>
      </c>
      <c r="D55" s="34">
        <f>D54/$C$42</f>
        <v/>
      </c>
      <c r="E55" s="34">
        <f>E54/$C$42</f>
        <v/>
      </c>
    </row>
    <row r="56"/>
    <row r="57">
      <c r="B57" s="4" t="inlineStr">
        <is>
          <t>Applied P/NTM E multiple</t>
        </is>
      </c>
      <c r="C57" s="27">
        <f>Comps!L36</f>
        <v/>
      </c>
      <c r="D57" s="27">
        <f>Comps!L35</f>
        <v/>
      </c>
      <c r="E57" s="27">
        <f>Comps!L33</f>
        <v/>
      </c>
    </row>
    <row r="58">
      <c r="B58" s="10" t="inlineStr">
        <is>
          <t>Implied Share Price (P/E method)</t>
        </is>
      </c>
      <c r="C58" s="34">
        <f>C57*$C$40</f>
        <v/>
      </c>
      <c r="D58" s="34">
        <f>D57*$C$40</f>
        <v/>
      </c>
      <c r="E58" s="34">
        <f>E57*$C$40</f>
        <v/>
      </c>
    </row>
    <row r="59"/>
    <row r="60">
      <c r="B60" s="4" t="inlineStr">
        <is>
          <t>Memo: Current Share Price</t>
        </is>
      </c>
      <c r="C60" s="35">
        <f>$C$43</f>
        <v/>
      </c>
      <c r="D60" s="35">
        <f>$C$43</f>
        <v/>
      </c>
      <c r="E60" s="35">
        <f>$C$43</f>
        <v/>
      </c>
    </row>
    <row r="61">
      <c r="B61" s="4" t="inlineStr">
        <is>
          <t>Implied Upside/(Downside) vs. Current (EV/EBITDA)</t>
        </is>
      </c>
      <c r="C61" s="29">
        <f>C49/$C$43-1</f>
        <v/>
      </c>
      <c r="D61" s="29">
        <f>D49/$C$43-1</f>
        <v/>
      </c>
      <c r="E61" s="29">
        <f>E49/$C$43-1</f>
        <v/>
      </c>
    </row>
    <row r="62">
      <c r="B62" s="4" t="inlineStr">
        <is>
          <t>Implied Upside/(Downside) vs. Current (EV/Revenue)</t>
        </is>
      </c>
      <c r="C62" s="29">
        <f>C55/$C$43-1</f>
        <v/>
      </c>
      <c r="D62" s="29">
        <f>D55/$C$43-1</f>
        <v/>
      </c>
      <c r="E62" s="29">
        <f>E55/$C$43-1</f>
        <v/>
      </c>
    </row>
    <row r="63">
      <c r="B63" s="4" t="inlineStr">
        <is>
          <t>Implied Upside/(Downside) vs. Current (P/E)</t>
        </is>
      </c>
      <c r="C63" s="29">
        <f>C58/$C$43-1</f>
        <v/>
      </c>
      <c r="D63" s="29">
        <f>D58/$C$43-1</f>
        <v/>
      </c>
      <c r="E63" s="29">
        <f>E58/$C$43-1</f>
        <v/>
      </c>
    </row>
    <row r="64"/>
    <row r="65"/>
    <row r="66">
      <c r="B66" s="5" t="inlineStr">
        <is>
          <t>AAPL - Apple Inc.</t>
        </is>
      </c>
      <c r="C66" s="5" t="n"/>
      <c r="D66" s="5" t="n"/>
      <c r="E66" s="5" t="n"/>
      <c r="F66" s="5" t="n"/>
      <c r="G66" s="5" t="n"/>
    </row>
    <row r="67">
      <c r="B67" s="10" t="inlineStr">
        <is>
          <t>Metric</t>
        </is>
      </c>
      <c r="C67" s="10" t="inlineStr">
        <is>
          <t>Low (25th)</t>
        </is>
      </c>
      <c r="D67" s="10" t="inlineStr">
        <is>
          <t>Mid (Median)</t>
        </is>
      </c>
      <c r="E67" s="10" t="inlineStr">
        <is>
          <t>High (75th)</t>
        </is>
      </c>
      <c r="G67" s="10" t="inlineStr">
        <is>
          <t>Notes</t>
        </is>
      </c>
    </row>
    <row r="68">
      <c r="B68" s="4" t="inlineStr">
        <is>
          <t>NTM Revenue ($mm)</t>
        </is>
      </c>
      <c r="C68" s="32">
        <f>Inputs!N8</f>
        <v/>
      </c>
      <c r="G68" s="39" t="inlineStr">
        <is>
          <t>Green link from Inputs tab.</t>
        </is>
      </c>
    </row>
    <row r="69">
      <c r="B69" s="4" t="inlineStr">
        <is>
          <t>NTM EBITDA ($mm)</t>
        </is>
      </c>
      <c r="C69" s="32">
        <f>Inputs!O8</f>
        <v/>
      </c>
    </row>
    <row r="70">
      <c r="B70" s="4" t="inlineStr">
        <is>
          <t>NTM Diluted EPS</t>
        </is>
      </c>
      <c r="C70" s="11">
        <f>Inputs!P8</f>
        <v/>
      </c>
    </row>
    <row r="71">
      <c r="B71" s="4" t="inlineStr">
        <is>
          <t>Net Debt ($mm) [debt + MI - cash]</t>
        </is>
      </c>
      <c r="C71" s="32">
        <f>Inputs!H8+Inputs!I8-Inputs!G8</f>
        <v/>
      </c>
    </row>
    <row r="72">
      <c r="B72" s="4" t="inlineStr">
        <is>
          <t>Diluted Shares (mm)</t>
        </is>
      </c>
      <c r="C72" s="33">
        <f>Inputs!F8</f>
        <v/>
      </c>
    </row>
    <row r="73">
      <c r="B73" s="4" t="inlineStr">
        <is>
          <t>Current Share Price</t>
        </is>
      </c>
      <c r="C73" s="11">
        <f>Inputs!E8</f>
        <v/>
      </c>
    </row>
    <row r="74"/>
    <row r="75">
      <c r="B75" s="4" t="inlineStr">
        <is>
          <t>Applied EV/NTM EBITDA multiple</t>
        </is>
      </c>
      <c r="C75" s="27">
        <f>Comps!J36</f>
        <v/>
      </c>
      <c r="D75" s="27">
        <f>Comps!J35</f>
        <v/>
      </c>
      <c r="E75" s="27">
        <f>Comps!J33</f>
        <v/>
      </c>
    </row>
    <row r="76">
      <c r="B76" s="4" t="inlineStr">
        <is>
          <t>Implied EV ($mm)</t>
        </is>
      </c>
      <c r="C76" s="25">
        <f>C75*$C$69</f>
        <v/>
      </c>
      <c r="D76" s="25">
        <f>D75*$C$69</f>
        <v/>
      </c>
      <c r="E76" s="25">
        <f>E75*$C$69</f>
        <v/>
      </c>
    </row>
    <row r="77">
      <c r="B77" s="4" t="inlineStr">
        <is>
          <t>Less: Net Debt ($mm)</t>
        </is>
      </c>
      <c r="C77" s="25">
        <f>-$C$71</f>
        <v/>
      </c>
      <c r="D77" s="25">
        <f>-$C$71</f>
        <v/>
      </c>
      <c r="E77" s="25">
        <f>-$C$71</f>
        <v/>
      </c>
    </row>
    <row r="78">
      <c r="B78" s="4" t="inlineStr">
        <is>
          <t>Implied Equity Value ($mm)</t>
        </is>
      </c>
      <c r="C78" s="25">
        <f>C76+C77</f>
        <v/>
      </c>
      <c r="D78" s="25">
        <f>D76+D77</f>
        <v/>
      </c>
      <c r="E78" s="25">
        <f>E76+E77</f>
        <v/>
      </c>
    </row>
    <row r="79">
      <c r="B79" s="10" t="inlineStr">
        <is>
          <t>Implied Share Price (EV/EBITDA method)</t>
        </is>
      </c>
      <c r="C79" s="34">
        <f>C78/$C$72</f>
        <v/>
      </c>
      <c r="D79" s="34">
        <f>D78/$C$72</f>
        <v/>
      </c>
      <c r="E79" s="34">
        <f>E78/$C$72</f>
        <v/>
      </c>
    </row>
    <row r="80"/>
    <row r="81">
      <c r="B81" s="4" t="inlineStr">
        <is>
          <t>Applied EV/NTM Revenue multiple</t>
        </is>
      </c>
      <c r="C81" s="27">
        <f>Comps!H36</f>
        <v/>
      </c>
      <c r="D81" s="27">
        <f>Comps!H35</f>
        <v/>
      </c>
      <c r="E81" s="27">
        <f>Comps!H33</f>
        <v/>
      </c>
    </row>
    <row r="82">
      <c r="B82" s="4" t="inlineStr">
        <is>
          <t>Implied EV ($mm)</t>
        </is>
      </c>
      <c r="C82" s="25">
        <f>C81*$C$68</f>
        <v/>
      </c>
      <c r="D82" s="25">
        <f>D81*$C$68</f>
        <v/>
      </c>
      <c r="E82" s="25">
        <f>E81*$C$68</f>
        <v/>
      </c>
    </row>
    <row r="83">
      <c r="B83" s="4" t="inlineStr">
        <is>
          <t>Less: Net Debt ($mm)</t>
        </is>
      </c>
      <c r="C83" s="25">
        <f>-$C$71</f>
        <v/>
      </c>
      <c r="D83" s="25">
        <f>-$C$71</f>
        <v/>
      </c>
      <c r="E83" s="25">
        <f>-$C$71</f>
        <v/>
      </c>
    </row>
    <row r="84">
      <c r="B84" s="4" t="inlineStr">
        <is>
          <t>Implied Equity Value ($mm)</t>
        </is>
      </c>
      <c r="C84" s="25">
        <f>C82+C83</f>
        <v/>
      </c>
      <c r="D84" s="25">
        <f>D82+D83</f>
        <v/>
      </c>
      <c r="E84" s="25">
        <f>E82+E83</f>
        <v/>
      </c>
    </row>
    <row r="85">
      <c r="B85" s="10" t="inlineStr">
        <is>
          <t>Implied Share Price (EV/Revenue method)</t>
        </is>
      </c>
      <c r="C85" s="34">
        <f>C84/$C$72</f>
        <v/>
      </c>
      <c r="D85" s="34">
        <f>D84/$C$72</f>
        <v/>
      </c>
      <c r="E85" s="34">
        <f>E84/$C$72</f>
        <v/>
      </c>
    </row>
    <row r="86"/>
    <row r="87">
      <c r="B87" s="4" t="inlineStr">
        <is>
          <t>Applied P/NTM E multiple</t>
        </is>
      </c>
      <c r="C87" s="27">
        <f>Comps!L36</f>
        <v/>
      </c>
      <c r="D87" s="27">
        <f>Comps!L35</f>
        <v/>
      </c>
      <c r="E87" s="27">
        <f>Comps!L33</f>
        <v/>
      </c>
    </row>
    <row r="88">
      <c r="B88" s="10" t="inlineStr">
        <is>
          <t>Implied Share Price (P/E method)</t>
        </is>
      </c>
      <c r="C88" s="34">
        <f>C87*$C$70</f>
        <v/>
      </c>
      <c r="D88" s="34">
        <f>D87*$C$70</f>
        <v/>
      </c>
      <c r="E88" s="34">
        <f>E87*$C$70</f>
        <v/>
      </c>
    </row>
    <row r="89"/>
    <row r="90">
      <c r="B90" s="4" t="inlineStr">
        <is>
          <t>Memo: Current Share Price</t>
        </is>
      </c>
      <c r="C90" s="35">
        <f>$C$73</f>
        <v/>
      </c>
      <c r="D90" s="35">
        <f>$C$73</f>
        <v/>
      </c>
      <c r="E90" s="35">
        <f>$C$73</f>
        <v/>
      </c>
    </row>
    <row r="91">
      <c r="B91" s="4" t="inlineStr">
        <is>
          <t>Implied Upside/(Downside) vs. Current (EV/EBITDA)</t>
        </is>
      </c>
      <c r="C91" s="29">
        <f>C79/$C$73-1</f>
        <v/>
      </c>
      <c r="D91" s="29">
        <f>D79/$C$73-1</f>
        <v/>
      </c>
      <c r="E91" s="29">
        <f>E79/$C$73-1</f>
        <v/>
      </c>
    </row>
    <row r="92">
      <c r="B92" s="4" t="inlineStr">
        <is>
          <t>Implied Upside/(Downside) vs. Current (EV/Revenue)</t>
        </is>
      </c>
      <c r="C92" s="29">
        <f>C85/$C$73-1</f>
        <v/>
      </c>
      <c r="D92" s="29">
        <f>D85/$C$73-1</f>
        <v/>
      </c>
      <c r="E92" s="29">
        <f>E85/$C$73-1</f>
        <v/>
      </c>
    </row>
    <row r="93">
      <c r="B93" s="4" t="inlineStr">
        <is>
          <t>Implied Upside/(Downside) vs. Current (P/E)</t>
        </is>
      </c>
      <c r="C93" s="29">
        <f>C88/$C$73-1</f>
        <v/>
      </c>
      <c r="D93" s="29">
        <f>D88/$C$73-1</f>
        <v/>
      </c>
      <c r="E93" s="29">
        <f>E88/$C$73-1</f>
        <v/>
      </c>
    </row>
    <row r="94"/>
    <row r="95"/>
    <row r="96">
      <c r="B96" s="5" t="inlineStr">
        <is>
          <t>GOOGL - Alphabet Inc.</t>
        </is>
      </c>
      <c r="C96" s="5" t="n"/>
      <c r="D96" s="5" t="n"/>
      <c r="E96" s="5" t="n"/>
      <c r="F96" s="5" t="n"/>
      <c r="G96" s="5" t="n"/>
    </row>
    <row r="97">
      <c r="B97" s="10" t="inlineStr">
        <is>
          <t>Metric</t>
        </is>
      </c>
      <c r="C97" s="10" t="inlineStr">
        <is>
          <t>Low (25th)</t>
        </is>
      </c>
      <c r="D97" s="10" t="inlineStr">
        <is>
          <t>Mid (Median)</t>
        </is>
      </c>
      <c r="E97" s="10" t="inlineStr">
        <is>
          <t>High (75th)</t>
        </is>
      </c>
      <c r="G97" s="10" t="inlineStr">
        <is>
          <t>Notes</t>
        </is>
      </c>
    </row>
    <row r="98">
      <c r="B98" s="4" t="inlineStr">
        <is>
          <t>NTM Revenue ($mm)</t>
        </is>
      </c>
      <c r="C98" s="32">
        <f>Inputs!N9</f>
        <v/>
      </c>
      <c r="G98" s="39" t="inlineStr">
        <is>
          <t>Green link from Inputs tab.</t>
        </is>
      </c>
    </row>
    <row r="99">
      <c r="B99" s="4" t="inlineStr">
        <is>
          <t>NTM EBITDA ($mm)</t>
        </is>
      </c>
      <c r="C99" s="32">
        <f>Inputs!O9</f>
        <v/>
      </c>
    </row>
    <row r="100">
      <c r="B100" s="4" t="inlineStr">
        <is>
          <t>NTM Diluted EPS</t>
        </is>
      </c>
      <c r="C100" s="11">
        <f>Inputs!P9</f>
        <v/>
      </c>
    </row>
    <row r="101">
      <c r="B101" s="4" t="inlineStr">
        <is>
          <t>Net Debt ($mm) [debt + MI - cash]</t>
        </is>
      </c>
      <c r="C101" s="32">
        <f>Inputs!H9+Inputs!I9-Inputs!G9</f>
        <v/>
      </c>
    </row>
    <row r="102">
      <c r="B102" s="4" t="inlineStr">
        <is>
          <t>Diluted Shares (mm)</t>
        </is>
      </c>
      <c r="C102" s="33">
        <f>Inputs!F9</f>
        <v/>
      </c>
    </row>
    <row r="103">
      <c r="B103" s="4" t="inlineStr">
        <is>
          <t>Current Share Price</t>
        </is>
      </c>
      <c r="C103" s="11">
        <f>Inputs!E9</f>
        <v/>
      </c>
    </row>
    <row r="104"/>
    <row r="105">
      <c r="B105" s="4" t="inlineStr">
        <is>
          <t>Applied EV/NTM EBITDA multiple</t>
        </is>
      </c>
      <c r="C105" s="27">
        <f>Comps!J36</f>
        <v/>
      </c>
      <c r="D105" s="27">
        <f>Comps!J35</f>
        <v/>
      </c>
      <c r="E105" s="27">
        <f>Comps!J33</f>
        <v/>
      </c>
    </row>
    <row r="106">
      <c r="B106" s="4" t="inlineStr">
        <is>
          <t>Implied EV ($mm)</t>
        </is>
      </c>
      <c r="C106" s="25">
        <f>C105*$C$99</f>
        <v/>
      </c>
      <c r="D106" s="25">
        <f>D105*$C$99</f>
        <v/>
      </c>
      <c r="E106" s="25">
        <f>E105*$C$99</f>
        <v/>
      </c>
    </row>
    <row r="107">
      <c r="B107" s="4" t="inlineStr">
        <is>
          <t>Less: Net Debt ($mm)</t>
        </is>
      </c>
      <c r="C107" s="25">
        <f>-$C$101</f>
        <v/>
      </c>
      <c r="D107" s="25">
        <f>-$C$101</f>
        <v/>
      </c>
      <c r="E107" s="25">
        <f>-$C$101</f>
        <v/>
      </c>
    </row>
    <row r="108">
      <c r="B108" s="4" t="inlineStr">
        <is>
          <t>Implied Equity Value ($mm)</t>
        </is>
      </c>
      <c r="C108" s="25">
        <f>C106+C107</f>
        <v/>
      </c>
      <c r="D108" s="25">
        <f>D106+D107</f>
        <v/>
      </c>
      <c r="E108" s="25">
        <f>E106+E107</f>
        <v/>
      </c>
    </row>
    <row r="109">
      <c r="B109" s="10" t="inlineStr">
        <is>
          <t>Implied Share Price (EV/EBITDA method)</t>
        </is>
      </c>
      <c r="C109" s="34">
        <f>C108/$C$102</f>
        <v/>
      </c>
      <c r="D109" s="34">
        <f>D108/$C$102</f>
        <v/>
      </c>
      <c r="E109" s="34">
        <f>E108/$C$102</f>
        <v/>
      </c>
    </row>
    <row r="110"/>
    <row r="111">
      <c r="B111" s="4" t="inlineStr">
        <is>
          <t>Applied EV/NTM Revenue multiple</t>
        </is>
      </c>
      <c r="C111" s="27">
        <f>Comps!H36</f>
        <v/>
      </c>
      <c r="D111" s="27">
        <f>Comps!H35</f>
        <v/>
      </c>
      <c r="E111" s="27">
        <f>Comps!H33</f>
        <v/>
      </c>
    </row>
    <row r="112">
      <c r="B112" s="4" t="inlineStr">
        <is>
          <t>Implied EV ($mm)</t>
        </is>
      </c>
      <c r="C112" s="25">
        <f>C111*$C$98</f>
        <v/>
      </c>
      <c r="D112" s="25">
        <f>D111*$C$98</f>
        <v/>
      </c>
      <c r="E112" s="25">
        <f>E111*$C$98</f>
        <v/>
      </c>
    </row>
    <row r="113">
      <c r="B113" s="4" t="inlineStr">
        <is>
          <t>Less: Net Debt ($mm)</t>
        </is>
      </c>
      <c r="C113" s="25">
        <f>-$C$101</f>
        <v/>
      </c>
      <c r="D113" s="25">
        <f>-$C$101</f>
        <v/>
      </c>
      <c r="E113" s="25">
        <f>-$C$101</f>
        <v/>
      </c>
    </row>
    <row r="114">
      <c r="B114" s="4" t="inlineStr">
        <is>
          <t>Implied Equity Value ($mm)</t>
        </is>
      </c>
      <c r="C114" s="25">
        <f>C112+C113</f>
        <v/>
      </c>
      <c r="D114" s="25">
        <f>D112+D113</f>
        <v/>
      </c>
      <c r="E114" s="25">
        <f>E112+E113</f>
        <v/>
      </c>
    </row>
    <row r="115">
      <c r="B115" s="10" t="inlineStr">
        <is>
          <t>Implied Share Price (EV/Revenue method)</t>
        </is>
      </c>
      <c r="C115" s="34">
        <f>C114/$C$102</f>
        <v/>
      </c>
      <c r="D115" s="34">
        <f>D114/$C$102</f>
        <v/>
      </c>
      <c r="E115" s="34">
        <f>E114/$C$102</f>
        <v/>
      </c>
    </row>
    <row r="116"/>
    <row r="117">
      <c r="B117" s="4" t="inlineStr">
        <is>
          <t>Applied P/NTM E multiple</t>
        </is>
      </c>
      <c r="C117" s="27">
        <f>Comps!L36</f>
        <v/>
      </c>
      <c r="D117" s="27">
        <f>Comps!L35</f>
        <v/>
      </c>
      <c r="E117" s="27">
        <f>Comps!L33</f>
        <v/>
      </c>
    </row>
    <row r="118">
      <c r="B118" s="10" t="inlineStr">
        <is>
          <t>Implied Share Price (P/E method)</t>
        </is>
      </c>
      <c r="C118" s="34">
        <f>C117*$C$100</f>
        <v/>
      </c>
      <c r="D118" s="34">
        <f>D117*$C$100</f>
        <v/>
      </c>
      <c r="E118" s="34">
        <f>E117*$C$100</f>
        <v/>
      </c>
    </row>
    <row r="119"/>
    <row r="120">
      <c r="B120" s="4" t="inlineStr">
        <is>
          <t>Memo: Current Share Price</t>
        </is>
      </c>
      <c r="C120" s="35">
        <f>$C$103</f>
        <v/>
      </c>
      <c r="D120" s="35">
        <f>$C$103</f>
        <v/>
      </c>
      <c r="E120" s="35">
        <f>$C$103</f>
        <v/>
      </c>
    </row>
    <row r="121">
      <c r="B121" s="4" t="inlineStr">
        <is>
          <t>Implied Upside/(Downside) vs. Current (EV/EBITDA)</t>
        </is>
      </c>
      <c r="C121" s="29">
        <f>C109/$C$103-1</f>
        <v/>
      </c>
      <c r="D121" s="29">
        <f>D109/$C$103-1</f>
        <v/>
      </c>
      <c r="E121" s="29">
        <f>E109/$C$103-1</f>
        <v/>
      </c>
    </row>
    <row r="122">
      <c r="B122" s="4" t="inlineStr">
        <is>
          <t>Implied Upside/(Downside) vs. Current (EV/Revenue)</t>
        </is>
      </c>
      <c r="C122" s="29">
        <f>C115/$C$103-1</f>
        <v/>
      </c>
      <c r="D122" s="29">
        <f>D115/$C$103-1</f>
        <v/>
      </c>
      <c r="E122" s="29">
        <f>E115/$C$103-1</f>
        <v/>
      </c>
    </row>
    <row r="123">
      <c r="B123" s="4" t="inlineStr">
        <is>
          <t>Implied Upside/(Downside) vs. Current (P/E)</t>
        </is>
      </c>
      <c r="C123" s="29">
        <f>C118/$C$103-1</f>
        <v/>
      </c>
      <c r="D123" s="29">
        <f>D118/$C$103-1</f>
        <v/>
      </c>
      <c r="E123" s="29">
        <f>E118/$C$103-1</f>
        <v/>
      </c>
    </row>
  </sheetData>
  <mergeCells count="1">
    <mergeCell ref="B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8" min="1" max="1"/>
    <col width="30" customWidth="1" style="38" min="2" max="2"/>
    <col width="13" customWidth="1" style="38" min="3" max="4"/>
    <col width="4" customWidth="1" style="38" min="5" max="5"/>
    <col width="11" customWidth="1" style="38" min="6" max="6"/>
    <col width="60" customWidth="1" style="38" min="7" max="7"/>
    <col hidden="1" width="12" customWidth="1" style="38" min="9" max="10"/>
  </cols>
  <sheetData>
    <row r="1"/>
    <row r="2" ht="18" customHeight="1" s="38">
      <c r="B2" s="1" t="inlineStr">
        <is>
          <t>Football Field - Valuation Summary (4 DCF-Suite Subjects)</t>
        </is>
      </c>
    </row>
    <row r="3">
      <c r="B3" s="2" t="inlineStr">
        <is>
          <t>($ per share; ranges = low/high across the methods below; current price shown as a reference row/marker)</t>
        </is>
      </c>
    </row>
    <row r="4" ht="34" customHeight="1" s="38">
      <c r="B4" s="40" t="inlineStr">
        <is>
          <t>Rows 1-4 per subject are live formulas linking to this workbook's own Inputs/ImpliedVal tabs. Rows 5-6 (DCF range, Precedent Transactions range) are SOURCED BLUE INPUTS transcribed from the completed DCF and Precedent Transactions workbooks per the master-spec convention that bans cross-workbook links (they break on file move). See the note column for exact source/method on each row.</t>
        </is>
      </c>
    </row>
    <row r="5"/>
    <row r="6">
      <c r="B6" s="5" t="inlineStr">
        <is>
          <t>MSFT - Microsoft Corporation  (current price = $483.24)</t>
        </is>
      </c>
      <c r="C6" s="5" t="n"/>
      <c r="D6" s="5" t="n"/>
      <c r="E6" s="5" t="n"/>
      <c r="F6" s="5" t="n"/>
      <c r="G6" s="5" t="n"/>
    </row>
    <row r="7" ht="28" customHeight="1" s="38">
      <c r="B7" s="13" t="inlineStr">
        <is>
          <t>Range</t>
        </is>
      </c>
      <c r="C7" s="13" t="inlineStr">
        <is>
          <t>Low</t>
        </is>
      </c>
      <c r="D7" s="13" t="inlineStr">
        <is>
          <t>High</t>
        </is>
      </c>
      <c r="G7" s="13" t="inlineStr">
        <is>
          <t>Notes</t>
        </is>
      </c>
      <c r="I7" s="13" t="inlineStr">
        <is>
          <t>Low (chart spacer)</t>
        </is>
      </c>
      <c r="J7" s="13" t="inlineStr">
        <is>
          <t>Range (High-Low, chart)</t>
        </is>
      </c>
    </row>
    <row r="8">
      <c r="B8" s="4" t="inlineStr">
        <is>
          <t>52-Week Trading Range</t>
        </is>
      </c>
      <c r="C8" s="11">
        <f>Inputs!Q6</f>
        <v/>
      </c>
      <c r="D8" s="11">
        <f>Inputs!R6</f>
        <v/>
      </c>
      <c r="G8" s="39" t="inlineStr">
        <is>
          <t>Green link from Inputs tab (52-wk low/high, as of 8/21/26).</t>
        </is>
      </c>
      <c r="I8" s="35">
        <f>C8</f>
        <v/>
      </c>
      <c r="J8" s="35">
        <f>D8-C8</f>
        <v/>
      </c>
    </row>
    <row r="9">
      <c r="B9" s="4" t="inlineStr">
        <is>
          <t>Comps - EV / NTM EBITDA (25th-75th)</t>
        </is>
      </c>
      <c r="C9" s="11">
        <f>ImpliedVal!C19</f>
        <v/>
      </c>
      <c r="D9" s="11">
        <f>ImpliedVal!E19</f>
        <v/>
      </c>
      <c r="G9" s="39" t="inlineStr">
        <is>
          <t>Green link from ImpliedVal tab (25th/75th implied price, EV/EBITDA method).</t>
        </is>
      </c>
      <c r="I9" s="35">
        <f>C9</f>
        <v/>
      </c>
      <c r="J9" s="35">
        <f>D9-C9</f>
        <v/>
      </c>
    </row>
    <row r="10">
      <c r="B10" s="4" t="inlineStr">
        <is>
          <t>Comps - P / NTM E (25th-75th)</t>
        </is>
      </c>
      <c r="C10" s="11">
        <f>ImpliedVal!C28</f>
        <v/>
      </c>
      <c r="D10" s="11">
        <f>ImpliedVal!E28</f>
        <v/>
      </c>
      <c r="G10" s="39" t="inlineStr">
        <is>
          <t>Green link from ImpliedVal tab (25th/75th implied price, P/E method).</t>
        </is>
      </c>
      <c r="I10" s="35">
        <f>C10</f>
        <v/>
      </c>
      <c r="J10" s="35">
        <f>D10-C10</f>
        <v/>
      </c>
    </row>
    <row r="11">
      <c r="B11" s="4" t="inlineStr">
        <is>
          <t>Comps - EV / NTM Revenue (25th-75th)</t>
        </is>
      </c>
      <c r="C11" s="11">
        <f>ImpliedVal!C25</f>
        <v/>
      </c>
      <c r="D11" s="11">
        <f>ImpliedVal!E25</f>
        <v/>
      </c>
      <c r="G11" s="39" t="inlineStr">
        <is>
          <t>Green link from ImpliedVal tab (25th/75th implied price, EV/Revenue method).</t>
        </is>
      </c>
      <c r="I11" s="35">
        <f>C11</f>
        <v/>
      </c>
      <c r="J11" s="35">
        <f>D11-C11</f>
        <v/>
      </c>
    </row>
    <row r="12" ht="39" customHeight="1" s="38">
      <c r="B12" s="4" t="inlineStr">
        <is>
          <t>DCF Range (Gordon low / Exit-multiple high)</t>
        </is>
      </c>
      <c r="C12" s="14" t="n">
        <v>246.74</v>
      </c>
      <c r="D12" s="14" t="n">
        <v>514.1</v>
      </c>
      <c r="G12" s="39" t="inlineStr">
        <is>
          <t>Source: Akul Veauli - DCF Model (Microsoft Corporation).xlsx - Gordon Growth method (low) / Exit Multiple method (high) implied share price. Sourced blue input per master-spec (cross-workbook links banned).</t>
        </is>
      </c>
      <c r="I12" s="35">
        <f>C12</f>
        <v/>
      </c>
      <c r="J12" s="35">
        <f>D12-C12</f>
        <v/>
      </c>
    </row>
    <row r="13" ht="117" customHeight="1" s="38">
      <c r="B13" s="4" t="inlineStr">
        <is>
          <t>Precedent Transactions (EV/EBITDA 25th-75th)</t>
        </is>
      </c>
      <c r="C13" s="14" t="n">
        <v>475.56</v>
      </c>
      <c r="D13" s="14" t="n">
        <v>961.58</v>
      </c>
      <c r="G13" s="39" t="inlineStr">
        <is>
          <t>Source: Akul Veauli - Precedent Transactions.xlsx, ImpliedVal tab (transcribed; per master-spec convention, cross-workbook links are banned). Method = EV/LTM EBITDA applied to subject LTM EBITDA (per this workbook's Inputs tab), using the Precedents core-set (n=10 of 12 deals) 25th-75th pctile multiple range (18.0x-36.6x). Range is wide because the core set's 75th pctile is pulled up by thin-EBITDA outlier deals (Twitter/X ~67.5x, MSFT/Activision ~39.7x); 25th pctile (~18.0x) is anchored by cleaner large-cap software/hardware deals (Broadcom/VMware ~16.8x, Mellanox ~18.4x). Precedent ranges embed a control premium and sit above trading-comps (minority-stake) ranges by construction.</t>
        </is>
      </c>
      <c r="I13" s="35">
        <f>C13</f>
        <v/>
      </c>
      <c r="J13" s="35">
        <f>D13-C13</f>
        <v/>
      </c>
    </row>
    <row r="14">
      <c r="B14" s="10" t="inlineStr">
        <is>
          <t>Current Share Price (reference marker)</t>
        </is>
      </c>
      <c r="C14" s="36">
        <f>Comps!D6</f>
        <v/>
      </c>
    </row>
    <row r="15"/>
    <row r="16">
      <c r="B16" s="5" t="inlineStr">
        <is>
          <t>NVDA - NVIDIA Corporation  (current price = $214.72)</t>
        </is>
      </c>
      <c r="C16" s="5" t="n"/>
      <c r="D16" s="5" t="n"/>
      <c r="E16" s="5" t="n"/>
      <c r="F16" s="5" t="n"/>
      <c r="G16" s="5" t="n"/>
    </row>
    <row r="17" ht="28" customHeight="1" s="38">
      <c r="B17" s="13" t="inlineStr">
        <is>
          <t>Range</t>
        </is>
      </c>
      <c r="C17" s="13" t="inlineStr">
        <is>
          <t>Low</t>
        </is>
      </c>
      <c r="D17" s="13" t="inlineStr">
        <is>
          <t>High</t>
        </is>
      </c>
      <c r="G17" s="13" t="inlineStr">
        <is>
          <t>Notes</t>
        </is>
      </c>
      <c r="I17" s="13" t="inlineStr">
        <is>
          <t>Low (chart spacer)</t>
        </is>
      </c>
      <c r="J17" s="13" t="inlineStr">
        <is>
          <t>Range (High-Low, chart)</t>
        </is>
      </c>
    </row>
    <row r="18">
      <c r="B18" s="4" t="inlineStr">
        <is>
          <t>52-Week Trading Range</t>
        </is>
      </c>
      <c r="C18" s="11">
        <f>Inputs!Q7</f>
        <v/>
      </c>
      <c r="D18" s="11">
        <f>Inputs!R7</f>
        <v/>
      </c>
      <c r="G18" s="39" t="inlineStr">
        <is>
          <t>Green link from Inputs tab (52-wk low/high, as of 8/21/26).</t>
        </is>
      </c>
      <c r="I18" s="35">
        <f>C18</f>
        <v/>
      </c>
      <c r="J18" s="35">
        <f>D18-C18</f>
        <v/>
      </c>
    </row>
    <row r="19">
      <c r="B19" s="4" t="inlineStr">
        <is>
          <t>Comps - EV / NTM EBITDA (25th-75th)</t>
        </is>
      </c>
      <c r="C19" s="11">
        <f>ImpliedVal!C49</f>
        <v/>
      </c>
      <c r="D19" s="11">
        <f>ImpliedVal!E49</f>
        <v/>
      </c>
      <c r="G19" s="39" t="inlineStr">
        <is>
          <t>Green link from ImpliedVal tab (25th/75th implied price, EV/EBITDA method).</t>
        </is>
      </c>
      <c r="I19" s="35">
        <f>C19</f>
        <v/>
      </c>
      <c r="J19" s="35">
        <f>D19-C19</f>
        <v/>
      </c>
    </row>
    <row r="20">
      <c r="B20" s="4" t="inlineStr">
        <is>
          <t>Comps - P / NTM E (25th-75th)</t>
        </is>
      </c>
      <c r="C20" s="11">
        <f>ImpliedVal!C58</f>
        <v/>
      </c>
      <c r="D20" s="11">
        <f>ImpliedVal!E58</f>
        <v/>
      </c>
      <c r="G20" s="39" t="inlineStr">
        <is>
          <t>Green link from ImpliedVal tab (25th/75th implied price, P/E method).</t>
        </is>
      </c>
      <c r="I20" s="35">
        <f>C20</f>
        <v/>
      </c>
      <c r="J20" s="35">
        <f>D20-C20</f>
        <v/>
      </c>
    </row>
    <row r="21">
      <c r="B21" s="4" t="inlineStr">
        <is>
          <t>Comps - EV / NTM Revenue (25th-75th)</t>
        </is>
      </c>
      <c r="C21" s="11">
        <f>ImpliedVal!C55</f>
        <v/>
      </c>
      <c r="D21" s="11">
        <f>ImpliedVal!E55</f>
        <v/>
      </c>
      <c r="G21" s="39" t="inlineStr">
        <is>
          <t>Green link from ImpliedVal tab (25th/75th implied price, EV/Revenue method).</t>
        </is>
      </c>
      <c r="I21" s="35">
        <f>C21</f>
        <v/>
      </c>
      <c r="J21" s="35">
        <f>D21-C21</f>
        <v/>
      </c>
    </row>
    <row r="22" ht="39" customHeight="1" s="38">
      <c r="B22" s="4" t="inlineStr">
        <is>
          <t>DCF Range (Gordon low / Exit-multiple high)</t>
        </is>
      </c>
      <c r="C22" s="14" t="n">
        <v>96.93000000000001</v>
      </c>
      <c r="D22" s="14" t="n">
        <v>179.08</v>
      </c>
      <c r="G22" s="39" t="inlineStr">
        <is>
          <t>Source: Akul Veauli - DCF Model (NVIDIA Corporation).xlsx - Gordon Growth method (low) / Exit Multiple method (high) implied share price. Sourced blue input per master-spec (cross-workbook links banned).</t>
        </is>
      </c>
      <c r="I22" s="35">
        <f>C22</f>
        <v/>
      </c>
      <c r="J22" s="35">
        <f>D22-C22</f>
        <v/>
      </c>
    </row>
    <row r="23" ht="117" customHeight="1" s="38">
      <c r="B23" s="4" t="inlineStr">
        <is>
          <t>Precedent Transactions (EV/EBITDA 25th-75th)</t>
        </is>
      </c>
      <c r="C23" s="14" t="n">
        <v>101.32</v>
      </c>
      <c r="D23" s="14" t="n">
        <v>203.76</v>
      </c>
      <c r="G23" s="39" t="inlineStr">
        <is>
          <t>Source: Akul Veauli - Precedent Transactions.xlsx, ImpliedVal tab (transcribed; per master-spec convention, cross-workbook links are banned). Method = EV/LTM EBITDA applied to subject LTM EBITDA (per this workbook's Inputs tab), using the Precedents core-set (n=10 of 12 deals) 25th-75th pctile multiple range (18.0x-36.6x). Range is wide because the core set's 75th pctile is pulled up by thin-EBITDA outlier deals (Twitter/X ~67.5x, MSFT/Activision ~39.7x); 25th pctile (~18.0x) is anchored by cleaner large-cap software/hardware deals (Broadcom/VMware ~16.8x, Mellanox ~18.4x). Precedent ranges embed a control premium and sit above trading-comps (minority-stake) ranges by construction.</t>
        </is>
      </c>
      <c r="I23" s="35">
        <f>C23</f>
        <v/>
      </c>
      <c r="J23" s="35">
        <f>D23-C23</f>
        <v/>
      </c>
    </row>
    <row r="24">
      <c r="B24" s="10" t="inlineStr">
        <is>
          <t>Current Share Price (reference marker)</t>
        </is>
      </c>
      <c r="C24" s="36">
        <f>Comps!D7</f>
        <v/>
      </c>
    </row>
    <row r="25"/>
    <row r="26">
      <c r="B26" s="5" t="inlineStr">
        <is>
          <t>AAPL - Apple Inc.  (current price = $309.35)</t>
        </is>
      </c>
      <c r="C26" s="5" t="n"/>
      <c r="D26" s="5" t="n"/>
      <c r="E26" s="5" t="n"/>
      <c r="F26" s="5" t="n"/>
      <c r="G26" s="5" t="n"/>
    </row>
    <row r="27" ht="28" customHeight="1" s="38">
      <c r="B27" s="13" t="inlineStr">
        <is>
          <t>Range</t>
        </is>
      </c>
      <c r="C27" s="13" t="inlineStr">
        <is>
          <t>Low</t>
        </is>
      </c>
      <c r="D27" s="13" t="inlineStr">
        <is>
          <t>High</t>
        </is>
      </c>
      <c r="G27" s="13" t="inlineStr">
        <is>
          <t>Notes</t>
        </is>
      </c>
      <c r="I27" s="13" t="inlineStr">
        <is>
          <t>Low (chart spacer)</t>
        </is>
      </c>
      <c r="J27" s="13" t="inlineStr">
        <is>
          <t>Range (High-Low, chart)</t>
        </is>
      </c>
    </row>
    <row r="28">
      <c r="B28" s="4" t="inlineStr">
        <is>
          <t>52-Week Trading Range</t>
        </is>
      </c>
      <c r="C28" s="11">
        <f>Inputs!Q8</f>
        <v/>
      </c>
      <c r="D28" s="11">
        <f>Inputs!R8</f>
        <v/>
      </c>
      <c r="G28" s="39" t="inlineStr">
        <is>
          <t>Green link from Inputs tab (52-wk low/high, as of 8/21/26).</t>
        </is>
      </c>
      <c r="I28" s="35">
        <f>C28</f>
        <v/>
      </c>
      <c r="J28" s="35">
        <f>D28-C28</f>
        <v/>
      </c>
    </row>
    <row r="29">
      <c r="B29" s="4" t="inlineStr">
        <is>
          <t>Comps - EV / NTM EBITDA (25th-75th)</t>
        </is>
      </c>
      <c r="C29" s="11">
        <f>ImpliedVal!C79</f>
        <v/>
      </c>
      <c r="D29" s="11">
        <f>ImpliedVal!E79</f>
        <v/>
      </c>
      <c r="G29" s="39" t="inlineStr">
        <is>
          <t>Green link from ImpliedVal tab (25th/75th implied price, EV/EBITDA method).</t>
        </is>
      </c>
      <c r="I29" s="35">
        <f>C29</f>
        <v/>
      </c>
      <c r="J29" s="35">
        <f>D29-C29</f>
        <v/>
      </c>
    </row>
    <row r="30">
      <c r="B30" s="4" t="inlineStr">
        <is>
          <t>Comps - P / NTM E (25th-75th)</t>
        </is>
      </c>
      <c r="C30" s="11">
        <f>ImpliedVal!C88</f>
        <v/>
      </c>
      <c r="D30" s="11">
        <f>ImpliedVal!E88</f>
        <v/>
      </c>
      <c r="G30" s="39" t="inlineStr">
        <is>
          <t>Green link from ImpliedVal tab (25th/75th implied price, P/E method).</t>
        </is>
      </c>
      <c r="I30" s="35">
        <f>C30</f>
        <v/>
      </c>
      <c r="J30" s="35">
        <f>D30-C30</f>
        <v/>
      </c>
    </row>
    <row r="31">
      <c r="B31" s="4" t="inlineStr">
        <is>
          <t>Comps - EV / NTM Revenue (25th-75th)</t>
        </is>
      </c>
      <c r="C31" s="11">
        <f>ImpliedVal!C85</f>
        <v/>
      </c>
      <c r="D31" s="11">
        <f>ImpliedVal!E85</f>
        <v/>
      </c>
      <c r="G31" s="39" t="inlineStr">
        <is>
          <t>Green link from ImpliedVal tab (25th/75th implied price, EV/Revenue method).</t>
        </is>
      </c>
      <c r="I31" s="35">
        <f>C31</f>
        <v/>
      </c>
      <c r="J31" s="35">
        <f>D31-C31</f>
        <v/>
      </c>
    </row>
    <row r="32" ht="39" customHeight="1" s="38">
      <c r="B32" s="4" t="inlineStr">
        <is>
          <t>DCF Range (Gordon low / Exit-multiple high)</t>
        </is>
      </c>
      <c r="C32" s="14" t="n">
        <v>124.77</v>
      </c>
      <c r="D32" s="14" t="n">
        <v>136.49</v>
      </c>
      <c r="G32" s="39" t="inlineStr">
        <is>
          <t>Source: Akul Veauli - DCF Model (Apple Inc.).xlsx - Gordon Growth method (low) / Exit Multiple method (high) implied share price. Sourced blue input per master-spec (cross-workbook links banned).</t>
        </is>
      </c>
      <c r="I32" s="35">
        <f>C32</f>
        <v/>
      </c>
      <c r="J32" s="35">
        <f>D32-C32</f>
        <v/>
      </c>
    </row>
    <row r="33" ht="117" customHeight="1" s="38">
      <c r="B33" s="4" t="inlineStr">
        <is>
          <t>Precedent Transactions (EV/EBITDA 25th-75th)</t>
        </is>
      </c>
      <c r="C33" s="14" t="n">
        <v>182.08</v>
      </c>
      <c r="D33" s="14" t="n">
        <v>366.57</v>
      </c>
      <c r="G33" s="39" t="inlineStr">
        <is>
          <t>Source: Akul Veauli - Precedent Transactions.xlsx, ImpliedVal tab (transcribed; per master-spec convention, cross-workbook links are banned). Method = EV/LTM EBITDA applied to subject LTM EBITDA (per this workbook's Inputs tab), using the Precedents core-set (n=10 of 12 deals) 25th-75th pctile multiple range (18.0x-36.6x). Range is wide because the core set's 75th pctile is pulled up by thin-EBITDA outlier deals (Twitter/X ~67.5x, MSFT/Activision ~39.7x); 25th pctile (~18.0x) is anchored by cleaner large-cap software/hardware deals (Broadcom/VMware ~16.8x, Mellanox ~18.4x). Precedent ranges embed a control premium and sit above trading-comps (minority-stake) ranges by construction.</t>
        </is>
      </c>
      <c r="I33" s="35">
        <f>C33</f>
        <v/>
      </c>
      <c r="J33" s="35">
        <f>D33-C33</f>
        <v/>
      </c>
    </row>
    <row r="34">
      <c r="B34" s="10" t="inlineStr">
        <is>
          <t>Current Share Price (reference marker)</t>
        </is>
      </c>
      <c r="C34" s="36">
        <f>Comps!D8</f>
        <v/>
      </c>
    </row>
    <row r="35"/>
    <row r="36">
      <c r="B36" s="5" t="inlineStr">
        <is>
          <t>GOOGL - Alphabet Inc.  (current price = $344.82)</t>
        </is>
      </c>
      <c r="C36" s="5" t="n"/>
      <c r="D36" s="5" t="n"/>
      <c r="E36" s="5" t="n"/>
      <c r="F36" s="5" t="n"/>
      <c r="G36" s="5" t="n"/>
    </row>
    <row r="37" ht="28" customHeight="1" s="38">
      <c r="B37" s="13" t="inlineStr">
        <is>
          <t>Range</t>
        </is>
      </c>
      <c r="C37" s="13" t="inlineStr">
        <is>
          <t>Low</t>
        </is>
      </c>
      <c r="D37" s="13" t="inlineStr">
        <is>
          <t>High</t>
        </is>
      </c>
      <c r="G37" s="13" t="inlineStr">
        <is>
          <t>Notes</t>
        </is>
      </c>
      <c r="I37" s="13" t="inlineStr">
        <is>
          <t>Low (chart spacer)</t>
        </is>
      </c>
      <c r="J37" s="13" t="inlineStr">
        <is>
          <t>Range (High-Low, chart)</t>
        </is>
      </c>
    </row>
    <row r="38">
      <c r="B38" s="4" t="inlineStr">
        <is>
          <t>52-Week Trading Range</t>
        </is>
      </c>
      <c r="C38" s="11">
        <f>Inputs!Q9</f>
        <v/>
      </c>
      <c r="D38" s="11">
        <f>Inputs!R9</f>
        <v/>
      </c>
      <c r="G38" s="39" t="inlineStr">
        <is>
          <t>Green link from Inputs tab (52-wk low/high, as of 8/21/26).</t>
        </is>
      </c>
      <c r="I38" s="35">
        <f>C38</f>
        <v/>
      </c>
      <c r="J38" s="35">
        <f>D38-C38</f>
        <v/>
      </c>
    </row>
    <row r="39">
      <c r="B39" s="4" t="inlineStr">
        <is>
          <t>Comps - EV / NTM EBITDA (25th-75th)</t>
        </is>
      </c>
      <c r="C39" s="11">
        <f>ImpliedVal!C109</f>
        <v/>
      </c>
      <c r="D39" s="11">
        <f>ImpliedVal!E109</f>
        <v/>
      </c>
      <c r="G39" s="39" t="inlineStr">
        <is>
          <t>Green link from ImpliedVal tab (25th/75th implied price, EV/EBITDA method).</t>
        </is>
      </c>
      <c r="I39" s="35">
        <f>C39</f>
        <v/>
      </c>
      <c r="J39" s="35">
        <f>D39-C39</f>
        <v/>
      </c>
    </row>
    <row r="40">
      <c r="B40" s="4" t="inlineStr">
        <is>
          <t>Comps - P / NTM E (25th-75th)</t>
        </is>
      </c>
      <c r="C40" s="11">
        <f>ImpliedVal!C118</f>
        <v/>
      </c>
      <c r="D40" s="11">
        <f>ImpliedVal!E118</f>
        <v/>
      </c>
      <c r="G40" s="39" t="inlineStr">
        <is>
          <t>Green link from ImpliedVal tab (25th/75th implied price, P/E method).</t>
        </is>
      </c>
      <c r="I40" s="35">
        <f>C40</f>
        <v/>
      </c>
      <c r="J40" s="35">
        <f>D40-C40</f>
        <v/>
      </c>
    </row>
    <row r="41">
      <c r="B41" s="4" t="inlineStr">
        <is>
          <t>Comps - EV / NTM Revenue (25th-75th)</t>
        </is>
      </c>
      <c r="C41" s="11">
        <f>ImpliedVal!C115</f>
        <v/>
      </c>
      <c r="D41" s="11">
        <f>ImpliedVal!E115</f>
        <v/>
      </c>
      <c r="G41" s="39" t="inlineStr">
        <is>
          <t>Green link from ImpliedVal tab (25th/75th implied price, EV/Revenue method).</t>
        </is>
      </c>
      <c r="I41" s="35">
        <f>C41</f>
        <v/>
      </c>
      <c r="J41" s="35">
        <f>D41-C41</f>
        <v/>
      </c>
    </row>
    <row r="42" ht="39" customHeight="1" s="38">
      <c r="B42" s="4" t="inlineStr">
        <is>
          <t>DCF Range (Gordon low / Exit-multiple high)</t>
        </is>
      </c>
      <c r="C42" s="14" t="n">
        <v>193.21</v>
      </c>
      <c r="D42" s="14" t="n">
        <v>288.64</v>
      </c>
      <c r="G42" s="39" t="inlineStr">
        <is>
          <t>Source: Akul Veauli - DCF Model (Alphabet Inc.).xlsx - Gordon Growth method (low) / Exit Multiple method (high) implied share price. Sourced blue input per master-spec (cross-workbook links banned).</t>
        </is>
      </c>
      <c r="I42" s="35">
        <f>C42</f>
        <v/>
      </c>
      <c r="J42" s="35">
        <f>D42-C42</f>
        <v/>
      </c>
    </row>
    <row r="43" ht="117" customHeight="1" s="38">
      <c r="B43" s="4" t="inlineStr">
        <is>
          <t>Precedent Transactions (EV/EBITDA 25th-75th)</t>
        </is>
      </c>
      <c r="C43" s="14" t="n">
        <v>219.58</v>
      </c>
      <c r="D43" s="14" t="n">
        <v>433.27</v>
      </c>
      <c r="G43" s="39" t="inlineStr">
        <is>
          <t>Source: Akul Veauli - Precedent Transactions.xlsx, ImpliedVal tab (transcribed; per master-spec convention, cross-workbook links are banned). Method = EV/LTM EBITDA applied to subject LTM EBITDA (per this workbook's Inputs tab), using the Precedents core-set (n=10 of 12 deals) 25th-75th pctile multiple range (18.0x-36.6x). Range is wide because the core set's 75th pctile is pulled up by thin-EBITDA outlier deals (Twitter/X ~67.5x, MSFT/Activision ~39.7x); 25th pctile (~18.0x) is anchored by cleaner large-cap software/hardware deals (Broadcom/VMware ~16.8x, Mellanox ~18.4x). Precedent ranges embed a control premium and sit above trading-comps (minority-stake) ranges by construction.</t>
        </is>
      </c>
      <c r="I43" s="35">
        <f>C43</f>
        <v/>
      </c>
      <c r="J43" s="35">
        <f>D43-C43</f>
        <v/>
      </c>
    </row>
    <row r="44">
      <c r="B44" s="10" t="inlineStr">
        <is>
          <t>Current Share Price (reference marker)</t>
        </is>
      </c>
      <c r="C44" s="36">
        <f>Comps!D9</f>
        <v/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40" customHeight="1" s="38">
      <c r="B63" s="40" t="inlineStr">
        <is>
          <t>Chart note: charts are presentation only, not load-bearing (per spec). The data TABLE (columns B-D, notes in G) is the deliverable; helper columns I-J (hidden) exist only to drive the stacked horizontal bar visualization (invisible 'Low' spacer series + visible 'High-Low' range series). Current price is shown as a bold reference row beneath each table (chart marker line omitted per spec's acceptable fallback).</t>
        </is>
      </c>
    </row>
  </sheetData>
  <mergeCells count="2">
    <mergeCell ref="B4:G4"/>
    <mergeCell ref="B63:G6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2026-08-23T05:51:04Z</dcterms:created>
  <dcterms:modified xmlns:dcterms="http://purl.org/dc/terms/" xmlns:xsi="http://www.w3.org/2001/XMLSchema-instance" xsi:type="dcterms:W3CDTF">2026-08-27T05:39:42Z</dcterms:modified>
  <cp:lastModifiedBy>Akul Veauli</cp:lastModifiedBy>
</cp:coreProperties>
</file>