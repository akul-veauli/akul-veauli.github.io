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Rebuilt Models - Akul Veauli/"/>
    </mc:Choice>
  </mc:AlternateContent>
  <xr:revisionPtr revIDLastSave="0" documentId="13_ncr:1_{F5478245-7980-A84A-AD6E-D78811104858}" xr6:coauthVersionLast="47" xr6:coauthVersionMax="47" xr10:uidLastSave="{00000000-0000-0000-0000-000000000000}"/>
  <bookViews>
    <workbookView xWindow="0" yWindow="760" windowWidth="29400" windowHeight="16860" activeTab="4" xr2:uid="{00000000-000D-0000-FFFF-FFFF00000000}"/>
  </bookViews>
  <sheets>
    <sheet name="Cover" sheetId="1" r:id="rId1"/>
    <sheet name="Assumptions" sheetId="2" r:id="rId2"/>
    <sheet name="Sources-Uses" sheetId="3" r:id="rId3"/>
    <sheet name="Model" sheetId="4" r:id="rId4"/>
    <sheet name="DebtSchedule" sheetId="5" r:id="rId5"/>
    <sheet name="Returns" sheetId="6" r:id="rId6"/>
    <sheet name="Support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7" l="1"/>
  <c r="D39" i="7"/>
  <c r="D30" i="7"/>
  <c r="D21" i="7"/>
  <c r="D12" i="7"/>
  <c r="D66" i="5"/>
  <c r="D62" i="5"/>
  <c r="D63" i="5" s="1"/>
  <c r="D53" i="5"/>
  <c r="D54" i="5" s="1"/>
  <c r="D48" i="5"/>
  <c r="D45" i="5"/>
  <c r="D44" i="5"/>
  <c r="D39" i="5"/>
  <c r="D35" i="5"/>
  <c r="D26" i="5"/>
  <c r="D17" i="5"/>
  <c r="D21" i="5" s="1"/>
  <c r="J11" i="5"/>
  <c r="I11" i="5"/>
  <c r="H11" i="5"/>
  <c r="G11" i="5"/>
  <c r="F11" i="5"/>
  <c r="E11" i="5"/>
  <c r="D11" i="5"/>
  <c r="D8" i="5"/>
  <c r="F12" i="4"/>
  <c r="E12" i="4"/>
  <c r="M10" i="4"/>
  <c r="L10" i="4"/>
  <c r="K10" i="4"/>
  <c r="J10" i="4"/>
  <c r="I10" i="4"/>
  <c r="H10" i="4"/>
  <c r="G10" i="4"/>
  <c r="F10" i="4"/>
  <c r="E10" i="4"/>
  <c r="M8" i="4"/>
  <c r="L8" i="4"/>
  <c r="K8" i="4"/>
  <c r="J8" i="4"/>
  <c r="I8" i="4"/>
  <c r="H8" i="4"/>
  <c r="G8" i="4"/>
  <c r="G7" i="4" s="1"/>
  <c r="F8" i="4"/>
  <c r="E8" i="4"/>
  <c r="D19" i="3"/>
  <c r="D18" i="3"/>
  <c r="D12" i="3"/>
  <c r="D11" i="3"/>
  <c r="D10" i="3"/>
  <c r="D9" i="3"/>
  <c r="D8" i="3"/>
  <c r="D7" i="3"/>
  <c r="I28" i="2"/>
  <c r="C28" i="2"/>
  <c r="E27" i="2"/>
  <c r="F27" i="2" s="1"/>
  <c r="E26" i="2"/>
  <c r="F26" i="2" s="1"/>
  <c r="E25" i="2"/>
  <c r="F25" i="2" s="1"/>
  <c r="I24" i="2"/>
  <c r="E24" i="2"/>
  <c r="F24" i="2" s="1"/>
  <c r="F23" i="2"/>
  <c r="E23" i="2"/>
  <c r="E22" i="2"/>
  <c r="F22" i="2" s="1"/>
  <c r="C30" i="2" s="1"/>
  <c r="C12" i="2"/>
  <c r="D20" i="3" s="1"/>
  <c r="C10" i="2"/>
  <c r="D49" i="7" l="1"/>
  <c r="D31" i="7"/>
  <c r="D40" i="7"/>
  <c r="D21" i="3"/>
  <c r="D30" i="3"/>
  <c r="C29" i="2"/>
  <c r="I25" i="2"/>
  <c r="D29" i="3"/>
  <c r="I22" i="2"/>
  <c r="C31" i="2"/>
  <c r="I23" i="2"/>
  <c r="D27" i="5"/>
  <c r="D9" i="5" s="1"/>
  <c r="D30" i="5"/>
  <c r="C27" i="1"/>
  <c r="I26" i="2"/>
  <c r="C14" i="2"/>
  <c r="D23" i="3"/>
  <c r="E19" i="3" s="1"/>
  <c r="D36" i="5"/>
  <c r="G11" i="4"/>
  <c r="G22" i="4" s="1"/>
  <c r="G9" i="4"/>
  <c r="G24" i="4"/>
  <c r="G25" i="4"/>
  <c r="H7" i="4"/>
  <c r="G14" i="4"/>
  <c r="D22" i="7"/>
  <c r="D57" i="5"/>
  <c r="D75" i="5" s="1"/>
  <c r="G13" i="4" s="1"/>
  <c r="G34" i="4" s="1"/>
  <c r="D13" i="7"/>
  <c r="I15" i="4" l="1"/>
  <c r="I23" i="4" s="1"/>
  <c r="H15" i="4"/>
  <c r="H23" i="4" s="1"/>
  <c r="G15" i="4"/>
  <c r="G23" i="4" s="1"/>
  <c r="J15" i="4"/>
  <c r="J23" i="4" s="1"/>
  <c r="E21" i="3"/>
  <c r="L15" i="4"/>
  <c r="L23" i="4" s="1"/>
  <c r="M15" i="4"/>
  <c r="M23" i="4" s="1"/>
  <c r="K15" i="4"/>
  <c r="K23" i="4" s="1"/>
  <c r="E20" i="3"/>
  <c r="H24" i="4"/>
  <c r="H25" i="4"/>
  <c r="H11" i="4"/>
  <c r="H22" i="4" s="1"/>
  <c r="H9" i="4"/>
  <c r="I7" i="4"/>
  <c r="D13" i="3"/>
  <c r="E22" i="3"/>
  <c r="D61" i="6"/>
  <c r="C30" i="1"/>
  <c r="G35" i="4"/>
  <c r="G36" i="4"/>
  <c r="G12" i="4"/>
  <c r="E18" i="3"/>
  <c r="C40" i="6"/>
  <c r="C30" i="6"/>
  <c r="D60" i="6"/>
  <c r="C41" i="6"/>
  <c r="C37" i="6"/>
  <c r="C31" i="6"/>
  <c r="C27" i="6"/>
  <c r="C42" i="6"/>
  <c r="C32" i="6"/>
  <c r="C39" i="6"/>
  <c r="C29" i="6"/>
  <c r="C43" i="6"/>
  <c r="C28" i="1"/>
  <c r="C58" i="2"/>
  <c r="C33" i="6"/>
  <c r="C38" i="6"/>
  <c r="C28" i="6"/>
  <c r="H12" i="4" l="1"/>
  <c r="D62" i="6"/>
  <c r="E12" i="6"/>
  <c r="C18" i="6" s="1"/>
  <c r="D12" i="6"/>
  <c r="F12" i="6"/>
  <c r="E13" i="3"/>
  <c r="C29" i="1"/>
  <c r="D14" i="3"/>
  <c r="D28" i="3" s="1"/>
  <c r="I25" i="4"/>
  <c r="I24" i="4"/>
  <c r="J7" i="4"/>
  <c r="I9" i="4"/>
  <c r="I11" i="4"/>
  <c r="I22" i="4" s="1"/>
  <c r="G16" i="4"/>
  <c r="G27" i="4"/>
  <c r="E8" i="6"/>
  <c r="D8" i="6"/>
  <c r="D50" i="6"/>
  <c r="D36" i="6"/>
  <c r="D26" i="6"/>
  <c r="F8" i="6"/>
  <c r="G50" i="6"/>
  <c r="G36" i="6"/>
  <c r="G26" i="6"/>
  <c r="F50" i="6"/>
  <c r="F36" i="6"/>
  <c r="F26" i="6"/>
  <c r="E50" i="6"/>
  <c r="E36" i="6"/>
  <c r="E26" i="6"/>
  <c r="H50" i="6"/>
  <c r="H36" i="6"/>
  <c r="H26" i="6"/>
  <c r="H27" i="4" l="1"/>
  <c r="J25" i="4"/>
  <c r="J9" i="4"/>
  <c r="J24" i="4"/>
  <c r="J11" i="4"/>
  <c r="J22" i="4" s="1"/>
  <c r="K7" i="4"/>
  <c r="D32" i="7"/>
  <c r="D33" i="7" s="1"/>
  <c r="D34" i="7" s="1"/>
  <c r="E30" i="7" s="1"/>
  <c r="D23" i="7"/>
  <c r="D24" i="7" s="1"/>
  <c r="D25" i="7" s="1"/>
  <c r="E21" i="7" s="1"/>
  <c r="D14" i="7"/>
  <c r="D15" i="7" s="1"/>
  <c r="D16" i="7" s="1"/>
  <c r="E12" i="7" s="1"/>
  <c r="D41" i="7"/>
  <c r="D42" i="7" s="1"/>
  <c r="D43" i="7" s="1"/>
  <c r="E39" i="7" s="1"/>
  <c r="D50" i="7"/>
  <c r="D51" i="7" s="1"/>
  <c r="D52" i="7" s="1"/>
  <c r="E48" i="7" s="1"/>
  <c r="D7" i="6"/>
  <c r="D9" i="6" s="1"/>
  <c r="I12" i="4"/>
  <c r="D25" i="3"/>
  <c r="E10" i="3"/>
  <c r="E9" i="3"/>
  <c r="E11" i="3"/>
  <c r="E7" i="3"/>
  <c r="E8" i="3"/>
  <c r="E12" i="3"/>
  <c r="G18" i="4"/>
  <c r="G21" i="4" s="1"/>
  <c r="G26" i="4" s="1"/>
  <c r="D7" i="5" s="1"/>
  <c r="D10" i="5" s="1"/>
  <c r="G17" i="4"/>
  <c r="K25" i="4" l="1"/>
  <c r="K24" i="4"/>
  <c r="K9" i="4"/>
  <c r="K11" i="4"/>
  <c r="K22" i="4" s="1"/>
  <c r="L7" i="4"/>
  <c r="D13" i="5"/>
  <c r="D12" i="5"/>
  <c r="D18" i="5" s="1"/>
  <c r="E13" i="7"/>
  <c r="E40" i="7"/>
  <c r="E22" i="7"/>
  <c r="E31" i="7"/>
  <c r="J12" i="4"/>
  <c r="I27" i="4"/>
  <c r="E23" i="7"/>
  <c r="E24" i="7" s="1"/>
  <c r="E25" i="7" s="1"/>
  <c r="F21" i="7" s="1"/>
  <c r="E14" i="7"/>
  <c r="E15" i="7" s="1"/>
  <c r="E16" i="7" s="1"/>
  <c r="F12" i="7" s="1"/>
  <c r="E32" i="7"/>
  <c r="E33" i="7" s="1"/>
  <c r="E34" i="7" s="1"/>
  <c r="F30" i="7" s="1"/>
  <c r="E41" i="7"/>
  <c r="E50" i="7"/>
  <c r="E49" i="7"/>
  <c r="F31" i="7" l="1"/>
  <c r="F13" i="7"/>
  <c r="F22" i="7"/>
  <c r="F14" i="7"/>
  <c r="F15" i="7" s="1"/>
  <c r="F16" i="7" s="1"/>
  <c r="G12" i="7" s="1"/>
  <c r="F23" i="7"/>
  <c r="F24" i="7" s="1"/>
  <c r="F25" i="7" s="1"/>
  <c r="G21" i="7" s="1"/>
  <c r="F32" i="7"/>
  <c r="F41" i="7"/>
  <c r="F50" i="7"/>
  <c r="J27" i="4"/>
  <c r="E7" i="6"/>
  <c r="E9" i="6" s="1"/>
  <c r="K12" i="4"/>
  <c r="D19" i="5"/>
  <c r="E51" i="7"/>
  <c r="E52" i="7" s="1"/>
  <c r="F48" i="7" s="1"/>
  <c r="M7" i="4"/>
  <c r="L25" i="4"/>
  <c r="L9" i="4"/>
  <c r="L11" i="4"/>
  <c r="L22" i="4" s="1"/>
  <c r="L24" i="4"/>
  <c r="E42" i="7"/>
  <c r="E43" i="7" s="1"/>
  <c r="F39" i="7" s="1"/>
  <c r="G22" i="7" l="1"/>
  <c r="G13" i="7"/>
  <c r="K27" i="4"/>
  <c r="L12" i="4"/>
  <c r="G14" i="7"/>
  <c r="G32" i="7"/>
  <c r="G41" i="7"/>
  <c r="G50" i="7"/>
  <c r="G23" i="7"/>
  <c r="G24" i="7" s="1"/>
  <c r="G25" i="7" s="1"/>
  <c r="H21" i="7" s="1"/>
  <c r="M11" i="4"/>
  <c r="M22" i="4" s="1"/>
  <c r="M9" i="4"/>
  <c r="M24" i="4"/>
  <c r="M25" i="4"/>
  <c r="F49" i="7"/>
  <c r="F51" i="7" s="1"/>
  <c r="F52" i="7" s="1"/>
  <c r="G48" i="7" s="1"/>
  <c r="F40" i="7"/>
  <c r="F42" i="7" s="1"/>
  <c r="F43" i="7" s="1"/>
  <c r="G39" i="7" s="1"/>
  <c r="D22" i="5"/>
  <c r="D20" i="5"/>
  <c r="F33" i="7"/>
  <c r="F34" i="7" s="1"/>
  <c r="G30" i="7" s="1"/>
  <c r="G40" i="7" l="1"/>
  <c r="G49" i="7"/>
  <c r="G51" i="7" s="1"/>
  <c r="G52" i="7" s="1"/>
  <c r="H48" i="7" s="1"/>
  <c r="H22" i="7"/>
  <c r="L27" i="4"/>
  <c r="G31" i="7"/>
  <c r="G42" i="7"/>
  <c r="G43" i="7" s="1"/>
  <c r="H39" i="7" s="1"/>
  <c r="E17" i="5"/>
  <c r="D77" i="5"/>
  <c r="G33" i="7"/>
  <c r="G34" i="7" s="1"/>
  <c r="H30" i="7" s="1"/>
  <c r="G15" i="7"/>
  <c r="G16" i="7" s="1"/>
  <c r="H12" i="7" s="1"/>
  <c r="H50" i="7"/>
  <c r="H41" i="7"/>
  <c r="H14" i="7"/>
  <c r="H32" i="7"/>
  <c r="H23" i="7"/>
  <c r="H24" i="7" s="1"/>
  <c r="H25" i="7" s="1"/>
  <c r="D28" i="5"/>
  <c r="D31" i="5" s="1"/>
  <c r="F7" i="6"/>
  <c r="F9" i="6" s="1"/>
  <c r="M12" i="4"/>
  <c r="F52" i="6" l="1"/>
  <c r="G52" i="6"/>
  <c r="D52" i="6"/>
  <c r="E52" i="6"/>
  <c r="H52" i="6"/>
  <c r="D40" i="5"/>
  <c r="D37" i="5"/>
  <c r="D38" i="5" s="1"/>
  <c r="E35" i="5" s="1"/>
  <c r="H40" i="7"/>
  <c r="H42" i="7" s="1"/>
  <c r="H43" i="7" s="1"/>
  <c r="H49" i="7"/>
  <c r="H31" i="7"/>
  <c r="D29" i="5"/>
  <c r="E21" i="5"/>
  <c r="H15" i="7"/>
  <c r="M27" i="4"/>
  <c r="H51" i="7"/>
  <c r="H52" i="7" s="1"/>
  <c r="H33" i="7"/>
  <c r="H34" i="7" s="1"/>
  <c r="H13" i="7"/>
  <c r="H16" i="7"/>
  <c r="H53" i="6" l="1"/>
  <c r="G53" i="6"/>
  <c r="D53" i="6"/>
  <c r="E53" i="6"/>
  <c r="F53" i="6"/>
  <c r="E54" i="6"/>
  <c r="G54" i="6"/>
  <c r="D54" i="6"/>
  <c r="F54" i="6"/>
  <c r="H54" i="6"/>
  <c r="E55" i="6"/>
  <c r="G55" i="6"/>
  <c r="H55" i="6"/>
  <c r="F55" i="6"/>
  <c r="D55" i="6"/>
  <c r="E26" i="5"/>
  <c r="D46" i="5"/>
  <c r="D49" i="5" s="1"/>
  <c r="E39" i="5"/>
  <c r="E36" i="5"/>
  <c r="D51" i="6"/>
  <c r="G51" i="6"/>
  <c r="E51" i="6"/>
  <c r="H51" i="6"/>
  <c r="F51" i="6"/>
  <c r="D55" i="5" l="1"/>
  <c r="D56" i="5" s="1"/>
  <c r="E53" i="5" s="1"/>
  <c r="D47" i="5"/>
  <c r="E30" i="5"/>
  <c r="E27" i="5"/>
  <c r="E44" i="5" l="1"/>
  <c r="E57" i="5"/>
  <c r="E54" i="5"/>
  <c r="D58" i="5"/>
  <c r="E45" i="5" l="1"/>
  <c r="E48" i="5"/>
  <c r="D64" i="5"/>
  <c r="D65" i="5" l="1"/>
  <c r="D72" i="5"/>
  <c r="D73" i="5" s="1"/>
  <c r="D67" i="5"/>
  <c r="D76" i="5" l="1"/>
  <c r="E8" i="5"/>
  <c r="E62" i="5"/>
  <c r="D71" i="5"/>
  <c r="D74" i="5" l="1"/>
  <c r="G32" i="4" s="1"/>
  <c r="G33" i="4" s="1"/>
  <c r="G30" i="4"/>
  <c r="G31" i="4" s="1"/>
  <c r="E66" i="5"/>
  <c r="E75" i="5" s="1"/>
  <c r="H13" i="4" s="1"/>
  <c r="E63" i="5"/>
  <c r="E9" i="5" s="1"/>
  <c r="H14" i="4"/>
  <c r="H34" i="4" l="1"/>
  <c r="H16" i="4"/>
  <c r="H17" i="4" l="1"/>
  <c r="H18" i="4" s="1"/>
  <c r="H21" i="4" s="1"/>
  <c r="H26" i="4" s="1"/>
  <c r="E7" i="5" s="1"/>
  <c r="E10" i="5" s="1"/>
  <c r="H36" i="4"/>
  <c r="H35" i="4"/>
  <c r="E13" i="5" l="1"/>
  <c r="E12" i="5"/>
  <c r="E18" i="5" s="1"/>
  <c r="E19" i="5" l="1"/>
  <c r="E22" i="5" l="1"/>
  <c r="E20" i="5"/>
  <c r="E77" i="5" l="1"/>
  <c r="F17" i="5"/>
  <c r="E28" i="5"/>
  <c r="F21" i="5" l="1"/>
  <c r="E29" i="5"/>
  <c r="E31" i="5"/>
  <c r="E37" i="5" l="1"/>
  <c r="F26" i="5"/>
  <c r="F30" i="5" l="1"/>
  <c r="F27" i="5"/>
  <c r="E38" i="5"/>
  <c r="E40" i="5"/>
  <c r="E46" i="5" l="1"/>
  <c r="F35" i="5"/>
  <c r="F36" i="5" l="1"/>
  <c r="F39" i="5"/>
  <c r="E47" i="5"/>
  <c r="E49" i="5"/>
  <c r="E55" i="5" l="1"/>
  <c r="F44" i="5"/>
  <c r="E56" i="5" l="1"/>
  <c r="F45" i="5"/>
  <c r="F48" i="5"/>
  <c r="E58" i="5"/>
  <c r="E64" i="5" l="1"/>
  <c r="F53" i="5"/>
  <c r="F54" i="5" l="1"/>
  <c r="F57" i="5"/>
  <c r="E65" i="5"/>
  <c r="E72" i="5"/>
  <c r="E73" i="5" s="1"/>
  <c r="E67" i="5"/>
  <c r="E76" i="5" l="1"/>
  <c r="F8" i="5"/>
  <c r="F62" i="5"/>
  <c r="E71" i="5"/>
  <c r="I14" i="4" l="1"/>
  <c r="E74" i="5"/>
  <c r="H32" i="4" s="1"/>
  <c r="H33" i="4" s="1"/>
  <c r="H30" i="4"/>
  <c r="H31" i="4" s="1"/>
  <c r="F66" i="5"/>
  <c r="F75" i="5" s="1"/>
  <c r="I13" i="4" s="1"/>
  <c r="F63" i="5"/>
  <c r="F9" i="5" s="1"/>
  <c r="I34" i="4" l="1"/>
  <c r="I16" i="4"/>
  <c r="I17" i="4" l="1"/>
  <c r="I18" i="4"/>
  <c r="I21" i="4" s="1"/>
  <c r="I26" i="4" s="1"/>
  <c r="F7" i="5" s="1"/>
  <c r="F10" i="5" s="1"/>
  <c r="I35" i="4"/>
  <c r="I36" i="4"/>
  <c r="F13" i="5" l="1"/>
  <c r="F12" i="5"/>
  <c r="F18" i="5" s="1"/>
  <c r="F19" i="5" l="1"/>
  <c r="F22" i="5"/>
  <c r="F20" i="5"/>
  <c r="F77" i="5" l="1"/>
  <c r="G17" i="5"/>
  <c r="F28" i="5"/>
  <c r="F29" i="5" s="1"/>
  <c r="G26" i="5" s="1"/>
  <c r="G21" i="5" l="1"/>
  <c r="G30" i="5"/>
  <c r="G27" i="5"/>
  <c r="F31" i="5"/>
  <c r="F37" i="5" l="1"/>
  <c r="F38" i="5" l="1"/>
  <c r="F40" i="5"/>
  <c r="F46" i="5" l="1"/>
  <c r="G35" i="5"/>
  <c r="G39" i="5" l="1"/>
  <c r="G36" i="5"/>
  <c r="F47" i="5"/>
  <c r="F49" i="5"/>
  <c r="F55" i="5" l="1"/>
  <c r="G44" i="5"/>
  <c r="F56" i="5" l="1"/>
  <c r="G48" i="5"/>
  <c r="G45" i="5"/>
  <c r="F58" i="5"/>
  <c r="F64" i="5" l="1"/>
  <c r="G53" i="5"/>
  <c r="F65" i="5" l="1"/>
  <c r="F72" i="5"/>
  <c r="F73" i="5" s="1"/>
  <c r="G57" i="5"/>
  <c r="G54" i="5"/>
  <c r="F67" i="5"/>
  <c r="F76" i="5" l="1"/>
  <c r="G8" i="5"/>
  <c r="G62" i="5"/>
  <c r="F71" i="5"/>
  <c r="F74" i="5" l="1"/>
  <c r="I30" i="4"/>
  <c r="I31" i="4" s="1"/>
  <c r="G66" i="5"/>
  <c r="G75" i="5" s="1"/>
  <c r="J13" i="4" s="1"/>
  <c r="G63" i="5"/>
  <c r="G9" i="5" s="1"/>
  <c r="J14" i="4"/>
  <c r="J34" i="4" l="1"/>
  <c r="J16" i="4"/>
  <c r="I32" i="4"/>
  <c r="I33" i="4" s="1"/>
  <c r="D10" i="6"/>
  <c r="D11" i="6" s="1"/>
  <c r="D13" i="6" s="1"/>
  <c r="D14" i="6" s="1"/>
  <c r="J17" i="4" l="1"/>
  <c r="J18" i="4"/>
  <c r="J21" i="4" s="1"/>
  <c r="J26" i="4" s="1"/>
  <c r="G7" i="5" s="1"/>
  <c r="G10" i="5" s="1"/>
  <c r="J36" i="4"/>
  <c r="J35" i="4"/>
  <c r="G13" i="5" l="1"/>
  <c r="G12" i="5"/>
  <c r="G18" i="5" s="1"/>
  <c r="G19" i="5" l="1"/>
  <c r="G22" i="5" s="1"/>
  <c r="G28" i="5" l="1"/>
  <c r="G29" i="5" s="1"/>
  <c r="H26" i="5" s="1"/>
  <c r="G20" i="5"/>
  <c r="G77" i="5" l="1"/>
  <c r="H17" i="5"/>
  <c r="H27" i="5"/>
  <c r="H30" i="5"/>
  <c r="G31" i="5"/>
  <c r="G37" i="5" l="1"/>
  <c r="H21" i="5"/>
  <c r="G38" i="5" l="1"/>
  <c r="G40" i="5"/>
  <c r="G46" i="5" l="1"/>
  <c r="H35" i="5"/>
  <c r="H39" i="5" l="1"/>
  <c r="H36" i="5"/>
  <c r="G47" i="5"/>
  <c r="G49" i="5"/>
  <c r="G55" i="5" l="1"/>
  <c r="H44" i="5"/>
  <c r="H45" i="5" l="1"/>
  <c r="H48" i="5"/>
  <c r="G56" i="5"/>
  <c r="G58" i="5"/>
  <c r="G64" i="5" l="1"/>
  <c r="H53" i="5"/>
  <c r="H54" i="5" l="1"/>
  <c r="H57" i="5"/>
  <c r="G65" i="5"/>
  <c r="G72" i="5"/>
  <c r="G73" i="5" s="1"/>
  <c r="G67" i="5"/>
  <c r="H62" i="5" l="1"/>
  <c r="G71" i="5"/>
  <c r="G76" i="5"/>
  <c r="H8" i="5"/>
  <c r="K14" i="4" l="1"/>
  <c r="J30" i="4"/>
  <c r="J31" i="4" s="1"/>
  <c r="G74" i="5"/>
  <c r="J32" i="4" s="1"/>
  <c r="J33" i="4" s="1"/>
  <c r="H66" i="5"/>
  <c r="H75" i="5" s="1"/>
  <c r="K13" i="4" s="1"/>
  <c r="H63" i="5"/>
  <c r="H9" i="5" s="1"/>
  <c r="K34" i="4" l="1"/>
  <c r="K16" i="4"/>
  <c r="K17" i="4" l="1"/>
  <c r="K18" i="4"/>
  <c r="K21" i="4" s="1"/>
  <c r="K26" i="4" s="1"/>
  <c r="H7" i="5" s="1"/>
  <c r="H10" i="5" s="1"/>
  <c r="K35" i="4"/>
  <c r="K36" i="4"/>
  <c r="H13" i="5" l="1"/>
  <c r="H12" i="5"/>
  <c r="H18" i="5" s="1"/>
  <c r="H19" i="5" l="1"/>
  <c r="H22" i="5" l="1"/>
  <c r="H20" i="5"/>
  <c r="H77" i="5" l="1"/>
  <c r="I17" i="5"/>
  <c r="H28" i="5"/>
  <c r="H31" i="5" s="1"/>
  <c r="H37" i="5" l="1"/>
  <c r="H38" i="5" s="1"/>
  <c r="I35" i="5" s="1"/>
  <c r="H29" i="5"/>
  <c r="I21" i="5"/>
  <c r="I39" i="5" l="1"/>
  <c r="I36" i="5"/>
  <c r="I26" i="5"/>
  <c r="H40" i="5"/>
  <c r="H46" i="5" l="1"/>
  <c r="I27" i="5"/>
  <c r="I30" i="5"/>
  <c r="H47" i="5" l="1"/>
  <c r="H49" i="5"/>
  <c r="H55" i="5" l="1"/>
  <c r="I44" i="5"/>
  <c r="I48" i="5" l="1"/>
  <c r="I45" i="5"/>
  <c r="H56" i="5"/>
  <c r="H58" i="5"/>
  <c r="I53" i="5" l="1"/>
  <c r="H64" i="5"/>
  <c r="H67" i="5" s="1"/>
  <c r="H65" i="5" l="1"/>
  <c r="H72" i="5"/>
  <c r="H73" i="5" s="1"/>
  <c r="I57" i="5"/>
  <c r="I54" i="5"/>
  <c r="I8" i="5" l="1"/>
  <c r="H76" i="5"/>
  <c r="I62" i="5"/>
  <c r="H71" i="5"/>
  <c r="H74" i="5" l="1"/>
  <c r="K30" i="4"/>
  <c r="K31" i="4" s="1"/>
  <c r="L14" i="4"/>
  <c r="I63" i="5"/>
  <c r="I9" i="5" s="1"/>
  <c r="I66" i="5"/>
  <c r="I75" i="5" s="1"/>
  <c r="L13" i="4" s="1"/>
  <c r="L34" i="4" l="1"/>
  <c r="L16" i="4"/>
  <c r="E10" i="6"/>
  <c r="E11" i="6" s="1"/>
  <c r="K32" i="4"/>
  <c r="K33" i="4" s="1"/>
  <c r="D38" i="6"/>
  <c r="E33" i="6"/>
  <c r="E31" i="6"/>
  <c r="D31" i="6"/>
  <c r="F32" i="6"/>
  <c r="E28" i="6"/>
  <c r="D39" i="6"/>
  <c r="H37" i="6"/>
  <c r="E41" i="6"/>
  <c r="F39" i="6"/>
  <c r="G37" i="6"/>
  <c r="G31" i="6"/>
  <c r="E32" i="6"/>
  <c r="D33" i="6"/>
  <c r="H30" i="6"/>
  <c r="F38" i="6"/>
  <c r="D37" i="6"/>
  <c r="F43" i="6"/>
  <c r="F30" i="6"/>
  <c r="G30" i="6"/>
  <c r="H38" i="6"/>
  <c r="H28" i="6"/>
  <c r="E29" i="6"/>
  <c r="H31" i="6"/>
  <c r="H27" i="6"/>
  <c r="F33" i="6"/>
  <c r="G39" i="6"/>
  <c r="H32" i="6"/>
  <c r="F41" i="6"/>
  <c r="E43" i="6"/>
  <c r="D41" i="6"/>
  <c r="D42" i="6"/>
  <c r="D40" i="6"/>
  <c r="E38" i="6"/>
  <c r="D28" i="6"/>
  <c r="G41" i="6"/>
  <c r="F42" i="6"/>
  <c r="E37" i="6"/>
  <c r="F29" i="6"/>
  <c r="E40" i="6"/>
  <c r="H41" i="6"/>
  <c r="G29" i="6"/>
  <c r="F40" i="6"/>
  <c r="D30" i="6"/>
  <c r="H42" i="6"/>
  <c r="G42" i="6"/>
  <c r="G27" i="6"/>
  <c r="D27" i="6"/>
  <c r="F37" i="6"/>
  <c r="F28" i="6"/>
  <c r="D29" i="6"/>
  <c r="G40" i="6"/>
  <c r="E27" i="6"/>
  <c r="H39" i="6"/>
  <c r="H40" i="6"/>
  <c r="E30" i="6"/>
  <c r="H29" i="6"/>
  <c r="H43" i="6"/>
  <c r="F31" i="6"/>
  <c r="D43" i="6"/>
  <c r="G38" i="6"/>
  <c r="G28" i="6"/>
  <c r="F27" i="6"/>
  <c r="E42" i="6"/>
  <c r="G32" i="6"/>
  <c r="G33" i="6"/>
  <c r="H33" i="6"/>
  <c r="D32" i="6"/>
  <c r="G43" i="6"/>
  <c r="E39" i="6"/>
  <c r="L17" i="4" l="1"/>
  <c r="L18" i="4" s="1"/>
  <c r="L21" i="4" s="1"/>
  <c r="L26" i="4" s="1"/>
  <c r="I7" i="5" s="1"/>
  <c r="I10" i="5" s="1"/>
  <c r="E13" i="6"/>
  <c r="H18" i="6"/>
  <c r="C19" i="6" s="1"/>
  <c r="L36" i="4"/>
  <c r="L35" i="4"/>
  <c r="I13" i="5" l="1"/>
  <c r="I12" i="5"/>
  <c r="I18" i="5" s="1"/>
  <c r="C26" i="6"/>
  <c r="D63" i="6"/>
  <c r="E14" i="6"/>
  <c r="D31" i="1"/>
  <c r="E19" i="6"/>
  <c r="C50" i="6" l="1"/>
  <c r="C36" i="6"/>
  <c r="E63" i="6"/>
  <c r="C31" i="1"/>
  <c r="I19" i="5"/>
  <c r="I20" i="5" s="1"/>
  <c r="I77" i="5" l="1"/>
  <c r="J17" i="5"/>
  <c r="I22" i="5"/>
  <c r="I28" i="5" l="1"/>
  <c r="J21" i="5"/>
  <c r="I29" i="5" l="1"/>
  <c r="I31" i="5"/>
  <c r="J26" i="5" l="1"/>
  <c r="I37" i="5"/>
  <c r="I38" i="5" l="1"/>
  <c r="I40" i="5"/>
  <c r="J27" i="5"/>
  <c r="J30" i="5"/>
  <c r="I46" i="5" l="1"/>
  <c r="J35" i="5"/>
  <c r="J36" i="5" l="1"/>
  <c r="J39" i="5"/>
  <c r="I47" i="5"/>
  <c r="I49" i="5"/>
  <c r="I55" i="5" l="1"/>
  <c r="J44" i="5"/>
  <c r="J48" i="5" l="1"/>
  <c r="J45" i="5"/>
  <c r="I56" i="5"/>
  <c r="I58" i="5"/>
  <c r="I64" i="5" l="1"/>
  <c r="J53" i="5"/>
  <c r="J57" i="5" l="1"/>
  <c r="J54" i="5"/>
  <c r="I65" i="5"/>
  <c r="I72" i="5"/>
  <c r="I73" i="5" s="1"/>
  <c r="I67" i="5"/>
  <c r="J8" i="5" l="1"/>
  <c r="I76" i="5"/>
  <c r="J62" i="5"/>
  <c r="I71" i="5"/>
  <c r="L30" i="4" l="1"/>
  <c r="L31" i="4" s="1"/>
  <c r="I74" i="5"/>
  <c r="L32" i="4" s="1"/>
  <c r="L33" i="4" s="1"/>
  <c r="J63" i="5"/>
  <c r="J9" i="5" s="1"/>
  <c r="J66" i="5"/>
  <c r="J75" i="5" s="1"/>
  <c r="M13" i="4" s="1"/>
  <c r="M14" i="4"/>
  <c r="M34" i="4" l="1"/>
  <c r="M16" i="4"/>
  <c r="M17" i="4" l="1"/>
  <c r="M18" i="4" s="1"/>
  <c r="M21" i="4" s="1"/>
  <c r="M26" i="4" s="1"/>
  <c r="J7" i="5" s="1"/>
  <c r="J10" i="5" s="1"/>
  <c r="M35" i="4"/>
  <c r="M36" i="4"/>
  <c r="J13" i="5" l="1"/>
  <c r="J12" i="5"/>
  <c r="J18" i="5" s="1"/>
  <c r="J19" i="5" l="1"/>
  <c r="J22" i="5" l="1"/>
  <c r="J20" i="5"/>
  <c r="J77" i="5" l="1"/>
  <c r="J28" i="5"/>
  <c r="J29" i="5" l="1"/>
  <c r="J31" i="5"/>
  <c r="J37" i="5" l="1"/>
  <c r="J38" i="5" l="1"/>
  <c r="J40" i="5"/>
  <c r="J46" i="5" l="1"/>
  <c r="J47" i="5" l="1"/>
  <c r="J49" i="5"/>
  <c r="J55" i="5" l="1"/>
  <c r="J56" i="5" l="1"/>
  <c r="J58" i="5"/>
  <c r="J64" i="5" l="1"/>
  <c r="J65" i="5" l="1"/>
  <c r="J71" i="5" s="1"/>
  <c r="J72" i="5"/>
  <c r="J73" i="5" s="1"/>
  <c r="J76" i="5" s="1"/>
  <c r="J67" i="5"/>
  <c r="J74" i="5" l="1"/>
  <c r="M30" i="4"/>
  <c r="M31" i="4" s="1"/>
  <c r="F10" i="6" l="1"/>
  <c r="F11" i="6" s="1"/>
  <c r="F13" i="6" s="1"/>
  <c r="F14" i="6" s="1"/>
  <c r="M32" i="4"/>
  <c r="M33" i="4" s="1"/>
</calcChain>
</file>

<file path=xl/sharedStrings.xml><?xml version="1.0" encoding="utf-8"?>
<sst xmlns="http://schemas.openxmlformats.org/spreadsheetml/2006/main" count="463" uniqueCount="283">
  <si>
    <t>Hilton Hotels Corporation - LBO Analysis</t>
  </si>
  <si>
    <t>Blackstone Group acquisition, announced July 3, 2007 / closed October 2007</t>
  </si>
  <si>
    <t>Prepared by: Akul Veauli</t>
  </si>
  <si>
    <t>Date: August 23, 2026</t>
  </si>
  <si>
    <t>Leveraged buyout model of Hilton Hotels Corporation by The Blackstone Group, structured at deal vintage (FY2006 financials, announced deal terms, 2007 rate environment). Models the transaction as underwritten in mid-2007 - pre-crisis operating assumptions, ~14.6x entry EV/EBITDA on the model's $25,525mm TEV (~14.9x on the ~$26.0B headline TEV commonly quoted), ~11.7x entry net leverage - and separately documents the actual outcome, which diverged sharply from the underwriting case due to the 2008-09 Global Financial Crisis before ultimately becoming the most profitable PE deal in history.</t>
  </si>
  <si>
    <t>Color-code legend</t>
  </si>
  <si>
    <t>Blue = hardcoded input</t>
  </si>
  <si>
    <t>Black = formula (same sheet)</t>
  </si>
  <si>
    <t>Green = link from another tab</t>
  </si>
  <si>
    <t>Table of contents</t>
  </si>
  <si>
    <t>Cover</t>
  </si>
  <si>
    <t>Assumptions</t>
  </si>
  <si>
    <t>Sources-Uses</t>
  </si>
  <si>
    <t>Model</t>
  </si>
  <si>
    <t>DebtSchedule</t>
  </si>
  <si>
    <t>Returns</t>
  </si>
  <si>
    <t>Support (hidden)</t>
  </si>
  <si>
    <t>Key outputs</t>
  </si>
  <si>
    <t>Transaction EV ($mm)</t>
  </si>
  <si>
    <t>Entry EV / EBITDA</t>
  </si>
  <si>
    <t>Sponsor equity invested ($mm)</t>
  </si>
  <si>
    <t>Entry net leverage (Net Debt/EBITDA)</t>
  </si>
  <si>
    <t>Modeled 5-yr IRR / MOIC (vintage case)</t>
  </si>
  <si>
    <t>Actual outcome: MOIC / holding period</t>
  </si>
  <si>
    <t>~3.0x</t>
  </si>
  <si>
    <t>~11 years</t>
  </si>
  <si>
    <t>Actual Outcome (Post-Deal History) - Explorer-Verified Summary</t>
  </si>
  <si>
    <t>Jul 2007: Blackstone announces acquisition of Hilton at $47.50/share cash, ~40% premium, ~$26.0B TEV (~14.9x FY2006 EBITDA).</t>
  </si>
  <si>
    <t>Oct 2007: Deal closes at the peak of the credit cycle - ~$20.5-20.8B of debt (CMBS/mortgage $7.6B, 2nd lien $1.0B, Mezz I-III</t>
  </si>
  <si>
    <t xml:space="preserve">  $12.2B), ~$5.6-5.7B sponsor equity from Blackstone and co-investors. Entry net leverage ~11.7x EBITDA - extremely aggressive.</t>
  </si>
  <si>
    <t>2008-09: Global Financial Crisis collapses lodging RevPAR 15-20%; Blackstone marks its equity down ~70% (~$5.6B to ~$1.7B book).</t>
  </si>
  <si>
    <t>Apr 2010: Consensual debt restructuring - Blackstone repurchases $1.8B of mezzanine debt at a 45% discount (paying $819mm),</t>
  </si>
  <si>
    <t xml:space="preserve">  converts $2.1B of junior mezzanine into preferred equity, extends maturities to Nov 2015, and injects ~$819mm of new equity.</t>
  </si>
  <si>
    <t xml:space="preserve">  Net effect: ~$3.9-4.0B of debt reduction; total debt falls from ~$20.5B to ~$16.5B.</t>
  </si>
  <si>
    <t>Dec 2013: Hilton Worldwide IPOs at $20.00/share (largest hotel IPO in history), raising ~$2.35B; Blackstone retains ~73% of its stake.</t>
  </si>
  <si>
    <t>2014-2018: Hilton stock appreciates from $20 to ~$110+ as lodging fully recovers and Hilton executes an asset-light growth strategy.</t>
  </si>
  <si>
    <t>May 2018: Blackstone completes its final exit. Total realized profit ~$14.0B on ~$5.6B invested - approximately 3.0x MOIC over an</t>
  </si>
  <si>
    <t xml:space="preserve">  ~11-year hold (~15-17% IRR) - reported at the time as the most profitable private equity deal in history, despite the deal being</t>
  </si>
  <si>
    <t xml:space="preserve">  underwritten at the absolute peak of the pre-crisis credit cycle and nearly failing during the GFC.</t>
  </si>
  <si>
    <t>Sources: Hilton Hotels Corp FY2006 10-K (filed 2/28/2007); Blackstone DEFM14A merger proxy (2007); Blackstone press</t>
  </si>
  <si>
    <t>releases (7/3/2007 announce, 10/2007 close, 4/2010 restructuring); Hilton Worldwide S-1 / IPO prospectus (12/2013);</t>
  </si>
  <si>
    <t>Federal Reserve H.15 (LIBOR); Bloomberg / Blackstone PEI Award (2019, exit profit); Oxford Said Business School case</t>
  </si>
  <si>
    <t>study (2018, debt tranche detail). See Returns tab S3 for detailed model-vs-actual comparison and flagged estimates.</t>
  </si>
  <si>
    <t>($ in millions, except per-share data and rates)</t>
  </si>
  <si>
    <t>1. Transaction Assumptions</t>
  </si>
  <si>
    <t>Announcement date</t>
  </si>
  <si>
    <t>July 3, 2007</t>
  </si>
  <si>
    <t>Close date</t>
  </si>
  <si>
    <t>October 2007</t>
  </si>
  <si>
    <t>Offer price / share</t>
  </si>
  <si>
    <t>40% premium to unaffected price</t>
  </si>
  <si>
    <t>Fully diluted shares (mm) [EST.]</t>
  </si>
  <si>
    <t>Estimated from equity value / offer price - not explicitly confirmed in deal docs</t>
  </si>
  <si>
    <t>Equity purchase price</t>
  </si>
  <si>
    <t>Plus: refinanced net debt assumed</t>
  </si>
  <si>
    <t>Pre-existing Hilton net debt at close</t>
  </si>
  <si>
    <t>Transaction Enterprise Value (TEV)</t>
  </si>
  <si>
    <t>LTM / FY2006 Adj. EBITDA at entry</t>
  </si>
  <si>
    <t>Midpoint of $1,740-1,765mm guidance range</t>
  </si>
  <si>
    <t>Implied entry EV / EBITDA</t>
  </si>
  <si>
    <t>Transaction fees (% of TEV)</t>
  </si>
  <si>
    <t>Financing fees (% of total debt)</t>
  </si>
  <si>
    <t>Financing fee amortization tenor (yrs)</t>
  </si>
  <si>
    <t>Straight-line, non-cash addback</t>
  </si>
  <si>
    <t>2. Debt Tranches</t>
  </si>
  <si>
    <t>Tranche</t>
  </si>
  <si>
    <t>Amount ($mm)</t>
  </si>
  <si>
    <t>Spread (bps)</t>
  </si>
  <si>
    <t>LIBOR (entry)</t>
  </si>
  <si>
    <t>All-in Rate</t>
  </si>
  <si>
    <t>Mand. Amort %/yr</t>
  </si>
  <si>
    <t>Cash-pay?</t>
  </si>
  <si>
    <t>% of Total</t>
  </si>
  <si>
    <t>3M LIBOR assumption (2007 vintage, entry pricing)</t>
  </si>
  <si>
    <t>Fed H.15, July 2007</t>
  </si>
  <si>
    <t>Senior Mortgage (CMBS)</t>
  </si>
  <si>
    <t>N</t>
  </si>
  <si>
    <t>2nd Lien Notes</t>
  </si>
  <si>
    <t>Mezzanine I</t>
  </si>
  <si>
    <t>Mezzanine II</t>
  </si>
  <si>
    <t>Mezzanine III</t>
  </si>
  <si>
    <t>Revolver (undrawn at close)</t>
  </si>
  <si>
    <t>n/a (undrawn)</t>
  </si>
  <si>
    <t>Total Funded Debt at Close (excl. undrawn $1,000mm revolver)</t>
  </si>
  <si>
    <t>Memo: Total Committed Debt (incl. $1,000mm revolver capacity)</t>
  </si>
  <si>
    <t>Blended weighted-average rate on funded debt (entry)</t>
  </si>
  <si>
    <t>Weighted-average mandatory amort %/yr (funded debt)</t>
  </si>
  <si>
    <t>Leverage &amp; financing-fee calcs below use FUNDED debt only (excl. undrawn revolver), matching standard</t>
  </si>
  <si>
    <t>LBO convention and the ~11.7x net-leverage figure cited in deal research (source: Oxford SBS case study).</t>
  </si>
  <si>
    <t>NOTE [ESTIMATE]: Tranche spreads (2nd lien, Mezz I-III) are estimates from 2007 market comps; actual</t>
  </si>
  <si>
    <t>commitment-letter pricing not publicly located. Senior CMBS L+150 / 2nd lien L+250 / Mezz L+300-500</t>
  </si>
  <si>
    <t>per Oxford Said Business School case study fallback (total debt ~$20.8B matches ~$20.5-20.8B confirmed).</t>
  </si>
  <si>
    <t>3. Operating Drivers, FY2007E-FY2013E (Deal-Vintage Projection)</t>
  </si>
  <si>
    <t>Driver</t>
  </si>
  <si>
    <t>FY2007E</t>
  </si>
  <si>
    <t>FY2008E</t>
  </si>
  <si>
    <t>FY2009E</t>
  </si>
  <si>
    <t>FY2010E</t>
  </si>
  <si>
    <t>FY2011E</t>
  </si>
  <si>
    <t>FY2012E</t>
  </si>
  <si>
    <t>FY2013E</t>
  </si>
  <si>
    <t>Revenue growth % (vintage view: pre-crisis momentum -&gt; GFC collapse -&gt; recovery)</t>
  </si>
  <si>
    <t>EBITDA margin %</t>
  </si>
  <si>
    <t>D&amp;A % of revenue [EST. baseline ~$305mm FY06]</t>
  </si>
  <si>
    <t>Capex % of revenue [EST. ~6.5-8.0% hotels, crisis-year cuts]</t>
  </si>
  <si>
    <t>Net working capital % of revenue (applied to change in revenue)</t>
  </si>
  <si>
    <t>Tax rate (2007 statutory era)</t>
  </si>
  <si>
    <t>Applied flat across projection period</t>
  </si>
  <si>
    <t>Interest rate earned on cash (beginning balance)</t>
  </si>
  <si>
    <t>3M LIBOR path used for DebtSchedule interest [ESTIMATE - reflects actual 2008-09 Fed cuts]:</t>
  </si>
  <si>
    <t>3M LIBOR path (blue input, %/yr)</t>
  </si>
  <si>
    <t>Note: LIBOR fell sharply 2008-09 (Fed cuts toward zero); path above approximates realized levels used</t>
  </si>
  <si>
    <t>to drive DebtSchedule interest (tranche spreads above are additive to this path each year).</t>
  </si>
  <si>
    <t>4. Exit Assumptions</t>
  </si>
  <si>
    <t>Exit EV / EBITDA multiple (default = entry)</t>
  </si>
  <si>
    <t>Minimum cash balance ($mm)</t>
  </si>
  <si>
    <t>Cash sweep % (of excess cash to debt paydown)</t>
  </si>
  <si>
    <t>Exit years evaluated: 3 / 5 / 7 (see Returns tab).</t>
  </si>
  <si>
    <t>Interest computed on beginning-of-period balances to avoid circularity (no iterative calc) - master spec S5.</t>
  </si>
  <si>
    <t>Sources &amp; Uses</t>
  </si>
  <si>
    <t>($ in millions, at close - October 2007)</t>
  </si>
  <si>
    <t>Sources</t>
  </si>
  <si>
    <t>Amount</t>
  </si>
  <si>
    <t>% Total</t>
  </si>
  <si>
    <t>Revolver ($1,000mm committed, undrawn at close)</t>
  </si>
  <si>
    <t>Sponsor Equity (Blackstone + co-investors) [PLUG]</t>
  </si>
  <si>
    <t>Total Sources</t>
  </si>
  <si>
    <t>Uses</t>
  </si>
  <si>
    <t>Equity Purchase Price</t>
  </si>
  <si>
    <t>Refinance Existing Net Debt</t>
  </si>
  <si>
    <t>Transaction Fees</t>
  </si>
  <si>
    <t>Financing Fees (capitalized, amortized 7 yrs)</t>
  </si>
  <si>
    <t>Cash to Balance Sheet</t>
  </si>
  <si>
    <t>Total Uses</t>
  </si>
  <si>
    <t>Check: Sources - Uses (must = 0.0)</t>
  </si>
  <si>
    <t>Memo</t>
  </si>
  <si>
    <t>Sponsor equity % of total capitalization</t>
  </si>
  <si>
    <t>Gross Debt / EBITDA at close</t>
  </si>
  <si>
    <t>Net Debt / EBITDA at close</t>
  </si>
  <si>
    <t>Memo: reported sponsor equity check ~$5.6-6.5B (Blackstone ~$5.2B + limited partner co-investors</t>
  </si>
  <si>
    <t>~$0.4-0.5B) per Blackstone press release / DEFM14A - plug above should fall in this range.</t>
  </si>
  <si>
    <t>Operating Model &amp; Free Cash Flow</t>
  </si>
  <si>
    <t>($ in millions)</t>
  </si>
  <si>
    <t>Historical &amp; Projected Operating Results</t>
  </si>
  <si>
    <t>FY2004A</t>
  </si>
  <si>
    <t>FY2005A</t>
  </si>
  <si>
    <t>FY2006A</t>
  </si>
  <si>
    <t>Revenue</t>
  </si>
  <si>
    <t xml:space="preserve">  Revenue growth %</t>
  </si>
  <si>
    <t>Adjusted EBITDA</t>
  </si>
  <si>
    <t>n.a.</t>
  </si>
  <si>
    <t xml:space="preserve">  EBITDA margin %</t>
  </si>
  <si>
    <t>D&amp;A [FY05/06 estimated]</t>
  </si>
  <si>
    <t>EBIT</t>
  </si>
  <si>
    <t>Less: Interest expense (post-LBO, green from DebtSchedule)</t>
  </si>
  <si>
    <t>Plus: Interest income</t>
  </si>
  <si>
    <t>Less: Financing fee amortization (non-cash)</t>
  </si>
  <si>
    <t>EBT</t>
  </si>
  <si>
    <t>Taxes</t>
  </si>
  <si>
    <t>Net Income (reported)</t>
  </si>
  <si>
    <t>Free Cash Flow</t>
  </si>
  <si>
    <t>Net Income</t>
  </si>
  <si>
    <t>Plus: D&amp;A</t>
  </si>
  <si>
    <t>Plus: Financing fee amortization (non-cash)</t>
  </si>
  <si>
    <t>Less: Capital expenditures</t>
  </si>
  <si>
    <t>Less: Increase in net working capital</t>
  </si>
  <si>
    <t>Cash available for debt paydown (pre-mandatory)</t>
  </si>
  <si>
    <t>Memo: Pre-financing (unlevered) FCF - for leverage sensitivity</t>
  </si>
  <si>
    <t>Credit Metrics (post-LBO capital structure; n/a for historicals)</t>
  </si>
  <si>
    <t>Total Debt</t>
  </si>
  <si>
    <t xml:space="preserve">  Total Debt / EBITDA</t>
  </si>
  <si>
    <t>Net Debt</t>
  </si>
  <si>
    <t xml:space="preserve">  Net Debt / EBITDA</t>
  </si>
  <si>
    <t>Cash Interest Expense</t>
  </si>
  <si>
    <t xml:space="preserve">  EBITDA / Cash Interest</t>
  </si>
  <si>
    <t xml:space="preserve">  (EBITDA - Capex) / Cash Interest</t>
  </si>
  <si>
    <t>Entry net leverage of ~11.7x EBITDA (see Sources-Uses memo) is the headline risk metric of this deal:</t>
  </si>
  <si>
    <t>extremely aggressive even by 2007 standards, and the primary reason the capital structure required a 2010</t>
  </si>
  <si>
    <t>restructuring once FY2008-09 EBITDA collapsed (see Cover / Returns 'Actual Outcome' commentary).</t>
  </si>
  <si>
    <t>Debt Schedule</t>
  </si>
  <si>
    <t>($ in millions) - interest on beginning-of-period balances; cash sweep at period end; no circularity</t>
  </si>
  <si>
    <t>Cash Flow &amp; Sweep Waterfall</t>
  </si>
  <si>
    <t>Beginning cash balance</t>
  </si>
  <si>
    <t>Less: total mandatory amortization</t>
  </si>
  <si>
    <t>Cash before discretionary sweep / revolver</t>
  </si>
  <si>
    <t>Minimum cash requirement</t>
  </si>
  <si>
    <t>Revolver draw (shortfall)</t>
  </si>
  <si>
    <t>Cash available for sweep (gross pool)</t>
  </si>
  <si>
    <t>Opening balance</t>
  </si>
  <si>
    <t>Draw</t>
  </si>
  <si>
    <t>Repayment (1st priority in sweep)</t>
  </si>
  <si>
    <t>Closing balance</t>
  </si>
  <si>
    <t>Interest expense (on opening balance)</t>
  </si>
  <si>
    <t>Remaining sweep cash after revolver repay</t>
  </si>
  <si>
    <t>Mandatory amortization</t>
  </si>
  <si>
    <t>Cash sweep</t>
  </si>
  <si>
    <t>Remaining sweep cash after this tranche</t>
  </si>
  <si>
    <t>Summary</t>
  </si>
  <si>
    <t>Total Debt (all tranches, incl. revolver)</t>
  </si>
  <si>
    <t>Total cash swept / applied to debt (incl. revolver repay)</t>
  </si>
  <si>
    <t>Ending cash balance</t>
  </si>
  <si>
    <t>Net Debt (Total Debt less ending cash)</t>
  </si>
  <si>
    <t>Total Interest Expense (feeds Model)</t>
  </si>
  <si>
    <t>Check: Ending cash &gt;= Minimum cash (must be &gt;= 0)</t>
  </si>
  <si>
    <t>Check: Revolver headroom = commitment less drawn (must be &gt;= 0)</t>
  </si>
  <si>
    <t>Convention: interest = opening balance x rate; opening(t) = closing(t-1) only -&gt; acyclic (master spec S5).</t>
  </si>
  <si>
    <t>Sweep waterfall priority: Revolver repay -&gt; Senior CMBS -&gt; 2nd Lien -&gt; Mezz I -&gt; Mezz II -&gt; Mezz III.</t>
  </si>
  <si>
    <t>($ in millions, except multiples) - deal-vintage underwriting case</t>
  </si>
  <si>
    <t>1. Exit Analysis - Vintage Model (3 / 5 / 7 Year Holds)</t>
  </si>
  <si>
    <t>Year 3 (FY2009E)</t>
  </si>
  <si>
    <t>Year 5 (FY2011E)</t>
  </si>
  <si>
    <t>Year 7 (FY2013E)</t>
  </si>
  <si>
    <t>Exit EBITDA</t>
  </si>
  <si>
    <t>Exit EV / EBITDA multiple</t>
  </si>
  <si>
    <t>Exit Enterprise Value</t>
  </si>
  <si>
    <t>Less: Net Debt at Exit</t>
  </si>
  <si>
    <t>Equity Value at Exit</t>
  </si>
  <si>
    <t>Sponsor Equity Invested</t>
  </si>
  <si>
    <t>MOIC</t>
  </si>
  <si>
    <t>IRR (closed-form: MOIC^(1/yrs)-1)</t>
  </si>
  <si>
    <t>IRR cross-check (5-yr case), dated cash flow via IRR():</t>
  </si>
  <si>
    <t>Year 0</t>
  </si>
  <si>
    <t>Year 1</t>
  </si>
  <si>
    <t>Year 2</t>
  </si>
  <si>
    <t>Year 3</t>
  </si>
  <si>
    <t>Year 4</t>
  </si>
  <si>
    <t>Year 5</t>
  </si>
  <si>
    <t>Dated cash flow (Year0 = equity out, Year5 = equity in)</t>
  </si>
  <si>
    <t>IRR() cross-check</t>
  </si>
  <si>
    <t>Check vs closed-form (col E above):</t>
  </si>
  <si>
    <t>2a. Sensitivity: Entry x Exit EV/EBITDA Multiple -&gt; 5-Year MOIC &amp; IRR</t>
  </si>
  <si>
    <t>Fixed-$ debt structure: entry/exit multiple flex sponsor equity only; debt schedule is invariant.</t>
  </si>
  <si>
    <t>5-Year MOIC grid</t>
  </si>
  <si>
    <t>Entry (rows) x Exit (cols)</t>
  </si>
  <si>
    <t>5-Year IRR grid</t>
  </si>
  <si>
    <t>2b. Sensitivity: Entry Leverage (turns) x Exit EV/EBITDA -&gt; 5-Year IRR</t>
  </si>
  <si>
    <t>Net debt at exit DOES depend on entry leverage here; powered by Support-tab mini debt models.</t>
  </si>
  <si>
    <t>Actual deal leverage was ~11.7x EBITDA (bottom row) - far outside typical LBO underwriting norms.</t>
  </si>
  <si>
    <t>Leverage turns (rows) x Exit multiple (cols)</t>
  </si>
  <si>
    <t>3. Actual Outcome vs. Deal-Vintage Model</t>
  </si>
  <si>
    <t>Modeled (Vintage Case)</t>
  </si>
  <si>
    <t>Actual (Ex-Post)</t>
  </si>
  <si>
    <t>14.9x</t>
  </si>
  <si>
    <t>Entry Net Leverage (Debt/EBITDA)</t>
  </si>
  <si>
    <t>~11.7x</t>
  </si>
  <si>
    <t>Sponsor Equity Invested ($mm)</t>
  </si>
  <si>
    <t>~5,600-5,700</t>
  </si>
  <si>
    <t>5-Year MOIC / IRR</t>
  </si>
  <si>
    <t>Holding Period (years)</t>
  </si>
  <si>
    <t>3 / 5 / 7 (structural)</t>
  </si>
  <si>
    <t>~11 (Oct 2007 - May 2018)</t>
  </si>
  <si>
    <t>Terminal MOIC</t>
  </si>
  <si>
    <t>See exit table (S1) above</t>
  </si>
  <si>
    <t>~3.0x ($14.0B profit / ~$5.6B invested)</t>
  </si>
  <si>
    <t>Terminal IRR</t>
  </si>
  <si>
    <t>~15-17% (~11-yr hold)</t>
  </si>
  <si>
    <t>The deal-vintage model above (built off FY2006 financials and mid-2007 assumptions) could not, and does not attempt to,</t>
  </si>
  <si>
    <t>forecast the 2008-09 Global Financial Crisis. In reality: Blackstone's equity was written down ~70% by 2009 (book value</t>
  </si>
  <si>
    <t>~$5.6B to ~$1.7B); the capital structure required a consensual restructuring in April 2010 (Blackstone repurchased $1.8B</t>
  </si>
  <si>
    <t>of mezzanine debt at a 45% discount for $819mm, converted $2.1B of junior mezzanine to preferred equity, extended</t>
  </si>
  <si>
    <t>maturities to Nov 2015, and injected ~$819mm of new equity - reducing total debt by ~$3.9-4.0B to ~$16.5B).</t>
  </si>
  <si>
    <t>A 3-year exit (~2010, at the trough) would have been at or near a total loss of equity value; the vintage model's 3-year</t>
  </si>
  <si>
    <t>column above should be read with this in mind - it reflects deal-vintage assumptions, not the crisis path.</t>
  </si>
  <si>
    <t>Hilton IPO'd in Dec 2013 at $20/share (~6 years post-close); Blackstone's full exit came in May 2018 (~11 years post-</t>
  </si>
  <si>
    <t>close) at an average realized price of ~$110+/share, for total realized profit of ~$14.0B on ~$5.6B invested - ~3.0x</t>
  </si>
  <si>
    <t>MOIC, ~15-17% IRR - reported as the most profitable private equity deal in history at the time, despite (or partly</t>
  </si>
  <si>
    <t>because of) being underwritten at the absolute peak of the pre-crisis credit cycle at ~14.9x EBITDA and ~11.7x leverage.</t>
  </si>
  <si>
    <t>Support - Leverage Sensitivity Mini Debt Models</t>
  </si>
  <si>
    <t>($ in millions) - feeds Returns leverage x exit-multiple grid</t>
  </si>
  <si>
    <t>Each block: opening debt = turns x entry EBITDA; interest = opening x blended entry rate;</t>
  </si>
  <si>
    <t>paydown = MIN(MAX(pre-financing FCF - after-tax interest,0), opening); closing = opening - paydown.</t>
  </si>
  <si>
    <t>Pre-financing FCF (green-linked from Model row 27) is leverage-independent by construction.</t>
  </si>
  <si>
    <t>Leverage scenario: 6.0x entry Debt/EBITDA</t>
  </si>
  <si>
    <t>Leverage turns (input)</t>
  </si>
  <si>
    <t>Opening debt</t>
  </si>
  <si>
    <t>Interest expense (opening x blended entry rate)</t>
  </si>
  <si>
    <t>Pre-financing FCF (green from Model)</t>
  </si>
  <si>
    <t>Debt paydown</t>
  </si>
  <si>
    <t>Closing debt</t>
  </si>
  <si>
    <t>Leverage scenario: 8.0x entry Debt/EBITDA</t>
  </si>
  <si>
    <t>Leverage scenario: 9.5x entry Debt/EBITDA</t>
  </si>
  <si>
    <t>Leverage scenario: 11.0x entry Debt/EBITDA</t>
  </si>
  <si>
    <t>Leverage scenario: 11.7x entry Debt/EBITDA (actual deal)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</si>
</sst>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#,##0.0"/>
    <numFmt numFmtId="166" formatCode="#,##0.0;\(#,##0.0\)"/>
    <numFmt numFmtId="167" formatCode="0.0\x"/>
    <numFmt numFmtId="168" formatCode="0.0%"/>
    <numFmt numFmtId="169" formatCode="#,##0;\(#,##0\)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6" fontId="6" fillId="4" borderId="0" xfId="0" applyNumberFormat="1" applyFont="1" applyFill="1" applyAlignment="1">
      <alignment horizontal="right"/>
    </xf>
    <xf numFmtId="167" fontId="6" fillId="4" borderId="0" xfId="0" applyNumberFormat="1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10" fontId="5" fillId="3" borderId="0" xfId="0" applyNumberFormat="1" applyFont="1" applyFill="1" applyAlignment="1">
      <alignment horizontal="right"/>
    </xf>
    <xf numFmtId="169" fontId="5" fillId="3" borderId="0" xfId="0" applyNumberFormat="1" applyFont="1" applyFill="1" applyAlignment="1">
      <alignment horizontal="right"/>
    </xf>
    <xf numFmtId="10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6" fillId="4" borderId="0" xfId="0" applyNumberFormat="1" applyFont="1" applyFill="1" applyAlignment="1">
      <alignment horizontal="right"/>
    </xf>
    <xf numFmtId="10" fontId="6" fillId="4" borderId="0" xfId="0" applyNumberFormat="1" applyFont="1" applyFill="1" applyAlignment="1">
      <alignment horizontal="right"/>
    </xf>
    <xf numFmtId="167" fontId="4" fillId="0" borderId="0" xfId="0" applyNumberFormat="1" applyFont="1" applyAlignment="1">
      <alignment horizontal="right"/>
    </xf>
    <xf numFmtId="167" fontId="8" fillId="4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1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3" width="46" customWidth="1"/>
    <col min="4" max="6" width="20" customWidth="1"/>
  </cols>
  <sheetData>
    <row r="2" spans="2:6" ht="18" x14ac:dyDescent="0.2">
      <c r="B2" s="1" t="s">
        <v>0</v>
      </c>
    </row>
    <row r="3" spans="2:6" x14ac:dyDescent="0.2">
      <c r="B3" s="2" t="s">
        <v>1</v>
      </c>
    </row>
    <row r="5" spans="2:6" x14ac:dyDescent="0.2">
      <c r="B5" s="2" t="s">
        <v>2</v>
      </c>
    </row>
    <row r="6" spans="2:6" x14ac:dyDescent="0.2">
      <c r="B6" s="2" t="s">
        <v>3</v>
      </c>
    </row>
    <row r="8" spans="2:6" x14ac:dyDescent="0.2">
      <c r="B8" s="30" t="s">
        <v>4</v>
      </c>
      <c r="C8" s="31"/>
      <c r="D8" s="31"/>
      <c r="E8" s="31"/>
      <c r="F8" s="31"/>
    </row>
    <row r="9" spans="2:6" x14ac:dyDescent="0.2">
      <c r="B9" s="31"/>
      <c r="C9" s="31"/>
      <c r="D9" s="31"/>
      <c r="E9" s="31"/>
      <c r="F9" s="31"/>
    </row>
    <row r="10" spans="2:6" x14ac:dyDescent="0.2">
      <c r="B10" s="31"/>
      <c r="C10" s="31"/>
      <c r="D10" s="31"/>
      <c r="E10" s="31"/>
      <c r="F10" s="31"/>
    </row>
    <row r="12" spans="2:6" x14ac:dyDescent="0.2">
      <c r="B12" s="3" t="s">
        <v>5</v>
      </c>
      <c r="C12" s="3"/>
      <c r="D12" s="3"/>
      <c r="E12" s="3"/>
    </row>
    <row r="13" spans="2:6" x14ac:dyDescent="0.2">
      <c r="B13" s="4" t="s">
        <v>6</v>
      </c>
    </row>
    <row r="14" spans="2:6" x14ac:dyDescent="0.2">
      <c r="B14" s="5" t="s">
        <v>7</v>
      </c>
    </row>
    <row r="15" spans="2:6" x14ac:dyDescent="0.2">
      <c r="B15" s="6" t="s">
        <v>8</v>
      </c>
    </row>
    <row r="17" spans="2:5" x14ac:dyDescent="0.2">
      <c r="B17" s="3" t="s">
        <v>9</v>
      </c>
      <c r="C17" s="3"/>
      <c r="D17" s="3"/>
      <c r="E17" s="3"/>
    </row>
    <row r="18" spans="2:5" x14ac:dyDescent="0.2">
      <c r="B18" s="5" t="s">
        <v>10</v>
      </c>
    </row>
    <row r="19" spans="2:5" x14ac:dyDescent="0.2">
      <c r="B19" s="5" t="s">
        <v>11</v>
      </c>
    </row>
    <row r="20" spans="2:5" x14ac:dyDescent="0.2">
      <c r="B20" s="5" t="s">
        <v>12</v>
      </c>
    </row>
    <row r="21" spans="2:5" x14ac:dyDescent="0.2">
      <c r="B21" s="5" t="s">
        <v>13</v>
      </c>
    </row>
    <row r="22" spans="2:5" x14ac:dyDescent="0.2">
      <c r="B22" s="5" t="s">
        <v>14</v>
      </c>
    </row>
    <row r="23" spans="2:5" x14ac:dyDescent="0.2">
      <c r="B23" s="5" t="s">
        <v>15</v>
      </c>
    </row>
    <row r="24" spans="2:5" x14ac:dyDescent="0.2">
      <c r="B24" s="5" t="s">
        <v>16</v>
      </c>
    </row>
    <row r="26" spans="2:5" x14ac:dyDescent="0.2">
      <c r="B26" s="3" t="s">
        <v>17</v>
      </c>
      <c r="C26" s="3"/>
      <c r="D26" s="3"/>
      <c r="E26" s="3"/>
    </row>
    <row r="27" spans="2:5" x14ac:dyDescent="0.2">
      <c r="B27" s="5" t="s">
        <v>18</v>
      </c>
      <c r="C27" s="7">
        <f>Assumptions!C12</f>
        <v>25525</v>
      </c>
    </row>
    <row r="28" spans="2:5" x14ac:dyDescent="0.2">
      <c r="B28" s="5" t="s">
        <v>19</v>
      </c>
      <c r="C28" s="8">
        <f>Assumptions!C14</f>
        <v>14.585714285714285</v>
      </c>
    </row>
    <row r="29" spans="2:5" x14ac:dyDescent="0.2">
      <c r="B29" s="5" t="s">
        <v>20</v>
      </c>
      <c r="C29" s="7">
        <f>'Sources-Uses'!D13</f>
        <v>6105.5</v>
      </c>
    </row>
    <row r="30" spans="2:5" x14ac:dyDescent="0.2">
      <c r="B30" s="5" t="s">
        <v>21</v>
      </c>
      <c r="C30" s="8">
        <f>'Sources-Uses'!D30</f>
        <v>11.685714285714285</v>
      </c>
    </row>
    <row r="31" spans="2:5" x14ac:dyDescent="0.2">
      <c r="B31" s="5" t="s">
        <v>22</v>
      </c>
      <c r="C31" s="9">
        <f>Returns!E14</f>
        <v>-0.17490952375610902</v>
      </c>
      <c r="D31" s="8">
        <f>Returns!E13</f>
        <v>0.38239118401268252</v>
      </c>
    </row>
    <row r="32" spans="2:5" x14ac:dyDescent="0.2">
      <c r="B32" s="5" t="s">
        <v>23</v>
      </c>
      <c r="C32" s="2" t="s">
        <v>24</v>
      </c>
      <c r="D32" s="2" t="s">
        <v>25</v>
      </c>
    </row>
    <row r="34" spans="2:6" x14ac:dyDescent="0.2">
      <c r="B34" s="3" t="s">
        <v>26</v>
      </c>
      <c r="C34" s="3"/>
      <c r="D34" s="3"/>
      <c r="E34" s="3"/>
      <c r="F34" s="3"/>
    </row>
    <row r="35" spans="2:6" x14ac:dyDescent="0.2">
      <c r="B35" s="30" t="s">
        <v>27</v>
      </c>
      <c r="C35" s="31"/>
      <c r="D35" s="31"/>
      <c r="E35" s="31"/>
      <c r="F35" s="31"/>
    </row>
    <row r="36" spans="2:6" x14ac:dyDescent="0.2">
      <c r="B36" s="30" t="s">
        <v>28</v>
      </c>
      <c r="C36" s="31"/>
      <c r="D36" s="31"/>
      <c r="E36" s="31"/>
      <c r="F36" s="31"/>
    </row>
    <row r="37" spans="2:6" x14ac:dyDescent="0.2">
      <c r="B37" s="30" t="s">
        <v>29</v>
      </c>
      <c r="C37" s="31"/>
      <c r="D37" s="31"/>
      <c r="E37" s="31"/>
      <c r="F37" s="31"/>
    </row>
    <row r="38" spans="2:6" x14ac:dyDescent="0.2">
      <c r="B38" s="30" t="s">
        <v>30</v>
      </c>
      <c r="C38" s="31"/>
      <c r="D38" s="31"/>
      <c r="E38" s="31"/>
      <c r="F38" s="31"/>
    </row>
    <row r="39" spans="2:6" x14ac:dyDescent="0.2">
      <c r="B39" s="30" t="s">
        <v>31</v>
      </c>
      <c r="C39" s="31"/>
      <c r="D39" s="31"/>
      <c r="E39" s="31"/>
      <c r="F39" s="31"/>
    </row>
    <row r="40" spans="2:6" x14ac:dyDescent="0.2">
      <c r="B40" s="30" t="s">
        <v>32</v>
      </c>
      <c r="C40" s="31"/>
      <c r="D40" s="31"/>
      <c r="E40" s="31"/>
      <c r="F40" s="31"/>
    </row>
    <row r="41" spans="2:6" x14ac:dyDescent="0.2">
      <c r="B41" s="30" t="s">
        <v>33</v>
      </c>
      <c r="C41" s="31"/>
      <c r="D41" s="31"/>
      <c r="E41" s="31"/>
      <c r="F41" s="31"/>
    </row>
    <row r="42" spans="2:6" x14ac:dyDescent="0.2">
      <c r="B42" s="30" t="s">
        <v>34</v>
      </c>
      <c r="C42" s="31"/>
      <c r="D42" s="31"/>
      <c r="E42" s="31"/>
      <c r="F42" s="31"/>
    </row>
    <row r="43" spans="2:6" x14ac:dyDescent="0.2">
      <c r="B43" s="30" t="s">
        <v>35</v>
      </c>
      <c r="C43" s="31"/>
      <c r="D43" s="31"/>
      <c r="E43" s="31"/>
      <c r="F43" s="31"/>
    </row>
    <row r="44" spans="2:6" x14ac:dyDescent="0.2">
      <c r="B44" s="30" t="s">
        <v>36</v>
      </c>
      <c r="C44" s="31"/>
      <c r="D44" s="31"/>
      <c r="E44" s="31"/>
      <c r="F44" s="31"/>
    </row>
    <row r="45" spans="2:6" x14ac:dyDescent="0.2">
      <c r="B45" s="30" t="s">
        <v>37</v>
      </c>
      <c r="C45" s="31"/>
      <c r="D45" s="31"/>
      <c r="E45" s="31"/>
      <c r="F45" s="31"/>
    </row>
    <row r="46" spans="2:6" x14ac:dyDescent="0.2">
      <c r="B46" s="30" t="s">
        <v>38</v>
      </c>
      <c r="C46" s="31"/>
      <c r="D46" s="31"/>
      <c r="E46" s="31"/>
      <c r="F46" s="31"/>
    </row>
    <row r="48" spans="2:6" x14ac:dyDescent="0.2">
      <c r="B48" s="2" t="s">
        <v>39</v>
      </c>
    </row>
    <row r="49" spans="2:2" x14ac:dyDescent="0.2">
      <c r="B49" s="2" t="s">
        <v>40</v>
      </c>
    </row>
    <row r="50" spans="2:2" x14ac:dyDescent="0.2">
      <c r="B50" s="2" t="s">
        <v>41</v>
      </c>
    </row>
    <row r="51" spans="2:2" x14ac:dyDescent="0.2">
      <c r="B51" s="2" t="s">
        <v>42</v>
      </c>
    </row>
  </sheetData>
  <mergeCells count="13">
    <mergeCell ref="B8:F10"/>
    <mergeCell ref="B42:F42"/>
    <mergeCell ref="B37:F37"/>
    <mergeCell ref="B35:F35"/>
    <mergeCell ref="B45:F45"/>
    <mergeCell ref="B46:F46"/>
    <mergeCell ref="B36:F36"/>
    <mergeCell ref="B40:F40"/>
    <mergeCell ref="B41:F41"/>
    <mergeCell ref="B44:F44"/>
    <mergeCell ref="B43:F43"/>
    <mergeCell ref="B39:F39"/>
    <mergeCell ref="B38:F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3"/>
  <sheetViews>
    <sheetView showGridLines="0" workbookViewId="0">
      <pane xSplit="2" ySplit="4" topLeftCell="C3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6" customWidth="1"/>
    <col min="3" max="5" width="14" customWidth="1"/>
    <col min="6" max="6" width="16" customWidth="1"/>
    <col min="7" max="9" width="14" customWidth="1"/>
  </cols>
  <sheetData>
    <row r="2" spans="2:7" ht="18" x14ac:dyDescent="0.2">
      <c r="B2" s="1" t="s">
        <v>11</v>
      </c>
    </row>
    <row r="3" spans="2:7" x14ac:dyDescent="0.2">
      <c r="B3" s="2" t="s">
        <v>43</v>
      </c>
    </row>
    <row r="5" spans="2:7" x14ac:dyDescent="0.2">
      <c r="B5" s="3" t="s">
        <v>44</v>
      </c>
      <c r="C5" s="3"/>
      <c r="D5" s="3"/>
      <c r="E5" s="3"/>
      <c r="F5" s="3"/>
      <c r="G5" s="3"/>
    </row>
    <row r="6" spans="2:7" x14ac:dyDescent="0.2">
      <c r="B6" s="5" t="s">
        <v>45</v>
      </c>
      <c r="C6" s="10" t="s">
        <v>46</v>
      </c>
    </row>
    <row r="7" spans="2:7" x14ac:dyDescent="0.2">
      <c r="B7" s="5" t="s">
        <v>47</v>
      </c>
      <c r="C7" s="10" t="s">
        <v>48</v>
      </c>
    </row>
    <row r="8" spans="2:7" x14ac:dyDescent="0.2">
      <c r="B8" s="5" t="s">
        <v>49</v>
      </c>
      <c r="C8" s="11">
        <v>47.5</v>
      </c>
      <c r="D8" s="2" t="s">
        <v>50</v>
      </c>
    </row>
    <row r="9" spans="2:7" x14ac:dyDescent="0.2">
      <c r="B9" s="5" t="s">
        <v>51</v>
      </c>
      <c r="C9" s="12">
        <v>390</v>
      </c>
      <c r="D9" s="2" t="s">
        <v>52</v>
      </c>
    </row>
    <row r="10" spans="2:7" x14ac:dyDescent="0.2">
      <c r="B10" s="5" t="s">
        <v>53</v>
      </c>
      <c r="C10" s="13">
        <f>C8*C9</f>
        <v>18525</v>
      </c>
    </row>
    <row r="11" spans="2:7" x14ac:dyDescent="0.2">
      <c r="B11" s="5" t="s">
        <v>54</v>
      </c>
      <c r="C11" s="14">
        <v>7000</v>
      </c>
      <c r="D11" s="2" t="s">
        <v>55</v>
      </c>
    </row>
    <row r="12" spans="2:7" x14ac:dyDescent="0.2">
      <c r="B12" s="15" t="s">
        <v>56</v>
      </c>
      <c r="C12" s="16">
        <f>C10+C11</f>
        <v>25525</v>
      </c>
    </row>
    <row r="13" spans="2:7" x14ac:dyDescent="0.2">
      <c r="B13" s="5" t="s">
        <v>57</v>
      </c>
      <c r="C13" s="14">
        <v>1750</v>
      </c>
      <c r="D13" s="2" t="s">
        <v>58</v>
      </c>
    </row>
    <row r="14" spans="2:7" x14ac:dyDescent="0.2">
      <c r="B14" s="15" t="s">
        <v>59</v>
      </c>
      <c r="C14" s="17">
        <f>C12/C13</f>
        <v>14.585714285714285</v>
      </c>
    </row>
    <row r="15" spans="2:7" x14ac:dyDescent="0.2">
      <c r="B15" s="5" t="s">
        <v>60</v>
      </c>
      <c r="C15" s="18">
        <v>0.02</v>
      </c>
    </row>
    <row r="16" spans="2:7" x14ac:dyDescent="0.2">
      <c r="B16" s="5" t="s">
        <v>61</v>
      </c>
      <c r="C16" s="18">
        <v>2.5000000000000001E-2</v>
      </c>
    </row>
    <row r="17" spans="2:10" x14ac:dyDescent="0.2">
      <c r="B17" s="5" t="s">
        <v>62</v>
      </c>
      <c r="C17" s="19">
        <v>7</v>
      </c>
      <c r="D17" s="2" t="s">
        <v>63</v>
      </c>
    </row>
    <row r="19" spans="2:10" x14ac:dyDescent="0.2">
      <c r="B19" s="3" t="s">
        <v>64</v>
      </c>
      <c r="C19" s="3"/>
      <c r="D19" s="3"/>
      <c r="E19" s="3"/>
      <c r="F19" s="3"/>
      <c r="G19" s="3"/>
      <c r="H19" s="3"/>
      <c r="I19" s="3"/>
      <c r="J19" s="3"/>
    </row>
    <row r="20" spans="2:10" x14ac:dyDescent="0.2">
      <c r="B20" s="20" t="s">
        <v>65</v>
      </c>
      <c r="C20" s="20" t="s">
        <v>66</v>
      </c>
      <c r="D20" s="20" t="s">
        <v>67</v>
      </c>
      <c r="E20" s="20" t="s">
        <v>68</v>
      </c>
      <c r="F20" s="20" t="s">
        <v>69</v>
      </c>
      <c r="G20" s="20" t="s">
        <v>70</v>
      </c>
      <c r="H20" s="20" t="s">
        <v>71</v>
      </c>
      <c r="I20" s="20" t="s">
        <v>72</v>
      </c>
    </row>
    <row r="21" spans="2:10" x14ac:dyDescent="0.2">
      <c r="B21" s="5" t="s">
        <v>73</v>
      </c>
      <c r="D21" s="21">
        <v>5.3600000000000002E-2</v>
      </c>
      <c r="G21" s="2" t="s">
        <v>74</v>
      </c>
    </row>
    <row r="22" spans="2:10" x14ac:dyDescent="0.2">
      <c r="B22" s="5" t="s">
        <v>75</v>
      </c>
      <c r="C22" s="14">
        <v>7600</v>
      </c>
      <c r="D22" s="22">
        <v>150</v>
      </c>
      <c r="E22" s="23">
        <f t="shared" ref="E22:E27" si="0">$D$21</f>
        <v>5.3600000000000002E-2</v>
      </c>
      <c r="F22" s="23">
        <f t="shared" ref="F22:F27" si="1">E22+D22/10000</f>
        <v>6.8599999999999994E-2</v>
      </c>
      <c r="G22" s="18">
        <v>0.02</v>
      </c>
      <c r="H22" s="5" t="s">
        <v>76</v>
      </c>
      <c r="I22" s="24">
        <f>C22/$C$28</f>
        <v>0.36538461538461536</v>
      </c>
    </row>
    <row r="23" spans="2:10" x14ac:dyDescent="0.2">
      <c r="B23" s="5" t="s">
        <v>77</v>
      </c>
      <c r="C23" s="14">
        <v>1000</v>
      </c>
      <c r="D23" s="22">
        <v>250</v>
      </c>
      <c r="E23" s="23">
        <f t="shared" si="0"/>
        <v>5.3600000000000002E-2</v>
      </c>
      <c r="F23" s="23">
        <f t="shared" si="1"/>
        <v>7.8600000000000003E-2</v>
      </c>
      <c r="G23" s="18">
        <v>0.02</v>
      </c>
      <c r="H23" s="5" t="s">
        <v>76</v>
      </c>
      <c r="I23" s="24">
        <f>C23/$C$28</f>
        <v>4.807692307692308E-2</v>
      </c>
    </row>
    <row r="24" spans="2:10" x14ac:dyDescent="0.2">
      <c r="B24" s="5" t="s">
        <v>78</v>
      </c>
      <c r="C24" s="14">
        <v>4500</v>
      </c>
      <c r="D24" s="22">
        <v>300</v>
      </c>
      <c r="E24" s="23">
        <f t="shared" si="0"/>
        <v>5.3600000000000002E-2</v>
      </c>
      <c r="F24" s="23">
        <f t="shared" si="1"/>
        <v>8.3600000000000008E-2</v>
      </c>
      <c r="G24" s="18">
        <v>0</v>
      </c>
      <c r="H24" s="5" t="s">
        <v>76</v>
      </c>
      <c r="I24" s="24">
        <f>C24/$C$28</f>
        <v>0.21634615384615385</v>
      </c>
    </row>
    <row r="25" spans="2:10" x14ac:dyDescent="0.2">
      <c r="B25" s="5" t="s">
        <v>79</v>
      </c>
      <c r="C25" s="14">
        <v>3900</v>
      </c>
      <c r="D25" s="22">
        <v>350</v>
      </c>
      <c r="E25" s="23">
        <f t="shared" si="0"/>
        <v>5.3600000000000002E-2</v>
      </c>
      <c r="F25" s="23">
        <f t="shared" si="1"/>
        <v>8.8600000000000012E-2</v>
      </c>
      <c r="G25" s="18">
        <v>0</v>
      </c>
      <c r="H25" s="5" t="s">
        <v>76</v>
      </c>
      <c r="I25" s="24">
        <f>C25/$C$28</f>
        <v>0.1875</v>
      </c>
    </row>
    <row r="26" spans="2:10" x14ac:dyDescent="0.2">
      <c r="B26" s="5" t="s">
        <v>80</v>
      </c>
      <c r="C26" s="14">
        <v>3800</v>
      </c>
      <c r="D26" s="22">
        <v>500</v>
      </c>
      <c r="E26" s="23">
        <f t="shared" si="0"/>
        <v>5.3600000000000002E-2</v>
      </c>
      <c r="F26" s="23">
        <f t="shared" si="1"/>
        <v>0.1036</v>
      </c>
      <c r="G26" s="18">
        <v>0</v>
      </c>
      <c r="H26" s="5" t="s">
        <v>76</v>
      </c>
      <c r="I26" s="24">
        <f>C26/$C$28</f>
        <v>0.18269230769230768</v>
      </c>
    </row>
    <row r="27" spans="2:10" x14ac:dyDescent="0.2">
      <c r="B27" s="5" t="s">
        <v>81</v>
      </c>
      <c r="C27" s="14">
        <v>1000</v>
      </c>
      <c r="D27" s="22">
        <v>275</v>
      </c>
      <c r="E27" s="23">
        <f t="shared" si="0"/>
        <v>5.3600000000000002E-2</v>
      </c>
      <c r="F27" s="23">
        <f t="shared" si="1"/>
        <v>8.1100000000000005E-2</v>
      </c>
      <c r="G27" s="18">
        <v>0</v>
      </c>
      <c r="H27" s="5" t="s">
        <v>76</v>
      </c>
      <c r="I27" s="2" t="s">
        <v>82</v>
      </c>
    </row>
    <row r="28" spans="2:10" x14ac:dyDescent="0.2">
      <c r="B28" s="15" t="s">
        <v>83</v>
      </c>
      <c r="C28" s="16">
        <f>SUM(C22:C26)</f>
        <v>20800</v>
      </c>
      <c r="I28" s="25">
        <f>1</f>
        <v>1</v>
      </c>
    </row>
    <row r="29" spans="2:10" x14ac:dyDescent="0.2">
      <c r="B29" s="5" t="s">
        <v>84</v>
      </c>
      <c r="C29" s="13">
        <f>C28+C27</f>
        <v>21800</v>
      </c>
    </row>
    <row r="30" spans="2:10" x14ac:dyDescent="0.2">
      <c r="B30" s="15" t="s">
        <v>85</v>
      </c>
      <c r="C30" s="26">
        <f>SUMPRODUCT(C22:C26,F22:F26)/C28</f>
        <v>8.2470192307692314E-2</v>
      </c>
    </row>
    <row r="31" spans="2:10" x14ac:dyDescent="0.2">
      <c r="B31" s="5" t="s">
        <v>86</v>
      </c>
      <c r="C31" s="24">
        <f>SUMPRODUCT(C22:C26,G22:G26)/C28</f>
        <v>8.26923076923077E-3</v>
      </c>
    </row>
    <row r="33" spans="2:10" x14ac:dyDescent="0.2">
      <c r="B33" s="2" t="s">
        <v>87</v>
      </c>
    </row>
    <row r="34" spans="2:10" x14ac:dyDescent="0.2">
      <c r="B34" s="2" t="s">
        <v>88</v>
      </c>
    </row>
    <row r="36" spans="2:10" x14ac:dyDescent="0.2">
      <c r="B36" s="2" t="s">
        <v>89</v>
      </c>
    </row>
    <row r="37" spans="2:10" x14ac:dyDescent="0.2">
      <c r="B37" s="2" t="s">
        <v>90</v>
      </c>
    </row>
    <row r="38" spans="2:10" x14ac:dyDescent="0.2">
      <c r="B38" s="2" t="s">
        <v>91</v>
      </c>
    </row>
    <row r="40" spans="2:10" x14ac:dyDescent="0.2">
      <c r="B40" s="3" t="s">
        <v>92</v>
      </c>
      <c r="C40" s="3"/>
      <c r="D40" s="3"/>
      <c r="E40" s="3"/>
      <c r="F40" s="3"/>
      <c r="G40" s="3"/>
      <c r="H40" s="3"/>
      <c r="I40" s="3"/>
      <c r="J40" s="3"/>
    </row>
    <row r="41" spans="2:10" x14ac:dyDescent="0.2">
      <c r="B41" s="5" t="s">
        <v>93</v>
      </c>
      <c r="C41" s="20" t="s">
        <v>94</v>
      </c>
      <c r="D41" s="20" t="s">
        <v>95</v>
      </c>
      <c r="E41" s="20" t="s">
        <v>96</v>
      </c>
      <c r="F41" s="20" t="s">
        <v>97</v>
      </c>
      <c r="G41" s="20" t="s">
        <v>98</v>
      </c>
      <c r="H41" s="20" t="s">
        <v>99</v>
      </c>
      <c r="I41" s="20" t="s">
        <v>100</v>
      </c>
    </row>
    <row r="42" spans="2:10" x14ac:dyDescent="0.2">
      <c r="B42" s="5" t="s">
        <v>101</v>
      </c>
      <c r="C42" s="18">
        <v>0.06</v>
      </c>
      <c r="D42" s="18">
        <v>0.05</v>
      </c>
      <c r="E42" s="18">
        <v>-0.16</v>
      </c>
      <c r="F42" s="18">
        <v>-0.06</v>
      </c>
      <c r="G42" s="18">
        <v>7.0000000000000007E-2</v>
      </c>
      <c r="H42" s="18">
        <v>0.08</v>
      </c>
      <c r="I42" s="18">
        <v>7.0000000000000007E-2</v>
      </c>
    </row>
    <row r="43" spans="2:10" x14ac:dyDescent="0.2">
      <c r="B43" s="5" t="s">
        <v>102</v>
      </c>
      <c r="C43" s="18">
        <v>0.215</v>
      </c>
      <c r="D43" s="18">
        <v>0.2</v>
      </c>
      <c r="E43" s="18">
        <v>0.185</v>
      </c>
      <c r="F43" s="18">
        <v>0.19</v>
      </c>
      <c r="G43" s="18">
        <v>0.20499999999999999</v>
      </c>
      <c r="H43" s="18">
        <v>0.215</v>
      </c>
      <c r="I43" s="18">
        <v>0.22</v>
      </c>
    </row>
    <row r="44" spans="2:10" x14ac:dyDescent="0.2">
      <c r="B44" s="5" t="s">
        <v>103</v>
      </c>
      <c r="C44" s="18">
        <v>3.7999999999999999E-2</v>
      </c>
      <c r="D44" s="18">
        <v>3.7999999999999999E-2</v>
      </c>
      <c r="E44" s="18">
        <v>3.7999999999999999E-2</v>
      </c>
      <c r="F44" s="18">
        <v>3.7999999999999999E-2</v>
      </c>
      <c r="G44" s="18">
        <v>3.7999999999999999E-2</v>
      </c>
      <c r="H44" s="18">
        <v>3.7999999999999999E-2</v>
      </c>
      <c r="I44" s="18">
        <v>3.7999999999999999E-2</v>
      </c>
    </row>
    <row r="45" spans="2:10" x14ac:dyDescent="0.2">
      <c r="B45" s="5" t="s">
        <v>104</v>
      </c>
      <c r="C45" s="18">
        <v>7.4999999999999997E-2</v>
      </c>
      <c r="D45" s="18">
        <v>6.5000000000000002E-2</v>
      </c>
      <c r="E45" s="18">
        <v>0.04</v>
      </c>
      <c r="F45" s="18">
        <v>4.4999999999999998E-2</v>
      </c>
      <c r="G45" s="18">
        <v>0.06</v>
      </c>
      <c r="H45" s="18">
        <v>7.0000000000000007E-2</v>
      </c>
      <c r="I45" s="18">
        <v>7.4999999999999997E-2</v>
      </c>
    </row>
    <row r="46" spans="2:10" x14ac:dyDescent="0.2">
      <c r="B46" s="5" t="s">
        <v>105</v>
      </c>
      <c r="C46" s="18">
        <v>0.01</v>
      </c>
      <c r="D46" s="18">
        <v>0.01</v>
      </c>
      <c r="E46" s="18">
        <v>0.01</v>
      </c>
      <c r="F46" s="18">
        <v>0.01</v>
      </c>
      <c r="G46" s="18">
        <v>0.01</v>
      </c>
      <c r="H46" s="18">
        <v>0.01</v>
      </c>
      <c r="I46" s="18">
        <v>0.01</v>
      </c>
    </row>
    <row r="47" spans="2:10" x14ac:dyDescent="0.2">
      <c r="B47" s="5" t="s">
        <v>106</v>
      </c>
      <c r="C47" s="18">
        <v>0.35</v>
      </c>
      <c r="D47" s="2" t="s">
        <v>107</v>
      </c>
    </row>
    <row r="48" spans="2:10" x14ac:dyDescent="0.2">
      <c r="B48" s="5" t="s">
        <v>108</v>
      </c>
      <c r="C48" s="21">
        <v>0.02</v>
      </c>
    </row>
    <row r="50" spans="2:9" x14ac:dyDescent="0.2">
      <c r="B50" s="2" t="s">
        <v>109</v>
      </c>
    </row>
    <row r="51" spans="2:9" x14ac:dyDescent="0.2">
      <c r="C51" s="20" t="s">
        <v>94</v>
      </c>
      <c r="D51" s="20" t="s">
        <v>95</v>
      </c>
      <c r="E51" s="20" t="s">
        <v>96</v>
      </c>
      <c r="F51" s="20" t="s">
        <v>97</v>
      </c>
      <c r="G51" s="20" t="s">
        <v>98</v>
      </c>
      <c r="H51" s="20" t="s">
        <v>99</v>
      </c>
      <c r="I51" s="20" t="s">
        <v>100</v>
      </c>
    </row>
    <row r="52" spans="2:9" x14ac:dyDescent="0.2">
      <c r="B52" s="5" t="s">
        <v>110</v>
      </c>
      <c r="C52" s="21">
        <v>0.05</v>
      </c>
      <c r="D52" s="21">
        <v>0.03</v>
      </c>
      <c r="E52" s="21">
        <v>1.4999999999999999E-2</v>
      </c>
      <c r="F52" s="21">
        <v>1.4999999999999999E-2</v>
      </c>
      <c r="G52" s="21">
        <v>1.4999999999999999E-2</v>
      </c>
      <c r="H52" s="21">
        <v>1.4999999999999999E-2</v>
      </c>
      <c r="I52" s="21">
        <v>2.5000000000000001E-2</v>
      </c>
    </row>
    <row r="54" spans="2:9" x14ac:dyDescent="0.2">
      <c r="B54" s="2" t="s">
        <v>111</v>
      </c>
    </row>
    <row r="55" spans="2:9" x14ac:dyDescent="0.2">
      <c r="B55" s="2" t="s">
        <v>112</v>
      </c>
    </row>
    <row r="57" spans="2:9" x14ac:dyDescent="0.2">
      <c r="B57" s="3" t="s">
        <v>113</v>
      </c>
      <c r="C57" s="3"/>
      <c r="D57" s="3"/>
      <c r="E57" s="3"/>
      <c r="F57" s="3"/>
      <c r="G57" s="3"/>
    </row>
    <row r="58" spans="2:9" x14ac:dyDescent="0.2">
      <c r="B58" s="5" t="s">
        <v>114</v>
      </c>
      <c r="C58" s="27">
        <f>C14</f>
        <v>14.585714285714285</v>
      </c>
    </row>
    <row r="59" spans="2:9" x14ac:dyDescent="0.2">
      <c r="B59" s="5" t="s">
        <v>115</v>
      </c>
      <c r="C59" s="14">
        <v>100</v>
      </c>
    </row>
    <row r="60" spans="2:9" x14ac:dyDescent="0.2">
      <c r="B60" s="5" t="s">
        <v>116</v>
      </c>
      <c r="C60" s="18">
        <v>1</v>
      </c>
    </row>
    <row r="62" spans="2:9" x14ac:dyDescent="0.2">
      <c r="B62" s="2" t="s">
        <v>117</v>
      </c>
    </row>
    <row r="63" spans="2:9" x14ac:dyDescent="0.2">
      <c r="B63" s="2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2" customWidth="1"/>
    <col min="3" max="3" width="4" customWidth="1"/>
    <col min="4" max="4" width="15" customWidth="1"/>
    <col min="5" max="5" width="12" customWidth="1"/>
  </cols>
  <sheetData>
    <row r="2" spans="2:5" ht="18" x14ac:dyDescent="0.2">
      <c r="B2" s="1" t="s">
        <v>119</v>
      </c>
    </row>
    <row r="3" spans="2:5" x14ac:dyDescent="0.2">
      <c r="B3" s="2" t="s">
        <v>120</v>
      </c>
    </row>
    <row r="5" spans="2:5" x14ac:dyDescent="0.2">
      <c r="B5" s="3" t="s">
        <v>121</v>
      </c>
      <c r="C5" s="3"/>
      <c r="D5" s="3"/>
      <c r="E5" s="3"/>
    </row>
    <row r="6" spans="2:5" x14ac:dyDescent="0.2">
      <c r="B6" s="5"/>
      <c r="D6" s="20" t="s">
        <v>122</v>
      </c>
      <c r="E6" s="20" t="s">
        <v>123</v>
      </c>
    </row>
    <row r="7" spans="2:5" x14ac:dyDescent="0.2">
      <c r="B7" s="5" t="s">
        <v>75</v>
      </c>
      <c r="D7" s="7">
        <f>Assumptions!C22</f>
        <v>7600</v>
      </c>
      <c r="E7" s="24">
        <f t="shared" ref="E7:E13" si="0">D7/D$14</f>
        <v>0.28247012692572149</v>
      </c>
    </row>
    <row r="8" spans="2:5" x14ac:dyDescent="0.2">
      <c r="B8" s="5" t="s">
        <v>77</v>
      </c>
      <c r="D8" s="7">
        <f>Assumptions!C23</f>
        <v>1000</v>
      </c>
      <c r="E8" s="24">
        <f t="shared" si="0"/>
        <v>3.7167121963910726E-2</v>
      </c>
    </row>
    <row r="9" spans="2:5" x14ac:dyDescent="0.2">
      <c r="B9" s="5" t="s">
        <v>78</v>
      </c>
      <c r="D9" s="7">
        <f>Assumptions!C24</f>
        <v>4500</v>
      </c>
      <c r="E9" s="24">
        <f t="shared" si="0"/>
        <v>0.16725204883759826</v>
      </c>
    </row>
    <row r="10" spans="2:5" x14ac:dyDescent="0.2">
      <c r="B10" s="5" t="s">
        <v>79</v>
      </c>
      <c r="D10" s="7">
        <f>Assumptions!C25</f>
        <v>3900</v>
      </c>
      <c r="E10" s="24">
        <f t="shared" si="0"/>
        <v>0.14495177565925182</v>
      </c>
    </row>
    <row r="11" spans="2:5" x14ac:dyDescent="0.2">
      <c r="B11" s="5" t="s">
        <v>80</v>
      </c>
      <c r="D11" s="7">
        <f>Assumptions!C26</f>
        <v>3800</v>
      </c>
      <c r="E11" s="24">
        <f t="shared" si="0"/>
        <v>0.14123506346286074</v>
      </c>
    </row>
    <row r="12" spans="2:5" x14ac:dyDescent="0.2">
      <c r="B12" s="5" t="s">
        <v>124</v>
      </c>
      <c r="D12" s="13">
        <f>0</f>
        <v>0</v>
      </c>
      <c r="E12" s="24">
        <f t="shared" si="0"/>
        <v>0</v>
      </c>
    </row>
    <row r="13" spans="2:5" x14ac:dyDescent="0.2">
      <c r="B13" s="5" t="s">
        <v>125</v>
      </c>
      <c r="D13" s="13">
        <f>D23-SUM(D7:D12)</f>
        <v>6105.5</v>
      </c>
      <c r="E13" s="24">
        <f t="shared" si="0"/>
        <v>0.22692386315065693</v>
      </c>
    </row>
    <row r="14" spans="2:5" x14ac:dyDescent="0.2">
      <c r="B14" s="15" t="s">
        <v>126</v>
      </c>
      <c r="D14" s="16">
        <f>SUM(D7:D13)</f>
        <v>26905.5</v>
      </c>
    </row>
    <row r="16" spans="2:5" x14ac:dyDescent="0.2">
      <c r="B16" s="3" t="s">
        <v>127</v>
      </c>
      <c r="C16" s="3"/>
      <c r="D16" s="3"/>
      <c r="E16" s="3"/>
    </row>
    <row r="17" spans="2:5" x14ac:dyDescent="0.2">
      <c r="D17" s="20" t="s">
        <v>122</v>
      </c>
      <c r="E17" s="20" t="s">
        <v>123</v>
      </c>
    </row>
    <row r="18" spans="2:5" x14ac:dyDescent="0.2">
      <c r="B18" s="5" t="s">
        <v>128</v>
      </c>
      <c r="D18" s="7">
        <f>Assumptions!C10</f>
        <v>18525</v>
      </c>
      <c r="E18" s="24">
        <f>D18/D$23</f>
        <v>0.68852093438144613</v>
      </c>
    </row>
    <row r="19" spans="2:5" x14ac:dyDescent="0.2">
      <c r="B19" s="5" t="s">
        <v>129</v>
      </c>
      <c r="D19" s="7">
        <f>Assumptions!C11</f>
        <v>7000</v>
      </c>
      <c r="E19" s="24">
        <f>D19/D$23</f>
        <v>0.26016985374737506</v>
      </c>
    </row>
    <row r="20" spans="2:5" x14ac:dyDescent="0.2">
      <c r="B20" s="5" t="s">
        <v>130</v>
      </c>
      <c r="D20" s="7">
        <f>Assumptions!C12*Assumptions!C15</f>
        <v>510.5</v>
      </c>
      <c r="E20" s="24">
        <f>D20/D$23</f>
        <v>1.8973815762576424E-2</v>
      </c>
    </row>
    <row r="21" spans="2:5" x14ac:dyDescent="0.2">
      <c r="B21" s="5" t="s">
        <v>131</v>
      </c>
      <c r="D21" s="7">
        <f>Assumptions!C28*Assumptions!C16</f>
        <v>520</v>
      </c>
      <c r="E21" s="24">
        <f>D21/D$23</f>
        <v>1.9326903421233575E-2</v>
      </c>
    </row>
    <row r="22" spans="2:5" x14ac:dyDescent="0.2">
      <c r="B22" s="5" t="s">
        <v>132</v>
      </c>
      <c r="D22" s="14">
        <v>350</v>
      </c>
      <c r="E22" s="24">
        <f>D22/D$23</f>
        <v>1.3008492687368754E-2</v>
      </c>
    </row>
    <row r="23" spans="2:5" x14ac:dyDescent="0.2">
      <c r="B23" s="15" t="s">
        <v>133</v>
      </c>
      <c r="D23" s="16">
        <f>SUM(D18:D22)</f>
        <v>26905.5</v>
      </c>
    </row>
    <row r="25" spans="2:5" x14ac:dyDescent="0.2">
      <c r="B25" s="5" t="s">
        <v>134</v>
      </c>
      <c r="D25" s="13">
        <f>ROUND(D14-D23,3)</f>
        <v>0</v>
      </c>
    </row>
    <row r="27" spans="2:5" x14ac:dyDescent="0.2">
      <c r="B27" s="3" t="s">
        <v>135</v>
      </c>
      <c r="C27" s="3"/>
      <c r="D27" s="3"/>
      <c r="E27" s="3"/>
    </row>
    <row r="28" spans="2:5" x14ac:dyDescent="0.2">
      <c r="B28" s="5" t="s">
        <v>136</v>
      </c>
      <c r="D28" s="24">
        <f>D13/D14</f>
        <v>0.22692386315065693</v>
      </c>
    </row>
    <row r="29" spans="2:5" x14ac:dyDescent="0.2">
      <c r="B29" s="5" t="s">
        <v>137</v>
      </c>
      <c r="D29" s="8">
        <f>Assumptions!C28/Assumptions!C13</f>
        <v>11.885714285714286</v>
      </c>
    </row>
    <row r="30" spans="2:5" x14ac:dyDescent="0.2">
      <c r="B30" s="15" t="s">
        <v>138</v>
      </c>
      <c r="D30" s="28">
        <f>(Assumptions!C28-D22)/Assumptions!C13</f>
        <v>11.685714285714285</v>
      </c>
    </row>
    <row r="32" spans="2:5" x14ac:dyDescent="0.2">
      <c r="B32" s="2" t="s">
        <v>139</v>
      </c>
    </row>
    <row r="33" spans="2:2" x14ac:dyDescent="0.2">
      <c r="B33" s="2" t="s">
        <v>140</v>
      </c>
    </row>
  </sheetData>
  <conditionalFormatting sqref="D25">
    <cfRule type="cellIs" dxfId="5" priority="1" operator="equal">
      <formula>0</formula>
    </cfRule>
    <cfRule type="cellIs" dxfId="4" priority="2" operator="notEqual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40"/>
  <sheetViews>
    <sheetView showGridLines="0" workbookViewId="0">
      <pane xSplit="3" ySplit="5" topLeftCell="D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2" customWidth="1"/>
    <col min="3" max="3" width="3" customWidth="1"/>
    <col min="4" max="13" width="11" customWidth="1"/>
  </cols>
  <sheetData>
    <row r="2" spans="2:13" ht="18" x14ac:dyDescent="0.2">
      <c r="B2" s="1" t="s">
        <v>141</v>
      </c>
    </row>
    <row r="3" spans="2:13" x14ac:dyDescent="0.2">
      <c r="B3" s="2" t="s">
        <v>142</v>
      </c>
    </row>
    <row r="5" spans="2:13" x14ac:dyDescent="0.2">
      <c r="B5" s="3" t="s">
        <v>143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2:13" x14ac:dyDescent="0.2">
      <c r="D6" s="20" t="s">
        <v>144</v>
      </c>
      <c r="E6" s="20" t="s">
        <v>145</v>
      </c>
      <c r="F6" s="20" t="s">
        <v>146</v>
      </c>
      <c r="G6" s="20" t="s">
        <v>94</v>
      </c>
      <c r="H6" s="20" t="s">
        <v>95</v>
      </c>
      <c r="I6" s="20" t="s">
        <v>96</v>
      </c>
      <c r="J6" s="20" t="s">
        <v>97</v>
      </c>
      <c r="K6" s="20" t="s">
        <v>98</v>
      </c>
      <c r="L6" s="20" t="s">
        <v>99</v>
      </c>
      <c r="M6" s="20" t="s">
        <v>100</v>
      </c>
    </row>
    <row r="7" spans="2:13" x14ac:dyDescent="0.2">
      <c r="B7" s="5" t="s">
        <v>147</v>
      </c>
      <c r="D7" s="14">
        <v>4150</v>
      </c>
      <c r="E7" s="14">
        <v>4437</v>
      </c>
      <c r="F7" s="14">
        <v>8162</v>
      </c>
      <c r="G7" s="13">
        <f t="shared" ref="G7:M7" si="0">F7*(1+G8)</f>
        <v>8651.7200000000012</v>
      </c>
      <c r="H7" s="13">
        <f t="shared" si="0"/>
        <v>9084.3060000000023</v>
      </c>
      <c r="I7" s="13">
        <f t="shared" si="0"/>
        <v>7630.8170400000017</v>
      </c>
      <c r="J7" s="13">
        <f t="shared" si="0"/>
        <v>7172.9680176000011</v>
      </c>
      <c r="K7" s="13">
        <f t="shared" si="0"/>
        <v>7675.0757788320016</v>
      </c>
      <c r="L7" s="13">
        <f t="shared" si="0"/>
        <v>8289.0818411385626</v>
      </c>
      <c r="M7" s="13">
        <f t="shared" si="0"/>
        <v>8869.3175700182619</v>
      </c>
    </row>
    <row r="8" spans="2:13" x14ac:dyDescent="0.2">
      <c r="B8" s="5" t="s">
        <v>148</v>
      </c>
      <c r="E8" s="24">
        <f>E7/D7-1</f>
        <v>6.9156626506024166E-2</v>
      </c>
      <c r="F8" s="24">
        <f>F7/E7-1</f>
        <v>0.83953121478476445</v>
      </c>
      <c r="G8" s="9">
        <f>Assumptions!C$42</f>
        <v>0.06</v>
      </c>
      <c r="H8" s="9">
        <f>Assumptions!D$42</f>
        <v>0.05</v>
      </c>
      <c r="I8" s="9">
        <f>Assumptions!E$42</f>
        <v>-0.16</v>
      </c>
      <c r="J8" s="9">
        <f>Assumptions!F$42</f>
        <v>-0.06</v>
      </c>
      <c r="K8" s="9">
        <f>Assumptions!G$42</f>
        <v>7.0000000000000007E-2</v>
      </c>
      <c r="L8" s="9">
        <f>Assumptions!H$42</f>
        <v>0.08</v>
      </c>
      <c r="M8" s="9">
        <f>Assumptions!I$42</f>
        <v>7.0000000000000007E-2</v>
      </c>
    </row>
    <row r="9" spans="2:13" x14ac:dyDescent="0.2">
      <c r="B9" s="5" t="s">
        <v>149</v>
      </c>
      <c r="D9" s="2" t="s">
        <v>150</v>
      </c>
      <c r="E9" s="14">
        <v>1140</v>
      </c>
      <c r="F9" s="14">
        <v>1750</v>
      </c>
      <c r="G9" s="13">
        <f t="shared" ref="G9:M9" si="1">G7*G10</f>
        <v>1860.1198000000002</v>
      </c>
      <c r="H9" s="13">
        <f t="shared" si="1"/>
        <v>1816.8612000000005</v>
      </c>
      <c r="I9" s="13">
        <f t="shared" si="1"/>
        <v>1411.7011524000004</v>
      </c>
      <c r="J9" s="13">
        <f t="shared" si="1"/>
        <v>1362.8639233440001</v>
      </c>
      <c r="K9" s="13">
        <f t="shared" si="1"/>
        <v>1573.3905346605602</v>
      </c>
      <c r="L9" s="13">
        <f t="shared" si="1"/>
        <v>1782.152595844791</v>
      </c>
      <c r="M9" s="13">
        <f t="shared" si="1"/>
        <v>1951.2498654040176</v>
      </c>
    </row>
    <row r="10" spans="2:13" x14ac:dyDescent="0.2">
      <c r="B10" s="5" t="s">
        <v>151</v>
      </c>
      <c r="E10" s="24">
        <f>E9/E7</f>
        <v>0.25693035835023664</v>
      </c>
      <c r="F10" s="24">
        <f>F9/F7</f>
        <v>0.21440823327615779</v>
      </c>
      <c r="G10" s="9">
        <f>Assumptions!C$43</f>
        <v>0.215</v>
      </c>
      <c r="H10" s="9">
        <f>Assumptions!D$43</f>
        <v>0.2</v>
      </c>
      <c r="I10" s="9">
        <f>Assumptions!E$43</f>
        <v>0.185</v>
      </c>
      <c r="J10" s="9">
        <f>Assumptions!F$43</f>
        <v>0.19</v>
      </c>
      <c r="K10" s="9">
        <f>Assumptions!G$43</f>
        <v>0.20499999999999999</v>
      </c>
      <c r="L10" s="9">
        <f>Assumptions!H$43</f>
        <v>0.215</v>
      </c>
      <c r="M10" s="9">
        <f>Assumptions!I$43</f>
        <v>0.22</v>
      </c>
    </row>
    <row r="11" spans="2:13" x14ac:dyDescent="0.2">
      <c r="B11" s="5" t="s">
        <v>152</v>
      </c>
      <c r="D11" s="2" t="s">
        <v>150</v>
      </c>
      <c r="E11" s="14">
        <v>305</v>
      </c>
      <c r="F11" s="14">
        <v>305</v>
      </c>
      <c r="G11" s="7">
        <f>G7*Assumptions!C$44</f>
        <v>328.76536000000004</v>
      </c>
      <c r="H11" s="7">
        <f>H7*Assumptions!D$44</f>
        <v>345.20362800000009</v>
      </c>
      <c r="I11" s="7">
        <f>I7*Assumptions!E$44</f>
        <v>289.97104752000007</v>
      </c>
      <c r="J11" s="7">
        <f>J7*Assumptions!F$44</f>
        <v>272.57278466880001</v>
      </c>
      <c r="K11" s="7">
        <f>K7*Assumptions!G$44</f>
        <v>291.65287959561607</v>
      </c>
      <c r="L11" s="7">
        <f>L7*Assumptions!H$44</f>
        <v>314.98510996326536</v>
      </c>
      <c r="M11" s="7">
        <f>M7*Assumptions!I$44</f>
        <v>337.03406766069395</v>
      </c>
    </row>
    <row r="12" spans="2:13" x14ac:dyDescent="0.2">
      <c r="B12" s="5" t="s">
        <v>153</v>
      </c>
      <c r="E12" s="13">
        <f t="shared" ref="E12:M12" si="2">E9-E11</f>
        <v>835</v>
      </c>
      <c r="F12" s="13">
        <f t="shared" si="2"/>
        <v>1445</v>
      </c>
      <c r="G12" s="13">
        <f t="shared" si="2"/>
        <v>1531.3544400000001</v>
      </c>
      <c r="H12" s="13">
        <f t="shared" si="2"/>
        <v>1471.6575720000005</v>
      </c>
      <c r="I12" s="13">
        <f t="shared" si="2"/>
        <v>1121.7301048800005</v>
      </c>
      <c r="J12" s="13">
        <f t="shared" si="2"/>
        <v>1090.2911386752</v>
      </c>
      <c r="K12" s="13">
        <f t="shared" si="2"/>
        <v>1281.7376550649442</v>
      </c>
      <c r="L12" s="13">
        <f t="shared" si="2"/>
        <v>1467.1674858815256</v>
      </c>
      <c r="M12" s="13">
        <f t="shared" si="2"/>
        <v>1614.2157977433235</v>
      </c>
    </row>
    <row r="13" spans="2:13" x14ac:dyDescent="0.2">
      <c r="B13" s="5" t="s">
        <v>154</v>
      </c>
      <c r="G13" s="7">
        <f>DebtSchedule!D$75</f>
        <v>1640.5</v>
      </c>
      <c r="H13" s="7">
        <f>DebtSchedule!E$75</f>
        <v>1236.636493</v>
      </c>
      <c r="I13" s="7">
        <f>DebtSchedule!F$75</f>
        <v>926.88452987762503</v>
      </c>
      <c r="J13" s="7">
        <f>DebtSchedule!G$75</f>
        <v>922.3225575085844</v>
      </c>
      <c r="K13" s="7">
        <f>DebtSchedule!H$75</f>
        <v>920.41154760457266</v>
      </c>
      <c r="L13" s="7">
        <f>DebtSchedule!I$75</f>
        <v>918.60925553771131</v>
      </c>
      <c r="M13" s="7">
        <f>DebtSchedule!J$75</f>
        <v>1121.7978208472198</v>
      </c>
    </row>
    <row r="14" spans="2:13" x14ac:dyDescent="0.2">
      <c r="B14" s="2" t="s">
        <v>155</v>
      </c>
      <c r="G14" s="7">
        <f>DebtSchedule!D$8*Assumptions!$C$48</f>
        <v>7</v>
      </c>
      <c r="H14" s="7">
        <f>DebtSchedule!E$8*Assumptions!$C$48</f>
        <v>2</v>
      </c>
      <c r="I14" s="7">
        <f>DebtSchedule!F$8*Assumptions!$C$48</f>
        <v>2</v>
      </c>
      <c r="J14" s="7">
        <f>DebtSchedule!G$8*Assumptions!$C$48</f>
        <v>2</v>
      </c>
      <c r="K14" s="7">
        <f>DebtSchedule!H$8*Assumptions!$C$48</f>
        <v>2</v>
      </c>
      <c r="L14" s="7">
        <f>DebtSchedule!I$8*Assumptions!$C$48</f>
        <v>2</v>
      </c>
      <c r="M14" s="7">
        <f>DebtSchedule!J$8*Assumptions!$C$48</f>
        <v>2</v>
      </c>
    </row>
    <row r="15" spans="2:13" x14ac:dyDescent="0.2">
      <c r="B15" s="5" t="s">
        <v>156</v>
      </c>
      <c r="G15" s="7">
        <f>'Sources-Uses'!$D$21/Assumptions!$C$17</f>
        <v>74.285714285714292</v>
      </c>
      <c r="H15" s="7">
        <f>'Sources-Uses'!$D$21/Assumptions!$C$17</f>
        <v>74.285714285714292</v>
      </c>
      <c r="I15" s="7">
        <f>'Sources-Uses'!$D$21/Assumptions!$C$17</f>
        <v>74.285714285714292</v>
      </c>
      <c r="J15" s="7">
        <f>'Sources-Uses'!$D$21/Assumptions!$C$17</f>
        <v>74.285714285714292</v>
      </c>
      <c r="K15" s="7">
        <f>'Sources-Uses'!$D$21/Assumptions!$C$17</f>
        <v>74.285714285714292</v>
      </c>
      <c r="L15" s="7">
        <f>'Sources-Uses'!$D$21/Assumptions!$C$17</f>
        <v>74.285714285714292</v>
      </c>
      <c r="M15" s="7">
        <f>'Sources-Uses'!$D$21/Assumptions!$C$17</f>
        <v>74.285714285714292</v>
      </c>
    </row>
    <row r="16" spans="2:13" x14ac:dyDescent="0.2">
      <c r="B16" s="2" t="s">
        <v>157</v>
      </c>
      <c r="G16" s="13">
        <f t="shared" ref="G16:M16" si="3">G12-G13+G14-G15</f>
        <v>-176.43127428571421</v>
      </c>
      <c r="H16" s="13">
        <f t="shared" si="3"/>
        <v>162.73536471428628</v>
      </c>
      <c r="I16" s="13">
        <f t="shared" si="3"/>
        <v>122.55986071666113</v>
      </c>
      <c r="J16" s="13">
        <f t="shared" si="3"/>
        <v>95.682866880901358</v>
      </c>
      <c r="K16" s="13">
        <f t="shared" si="3"/>
        <v>289.04039317465725</v>
      </c>
      <c r="L16" s="13">
        <f t="shared" si="3"/>
        <v>476.27251605810005</v>
      </c>
      <c r="M16" s="13">
        <f t="shared" si="3"/>
        <v>420.13226261038943</v>
      </c>
    </row>
    <row r="17" spans="2:13" x14ac:dyDescent="0.2">
      <c r="B17" s="2" t="s">
        <v>158</v>
      </c>
      <c r="G17" s="7">
        <f>MAX(0,G16)*Assumptions!$C$47</f>
        <v>0</v>
      </c>
      <c r="H17" s="7">
        <f>MAX(0,H16)*Assumptions!$C$47</f>
        <v>56.95737765000019</v>
      </c>
      <c r="I17" s="7">
        <f>MAX(0,I16)*Assumptions!$C$47</f>
        <v>42.895951250831395</v>
      </c>
      <c r="J17" s="7">
        <f>MAX(0,J16)*Assumptions!$C$47</f>
        <v>33.489003408315476</v>
      </c>
      <c r="K17" s="7">
        <f>MAX(0,K16)*Assumptions!$C$47</f>
        <v>101.16413761113003</v>
      </c>
      <c r="L17" s="7">
        <f>MAX(0,L16)*Assumptions!$C$47</f>
        <v>166.69538062033502</v>
      </c>
      <c r="M17" s="7">
        <f>MAX(0,M16)*Assumptions!$C$47</f>
        <v>147.04629191363628</v>
      </c>
    </row>
    <row r="18" spans="2:13" x14ac:dyDescent="0.2">
      <c r="B18" s="5" t="s">
        <v>159</v>
      </c>
      <c r="D18" s="2" t="s">
        <v>150</v>
      </c>
      <c r="E18" s="2" t="s">
        <v>150</v>
      </c>
      <c r="F18" s="14">
        <v>572</v>
      </c>
      <c r="G18" s="13">
        <f t="shared" ref="G18:M18" si="4">G16-G17</f>
        <v>-176.43127428571421</v>
      </c>
      <c r="H18" s="13">
        <f t="shared" si="4"/>
        <v>105.77798706428609</v>
      </c>
      <c r="I18" s="13">
        <f t="shared" si="4"/>
        <v>79.663909465829732</v>
      </c>
      <c r="J18" s="13">
        <f t="shared" si="4"/>
        <v>62.193863472585882</v>
      </c>
      <c r="K18" s="13">
        <f t="shared" si="4"/>
        <v>187.87625556352722</v>
      </c>
      <c r="L18" s="13">
        <f t="shared" si="4"/>
        <v>309.57713543776504</v>
      </c>
      <c r="M18" s="13">
        <f t="shared" si="4"/>
        <v>273.08597069675318</v>
      </c>
    </row>
    <row r="20" spans="2:13" x14ac:dyDescent="0.2">
      <c r="B20" s="3" t="s">
        <v>160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3" x14ac:dyDescent="0.2">
      <c r="B21" s="5" t="s">
        <v>161</v>
      </c>
      <c r="G21" s="13">
        <f t="shared" ref="G21:M21" si="5">G18</f>
        <v>-176.43127428571421</v>
      </c>
      <c r="H21" s="13">
        <f t="shared" si="5"/>
        <v>105.77798706428609</v>
      </c>
      <c r="I21" s="13">
        <f t="shared" si="5"/>
        <v>79.663909465829732</v>
      </c>
      <c r="J21" s="13">
        <f t="shared" si="5"/>
        <v>62.193863472585882</v>
      </c>
      <c r="K21" s="13">
        <f t="shared" si="5"/>
        <v>187.87625556352722</v>
      </c>
      <c r="L21" s="13">
        <f t="shared" si="5"/>
        <v>309.57713543776504</v>
      </c>
      <c r="M21" s="13">
        <f t="shared" si="5"/>
        <v>273.08597069675318</v>
      </c>
    </row>
    <row r="22" spans="2:13" x14ac:dyDescent="0.2">
      <c r="B22" s="5" t="s">
        <v>162</v>
      </c>
      <c r="G22" s="13">
        <f t="shared" ref="G22:M22" si="6">G11</f>
        <v>328.76536000000004</v>
      </c>
      <c r="H22" s="13">
        <f t="shared" si="6"/>
        <v>345.20362800000009</v>
      </c>
      <c r="I22" s="13">
        <f t="shared" si="6"/>
        <v>289.97104752000007</v>
      </c>
      <c r="J22" s="13">
        <f t="shared" si="6"/>
        <v>272.57278466880001</v>
      </c>
      <c r="K22" s="13">
        <f t="shared" si="6"/>
        <v>291.65287959561607</v>
      </c>
      <c r="L22" s="13">
        <f t="shared" si="6"/>
        <v>314.98510996326536</v>
      </c>
      <c r="M22" s="13">
        <f t="shared" si="6"/>
        <v>337.03406766069395</v>
      </c>
    </row>
    <row r="23" spans="2:13" x14ac:dyDescent="0.2">
      <c r="B23" s="5" t="s">
        <v>163</v>
      </c>
      <c r="G23" s="13">
        <f t="shared" ref="G23:M23" si="7">G15</f>
        <v>74.285714285714292</v>
      </c>
      <c r="H23" s="13">
        <f t="shared" si="7"/>
        <v>74.285714285714292</v>
      </c>
      <c r="I23" s="13">
        <f t="shared" si="7"/>
        <v>74.285714285714292</v>
      </c>
      <c r="J23" s="13">
        <f t="shared" si="7"/>
        <v>74.285714285714292</v>
      </c>
      <c r="K23" s="13">
        <f t="shared" si="7"/>
        <v>74.285714285714292</v>
      </c>
      <c r="L23" s="13">
        <f t="shared" si="7"/>
        <v>74.285714285714292</v>
      </c>
      <c r="M23" s="13">
        <f t="shared" si="7"/>
        <v>74.285714285714292</v>
      </c>
    </row>
    <row r="24" spans="2:13" x14ac:dyDescent="0.2">
      <c r="B24" s="5" t="s">
        <v>164</v>
      </c>
      <c r="G24" s="7">
        <f>G7*Assumptions!C$45</f>
        <v>648.87900000000002</v>
      </c>
      <c r="H24" s="7">
        <f>H7*Assumptions!D$45</f>
        <v>590.47989000000018</v>
      </c>
      <c r="I24" s="7">
        <f>I7*Assumptions!E$45</f>
        <v>305.23268160000009</v>
      </c>
      <c r="J24" s="7">
        <f>J7*Assumptions!F$45</f>
        <v>322.78356079200006</v>
      </c>
      <c r="K24" s="7">
        <f>K7*Assumptions!G$45</f>
        <v>460.50454672992009</v>
      </c>
      <c r="L24" s="7">
        <f>L7*Assumptions!H$45</f>
        <v>580.23572887969942</v>
      </c>
      <c r="M24" s="7">
        <f>M7*Assumptions!I$45</f>
        <v>665.19881775136957</v>
      </c>
    </row>
    <row r="25" spans="2:13" x14ac:dyDescent="0.2">
      <c r="B25" s="5" t="s">
        <v>165</v>
      </c>
      <c r="G25" s="7">
        <f>(G7-F7)*Assumptions!C$46</f>
        <v>4.8972000000000113</v>
      </c>
      <c r="H25" s="7">
        <f>(H7-G7)*Assumptions!D$46</f>
        <v>4.325860000000012</v>
      </c>
      <c r="I25" s="7">
        <f>(I7-H7)*Assumptions!E$46</f>
        <v>-14.534889600000007</v>
      </c>
      <c r="J25" s="7">
        <f>(J7-I7)*Assumptions!F$46</f>
        <v>-4.5784902240000065</v>
      </c>
      <c r="K25" s="7">
        <f>(K7-J7)*Assumptions!G$46</f>
        <v>5.0210776123200054</v>
      </c>
      <c r="L25" s="7">
        <f>(L7-K7)*Assumptions!H$46</f>
        <v>6.1400606230656107</v>
      </c>
      <c r="M25" s="7">
        <f>(M7-L7)*Assumptions!I$46</f>
        <v>5.8023572887969932</v>
      </c>
    </row>
    <row r="26" spans="2:13" x14ac:dyDescent="0.2">
      <c r="B26" s="15" t="s">
        <v>166</v>
      </c>
      <c r="G26" s="16">
        <f t="shared" ref="G26:M26" si="8">G21+G22+G23-G24-G25</f>
        <v>-427.15639999999991</v>
      </c>
      <c r="H26" s="16">
        <f t="shared" si="8"/>
        <v>-69.538420649999665</v>
      </c>
      <c r="I26" s="16">
        <f t="shared" si="8"/>
        <v>153.22287927154403</v>
      </c>
      <c r="J26" s="16">
        <f t="shared" si="8"/>
        <v>90.847291859100096</v>
      </c>
      <c r="K26" s="16">
        <f t="shared" si="8"/>
        <v>88.289225102617507</v>
      </c>
      <c r="L26" s="16">
        <f t="shared" si="8"/>
        <v>112.4721701839797</v>
      </c>
      <c r="M26" s="16">
        <f t="shared" si="8"/>
        <v>13.404577602994895</v>
      </c>
    </row>
    <row r="27" spans="2:13" x14ac:dyDescent="0.2">
      <c r="B27" s="2" t="s">
        <v>167</v>
      </c>
      <c r="G27" s="7">
        <f>G12*(1-Assumptions!$C$47)+G11-G24-G25</f>
        <v>670.36954600000013</v>
      </c>
      <c r="H27" s="7">
        <f>H12*(1-Assumptions!$C$47)+H11-H24-H25</f>
        <v>706.97529980000013</v>
      </c>
      <c r="I27" s="7">
        <f>I12*(1-Assumptions!$C$47)+I11-I24-I25</f>
        <v>728.39782369200032</v>
      </c>
      <c r="J27" s="7">
        <f>J12*(1-Assumptions!$C$47)+J11-J24-J25</f>
        <v>663.05695423967995</v>
      </c>
      <c r="K27" s="7">
        <f>K12*(1-Assumptions!$C$47)+K11-K24-K25</f>
        <v>659.25673104558962</v>
      </c>
      <c r="L27" s="7">
        <f>L12*(1-Assumptions!$C$47)+L11-L24-L25</f>
        <v>682.26818628349213</v>
      </c>
      <c r="M27" s="7">
        <f>M12*(1-Assumptions!$C$47)+M11-M24-M25</f>
        <v>715.27316115368762</v>
      </c>
    </row>
    <row r="28" spans="2:13" x14ac:dyDescent="0.2">
      <c r="B28" s="3" t="s">
        <v>168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3" x14ac:dyDescent="0.2">
      <c r="G29" s="20" t="s">
        <v>94</v>
      </c>
      <c r="H29" s="20" t="s">
        <v>95</v>
      </c>
      <c r="I29" s="20" t="s">
        <v>96</v>
      </c>
      <c r="J29" s="20" t="s">
        <v>97</v>
      </c>
      <c r="K29" s="20" t="s">
        <v>98</v>
      </c>
      <c r="L29" s="20" t="s">
        <v>99</v>
      </c>
      <c r="M29" s="20" t="s">
        <v>100</v>
      </c>
    </row>
    <row r="30" spans="2:13" x14ac:dyDescent="0.2">
      <c r="B30" s="5" t="s">
        <v>169</v>
      </c>
      <c r="G30" s="7">
        <f>DebtSchedule!D$71</f>
        <v>20977.1564</v>
      </c>
      <c r="H30" s="7">
        <f>DebtSchedule!E$71</f>
        <v>21046.694820649998</v>
      </c>
      <c r="I30" s="7">
        <f>DebtSchedule!F$71</f>
        <v>20893.471941378455</v>
      </c>
      <c r="J30" s="7">
        <f>DebtSchedule!G$71</f>
        <v>20802.624649519355</v>
      </c>
      <c r="K30" s="7">
        <f>DebtSchedule!H$71</f>
        <v>20714.335424416739</v>
      </c>
      <c r="L30" s="7">
        <f>DebtSchedule!I$71</f>
        <v>20601.863254232758</v>
      </c>
      <c r="M30" s="7">
        <f>DebtSchedule!J$71</f>
        <v>20588.458676629765</v>
      </c>
    </row>
    <row r="31" spans="2:13" x14ac:dyDescent="0.2">
      <c r="B31" s="5" t="s">
        <v>170</v>
      </c>
      <c r="G31" s="27">
        <f t="shared" ref="G31:M31" si="9">IFERROR(G30/G9,"n.m.")</f>
        <v>11.277314719191741</v>
      </c>
      <c r="H31" s="27">
        <f t="shared" si="9"/>
        <v>11.584096143750548</v>
      </c>
      <c r="I31" s="27">
        <f t="shared" si="9"/>
        <v>14.800208886886539</v>
      </c>
      <c r="J31" s="27">
        <f t="shared" si="9"/>
        <v>15.263904409823144</v>
      </c>
      <c r="K31" s="27">
        <f t="shared" si="9"/>
        <v>13.165412507636322</v>
      </c>
      <c r="L31" s="27">
        <f t="shared" si="9"/>
        <v>11.56010057851802</v>
      </c>
      <c r="M31" s="27">
        <f t="shared" si="9"/>
        <v>10.551420933662335</v>
      </c>
    </row>
    <row r="32" spans="2:13" x14ac:dyDescent="0.2">
      <c r="B32" s="5" t="s">
        <v>171</v>
      </c>
      <c r="G32" s="7">
        <f>DebtSchedule!D$74</f>
        <v>20877.1564</v>
      </c>
      <c r="H32" s="7">
        <f>DebtSchedule!E$74</f>
        <v>20946.694820649998</v>
      </c>
      <c r="I32" s="7">
        <f>DebtSchedule!F$74</f>
        <v>20793.471941378455</v>
      </c>
      <c r="J32" s="7">
        <f>DebtSchedule!G$74</f>
        <v>20702.624649519355</v>
      </c>
      <c r="K32" s="7">
        <f>DebtSchedule!H$74</f>
        <v>20614.335424416739</v>
      </c>
      <c r="L32" s="7">
        <f>DebtSchedule!I$74</f>
        <v>20501.863254232758</v>
      </c>
      <c r="M32" s="7">
        <f>DebtSchedule!J$74</f>
        <v>20488.458676629765</v>
      </c>
    </row>
    <row r="33" spans="2:13" x14ac:dyDescent="0.2">
      <c r="B33" s="5" t="s">
        <v>172</v>
      </c>
      <c r="G33" s="27">
        <f t="shared" ref="G33:M33" si="10">IFERROR(G32/G9,"n.m.")</f>
        <v>11.223554740936578</v>
      </c>
      <c r="H33" s="27">
        <f t="shared" si="10"/>
        <v>11.529056166013119</v>
      </c>
      <c r="I33" s="27">
        <f t="shared" si="10"/>
        <v>14.729372364701945</v>
      </c>
      <c r="J33" s="27">
        <f t="shared" si="10"/>
        <v>15.190529512823424</v>
      </c>
      <c r="K33" s="27">
        <f t="shared" si="10"/>
        <v>13.101855496330433</v>
      </c>
      <c r="L33" s="27">
        <f t="shared" si="10"/>
        <v>11.503988660698436</v>
      </c>
      <c r="M33" s="27">
        <f t="shared" si="10"/>
        <v>10.500171730895936</v>
      </c>
    </row>
    <row r="34" spans="2:13" x14ac:dyDescent="0.2">
      <c r="B34" s="5" t="s">
        <v>173</v>
      </c>
      <c r="G34" s="13">
        <f t="shared" ref="G34:M34" si="11">G13</f>
        <v>1640.5</v>
      </c>
      <c r="H34" s="13">
        <f t="shared" si="11"/>
        <v>1236.636493</v>
      </c>
      <c r="I34" s="13">
        <f t="shared" si="11"/>
        <v>926.88452987762503</v>
      </c>
      <c r="J34" s="13">
        <f t="shared" si="11"/>
        <v>922.3225575085844</v>
      </c>
      <c r="K34" s="13">
        <f t="shared" si="11"/>
        <v>920.41154760457266</v>
      </c>
      <c r="L34" s="13">
        <f t="shared" si="11"/>
        <v>918.60925553771131</v>
      </c>
      <c r="M34" s="13">
        <f t="shared" si="11"/>
        <v>1121.7978208472198</v>
      </c>
    </row>
    <row r="35" spans="2:13" x14ac:dyDescent="0.2">
      <c r="B35" s="5" t="s">
        <v>174</v>
      </c>
      <c r="G35" s="27">
        <f t="shared" ref="G35:M35" si="12">IFERROR(G9/G34,"n.m.")</f>
        <v>1.1338736970435843</v>
      </c>
      <c r="H35" s="27">
        <f t="shared" si="12"/>
        <v>1.469195847190643</v>
      </c>
      <c r="I35" s="27">
        <f t="shared" si="12"/>
        <v>1.5230604319034053</v>
      </c>
      <c r="J35" s="27">
        <f t="shared" si="12"/>
        <v>1.4776434906085611</v>
      </c>
      <c r="K35" s="27">
        <f t="shared" si="12"/>
        <v>1.709442410577535</v>
      </c>
      <c r="L35" s="27">
        <f t="shared" si="12"/>
        <v>1.940055126922928</v>
      </c>
      <c r="M35" s="27">
        <f t="shared" si="12"/>
        <v>1.7393953073739861</v>
      </c>
    </row>
    <row r="36" spans="2:13" x14ac:dyDescent="0.2">
      <c r="B36" s="5" t="s">
        <v>175</v>
      </c>
      <c r="G36" s="27">
        <f t="shared" ref="G36:M36" si="13">IFERROR((G9-G24)/G34,"n.m.")</f>
        <v>0.73833636086558974</v>
      </c>
      <c r="H36" s="27">
        <f t="shared" si="13"/>
        <v>0.9917071968536838</v>
      </c>
      <c r="I36" s="27">
        <f t="shared" si="13"/>
        <v>1.1937500682486151</v>
      </c>
      <c r="J36" s="27">
        <f t="shared" si="13"/>
        <v>1.1276752954644282</v>
      </c>
      <c r="K36" s="27">
        <f t="shared" si="13"/>
        <v>1.2091178026036222</v>
      </c>
      <c r="L36" s="27">
        <f t="shared" si="13"/>
        <v>1.3084092716456959</v>
      </c>
      <c r="M36" s="27">
        <f t="shared" si="13"/>
        <v>1.1464196344055817</v>
      </c>
    </row>
    <row r="38" spans="2:13" x14ac:dyDescent="0.2">
      <c r="B38" s="2" t="s">
        <v>176</v>
      </c>
    </row>
    <row r="39" spans="2:13" x14ac:dyDescent="0.2">
      <c r="B39" s="2" t="s">
        <v>177</v>
      </c>
    </row>
    <row r="40" spans="2:13" x14ac:dyDescent="0.2">
      <c r="B40" s="2" t="s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80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2" customWidth="1"/>
    <col min="3" max="3" width="3" customWidth="1"/>
    <col min="4" max="10" width="12" customWidth="1"/>
  </cols>
  <sheetData>
    <row r="2" spans="2:10" ht="18" x14ac:dyDescent="0.2">
      <c r="B2" s="1" t="s">
        <v>179</v>
      </c>
    </row>
    <row r="3" spans="2:10" x14ac:dyDescent="0.2">
      <c r="B3" s="2" t="s">
        <v>180</v>
      </c>
    </row>
    <row r="5" spans="2:10" x14ac:dyDescent="0.2">
      <c r="B5" s="3" t="s">
        <v>181</v>
      </c>
      <c r="C5" s="3"/>
      <c r="D5" s="3"/>
      <c r="E5" s="3"/>
      <c r="F5" s="3"/>
      <c r="G5" s="3"/>
      <c r="H5" s="3"/>
      <c r="I5" s="3"/>
      <c r="J5" s="3"/>
    </row>
    <row r="6" spans="2:10" x14ac:dyDescent="0.2">
      <c r="D6" s="20" t="s">
        <v>94</v>
      </c>
      <c r="E6" s="20" t="s">
        <v>95</v>
      </c>
      <c r="F6" s="20" t="s">
        <v>96</v>
      </c>
      <c r="G6" s="20" t="s">
        <v>97</v>
      </c>
      <c r="H6" s="20" t="s">
        <v>98</v>
      </c>
      <c r="I6" s="20" t="s">
        <v>99</v>
      </c>
      <c r="J6" s="20" t="s">
        <v>100</v>
      </c>
    </row>
    <row r="7" spans="2:10" x14ac:dyDescent="0.2">
      <c r="B7" s="5" t="s">
        <v>166</v>
      </c>
      <c r="D7" s="7">
        <f>Model!G26</f>
        <v>-427.15639999999991</v>
      </c>
      <c r="E7" s="7">
        <f>Model!H26</f>
        <v>-69.538420649999665</v>
      </c>
      <c r="F7" s="7">
        <f>Model!I26</f>
        <v>153.22287927154403</v>
      </c>
      <c r="G7" s="7">
        <f>Model!J26</f>
        <v>90.847291859100096</v>
      </c>
      <c r="H7" s="7">
        <f>Model!K26</f>
        <v>88.289225102617507</v>
      </c>
      <c r="I7" s="7">
        <f>Model!L26</f>
        <v>112.4721701839797</v>
      </c>
      <c r="J7" s="7">
        <f>Model!M26</f>
        <v>13.404577602994895</v>
      </c>
    </row>
    <row r="8" spans="2:10" x14ac:dyDescent="0.2">
      <c r="B8" s="5" t="s">
        <v>182</v>
      </c>
      <c r="D8" s="7">
        <f>'Sources-Uses'!$D$22</f>
        <v>350</v>
      </c>
      <c r="E8" s="13">
        <f t="shared" ref="E8:J8" si="0">D73</f>
        <v>100</v>
      </c>
      <c r="F8" s="13">
        <f t="shared" si="0"/>
        <v>100</v>
      </c>
      <c r="G8" s="13">
        <f t="shared" si="0"/>
        <v>100</v>
      </c>
      <c r="H8" s="13">
        <f t="shared" si="0"/>
        <v>100</v>
      </c>
      <c r="I8" s="13">
        <f t="shared" si="0"/>
        <v>100</v>
      </c>
      <c r="J8" s="13">
        <f t="shared" si="0"/>
        <v>100</v>
      </c>
    </row>
    <row r="9" spans="2:10" x14ac:dyDescent="0.2">
      <c r="B9" s="5" t="s">
        <v>183</v>
      </c>
      <c r="D9" s="13">
        <f t="shared" ref="D9:J9" si="1">SUM(D27,D36,D45,D54,D63)</f>
        <v>172</v>
      </c>
      <c r="E9" s="13">
        <f t="shared" si="1"/>
        <v>172</v>
      </c>
      <c r="F9" s="13">
        <f t="shared" si="1"/>
        <v>172</v>
      </c>
      <c r="G9" s="13">
        <f t="shared" si="1"/>
        <v>172</v>
      </c>
      <c r="H9" s="13">
        <f t="shared" si="1"/>
        <v>172</v>
      </c>
      <c r="I9" s="13">
        <f t="shared" si="1"/>
        <v>172</v>
      </c>
      <c r="J9" s="13">
        <f t="shared" si="1"/>
        <v>172</v>
      </c>
    </row>
    <row r="10" spans="2:10" x14ac:dyDescent="0.2">
      <c r="B10" s="5" t="s">
        <v>184</v>
      </c>
      <c r="D10" s="13">
        <f t="shared" ref="D10:J10" si="2">D8+D7-D9</f>
        <v>-249.15639999999991</v>
      </c>
      <c r="E10" s="13">
        <f t="shared" si="2"/>
        <v>-141.53842064999967</v>
      </c>
      <c r="F10" s="13">
        <f t="shared" si="2"/>
        <v>81.222879271544031</v>
      </c>
      <c r="G10" s="13">
        <f t="shared" si="2"/>
        <v>18.847291859100096</v>
      </c>
      <c r="H10" s="13">
        <f t="shared" si="2"/>
        <v>16.289225102617507</v>
      </c>
      <c r="I10" s="13">
        <f t="shared" si="2"/>
        <v>40.472170183979699</v>
      </c>
      <c r="J10" s="13">
        <f t="shared" si="2"/>
        <v>-58.595422397005109</v>
      </c>
    </row>
    <row r="11" spans="2:10" x14ac:dyDescent="0.2">
      <c r="B11" s="5" t="s">
        <v>185</v>
      </c>
      <c r="D11" s="7">
        <f>Assumptions!$C$59</f>
        <v>100</v>
      </c>
      <c r="E11" s="7">
        <f>Assumptions!$C$59</f>
        <v>100</v>
      </c>
      <c r="F11" s="7">
        <f>Assumptions!$C$59</f>
        <v>100</v>
      </c>
      <c r="G11" s="7">
        <f>Assumptions!$C$59</f>
        <v>100</v>
      </c>
      <c r="H11" s="7">
        <f>Assumptions!$C$59</f>
        <v>100</v>
      </c>
      <c r="I11" s="7">
        <f>Assumptions!$C$59</f>
        <v>100</v>
      </c>
      <c r="J11" s="7">
        <f>Assumptions!$C$59</f>
        <v>100</v>
      </c>
    </row>
    <row r="12" spans="2:10" x14ac:dyDescent="0.2">
      <c r="B12" s="5" t="s">
        <v>186</v>
      </c>
      <c r="D12" s="13">
        <f t="shared" ref="D12:J12" si="3">MAX(0,D11-D10)</f>
        <v>349.15639999999991</v>
      </c>
      <c r="E12" s="13">
        <f t="shared" si="3"/>
        <v>241.53842064999967</v>
      </c>
      <c r="F12" s="13">
        <f t="shared" si="3"/>
        <v>18.777120728455969</v>
      </c>
      <c r="G12" s="13">
        <f t="shared" si="3"/>
        <v>81.152708140899904</v>
      </c>
      <c r="H12" s="13">
        <f t="shared" si="3"/>
        <v>83.710774897382493</v>
      </c>
      <c r="I12" s="13">
        <f t="shared" si="3"/>
        <v>59.527829816020301</v>
      </c>
      <c r="J12" s="13">
        <f t="shared" si="3"/>
        <v>158.59542239700511</v>
      </c>
    </row>
    <row r="13" spans="2:10" x14ac:dyDescent="0.2">
      <c r="B13" s="5" t="s">
        <v>187</v>
      </c>
      <c r="D13" s="13">
        <f>MAX(0,D10-D11)*Assumptions!$C$60</f>
        <v>0</v>
      </c>
      <c r="E13" s="13">
        <f>MAX(0,E10-E11)*Assumptions!$C$60</f>
        <v>0</v>
      </c>
      <c r="F13" s="13">
        <f>MAX(0,F10-F11)*Assumptions!$C$60</f>
        <v>0</v>
      </c>
      <c r="G13" s="13">
        <f>MAX(0,G10-G11)*Assumptions!$C$60</f>
        <v>0</v>
      </c>
      <c r="H13" s="13">
        <f>MAX(0,H10-H11)*Assumptions!$C$60</f>
        <v>0</v>
      </c>
      <c r="I13" s="13">
        <f>MAX(0,I10-I11)*Assumptions!$C$60</f>
        <v>0</v>
      </c>
      <c r="J13" s="13">
        <f>MAX(0,J10-J11)*Assumptions!$C$60</f>
        <v>0</v>
      </c>
    </row>
    <row r="15" spans="2:10" x14ac:dyDescent="0.2">
      <c r="B15" s="3" t="s">
        <v>124</v>
      </c>
      <c r="C15" s="3"/>
      <c r="D15" s="3"/>
      <c r="E15" s="3"/>
      <c r="F15" s="3"/>
      <c r="G15" s="3"/>
      <c r="H15" s="3"/>
      <c r="I15" s="3"/>
      <c r="J15" s="3"/>
    </row>
    <row r="16" spans="2:10" x14ac:dyDescent="0.2">
      <c r="D16" s="20" t="s">
        <v>94</v>
      </c>
      <c r="E16" s="20" t="s">
        <v>95</v>
      </c>
      <c r="F16" s="20" t="s">
        <v>96</v>
      </c>
      <c r="G16" s="20" t="s">
        <v>97</v>
      </c>
      <c r="H16" s="20" t="s">
        <v>98</v>
      </c>
      <c r="I16" s="20" t="s">
        <v>99</v>
      </c>
      <c r="J16" s="20" t="s">
        <v>100</v>
      </c>
    </row>
    <row r="17" spans="2:10" x14ac:dyDescent="0.2">
      <c r="B17" s="5" t="s">
        <v>188</v>
      </c>
      <c r="D17" s="13">
        <f>0</f>
        <v>0</v>
      </c>
      <c r="E17" s="13">
        <f t="shared" ref="E17:J17" si="4">D20</f>
        <v>349.15639999999991</v>
      </c>
      <c r="F17" s="13">
        <f t="shared" si="4"/>
        <v>590.69482064999954</v>
      </c>
      <c r="G17" s="13">
        <f t="shared" si="4"/>
        <v>609.47194137845554</v>
      </c>
      <c r="H17" s="13">
        <f t="shared" si="4"/>
        <v>690.62464951935544</v>
      </c>
      <c r="I17" s="13">
        <f t="shared" si="4"/>
        <v>774.33542441673796</v>
      </c>
      <c r="J17" s="13">
        <f t="shared" si="4"/>
        <v>833.86325423275821</v>
      </c>
    </row>
    <row r="18" spans="2:10" x14ac:dyDescent="0.2">
      <c r="B18" s="5" t="s">
        <v>189</v>
      </c>
      <c r="D18" s="13">
        <f t="shared" ref="D18:J18" si="5">D12</f>
        <v>349.15639999999991</v>
      </c>
      <c r="E18" s="13">
        <f t="shared" si="5"/>
        <v>241.53842064999967</v>
      </c>
      <c r="F18" s="13">
        <f t="shared" si="5"/>
        <v>18.777120728455969</v>
      </c>
      <c r="G18" s="13">
        <f t="shared" si="5"/>
        <v>81.152708140899904</v>
      </c>
      <c r="H18" s="13">
        <f t="shared" si="5"/>
        <v>83.710774897382493</v>
      </c>
      <c r="I18" s="13">
        <f t="shared" si="5"/>
        <v>59.527829816020301</v>
      </c>
      <c r="J18" s="13">
        <f t="shared" si="5"/>
        <v>158.59542239700511</v>
      </c>
    </row>
    <row r="19" spans="2:10" x14ac:dyDescent="0.2">
      <c r="B19" s="5" t="s">
        <v>190</v>
      </c>
      <c r="D19" s="13">
        <f t="shared" ref="D19:J19" si="6">MIN(D13,D17)</f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</row>
    <row r="20" spans="2:10" x14ac:dyDescent="0.2">
      <c r="B20" s="5" t="s">
        <v>191</v>
      </c>
      <c r="D20" s="13">
        <f t="shared" ref="D20:J20" si="7">D17+D18-D19</f>
        <v>349.15639999999991</v>
      </c>
      <c r="E20" s="13">
        <f t="shared" si="7"/>
        <v>590.69482064999954</v>
      </c>
      <c r="F20" s="13">
        <f t="shared" si="7"/>
        <v>609.47194137845554</v>
      </c>
      <c r="G20" s="13">
        <f t="shared" si="7"/>
        <v>690.62464951935544</v>
      </c>
      <c r="H20" s="13">
        <f t="shared" si="7"/>
        <v>774.33542441673796</v>
      </c>
      <c r="I20" s="13">
        <f t="shared" si="7"/>
        <v>833.86325423275821</v>
      </c>
      <c r="J20" s="13">
        <f t="shared" si="7"/>
        <v>992.45867662976332</v>
      </c>
    </row>
    <row r="21" spans="2:10" x14ac:dyDescent="0.2">
      <c r="B21" s="5" t="s">
        <v>192</v>
      </c>
      <c r="D21" s="13">
        <f>D17*(Assumptions!C$52+Assumptions!$D$27/10000)</f>
        <v>0</v>
      </c>
      <c r="E21" s="13">
        <f>E17*(Assumptions!D$52+Assumptions!$D$27/10000)</f>
        <v>20.076492999999992</v>
      </c>
      <c r="F21" s="13">
        <f>F17*(Assumptions!E$52+Assumptions!$D$27/10000)</f>
        <v>25.104529877624977</v>
      </c>
      <c r="G21" s="13">
        <f>G17*(Assumptions!F$52+Assumptions!$D$27/10000)</f>
        <v>25.902557508584358</v>
      </c>
      <c r="H21" s="13">
        <f>H17*(Assumptions!G$52+Assumptions!$D$27/10000)</f>
        <v>29.351547604572605</v>
      </c>
      <c r="I21" s="13">
        <f>I17*(Assumptions!H$52+Assumptions!$D$27/10000)</f>
        <v>32.90925553771136</v>
      </c>
      <c r="J21" s="13">
        <f>J17*(Assumptions!I$52+Assumptions!$D$27/10000)</f>
        <v>43.777820847219807</v>
      </c>
    </row>
    <row r="22" spans="2:10" x14ac:dyDescent="0.2">
      <c r="B22" s="5" t="s">
        <v>193</v>
      </c>
      <c r="D22" s="13">
        <f t="shared" ref="D22:J22" si="8">D13-D19</f>
        <v>0</v>
      </c>
      <c r="E22" s="13">
        <f t="shared" si="8"/>
        <v>0</v>
      </c>
      <c r="F22" s="13">
        <f t="shared" si="8"/>
        <v>0</v>
      </c>
      <c r="G22" s="13">
        <f t="shared" si="8"/>
        <v>0</v>
      </c>
      <c r="H22" s="13">
        <f t="shared" si="8"/>
        <v>0</v>
      </c>
      <c r="I22" s="13">
        <f t="shared" si="8"/>
        <v>0</v>
      </c>
      <c r="J22" s="13">
        <f t="shared" si="8"/>
        <v>0</v>
      </c>
    </row>
    <row r="24" spans="2:10" x14ac:dyDescent="0.2">
      <c r="B24" s="3" t="s">
        <v>75</v>
      </c>
      <c r="C24" s="3"/>
      <c r="D24" s="3"/>
      <c r="E24" s="3"/>
      <c r="F24" s="3"/>
      <c r="G24" s="3"/>
      <c r="H24" s="3"/>
      <c r="I24" s="3"/>
      <c r="J24" s="3"/>
    </row>
    <row r="25" spans="2:10" x14ac:dyDescent="0.2">
      <c r="D25" s="20" t="s">
        <v>94</v>
      </c>
      <c r="E25" s="20" t="s">
        <v>95</v>
      </c>
      <c r="F25" s="20" t="s">
        <v>96</v>
      </c>
      <c r="G25" s="20" t="s">
        <v>97</v>
      </c>
      <c r="H25" s="20" t="s">
        <v>98</v>
      </c>
      <c r="I25" s="20" t="s">
        <v>99</v>
      </c>
      <c r="J25" s="20" t="s">
        <v>100</v>
      </c>
    </row>
    <row r="26" spans="2:10" x14ac:dyDescent="0.2">
      <c r="B26" s="5" t="s">
        <v>188</v>
      </c>
      <c r="D26" s="7">
        <f>Assumptions!$C$22</f>
        <v>7600</v>
      </c>
      <c r="E26" s="13">
        <f t="shared" ref="E26:J26" si="9">D29</f>
        <v>7448</v>
      </c>
      <c r="F26" s="13">
        <f t="shared" si="9"/>
        <v>7296</v>
      </c>
      <c r="G26" s="13">
        <f t="shared" si="9"/>
        <v>7144</v>
      </c>
      <c r="H26" s="13">
        <f t="shared" si="9"/>
        <v>6992</v>
      </c>
      <c r="I26" s="13">
        <f t="shared" si="9"/>
        <v>6840</v>
      </c>
      <c r="J26" s="13">
        <f t="shared" si="9"/>
        <v>6688</v>
      </c>
    </row>
    <row r="27" spans="2:10" x14ac:dyDescent="0.2">
      <c r="B27" s="5" t="s">
        <v>194</v>
      </c>
      <c r="D27" s="13">
        <f>MIN(D26,Assumptions!$C$22*Assumptions!$G$22)</f>
        <v>152</v>
      </c>
      <c r="E27" s="13">
        <f>MIN(E26,Assumptions!$C$22*Assumptions!$G$22)</f>
        <v>152</v>
      </c>
      <c r="F27" s="13">
        <f>MIN(F26,Assumptions!$C$22*Assumptions!$G$22)</f>
        <v>152</v>
      </c>
      <c r="G27" s="13">
        <f>MIN(G26,Assumptions!$C$22*Assumptions!$G$22)</f>
        <v>152</v>
      </c>
      <c r="H27" s="13">
        <f>MIN(H26,Assumptions!$C$22*Assumptions!$G$22)</f>
        <v>152</v>
      </c>
      <c r="I27" s="13">
        <f>MIN(I26,Assumptions!$C$22*Assumptions!$G$22)</f>
        <v>152</v>
      </c>
      <c r="J27" s="13">
        <f>MIN(J26,Assumptions!$C$22*Assumptions!$G$22)</f>
        <v>152</v>
      </c>
    </row>
    <row r="28" spans="2:10" x14ac:dyDescent="0.2">
      <c r="B28" s="5" t="s">
        <v>195</v>
      </c>
      <c r="D28" s="13">
        <f t="shared" ref="D28:J28" si="10">MIN(D22,D26-D27)</f>
        <v>0</v>
      </c>
      <c r="E28" s="13">
        <f t="shared" si="10"/>
        <v>0</v>
      </c>
      <c r="F28" s="13">
        <f t="shared" si="10"/>
        <v>0</v>
      </c>
      <c r="G28" s="13">
        <f t="shared" si="10"/>
        <v>0</v>
      </c>
      <c r="H28" s="13">
        <f t="shared" si="10"/>
        <v>0</v>
      </c>
      <c r="I28" s="13">
        <f t="shared" si="10"/>
        <v>0</v>
      </c>
      <c r="J28" s="13">
        <f t="shared" si="10"/>
        <v>0</v>
      </c>
    </row>
    <row r="29" spans="2:10" x14ac:dyDescent="0.2">
      <c r="B29" s="5" t="s">
        <v>191</v>
      </c>
      <c r="D29" s="13">
        <f t="shared" ref="D29:J29" si="11">D26-D27-D28</f>
        <v>7448</v>
      </c>
      <c r="E29" s="13">
        <f t="shared" si="11"/>
        <v>7296</v>
      </c>
      <c r="F29" s="13">
        <f t="shared" si="11"/>
        <v>7144</v>
      </c>
      <c r="G29" s="13">
        <f t="shared" si="11"/>
        <v>6992</v>
      </c>
      <c r="H29" s="13">
        <f t="shared" si="11"/>
        <v>6840</v>
      </c>
      <c r="I29" s="13">
        <f t="shared" si="11"/>
        <v>6688</v>
      </c>
      <c r="J29" s="13">
        <f t="shared" si="11"/>
        <v>6536</v>
      </c>
    </row>
    <row r="30" spans="2:10" x14ac:dyDescent="0.2">
      <c r="B30" s="5" t="s">
        <v>192</v>
      </c>
      <c r="D30" s="13">
        <f>D26*(Assumptions!C$52+Assumptions!$D$22/10000)</f>
        <v>494</v>
      </c>
      <c r="E30" s="13">
        <f>E26*(Assumptions!D$52+Assumptions!$D$22/10000)</f>
        <v>335.15999999999997</v>
      </c>
      <c r="F30" s="13">
        <f>F26*(Assumptions!E$52+Assumptions!$D$22/10000)</f>
        <v>218.88</v>
      </c>
      <c r="G30" s="13">
        <f>G26*(Assumptions!F$52+Assumptions!$D$22/10000)</f>
        <v>214.32</v>
      </c>
      <c r="H30" s="13">
        <f>H26*(Assumptions!G$52+Assumptions!$D$22/10000)</f>
        <v>209.76</v>
      </c>
      <c r="I30" s="13">
        <f>I26*(Assumptions!H$52+Assumptions!$D$22/10000)</f>
        <v>205.2</v>
      </c>
      <c r="J30" s="13">
        <f>J26*(Assumptions!I$52+Assumptions!$D$22/10000)</f>
        <v>267.52</v>
      </c>
    </row>
    <row r="31" spans="2:10" x14ac:dyDescent="0.2">
      <c r="B31" s="5" t="s">
        <v>196</v>
      </c>
      <c r="D31" s="13">
        <f t="shared" ref="D31:J31" si="12">D22-D28</f>
        <v>0</v>
      </c>
      <c r="E31" s="13">
        <f t="shared" si="12"/>
        <v>0</v>
      </c>
      <c r="F31" s="13">
        <f t="shared" si="12"/>
        <v>0</v>
      </c>
      <c r="G31" s="13">
        <f t="shared" si="12"/>
        <v>0</v>
      </c>
      <c r="H31" s="13">
        <f t="shared" si="12"/>
        <v>0</v>
      </c>
      <c r="I31" s="13">
        <f t="shared" si="12"/>
        <v>0</v>
      </c>
      <c r="J31" s="13">
        <f t="shared" si="12"/>
        <v>0</v>
      </c>
    </row>
    <row r="33" spans="2:10" x14ac:dyDescent="0.2">
      <c r="B33" s="3" t="s">
        <v>77</v>
      </c>
      <c r="C33" s="3"/>
      <c r="D33" s="3"/>
      <c r="E33" s="3"/>
      <c r="F33" s="3"/>
      <c r="G33" s="3"/>
      <c r="H33" s="3"/>
      <c r="I33" s="3"/>
      <c r="J33" s="3"/>
    </row>
    <row r="34" spans="2:10" x14ac:dyDescent="0.2">
      <c r="D34" s="20" t="s">
        <v>94</v>
      </c>
      <c r="E34" s="20" t="s">
        <v>95</v>
      </c>
      <c r="F34" s="20" t="s">
        <v>96</v>
      </c>
      <c r="G34" s="20" t="s">
        <v>97</v>
      </c>
      <c r="H34" s="20" t="s">
        <v>98</v>
      </c>
      <c r="I34" s="20" t="s">
        <v>99</v>
      </c>
      <c r="J34" s="20" t="s">
        <v>100</v>
      </c>
    </row>
    <row r="35" spans="2:10" x14ac:dyDescent="0.2">
      <c r="B35" s="5" t="s">
        <v>188</v>
      </c>
      <c r="D35" s="7">
        <f>Assumptions!$C$23</f>
        <v>1000</v>
      </c>
      <c r="E35" s="13">
        <f t="shared" ref="E35:J35" si="13">D38</f>
        <v>980</v>
      </c>
      <c r="F35" s="13">
        <f t="shared" si="13"/>
        <v>960</v>
      </c>
      <c r="G35" s="13">
        <f t="shared" si="13"/>
        <v>940</v>
      </c>
      <c r="H35" s="13">
        <f t="shared" si="13"/>
        <v>920</v>
      </c>
      <c r="I35" s="13">
        <f t="shared" si="13"/>
        <v>900</v>
      </c>
      <c r="J35" s="13">
        <f t="shared" si="13"/>
        <v>880</v>
      </c>
    </row>
    <row r="36" spans="2:10" x14ac:dyDescent="0.2">
      <c r="B36" s="5" t="s">
        <v>194</v>
      </c>
      <c r="D36" s="13">
        <f>MIN(D35,Assumptions!$C$23*Assumptions!$G$23)</f>
        <v>20</v>
      </c>
      <c r="E36" s="13">
        <f>MIN(E35,Assumptions!$C$23*Assumptions!$G$23)</f>
        <v>20</v>
      </c>
      <c r="F36" s="13">
        <f>MIN(F35,Assumptions!$C$23*Assumptions!$G$23)</f>
        <v>20</v>
      </c>
      <c r="G36" s="13">
        <f>MIN(G35,Assumptions!$C$23*Assumptions!$G$23)</f>
        <v>20</v>
      </c>
      <c r="H36" s="13">
        <f>MIN(H35,Assumptions!$C$23*Assumptions!$G$23)</f>
        <v>20</v>
      </c>
      <c r="I36" s="13">
        <f>MIN(I35,Assumptions!$C$23*Assumptions!$G$23)</f>
        <v>20</v>
      </c>
      <c r="J36" s="13">
        <f>MIN(J35,Assumptions!$C$23*Assumptions!$G$23)</f>
        <v>20</v>
      </c>
    </row>
    <row r="37" spans="2:10" x14ac:dyDescent="0.2">
      <c r="B37" s="5" t="s">
        <v>195</v>
      </c>
      <c r="D37" s="13">
        <f t="shared" ref="D37:J37" si="14">MIN(D31,D35-D36)</f>
        <v>0</v>
      </c>
      <c r="E37" s="13">
        <f t="shared" si="14"/>
        <v>0</v>
      </c>
      <c r="F37" s="13">
        <f t="shared" si="14"/>
        <v>0</v>
      </c>
      <c r="G37" s="13">
        <f t="shared" si="14"/>
        <v>0</v>
      </c>
      <c r="H37" s="13">
        <f t="shared" si="14"/>
        <v>0</v>
      </c>
      <c r="I37" s="13">
        <f t="shared" si="14"/>
        <v>0</v>
      </c>
      <c r="J37" s="13">
        <f t="shared" si="14"/>
        <v>0</v>
      </c>
    </row>
    <row r="38" spans="2:10" x14ac:dyDescent="0.2">
      <c r="B38" s="5" t="s">
        <v>191</v>
      </c>
      <c r="D38" s="13">
        <f t="shared" ref="D38:J38" si="15">D35-D36-D37</f>
        <v>980</v>
      </c>
      <c r="E38" s="13">
        <f t="shared" si="15"/>
        <v>960</v>
      </c>
      <c r="F38" s="13">
        <f t="shared" si="15"/>
        <v>940</v>
      </c>
      <c r="G38" s="13">
        <f t="shared" si="15"/>
        <v>920</v>
      </c>
      <c r="H38" s="13">
        <f t="shared" si="15"/>
        <v>900</v>
      </c>
      <c r="I38" s="13">
        <f t="shared" si="15"/>
        <v>880</v>
      </c>
      <c r="J38" s="13">
        <f t="shared" si="15"/>
        <v>860</v>
      </c>
    </row>
    <row r="39" spans="2:10" x14ac:dyDescent="0.2">
      <c r="B39" s="5" t="s">
        <v>192</v>
      </c>
      <c r="D39" s="13">
        <f>D35*(Assumptions!C$52+Assumptions!$D$23/10000)</f>
        <v>75.000000000000014</v>
      </c>
      <c r="E39" s="13">
        <f>E35*(Assumptions!D$52+Assumptions!$D$23/10000)</f>
        <v>53.9</v>
      </c>
      <c r="F39" s="13">
        <f>F35*(Assumptions!E$52+Assumptions!$D$23/10000)</f>
        <v>38.4</v>
      </c>
      <c r="G39" s="13">
        <f>G35*(Assumptions!F$52+Assumptions!$D$23/10000)</f>
        <v>37.6</v>
      </c>
      <c r="H39" s="13">
        <f>H35*(Assumptions!G$52+Assumptions!$D$23/10000)</f>
        <v>36.800000000000004</v>
      </c>
      <c r="I39" s="13">
        <f>I35*(Assumptions!H$52+Assumptions!$D$23/10000)</f>
        <v>36</v>
      </c>
      <c r="J39" s="13">
        <f>J35*(Assumptions!I$52+Assumptions!$D$23/10000)</f>
        <v>44</v>
      </c>
    </row>
    <row r="40" spans="2:10" x14ac:dyDescent="0.2">
      <c r="B40" s="5" t="s">
        <v>196</v>
      </c>
      <c r="D40" s="13">
        <f t="shared" ref="D40:J40" si="16">D31-D37</f>
        <v>0</v>
      </c>
      <c r="E40" s="13">
        <f t="shared" si="16"/>
        <v>0</v>
      </c>
      <c r="F40" s="13">
        <f t="shared" si="16"/>
        <v>0</v>
      </c>
      <c r="G40" s="13">
        <f t="shared" si="16"/>
        <v>0</v>
      </c>
      <c r="H40" s="13">
        <f t="shared" si="16"/>
        <v>0</v>
      </c>
      <c r="I40" s="13">
        <f t="shared" si="16"/>
        <v>0</v>
      </c>
      <c r="J40" s="13">
        <f t="shared" si="16"/>
        <v>0</v>
      </c>
    </row>
    <row r="42" spans="2:10" x14ac:dyDescent="0.2">
      <c r="B42" s="3" t="s">
        <v>78</v>
      </c>
      <c r="C42" s="3"/>
      <c r="D42" s="3"/>
      <c r="E42" s="3"/>
      <c r="F42" s="3"/>
      <c r="G42" s="3"/>
      <c r="H42" s="3"/>
      <c r="I42" s="3"/>
      <c r="J42" s="3"/>
    </row>
    <row r="43" spans="2:10" x14ac:dyDescent="0.2">
      <c r="D43" s="20" t="s">
        <v>94</v>
      </c>
      <c r="E43" s="20" t="s">
        <v>95</v>
      </c>
      <c r="F43" s="20" t="s">
        <v>96</v>
      </c>
      <c r="G43" s="20" t="s">
        <v>97</v>
      </c>
      <c r="H43" s="20" t="s">
        <v>98</v>
      </c>
      <c r="I43" s="20" t="s">
        <v>99</v>
      </c>
      <c r="J43" s="20" t="s">
        <v>100</v>
      </c>
    </row>
    <row r="44" spans="2:10" x14ac:dyDescent="0.2">
      <c r="B44" s="5" t="s">
        <v>188</v>
      </c>
      <c r="D44" s="7">
        <f>Assumptions!$C$24</f>
        <v>4500</v>
      </c>
      <c r="E44" s="13">
        <f t="shared" ref="E44:J44" si="17">D47</f>
        <v>4500</v>
      </c>
      <c r="F44" s="13">
        <f t="shared" si="17"/>
        <v>4500</v>
      </c>
      <c r="G44" s="13">
        <f t="shared" si="17"/>
        <v>4500</v>
      </c>
      <c r="H44" s="13">
        <f t="shared" si="17"/>
        <v>4500</v>
      </c>
      <c r="I44" s="13">
        <f t="shared" si="17"/>
        <v>4500</v>
      </c>
      <c r="J44" s="13">
        <f t="shared" si="17"/>
        <v>4500</v>
      </c>
    </row>
    <row r="45" spans="2:10" x14ac:dyDescent="0.2">
      <c r="B45" s="5" t="s">
        <v>194</v>
      </c>
      <c r="D45" s="13">
        <f>MIN(D44,Assumptions!$C$24*Assumptions!$G$24)</f>
        <v>0</v>
      </c>
      <c r="E45" s="13">
        <f>MIN(E44,Assumptions!$C$24*Assumptions!$G$24)</f>
        <v>0</v>
      </c>
      <c r="F45" s="13">
        <f>MIN(F44,Assumptions!$C$24*Assumptions!$G$24)</f>
        <v>0</v>
      </c>
      <c r="G45" s="13">
        <f>MIN(G44,Assumptions!$C$24*Assumptions!$G$24)</f>
        <v>0</v>
      </c>
      <c r="H45" s="13">
        <f>MIN(H44,Assumptions!$C$24*Assumptions!$G$24)</f>
        <v>0</v>
      </c>
      <c r="I45" s="13">
        <f>MIN(I44,Assumptions!$C$24*Assumptions!$G$24)</f>
        <v>0</v>
      </c>
      <c r="J45" s="13">
        <f>MIN(J44,Assumptions!$C$24*Assumptions!$G$24)</f>
        <v>0</v>
      </c>
    </row>
    <row r="46" spans="2:10" x14ac:dyDescent="0.2">
      <c r="B46" s="5" t="s">
        <v>195</v>
      </c>
      <c r="D46" s="13">
        <f t="shared" ref="D46:J46" si="18">MIN(D40,D44-D45)</f>
        <v>0</v>
      </c>
      <c r="E46" s="13">
        <f t="shared" si="18"/>
        <v>0</v>
      </c>
      <c r="F46" s="13">
        <f t="shared" si="18"/>
        <v>0</v>
      </c>
      <c r="G46" s="13">
        <f t="shared" si="18"/>
        <v>0</v>
      </c>
      <c r="H46" s="13">
        <f t="shared" si="18"/>
        <v>0</v>
      </c>
      <c r="I46" s="13">
        <f t="shared" si="18"/>
        <v>0</v>
      </c>
      <c r="J46" s="13">
        <f t="shared" si="18"/>
        <v>0</v>
      </c>
    </row>
    <row r="47" spans="2:10" x14ac:dyDescent="0.2">
      <c r="B47" s="5" t="s">
        <v>191</v>
      </c>
      <c r="D47" s="13">
        <f t="shared" ref="D47:J47" si="19">D44-D45-D46</f>
        <v>4500</v>
      </c>
      <c r="E47" s="13">
        <f t="shared" si="19"/>
        <v>4500</v>
      </c>
      <c r="F47" s="13">
        <f t="shared" si="19"/>
        <v>4500</v>
      </c>
      <c r="G47" s="13">
        <f t="shared" si="19"/>
        <v>4500</v>
      </c>
      <c r="H47" s="13">
        <f t="shared" si="19"/>
        <v>4500</v>
      </c>
      <c r="I47" s="13">
        <f t="shared" si="19"/>
        <v>4500</v>
      </c>
      <c r="J47" s="13">
        <f t="shared" si="19"/>
        <v>4500</v>
      </c>
    </row>
    <row r="48" spans="2:10" x14ac:dyDescent="0.2">
      <c r="B48" s="5" t="s">
        <v>192</v>
      </c>
      <c r="D48" s="13">
        <f>D44*(Assumptions!C$52+Assumptions!$D$24/10000)</f>
        <v>360</v>
      </c>
      <c r="E48" s="13">
        <f>E44*(Assumptions!D$52+Assumptions!$D$24/10000)</f>
        <v>270</v>
      </c>
      <c r="F48" s="13">
        <f>F44*(Assumptions!E$52+Assumptions!$D$24/10000)</f>
        <v>202.5</v>
      </c>
      <c r="G48" s="13">
        <f>G44*(Assumptions!F$52+Assumptions!$D$24/10000)</f>
        <v>202.5</v>
      </c>
      <c r="H48" s="13">
        <f>H44*(Assumptions!G$52+Assumptions!$D$24/10000)</f>
        <v>202.5</v>
      </c>
      <c r="I48" s="13">
        <f>I44*(Assumptions!H$52+Assumptions!$D$24/10000)</f>
        <v>202.5</v>
      </c>
      <c r="J48" s="13">
        <f>J44*(Assumptions!I$52+Assumptions!$D$24/10000)</f>
        <v>247.5</v>
      </c>
    </row>
    <row r="49" spans="2:10" x14ac:dyDescent="0.2">
      <c r="B49" s="5" t="s">
        <v>196</v>
      </c>
      <c r="D49" s="13">
        <f t="shared" ref="D49:J49" si="20">D40-D46</f>
        <v>0</v>
      </c>
      <c r="E49" s="13">
        <f t="shared" si="20"/>
        <v>0</v>
      </c>
      <c r="F49" s="13">
        <f t="shared" si="20"/>
        <v>0</v>
      </c>
      <c r="G49" s="13">
        <f t="shared" si="20"/>
        <v>0</v>
      </c>
      <c r="H49" s="13">
        <f t="shared" si="20"/>
        <v>0</v>
      </c>
      <c r="I49" s="13">
        <f t="shared" si="20"/>
        <v>0</v>
      </c>
      <c r="J49" s="13">
        <f t="shared" si="20"/>
        <v>0</v>
      </c>
    </row>
    <row r="51" spans="2:10" x14ac:dyDescent="0.2">
      <c r="B51" s="3" t="s">
        <v>79</v>
      </c>
      <c r="C51" s="3"/>
      <c r="D51" s="3"/>
      <c r="E51" s="3"/>
      <c r="F51" s="3"/>
      <c r="G51" s="3"/>
      <c r="H51" s="3"/>
      <c r="I51" s="3"/>
      <c r="J51" s="3"/>
    </row>
    <row r="52" spans="2:10" x14ac:dyDescent="0.2">
      <c r="D52" s="20" t="s">
        <v>94</v>
      </c>
      <c r="E52" s="20" t="s">
        <v>95</v>
      </c>
      <c r="F52" s="20" t="s">
        <v>96</v>
      </c>
      <c r="G52" s="20" t="s">
        <v>97</v>
      </c>
      <c r="H52" s="20" t="s">
        <v>98</v>
      </c>
      <c r="I52" s="20" t="s">
        <v>99</v>
      </c>
      <c r="J52" s="20" t="s">
        <v>100</v>
      </c>
    </row>
    <row r="53" spans="2:10" x14ac:dyDescent="0.2">
      <c r="B53" s="5" t="s">
        <v>188</v>
      </c>
      <c r="D53" s="7">
        <f>Assumptions!$C$25</f>
        <v>3900</v>
      </c>
      <c r="E53" s="13">
        <f t="shared" ref="E53:J53" si="21">D56</f>
        <v>3900</v>
      </c>
      <c r="F53" s="13">
        <f t="shared" si="21"/>
        <v>3900</v>
      </c>
      <c r="G53" s="13">
        <f t="shared" si="21"/>
        <v>3900</v>
      </c>
      <c r="H53" s="13">
        <f t="shared" si="21"/>
        <v>3900</v>
      </c>
      <c r="I53" s="13">
        <f t="shared" si="21"/>
        <v>3900</v>
      </c>
      <c r="J53" s="13">
        <f t="shared" si="21"/>
        <v>3900</v>
      </c>
    </row>
    <row r="54" spans="2:10" x14ac:dyDescent="0.2">
      <c r="B54" s="5" t="s">
        <v>194</v>
      </c>
      <c r="D54" s="13">
        <f>MIN(D53,Assumptions!$C$25*Assumptions!$G$25)</f>
        <v>0</v>
      </c>
      <c r="E54" s="13">
        <f>MIN(E53,Assumptions!$C$25*Assumptions!$G$25)</f>
        <v>0</v>
      </c>
      <c r="F54" s="13">
        <f>MIN(F53,Assumptions!$C$25*Assumptions!$G$25)</f>
        <v>0</v>
      </c>
      <c r="G54" s="13">
        <f>MIN(G53,Assumptions!$C$25*Assumptions!$G$25)</f>
        <v>0</v>
      </c>
      <c r="H54" s="13">
        <f>MIN(H53,Assumptions!$C$25*Assumptions!$G$25)</f>
        <v>0</v>
      </c>
      <c r="I54" s="13">
        <f>MIN(I53,Assumptions!$C$25*Assumptions!$G$25)</f>
        <v>0</v>
      </c>
      <c r="J54" s="13">
        <f>MIN(J53,Assumptions!$C$25*Assumptions!$G$25)</f>
        <v>0</v>
      </c>
    </row>
    <row r="55" spans="2:10" x14ac:dyDescent="0.2">
      <c r="B55" s="5" t="s">
        <v>195</v>
      </c>
      <c r="D55" s="13">
        <f t="shared" ref="D55:J55" si="22">MIN(D49,D53-D54)</f>
        <v>0</v>
      </c>
      <c r="E55" s="13">
        <f t="shared" si="22"/>
        <v>0</v>
      </c>
      <c r="F55" s="13">
        <f t="shared" si="22"/>
        <v>0</v>
      </c>
      <c r="G55" s="13">
        <f t="shared" si="22"/>
        <v>0</v>
      </c>
      <c r="H55" s="13">
        <f t="shared" si="22"/>
        <v>0</v>
      </c>
      <c r="I55" s="13">
        <f t="shared" si="22"/>
        <v>0</v>
      </c>
      <c r="J55" s="13">
        <f t="shared" si="22"/>
        <v>0</v>
      </c>
    </row>
    <row r="56" spans="2:10" x14ac:dyDescent="0.2">
      <c r="B56" s="5" t="s">
        <v>191</v>
      </c>
      <c r="D56" s="13">
        <f t="shared" ref="D56:J56" si="23">D53-D54-D55</f>
        <v>3900</v>
      </c>
      <c r="E56" s="13">
        <f t="shared" si="23"/>
        <v>3900</v>
      </c>
      <c r="F56" s="13">
        <f t="shared" si="23"/>
        <v>3900</v>
      </c>
      <c r="G56" s="13">
        <f t="shared" si="23"/>
        <v>3900</v>
      </c>
      <c r="H56" s="13">
        <f t="shared" si="23"/>
        <v>3900</v>
      </c>
      <c r="I56" s="13">
        <f t="shared" si="23"/>
        <v>3900</v>
      </c>
      <c r="J56" s="13">
        <f t="shared" si="23"/>
        <v>3900</v>
      </c>
    </row>
    <row r="57" spans="2:10" x14ac:dyDescent="0.2">
      <c r="B57" s="5" t="s">
        <v>192</v>
      </c>
      <c r="D57" s="13">
        <f>D53*(Assumptions!C$52+Assumptions!$D$25/10000)</f>
        <v>331.5</v>
      </c>
      <c r="E57" s="13">
        <f>E53*(Assumptions!D$52+Assumptions!$D$25/10000)</f>
        <v>253.5</v>
      </c>
      <c r="F57" s="13">
        <f>F53*(Assumptions!E$52+Assumptions!$D$25/10000)</f>
        <v>195</v>
      </c>
      <c r="G57" s="13">
        <f>G53*(Assumptions!F$52+Assumptions!$D$25/10000)</f>
        <v>195</v>
      </c>
      <c r="H57" s="13">
        <f>H53*(Assumptions!G$52+Assumptions!$D$25/10000)</f>
        <v>195</v>
      </c>
      <c r="I57" s="13">
        <f>I53*(Assumptions!H$52+Assumptions!$D$25/10000)</f>
        <v>195</v>
      </c>
      <c r="J57" s="13">
        <f>J53*(Assumptions!I$52+Assumptions!$D$25/10000)</f>
        <v>234.00000000000003</v>
      </c>
    </row>
    <row r="58" spans="2:10" x14ac:dyDescent="0.2">
      <c r="B58" s="5" t="s">
        <v>196</v>
      </c>
      <c r="D58" s="13">
        <f t="shared" ref="D58:J58" si="24">D49-D55</f>
        <v>0</v>
      </c>
      <c r="E58" s="13">
        <f t="shared" si="24"/>
        <v>0</v>
      </c>
      <c r="F58" s="13">
        <f t="shared" si="24"/>
        <v>0</v>
      </c>
      <c r="G58" s="13">
        <f t="shared" si="24"/>
        <v>0</v>
      </c>
      <c r="H58" s="13">
        <f t="shared" si="24"/>
        <v>0</v>
      </c>
      <c r="I58" s="13">
        <f t="shared" si="24"/>
        <v>0</v>
      </c>
      <c r="J58" s="13">
        <f t="shared" si="24"/>
        <v>0</v>
      </c>
    </row>
    <row r="60" spans="2:10" x14ac:dyDescent="0.2">
      <c r="B60" s="3" t="s">
        <v>80</v>
      </c>
      <c r="C60" s="3"/>
      <c r="D60" s="3"/>
      <c r="E60" s="3"/>
      <c r="F60" s="3"/>
      <c r="G60" s="3"/>
      <c r="H60" s="3"/>
      <c r="I60" s="3"/>
      <c r="J60" s="3"/>
    </row>
    <row r="61" spans="2:10" x14ac:dyDescent="0.2">
      <c r="D61" s="20" t="s">
        <v>94</v>
      </c>
      <c r="E61" s="20" t="s">
        <v>95</v>
      </c>
      <c r="F61" s="20" t="s">
        <v>96</v>
      </c>
      <c r="G61" s="20" t="s">
        <v>97</v>
      </c>
      <c r="H61" s="20" t="s">
        <v>98</v>
      </c>
      <c r="I61" s="20" t="s">
        <v>99</v>
      </c>
      <c r="J61" s="20" t="s">
        <v>100</v>
      </c>
    </row>
    <row r="62" spans="2:10" x14ac:dyDescent="0.2">
      <c r="B62" s="5" t="s">
        <v>188</v>
      </c>
      <c r="D62" s="7">
        <f>Assumptions!$C$26</f>
        <v>3800</v>
      </c>
      <c r="E62" s="13">
        <f t="shared" ref="E62:J62" si="25">D65</f>
        <v>3800</v>
      </c>
      <c r="F62" s="13">
        <f t="shared" si="25"/>
        <v>3800</v>
      </c>
      <c r="G62" s="13">
        <f t="shared" si="25"/>
        <v>3800</v>
      </c>
      <c r="H62" s="13">
        <f t="shared" si="25"/>
        <v>3800</v>
      </c>
      <c r="I62" s="13">
        <f t="shared" si="25"/>
        <v>3800</v>
      </c>
      <c r="J62" s="13">
        <f t="shared" si="25"/>
        <v>3800</v>
      </c>
    </row>
    <row r="63" spans="2:10" x14ac:dyDescent="0.2">
      <c r="B63" s="5" t="s">
        <v>194</v>
      </c>
      <c r="D63" s="13">
        <f>MIN(D62,Assumptions!$C$26*Assumptions!$G$26)</f>
        <v>0</v>
      </c>
      <c r="E63" s="13">
        <f>MIN(E62,Assumptions!$C$26*Assumptions!$G$26)</f>
        <v>0</v>
      </c>
      <c r="F63" s="13">
        <f>MIN(F62,Assumptions!$C$26*Assumptions!$G$26)</f>
        <v>0</v>
      </c>
      <c r="G63" s="13">
        <f>MIN(G62,Assumptions!$C$26*Assumptions!$G$26)</f>
        <v>0</v>
      </c>
      <c r="H63" s="13">
        <f>MIN(H62,Assumptions!$C$26*Assumptions!$G$26)</f>
        <v>0</v>
      </c>
      <c r="I63" s="13">
        <f>MIN(I62,Assumptions!$C$26*Assumptions!$G$26)</f>
        <v>0</v>
      </c>
      <c r="J63" s="13">
        <f>MIN(J62,Assumptions!$C$26*Assumptions!$G$26)</f>
        <v>0</v>
      </c>
    </row>
    <row r="64" spans="2:10" x14ac:dyDescent="0.2">
      <c r="B64" s="5" t="s">
        <v>195</v>
      </c>
      <c r="D64" s="13">
        <f t="shared" ref="D64:J64" si="26">MIN(D58,D62-D63)</f>
        <v>0</v>
      </c>
      <c r="E64" s="13">
        <f t="shared" si="26"/>
        <v>0</v>
      </c>
      <c r="F64" s="13">
        <f t="shared" si="26"/>
        <v>0</v>
      </c>
      <c r="G64" s="13">
        <f t="shared" si="26"/>
        <v>0</v>
      </c>
      <c r="H64" s="13">
        <f t="shared" si="26"/>
        <v>0</v>
      </c>
      <c r="I64" s="13">
        <f t="shared" si="26"/>
        <v>0</v>
      </c>
      <c r="J64" s="13">
        <f t="shared" si="26"/>
        <v>0</v>
      </c>
    </row>
    <row r="65" spans="2:10" x14ac:dyDescent="0.2">
      <c r="B65" s="5" t="s">
        <v>191</v>
      </c>
      <c r="D65" s="13">
        <f t="shared" ref="D65:J65" si="27">D62-D63-D64</f>
        <v>3800</v>
      </c>
      <c r="E65" s="13">
        <f t="shared" si="27"/>
        <v>3800</v>
      </c>
      <c r="F65" s="13">
        <f t="shared" si="27"/>
        <v>3800</v>
      </c>
      <c r="G65" s="13">
        <f t="shared" si="27"/>
        <v>3800</v>
      </c>
      <c r="H65" s="13">
        <f t="shared" si="27"/>
        <v>3800</v>
      </c>
      <c r="I65" s="13">
        <f t="shared" si="27"/>
        <v>3800</v>
      </c>
      <c r="J65" s="13">
        <f t="shared" si="27"/>
        <v>3800</v>
      </c>
    </row>
    <row r="66" spans="2:10" x14ac:dyDescent="0.2">
      <c r="B66" s="5" t="s">
        <v>192</v>
      </c>
      <c r="D66" s="13">
        <f>D62*(Assumptions!C$52+Assumptions!$D$26/10000)</f>
        <v>380</v>
      </c>
      <c r="E66" s="13">
        <f>E62*(Assumptions!D$52+Assumptions!$D$26/10000)</f>
        <v>304</v>
      </c>
      <c r="F66" s="13">
        <f>F62*(Assumptions!E$52+Assumptions!$D$26/10000)</f>
        <v>247</v>
      </c>
      <c r="G66" s="13">
        <f>G62*(Assumptions!F$52+Assumptions!$D$26/10000)</f>
        <v>247</v>
      </c>
      <c r="H66" s="13">
        <f>H62*(Assumptions!G$52+Assumptions!$D$26/10000)</f>
        <v>247</v>
      </c>
      <c r="I66" s="13">
        <f>I62*(Assumptions!H$52+Assumptions!$D$26/10000)</f>
        <v>247</v>
      </c>
      <c r="J66" s="13">
        <f>J62*(Assumptions!I$52+Assumptions!$D$26/10000)</f>
        <v>285.00000000000006</v>
      </c>
    </row>
    <row r="67" spans="2:10" x14ac:dyDescent="0.2">
      <c r="B67" s="5" t="s">
        <v>196</v>
      </c>
      <c r="D67" s="13">
        <f t="shared" ref="D67:J67" si="28">D58-D64</f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</row>
    <row r="69" spans="2:10" x14ac:dyDescent="0.2">
      <c r="B69" s="3" t="s">
        <v>197</v>
      </c>
      <c r="C69" s="3"/>
      <c r="D69" s="3"/>
      <c r="E69" s="3"/>
      <c r="F69" s="3"/>
      <c r="G69" s="3"/>
      <c r="H69" s="3"/>
      <c r="I69" s="3"/>
      <c r="J69" s="3"/>
    </row>
    <row r="70" spans="2:10" x14ac:dyDescent="0.2">
      <c r="D70" s="20" t="s">
        <v>94</v>
      </c>
      <c r="E70" s="20" t="s">
        <v>95</v>
      </c>
      <c r="F70" s="20" t="s">
        <v>96</v>
      </c>
      <c r="G70" s="20" t="s">
        <v>97</v>
      </c>
      <c r="H70" s="20" t="s">
        <v>98</v>
      </c>
      <c r="I70" s="20" t="s">
        <v>99</v>
      </c>
      <c r="J70" s="20" t="s">
        <v>100</v>
      </c>
    </row>
    <row r="71" spans="2:10" x14ac:dyDescent="0.2">
      <c r="B71" s="15" t="s">
        <v>198</v>
      </c>
      <c r="D71" s="16">
        <f t="shared" ref="D71:J71" si="29">SUM(D20,D29,D38,D47,D56,D65)</f>
        <v>20977.1564</v>
      </c>
      <c r="E71" s="16">
        <f t="shared" si="29"/>
        <v>21046.694820649998</v>
      </c>
      <c r="F71" s="16">
        <f t="shared" si="29"/>
        <v>20893.471941378455</v>
      </c>
      <c r="G71" s="16">
        <f t="shared" si="29"/>
        <v>20802.624649519355</v>
      </c>
      <c r="H71" s="16">
        <f t="shared" si="29"/>
        <v>20714.335424416739</v>
      </c>
      <c r="I71" s="16">
        <f t="shared" si="29"/>
        <v>20601.863254232758</v>
      </c>
      <c r="J71" s="16">
        <f t="shared" si="29"/>
        <v>20588.458676629765</v>
      </c>
    </row>
    <row r="72" spans="2:10" x14ac:dyDescent="0.2">
      <c r="B72" s="5" t="s">
        <v>199</v>
      </c>
      <c r="D72" s="13">
        <f t="shared" ref="D72:J72" si="30">SUM(D19,D28,D37,D46,D55,D64)</f>
        <v>0</v>
      </c>
      <c r="E72" s="13">
        <f t="shared" si="30"/>
        <v>0</v>
      </c>
      <c r="F72" s="13">
        <f t="shared" si="30"/>
        <v>0</v>
      </c>
      <c r="G72" s="13">
        <f t="shared" si="30"/>
        <v>0</v>
      </c>
      <c r="H72" s="13">
        <f t="shared" si="30"/>
        <v>0</v>
      </c>
      <c r="I72" s="13">
        <f t="shared" si="30"/>
        <v>0</v>
      </c>
      <c r="J72" s="13">
        <f t="shared" si="30"/>
        <v>0</v>
      </c>
    </row>
    <row r="73" spans="2:10" x14ac:dyDescent="0.2">
      <c r="B73" s="15" t="s">
        <v>200</v>
      </c>
      <c r="D73" s="16">
        <f t="shared" ref="D73:J73" si="31">D10-D72+D12</f>
        <v>100</v>
      </c>
      <c r="E73" s="16">
        <f t="shared" si="31"/>
        <v>100</v>
      </c>
      <c r="F73" s="16">
        <f t="shared" si="31"/>
        <v>100</v>
      </c>
      <c r="G73" s="16">
        <f t="shared" si="31"/>
        <v>100</v>
      </c>
      <c r="H73" s="16">
        <f t="shared" si="31"/>
        <v>100</v>
      </c>
      <c r="I73" s="16">
        <f t="shared" si="31"/>
        <v>100</v>
      </c>
      <c r="J73" s="16">
        <f t="shared" si="31"/>
        <v>100</v>
      </c>
    </row>
    <row r="74" spans="2:10" x14ac:dyDescent="0.2">
      <c r="B74" s="15" t="s">
        <v>201</v>
      </c>
      <c r="D74" s="16">
        <f t="shared" ref="D74:J74" si="32">D71-D73</f>
        <v>20877.1564</v>
      </c>
      <c r="E74" s="16">
        <f t="shared" si="32"/>
        <v>20946.694820649998</v>
      </c>
      <c r="F74" s="16">
        <f t="shared" si="32"/>
        <v>20793.471941378455</v>
      </c>
      <c r="G74" s="16">
        <f t="shared" si="32"/>
        <v>20702.624649519355</v>
      </c>
      <c r="H74" s="16">
        <f t="shared" si="32"/>
        <v>20614.335424416739</v>
      </c>
      <c r="I74" s="16">
        <f t="shared" si="32"/>
        <v>20501.863254232758</v>
      </c>
      <c r="J74" s="16">
        <f t="shared" si="32"/>
        <v>20488.458676629765</v>
      </c>
    </row>
    <row r="75" spans="2:10" x14ac:dyDescent="0.2">
      <c r="B75" s="15" t="s">
        <v>202</v>
      </c>
      <c r="D75" s="16">
        <f t="shared" ref="D75:J75" si="33">SUM(D21,D30,D39,D48,D57,D66)</f>
        <v>1640.5</v>
      </c>
      <c r="E75" s="16">
        <f t="shared" si="33"/>
        <v>1236.636493</v>
      </c>
      <c r="F75" s="16">
        <f t="shared" si="33"/>
        <v>926.88452987762503</v>
      </c>
      <c r="G75" s="16">
        <f t="shared" si="33"/>
        <v>922.3225575085844</v>
      </c>
      <c r="H75" s="16">
        <f t="shared" si="33"/>
        <v>920.41154760457266</v>
      </c>
      <c r="I75" s="16">
        <f t="shared" si="33"/>
        <v>918.60925553771131</v>
      </c>
      <c r="J75" s="16">
        <f t="shared" si="33"/>
        <v>1121.7978208472198</v>
      </c>
    </row>
    <row r="76" spans="2:10" x14ac:dyDescent="0.2">
      <c r="B76" s="5" t="s">
        <v>203</v>
      </c>
      <c r="D76" s="13">
        <f t="shared" ref="D76:J76" si="34">ROUND(D73-D11,3)</f>
        <v>0</v>
      </c>
      <c r="E76" s="13">
        <f t="shared" si="34"/>
        <v>0</v>
      </c>
      <c r="F76" s="13">
        <f t="shared" si="34"/>
        <v>0</v>
      </c>
      <c r="G76" s="13">
        <f t="shared" si="34"/>
        <v>0</v>
      </c>
      <c r="H76" s="13">
        <f t="shared" si="34"/>
        <v>0</v>
      </c>
      <c r="I76" s="13">
        <f t="shared" si="34"/>
        <v>0</v>
      </c>
      <c r="J76" s="13">
        <f t="shared" si="34"/>
        <v>0</v>
      </c>
    </row>
    <row r="77" spans="2:10" x14ac:dyDescent="0.2">
      <c r="B77" s="5" t="s">
        <v>204</v>
      </c>
      <c r="D77" s="13">
        <f>ROUND(Assumptions!$C$27-D20,3)</f>
        <v>650.84400000000005</v>
      </c>
      <c r="E77" s="13">
        <f>ROUND(Assumptions!$C$27-E20,3)</f>
        <v>409.30500000000001</v>
      </c>
      <c r="F77" s="13">
        <f>ROUND(Assumptions!$C$27-F20,3)</f>
        <v>390.52800000000002</v>
      </c>
      <c r="G77" s="13">
        <f>ROUND(Assumptions!$C$27-G20,3)</f>
        <v>309.375</v>
      </c>
      <c r="H77" s="13">
        <f>ROUND(Assumptions!$C$27-H20,3)</f>
        <v>225.66499999999999</v>
      </c>
      <c r="I77" s="13">
        <f>ROUND(Assumptions!$C$27-I20,3)</f>
        <v>166.137</v>
      </c>
      <c r="J77" s="13">
        <f>ROUND(Assumptions!$C$27-J20,3)</f>
        <v>7.5410000000000004</v>
      </c>
    </row>
    <row r="79" spans="2:10" x14ac:dyDescent="0.2">
      <c r="B79" s="2" t="s">
        <v>205</v>
      </c>
    </row>
    <row r="80" spans="2:10" x14ac:dyDescent="0.2">
      <c r="B80" s="2" t="s">
        <v>206</v>
      </c>
    </row>
  </sheetData>
  <conditionalFormatting sqref="D76:J77">
    <cfRule type="cellIs" dxfId="3" priority="1" operator="equal">
      <formula>0</formula>
    </cfRule>
    <cfRule type="cellIs" dxfId="2" priority="2" operator="not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7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0" customWidth="1"/>
    <col min="3" max="5" width="15" customWidth="1"/>
    <col min="6" max="11" width="13" customWidth="1"/>
  </cols>
  <sheetData>
    <row r="2" spans="2:7" ht="18" x14ac:dyDescent="0.2">
      <c r="B2" s="1" t="s">
        <v>15</v>
      </c>
    </row>
    <row r="3" spans="2:7" x14ac:dyDescent="0.2">
      <c r="B3" s="2" t="s">
        <v>207</v>
      </c>
    </row>
    <row r="5" spans="2:7" x14ac:dyDescent="0.2">
      <c r="B5" s="3" t="s">
        <v>208</v>
      </c>
      <c r="C5" s="3"/>
      <c r="D5" s="3"/>
      <c r="E5" s="3"/>
      <c r="F5" s="3"/>
      <c r="G5" s="3"/>
    </row>
    <row r="6" spans="2:7" x14ac:dyDescent="0.2">
      <c r="B6" s="5"/>
      <c r="D6" s="20" t="s">
        <v>209</v>
      </c>
      <c r="E6" s="20" t="s">
        <v>210</v>
      </c>
      <c r="F6" s="20" t="s">
        <v>211</v>
      </c>
    </row>
    <row r="7" spans="2:7" x14ac:dyDescent="0.2">
      <c r="B7" s="5" t="s">
        <v>212</v>
      </c>
      <c r="D7" s="7">
        <f>Model!I$9</f>
        <v>1411.7011524000004</v>
      </c>
      <c r="E7" s="7">
        <f>Model!K$9</f>
        <v>1573.3905346605602</v>
      </c>
      <c r="F7" s="7">
        <f>Model!M$9</f>
        <v>1951.2498654040176</v>
      </c>
    </row>
    <row r="8" spans="2:7" x14ac:dyDescent="0.2">
      <c r="B8" s="5" t="s">
        <v>213</v>
      </c>
      <c r="D8" s="8">
        <f>Assumptions!$C$58</f>
        <v>14.585714285714285</v>
      </c>
      <c r="E8" s="8">
        <f>Assumptions!$C$58</f>
        <v>14.585714285714285</v>
      </c>
      <c r="F8" s="8">
        <f>Assumptions!$C$58</f>
        <v>14.585714285714285</v>
      </c>
    </row>
    <row r="9" spans="2:7" x14ac:dyDescent="0.2">
      <c r="B9" s="5" t="s">
        <v>214</v>
      </c>
      <c r="D9" s="13">
        <f>D7*D8</f>
        <v>20590.669665720005</v>
      </c>
      <c r="E9" s="13">
        <f>E7*E8</f>
        <v>22949.024798406172</v>
      </c>
      <c r="F9" s="13">
        <f>F7*F8</f>
        <v>28460.373036821456</v>
      </c>
    </row>
    <row r="10" spans="2:7" x14ac:dyDescent="0.2">
      <c r="B10" s="5" t="s">
        <v>215</v>
      </c>
      <c r="D10" s="7">
        <f>DebtSchedule!F$74</f>
        <v>20793.471941378455</v>
      </c>
      <c r="E10" s="7">
        <f>DebtSchedule!H$74</f>
        <v>20614.335424416739</v>
      </c>
      <c r="F10" s="7">
        <f>DebtSchedule!J$74</f>
        <v>20488.458676629765</v>
      </c>
    </row>
    <row r="11" spans="2:7" x14ac:dyDescent="0.2">
      <c r="B11" s="15" t="s">
        <v>216</v>
      </c>
      <c r="D11" s="16">
        <f>D9-D10</f>
        <v>-202.80227565845053</v>
      </c>
      <c r="E11" s="16">
        <f>E9-E10</f>
        <v>2334.6893739894331</v>
      </c>
      <c r="F11" s="16">
        <f>F9-F10</f>
        <v>7971.9143601916912</v>
      </c>
    </row>
    <row r="12" spans="2:7" x14ac:dyDescent="0.2">
      <c r="B12" s="5" t="s">
        <v>217</v>
      </c>
      <c r="D12" s="7">
        <f>'Sources-Uses'!$D$13</f>
        <v>6105.5</v>
      </c>
      <c r="E12" s="7">
        <f>'Sources-Uses'!$D$13</f>
        <v>6105.5</v>
      </c>
      <c r="F12" s="7">
        <f>'Sources-Uses'!$D$13</f>
        <v>6105.5</v>
      </c>
    </row>
    <row r="13" spans="2:7" x14ac:dyDescent="0.2">
      <c r="B13" s="15" t="s">
        <v>218</v>
      </c>
      <c r="D13" s="17">
        <f>D11/D12</f>
        <v>-3.3216325552117031E-2</v>
      </c>
      <c r="E13" s="17">
        <f>E11/E12</f>
        <v>0.38239118401268252</v>
      </c>
      <c r="F13" s="17">
        <f>F11/F12</f>
        <v>1.3056939415595268</v>
      </c>
    </row>
    <row r="14" spans="2:7" x14ac:dyDescent="0.2">
      <c r="B14" s="15" t="s">
        <v>219</v>
      </c>
      <c r="D14" s="25" t="str">
        <f>IFERROR(IF(D13&lt;=0,"n.m.",D13^(1/3)-1),"n.m.")</f>
        <v>n.m.</v>
      </c>
      <c r="E14" s="25">
        <f>IFERROR(IF(E13&lt;=0,"n.m.",E13^(1/5)-1),"n.m.")</f>
        <v>-0.17490952375610902</v>
      </c>
      <c r="F14" s="25">
        <f>IFERROR(IF(F13&lt;=0,"n.m.",F13^(1/7)-1),"n.m.")</f>
        <v>3.8840254247519024E-2</v>
      </c>
    </row>
    <row r="16" spans="2:7" x14ac:dyDescent="0.2">
      <c r="B16" s="2" t="s">
        <v>220</v>
      </c>
    </row>
    <row r="17" spans="2:10" x14ac:dyDescent="0.2">
      <c r="C17" s="20" t="s">
        <v>221</v>
      </c>
      <c r="D17" s="20" t="s">
        <v>222</v>
      </c>
      <c r="E17" s="20" t="s">
        <v>223</v>
      </c>
      <c r="F17" s="20" t="s">
        <v>224</v>
      </c>
      <c r="G17" s="20" t="s">
        <v>225</v>
      </c>
      <c r="H17" s="20" t="s">
        <v>226</v>
      </c>
    </row>
    <row r="18" spans="2:10" x14ac:dyDescent="0.2">
      <c r="B18" s="5" t="s">
        <v>227</v>
      </c>
      <c r="C18" s="13">
        <f>-E12</f>
        <v>-6105.5</v>
      </c>
      <c r="D18" s="13">
        <v>0</v>
      </c>
      <c r="E18" s="13">
        <v>0</v>
      </c>
      <c r="F18" s="13">
        <v>0</v>
      </c>
      <c r="G18" s="13">
        <v>0</v>
      </c>
      <c r="H18" s="13">
        <f>E11</f>
        <v>2334.6893739894331</v>
      </c>
    </row>
    <row r="19" spans="2:10" x14ac:dyDescent="0.2">
      <c r="B19" s="5" t="s">
        <v>228</v>
      </c>
      <c r="C19" s="24">
        <f>IRR(C18:H18)</f>
        <v>-0.17490952375444624</v>
      </c>
      <c r="D19" s="2" t="s">
        <v>229</v>
      </c>
      <c r="E19" s="23">
        <f>ROUND(C19-E14,4)</f>
        <v>0</v>
      </c>
    </row>
    <row r="21" spans="2:10" x14ac:dyDescent="0.2">
      <c r="B21" s="3" t="s">
        <v>230</v>
      </c>
      <c r="C21" s="3"/>
      <c r="D21" s="3"/>
      <c r="E21" s="3"/>
      <c r="F21" s="3"/>
      <c r="G21" s="3"/>
      <c r="H21" s="3"/>
      <c r="I21" s="3"/>
      <c r="J21" s="3"/>
    </row>
    <row r="23" spans="2:10" x14ac:dyDescent="0.2">
      <c r="B23" s="2" t="s">
        <v>231</v>
      </c>
    </row>
    <row r="25" spans="2:10" x14ac:dyDescent="0.2">
      <c r="B25" s="15" t="s">
        <v>232</v>
      </c>
    </row>
    <row r="26" spans="2:10" x14ac:dyDescent="0.2">
      <c r="B26" s="2" t="s">
        <v>233</v>
      </c>
      <c r="C26" s="8">
        <f>E13</f>
        <v>0.38239118401268252</v>
      </c>
      <c r="D26" s="29">
        <f>Assumptions!$C$58+(-2)</f>
        <v>12.585714285714285</v>
      </c>
      <c r="E26" s="29">
        <f>Assumptions!$C$58+(-1)</f>
        <v>13.585714285714285</v>
      </c>
      <c r="F26" s="29">
        <f>Assumptions!$C$58+(0)</f>
        <v>14.585714285714285</v>
      </c>
      <c r="G26" s="29">
        <f>Assumptions!$C$58+(1)</f>
        <v>15.585714285714285</v>
      </c>
      <c r="H26" s="29">
        <f>Assumptions!$C$58+(2)</f>
        <v>16.585714285714285</v>
      </c>
    </row>
    <row r="27" spans="2:10" x14ac:dyDescent="0.2">
      <c r="C27" s="29">
        <f>Assumptions!$C$14+(-1.5)</f>
        <v>13.085714285714285</v>
      </c>
      <c r="D27" s="27">
        <f>(D$26*Model!$K$9-DebtSchedule!$H$74)/($C27*Assumptions!$C$13+$C27*Assumptions!$C$13*Assumptions!$C$15+Assumptions!$C$28*Assumptions!$C$16+'Sources-Uses'!$D$22-Assumptions!$C$28)</f>
        <v>-0.23689956106525328</v>
      </c>
      <c r="E27" s="27">
        <f>(E$26*Model!$K$9-DebtSchedule!$H$74)/($C27*Assumptions!$C$13+$C27*Assumptions!$C$13*Assumptions!$C$15+Assumptions!$C$28*Assumptions!$C$16+'Sources-Uses'!$D$22-Assumptions!$C$28)</f>
        <v>0.2220825085556804</v>
      </c>
      <c r="F27" s="27">
        <f>(F$26*Model!$K$9-DebtSchedule!$H$74)/($C27*Assumptions!$C$13+$C27*Assumptions!$C$13*Assumptions!$C$15+Assumptions!$C$28*Assumptions!$C$16+'Sources-Uses'!$D$22-Assumptions!$C$28)</f>
        <v>0.68106457817661403</v>
      </c>
      <c r="G27" s="27">
        <f>(G$26*Model!$K$9-DebtSchedule!$H$74)/($C27*Assumptions!$C$13+$C27*Assumptions!$C$13*Assumptions!$C$15+Assumptions!$C$28*Assumptions!$C$16+'Sources-Uses'!$D$22-Assumptions!$C$28)</f>
        <v>1.1400466477975477</v>
      </c>
      <c r="H27" s="27">
        <f>(H$26*Model!$K$9-DebtSchedule!$H$74)/($C27*Assumptions!$C$13+$C27*Assumptions!$C$13*Assumptions!$C$15+Assumptions!$C$28*Assumptions!$C$16+'Sources-Uses'!$D$22-Assumptions!$C$28)</f>
        <v>1.5990287174184803</v>
      </c>
    </row>
    <row r="28" spans="2:10" x14ac:dyDescent="0.2">
      <c r="C28" s="29">
        <f>Assumptions!$C$14+(-1)</f>
        <v>13.585714285714285</v>
      </c>
      <c r="D28" s="27">
        <f>(D$26*Model!$K$9-DebtSchedule!$H$74)/($C28*Assumptions!$C$13+$C28*Assumptions!$C$13*Assumptions!$C$15+Assumptions!$C$28*Assumptions!$C$16+'Sources-Uses'!$D$22-Assumptions!$C$28)</f>
        <v>-0.18796243382286501</v>
      </c>
      <c r="E28" s="27">
        <f>(E$26*Model!$K$9-DebtSchedule!$H$74)/($C28*Assumptions!$C$13+$C28*Assumptions!$C$13*Assumptions!$C$15+Assumptions!$C$28*Assumptions!$C$16+'Sources-Uses'!$D$22-Assumptions!$C$28)</f>
        <v>0.17620618894314835</v>
      </c>
      <c r="F28" s="27">
        <f>(F$26*Model!$K$9-DebtSchedule!$H$74)/($C28*Assumptions!$C$13+$C28*Assumptions!$C$13*Assumptions!$C$15+Assumptions!$C$28*Assumptions!$C$16+'Sources-Uses'!$D$22-Assumptions!$C$28)</f>
        <v>0.54037481170916168</v>
      </c>
      <c r="G28" s="27">
        <f>(G$26*Model!$K$9-DebtSchedule!$H$74)/($C28*Assumptions!$C$13+$C28*Assumptions!$C$13*Assumptions!$C$15+Assumptions!$C$28*Assumptions!$C$16+'Sources-Uses'!$D$22-Assumptions!$C$28)</f>
        <v>0.90454343447517505</v>
      </c>
      <c r="H28" s="27">
        <f>(H$26*Model!$K$9-DebtSchedule!$H$74)/($C28*Assumptions!$C$13+$C28*Assumptions!$C$13*Assumptions!$C$15+Assumptions!$C$28*Assumptions!$C$16+'Sources-Uses'!$D$22-Assumptions!$C$28)</f>
        <v>1.2687120572411876</v>
      </c>
    </row>
    <row r="29" spans="2:10" x14ac:dyDescent="0.2">
      <c r="C29" s="29">
        <f>Assumptions!$C$14+(-0.5)</f>
        <v>14.085714285714285</v>
      </c>
      <c r="D29" s="27">
        <f>(D$26*Model!$K$9-DebtSchedule!$H$74)/($C29*Assumptions!$C$13+$C29*Assumptions!$C$13*Assumptions!$C$15+Assumptions!$C$28*Assumptions!$C$16+'Sources-Uses'!$D$22-Assumptions!$C$28)</f>
        <v>-0.15578202480945488</v>
      </c>
      <c r="E29" s="27">
        <f>(E$26*Model!$K$9-DebtSchedule!$H$74)/($C29*Assumptions!$C$13+$C29*Assumptions!$C$13*Assumptions!$C$15+Assumptions!$C$28*Assumptions!$C$16+'Sources-Uses'!$D$22-Assumptions!$C$28)</f>
        <v>0.14603852663128186</v>
      </c>
      <c r="F29" s="27">
        <f>(F$26*Model!$K$9-DebtSchedule!$H$74)/($C29*Assumptions!$C$13+$C29*Assumptions!$C$13*Assumptions!$C$15+Assumptions!$C$28*Assumptions!$C$16+'Sources-Uses'!$D$22-Assumptions!$C$28)</f>
        <v>0.44785907807201863</v>
      </c>
      <c r="G29" s="27">
        <f>(G$26*Model!$K$9-DebtSchedule!$H$74)/($C29*Assumptions!$C$13+$C29*Assumptions!$C$13*Assumptions!$C$15+Assumptions!$C$28*Assumptions!$C$16+'Sources-Uses'!$D$22-Assumptions!$C$28)</f>
        <v>0.74967962951275535</v>
      </c>
      <c r="H29" s="27">
        <f>(H$26*Model!$K$9-DebtSchedule!$H$74)/($C29*Assumptions!$C$13+$C29*Assumptions!$C$13*Assumptions!$C$15+Assumptions!$C$28*Assumptions!$C$16+'Sources-Uses'!$D$22-Assumptions!$C$28)</f>
        <v>1.0515001809534914</v>
      </c>
    </row>
    <row r="30" spans="2:10" x14ac:dyDescent="0.2">
      <c r="C30" s="29">
        <f>Assumptions!$C$14+(0)</f>
        <v>14.585714285714285</v>
      </c>
      <c r="D30" s="27">
        <f>(D$26*Model!$K$9-DebtSchedule!$H$74)/($C30*Assumptions!$C$13+$C30*Assumptions!$C$13*Assumptions!$C$15+Assumptions!$C$28*Assumptions!$C$16+'Sources-Uses'!$D$22-Assumptions!$C$28)</f>
        <v>-0.13300985919772143</v>
      </c>
      <c r="E30" s="27">
        <f>(E$26*Model!$K$9-DebtSchedule!$H$74)/($C30*Assumptions!$C$13+$C30*Assumptions!$C$13*Assumptions!$C$15+Assumptions!$C$28*Assumptions!$C$16+'Sources-Uses'!$D$22-Assumptions!$C$28)</f>
        <v>0.12469066240748054</v>
      </c>
      <c r="F30" s="27">
        <f>(F$26*Model!$K$9-DebtSchedule!$H$74)/($C30*Assumptions!$C$13+$C30*Assumptions!$C$13*Assumptions!$C$15+Assumptions!$C$28*Assumptions!$C$16+'Sources-Uses'!$D$22-Assumptions!$C$28)</f>
        <v>0.38239118401268252</v>
      </c>
      <c r="G30" s="27">
        <f>(G$26*Model!$K$9-DebtSchedule!$H$74)/($C30*Assumptions!$C$13+$C30*Assumptions!$C$13*Assumptions!$C$15+Assumptions!$C$28*Assumptions!$C$16+'Sources-Uses'!$D$22-Assumptions!$C$28)</f>
        <v>0.64009170561788453</v>
      </c>
      <c r="H30" s="27">
        <f>(H$26*Model!$K$9-DebtSchedule!$H$74)/($C30*Assumptions!$C$13+$C30*Assumptions!$C$13*Assumptions!$C$15+Assumptions!$C$28*Assumptions!$C$16+'Sources-Uses'!$D$22-Assumptions!$C$28)</f>
        <v>0.89779222722308583</v>
      </c>
    </row>
    <row r="31" spans="2:10" x14ac:dyDescent="0.2">
      <c r="C31" s="29">
        <f>Assumptions!$C$14+(0.5)</f>
        <v>15.085714285714285</v>
      </c>
      <c r="D31" s="27">
        <f>(D$26*Model!$K$9-DebtSchedule!$H$74)/($C31*Assumptions!$C$13+$C31*Assumptions!$C$13*Assumptions!$C$15+Assumptions!$C$28*Assumptions!$C$16+'Sources-Uses'!$D$22-Assumptions!$C$28)</f>
        <v>-0.11604625540607148</v>
      </c>
      <c r="E31" s="27">
        <f>(E$26*Model!$K$9-DebtSchedule!$H$74)/($C31*Assumptions!$C$13+$C31*Assumptions!$C$13*Assumptions!$C$15+Assumptions!$C$28*Assumptions!$C$16+'Sources-Uses'!$D$22-Assumptions!$C$28)</f>
        <v>0.1087880593496531</v>
      </c>
      <c r="F31" s="27">
        <f>(F$26*Model!$K$9-DebtSchedule!$H$74)/($C31*Assumptions!$C$13+$C31*Assumptions!$C$13*Assumptions!$C$15+Assumptions!$C$28*Assumptions!$C$16+'Sources-Uses'!$D$22-Assumptions!$C$28)</f>
        <v>0.33362237410537771</v>
      </c>
      <c r="G31" s="27">
        <f>(G$26*Model!$K$9-DebtSchedule!$H$74)/($C31*Assumptions!$C$13+$C31*Assumptions!$C$13*Assumptions!$C$15+Assumptions!$C$28*Assumptions!$C$16+'Sources-Uses'!$D$22-Assumptions!$C$28)</f>
        <v>0.55845668886110222</v>
      </c>
      <c r="H31" s="27">
        <f>(H$26*Model!$K$9-DebtSchedule!$H$74)/($C31*Assumptions!$C$13+$C31*Assumptions!$C$13*Assumptions!$C$15+Assumptions!$C$28*Assumptions!$C$16+'Sources-Uses'!$D$22-Assumptions!$C$28)</f>
        <v>0.78329100361682635</v>
      </c>
    </row>
    <row r="32" spans="2:10" x14ac:dyDescent="0.2">
      <c r="C32" s="29">
        <f>Assumptions!$C$14+(1)</f>
        <v>15.585714285714285</v>
      </c>
      <c r="D32" s="27">
        <f>(D$26*Model!$K$9-DebtSchedule!$H$74)/($C32*Assumptions!$C$13+$C32*Assumptions!$C$13*Assumptions!$C$15+Assumptions!$C$28*Assumptions!$C$16+'Sources-Uses'!$D$22-Assumptions!$C$28)</f>
        <v>-0.10292018190630356</v>
      </c>
      <c r="E32" s="27">
        <f>(E$26*Model!$K$9-DebtSchedule!$H$74)/($C32*Assumptions!$C$13+$C32*Assumptions!$C$13*Assumptions!$C$15+Assumptions!$C$28*Assumptions!$C$16+'Sources-Uses'!$D$22-Assumptions!$C$28)</f>
        <v>9.6482965506478988E-2</v>
      </c>
      <c r="F32" s="27">
        <f>(F$26*Model!$K$9-DebtSchedule!$H$74)/($C32*Assumptions!$C$13+$C32*Assumptions!$C$13*Assumptions!$C$15+Assumptions!$C$28*Assumptions!$C$16+'Sources-Uses'!$D$22-Assumptions!$C$28)</f>
        <v>0.29588611291926153</v>
      </c>
      <c r="G32" s="27">
        <f>(G$26*Model!$K$9-DebtSchedule!$H$74)/($C32*Assumptions!$C$13+$C32*Assumptions!$C$13*Assumptions!$C$15+Assumptions!$C$28*Assumptions!$C$16+'Sources-Uses'!$D$22-Assumptions!$C$28)</f>
        <v>0.49528926033204407</v>
      </c>
      <c r="H32" s="27">
        <f>(H$26*Model!$K$9-DebtSchedule!$H$74)/($C32*Assumptions!$C$13+$C32*Assumptions!$C$13*Assumptions!$C$15+Assumptions!$C$28*Assumptions!$C$16+'Sources-Uses'!$D$22-Assumptions!$C$28)</f>
        <v>0.6946924077448261</v>
      </c>
    </row>
    <row r="33" spans="2:10" x14ac:dyDescent="0.2">
      <c r="C33" s="29">
        <f>Assumptions!$C$14+(1.5)</f>
        <v>16.085714285714285</v>
      </c>
      <c r="D33" s="27">
        <f>(D$26*Model!$K$9-DebtSchedule!$H$74)/($C33*Assumptions!$C$13+$C33*Assumptions!$C$13*Assumptions!$C$15+Assumptions!$C$28*Assumptions!$C$16+'Sources-Uses'!$D$22-Assumptions!$C$28)</f>
        <v>-9.246176651846616E-2</v>
      </c>
      <c r="E33" s="27">
        <f>(E$26*Model!$K$9-DebtSchedule!$H$74)/($C33*Assumptions!$C$13+$C33*Assumptions!$C$13*Assumptions!$C$15+Assumptions!$C$28*Assumptions!$C$16+'Sources-Uses'!$D$22-Assumptions!$C$28)</f>
        <v>8.6678679190353228E-2</v>
      </c>
      <c r="F33" s="27">
        <f>(F$26*Model!$K$9-DebtSchedule!$H$74)/($C33*Assumptions!$C$13+$C33*Assumptions!$C$13*Assumptions!$C$15+Assumptions!$C$28*Assumptions!$C$16+'Sources-Uses'!$D$22-Assumptions!$C$28)</f>
        <v>0.26581912489917259</v>
      </c>
      <c r="G33" s="27">
        <f>(G$26*Model!$K$9-DebtSchedule!$H$74)/($C33*Assumptions!$C$13+$C33*Assumptions!$C$13*Assumptions!$C$15+Assumptions!$C$28*Assumptions!$C$16+'Sources-Uses'!$D$22-Assumptions!$C$28)</f>
        <v>0.44495957060799202</v>
      </c>
      <c r="H33" s="27">
        <f>(H$26*Model!$K$9-DebtSchedule!$H$74)/($C33*Assumptions!$C$13+$C33*Assumptions!$C$13*Assumptions!$C$15+Assumptions!$C$28*Assumptions!$C$16+'Sources-Uses'!$D$22-Assumptions!$C$28)</f>
        <v>0.624100016316811</v>
      </c>
    </row>
    <row r="35" spans="2:10" x14ac:dyDescent="0.2">
      <c r="B35" s="15" t="s">
        <v>234</v>
      </c>
    </row>
    <row r="36" spans="2:10" x14ac:dyDescent="0.2">
      <c r="B36" s="2" t="s">
        <v>233</v>
      </c>
      <c r="C36" s="9">
        <f>E14</f>
        <v>-0.17490952375610902</v>
      </c>
      <c r="D36" s="29">
        <f>Assumptions!$C$58+(-2)</f>
        <v>12.585714285714285</v>
      </c>
      <c r="E36" s="29">
        <f>Assumptions!$C$58+(-1)</f>
        <v>13.585714285714285</v>
      </c>
      <c r="F36" s="29">
        <f>Assumptions!$C$58+(0)</f>
        <v>14.585714285714285</v>
      </c>
      <c r="G36" s="29">
        <f>Assumptions!$C$58+(1)</f>
        <v>15.585714285714285</v>
      </c>
      <c r="H36" s="29">
        <f>Assumptions!$C$58+(2)</f>
        <v>16.585714285714285</v>
      </c>
    </row>
    <row r="37" spans="2:10" x14ac:dyDescent="0.2">
      <c r="C37" s="29">
        <f>Assumptions!$C$14+(-1.5)</f>
        <v>13.085714285714285</v>
      </c>
      <c r="D37" s="24" t="str">
        <f>IFERROR(IF(((D$36*Model!$K$9-DebtSchedule!$H$74)/($C37*Assumptions!$C$13+$C37*Assumptions!$C$13*Assumptions!$C$15+Assumptions!$C$28*Assumptions!$C$16+'Sources-Uses'!$D$22-Assumptions!$C$28))&lt;=0,"n.m.",((D$36*Model!$K$9-DebtSchedule!$H$74)/($C37*Assumptions!$C$13+$C37*Assumptions!$C$13*Assumptions!$C$15+Assumptions!$C$28*Assumptions!$C$16+'Sources-Uses'!$D$22-Assumptions!$C$28))^(1/5)-1),"n.m.")</f>
        <v>n.m.</v>
      </c>
      <c r="E37" s="24">
        <f>IFERROR(IF(((E$36*Model!$K$9-DebtSchedule!$H$74)/($C37*Assumptions!$C$13+$C37*Assumptions!$C$13*Assumptions!$C$15+Assumptions!$C$28*Assumptions!$C$16+'Sources-Uses'!$D$22-Assumptions!$C$28))&lt;=0,"n.m.",((E$36*Model!$K$9-DebtSchedule!$H$74)/($C37*Assumptions!$C$13+$C37*Assumptions!$C$13*Assumptions!$C$15+Assumptions!$C$28*Assumptions!$C$16+'Sources-Uses'!$D$22-Assumptions!$C$28))^(1/5)-1),"n.m.")</f>
        <v>-0.25987875469591848</v>
      </c>
      <c r="F37" s="24">
        <f>IFERROR(IF(((F$36*Model!$K$9-DebtSchedule!$H$74)/($C37*Assumptions!$C$13+$C37*Assumptions!$C$13*Assumptions!$C$15+Assumptions!$C$28*Assumptions!$C$16+'Sources-Uses'!$D$22-Assumptions!$C$28))&lt;=0,"n.m.",((F$36*Model!$K$9-DebtSchedule!$H$74)/($C37*Assumptions!$C$13+$C37*Assumptions!$C$13*Assumptions!$C$15+Assumptions!$C$28*Assumptions!$C$16+'Sources-Uses'!$D$22-Assumptions!$C$28))^(1/5)-1),"n.m.")</f>
        <v>-7.3943128370268507E-2</v>
      </c>
      <c r="G37" s="24">
        <f>IFERROR(IF(((G$36*Model!$K$9-DebtSchedule!$H$74)/($C37*Assumptions!$C$13+$C37*Assumptions!$C$13*Assumptions!$C$15+Assumptions!$C$28*Assumptions!$C$16+'Sources-Uses'!$D$22-Assumptions!$C$28))&lt;=0,"n.m.",((G$36*Model!$K$9-DebtSchedule!$H$74)/($C37*Assumptions!$C$13+$C37*Assumptions!$C$13*Assumptions!$C$15+Assumptions!$C$28*Assumptions!$C$16+'Sources-Uses'!$D$22-Assumptions!$C$28))^(1/5)-1),"n.m.")</f>
        <v>2.6560440724964884E-2</v>
      </c>
      <c r="H37" s="24">
        <f>IFERROR(IF(((H$36*Model!$K$9-DebtSchedule!$H$74)/($C37*Assumptions!$C$13+$C37*Assumptions!$C$13*Assumptions!$C$15+Assumptions!$C$28*Assumptions!$C$16+'Sources-Uses'!$D$22-Assumptions!$C$28))&lt;=0,"n.m.",((H$36*Model!$K$9-DebtSchedule!$H$74)/($C37*Assumptions!$C$13+$C37*Assumptions!$C$13*Assumptions!$C$15+Assumptions!$C$28*Assumptions!$C$16+'Sources-Uses'!$D$22-Assumptions!$C$28))^(1/5)-1),"n.m.")</f>
        <v>9.8427134317669696E-2</v>
      </c>
    </row>
    <row r="38" spans="2:10" x14ac:dyDescent="0.2">
      <c r="C38" s="29">
        <f>Assumptions!$C$14+(-1)</f>
        <v>13.585714285714285</v>
      </c>
      <c r="D38" s="24" t="str">
        <f>IFERROR(IF(((D$36*Model!$K$9-DebtSchedule!$H$74)/($C38*Assumptions!$C$13+$C38*Assumptions!$C$13*Assumptions!$C$15+Assumptions!$C$28*Assumptions!$C$16+'Sources-Uses'!$D$22-Assumptions!$C$28))&lt;=0,"n.m.",((D$36*Model!$K$9-DebtSchedule!$H$74)/($C38*Assumptions!$C$13+$C38*Assumptions!$C$13*Assumptions!$C$15+Assumptions!$C$28*Assumptions!$C$16+'Sources-Uses'!$D$22-Assumptions!$C$28))^(1/5)-1),"n.m.")</f>
        <v>n.m.</v>
      </c>
      <c r="E38" s="24">
        <f>IFERROR(IF(((E$36*Model!$K$9-DebtSchedule!$H$74)/($C38*Assumptions!$C$13+$C38*Assumptions!$C$13*Assumptions!$C$15+Assumptions!$C$28*Assumptions!$C$16+'Sources-Uses'!$D$22-Assumptions!$C$28))&lt;=0,"n.m.",((E$36*Model!$K$9-DebtSchedule!$H$74)/($C38*Assumptions!$C$13+$C38*Assumptions!$C$13*Assumptions!$C$15+Assumptions!$C$28*Assumptions!$C$16+'Sources-Uses'!$D$22-Assumptions!$C$28))^(1/5)-1),"n.m.")</f>
        <v>-0.29335021421689589</v>
      </c>
      <c r="F38" s="24">
        <f>IFERROR(IF(((F$36*Model!$K$9-DebtSchedule!$H$74)/($C38*Assumptions!$C$13+$C38*Assumptions!$C$13*Assumptions!$C$15+Assumptions!$C$28*Assumptions!$C$16+'Sources-Uses'!$D$22-Assumptions!$C$28))&lt;=0,"n.m.",((F$36*Model!$K$9-DebtSchedule!$H$74)/($C38*Assumptions!$C$13+$C38*Assumptions!$C$13*Assumptions!$C$15+Assumptions!$C$28*Assumptions!$C$16+'Sources-Uses'!$D$22-Assumptions!$C$28))^(1/5)-1),"n.m.")</f>
        <v>-0.11582339500163985</v>
      </c>
      <c r="G38" s="24">
        <f>IFERROR(IF(((G$36*Model!$K$9-DebtSchedule!$H$74)/($C38*Assumptions!$C$13+$C38*Assumptions!$C$13*Assumptions!$C$15+Assumptions!$C$28*Assumptions!$C$16+'Sources-Uses'!$D$22-Assumptions!$C$28))&lt;=0,"n.m.",((G$36*Model!$K$9-DebtSchedule!$H$74)/($C38*Assumptions!$C$13+$C38*Assumptions!$C$13*Assumptions!$C$15+Assumptions!$C$28*Assumptions!$C$16+'Sources-Uses'!$D$22-Assumptions!$C$28))^(1/5)-1),"n.m.")</f>
        <v>-1.9865028690448705E-2</v>
      </c>
      <c r="H38" s="24">
        <f>IFERROR(IF(((H$36*Model!$K$9-DebtSchedule!$H$74)/($C38*Assumptions!$C$13+$C38*Assumptions!$C$13*Assumptions!$C$15+Assumptions!$C$28*Assumptions!$C$16+'Sources-Uses'!$D$22-Assumptions!$C$28))&lt;=0,"n.m.",((H$36*Model!$K$9-DebtSchedule!$H$74)/($C38*Assumptions!$C$13+$C38*Assumptions!$C$13*Assumptions!$C$15+Assumptions!$C$28*Assumptions!$C$16+'Sources-Uses'!$D$22-Assumptions!$C$28))^(1/5)-1),"n.m.")</f>
        <v>4.8751544545953651E-2</v>
      </c>
    </row>
    <row r="39" spans="2:10" x14ac:dyDescent="0.2">
      <c r="C39" s="29">
        <f>Assumptions!$C$14+(-0.5)</f>
        <v>14.085714285714285</v>
      </c>
      <c r="D39" s="24" t="str">
        <f>IFERROR(IF(((D$36*Model!$K$9-DebtSchedule!$H$74)/($C39*Assumptions!$C$13+$C39*Assumptions!$C$13*Assumptions!$C$15+Assumptions!$C$28*Assumptions!$C$16+'Sources-Uses'!$D$22-Assumptions!$C$28))&lt;=0,"n.m.",((D$36*Model!$K$9-DebtSchedule!$H$74)/($C39*Assumptions!$C$13+$C39*Assumptions!$C$13*Assumptions!$C$15+Assumptions!$C$28*Assumptions!$C$16+'Sources-Uses'!$D$22-Assumptions!$C$28))^(1/5)-1),"n.m.")</f>
        <v>n.m.</v>
      </c>
      <c r="E39" s="24">
        <f>IFERROR(IF(((E$36*Model!$K$9-DebtSchedule!$H$74)/($C39*Assumptions!$C$13+$C39*Assumptions!$C$13*Assumptions!$C$15+Assumptions!$C$28*Assumptions!$C$16+'Sources-Uses'!$D$22-Assumptions!$C$28))&lt;=0,"n.m.",((E$36*Model!$K$9-DebtSchedule!$H$74)/($C39*Assumptions!$C$13+$C39*Assumptions!$C$13*Assumptions!$C$15+Assumptions!$C$28*Assumptions!$C$16+'Sources-Uses'!$D$22-Assumptions!$C$28))^(1/5)-1),"n.m.")</f>
        <v>-0.31939758066299262</v>
      </c>
      <c r="F39" s="24">
        <f>IFERROR(IF(((F$36*Model!$K$9-DebtSchedule!$H$74)/($C39*Assumptions!$C$13+$C39*Assumptions!$C$13*Assumptions!$C$15+Assumptions!$C$28*Assumptions!$C$16+'Sources-Uses'!$D$22-Assumptions!$C$28))&lt;=0,"n.m.",((F$36*Model!$K$9-DebtSchedule!$H$74)/($C39*Assumptions!$C$13+$C39*Assumptions!$C$13*Assumptions!$C$15+Assumptions!$C$28*Assumptions!$C$16+'Sources-Uses'!$D$22-Assumptions!$C$28))^(1/5)-1),"n.m.")</f>
        <v>-0.14841446415187787</v>
      </c>
      <c r="G39" s="24">
        <f>IFERROR(IF(((G$36*Model!$K$9-DebtSchedule!$H$74)/($C39*Assumptions!$C$13+$C39*Assumptions!$C$13*Assumptions!$C$15+Assumptions!$C$28*Assumptions!$C$16+'Sources-Uses'!$D$22-Assumptions!$C$28))&lt;=0,"n.m.",((G$36*Model!$K$9-DebtSchedule!$H$74)/($C39*Assumptions!$C$13+$C39*Assumptions!$C$13*Assumptions!$C$15+Assumptions!$C$28*Assumptions!$C$16+'Sources-Uses'!$D$22-Assumptions!$C$28))^(1/5)-1),"n.m.")</f>
        <v>-5.5993157896689572E-2</v>
      </c>
      <c r="H39" s="24">
        <f>IFERROR(IF(((H$36*Model!$K$9-DebtSchedule!$H$74)/($C39*Assumptions!$C$13+$C39*Assumptions!$C$13*Assumptions!$C$15+Assumptions!$C$28*Assumptions!$C$16+'Sources-Uses'!$D$22-Assumptions!$C$28))&lt;=0,"n.m.",((H$36*Model!$K$9-DebtSchedule!$H$74)/($C39*Assumptions!$C$13+$C39*Assumptions!$C$13*Assumptions!$C$15+Assumptions!$C$28*Assumptions!$C$16+'Sources-Uses'!$D$22-Assumptions!$C$28))^(1/5)-1),"n.m.")</f>
        <v>1.0094183656180311E-2</v>
      </c>
    </row>
    <row r="40" spans="2:10" x14ac:dyDescent="0.2">
      <c r="C40" s="29">
        <f>Assumptions!$C$14+(0)</f>
        <v>14.585714285714285</v>
      </c>
      <c r="D40" s="24" t="str">
        <f>IFERROR(IF(((D$36*Model!$K$9-DebtSchedule!$H$74)/($C40*Assumptions!$C$13+$C40*Assumptions!$C$13*Assumptions!$C$15+Assumptions!$C$28*Assumptions!$C$16+'Sources-Uses'!$D$22-Assumptions!$C$28))&lt;=0,"n.m.",((D$36*Model!$K$9-DebtSchedule!$H$74)/($C40*Assumptions!$C$13+$C40*Assumptions!$C$13*Assumptions!$C$15+Assumptions!$C$28*Assumptions!$C$16+'Sources-Uses'!$D$22-Assumptions!$C$28))^(1/5)-1),"n.m.")</f>
        <v>n.m.</v>
      </c>
      <c r="E40" s="24">
        <f>IFERROR(IF(((E$36*Model!$K$9-DebtSchedule!$H$74)/($C40*Assumptions!$C$13+$C40*Assumptions!$C$13*Assumptions!$C$15+Assumptions!$C$28*Assumptions!$C$16+'Sources-Uses'!$D$22-Assumptions!$C$28))&lt;=0,"n.m.",((E$36*Model!$K$9-DebtSchedule!$H$74)/($C40*Assumptions!$C$13+$C40*Assumptions!$C$13*Assumptions!$C$15+Assumptions!$C$28*Assumptions!$C$16+'Sources-Uses'!$D$22-Assumptions!$C$28))^(1/5)-1),"n.m.")</f>
        <v>-0.34057290704891896</v>
      </c>
      <c r="F40" s="24">
        <f>IFERROR(IF(((F$36*Model!$K$9-DebtSchedule!$H$74)/($C40*Assumptions!$C$13+$C40*Assumptions!$C$13*Assumptions!$C$15+Assumptions!$C$28*Assumptions!$C$16+'Sources-Uses'!$D$22-Assumptions!$C$28))&lt;=0,"n.m.",((F$36*Model!$K$9-DebtSchedule!$H$74)/($C40*Assumptions!$C$13+$C40*Assumptions!$C$13*Assumptions!$C$15+Assumptions!$C$28*Assumptions!$C$16+'Sources-Uses'!$D$22-Assumptions!$C$28))^(1/5)-1),"n.m.")</f>
        <v>-0.17490952375610902</v>
      </c>
      <c r="G40" s="24">
        <f>IFERROR(IF(((G$36*Model!$K$9-DebtSchedule!$H$74)/($C40*Assumptions!$C$13+$C40*Assumptions!$C$13*Assumptions!$C$15+Assumptions!$C$28*Assumptions!$C$16+'Sources-Uses'!$D$22-Assumptions!$C$28))&lt;=0,"n.m.",((G$36*Model!$K$9-DebtSchedule!$H$74)/($C40*Assumptions!$C$13+$C40*Assumptions!$C$13*Assumptions!$C$15+Assumptions!$C$28*Assumptions!$C$16+'Sources-Uses'!$D$22-Assumptions!$C$28))^(1/5)-1),"n.m.")</f>
        <v>-8.5363686746054546E-2</v>
      </c>
      <c r="H40" s="24">
        <f>IFERROR(IF(((H$36*Model!$K$9-DebtSchedule!$H$74)/($C40*Assumptions!$C$13+$C40*Assumptions!$C$13*Assumptions!$C$15+Assumptions!$C$28*Assumptions!$C$16+'Sources-Uses'!$D$22-Assumptions!$C$28))&lt;=0,"n.m.",((H$36*Model!$K$9-DebtSchedule!$H$74)/($C40*Assumptions!$C$13+$C40*Assumptions!$C$13*Assumptions!$C$15+Assumptions!$C$28*Assumptions!$C$16+'Sources-Uses'!$D$22-Assumptions!$C$28))^(1/5)-1),"n.m.")</f>
        <v>-2.1332495726301137E-2</v>
      </c>
    </row>
    <row r="41" spans="2:10" x14ac:dyDescent="0.2">
      <c r="C41" s="29">
        <f>Assumptions!$C$14+(0.5)</f>
        <v>15.085714285714285</v>
      </c>
      <c r="D41" s="24" t="str">
        <f>IFERROR(IF(((D$36*Model!$K$9-DebtSchedule!$H$74)/($C41*Assumptions!$C$13+$C41*Assumptions!$C$13*Assumptions!$C$15+Assumptions!$C$28*Assumptions!$C$16+'Sources-Uses'!$D$22-Assumptions!$C$28))&lt;=0,"n.m.",((D$36*Model!$K$9-DebtSchedule!$H$74)/($C41*Assumptions!$C$13+$C41*Assumptions!$C$13*Assumptions!$C$15+Assumptions!$C$28*Assumptions!$C$16+'Sources-Uses'!$D$22-Assumptions!$C$28))^(1/5)-1),"n.m.")</f>
        <v>n.m.</v>
      </c>
      <c r="E41" s="24">
        <f>IFERROR(IF(((E$36*Model!$K$9-DebtSchedule!$H$74)/($C41*Assumptions!$C$13+$C41*Assumptions!$C$13*Assumptions!$C$15+Assumptions!$C$28*Assumptions!$C$16+'Sources-Uses'!$D$22-Assumptions!$C$28))&lt;=0,"n.m.",((E$36*Model!$K$9-DebtSchedule!$H$74)/($C41*Assumptions!$C$13+$C41*Assumptions!$C$13*Assumptions!$C$15+Assumptions!$C$28*Assumptions!$C$16+'Sources-Uses'!$D$22-Assumptions!$C$28))^(1/5)-1),"n.m.")</f>
        <v>-0.35832333539139072</v>
      </c>
      <c r="F41" s="24">
        <f>IFERROR(IF(((F$36*Model!$K$9-DebtSchedule!$H$74)/($C41*Assumptions!$C$13+$C41*Assumptions!$C$13*Assumptions!$C$15+Assumptions!$C$28*Assumptions!$C$16+'Sources-Uses'!$D$22-Assumptions!$C$28))&lt;=0,"n.m.",((F$36*Model!$K$9-DebtSchedule!$H$74)/($C41*Assumptions!$C$13+$C41*Assumptions!$C$13*Assumptions!$C$15+Assumptions!$C$28*Assumptions!$C$16+'Sources-Uses'!$D$22-Assumptions!$C$28))^(1/5)-1),"n.m.")</f>
        <v>-0.1971192714767861</v>
      </c>
      <c r="G41" s="24">
        <f>IFERROR(IF(((G$36*Model!$K$9-DebtSchedule!$H$74)/($C41*Assumptions!$C$13+$C41*Assumptions!$C$13*Assumptions!$C$15+Assumptions!$C$28*Assumptions!$C$16+'Sources-Uses'!$D$22-Assumptions!$C$28))&lt;=0,"n.m.",((G$36*Model!$K$9-DebtSchedule!$H$74)/($C41*Assumptions!$C$13+$C41*Assumptions!$C$13*Assumptions!$C$15+Assumptions!$C$28*Assumptions!$C$16+'Sources-Uses'!$D$22-Assumptions!$C$28))^(1/5)-1),"n.m.")</f>
        <v>-0.10998382521379735</v>
      </c>
      <c r="H41" s="24">
        <f>IFERROR(IF(((H$36*Model!$K$9-DebtSchedule!$H$74)/($C41*Assumptions!$C$13+$C41*Assumptions!$C$13*Assumptions!$C$15+Assumptions!$C$28*Assumptions!$C$16+'Sources-Uses'!$D$22-Assumptions!$C$28))&lt;=0,"n.m.",((H$36*Model!$K$9-DebtSchedule!$H$74)/($C41*Assumptions!$C$13+$C41*Assumptions!$C$13*Assumptions!$C$15+Assumptions!$C$28*Assumptions!$C$16+'Sources-Uses'!$D$22-Assumptions!$C$28))^(1/5)-1),"n.m.")</f>
        <v>-4.7676222866739781E-2</v>
      </c>
    </row>
    <row r="42" spans="2:10" x14ac:dyDescent="0.2">
      <c r="C42" s="29">
        <f>Assumptions!$C$14+(1)</f>
        <v>15.585714285714285</v>
      </c>
      <c r="D42" s="24" t="str">
        <f>IFERROR(IF(((D$36*Model!$K$9-DebtSchedule!$H$74)/($C42*Assumptions!$C$13+$C42*Assumptions!$C$13*Assumptions!$C$15+Assumptions!$C$28*Assumptions!$C$16+'Sources-Uses'!$D$22-Assumptions!$C$28))&lt;=0,"n.m.",((D$36*Model!$K$9-DebtSchedule!$H$74)/($C42*Assumptions!$C$13+$C42*Assumptions!$C$13*Assumptions!$C$15+Assumptions!$C$28*Assumptions!$C$16+'Sources-Uses'!$D$22-Assumptions!$C$28))^(1/5)-1),"n.m.")</f>
        <v>n.m.</v>
      </c>
      <c r="E42" s="24">
        <f>IFERROR(IF(((E$36*Model!$K$9-DebtSchedule!$H$74)/($C42*Assumptions!$C$13+$C42*Assumptions!$C$13*Assumptions!$C$15+Assumptions!$C$28*Assumptions!$C$16+'Sources-Uses'!$D$22-Assumptions!$C$28))&lt;=0,"n.m.",((E$36*Model!$K$9-DebtSchedule!$H$74)/($C42*Assumptions!$C$13+$C42*Assumptions!$C$13*Assumptions!$C$15+Assumptions!$C$28*Assumptions!$C$16+'Sources-Uses'!$D$22-Assumptions!$C$28))^(1/5)-1),"n.m.")</f>
        <v>-0.37354464107511642</v>
      </c>
      <c r="F42" s="24">
        <f>IFERROR(IF(((F$36*Model!$K$9-DebtSchedule!$H$74)/($C42*Assumptions!$C$13+$C42*Assumptions!$C$13*Assumptions!$C$15+Assumptions!$C$28*Assumptions!$C$16+'Sources-Uses'!$D$22-Assumptions!$C$28))&lt;=0,"n.m.",((F$36*Model!$K$9-DebtSchedule!$H$74)/($C42*Assumptions!$C$13+$C42*Assumptions!$C$13*Assumptions!$C$15+Assumptions!$C$28*Assumptions!$C$16+'Sources-Uses'!$D$22-Assumptions!$C$28))^(1/5)-1),"n.m.")</f>
        <v>-0.21616452225566307</v>
      </c>
      <c r="G42" s="24">
        <f>IFERROR(IF(((G$36*Model!$K$9-DebtSchedule!$H$74)/($C42*Assumptions!$C$13+$C42*Assumptions!$C$13*Assumptions!$C$15+Assumptions!$C$28*Assumptions!$C$16+'Sources-Uses'!$D$22-Assumptions!$C$28))&lt;=0,"n.m.",((G$36*Model!$K$9-DebtSchedule!$H$74)/($C42*Assumptions!$C$13+$C42*Assumptions!$C$13*Assumptions!$C$15+Assumptions!$C$28*Assumptions!$C$16+'Sources-Uses'!$D$22-Assumptions!$C$28))^(1/5)-1),"n.m.")</f>
        <v>-0.13109602861322156</v>
      </c>
      <c r="H42" s="24">
        <f>IFERROR(IF(((H$36*Model!$K$9-DebtSchedule!$H$74)/($C42*Assumptions!$C$13+$C42*Assumptions!$C$13*Assumptions!$C$15+Assumptions!$C$28*Assumptions!$C$16+'Sources-Uses'!$D$22-Assumptions!$C$28))&lt;=0,"n.m.",((H$36*Model!$K$9-DebtSchedule!$H$74)/($C42*Assumptions!$C$13+$C42*Assumptions!$C$13*Assumptions!$C$15+Assumptions!$C$28*Assumptions!$C$16+'Sources-Uses'!$D$22-Assumptions!$C$28))^(1/5)-1),"n.m.")</f>
        <v>-7.0266433982594023E-2</v>
      </c>
    </row>
    <row r="43" spans="2:10" x14ac:dyDescent="0.2">
      <c r="C43" s="29">
        <f>Assumptions!$C$14+(1.5)</f>
        <v>16.085714285714285</v>
      </c>
      <c r="D43" s="24" t="str">
        <f>IFERROR(IF(((D$36*Model!$K$9-DebtSchedule!$H$74)/($C43*Assumptions!$C$13+$C43*Assumptions!$C$13*Assumptions!$C$15+Assumptions!$C$28*Assumptions!$C$16+'Sources-Uses'!$D$22-Assumptions!$C$28))&lt;=0,"n.m.",((D$36*Model!$K$9-DebtSchedule!$H$74)/($C43*Assumptions!$C$13+$C43*Assumptions!$C$13*Assumptions!$C$15+Assumptions!$C$28*Assumptions!$C$16+'Sources-Uses'!$D$22-Assumptions!$C$28))^(1/5)-1),"n.m.")</f>
        <v>n.m.</v>
      </c>
      <c r="E43" s="24">
        <f>IFERROR(IF(((E$36*Model!$K$9-DebtSchedule!$H$74)/($C43*Assumptions!$C$13+$C43*Assumptions!$C$13*Assumptions!$C$15+Assumptions!$C$28*Assumptions!$C$16+'Sources-Uses'!$D$22-Assumptions!$C$28))&lt;=0,"n.m.",((E$36*Model!$K$9-DebtSchedule!$H$74)/($C43*Assumptions!$C$13+$C43*Assumptions!$C$13*Assumptions!$C$15+Assumptions!$C$28*Assumptions!$C$16+'Sources-Uses'!$D$22-Assumptions!$C$28))^(1/5)-1),"n.m.")</f>
        <v>-0.38682779943872869</v>
      </c>
      <c r="F43" s="24">
        <f>IFERROR(IF(((F$36*Model!$K$9-DebtSchedule!$H$74)/($C43*Assumptions!$C$13+$C43*Assumptions!$C$13*Assumptions!$C$15+Assumptions!$C$28*Assumptions!$C$16+'Sources-Uses'!$D$22-Assumptions!$C$28))&lt;=0,"n.m.",((F$36*Model!$K$9-DebtSchedule!$H$74)/($C43*Assumptions!$C$13+$C43*Assumptions!$C$13*Assumptions!$C$15+Assumptions!$C$28*Assumptions!$C$16+'Sources-Uses'!$D$22-Assumptions!$C$28))^(1/5)-1),"n.m.")</f>
        <v>-0.23278471814602053</v>
      </c>
      <c r="G43" s="24">
        <f>IFERROR(IF(((G$36*Model!$K$9-DebtSchedule!$H$74)/($C43*Assumptions!$C$13+$C43*Assumptions!$C$13*Assumptions!$C$15+Assumptions!$C$28*Assumptions!$C$16+'Sources-Uses'!$D$22-Assumptions!$C$28))&lt;=0,"n.m.",((G$36*Model!$K$9-DebtSchedule!$H$74)/($C43*Assumptions!$C$13+$C43*Assumptions!$C$13*Assumptions!$C$15+Assumptions!$C$28*Assumptions!$C$16+'Sources-Uses'!$D$22-Assumptions!$C$28))^(1/5)-1),"n.m.")</f>
        <v>-0.14951998953920054</v>
      </c>
      <c r="H43" s="24">
        <f>IFERROR(IF(((H$36*Model!$K$9-DebtSchedule!$H$74)/($C43*Assumptions!$C$13+$C43*Assumptions!$C$13*Assumptions!$C$15+Assumptions!$C$28*Assumptions!$C$16+'Sources-Uses'!$D$22-Assumptions!$C$28))&lt;=0,"n.m.",((H$36*Model!$K$9-DebtSchedule!$H$74)/($C43*Assumptions!$C$13+$C43*Assumptions!$C$13*Assumptions!$C$15+Assumptions!$C$28*Assumptions!$C$16+'Sources-Uses'!$D$22-Assumptions!$C$28))^(1/5)-1),"n.m.")</f>
        <v>-8.9980206109262051E-2</v>
      </c>
    </row>
    <row r="45" spans="2:10" x14ac:dyDescent="0.2">
      <c r="B45" s="3" t="s">
        <v>235</v>
      </c>
      <c r="C45" s="3"/>
      <c r="D45" s="3"/>
      <c r="E45" s="3"/>
      <c r="F45" s="3"/>
      <c r="G45" s="3"/>
      <c r="H45" s="3"/>
      <c r="I45" s="3"/>
      <c r="J45" s="3"/>
    </row>
    <row r="47" spans="2:10" x14ac:dyDescent="0.2">
      <c r="B47" s="2" t="s">
        <v>236</v>
      </c>
    </row>
    <row r="48" spans="2:10" x14ac:dyDescent="0.2">
      <c r="B48" s="2" t="s">
        <v>237</v>
      </c>
    </row>
    <row r="50" spans="2:8" x14ac:dyDescent="0.2">
      <c r="B50" s="2" t="s">
        <v>238</v>
      </c>
      <c r="C50" s="9">
        <f>E14</f>
        <v>-0.17490952375610902</v>
      </c>
      <c r="D50" s="29">
        <f>Assumptions!$C$58+(-2)</f>
        <v>12.585714285714285</v>
      </c>
      <c r="E50" s="29">
        <f>Assumptions!$C$58+(-1)</f>
        <v>13.585714285714285</v>
      </c>
      <c r="F50" s="29">
        <f>Assumptions!$C$58+(0)</f>
        <v>14.585714285714285</v>
      </c>
      <c r="G50" s="29">
        <f>Assumptions!$C$58+(1)</f>
        <v>15.585714285714285</v>
      </c>
      <c r="H50" s="29">
        <f>Assumptions!$C$58+(2)</f>
        <v>16.585714285714285</v>
      </c>
    </row>
    <row r="51" spans="2:8" x14ac:dyDescent="0.2">
      <c r="C51" s="29">
        <v>6</v>
      </c>
      <c r="D51" s="24">
        <f>IFERROR(IF(((D$50*Model!$K$9-Support!$H$16)/(Assumptions!$C$14*Assumptions!$C$13+Assumptions!$C$14*Assumptions!$C$13*Assumptions!$C$15+$C51*Assumptions!$C$13*Assumptions!$C$16+'Sources-Uses'!$D$22-$C51*Assumptions!$C$13))&lt;=0,"n.m.",((D$50*Model!$K$9-Support!$H$16)/(Assumptions!$C$14*Assumptions!$C$13+Assumptions!$C$14*Assumptions!$C$13*Assumptions!$C$15+$C51*Assumptions!$C$13*Assumptions!$C$16+'Sources-Uses'!$D$22-$C51*Assumptions!$C$13))^(1/5)-1),"n.m.")</f>
        <v>-9.159237169800416E-2</v>
      </c>
      <c r="E51" s="24">
        <f>IFERROR(IF(((E$50*Model!$K$9-Support!$H$16)/(Assumptions!$C$14*Assumptions!$C$13+Assumptions!$C$14*Assumptions!$C$13*Assumptions!$C$15+$C51*Assumptions!$C$13*Assumptions!$C$16+'Sources-Uses'!$D$22-$C51*Assumptions!$C$13))&lt;=0,"n.m.",((E$50*Model!$K$9-Support!$H$16)/(Assumptions!$C$14*Assumptions!$C$13+Assumptions!$C$14*Assumptions!$C$13*Assumptions!$C$15+$C51*Assumptions!$C$13*Assumptions!$C$16+'Sources-Uses'!$D$22-$C51*Assumptions!$C$13))^(1/5)-1),"n.m.")</f>
        <v>-6.4624736302924091E-2</v>
      </c>
      <c r="F51" s="24">
        <f>IFERROR(IF(((F$50*Model!$K$9-Support!$H$16)/(Assumptions!$C$14*Assumptions!$C$13+Assumptions!$C$14*Assumptions!$C$13*Assumptions!$C$15+$C51*Assumptions!$C$13*Assumptions!$C$16+'Sources-Uses'!$D$22-$C51*Assumptions!$C$13))&lt;=0,"n.m.",((F$50*Model!$K$9-Support!$H$16)/(Assumptions!$C$14*Assumptions!$C$13+Assumptions!$C$14*Assumptions!$C$13*Assumptions!$C$15+$C51*Assumptions!$C$13*Assumptions!$C$16+'Sources-Uses'!$D$22-$C51*Assumptions!$C$13))^(1/5)-1),"n.m.")</f>
        <v>-4.0450194076887214E-2</v>
      </c>
      <c r="G51" s="24">
        <f>IFERROR(IF(((G$50*Model!$K$9-Support!$H$16)/(Assumptions!$C$14*Assumptions!$C$13+Assumptions!$C$14*Assumptions!$C$13*Assumptions!$C$15+$C51*Assumptions!$C$13*Assumptions!$C$16+'Sources-Uses'!$D$22-$C51*Assumptions!$C$13))&lt;=0,"n.m.",((G$50*Model!$K$9-Support!$H$16)/(Assumptions!$C$14*Assumptions!$C$13+Assumptions!$C$14*Assumptions!$C$13*Assumptions!$C$15+$C51*Assumptions!$C$13*Assumptions!$C$16+'Sources-Uses'!$D$22-$C51*Assumptions!$C$13))^(1/5)-1),"n.m.")</f>
        <v>-1.8491703510896573E-2</v>
      </c>
      <c r="H51" s="24">
        <f>IFERROR(IF(((H$50*Model!$K$9-Support!$H$16)/(Assumptions!$C$14*Assumptions!$C$13+Assumptions!$C$14*Assumptions!$C$13*Assumptions!$C$15+$C51*Assumptions!$C$13*Assumptions!$C$16+'Sources-Uses'!$D$22-$C51*Assumptions!$C$13))&lt;=0,"n.m.",((H$50*Model!$K$9-Support!$H$16)/(Assumptions!$C$14*Assumptions!$C$13+Assumptions!$C$14*Assumptions!$C$13*Assumptions!$C$15+$C51*Assumptions!$C$13*Assumptions!$C$16+'Sources-Uses'!$D$22-$C51*Assumptions!$C$13))^(1/5)-1),"n.m.")</f>
        <v>1.6612500479760151E-3</v>
      </c>
    </row>
    <row r="52" spans="2:8" x14ac:dyDescent="0.2">
      <c r="C52" s="29">
        <v>8</v>
      </c>
      <c r="D52" s="24">
        <f>IFERROR(IF(((D$50*Model!$K$9-Support!$H$25)/(Assumptions!$C$14*Assumptions!$C$13+Assumptions!$C$14*Assumptions!$C$13*Assumptions!$C$15+$C52*Assumptions!$C$13*Assumptions!$C$16+'Sources-Uses'!$D$22-$C52*Assumptions!$C$13))&lt;=0,"n.m.",((D$50*Model!$K$9-Support!$H$25)/(Assumptions!$C$14*Assumptions!$C$13+Assumptions!$C$14*Assumptions!$C$13*Assumptions!$C$15+$C52*Assumptions!$C$13*Assumptions!$C$16+'Sources-Uses'!$D$22-$C52*Assumptions!$C$13))^(1/5)-1),"n.m.")</f>
        <v>-0.1454922743993764</v>
      </c>
      <c r="E52" s="24">
        <f>IFERROR(IF(((E$50*Model!$K$9-Support!$H$25)/(Assumptions!$C$14*Assumptions!$C$13+Assumptions!$C$14*Assumptions!$C$13*Assumptions!$C$15+$C52*Assumptions!$C$13*Assumptions!$C$16+'Sources-Uses'!$D$22-$C52*Assumptions!$C$13))&lt;=0,"n.m.",((E$50*Model!$K$9-Support!$H$25)/(Assumptions!$C$14*Assumptions!$C$13+Assumptions!$C$14*Assumptions!$C$13*Assumptions!$C$15+$C52*Assumptions!$C$13*Assumptions!$C$16+'Sources-Uses'!$D$22-$C52*Assumptions!$C$13))^(1/5)-1),"n.m.")</f>
        <v>-0.10348682842858348</v>
      </c>
      <c r="F52" s="24">
        <f>IFERROR(IF(((F$50*Model!$K$9-Support!$H$25)/(Assumptions!$C$14*Assumptions!$C$13+Assumptions!$C$14*Assumptions!$C$13*Assumptions!$C$15+$C52*Assumptions!$C$13*Assumptions!$C$16+'Sources-Uses'!$D$22-$C52*Assumptions!$C$13))&lt;=0,"n.m.",((F$50*Model!$K$9-Support!$H$25)/(Assumptions!$C$14*Assumptions!$C$13+Assumptions!$C$14*Assumptions!$C$13*Assumptions!$C$15+$C52*Assumptions!$C$13*Assumptions!$C$16+'Sources-Uses'!$D$22-$C52*Assumptions!$C$13))^(1/5)-1),"n.m.")</f>
        <v>-6.8137270279579609E-2</v>
      </c>
      <c r="G52" s="24">
        <f>IFERROR(IF(((G$50*Model!$K$9-Support!$H$25)/(Assumptions!$C$14*Assumptions!$C$13+Assumptions!$C$14*Assumptions!$C$13*Assumptions!$C$15+$C52*Assumptions!$C$13*Assumptions!$C$16+'Sources-Uses'!$D$22-$C52*Assumptions!$C$13))&lt;=0,"n.m.",((G$50*Model!$K$9-Support!$H$25)/(Assumptions!$C$14*Assumptions!$C$13+Assumptions!$C$14*Assumptions!$C$13*Assumptions!$C$15+$C52*Assumptions!$C$13*Assumptions!$C$16+'Sources-Uses'!$D$22-$C52*Assumptions!$C$13))^(1/5)-1),"n.m.")</f>
        <v>-3.7457558605017538E-2</v>
      </c>
      <c r="H52" s="24">
        <f>IFERROR(IF(((H$50*Model!$K$9-Support!$H$25)/(Assumptions!$C$14*Assumptions!$C$13+Assumptions!$C$14*Assumptions!$C$13*Assumptions!$C$15+$C52*Assumptions!$C$13*Assumptions!$C$16+'Sources-Uses'!$D$22-$C52*Assumptions!$C$13))&lt;=0,"n.m.",((H$50*Model!$K$9-Support!$H$25)/(Assumptions!$C$14*Assumptions!$C$13+Assumptions!$C$14*Assumptions!$C$13*Assumptions!$C$15+$C52*Assumptions!$C$13*Assumptions!$C$16+'Sources-Uses'!$D$22-$C52*Assumptions!$C$13))^(1/5)-1),"n.m.")</f>
        <v>-1.025398562507307E-2</v>
      </c>
    </row>
    <row r="53" spans="2:8" x14ac:dyDescent="0.2">
      <c r="C53" s="29">
        <v>9.5</v>
      </c>
      <c r="D53" s="24">
        <f>IFERROR(IF(((D$50*Model!$K$9-Support!$H$34)/(Assumptions!$C$14*Assumptions!$C$13+Assumptions!$C$14*Assumptions!$C$13*Assumptions!$C$15+$C53*Assumptions!$C$13*Assumptions!$C$16+'Sources-Uses'!$D$22-$C53*Assumptions!$C$13))&lt;=0,"n.m.",((D$50*Model!$K$9-Support!$H$34)/(Assumptions!$C$14*Assumptions!$C$13+Assumptions!$C$14*Assumptions!$C$13*Assumptions!$C$15+$C53*Assumptions!$C$13*Assumptions!$C$16+'Sources-Uses'!$D$22-$C53*Assumptions!$C$13))^(1/5)-1),"n.m.")</f>
        <v>-0.20769276883302468</v>
      </c>
      <c r="E53" s="24">
        <f>IFERROR(IF(((E$50*Model!$K$9-Support!$H$34)/(Assumptions!$C$14*Assumptions!$C$13+Assumptions!$C$14*Assumptions!$C$13*Assumptions!$C$15+$C53*Assumptions!$C$13*Assumptions!$C$16+'Sources-Uses'!$D$22-$C53*Assumptions!$C$13))&lt;=0,"n.m.",((E$50*Model!$K$9-Support!$H$34)/(Assumptions!$C$14*Assumptions!$C$13+Assumptions!$C$14*Assumptions!$C$13*Assumptions!$C$15+$C53*Assumptions!$C$13*Assumptions!$C$16+'Sources-Uses'!$D$22-$C53*Assumptions!$C$13))^(1/5)-1),"n.m.")</f>
        <v>-0.14131508644796464</v>
      </c>
      <c r="F53" s="24">
        <f>IFERROR(IF(((F$50*Model!$K$9-Support!$H$34)/(Assumptions!$C$14*Assumptions!$C$13+Assumptions!$C$14*Assumptions!$C$13*Assumptions!$C$15+$C53*Assumptions!$C$13*Assumptions!$C$16+'Sources-Uses'!$D$22-$C53*Assumptions!$C$13))&lt;=0,"n.m.",((F$50*Model!$K$9-Support!$H$34)/(Assumptions!$C$14*Assumptions!$C$13+Assumptions!$C$14*Assumptions!$C$13*Assumptions!$C$15+$C53*Assumptions!$C$13*Assumptions!$C$16+'Sources-Uses'!$D$22-$C53*Assumptions!$C$13))^(1/5)-1),"n.m.")</f>
        <v>-9.0752268411532167E-2</v>
      </c>
      <c r="G53" s="24">
        <f>IFERROR(IF(((G$50*Model!$K$9-Support!$H$34)/(Assumptions!$C$14*Assumptions!$C$13+Assumptions!$C$14*Assumptions!$C$13*Assumptions!$C$15+$C53*Assumptions!$C$13*Assumptions!$C$16+'Sources-Uses'!$D$22-$C53*Assumptions!$C$13))&lt;=0,"n.m.",((G$50*Model!$K$9-Support!$H$34)/(Assumptions!$C$14*Assumptions!$C$13+Assumptions!$C$14*Assumptions!$C$13*Assumptions!$C$15+$C53*Assumptions!$C$13*Assumptions!$C$16+'Sources-Uses'!$D$22-$C53*Assumptions!$C$13))^(1/5)-1),"n.m.")</f>
        <v>-4.9437867994787998E-2</v>
      </c>
      <c r="H53" s="24">
        <f>IFERROR(IF(((H$50*Model!$K$9-Support!$H$34)/(Assumptions!$C$14*Assumptions!$C$13+Assumptions!$C$14*Assumptions!$C$13*Assumptions!$C$15+$C53*Assumptions!$C$13*Assumptions!$C$16+'Sources-Uses'!$D$22-$C53*Assumptions!$C$13))&lt;=0,"n.m.",((H$50*Model!$K$9-Support!$H$34)/(Assumptions!$C$14*Assumptions!$C$13+Assumptions!$C$14*Assumptions!$C$13*Assumptions!$C$15+$C53*Assumptions!$C$13*Assumptions!$C$16+'Sources-Uses'!$D$22-$C53*Assumptions!$C$13))^(1/5)-1),"n.m.")</f>
        <v>-1.4263358540934745E-2</v>
      </c>
    </row>
    <row r="54" spans="2:8" x14ac:dyDescent="0.2">
      <c r="C54" s="29">
        <v>11</v>
      </c>
      <c r="D54" s="24">
        <f>IFERROR(IF(((D$50*Model!$K$9-Support!$H$43)/(Assumptions!$C$14*Assumptions!$C$13+Assumptions!$C$14*Assumptions!$C$13*Assumptions!$C$15+$C54*Assumptions!$C$13*Assumptions!$C$16+'Sources-Uses'!$D$22-$C54*Assumptions!$C$13))&lt;=0,"n.m.",((D$50*Model!$K$9-Support!$H$43)/(Assumptions!$C$14*Assumptions!$C$13+Assumptions!$C$14*Assumptions!$C$13*Assumptions!$C$15+$C54*Assumptions!$C$13*Assumptions!$C$16+'Sources-Uses'!$D$22-$C54*Assumptions!$C$13))^(1/5)-1),"n.m.")</f>
        <v>-0.40833998750873912</v>
      </c>
      <c r="E54" s="24">
        <f>IFERROR(IF(((E$50*Model!$K$9-Support!$H$43)/(Assumptions!$C$14*Assumptions!$C$13+Assumptions!$C$14*Assumptions!$C$13*Assumptions!$C$15+$C54*Assumptions!$C$13*Assumptions!$C$16+'Sources-Uses'!$D$22-$C54*Assumptions!$C$13))&lt;=0,"n.m.",((E$50*Model!$K$9-Support!$H$43)/(Assumptions!$C$14*Assumptions!$C$13+Assumptions!$C$14*Assumptions!$C$13*Assumptions!$C$15+$C54*Assumptions!$C$13*Assumptions!$C$16+'Sources-Uses'!$D$22-$C54*Assumptions!$C$13))^(1/5)-1),"n.m.")</f>
        <v>-0.22528178316653258</v>
      </c>
      <c r="F54" s="24">
        <f>IFERROR(IF(((F$50*Model!$K$9-Support!$H$43)/(Assumptions!$C$14*Assumptions!$C$13+Assumptions!$C$14*Assumptions!$C$13*Assumptions!$C$15+$C54*Assumptions!$C$13*Assumptions!$C$16+'Sources-Uses'!$D$22-$C54*Assumptions!$C$13))&lt;=0,"n.m.",((F$50*Model!$K$9-Support!$H$43)/(Assumptions!$C$14*Assumptions!$C$13+Assumptions!$C$14*Assumptions!$C$13*Assumptions!$C$15+$C54*Assumptions!$C$13*Assumptions!$C$16+'Sources-Uses'!$D$22-$C54*Assumptions!$C$13))^(1/5)-1),"n.m.")</f>
        <v>-0.13450710240064645</v>
      </c>
      <c r="G54" s="24">
        <f>IFERROR(IF(((G$50*Model!$K$9-Support!$H$43)/(Assumptions!$C$14*Assumptions!$C$13+Assumptions!$C$14*Assumptions!$C$13*Assumptions!$C$15+$C54*Assumptions!$C$13*Assumptions!$C$16+'Sources-Uses'!$D$22-$C54*Assumptions!$C$13))&lt;=0,"n.m.",((G$50*Model!$K$9-Support!$H$43)/(Assumptions!$C$14*Assumptions!$C$13+Assumptions!$C$14*Assumptions!$C$13*Assumptions!$C$15+$C54*Assumptions!$C$13*Assumptions!$C$16+'Sources-Uses'!$D$22-$C54*Assumptions!$C$13))^(1/5)-1),"n.m.")</f>
        <v>-7.0930971557968014E-2</v>
      </c>
      <c r="H54" s="24">
        <f>IFERROR(IF(((H$50*Model!$K$9-Support!$H$43)/(Assumptions!$C$14*Assumptions!$C$13+Assumptions!$C$14*Assumptions!$C$13*Assumptions!$C$15+$C54*Assumptions!$C$13*Assumptions!$C$16+'Sources-Uses'!$D$22-$C54*Assumptions!$C$13))&lt;=0,"n.m.",((H$50*Model!$K$9-Support!$H$43)/(Assumptions!$C$14*Assumptions!$C$13+Assumptions!$C$14*Assumptions!$C$13*Assumptions!$C$15+$C54*Assumptions!$C$13*Assumptions!$C$16+'Sources-Uses'!$D$22-$C54*Assumptions!$C$13))^(1/5)-1),"n.m.")</f>
        <v>-2.1116573280469786E-2</v>
      </c>
    </row>
    <row r="55" spans="2:8" x14ac:dyDescent="0.2">
      <c r="C55" s="29">
        <v>11.7</v>
      </c>
      <c r="D55" s="24" t="str">
        <f>IFERROR(IF(((D$50*Model!$K$9-Support!$H$52)/(Assumptions!$C$14*Assumptions!$C$13+Assumptions!$C$14*Assumptions!$C$13*Assumptions!$C$15+$C55*Assumptions!$C$13*Assumptions!$C$16+'Sources-Uses'!$D$22-$C55*Assumptions!$C$13))&lt;=0,"n.m.",((D$50*Model!$K$9-Support!$H$52)/(Assumptions!$C$14*Assumptions!$C$13+Assumptions!$C$14*Assumptions!$C$13*Assumptions!$C$15+$C55*Assumptions!$C$13*Assumptions!$C$16+'Sources-Uses'!$D$22-$C55*Assumptions!$C$13))^(1/5)-1),"n.m.")</f>
        <v>n.m.</v>
      </c>
      <c r="E55" s="24">
        <f>IFERROR(IF(((E$50*Model!$K$9-Support!$H$52)/(Assumptions!$C$14*Assumptions!$C$13+Assumptions!$C$14*Assumptions!$C$13*Assumptions!$C$15+$C55*Assumptions!$C$13*Assumptions!$C$16+'Sources-Uses'!$D$22-$C55*Assumptions!$C$13))&lt;=0,"n.m.",((E$50*Model!$K$9-Support!$H$52)/(Assumptions!$C$14*Assumptions!$C$13+Assumptions!$C$14*Assumptions!$C$13*Assumptions!$C$15+$C55*Assumptions!$C$13*Assumptions!$C$16+'Sources-Uses'!$D$22-$C55*Assumptions!$C$13))^(1/5)-1),"n.m.")</f>
        <v>-0.32489618684735211</v>
      </c>
      <c r="F55" s="24">
        <f>IFERROR(IF(((F$50*Model!$K$9-Support!$H$52)/(Assumptions!$C$14*Assumptions!$C$13+Assumptions!$C$14*Assumptions!$C$13*Assumptions!$C$15+$C55*Assumptions!$C$13*Assumptions!$C$16+'Sources-Uses'!$D$22-$C55*Assumptions!$C$13))&lt;=0,"n.m.",((F$50*Model!$K$9-Support!$H$52)/(Assumptions!$C$14*Assumptions!$C$13+Assumptions!$C$14*Assumptions!$C$13*Assumptions!$C$15+$C55*Assumptions!$C$13*Assumptions!$C$16+'Sources-Uses'!$D$22-$C55*Assumptions!$C$13))^(1/5)-1),"n.m.")</f>
        <v>-0.17369253237642746</v>
      </c>
      <c r="G55" s="24">
        <f>IFERROR(IF(((G$50*Model!$K$9-Support!$H$52)/(Assumptions!$C$14*Assumptions!$C$13+Assumptions!$C$14*Assumptions!$C$13*Assumptions!$C$15+$C55*Assumptions!$C$13*Assumptions!$C$16+'Sources-Uses'!$D$22-$C55*Assumptions!$C$13))&lt;=0,"n.m.",((G$50*Model!$K$9-Support!$H$52)/(Assumptions!$C$14*Assumptions!$C$13+Assumptions!$C$14*Assumptions!$C$13*Assumptions!$C$15+$C55*Assumptions!$C$13*Assumptions!$C$16+'Sources-Uses'!$D$22-$C55*Assumptions!$C$13))^(1/5)-1),"n.m.")</f>
        <v>-8.8206645712110898E-2</v>
      </c>
      <c r="H55" s="24">
        <f>IFERROR(IF(((H$50*Model!$K$9-Support!$H$52)/(Assumptions!$C$14*Assumptions!$C$13+Assumptions!$C$14*Assumptions!$C$13*Assumptions!$C$15+$C55*Assumptions!$C$13*Assumptions!$C$16+'Sources-Uses'!$D$22-$C55*Assumptions!$C$13))&lt;=0,"n.m.",((H$50*Model!$K$9-Support!$H$52)/(Assumptions!$C$14*Assumptions!$C$13+Assumptions!$C$14*Assumptions!$C$13*Assumptions!$C$15+$C55*Assumptions!$C$13*Assumptions!$C$16+'Sources-Uses'!$D$22-$C55*Assumptions!$C$13))^(1/5)-1),"n.m.")</f>
        <v>-2.6310279401701053E-2</v>
      </c>
    </row>
    <row r="57" spans="2:8" x14ac:dyDescent="0.2">
      <c r="B57" s="3" t="s">
        <v>239</v>
      </c>
      <c r="C57" s="3"/>
      <c r="D57" s="3"/>
      <c r="E57" s="3"/>
      <c r="F57" s="3"/>
      <c r="G57" s="3"/>
    </row>
    <row r="59" spans="2:8" x14ac:dyDescent="0.2">
      <c r="B59" s="5"/>
      <c r="D59" s="20" t="s">
        <v>240</v>
      </c>
      <c r="E59" s="20" t="s">
        <v>241</v>
      </c>
    </row>
    <row r="60" spans="2:8" x14ac:dyDescent="0.2">
      <c r="B60" s="5" t="s">
        <v>19</v>
      </c>
      <c r="D60" s="8">
        <f>Assumptions!$C$14</f>
        <v>14.585714285714285</v>
      </c>
      <c r="E60" s="2" t="s">
        <v>242</v>
      </c>
    </row>
    <row r="61" spans="2:8" x14ac:dyDescent="0.2">
      <c r="B61" s="5" t="s">
        <v>243</v>
      </c>
      <c r="D61" s="8">
        <f>'Sources-Uses'!$D$30</f>
        <v>11.685714285714285</v>
      </c>
      <c r="E61" s="2" t="s">
        <v>244</v>
      </c>
    </row>
    <row r="62" spans="2:8" x14ac:dyDescent="0.2">
      <c r="B62" s="5" t="s">
        <v>245</v>
      </c>
      <c r="D62" s="7">
        <f>'Sources-Uses'!$D$13</f>
        <v>6105.5</v>
      </c>
      <c r="E62" s="2" t="s">
        <v>246</v>
      </c>
    </row>
    <row r="63" spans="2:8" x14ac:dyDescent="0.2">
      <c r="B63" s="5" t="s">
        <v>247</v>
      </c>
      <c r="D63" s="8">
        <f>E13</f>
        <v>0.38239118401268252</v>
      </c>
      <c r="E63" s="9">
        <f>E14</f>
        <v>-0.17490952375610902</v>
      </c>
    </row>
    <row r="64" spans="2:8" x14ac:dyDescent="0.2">
      <c r="B64" s="5" t="s">
        <v>248</v>
      </c>
      <c r="D64" s="2" t="s">
        <v>249</v>
      </c>
      <c r="E64" s="2" t="s">
        <v>250</v>
      </c>
    </row>
    <row r="65" spans="2:9" x14ac:dyDescent="0.2">
      <c r="B65" s="5" t="s">
        <v>251</v>
      </c>
      <c r="D65" s="2" t="s">
        <v>252</v>
      </c>
      <c r="E65" s="2" t="s">
        <v>253</v>
      </c>
    </row>
    <row r="66" spans="2:9" x14ac:dyDescent="0.2">
      <c r="B66" s="5" t="s">
        <v>254</v>
      </c>
      <c r="D66" s="2" t="s">
        <v>252</v>
      </c>
      <c r="E66" s="2" t="s">
        <v>255</v>
      </c>
    </row>
    <row r="68" spans="2:9" x14ac:dyDescent="0.2">
      <c r="B68" s="30" t="s">
        <v>256</v>
      </c>
      <c r="C68" s="31"/>
      <c r="D68" s="31"/>
      <c r="E68" s="31"/>
      <c r="F68" s="31"/>
      <c r="G68" s="31"/>
      <c r="H68" s="31"/>
      <c r="I68" s="31"/>
    </row>
    <row r="69" spans="2:9" x14ac:dyDescent="0.2">
      <c r="B69" s="30" t="s">
        <v>257</v>
      </c>
      <c r="C69" s="31"/>
      <c r="D69" s="31"/>
      <c r="E69" s="31"/>
      <c r="F69" s="31"/>
      <c r="G69" s="31"/>
      <c r="H69" s="31"/>
      <c r="I69" s="31"/>
    </row>
    <row r="70" spans="2:9" x14ac:dyDescent="0.2">
      <c r="B70" s="30" t="s">
        <v>258</v>
      </c>
      <c r="C70" s="31"/>
      <c r="D70" s="31"/>
      <c r="E70" s="31"/>
      <c r="F70" s="31"/>
      <c r="G70" s="31"/>
      <c r="H70" s="31"/>
      <c r="I70" s="31"/>
    </row>
    <row r="71" spans="2:9" x14ac:dyDescent="0.2">
      <c r="B71" s="30" t="s">
        <v>259</v>
      </c>
      <c r="C71" s="31"/>
      <c r="D71" s="31"/>
      <c r="E71" s="31"/>
      <c r="F71" s="31"/>
      <c r="G71" s="31"/>
      <c r="H71" s="31"/>
      <c r="I71" s="31"/>
    </row>
    <row r="72" spans="2:9" x14ac:dyDescent="0.2">
      <c r="B72" s="30" t="s">
        <v>260</v>
      </c>
      <c r="C72" s="31"/>
      <c r="D72" s="31"/>
      <c r="E72" s="31"/>
      <c r="F72" s="31"/>
      <c r="G72" s="31"/>
      <c r="H72" s="31"/>
      <c r="I72" s="31"/>
    </row>
    <row r="73" spans="2:9" x14ac:dyDescent="0.2">
      <c r="B73" s="30" t="s">
        <v>261</v>
      </c>
      <c r="C73" s="31"/>
      <c r="D73" s="31"/>
      <c r="E73" s="31"/>
      <c r="F73" s="31"/>
      <c r="G73" s="31"/>
      <c r="H73" s="31"/>
      <c r="I73" s="31"/>
    </row>
    <row r="74" spans="2:9" x14ac:dyDescent="0.2">
      <c r="B74" s="30" t="s">
        <v>262</v>
      </c>
      <c r="C74" s="31"/>
      <c r="D74" s="31"/>
      <c r="E74" s="31"/>
      <c r="F74" s="31"/>
      <c r="G74" s="31"/>
      <c r="H74" s="31"/>
      <c r="I74" s="31"/>
    </row>
    <row r="75" spans="2:9" x14ac:dyDescent="0.2">
      <c r="B75" s="30" t="s">
        <v>263</v>
      </c>
      <c r="C75" s="31"/>
      <c r="D75" s="31"/>
      <c r="E75" s="31"/>
      <c r="F75" s="31"/>
      <c r="G75" s="31"/>
      <c r="H75" s="31"/>
      <c r="I75" s="31"/>
    </row>
    <row r="76" spans="2:9" x14ac:dyDescent="0.2">
      <c r="B76" s="30" t="s">
        <v>264</v>
      </c>
      <c r="C76" s="31"/>
      <c r="D76" s="31"/>
      <c r="E76" s="31"/>
      <c r="F76" s="31"/>
      <c r="G76" s="31"/>
      <c r="H76" s="31"/>
      <c r="I76" s="31"/>
    </row>
    <row r="77" spans="2:9" x14ac:dyDescent="0.2">
      <c r="B77" s="30" t="s">
        <v>265</v>
      </c>
      <c r="C77" s="31"/>
      <c r="D77" s="31"/>
      <c r="E77" s="31"/>
      <c r="F77" s="31"/>
      <c r="G77" s="31"/>
      <c r="H77" s="31"/>
      <c r="I77" s="31"/>
    </row>
    <row r="78" spans="2:9" x14ac:dyDescent="0.2">
      <c r="B78" s="30" t="s">
        <v>266</v>
      </c>
      <c r="C78" s="31"/>
      <c r="D78" s="31"/>
      <c r="E78" s="31"/>
      <c r="F78" s="31"/>
      <c r="G78" s="31"/>
      <c r="H78" s="31"/>
      <c r="I78" s="31"/>
    </row>
  </sheetData>
  <mergeCells count="11">
    <mergeCell ref="B68:I68"/>
    <mergeCell ref="B75:I75"/>
    <mergeCell ref="B78:I78"/>
    <mergeCell ref="B77:I77"/>
    <mergeCell ref="B69:I69"/>
    <mergeCell ref="B72:I72"/>
    <mergeCell ref="B76:I76"/>
    <mergeCell ref="B71:I71"/>
    <mergeCell ref="B73:I73"/>
    <mergeCell ref="B74:I74"/>
    <mergeCell ref="B70:I70"/>
  </mergeCells>
  <conditionalFormatting sqref="E19">
    <cfRule type="cellIs" dxfId="1" priority="1" operator="equal">
      <formula>0</formula>
    </cfRule>
    <cfRule type="cellIs" dxfId="0" priority="2" operator="notEqual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3" width="3" customWidth="1"/>
    <col min="4" max="8" width="12" customWidth="1"/>
  </cols>
  <sheetData>
    <row r="2" spans="2:8" ht="18" x14ac:dyDescent="0.2">
      <c r="B2" s="1" t="s">
        <v>267</v>
      </c>
    </row>
    <row r="3" spans="2:8" x14ac:dyDescent="0.2">
      <c r="B3" s="2" t="s">
        <v>268</v>
      </c>
    </row>
    <row r="5" spans="2:8" x14ac:dyDescent="0.2">
      <c r="B5" s="2" t="s">
        <v>269</v>
      </c>
    </row>
    <row r="6" spans="2:8" x14ac:dyDescent="0.2">
      <c r="B6" s="2" t="s">
        <v>270</v>
      </c>
    </row>
    <row r="7" spans="2:8" x14ac:dyDescent="0.2">
      <c r="B7" s="2" t="s">
        <v>271</v>
      </c>
    </row>
    <row r="9" spans="2:8" x14ac:dyDescent="0.2">
      <c r="B9" s="3" t="s">
        <v>272</v>
      </c>
      <c r="C9" s="3"/>
      <c r="D9" s="3"/>
      <c r="E9" s="3"/>
      <c r="F9" s="3"/>
      <c r="G9" s="3"/>
    </row>
    <row r="10" spans="2:8" x14ac:dyDescent="0.2">
      <c r="D10" s="20" t="s">
        <v>94</v>
      </c>
      <c r="E10" s="20" t="s">
        <v>95</v>
      </c>
      <c r="F10" s="20" t="s">
        <v>96</v>
      </c>
      <c r="G10" s="20" t="s">
        <v>97</v>
      </c>
      <c r="H10" s="20" t="s">
        <v>98</v>
      </c>
    </row>
    <row r="11" spans="2:8" x14ac:dyDescent="0.2">
      <c r="B11" s="5" t="s">
        <v>273</v>
      </c>
      <c r="D11" s="29">
        <v>6</v>
      </c>
    </row>
    <row r="12" spans="2:8" x14ac:dyDescent="0.2">
      <c r="B12" s="5" t="s">
        <v>274</v>
      </c>
      <c r="D12" s="13">
        <f>$D$11*Assumptions!$C$13</f>
        <v>10500</v>
      </c>
      <c r="E12" s="13">
        <f>D16</f>
        <v>10392.4895165</v>
      </c>
      <c r="F12" s="13">
        <f>E16</f>
        <v>10242.61011253793</v>
      </c>
      <c r="G12" s="13">
        <f>F16</f>
        <v>10063.273805559846</v>
      </c>
      <c r="H12" s="13">
        <f>G16</f>
        <v>9939.6649332133293</v>
      </c>
    </row>
    <row r="13" spans="2:8" x14ac:dyDescent="0.2">
      <c r="B13" s="5" t="s">
        <v>275</v>
      </c>
      <c r="D13" s="13">
        <f>D12*Assumptions!$C$30</f>
        <v>865.93701923076935</v>
      </c>
      <c r="E13" s="13">
        <f>E12*Assumptions!$C$30</f>
        <v>857.07060898143129</v>
      </c>
      <c r="F13" s="13">
        <f>F12*Assumptions!$C$30</f>
        <v>844.71002571371707</v>
      </c>
      <c r="G13" s="13">
        <f>G12*Assumptions!$C$30</f>
        <v>829.92012598948315</v>
      </c>
      <c r="H13" s="13">
        <f>H12*Assumptions!$C$30</f>
        <v>819.72607851612895</v>
      </c>
    </row>
    <row r="14" spans="2:8" x14ac:dyDescent="0.2">
      <c r="B14" s="5" t="s">
        <v>276</v>
      </c>
      <c r="D14" s="7">
        <f>Model!G$27</f>
        <v>670.36954600000013</v>
      </c>
      <c r="E14" s="7">
        <f>Model!H$27</f>
        <v>706.97529980000013</v>
      </c>
      <c r="F14" s="7">
        <f>Model!I$27</f>
        <v>728.39782369200032</v>
      </c>
      <c r="G14" s="7">
        <f>Model!J$27</f>
        <v>663.05695423967995</v>
      </c>
      <c r="H14" s="7">
        <f>Model!K$27</f>
        <v>659.25673104558962</v>
      </c>
    </row>
    <row r="15" spans="2:8" x14ac:dyDescent="0.2">
      <c r="B15" s="5" t="s">
        <v>277</v>
      </c>
      <c r="D15" s="13">
        <f>MIN(MAX(D14-D13*(1-Assumptions!$C$47),0),D12)</f>
        <v>107.51048350000008</v>
      </c>
      <c r="E15" s="13">
        <f>MIN(MAX(E14-E13*(1-Assumptions!$C$47),0),E12)</f>
        <v>149.87940396206977</v>
      </c>
      <c r="F15" s="13">
        <f>MIN(MAX(F14-F13*(1-Assumptions!$C$47),0),F12)</f>
        <v>179.33630697808417</v>
      </c>
      <c r="G15" s="13">
        <f>MIN(MAX(G14-G13*(1-Assumptions!$C$47),0),G12)</f>
        <v>123.60887234651591</v>
      </c>
      <c r="H15" s="13">
        <f>MIN(MAX(H14-H13*(1-Assumptions!$C$47),0),H12)</f>
        <v>126.43478001010578</v>
      </c>
    </row>
    <row r="16" spans="2:8" x14ac:dyDescent="0.2">
      <c r="B16" s="15" t="s">
        <v>278</v>
      </c>
      <c r="D16" s="16">
        <f>D12-D15</f>
        <v>10392.4895165</v>
      </c>
      <c r="E16" s="16">
        <f>E12-E15</f>
        <v>10242.61011253793</v>
      </c>
      <c r="F16" s="16">
        <f>F12-F15</f>
        <v>10063.273805559846</v>
      </c>
      <c r="G16" s="16">
        <f>G12-G15</f>
        <v>9939.6649332133293</v>
      </c>
      <c r="H16" s="16">
        <f>H12-H15</f>
        <v>9813.2301532032234</v>
      </c>
    </row>
    <row r="18" spans="2:8" x14ac:dyDescent="0.2">
      <c r="B18" s="3" t="s">
        <v>279</v>
      </c>
      <c r="C18" s="3"/>
      <c r="D18" s="3"/>
      <c r="E18" s="3"/>
      <c r="F18" s="3"/>
      <c r="G18" s="3"/>
    </row>
    <row r="19" spans="2:8" x14ac:dyDescent="0.2">
      <c r="D19" s="20" t="s">
        <v>94</v>
      </c>
      <c r="E19" s="20" t="s">
        <v>95</v>
      </c>
      <c r="F19" s="20" t="s">
        <v>96</v>
      </c>
      <c r="G19" s="20" t="s">
        <v>97</v>
      </c>
      <c r="H19" s="20" t="s">
        <v>98</v>
      </c>
    </row>
    <row r="20" spans="2:8" x14ac:dyDescent="0.2">
      <c r="B20" s="5" t="s">
        <v>273</v>
      </c>
      <c r="D20" s="29">
        <v>8</v>
      </c>
    </row>
    <row r="21" spans="2:8" x14ac:dyDescent="0.2">
      <c r="B21" s="5" t="s">
        <v>274</v>
      </c>
      <c r="D21" s="13">
        <f>$D$20*Assumptions!$C$13</f>
        <v>14000</v>
      </c>
      <c r="E21" s="13">
        <f>D25</f>
        <v>14000</v>
      </c>
      <c r="F21" s="13">
        <f>E25</f>
        <v>14000</v>
      </c>
      <c r="G21" s="13">
        <f>F25</f>
        <v>14000</v>
      </c>
      <c r="H21" s="13">
        <f>G25</f>
        <v>14000</v>
      </c>
    </row>
    <row r="22" spans="2:8" x14ac:dyDescent="0.2">
      <c r="B22" s="5" t="s">
        <v>275</v>
      </c>
      <c r="D22" s="13">
        <f>D21*Assumptions!$C$30</f>
        <v>1154.5826923076925</v>
      </c>
      <c r="E22" s="13">
        <f>E21*Assumptions!$C$30</f>
        <v>1154.5826923076925</v>
      </c>
      <c r="F22" s="13">
        <f>F21*Assumptions!$C$30</f>
        <v>1154.5826923076925</v>
      </c>
      <c r="G22" s="13">
        <f>G21*Assumptions!$C$30</f>
        <v>1154.5826923076925</v>
      </c>
      <c r="H22" s="13">
        <f>H21*Assumptions!$C$30</f>
        <v>1154.5826923076925</v>
      </c>
    </row>
    <row r="23" spans="2:8" x14ac:dyDescent="0.2">
      <c r="B23" s="5" t="s">
        <v>276</v>
      </c>
      <c r="D23" s="7">
        <f>Model!G$27</f>
        <v>670.36954600000013</v>
      </c>
      <c r="E23" s="7">
        <f>Model!H$27</f>
        <v>706.97529980000013</v>
      </c>
      <c r="F23" s="7">
        <f>Model!I$27</f>
        <v>728.39782369200032</v>
      </c>
      <c r="G23" s="7">
        <f>Model!J$27</f>
        <v>663.05695423967995</v>
      </c>
      <c r="H23" s="7">
        <f>Model!K$27</f>
        <v>659.25673104558962</v>
      </c>
    </row>
    <row r="24" spans="2:8" x14ac:dyDescent="0.2">
      <c r="B24" s="5" t="s">
        <v>277</v>
      </c>
      <c r="D24" s="13">
        <f>MIN(MAX(D23-D22*(1-Assumptions!$C$47),0),D21)</f>
        <v>0</v>
      </c>
      <c r="E24" s="13">
        <f>MIN(MAX(E23-E22*(1-Assumptions!$C$47),0),E21)</f>
        <v>0</v>
      </c>
      <c r="F24" s="13">
        <f>MIN(MAX(F23-F22*(1-Assumptions!$C$47),0),F21)</f>
        <v>0</v>
      </c>
      <c r="G24" s="13">
        <f>MIN(MAX(G23-G22*(1-Assumptions!$C$47),0),G21)</f>
        <v>0</v>
      </c>
      <c r="H24" s="13">
        <f>MIN(MAX(H23-H22*(1-Assumptions!$C$47),0),H21)</f>
        <v>0</v>
      </c>
    </row>
    <row r="25" spans="2:8" x14ac:dyDescent="0.2">
      <c r="B25" s="15" t="s">
        <v>278</v>
      </c>
      <c r="D25" s="16">
        <f>D21-D24</f>
        <v>14000</v>
      </c>
      <c r="E25" s="16">
        <f>E21-E24</f>
        <v>14000</v>
      </c>
      <c r="F25" s="16">
        <f>F21-F24</f>
        <v>14000</v>
      </c>
      <c r="G25" s="16">
        <f>G21-G24</f>
        <v>14000</v>
      </c>
      <c r="H25" s="16">
        <f>H21-H24</f>
        <v>14000</v>
      </c>
    </row>
    <row r="27" spans="2:8" x14ac:dyDescent="0.2">
      <c r="B27" s="3" t="s">
        <v>280</v>
      </c>
      <c r="C27" s="3"/>
      <c r="D27" s="3"/>
      <c r="E27" s="3"/>
      <c r="F27" s="3"/>
      <c r="G27" s="3"/>
    </row>
    <row r="28" spans="2:8" x14ac:dyDescent="0.2">
      <c r="D28" s="20" t="s">
        <v>94</v>
      </c>
      <c r="E28" s="20" t="s">
        <v>95</v>
      </c>
      <c r="F28" s="20" t="s">
        <v>96</v>
      </c>
      <c r="G28" s="20" t="s">
        <v>97</v>
      </c>
      <c r="H28" s="20" t="s">
        <v>98</v>
      </c>
    </row>
    <row r="29" spans="2:8" x14ac:dyDescent="0.2">
      <c r="B29" s="5" t="s">
        <v>273</v>
      </c>
      <c r="D29" s="29">
        <v>9.5</v>
      </c>
    </row>
    <row r="30" spans="2:8" x14ac:dyDescent="0.2">
      <c r="B30" s="5" t="s">
        <v>274</v>
      </c>
      <c r="D30" s="13">
        <f>$D$29*Assumptions!$C$13</f>
        <v>16625</v>
      </c>
      <c r="E30" s="13">
        <f>D34</f>
        <v>16625</v>
      </c>
      <c r="F30" s="13">
        <f>E34</f>
        <v>16625</v>
      </c>
      <c r="G30" s="13">
        <f>F34</f>
        <v>16625</v>
      </c>
      <c r="H30" s="13">
        <f>G34</f>
        <v>16625</v>
      </c>
    </row>
    <row r="31" spans="2:8" x14ac:dyDescent="0.2">
      <c r="B31" s="5" t="s">
        <v>275</v>
      </c>
      <c r="D31" s="13">
        <f>D30*Assumptions!$C$30</f>
        <v>1371.0669471153847</v>
      </c>
      <c r="E31" s="13">
        <f>E30*Assumptions!$C$30</f>
        <v>1371.0669471153847</v>
      </c>
      <c r="F31" s="13">
        <f>F30*Assumptions!$C$30</f>
        <v>1371.0669471153847</v>
      </c>
      <c r="G31" s="13">
        <f>G30*Assumptions!$C$30</f>
        <v>1371.0669471153847</v>
      </c>
      <c r="H31" s="13">
        <f>H30*Assumptions!$C$30</f>
        <v>1371.0669471153847</v>
      </c>
    </row>
    <row r="32" spans="2:8" x14ac:dyDescent="0.2">
      <c r="B32" s="5" t="s">
        <v>276</v>
      </c>
      <c r="D32" s="7">
        <f>Model!G$27</f>
        <v>670.36954600000013</v>
      </c>
      <c r="E32" s="7">
        <f>Model!H$27</f>
        <v>706.97529980000013</v>
      </c>
      <c r="F32" s="7">
        <f>Model!I$27</f>
        <v>728.39782369200032</v>
      </c>
      <c r="G32" s="7">
        <f>Model!J$27</f>
        <v>663.05695423967995</v>
      </c>
      <c r="H32" s="7">
        <f>Model!K$27</f>
        <v>659.25673104558962</v>
      </c>
    </row>
    <row r="33" spans="2:8" x14ac:dyDescent="0.2">
      <c r="B33" s="5" t="s">
        <v>277</v>
      </c>
      <c r="D33" s="13">
        <f>MIN(MAX(D32-D31*(1-Assumptions!$C$47),0),D30)</f>
        <v>0</v>
      </c>
      <c r="E33" s="13">
        <f>MIN(MAX(E32-E31*(1-Assumptions!$C$47),0),E30)</f>
        <v>0</v>
      </c>
      <c r="F33" s="13">
        <f>MIN(MAX(F32-F31*(1-Assumptions!$C$47),0),F30)</f>
        <v>0</v>
      </c>
      <c r="G33" s="13">
        <f>MIN(MAX(G32-G31*(1-Assumptions!$C$47),0),G30)</f>
        <v>0</v>
      </c>
      <c r="H33" s="13">
        <f>MIN(MAX(H32-H31*(1-Assumptions!$C$47),0),H30)</f>
        <v>0</v>
      </c>
    </row>
    <row r="34" spans="2:8" x14ac:dyDescent="0.2">
      <c r="B34" s="15" t="s">
        <v>278</v>
      </c>
      <c r="D34" s="16">
        <f>D30-D33</f>
        <v>16625</v>
      </c>
      <c r="E34" s="16">
        <f>E30-E33</f>
        <v>16625</v>
      </c>
      <c r="F34" s="16">
        <f>F30-F33</f>
        <v>16625</v>
      </c>
      <c r="G34" s="16">
        <f>G30-G33</f>
        <v>16625</v>
      </c>
      <c r="H34" s="16">
        <f>H30-H33</f>
        <v>16625</v>
      </c>
    </row>
    <row r="36" spans="2:8" x14ac:dyDescent="0.2">
      <c r="B36" s="3" t="s">
        <v>281</v>
      </c>
      <c r="C36" s="3"/>
      <c r="D36" s="3"/>
      <c r="E36" s="3"/>
      <c r="F36" s="3"/>
      <c r="G36" s="3"/>
    </row>
    <row r="37" spans="2:8" x14ac:dyDescent="0.2">
      <c r="D37" s="20" t="s">
        <v>94</v>
      </c>
      <c r="E37" s="20" t="s">
        <v>95</v>
      </c>
      <c r="F37" s="20" t="s">
        <v>96</v>
      </c>
      <c r="G37" s="20" t="s">
        <v>97</v>
      </c>
      <c r="H37" s="20" t="s">
        <v>98</v>
      </c>
    </row>
    <row r="38" spans="2:8" x14ac:dyDescent="0.2">
      <c r="B38" s="5" t="s">
        <v>273</v>
      </c>
      <c r="D38" s="29">
        <v>11</v>
      </c>
    </row>
    <row r="39" spans="2:8" x14ac:dyDescent="0.2">
      <c r="B39" s="5" t="s">
        <v>274</v>
      </c>
      <c r="D39" s="13">
        <f>$D$38*Assumptions!$C$13</f>
        <v>19250</v>
      </c>
      <c r="E39" s="13">
        <f>D43</f>
        <v>19250</v>
      </c>
      <c r="F39" s="13">
        <f>E43</f>
        <v>19250</v>
      </c>
      <c r="G39" s="13">
        <f>F43</f>
        <v>19250</v>
      </c>
      <c r="H39" s="13">
        <f>G43</f>
        <v>19250</v>
      </c>
    </row>
    <row r="40" spans="2:8" x14ac:dyDescent="0.2">
      <c r="B40" s="5" t="s">
        <v>275</v>
      </c>
      <c r="D40" s="13">
        <f>D39*Assumptions!$C$30</f>
        <v>1587.5512019230771</v>
      </c>
      <c r="E40" s="13">
        <f>E39*Assumptions!$C$30</f>
        <v>1587.5512019230771</v>
      </c>
      <c r="F40" s="13">
        <f>F39*Assumptions!$C$30</f>
        <v>1587.5512019230771</v>
      </c>
      <c r="G40" s="13">
        <f>G39*Assumptions!$C$30</f>
        <v>1587.5512019230771</v>
      </c>
      <c r="H40" s="13">
        <f>H39*Assumptions!$C$30</f>
        <v>1587.5512019230771</v>
      </c>
    </row>
    <row r="41" spans="2:8" x14ac:dyDescent="0.2">
      <c r="B41" s="5" t="s">
        <v>276</v>
      </c>
      <c r="D41" s="7">
        <f>Model!G$27</f>
        <v>670.36954600000013</v>
      </c>
      <c r="E41" s="7">
        <f>Model!H$27</f>
        <v>706.97529980000013</v>
      </c>
      <c r="F41" s="7">
        <f>Model!I$27</f>
        <v>728.39782369200032</v>
      </c>
      <c r="G41" s="7">
        <f>Model!J$27</f>
        <v>663.05695423967995</v>
      </c>
      <c r="H41" s="7">
        <f>Model!K$27</f>
        <v>659.25673104558962</v>
      </c>
    </row>
    <row r="42" spans="2:8" x14ac:dyDescent="0.2">
      <c r="B42" s="5" t="s">
        <v>277</v>
      </c>
      <c r="D42" s="13">
        <f>MIN(MAX(D41-D40*(1-Assumptions!$C$47),0),D39)</f>
        <v>0</v>
      </c>
      <c r="E42" s="13">
        <f>MIN(MAX(E41-E40*(1-Assumptions!$C$47),0),E39)</f>
        <v>0</v>
      </c>
      <c r="F42" s="13">
        <f>MIN(MAX(F41-F40*(1-Assumptions!$C$47),0),F39)</f>
        <v>0</v>
      </c>
      <c r="G42" s="13">
        <f>MIN(MAX(G41-G40*(1-Assumptions!$C$47),0),G39)</f>
        <v>0</v>
      </c>
      <c r="H42" s="13">
        <f>MIN(MAX(H41-H40*(1-Assumptions!$C$47),0),H39)</f>
        <v>0</v>
      </c>
    </row>
    <row r="43" spans="2:8" x14ac:dyDescent="0.2">
      <c r="B43" s="15" t="s">
        <v>278</v>
      </c>
      <c r="D43" s="16">
        <f>D39-D42</f>
        <v>19250</v>
      </c>
      <c r="E43" s="16">
        <f>E39-E42</f>
        <v>19250</v>
      </c>
      <c r="F43" s="16">
        <f>F39-F42</f>
        <v>19250</v>
      </c>
      <c r="G43" s="16">
        <f>G39-G42</f>
        <v>19250</v>
      </c>
      <c r="H43" s="16">
        <f>H39-H42</f>
        <v>19250</v>
      </c>
    </row>
    <row r="45" spans="2:8" x14ac:dyDescent="0.2">
      <c r="B45" s="3" t="s">
        <v>282</v>
      </c>
      <c r="C45" s="3"/>
      <c r="D45" s="3"/>
      <c r="E45" s="3"/>
      <c r="F45" s="3"/>
      <c r="G45" s="3"/>
    </row>
    <row r="46" spans="2:8" x14ac:dyDescent="0.2">
      <c r="D46" s="20" t="s">
        <v>94</v>
      </c>
      <c r="E46" s="20" t="s">
        <v>95</v>
      </c>
      <c r="F46" s="20" t="s">
        <v>96</v>
      </c>
      <c r="G46" s="20" t="s">
        <v>97</v>
      </c>
      <c r="H46" s="20" t="s">
        <v>98</v>
      </c>
    </row>
    <row r="47" spans="2:8" x14ac:dyDescent="0.2">
      <c r="B47" s="5" t="s">
        <v>273</v>
      </c>
      <c r="D47" s="29">
        <v>11.7</v>
      </c>
    </row>
    <row r="48" spans="2:8" x14ac:dyDescent="0.2">
      <c r="B48" s="5" t="s">
        <v>274</v>
      </c>
      <c r="D48" s="13">
        <f>$D$47*Assumptions!$C$13</f>
        <v>20475</v>
      </c>
      <c r="E48" s="13">
        <f>D52</f>
        <v>20475</v>
      </c>
      <c r="F48" s="13">
        <f>E52</f>
        <v>20475</v>
      </c>
      <c r="G48" s="13">
        <f>F52</f>
        <v>20475</v>
      </c>
      <c r="H48" s="13">
        <f>G52</f>
        <v>20475</v>
      </c>
    </row>
    <row r="49" spans="2:8" x14ac:dyDescent="0.2">
      <c r="B49" s="5" t="s">
        <v>275</v>
      </c>
      <c r="D49" s="13">
        <f>D48*Assumptions!$C$30</f>
        <v>1688.5771875</v>
      </c>
      <c r="E49" s="13">
        <f>E48*Assumptions!$C$30</f>
        <v>1688.5771875</v>
      </c>
      <c r="F49" s="13">
        <f>F48*Assumptions!$C$30</f>
        <v>1688.5771875</v>
      </c>
      <c r="G49" s="13">
        <f>G48*Assumptions!$C$30</f>
        <v>1688.5771875</v>
      </c>
      <c r="H49" s="13">
        <f>H48*Assumptions!$C$30</f>
        <v>1688.5771875</v>
      </c>
    </row>
    <row r="50" spans="2:8" x14ac:dyDescent="0.2">
      <c r="B50" s="5" t="s">
        <v>276</v>
      </c>
      <c r="D50" s="7">
        <f>Model!G$27</f>
        <v>670.36954600000013</v>
      </c>
      <c r="E50" s="7">
        <f>Model!H$27</f>
        <v>706.97529980000013</v>
      </c>
      <c r="F50" s="7">
        <f>Model!I$27</f>
        <v>728.39782369200032</v>
      </c>
      <c r="G50" s="7">
        <f>Model!J$27</f>
        <v>663.05695423967995</v>
      </c>
      <c r="H50" s="7">
        <f>Model!K$27</f>
        <v>659.25673104558962</v>
      </c>
    </row>
    <row r="51" spans="2:8" x14ac:dyDescent="0.2">
      <c r="B51" s="5" t="s">
        <v>277</v>
      </c>
      <c r="D51" s="13">
        <f>MIN(MAX(D50-D49*(1-Assumptions!$C$47),0),D48)</f>
        <v>0</v>
      </c>
      <c r="E51" s="13">
        <f>MIN(MAX(E50-E49*(1-Assumptions!$C$47),0),E48)</f>
        <v>0</v>
      </c>
      <c r="F51" s="13">
        <f>MIN(MAX(F50-F49*(1-Assumptions!$C$47),0),F48)</f>
        <v>0</v>
      </c>
      <c r="G51" s="13">
        <f>MIN(MAX(G50-G49*(1-Assumptions!$C$47),0),G48)</f>
        <v>0</v>
      </c>
      <c r="H51" s="13">
        <f>MIN(MAX(H50-H49*(1-Assumptions!$C$47),0),H48)</f>
        <v>0</v>
      </c>
    </row>
    <row r="52" spans="2:8" x14ac:dyDescent="0.2">
      <c r="B52" s="15" t="s">
        <v>278</v>
      </c>
      <c r="D52" s="16">
        <f>D48-D51</f>
        <v>20475</v>
      </c>
      <c r="E52" s="16">
        <f>E48-E51</f>
        <v>20475</v>
      </c>
      <c r="F52" s="16">
        <f>F48-F51</f>
        <v>20475</v>
      </c>
      <c r="G52" s="16">
        <f>G48-G51</f>
        <v>20475</v>
      </c>
      <c r="H52" s="16">
        <f>H48-H51</f>
        <v>20475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Sources-Uses</vt:lpstr>
      <vt:lpstr>Model</vt:lpstr>
      <vt:lpstr>DebtSchedule</vt:lpstr>
      <vt:lpstr>Returns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Akul Veauli</cp:lastModifiedBy>
  <dcterms:created xsi:type="dcterms:W3CDTF">2026-08-23T05:46:26Z</dcterms:created>
  <dcterms:modified xsi:type="dcterms:W3CDTF">2026-08-27T04:44:12Z</dcterms:modified>
</cp:coreProperties>
</file>