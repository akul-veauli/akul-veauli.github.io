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Trading View" sheetId="2" state="visible" r:id="rId2"/>
    <sheet name="Inputs" sheetId="3" state="visible" r:id="rId3"/>
    <sheet name="P&amp;L Bridge" sheetId="4" state="visible" r:id="rId4"/>
    <sheet name="WACC Build" sheetId="5" state="visible" r:id="rId5"/>
    <sheet name="Forecast" sheetId="6" state="visible" r:id="rId6"/>
    <sheet name="DCF &amp; TV" sheetId="7" state="visible" r:id="rId7"/>
    <sheet name="Scenarios" sheetId="8" state="visible" r:id="rId8"/>
    <sheet name="Football Field" sheetId="9" state="visible" r:id="rId9"/>
    <sheet name="Sensitivity" sheetId="10" state="visible" r:id="rId10"/>
  </sheets>
  <definedNames>
    <definedName name="_xlnm.Print_Area" localSheetId="0">'Cover'!$A$1:$D$38</definedName>
    <definedName name="_xlnm.Print_Area" localSheetId="1">'Trading View'!$A$1:$D$21</definedName>
  </definedNames>
  <calcPr calcId="124519" fullCalcOnLoad="1"/>
</workbook>
</file>

<file path=xl/styles.xml><?xml version="1.0" encoding="utf-8"?>
<styleSheet xmlns="http://schemas.openxmlformats.org/spreadsheetml/2006/main">
  <numFmts count="8">
    <numFmt numFmtId="164" formatCode="&quot;$&quot;#,##0.00_);&quot;($&quot;#,##0.00)"/>
    <numFmt numFmtId="165" formatCode="+0.0%;-0.0%;0.0%"/>
    <numFmt numFmtId="166" formatCode="0.0%;(0.0%)"/>
    <numFmt numFmtId="167" formatCode="0.00%;(0.00%)"/>
    <numFmt numFmtId="168" formatCode="0.0&quot;x&quot;"/>
    <numFmt numFmtId="169" formatCode="$#,##0.0,,,&quot;B&quot;"/>
    <numFmt numFmtId="170" formatCode="&quot;$&quot;+#,##0.00;(&quot;$&quot;-#,##0.00)"/>
    <numFmt numFmtId="171" formatCode="#,##0.0_);(#,##0.0)"/>
  </numFmts>
  <fonts count="26">
    <font>
      <name val="Calibri"/>
      <family val="2"/>
      <color theme="1"/>
      <sz val="11"/>
      <scheme val="minor"/>
    </font>
    <font>
      <name val="Calibri"/>
      <b val="1"/>
      <color rgb="001F2D5C"/>
      <sz val="14"/>
    </font>
    <font>
      <name val="Calibri"/>
      <b val="1"/>
      <color rgb="00FFFFFF"/>
      <sz val="18"/>
    </font>
    <font>
      <name val="Calibri"/>
      <b val="1"/>
      <color rgb="0000B050"/>
      <sz val="11"/>
    </font>
    <font>
      <name val="Calibri"/>
      <i val="1"/>
      <color rgb="007F7F7F"/>
      <sz val="8"/>
    </font>
    <font>
      <name val="Calibri"/>
      <b val="1"/>
      <color rgb="001F2D5C"/>
      <sz val="9"/>
    </font>
    <font>
      <name val="Calibri"/>
      <b val="1"/>
      <color rgb="00000000"/>
      <sz val="9"/>
    </font>
    <font>
      <name val="Calibri"/>
      <b val="1"/>
      <color rgb="001F4E79"/>
      <sz val="9"/>
    </font>
    <font>
      <name val="Calibri"/>
      <color rgb="00000000"/>
      <sz val="9"/>
    </font>
    <font>
      <name val="Calibri"/>
      <b val="1"/>
      <color rgb="00FFFFFF"/>
      <sz val="9"/>
    </font>
    <font>
      <name val="Calibri"/>
      <b val="1"/>
      <sz val="9"/>
    </font>
    <font>
      <name val="Calibri"/>
      <color rgb="00375623"/>
      <sz val="9"/>
    </font>
    <font>
      <name val="Calibri"/>
      <b val="1"/>
      <color rgb="00375623"/>
      <sz val="9"/>
    </font>
    <font>
      <name val="Calibri"/>
      <i val="1"/>
      <color rgb="00FF0000"/>
      <sz val="9"/>
    </font>
    <font>
      <name val="Calibri"/>
      <sz val="10"/>
    </font>
    <font>
      <name val="Calibri"/>
      <i val="1"/>
      <color rgb="007F7F7F"/>
      <sz val="9"/>
    </font>
    <font>
      <name val="Calibri"/>
      <b val="1"/>
      <color rgb="00FFFFFF"/>
      <sz val="20"/>
    </font>
    <font>
      <name val="Calibri"/>
      <b val="1"/>
      <color rgb="0000B050"/>
      <sz val="12"/>
    </font>
    <font>
      <name val="Calibri"/>
      <b val="1"/>
      <color rgb="0000B050"/>
      <sz val="9"/>
    </font>
    <font>
      <name val="Calibri"/>
      <b val="1"/>
      <color rgb="001F2D5C"/>
      <sz val="10"/>
    </font>
    <font>
      <name val="Calibri"/>
      <sz val="9"/>
    </font>
    <font>
      <name val="Calibri"/>
      <b val="1"/>
      <color rgb="009C0006"/>
      <sz val="9"/>
    </font>
    <font>
      <name val="Calibri"/>
      <b val="1"/>
      <color rgb="00FF0000"/>
      <sz val="9"/>
    </font>
    <font>
      <name val="Calibri"/>
      <color rgb="0000B050"/>
      <sz val="9"/>
    </font>
    <font>
      <name val="Calibri"/>
      <b val="1"/>
      <color rgb="007F7F7F"/>
      <sz val="9"/>
    </font>
    <font>
      <name val="Calibri"/>
      <b val="1"/>
      <color rgb="001F2D5C"/>
      <sz val="11"/>
    </font>
  </fonts>
  <fills count="11">
    <fill>
      <patternFill/>
    </fill>
    <fill>
      <patternFill patternType="gray125"/>
    </fill>
    <fill>
      <patternFill patternType="solid">
        <fgColor rgb="0000B050"/>
      </patternFill>
    </fill>
    <fill>
      <patternFill patternType="solid">
        <fgColor rgb="001F2D5C"/>
      </patternFill>
    </fill>
    <fill>
      <patternFill patternType="solid">
        <fgColor rgb="00C6EFCE"/>
      </patternFill>
    </fill>
    <fill>
      <patternFill patternType="solid">
        <fgColor rgb="00FFE699"/>
      </patternFill>
    </fill>
    <fill>
      <patternFill patternType="solid">
        <fgColor rgb="00FFC7CE"/>
      </patternFill>
    </fill>
    <fill>
      <patternFill patternType="solid">
        <fgColor rgb="00FFEB9C"/>
      </patternFill>
    </fill>
    <fill>
      <patternFill patternType="solid">
        <fgColor rgb="00DEEAF1"/>
      </patternFill>
    </fill>
    <fill>
      <patternFill patternType="solid">
        <fgColor rgb="00F2F4F8"/>
      </patternFill>
    </fill>
    <fill>
      <patternFill patternType="solid">
        <fgColor rgb="002E5090"/>
      </patternFill>
    </fill>
  </fills>
  <borders count="6">
    <border>
      <left/>
      <right/>
      <top/>
      <bottom/>
      <diagonal/>
    </border>
    <border>
      <top style="thin">
        <color rgb="001F2D5C"/>
      </top>
    </border>
    <border>
      <left/>
      <right/>
      <top style="thin">
        <color rgb="001F2D5C"/>
      </top>
      <bottom/>
      <diagonal/>
    </border>
    <border>
      <left style="medium">
        <color rgb="002E5090"/>
      </left>
    </border>
    <border/>
    <border>
      <left style="medium">
        <color rgb="001F2D5C"/>
      </left>
      <right style="medium">
        <color rgb="001F2D5C"/>
      </right>
      <top style="medium">
        <color rgb="001F2D5C"/>
      </top>
      <bottom style="medium">
        <color rgb="001F2D5C"/>
      </bottom>
    </border>
  </borders>
  <cellStyleXfs count="1">
    <xf numFmtId="0" fontId="0" fillId="0" borderId="0"/>
  </cellStyleXfs>
  <cellXfs count="111">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3" fillId="0" borderId="0" applyAlignment="1" pivotButton="0" quotePrefix="0" xfId="0">
      <alignment horizontal="left" vertical="center"/>
    </xf>
    <xf numFmtId="0" fontId="4" fillId="0" borderId="0" applyAlignment="1" pivotButton="0" quotePrefix="0" xfId="0">
      <alignment horizontal="left"/>
    </xf>
    <xf numFmtId="0" fontId="5" fillId="0" borderId="0" applyAlignment="1" pivotButton="0" quotePrefix="0" xfId="0">
      <alignment horizontal="left"/>
    </xf>
    <xf numFmtId="0" fontId="6" fillId="0" borderId="0" pivotButton="0" quotePrefix="0" xfId="0"/>
    <xf numFmtId="0" fontId="7" fillId="0" borderId="0" pivotButton="0" quotePrefix="0" xfId="0"/>
    <xf numFmtId="0" fontId="8" fillId="0" borderId="0" pivotButton="0" quotePrefix="0" xfId="0"/>
    <xf numFmtId="0" fontId="9" fillId="3" borderId="1" pivotButton="0" quotePrefix="0" xfId="0"/>
    <xf numFmtId="0" fontId="0" fillId="0" borderId="2" pivotButton="0" quotePrefix="0" xfId="0"/>
    <xf numFmtId="0" fontId="9" fillId="3" borderId="0" applyAlignment="1" pivotButton="0" quotePrefix="0" xfId="0">
      <alignment horizontal="center" wrapText="1"/>
    </xf>
    <xf numFmtId="0" fontId="10" fillId="0" borderId="0" pivotButton="0" quotePrefix="0" xfId="0"/>
    <xf numFmtId="164" fontId="11" fillId="0" borderId="0" pivotButton="0" quotePrefix="0" xfId="0"/>
    <xf numFmtId="165" fontId="11" fillId="0" borderId="0" pivotButton="0" quotePrefix="0" xfId="0"/>
    <xf numFmtId="0" fontId="10" fillId="4" borderId="0" applyAlignment="1" pivotButton="0" quotePrefix="0" xfId="0">
      <alignment horizontal="center"/>
    </xf>
    <xf numFmtId="164" fontId="12" fillId="5" borderId="0" pivotButton="0" quotePrefix="0" xfId="0"/>
    <xf numFmtId="165" fontId="12" fillId="5" borderId="0" pivotButton="0" quotePrefix="0" xfId="0"/>
    <xf numFmtId="164" fontId="10" fillId="6" borderId="0" pivotButton="0" quotePrefix="0" xfId="0"/>
    <xf numFmtId="165" fontId="10" fillId="6" borderId="0" pivotButton="0" quotePrefix="0" xfId="0"/>
    <xf numFmtId="166" fontId="0" fillId="0" borderId="0" pivotButton="0" quotePrefix="0" xfId="0"/>
    <xf numFmtId="164" fontId="10" fillId="7" borderId="0" pivotButton="0" quotePrefix="0" xfId="0"/>
    <xf numFmtId="165" fontId="10" fillId="7" borderId="0" pivotButton="0" quotePrefix="0" xfId="0"/>
    <xf numFmtId="164" fontId="10" fillId="4" borderId="0" pivotButton="0" quotePrefix="0" xfId="0"/>
    <xf numFmtId="165" fontId="10" fillId="4" borderId="0" pivotButton="0" quotePrefix="0" xfId="0"/>
    <xf numFmtId="167" fontId="11" fillId="0" borderId="0" pivotButton="0" quotePrefix="0" xfId="0"/>
    <xf numFmtId="166" fontId="11" fillId="0" borderId="0" pivotButton="0" quotePrefix="0" xfId="0"/>
    <xf numFmtId="168" fontId="11" fillId="0" borderId="0" pivotButton="0" quotePrefix="0" xfId="0"/>
    <xf numFmtId="0" fontId="6" fillId="6" borderId="0" pivotButton="0" quotePrefix="0" xfId="0"/>
    <xf numFmtId="166" fontId="11" fillId="6" borderId="0" pivotButton="0" quotePrefix="0" xfId="0"/>
    <xf numFmtId="0" fontId="13" fillId="0" borderId="0" pivotButton="0" quotePrefix="0" xfId="0"/>
    <xf numFmtId="169" fontId="11" fillId="0" borderId="0" pivotButton="0" quotePrefix="0" xfId="0"/>
    <xf numFmtId="37" fontId="11" fillId="0" borderId="0" pivotButton="0" quotePrefix="0" xfId="0"/>
    <xf numFmtId="3" fontId="11" fillId="0" borderId="0" pivotButton="0" quotePrefix="0" xfId="0"/>
    <xf numFmtId="0" fontId="14" fillId="0" borderId="0" applyAlignment="1" pivotButton="0" quotePrefix="0" xfId="0">
      <alignment wrapText="1"/>
    </xf>
    <xf numFmtId="0" fontId="15" fillId="0" borderId="0" pivotButton="0" quotePrefix="0" xfId="0"/>
    <xf numFmtId="0" fontId="16" fillId="2" borderId="0" applyAlignment="1" pivotButton="0" quotePrefix="0" xfId="0">
      <alignment horizontal="center" vertical="center"/>
    </xf>
    <xf numFmtId="0" fontId="17" fillId="0" borderId="0" applyAlignment="1" pivotButton="0" quotePrefix="0" xfId="0">
      <alignment vertical="center"/>
    </xf>
    <xf numFmtId="0" fontId="10" fillId="6" borderId="0" pivotButton="0" quotePrefix="0" xfId="0"/>
    <xf numFmtId="165" fontId="18" fillId="6" borderId="0" pivotButton="0" quotePrefix="0" xfId="0"/>
    <xf numFmtId="167" fontId="0" fillId="0" borderId="0" pivotButton="0" quotePrefix="0" xfId="0"/>
    <xf numFmtId="0" fontId="10" fillId="7" borderId="0" pivotButton="0" quotePrefix="0" xfId="0"/>
    <xf numFmtId="165" fontId="18" fillId="7" borderId="0" pivotButton="0" quotePrefix="0" xfId="0"/>
    <xf numFmtId="0" fontId="10" fillId="4" borderId="0" pivotButton="0" quotePrefix="0" xfId="0"/>
    <xf numFmtId="165" fontId="18" fillId="4" borderId="0" pivotButton="0" quotePrefix="0" xfId="0"/>
    <xf numFmtId="0" fontId="19" fillId="0" borderId="0" applyAlignment="1" pivotButton="0" quotePrefix="0" xfId="0">
      <alignment wrapText="1"/>
    </xf>
    <xf numFmtId="0" fontId="10" fillId="8" borderId="0" pivotButton="0" quotePrefix="0" xfId="0"/>
    <xf numFmtId="0" fontId="20" fillId="8" borderId="0" applyAlignment="1" pivotButton="0" quotePrefix="0" xfId="0">
      <alignment wrapText="1"/>
    </xf>
    <xf numFmtId="0" fontId="10" fillId="9" borderId="0" pivotButton="0" quotePrefix="0" xfId="0"/>
    <xf numFmtId="0" fontId="20" fillId="9" borderId="0" applyAlignment="1" pivotButton="0" quotePrefix="0" xfId="0">
      <alignment wrapText="1"/>
    </xf>
    <xf numFmtId="0" fontId="4" fillId="0" borderId="0" applyAlignment="1" pivotButton="0" quotePrefix="0" xfId="0">
      <alignment wrapText="1"/>
    </xf>
    <xf numFmtId="0" fontId="9" fillId="3" borderId="0" applyAlignment="1" pivotButton="0" quotePrefix="0" xfId="0">
      <alignment horizontal="center"/>
    </xf>
    <xf numFmtId="0" fontId="9" fillId="3" borderId="0" pivotButton="0" quotePrefix="0" xfId="0"/>
    <xf numFmtId="0" fontId="6" fillId="9" borderId="0" pivotButton="0" quotePrefix="0" xfId="0"/>
    <xf numFmtId="164" fontId="7" fillId="9" borderId="0" pivotButton="0" quotePrefix="0" xfId="0"/>
    <xf numFmtId="0" fontId="4" fillId="0" borderId="0" pivotButton="0" quotePrefix="0" xfId="0"/>
    <xf numFmtId="37" fontId="7" fillId="0" borderId="0" pivotButton="0" quotePrefix="0" xfId="0"/>
    <xf numFmtId="37" fontId="7" fillId="9" borderId="0" pivotButton="0" quotePrefix="0" xfId="0"/>
    <xf numFmtId="3" fontId="7" fillId="0" borderId="0" pivotButton="0" quotePrefix="0" xfId="0"/>
    <xf numFmtId="3" fontId="7" fillId="9" borderId="0" pivotButton="0" quotePrefix="0" xfId="0"/>
    <xf numFmtId="167" fontId="7" fillId="9" borderId="0" pivotButton="0" quotePrefix="0" xfId="0"/>
    <xf numFmtId="167" fontId="7" fillId="0" borderId="0" pivotButton="0" quotePrefix="0" xfId="0"/>
    <xf numFmtId="2" fontId="7" fillId="0" borderId="0" pivotButton="0" quotePrefix="0" xfId="0"/>
    <xf numFmtId="166" fontId="7" fillId="9" borderId="0" pivotButton="0" quotePrefix="0" xfId="0"/>
    <xf numFmtId="166" fontId="7" fillId="0" borderId="0" pivotButton="0" quotePrefix="0" xfId="0"/>
    <xf numFmtId="168" fontId="7" fillId="0" borderId="0" pivotButton="0" quotePrefix="0" xfId="0"/>
    <xf numFmtId="164" fontId="7" fillId="0" borderId="0" pivotButton="0" quotePrefix="0" xfId="0"/>
    <xf numFmtId="0" fontId="21" fillId="6" borderId="0" applyAlignment="1" pivotButton="0" quotePrefix="0" xfId="0">
      <alignment wrapText="1"/>
    </xf>
    <xf numFmtId="0" fontId="9" fillId="10" borderId="0" applyAlignment="1" pivotButton="0" quotePrefix="0" xfId="0">
      <alignment horizontal="center"/>
    </xf>
    <xf numFmtId="0" fontId="9" fillId="10" borderId="3" applyAlignment="1" pivotButton="0" quotePrefix="0" xfId="0">
      <alignment horizontal="center" wrapText="1"/>
    </xf>
    <xf numFmtId="0" fontId="9" fillId="10" borderId="4" applyAlignment="1" pivotButton="0" quotePrefix="0" xfId="0">
      <alignment horizontal="center" wrapText="1"/>
    </xf>
    <xf numFmtId="37" fontId="8" fillId="9" borderId="0" pivotButton="0" quotePrefix="0" xfId="0"/>
    <xf numFmtId="37" fontId="11" fillId="9" borderId="3" pivotButton="0" quotePrefix="0" xfId="0"/>
    <xf numFmtId="37" fontId="11" fillId="9" borderId="0" pivotButton="0" quotePrefix="0" xfId="0"/>
    <xf numFmtId="166" fontId="15" fillId="0" borderId="0" pivotButton="0" quotePrefix="0" xfId="0"/>
    <xf numFmtId="166" fontId="15" fillId="0" borderId="3" pivotButton="0" quotePrefix="0" xfId="0"/>
    <xf numFmtId="37" fontId="8" fillId="0" borderId="0" pivotButton="0" quotePrefix="0" xfId="0"/>
    <xf numFmtId="37" fontId="11" fillId="0" borderId="3" pivotButton="0" quotePrefix="0" xfId="0"/>
    <xf numFmtId="0" fontId="6" fillId="8" borderId="0" pivotButton="0" quotePrefix="0" xfId="0"/>
    <xf numFmtId="37" fontId="6" fillId="8" borderId="0" pivotButton="0" quotePrefix="0" xfId="0"/>
    <xf numFmtId="37" fontId="12" fillId="8" borderId="3" pivotButton="0" quotePrefix="0" xfId="0"/>
    <xf numFmtId="37" fontId="12" fillId="8" borderId="0" pivotButton="0" quotePrefix="0" xfId="0"/>
    <xf numFmtId="2" fontId="11" fillId="0" borderId="0" pivotButton="0" quotePrefix="0" xfId="0"/>
    <xf numFmtId="0" fontId="10" fillId="5" borderId="0" pivotButton="0" quotePrefix="0" xfId="0"/>
    <xf numFmtId="167" fontId="6" fillId="5" borderId="0" pivotButton="0" quotePrefix="0" xfId="0"/>
    <xf numFmtId="0" fontId="0" fillId="0" borderId="0" applyAlignment="1" pivotButton="0" quotePrefix="0" xfId="0">
      <alignment wrapText="1"/>
    </xf>
    <xf numFmtId="0" fontId="9" fillId="10" borderId="0" applyAlignment="1" pivotButton="0" quotePrefix="0" xfId="0">
      <alignment horizontal="center" wrapText="1"/>
    </xf>
    <xf numFmtId="0" fontId="22" fillId="9" borderId="0" pivotButton="0" quotePrefix="0" xfId="0"/>
    <xf numFmtId="166" fontId="8" fillId="0" borderId="0" pivotButton="0" quotePrefix="0" xfId="0"/>
    <xf numFmtId="169" fontId="8" fillId="0" borderId="0" pivotButton="0" quotePrefix="0" xfId="0"/>
    <xf numFmtId="164" fontId="6" fillId="0" borderId="0" pivotButton="0" quotePrefix="0" xfId="0"/>
    <xf numFmtId="164" fontId="8" fillId="0" borderId="0" pivotButton="0" quotePrefix="0" xfId="0"/>
    <xf numFmtId="164" fontId="6" fillId="5" borderId="0" pivotButton="0" quotePrefix="0" xfId="0"/>
    <xf numFmtId="0" fontId="6" fillId="6" borderId="0" applyAlignment="1" pivotButton="0" quotePrefix="0" xfId="0">
      <alignment horizontal="center"/>
    </xf>
    <xf numFmtId="0" fontId="6" fillId="7" borderId="0" applyAlignment="1" pivotButton="0" quotePrefix="0" xfId="0">
      <alignment horizontal="center"/>
    </xf>
    <xf numFmtId="0" fontId="6" fillId="4" borderId="0" applyAlignment="1" pivotButton="0" quotePrefix="0" xfId="0">
      <alignment horizontal="center"/>
    </xf>
    <xf numFmtId="169" fontId="10" fillId="6" borderId="0" pivotButton="0" quotePrefix="0" xfId="0"/>
    <xf numFmtId="169" fontId="10" fillId="7" borderId="0" pivotButton="0" quotePrefix="0" xfId="0"/>
    <xf numFmtId="169" fontId="10" fillId="4" borderId="0" pivotButton="0" quotePrefix="0" xfId="0"/>
    <xf numFmtId="0" fontId="20" fillId="0" borderId="0" pivotButton="0" quotePrefix="0" xfId="0"/>
    <xf numFmtId="164" fontId="20" fillId="6" borderId="0" pivotButton="0" quotePrefix="0" xfId="0"/>
    <xf numFmtId="170" fontId="23" fillId="4" borderId="0" pivotButton="0" quotePrefix="0" xfId="0"/>
    <xf numFmtId="165" fontId="23" fillId="4" borderId="0" pivotButton="0" quotePrefix="0" xfId="0"/>
    <xf numFmtId="171" fontId="8" fillId="0" borderId="0" pivotButton="0" quotePrefix="0" xfId="0"/>
    <xf numFmtId="164" fontId="20" fillId="7" borderId="0" pivotButton="0" quotePrefix="0" xfId="0"/>
    <xf numFmtId="164" fontId="20" fillId="4" borderId="0" pivotButton="0" quotePrefix="0" xfId="0"/>
    <xf numFmtId="164" fontId="20" fillId="8" borderId="0" pivotButton="0" quotePrefix="0" xfId="0"/>
    <xf numFmtId="164" fontId="10" fillId="5" borderId="0" pivotButton="0" quotePrefix="0" xfId="0"/>
    <xf numFmtId="164" fontId="24" fillId="8" borderId="0" pivotButton="0" quotePrefix="0" xfId="0"/>
    <xf numFmtId="0" fontId="25" fillId="0" borderId="0" pivotButton="0" quotePrefix="0" xfId="0"/>
    <xf numFmtId="164" fontId="20" fillId="4"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0"/>
  <chart>
    <title>
      <tx>
        <rich>
          <a:bodyPr/>
          <a:p>
            <a:pPr>
              <a:defRPr/>
            </a:pPr>
            <a:r>
              <a:t>Implied Per Share Value Range</a:t>
            </a:r>
          </a:p>
        </rich>
      </tx>
    </title>
    <plotArea>
      <barChart>
        <barDir val="bar"/>
        <grouping val="clustered"/>
        <ser>
          <idx val="0"/>
          <order val="0"/>
          <tx>
            <strRef>
              <f>'Football Field'!B4</f>
            </strRef>
          </tx>
          <spPr>
            <a:solidFill>
              <a:srgbClr val="FFFFFF"/>
            </a:solidFill>
            <a:ln>
              <a:prstDash val="solid"/>
            </a:ln>
          </spPr>
          <dPt>
            <idx val="0"/>
            <spPr>
              <a:solidFill>
                <a:srgbClr val="C00000"/>
              </a:solidFill>
              <a:ln>
                <a:prstDash val="solid"/>
              </a:ln>
            </spPr>
          </dPt>
          <dPt>
            <idx val="1"/>
            <spPr>
              <a:solidFill>
                <a:srgbClr val="FF9900"/>
              </a:solidFill>
              <a:ln>
                <a:prstDash val="solid"/>
              </a:ln>
            </spPr>
          </dPt>
          <dPt>
            <idx val="2"/>
            <spPr>
              <a:solidFill>
                <a:srgbClr val="00B050"/>
              </a:solidFill>
              <a:ln>
                <a:prstDash val="solid"/>
              </a:ln>
            </spPr>
          </dPt>
          <dPt>
            <idx val="3"/>
            <spPr>
              <a:solidFill>
                <a:srgbClr val="1F2D5C"/>
              </a:solidFill>
              <a:ln>
                <a:prstDash val="solid"/>
              </a:ln>
            </spPr>
          </dPt>
          <dPt>
            <idx val="4"/>
            <spPr>
              <a:solidFill>
                <a:srgbClr val="2E75B6"/>
              </a:solidFill>
              <a:ln>
                <a:prstDash val="solid"/>
              </a:ln>
            </spPr>
          </dPt>
          <dPt>
            <idx val="5"/>
            <spPr>
              <a:solidFill>
                <a:srgbClr val="7030A0"/>
              </a:solidFill>
              <a:ln>
                <a:prstDash val="solid"/>
              </a:ln>
            </spPr>
          </dPt>
          <dLbls>
            <numFmt formatCode="&quot;$&quot;#,##0.00"/>
            <showLegendKey val="0"/>
            <showVal val="1"/>
            <showCatName val="0"/>
            <showSerName val="0"/>
          </dLbls>
          <cat>
            <numRef>
              <f>'Football Field'!$A$5:$A$10</f>
            </numRef>
          </cat>
          <val>
            <numRef>
              <f>'Football Field'!$B$5:$B$10</f>
            </numRef>
          </val>
        </ser>
        <gapWidth val="150"/>
        <axId val="10"/>
        <axId val="100"/>
      </barChart>
      <catAx>
        <axId val="10"/>
        <scaling>
          <orientation val="minMax"/>
        </scaling>
        <axPos val="l"/>
        <title>
          <tx>
            <rich>
              <a:bodyPr/>
              <a:p>
                <a:pPr>
                  <a:defRPr/>
                </a:pPr>
                <a:r>
                  <a:t>Implied Share Price (USD)</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8640000" cy="54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2D5C"/>
    <outlinePr summaryBelow="1" summaryRight="1"/>
    <pageSetUpPr/>
  </sheetPr>
  <dimension ref="A1:D38"/>
  <sheetViews>
    <sheetView showGridLines="0" workbookViewId="0">
      <pane ySplit="5" topLeftCell="A6"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s>
  <sheetData>
    <row r="1" ht="32" customHeight="1">
      <c r="A1" s="1" t="inlineStr">
        <is>
          <t>Discounted Cash Flow Analysis — CELH</t>
        </is>
      </c>
      <c r="C1" s="2" t="inlineStr">
        <is>
          <t xml:space="preserve">  BUY  </t>
        </is>
      </c>
      <c r="D1" s="3" t="inlineStr">
        <is>
          <t>+106.8% to IP $58.99</t>
        </is>
      </c>
    </row>
    <row r="2">
      <c r="A2" s="4" t="inlineStr">
        <is>
          <t>(Values in USD, except per share data)</t>
        </is>
      </c>
      <c r="C2" s="5" t="inlineStr">
        <is>
          <t>Bear $39.65  /  Base $58.99  /  Bull $87.41</t>
        </is>
      </c>
    </row>
    <row r="3">
      <c r="A3" s="6" t="inlineStr">
        <is>
          <t>Analyst:</t>
        </is>
      </c>
      <c r="B3" s="7" t="inlineStr"/>
      <c r="C3" s="6" t="inlineStr">
        <is>
          <t>Date:</t>
        </is>
      </c>
      <c r="D3" s="8" t="inlineStr">
        <is>
          <t>June 25, 2026</t>
        </is>
      </c>
    </row>
    <row r="4"/>
    <row r="5">
      <c r="A5" s="9" t="inlineStr">
        <is>
          <t>VALUATION SUMMARY</t>
        </is>
      </c>
      <c r="B5" s="10" t="n"/>
      <c r="C5" s="10" t="n"/>
      <c r="D5" s="10" t="n"/>
    </row>
    <row r="6">
      <c r="A6" s="11" t="inlineStr">
        <is>
          <t>Method</t>
        </is>
      </c>
      <c r="B6" s="11" t="inlineStr">
        <is>
          <t>Implied Price</t>
        </is>
      </c>
      <c r="C6" s="11" t="inlineStr">
        <is>
          <t>vs. Current</t>
        </is>
      </c>
      <c r="D6" s="11" t="inlineStr">
        <is>
          <t>Upside Signal</t>
        </is>
      </c>
    </row>
    <row r="7">
      <c r="A7" s="12" t="inlineStr">
        <is>
          <t>Current Price</t>
        </is>
      </c>
      <c r="B7" s="13">
        <f>'DCF &amp; TV'!$B$25</f>
        <v/>
      </c>
    </row>
    <row r="8">
      <c r="A8" s="12" t="inlineStr">
        <is>
          <t>Gordon Growth Perpetuity</t>
        </is>
      </c>
      <c r="B8" s="13">
        <f>'DCF &amp; TV'!$B$22</f>
        <v/>
      </c>
      <c r="C8" s="14">
        <f>'DCF &amp; TV'!$B$22/'DCF &amp; TV'!$B$25-1</f>
        <v/>
      </c>
      <c r="D8" s="15" t="inlineStr">
        <is>
          <t>BUY  ▲</t>
        </is>
      </c>
    </row>
    <row r="9">
      <c r="A9" s="12" t="inlineStr">
        <is>
          <t>EV/EBITDA Exit Multiple</t>
        </is>
      </c>
      <c r="B9" s="13">
        <f>'DCF &amp; TV'!$B$23</f>
        <v/>
      </c>
      <c r="C9" s="14">
        <f>'DCF &amp; TV'!$B$23/'DCF &amp; TV'!$B$25-1</f>
        <v/>
      </c>
      <c r="D9" s="15" t="inlineStr">
        <is>
          <t>BUY  ▲</t>
        </is>
      </c>
    </row>
    <row r="10">
      <c r="A10" s="12" t="inlineStr">
        <is>
          <t>Blended 50/50  ★ Primary</t>
        </is>
      </c>
      <c r="B10" s="16">
        <f>'DCF &amp; TV'!$B$24</f>
        <v/>
      </c>
      <c r="C10" s="17">
        <f>'DCF &amp; TV'!$B$24/'DCF &amp; TV'!$B$25-1</f>
        <v/>
      </c>
      <c r="D10" s="15" t="inlineStr">
        <is>
          <t>BUY  ▲</t>
        </is>
      </c>
    </row>
    <row r="11"/>
    <row r="12">
      <c r="A12" s="9" t="inlineStr">
        <is>
          <t>SCENARIO ANALYSIS</t>
        </is>
      </c>
      <c r="B12" s="10" t="n"/>
      <c r="C12" s="10" t="n"/>
      <c r="D12" s="10" t="n"/>
    </row>
    <row r="13">
      <c r="A13" s="11" t="inlineStr">
        <is>
          <t>Scenario</t>
        </is>
      </c>
      <c r="B13" s="11" t="inlineStr">
        <is>
          <t>Implied Price</t>
        </is>
      </c>
      <c r="C13" s="11" t="inlineStr">
        <is>
          <t>vs. Current</t>
        </is>
      </c>
      <c r="D13" s="11" t="inlineStr">
        <is>
          <t>Terminal g</t>
        </is>
      </c>
    </row>
    <row r="14">
      <c r="A14" s="12" t="inlineStr">
        <is>
          <t>Bear</t>
        </is>
      </c>
      <c r="B14" s="18" t="n">
        <v>39.65007727788853</v>
      </c>
      <c r="C14" s="19" t="n">
        <v>0.390255164021337</v>
      </c>
      <c r="D14" s="20" t="n">
        <v>0.02</v>
      </c>
    </row>
    <row r="15">
      <c r="A15" s="12" t="inlineStr">
        <is>
          <t>Base</t>
        </is>
      </c>
      <c r="B15" s="21" t="n">
        <v>58.98670321951044</v>
      </c>
      <c r="C15" s="22" t="n">
        <v>1.068257476139917</v>
      </c>
      <c r="D15" s="20" t="n">
        <v>0.025</v>
      </c>
    </row>
    <row r="16">
      <c r="A16" s="12" t="inlineStr">
        <is>
          <t>Bull</t>
        </is>
      </c>
      <c r="B16" s="23" t="n">
        <v>87.40840249370115</v>
      </c>
      <c r="C16" s="24" t="n">
        <v>2.064810746623462</v>
      </c>
      <c r="D16" s="20" t="n">
        <v>0.03</v>
      </c>
    </row>
    <row r="17"/>
    <row r="18">
      <c r="A18" s="9" t="inlineStr">
        <is>
          <t>KEY ASSUMPTIONS</t>
        </is>
      </c>
      <c r="B18" s="10" t="n"/>
      <c r="C18" s="10" t="n"/>
      <c r="D18" s="10" t="n"/>
    </row>
    <row r="19">
      <c r="A19" s="6" t="inlineStr">
        <is>
          <t>WACC</t>
        </is>
      </c>
      <c r="B19" s="25">
        <f>'WACC Build'!$B$17</f>
        <v/>
      </c>
    </row>
    <row r="20">
      <c r="A20" s="6" t="inlineStr">
        <is>
          <t>Terminal Growth Rate</t>
        </is>
      </c>
      <c r="B20" s="26">
        <f>Inputs!$B$40</f>
        <v/>
      </c>
    </row>
    <row r="21">
      <c r="A21" s="6" t="inlineStr">
        <is>
          <t>Year-1 Revenue Growth</t>
        </is>
      </c>
      <c r="B21" s="26">
        <f>Inputs!$B$26</f>
        <v/>
      </c>
    </row>
    <row r="22">
      <c r="A22" s="6" t="inlineStr">
        <is>
          <t>Year-N Revenue Growth (fade)</t>
        </is>
      </c>
      <c r="B22" s="26">
        <f>Inputs!$B$35</f>
        <v/>
      </c>
    </row>
    <row r="23">
      <c r="A23" s="6" t="inlineStr">
        <is>
          <t>EBIT Margin Target (Year N)</t>
        </is>
      </c>
      <c r="B23" s="26">
        <f>Inputs!$B$36</f>
        <v/>
      </c>
    </row>
    <row r="24">
      <c r="A24" s="6" t="inlineStr">
        <is>
          <t>EV/EBITDA Exit Multiple</t>
        </is>
      </c>
      <c r="B24" s="27">
        <f>Inputs!$B$41</f>
        <v/>
      </c>
    </row>
    <row r="25">
      <c r="A25" s="28" t="inlineStr">
        <is>
          <t>TV % of EV (Gordon)</t>
        </is>
      </c>
      <c r="B25" s="29">
        <f>'DCF &amp; TV'!$B$8</f>
        <v/>
      </c>
      <c r="C25" s="30" t="inlineStr">
        <is>
          <t>⚠ Terminal value bet — &gt;75% of EV</t>
        </is>
      </c>
    </row>
    <row r="26"/>
    <row r="27">
      <c r="A27" s="9" t="inlineStr">
        <is>
          <t>EQUITY BRIDGE (BLENDED)</t>
        </is>
      </c>
      <c r="B27" s="10" t="n"/>
      <c r="C27" s="10" t="n"/>
      <c r="D27" s="10" t="n"/>
    </row>
    <row r="28">
      <c r="A28" s="6" t="inlineStr">
        <is>
          <t>Enterprise Value (Blended)</t>
        </is>
      </c>
      <c r="B28" s="31">
        <f>'DCF &amp; TV'!$B$15</f>
        <v/>
      </c>
    </row>
    <row r="29">
      <c r="A29" s="6" t="inlineStr">
        <is>
          <t>(Less) Total Debt + Leases</t>
        </is>
      </c>
      <c r="B29" s="32">
        <f>'DCF &amp; TV'!$B$16+'DCF &amp; TV'!$B$17</f>
        <v/>
      </c>
    </row>
    <row r="30">
      <c r="A30" s="6" t="inlineStr">
        <is>
          <t>(Plus) Cash</t>
        </is>
      </c>
      <c r="B30" s="32">
        <f>'DCF &amp; TV'!$B$18</f>
        <v/>
      </c>
    </row>
    <row r="31">
      <c r="A31" s="6" t="inlineStr">
        <is>
          <t>Equity Value (Blended)</t>
        </is>
      </c>
      <c r="B31" s="31">
        <f>'DCF &amp; TV'!$B$20</f>
        <v/>
      </c>
    </row>
    <row r="32">
      <c r="A32" s="6" t="inlineStr">
        <is>
          <t>Diluted Shares</t>
        </is>
      </c>
      <c r="B32" s="33">
        <f>Inputs!$B$12</f>
        <v/>
      </c>
    </row>
    <row r="33"/>
    <row r="34">
      <c r="A34" s="9" t="inlineStr">
        <is>
          <t>COMPANY FRAMING</t>
        </is>
      </c>
      <c r="B34" s="10" t="n"/>
      <c r="C34" s="10" t="n"/>
      <c r="D34" s="10" t="n"/>
    </row>
    <row r="35" ht="140" customHeight="1">
      <c r="A35" s="34" t="inlineStr">
        <is>
          <t>Celsius Holdings generates revenue through branded energy drink sales via retail and distributor channels, with Pepsi distribution partnership since 2022 driving rapid expansion.
Company is in high-growth phase with 86% CAGR from FY2022-FY2025, though FY2024 deceleration to 8% YoY suggests transition toward maturation before projected FY2025 reacceleration to 79%.
Central debate is whether CELH can sustain premium growth and shelf space gains against Monster and Red Bull or faces margin compression and share loss as energy drink category matures and competition intensifies.</t>
        </is>
      </c>
    </row>
    <row r="36"/>
    <row r="37">
      <c r="A37" s="9" t="inlineStr">
        <is>
          <t>INVESTMENT CONCLUSION</t>
        </is>
      </c>
      <c r="B37" s="10" t="n"/>
      <c r="C37" s="10" t="n"/>
      <c r="D37" s="10" t="n"/>
    </row>
    <row r="38" ht="70" customHeight="1">
      <c r="A38" s="34" t="inlineStr">
        <is>
          <t>Implied value of $58.99 versus current price of $28.52 yields 106.8% upside, supporting the BUY rating. Thesis hinges on Celsius sustaining premium revenue growth rates in a maturing energy drink category where terminal value comprises 76% of enterprise value. Invalidation trigger: two consecutive quarters of market share loss to Monster or Red Bull in tracked channels, or Pepsi distribution agreement non-renewal in 2026.</t>
        </is>
      </c>
    </row>
  </sheetData>
  <mergeCells count="11">
    <mergeCell ref="A5:D5"/>
    <mergeCell ref="A37:D37"/>
    <mergeCell ref="A18:D18"/>
    <mergeCell ref="A2:B2"/>
    <mergeCell ref="A27:D27"/>
    <mergeCell ref="C2:D2"/>
    <mergeCell ref="A34:D34"/>
    <mergeCell ref="A12:D12"/>
    <mergeCell ref="A35:D35"/>
    <mergeCell ref="A38:D38"/>
    <mergeCell ref="A1:B1"/>
  </mergeCells>
  <pageMargins left="0.75" right="0.75" top="1" bottom="1" header="0.5" footer="0.5"/>
  <pageSetup orientation="portrait" paperSize="1" fitToWidth="1"/>
</worksheet>
</file>

<file path=xl/worksheets/sheet2.xml><?xml version="1.0" encoding="utf-8"?>
<worksheet xmlns="http://schemas.openxmlformats.org/spreadsheetml/2006/main">
  <sheetPr>
    <tabColor rgb="007030A0"/>
    <outlinePr summaryBelow="1" summaryRight="1"/>
    <pageSetUpPr/>
  </sheetPr>
  <dimension ref="A1:D21"/>
  <sheetViews>
    <sheetView showGridLines="0" workbookViewId="0">
      <selection activeCell="A1" sqref="A1"/>
    </sheetView>
  </sheetViews>
  <sheetFormatPr baseColWidth="8" defaultRowHeight="15"/>
  <cols>
    <col width="30" customWidth="1" min="1" max="1"/>
    <col width="22" customWidth="1" min="2" max="2"/>
    <col width="28" customWidth="1" min="3" max="3"/>
    <col width="28" customWidth="1" min="4" max="4"/>
  </cols>
  <sheetData>
    <row r="1">
      <c r="A1" s="1" t="inlineStr">
        <is>
          <t>Trading View — CELH  |  June 25, 2026</t>
        </is>
      </c>
    </row>
    <row r="2">
      <c r="A2" s="35" t="inlineStr">
        <is>
          <t>(Implied prices from blended Gordon Growth + EV/EBITDA DCF)</t>
        </is>
      </c>
    </row>
    <row r="3"/>
    <row r="4">
      <c r="A4" s="9" t="inlineStr">
        <is>
          <t>RATING &amp; PRICE TARGET</t>
        </is>
      </c>
      <c r="B4" s="10" t="n"/>
      <c r="C4" s="10" t="n"/>
      <c r="D4" s="10" t="n"/>
    </row>
    <row r="5" ht="32" customHeight="1">
      <c r="A5" s="36" t="inlineStr">
        <is>
          <t xml:space="preserve">  BUY  </t>
        </is>
      </c>
      <c r="B5" s="37" t="inlineStr">
        <is>
          <t>+106.8% upside to IP</t>
        </is>
      </c>
      <c r="C5" s="6" t="inlineStr">
        <is>
          <t>Current:  $28.52</t>
        </is>
      </c>
      <c r="D5" s="6" t="inlineStr">
        <is>
          <t>IP (Blended):  $58.99</t>
        </is>
      </c>
    </row>
    <row r="6"/>
    <row r="7">
      <c r="A7" s="9" t="inlineStr">
        <is>
          <t>SCENARIO PRICE RANGE  (Bear / Base / Bull)</t>
        </is>
      </c>
      <c r="B7" s="10" t="n"/>
      <c r="C7" s="10" t="n"/>
      <c r="D7" s="10" t="n"/>
    </row>
    <row r="8">
      <c r="A8" s="11" t="inlineStr">
        <is>
          <t>Scenario</t>
        </is>
      </c>
      <c r="B8" s="11" t="inlineStr">
        <is>
          <t>Implied Price</t>
        </is>
      </c>
      <c r="C8" s="11" t="inlineStr">
        <is>
          <t>vs. Current</t>
        </is>
      </c>
      <c r="D8" s="11" t="inlineStr">
        <is>
          <t>WACC</t>
        </is>
      </c>
    </row>
    <row r="9">
      <c r="A9" s="38" t="inlineStr">
        <is>
          <t>Bear</t>
        </is>
      </c>
      <c r="B9" s="18" t="n">
        <v>39.65007727788853</v>
      </c>
      <c r="C9" s="39" t="n">
        <v>0.390255164021337</v>
      </c>
      <c r="D9" s="40" t="n">
        <v>0.08739800817763897</v>
      </c>
    </row>
    <row r="10">
      <c r="A10" s="41" t="inlineStr">
        <is>
          <t>Base</t>
        </is>
      </c>
      <c r="B10" s="21" t="n">
        <v>58.98670321951044</v>
      </c>
      <c r="C10" s="42" t="n">
        <v>1.068257476139917</v>
      </c>
      <c r="D10" s="40" t="n">
        <v>0.08739800817763897</v>
      </c>
    </row>
    <row r="11">
      <c r="A11" s="43" t="inlineStr">
        <is>
          <t>Bull</t>
        </is>
      </c>
      <c r="B11" s="23" t="n">
        <v>87.40840249370115</v>
      </c>
      <c r="C11" s="44" t="n">
        <v>2.064810746623462</v>
      </c>
      <c r="D11" s="40" t="n">
        <v>0.08739800817763897</v>
      </c>
    </row>
    <row r="12"/>
    <row r="13">
      <c r="A13" s="9" t="inlineStr">
        <is>
          <t>POSITIONING &amp; HEDGING STRATEGIES</t>
        </is>
      </c>
      <c r="B13" s="10" t="n"/>
      <c r="C13" s="10" t="n"/>
      <c r="D13" s="10" t="n"/>
    </row>
    <row r="14" ht="40" customHeight="1">
      <c r="A14" s="45" t="inlineStr">
        <is>
          <t>BUY — 107% upside to base IP $58.99.</t>
        </is>
      </c>
    </row>
    <row r="15"/>
    <row r="16">
      <c r="A16" s="11" t="inlineStr">
        <is>
          <t>Strategy</t>
        </is>
      </c>
      <c r="B16" s="11" t="inlineStr">
        <is>
          <t>Details</t>
        </is>
      </c>
    </row>
    <row r="17" ht="28" customHeight="1">
      <c r="A17" s="46" t="inlineStr">
        <is>
          <t>EQUITY — Increase position.</t>
        </is>
      </c>
      <c r="B17" s="47" t="inlineStr"/>
    </row>
    <row r="18" ht="28" customHeight="1">
      <c r="A18" s="48" t="inlineStr">
        <is>
          <t>LONG CALL (5% OTM)</t>
        </is>
      </c>
      <c r="B18" s="49" t="inlineStr">
        <is>
          <t>Strike: $30.00 (+5.2% vs current $28.52)</t>
        </is>
      </c>
    </row>
    <row r="19" ht="28" customHeight="1">
      <c r="A19" s="46" t="inlineStr">
        <is>
          <t>CALL SPREAD (ATM / +15% OTM)</t>
        </is>
      </c>
      <c r="B19" s="47" t="inlineStr">
        <is>
          <t>Buy $27.50 call / Sell $32.50 call | Spread width: $5.00</t>
        </is>
      </c>
    </row>
    <row r="20"/>
    <row r="21" ht="36" customHeight="1">
      <c r="A21" s="50" t="inlineStr">
        <is>
          <t>DISCLAIMER: This analysis is model-generated for internal use only. Options strikes are indicative levels derived from current price — no expiry date or premium is specified. Not investment advice.</t>
        </is>
      </c>
    </row>
  </sheetData>
  <mergeCells count="11">
    <mergeCell ref="A1:D1"/>
    <mergeCell ref="B19:D19"/>
    <mergeCell ref="A4:D4"/>
    <mergeCell ref="A21:D21"/>
    <mergeCell ref="B16:D16"/>
    <mergeCell ref="B17:D17"/>
    <mergeCell ref="A7:D7"/>
    <mergeCell ref="B18:D18"/>
    <mergeCell ref="A2:D2"/>
    <mergeCell ref="A13:D13"/>
    <mergeCell ref="A14:D14"/>
  </mergeCells>
  <pageMargins left="0.75" right="0.75" top="1" bottom="1" header="0.5" footer="0.5"/>
  <pageSetup orientation="portrait" paperSize="1" fitToWidth="1"/>
</worksheet>
</file>

<file path=xl/worksheets/sheet3.xml><?xml version="1.0" encoding="utf-8"?>
<worksheet xmlns="http://schemas.openxmlformats.org/spreadsheetml/2006/main">
  <sheetPr>
    <tabColor rgb="001F4E79"/>
    <outlinePr summaryBelow="1" summaryRight="1"/>
    <pageSetUpPr/>
  </sheetPr>
  <dimension ref="A1:C72"/>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38" customWidth="1" min="1" max="1"/>
    <col width="22" customWidth="1" min="2" max="2"/>
    <col width="70" customWidth="1" min="3" max="3"/>
  </cols>
  <sheetData>
    <row r="1">
      <c r="A1" s="1" t="inlineStr">
        <is>
          <t>Inputs &amp; Assumptions — CELH</t>
        </is>
      </c>
    </row>
    <row r="2">
      <c r="A2" s="35" t="inlineStr">
        <is>
          <t>(Values in USD, except per share data)</t>
        </is>
      </c>
    </row>
    <row r="3">
      <c r="A3" s="51" t="inlineStr">
        <is>
          <t>Input</t>
        </is>
      </c>
      <c r="B3" s="51" t="inlineStr">
        <is>
          <t>Value</t>
        </is>
      </c>
      <c r="C3" s="51" t="inlineStr">
        <is>
          <t>Source</t>
        </is>
      </c>
    </row>
    <row r="4"/>
    <row r="5">
      <c r="A5" s="52" t="inlineStr">
        <is>
          <t>SECTION A — MARKET &amp; BRIDGE DATA</t>
        </is>
      </c>
    </row>
    <row r="6">
      <c r="A6" s="53" t="inlineStr">
        <is>
          <t>Current Stock Price</t>
        </is>
      </c>
      <c r="B6" s="54" t="n">
        <v>28.52</v>
      </c>
      <c r="C6" s="55" t="inlineStr">
        <is>
          <t>Yahoo Finance — info['currentPrice']</t>
        </is>
      </c>
    </row>
    <row r="7">
      <c r="A7" s="6" t="inlineStr">
        <is>
          <t>Market Capitalization (Equity)</t>
        </is>
      </c>
      <c r="B7" s="56" t="n">
        <v>7290863104</v>
      </c>
      <c r="C7" s="55" t="inlineStr">
        <is>
          <t>Yahoo Finance — info['marketCap']  (used as equity weight in WACC)</t>
        </is>
      </c>
    </row>
    <row r="8">
      <c r="A8" s="53" t="inlineStr">
        <is>
          <t>Total Debt (LT + ST, ex-leases)</t>
        </is>
      </c>
      <c r="B8" s="57" t="n">
        <v>683926000</v>
      </c>
      <c r="C8" s="55" t="inlineStr">
        <is>
          <t>SEC EDGAR — LongTermDebt + ShortTermBorrowings (clean, no leases)</t>
        </is>
      </c>
    </row>
    <row r="9">
      <c r="A9" s="6" t="inlineStr">
        <is>
          <t>Cash &amp; Equivalents</t>
        </is>
      </c>
      <c r="B9" s="56" t="n">
        <v>549201024</v>
      </c>
      <c r="C9" s="55" t="inlineStr">
        <is>
          <t>Yahoo Finance — info['totalCash']  (falls back to EDGAR)</t>
        </is>
      </c>
    </row>
    <row r="10">
      <c r="A10" s="53" t="inlineStr">
        <is>
          <t>Lease Liabilities</t>
        </is>
      </c>
      <c r="B10" s="57" t="n">
        <v>18216000</v>
      </c>
      <c r="C10" s="55" t="inlineStr">
        <is>
          <t>SEC EDGAR — OperatingLeaseLiability  (most recent 10-K FY; added separately)</t>
        </is>
      </c>
    </row>
    <row r="11">
      <c r="A11" s="6" t="inlineStr">
        <is>
          <t>Shares Outstanding</t>
        </is>
      </c>
      <c r="B11" s="58" t="n">
        <v>255640360</v>
      </c>
      <c r="C11" s="55" t="inlineStr">
        <is>
          <t>Yahoo Finance — info['sharesOutstanding']</t>
        </is>
      </c>
    </row>
    <row r="12">
      <c r="A12" s="53" t="inlineStr">
        <is>
          <t>Shares Diluted (Weighted Avg)</t>
        </is>
      </c>
      <c r="B12" s="59" t="n">
        <v>254911000</v>
      </c>
      <c r="C12" s="55" t="inlineStr">
        <is>
          <t>SEC EDGAR — WeightedAverageNumberOfDilutedSharesOutstanding (falls back to Yahoo impliedSharesOutstanding)</t>
        </is>
      </c>
    </row>
    <row r="13"/>
    <row r="14">
      <c r="A14" s="52" t="inlineStr">
        <is>
          <t>SECTION B — WACC INPUTS</t>
        </is>
      </c>
    </row>
    <row r="15">
      <c r="A15" s="53" t="inlineStr">
        <is>
          <t>Risk-Free Rate (10Y Treasury)</t>
        </is>
      </c>
      <c r="B15" s="60" t="n">
        <v>0.045</v>
      </c>
      <c r="C15" s="55" t="inlineStr">
        <is>
          <t>FRED — series DGS10  (10-Year Treasury Constant Maturity)</t>
        </is>
      </c>
    </row>
    <row r="16">
      <c r="A16" s="6" t="inlineStr">
        <is>
          <t>Equity Risk Premium (ERP)</t>
        </is>
      </c>
      <c r="B16" s="61" t="n">
        <v>0.045</v>
      </c>
      <c r="C16" s="55" t="inlineStr">
        <is>
          <t>config.py BASE_ERP constant — Damodaran-consistent forward ERP (~4.5%). NOT a trailing realized return. See config.py for documentation.</t>
        </is>
      </c>
    </row>
    <row r="17">
      <c r="A17" s="53" t="inlineStr">
        <is>
          <t>Country Risk Premium (CRP)</t>
        </is>
      </c>
      <c r="B17" s="60" t="n">
        <v>0</v>
      </c>
      <c r="C17" s="55" t="inlineStr">
        <is>
          <t>data/market_risk.py — 0% for US (sovereign spread data required for non-US)</t>
        </is>
      </c>
    </row>
    <row r="18">
      <c r="A18" s="6" t="inlineStr">
        <is>
          <t>Unlevered Beta</t>
        </is>
      </c>
      <c r="B18" s="62" t="n">
        <v>0.8387830887413006</v>
      </c>
      <c r="C18" s="55" t="inlineStr">
        <is>
          <t>yfinance — levered beta (5-yr monthly vs S&amp;P 500), unlevered via Hamada using company D/E ratio and EDGAR effective tax rate</t>
        </is>
      </c>
    </row>
    <row r="19">
      <c r="A19" s="53" t="inlineStr">
        <is>
          <t>Tax Rate</t>
        </is>
      </c>
      <c r="B19" s="63" t="n">
        <v>0.2050245103934308</v>
      </c>
      <c r="C19" s="55" t="inlineStr">
        <is>
          <t>SEC EDGAR — IncomeTax ÷ (NetIncome + IncomeTax) most recent 10-K; capped at 40%</t>
        </is>
      </c>
    </row>
    <row r="20">
      <c r="A20" s="6" t="inlineStr">
        <is>
          <t>Size Premium</t>
        </is>
      </c>
      <c r="B20" s="61" t="n">
        <v>0.005</v>
      </c>
      <c r="C20" s="55" t="inlineStr">
        <is>
          <t>Duff &amp; Phelps style: &lt;$500M→3.5%, &lt;$2B→2.5%, &lt;$5B→1.5%, &lt;$10B→0.5%, &gt;$10B→0%</t>
        </is>
      </c>
    </row>
    <row r="21">
      <c r="A21" s="53" t="inlineStr">
        <is>
          <t>Cost of Debt Spread (EDGAR-derived)</t>
        </is>
      </c>
      <c r="B21" s="60" t="n">
        <v>0.02265732147974815</v>
      </c>
      <c r="C21" s="55" t="inlineStr">
        <is>
          <t>EDGAR-derived: InterestExpense/TotalDebt − rf  (fallback: rf + 200bps if data insufficient)</t>
        </is>
      </c>
    </row>
    <row r="22"/>
    <row r="23">
      <c r="A23" s="52" t="inlineStr">
        <is>
          <t>SECTION C — FORECAST ASSUMPTIONS</t>
        </is>
      </c>
    </row>
    <row r="24">
      <c r="A24" s="6" t="inlineStr">
        <is>
          <t>Base Revenue — Last Fiscal Year</t>
        </is>
      </c>
      <c r="B24" s="56" t="n">
        <v>2515269000</v>
      </c>
      <c r="C24" s="55" t="inlineStr">
        <is>
          <t>SEC EDGAR — Revenues (or RevenueFromContractWithCustomer)  FY2025</t>
        </is>
      </c>
    </row>
    <row r="25">
      <c r="A25" s="6" t="inlineStr">
        <is>
          <t>Base EBIT Margin — Smoothed Anchor</t>
        </is>
      </c>
      <c r="B25" s="64" t="n">
        <v>0.03755577276472876</v>
      </c>
      <c r="C25" s="55" t="inlineStr">
        <is>
          <t>SEC EDGAR — recency-weighted avg of historical OperatingIncomeLoss ÷ Revenues (weights 1..n, newest heaviest; one-off years clipped). Used by the forecast engine AND these sheet formulas — identical by construction</t>
        </is>
      </c>
    </row>
    <row r="26">
      <c r="A26" s="6" t="inlineStr">
        <is>
          <t>Revenue Growth — Year 1</t>
        </is>
      </c>
      <c r="B26" s="64" t="n">
        <v>0.3550702770404777</v>
      </c>
      <c r="C26" s="55" t="inlineStr">
        <is>
          <t>Year-1 growth — 50/50 blend of 3-yr historical CAGR and consensus revenue est (assumption input, not target anchoring); capped at 50%</t>
        </is>
      </c>
    </row>
    <row r="27">
      <c r="A27" s="6" t="inlineStr">
        <is>
          <t>Revenue Growth — Year 2</t>
        </is>
      </c>
      <c r="B27" s="64" t="n">
        <v>0.318395801813758</v>
      </c>
      <c r="C27" s="55" t="inlineStr">
        <is>
          <t>Linear fade from Year-1 to Year-N growth</t>
        </is>
      </c>
    </row>
    <row r="28">
      <c r="A28" s="6" t="inlineStr">
        <is>
          <t>Revenue Growth — Year 3</t>
        </is>
      </c>
      <c r="B28" s="64" t="n">
        <v>0.2817213265870382</v>
      </c>
      <c r="C28" s="55" t="inlineStr">
        <is>
          <t>Linear fade from Year-1 to Year-N growth</t>
        </is>
      </c>
    </row>
    <row r="29">
      <c r="A29" s="6" t="inlineStr">
        <is>
          <t>Revenue Growth — Year 4</t>
        </is>
      </c>
      <c r="B29" s="64" t="n">
        <v>0.2450468513603185</v>
      </c>
      <c r="C29" s="55" t="inlineStr">
        <is>
          <t>Linear fade from Year-1 to Year-N growth</t>
        </is>
      </c>
    </row>
    <row r="30">
      <c r="A30" s="6" t="inlineStr">
        <is>
          <t>Revenue Growth — Year 5</t>
        </is>
      </c>
      <c r="B30" s="64" t="n">
        <v>0.2083723761335987</v>
      </c>
      <c r="C30" s="55" t="inlineStr">
        <is>
          <t>Linear fade from Year-1 to Year-N growth</t>
        </is>
      </c>
    </row>
    <row r="31">
      <c r="A31" s="6" t="inlineStr">
        <is>
          <t>Revenue Growth — Year 6</t>
        </is>
      </c>
      <c r="B31" s="64" t="n">
        <v>0.171697900906879</v>
      </c>
      <c r="C31" s="55" t="inlineStr">
        <is>
          <t>Linear fade from Year-1 to Year-N growth</t>
        </is>
      </c>
    </row>
    <row r="32">
      <c r="A32" s="6" t="inlineStr">
        <is>
          <t>Revenue Growth — Year 7</t>
        </is>
      </c>
      <c r="B32" s="64" t="n">
        <v>0.1350234256801593</v>
      </c>
      <c r="C32" s="55" t="inlineStr">
        <is>
          <t>Linear fade from Year-1 to Year-N growth</t>
        </is>
      </c>
    </row>
    <row r="33">
      <c r="A33" s="6" t="inlineStr">
        <is>
          <t>Revenue Growth — Year 8</t>
        </is>
      </c>
      <c r="B33" s="64" t="n">
        <v>0.0983489504534395</v>
      </c>
      <c r="C33" s="55" t="inlineStr">
        <is>
          <t>Linear fade from Year-1 to Year-N growth</t>
        </is>
      </c>
    </row>
    <row r="34">
      <c r="A34" s="6" t="inlineStr">
        <is>
          <t>Revenue Growth — Year 9</t>
        </is>
      </c>
      <c r="B34" s="64" t="n">
        <v>0.06167447522671976</v>
      </c>
      <c r="C34" s="55" t="inlineStr">
        <is>
          <t>Linear fade from Year-1 to Year-N growth</t>
        </is>
      </c>
    </row>
    <row r="35">
      <c r="A35" s="6" t="inlineStr">
        <is>
          <t>Revenue Growth — Year 10</t>
        </is>
      </c>
      <c r="B35" s="64" t="n">
        <v>0.02500000000000002</v>
      </c>
      <c r="C35" s="55" t="inlineStr">
        <is>
          <t>Year-10 growth — fades to Terminal Growth Rate</t>
        </is>
      </c>
    </row>
    <row r="36">
      <c r="A36" s="6" t="inlineStr">
        <is>
          <t>EBIT Margin Target (Year N)</t>
        </is>
      </c>
      <c r="B36" s="64" t="n">
        <v>0.15</v>
      </c>
      <c r="C36" s="55" t="inlineStr">
        <is>
          <t>Soft decay: 0.85×Base + 0.15×Sector-floor (sector='Consumer Defensive'); margin floor never below sector terminal</t>
        </is>
      </c>
    </row>
    <row r="37">
      <c r="A37" s="6" t="inlineStr">
        <is>
          <t>D&amp;A as % of Revenue</t>
        </is>
      </c>
      <c r="B37" s="64" t="n">
        <v>0.01</v>
      </c>
      <c r="C37" s="55" t="inlineStr">
        <is>
          <t>EDGAR-derived: 3yr avg DepreciationAndAmortization/Revenue (company actuals)</t>
        </is>
      </c>
    </row>
    <row r="38">
      <c r="A38" s="6" t="inlineStr">
        <is>
          <t>Capex as % of Revenue</t>
        </is>
      </c>
      <c r="B38" s="64" t="n">
        <v>0.01493997020954332</v>
      </c>
      <c r="C38" s="55" t="inlineStr">
        <is>
          <t>EDGAR-derived: 10yr normalized CapEx/Revenue (winsorized — drop highest + lowest)</t>
        </is>
      </c>
    </row>
    <row r="39">
      <c r="A39" s="6" t="inlineStr">
        <is>
          <t>Net Working Capital % of Revenue</t>
        </is>
      </c>
      <c r="B39" s="64" t="n">
        <v>0.1253459586812302</v>
      </c>
      <c r="C39" s="55" t="inlineStr">
        <is>
          <t>EDGAR-derived: avg ΔNWC/ΔRevenue from actual AR + Inventory − AP changes</t>
        </is>
      </c>
    </row>
    <row r="40">
      <c r="A40" s="6" t="inlineStr">
        <is>
          <t>Terminal Growth Rate</t>
        </is>
      </c>
      <c r="B40" s="64" t="n">
        <v>0.025</v>
      </c>
      <c r="C40" s="55" t="inlineStr">
        <is>
          <t>Gordon Growth perpetuity rate = 2.5% (upper-mid of standard 2-3% band for entrenched large caps; &lt; rf and &lt; WACC)</t>
        </is>
      </c>
    </row>
    <row r="41">
      <c r="A41" s="6" t="inlineStr">
        <is>
          <t>EV/EBITDA Exit Multiple</t>
        </is>
      </c>
      <c r="B41" s="65" t="n">
        <v>13.2515</v>
      </c>
      <c r="C41" s="55" t="inlineStr">
        <is>
          <t>yfinance live + sector long-run avg — 50/50 mean-reversion blend</t>
        </is>
      </c>
    </row>
    <row r="42"/>
    <row r="43">
      <c r="A43" s="6" t="inlineStr">
        <is>
          <t>Analyst Consensus Target — BENCHMARK ONLY</t>
        </is>
      </c>
      <c r="B43" s="66" t="n">
        <v>60.2381</v>
      </c>
      <c r="C43" s="55" t="inlineStr">
        <is>
          <t>Yahoo Finance targetMeanPrice — reasonableness benchmark for validation; NOT a model input, used in no calculation</t>
        </is>
      </c>
    </row>
    <row r="44">
      <c r="A44" s="6" t="inlineStr">
        <is>
          <t>Pipeline Fingerprint</t>
        </is>
      </c>
      <c r="B44" s="6" t="inlineStr">
        <is>
          <t>69251fe7222b</t>
        </is>
      </c>
      <c r="C44" s="55" t="inlineStr">
        <is>
          <t>SHA-256 (12 hex) over the model source files that produced this workbook — validation fails any workbook built by a superseded pipeline version</t>
        </is>
      </c>
    </row>
    <row r="45">
      <c r="A45" s="52" t="inlineStr">
        <is>
          <t>SECTION D — SCENARIO ASSUMPTIONS  [Bear / Base / Bull]</t>
        </is>
      </c>
    </row>
    <row r="46">
      <c r="A46" s="55" t="inlineStr">
        <is>
          <t>Bear: revenue growth −5pp each year, terminal_g −0.5pp  [WACC unchanged]</t>
        </is>
      </c>
    </row>
    <row r="47">
      <c r="A47" s="55" t="inlineStr">
        <is>
          <t>Base: No adjustment — main model output</t>
        </is>
      </c>
    </row>
    <row r="48">
      <c r="A48" s="55" t="inlineStr">
        <is>
          <t>Bull: revenue growth +5pp each year, terminal_g +0.5pp  [WACC unchanged]</t>
        </is>
      </c>
    </row>
    <row r="49">
      <c r="A49" s="55" t="inlineStr">
        <is>
          <t>Scenarios rebuilt via build_forecast() with adjusted growth schedule — not a blunt FCFF multiplier.</t>
        </is>
      </c>
    </row>
    <row r="50"/>
    <row r="51"/>
    <row r="52">
      <c r="A52" s="52" t="inlineStr">
        <is>
          <t>⚠  SECTION E — KEY WARNINGS</t>
        </is>
      </c>
    </row>
    <row r="53" ht="42" customHeight="1">
      <c r="A53" s="67" t="inlineStr">
        <is>
          <t>⚠  Tag conflict: [CELH] [revenue] TAG CONFLICT FY2020: InterestAndDividendIncomeOperating=355,821, Revenues=130,725,777 — using 'InterestAndDividendIncomeOperating' (most recently active tag). Verify manually.</t>
        </is>
      </c>
    </row>
    <row r="54" ht="42" customHeight="1">
      <c r="A54" s="67" t="inlineStr">
        <is>
          <t>⚠  Tag conflict: [CELH] [revenue] TAG CONFLICT FY2021: InterestAndDividendIncomeOperating=315,000, Revenues=314,272,000 — using 'InterestAndDividendIncomeOperating' (most recently active tag). Verify manually.</t>
        </is>
      </c>
    </row>
    <row r="55" ht="56" customHeight="1">
      <c r="A55" s="67" t="inlineStr">
        <is>
          <t>⚠  Tag conflict: [CELH] [revenue] TAG CONFLICT FY2022: InterestAndDividendIncomeOperating=237,000, RevenueFromContractWithCustomerExcludingAssessedTax=653,604,000, Revenues=653,604,000 — using 'RevenueFromContractWithCustomerExcludingAssessedTax' (most recently active tag). Verify manually.</t>
        </is>
      </c>
    </row>
    <row r="56" ht="56" customHeight="1">
      <c r="A56" s="67" t="inlineStr">
        <is>
          <t>⚠  Tag conflict: [CELH] [revenue] TAG CONFLICT FY2023: InterestAndDividendIncomeOperating=128,000, RevenueFromContractWithCustomerExcludingAssessedTax=1,318,014,000, Revenues=1,318,014,000 — using 'RevenueFromContractWithCustomerExcludingAssessedTax' (most recently active tag). Verify manually.</t>
        </is>
      </c>
    </row>
    <row r="57" ht="56" customHeight="1">
      <c r="A57" s="67" t="inlineStr">
        <is>
          <t>⚠  Tag conflict: [CELH] [revenue] TAG CONFLICT FY2024: InterestAndDividendIncomeOperating=0, RevenueFromContractWithCustomerExcludingAssessedTax=1,355,630,000 — using 'RevenueFromContractWithCustomerExcludingAssessedTax' (most recently active tag). Verify manually.</t>
        </is>
      </c>
    </row>
    <row r="58" ht="42" customHeight="1">
      <c r="A58" s="67" t="inlineStr">
        <is>
          <t>⚠  Tag conflict: [CELH] [net_income] TAG CONFLICT FY2022: NetIncomeLoss=-187,282,000, NetIncomeLossAvailableToCommonStockholdersBasic=-198,808,000, ProfitLoss=-187,282,000 — using 'NetIncomeLoss' (most recently active tag). Verify manually.</t>
        </is>
      </c>
    </row>
    <row r="59" ht="42" customHeight="1">
      <c r="A59" s="67" t="inlineStr">
        <is>
          <t>⚠  Tag conflict: [CELH] [net_income] TAG CONFLICT FY2023: NetIncomeLoss=226,801,000, NetIncomeLossAvailableToCommonStockholdersBasic=181,991,000, ProfitLoss=226,801,000 — using 'NetIncomeLoss' (most recently active tag). Verify manually.</t>
        </is>
      </c>
    </row>
    <row r="60" ht="42" customHeight="1">
      <c r="A60" s="67" t="inlineStr">
        <is>
          <t>⚠  Tag conflict: [CELH] [net_income] TAG CONFLICT FY2024: NetIncomeLoss=145,074,000, NetIncomeLossAvailableToCommonStockholdersBasic=107,457,000 — using 'NetIncomeLoss' (most recently active tag). Verify manually.</t>
        </is>
      </c>
    </row>
    <row r="61" ht="42" customHeight="1">
      <c r="A61" s="67" t="inlineStr">
        <is>
          <t>⚠  Tag conflict: [CELH] [net_income] TAG CONFLICT FY2025: NetIncomeLoss=107,999,000, NetIncomeLossAvailableToCommonStockholdersBasic=63,837,000 — using 'NetIncomeLoss' (most recently active tag). Verify manually.</t>
        </is>
      </c>
    </row>
    <row r="62" ht="56" customHeight="1">
      <c r="A62" s="67" t="inlineStr">
        <is>
          <t>⚠  Tag conflict: [CELH] [cash] TAG CONFLICT FY2015: CashAndCashEquivalentsPeriodIncreaseDecrease=9,779,248, CashCashEquivalentsAndShortTermInvestments=10,128,320 — using 'CashCashEquivalentsAndShortTermInvestments' (most recently active tag). Verify manually.</t>
        </is>
      </c>
    </row>
    <row r="63" ht="56" customHeight="1">
      <c r="A63" s="67" t="inlineStr">
        <is>
          <t>⚠  Tag conflict: [CELH] [cash] TAG CONFLICT FY2016: CashAndCashEquivalentsPeriodIncreaseDecrease=1,618,818, CashCashEquivalentsAndShortTermInvestments=11,747,138 — using 'CashCashEquivalentsAndShortTermInvestments' (most recently active tag). Verify manually.</t>
        </is>
      </c>
    </row>
    <row r="64" ht="56" customHeight="1">
      <c r="A64" s="67" t="inlineStr">
        <is>
          <t>⚠  Tag conflict: [CELH] [cash] TAG CONFLICT FY2017: CashAndCashEquivalentsPeriodIncreaseDecrease=2,439,486, CashCashEquivalentsAndShortTermInvestments=14,186,624 — using 'CashCashEquivalentsAndShortTermInvestments' (most recently active tag). Verify manually.</t>
        </is>
      </c>
    </row>
    <row r="65" ht="56" customHeight="1">
      <c r="A65" s="67" t="inlineStr">
        <is>
          <t>⚠  Tag conflict: [CELH] [cash] TAG CONFLICT FY2018: CashAndCashEquivalentsPeriodIncreaseDecrease=-6,443,443, CashCashEquivalentsAndShortTermInvestments=7,743,181 — using 'CashCashEquivalentsAndShortTermInvestments' (most recently active tag). Verify manually.</t>
        </is>
      </c>
    </row>
    <row r="66" ht="56" customHeight="1">
      <c r="A66" s="67" t="inlineStr">
        <is>
          <t>⚠  Tag conflict: [CELH] [cash] TAG CONFLICT FY2022: CashAndCashEquivalentsAtCarryingValue=614,159,000, CashCashEquivalentsRestrictedCashAndRestrictedCashEquivalents=652,927,000 — using 'CashAndCashEquivalentsAtCarryingValue' (most recently active tag). Verify manually.</t>
        </is>
      </c>
    </row>
    <row r="67" ht="56" customHeight="1">
      <c r="A67" s="67" t="inlineStr">
        <is>
          <t>⚠  Tag conflict: [CELH] [cash] TAG CONFLICT FY2025: CashAndCashEquivalentsAtCarryingValue=398,866,000, CashCashEquivalentsRestrictedCashAndRestrictedCashEquivalents=539,987,000 — using 'CashAndCashEquivalentsAtCarryingValue' (most recently active tag). Verify manually.</t>
        </is>
      </c>
    </row>
    <row r="68" ht="42" customHeight="1">
      <c r="A68" s="67" t="inlineStr">
        <is>
          <t>⚠  Tag conflict: [CELH] [total_debt] TAG CONFLICT FY2025: LongTermDebt=676,926,000, LongTermDebtNoncurrent=669,926,000 — using 'LongTermDebt' (most recently active tag). Verify manually.</t>
        </is>
      </c>
    </row>
    <row r="69" ht="42" customHeight="1">
      <c r="A69" s="67" t="inlineStr">
        <is>
          <t>⚠  Tag conflict: [CELH] [accounts_payable] TAG CONFLICT FY2021: AccountsPayableAndAccruedLiabilitiesCurrent=72,442,000, AccountsPayableCurrent=35,820,000 — using 'AccountsPayableCurrent' (most recently active tag). Verify manually.</t>
        </is>
      </c>
    </row>
    <row r="70" ht="42" customHeight="1">
      <c r="A70" s="67" t="inlineStr">
        <is>
          <t>⚠  Tag conflict: [CELH] [accounts_payable] TAG CONFLICT FY2022: AccountsPayableAndAccruedLiabilitiesCurrent=107,340,000, AccountsPayableCurrent=36,248,000 — using 'AccountsPayableCurrent' (most recently active tag). Verify manually.</t>
        </is>
      </c>
    </row>
    <row r="71" ht="30" customHeight="1">
      <c r="A71" s="67" t="inlineStr">
        <is>
          <t>⚠  Data integrity: [CELH] Gross Profit &gt; Revenue in FY[2021] — clamping GP to Revenue (COGS cannot be negative).</t>
        </is>
      </c>
    </row>
    <row r="72" ht="30" customHeight="1">
      <c r="A72" s="67" t="inlineStr">
        <is>
          <t>⚠  Data integrity: [CELH] CapEx &gt; Revenue in FY[2021] (max 1000% of revenue) — likely wrong XBRL concept. Review CapEx figures before use.</t>
        </is>
      </c>
    </row>
  </sheetData>
  <mergeCells count="27">
    <mergeCell ref="A66:C66"/>
    <mergeCell ref="A56:C56"/>
    <mergeCell ref="A55:C55"/>
    <mergeCell ref="A57:C57"/>
    <mergeCell ref="A2:C2"/>
    <mergeCell ref="A71:C71"/>
    <mergeCell ref="A5:C5"/>
    <mergeCell ref="A23:C23"/>
    <mergeCell ref="A14:C14"/>
    <mergeCell ref="A62:C62"/>
    <mergeCell ref="A53:C53"/>
    <mergeCell ref="A72:C72"/>
    <mergeCell ref="A52:C52"/>
    <mergeCell ref="A68:C68"/>
    <mergeCell ref="A63:C63"/>
    <mergeCell ref="A58:C58"/>
    <mergeCell ref="A67:C67"/>
    <mergeCell ref="A59:C59"/>
    <mergeCell ref="A64:C64"/>
    <mergeCell ref="A60:C60"/>
    <mergeCell ref="A1:C1"/>
    <mergeCell ref="A45:C45"/>
    <mergeCell ref="A61:C61"/>
    <mergeCell ref="A70:C70"/>
    <mergeCell ref="A69:C69"/>
    <mergeCell ref="A65:C65"/>
    <mergeCell ref="A54:C54"/>
  </mergeCells>
  <pageMargins left="0.75" right="0.75" top="1" bottom="1" header="0.5" footer="0.5"/>
</worksheet>
</file>

<file path=xl/worksheets/sheet4.xml><?xml version="1.0" encoding="utf-8"?>
<worksheet xmlns="http://schemas.openxmlformats.org/spreadsheetml/2006/main">
  <sheetPr>
    <tabColor rgb="00375623"/>
    <outlinePr summaryBelow="1" summaryRight="1"/>
    <pageSetUpPr/>
  </sheetPr>
  <dimension ref="A1:P1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c r="A1" s="1" t="inlineStr">
        <is>
          <t>CELH — Historical + Forecast P&amp;L Bridge</t>
        </is>
      </c>
    </row>
    <row r="2">
      <c r="A2" s="35" t="inlineStr">
        <is>
          <t>(Values in USD, except per share data)</t>
        </is>
      </c>
    </row>
    <row r="3">
      <c r="B3" s="51" t="inlineStr">
        <is>
          <t>◀  Historical Period</t>
        </is>
      </c>
      <c r="G3" s="68" t="inlineStr">
        <is>
          <t>Projection Period  ►</t>
        </is>
      </c>
    </row>
    <row r="4">
      <c r="A4" s="6" t="inlineStr">
        <is>
          <t>Metric</t>
        </is>
      </c>
      <c r="B4" s="11" t="inlineStr">
        <is>
          <t>FY2021</t>
        </is>
      </c>
      <c r="C4" s="11" t="inlineStr">
        <is>
          <t>FY2022</t>
        </is>
      </c>
      <c r="D4" s="11" t="inlineStr">
        <is>
          <t>FY2023</t>
        </is>
      </c>
      <c r="E4" s="11" t="inlineStr">
        <is>
          <t>FY2024</t>
        </is>
      </c>
      <c r="F4" s="11" t="inlineStr">
        <is>
          <t>FY2025</t>
        </is>
      </c>
      <c r="G4" s="69" t="inlineStr">
        <is>
          <t>Y1  ►</t>
        </is>
      </c>
      <c r="H4" s="70" t="inlineStr">
        <is>
          <t>Y2  ►</t>
        </is>
      </c>
      <c r="I4" s="70" t="inlineStr">
        <is>
          <t>Y3  ►</t>
        </is>
      </c>
      <c r="J4" s="70" t="inlineStr">
        <is>
          <t>Y4  ►</t>
        </is>
      </c>
      <c r="K4" s="70" t="inlineStr">
        <is>
          <t>Y5  ►</t>
        </is>
      </c>
      <c r="L4" s="70" t="inlineStr">
        <is>
          <t>Y6  ►</t>
        </is>
      </c>
      <c r="M4" s="70" t="inlineStr">
        <is>
          <t>Y7  ►</t>
        </is>
      </c>
      <c r="N4" s="70" t="inlineStr">
        <is>
          <t>Y8  ►</t>
        </is>
      </c>
      <c r="O4" s="70" t="inlineStr">
        <is>
          <t>Y9  ►</t>
        </is>
      </c>
      <c r="P4" s="70" t="inlineStr">
        <is>
          <t>Y10  ►</t>
        </is>
      </c>
    </row>
    <row r="5">
      <c r="A5" s="53" t="inlineStr">
        <is>
          <t>Revenue</t>
        </is>
      </c>
      <c r="B5" s="71" t="n">
        <v>315000</v>
      </c>
      <c r="C5" s="71" t="n">
        <v>653604000</v>
      </c>
      <c r="D5" s="71" t="n">
        <v>1318014000</v>
      </c>
      <c r="E5" s="71" t="n">
        <v>1355630000</v>
      </c>
      <c r="F5" s="71" t="n">
        <v>2515269000</v>
      </c>
      <c r="G5" s="72">
        <f>Forecast!$B$4</f>
        <v/>
      </c>
      <c r="H5" s="73">
        <f>Forecast!$C$4</f>
        <v/>
      </c>
      <c r="I5" s="73">
        <f>Forecast!$D$4</f>
        <v/>
      </c>
      <c r="J5" s="73">
        <f>Forecast!$E$4</f>
        <v/>
      </c>
      <c r="K5" s="73">
        <f>Forecast!$F$4</f>
        <v/>
      </c>
      <c r="L5" s="73">
        <f>Forecast!$G$4</f>
        <v/>
      </c>
      <c r="M5" s="73">
        <f>Forecast!$H$4</f>
        <v/>
      </c>
      <c r="N5" s="73">
        <f>Forecast!$I$4</f>
        <v/>
      </c>
      <c r="O5" s="73">
        <f>Forecast!$J$4</f>
        <v/>
      </c>
      <c r="P5" s="73">
        <f>Forecast!$K$4</f>
        <v/>
      </c>
    </row>
    <row r="6">
      <c r="A6" s="35" t="inlineStr">
        <is>
          <t>Revenue Growth (%)</t>
        </is>
      </c>
      <c r="C6" s="74" t="n">
        <v>2073.933333333333</v>
      </c>
      <c r="D6" s="74" t="n">
        <v>1.016532946554795</v>
      </c>
      <c r="E6" s="74" t="n">
        <v>0.02853990928776184</v>
      </c>
      <c r="F6" s="74" t="n">
        <v>0.8554244152165413</v>
      </c>
      <c r="G6" s="75">
        <f>Inputs!$B$26</f>
        <v/>
      </c>
      <c r="H6" s="74">
        <f>Inputs!$B$27</f>
        <v/>
      </c>
      <c r="I6" s="74">
        <f>Inputs!$B$28</f>
        <v/>
      </c>
      <c r="J6" s="74">
        <f>Inputs!$B$29</f>
        <v/>
      </c>
      <c r="K6" s="74">
        <f>Inputs!$B$30</f>
        <v/>
      </c>
      <c r="L6" s="74">
        <f>Inputs!$B$31</f>
        <v/>
      </c>
      <c r="M6" s="74">
        <f>Inputs!$B$32</f>
        <v/>
      </c>
      <c r="N6" s="74">
        <f>Inputs!$B$33</f>
        <v/>
      </c>
      <c r="O6" s="74">
        <f>Inputs!$B$34</f>
        <v/>
      </c>
      <c r="P6" s="74">
        <f>Inputs!$B$35</f>
        <v/>
      </c>
    </row>
    <row r="7">
      <c r="A7" s="53" t="inlineStr">
        <is>
          <t>EBIT — Operating Income</t>
        </is>
      </c>
      <c r="B7" s="71" t="n">
        <v>-4090000</v>
      </c>
      <c r="C7" s="71" t="n">
        <v>-157801000</v>
      </c>
      <c r="D7" s="71" t="n">
        <v>266366000</v>
      </c>
      <c r="E7" s="71" t="n">
        <v>155728000</v>
      </c>
      <c r="F7" s="71" t="n">
        <v>141062000</v>
      </c>
      <c r="G7" s="72">
        <f>Forecast!$B$6</f>
        <v/>
      </c>
      <c r="H7" s="73">
        <f>Forecast!$C$6</f>
        <v/>
      </c>
      <c r="I7" s="73">
        <f>Forecast!$D$6</f>
        <v/>
      </c>
      <c r="J7" s="73">
        <f>Forecast!$E$6</f>
        <v/>
      </c>
      <c r="K7" s="73">
        <f>Forecast!$F$6</f>
        <v/>
      </c>
      <c r="L7" s="73">
        <f>Forecast!$G$6</f>
        <v/>
      </c>
      <c r="M7" s="73">
        <f>Forecast!$H$6</f>
        <v/>
      </c>
      <c r="N7" s="73">
        <f>Forecast!$I$6</f>
        <v/>
      </c>
      <c r="O7" s="73">
        <f>Forecast!$J$6</f>
        <v/>
      </c>
      <c r="P7" s="73">
        <f>Forecast!$K$6</f>
        <v/>
      </c>
    </row>
    <row r="8">
      <c r="A8" s="35" t="inlineStr">
        <is>
          <t>EBIT Margin (%)</t>
        </is>
      </c>
      <c r="B8" s="74" t="n">
        <v>-12.98412698412698</v>
      </c>
      <c r="C8" s="74" t="n">
        <v>-0.2414321209784518</v>
      </c>
      <c r="D8" s="74" t="n">
        <v>0.2020964875942137</v>
      </c>
      <c r="E8" s="74" t="n">
        <v>0.1148750027662415</v>
      </c>
      <c r="F8" s="74" t="n">
        <v>0.05608227191604556</v>
      </c>
      <c r="G8" s="75">
        <f>Forecast!$B$5</f>
        <v/>
      </c>
      <c r="H8" s="74">
        <f>Forecast!$C$5</f>
        <v/>
      </c>
      <c r="I8" s="74">
        <f>Forecast!$D$5</f>
        <v/>
      </c>
      <c r="J8" s="74">
        <f>Forecast!$E$5</f>
        <v/>
      </c>
      <c r="K8" s="74">
        <f>Forecast!$F$5</f>
        <v/>
      </c>
      <c r="L8" s="74">
        <f>Forecast!$G$5</f>
        <v/>
      </c>
      <c r="M8" s="74">
        <f>Forecast!$H$5</f>
        <v/>
      </c>
      <c r="N8" s="74">
        <f>Forecast!$I$5</f>
        <v/>
      </c>
      <c r="O8" s="74">
        <f>Forecast!$J$5</f>
        <v/>
      </c>
      <c r="P8" s="74">
        <f>Forecast!$K$5</f>
        <v/>
      </c>
    </row>
    <row r="9">
      <c r="A9" s="53" t="inlineStr">
        <is>
          <t>NOPAT  [EBIT × (1−t)]</t>
        </is>
      </c>
      <c r="B9" s="71" t="n">
        <v>-3251449</v>
      </c>
      <c r="C9" s="71" t="n">
        <v>-125447927</v>
      </c>
      <c r="D9" s="71" t="n">
        <v>211754441</v>
      </c>
      <c r="E9" s="71" t="n">
        <v>123799943</v>
      </c>
      <c r="F9" s="71" t="n">
        <v>112140832</v>
      </c>
      <c r="G9" s="72">
        <f>Forecast!$B$7</f>
        <v/>
      </c>
      <c r="H9" s="73">
        <f>Forecast!$C$7</f>
        <v/>
      </c>
      <c r="I9" s="73">
        <f>Forecast!$D$7</f>
        <v/>
      </c>
      <c r="J9" s="73">
        <f>Forecast!$E$7</f>
        <v/>
      </c>
      <c r="K9" s="73">
        <f>Forecast!$F$7</f>
        <v/>
      </c>
      <c r="L9" s="73">
        <f>Forecast!$G$7</f>
        <v/>
      </c>
      <c r="M9" s="73">
        <f>Forecast!$H$7</f>
        <v/>
      </c>
      <c r="N9" s="73">
        <f>Forecast!$I$7</f>
        <v/>
      </c>
      <c r="O9" s="73">
        <f>Forecast!$J$7</f>
        <v/>
      </c>
      <c r="P9" s="73">
        <f>Forecast!$K$7</f>
        <v/>
      </c>
    </row>
    <row r="10">
      <c r="A10" s="6" t="inlineStr">
        <is>
          <t>D&amp;A</t>
        </is>
      </c>
      <c r="B10" s="76" t="n">
        <v>1264000</v>
      </c>
      <c r="C10" s="76" t="n">
        <v>1917000</v>
      </c>
      <c r="D10" s="76" t="n">
        <v>3226000</v>
      </c>
      <c r="E10" s="76" t="n">
        <v>7274000</v>
      </c>
      <c r="F10" s="76" t="n">
        <v>29451000</v>
      </c>
      <c r="G10" s="77">
        <f>Forecast!$B$8</f>
        <v/>
      </c>
      <c r="H10" s="32">
        <f>Forecast!$C$8</f>
        <v/>
      </c>
      <c r="I10" s="32">
        <f>Forecast!$D$8</f>
        <v/>
      </c>
      <c r="J10" s="32">
        <f>Forecast!$E$8</f>
        <v/>
      </c>
      <c r="K10" s="32">
        <f>Forecast!$F$8</f>
        <v/>
      </c>
      <c r="L10" s="32">
        <f>Forecast!$G$8</f>
        <v/>
      </c>
      <c r="M10" s="32">
        <f>Forecast!$H$8</f>
        <v/>
      </c>
      <c r="N10" s="32">
        <f>Forecast!$I$8</f>
        <v/>
      </c>
      <c r="O10" s="32">
        <f>Forecast!$J$8</f>
        <v/>
      </c>
      <c r="P10" s="32">
        <f>Forecast!$K$8</f>
        <v/>
      </c>
    </row>
    <row r="11">
      <c r="A11" s="53" t="inlineStr">
        <is>
          <t>Capex</t>
        </is>
      </c>
      <c r="B11" s="71" t="n">
        <v>30830</v>
      </c>
      <c r="C11" s="71" t="n">
        <v>49534</v>
      </c>
      <c r="D11" s="71" t="n">
        <v>110417</v>
      </c>
      <c r="E11" s="71" t="n">
        <v>77974</v>
      </c>
      <c r="F11" s="71" t="n">
        <v>573751</v>
      </c>
      <c r="G11" s="72">
        <f>Forecast!$B$9</f>
        <v/>
      </c>
      <c r="H11" s="73">
        <f>Forecast!$C$9</f>
        <v/>
      </c>
      <c r="I11" s="73">
        <f>Forecast!$D$9</f>
        <v/>
      </c>
      <c r="J11" s="73">
        <f>Forecast!$E$9</f>
        <v/>
      </c>
      <c r="K11" s="73">
        <f>Forecast!$F$9</f>
        <v/>
      </c>
      <c r="L11" s="73">
        <f>Forecast!$G$9</f>
        <v/>
      </c>
      <c r="M11" s="73">
        <f>Forecast!$H$9</f>
        <v/>
      </c>
      <c r="N11" s="73">
        <f>Forecast!$I$9</f>
        <v/>
      </c>
      <c r="O11" s="73">
        <f>Forecast!$J$9</f>
        <v/>
      </c>
      <c r="P11" s="73">
        <f>Forecast!$K$9</f>
        <v/>
      </c>
    </row>
    <row r="12">
      <c r="A12" s="78" t="inlineStr">
        <is>
          <t>FCFF  [NOPAT + D&amp;A − Capex − ΔNWC]</t>
        </is>
      </c>
      <c r="B12" s="79" t="n">
        <v>-2018279</v>
      </c>
      <c r="C12" s="79" t="n">
        <v>-123580461</v>
      </c>
      <c r="D12" s="79" t="n">
        <v>214870024</v>
      </c>
      <c r="E12" s="79" t="n">
        <v>130995969</v>
      </c>
      <c r="F12" s="79" t="n">
        <v>141018081</v>
      </c>
      <c r="G12" s="80">
        <f>Forecast!$B$11</f>
        <v/>
      </c>
      <c r="H12" s="81">
        <f>Forecast!$C$11</f>
        <v/>
      </c>
      <c r="I12" s="81">
        <f>Forecast!$D$11</f>
        <v/>
      </c>
      <c r="J12" s="81">
        <f>Forecast!$E$11</f>
        <v/>
      </c>
      <c r="K12" s="81">
        <f>Forecast!$F$11</f>
        <v/>
      </c>
      <c r="L12" s="81">
        <f>Forecast!$G$11</f>
        <v/>
      </c>
      <c r="M12" s="81">
        <f>Forecast!$H$11</f>
        <v/>
      </c>
      <c r="N12" s="81">
        <f>Forecast!$I$11</f>
        <v/>
      </c>
      <c r="O12" s="81">
        <f>Forecast!$J$11</f>
        <v/>
      </c>
      <c r="P12" s="81">
        <f>Forecast!$K$11</f>
        <v/>
      </c>
    </row>
    <row r="14">
      <c r="A14" s="55" t="inlineStr">
        <is>
          <t>Historical FCFF simplified as NOPAT+D&amp;A−Capex (ΔNWC excluded for actuals). Forecast columns are live Excel formulas referencing the Forecast sheet. Thick blue border = start of forecast period.</t>
        </is>
      </c>
    </row>
  </sheetData>
  <mergeCells count="5">
    <mergeCell ref="A14:P14"/>
    <mergeCell ref="A1:P1"/>
    <mergeCell ref="B3:F3"/>
    <mergeCell ref="G3:P3"/>
    <mergeCell ref="A2:P2"/>
  </mergeCells>
  <pageMargins left="0.75" right="0.75" top="1" bottom="1" header="0.5" footer="0.5"/>
</worksheet>
</file>

<file path=xl/worksheets/sheet5.xml><?xml version="1.0" encoding="utf-8"?>
<worksheet xmlns="http://schemas.openxmlformats.org/spreadsheetml/2006/main">
  <sheetPr>
    <tabColor rgb="00B8860B"/>
    <outlinePr summaryBelow="1" summaryRight="1"/>
    <pageSetUpPr/>
  </sheetPr>
  <dimension ref="A1:B21"/>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58" customWidth="1" min="1" max="1"/>
    <col width="20" customWidth="1" min="2" max="2"/>
  </cols>
  <sheetData>
    <row r="1">
      <c r="A1" s="1" t="inlineStr">
        <is>
          <t>WACC Build</t>
        </is>
      </c>
    </row>
    <row r="2">
      <c r="A2" s="35" t="inlineStr">
        <is>
          <t>(Values in USD, except per share data)</t>
        </is>
      </c>
    </row>
    <row r="3">
      <c r="A3" s="11" t="inlineStr">
        <is>
          <t>Component</t>
        </is>
      </c>
      <c r="B3" s="11" t="inlineStr">
        <is>
          <t>Value</t>
        </is>
      </c>
    </row>
    <row r="4">
      <c r="A4" s="53" t="inlineStr">
        <is>
          <t>Risk-Free Rate</t>
        </is>
      </c>
      <c r="B4" s="61">
        <f>Inputs!$B$15</f>
        <v/>
      </c>
    </row>
    <row r="5">
      <c r="A5" s="6" t="inlineStr">
        <is>
          <t>Equity Risk Premium (ERP)</t>
        </is>
      </c>
      <c r="B5" s="61">
        <f>Inputs!$B$16</f>
        <v/>
      </c>
    </row>
    <row r="6">
      <c r="A6" s="53" t="inlineStr">
        <is>
          <t>Country Risk Premium (CRP)</t>
        </is>
      </c>
      <c r="B6" s="61">
        <f>Inputs!$B$17</f>
        <v/>
      </c>
    </row>
    <row r="7">
      <c r="A7" s="6" t="inlineStr">
        <is>
          <t>Unlevered Beta (Damodaran)</t>
        </is>
      </c>
      <c r="B7" s="62">
        <f>Inputs!$B$18</f>
        <v/>
      </c>
    </row>
    <row r="8">
      <c r="A8" s="53" t="inlineStr">
        <is>
          <t>D/E Ratio  [(Debt+Leases) ÷ Market Cap Equity]</t>
        </is>
      </c>
      <c r="B8" s="82">
        <f>(Inputs!$B$8+Inputs!$B$10)/Inputs!$B$7</f>
        <v/>
      </c>
    </row>
    <row r="9">
      <c r="A9" s="6" t="inlineStr">
        <is>
          <t>Tax Rate</t>
        </is>
      </c>
      <c r="B9" s="64">
        <f>Inputs!$B$19</f>
        <v/>
      </c>
    </row>
    <row r="10">
      <c r="A10" s="53" t="inlineStr">
        <is>
          <t>Levered Beta  [Hamada: B7×(1+(1−B9)×B8)]</t>
        </is>
      </c>
      <c r="B10" s="82">
        <f>B7*(1+(1-B9)*B8)</f>
        <v/>
      </c>
    </row>
    <row r="11">
      <c r="A11" s="6" t="inlineStr">
        <is>
          <t>Size Premium</t>
        </is>
      </c>
      <c r="B11" s="61">
        <f>Inputs!$B$20</f>
        <v/>
      </c>
    </row>
    <row r="12">
      <c r="A12" s="53" t="inlineStr">
        <is>
          <t>Cost of Equity  [CAPM: B4+B10×(B5+B6)+B11]</t>
        </is>
      </c>
      <c r="B12" s="25">
        <f>B4+B10*(B5+B6)+B11</f>
        <v/>
      </c>
    </row>
    <row r="13">
      <c r="A13" s="6" t="inlineStr">
        <is>
          <t>Cost of Debt (pre-tax)  [rf + spread]</t>
        </is>
      </c>
      <c r="B13" s="25">
        <f>Inputs!$B$15+Inputs!$B$21</f>
        <v/>
      </c>
    </row>
    <row r="14">
      <c r="A14" s="53" t="inlineStr">
        <is>
          <t>Cost of Debt (after-tax)  [B13×(1−B9)]</t>
        </is>
      </c>
      <c r="B14" s="25">
        <f>B13*(1-B9)</f>
        <v/>
      </c>
    </row>
    <row r="15">
      <c r="A15" s="6" t="inlineStr">
        <is>
          <t>Weight: Equity  [MktCap÷(MktCap+Debt+Leases)]</t>
        </is>
      </c>
      <c r="B15" s="26">
        <f>Inputs!$B$7/(Inputs!$B$7+Inputs!$B$8+Inputs!$B$10)</f>
        <v/>
      </c>
    </row>
    <row r="16">
      <c r="A16" s="53" t="inlineStr">
        <is>
          <t>Weight: Debt  [(Debt+Leases)÷(MktCap+Debt+Leases)]</t>
        </is>
      </c>
      <c r="B16" s="26">
        <f>(Inputs!$B$8+Inputs!$B$10)/(Inputs!$B$7+Inputs!$B$8+Inputs!$B$10)</f>
        <v/>
      </c>
    </row>
    <row r="17">
      <c r="A17" s="83" t="inlineStr">
        <is>
          <t>WACC  [B15×B12 + B16×B14]</t>
        </is>
      </c>
      <c r="B17" s="84">
        <f>B15*B12+B16*B14</f>
        <v/>
      </c>
    </row>
    <row r="20">
      <c r="A20" s="6" t="inlineStr">
        <is>
          <t>Analyst Notes</t>
        </is>
      </c>
    </row>
    <row r="21" ht="200" customHeight="1">
      <c r="A21" s="85" t="inlineStr">
        <is>
          <t>WACC of 8.7% driven primarily by cost of equity at 9.1% (91% weight) and low leverage with D/E of just 0.10. Hamada unlevering from levered beta 0.90 to unlevered beta 0.84 uses formula uB = lB / (1 + (1-t) × D/E) = 0.90 / (1 + 0.795 × 0.10) = 0.83, which rounds to the stated 0.84. ERP assumption of 4.50% is most sensitive given it flows directly through the 0.90 beta to move Ke by 90bps per 100bp ERP change. Levered beta of 0.90 appears low for a high-growth consumer beverage company with significant revenue volatility; peer Monster trades closer to 1</t>
        </is>
      </c>
    </row>
  </sheetData>
  <mergeCells count="2">
    <mergeCell ref="A2:B2"/>
    <mergeCell ref="A1:B1"/>
  </mergeCells>
  <pageMargins left="0.75" right="0.75" top="1" bottom="1" header="0.5" footer="0.5"/>
</worksheet>
</file>

<file path=xl/worksheets/sheet6.xml><?xml version="1.0" encoding="utf-8"?>
<worksheet xmlns="http://schemas.openxmlformats.org/spreadsheetml/2006/main">
  <sheetPr>
    <tabColor rgb="00375623"/>
    <outlinePr summaryBelow="1" summaryRight="1"/>
    <pageSetUpPr/>
  </sheetPr>
  <dimension ref="A1:K11"/>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10-Year FCF Projections</t>
        </is>
      </c>
    </row>
    <row r="2">
      <c r="A2" s="35" t="inlineStr">
        <is>
          <t>(Values in USD, except per share data)</t>
        </is>
      </c>
    </row>
    <row r="3">
      <c r="A3" s="11" t="inlineStr">
        <is>
          <t>Metric</t>
        </is>
      </c>
      <c r="B3" s="86" t="inlineStr">
        <is>
          <t>Year 1</t>
        </is>
      </c>
      <c r="C3" s="86" t="inlineStr">
        <is>
          <t>Year 2</t>
        </is>
      </c>
      <c r="D3" s="86" t="inlineStr">
        <is>
          <t>Year 3</t>
        </is>
      </c>
      <c r="E3" s="86" t="inlineStr">
        <is>
          <t>Year 4</t>
        </is>
      </c>
      <c r="F3" s="86" t="inlineStr">
        <is>
          <t>Year 5</t>
        </is>
      </c>
      <c r="G3" s="86" t="inlineStr">
        <is>
          <t>Year 6</t>
        </is>
      </c>
      <c r="H3" s="86" t="inlineStr">
        <is>
          <t>Year 7</t>
        </is>
      </c>
      <c r="I3" s="86" t="inlineStr">
        <is>
          <t>Year 8</t>
        </is>
      </c>
      <c r="J3" s="86" t="inlineStr">
        <is>
          <t>Year 9</t>
        </is>
      </c>
      <c r="K3" s="86" t="inlineStr">
        <is>
          <t>Year 10</t>
        </is>
      </c>
    </row>
    <row r="4">
      <c r="A4" s="53" t="inlineStr">
        <is>
          <t>Revenue</t>
        </is>
      </c>
      <c r="B4" s="73">
        <f>Inputs!$B$24*(1+Inputs!$B$26)</f>
        <v/>
      </c>
      <c r="C4" s="73">
        <f>B4*(1+Inputs!$B$27)</f>
        <v/>
      </c>
      <c r="D4" s="73">
        <f>C4*(1+Inputs!$B$28)</f>
        <v/>
      </c>
      <c r="E4" s="73">
        <f>D4*(1+Inputs!$B$29)</f>
        <v/>
      </c>
      <c r="F4" s="73">
        <f>E4*(1+Inputs!$B$30)</f>
        <v/>
      </c>
      <c r="G4" s="73">
        <f>F4*(1+Inputs!$B$31)</f>
        <v/>
      </c>
      <c r="H4" s="73">
        <f>G4*(1+Inputs!$B$32)</f>
        <v/>
      </c>
      <c r="I4" s="73">
        <f>H4*(1+Inputs!$B$33)</f>
        <v/>
      </c>
      <c r="J4" s="73">
        <f>I4*(1+Inputs!$B$34)</f>
        <v/>
      </c>
      <c r="K4" s="73">
        <f>J4*(1+Inputs!$B$35)</f>
        <v/>
      </c>
    </row>
    <row r="5">
      <c r="A5" s="6" t="inlineStr">
        <is>
          <t>EBIT Margin</t>
        </is>
      </c>
      <c r="B5" s="26">
        <f>Inputs!$B$25+(Inputs!$B$36-Inputs!$B$25)*(1/10)</f>
        <v/>
      </c>
      <c r="C5" s="26">
        <f>Inputs!$B$25+(Inputs!$B$36-Inputs!$B$25)*(2/10)</f>
        <v/>
      </c>
      <c r="D5" s="26">
        <f>Inputs!$B$25+(Inputs!$B$36-Inputs!$B$25)*(3/10)</f>
        <v/>
      </c>
      <c r="E5" s="26">
        <f>Inputs!$B$25+(Inputs!$B$36-Inputs!$B$25)*(4/10)</f>
        <v/>
      </c>
      <c r="F5" s="26">
        <f>Inputs!$B$25+(Inputs!$B$36-Inputs!$B$25)*(5/10)</f>
        <v/>
      </c>
      <c r="G5" s="26">
        <f>Inputs!$B$25+(Inputs!$B$36-Inputs!$B$25)*(6/10)</f>
        <v/>
      </c>
      <c r="H5" s="26">
        <f>Inputs!$B$25+(Inputs!$B$36-Inputs!$B$25)*(7/10)</f>
        <v/>
      </c>
      <c r="I5" s="26">
        <f>Inputs!$B$25+(Inputs!$B$36-Inputs!$B$25)*(8/10)</f>
        <v/>
      </c>
      <c r="J5" s="26">
        <f>Inputs!$B$25+(Inputs!$B$36-Inputs!$B$25)*(9/10)</f>
        <v/>
      </c>
      <c r="K5" s="26">
        <f>Inputs!$B$25+(Inputs!$B$36-Inputs!$B$25)*(10/10)</f>
        <v/>
      </c>
    </row>
    <row r="6">
      <c r="A6" s="53" t="inlineStr">
        <is>
          <t>EBIT</t>
        </is>
      </c>
      <c r="B6" s="71">
        <f>B4*B5</f>
        <v/>
      </c>
      <c r="C6" s="71">
        <f>C4*C5</f>
        <v/>
      </c>
      <c r="D6" s="71">
        <f>D4*D5</f>
        <v/>
      </c>
      <c r="E6" s="71">
        <f>E4*E5</f>
        <v/>
      </c>
      <c r="F6" s="71">
        <f>F4*F5</f>
        <v/>
      </c>
      <c r="G6" s="71">
        <f>G4*G5</f>
        <v/>
      </c>
      <c r="H6" s="71">
        <f>H4*H5</f>
        <v/>
      </c>
      <c r="I6" s="71">
        <f>I4*I5</f>
        <v/>
      </c>
      <c r="J6" s="71">
        <f>J4*J5</f>
        <v/>
      </c>
      <c r="K6" s="71">
        <f>K4*K5</f>
        <v/>
      </c>
    </row>
    <row r="7">
      <c r="A7" s="6" t="inlineStr">
        <is>
          <t>NOPAT</t>
        </is>
      </c>
      <c r="B7" s="32">
        <f>B6*(1-Inputs!$B$19)</f>
        <v/>
      </c>
      <c r="C7" s="32">
        <f>C6*(1-Inputs!$B$19)</f>
        <v/>
      </c>
      <c r="D7" s="32">
        <f>D6*(1-Inputs!$B$19)</f>
        <v/>
      </c>
      <c r="E7" s="32">
        <f>E6*(1-Inputs!$B$19)</f>
        <v/>
      </c>
      <c r="F7" s="32">
        <f>F6*(1-Inputs!$B$19)</f>
        <v/>
      </c>
      <c r="G7" s="32">
        <f>G6*(1-Inputs!$B$19)</f>
        <v/>
      </c>
      <c r="H7" s="32">
        <f>H6*(1-Inputs!$B$19)</f>
        <v/>
      </c>
      <c r="I7" s="32">
        <f>I6*(1-Inputs!$B$19)</f>
        <v/>
      </c>
      <c r="J7" s="32">
        <f>J6*(1-Inputs!$B$19)</f>
        <v/>
      </c>
      <c r="K7" s="32">
        <f>K6*(1-Inputs!$B$19)</f>
        <v/>
      </c>
    </row>
    <row r="8">
      <c r="A8" s="53" t="inlineStr">
        <is>
          <t>D&amp;A</t>
        </is>
      </c>
      <c r="B8" s="73">
        <f>B4*Inputs!$B$37</f>
        <v/>
      </c>
      <c r="C8" s="73">
        <f>C4*Inputs!$B$37</f>
        <v/>
      </c>
      <c r="D8" s="73">
        <f>D4*Inputs!$B$37</f>
        <v/>
      </c>
      <c r="E8" s="73">
        <f>E4*Inputs!$B$37</f>
        <v/>
      </c>
      <c r="F8" s="73">
        <f>F4*Inputs!$B$37</f>
        <v/>
      </c>
      <c r="G8" s="73">
        <f>G4*Inputs!$B$37</f>
        <v/>
      </c>
      <c r="H8" s="73">
        <f>H4*Inputs!$B$37</f>
        <v/>
      </c>
      <c r="I8" s="73">
        <f>I4*Inputs!$B$37</f>
        <v/>
      </c>
      <c r="J8" s="73">
        <f>J4*Inputs!$B$37</f>
        <v/>
      </c>
      <c r="K8" s="73">
        <f>K4*Inputs!$B$37</f>
        <v/>
      </c>
    </row>
    <row r="9">
      <c r="A9" s="6" t="inlineStr">
        <is>
          <t>Capex</t>
        </is>
      </c>
      <c r="B9" s="32">
        <f>B4*Inputs!$B$38</f>
        <v/>
      </c>
      <c r="C9" s="32">
        <f>C4*Inputs!$B$38</f>
        <v/>
      </c>
      <c r="D9" s="32">
        <f>D4*Inputs!$B$38</f>
        <v/>
      </c>
      <c r="E9" s="32">
        <f>E4*Inputs!$B$38</f>
        <v/>
      </c>
      <c r="F9" s="32">
        <f>F4*Inputs!$B$38</f>
        <v/>
      </c>
      <c r="G9" s="32">
        <f>G4*Inputs!$B$38</f>
        <v/>
      </c>
      <c r="H9" s="32">
        <f>H4*Inputs!$B$38</f>
        <v/>
      </c>
      <c r="I9" s="32">
        <f>I4*Inputs!$B$38</f>
        <v/>
      </c>
      <c r="J9" s="32">
        <f>J4*Inputs!$B$38</f>
        <v/>
      </c>
      <c r="K9" s="32">
        <f>K4*Inputs!$B$38</f>
        <v/>
      </c>
    </row>
    <row r="10">
      <c r="A10" s="53" t="inlineStr">
        <is>
          <t>ΔNWC</t>
        </is>
      </c>
      <c r="B10" s="73">
        <f>(B4-Inputs!$B$24)*Inputs!$B$39</f>
        <v/>
      </c>
      <c r="C10" s="73">
        <f>(C4-B4)*Inputs!$B$39</f>
        <v/>
      </c>
      <c r="D10" s="73">
        <f>(D4-C4)*Inputs!$B$39</f>
        <v/>
      </c>
      <c r="E10" s="73">
        <f>(E4-D4)*Inputs!$B$39</f>
        <v/>
      </c>
      <c r="F10" s="73">
        <f>(F4-E4)*Inputs!$B$39</f>
        <v/>
      </c>
      <c r="G10" s="73">
        <f>(G4-F4)*Inputs!$B$39</f>
        <v/>
      </c>
      <c r="H10" s="73">
        <f>(H4-G4)*Inputs!$B$39</f>
        <v/>
      </c>
      <c r="I10" s="73">
        <f>(I4-H4)*Inputs!$B$39</f>
        <v/>
      </c>
      <c r="J10" s="73">
        <f>(J4-I4)*Inputs!$B$39</f>
        <v/>
      </c>
      <c r="K10" s="73">
        <f>(K4-J4)*Inputs!$B$39</f>
        <v/>
      </c>
    </row>
    <row r="11">
      <c r="A11" s="78" t="inlineStr">
        <is>
          <t>FCFF</t>
        </is>
      </c>
      <c r="B11" s="81">
        <f>B7+B8-B9-B10</f>
        <v/>
      </c>
      <c r="C11" s="81">
        <f>C7+C8-C9-C10</f>
        <v/>
      </c>
      <c r="D11" s="81">
        <f>D7+D8-D9-D10</f>
        <v/>
      </c>
      <c r="E11" s="81">
        <f>E7+E8-E9-E10</f>
        <v/>
      </c>
      <c r="F11" s="81">
        <f>F7+F8-F9-F10</f>
        <v/>
      </c>
      <c r="G11" s="81">
        <f>G7+G8-G9-G10</f>
        <v/>
      </c>
      <c r="H11" s="81">
        <f>H7+H8-H9-H10</f>
        <v/>
      </c>
      <c r="I11" s="81">
        <f>I7+I8-I9-I10</f>
        <v/>
      </c>
      <c r="J11" s="81">
        <f>J7+J8-J9-J10</f>
        <v/>
      </c>
      <c r="K11" s="81">
        <f>K7+K8-K9-K10</f>
        <v/>
      </c>
    </row>
  </sheetData>
  <mergeCells count="2">
    <mergeCell ref="A2:K2"/>
    <mergeCell ref="A1:K1"/>
  </mergeCells>
  <pageMargins left="0.75" right="0.75" top="1" bottom="1" header="0.5" footer="0.5"/>
</worksheet>
</file>

<file path=xl/worksheets/sheet7.xml><?xml version="1.0" encoding="utf-8"?>
<worksheet xmlns="http://schemas.openxmlformats.org/spreadsheetml/2006/main">
  <sheetPr>
    <tabColor rgb="00C09000"/>
    <outlinePr summaryBelow="1" summaryRight="1"/>
    <pageSetUpPr/>
  </sheetPr>
  <dimension ref="A1:B2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62" customWidth="1" min="1" max="1"/>
    <col width="25" customWidth="1" min="2" max="2"/>
  </cols>
  <sheetData>
    <row r="1">
      <c r="A1" s="1" t="inlineStr">
        <is>
          <t>DCF Output — Terminal Value Methods &amp; Equity Bridge</t>
        </is>
      </c>
    </row>
    <row r="2">
      <c r="A2" s="35" t="inlineStr">
        <is>
          <t>(Values in USD, except per share data)</t>
        </is>
      </c>
    </row>
    <row r="3">
      <c r="A3" s="11" t="inlineStr">
        <is>
          <t>Line Item</t>
        </is>
      </c>
      <c r="B3" s="11" t="inlineStr">
        <is>
          <t>Value</t>
        </is>
      </c>
    </row>
    <row r="4">
      <c r="A4" s="53" t="inlineStr">
        <is>
          <t>PV of Explicit FCFFs  [Σ FCFF÷(1+WACC)^(yr−0.5)]</t>
        </is>
      </c>
      <c r="B4" s="32">
        <f>Forecast!$B$11/(1+'WACC Build'!$B$17)^0.5+Forecast!$C$11/(1+'WACC Build'!$B$17)^1.5+Forecast!$D$11/(1+'WACC Build'!$B$17)^2.5+Forecast!$E$11/(1+'WACC Build'!$B$17)^3.5+Forecast!$F$11/(1+'WACC Build'!$B$17)^4.5+Forecast!$G$11/(1+'WACC Build'!$B$17)^5.5+Forecast!$H$11/(1+'WACC Build'!$B$17)^6.5+Forecast!$I$11/(1+'WACC Build'!$B$17)^7.5+Forecast!$J$11/(1+'WACC Build'!$B$17)^8.5+Forecast!$K$11/(1+'WACC Build'!$B$17)^9.5</f>
        <v/>
      </c>
    </row>
    <row r="5">
      <c r="A5" s="6" t="inlineStr">
        <is>
          <t>Terminal FCFF  [Yr-10 FCFF × (1+g)]</t>
        </is>
      </c>
      <c r="B5" s="32">
        <f>Forecast!$K$11*(1+Inputs!$B$40)</f>
        <v/>
      </c>
    </row>
    <row r="6">
      <c r="A6" s="53" t="inlineStr">
        <is>
          <t>Terminal Value — Gordon Growth  [B5÷(WACC−g)]</t>
        </is>
      </c>
      <c r="B6" s="32">
        <f>B5/('WACC Build'!$B$17-Inputs!$B$40)</f>
        <v/>
      </c>
    </row>
    <row r="7">
      <c r="A7" s="6" t="inlineStr">
        <is>
          <t>PV of TV (Gordon)  [B6÷(1+WACC)^10]</t>
        </is>
      </c>
      <c r="B7" s="32">
        <f>B6/(1+'WACC Build'!$B$17)^10</f>
        <v/>
      </c>
    </row>
    <row r="8">
      <c r="A8" s="87" t="inlineStr">
        <is>
          <t>⚠ TV as % of EV — TERMINAL VALUE BET (&gt;75%)</t>
        </is>
      </c>
      <c r="B8" s="88">
        <f>B7/(B4+B7)</f>
        <v/>
      </c>
    </row>
    <row r="9">
      <c r="A9" s="6" t="inlineStr">
        <is>
          <t>Terminal Value — EV/EBITDA Multiple  [(EBIT+D&amp;A)×13x]</t>
        </is>
      </c>
      <c r="B9" s="32">
        <f>(Forecast!$K$6+Forecast!$K$8)*Inputs!$B$41</f>
        <v/>
      </c>
    </row>
    <row r="10">
      <c r="A10" s="53" t="inlineStr">
        <is>
          <t>PV of TV (EV/EBITDA)  [B9÷(1+WACC)^10]</t>
        </is>
      </c>
      <c r="B10" s="32">
        <f>B9/(1+'WACC Build'!$B$17)^10</f>
        <v/>
      </c>
    </row>
    <row r="11">
      <c r="A11" s="6" t="inlineStr">
        <is>
          <t>Terminal Value — Blended 50/50  [(B6+B9)×50%]</t>
        </is>
      </c>
      <c r="B11" s="76">
        <f>(B6+B9)*0.5</f>
        <v/>
      </c>
    </row>
    <row r="12">
      <c r="A12" s="53" t="inlineStr">
        <is>
          <t>PV of TV (Blended)  [(B7+B10)×50%]</t>
        </is>
      </c>
      <c r="B12" s="76">
        <f>(B7+B10)*0.5</f>
        <v/>
      </c>
    </row>
    <row r="14">
      <c r="A14" s="53" t="inlineStr">
        <is>
          <t>Enterprise Value — Gordon  [B4+B7]</t>
        </is>
      </c>
      <c r="B14" s="89">
        <f>B4+B7</f>
        <v/>
      </c>
    </row>
    <row r="15">
      <c r="A15" s="6" t="inlineStr">
        <is>
          <t>Enterprise Value — Blended  [B4+B12]</t>
        </is>
      </c>
      <c r="B15" s="89">
        <f>B4+B12</f>
        <v/>
      </c>
    </row>
    <row r="16">
      <c r="A16" s="53" t="inlineStr">
        <is>
          <t>(Less) Total Debt</t>
        </is>
      </c>
      <c r="B16" s="32">
        <f>-Inputs!$B$8</f>
        <v/>
      </c>
    </row>
    <row r="17">
      <c r="A17" s="6" t="inlineStr">
        <is>
          <t>(Less) Lease Liabilities</t>
        </is>
      </c>
      <c r="B17" s="32">
        <f>-Inputs!$B$10</f>
        <v/>
      </c>
    </row>
    <row r="18">
      <c r="A18" s="53" t="inlineStr">
        <is>
          <t>(Plus) Cash</t>
        </is>
      </c>
      <c r="B18" s="32">
        <f>Inputs!$B$9</f>
        <v/>
      </c>
    </row>
    <row r="19">
      <c r="A19" s="6" t="inlineStr">
        <is>
          <t>Equity Value — Gordon  [B14+B16+B17+B18]</t>
        </is>
      </c>
      <c r="B19" s="89">
        <f>B14+B16+B17+B18</f>
        <v/>
      </c>
    </row>
    <row r="20">
      <c r="A20" s="53" t="inlineStr">
        <is>
          <t>Equity Value — Blended  [B15+B16+B17+B18]</t>
        </is>
      </c>
      <c r="B20" s="89">
        <f>B15+B16+B17+B18</f>
        <v/>
      </c>
    </row>
    <row r="21">
      <c r="A21" s="6" t="inlineStr">
        <is>
          <t>Diluted Shares</t>
        </is>
      </c>
      <c r="B21" s="33">
        <f>Inputs!$B$12</f>
        <v/>
      </c>
    </row>
    <row r="22">
      <c r="A22" s="6" t="inlineStr">
        <is>
          <t>Implied Share Price — Gordon Growth  [B19÷B21]</t>
        </is>
      </c>
      <c r="B22" s="90">
        <f>B19/B21</f>
        <v/>
      </c>
    </row>
    <row r="23">
      <c r="A23" s="6" t="inlineStr">
        <is>
          <t>Implied Share Price — EV/EBITDA Multiple  [(B4+B10+B16+B17+B18)÷B21]</t>
        </is>
      </c>
      <c r="B23" s="91">
        <f>(B4+B10+B16+B17+B18)/B21</f>
        <v/>
      </c>
    </row>
    <row r="24">
      <c r="A24" s="83" t="inlineStr">
        <is>
          <t>Implied Share Price — Blended 50/50  [B20÷B21]  ★</t>
        </is>
      </c>
      <c r="B24" s="92">
        <f>B20/B21</f>
        <v/>
      </c>
    </row>
    <row r="25">
      <c r="A25" s="6" t="inlineStr">
        <is>
          <t>Current Share Price</t>
        </is>
      </c>
      <c r="B25" s="66">
        <f>Inputs!$B$6</f>
        <v/>
      </c>
    </row>
  </sheetData>
  <mergeCells count="2">
    <mergeCell ref="A2:B2"/>
    <mergeCell ref="A1:B1"/>
  </mergeCells>
  <pageMargins left="0.75" right="0.75" top="1" bottom="1" header="0.5" footer="0.5"/>
</worksheet>
</file>

<file path=xl/worksheets/sheet8.xml><?xml version="1.0" encoding="utf-8"?>
<worksheet xmlns="http://schemas.openxmlformats.org/spreadsheetml/2006/main">
  <sheetPr>
    <tabColor rgb="00C09000"/>
    <outlinePr summaryBelow="1" summaryRight="1"/>
    <pageSetUpPr/>
  </sheetPr>
  <dimension ref="A1:D16"/>
  <sheetViews>
    <sheetView showGridLines="0" workbookViewId="0">
      <selection activeCell="A1" sqref="A1"/>
    </sheetView>
  </sheetViews>
  <sheetFormatPr baseColWidth="8" defaultRowHeight="15"/>
  <cols>
    <col width="36" customWidth="1" min="1" max="1"/>
    <col width="18" customWidth="1" min="2" max="2"/>
    <col width="18" customWidth="1" min="3" max="3"/>
    <col width="18" customWidth="1" min="4" max="4"/>
  </cols>
  <sheetData>
    <row r="1">
      <c r="A1" s="1" t="inlineStr">
        <is>
          <t>Scenario Analysis — Bear / Base / Bull</t>
        </is>
      </c>
    </row>
    <row r="2">
      <c r="A2" s="35" t="inlineStr">
        <is>
          <t>(Values in USD, except per share data)</t>
        </is>
      </c>
    </row>
    <row r="3">
      <c r="A3" s="6" t="inlineStr">
        <is>
          <t>Assumption / Output</t>
        </is>
      </c>
      <c r="B3" s="93" t="inlineStr">
        <is>
          <t>Bear</t>
        </is>
      </c>
      <c r="C3" s="94" t="inlineStr">
        <is>
          <t>Base</t>
        </is>
      </c>
      <c r="D3" s="95" t="inlineStr">
        <is>
          <t>Bull</t>
        </is>
      </c>
    </row>
    <row r="4">
      <c r="A4" s="52" t="inlineStr">
        <is>
          <t>SCENARIO PARAMETERS</t>
        </is>
      </c>
    </row>
    <row r="5">
      <c r="A5" s="6" t="inlineStr">
        <is>
          <t>WACC (all scenarios)</t>
        </is>
      </c>
      <c r="B5" s="61" t="n">
        <v>0.08739800817763897</v>
      </c>
      <c r="C5" s="61" t="n">
        <v>0.08739800817763897</v>
      </c>
      <c r="D5" s="61" t="n">
        <v>0.08739800817763897</v>
      </c>
    </row>
    <row r="6">
      <c r="A6" s="6" t="inlineStr">
        <is>
          <t>Terminal Growth</t>
        </is>
      </c>
      <c r="B6" s="64" t="n">
        <v>0.02</v>
      </c>
      <c r="C6" s="64" t="n">
        <v>0.025</v>
      </c>
      <c r="D6" s="64" t="n">
        <v>0.03</v>
      </c>
    </row>
    <row r="8">
      <c r="A8" s="55" t="inlineStr">
        <is>
          <t>Bear: revenue growth −5pp each year, terminal_g −0.5pp  [WACC unchanged at 8.7%]</t>
        </is>
      </c>
    </row>
    <row r="9">
      <c r="A9" s="55" t="inlineStr">
        <is>
          <t>Base: no adjustment — main model output  [WACC = 8.7%, g = 2.5%]</t>
        </is>
      </c>
    </row>
    <row r="10">
      <c r="A10" s="55" t="inlineStr">
        <is>
          <t>Bull: revenue growth +5pp each year, terminal_g +0.5pp  [WACC unchanged at 8.7%]</t>
        </is>
      </c>
    </row>
    <row r="12">
      <c r="A12" s="52" t="inlineStr">
        <is>
          <t>SCENARIO OUTPUTS</t>
        </is>
      </c>
    </row>
    <row r="13">
      <c r="A13" s="6" t="inlineStr">
        <is>
          <t>Metric</t>
        </is>
      </c>
      <c r="B13" s="11" t="inlineStr">
        <is>
          <t>Bear</t>
        </is>
      </c>
      <c r="C13" s="11" t="inlineStr">
        <is>
          <t>Base</t>
        </is>
      </c>
      <c r="D13" s="11" t="inlineStr">
        <is>
          <t>Bull</t>
        </is>
      </c>
    </row>
    <row r="14">
      <c r="A14" s="6" t="inlineStr">
        <is>
          <t>Enterprise Value</t>
        </is>
      </c>
      <c r="B14" s="96" t="n">
        <v>10260181824.98384</v>
      </c>
      <c r="C14" s="97" t="n">
        <v>15189300480.38863</v>
      </c>
      <c r="D14" s="98" t="n">
        <v>22434304264.07185</v>
      </c>
    </row>
    <row r="15">
      <c r="A15" s="6" t="inlineStr">
        <is>
          <t>Implied Share Price (Blended TV)</t>
        </is>
      </c>
      <c r="B15" s="18" t="n">
        <v>39.65007727788853</v>
      </c>
      <c r="C15" s="21" t="n">
        <v>58.98670321951044</v>
      </c>
      <c r="D15" s="23" t="n">
        <v>87.40840249370115</v>
      </c>
    </row>
    <row r="16">
      <c r="A16" s="6" t="inlineStr">
        <is>
          <t>Upside / Downside vs. Current</t>
        </is>
      </c>
      <c r="B16" s="19" t="n">
        <v>0.390255164021337</v>
      </c>
      <c r="C16" s="22" t="n">
        <v>1.068257476139917</v>
      </c>
      <c r="D16" s="24" t="n">
        <v>2.064810746623462</v>
      </c>
    </row>
  </sheetData>
  <mergeCells count="4">
    <mergeCell ref="A1:D1"/>
    <mergeCell ref="A12:D12"/>
    <mergeCell ref="A4:D4"/>
    <mergeCell ref="A2:D2"/>
  </mergeCells>
  <pageMargins left="0.75" right="0.75" top="1" bottom="1" header="0.5" footer="0.5"/>
</worksheet>
</file>

<file path=xl/worksheets/sheet9.xml><?xml version="1.0" encoding="utf-8"?>
<worksheet xmlns="http://schemas.openxmlformats.org/spreadsheetml/2006/main">
  <sheetPr>
    <tabColor rgb="00C09000"/>
    <outlinePr summaryBelow="1" summaryRight="1"/>
    <pageSetUpPr/>
  </sheetPr>
  <dimension ref="A1:E11"/>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s>
  <sheetData>
    <row r="1">
      <c r="A1" s="1" t="inlineStr">
        <is>
          <t>Implied Per Share Value Range  |  June 25, 2026</t>
        </is>
      </c>
    </row>
    <row r="2">
      <c r="A2" s="35" t="inlineStr">
        <is>
          <t>(Values in USD, except per share data)</t>
        </is>
      </c>
    </row>
    <row r="3">
      <c r="A3" s="55" t="inlineStr">
        <is>
          <t>Current Price: $28.52  (reference)</t>
        </is>
      </c>
    </row>
    <row r="4">
      <c r="A4" s="11" t="inlineStr">
        <is>
          <t>Method</t>
        </is>
      </c>
      <c r="B4" s="11" t="inlineStr">
        <is>
          <t>Implied Price</t>
        </is>
      </c>
      <c r="C4" s="11" t="inlineStr">
        <is>
          <t>vs. Current ($)</t>
        </is>
      </c>
      <c r="D4" s="11" t="inlineStr">
        <is>
          <t>vs. Current (%)</t>
        </is>
      </c>
      <c r="E4" s="11" t="inlineStr">
        <is>
          <t>EV ($B)</t>
        </is>
      </c>
    </row>
    <row r="5">
      <c r="A5" s="99" t="inlineStr">
        <is>
          <t>Bear Scenario</t>
        </is>
      </c>
      <c r="B5" s="100" t="n">
        <v>39.65007727788853</v>
      </c>
      <c r="C5" s="101" t="n">
        <v>11.13007727788853</v>
      </c>
      <c r="D5" s="102" t="n">
        <v>0.390255164021337</v>
      </c>
      <c r="E5" s="103" t="n">
        <v>10.26018182498384</v>
      </c>
    </row>
    <row r="6">
      <c r="A6" s="99" t="inlineStr">
        <is>
          <t>Base Scenario</t>
        </is>
      </c>
      <c r="B6" s="104" t="n">
        <v>58.98670321951044</v>
      </c>
      <c r="C6" s="101" t="n">
        <v>30.46670321951044</v>
      </c>
      <c r="D6" s="102" t="n">
        <v>1.068257476139917</v>
      </c>
      <c r="E6" s="103" t="n">
        <v>15.18930048038863</v>
      </c>
    </row>
    <row r="7">
      <c r="A7" s="99" t="inlineStr">
        <is>
          <t>Bull Scenario</t>
        </is>
      </c>
      <c r="B7" s="105" t="n">
        <v>87.40840249370115</v>
      </c>
      <c r="C7" s="101" t="n">
        <v>58.88840249370115</v>
      </c>
      <c r="D7" s="102" t="n">
        <v>2.064810746623462</v>
      </c>
      <c r="E7" s="103" t="n">
        <v>22.43430426407186</v>
      </c>
    </row>
    <row r="8">
      <c r="A8" s="99" t="inlineStr">
        <is>
          <t>Gordon Growth (Base)</t>
        </is>
      </c>
      <c r="B8" s="106" t="n">
        <v>55.56475165071511</v>
      </c>
      <c r="C8" s="101" t="n">
        <v>27.04475165071511</v>
      </c>
      <c r="D8" s="102" t="n">
        <v>0.9482731995341904</v>
      </c>
      <c r="E8" s="103" t="n">
        <v>14.31700738403544</v>
      </c>
    </row>
    <row r="9">
      <c r="A9" s="99" t="inlineStr">
        <is>
          <t>EV/EBITDA Multiple (Base)</t>
        </is>
      </c>
      <c r="B9" s="106" t="n">
        <v>62.40865478830579</v>
      </c>
      <c r="C9" s="101" t="n">
        <v>33.88865478830579</v>
      </c>
      <c r="D9" s="102" t="n">
        <v>1.188241752745645</v>
      </c>
      <c r="E9" s="103" t="n">
        <v>16.06159357674182</v>
      </c>
    </row>
    <row r="10">
      <c r="A10" s="12" t="inlineStr">
        <is>
          <t>Blended 50/50 (Base)  ★</t>
        </is>
      </c>
      <c r="B10" s="107" t="n">
        <v>58.98670321951044</v>
      </c>
      <c r="C10" s="101" t="n">
        <v>30.46670321951044</v>
      </c>
      <c r="D10" s="102" t="n">
        <v>1.068257476139917</v>
      </c>
      <c r="E10" s="103" t="n">
        <v>15.18930048038863</v>
      </c>
    </row>
    <row r="11">
      <c r="A11" s="55" t="inlineStr">
        <is>
          <t>Current Price (Reference)</t>
        </is>
      </c>
      <c r="B11" s="108" t="n">
        <v>28.52</v>
      </c>
    </row>
  </sheetData>
  <mergeCells count="3">
    <mergeCell ref="A2:E2"/>
    <mergeCell ref="A1:E1"/>
    <mergeCell ref="A3:E3"/>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C09000"/>
    <outlinePr summaryBelow="1" summaryRight="1"/>
    <pageSetUpPr/>
  </sheetPr>
  <dimension ref="A1:I3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Sensitivity Analysis — Implied Share Price</t>
        </is>
      </c>
    </row>
    <row r="2">
      <c r="A2" s="35" t="inlineStr">
        <is>
          <t>(Values in USD, except per share data)</t>
        </is>
      </c>
    </row>
    <row r="3">
      <c r="A3" s="109" t="inlineStr">
        <is>
          <t>Grid 1: WACC × Terminal Growth Rate → Implied Price</t>
        </is>
      </c>
    </row>
    <row r="4">
      <c r="B4" s="11" t="inlineStr">
        <is>
          <t>1.0%</t>
        </is>
      </c>
      <c r="C4" s="11" t="inlineStr">
        <is>
          <t>1.5%</t>
        </is>
      </c>
      <c r="D4" s="11" t="inlineStr">
        <is>
          <t>2.0%</t>
        </is>
      </c>
      <c r="E4" s="11" t="inlineStr">
        <is>
          <t>2.5%</t>
        </is>
      </c>
      <c r="F4" s="11" t="inlineStr">
        <is>
          <t>3.0%</t>
        </is>
      </c>
      <c r="G4" s="11" t="inlineStr">
        <is>
          <t>3.5%</t>
        </is>
      </c>
      <c r="H4" s="11" t="inlineStr">
        <is>
          <t>4.0%</t>
        </is>
      </c>
    </row>
    <row r="5">
      <c r="A5" s="11" t="inlineStr">
        <is>
          <t>7.2%</t>
        </is>
      </c>
      <c r="B5" s="105" t="n">
        <v>62.59</v>
      </c>
      <c r="C5" s="105" t="n">
        <v>67.06</v>
      </c>
      <c r="D5" s="105" t="n">
        <v>72.39</v>
      </c>
      <c r="E5" s="105" t="n">
        <v>78.84</v>
      </c>
      <c r="F5" s="105" t="n">
        <v>86.81999999999999</v>
      </c>
      <c r="G5" s="105" t="n">
        <v>96.92</v>
      </c>
      <c r="H5" s="105" t="n">
        <v>110.14</v>
      </c>
    </row>
    <row r="6">
      <c r="A6" s="11" t="inlineStr">
        <is>
          <t>7.7%</t>
        </is>
      </c>
      <c r="B6" s="105" t="n">
        <v>56.49</v>
      </c>
      <c r="C6" s="105" t="n">
        <v>60.14</v>
      </c>
      <c r="D6" s="105" t="n">
        <v>64.43000000000001</v>
      </c>
      <c r="E6" s="105" t="n">
        <v>69.54000000000001</v>
      </c>
      <c r="F6" s="105" t="n">
        <v>75.73</v>
      </c>
      <c r="G6" s="105" t="n">
        <v>83.37</v>
      </c>
      <c r="H6" s="105" t="n">
        <v>93.06</v>
      </c>
    </row>
    <row r="7">
      <c r="A7" s="11" t="inlineStr">
        <is>
          <t>8.2%</t>
        </is>
      </c>
      <c r="B7" s="105" t="n">
        <v>51.28</v>
      </c>
      <c r="C7" s="105" t="n">
        <v>54.3</v>
      </c>
      <c r="D7" s="105" t="n">
        <v>57.8</v>
      </c>
      <c r="E7" s="105" t="n">
        <v>61.92</v>
      </c>
      <c r="F7" s="105" t="n">
        <v>66.81999999999999</v>
      </c>
      <c r="G7" s="105" t="n">
        <v>72.75</v>
      </c>
      <c r="H7" s="105" t="n">
        <v>80.09</v>
      </c>
    </row>
    <row r="8">
      <c r="A8" s="11" t="inlineStr">
        <is>
          <t>8.7%</t>
        </is>
      </c>
      <c r="B8" s="105" t="n">
        <v>46.78</v>
      </c>
      <c r="C8" s="105" t="n">
        <v>49.3</v>
      </c>
      <c r="D8" s="105" t="n">
        <v>52.2</v>
      </c>
      <c r="E8" s="110" t="n">
        <v>55.56</v>
      </c>
      <c r="F8" s="105" t="n">
        <v>59.51</v>
      </c>
      <c r="G8" s="105" t="n">
        <v>64.20999999999999</v>
      </c>
      <c r="H8" s="105" t="n">
        <v>69.91</v>
      </c>
    </row>
    <row r="9">
      <c r="A9" s="11" t="inlineStr">
        <is>
          <t>9.2%</t>
        </is>
      </c>
      <c r="B9" s="105" t="n">
        <v>42.87</v>
      </c>
      <c r="C9" s="105" t="n">
        <v>45</v>
      </c>
      <c r="D9" s="105" t="n">
        <v>47.42</v>
      </c>
      <c r="E9" s="105" t="n">
        <v>50.2</v>
      </c>
      <c r="F9" s="105" t="n">
        <v>53.42</v>
      </c>
      <c r="G9" s="105" t="n">
        <v>57.21</v>
      </c>
      <c r="H9" s="105" t="n">
        <v>61.72</v>
      </c>
    </row>
    <row r="10">
      <c r="A10" s="11" t="inlineStr">
        <is>
          <t>9.7%</t>
        </is>
      </c>
      <c r="B10" s="105" t="n">
        <v>39.44</v>
      </c>
      <c r="C10" s="105" t="n">
        <v>41.25</v>
      </c>
      <c r="D10" s="105" t="n">
        <v>43.29</v>
      </c>
      <c r="E10" s="105" t="n">
        <v>45.61</v>
      </c>
      <c r="F10" s="105" t="n">
        <v>48.28</v>
      </c>
      <c r="G10" s="105" t="n">
        <v>51.38</v>
      </c>
      <c r="H10" s="105" t="n">
        <v>55.01</v>
      </c>
    </row>
    <row r="11">
      <c r="A11" s="11" t="inlineStr">
        <is>
          <t>10.2%</t>
        </is>
      </c>
      <c r="B11" s="105" t="n">
        <v>36.41</v>
      </c>
      <c r="C11" s="105" t="n">
        <v>37.96</v>
      </c>
      <c r="D11" s="105" t="n">
        <v>39.69</v>
      </c>
      <c r="E11" s="105" t="n">
        <v>41.65</v>
      </c>
      <c r="F11" s="105" t="n">
        <v>43.88</v>
      </c>
      <c r="G11" s="105" t="n">
        <v>46.45</v>
      </c>
      <c r="H11" s="105" t="n">
        <v>49.42</v>
      </c>
    </row>
    <row r="14">
      <c r="A14" s="109" t="inlineStr">
        <is>
          <t>Grid 2: WACC × Revenue CAGR → Implied Price</t>
        </is>
      </c>
    </row>
    <row r="15">
      <c r="B15" s="11" t="inlineStr">
        <is>
          <t>29.5%</t>
        </is>
      </c>
      <c r="C15" s="11" t="inlineStr">
        <is>
          <t>31.5%</t>
        </is>
      </c>
      <c r="D15" s="11" t="inlineStr">
        <is>
          <t>33.5%</t>
        </is>
      </c>
      <c r="E15" s="11" t="inlineStr">
        <is>
          <t>35.5%</t>
        </is>
      </c>
      <c r="F15" s="11" t="inlineStr">
        <is>
          <t>37.5%</t>
        </is>
      </c>
      <c r="G15" s="11" t="inlineStr">
        <is>
          <t>39.5%</t>
        </is>
      </c>
      <c r="H15" s="11" t="inlineStr">
        <is>
          <t>41.5%</t>
        </is>
      </c>
    </row>
    <row r="16">
      <c r="A16" s="11" t="inlineStr">
        <is>
          <t>7.2%</t>
        </is>
      </c>
      <c r="B16" s="105" t="n">
        <v>69.43000000000001</v>
      </c>
      <c r="C16" s="105" t="n">
        <v>74.90000000000001</v>
      </c>
      <c r="D16" s="105" t="n">
        <v>80.76000000000001</v>
      </c>
      <c r="E16" s="105" t="n">
        <v>87.02</v>
      </c>
      <c r="F16" s="105" t="n">
        <v>93.70999999999999</v>
      </c>
      <c r="G16" s="105" t="n">
        <v>100.85</v>
      </c>
      <c r="H16" s="105" t="n">
        <v>108.47</v>
      </c>
    </row>
    <row r="17">
      <c r="A17" s="11" t="inlineStr">
        <is>
          <t>7.7%</t>
        </is>
      </c>
      <c r="B17" s="105" t="n">
        <v>62.01</v>
      </c>
      <c r="C17" s="105" t="n">
        <v>66.84999999999999</v>
      </c>
      <c r="D17" s="105" t="n">
        <v>72.04000000000001</v>
      </c>
      <c r="E17" s="105" t="n">
        <v>77.58</v>
      </c>
      <c r="F17" s="105" t="n">
        <v>83.48999999999999</v>
      </c>
      <c r="G17" s="105" t="n">
        <v>89.81</v>
      </c>
      <c r="H17" s="105" t="n">
        <v>96.55</v>
      </c>
    </row>
    <row r="18">
      <c r="A18" s="11" t="inlineStr">
        <is>
          <t>8.2%</t>
        </is>
      </c>
      <c r="B18" s="105" t="n">
        <v>55.9</v>
      </c>
      <c r="C18" s="105" t="n">
        <v>60.24</v>
      </c>
      <c r="D18" s="105" t="n">
        <v>64.87</v>
      </c>
      <c r="E18" s="105" t="n">
        <v>69.81</v>
      </c>
      <c r="F18" s="105" t="n">
        <v>75.09999999999999</v>
      </c>
      <c r="G18" s="105" t="n">
        <v>80.73</v>
      </c>
      <c r="H18" s="105" t="n">
        <v>86.75</v>
      </c>
    </row>
    <row r="19">
      <c r="A19" s="11" t="inlineStr">
        <is>
          <t>8.7%</t>
        </is>
      </c>
      <c r="B19" s="105" t="n">
        <v>50.8</v>
      </c>
      <c r="C19" s="105" t="n">
        <v>54.7</v>
      </c>
      <c r="D19" s="105" t="n">
        <v>58.87</v>
      </c>
      <c r="E19" s="110" t="n">
        <v>63.33</v>
      </c>
      <c r="F19" s="105" t="n">
        <v>68.08</v>
      </c>
      <c r="G19" s="105" t="n">
        <v>73.15000000000001</v>
      </c>
      <c r="H19" s="105" t="n">
        <v>78.56</v>
      </c>
    </row>
    <row r="20">
      <c r="A20" s="11" t="inlineStr">
        <is>
          <t>9.2%</t>
        </is>
      </c>
      <c r="B20" s="105" t="n">
        <v>46.48</v>
      </c>
      <c r="C20" s="105" t="n">
        <v>50.01</v>
      </c>
      <c r="D20" s="105" t="n">
        <v>53.79</v>
      </c>
      <c r="E20" s="105" t="n">
        <v>57.83</v>
      </c>
      <c r="F20" s="105" t="n">
        <v>62.14</v>
      </c>
      <c r="G20" s="105" t="n">
        <v>66.73</v>
      </c>
      <c r="H20" s="105" t="n">
        <v>71.63</v>
      </c>
    </row>
    <row r="21">
      <c r="A21" s="11" t="inlineStr">
        <is>
          <t>9.7%</t>
        </is>
      </c>
      <c r="B21" s="105" t="n">
        <v>42.76</v>
      </c>
      <c r="C21" s="105" t="n">
        <v>45.99</v>
      </c>
      <c r="D21" s="105" t="n">
        <v>49.44</v>
      </c>
      <c r="E21" s="105" t="n">
        <v>53.12</v>
      </c>
      <c r="F21" s="105" t="n">
        <v>57.04</v>
      </c>
      <c r="G21" s="105" t="n">
        <v>61.23</v>
      </c>
      <c r="H21" s="105" t="n">
        <v>65.69</v>
      </c>
    </row>
    <row r="22">
      <c r="A22" s="11" t="inlineStr">
        <is>
          <t>10.2%</t>
        </is>
      </c>
      <c r="B22" s="105" t="n">
        <v>39.55</v>
      </c>
      <c r="C22" s="105" t="n">
        <v>42.51</v>
      </c>
      <c r="D22" s="105" t="n">
        <v>45.67</v>
      </c>
      <c r="E22" s="105" t="n">
        <v>49.04</v>
      </c>
      <c r="F22" s="105" t="n">
        <v>52.63</v>
      </c>
      <c r="G22" s="105" t="n">
        <v>56.46</v>
      </c>
      <c r="H22" s="105" t="n">
        <v>60.55</v>
      </c>
    </row>
    <row r="25">
      <c r="A25" s="109" t="inlineStr">
        <is>
          <t>Grid 3: EBIT Margin Target × Revenue CAGR → Implied Price</t>
        </is>
      </c>
    </row>
    <row r="26">
      <c r="B26" s="11" t="inlineStr">
        <is>
          <t>29.5%</t>
        </is>
      </c>
      <c r="C26" s="11" t="inlineStr">
        <is>
          <t>31.5%</t>
        </is>
      </c>
      <c r="D26" s="11" t="inlineStr">
        <is>
          <t>33.5%</t>
        </is>
      </c>
      <c r="E26" s="11" t="inlineStr">
        <is>
          <t>35.5%</t>
        </is>
      </c>
      <c r="F26" s="11" t="inlineStr">
        <is>
          <t>37.5%</t>
        </is>
      </c>
      <c r="G26" s="11" t="inlineStr">
        <is>
          <t>39.5%</t>
        </is>
      </c>
      <c r="H26" s="11" t="inlineStr">
        <is>
          <t>41.5%</t>
        </is>
      </c>
    </row>
    <row r="27">
      <c r="A27" s="11" t="inlineStr">
        <is>
          <t>6.0%</t>
        </is>
      </c>
      <c r="B27" s="100" t="n">
        <v>21.63</v>
      </c>
      <c r="C27" s="100" t="n">
        <v>23.12</v>
      </c>
      <c r="D27" s="100" t="n">
        <v>24.71</v>
      </c>
      <c r="E27" s="100" t="n">
        <v>26.39</v>
      </c>
      <c r="F27" s="104" t="n">
        <v>28.19</v>
      </c>
      <c r="G27" s="105" t="n">
        <v>30.1</v>
      </c>
      <c r="H27" s="105" t="n">
        <v>32.13</v>
      </c>
    </row>
    <row r="28">
      <c r="A28" s="11" t="inlineStr">
        <is>
          <t>9.0%</t>
        </is>
      </c>
      <c r="B28" s="105" t="n">
        <v>31.35</v>
      </c>
      <c r="C28" s="105" t="n">
        <v>33.65</v>
      </c>
      <c r="D28" s="105" t="n">
        <v>36.1</v>
      </c>
      <c r="E28" s="105" t="n">
        <v>38.71</v>
      </c>
      <c r="F28" s="105" t="n">
        <v>41.49</v>
      </c>
      <c r="G28" s="105" t="n">
        <v>44.45</v>
      </c>
      <c r="H28" s="105" t="n">
        <v>47.61</v>
      </c>
    </row>
    <row r="29">
      <c r="A29" s="11" t="inlineStr">
        <is>
          <t>12.0%</t>
        </is>
      </c>
      <c r="B29" s="105" t="n">
        <v>41.08</v>
      </c>
      <c r="C29" s="105" t="n">
        <v>44.18</v>
      </c>
      <c r="D29" s="105" t="n">
        <v>47.48</v>
      </c>
      <c r="E29" s="105" t="n">
        <v>51.02</v>
      </c>
      <c r="F29" s="105" t="n">
        <v>54.79</v>
      </c>
      <c r="G29" s="105" t="n">
        <v>58.8</v>
      </c>
      <c r="H29" s="105" t="n">
        <v>63.08</v>
      </c>
    </row>
    <row r="30">
      <c r="A30" s="11" t="inlineStr">
        <is>
          <t>15.0%</t>
        </is>
      </c>
      <c r="B30" s="105" t="n">
        <v>50.8</v>
      </c>
      <c r="C30" s="105" t="n">
        <v>54.7</v>
      </c>
      <c r="D30" s="105" t="n">
        <v>58.87</v>
      </c>
      <c r="E30" s="110" t="n">
        <v>63.33</v>
      </c>
      <c r="F30" s="105" t="n">
        <v>68.08</v>
      </c>
      <c r="G30" s="105" t="n">
        <v>73.15000000000001</v>
      </c>
      <c r="H30" s="105" t="n">
        <v>78.56</v>
      </c>
    </row>
    <row r="31">
      <c r="A31" s="11" t="inlineStr">
        <is>
          <t>18.0%</t>
        </is>
      </c>
      <c r="B31" s="105" t="n">
        <v>60.53</v>
      </c>
      <c r="C31" s="105" t="n">
        <v>65.23</v>
      </c>
      <c r="D31" s="105" t="n">
        <v>70.26000000000001</v>
      </c>
      <c r="E31" s="105" t="n">
        <v>75.64</v>
      </c>
      <c r="F31" s="105" t="n">
        <v>81.38</v>
      </c>
      <c r="G31" s="105" t="n">
        <v>87.51000000000001</v>
      </c>
      <c r="H31" s="105" t="n">
        <v>94.04000000000001</v>
      </c>
    </row>
    <row r="32">
      <c r="A32" s="11" t="inlineStr">
        <is>
          <t>21.0%</t>
        </is>
      </c>
      <c r="B32" s="105" t="n">
        <v>70.25</v>
      </c>
      <c r="C32" s="105" t="n">
        <v>75.76000000000001</v>
      </c>
      <c r="D32" s="105" t="n">
        <v>81.65000000000001</v>
      </c>
      <c r="E32" s="105" t="n">
        <v>87.95</v>
      </c>
      <c r="F32" s="105" t="n">
        <v>94.68000000000001</v>
      </c>
      <c r="G32" s="105" t="n">
        <v>101.86</v>
      </c>
      <c r="H32" s="105" t="n">
        <v>109.52</v>
      </c>
    </row>
    <row r="33">
      <c r="A33" s="11" t="inlineStr">
        <is>
          <t>24.0%</t>
        </is>
      </c>
      <c r="B33" s="105" t="n">
        <v>79.98</v>
      </c>
      <c r="C33" s="105" t="n">
        <v>86.29000000000001</v>
      </c>
      <c r="D33" s="105" t="n">
        <v>93.04000000000001</v>
      </c>
      <c r="E33" s="105" t="n">
        <v>100.26</v>
      </c>
      <c r="F33" s="105" t="n">
        <v>107.97</v>
      </c>
      <c r="G33" s="105" t="n">
        <v>116.21</v>
      </c>
      <c r="H33" s="105" t="n">
        <v>124.99</v>
      </c>
    </row>
  </sheetData>
  <mergeCells count="5">
    <mergeCell ref="A25:I25"/>
    <mergeCell ref="A2:I2"/>
    <mergeCell ref="A14:I14"/>
    <mergeCell ref="A1:I1"/>
    <mergeCell ref="A3:I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2026-06-25T08:23:11Z</dcterms:created>
  <dcterms:modified xsi:type="dcterms:W3CDTF">2026-06-25T08:23:11Z</dcterms:modified>
</cp:coreProperties>
</file>