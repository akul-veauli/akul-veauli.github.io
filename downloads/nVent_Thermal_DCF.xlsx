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lveauli/Downloads/"/>
    </mc:Choice>
  </mc:AlternateContent>
  <xr:revisionPtr revIDLastSave="0" documentId="13_ncr:1_{5DC46644-6B9B-EB49-84CA-6CE366F2730D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Inputs" sheetId="5" r:id="rId1"/>
    <sheet name="Revenue" sheetId="1" r:id="rId2"/>
    <sheet name="Operation" sheetId="2" r:id="rId3"/>
    <sheet name="CostofCapital" sheetId="3" r:id="rId4"/>
    <sheet name="DCF" sheetId="4" r:id="rId5"/>
  </sheet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2" l="1"/>
  <c r="M34" i="2" s="1"/>
  <c r="M30" i="2"/>
  <c r="F64" i="4"/>
  <c r="D39" i="4"/>
  <c r="E20" i="4"/>
  <c r="G21" i="4"/>
  <c r="G23" i="4"/>
  <c r="D7" i="4"/>
  <c r="D41" i="4" s="1"/>
  <c r="E33" i="4" s="1"/>
  <c r="K34" i="2"/>
  <c r="L34" i="2"/>
  <c r="J34" i="2"/>
  <c r="I34" i="2"/>
  <c r="I29" i="2"/>
  <c r="I30" i="2" s="1"/>
  <c r="E30" i="2"/>
  <c r="J48" i="5"/>
  <c r="K48" i="5" s="1"/>
  <c r="L48" i="5" s="1"/>
  <c r="M48" i="5" s="1"/>
  <c r="E66" i="5"/>
  <c r="F66" i="5"/>
  <c r="D66" i="5"/>
  <c r="E55" i="5"/>
  <c r="F55" i="5"/>
  <c r="D55" i="5"/>
  <c r="E40" i="5"/>
  <c r="F40" i="5"/>
  <c r="D40" i="5"/>
  <c r="E41" i="5"/>
  <c r="E23" i="2"/>
  <c r="F23" i="2"/>
  <c r="D23" i="2"/>
  <c r="F13" i="2"/>
  <c r="E9" i="2"/>
  <c r="F9" i="2"/>
  <c r="D9" i="2"/>
  <c r="D13" i="2"/>
  <c r="E13" i="2"/>
  <c r="J66" i="5"/>
  <c r="D3" i="5"/>
  <c r="I34" i="5" a="1"/>
  <c r="I34" i="5" s="1"/>
  <c r="K51" i="5"/>
  <c r="L51" i="5" s="1"/>
  <c r="M51" i="5" s="1"/>
  <c r="N51" i="5" s="1"/>
  <c r="J51" i="5"/>
  <c r="I51" i="5"/>
  <c r="K56" i="5"/>
  <c r="L56" i="5" s="1"/>
  <c r="M56" i="5" s="1"/>
  <c r="K57" i="5"/>
  <c r="L57" i="5"/>
  <c r="M57" i="5"/>
  <c r="K58" i="5"/>
  <c r="L58" i="5" s="1"/>
  <c r="M58" i="5" s="1"/>
  <c r="K59" i="5"/>
  <c r="L59" i="5" s="1"/>
  <c r="M59" i="5" s="1"/>
  <c r="K60" i="5"/>
  <c r="L60" i="5"/>
  <c r="M60" i="5"/>
  <c r="K61" i="5"/>
  <c r="L61" i="5" s="1"/>
  <c r="M61" i="5" s="1"/>
  <c r="K62" i="5"/>
  <c r="L62" i="5"/>
  <c r="M62" i="5"/>
  <c r="K63" i="5"/>
  <c r="L63" i="5"/>
  <c r="M63" i="5" s="1"/>
  <c r="K64" i="5"/>
  <c r="L64" i="5" s="1"/>
  <c r="M64" i="5" s="1"/>
  <c r="J57" i="5"/>
  <c r="J58" i="5"/>
  <c r="J59" i="5"/>
  <c r="J60" i="5"/>
  <c r="J61" i="5"/>
  <c r="J62" i="5"/>
  <c r="J63" i="5"/>
  <c r="J64" i="5"/>
  <c r="K66" i="5"/>
  <c r="L66" i="5" s="1"/>
  <c r="M66" i="5" s="1"/>
  <c r="J56" i="5"/>
  <c r="I57" i="5"/>
  <c r="I58" i="5"/>
  <c r="I59" i="5"/>
  <c r="I60" i="5"/>
  <c r="I61" i="5"/>
  <c r="I62" i="5"/>
  <c r="I63" i="5"/>
  <c r="I64" i="5"/>
  <c r="I56" i="5"/>
  <c r="K41" i="5"/>
  <c r="L41" i="5" s="1"/>
  <c r="M41" i="5" s="1"/>
  <c r="K42" i="5"/>
  <c r="L42" i="5"/>
  <c r="M42" i="5"/>
  <c r="K43" i="5"/>
  <c r="L43" i="5"/>
  <c r="M43" i="5" s="1"/>
  <c r="K44" i="5"/>
  <c r="L44" i="5"/>
  <c r="M44" i="5"/>
  <c r="K45" i="5"/>
  <c r="L45" i="5"/>
  <c r="M45" i="5" s="1"/>
  <c r="K46" i="5"/>
  <c r="L46" i="5" s="1"/>
  <c r="M46" i="5" s="1"/>
  <c r="K47" i="5"/>
  <c r="L47" i="5"/>
  <c r="M47" i="5"/>
  <c r="K49" i="5"/>
  <c r="L49" i="5" s="1"/>
  <c r="M49" i="5" s="1"/>
  <c r="J42" i="5"/>
  <c r="J43" i="5"/>
  <c r="J44" i="5"/>
  <c r="J45" i="5"/>
  <c r="J46" i="5"/>
  <c r="J47" i="5"/>
  <c r="J49" i="5"/>
  <c r="J41" i="5"/>
  <c r="I42" i="5"/>
  <c r="I43" i="5"/>
  <c r="I44" i="5"/>
  <c r="I45" i="5"/>
  <c r="I46" i="5"/>
  <c r="I47" i="5"/>
  <c r="I48" i="5"/>
  <c r="I49" i="5"/>
  <c r="I41" i="5"/>
  <c r="I35" i="1"/>
  <c r="J35" i="1" s="1"/>
  <c r="I32" i="5" a="1"/>
  <c r="I32" i="5" s="1"/>
  <c r="J32" i="5" s="1"/>
  <c r="K32" i="5" s="1"/>
  <c r="L32" i="5" s="1"/>
  <c r="M32" i="5" s="1"/>
  <c r="I35" i="5" a="1"/>
  <c r="I35" i="5" s="1"/>
  <c r="J35" i="5" s="1"/>
  <c r="K35" i="5" s="1"/>
  <c r="L35" i="5" s="1"/>
  <c r="I17" i="1"/>
  <c r="I21" i="1" s="1"/>
  <c r="I22" i="1" s="1"/>
  <c r="I24" i="5" s="1"/>
  <c r="I26" i="1"/>
  <c r="I31" i="5" a="1"/>
  <c r="I31" i="5" s="1"/>
  <c r="J31" i="5" s="1"/>
  <c r="K31" i="5" s="1"/>
  <c r="L31" i="5" s="1"/>
  <c r="M31" i="5" s="1"/>
  <c r="I30" i="5" a="1"/>
  <c r="I30" i="5" s="1"/>
  <c r="J30" i="5" s="1"/>
  <c r="K30" i="5" s="1"/>
  <c r="L30" i="5" s="1"/>
  <c r="M30" i="5" s="1"/>
  <c r="I29" i="5" a="1"/>
  <c r="I29" i="5" s="1"/>
  <c r="I28" i="5" a="1"/>
  <c r="I28" i="5" s="1"/>
  <c r="J28" i="5" s="1"/>
  <c r="K28" i="5" s="1"/>
  <c r="L28" i="5" s="1"/>
  <c r="M28" i="5" s="1"/>
  <c r="I33" i="5" a="1"/>
  <c r="I33" i="5" s="1"/>
  <c r="J33" i="5" s="1"/>
  <c r="K33" i="5" s="1"/>
  <c r="L33" i="5" s="1"/>
  <c r="M33" i="5" s="1"/>
  <c r="E51" i="5"/>
  <c r="F51" i="5"/>
  <c r="D51" i="5"/>
  <c r="D50" i="5"/>
  <c r="E49" i="5"/>
  <c r="F49" i="5"/>
  <c r="D49" i="5"/>
  <c r="D47" i="5"/>
  <c r="D48" i="5"/>
  <c r="F24" i="5"/>
  <c r="E24" i="5"/>
  <c r="F22" i="1"/>
  <c r="E22" i="1"/>
  <c r="F31" i="1"/>
  <c r="E31" i="1"/>
  <c r="E40" i="1"/>
  <c r="E30" i="1"/>
  <c r="F30" i="1"/>
  <c r="G30" i="1"/>
  <c r="H30" i="1"/>
  <c r="G21" i="1"/>
  <c r="H21" i="1"/>
  <c r="G39" i="1"/>
  <c r="H39" i="1"/>
  <c r="E39" i="1"/>
  <c r="F39" i="1"/>
  <c r="F40" i="1" s="1"/>
  <c r="D39" i="1"/>
  <c r="D30" i="1"/>
  <c r="E21" i="1"/>
  <c r="F21" i="1"/>
  <c r="D21" i="1"/>
  <c r="F36" i="1"/>
  <c r="E36" i="1"/>
  <c r="E27" i="1"/>
  <c r="F27" i="1"/>
  <c r="F18" i="1"/>
  <c r="E18" i="1"/>
  <c r="D3" i="1"/>
  <c r="D8" i="1" s="1"/>
  <c r="E19" i="4" s="1"/>
  <c r="E8" i="5"/>
  <c r="E31" i="4"/>
  <c r="N12" i="2"/>
  <c r="F27" i="4"/>
  <c r="E28" i="4"/>
  <c r="I24" i="4"/>
  <c r="H24" i="4"/>
  <c r="G24" i="4"/>
  <c r="F24" i="4"/>
  <c r="E24" i="4"/>
  <c r="D6" i="4"/>
  <c r="D4" i="5" s="1"/>
  <c r="E11" i="1" l="1"/>
  <c r="E10" i="1"/>
  <c r="I39" i="1"/>
  <c r="I40" i="1" s="1"/>
  <c r="I55" i="5" s="1"/>
  <c r="J29" i="2"/>
  <c r="F11" i="1"/>
  <c r="I8" i="1"/>
  <c r="I65" i="5"/>
  <c r="J65" i="5" s="1"/>
  <c r="K65" i="5" s="1"/>
  <c r="L65" i="5" s="1"/>
  <c r="M65" i="5" s="1"/>
  <c r="I50" i="5"/>
  <c r="J50" i="5" s="1"/>
  <c r="K50" i="5" s="1"/>
  <c r="L50" i="5" s="1"/>
  <c r="M50" i="5" s="1"/>
  <c r="J34" i="5"/>
  <c r="K34" i="5" s="1"/>
  <c r="L34" i="5" s="1"/>
  <c r="M34" i="5" s="1"/>
  <c r="M18" i="5" s="1"/>
  <c r="I13" i="5"/>
  <c r="J29" i="5"/>
  <c r="J13" i="5" s="1"/>
  <c r="H11" i="1"/>
  <c r="H10" i="1"/>
  <c r="G10" i="1"/>
  <c r="G13" i="1"/>
  <c r="G9" i="1"/>
  <c r="H12" i="1"/>
  <c r="H8" i="1"/>
  <c r="G11" i="1"/>
  <c r="H13" i="1"/>
  <c r="H9" i="1"/>
  <c r="G12" i="1"/>
  <c r="G8" i="1"/>
  <c r="D10" i="1"/>
  <c r="F10" i="1"/>
  <c r="D4" i="1"/>
  <c r="D49" i="4"/>
  <c r="D47" i="4"/>
  <c r="D51" i="4"/>
  <c r="I31" i="4"/>
  <c r="H31" i="4"/>
  <c r="F30" i="2"/>
  <c r="G31" i="4" s="1"/>
  <c r="F31" i="4"/>
  <c r="I28" i="4"/>
  <c r="H28" i="4"/>
  <c r="G28" i="4"/>
  <c r="F28" i="4"/>
  <c r="I27" i="4"/>
  <c r="G27" i="4"/>
  <c r="I26" i="4"/>
  <c r="H26" i="4"/>
  <c r="G26" i="4"/>
  <c r="F26" i="4"/>
  <c r="E26" i="4"/>
  <c r="I22" i="4"/>
  <c r="H22" i="4"/>
  <c r="G22" i="4"/>
  <c r="F22" i="4"/>
  <c r="E22" i="4"/>
  <c r="I20" i="4"/>
  <c r="H20" i="4"/>
  <c r="G20" i="4"/>
  <c r="F20" i="4"/>
  <c r="I19" i="4"/>
  <c r="H19" i="4"/>
  <c r="G19" i="4"/>
  <c r="F19" i="4"/>
  <c r="D64" i="5"/>
  <c r="D17" i="5" s="1"/>
  <c r="D41" i="5"/>
  <c r="D56" i="5" s="1"/>
  <c r="D9" i="5"/>
  <c r="D8" i="5"/>
  <c r="H65" i="5"/>
  <c r="G65" i="5"/>
  <c r="F50" i="5"/>
  <c r="F65" i="5" s="1"/>
  <c r="E50" i="5"/>
  <c r="E65" i="5" s="1"/>
  <c r="D65" i="5"/>
  <c r="H64" i="5"/>
  <c r="G64" i="5"/>
  <c r="F64" i="5"/>
  <c r="E64" i="5"/>
  <c r="E17" i="5" s="1"/>
  <c r="H63" i="5"/>
  <c r="H16" i="5" s="1"/>
  <c r="G63" i="5"/>
  <c r="F48" i="5"/>
  <c r="F63" i="5" s="1"/>
  <c r="E48" i="5"/>
  <c r="E63" i="5" s="1"/>
  <c r="D63" i="5"/>
  <c r="H62" i="5"/>
  <c r="G62" i="5"/>
  <c r="F47" i="5"/>
  <c r="F62" i="5" s="1"/>
  <c r="E47" i="5"/>
  <c r="E62" i="5" s="1"/>
  <c r="D62" i="5"/>
  <c r="H61" i="5"/>
  <c r="G61" i="5"/>
  <c r="G14" i="5" s="1"/>
  <c r="F46" i="5"/>
  <c r="F61" i="5" s="1"/>
  <c r="F14" i="5" s="1"/>
  <c r="E46" i="5"/>
  <c r="E61" i="5" s="1"/>
  <c r="E14" i="5" s="1"/>
  <c r="D46" i="5"/>
  <c r="D61" i="5" s="1"/>
  <c r="H60" i="5"/>
  <c r="G60" i="5"/>
  <c r="F45" i="5"/>
  <c r="F60" i="5" s="1"/>
  <c r="E45" i="5"/>
  <c r="E60" i="5" s="1"/>
  <c r="D45" i="5"/>
  <c r="D60" i="5" s="1"/>
  <c r="D13" i="5" s="1"/>
  <c r="E30" i="4" s="1"/>
  <c r="H59" i="5"/>
  <c r="G59" i="5"/>
  <c r="F44" i="5"/>
  <c r="F59" i="5" s="1"/>
  <c r="F12" i="5" s="1"/>
  <c r="E44" i="5"/>
  <c r="E59" i="5" s="1"/>
  <c r="E12" i="5" s="1"/>
  <c r="D44" i="5"/>
  <c r="D59" i="5" s="1"/>
  <c r="D12" i="5" s="1"/>
  <c r="H58" i="5"/>
  <c r="G58" i="5"/>
  <c r="F43" i="5"/>
  <c r="F58" i="5" s="1"/>
  <c r="E43" i="5"/>
  <c r="E58" i="5" s="1"/>
  <c r="D43" i="5"/>
  <c r="D58" i="5" s="1"/>
  <c r="H57" i="5"/>
  <c r="G57" i="5"/>
  <c r="F42" i="5"/>
  <c r="F57" i="5" s="1"/>
  <c r="E42" i="5"/>
  <c r="E57" i="5" s="1"/>
  <c r="D42" i="5"/>
  <c r="D57" i="5" s="1"/>
  <c r="D10" i="5" s="1"/>
  <c r="H56" i="5"/>
  <c r="H9" i="5" s="1"/>
  <c r="G56" i="5"/>
  <c r="G9" i="5" s="1"/>
  <c r="F41" i="5"/>
  <c r="F56" i="5" s="1"/>
  <c r="E56" i="5"/>
  <c r="H19" i="5"/>
  <c r="G19" i="5"/>
  <c r="F19" i="5"/>
  <c r="E19" i="5"/>
  <c r="D19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M16" i="5"/>
  <c r="L16" i="5"/>
  <c r="K16" i="5"/>
  <c r="J16" i="5"/>
  <c r="I16" i="5"/>
  <c r="G16" i="5"/>
  <c r="F16" i="5"/>
  <c r="E16" i="5"/>
  <c r="D16" i="5"/>
  <c r="M15" i="5"/>
  <c r="L15" i="5"/>
  <c r="K15" i="5"/>
  <c r="J15" i="5"/>
  <c r="I15" i="5"/>
  <c r="H15" i="5"/>
  <c r="G15" i="5"/>
  <c r="F15" i="5"/>
  <c r="E15" i="5"/>
  <c r="D15" i="5"/>
  <c r="M14" i="5"/>
  <c r="L14" i="5"/>
  <c r="K14" i="5"/>
  <c r="J14" i="5"/>
  <c r="I14" i="5"/>
  <c r="H14" i="5"/>
  <c r="D14" i="5"/>
  <c r="H13" i="5"/>
  <c r="I30" i="4" s="1"/>
  <c r="G13" i="5"/>
  <c r="H30" i="4" s="1"/>
  <c r="F13" i="5"/>
  <c r="G30" i="4" s="1"/>
  <c r="E13" i="5"/>
  <c r="F30" i="4" s="1"/>
  <c r="M12" i="5"/>
  <c r="L12" i="5"/>
  <c r="K12" i="5"/>
  <c r="J12" i="5"/>
  <c r="I12" i="5"/>
  <c r="H12" i="5"/>
  <c r="G12" i="5"/>
  <c r="M11" i="5"/>
  <c r="L11" i="5"/>
  <c r="K11" i="5"/>
  <c r="J11" i="5"/>
  <c r="I11" i="5"/>
  <c r="H11" i="5"/>
  <c r="G11" i="5"/>
  <c r="F11" i="5"/>
  <c r="E11" i="5"/>
  <c r="D11" i="5"/>
  <c r="M10" i="5"/>
  <c r="L10" i="5"/>
  <c r="K10" i="5"/>
  <c r="J10" i="5"/>
  <c r="I10" i="5"/>
  <c r="H10" i="5"/>
  <c r="G10" i="5"/>
  <c r="F10" i="5"/>
  <c r="E10" i="5"/>
  <c r="M9" i="5"/>
  <c r="L9" i="5"/>
  <c r="K9" i="5"/>
  <c r="J9" i="5"/>
  <c r="I9" i="5"/>
  <c r="F9" i="5"/>
  <c r="E9" i="5"/>
  <c r="H8" i="5"/>
  <c r="G8" i="5"/>
  <c r="F8" i="5"/>
  <c r="F13" i="1"/>
  <c r="E13" i="1"/>
  <c r="F12" i="1"/>
  <c r="E12" i="1"/>
  <c r="D12" i="1"/>
  <c r="M11" i="1"/>
  <c r="L11" i="1"/>
  <c r="K11" i="1"/>
  <c r="J11" i="1"/>
  <c r="I11" i="1"/>
  <c r="M9" i="1"/>
  <c r="L9" i="1"/>
  <c r="K9" i="1"/>
  <c r="J9" i="1"/>
  <c r="I9" i="1"/>
  <c r="F9" i="1"/>
  <c r="E9" i="1"/>
  <c r="F8" i="1"/>
  <c r="E8" i="1"/>
  <c r="I37" i="1"/>
  <c r="J37" i="1" s="1"/>
  <c r="K37" i="1" s="1"/>
  <c r="L37" i="1" s="1"/>
  <c r="M37" i="1" s="1"/>
  <c r="I28" i="1"/>
  <c r="J28" i="1" s="1"/>
  <c r="K28" i="1" s="1"/>
  <c r="L28" i="1" s="1"/>
  <c r="M28" i="1" s="1"/>
  <c r="I19" i="1"/>
  <c r="I10" i="1" s="1"/>
  <c r="K29" i="2" l="1"/>
  <c r="I21" i="4"/>
  <c r="L18" i="5"/>
  <c r="I30" i="1"/>
  <c r="I31" i="1" s="1"/>
  <c r="I40" i="5" s="1"/>
  <c r="K29" i="5"/>
  <c r="L29" i="5" s="1"/>
  <c r="K13" i="5"/>
  <c r="J26" i="1"/>
  <c r="K26" i="1" s="1"/>
  <c r="L26" i="1" s="1"/>
  <c r="M26" i="1" s="1"/>
  <c r="M30" i="1" s="1"/>
  <c r="M33" i="4"/>
  <c r="F33" i="4"/>
  <c r="G33" i="4"/>
  <c r="N33" i="4"/>
  <c r="J33" i="4"/>
  <c r="L33" i="4"/>
  <c r="K33" i="4"/>
  <c r="E21" i="4"/>
  <c r="E23" i="4" s="1"/>
  <c r="E25" i="4" s="1"/>
  <c r="E29" i="4" s="1"/>
  <c r="E32" i="4" s="1"/>
  <c r="H21" i="4"/>
  <c r="H23" i="4" s="1"/>
  <c r="H25" i="4" s="1"/>
  <c r="H29" i="4" s="1"/>
  <c r="H32" i="4" s="1"/>
  <c r="J17" i="1"/>
  <c r="K17" i="1" s="1"/>
  <c r="L17" i="1" s="1"/>
  <c r="I23" i="4"/>
  <c r="I25" i="4" s="1"/>
  <c r="I29" i="4" s="1"/>
  <c r="I32" i="4" s="1"/>
  <c r="F21" i="4"/>
  <c r="F23" i="4" s="1"/>
  <c r="F25" i="4" s="1"/>
  <c r="F29" i="4" s="1"/>
  <c r="F32" i="4" s="1"/>
  <c r="G25" i="4"/>
  <c r="G29" i="4" s="1"/>
  <c r="G32" i="4" s="1"/>
  <c r="J19" i="1"/>
  <c r="J10" i="1" s="1"/>
  <c r="K35" i="1"/>
  <c r="J39" i="1"/>
  <c r="L29" i="2" l="1"/>
  <c r="K30" i="1"/>
  <c r="M29" i="5"/>
  <c r="M13" i="5" s="1"/>
  <c r="L13" i="5"/>
  <c r="J30" i="1"/>
  <c r="J31" i="1" s="1"/>
  <c r="J40" i="5" s="1"/>
  <c r="L30" i="1"/>
  <c r="M31" i="1" s="1"/>
  <c r="M40" i="5" s="1"/>
  <c r="K8" i="1"/>
  <c r="J8" i="1"/>
  <c r="K19" i="1"/>
  <c r="K10" i="1" s="1"/>
  <c r="J21" i="1"/>
  <c r="I8" i="5"/>
  <c r="I12" i="1"/>
  <c r="I7" i="2" s="1"/>
  <c r="M17" i="1"/>
  <c r="L8" i="1"/>
  <c r="J40" i="1"/>
  <c r="J55" i="5" s="1"/>
  <c r="L35" i="1"/>
  <c r="K39" i="1"/>
  <c r="K40" i="1" s="1"/>
  <c r="K55" i="5" s="1"/>
  <c r="I8" i="2" l="1"/>
  <c r="I9" i="2" s="1"/>
  <c r="I15" i="2"/>
  <c r="I16" i="2"/>
  <c r="J28" i="4" s="1"/>
  <c r="I17" i="2"/>
  <c r="J27" i="4" s="1"/>
  <c r="I10" i="2"/>
  <c r="I11" i="2" s="1"/>
  <c r="I12" i="2" s="1"/>
  <c r="I13" i="2" s="1"/>
  <c r="K31" i="1"/>
  <c r="K40" i="5" s="1"/>
  <c r="L31" i="1"/>
  <c r="L40" i="5" s="1"/>
  <c r="M8" i="1"/>
  <c r="J22" i="1"/>
  <c r="J12" i="1"/>
  <c r="J7" i="2" s="1"/>
  <c r="J10" i="2" s="1"/>
  <c r="J19" i="4"/>
  <c r="I13" i="1"/>
  <c r="L19" i="1"/>
  <c r="L10" i="1" s="1"/>
  <c r="K21" i="1"/>
  <c r="M35" i="1"/>
  <c r="M39" i="1" s="1"/>
  <c r="L39" i="1"/>
  <c r="L40" i="1" s="1"/>
  <c r="L55" i="5" s="1"/>
  <c r="I23" i="2" l="1"/>
  <c r="J22" i="4"/>
  <c r="J26" i="4"/>
  <c r="J23" i="4"/>
  <c r="J24" i="4"/>
  <c r="J17" i="2"/>
  <c r="K27" i="4" s="1"/>
  <c r="J8" i="2"/>
  <c r="J9" i="2" s="1"/>
  <c r="J11" i="2" s="1"/>
  <c r="J15" i="2"/>
  <c r="J16" i="2"/>
  <c r="K28" i="4" s="1"/>
  <c r="M19" i="1"/>
  <c r="M10" i="1" s="1"/>
  <c r="L21" i="1"/>
  <c r="K19" i="4"/>
  <c r="M40" i="1"/>
  <c r="M55" i="5" s="1"/>
  <c r="J24" i="5"/>
  <c r="J8" i="5" s="1"/>
  <c r="J13" i="1"/>
  <c r="K22" i="1"/>
  <c r="K12" i="1"/>
  <c r="K7" i="2" s="1"/>
  <c r="K10" i="2" s="1"/>
  <c r="J20" i="4"/>
  <c r="J21" i="4" s="1"/>
  <c r="J25" i="4" l="1"/>
  <c r="J29" i="4" s="1"/>
  <c r="K26" i="4"/>
  <c r="K22" i="4"/>
  <c r="J12" i="2"/>
  <c r="K24" i="4" s="1"/>
  <c r="K23" i="4"/>
  <c r="K17" i="2"/>
  <c r="L27" i="4" s="1"/>
  <c r="K8" i="2"/>
  <c r="K9" i="2" s="1"/>
  <c r="K11" i="2" s="1"/>
  <c r="K15" i="2"/>
  <c r="K16" i="2"/>
  <c r="L28" i="4" s="1"/>
  <c r="K20" i="4"/>
  <c r="K13" i="1"/>
  <c r="K24" i="5"/>
  <c r="K8" i="5" s="1"/>
  <c r="L19" i="4"/>
  <c r="L12" i="1"/>
  <c r="L7" i="2" s="1"/>
  <c r="L10" i="2" s="1"/>
  <c r="L22" i="1"/>
  <c r="M21" i="1"/>
  <c r="K21" i="4" l="1"/>
  <c r="J13" i="2"/>
  <c r="K25" i="4"/>
  <c r="K29" i="4" s="1"/>
  <c r="K12" i="2"/>
  <c r="L24" i="4" s="1"/>
  <c r="L23" i="4"/>
  <c r="L22" i="4"/>
  <c r="L26" i="4"/>
  <c r="L16" i="2"/>
  <c r="M28" i="4" s="1"/>
  <c r="L8" i="2"/>
  <c r="L9" i="2" s="1"/>
  <c r="L11" i="2" s="1"/>
  <c r="L17" i="2"/>
  <c r="M27" i="4" s="1"/>
  <c r="L15" i="2"/>
  <c r="M22" i="1"/>
  <c r="M12" i="1"/>
  <c r="M7" i="2" s="1"/>
  <c r="L20" i="4"/>
  <c r="L24" i="5"/>
  <c r="L8" i="5" s="1"/>
  <c r="L13" i="1"/>
  <c r="J23" i="2"/>
  <c r="M19" i="4"/>
  <c r="M10" i="2" l="1"/>
  <c r="N19" i="4"/>
  <c r="K13" i="2"/>
  <c r="L21" i="4"/>
  <c r="L25" i="4"/>
  <c r="L29" i="4" s="1"/>
  <c r="M22" i="4"/>
  <c r="M26" i="4"/>
  <c r="L12" i="2"/>
  <c r="M24" i="4" s="1"/>
  <c r="M23" i="4"/>
  <c r="M16" i="2"/>
  <c r="N28" i="4" s="1"/>
  <c r="M8" i="2"/>
  <c r="M9" i="2" s="1"/>
  <c r="M11" i="2" s="1"/>
  <c r="M17" i="2"/>
  <c r="N27" i="4" s="1"/>
  <c r="M15" i="2"/>
  <c r="N26" i="4" s="1"/>
  <c r="K23" i="2"/>
  <c r="M20" i="4"/>
  <c r="M13" i="1"/>
  <c r="M24" i="5"/>
  <c r="M8" i="5" s="1"/>
  <c r="M23" i="2" l="1"/>
  <c r="M21" i="4"/>
  <c r="L13" i="2"/>
  <c r="M25" i="4"/>
  <c r="M29" i="4" s="1"/>
  <c r="N22" i="4"/>
  <c r="M12" i="2"/>
  <c r="N24" i="4" s="1"/>
  <c r="N23" i="4"/>
  <c r="L23" i="2"/>
  <c r="N20" i="4"/>
  <c r="N25" i="4" l="1"/>
  <c r="N29" i="4" s="1"/>
  <c r="M13" i="2"/>
  <c r="N21" i="4"/>
  <c r="D48" i="4" l="1"/>
  <c r="D50" i="4" l="1"/>
  <c r="D52" i="4" s="1"/>
  <c r="D56" i="4" s="1"/>
  <c r="I19" i="5" l="1"/>
  <c r="J31" i="4" s="1"/>
  <c r="J19" i="5"/>
  <c r="K30" i="4" l="1"/>
  <c r="J30" i="2"/>
  <c r="K31" i="4" s="1"/>
  <c r="K19" i="5"/>
  <c r="L30" i="4" s="1"/>
  <c r="J30" i="4"/>
  <c r="J32" i="4" s="1"/>
  <c r="J34" i="4" s="1"/>
  <c r="K32" i="4" l="1"/>
  <c r="K34" i="4" s="1"/>
  <c r="K30" i="2"/>
  <c r="L31" i="4" s="1"/>
  <c r="L32" i="4" s="1"/>
  <c r="L34" i="4" s="1"/>
  <c r="L19" i="5"/>
  <c r="M35" i="5"/>
  <c r="M19" i="5" s="1"/>
  <c r="N30" i="4" l="1"/>
  <c r="N31" i="4"/>
  <c r="L30" i="2"/>
  <c r="M31" i="4" s="1"/>
  <c r="M30" i="4"/>
  <c r="M32" i="4" l="1"/>
  <c r="M34" i="4" s="1"/>
  <c r="N32" i="4"/>
  <c r="D40" i="4" s="1"/>
  <c r="D42" i="4" s="1"/>
  <c r="D44" i="4" s="1"/>
  <c r="N34" i="4" l="1"/>
  <c r="D62" i="4" s="1"/>
  <c r="D55" i="4"/>
  <c r="D57" i="4" s="1"/>
  <c r="D63" i="4" s="1"/>
  <c r="D65" i="4" l="1"/>
  <c r="H66" i="4" s="1"/>
  <c r="I6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<sst xmlns="http://schemas.openxmlformats.org/spreadsheetml/2006/main" count="216" uniqueCount="137">
  <si>
    <t>Case #</t>
  </si>
  <si>
    <t>Associated Case</t>
  </si>
  <si>
    <t>numbers in millions except per share data</t>
  </si>
  <si>
    <t>Selected: Base Case</t>
  </si>
  <si>
    <t>Revenue Growth</t>
  </si>
  <si>
    <t>Cost of Revenue as a % of Revenue</t>
  </si>
  <si>
    <t>SG&amp;A Expenses as a % of Revenue</t>
  </si>
  <si>
    <t>R&amp;D Expenses as a % of Revenue</t>
  </si>
  <si>
    <t>Other OpEx as a % of Revenue</t>
  </si>
  <si>
    <t>Implied Tax Rate</t>
  </si>
  <si>
    <t>D&amp;A as a % of Revenue</t>
  </si>
  <si>
    <t>CAPEX as a % of Revenue</t>
  </si>
  <si>
    <t>Net Working as a % of Revenue</t>
  </si>
  <si>
    <t>Debt growth rate</t>
  </si>
  <si>
    <t xml:space="preserve">Interest Expense as a % of Debt </t>
  </si>
  <si>
    <t>Debt to EBITDA</t>
  </si>
  <si>
    <t>Base Case</t>
  </si>
  <si>
    <t>calculated geo mean growth for these numbers then forecasted out at the average for the rest 5 years</t>
  </si>
  <si>
    <t>n.a.</t>
  </si>
  <si>
    <t>Bull Case</t>
  </si>
  <si>
    <t>Bull and bear case are manually inputted numbers 7.5% up or 7.5% down from base case besides revenue</t>
  </si>
  <si>
    <t>Bear Case</t>
  </si>
  <si>
    <t>Product A</t>
  </si>
  <si>
    <t>% Growth</t>
  </si>
  <si>
    <t>Product B IGNORE, THERE IS NO PRODUCT B</t>
  </si>
  <si>
    <t>Consolidated Sales</t>
  </si>
  <si>
    <t>Input assumptions here!</t>
  </si>
  <si>
    <t>Product B</t>
  </si>
  <si>
    <t>Input your assumptions here!</t>
  </si>
  <si>
    <t>Operating Items Forecast</t>
  </si>
  <si>
    <t>Revenue</t>
  </si>
  <si>
    <t>COGS</t>
  </si>
  <si>
    <t>Gross Profit</t>
  </si>
  <si>
    <t>Operating Expenses</t>
  </si>
  <si>
    <t>EBIT</t>
  </si>
  <si>
    <t>Taxes</t>
  </si>
  <si>
    <t>NOPAT</t>
  </si>
  <si>
    <t>Depreciation &amp; Amortization</t>
  </si>
  <si>
    <t>CAPEX</t>
  </si>
  <si>
    <t>Net Working Capital</t>
  </si>
  <si>
    <t>Debt Calculation</t>
  </si>
  <si>
    <t>got 2021 by solving using 2022 info and getting change in NWC and backsolving to get 2021 NWC</t>
  </si>
  <si>
    <t>Debt</t>
  </si>
  <si>
    <t>EBITDA</t>
  </si>
  <si>
    <t>Long-Term Debt</t>
  </si>
  <si>
    <t>ST Debt &amp; Current Portion of LT Debt</t>
  </si>
  <si>
    <t>Operating Lease - Debt</t>
  </si>
  <si>
    <t>Finance Lease - Debt</t>
  </si>
  <si>
    <t>Total Debt</t>
  </si>
  <si>
    <t>Net Borrowings</t>
  </si>
  <si>
    <t>Debt Interest Expense</t>
  </si>
  <si>
    <t>Lease Interest Expense</t>
  </si>
  <si>
    <t>Total Interest Expense</t>
  </si>
  <si>
    <t>calculated total interest expense and debt by using the CDO payback structure given on page 62</t>
  </si>
  <si>
    <t>WACC Schedule</t>
  </si>
  <si>
    <t>Market Risk Premium</t>
  </si>
  <si>
    <t>Assumed S&amp;P 500 average return 8% last 10 years</t>
  </si>
  <si>
    <t>Beta</t>
  </si>
  <si>
    <t>Got levered beta from yahoo finances current estimation of this companies beta</t>
  </si>
  <si>
    <t>Adjusted Market Risk Premium</t>
  </si>
  <si>
    <t>Add: Risk Free Rate of Return</t>
  </si>
  <si>
    <t>assumed based on 10Tbills</t>
  </si>
  <si>
    <t>Cost of Equity</t>
  </si>
  <si>
    <t>Target Debt to Total Capital Ratio</t>
  </si>
  <si>
    <t>calculated data from 10k</t>
  </si>
  <si>
    <t>Weighted Cost of Equity</t>
  </si>
  <si>
    <t>Cost of Debt (weighted average)</t>
  </si>
  <si>
    <t>weighted average of debt</t>
  </si>
  <si>
    <t>Effective Tax Rate</t>
  </si>
  <si>
    <t>After-Tax Cost of Debt</t>
  </si>
  <si>
    <t>Weighted After-Tax Cost of Debt</t>
  </si>
  <si>
    <t>WACC</t>
  </si>
  <si>
    <t>Scenarios &amp; Other Inputs</t>
  </si>
  <si>
    <t xml:space="preserve">Case Number </t>
  </si>
  <si>
    <t>Selected Case</t>
  </si>
  <si>
    <t>FCFF</t>
  </si>
  <si>
    <t>- Interest Expense * (1-Tax)</t>
  </si>
  <si>
    <t>Terminal Growth Rate</t>
  </si>
  <si>
    <t>+ Net Borrowing</t>
  </si>
  <si>
    <t>Comparable EV/EBITDA</t>
  </si>
  <si>
    <t xml:space="preserve">got from googling recent comparables. Spirax‑Sarco Engineering is the company I chose with 13.3x EV/EBITDA </t>
  </si>
  <si>
    <t>FCFE</t>
  </si>
  <si>
    <t xml:space="preserve">Target Debt/EBITDA </t>
  </si>
  <si>
    <t>DCF Projections</t>
  </si>
  <si>
    <t xml:space="preserve">Selected Financials - DCF </t>
  </si>
  <si>
    <t xml:space="preserve">Forecasted </t>
  </si>
  <si>
    <t xml:space="preserve">Revenue </t>
  </si>
  <si>
    <t>COGS &amp; Other Expenses</t>
  </si>
  <si>
    <t>D&amp;A</t>
  </si>
  <si>
    <t xml:space="preserve">EBIT </t>
  </si>
  <si>
    <t xml:space="preserve">Taxes </t>
  </si>
  <si>
    <t>(+) D&amp;A</t>
  </si>
  <si>
    <t>(-) Change in NWC</t>
  </si>
  <si>
    <t>(-) CAPEX</t>
  </si>
  <si>
    <t xml:space="preserve">Unlevered Free Cash Flow </t>
  </si>
  <si>
    <t>Calculate the FCFF here.</t>
  </si>
  <si>
    <t>(-) After Tax Interest Expense</t>
  </si>
  <si>
    <t>(+) Net Borrowing</t>
  </si>
  <si>
    <t>Free Cash Flow to Equity</t>
  </si>
  <si>
    <t>Discount Factor</t>
  </si>
  <si>
    <t>Discounted FCFE</t>
  </si>
  <si>
    <t>Terminal Value Calculation</t>
  </si>
  <si>
    <t>Terminal Equity Value - Gordon Growth</t>
  </si>
  <si>
    <t>Terminal Year FCFE</t>
  </si>
  <si>
    <t xml:space="preserve">Discount Rate </t>
  </si>
  <si>
    <t>Terminal Value</t>
  </si>
  <si>
    <t>Use the Gordon Growth Formula and Calculate the Terminal Value here.</t>
  </si>
  <si>
    <t>Time Period</t>
  </si>
  <si>
    <t>PV of Terminal Value</t>
  </si>
  <si>
    <t>Discount the Terminal Value to PV.</t>
  </si>
  <si>
    <t>Terminal Equity Value - Exit Multiple</t>
  </si>
  <si>
    <t>Exit Multiple</t>
  </si>
  <si>
    <t>Terminal Year EBITDA</t>
  </si>
  <si>
    <t>Discount Rate</t>
  </si>
  <si>
    <t xml:space="preserve">Terminal Value  </t>
  </si>
  <si>
    <t xml:space="preserve">Terminal Equity Value </t>
  </si>
  <si>
    <t>Gordon Growth</t>
  </si>
  <si>
    <t>Average</t>
  </si>
  <si>
    <t>Implied Equity Value, and Share Price</t>
  </si>
  <si>
    <t xml:space="preserve">Implied Share Price </t>
  </si>
  <si>
    <t>PV of Projected</t>
  </si>
  <si>
    <t>PV of Terminal</t>
  </si>
  <si>
    <t>(+) Cash and Cash Eqv</t>
  </si>
  <si>
    <t>Net Debt:</t>
  </si>
  <si>
    <t>Implied Equity Value</t>
  </si>
  <si>
    <t>Calculate the Fair Value of Equity Here.</t>
  </si>
  <si>
    <t>Then EV = Equity value + Net debt</t>
  </si>
  <si>
    <t>Shares Outstanding (Fully Diluted)</t>
  </si>
  <si>
    <t xml:space="preserve">EV = </t>
  </si>
  <si>
    <t>EV for company =</t>
  </si>
  <si>
    <t>1.471 Billion dollars</t>
  </si>
  <si>
    <t>nVent thermal makes up about 17.6% of the entire company. Taken this number from the based on data from 10k and CIP</t>
  </si>
  <si>
    <t xml:space="preserve">Current Share Price </t>
  </si>
  <si>
    <t>Implied Upside</t>
  </si>
  <si>
    <t>Basic Outputs and Sensitivities</t>
  </si>
  <si>
    <t>Growth Rate</t>
  </si>
  <si>
    <t>Ran out of time…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</si>
</sst>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0.0\x"/>
    <numFmt numFmtId="166" formatCode="&quot;FY&quot;#\A"/>
    <numFmt numFmtId="167" formatCode="&quot;FY&quot;#\E"/>
    <numFmt numFmtId="168" formatCode="#,##0.0;\(#,##0.0\);&quot;-&quot;"/>
    <numFmt numFmtId="169" formatCode="#,#00.0;\(#,#00.0\);&quot;-&quot;"/>
    <numFmt numFmtId="170" formatCode="#,##0.0"/>
    <numFmt numFmtId="171" formatCode="0.0"/>
    <numFmt numFmtId="172" formatCode="0.0%;\(0.0%\);&quot;-&quot;"/>
    <numFmt numFmtId="173" formatCode="#,##0;\(#,##0\);&quot;-&quot;"/>
    <numFmt numFmtId="174" formatCode="#,##0.0_);\(#,##0.0\)"/>
    <numFmt numFmtId="175" formatCode="0.000000000000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rgb="FF008000"/>
      <name val="Calibri Light"/>
      <family val="2"/>
      <scheme val="major"/>
    </font>
    <font>
      <sz val="10"/>
      <color rgb="FF0000FF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C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6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sz val="10"/>
      <color rgb="FF0000FF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10" fontId="2" fillId="2" borderId="1" xfId="0" applyNumberFormat="1" applyFont="1" applyFill="1" applyBorder="1"/>
    <xf numFmtId="0" fontId="3" fillId="0" borderId="0" xfId="0" applyFont="1"/>
    <xf numFmtId="0" fontId="3" fillId="3" borderId="0" xfId="0" applyFont="1" applyFill="1"/>
    <xf numFmtId="0" fontId="2" fillId="4" borderId="2" xfId="0" applyFont="1" applyFill="1" applyBorder="1"/>
    <xf numFmtId="10" fontId="4" fillId="0" borderId="0" xfId="0" applyNumberFormat="1" applyFont="1" applyAlignment="1">
      <alignment horizontal="right"/>
    </xf>
    <xf numFmtId="0" fontId="2" fillId="0" borderId="0" xfId="0" quotePrefix="1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2" fontId="6" fillId="0" borderId="0" xfId="2" applyNumberFormat="1" applyFont="1"/>
    <xf numFmtId="2" fontId="7" fillId="0" borderId="0" xfId="2" applyNumberFormat="1" applyFont="1"/>
    <xf numFmtId="0" fontId="2" fillId="3" borderId="0" xfId="0" applyFont="1" applyFill="1"/>
    <xf numFmtId="0" fontId="3" fillId="3" borderId="3" xfId="0" applyFont="1" applyFill="1" applyBorder="1"/>
    <xf numFmtId="0" fontId="3" fillId="3" borderId="0" xfId="0" applyFont="1" applyFill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0" fontId="2" fillId="0" borderId="3" xfId="0" applyFont="1" applyBorder="1"/>
    <xf numFmtId="168" fontId="8" fillId="0" borderId="0" xfId="0" applyNumberFormat="1" applyFont="1"/>
    <xf numFmtId="0" fontId="2" fillId="2" borderId="5" xfId="0" applyFont="1" applyFill="1" applyBorder="1"/>
    <xf numFmtId="0" fontId="2" fillId="2" borderId="6" xfId="0" applyFont="1" applyFill="1" applyBorder="1"/>
    <xf numFmtId="168" fontId="2" fillId="2" borderId="6" xfId="0" applyNumberFormat="1" applyFont="1" applyFill="1" applyBorder="1"/>
    <xf numFmtId="168" fontId="2" fillId="0" borderId="0" xfId="0" applyNumberFormat="1" applyFont="1"/>
    <xf numFmtId="0" fontId="2" fillId="2" borderId="7" xfId="0" applyFont="1" applyFill="1" applyBorder="1"/>
    <xf numFmtId="0" fontId="2" fillId="2" borderId="8" xfId="0" applyFont="1" applyFill="1" applyBorder="1"/>
    <xf numFmtId="168" fontId="2" fillId="2" borderId="8" xfId="0" applyNumberFormat="1" applyFont="1" applyFill="1" applyBorder="1"/>
    <xf numFmtId="0" fontId="2" fillId="0" borderId="7" xfId="0" applyFont="1" applyBorder="1"/>
    <xf numFmtId="0" fontId="2" fillId="0" borderId="8" xfId="0" applyFont="1" applyBorder="1"/>
    <xf numFmtId="169" fontId="2" fillId="2" borderId="6" xfId="0" applyNumberFormat="1" applyFont="1" applyFill="1" applyBorder="1"/>
    <xf numFmtId="164" fontId="9" fillId="5" borderId="9" xfId="0" applyNumberFormat="1" applyFont="1" applyFill="1" applyBorder="1"/>
    <xf numFmtId="170" fontId="2" fillId="0" borderId="9" xfId="0" applyNumberFormat="1" applyFont="1" applyBorder="1"/>
    <xf numFmtId="10" fontId="9" fillId="0" borderId="9" xfId="0" applyNumberFormat="1" applyFont="1" applyBorder="1"/>
    <xf numFmtId="0" fontId="2" fillId="0" borderId="9" xfId="0" applyFont="1" applyBorder="1"/>
    <xf numFmtId="170" fontId="2" fillId="2" borderId="10" xfId="0" applyNumberFormat="1" applyFont="1" applyFill="1" applyBorder="1"/>
    <xf numFmtId="165" fontId="9" fillId="0" borderId="9" xfId="0" applyNumberFormat="1" applyFont="1" applyBorder="1"/>
    <xf numFmtId="169" fontId="2" fillId="0" borderId="9" xfId="0" applyNumberFormat="1" applyFont="1" applyBorder="1"/>
    <xf numFmtId="169" fontId="2" fillId="2" borderId="10" xfId="0" applyNumberFormat="1" applyFont="1" applyFill="1" applyBorder="1"/>
    <xf numFmtId="171" fontId="5" fillId="0" borderId="9" xfId="0" applyNumberFormat="1" applyFont="1" applyBorder="1"/>
    <xf numFmtId="4" fontId="2" fillId="2" borderId="10" xfId="0" applyNumberFormat="1" applyFont="1" applyFill="1" applyBorder="1"/>
    <xf numFmtId="0" fontId="5" fillId="0" borderId="9" xfId="0" applyFont="1" applyBorder="1"/>
    <xf numFmtId="164" fontId="2" fillId="2" borderId="10" xfId="2" applyNumberFormat="1" applyFont="1" applyFill="1" applyBorder="1"/>
    <xf numFmtId="164" fontId="3" fillId="3" borderId="0" xfId="0" applyNumberFormat="1" applyFont="1" applyFill="1"/>
    <xf numFmtId="0" fontId="3" fillId="3" borderId="0" xfId="0" applyFont="1" applyFill="1" applyAlignment="1">
      <alignment horizontal="center"/>
    </xf>
    <xf numFmtId="164" fontId="10" fillId="3" borderId="0" xfId="0" applyNumberFormat="1" applyFont="1" applyFill="1"/>
    <xf numFmtId="10" fontId="3" fillId="3" borderId="0" xfId="2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 textRotation="90"/>
    </xf>
    <xf numFmtId="10" fontId="3" fillId="3" borderId="0" xfId="0" applyNumberFormat="1" applyFont="1" applyFill="1"/>
    <xf numFmtId="172" fontId="9" fillId="0" borderId="0" xfId="2" applyNumberFormat="1" applyFont="1" applyAlignment="1">
      <alignment horizontal="center"/>
    </xf>
    <xf numFmtId="172" fontId="9" fillId="2" borderId="0" xfId="2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72" fontId="9" fillId="0" borderId="11" xfId="2" applyNumberFormat="1" applyFont="1" applyBorder="1" applyAlignment="1">
      <alignment horizontal="center"/>
    </xf>
    <xf numFmtId="0" fontId="11" fillId="0" borderId="0" xfId="0" applyFont="1"/>
    <xf numFmtId="10" fontId="5" fillId="0" borderId="12" xfId="0" applyNumberFormat="1" applyFont="1" applyBorder="1"/>
    <xf numFmtId="0" fontId="2" fillId="0" borderId="0" xfId="0" applyFont="1" applyAlignment="1">
      <alignment wrapText="1"/>
    </xf>
    <xf numFmtId="10" fontId="2" fillId="0" borderId="9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0" fontId="5" fillId="0" borderId="15" xfId="0" applyNumberFormat="1" applyFont="1" applyBorder="1"/>
    <xf numFmtId="0" fontId="2" fillId="2" borderId="16" xfId="0" applyFont="1" applyFill="1" applyBorder="1"/>
    <xf numFmtId="0" fontId="2" fillId="2" borderId="17" xfId="0" applyFont="1" applyFill="1" applyBorder="1"/>
    <xf numFmtId="10" fontId="5" fillId="0" borderId="9" xfId="0" applyNumberFormat="1" applyFont="1" applyBorder="1"/>
    <xf numFmtId="10" fontId="2" fillId="0" borderId="15" xfId="0" applyNumberFormat="1" applyFont="1" applyBorder="1"/>
    <xf numFmtId="9" fontId="2" fillId="0" borderId="0" xfId="2" applyFont="1"/>
    <xf numFmtId="173" fontId="4" fillId="0" borderId="0" xfId="0" applyNumberFormat="1" applyFont="1"/>
    <xf numFmtId="173" fontId="2" fillId="2" borderId="6" xfId="0" applyNumberFormat="1" applyFont="1" applyFill="1" applyBorder="1"/>
    <xf numFmtId="173" fontId="2" fillId="0" borderId="0" xfId="0" applyNumberFormat="1" applyFont="1"/>
    <xf numFmtId="0" fontId="2" fillId="0" borderId="6" xfId="0" applyFont="1" applyBorder="1"/>
    <xf numFmtId="173" fontId="2" fillId="0" borderId="6" xfId="0" applyNumberFormat="1" applyFont="1" applyBorder="1"/>
    <xf numFmtId="0" fontId="7" fillId="0" borderId="18" xfId="0" applyFont="1" applyBorder="1"/>
    <xf numFmtId="0" fontId="12" fillId="6" borderId="19" xfId="0" applyFont="1" applyFill="1" applyBorder="1"/>
    <xf numFmtId="0" fontId="7" fillId="0" borderId="0" xfId="0" applyFont="1"/>
    <xf numFmtId="0" fontId="7" fillId="6" borderId="20" xfId="0" applyFont="1" applyFill="1" applyBorder="1" applyAlignment="1">
      <alignment horizontal="right"/>
    </xf>
    <xf numFmtId="0" fontId="13" fillId="3" borderId="0" xfId="0" applyFont="1" applyFill="1"/>
    <xf numFmtId="166" fontId="13" fillId="3" borderId="0" xfId="0" applyNumberFormat="1" applyFont="1" applyFill="1"/>
    <xf numFmtId="167" fontId="13" fillId="3" borderId="0" xfId="0" applyNumberFormat="1" applyFont="1" applyFill="1"/>
    <xf numFmtId="173" fontId="14" fillId="0" borderId="0" xfId="0" applyNumberFormat="1" applyFont="1"/>
    <xf numFmtId="173" fontId="15" fillId="0" borderId="0" xfId="0" applyNumberFormat="1" applyFont="1"/>
    <xf numFmtId="0" fontId="16" fillId="0" borderId="0" xfId="0" applyFont="1" applyAlignment="1">
      <alignment horizontal="left" indent="1"/>
    </xf>
    <xf numFmtId="164" fontId="7" fillId="0" borderId="0" xfId="0" applyNumberFormat="1" applyFont="1"/>
    <xf numFmtId="164" fontId="12" fillId="0" borderId="0" xfId="0" applyNumberFormat="1" applyFont="1"/>
    <xf numFmtId="0" fontId="17" fillId="7" borderId="6" xfId="0" applyFont="1" applyFill="1" applyBorder="1"/>
    <xf numFmtId="173" fontId="17" fillId="7" borderId="6" xfId="0" applyNumberFormat="1" applyFont="1" applyFill="1" applyBorder="1"/>
    <xf numFmtId="0" fontId="18" fillId="0" borderId="0" xfId="0" applyFont="1"/>
    <xf numFmtId="0" fontId="7" fillId="0" borderId="21" xfId="0" applyFont="1" applyBorder="1"/>
    <xf numFmtId="164" fontId="15" fillId="0" borderId="0" xfId="2" applyNumberFormat="1" applyFont="1" applyFill="1" applyBorder="1" applyAlignment="1">
      <alignment horizontal="right"/>
    </xf>
    <xf numFmtId="43" fontId="19" fillId="0" borderId="0" xfId="1" applyFont="1" applyFill="1" applyBorder="1"/>
    <xf numFmtId="164" fontId="20" fillId="0" borderId="0" xfId="2" applyNumberFormat="1" applyFont="1" applyFill="1" applyBorder="1" applyAlignment="1">
      <alignment horizontal="right"/>
    </xf>
    <xf numFmtId="164" fontId="20" fillId="0" borderId="0" xfId="2" applyNumberFormat="1" applyFont="1" applyFill="1" applyBorder="1"/>
    <xf numFmtId="43" fontId="7" fillId="0" borderId="0" xfId="0" applyNumberFormat="1" applyFont="1"/>
    <xf numFmtId="173" fontId="7" fillId="0" borderId="0" xfId="0" applyNumberFormat="1" applyFont="1"/>
    <xf numFmtId="174" fontId="2" fillId="0" borderId="0" xfId="0" applyNumberFormat="1" applyFont="1"/>
    <xf numFmtId="164" fontId="12" fillId="8" borderId="0" xfId="0" applyNumberFormat="1" applyFont="1" applyFill="1"/>
    <xf numFmtId="0" fontId="15" fillId="6" borderId="19" xfId="0" applyFont="1" applyFill="1" applyBorder="1" applyAlignment="1">
      <alignment horizontal="right"/>
    </xf>
    <xf numFmtId="10" fontId="2" fillId="0" borderId="8" xfId="0" applyNumberFormat="1" applyFont="1" applyBorder="1"/>
    <xf numFmtId="0" fontId="21" fillId="0" borderId="0" xfId="0" applyFont="1"/>
    <xf numFmtId="43" fontId="19" fillId="0" borderId="0" xfId="1" applyFont="1"/>
    <xf numFmtId="9" fontId="7" fillId="0" borderId="0" xfId="0" applyNumberFormat="1" applyFont="1"/>
    <xf numFmtId="175" fontId="7" fillId="0" borderId="0" xfId="0" applyNumberFormat="1" applyFont="1"/>
    <xf numFmtId="2" fontId="7" fillId="0" borderId="0" xfId="0" applyNumberFormat="1" applyFont="1"/>
    <xf numFmtId="164" fontId="7" fillId="0" borderId="0" xfId="2" applyNumberFormat="1" applyFont="1"/>
    <xf numFmtId="164" fontId="2" fillId="0" borderId="0" xfId="2" applyNumberFormat="1" applyFont="1"/>
    <xf numFmtId="168" fontId="4" fillId="0" borderId="0" xfId="0" applyNumberFormat="1" applyFont="1"/>
    <xf numFmtId="168" fontId="2" fillId="0" borderId="6" xfId="0" applyNumberFormat="1" applyFont="1" applyBorder="1"/>
    <xf numFmtId="168" fontId="3" fillId="3" borderId="0" xfId="0" applyNumberFormat="1" applyFont="1" applyFill="1"/>
    <xf numFmtId="168" fontId="13" fillId="3" borderId="0" xfId="0" applyNumberFormat="1" applyFont="1" applyFill="1"/>
    <xf numFmtId="168" fontId="2" fillId="0" borderId="0" xfId="2" applyNumberFormat="1" applyFont="1"/>
    <xf numFmtId="0" fontId="22" fillId="0" borderId="0" xfId="0" applyFont="1"/>
    <xf numFmtId="171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showGridLines="0" tabSelected="1" zoomScale="138" zoomScaleNormal="130" workbookViewId="0">
      <selection activeCell="I35" sqref="I35"/>
    </sheetView>
  </sheetViews>
  <sheetFormatPr baseColWidth="10" defaultColWidth="8.83203125" defaultRowHeight="14" outlineLevelCol="1" x14ac:dyDescent="0.2"/>
  <cols>
    <col min="1" max="2" width="0.83203125" style="69" customWidth="1"/>
    <col min="3" max="3" width="52.33203125" style="69" bestFit="1" customWidth="1"/>
    <col min="4" max="8" width="15.5" style="69" customWidth="1" outlineLevel="1"/>
    <col min="9" max="13" width="15.5" style="69" customWidth="1"/>
    <col min="14" max="14" width="0.83203125" style="69" customWidth="1"/>
    <col min="15" max="19" width="8.83203125" style="69"/>
    <col min="20" max="20" width="17.83203125" style="69" bestFit="1" customWidth="1"/>
    <col min="21" max="16384" width="8.83203125" style="69"/>
  </cols>
  <sheetData>
    <row r="1" spans="1:13" ht="5" customHeight="1" x14ac:dyDescent="0.2">
      <c r="A1" s="81"/>
    </row>
    <row r="2" spans="1:13" ht="5" customHeight="1" x14ac:dyDescent="0.2">
      <c r="D2" s="82"/>
    </row>
    <row r="3" spans="1:13" ht="14.75" customHeight="1" x14ac:dyDescent="0.2">
      <c r="C3" s="67" t="s">
        <v>0</v>
      </c>
      <c r="D3" s="68">
        <f>DCF!D5</f>
        <v>1</v>
      </c>
    </row>
    <row r="4" spans="1:13" ht="14.75" customHeight="1" x14ac:dyDescent="0.2">
      <c r="C4" s="69" t="s">
        <v>1</v>
      </c>
      <c r="D4" s="70" t="str">
        <f>DCF!D6</f>
        <v>Base</v>
      </c>
      <c r="E4" s="69" t="s">
        <v>2</v>
      </c>
    </row>
    <row r="5" spans="1:13" ht="5" customHeight="1" x14ac:dyDescent="0.2"/>
    <row r="6" spans="1:13" ht="14.75" customHeight="1" x14ac:dyDescent="0.2">
      <c r="C6" s="71" t="s">
        <v>3</v>
      </c>
      <c r="D6" s="72">
        <v>2021</v>
      </c>
      <c r="E6" s="72">
        <v>2022</v>
      </c>
      <c r="F6" s="72">
        <v>2023</v>
      </c>
      <c r="G6" s="72"/>
      <c r="H6" s="72"/>
      <c r="I6" s="73">
        <v>2024</v>
      </c>
      <c r="J6" s="73">
        <v>2025</v>
      </c>
      <c r="K6" s="73">
        <v>2026</v>
      </c>
      <c r="L6" s="73">
        <v>2027</v>
      </c>
      <c r="M6" s="73">
        <v>2028</v>
      </c>
    </row>
    <row r="7" spans="1:13" ht="5" customHeight="1" x14ac:dyDescent="0.2"/>
    <row r="8" spans="1:13" ht="14.75" customHeight="1" x14ac:dyDescent="0.2">
      <c r="C8" s="69" t="s">
        <v>4</v>
      </c>
      <c r="D8" s="83" t="str">
        <f t="shared" ref="D8:M8" si="0">CHOOSE($D$3,D24,D40,D55)</f>
        <v>n.a.</v>
      </c>
      <c r="E8" s="83">
        <f>CHOOSE($D$3,E24,E40,E55)</f>
        <v>0.18155970755483342</v>
      </c>
      <c r="F8" s="83">
        <f t="shared" si="0"/>
        <v>0.12189755929872814</v>
      </c>
      <c r="G8" s="83">
        <f t="shared" si="0"/>
        <v>0</v>
      </c>
      <c r="H8" s="83">
        <f t="shared" si="0"/>
        <v>0</v>
      </c>
      <c r="I8" s="83">
        <f>CHOOSE($D$3,I24,I40,I55)</f>
        <v>0.10000000000000009</v>
      </c>
      <c r="J8" s="83">
        <f t="shared" si="0"/>
        <v>0.10000000000000009</v>
      </c>
      <c r="K8" s="83">
        <f t="shared" si="0"/>
        <v>0.10000000000000009</v>
      </c>
      <c r="L8" s="83">
        <f>CHOOSE($D$3,L24,L40,L55)</f>
        <v>0.10000000000000009</v>
      </c>
      <c r="M8" s="83">
        <f t="shared" si="0"/>
        <v>0.10000000000000009</v>
      </c>
    </row>
    <row r="9" spans="1:13" ht="14.75" customHeight="1" x14ac:dyDescent="0.2">
      <c r="C9" s="69" t="s">
        <v>5</v>
      </c>
      <c r="D9" s="83">
        <f t="shared" ref="D9:M9" si="1">CHOOSE($D$3,D25,D41,D56)</f>
        <v>0.61699999999999999</v>
      </c>
      <c r="E9" s="83">
        <f t="shared" si="1"/>
        <v>0.623</v>
      </c>
      <c r="F9" s="83">
        <f t="shared" si="1"/>
        <v>0.58899999999999997</v>
      </c>
      <c r="G9" s="83">
        <f t="shared" si="1"/>
        <v>0</v>
      </c>
      <c r="H9" s="83">
        <f t="shared" si="1"/>
        <v>0</v>
      </c>
      <c r="I9" s="83">
        <f t="shared" si="1"/>
        <v>0.61199999999999999</v>
      </c>
      <c r="J9" s="83">
        <f t="shared" si="1"/>
        <v>0.61199999999999999</v>
      </c>
      <c r="K9" s="83">
        <f t="shared" si="1"/>
        <v>0.61199999999999999</v>
      </c>
      <c r="L9" s="83">
        <f t="shared" si="1"/>
        <v>0.61199999999999999</v>
      </c>
      <c r="M9" s="83">
        <f t="shared" si="1"/>
        <v>0.61199999999999999</v>
      </c>
    </row>
    <row r="10" spans="1:13" ht="14.75" customHeight="1" x14ac:dyDescent="0.2">
      <c r="C10" s="69" t="s">
        <v>6</v>
      </c>
      <c r="D10" s="83">
        <f t="shared" ref="D10:M10" si="2">CHOOSE($D$3,D26,D42,D57)</f>
        <v>0.209339</v>
      </c>
      <c r="E10" s="83">
        <f t="shared" si="2"/>
        <v>0.204847</v>
      </c>
      <c r="F10" s="83">
        <f t="shared" si="2"/>
        <v>0.21848100000000001</v>
      </c>
      <c r="G10" s="83">
        <f t="shared" si="2"/>
        <v>0</v>
      </c>
      <c r="H10" s="83">
        <f t="shared" si="2"/>
        <v>0</v>
      </c>
      <c r="I10" s="83">
        <f t="shared" si="2"/>
        <v>0.21</v>
      </c>
      <c r="J10" s="83">
        <f t="shared" si="2"/>
        <v>0.21</v>
      </c>
      <c r="K10" s="83">
        <f t="shared" si="2"/>
        <v>0.21</v>
      </c>
      <c r="L10" s="83">
        <f t="shared" si="2"/>
        <v>0.21</v>
      </c>
      <c r="M10" s="83">
        <f t="shared" si="2"/>
        <v>0.21</v>
      </c>
    </row>
    <row r="11" spans="1:13" ht="14.75" customHeight="1" x14ac:dyDescent="0.2">
      <c r="C11" s="69" t="s">
        <v>7</v>
      </c>
      <c r="D11" s="83">
        <f t="shared" ref="D11:M11" si="3">CHOOSE($D$3,D27,D43,D58)</f>
        <v>1.9740000000000001E-2</v>
      </c>
      <c r="E11" s="83">
        <f t="shared" si="3"/>
        <v>3.1931095268645709E-2</v>
      </c>
      <c r="F11" s="83">
        <f t="shared" si="3"/>
        <v>3.118334125590555E-2</v>
      </c>
      <c r="G11" s="83">
        <f t="shared" si="3"/>
        <v>0</v>
      </c>
      <c r="H11" s="83">
        <f t="shared" si="3"/>
        <v>0</v>
      </c>
      <c r="I11" s="83">
        <f t="shared" si="3"/>
        <v>2.7900000000000001E-2</v>
      </c>
      <c r="J11" s="83">
        <f t="shared" si="3"/>
        <v>2.7900000000000001E-2</v>
      </c>
      <c r="K11" s="83">
        <f t="shared" si="3"/>
        <v>2.7900000000000001E-2</v>
      </c>
      <c r="L11" s="83">
        <f t="shared" si="3"/>
        <v>2.7900000000000001E-2</v>
      </c>
      <c r="M11" s="83">
        <f t="shared" si="3"/>
        <v>2.7900000000000001E-2</v>
      </c>
    </row>
    <row r="12" spans="1:13" ht="14.75" customHeight="1" x14ac:dyDescent="0.2">
      <c r="C12" s="69" t="s">
        <v>8</v>
      </c>
      <c r="D12" s="83">
        <f t="shared" ref="D12:H12" si="4">CHOOSE($D$3,D28,D44,D59)</f>
        <v>1.0481442681523774E-2</v>
      </c>
      <c r="E12" s="83">
        <f t="shared" si="4"/>
        <v>2.0763E-2</v>
      </c>
      <c r="F12" s="83">
        <f t="shared" si="4"/>
        <v>2.1908E-2</v>
      </c>
      <c r="G12" s="83">
        <f t="shared" si="4"/>
        <v>0</v>
      </c>
      <c r="H12" s="83">
        <f t="shared" si="4"/>
        <v>0</v>
      </c>
      <c r="I12" s="83">
        <f t="shared" ref="I12:M13" si="5">CHOOSE($D$3,I28,I44,I59)</f>
        <v>1.7704481480435241E-2</v>
      </c>
      <c r="J12" s="83">
        <f t="shared" si="5"/>
        <v>1.7704481480435241E-2</v>
      </c>
      <c r="K12" s="83">
        <f t="shared" si="5"/>
        <v>1.7704481480435241E-2</v>
      </c>
      <c r="L12" s="83">
        <f t="shared" si="5"/>
        <v>1.7704481480435241E-2</v>
      </c>
      <c r="M12" s="83">
        <f t="shared" si="5"/>
        <v>1.7704481480435241E-2</v>
      </c>
    </row>
    <row r="13" spans="1:13" ht="14.75" customHeight="1" x14ac:dyDescent="0.2">
      <c r="C13" s="69" t="s">
        <v>9</v>
      </c>
      <c r="D13" s="83">
        <f t="shared" ref="D13:H13" si="6">CHOOSE($D$3,D29,D45,D60)</f>
        <v>0.14904899999999999</v>
      </c>
      <c r="E13" s="83">
        <f t="shared" si="6"/>
        <v>0.15404100000000001</v>
      </c>
      <c r="F13" s="83">
        <f t="shared" si="6"/>
        <v>0.13500000000000001</v>
      </c>
      <c r="G13" s="83">
        <f t="shared" si="6"/>
        <v>0</v>
      </c>
      <c r="H13" s="83">
        <f t="shared" si="6"/>
        <v>0</v>
      </c>
      <c r="I13" s="83">
        <f t="shared" si="5"/>
        <v>0.14600157989309337</v>
      </c>
      <c r="J13" s="83">
        <f t="shared" si="5"/>
        <v>0.14600157989309337</v>
      </c>
      <c r="K13" s="83">
        <f t="shared" si="5"/>
        <v>0.14600157989309337</v>
      </c>
      <c r="L13" s="83">
        <f t="shared" si="5"/>
        <v>0.14600157989309337</v>
      </c>
      <c r="M13" s="83">
        <f t="shared" si="5"/>
        <v>0.14600157989309337</v>
      </c>
    </row>
    <row r="14" spans="1:13" ht="14.75" customHeight="1" x14ac:dyDescent="0.2">
      <c r="C14" s="69" t="s">
        <v>10</v>
      </c>
      <c r="D14" s="83">
        <f t="shared" ref="D14:M14" si="7">CHOOSE($D$3,D30,D46,D61)</f>
        <v>4.4039000000000002E-2</v>
      </c>
      <c r="E14" s="83">
        <f t="shared" si="7"/>
        <v>3.9261999999999998E-2</v>
      </c>
      <c r="F14" s="83">
        <f t="shared" si="7"/>
        <v>4.3331000000000001E-2</v>
      </c>
      <c r="G14" s="83">
        <f t="shared" si="7"/>
        <v>0</v>
      </c>
      <c r="H14" s="83">
        <f t="shared" si="7"/>
        <v>0</v>
      </c>
      <c r="I14" s="83">
        <f t="shared" si="7"/>
        <v>4.2208539105389464E-2</v>
      </c>
      <c r="J14" s="83">
        <f t="shared" si="7"/>
        <v>4.2208539105389464E-2</v>
      </c>
      <c r="K14" s="83">
        <f t="shared" si="7"/>
        <v>4.2208539105389464E-2</v>
      </c>
      <c r="L14" s="83">
        <f t="shared" si="7"/>
        <v>4.2208539105389464E-2</v>
      </c>
      <c r="M14" s="83">
        <f t="shared" si="7"/>
        <v>4.2208539105389464E-2</v>
      </c>
    </row>
    <row r="15" spans="1:13" ht="14.75" customHeight="1" x14ac:dyDescent="0.2">
      <c r="C15" s="69" t="s">
        <v>11</v>
      </c>
      <c r="D15" s="83">
        <f t="shared" ref="D15:M15" si="8">CHOOSE($D$3,D31,D47,D62)</f>
        <v>1.6045E-2</v>
      </c>
      <c r="E15" s="83">
        <f t="shared" si="8"/>
        <v>1.5776999999999999E-2</v>
      </c>
      <c r="F15" s="83">
        <f t="shared" si="8"/>
        <v>2.1759000000000001E-2</v>
      </c>
      <c r="G15" s="83">
        <f t="shared" si="8"/>
        <v>0</v>
      </c>
      <c r="H15" s="83">
        <f t="shared" si="8"/>
        <v>0</v>
      </c>
      <c r="I15" s="83">
        <f t="shared" si="8"/>
        <v>1.7856598959380188E-2</v>
      </c>
      <c r="J15" s="83">
        <f t="shared" si="8"/>
        <v>1.7856598959380188E-2</v>
      </c>
      <c r="K15" s="83">
        <f t="shared" si="8"/>
        <v>1.7856598959380188E-2</v>
      </c>
      <c r="L15" s="83">
        <f t="shared" si="8"/>
        <v>1.7856598959380188E-2</v>
      </c>
      <c r="M15" s="83">
        <f t="shared" si="8"/>
        <v>1.7856598959380188E-2</v>
      </c>
    </row>
    <row r="16" spans="1:13" ht="14.75" customHeight="1" x14ac:dyDescent="0.2">
      <c r="C16" s="69" t="s">
        <v>12</v>
      </c>
      <c r="D16" s="83">
        <f t="shared" ref="D16:M16" si="9">CHOOSE($D$3,D32,D48,D63)</f>
        <v>0</v>
      </c>
      <c r="E16" s="83">
        <f t="shared" si="9"/>
        <v>0.199271</v>
      </c>
      <c r="F16" s="83">
        <f t="shared" si="9"/>
        <v>0.184674</v>
      </c>
      <c r="G16" s="83">
        <f t="shared" si="9"/>
        <v>0</v>
      </c>
      <c r="H16" s="83">
        <f t="shared" si="9"/>
        <v>0</v>
      </c>
      <c r="I16" s="83">
        <f t="shared" si="9"/>
        <v>0.12418744226409628</v>
      </c>
      <c r="J16" s="83">
        <f t="shared" si="9"/>
        <v>0.12418744226409628</v>
      </c>
      <c r="K16" s="83">
        <f t="shared" si="9"/>
        <v>0.12418744226409628</v>
      </c>
      <c r="L16" s="83">
        <f t="shared" si="9"/>
        <v>0.12418744226409628</v>
      </c>
      <c r="M16" s="83">
        <f t="shared" si="9"/>
        <v>0.12418744226409628</v>
      </c>
    </row>
    <row r="17" spans="3:20" ht="14.75" customHeight="1" x14ac:dyDescent="0.2">
      <c r="C17" s="69" t="s">
        <v>13</v>
      </c>
      <c r="D17" s="83">
        <f t="shared" ref="D17:M17" si="10">CHOOSE($D$3,D33,D49,D64)</f>
        <v>0</v>
      </c>
      <c r="E17" s="83">
        <f t="shared" si="10"/>
        <v>8.3292000000000005E-2</v>
      </c>
      <c r="F17" s="83">
        <f t="shared" si="10"/>
        <v>0.64368000000000003</v>
      </c>
      <c r="G17" s="83">
        <f t="shared" si="10"/>
        <v>0</v>
      </c>
      <c r="H17" s="83">
        <f t="shared" si="10"/>
        <v>0</v>
      </c>
      <c r="I17" s="83">
        <f t="shared" si="10"/>
        <v>0.21205111541800914</v>
      </c>
      <c r="J17" s="83">
        <f t="shared" si="10"/>
        <v>0.21205111541800914</v>
      </c>
      <c r="K17" s="83">
        <f t="shared" si="10"/>
        <v>0.21205111541800914</v>
      </c>
      <c r="L17" s="83">
        <f t="shared" si="10"/>
        <v>0.21205111541800914</v>
      </c>
      <c r="M17" s="83">
        <f t="shared" si="10"/>
        <v>0.21205111541800914</v>
      </c>
    </row>
    <row r="18" spans="3:20" ht="14.75" customHeight="1" x14ac:dyDescent="0.2">
      <c r="C18" s="69" t="s">
        <v>14</v>
      </c>
      <c r="D18" s="83">
        <f t="shared" ref="D18:M18" si="11">CHOOSE($D$3,D34,D50,D65)</f>
        <v>0</v>
      </c>
      <c r="E18" s="83">
        <f t="shared" si="11"/>
        <v>2.8808E-2</v>
      </c>
      <c r="F18" s="83">
        <f t="shared" si="11"/>
        <v>4.4587000000000002E-2</v>
      </c>
      <c r="G18" s="83">
        <f t="shared" si="11"/>
        <v>0</v>
      </c>
      <c r="H18" s="83">
        <f t="shared" si="11"/>
        <v>0</v>
      </c>
      <c r="I18" s="83">
        <f t="shared" si="11"/>
        <v>2.4297980467292479E-2</v>
      </c>
      <c r="J18" s="83">
        <f t="shared" si="11"/>
        <v>2.4297980467292479E-2</v>
      </c>
      <c r="K18" s="83">
        <f t="shared" si="11"/>
        <v>2.4297980467292479E-2</v>
      </c>
      <c r="L18" s="83">
        <f t="shared" si="11"/>
        <v>2.4297980467292479E-2</v>
      </c>
      <c r="M18" s="83">
        <f t="shared" si="11"/>
        <v>2.4297980467292479E-2</v>
      </c>
      <c r="N18" s="83">
        <v>0</v>
      </c>
    </row>
    <row r="19" spans="3:20" x14ac:dyDescent="0.2">
      <c r="C19" s="69" t="s">
        <v>15</v>
      </c>
      <c r="D19" s="84">
        <f t="shared" ref="D19:M19" si="12">CHOOSE($D$3,D35,D51,D66)</f>
        <v>0</v>
      </c>
      <c r="E19" s="84">
        <f t="shared" si="12"/>
        <v>1.9528000000000001</v>
      </c>
      <c r="F19" s="84">
        <f t="shared" si="12"/>
        <v>2.4436</v>
      </c>
      <c r="G19" s="84">
        <f t="shared" si="12"/>
        <v>0</v>
      </c>
      <c r="H19" s="84">
        <f t="shared" si="12"/>
        <v>0</v>
      </c>
      <c r="I19" s="84">
        <f t="shared" si="12"/>
        <v>2.1887712492431941</v>
      </c>
      <c r="J19" s="84">
        <f t="shared" si="12"/>
        <v>2.1887712492431941</v>
      </c>
      <c r="K19" s="84">
        <f t="shared" si="12"/>
        <v>2.1887712492431941</v>
      </c>
      <c r="L19" s="84">
        <f t="shared" si="12"/>
        <v>2.1887712492431941</v>
      </c>
      <c r="M19" s="84">
        <f t="shared" si="12"/>
        <v>2.1887712492431941</v>
      </c>
    </row>
    <row r="20" spans="3:20" ht="5" customHeight="1" x14ac:dyDescent="0.2">
      <c r="D20" s="83"/>
      <c r="E20" s="83"/>
      <c r="F20" s="83"/>
      <c r="G20" s="83"/>
      <c r="H20" s="83"/>
      <c r="I20" s="83"/>
      <c r="J20" s="83"/>
      <c r="K20" s="83"/>
      <c r="L20" s="83"/>
      <c r="M20" s="83"/>
    </row>
    <row r="21" spans="3:20" ht="5" customHeight="1" x14ac:dyDescent="0.2"/>
    <row r="22" spans="3:20" ht="14.75" customHeight="1" x14ac:dyDescent="0.2">
      <c r="C22" s="71" t="s">
        <v>16</v>
      </c>
      <c r="D22" s="72">
        <v>2021</v>
      </c>
      <c r="E22" s="72">
        <v>2022</v>
      </c>
      <c r="F22" s="72">
        <v>2023</v>
      </c>
      <c r="G22" s="72"/>
      <c r="H22" s="72"/>
      <c r="I22" s="73">
        <v>2024</v>
      </c>
      <c r="J22" s="73">
        <v>2025</v>
      </c>
      <c r="K22" s="73">
        <v>2026</v>
      </c>
      <c r="L22" s="73">
        <v>2027</v>
      </c>
      <c r="M22" s="73">
        <v>2028</v>
      </c>
    </row>
    <row r="23" spans="3:20" ht="13" customHeight="1" x14ac:dyDescent="0.2">
      <c r="O23" s="69" t="s">
        <v>17</v>
      </c>
    </row>
    <row r="24" spans="3:20" x14ac:dyDescent="0.2">
      <c r="C24" s="69" t="s">
        <v>4</v>
      </c>
      <c r="D24" s="85" t="s">
        <v>18</v>
      </c>
      <c r="E24" s="85">
        <f>Revenue!E18</f>
        <v>0.18155970755483342</v>
      </c>
      <c r="F24" s="85">
        <f>Revenue!F18</f>
        <v>0.12189755929872814</v>
      </c>
      <c r="G24" s="85"/>
      <c r="H24" s="85"/>
      <c r="I24" s="85">
        <f>Revenue!I22</f>
        <v>0.10000000000000009</v>
      </c>
      <c r="J24" s="85">
        <f>Revenue!J22</f>
        <v>0.10000000000000009</v>
      </c>
      <c r="K24" s="85">
        <f>Revenue!K22</f>
        <v>0.10000000000000009</v>
      </c>
      <c r="L24" s="85">
        <f>Revenue!L22</f>
        <v>0.10000000000000009</v>
      </c>
      <c r="M24" s="85">
        <f>Revenue!M22</f>
        <v>0.10000000000000009</v>
      </c>
    </row>
    <row r="25" spans="3:20" x14ac:dyDescent="0.2">
      <c r="C25" s="69" t="s">
        <v>5</v>
      </c>
      <c r="D25" s="85">
        <v>0.61699999999999999</v>
      </c>
      <c r="E25" s="85">
        <v>0.623</v>
      </c>
      <c r="F25" s="85">
        <v>0.58899999999999997</v>
      </c>
      <c r="G25" s="85"/>
      <c r="H25" s="85"/>
      <c r="I25" s="77">
        <v>0.61199999999999999</v>
      </c>
      <c r="J25" s="77">
        <v>0.61199999999999999</v>
      </c>
      <c r="K25" s="77">
        <v>0.61199999999999999</v>
      </c>
      <c r="L25" s="77">
        <v>0.61199999999999999</v>
      </c>
      <c r="M25" s="77">
        <v>0.61199999999999999</v>
      </c>
    </row>
    <row r="26" spans="3:20" x14ac:dyDescent="0.2">
      <c r="C26" s="69" t="s">
        <v>6</v>
      </c>
      <c r="D26" s="85">
        <v>0.209339</v>
      </c>
      <c r="E26" s="85">
        <v>0.204847</v>
      </c>
      <c r="F26" s="85">
        <v>0.21848100000000001</v>
      </c>
      <c r="G26" s="85"/>
      <c r="H26" s="85"/>
      <c r="I26" s="77">
        <v>0.21</v>
      </c>
      <c r="J26" s="77">
        <v>0.21</v>
      </c>
      <c r="K26" s="77">
        <v>0.21</v>
      </c>
      <c r="L26" s="77">
        <v>0.21</v>
      </c>
      <c r="M26" s="77">
        <v>0.21</v>
      </c>
    </row>
    <row r="27" spans="3:20" x14ac:dyDescent="0.2">
      <c r="C27" s="69" t="s">
        <v>7</v>
      </c>
      <c r="D27" s="85">
        <v>1.9740000000000001E-2</v>
      </c>
      <c r="E27" s="85">
        <v>3.1931095268645709E-2</v>
      </c>
      <c r="F27" s="85">
        <v>3.118334125590555E-2</v>
      </c>
      <c r="G27" s="85"/>
      <c r="H27" s="85"/>
      <c r="I27" s="77">
        <v>2.7900000000000001E-2</v>
      </c>
      <c r="J27" s="77">
        <v>2.7900000000000001E-2</v>
      </c>
      <c r="K27" s="77">
        <v>2.7900000000000001E-2</v>
      </c>
      <c r="L27" s="77">
        <v>2.7900000000000001E-2</v>
      </c>
      <c r="M27" s="77">
        <v>2.7900000000000001E-2</v>
      </c>
      <c r="P27" s="95"/>
      <c r="Q27" s="95"/>
      <c r="R27" s="95"/>
      <c r="T27" s="96"/>
    </row>
    <row r="28" spans="3:20" x14ac:dyDescent="0.2">
      <c r="C28" s="69" t="s">
        <v>8</v>
      </c>
      <c r="D28" s="85">
        <v>1.0481442681523774E-2</v>
      </c>
      <c r="E28" s="85">
        <v>2.0763E-2</v>
      </c>
      <c r="F28" s="85">
        <v>2.1908E-2</v>
      </c>
      <c r="G28" s="85"/>
      <c r="H28" s="85"/>
      <c r="I28" s="77" cm="1">
        <f t="array" ref="I28">GEOMEAN(1 + D28:F28) - 1</f>
        <v>1.7704481480435241E-2</v>
      </c>
      <c r="J28" s="77">
        <f>I28</f>
        <v>1.7704481480435241E-2</v>
      </c>
      <c r="K28" s="77">
        <f t="shared" ref="K28:M28" si="13">J28</f>
        <v>1.7704481480435241E-2</v>
      </c>
      <c r="L28" s="77">
        <f t="shared" si="13"/>
        <v>1.7704481480435241E-2</v>
      </c>
      <c r="M28" s="77">
        <f t="shared" si="13"/>
        <v>1.7704481480435241E-2</v>
      </c>
    </row>
    <row r="29" spans="3:20" x14ac:dyDescent="0.2">
      <c r="C29" s="69" t="s">
        <v>9</v>
      </c>
      <c r="D29" s="86">
        <v>0.14904899999999999</v>
      </c>
      <c r="E29" s="86">
        <v>0.15404100000000001</v>
      </c>
      <c r="F29" s="86">
        <v>0.13500000000000001</v>
      </c>
      <c r="G29" s="86"/>
      <c r="H29" s="86"/>
      <c r="I29" s="77" cm="1">
        <f t="array" ref="I29">GEOMEAN(1 + D29:F29) - 1</f>
        <v>0.14600157989309337</v>
      </c>
      <c r="J29" s="77">
        <f t="shared" ref="J29:M35" si="14">I29</f>
        <v>0.14600157989309337</v>
      </c>
      <c r="K29" s="77">
        <f t="shared" si="14"/>
        <v>0.14600157989309337</v>
      </c>
      <c r="L29" s="77">
        <f t="shared" si="14"/>
        <v>0.14600157989309337</v>
      </c>
      <c r="M29" s="77">
        <f t="shared" si="14"/>
        <v>0.14600157989309337</v>
      </c>
    </row>
    <row r="30" spans="3:20" x14ac:dyDescent="0.2">
      <c r="C30" s="69" t="s">
        <v>10</v>
      </c>
      <c r="D30" s="86">
        <v>4.4039000000000002E-2</v>
      </c>
      <c r="E30" s="86">
        <v>3.9261999999999998E-2</v>
      </c>
      <c r="F30" s="86">
        <v>4.3331000000000001E-2</v>
      </c>
      <c r="G30" s="86"/>
      <c r="H30" s="86"/>
      <c r="I30" s="77" cm="1">
        <f t="array" ref="I30">GEOMEAN(1 + D30:F30) - 1</f>
        <v>4.2208539105389464E-2</v>
      </c>
      <c r="J30" s="77">
        <f t="shared" si="14"/>
        <v>4.2208539105389464E-2</v>
      </c>
      <c r="K30" s="77">
        <f t="shared" si="14"/>
        <v>4.2208539105389464E-2</v>
      </c>
      <c r="L30" s="77">
        <f t="shared" si="14"/>
        <v>4.2208539105389464E-2</v>
      </c>
      <c r="M30" s="77">
        <f t="shared" si="14"/>
        <v>4.2208539105389464E-2</v>
      </c>
    </row>
    <row r="31" spans="3:20" x14ac:dyDescent="0.2">
      <c r="C31" s="69" t="s">
        <v>11</v>
      </c>
      <c r="D31" s="86">
        <v>1.6045E-2</v>
      </c>
      <c r="E31" s="86">
        <v>1.5776999999999999E-2</v>
      </c>
      <c r="F31" s="86">
        <v>2.1759000000000001E-2</v>
      </c>
      <c r="G31" s="86"/>
      <c r="H31" s="86"/>
      <c r="I31" s="77" cm="1">
        <f t="array" ref="I31">GEOMEAN(1 + D31:F31) - 1</f>
        <v>1.7856598959380188E-2</v>
      </c>
      <c r="J31" s="77">
        <f t="shared" si="14"/>
        <v>1.7856598959380188E-2</v>
      </c>
      <c r="K31" s="77">
        <f t="shared" si="14"/>
        <v>1.7856598959380188E-2</v>
      </c>
      <c r="L31" s="77">
        <f t="shared" si="14"/>
        <v>1.7856598959380188E-2</v>
      </c>
      <c r="M31" s="77">
        <f t="shared" si="14"/>
        <v>1.7856598959380188E-2</v>
      </c>
    </row>
    <row r="32" spans="3:20" x14ac:dyDescent="0.2">
      <c r="C32" s="69" t="s">
        <v>12</v>
      </c>
      <c r="D32" s="86"/>
      <c r="E32" s="86">
        <v>0.199271</v>
      </c>
      <c r="F32" s="86">
        <v>0.184674</v>
      </c>
      <c r="G32" s="86"/>
      <c r="H32" s="86"/>
      <c r="I32" s="98" cm="1">
        <f t="array" ref="I32">GEOMEAN(1 + D32:F32) - 1</f>
        <v>0.12418744226409628</v>
      </c>
      <c r="J32" s="98">
        <f t="shared" si="14"/>
        <v>0.12418744226409628</v>
      </c>
      <c r="K32" s="98">
        <f t="shared" si="14"/>
        <v>0.12418744226409628</v>
      </c>
      <c r="L32" s="98">
        <f t="shared" si="14"/>
        <v>0.12418744226409628</v>
      </c>
      <c r="M32" s="98">
        <f t="shared" si="14"/>
        <v>0.12418744226409628</v>
      </c>
    </row>
    <row r="33" spans="3:18" x14ac:dyDescent="0.2">
      <c r="C33" s="69" t="s">
        <v>13</v>
      </c>
      <c r="D33" s="86"/>
      <c r="E33" s="86">
        <v>8.3292000000000005E-2</v>
      </c>
      <c r="F33" s="86">
        <v>0.64368000000000003</v>
      </c>
      <c r="G33" s="86"/>
      <c r="H33" s="86"/>
      <c r="I33" s="99" cm="1">
        <f t="array" ref="I33">GEOMEAN(1 + D33:F33) - 1</f>
        <v>0.21205111541800914</v>
      </c>
      <c r="J33" s="98">
        <f t="shared" si="14"/>
        <v>0.21205111541800914</v>
      </c>
      <c r="K33" s="98">
        <f t="shared" si="14"/>
        <v>0.21205111541800914</v>
      </c>
      <c r="L33" s="98">
        <f t="shared" si="14"/>
        <v>0.21205111541800914</v>
      </c>
      <c r="M33" s="98">
        <f t="shared" si="14"/>
        <v>0.21205111541800914</v>
      </c>
    </row>
    <row r="34" spans="3:18" x14ac:dyDescent="0.2">
      <c r="C34" s="69" t="s">
        <v>14</v>
      </c>
      <c r="D34" s="86"/>
      <c r="E34" s="86">
        <v>2.8808E-2</v>
      </c>
      <c r="F34" s="86">
        <v>4.4587000000000002E-2</v>
      </c>
      <c r="G34" s="86"/>
      <c r="H34" s="86"/>
      <c r="I34" s="98" cm="1">
        <f t="array" ref="I34">GEOMEAN(1 + D34:F34) - 1</f>
        <v>2.4297980467292479E-2</v>
      </c>
      <c r="J34" s="98">
        <f t="shared" si="14"/>
        <v>2.4297980467292479E-2</v>
      </c>
      <c r="K34" s="98">
        <f t="shared" si="14"/>
        <v>2.4297980467292479E-2</v>
      </c>
      <c r="L34" s="98">
        <f t="shared" si="14"/>
        <v>2.4297980467292479E-2</v>
      </c>
      <c r="M34" s="98">
        <f t="shared" si="14"/>
        <v>2.4297980467292479E-2</v>
      </c>
    </row>
    <row r="35" spans="3:18" x14ac:dyDescent="0.2">
      <c r="C35" s="69" t="s">
        <v>15</v>
      </c>
      <c r="D35" s="84"/>
      <c r="E35" s="94">
        <v>1.9528000000000001</v>
      </c>
      <c r="F35" s="84">
        <v>2.4436</v>
      </c>
      <c r="G35" s="84"/>
      <c r="H35" s="84"/>
      <c r="I35" s="97" cm="1">
        <f t="array" ref="I35">GEOMEAN(1 + E35:F35) - 1</f>
        <v>2.1887712492431941</v>
      </c>
      <c r="J35" s="97">
        <f>I35</f>
        <v>2.1887712492431941</v>
      </c>
      <c r="K35" s="97">
        <f t="shared" ref="K35:L35" si="15">J35</f>
        <v>2.1887712492431941</v>
      </c>
      <c r="L35" s="97">
        <f t="shared" si="15"/>
        <v>2.1887712492431941</v>
      </c>
      <c r="M35" s="97">
        <f t="shared" si="14"/>
        <v>2.1887712492431941</v>
      </c>
    </row>
    <row r="36" spans="3:18" ht="5" customHeight="1" x14ac:dyDescent="0.2">
      <c r="D36" s="88"/>
      <c r="E36" s="88"/>
      <c r="F36" s="88"/>
      <c r="G36" s="88"/>
      <c r="H36" s="88"/>
      <c r="R36" s="95"/>
    </row>
    <row r="37" spans="3:18" ht="5" customHeight="1" x14ac:dyDescent="0.2">
      <c r="D37" s="88"/>
      <c r="E37" s="88"/>
      <c r="F37" s="88"/>
      <c r="G37" s="88"/>
      <c r="H37" s="88"/>
    </row>
    <row r="38" spans="3:18" x14ac:dyDescent="0.2">
      <c r="C38" s="71" t="s">
        <v>19</v>
      </c>
      <c r="D38" s="72">
        <v>2021</v>
      </c>
      <c r="E38" s="72">
        <v>2022</v>
      </c>
      <c r="F38" s="72">
        <v>2023</v>
      </c>
      <c r="G38" s="72"/>
      <c r="H38" s="72"/>
      <c r="I38" s="73">
        <v>2024</v>
      </c>
      <c r="J38" s="73">
        <v>2025</v>
      </c>
      <c r="K38" s="73">
        <v>2026</v>
      </c>
      <c r="L38" s="73">
        <v>2027</v>
      </c>
      <c r="M38" s="73">
        <v>2028</v>
      </c>
      <c r="O38" s="69" t="s">
        <v>20</v>
      </c>
    </row>
    <row r="39" spans="3:18" ht="5" customHeight="1" x14ac:dyDescent="0.2"/>
    <row r="40" spans="3:18" x14ac:dyDescent="0.2">
      <c r="C40" s="69" t="s">
        <v>4</v>
      </c>
      <c r="D40" s="85" t="str">
        <f>D24</f>
        <v>n.a.</v>
      </c>
      <c r="E40" s="85">
        <f t="shared" ref="E40:F40" si="16">E24</f>
        <v>0.18155970755483342</v>
      </c>
      <c r="F40" s="85">
        <f t="shared" si="16"/>
        <v>0.12189755929872814</v>
      </c>
      <c r="G40" s="85"/>
      <c r="H40" s="85"/>
      <c r="I40" s="85">
        <f>Revenue!I31</f>
        <v>0.14999999999999991</v>
      </c>
      <c r="J40" s="85">
        <f>Revenue!J31</f>
        <v>0.14999999999999991</v>
      </c>
      <c r="K40" s="85">
        <f>Revenue!K31</f>
        <v>0.14999999999999991</v>
      </c>
      <c r="L40" s="85">
        <f>Revenue!L31</f>
        <v>0.14999999999999991</v>
      </c>
      <c r="M40" s="85">
        <f>Revenue!M31</f>
        <v>0.14999999999999991</v>
      </c>
    </row>
    <row r="41" spans="3:18" x14ac:dyDescent="0.2">
      <c r="C41" s="69" t="s">
        <v>5</v>
      </c>
      <c r="D41" s="83">
        <f t="shared" ref="D41:F48" si="17">D25</f>
        <v>0.61699999999999999</v>
      </c>
      <c r="E41" s="83">
        <f>E25</f>
        <v>0.623</v>
      </c>
      <c r="F41" s="83">
        <f t="shared" si="17"/>
        <v>0.58899999999999997</v>
      </c>
      <c r="G41" s="83"/>
      <c r="H41" s="83"/>
      <c r="I41" s="77">
        <f t="shared" ref="I41:I50" si="18">I25*1.05</f>
        <v>0.64260000000000006</v>
      </c>
      <c r="J41" s="77">
        <f t="shared" ref="J41:M50" si="19">I41</f>
        <v>0.64260000000000006</v>
      </c>
      <c r="K41" s="77">
        <f t="shared" si="19"/>
        <v>0.64260000000000006</v>
      </c>
      <c r="L41" s="77">
        <f t="shared" si="19"/>
        <v>0.64260000000000006</v>
      </c>
      <c r="M41" s="77">
        <f t="shared" si="19"/>
        <v>0.64260000000000006</v>
      </c>
    </row>
    <row r="42" spans="3:18" x14ac:dyDescent="0.2">
      <c r="C42" s="69" t="s">
        <v>6</v>
      </c>
      <c r="D42" s="83">
        <f t="shared" si="17"/>
        <v>0.209339</v>
      </c>
      <c r="E42" s="83">
        <f t="shared" si="17"/>
        <v>0.204847</v>
      </c>
      <c r="F42" s="83">
        <f t="shared" si="17"/>
        <v>0.21848100000000001</v>
      </c>
      <c r="G42" s="83"/>
      <c r="H42" s="83"/>
      <c r="I42" s="77">
        <f t="shared" si="18"/>
        <v>0.2205</v>
      </c>
      <c r="J42" s="77">
        <f t="shared" si="19"/>
        <v>0.2205</v>
      </c>
      <c r="K42" s="77">
        <f t="shared" si="19"/>
        <v>0.2205</v>
      </c>
      <c r="L42" s="77">
        <f t="shared" si="19"/>
        <v>0.2205</v>
      </c>
      <c r="M42" s="77">
        <f t="shared" si="19"/>
        <v>0.2205</v>
      </c>
    </row>
    <row r="43" spans="3:18" x14ac:dyDescent="0.2">
      <c r="C43" s="69" t="s">
        <v>7</v>
      </c>
      <c r="D43" s="83">
        <f t="shared" si="17"/>
        <v>1.9740000000000001E-2</v>
      </c>
      <c r="E43" s="83">
        <f t="shared" si="17"/>
        <v>3.1931095268645709E-2</v>
      </c>
      <c r="F43" s="83">
        <f t="shared" si="17"/>
        <v>3.118334125590555E-2</v>
      </c>
      <c r="G43" s="83"/>
      <c r="H43" s="83"/>
      <c r="I43" s="77">
        <f t="shared" si="18"/>
        <v>2.9295000000000002E-2</v>
      </c>
      <c r="J43" s="77">
        <f t="shared" si="19"/>
        <v>2.9295000000000002E-2</v>
      </c>
      <c r="K43" s="77">
        <f t="shared" si="19"/>
        <v>2.9295000000000002E-2</v>
      </c>
      <c r="L43" s="77">
        <f t="shared" si="19"/>
        <v>2.9295000000000002E-2</v>
      </c>
      <c r="M43" s="77">
        <f t="shared" si="19"/>
        <v>2.9295000000000002E-2</v>
      </c>
    </row>
    <row r="44" spans="3:18" x14ac:dyDescent="0.2">
      <c r="C44" s="69" t="s">
        <v>8</v>
      </c>
      <c r="D44" s="83">
        <f t="shared" si="17"/>
        <v>1.0481442681523774E-2</v>
      </c>
      <c r="E44" s="83">
        <f t="shared" si="17"/>
        <v>2.0763E-2</v>
      </c>
      <c r="F44" s="83">
        <f t="shared" si="17"/>
        <v>2.1908E-2</v>
      </c>
      <c r="G44" s="83"/>
      <c r="H44" s="83"/>
      <c r="I44" s="77">
        <f t="shared" si="18"/>
        <v>1.8589705554457003E-2</v>
      </c>
      <c r="J44" s="77">
        <f t="shared" si="19"/>
        <v>1.8589705554457003E-2</v>
      </c>
      <c r="K44" s="77">
        <f t="shared" si="19"/>
        <v>1.8589705554457003E-2</v>
      </c>
      <c r="L44" s="77">
        <f t="shared" si="19"/>
        <v>1.8589705554457003E-2</v>
      </c>
      <c r="M44" s="77">
        <f t="shared" si="19"/>
        <v>1.8589705554457003E-2</v>
      </c>
    </row>
    <row r="45" spans="3:18" x14ac:dyDescent="0.2">
      <c r="C45" s="69" t="s">
        <v>9</v>
      </c>
      <c r="D45" s="83">
        <f t="shared" si="17"/>
        <v>0.14904899999999999</v>
      </c>
      <c r="E45" s="83">
        <f t="shared" si="17"/>
        <v>0.15404100000000001</v>
      </c>
      <c r="F45" s="83">
        <f t="shared" si="17"/>
        <v>0.13500000000000001</v>
      </c>
      <c r="G45" s="83"/>
      <c r="H45" s="83"/>
      <c r="I45" s="77">
        <f t="shared" si="18"/>
        <v>0.15330165888774805</v>
      </c>
      <c r="J45" s="77">
        <f t="shared" si="19"/>
        <v>0.15330165888774805</v>
      </c>
      <c r="K45" s="77">
        <f t="shared" si="19"/>
        <v>0.15330165888774805</v>
      </c>
      <c r="L45" s="77">
        <f t="shared" si="19"/>
        <v>0.15330165888774805</v>
      </c>
      <c r="M45" s="77">
        <f t="shared" si="19"/>
        <v>0.15330165888774805</v>
      </c>
    </row>
    <row r="46" spans="3:18" x14ac:dyDescent="0.2">
      <c r="C46" s="69" t="s">
        <v>10</v>
      </c>
      <c r="D46" s="83">
        <f t="shared" si="17"/>
        <v>4.4039000000000002E-2</v>
      </c>
      <c r="E46" s="83">
        <f t="shared" si="17"/>
        <v>3.9261999999999998E-2</v>
      </c>
      <c r="F46" s="83">
        <f t="shared" si="17"/>
        <v>4.3331000000000001E-2</v>
      </c>
      <c r="G46" s="83"/>
      <c r="H46" s="83"/>
      <c r="I46" s="77">
        <f t="shared" si="18"/>
        <v>4.4318966060658938E-2</v>
      </c>
      <c r="J46" s="77">
        <f t="shared" si="19"/>
        <v>4.4318966060658938E-2</v>
      </c>
      <c r="K46" s="77">
        <f t="shared" si="19"/>
        <v>4.4318966060658938E-2</v>
      </c>
      <c r="L46" s="77">
        <f t="shared" si="19"/>
        <v>4.4318966060658938E-2</v>
      </c>
      <c r="M46" s="77">
        <f t="shared" si="19"/>
        <v>4.4318966060658938E-2</v>
      </c>
    </row>
    <row r="47" spans="3:18" x14ac:dyDescent="0.2">
      <c r="C47" s="69" t="s">
        <v>11</v>
      </c>
      <c r="D47" s="83">
        <f>D31</f>
        <v>1.6045E-2</v>
      </c>
      <c r="E47" s="83">
        <f t="shared" si="17"/>
        <v>1.5776999999999999E-2</v>
      </c>
      <c r="F47" s="83">
        <f t="shared" si="17"/>
        <v>2.1759000000000001E-2</v>
      </c>
      <c r="G47" s="83"/>
      <c r="H47" s="83"/>
      <c r="I47" s="77">
        <f t="shared" si="18"/>
        <v>1.8749428907349198E-2</v>
      </c>
      <c r="J47" s="77">
        <f t="shared" si="19"/>
        <v>1.8749428907349198E-2</v>
      </c>
      <c r="K47" s="77">
        <f t="shared" si="19"/>
        <v>1.8749428907349198E-2</v>
      </c>
      <c r="L47" s="77">
        <f t="shared" si="19"/>
        <v>1.8749428907349198E-2</v>
      </c>
      <c r="M47" s="77">
        <f t="shared" si="19"/>
        <v>1.8749428907349198E-2</v>
      </c>
    </row>
    <row r="48" spans="3:18" x14ac:dyDescent="0.2">
      <c r="C48" s="69" t="s">
        <v>12</v>
      </c>
      <c r="D48" s="83">
        <f>D32</f>
        <v>0</v>
      </c>
      <c r="E48" s="83">
        <f t="shared" si="17"/>
        <v>0.199271</v>
      </c>
      <c r="F48" s="83">
        <f t="shared" si="17"/>
        <v>0.184674</v>
      </c>
      <c r="G48" s="83"/>
      <c r="H48" s="83"/>
      <c r="I48" s="77">
        <f t="shared" si="18"/>
        <v>0.13039681437730111</v>
      </c>
      <c r="J48" s="77">
        <f t="shared" si="19"/>
        <v>0.13039681437730111</v>
      </c>
      <c r="K48" s="77">
        <f t="shared" si="19"/>
        <v>0.13039681437730111</v>
      </c>
      <c r="L48" s="77">
        <f t="shared" si="19"/>
        <v>0.13039681437730111</v>
      </c>
      <c r="M48" s="77">
        <f t="shared" si="19"/>
        <v>0.13039681437730111</v>
      </c>
    </row>
    <row r="49" spans="3:20" x14ac:dyDescent="0.2">
      <c r="C49" s="69" t="s">
        <v>13</v>
      </c>
      <c r="D49" s="83">
        <f>D33</f>
        <v>0</v>
      </c>
      <c r="E49" s="83">
        <f t="shared" ref="E49:F49" si="20">E33</f>
        <v>8.3292000000000005E-2</v>
      </c>
      <c r="F49" s="83">
        <f t="shared" si="20"/>
        <v>0.64368000000000003</v>
      </c>
      <c r="G49" s="83"/>
      <c r="H49" s="83"/>
      <c r="I49" s="77">
        <f t="shared" si="18"/>
        <v>0.22265367118890961</v>
      </c>
      <c r="J49" s="77">
        <f t="shared" si="19"/>
        <v>0.22265367118890961</v>
      </c>
      <c r="K49" s="77">
        <f t="shared" si="19"/>
        <v>0.22265367118890961</v>
      </c>
      <c r="L49" s="77">
        <f t="shared" si="19"/>
        <v>0.22265367118890961</v>
      </c>
      <c r="M49" s="77">
        <f t="shared" si="19"/>
        <v>0.22265367118890961</v>
      </c>
    </row>
    <row r="50" spans="3:20" x14ac:dyDescent="0.2">
      <c r="C50" s="69" t="s">
        <v>14</v>
      </c>
      <c r="D50" s="83">
        <f>D34</f>
        <v>0</v>
      </c>
      <c r="E50" s="83">
        <f t="shared" ref="E50:F50" si="21">E34</f>
        <v>2.8808E-2</v>
      </c>
      <c r="F50" s="83">
        <f t="shared" si="21"/>
        <v>4.4587000000000002E-2</v>
      </c>
      <c r="G50" s="83"/>
      <c r="H50" s="83"/>
      <c r="I50" s="77">
        <f t="shared" si="18"/>
        <v>2.5512879490657104E-2</v>
      </c>
      <c r="J50" s="77">
        <f t="shared" si="19"/>
        <v>2.5512879490657104E-2</v>
      </c>
      <c r="K50" s="77">
        <f t="shared" si="19"/>
        <v>2.5512879490657104E-2</v>
      </c>
      <c r="L50" s="77">
        <f t="shared" si="19"/>
        <v>2.5512879490657104E-2</v>
      </c>
      <c r="M50" s="77">
        <f t="shared" si="19"/>
        <v>2.5512879490657104E-2</v>
      </c>
    </row>
    <row r="51" spans="3:20" x14ac:dyDescent="0.2">
      <c r="C51" s="69" t="s">
        <v>15</v>
      </c>
      <c r="D51" s="84">
        <f>D35</f>
        <v>0</v>
      </c>
      <c r="E51" s="84">
        <f t="shared" ref="E51:F51" si="22">E35</f>
        <v>1.9528000000000001</v>
      </c>
      <c r="F51" s="84">
        <f t="shared" si="22"/>
        <v>2.4436</v>
      </c>
      <c r="G51" s="84"/>
      <c r="H51" s="84"/>
      <c r="I51" s="87">
        <f>I35*1.075</f>
        <v>2.3529290929364337</v>
      </c>
      <c r="J51" s="87">
        <f>I51</f>
        <v>2.3529290929364337</v>
      </c>
      <c r="K51" s="87">
        <f t="shared" ref="K51:N51" si="23">J51</f>
        <v>2.3529290929364337</v>
      </c>
      <c r="L51" s="87">
        <f t="shared" si="23"/>
        <v>2.3529290929364337</v>
      </c>
      <c r="M51" s="87">
        <f t="shared" si="23"/>
        <v>2.3529290929364337</v>
      </c>
      <c r="N51" s="87">
        <f t="shared" si="23"/>
        <v>2.3529290929364337</v>
      </c>
      <c r="O51" s="87"/>
      <c r="P51" s="87"/>
      <c r="Q51" s="87"/>
      <c r="R51" s="87"/>
      <c r="S51" s="87"/>
      <c r="T51" s="87"/>
    </row>
    <row r="52" spans="3:20" ht="5" customHeight="1" x14ac:dyDescent="0.2">
      <c r="D52" s="88"/>
      <c r="E52" s="88"/>
      <c r="F52" s="88"/>
      <c r="G52" s="88"/>
      <c r="H52" s="88"/>
    </row>
    <row r="53" spans="3:20" x14ac:dyDescent="0.2">
      <c r="C53" s="71" t="s">
        <v>21</v>
      </c>
      <c r="D53" s="72">
        <v>2021</v>
      </c>
      <c r="E53" s="72">
        <v>2022</v>
      </c>
      <c r="F53" s="72">
        <v>2023</v>
      </c>
      <c r="G53" s="72"/>
      <c r="H53" s="72"/>
      <c r="I53" s="73">
        <v>2024</v>
      </c>
      <c r="J53" s="73">
        <v>2025</v>
      </c>
      <c r="K53" s="73">
        <v>2026</v>
      </c>
      <c r="L53" s="73">
        <v>2027</v>
      </c>
      <c r="M53" s="73">
        <v>2028</v>
      </c>
    </row>
    <row r="54" spans="3:20" ht="5" customHeight="1" x14ac:dyDescent="0.2"/>
    <row r="55" spans="3:20" x14ac:dyDescent="0.2">
      <c r="C55" s="69" t="s">
        <v>4</v>
      </c>
      <c r="D55" s="85" t="str">
        <f>D24</f>
        <v>n.a.</v>
      </c>
      <c r="E55" s="85">
        <f t="shared" ref="E55:F55" si="24">E24</f>
        <v>0.18155970755483342</v>
      </c>
      <c r="F55" s="85">
        <f t="shared" si="24"/>
        <v>0.12189755929872814</v>
      </c>
      <c r="G55" s="85"/>
      <c r="H55" s="85"/>
      <c r="I55" s="85">
        <f>Revenue!I40</f>
        <v>5.0000000000000044E-2</v>
      </c>
      <c r="J55" s="85">
        <f>Revenue!J40</f>
        <v>5.0000000000000044E-2</v>
      </c>
      <c r="K55" s="85">
        <f>Revenue!K40</f>
        <v>5.0000000000000044E-2</v>
      </c>
      <c r="L55" s="85">
        <f>Revenue!L40</f>
        <v>5.0000000000000044E-2</v>
      </c>
      <c r="M55" s="85">
        <f>Revenue!M40</f>
        <v>5.0000000000000044E-2</v>
      </c>
    </row>
    <row r="56" spans="3:20" x14ac:dyDescent="0.2">
      <c r="C56" s="69" t="s">
        <v>5</v>
      </c>
      <c r="D56" s="83">
        <f t="shared" ref="D56:H65" si="25">D41</f>
        <v>0.61699999999999999</v>
      </c>
      <c r="E56" s="83">
        <f t="shared" si="25"/>
        <v>0.623</v>
      </c>
      <c r="F56" s="83">
        <f t="shared" si="25"/>
        <v>0.58899999999999997</v>
      </c>
      <c r="G56" s="83">
        <f t="shared" si="25"/>
        <v>0</v>
      </c>
      <c r="H56" s="83">
        <f t="shared" si="25"/>
        <v>0</v>
      </c>
      <c r="I56" s="77">
        <f>I25*0.925</f>
        <v>0.56610000000000005</v>
      </c>
      <c r="J56" s="77">
        <f>I56</f>
        <v>0.56610000000000005</v>
      </c>
      <c r="K56" s="77">
        <f t="shared" ref="K56:M56" si="26">J56</f>
        <v>0.56610000000000005</v>
      </c>
      <c r="L56" s="77">
        <f t="shared" si="26"/>
        <v>0.56610000000000005</v>
      </c>
      <c r="M56" s="77">
        <f t="shared" si="26"/>
        <v>0.56610000000000005</v>
      </c>
    </row>
    <row r="57" spans="3:20" x14ac:dyDescent="0.2">
      <c r="C57" s="69" t="s">
        <v>6</v>
      </c>
      <c r="D57" s="83">
        <f t="shared" si="25"/>
        <v>0.209339</v>
      </c>
      <c r="E57" s="83">
        <f t="shared" si="25"/>
        <v>0.204847</v>
      </c>
      <c r="F57" s="83">
        <f t="shared" si="25"/>
        <v>0.21848100000000001</v>
      </c>
      <c r="G57" s="83">
        <f t="shared" si="25"/>
        <v>0</v>
      </c>
      <c r="H57" s="83">
        <f t="shared" si="25"/>
        <v>0</v>
      </c>
      <c r="I57" s="77">
        <f t="shared" ref="I57:I65" si="27">I26*0.925</f>
        <v>0.19425000000000001</v>
      </c>
      <c r="J57" s="77">
        <f t="shared" ref="J57:M66" si="28">I57</f>
        <v>0.19425000000000001</v>
      </c>
      <c r="K57" s="77">
        <f t="shared" si="28"/>
        <v>0.19425000000000001</v>
      </c>
      <c r="L57" s="77">
        <f t="shared" si="28"/>
        <v>0.19425000000000001</v>
      </c>
      <c r="M57" s="77">
        <f t="shared" si="28"/>
        <v>0.19425000000000001</v>
      </c>
    </row>
    <row r="58" spans="3:20" x14ac:dyDescent="0.2">
      <c r="C58" s="69" t="s">
        <v>7</v>
      </c>
      <c r="D58" s="83">
        <f t="shared" si="25"/>
        <v>1.9740000000000001E-2</v>
      </c>
      <c r="E58" s="83">
        <f t="shared" si="25"/>
        <v>3.1931095268645709E-2</v>
      </c>
      <c r="F58" s="83">
        <f t="shared" si="25"/>
        <v>3.118334125590555E-2</v>
      </c>
      <c r="G58" s="83">
        <f t="shared" si="25"/>
        <v>0</v>
      </c>
      <c r="H58" s="83">
        <f t="shared" si="25"/>
        <v>0</v>
      </c>
      <c r="I58" s="77">
        <f t="shared" si="27"/>
        <v>2.5807500000000004E-2</v>
      </c>
      <c r="J58" s="77">
        <f t="shared" si="28"/>
        <v>2.5807500000000004E-2</v>
      </c>
      <c r="K58" s="77">
        <f t="shared" si="28"/>
        <v>2.5807500000000004E-2</v>
      </c>
      <c r="L58" s="77">
        <f t="shared" si="28"/>
        <v>2.5807500000000004E-2</v>
      </c>
      <c r="M58" s="77">
        <f t="shared" si="28"/>
        <v>2.5807500000000004E-2</v>
      </c>
    </row>
    <row r="59" spans="3:20" x14ac:dyDescent="0.2">
      <c r="C59" s="69" t="s">
        <v>8</v>
      </c>
      <c r="D59" s="83">
        <f t="shared" si="25"/>
        <v>1.0481442681523774E-2</v>
      </c>
      <c r="E59" s="83">
        <f t="shared" si="25"/>
        <v>2.0763E-2</v>
      </c>
      <c r="F59" s="83">
        <f t="shared" si="25"/>
        <v>2.1908E-2</v>
      </c>
      <c r="G59" s="83">
        <f t="shared" si="25"/>
        <v>0</v>
      </c>
      <c r="H59" s="83">
        <f t="shared" si="25"/>
        <v>0</v>
      </c>
      <c r="I59" s="77">
        <f t="shared" si="27"/>
        <v>1.6376645369402597E-2</v>
      </c>
      <c r="J59" s="77">
        <f t="shared" si="28"/>
        <v>1.6376645369402597E-2</v>
      </c>
      <c r="K59" s="77">
        <f t="shared" si="28"/>
        <v>1.6376645369402597E-2</v>
      </c>
      <c r="L59" s="77">
        <f t="shared" si="28"/>
        <v>1.6376645369402597E-2</v>
      </c>
      <c r="M59" s="77">
        <f t="shared" si="28"/>
        <v>1.6376645369402597E-2</v>
      </c>
    </row>
    <row r="60" spans="3:20" x14ac:dyDescent="0.2">
      <c r="C60" s="69" t="s">
        <v>9</v>
      </c>
      <c r="D60" s="83">
        <f t="shared" si="25"/>
        <v>0.14904899999999999</v>
      </c>
      <c r="E60" s="83">
        <f t="shared" si="25"/>
        <v>0.15404100000000001</v>
      </c>
      <c r="F60" s="83">
        <f t="shared" si="25"/>
        <v>0.13500000000000001</v>
      </c>
      <c r="G60" s="83">
        <f t="shared" si="25"/>
        <v>0</v>
      </c>
      <c r="H60" s="83">
        <f t="shared" si="25"/>
        <v>0</v>
      </c>
      <c r="I60" s="77">
        <f t="shared" si="27"/>
        <v>0.13505146140111138</v>
      </c>
      <c r="J60" s="77">
        <f t="shared" si="28"/>
        <v>0.13505146140111138</v>
      </c>
      <c r="K60" s="77">
        <f t="shared" si="28"/>
        <v>0.13505146140111138</v>
      </c>
      <c r="L60" s="77">
        <f t="shared" si="28"/>
        <v>0.13505146140111138</v>
      </c>
      <c r="M60" s="77">
        <f t="shared" si="28"/>
        <v>0.13505146140111138</v>
      </c>
    </row>
    <row r="61" spans="3:20" x14ac:dyDescent="0.2">
      <c r="C61" s="69" t="s">
        <v>10</v>
      </c>
      <c r="D61" s="83">
        <f t="shared" si="25"/>
        <v>4.4039000000000002E-2</v>
      </c>
      <c r="E61" s="83">
        <f t="shared" si="25"/>
        <v>3.9261999999999998E-2</v>
      </c>
      <c r="F61" s="83">
        <f t="shared" si="25"/>
        <v>4.3331000000000001E-2</v>
      </c>
      <c r="G61" s="83">
        <f t="shared" si="25"/>
        <v>0</v>
      </c>
      <c r="H61" s="83">
        <f t="shared" si="25"/>
        <v>0</v>
      </c>
      <c r="I61" s="77">
        <f t="shared" si="27"/>
        <v>3.9042898672485254E-2</v>
      </c>
      <c r="J61" s="77">
        <f t="shared" si="28"/>
        <v>3.9042898672485254E-2</v>
      </c>
      <c r="K61" s="77">
        <f t="shared" si="28"/>
        <v>3.9042898672485254E-2</v>
      </c>
      <c r="L61" s="77">
        <f t="shared" si="28"/>
        <v>3.9042898672485254E-2</v>
      </c>
      <c r="M61" s="77">
        <f t="shared" si="28"/>
        <v>3.9042898672485254E-2</v>
      </c>
    </row>
    <row r="62" spans="3:20" x14ac:dyDescent="0.2">
      <c r="C62" s="69" t="s">
        <v>11</v>
      </c>
      <c r="D62" s="83">
        <f t="shared" si="25"/>
        <v>1.6045E-2</v>
      </c>
      <c r="E62" s="83">
        <f t="shared" si="25"/>
        <v>1.5776999999999999E-2</v>
      </c>
      <c r="F62" s="83">
        <f t="shared" si="25"/>
        <v>2.1759000000000001E-2</v>
      </c>
      <c r="G62" s="83">
        <f t="shared" si="25"/>
        <v>0</v>
      </c>
      <c r="H62" s="83">
        <f t="shared" si="25"/>
        <v>0</v>
      </c>
      <c r="I62" s="77">
        <f t="shared" si="27"/>
        <v>1.6517354037426674E-2</v>
      </c>
      <c r="J62" s="77">
        <f t="shared" si="28"/>
        <v>1.6517354037426674E-2</v>
      </c>
      <c r="K62" s="77">
        <f t="shared" si="28"/>
        <v>1.6517354037426674E-2</v>
      </c>
      <c r="L62" s="77">
        <f t="shared" si="28"/>
        <v>1.6517354037426674E-2</v>
      </c>
      <c r="M62" s="77">
        <f t="shared" si="28"/>
        <v>1.6517354037426674E-2</v>
      </c>
    </row>
    <row r="63" spans="3:20" x14ac:dyDescent="0.2">
      <c r="C63" s="69" t="s">
        <v>12</v>
      </c>
      <c r="D63" s="83">
        <f t="shared" si="25"/>
        <v>0</v>
      </c>
      <c r="E63" s="83">
        <f t="shared" si="25"/>
        <v>0.199271</v>
      </c>
      <c r="F63" s="83">
        <f t="shared" si="25"/>
        <v>0.184674</v>
      </c>
      <c r="G63" s="83">
        <f t="shared" si="25"/>
        <v>0</v>
      </c>
      <c r="H63" s="83">
        <f t="shared" si="25"/>
        <v>0</v>
      </c>
      <c r="I63" s="77">
        <f t="shared" si="27"/>
        <v>0.11487338409428907</v>
      </c>
      <c r="J63" s="77">
        <f t="shared" si="28"/>
        <v>0.11487338409428907</v>
      </c>
      <c r="K63" s="77">
        <f t="shared" si="28"/>
        <v>0.11487338409428907</v>
      </c>
      <c r="L63" s="77">
        <f t="shared" si="28"/>
        <v>0.11487338409428907</v>
      </c>
      <c r="M63" s="77">
        <f t="shared" si="28"/>
        <v>0.11487338409428907</v>
      </c>
    </row>
    <row r="64" spans="3:20" x14ac:dyDescent="0.2">
      <c r="C64" s="69" t="s">
        <v>13</v>
      </c>
      <c r="D64" s="83">
        <f t="shared" si="25"/>
        <v>0</v>
      </c>
      <c r="E64" s="83">
        <f t="shared" si="25"/>
        <v>8.3292000000000005E-2</v>
      </c>
      <c r="F64" s="83">
        <f t="shared" si="25"/>
        <v>0.64368000000000003</v>
      </c>
      <c r="G64" s="83">
        <f t="shared" si="25"/>
        <v>0</v>
      </c>
      <c r="H64" s="83">
        <f t="shared" si="25"/>
        <v>0</v>
      </c>
      <c r="I64" s="77">
        <f t="shared" si="27"/>
        <v>0.19614728176165847</v>
      </c>
      <c r="J64" s="77">
        <f t="shared" si="28"/>
        <v>0.19614728176165847</v>
      </c>
      <c r="K64" s="77">
        <f t="shared" si="28"/>
        <v>0.19614728176165847</v>
      </c>
      <c r="L64" s="77">
        <f t="shared" si="28"/>
        <v>0.19614728176165847</v>
      </c>
      <c r="M64" s="77">
        <f t="shared" si="28"/>
        <v>0.19614728176165847</v>
      </c>
    </row>
    <row r="65" spans="2:13" x14ac:dyDescent="0.2">
      <c r="C65" s="69" t="s">
        <v>14</v>
      </c>
      <c r="D65" s="83">
        <f t="shared" si="25"/>
        <v>0</v>
      </c>
      <c r="E65" s="83">
        <f t="shared" si="25"/>
        <v>2.8808E-2</v>
      </c>
      <c r="F65" s="83">
        <f t="shared" si="25"/>
        <v>4.4587000000000002E-2</v>
      </c>
      <c r="G65" s="83">
        <f t="shared" si="25"/>
        <v>0</v>
      </c>
      <c r="H65" s="83">
        <f t="shared" si="25"/>
        <v>0</v>
      </c>
      <c r="I65" s="77">
        <f t="shared" si="27"/>
        <v>2.2475631932245544E-2</v>
      </c>
      <c r="J65" s="77">
        <f t="shared" si="28"/>
        <v>2.2475631932245544E-2</v>
      </c>
      <c r="K65" s="77">
        <f t="shared" si="28"/>
        <v>2.2475631932245544E-2</v>
      </c>
      <c r="L65" s="77">
        <f t="shared" si="28"/>
        <v>2.2475631932245544E-2</v>
      </c>
      <c r="M65" s="77">
        <f t="shared" si="28"/>
        <v>2.2475631932245544E-2</v>
      </c>
    </row>
    <row r="66" spans="2:13" x14ac:dyDescent="0.2">
      <c r="B66" s="84"/>
      <c r="C66" s="69" t="s">
        <v>15</v>
      </c>
      <c r="D66" s="84">
        <f>D35</f>
        <v>0</v>
      </c>
      <c r="E66" s="84">
        <f t="shared" ref="E66:F66" si="29">E35</f>
        <v>1.9528000000000001</v>
      </c>
      <c r="F66" s="84">
        <f t="shared" si="29"/>
        <v>2.4436</v>
      </c>
      <c r="G66" s="84">
        <v>1.3022253088024482</v>
      </c>
      <c r="H66" s="84">
        <v>1.0760460412657837</v>
      </c>
      <c r="I66" s="97">
        <v>2.0257499999999999</v>
      </c>
      <c r="J66" s="97">
        <f>I66</f>
        <v>2.0257499999999999</v>
      </c>
      <c r="K66" s="97">
        <f t="shared" si="28"/>
        <v>2.0257499999999999</v>
      </c>
      <c r="L66" s="97">
        <f t="shared" si="28"/>
        <v>2.0257499999999999</v>
      </c>
      <c r="M66" s="97">
        <f t="shared" si="28"/>
        <v>2.0257499999999999</v>
      </c>
    </row>
    <row r="67" spans="2:13" ht="5" customHeight="1" x14ac:dyDescent="0.2">
      <c r="D67" s="88"/>
      <c r="E67" s="88"/>
      <c r="F67" s="88"/>
      <c r="G67" s="88"/>
      <c r="H67" s="88"/>
    </row>
    <row r="68" spans="2:13" x14ac:dyDescent="0.2">
      <c r="D68" s="88"/>
      <c r="E68" s="88"/>
      <c r="F68" s="88"/>
      <c r="G68" s="88"/>
      <c r="H68" s="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45"/>
  <sheetViews>
    <sheetView showGridLines="0" topLeftCell="A14" zoomScale="142" workbookViewId="0">
      <selection activeCell="O32" sqref="O32"/>
    </sheetView>
  </sheetViews>
  <sheetFormatPr baseColWidth="10" defaultColWidth="8.83203125" defaultRowHeight="15" x14ac:dyDescent="0.2"/>
  <cols>
    <col min="1" max="2" width="0.83203125" customWidth="1"/>
    <col min="3" max="3" width="52.33203125" customWidth="1"/>
    <col min="4" max="13" width="15.5" customWidth="1"/>
    <col min="14" max="14" width="0.83203125" customWidth="1"/>
    <col min="15" max="16" width="15.5" customWidth="1"/>
  </cols>
  <sheetData>
    <row r="1" spans="3:14" ht="5" customHeight="1" x14ac:dyDescent="0.2"/>
    <row r="2" spans="3:14" ht="5" customHeight="1" x14ac:dyDescent="0.2"/>
    <row r="3" spans="3:14" x14ac:dyDescent="0.2">
      <c r="C3" s="67" t="s">
        <v>0</v>
      </c>
      <c r="D3" s="68">
        <f>DCF!D5</f>
        <v>1</v>
      </c>
      <c r="E3" s="69" t="s">
        <v>2</v>
      </c>
      <c r="F3" s="69"/>
      <c r="G3" s="69"/>
      <c r="H3" s="69"/>
      <c r="I3" s="69"/>
      <c r="J3" s="69"/>
      <c r="K3" s="69"/>
      <c r="L3" s="69"/>
      <c r="M3" s="69"/>
      <c r="N3" s="69"/>
    </row>
    <row r="4" spans="3:14" x14ac:dyDescent="0.2">
      <c r="C4" s="69" t="s">
        <v>1</v>
      </c>
      <c r="D4" s="91" t="str">
        <f>DCF!D6</f>
        <v>Base</v>
      </c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3:14" x14ac:dyDescent="0.2"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3:14" x14ac:dyDescent="0.2">
      <c r="C6" s="71" t="s">
        <v>3</v>
      </c>
      <c r="D6" s="72">
        <v>2021</v>
      </c>
      <c r="E6" s="72">
        <v>2022</v>
      </c>
      <c r="F6" s="72">
        <v>2023</v>
      </c>
      <c r="G6" s="72"/>
      <c r="H6" s="72"/>
      <c r="I6" s="73">
        <v>2024</v>
      </c>
      <c r="J6" s="73">
        <v>2025</v>
      </c>
      <c r="K6" s="73">
        <v>2026</v>
      </c>
      <c r="L6" s="73">
        <v>2027</v>
      </c>
      <c r="M6" s="73">
        <v>2028</v>
      </c>
      <c r="N6" s="69"/>
    </row>
    <row r="7" spans="3:14" x14ac:dyDescent="0.2"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3:14" x14ac:dyDescent="0.2">
      <c r="C8" s="69" t="s">
        <v>22</v>
      </c>
      <c r="D8" s="74">
        <f>CHOOSE($D$3,D17,D26,D35)</f>
        <v>2462</v>
      </c>
      <c r="E8" s="74">
        <f t="shared" ref="E8:M13" si="0">CHOOSE($D$3,E17,E26,E35)</f>
        <v>2909</v>
      </c>
      <c r="F8" s="74">
        <f t="shared" si="0"/>
        <v>3263.6</v>
      </c>
      <c r="G8" s="74">
        <f t="shared" si="0"/>
        <v>0</v>
      </c>
      <c r="H8" s="74">
        <f t="shared" si="0"/>
        <v>0</v>
      </c>
      <c r="I8" s="75">
        <f>CHOOSE($D$3,I17,I26,I35)</f>
        <v>3589.96</v>
      </c>
      <c r="J8" s="75">
        <f t="shared" si="0"/>
        <v>3948.9560000000006</v>
      </c>
      <c r="K8" s="75">
        <f t="shared" si="0"/>
        <v>4343.8516000000009</v>
      </c>
      <c r="L8" s="75">
        <f t="shared" si="0"/>
        <v>4778.2367600000016</v>
      </c>
      <c r="M8" s="75">
        <f t="shared" si="0"/>
        <v>5256.0604360000025</v>
      </c>
      <c r="N8" s="69"/>
    </row>
    <row r="9" spans="3:14" x14ac:dyDescent="0.2">
      <c r="C9" s="76" t="s">
        <v>23</v>
      </c>
      <c r="D9" s="69"/>
      <c r="E9" s="77">
        <f t="shared" si="0"/>
        <v>0.18155970755483342</v>
      </c>
      <c r="F9" s="77">
        <f t="shared" si="0"/>
        <v>0.12189755929872814</v>
      </c>
      <c r="G9" s="77">
        <f t="shared" si="0"/>
        <v>0</v>
      </c>
      <c r="H9" s="77">
        <f t="shared" si="0"/>
        <v>0</v>
      </c>
      <c r="I9" s="78">
        <f t="shared" si="0"/>
        <v>0.1</v>
      </c>
      <c r="J9" s="78">
        <f t="shared" si="0"/>
        <v>0.1</v>
      </c>
      <c r="K9" s="78">
        <f t="shared" si="0"/>
        <v>0.1</v>
      </c>
      <c r="L9" s="78">
        <f t="shared" si="0"/>
        <v>0.1</v>
      </c>
      <c r="M9" s="78">
        <f t="shared" si="0"/>
        <v>0.1</v>
      </c>
      <c r="N9" s="69"/>
    </row>
    <row r="10" spans="3:14" x14ac:dyDescent="0.2">
      <c r="C10" s="69" t="s">
        <v>24</v>
      </c>
      <c r="D10" s="74">
        <f>CHOOSE($D$3,D19,D28,D37)</f>
        <v>0</v>
      </c>
      <c r="E10" s="74">
        <f>CHOOSE($D$3,E19,E28,E37)</f>
        <v>0</v>
      </c>
      <c r="F10" s="74">
        <f t="shared" si="0"/>
        <v>0</v>
      </c>
      <c r="G10" s="74">
        <f t="shared" si="0"/>
        <v>0</v>
      </c>
      <c r="H10" s="74">
        <f t="shared" si="0"/>
        <v>0</v>
      </c>
      <c r="I10" s="75">
        <f t="shared" si="0"/>
        <v>0</v>
      </c>
      <c r="J10" s="75">
        <f t="shared" si="0"/>
        <v>0</v>
      </c>
      <c r="K10" s="75">
        <f t="shared" si="0"/>
        <v>0</v>
      </c>
      <c r="L10" s="75">
        <f t="shared" si="0"/>
        <v>0</v>
      </c>
      <c r="M10" s="75">
        <f t="shared" si="0"/>
        <v>0</v>
      </c>
      <c r="N10" s="69"/>
    </row>
    <row r="11" spans="3:14" x14ac:dyDescent="0.2">
      <c r="C11" s="76" t="s">
        <v>23</v>
      </c>
      <c r="D11" s="69"/>
      <c r="E11" s="77">
        <f>CHOOSE($D$3,E20,E29,E38)</f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8">
        <f t="shared" si="0"/>
        <v>0</v>
      </c>
      <c r="J11" s="78">
        <f t="shared" si="0"/>
        <v>0</v>
      </c>
      <c r="K11" s="78">
        <f t="shared" si="0"/>
        <v>0</v>
      </c>
      <c r="L11" s="78">
        <f t="shared" si="0"/>
        <v>0</v>
      </c>
      <c r="M11" s="78">
        <f t="shared" si="0"/>
        <v>0</v>
      </c>
      <c r="N11" s="69"/>
    </row>
    <row r="12" spans="3:14" x14ac:dyDescent="0.2">
      <c r="C12" s="79" t="s">
        <v>25</v>
      </c>
      <c r="D12" s="80">
        <f>CHOOSE($D$3,D21,D30,D39)</f>
        <v>2462</v>
      </c>
      <c r="E12" s="80">
        <f t="shared" si="0"/>
        <v>2909</v>
      </c>
      <c r="F12" s="80">
        <f t="shared" si="0"/>
        <v>3263.6</v>
      </c>
      <c r="G12" s="80">
        <f t="shared" si="0"/>
        <v>0</v>
      </c>
      <c r="H12" s="80">
        <f t="shared" si="0"/>
        <v>0</v>
      </c>
      <c r="I12" s="80">
        <f t="shared" si="0"/>
        <v>3589.96</v>
      </c>
      <c r="J12" s="80">
        <f t="shared" si="0"/>
        <v>3948.9560000000006</v>
      </c>
      <c r="K12" s="80">
        <f t="shared" si="0"/>
        <v>4343.8516000000009</v>
      </c>
      <c r="L12" s="80">
        <f t="shared" si="0"/>
        <v>4778.2367600000016</v>
      </c>
      <c r="M12" s="80">
        <f t="shared" si="0"/>
        <v>5256.0604360000025</v>
      </c>
      <c r="N12" s="69"/>
    </row>
    <row r="13" spans="3:14" x14ac:dyDescent="0.2">
      <c r="C13" s="76" t="s">
        <v>23</v>
      </c>
      <c r="D13" s="69"/>
      <c r="E13" s="77">
        <f t="shared" si="0"/>
        <v>0.18155970755483342</v>
      </c>
      <c r="F13" s="77">
        <f t="shared" si="0"/>
        <v>0.12189755929872814</v>
      </c>
      <c r="G13" s="77">
        <f t="shared" si="0"/>
        <v>0</v>
      </c>
      <c r="H13" s="77">
        <f t="shared" si="0"/>
        <v>0</v>
      </c>
      <c r="I13" s="77">
        <f t="shared" si="0"/>
        <v>0.10000000000000009</v>
      </c>
      <c r="J13" s="77">
        <f t="shared" si="0"/>
        <v>0.10000000000000009</v>
      </c>
      <c r="K13" s="77">
        <f t="shared" si="0"/>
        <v>0.10000000000000009</v>
      </c>
      <c r="L13" s="77">
        <f t="shared" si="0"/>
        <v>0.10000000000000009</v>
      </c>
      <c r="M13" s="77">
        <f t="shared" si="0"/>
        <v>0.10000000000000009</v>
      </c>
      <c r="N13" s="69"/>
    </row>
    <row r="14" spans="3:14" x14ac:dyDescent="0.2"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spans="3:14" x14ac:dyDescent="0.2">
      <c r="C15" s="71" t="s">
        <v>16</v>
      </c>
      <c r="D15" s="72">
        <v>2021</v>
      </c>
      <c r="E15" s="72">
        <v>2022</v>
      </c>
      <c r="F15" s="72">
        <v>2023</v>
      </c>
      <c r="G15" s="72"/>
      <c r="H15" s="72"/>
      <c r="I15" s="73">
        <v>2024</v>
      </c>
      <c r="J15" s="73">
        <v>2025</v>
      </c>
      <c r="K15" s="73">
        <v>2026</v>
      </c>
      <c r="L15" s="73">
        <v>2027</v>
      </c>
      <c r="M15" s="73">
        <v>2028</v>
      </c>
      <c r="N15" s="69"/>
    </row>
    <row r="16" spans="3:14" x14ac:dyDescent="0.2"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3:15" x14ac:dyDescent="0.2">
      <c r="C17" s="69" t="s">
        <v>22</v>
      </c>
      <c r="D17" s="74">
        <v>2462</v>
      </c>
      <c r="E17" s="74">
        <v>2909</v>
      </c>
      <c r="F17" s="74">
        <v>3263.6</v>
      </c>
      <c r="G17" s="74"/>
      <c r="H17" s="74"/>
      <c r="I17" s="75">
        <f>F17*(1+I18)</f>
        <v>3589.96</v>
      </c>
      <c r="J17" s="75">
        <f>I17*(1+J18)</f>
        <v>3948.9560000000006</v>
      </c>
      <c r="K17" s="75">
        <f>J17*(1+K18)</f>
        <v>4343.8516000000009</v>
      </c>
      <c r="L17" s="75">
        <f>K17*(1+L18)</f>
        <v>4778.2367600000016</v>
      </c>
      <c r="M17" s="75">
        <f>L17*(1+M18)</f>
        <v>5256.0604360000025</v>
      </c>
      <c r="N17" s="69"/>
    </row>
    <row r="18" spans="3:15" x14ac:dyDescent="0.2">
      <c r="C18" s="76" t="s">
        <v>23</v>
      </c>
      <c r="D18" s="69"/>
      <c r="E18" s="77">
        <f>E17/D17-1</f>
        <v>0.18155970755483342</v>
      </c>
      <c r="F18" s="77">
        <f>F17/E17-1</f>
        <v>0.12189755929872814</v>
      </c>
      <c r="G18" s="77"/>
      <c r="H18" s="77"/>
      <c r="I18" s="90">
        <v>0.1</v>
      </c>
      <c r="J18" s="90">
        <v>0.1</v>
      </c>
      <c r="K18" s="90">
        <v>0.1</v>
      </c>
      <c r="L18" s="90">
        <v>0.1</v>
      </c>
      <c r="M18" s="90">
        <v>0.1</v>
      </c>
      <c r="N18" s="90">
        <v>0.03</v>
      </c>
      <c r="O18" t="s">
        <v>26</v>
      </c>
    </row>
    <row r="19" spans="3:15" x14ac:dyDescent="0.2">
      <c r="C19" s="69" t="s">
        <v>27</v>
      </c>
      <c r="D19" s="74"/>
      <c r="E19" s="74"/>
      <c r="F19" s="74"/>
      <c r="G19" s="74"/>
      <c r="H19" s="74"/>
      <c r="I19" s="75">
        <f>H19*(1+I20)</f>
        <v>0</v>
      </c>
      <c r="J19" s="75">
        <f>I19*(1+J20)</f>
        <v>0</v>
      </c>
      <c r="K19" s="75">
        <f>J19*(1+K20)</f>
        <v>0</v>
      </c>
      <c r="L19" s="75">
        <f>K19*(1+L20)</f>
        <v>0</v>
      </c>
      <c r="M19" s="75">
        <f>L19*(1+M20)</f>
        <v>0</v>
      </c>
      <c r="N19" s="69"/>
    </row>
    <row r="20" spans="3:15" x14ac:dyDescent="0.2">
      <c r="C20" s="76" t="s">
        <v>23</v>
      </c>
      <c r="D20" s="69"/>
      <c r="E20" s="77"/>
      <c r="F20" s="77"/>
      <c r="G20" s="77"/>
      <c r="H20" s="77"/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t="s">
        <v>26</v>
      </c>
    </row>
    <row r="21" spans="3:15" x14ac:dyDescent="0.2">
      <c r="C21" s="79" t="s">
        <v>25</v>
      </c>
      <c r="D21" s="80">
        <f>D17+D19</f>
        <v>2462</v>
      </c>
      <c r="E21" s="80">
        <f t="shared" ref="E21:H21" si="1">E17+E19</f>
        <v>2909</v>
      </c>
      <c r="F21" s="80">
        <f t="shared" si="1"/>
        <v>3263.6</v>
      </c>
      <c r="G21" s="80">
        <f t="shared" si="1"/>
        <v>0</v>
      </c>
      <c r="H21" s="80">
        <f t="shared" si="1"/>
        <v>0</v>
      </c>
      <c r="I21" s="80">
        <f>I17+I19</f>
        <v>3589.96</v>
      </c>
      <c r="J21" s="80">
        <f>J17+J19</f>
        <v>3948.9560000000006</v>
      </c>
      <c r="K21" s="80">
        <f>K17+K19</f>
        <v>4343.8516000000009</v>
      </c>
      <c r="L21" s="80">
        <f>L17+L19</f>
        <v>4778.2367600000016</v>
      </c>
      <c r="M21" s="80">
        <f>M17+M19</f>
        <v>5256.0604360000025</v>
      </c>
    </row>
    <row r="22" spans="3:15" x14ac:dyDescent="0.2">
      <c r="C22" s="76" t="s">
        <v>23</v>
      </c>
      <c r="D22" s="69"/>
      <c r="E22" s="77">
        <f>E21/D21-1</f>
        <v>0.18155970755483342</v>
      </c>
      <c r="F22" s="77">
        <f>F21/E21-1</f>
        <v>0.12189755929872814</v>
      </c>
      <c r="G22" s="77"/>
      <c r="H22" s="77"/>
      <c r="I22" s="77">
        <f>I21/F21-1</f>
        <v>0.10000000000000009</v>
      </c>
      <c r="J22" s="77">
        <f>J21/I21-1</f>
        <v>0.10000000000000009</v>
      </c>
      <c r="K22" s="77">
        <f>K21/J21-1</f>
        <v>0.10000000000000009</v>
      </c>
      <c r="L22" s="77">
        <f>L21/K21-1</f>
        <v>0.10000000000000009</v>
      </c>
      <c r="M22" s="77">
        <f>M21/L21-1</f>
        <v>0.10000000000000009</v>
      </c>
      <c r="N22" s="69"/>
    </row>
    <row r="23" spans="3:15" x14ac:dyDescent="0.2"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spans="3:15" x14ac:dyDescent="0.2">
      <c r="C24" s="71" t="s">
        <v>19</v>
      </c>
      <c r="D24" s="72">
        <v>2021</v>
      </c>
      <c r="E24" s="72">
        <v>2022</v>
      </c>
      <c r="F24" s="72">
        <v>2023</v>
      </c>
      <c r="G24" s="72"/>
      <c r="H24" s="72"/>
      <c r="I24" s="73">
        <v>2024</v>
      </c>
      <c r="J24" s="73">
        <v>2025</v>
      </c>
      <c r="K24" s="73">
        <v>2026</v>
      </c>
      <c r="L24" s="73">
        <v>2027</v>
      </c>
      <c r="M24" s="73">
        <v>2028</v>
      </c>
      <c r="N24" s="69"/>
    </row>
    <row r="25" spans="3:15" x14ac:dyDescent="0.2"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</row>
    <row r="26" spans="3:15" x14ac:dyDescent="0.2">
      <c r="C26" s="69" t="s">
        <v>22</v>
      </c>
      <c r="D26" s="74">
        <v>2462</v>
      </c>
      <c r="E26" s="74">
        <v>2909</v>
      </c>
      <c r="F26" s="74">
        <v>3263.6</v>
      </c>
      <c r="G26" s="74"/>
      <c r="H26" s="74"/>
      <c r="I26" s="75">
        <f>F26*(1+I27)</f>
        <v>3753.1399999999994</v>
      </c>
      <c r="J26" s="75">
        <f>I26*(1+J27)</f>
        <v>4316.110999999999</v>
      </c>
      <c r="K26" s="75">
        <f>J26*(1+K27)</f>
        <v>4963.5276499999982</v>
      </c>
      <c r="L26" s="75">
        <f>K26*(1+L27)</f>
        <v>5708.0567974999976</v>
      </c>
      <c r="M26" s="75">
        <f>L26*(1+M27)</f>
        <v>6564.2653171249967</v>
      </c>
      <c r="N26" s="69"/>
    </row>
    <row r="27" spans="3:15" x14ac:dyDescent="0.2">
      <c r="C27" s="76" t="s">
        <v>23</v>
      </c>
      <c r="D27" s="69"/>
      <c r="E27" s="77">
        <f>E26/D26-1</f>
        <v>0.18155970755483342</v>
      </c>
      <c r="F27" s="77">
        <f>F26/E26-1</f>
        <v>0.12189755929872814</v>
      </c>
      <c r="G27" s="77"/>
      <c r="H27" s="77"/>
      <c r="I27" s="90">
        <v>0.15</v>
      </c>
      <c r="J27" s="90">
        <v>0.15</v>
      </c>
      <c r="K27" s="90">
        <v>0.15</v>
      </c>
      <c r="L27" s="90">
        <v>0.15</v>
      </c>
      <c r="M27" s="90">
        <v>0.15</v>
      </c>
      <c r="O27" t="s">
        <v>28</v>
      </c>
    </row>
    <row r="28" spans="3:15" x14ac:dyDescent="0.2">
      <c r="C28" s="69" t="s">
        <v>27</v>
      </c>
      <c r="D28" s="74"/>
      <c r="E28" s="74"/>
      <c r="F28" s="74"/>
      <c r="G28" s="74"/>
      <c r="H28" s="74"/>
      <c r="I28" s="75">
        <f>H28*(1+I29)</f>
        <v>0</v>
      </c>
      <c r="J28" s="75">
        <f>I28*(1+J29)</f>
        <v>0</v>
      </c>
      <c r="K28" s="75">
        <f>J28*(1+K29)</f>
        <v>0</v>
      </c>
      <c r="L28" s="75">
        <f>K28*(1+L29)</f>
        <v>0</v>
      </c>
      <c r="M28" s="75">
        <f>L28*(1+M29)</f>
        <v>0</v>
      </c>
    </row>
    <row r="29" spans="3:15" x14ac:dyDescent="0.2">
      <c r="C29" s="76" t="s">
        <v>23</v>
      </c>
      <c r="D29" s="74"/>
      <c r="E29" s="74"/>
      <c r="F29" s="74"/>
      <c r="G29" s="74"/>
      <c r="H29" s="74"/>
      <c r="I29" s="90"/>
      <c r="J29" s="90"/>
      <c r="K29" s="90"/>
      <c r="L29" s="90"/>
      <c r="M29" s="90"/>
      <c r="O29" t="s">
        <v>28</v>
      </c>
    </row>
    <row r="30" spans="3:15" x14ac:dyDescent="0.2">
      <c r="C30" s="79" t="s">
        <v>25</v>
      </c>
      <c r="D30" s="80">
        <f>D26+D28</f>
        <v>2462</v>
      </c>
      <c r="E30" s="80">
        <f t="shared" ref="E30:H30" si="2">E26+E28</f>
        <v>2909</v>
      </c>
      <c r="F30" s="80">
        <f t="shared" si="2"/>
        <v>3263.6</v>
      </c>
      <c r="G30" s="80">
        <f t="shared" si="2"/>
        <v>0</v>
      </c>
      <c r="H30" s="80">
        <f t="shared" si="2"/>
        <v>0</v>
      </c>
      <c r="I30" s="80">
        <f>I26+I28</f>
        <v>3753.1399999999994</v>
      </c>
      <c r="J30" s="80">
        <f>J26+J28</f>
        <v>4316.110999999999</v>
      </c>
      <c r="K30" s="80">
        <f>K26+K28</f>
        <v>4963.5276499999982</v>
      </c>
      <c r="L30" s="80">
        <f>L26+L28</f>
        <v>5708.0567974999976</v>
      </c>
      <c r="M30" s="80">
        <f>M26+M28</f>
        <v>6564.2653171249967</v>
      </c>
    </row>
    <row r="31" spans="3:15" x14ac:dyDescent="0.2">
      <c r="C31" s="76" t="s">
        <v>23</v>
      </c>
      <c r="D31" s="69"/>
      <c r="E31" s="77">
        <f>E30/D30-1</f>
        <v>0.18155970755483342</v>
      </c>
      <c r="F31" s="77">
        <f t="shared" ref="F31" si="3">F30/E30-1</f>
        <v>0.12189755929872814</v>
      </c>
      <c r="G31" s="77"/>
      <c r="H31" s="77"/>
      <c r="I31" s="77">
        <f>I30/F30-1</f>
        <v>0.14999999999999991</v>
      </c>
      <c r="J31" s="77">
        <f>J30/I30-1</f>
        <v>0.14999999999999991</v>
      </c>
      <c r="K31" s="77">
        <f>K30/J30-1</f>
        <v>0.14999999999999991</v>
      </c>
      <c r="L31" s="77">
        <f>L30/K30-1</f>
        <v>0.14999999999999991</v>
      </c>
      <c r="M31" s="77">
        <f>M30/L30-1</f>
        <v>0.14999999999999991</v>
      </c>
    </row>
    <row r="32" spans="3:15" x14ac:dyDescent="0.2"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3:15" x14ac:dyDescent="0.2">
      <c r="C33" s="71" t="s">
        <v>21</v>
      </c>
      <c r="D33" s="72">
        <v>2021</v>
      </c>
      <c r="E33" s="72">
        <v>2022</v>
      </c>
      <c r="F33" s="72">
        <v>2023</v>
      </c>
      <c r="G33" s="72"/>
      <c r="H33" s="72"/>
      <c r="I33" s="73">
        <v>2024</v>
      </c>
      <c r="J33" s="73">
        <v>2025</v>
      </c>
      <c r="K33" s="73">
        <v>2026</v>
      </c>
      <c r="L33" s="73">
        <v>2027</v>
      </c>
      <c r="M33" s="73">
        <v>2028</v>
      </c>
    </row>
    <row r="34" spans="3:15" x14ac:dyDescent="0.2"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3:15" x14ac:dyDescent="0.2">
      <c r="C35" s="69" t="s">
        <v>22</v>
      </c>
      <c r="D35" s="74">
        <v>2462</v>
      </c>
      <c r="E35" s="74">
        <v>2909</v>
      </c>
      <c r="F35" s="74">
        <v>3263.6</v>
      </c>
      <c r="G35" s="74"/>
      <c r="H35" s="74"/>
      <c r="I35" s="75">
        <f>F35*(1+I36)</f>
        <v>3426.78</v>
      </c>
      <c r="J35" s="75">
        <f>I35*(1+J36)</f>
        <v>3598.1190000000001</v>
      </c>
      <c r="K35" s="75">
        <f>J35*(1+K36)</f>
        <v>3778.0249500000004</v>
      </c>
      <c r="L35" s="75">
        <f>K35*(1+L36)</f>
        <v>3966.9261975000009</v>
      </c>
      <c r="M35" s="75">
        <f>L35*(1+M36)</f>
        <v>4165.2725073750007</v>
      </c>
    </row>
    <row r="36" spans="3:15" x14ac:dyDescent="0.2">
      <c r="C36" s="76" t="s">
        <v>23</v>
      </c>
      <c r="D36" s="69"/>
      <c r="E36" s="77">
        <f>E35/D35-1</f>
        <v>0.18155970755483342</v>
      </c>
      <c r="F36" s="77">
        <f>F35/E35-1</f>
        <v>0.12189755929872814</v>
      </c>
      <c r="G36" s="77"/>
      <c r="H36" s="77"/>
      <c r="I36" s="90">
        <v>0.05</v>
      </c>
      <c r="J36" s="90">
        <v>0.05</v>
      </c>
      <c r="K36" s="90">
        <v>0.05</v>
      </c>
      <c r="L36" s="90">
        <v>0.05</v>
      </c>
      <c r="M36" s="90">
        <v>0.05</v>
      </c>
      <c r="O36" t="s">
        <v>28</v>
      </c>
    </row>
    <row r="37" spans="3:15" x14ac:dyDescent="0.2">
      <c r="C37" s="69" t="s">
        <v>27</v>
      </c>
      <c r="D37" s="74"/>
      <c r="E37" s="74"/>
      <c r="F37" s="74"/>
      <c r="G37" s="74"/>
      <c r="H37" s="74"/>
      <c r="I37" s="75">
        <f>H37*(1+I38)</f>
        <v>0</v>
      </c>
      <c r="J37" s="75">
        <f>I37*(1+J38)</f>
        <v>0</v>
      </c>
      <c r="K37" s="75">
        <f>J37*(1+K38)</f>
        <v>0</v>
      </c>
      <c r="L37" s="75">
        <f>K37*(1+L38)</f>
        <v>0</v>
      </c>
      <c r="M37" s="75">
        <f>L37*(1+M38)</f>
        <v>0</v>
      </c>
    </row>
    <row r="38" spans="3:15" x14ac:dyDescent="0.2">
      <c r="C38" s="76" t="s">
        <v>23</v>
      </c>
      <c r="D38" s="69"/>
      <c r="E38" s="77"/>
      <c r="F38" s="77"/>
      <c r="G38" s="77"/>
      <c r="H38" s="77"/>
      <c r="I38" s="90"/>
      <c r="J38" s="90"/>
      <c r="K38" s="90"/>
      <c r="L38" s="90"/>
      <c r="M38" s="90"/>
      <c r="N38">
        <v>-0.5</v>
      </c>
      <c r="O38" t="s">
        <v>28</v>
      </c>
    </row>
    <row r="39" spans="3:15" x14ac:dyDescent="0.2">
      <c r="C39" s="79" t="s">
        <v>25</v>
      </c>
      <c r="D39" s="80">
        <f>D35+D37</f>
        <v>2462</v>
      </c>
      <c r="E39" s="80">
        <f t="shared" ref="E39:H39" si="4">E35+E37</f>
        <v>2909</v>
      </c>
      <c r="F39" s="80">
        <f t="shared" si="4"/>
        <v>3263.6</v>
      </c>
      <c r="G39" s="80">
        <f t="shared" si="4"/>
        <v>0</v>
      </c>
      <c r="H39" s="80">
        <f t="shared" si="4"/>
        <v>0</v>
      </c>
      <c r="I39" s="80">
        <f>I35+I37</f>
        <v>3426.78</v>
      </c>
      <c r="J39" s="80">
        <f>J35+J37</f>
        <v>3598.1190000000001</v>
      </c>
      <c r="K39" s="80">
        <f>K35+K37</f>
        <v>3778.0249500000004</v>
      </c>
      <c r="L39" s="80">
        <f>L35+L37</f>
        <v>3966.9261975000009</v>
      </c>
      <c r="M39" s="80">
        <f>M35+M37</f>
        <v>4165.2725073750007</v>
      </c>
    </row>
    <row r="40" spans="3:15" x14ac:dyDescent="0.2">
      <c r="C40" s="76" t="s">
        <v>23</v>
      </c>
      <c r="D40" s="69"/>
      <c r="E40" s="77">
        <f>E39/D39-1</f>
        <v>0.18155970755483342</v>
      </c>
      <c r="F40" s="77">
        <f>F39/E39-1</f>
        <v>0.12189755929872814</v>
      </c>
      <c r="G40" s="77"/>
      <c r="H40" s="77"/>
      <c r="I40" s="77">
        <f>I39/F39-1</f>
        <v>5.0000000000000044E-2</v>
      </c>
      <c r="J40" s="77">
        <f>J39/I39-1</f>
        <v>5.0000000000000044E-2</v>
      </c>
      <c r="K40" s="77">
        <f>K39/J39-1</f>
        <v>5.0000000000000044E-2</v>
      </c>
      <c r="L40" s="77">
        <f>L39/K39-1</f>
        <v>5.0000000000000044E-2</v>
      </c>
      <c r="M40" s="77">
        <f>M39/L39-1</f>
        <v>5.0000000000000044E-2</v>
      </c>
    </row>
    <row r="41" spans="3:15" x14ac:dyDescent="0.2">
      <c r="C41" s="76"/>
      <c r="D41" s="69"/>
      <c r="E41" s="77"/>
      <c r="F41" s="77"/>
      <c r="G41" s="77"/>
      <c r="H41" s="77"/>
      <c r="I41" s="77"/>
      <c r="J41" s="77"/>
      <c r="K41" s="77"/>
      <c r="L41" s="77"/>
      <c r="M41" s="77"/>
    </row>
    <row r="42" spans="3:15" x14ac:dyDescent="0.2"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3:15" x14ac:dyDescent="0.2"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3:15" x14ac:dyDescent="0.2"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3:15" x14ac:dyDescent="0.2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showGridLines="0" topLeftCell="F14" zoomScale="191" workbookViewId="0">
      <selection activeCell="J41" sqref="J41"/>
    </sheetView>
  </sheetViews>
  <sheetFormatPr baseColWidth="10" defaultColWidth="8.83203125" defaultRowHeight="14.75" customHeight="1" outlineLevelRow="1" x14ac:dyDescent="0.2"/>
  <cols>
    <col min="1" max="2" width="0.83203125" style="1" customWidth="1"/>
    <col min="3" max="3" width="32.83203125" style="1" bestFit="1" customWidth="1"/>
    <col min="4" max="13" width="15.5" style="1" customWidth="1"/>
    <col min="14" max="14" width="0.83203125" style="1" customWidth="1"/>
    <col min="15" max="16384" width="8.83203125" style="1"/>
  </cols>
  <sheetData>
    <row r="1" spans="1:15" ht="14" x14ac:dyDescent="0.2">
      <c r="A1" s="61"/>
      <c r="B1" s="61"/>
    </row>
    <row r="2" spans="1:15" ht="14" x14ac:dyDescent="0.2">
      <c r="A2" s="61"/>
      <c r="B2" s="61"/>
    </row>
    <row r="3" spans="1:15" ht="14" x14ac:dyDescent="0.2">
      <c r="A3" s="61"/>
      <c r="B3" s="61"/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ht="14" x14ac:dyDescent="0.2">
      <c r="A4" s="61"/>
      <c r="B4" s="61"/>
      <c r="C4" s="69" t="s">
        <v>2</v>
      </c>
    </row>
    <row r="5" spans="1:15" ht="14" x14ac:dyDescent="0.2">
      <c r="C5" s="4" t="s">
        <v>3</v>
      </c>
      <c r="D5" s="72">
        <v>2021</v>
      </c>
      <c r="E5" s="72">
        <v>2022</v>
      </c>
      <c r="F5" s="72">
        <v>2023</v>
      </c>
      <c r="G5" s="72"/>
      <c r="H5" s="72"/>
      <c r="I5" s="73">
        <v>2024</v>
      </c>
      <c r="J5" s="73">
        <v>2025</v>
      </c>
      <c r="K5" s="73">
        <v>2026</v>
      </c>
      <c r="L5" s="73">
        <v>2027</v>
      </c>
      <c r="M5" s="73">
        <v>2028</v>
      </c>
    </row>
    <row r="6" spans="1:15" ht="14" x14ac:dyDescent="0.2"/>
    <row r="7" spans="1:15" ht="14" x14ac:dyDescent="0.2">
      <c r="C7" s="1" t="s">
        <v>30</v>
      </c>
      <c r="D7" s="74">
        <v>2462</v>
      </c>
      <c r="E7" s="74">
        <v>2909</v>
      </c>
      <c r="F7" s="74">
        <v>3263.6</v>
      </c>
      <c r="G7" s="62"/>
      <c r="H7" s="62"/>
      <c r="I7" s="100">
        <f>Revenue!I12</f>
        <v>3589.96</v>
      </c>
      <c r="J7" s="100">
        <f>Revenue!J12</f>
        <v>3948.9560000000006</v>
      </c>
      <c r="K7" s="100">
        <f>Revenue!K12</f>
        <v>4343.8516000000009</v>
      </c>
      <c r="L7" s="100">
        <f>Revenue!L12</f>
        <v>4778.2367600000016</v>
      </c>
      <c r="M7" s="100">
        <f>Revenue!M12</f>
        <v>5256.0604360000025</v>
      </c>
    </row>
    <row r="8" spans="1:15" ht="14" x14ac:dyDescent="0.2">
      <c r="C8" s="1" t="s">
        <v>31</v>
      </c>
      <c r="D8" s="100">
        <v>1520.1</v>
      </c>
      <c r="E8" s="100">
        <v>1812.3</v>
      </c>
      <c r="F8" s="100">
        <v>1921.5</v>
      </c>
      <c r="G8" s="62"/>
      <c r="H8" s="62"/>
      <c r="I8" s="100">
        <f>I7*Inputs!I9</f>
        <v>2197.0555199999999</v>
      </c>
      <c r="J8" s="100">
        <f>J7*Inputs!J9</f>
        <v>2416.7610720000002</v>
      </c>
      <c r="K8" s="100">
        <f>K7*Inputs!K9</f>
        <v>2658.4371792000006</v>
      </c>
      <c r="L8" s="100">
        <f>L7*Inputs!L9</f>
        <v>2924.2808971200011</v>
      </c>
      <c r="M8" s="100">
        <f>M7*Inputs!M9</f>
        <v>3216.7089868320013</v>
      </c>
    </row>
    <row r="9" spans="1:15" ht="14" x14ac:dyDescent="0.2">
      <c r="C9" s="19" t="s">
        <v>32</v>
      </c>
      <c r="D9" s="20">
        <f>D7-D8</f>
        <v>941.90000000000009</v>
      </c>
      <c r="E9" s="20">
        <f t="shared" ref="E9:F9" si="0">E7-E8</f>
        <v>1096.7</v>
      </c>
      <c r="F9" s="20">
        <f t="shared" si="0"/>
        <v>1342.1</v>
      </c>
      <c r="G9" s="63"/>
      <c r="H9" s="63"/>
      <c r="I9" s="20">
        <f>I7-I8</f>
        <v>1392.9044800000001</v>
      </c>
      <c r="J9" s="20">
        <f>J7-J8</f>
        <v>1532.1949280000003</v>
      </c>
      <c r="K9" s="20">
        <f>K7-K8</f>
        <v>1685.4144208000002</v>
      </c>
      <c r="L9" s="20">
        <f>L7-L8</f>
        <v>1853.9558628800005</v>
      </c>
      <c r="M9" s="20">
        <f>M7-M8</f>
        <v>2039.3514491680012</v>
      </c>
    </row>
    <row r="10" spans="1:15" ht="14" x14ac:dyDescent="0.2">
      <c r="C10" s="1" t="s">
        <v>33</v>
      </c>
      <c r="D10" s="100">
        <v>586.5</v>
      </c>
      <c r="E10" s="100">
        <v>656.3</v>
      </c>
      <c r="F10" s="100">
        <v>754.7</v>
      </c>
      <c r="G10" s="62"/>
      <c r="H10" s="62"/>
      <c r="I10" s="100">
        <f>I7*(Inputs!I10+Inputs!I11+Inputs!I12)</f>
        <v>917.60986433550329</v>
      </c>
      <c r="J10" s="100">
        <f>J7*(Inputs!J10+Inputs!J11+Inputs!J12)</f>
        <v>1009.3708507690537</v>
      </c>
      <c r="K10" s="100">
        <f>K7*(Inputs!K10+Inputs!K11+Inputs!K12)</f>
        <v>1110.3079358459593</v>
      </c>
      <c r="L10" s="100">
        <f>L7*(Inputs!L10+Inputs!L11+Inputs!L12)</f>
        <v>1221.3387294305553</v>
      </c>
      <c r="M10" s="100">
        <f>M7*(Inputs!M10+Inputs!M11+Inputs!M12)</f>
        <v>1343.4726023736109</v>
      </c>
    </row>
    <row r="11" spans="1:15" ht="14" x14ac:dyDescent="0.2">
      <c r="C11" s="19" t="s">
        <v>34</v>
      </c>
      <c r="D11" s="20">
        <v>355.4</v>
      </c>
      <c r="E11" s="20">
        <v>440.4</v>
      </c>
      <c r="F11" s="20">
        <v>587.4</v>
      </c>
      <c r="G11" s="63"/>
      <c r="H11" s="63"/>
      <c r="I11" s="20">
        <f>I9-I10</f>
        <v>475.29461566449686</v>
      </c>
      <c r="J11" s="20">
        <f>J9-J10</f>
        <v>522.82407723094661</v>
      </c>
      <c r="K11" s="20">
        <f>K9-K10</f>
        <v>575.10648495404098</v>
      </c>
      <c r="L11" s="20">
        <f>L9-L10</f>
        <v>632.61713344944519</v>
      </c>
      <c r="M11" s="20">
        <f>M9-M10</f>
        <v>695.87884679439026</v>
      </c>
    </row>
    <row r="12" spans="1:15" ht="14" x14ac:dyDescent="0.2">
      <c r="C12" s="1" t="s">
        <v>35</v>
      </c>
      <c r="D12" s="100">
        <v>47.8</v>
      </c>
      <c r="E12" s="100">
        <v>72.8</v>
      </c>
      <c r="F12" s="100">
        <v>-67.599999999999994</v>
      </c>
      <c r="G12" s="62"/>
      <c r="H12" s="62"/>
      <c r="I12" s="100">
        <f>I11*Inputs!I13</f>
        <v>69.393764801697145</v>
      </c>
      <c r="J12" s="100">
        <f>J11*Inputs!J13</f>
        <v>76.333141281866872</v>
      </c>
      <c r="K12" s="100">
        <f>K11*Inputs!K13</f>
        <v>83.966455410053513</v>
      </c>
      <c r="L12" s="100">
        <f>L11*Inputs!L13</f>
        <v>92.363100951058883</v>
      </c>
      <c r="M12" s="100">
        <f>M11*Inputs!M13</f>
        <v>101.59941104616485</v>
      </c>
      <c r="N12" s="62">
        <f>N11*Inputs!N13</f>
        <v>0</v>
      </c>
      <c r="O12" s="62"/>
    </row>
    <row r="13" spans="1:15" ht="14" x14ac:dyDescent="0.2">
      <c r="C13" s="19" t="s">
        <v>36</v>
      </c>
      <c r="D13" s="20">
        <f t="shared" ref="D13:M13" si="1">D11-D12</f>
        <v>307.59999999999997</v>
      </c>
      <c r="E13" s="20">
        <f t="shared" si="1"/>
        <v>367.59999999999997</v>
      </c>
      <c r="F13" s="20">
        <f>F11-F12</f>
        <v>655</v>
      </c>
      <c r="G13" s="63"/>
      <c r="H13" s="63"/>
      <c r="I13" s="20">
        <f>I11-I12</f>
        <v>405.9008508627997</v>
      </c>
      <c r="J13" s="20">
        <f t="shared" si="1"/>
        <v>446.49093594907976</v>
      </c>
      <c r="K13" s="20">
        <f t="shared" si="1"/>
        <v>491.14002954398745</v>
      </c>
      <c r="L13" s="20">
        <f t="shared" si="1"/>
        <v>540.25403249838632</v>
      </c>
      <c r="M13" s="20">
        <f t="shared" si="1"/>
        <v>594.27943574822541</v>
      </c>
    </row>
    <row r="14" spans="1:15" ht="14" x14ac:dyDescent="0.2">
      <c r="D14" s="21"/>
      <c r="E14" s="21"/>
      <c r="F14" s="21"/>
      <c r="G14" s="64"/>
      <c r="H14" s="64"/>
      <c r="I14" s="21"/>
      <c r="J14" s="21"/>
      <c r="K14" s="21"/>
      <c r="L14" s="21"/>
      <c r="M14" s="21"/>
    </row>
    <row r="15" spans="1:15" ht="14" x14ac:dyDescent="0.2">
      <c r="C15" s="1" t="s">
        <v>37</v>
      </c>
      <c r="D15" s="100">
        <v>108.4</v>
      </c>
      <c r="E15" s="100">
        <v>114.2</v>
      </c>
      <c r="F15" s="100">
        <v>141.4</v>
      </c>
      <c r="G15" s="62"/>
      <c r="H15" s="62"/>
      <c r="I15" s="100">
        <f>I7*Inputs!I14</f>
        <v>151.52696704678397</v>
      </c>
      <c r="J15" s="100">
        <f>J7*Inputs!J14</f>
        <v>166.67966375146239</v>
      </c>
      <c r="K15" s="100">
        <f>K7*Inputs!K14</f>
        <v>183.34763012660864</v>
      </c>
      <c r="L15" s="100">
        <f>L7*Inputs!L14</f>
        <v>201.68239313926952</v>
      </c>
      <c r="M15" s="100">
        <f>M7*Inputs!M14</f>
        <v>221.85063245319651</v>
      </c>
    </row>
    <row r="16" spans="1:15" ht="14" x14ac:dyDescent="0.2">
      <c r="C16" s="1" t="s">
        <v>38</v>
      </c>
      <c r="D16" s="100">
        <v>-39.5</v>
      </c>
      <c r="E16" s="100">
        <v>-45.9</v>
      </c>
      <c r="F16" s="100">
        <v>-71</v>
      </c>
      <c r="G16" s="62"/>
      <c r="H16" s="62"/>
      <c r="I16" s="100">
        <f>I7*Inputs!I15</f>
        <v>64.104476000216494</v>
      </c>
      <c r="J16" s="100">
        <f>J7*Inputs!J15</f>
        <v>70.514923600238163</v>
      </c>
      <c r="K16" s="100">
        <f>K7*Inputs!K15</f>
        <v>77.566415960261978</v>
      </c>
      <c r="L16" s="100">
        <f>L7*Inputs!L15</f>
        <v>85.323057556288191</v>
      </c>
      <c r="M16" s="100">
        <f>M7*Inputs!M15</f>
        <v>93.855363311917017</v>
      </c>
    </row>
    <row r="17" spans="1:13" ht="14" x14ac:dyDescent="0.2">
      <c r="C17" s="1" t="s">
        <v>39</v>
      </c>
      <c r="D17" s="100">
        <v>532.79999999999995</v>
      </c>
      <c r="E17" s="100">
        <v>579.70000000000005</v>
      </c>
      <c r="F17" s="100">
        <v>602.5</v>
      </c>
      <c r="G17" s="62"/>
      <c r="H17" s="62"/>
      <c r="I17" s="100">
        <f>I7*Inputs!I16</f>
        <v>445.82795023041507</v>
      </c>
      <c r="J17" s="100">
        <f>J7*Inputs!J16</f>
        <v>490.4107452534567</v>
      </c>
      <c r="K17" s="100">
        <f>K7*Inputs!K16</f>
        <v>539.45181977880236</v>
      </c>
      <c r="L17" s="100">
        <f>L7*Inputs!L16</f>
        <v>593.3970017566827</v>
      </c>
      <c r="M17" s="100">
        <f>M7*Inputs!M16</f>
        <v>652.73670193235102</v>
      </c>
    </row>
    <row r="18" spans="1:13" ht="14" x14ac:dyDescent="0.2">
      <c r="D18" s="64"/>
      <c r="E18" s="64"/>
      <c r="F18" s="64"/>
      <c r="G18" s="64"/>
      <c r="H18" s="64"/>
      <c r="I18" s="21"/>
      <c r="J18" s="21"/>
      <c r="K18" s="21"/>
      <c r="L18" s="21"/>
      <c r="M18" s="21"/>
    </row>
    <row r="19" spans="1:13" ht="14" x14ac:dyDescent="0.2">
      <c r="A19" s="61"/>
      <c r="B19" s="61"/>
      <c r="C19" s="4" t="s">
        <v>40</v>
      </c>
      <c r="D19" s="4"/>
      <c r="E19" s="4"/>
      <c r="F19" s="4"/>
      <c r="G19" s="4"/>
      <c r="H19" s="4"/>
      <c r="I19" s="102"/>
      <c r="J19" s="102"/>
      <c r="K19" s="102"/>
      <c r="L19" s="102"/>
      <c r="M19" s="102"/>
    </row>
    <row r="20" spans="1:13" ht="14" x14ac:dyDescent="0.2">
      <c r="C20" s="1" t="s">
        <v>41</v>
      </c>
      <c r="I20" s="21"/>
      <c r="J20" s="21"/>
      <c r="K20" s="21"/>
      <c r="L20" s="21"/>
      <c r="M20" s="21"/>
    </row>
    <row r="21" spans="1:13" ht="14" x14ac:dyDescent="0.2">
      <c r="C21" s="4" t="s">
        <v>42</v>
      </c>
      <c r="D21" s="72">
        <v>2021</v>
      </c>
      <c r="E21" s="72">
        <v>2022</v>
      </c>
      <c r="F21" s="72">
        <v>2023</v>
      </c>
      <c r="G21" s="72"/>
      <c r="H21" s="72"/>
      <c r="I21" s="103">
        <v>2024</v>
      </c>
      <c r="J21" s="103">
        <v>2025</v>
      </c>
      <c r="K21" s="103">
        <v>2026</v>
      </c>
      <c r="L21" s="103">
        <v>2027</v>
      </c>
      <c r="M21" s="103">
        <v>2028</v>
      </c>
    </row>
    <row r="22" spans="1:13" ht="14" x14ac:dyDescent="0.2">
      <c r="I22" s="21"/>
      <c r="J22" s="21"/>
      <c r="K22" s="21"/>
      <c r="L22" s="21"/>
      <c r="M22" s="21"/>
    </row>
    <row r="23" spans="1:13" ht="14" x14ac:dyDescent="0.2">
      <c r="C23" s="1" t="s">
        <v>43</v>
      </c>
      <c r="D23" s="100">
        <f>D11+D15</f>
        <v>463.79999999999995</v>
      </c>
      <c r="E23" s="100">
        <f t="shared" ref="E23:F23" si="2">E11+E15</f>
        <v>554.6</v>
      </c>
      <c r="F23" s="100">
        <f t="shared" si="2"/>
        <v>728.8</v>
      </c>
      <c r="G23" s="62"/>
      <c r="H23" s="62"/>
      <c r="I23" s="21">
        <f>I11+I15</f>
        <v>626.82158271128083</v>
      </c>
      <c r="J23" s="21">
        <f>J11+J15</f>
        <v>689.503740982409</v>
      </c>
      <c r="K23" s="21">
        <f>K11+K15</f>
        <v>758.45411508064967</v>
      </c>
      <c r="L23" s="21">
        <f>L11+L15</f>
        <v>834.29952658871468</v>
      </c>
      <c r="M23" s="21">
        <f>M11+M15</f>
        <v>917.72947924758682</v>
      </c>
    </row>
    <row r="24" spans="1:13" ht="14" hidden="1" outlineLevel="1" x14ac:dyDescent="0.2">
      <c r="C24" s="1" t="s">
        <v>44</v>
      </c>
      <c r="D24" s="62">
        <v>36015</v>
      </c>
      <c r="E24" s="62">
        <v>30045</v>
      </c>
      <c r="F24" s="62">
        <v>43520</v>
      </c>
      <c r="G24" s="62"/>
      <c r="H24" s="62"/>
      <c r="I24" s="21"/>
      <c r="J24" s="21"/>
      <c r="K24" s="21"/>
      <c r="L24" s="21"/>
      <c r="M24" s="21"/>
    </row>
    <row r="25" spans="1:13" ht="14" hidden="1" outlineLevel="1" x14ac:dyDescent="0.2">
      <c r="C25" s="1" t="s">
        <v>45</v>
      </c>
      <c r="D25" s="62">
        <v>3355</v>
      </c>
      <c r="E25" s="62">
        <v>8995</v>
      </c>
      <c r="F25" s="62">
        <v>7101</v>
      </c>
      <c r="G25" s="62"/>
      <c r="H25" s="62"/>
      <c r="I25" s="21"/>
      <c r="J25" s="21"/>
      <c r="K25" s="21"/>
      <c r="L25" s="21"/>
      <c r="M25" s="21"/>
    </row>
    <row r="26" spans="1:13" ht="14" hidden="1" outlineLevel="1" x14ac:dyDescent="0.2">
      <c r="C26" s="1" t="s">
        <v>46</v>
      </c>
      <c r="D26" s="62">
        <v>6003</v>
      </c>
      <c r="E26" s="62">
        <v>6780</v>
      </c>
      <c r="F26" s="62">
        <v>6683</v>
      </c>
      <c r="G26" s="62"/>
      <c r="H26" s="62"/>
      <c r="I26" s="21"/>
      <c r="J26" s="21"/>
      <c r="K26" s="21"/>
      <c r="L26" s="21"/>
      <c r="M26" s="21"/>
    </row>
    <row r="27" spans="1:13" ht="14" hidden="1" outlineLevel="1" x14ac:dyDescent="0.2">
      <c r="C27" s="1" t="s">
        <v>47</v>
      </c>
      <c r="D27" s="62">
        <v>0</v>
      </c>
      <c r="E27" s="62">
        <v>0</v>
      </c>
      <c r="F27" s="62">
        <v>0</v>
      </c>
      <c r="G27" s="62"/>
      <c r="H27" s="62"/>
      <c r="I27" s="21"/>
      <c r="J27" s="21"/>
      <c r="K27" s="21"/>
      <c r="L27" s="21"/>
      <c r="M27" s="21">
        <v>338018.6455291009</v>
      </c>
    </row>
    <row r="28" spans="1:13" ht="14" collapsed="1" x14ac:dyDescent="0.2">
      <c r="I28" s="21"/>
      <c r="J28" s="21"/>
      <c r="K28" s="21"/>
      <c r="L28" s="21"/>
      <c r="M28" s="21"/>
    </row>
    <row r="29" spans="1:13" ht="14" x14ac:dyDescent="0.2">
      <c r="C29" s="65" t="s">
        <v>48</v>
      </c>
      <c r="D29" s="101">
        <v>999.9</v>
      </c>
      <c r="E29" s="101">
        <v>1083.2</v>
      </c>
      <c r="F29" s="101">
        <v>1780.7</v>
      </c>
      <c r="G29" s="66"/>
      <c r="H29" s="66"/>
      <c r="I29" s="101">
        <f>F29-31.9</f>
        <v>1748.8</v>
      </c>
      <c r="J29" s="101">
        <f>I29-37.5</f>
        <v>1711.3</v>
      </c>
      <c r="K29" s="101">
        <f>J29-174.9</f>
        <v>1536.3999999999999</v>
      </c>
      <c r="L29" s="101">
        <f>K29-22.5</f>
        <v>1513.8999999999999</v>
      </c>
      <c r="M29" s="101">
        <f>L29-387</f>
        <v>1126.8999999999999</v>
      </c>
    </row>
    <row r="30" spans="1:13" ht="14" x14ac:dyDescent="0.2">
      <c r="C30" s="1" t="s">
        <v>49</v>
      </c>
      <c r="D30" s="21"/>
      <c r="E30" s="21">
        <f>E29-D29</f>
        <v>83.300000000000068</v>
      </c>
      <c r="F30" s="21">
        <f t="shared" ref="F30:L30" si="3">F29-E29</f>
        <v>697.5</v>
      </c>
      <c r="G30" s="64"/>
      <c r="H30" s="64"/>
      <c r="I30" s="21">
        <f>I29-F29</f>
        <v>-31.900000000000091</v>
      </c>
      <c r="J30" s="21">
        <f>J29-I29</f>
        <v>-37.5</v>
      </c>
      <c r="K30" s="21">
        <f t="shared" si="3"/>
        <v>-174.90000000000009</v>
      </c>
      <c r="L30" s="21">
        <f t="shared" si="3"/>
        <v>-22.5</v>
      </c>
      <c r="M30" s="21">
        <f>M29-L29</f>
        <v>-387</v>
      </c>
    </row>
    <row r="31" spans="1:13" ht="14" x14ac:dyDescent="0.2">
      <c r="D31" s="64"/>
      <c r="E31" s="64"/>
      <c r="F31" s="64"/>
      <c r="G31" s="64"/>
      <c r="H31" s="64"/>
      <c r="I31" s="21"/>
      <c r="J31" s="104"/>
      <c r="K31" s="104"/>
      <c r="L31" s="104"/>
      <c r="M31" s="104"/>
    </row>
    <row r="32" spans="1:13" ht="14" hidden="1" outlineLevel="1" x14ac:dyDescent="0.2">
      <c r="C32" s="1" t="s">
        <v>50</v>
      </c>
      <c r="D32" s="64">
        <v>2044</v>
      </c>
      <c r="E32" s="64">
        <v>1978</v>
      </c>
      <c r="F32" s="64">
        <v>1975</v>
      </c>
      <c r="G32" s="64">
        <v>2262</v>
      </c>
      <c r="H32" s="64">
        <v>1976</v>
      </c>
      <c r="I32" s="21"/>
      <c r="J32" s="21"/>
      <c r="K32" s="21"/>
      <c r="L32" s="21"/>
      <c r="M32" s="21"/>
    </row>
    <row r="33" spans="3:13" ht="14" hidden="1" outlineLevel="1" x14ac:dyDescent="0.2">
      <c r="C33" s="1" t="s">
        <v>51</v>
      </c>
      <c r="D33" s="64">
        <v>323</v>
      </c>
      <c r="E33" s="64">
        <v>352</v>
      </c>
      <c r="F33" s="64">
        <v>371</v>
      </c>
      <c r="G33" s="64">
        <v>337</v>
      </c>
      <c r="H33" s="64">
        <v>339</v>
      </c>
      <c r="I33" s="21"/>
      <c r="J33" s="21"/>
      <c r="K33" s="21"/>
      <c r="L33" s="21"/>
      <c r="M33" s="21"/>
    </row>
    <row r="34" spans="3:13" ht="14" collapsed="1" x14ac:dyDescent="0.2">
      <c r="C34" s="65" t="s">
        <v>52</v>
      </c>
      <c r="D34" s="101">
        <v>32.299999999999997</v>
      </c>
      <c r="E34" s="101">
        <v>31.2</v>
      </c>
      <c r="F34" s="101">
        <v>79.400000000000006</v>
      </c>
      <c r="G34" s="66"/>
      <c r="H34" s="66"/>
      <c r="I34" s="101">
        <f>((I29+F29)/2)*0.0515</f>
        <v>90.884625</v>
      </c>
      <c r="J34" s="101">
        <f>((J29+I29)/2)*0.0515</f>
        <v>89.097574999999992</v>
      </c>
      <c r="K34" s="101">
        <f t="shared" ref="K34:M34" si="4">((K29+J29)/2)*0.0515</f>
        <v>83.628274999999988</v>
      </c>
      <c r="L34" s="101">
        <f t="shared" si="4"/>
        <v>78.545224999999988</v>
      </c>
      <c r="M34" s="101">
        <f t="shared" si="4"/>
        <v>68.000599999999991</v>
      </c>
    </row>
    <row r="35" spans="3:13" ht="14" x14ac:dyDescent="0.2"/>
    <row r="36" spans="3:13" ht="14" x14ac:dyDescent="0.2">
      <c r="I36" s="1" t="s">
        <v>53</v>
      </c>
    </row>
    <row r="37" spans="3:13" ht="14.75" customHeight="1" x14ac:dyDescent="0.2">
      <c r="F37" s="105"/>
      <c r="G37" s="105"/>
      <c r="H37" s="105"/>
      <c r="I37" s="105"/>
      <c r="J37" s="105"/>
    </row>
    <row r="38" spans="3:13" ht="14.75" customHeight="1" x14ac:dyDescent="0.2">
      <c r="F38" s="105"/>
      <c r="G38" s="93"/>
      <c r="H38" s="93"/>
      <c r="I38" s="93"/>
      <c r="J38" s="93"/>
    </row>
    <row r="39" spans="3:13" ht="14.75" customHeight="1" x14ac:dyDescent="0.2">
      <c r="F39" s="105"/>
      <c r="G39" s="93"/>
      <c r="H39" s="93"/>
      <c r="I39" s="93"/>
      <c r="J39" s="93"/>
    </row>
    <row r="40" spans="3:13" ht="14.75" customHeight="1" x14ac:dyDescent="0.2">
      <c r="F40" s="105"/>
      <c r="G40" s="93"/>
      <c r="H40" s="93"/>
      <c r="I40" s="93"/>
      <c r="J40" s="93"/>
    </row>
    <row r="41" spans="3:13" ht="14.75" customHeight="1" x14ac:dyDescent="0.2">
      <c r="F41" s="105"/>
      <c r="G41" s="93"/>
      <c r="H41" s="93"/>
      <c r="I41" s="93"/>
      <c r="J41" s="93"/>
    </row>
    <row r="42" spans="3:13" ht="14.75" customHeight="1" x14ac:dyDescent="0.2">
      <c r="F42" s="105"/>
      <c r="G42" s="93"/>
      <c r="H42" s="93"/>
      <c r="I42" s="93"/>
      <c r="J42" s="93"/>
    </row>
    <row r="43" spans="3:13" ht="14.75" customHeight="1" x14ac:dyDescent="0.2">
      <c r="F43" s="105"/>
      <c r="G43" s="93"/>
      <c r="H43" s="93"/>
      <c r="I43" s="93"/>
      <c r="J43" s="93"/>
    </row>
    <row r="44" spans="3:13" ht="14.75" customHeight="1" x14ac:dyDescent="0.2">
      <c r="F44" s="105"/>
      <c r="G44" s="93"/>
      <c r="H44" s="93"/>
      <c r="I44" s="93"/>
      <c r="J44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M20"/>
  <sheetViews>
    <sheetView showGridLines="0" topLeftCell="A3" zoomScale="223" workbookViewId="0">
      <selection activeCell="M15" sqref="M15"/>
    </sheetView>
  </sheetViews>
  <sheetFormatPr baseColWidth="10" defaultColWidth="8.83203125" defaultRowHeight="14" x14ac:dyDescent="0.2"/>
  <cols>
    <col min="1" max="2" width="0.83203125" style="1" customWidth="1"/>
    <col min="3" max="11" width="8.83203125" style="1"/>
    <col min="12" max="12" width="0.83203125" style="1" customWidth="1"/>
    <col min="13" max="16384" width="8.83203125" style="1"/>
  </cols>
  <sheetData>
    <row r="3" spans="3:13" x14ac:dyDescent="0.2">
      <c r="C3" s="4" t="s">
        <v>54</v>
      </c>
      <c r="D3" s="4"/>
      <c r="E3" s="4"/>
      <c r="F3" s="4"/>
      <c r="G3" s="4"/>
      <c r="H3" s="4"/>
      <c r="I3" s="4"/>
      <c r="J3" s="4"/>
      <c r="K3" s="4"/>
    </row>
    <row r="5" spans="3:13" x14ac:dyDescent="0.2">
      <c r="C5" s="25" t="s">
        <v>55</v>
      </c>
      <c r="D5" s="26"/>
      <c r="E5" s="26"/>
      <c r="F5" s="26"/>
      <c r="G5" s="26"/>
      <c r="H5" s="26"/>
      <c r="I5" s="26"/>
      <c r="J5" s="26"/>
      <c r="K5" s="51">
        <v>0.05</v>
      </c>
      <c r="M5" s="1" t="s">
        <v>56</v>
      </c>
    </row>
    <row r="6" spans="3:13" x14ac:dyDescent="0.2">
      <c r="C6" s="16" t="s">
        <v>57</v>
      </c>
      <c r="K6" s="38">
        <v>1.33</v>
      </c>
      <c r="L6" s="52"/>
      <c r="M6" s="1" t="s">
        <v>58</v>
      </c>
    </row>
    <row r="7" spans="3:13" x14ac:dyDescent="0.2">
      <c r="C7" s="16" t="s">
        <v>59</v>
      </c>
      <c r="K7" s="53">
        <v>6.6500000000000004E-2</v>
      </c>
    </row>
    <row r="8" spans="3:13" x14ac:dyDescent="0.2">
      <c r="C8" s="54" t="s">
        <v>60</v>
      </c>
      <c r="D8" s="55"/>
      <c r="E8" s="55"/>
      <c r="F8" s="55"/>
      <c r="G8" s="55"/>
      <c r="H8" s="55"/>
      <c r="I8" s="55"/>
      <c r="J8" s="55"/>
      <c r="K8" s="56">
        <v>0.03</v>
      </c>
      <c r="M8" s="1" t="s">
        <v>61</v>
      </c>
    </row>
    <row r="10" spans="3:13" x14ac:dyDescent="0.2">
      <c r="C10" s="57" t="s">
        <v>62</v>
      </c>
      <c r="D10" s="58"/>
      <c r="E10" s="58"/>
      <c r="F10" s="58"/>
      <c r="G10" s="58"/>
      <c r="H10" s="58"/>
      <c r="I10" s="58"/>
      <c r="J10" s="58"/>
      <c r="K10" s="2">
        <v>9.6500000000000002E-2</v>
      </c>
    </row>
    <row r="12" spans="3:13" x14ac:dyDescent="0.2">
      <c r="C12" s="25" t="s">
        <v>63</v>
      </c>
      <c r="D12" s="26"/>
      <c r="E12" s="26"/>
      <c r="F12" s="26"/>
      <c r="G12" s="26"/>
      <c r="H12" s="26"/>
      <c r="I12" s="26"/>
      <c r="J12" s="26"/>
      <c r="K12" s="51">
        <v>0.315</v>
      </c>
      <c r="M12" s="1" t="s">
        <v>64</v>
      </c>
    </row>
    <row r="13" spans="3:13" x14ac:dyDescent="0.2">
      <c r="C13" s="16" t="s">
        <v>65</v>
      </c>
      <c r="K13" s="53">
        <v>6.6100000000000006E-2</v>
      </c>
    </row>
    <row r="14" spans="3:13" x14ac:dyDescent="0.2">
      <c r="C14" s="16" t="s">
        <v>66</v>
      </c>
      <c r="K14" s="59">
        <v>5.1499999999999997E-2</v>
      </c>
      <c r="M14" s="1" t="s">
        <v>67</v>
      </c>
    </row>
    <row r="15" spans="3:13" x14ac:dyDescent="0.2">
      <c r="C15" s="16" t="s">
        <v>68</v>
      </c>
      <c r="K15" s="59">
        <v>0.15</v>
      </c>
    </row>
    <row r="16" spans="3:13" x14ac:dyDescent="0.2">
      <c r="C16" s="16" t="s">
        <v>69</v>
      </c>
      <c r="K16" s="53">
        <v>4.3775000000000001E-2</v>
      </c>
    </row>
    <row r="17" spans="3:11" x14ac:dyDescent="0.2">
      <c r="C17" s="16" t="s">
        <v>63</v>
      </c>
      <c r="K17" s="30">
        <v>0.315</v>
      </c>
    </row>
    <row r="18" spans="3:11" x14ac:dyDescent="0.2">
      <c r="C18" s="54" t="s">
        <v>70</v>
      </c>
      <c r="D18" s="55"/>
      <c r="E18" s="55"/>
      <c r="F18" s="55"/>
      <c r="G18" s="55"/>
      <c r="H18" s="55"/>
      <c r="I18" s="55"/>
      <c r="J18" s="55"/>
      <c r="K18" s="60">
        <v>1.38E-2</v>
      </c>
    </row>
    <row r="20" spans="3:11" x14ac:dyDescent="0.2">
      <c r="C20" s="57" t="s">
        <v>71</v>
      </c>
      <c r="D20" s="58"/>
      <c r="E20" s="58"/>
      <c r="F20" s="58"/>
      <c r="G20" s="58"/>
      <c r="H20" s="58"/>
      <c r="I20" s="58"/>
      <c r="J20" s="58"/>
      <c r="K20" s="2">
        <v>7.9899999999999999E-2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7"/>
  <sheetViews>
    <sheetView showGridLines="0" zoomScale="125" zoomScaleNormal="114" workbookViewId="0">
      <selection activeCell="D6" sqref="D6"/>
    </sheetView>
  </sheetViews>
  <sheetFormatPr baseColWidth="10" defaultColWidth="9.1640625" defaultRowHeight="14" outlineLevelRow="2" outlineLevelCol="1" x14ac:dyDescent="0.2"/>
  <cols>
    <col min="1" max="2" width="0.83203125" style="1" customWidth="1"/>
    <col min="3" max="3" width="31.5" style="1" customWidth="1"/>
    <col min="4" max="4" width="12.83203125" style="1" customWidth="1"/>
    <col min="5" max="8" width="15.5" style="1" customWidth="1" outlineLevel="1"/>
    <col min="9" max="14" width="15.5" style="1" customWidth="1"/>
    <col min="15" max="15" width="0.83203125" style="1" customWidth="1"/>
    <col min="16" max="16384" width="9.1640625" style="1"/>
  </cols>
  <sheetData>
    <row r="1" spans="1:14" ht="5" customHeight="1" x14ac:dyDescent="0.2">
      <c r="D1" s="2" t="e">
        <v>#REF!</v>
      </c>
    </row>
    <row r="2" spans="1:14" ht="5" customHeight="1" x14ac:dyDescent="0.2">
      <c r="D2" s="1">
        <v>9.7265000000000018E-2</v>
      </c>
    </row>
    <row r="3" spans="1:14" x14ac:dyDescent="0.2">
      <c r="A3" s="3"/>
      <c r="B3" s="3"/>
      <c r="C3" s="4" t="s">
        <v>72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outlineLevel="1" x14ac:dyDescent="0.2"/>
    <row r="5" spans="1:14" outlineLevel="1" x14ac:dyDescent="0.2">
      <c r="C5" s="1" t="s">
        <v>73</v>
      </c>
      <c r="D5" s="5">
        <v>1</v>
      </c>
    </row>
    <row r="6" spans="1:14" outlineLevel="1" x14ac:dyDescent="0.2">
      <c r="C6" s="1" t="s">
        <v>74</v>
      </c>
      <c r="D6" s="70" t="str">
        <f>IF(D5=1,"Base",IF(D5=2,"Bull","Bear"))</f>
        <v>Base</v>
      </c>
      <c r="I6" s="1" t="s">
        <v>75</v>
      </c>
    </row>
    <row r="7" spans="1:14" outlineLevel="1" x14ac:dyDescent="0.2">
      <c r="C7" s="1" t="s">
        <v>62</v>
      </c>
      <c r="D7" s="6">
        <f>CostofCapital!K10</f>
        <v>9.6500000000000002E-2</v>
      </c>
      <c r="I7" s="7" t="s">
        <v>76</v>
      </c>
    </row>
    <row r="8" spans="1:14" outlineLevel="1" x14ac:dyDescent="0.2">
      <c r="C8" s="1" t="s">
        <v>77</v>
      </c>
      <c r="D8" s="8">
        <v>0.02</v>
      </c>
      <c r="I8" s="7" t="s">
        <v>78</v>
      </c>
    </row>
    <row r="9" spans="1:14" outlineLevel="1" x14ac:dyDescent="0.2">
      <c r="C9" s="1" t="s">
        <v>79</v>
      </c>
      <c r="D9" s="9">
        <v>13.3</v>
      </c>
      <c r="E9" s="1" t="s">
        <v>80</v>
      </c>
      <c r="I9" s="7" t="s">
        <v>81</v>
      </c>
    </row>
    <row r="10" spans="1:14" outlineLevel="1" x14ac:dyDescent="0.2">
      <c r="C10" s="1" t="s">
        <v>82</v>
      </c>
      <c r="D10" s="9">
        <v>6.66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outlineLevel="1" x14ac:dyDescent="0.2">
      <c r="D11" s="8"/>
    </row>
    <row r="12" spans="1:14" outlineLevel="1" x14ac:dyDescent="0.2">
      <c r="D12" s="8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4" spans="1:14" x14ac:dyDescent="0.2">
      <c r="A14" s="3"/>
      <c r="B14" s="3"/>
      <c r="C14" s="4" t="s">
        <v>83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idden="1" outlineLevel="2" x14ac:dyDescent="0.2">
      <c r="C16" s="12"/>
      <c r="D16" s="12"/>
      <c r="E16" s="12"/>
      <c r="F16" s="12"/>
      <c r="G16" s="12"/>
      <c r="H16" s="12"/>
      <c r="I16" s="12"/>
      <c r="J16" s="4">
        <v>1</v>
      </c>
      <c r="K16" s="4">
        <v>2</v>
      </c>
      <c r="L16" s="4">
        <v>3</v>
      </c>
      <c r="M16" s="4">
        <v>4</v>
      </c>
      <c r="N16" s="4">
        <v>5</v>
      </c>
    </row>
    <row r="17" spans="3:16" outlineLevel="1" collapsed="1" x14ac:dyDescent="0.2">
      <c r="C17" s="13" t="s">
        <v>84</v>
      </c>
      <c r="D17" s="4"/>
      <c r="E17" s="14"/>
      <c r="F17" s="14"/>
      <c r="G17" s="14"/>
      <c r="H17" s="14"/>
      <c r="I17" s="14"/>
      <c r="J17" s="15" t="s">
        <v>85</v>
      </c>
      <c r="K17" s="14"/>
      <c r="L17" s="14"/>
      <c r="M17" s="14"/>
      <c r="N17" s="14"/>
    </row>
    <row r="18" spans="3:16" outlineLevel="1" x14ac:dyDescent="0.2">
      <c r="C18" s="13" t="s">
        <v>16</v>
      </c>
      <c r="D18" s="4"/>
      <c r="E18" s="72">
        <v>2021</v>
      </c>
      <c r="F18" s="72">
        <v>2022</v>
      </c>
      <c r="G18" s="72">
        <v>2023</v>
      </c>
      <c r="H18" s="72"/>
      <c r="I18" s="72"/>
      <c r="J18" s="73">
        <v>2024</v>
      </c>
      <c r="K18" s="73">
        <v>2025</v>
      </c>
      <c r="L18" s="73">
        <v>2026</v>
      </c>
      <c r="M18" s="73">
        <v>2027</v>
      </c>
      <c r="N18" s="73">
        <v>2028</v>
      </c>
    </row>
    <row r="19" spans="3:16" outlineLevel="1" x14ac:dyDescent="0.2">
      <c r="C19" s="16" t="s">
        <v>86</v>
      </c>
      <c r="E19" s="17">
        <f>Operation!D7</f>
        <v>2462</v>
      </c>
      <c r="F19" s="17">
        <f>Operation!E7</f>
        <v>2909</v>
      </c>
      <c r="G19" s="17">
        <f>Operation!F7</f>
        <v>3263.6</v>
      </c>
      <c r="H19" s="17">
        <f>Operation!G7</f>
        <v>0</v>
      </c>
      <c r="I19" s="17">
        <f>Operation!H7</f>
        <v>0</v>
      </c>
      <c r="J19" s="17">
        <f>Operation!I7</f>
        <v>3589.96</v>
      </c>
      <c r="K19" s="17">
        <f>Operation!J7</f>
        <v>3948.9560000000006</v>
      </c>
      <c r="L19" s="17">
        <f>Operation!K7</f>
        <v>4343.8516000000009</v>
      </c>
      <c r="M19" s="17">
        <f>Operation!L7</f>
        <v>4778.2367600000016</v>
      </c>
      <c r="N19" s="17">
        <f>Operation!M7</f>
        <v>5256.0604360000025</v>
      </c>
    </row>
    <row r="20" spans="3:16" outlineLevel="1" x14ac:dyDescent="0.2">
      <c r="C20" s="16" t="s">
        <v>87</v>
      </c>
      <c r="E20" s="17">
        <f>Operation!D8+Operation!D10</f>
        <v>2106.6</v>
      </c>
      <c r="F20" s="17">
        <f>Operation!E8+Operation!E10</f>
        <v>2468.6</v>
      </c>
      <c r="G20" s="17">
        <f>Operation!F8+Operation!F10</f>
        <v>2676.2</v>
      </c>
      <c r="H20" s="17">
        <f>Operation!G8+Operation!G10</f>
        <v>0</v>
      </c>
      <c r="I20" s="17">
        <f>Operation!H8+Operation!H10</f>
        <v>0</v>
      </c>
      <c r="J20" s="17">
        <f>Operation!I8+Operation!I10</f>
        <v>3114.6653843355034</v>
      </c>
      <c r="K20" s="17">
        <f>Operation!J8+Operation!J10</f>
        <v>3426.1319227690537</v>
      </c>
      <c r="L20" s="17">
        <f>Operation!K8+Operation!K10</f>
        <v>3768.7451150459601</v>
      </c>
      <c r="M20" s="17">
        <f>Operation!L8+Operation!L10</f>
        <v>4145.6196265505569</v>
      </c>
      <c r="N20" s="17">
        <f>Operation!M8+Operation!M10</f>
        <v>4560.181589205612</v>
      </c>
    </row>
    <row r="21" spans="3:16" outlineLevel="1" x14ac:dyDescent="0.2">
      <c r="C21" s="18" t="s">
        <v>43</v>
      </c>
      <c r="D21" s="19"/>
      <c r="E21" s="20">
        <f t="shared" ref="E21:N21" si="0">E19-E20+E22</f>
        <v>463.80000000000007</v>
      </c>
      <c r="F21" s="20">
        <f t="shared" si="0"/>
        <v>554.60000000000014</v>
      </c>
      <c r="G21" s="20">
        <f>G19-G20+G22</f>
        <v>728.80000000000007</v>
      </c>
      <c r="H21" s="20">
        <f t="shared" si="0"/>
        <v>0</v>
      </c>
      <c r="I21" s="20">
        <f t="shared" si="0"/>
        <v>0</v>
      </c>
      <c r="J21" s="20">
        <f t="shared" si="0"/>
        <v>626.8215827112806</v>
      </c>
      <c r="K21" s="20">
        <f t="shared" si="0"/>
        <v>689.50374098240923</v>
      </c>
      <c r="L21" s="20">
        <f t="shared" si="0"/>
        <v>758.45411508064944</v>
      </c>
      <c r="M21" s="20">
        <f t="shared" si="0"/>
        <v>834.29952658871423</v>
      </c>
      <c r="N21" s="20">
        <f t="shared" si="0"/>
        <v>917.72947924758705</v>
      </c>
    </row>
    <row r="22" spans="3:16" outlineLevel="1" x14ac:dyDescent="0.2">
      <c r="C22" s="16" t="s">
        <v>88</v>
      </c>
      <c r="E22" s="17">
        <f>Operation!D15</f>
        <v>108.4</v>
      </c>
      <c r="F22" s="17">
        <f>Operation!E15</f>
        <v>114.2</v>
      </c>
      <c r="G22" s="17">
        <f>Operation!F15</f>
        <v>141.4</v>
      </c>
      <c r="H22" s="17">
        <f>Operation!G15</f>
        <v>0</v>
      </c>
      <c r="I22" s="17">
        <f>Operation!H15</f>
        <v>0</v>
      </c>
      <c r="J22" s="17">
        <f>Operation!I15</f>
        <v>151.52696704678397</v>
      </c>
      <c r="K22" s="17">
        <f>Operation!J15</f>
        <v>166.67966375146239</v>
      </c>
      <c r="L22" s="17">
        <f>Operation!K15</f>
        <v>183.34763012660864</v>
      </c>
      <c r="M22" s="17">
        <f>Operation!L15</f>
        <v>201.68239313926952</v>
      </c>
      <c r="N22" s="17">
        <f>Operation!M15</f>
        <v>221.85063245319651</v>
      </c>
    </row>
    <row r="23" spans="3:16" outlineLevel="1" x14ac:dyDescent="0.2">
      <c r="C23" s="18" t="s">
        <v>89</v>
      </c>
      <c r="D23" s="19"/>
      <c r="E23" s="20">
        <f>E21-E22</f>
        <v>355.40000000000009</v>
      </c>
      <c r="F23" s="20">
        <f>F21-F22</f>
        <v>440.40000000000015</v>
      </c>
      <c r="G23" s="20">
        <f>G21-G22</f>
        <v>587.40000000000009</v>
      </c>
      <c r="H23" s="20">
        <f>H21-H22</f>
        <v>0</v>
      </c>
      <c r="I23" s="20">
        <f>I21-I22</f>
        <v>0</v>
      </c>
      <c r="J23" s="20">
        <f>Operation!I11</f>
        <v>475.29461566449686</v>
      </c>
      <c r="K23" s="20">
        <f>Operation!J11</f>
        <v>522.82407723094661</v>
      </c>
      <c r="L23" s="20">
        <f>Operation!K11</f>
        <v>575.10648495404098</v>
      </c>
      <c r="M23" s="20">
        <f>Operation!L11</f>
        <v>632.61713344944519</v>
      </c>
      <c r="N23" s="20">
        <f>Operation!M11</f>
        <v>695.87884679439026</v>
      </c>
    </row>
    <row r="24" spans="3:16" outlineLevel="1" x14ac:dyDescent="0.2">
      <c r="C24" s="16" t="s">
        <v>90</v>
      </c>
      <c r="E24" s="17">
        <f>Operation!D12</f>
        <v>47.8</v>
      </c>
      <c r="F24" s="17">
        <f>Operation!E12</f>
        <v>72.8</v>
      </c>
      <c r="G24" s="17">
        <f>Operation!F12</f>
        <v>-67.599999999999994</v>
      </c>
      <c r="H24" s="17">
        <f>Operation!G12</f>
        <v>0</v>
      </c>
      <c r="I24" s="17">
        <f>Operation!H12</f>
        <v>0</v>
      </c>
      <c r="J24" s="17">
        <f>Operation!I12</f>
        <v>69.393764801697145</v>
      </c>
      <c r="K24" s="17">
        <f>Operation!J12</f>
        <v>76.333141281866872</v>
      </c>
      <c r="L24" s="17">
        <f>Operation!K12</f>
        <v>83.966455410053513</v>
      </c>
      <c r="M24" s="17">
        <f>Operation!L12</f>
        <v>92.363100951058883</v>
      </c>
      <c r="N24" s="17">
        <f>Operation!M12</f>
        <v>101.59941104616485</v>
      </c>
    </row>
    <row r="25" spans="3:16" outlineLevel="1" x14ac:dyDescent="0.2">
      <c r="C25" s="18" t="s">
        <v>36</v>
      </c>
      <c r="D25" s="19"/>
      <c r="E25" s="20">
        <f t="shared" ref="E25:M25" si="1">E23-E24</f>
        <v>307.60000000000008</v>
      </c>
      <c r="F25" s="20">
        <f t="shared" si="1"/>
        <v>367.60000000000014</v>
      </c>
      <c r="G25" s="20">
        <f t="shared" si="1"/>
        <v>655.00000000000011</v>
      </c>
      <c r="H25" s="20">
        <f t="shared" si="1"/>
        <v>0</v>
      </c>
      <c r="I25" s="20">
        <f t="shared" si="1"/>
        <v>0</v>
      </c>
      <c r="J25" s="20">
        <f t="shared" si="1"/>
        <v>405.9008508627997</v>
      </c>
      <c r="K25" s="20">
        <f t="shared" si="1"/>
        <v>446.49093594907976</v>
      </c>
      <c r="L25" s="20">
        <f t="shared" si="1"/>
        <v>491.14002954398745</v>
      </c>
      <c r="M25" s="20">
        <f t="shared" si="1"/>
        <v>540.25403249838632</v>
      </c>
      <c r="N25" s="20">
        <f>N23-N24</f>
        <v>594.27943574822541</v>
      </c>
      <c r="P25" s="89"/>
    </row>
    <row r="26" spans="3:16" outlineLevel="1" x14ac:dyDescent="0.2">
      <c r="C26" s="16" t="s">
        <v>91</v>
      </c>
      <c r="E26" s="21">
        <f>Operation!D15</f>
        <v>108.4</v>
      </c>
      <c r="F26" s="21">
        <f>Operation!E15</f>
        <v>114.2</v>
      </c>
      <c r="G26" s="21">
        <f>Operation!F15</f>
        <v>141.4</v>
      </c>
      <c r="H26" s="21">
        <f>Operation!G15</f>
        <v>0</v>
      </c>
      <c r="I26" s="21">
        <f>Operation!H15</f>
        <v>0</v>
      </c>
      <c r="J26" s="21">
        <f>Operation!I15</f>
        <v>151.52696704678397</v>
      </c>
      <c r="K26" s="21">
        <f>Operation!J15</f>
        <v>166.67966375146239</v>
      </c>
      <c r="L26" s="21">
        <f>Operation!K15</f>
        <v>183.34763012660864</v>
      </c>
      <c r="M26" s="21">
        <f>Operation!L15</f>
        <v>201.68239313926952</v>
      </c>
      <c r="N26" s="21">
        <f>Operation!M15</f>
        <v>221.85063245319651</v>
      </c>
    </row>
    <row r="27" spans="3:16" outlineLevel="1" x14ac:dyDescent="0.2">
      <c r="C27" s="16" t="s">
        <v>92</v>
      </c>
      <c r="E27" s="21">
        <v>0</v>
      </c>
      <c r="F27" s="21">
        <f>Operation!E17-Operation!D17</f>
        <v>46.900000000000091</v>
      </c>
      <c r="G27" s="21">
        <f>Operation!F17-Operation!E17</f>
        <v>22.799999999999955</v>
      </c>
      <c r="H27" s="21"/>
      <c r="I27" s="21">
        <f>Operation!H17-Operation!G17</f>
        <v>0</v>
      </c>
      <c r="J27" s="21">
        <f>Operation!I17-Operation!H17</f>
        <v>445.82795023041507</v>
      </c>
      <c r="K27" s="21">
        <f>Operation!J17-Operation!I17</f>
        <v>44.582795023041626</v>
      </c>
      <c r="L27" s="21">
        <f>Operation!K17-Operation!J17</f>
        <v>49.041074525345664</v>
      </c>
      <c r="M27" s="21">
        <f>Operation!L17-Operation!K17</f>
        <v>53.945181977880338</v>
      </c>
      <c r="N27" s="21">
        <f>Operation!M17-Operation!L17</f>
        <v>59.339700175668327</v>
      </c>
    </row>
    <row r="28" spans="3:16" outlineLevel="1" x14ac:dyDescent="0.2">
      <c r="C28" s="16" t="s">
        <v>93</v>
      </c>
      <c r="E28" s="21">
        <f>Operation!D16</f>
        <v>-39.5</v>
      </c>
      <c r="F28" s="21">
        <f>Operation!E16</f>
        <v>-45.9</v>
      </c>
      <c r="G28" s="21">
        <f>Operation!F16</f>
        <v>-71</v>
      </c>
      <c r="H28" s="21">
        <f>Operation!G16</f>
        <v>0</v>
      </c>
      <c r="I28" s="21">
        <f>Operation!H16</f>
        <v>0</v>
      </c>
      <c r="J28" s="21">
        <f>Operation!I16</f>
        <v>64.104476000216494</v>
      </c>
      <c r="K28" s="21">
        <f>Operation!J16</f>
        <v>70.514923600238163</v>
      </c>
      <c r="L28" s="21">
        <f>Operation!K16</f>
        <v>77.566415960261978</v>
      </c>
      <c r="M28" s="21">
        <f>Operation!L16</f>
        <v>85.323057556288191</v>
      </c>
      <c r="N28" s="21">
        <f>Operation!M16</f>
        <v>93.855363311917017</v>
      </c>
    </row>
    <row r="29" spans="3:16" outlineLevel="1" x14ac:dyDescent="0.2">
      <c r="C29" s="18" t="s">
        <v>94</v>
      </c>
      <c r="D29" s="19"/>
      <c r="E29" s="20">
        <f t="shared" ref="E29:M29" si="2">E25+E26-E27-E28</f>
        <v>455.50000000000011</v>
      </c>
      <c r="F29" s="20">
        <f t="shared" si="2"/>
        <v>480.8</v>
      </c>
      <c r="G29" s="20">
        <f t="shared" si="2"/>
        <v>844.60000000000014</v>
      </c>
      <c r="H29" s="20">
        <f t="shared" si="2"/>
        <v>0</v>
      </c>
      <c r="I29" s="20">
        <f t="shared" si="2"/>
        <v>0</v>
      </c>
      <c r="J29" s="20">
        <f>J25+J26-J27-J28</f>
        <v>47.495391678952046</v>
      </c>
      <c r="K29" s="20">
        <f t="shared" si="2"/>
        <v>498.07288107726242</v>
      </c>
      <c r="L29" s="20">
        <f t="shared" si="2"/>
        <v>547.88016918498829</v>
      </c>
      <c r="M29" s="20">
        <f t="shared" si="2"/>
        <v>602.6681861034873</v>
      </c>
      <c r="N29" s="20">
        <f>N25+N26-N27-N28</f>
        <v>662.93500471383652</v>
      </c>
      <c r="P29" s="1" t="s">
        <v>95</v>
      </c>
    </row>
    <row r="30" spans="3:16" outlineLevel="1" x14ac:dyDescent="0.2">
      <c r="C30" s="16" t="s">
        <v>96</v>
      </c>
      <c r="E30" s="21">
        <f>Operation!D34*(1-Inputs!D13)</f>
        <v>27.485717299999997</v>
      </c>
      <c r="F30" s="21">
        <f>Operation!E34*(1-Inputs!E13)</f>
        <v>26.3939208</v>
      </c>
      <c r="G30" s="21">
        <f>Operation!F34*(1-Inputs!F13)</f>
        <v>68.680999999999997</v>
      </c>
      <c r="H30" s="21">
        <f>Operation!G34*(1-Inputs!G13)</f>
        <v>0</v>
      </c>
      <c r="I30" s="21">
        <f>Operation!H34*(1-Inputs!H13)</f>
        <v>0</v>
      </c>
      <c r="J30" s="21">
        <f>Operation!I34*(1-Inputs!I13)</f>
        <v>77.615326162008671</v>
      </c>
      <c r="K30" s="21">
        <f>Operation!J34*(1-Inputs!J13)</f>
        <v>76.089188285356613</v>
      </c>
      <c r="L30" s="21">
        <f>Operation!K34*(1-Inputs!K13)</f>
        <v>71.418414726265908</v>
      </c>
      <c r="M30" s="21">
        <f>Operation!L34*(1-Inputs!L13)</f>
        <v>67.077498056941494</v>
      </c>
      <c r="N30" s="21">
        <f>Operation!M34*(1-Inputs!M13)</f>
        <v>58.072404966321706</v>
      </c>
    </row>
    <row r="31" spans="3:16" outlineLevel="1" x14ac:dyDescent="0.2">
      <c r="C31" s="16" t="s">
        <v>97</v>
      </c>
      <c r="E31" s="21">
        <f>Operation!D30</f>
        <v>0</v>
      </c>
      <c r="F31" s="21">
        <f>Operation!E30</f>
        <v>83.300000000000068</v>
      </c>
      <c r="G31" s="21">
        <f>Operation!F30</f>
        <v>697.5</v>
      </c>
      <c r="H31" s="21">
        <f>Operation!G30</f>
        <v>0</v>
      </c>
      <c r="I31" s="21">
        <f>Operation!H30</f>
        <v>0</v>
      </c>
      <c r="J31" s="21">
        <f>Operation!I30</f>
        <v>-31.900000000000091</v>
      </c>
      <c r="K31" s="21">
        <f>Operation!J30</f>
        <v>-37.5</v>
      </c>
      <c r="L31" s="21">
        <f>Operation!K30</f>
        <v>-174.90000000000009</v>
      </c>
      <c r="M31" s="21">
        <f>Operation!L30</f>
        <v>-22.5</v>
      </c>
      <c r="N31" s="21">
        <f>Operation!M30</f>
        <v>-387</v>
      </c>
    </row>
    <row r="32" spans="3:16" outlineLevel="1" x14ac:dyDescent="0.2">
      <c r="C32" s="22" t="s">
        <v>98</v>
      </c>
      <c r="D32" s="23"/>
      <c r="E32" s="24">
        <f>E29-E30+E31</f>
        <v>428.01428270000014</v>
      </c>
      <c r="F32" s="24">
        <f t="shared" ref="F32:N32" si="3">F29-F30+F31</f>
        <v>537.70607920000009</v>
      </c>
      <c r="G32" s="24">
        <f t="shared" si="3"/>
        <v>1473.4190000000001</v>
      </c>
      <c r="H32" s="24">
        <f t="shared" si="3"/>
        <v>0</v>
      </c>
      <c r="I32" s="24">
        <f t="shared" si="3"/>
        <v>0</v>
      </c>
      <c r="J32" s="24">
        <f t="shared" si="3"/>
        <v>-62.019934483056716</v>
      </c>
      <c r="K32" s="24">
        <f t="shared" si="3"/>
        <v>384.48369279190581</v>
      </c>
      <c r="L32" s="24">
        <f t="shared" si="3"/>
        <v>301.56175445872231</v>
      </c>
      <c r="M32" s="24">
        <f t="shared" si="3"/>
        <v>513.09068804654578</v>
      </c>
      <c r="N32" s="24">
        <f t="shared" si="3"/>
        <v>217.86259974751476</v>
      </c>
    </row>
    <row r="33" spans="1:14" outlineLevel="1" x14ac:dyDescent="0.2">
      <c r="C33" s="25" t="s">
        <v>99</v>
      </c>
      <c r="D33" s="26"/>
      <c r="E33" s="92">
        <f>$D$41</f>
        <v>9.6500000000000002E-2</v>
      </c>
      <c r="F33" s="92">
        <f t="shared" ref="F33:M33" si="4">$D$41</f>
        <v>9.6500000000000002E-2</v>
      </c>
      <c r="G33" s="92">
        <f t="shared" si="4"/>
        <v>9.6500000000000002E-2</v>
      </c>
      <c r="H33" s="92"/>
      <c r="I33" s="92"/>
      <c r="J33" s="92">
        <f>$D$41</f>
        <v>9.6500000000000002E-2</v>
      </c>
      <c r="K33" s="92">
        <f t="shared" si="4"/>
        <v>9.6500000000000002E-2</v>
      </c>
      <c r="L33" s="92">
        <f t="shared" si="4"/>
        <v>9.6500000000000002E-2</v>
      </c>
      <c r="M33" s="92">
        <f t="shared" si="4"/>
        <v>9.6500000000000002E-2</v>
      </c>
      <c r="N33" s="92">
        <f>$D$41</f>
        <v>9.6500000000000002E-2</v>
      </c>
    </row>
    <row r="34" spans="1:14" outlineLevel="1" x14ac:dyDescent="0.2">
      <c r="C34" s="18" t="s">
        <v>100</v>
      </c>
      <c r="D34" s="19"/>
      <c r="E34" s="27"/>
      <c r="F34" s="27"/>
      <c r="G34" s="27"/>
      <c r="H34" s="27"/>
      <c r="I34" s="27"/>
      <c r="J34" s="27">
        <f>J32/(1+J33)</f>
        <v>-56.561727754725688</v>
      </c>
      <c r="K34" s="27">
        <f>K32/(1+K33)^2</f>
        <v>319.78688796683707</v>
      </c>
      <c r="L34" s="27">
        <f>L32/(1+L33)^3</f>
        <v>228.74433816123525</v>
      </c>
      <c r="M34" s="27">
        <f>M32/(1+M33)^4</f>
        <v>354.94379530683761</v>
      </c>
      <c r="N34" s="27">
        <f>N32/(1+N33)^5</f>
        <v>137.44834081032377</v>
      </c>
    </row>
    <row r="36" spans="1:14" x14ac:dyDescent="0.2">
      <c r="A36" s="3"/>
      <c r="B36" s="3"/>
      <c r="C36" s="4" t="s">
        <v>101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outlineLevel="1" x14ac:dyDescent="0.2"/>
    <row r="38" spans="1:14" outlineLevel="1" x14ac:dyDescent="0.2">
      <c r="C38" s="14" t="s">
        <v>102</v>
      </c>
      <c r="D38" s="14"/>
    </row>
    <row r="39" spans="1:14" outlineLevel="1" x14ac:dyDescent="0.2">
      <c r="C39" s="16" t="s">
        <v>77</v>
      </c>
      <c r="D39" s="28">
        <f>0.05</f>
        <v>0.05</v>
      </c>
    </row>
    <row r="40" spans="1:14" outlineLevel="1" x14ac:dyDescent="0.2">
      <c r="C40" s="16" t="s">
        <v>103</v>
      </c>
      <c r="D40" s="29">
        <f>N32*(1+D39)</f>
        <v>228.75572973489051</v>
      </c>
    </row>
    <row r="41" spans="1:14" outlineLevel="1" x14ac:dyDescent="0.2">
      <c r="C41" s="16" t="s">
        <v>104</v>
      </c>
      <c r="D41" s="30">
        <f>D7</f>
        <v>9.6500000000000002E-2</v>
      </c>
    </row>
    <row r="42" spans="1:14" outlineLevel="1" x14ac:dyDescent="0.2">
      <c r="C42" s="16" t="s">
        <v>105</v>
      </c>
      <c r="D42" s="29">
        <f>D40/(D41-D39)</f>
        <v>4919.4780588148496</v>
      </c>
      <c r="E42" s="1" t="s">
        <v>106</v>
      </c>
    </row>
    <row r="43" spans="1:14" outlineLevel="1" x14ac:dyDescent="0.2">
      <c r="C43" s="16" t="s">
        <v>107</v>
      </c>
      <c r="D43" s="31">
        <v>5</v>
      </c>
    </row>
    <row r="44" spans="1:14" outlineLevel="1" x14ac:dyDescent="0.2">
      <c r="C44" s="18" t="s">
        <v>108</v>
      </c>
      <c r="D44" s="32">
        <f>D42/(1+D41)^D43</f>
        <v>3103.6722118460207</v>
      </c>
      <c r="E44" s="1" t="s">
        <v>109</v>
      </c>
    </row>
    <row r="45" spans="1:14" outlineLevel="1" x14ac:dyDescent="0.2"/>
    <row r="46" spans="1:14" outlineLevel="1" x14ac:dyDescent="0.2">
      <c r="C46" s="14" t="s">
        <v>110</v>
      </c>
      <c r="D46" s="14"/>
    </row>
    <row r="47" spans="1:14" outlineLevel="1" x14ac:dyDescent="0.2">
      <c r="C47" s="16" t="s">
        <v>111</v>
      </c>
      <c r="D47" s="33">
        <f>D9</f>
        <v>13.3</v>
      </c>
    </row>
    <row r="48" spans="1:14" outlineLevel="1" x14ac:dyDescent="0.2">
      <c r="C48" s="16" t="s">
        <v>112</v>
      </c>
      <c r="D48" s="29">
        <f>N21*(1+D39)</f>
        <v>963.61595320996639</v>
      </c>
    </row>
    <row r="49" spans="1:14" outlineLevel="1" x14ac:dyDescent="0.2">
      <c r="C49" s="16" t="s">
        <v>113</v>
      </c>
      <c r="D49" s="30">
        <f>D7</f>
        <v>9.6500000000000002E-2</v>
      </c>
    </row>
    <row r="50" spans="1:14" outlineLevel="1" x14ac:dyDescent="0.2">
      <c r="C50" s="16" t="s">
        <v>114</v>
      </c>
      <c r="D50" s="29">
        <f>D47*D48</f>
        <v>12816.092177692553</v>
      </c>
    </row>
    <row r="51" spans="1:14" outlineLevel="1" x14ac:dyDescent="0.2">
      <c r="C51" s="16" t="s">
        <v>107</v>
      </c>
      <c r="D51" s="31">
        <f>D43</f>
        <v>5</v>
      </c>
    </row>
    <row r="52" spans="1:14" outlineLevel="1" x14ac:dyDescent="0.2">
      <c r="C52" s="18" t="s">
        <v>108</v>
      </c>
      <c r="D52" s="32">
        <f>D50/((1+D49)^D51)</f>
        <v>8085.6035296444006</v>
      </c>
    </row>
    <row r="53" spans="1:14" outlineLevel="1" x14ac:dyDescent="0.2"/>
    <row r="54" spans="1:14" outlineLevel="1" x14ac:dyDescent="0.2">
      <c r="C54" s="14" t="s">
        <v>115</v>
      </c>
      <c r="D54" s="14"/>
    </row>
    <row r="55" spans="1:14" outlineLevel="1" x14ac:dyDescent="0.2">
      <c r="C55" s="16" t="s">
        <v>116</v>
      </c>
      <c r="D55" s="34">
        <f>D44</f>
        <v>3103.6722118460207</v>
      </c>
    </row>
    <row r="56" spans="1:14" outlineLevel="1" x14ac:dyDescent="0.2">
      <c r="C56" s="16" t="s">
        <v>111</v>
      </c>
      <c r="D56" s="34">
        <f>D52</f>
        <v>8085.6035296444006</v>
      </c>
    </row>
    <row r="57" spans="1:14" outlineLevel="1" x14ac:dyDescent="0.2">
      <c r="C57" s="18" t="s">
        <v>117</v>
      </c>
      <c r="D57" s="35">
        <f>AVERAGE(D55:D56)</f>
        <v>5594.6378707452104</v>
      </c>
    </row>
    <row r="59" spans="1:14" x14ac:dyDescent="0.2">
      <c r="A59" s="3"/>
      <c r="B59" s="3"/>
      <c r="C59" s="4" t="s">
        <v>118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outlineLevel="1" x14ac:dyDescent="0.2"/>
    <row r="61" spans="1:14" outlineLevel="1" x14ac:dyDescent="0.2">
      <c r="C61" s="4" t="s">
        <v>119</v>
      </c>
      <c r="D61" s="4"/>
    </row>
    <row r="62" spans="1:14" outlineLevel="1" x14ac:dyDescent="0.2">
      <c r="C62" s="16" t="s">
        <v>120</v>
      </c>
      <c r="D62" s="34">
        <f>SUM(J34:N34)</f>
        <v>984.3616344905081</v>
      </c>
    </row>
    <row r="63" spans="1:14" outlineLevel="1" x14ac:dyDescent="0.2">
      <c r="C63" s="16" t="s">
        <v>121</v>
      </c>
      <c r="D63" s="34">
        <f>D57</f>
        <v>5594.6378707452104</v>
      </c>
    </row>
    <row r="64" spans="1:14" outlineLevel="1" x14ac:dyDescent="0.2">
      <c r="C64" s="16" t="s">
        <v>122</v>
      </c>
      <c r="D64" s="36">
        <v>185.1</v>
      </c>
      <c r="E64" s="1" t="s">
        <v>123</v>
      </c>
      <c r="F64" s="106">
        <f>Operation!F29-D64</f>
        <v>1595.6000000000001</v>
      </c>
    </row>
    <row r="65" spans="1:14" outlineLevel="1" x14ac:dyDescent="0.2">
      <c r="C65" s="18" t="s">
        <v>124</v>
      </c>
      <c r="D65" s="32">
        <f>D63+D62+D64</f>
        <v>6764.0995052357193</v>
      </c>
      <c r="E65" s="1" t="s">
        <v>125</v>
      </c>
      <c r="G65" s="1" t="s">
        <v>126</v>
      </c>
    </row>
    <row r="66" spans="1:14" outlineLevel="1" x14ac:dyDescent="0.2">
      <c r="C66" s="16" t="s">
        <v>127</v>
      </c>
      <c r="D66" s="36"/>
      <c r="G66" s="1" t="s">
        <v>128</v>
      </c>
      <c r="H66" s="106">
        <f>F64+D65</f>
        <v>8359.6995052357197</v>
      </c>
      <c r="I66" s="1">
        <f>H66*0.176</f>
        <v>1471.3071129214866</v>
      </c>
      <c r="J66" s="1" t="s">
        <v>129</v>
      </c>
      <c r="K66" s="1" t="s">
        <v>130</v>
      </c>
    </row>
    <row r="67" spans="1:14" outlineLevel="1" x14ac:dyDescent="0.2">
      <c r="C67" s="18" t="s">
        <v>119</v>
      </c>
      <c r="D67" s="37"/>
      <c r="G67" s="1" t="s">
        <v>131</v>
      </c>
    </row>
    <row r="68" spans="1:14" outlineLevel="1" x14ac:dyDescent="0.2">
      <c r="C68" s="16" t="s">
        <v>132</v>
      </c>
      <c r="D68" s="38"/>
    </row>
    <row r="69" spans="1:14" outlineLevel="1" x14ac:dyDescent="0.2">
      <c r="C69" s="18" t="s">
        <v>133</v>
      </c>
      <c r="D69" s="39"/>
    </row>
    <row r="71" spans="1:14" x14ac:dyDescent="0.2">
      <c r="A71" s="3"/>
      <c r="B71" s="3"/>
      <c r="C71" s="4" t="s">
        <v>134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outlineLevel="1" x14ac:dyDescent="0.2"/>
    <row r="73" spans="1:14" outlineLevel="1" x14ac:dyDescent="0.2">
      <c r="C73" s="40"/>
      <c r="D73" s="4"/>
      <c r="E73" s="14" t="s">
        <v>62</v>
      </c>
      <c r="F73" s="14"/>
      <c r="G73" s="14"/>
      <c r="H73" s="14"/>
      <c r="I73" s="14"/>
    </row>
    <row r="74" spans="1:14" outlineLevel="1" x14ac:dyDescent="0.2">
      <c r="C74" s="41"/>
      <c r="D74" s="42">
        <v>2.2900105029658384</v>
      </c>
      <c r="E74" s="43">
        <v>9.7252999999999992E-2</v>
      </c>
      <c r="F74" s="43">
        <v>0.102253</v>
      </c>
      <c r="G74" s="43">
        <v>0.107253</v>
      </c>
      <c r="H74" s="43">
        <v>0.11225300000000001</v>
      </c>
      <c r="I74" s="43">
        <v>0.11725300000000001</v>
      </c>
    </row>
    <row r="75" spans="1:14" ht="15" customHeight="1" outlineLevel="1" x14ac:dyDescent="0.2">
      <c r="C75" s="44"/>
      <c r="D75" s="45">
        <v>9.9999999999999985E-3</v>
      </c>
      <c r="E75" s="46"/>
      <c r="F75" s="46"/>
      <c r="G75" s="46"/>
      <c r="H75" s="46"/>
      <c r="I75" s="46"/>
    </row>
    <row r="76" spans="1:14" ht="14.75" customHeight="1" outlineLevel="1" x14ac:dyDescent="0.2">
      <c r="C76" s="44"/>
      <c r="D76" s="45">
        <v>1.4999999999999999E-2</v>
      </c>
      <c r="E76" s="46"/>
      <c r="F76" s="47"/>
      <c r="G76" s="47"/>
      <c r="H76" s="47"/>
      <c r="I76" s="46"/>
    </row>
    <row r="77" spans="1:14" ht="14.75" customHeight="1" outlineLevel="1" x14ac:dyDescent="0.2">
      <c r="C77" s="48" t="s">
        <v>135</v>
      </c>
      <c r="D77" s="45">
        <v>0.02</v>
      </c>
      <c r="E77" s="46"/>
      <c r="F77" s="47"/>
      <c r="G77" s="49"/>
      <c r="H77" s="47"/>
      <c r="I77" s="46"/>
    </row>
    <row r="78" spans="1:14" outlineLevel="1" x14ac:dyDescent="0.2">
      <c r="C78" s="44"/>
      <c r="D78" s="45">
        <v>2.5000000000000001E-2</v>
      </c>
      <c r="E78" s="46"/>
      <c r="F78" s="47"/>
      <c r="G78" s="47"/>
      <c r="H78" s="47"/>
      <c r="I78" s="46"/>
    </row>
    <row r="79" spans="1:14" outlineLevel="1" x14ac:dyDescent="0.2">
      <c r="C79" s="44"/>
      <c r="D79" s="45">
        <v>3.0000000000000002E-2</v>
      </c>
      <c r="E79" s="46"/>
      <c r="F79" s="46"/>
      <c r="G79" s="46"/>
      <c r="H79" s="46"/>
      <c r="I79" s="46"/>
    </row>
    <row r="80" spans="1:14" outlineLevel="1" x14ac:dyDescent="0.2"/>
    <row r="81" spans="3:3" outlineLevel="1" x14ac:dyDescent="0.2">
      <c r="C81" s="50" t="s">
        <v>136</v>
      </c>
    </row>
    <row r="82" spans="3:3" outlineLevel="1" x14ac:dyDescent="0.2"/>
    <row r="83" spans="3:3" outlineLevel="1" x14ac:dyDescent="0.2"/>
    <row r="84" spans="3:3" outlineLevel="1" x14ac:dyDescent="0.2"/>
    <row r="85" spans="3:3" outlineLevel="1" x14ac:dyDescent="0.2"/>
    <row r="86" spans="3:3" outlineLevel="1" x14ac:dyDescent="0.2"/>
    <row r="87" spans="3:3" outlineLevel="1" x14ac:dyDescent="0.2"/>
    <row r="88" spans="3:3" outlineLevel="1" x14ac:dyDescent="0.2"/>
    <row r="89" spans="3:3" outlineLevel="1" x14ac:dyDescent="0.2"/>
    <row r="90" spans="3:3" outlineLevel="1" x14ac:dyDescent="0.2"/>
    <row r="91" spans="3:3" outlineLevel="1" x14ac:dyDescent="0.2"/>
    <row r="92" spans="3:3" outlineLevel="1" x14ac:dyDescent="0.2"/>
    <row r="93" spans="3:3" outlineLevel="1" x14ac:dyDescent="0.2"/>
    <row r="94" spans="3:3" outlineLevel="1" x14ac:dyDescent="0.2"/>
    <row r="95" spans="3:3" outlineLevel="1" x14ac:dyDescent="0.2"/>
    <row r="96" spans="3:3" outlineLevel="1" x14ac:dyDescent="0.2"/>
    <row r="97" outlineLevel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Revenue</vt:lpstr>
      <vt:lpstr>Operation</vt:lpstr>
      <vt:lpstr>CostofCapital</vt:lpstr>
      <vt:lpstr>DCF</vt:lpstr>
    </vt:vector>
  </TitlesOfParts>
  <Manager/>
  <Company>University of Toronto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Yoshio Nozawa</dc:creator>
  <cp:keywords/>
  <dc:description/>
  <cp:lastModifiedBy>Akul Veauli</cp:lastModifiedBy>
  <cp:revision/>
  <dcterms:created xsi:type="dcterms:W3CDTF">2022-12-01T19:45:54Z</dcterms:created>
  <dcterms:modified xsi:type="dcterms:W3CDTF">2025-07-23T06:42:33Z</dcterms:modified>
  <cp:category/>
  <cp:contentStatus/>
</cp:coreProperties>
</file>