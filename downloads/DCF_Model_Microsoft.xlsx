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;(#,##0.0)"/>
    <numFmt numFmtId="165" formatCode="$#,##0.00"/>
    <numFmt numFmtId="166" formatCode="#,##0;(#,##0)"/>
    <numFmt numFmtId="167" formatCode="0.0%"/>
    <numFmt numFmtId="168" formatCode="#,##0.0"/>
    <numFmt numFmtId="169" formatCode="0.0x"/>
    <numFmt numFmtId="170" formatCode="0.000"/>
  </numFmts>
  <fonts count="10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i val="1"/>
      <color rgb="FF7F7F7F"/>
      <sz val="9"/>
    </font>
    <font>
      <name val="Arial"/>
      <b val="1"/>
      <color rgb="FFFFFFFF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b val="1"/>
      <color rgb="FF000000"/>
      <sz val="10"/>
    </font>
    <font>
      <name val="Arial"/>
      <color rgb="FF008000"/>
      <sz val="10"/>
    </font>
    <font>
      <name val="Arial"/>
      <b val="1"/>
      <color rgb="FF008000"/>
      <sz val="10"/>
    </font>
    <font>
      <name val="Arial"/>
      <b val="1"/>
      <color rgb="FF1F3864"/>
      <sz val="12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top style="thin">
        <color rgb="FF7F7F7F"/>
      </top>
      <bottom style="double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164" fontId="5" fillId="3" borderId="0" pivotButton="0" quotePrefix="0" xfId="0"/>
    <xf numFmtId="0" fontId="7" fillId="0" borderId="0" pivotButton="0" quotePrefix="0" xfId="0"/>
    <xf numFmtId="165" fontId="7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165" fontId="8" fillId="4" borderId="1" pivotButton="0" quotePrefix="0" xfId="0"/>
    <xf numFmtId="166" fontId="8" fillId="4" borderId="1" pivotButton="0" quotePrefix="0" xfId="0"/>
    <xf numFmtId="167" fontId="8" fillId="4" borderId="1" pivotButton="0" quotePrefix="0" xfId="0"/>
    <xf numFmtId="10" fontId="8" fillId="4" borderId="1" pivotButton="0" quotePrefix="0" xfId="0"/>
    <xf numFmtId="165" fontId="5" fillId="3" borderId="0" pivotButton="0" quotePrefix="0" xfId="0"/>
    <xf numFmtId="168" fontId="5" fillId="3" borderId="0" pivotButton="0" quotePrefix="0" xfId="0"/>
    <xf numFmtId="164" fontId="6" fillId="0" borderId="0" pivotButton="0" quotePrefix="0" xfId="0"/>
    <xf numFmtId="164" fontId="6" fillId="4" borderId="1" pivotButton="0" quotePrefix="0" xfId="0"/>
    <xf numFmtId="167" fontId="5" fillId="3" borderId="0" pivotButton="0" quotePrefix="0" xfId="0"/>
    <xf numFmtId="10" fontId="5" fillId="3" borderId="0" pivotButton="0" quotePrefix="0" xfId="0"/>
    <xf numFmtId="169" fontId="5" fillId="3" borderId="0" pivotButton="0" quotePrefix="0" xfId="0"/>
    <xf numFmtId="0" fontId="3" fillId="2" borderId="0" applyAlignment="1" pivotButton="0" quotePrefix="0" xfId="0">
      <alignment horizontal="center"/>
    </xf>
    <xf numFmtId="1" fontId="4" fillId="0" borderId="0" pivotButton="0" quotePrefix="0" xfId="0"/>
    <xf numFmtId="166" fontId="5" fillId="3" borderId="0" pivotButton="0" quotePrefix="0" xfId="0"/>
    <xf numFmtId="166" fontId="7" fillId="0" borderId="0" pivotButton="0" quotePrefix="0" xfId="0"/>
    <xf numFmtId="0" fontId="4" fillId="0" borderId="0" applyAlignment="1" pivotButton="0" quotePrefix="0" xfId="0">
      <alignment indent="1"/>
    </xf>
    <xf numFmtId="167" fontId="4" fillId="0" borderId="0" pivotButton="0" quotePrefix="0" xfId="0"/>
    <xf numFmtId="167" fontId="7" fillId="0" borderId="0" pivotButton="0" quotePrefix="0" xfId="0"/>
    <xf numFmtId="166" fontId="6" fillId="0" borderId="0" pivotButton="0" quotePrefix="0" xfId="0"/>
    <xf numFmtId="166" fontId="4" fillId="0" borderId="0" pivotButton="0" quotePrefix="0" xfId="0"/>
    <xf numFmtId="166" fontId="6" fillId="4" borderId="1" pivotButton="0" quotePrefix="0" xfId="0"/>
    <xf numFmtId="170" fontId="7" fillId="0" borderId="0" pivotButton="0" quotePrefix="0" xfId="0"/>
    <xf numFmtId="10" fontId="7" fillId="0" borderId="0" pivotButton="0" quotePrefix="0" xfId="0"/>
    <xf numFmtId="166" fontId="8" fillId="0" borderId="0" pivotButton="0" quotePrefix="0" xfId="0"/>
    <xf numFmtId="169" fontId="4" fillId="0" borderId="0" pivotButton="0" quotePrefix="0" xfId="0"/>
    <xf numFmtId="169" fontId="7" fillId="0" borderId="0" pivotButton="0" quotePrefix="0" xfId="0"/>
    <xf numFmtId="168" fontId="7" fillId="0" borderId="0" pivotButton="0" quotePrefix="0" xfId="0"/>
    <xf numFmtId="168" fontId="4" fillId="0" borderId="0" pivotButton="0" quotePrefix="0" xfId="0"/>
    <xf numFmtId="165" fontId="6" fillId="4" borderId="1" pivotButton="0" quotePrefix="0" xfId="0"/>
    <xf numFmtId="165" fontId="4" fillId="0" borderId="0" pivotButton="0" quotePrefix="0" xfId="0"/>
    <xf numFmtId="167" fontId="6" fillId="0" borderId="0" pivotButton="0" quotePrefix="0" xfId="0"/>
    <xf numFmtId="2" fontId="5" fillId="3" borderId="0" pivotButton="0" quotePrefix="0" xfId="0"/>
    <xf numFmtId="10" fontId="6" fillId="4" borderId="1" pivotButton="0" quotePrefix="0" xfId="0"/>
    <xf numFmtId="10" fontId="6" fillId="0" borderId="0" pivotButton="0" quotePrefix="0" xfId="0"/>
    <xf numFmtId="165" fontId="8" fillId="0" borderId="2" pivotButton="0" quotePrefix="0" xfId="0"/>
    <xf numFmtId="10" fontId="6" fillId="0" borderId="2" pivotButton="0" quotePrefix="0" xfId="0"/>
    <xf numFmtId="10" fontId="8" fillId="0" borderId="2" pivotButton="0" quotePrefix="0" xfId="0"/>
    <xf numFmtId="165" fontId="7" fillId="0" borderId="2" pivotButton="0" quotePrefix="0" xfId="0"/>
    <xf numFmtId="169" fontId="6" fillId="0" borderId="2" pivotButton="0" quotePrefix="0" xfId="0"/>
    <xf numFmtId="169" fontId="8" fillId="0" borderId="2" pivotButton="0" quotePrefix="0" xfId="0"/>
    <xf numFmtId="164" fontId="5" fillId="3" borderId="0" pivotButton="0" quotePrefix="0" xfId="0"/>
    <xf numFmtId="165" fontId="7" fillId="0" borderId="0" pivotButton="0" quotePrefix="0" xfId="0"/>
    <xf numFmtId="165" fontId="8" fillId="4" borderId="1" pivotButton="0" quotePrefix="0" xfId="0"/>
    <xf numFmtId="166" fontId="8" fillId="4" borderId="1" pivotButton="0" quotePrefix="0" xfId="0"/>
    <xf numFmtId="165" fontId="5" fillId="3" borderId="0" pivotButton="0" quotePrefix="0" xfId="0"/>
    <xf numFmtId="168" fontId="5" fillId="3" borderId="0" pivotButton="0" quotePrefix="0" xfId="0"/>
    <xf numFmtId="164" fontId="6" fillId="0" borderId="0" pivotButton="0" quotePrefix="0" xfId="0"/>
    <xf numFmtId="164" fontId="6" fillId="4" borderId="1" pivotButton="0" quotePrefix="0" xfId="0"/>
    <xf numFmtId="169" fontId="5" fillId="3" borderId="0" pivotButton="0" quotePrefix="0" xfId="0"/>
    <xf numFmtId="166" fontId="5" fillId="3" borderId="0" pivotButton="0" quotePrefix="0" xfId="0"/>
    <xf numFmtId="166" fontId="7" fillId="0" borderId="0" pivotButton="0" quotePrefix="0" xfId="0"/>
    <xf numFmtId="166" fontId="6" fillId="0" borderId="0" pivotButton="0" quotePrefix="0" xfId="0"/>
    <xf numFmtId="166" fontId="4" fillId="0" borderId="0" pivotButton="0" quotePrefix="0" xfId="0"/>
    <xf numFmtId="166" fontId="6" fillId="4" borderId="1" pivotButton="0" quotePrefix="0" xfId="0"/>
    <xf numFmtId="166" fontId="8" fillId="0" borderId="0" pivotButton="0" quotePrefix="0" xfId="0"/>
    <xf numFmtId="169" fontId="4" fillId="0" borderId="0" pivotButton="0" quotePrefix="0" xfId="0"/>
    <xf numFmtId="169" fontId="7" fillId="0" borderId="0" pivotButton="0" quotePrefix="0" xfId="0"/>
    <xf numFmtId="168" fontId="7" fillId="0" borderId="0" pivotButton="0" quotePrefix="0" xfId="0"/>
    <xf numFmtId="168" fontId="4" fillId="0" borderId="0" pivotButton="0" quotePrefix="0" xfId="0"/>
    <xf numFmtId="165" fontId="6" fillId="4" borderId="1" pivotButton="0" quotePrefix="0" xfId="0"/>
    <xf numFmtId="165" fontId="4" fillId="0" borderId="0" pivotButton="0" quotePrefix="0" xfId="0"/>
    <xf numFmtId="165" fontId="8" fillId="0" borderId="2" pivotButton="0" quotePrefix="0" xfId="0"/>
    <xf numFmtId="165" fontId="7" fillId="0" borderId="2" pivotButton="0" quotePrefix="0" xfId="0"/>
    <xf numFmtId="169" fontId="6" fillId="0" borderId="2" pivotButton="0" quotePrefix="0" xfId="0"/>
    <xf numFmtId="169" fontId="8" fillId="0" borderId="2" pivotButton="0" quotePrefix="0" xfId="0"/>
  </cellXfs>
  <cellStyles count="1">
    <cellStyle name="Normal" xfId="0" builtinId="0" hidden="0"/>
  </cellStyles>
  <dxfs count="2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/>
    <row r="2">
      <c r="B2" s="1" t="inlineStr">
        <is>
          <t>Microsoft Corporation (MSFT)</t>
        </is>
      </c>
    </row>
    <row r="3">
      <c r="B3" s="2" t="inlineStr">
        <is>
          <t>Discounted Cash Flow Analysis</t>
        </is>
      </c>
    </row>
    <row r="4">
      <c r="B4" s="3" t="inlineStr">
        <is>
          <t>Prepared by: Akul Veauli</t>
        </is>
      </c>
    </row>
    <row r="5">
      <c r="B5" s="3" t="inlineStr">
        <is>
          <t>Date: August 23, 2026</t>
        </is>
      </c>
    </row>
    <row r="6"/>
    <row r="7">
      <c r="B7" s="4" t="inlineStr">
        <is>
          <t>Model Description</t>
        </is>
      </c>
    </row>
    <row r="8">
      <c r="B8" s="5" t="inlineStr">
        <is>
          <t>Five-year discounted cash flow valuation of Microsoft Corporation (NASDAQ: MSFT), FYE June 30. Projects unlevered free cash flow FY2026E-FY2030E off driver-based revenue growth, EBIT margin, D&amp;A, capex, and working-capital assumptions; discounts at a CAPM-derived WACC; and computes terminal value under both a Gordon Growth perpetuity and an exit EV/EBITDA multiple, cross-checked against each other. Implied per-share value is bridged from enterprise value and compared against the actual trading price.</t>
        </is>
      </c>
    </row>
    <row r="9"/>
    <row r="10"/>
    <row r="11"/>
    <row r="12"/>
    <row r="13">
      <c r="B13" s="4" t="inlineStr">
        <is>
          <t>Color-Code Legend</t>
        </is>
      </c>
    </row>
    <row r="14">
      <c r="B14" s="6" t="inlineStr">
        <is>
          <t>Hardcoded input</t>
        </is>
      </c>
      <c r="C14" s="53" t="inlineStr">
        <is>
          <t>123.4</t>
        </is>
      </c>
    </row>
    <row r="15">
      <c r="B15" s="3" t="inlineStr">
        <is>
          <t>Formula (same sheet)</t>
        </is>
      </c>
      <c r="C15" s="3">
        <f>1+1</f>
      </c>
    </row>
    <row r="16">
      <c r="B16" s="8" t="inlineStr">
        <is>
          <t>Link from another tab</t>
        </is>
      </c>
      <c r="C16" s="54">
        <f>Assumptions!D7</f>
      </c>
    </row>
    <row r="17"/>
    <row r="18">
      <c r="B18" s="4" t="inlineStr">
        <is>
          <t>Table of Contents</t>
        </is>
      </c>
    </row>
    <row r="19">
      <c r="B19" s="3" t="inlineStr">
        <is>
          <t>Cover</t>
        </is>
      </c>
      <c r="C19" s="10" t="inlineStr">
        <is>
          <t>This page</t>
        </is>
      </c>
    </row>
    <row r="20">
      <c r="B20" s="3" t="inlineStr">
        <is>
          <t>Assumptions</t>
        </is>
      </c>
      <c r="C20" s="10" t="inlineStr">
        <is>
          <t>All blue-input operating, balance-sheet, and terminal assumptions</t>
        </is>
      </c>
    </row>
    <row r="21">
      <c r="B21" s="3" t="inlineStr">
        <is>
          <t>DCF</t>
        </is>
      </c>
      <c r="C21" s="10" t="inlineStr">
        <is>
          <t>Historicals, projections, UFCF build, terminal value, EV-to-equity bridge</t>
        </is>
      </c>
    </row>
    <row r="22">
      <c r="B22" s="3" t="inlineStr">
        <is>
          <t>WACC</t>
        </is>
      </c>
      <c r="C22" s="10" t="inlineStr">
        <is>
          <t>CAPM cost of equity, cost of debt, capital-structure weights, WACC</t>
        </is>
      </c>
    </row>
    <row r="23">
      <c r="B23" s="3" t="inlineStr">
        <is>
          <t>Sensitivity</t>
        </is>
      </c>
      <c r="C23" s="10" t="inlineStr">
        <is>
          <t>Live two-way sensitivity grids (WACC x g; WACC x exit multiple)</t>
        </is>
      </c>
    </row>
    <row r="24"/>
    <row r="25">
      <c r="B25" s="4" t="inlineStr">
        <is>
          <t>Key Outputs</t>
        </is>
      </c>
    </row>
    <row r="26">
      <c r="B26" s="11" t="inlineStr">
        <is>
          <t>Metric</t>
        </is>
      </c>
      <c r="C26" s="11" t="inlineStr">
        <is>
          <t>Value</t>
        </is>
      </c>
      <c r="D26" s="12" t="n"/>
    </row>
    <row r="27">
      <c r="B27" s="3" t="inlineStr">
        <is>
          <t>Implied share price - Gordon Growth</t>
        </is>
      </c>
      <c r="C27" s="55">
        <f>DCF!D50</f>
      </c>
    </row>
    <row r="28">
      <c r="B28" s="3" t="inlineStr">
        <is>
          <t>Implied share price - Exit Multiple</t>
        </is>
      </c>
      <c r="C28" s="55">
        <f>DCF!F50</f>
      </c>
    </row>
    <row r="29">
      <c r="B29" s="3" t="inlineStr">
        <is>
          <t>Implied enterprise value (avg. of methods, $mm)</t>
        </is>
      </c>
      <c r="C29" s="56">
        <f>AVERAGE(DCF!D45,DCF!F45)</f>
      </c>
    </row>
    <row r="30">
      <c r="B30" s="3" t="inlineStr">
        <is>
          <t>Actual share price (8/23/26)</t>
        </is>
      </c>
      <c r="C30" s="55">
        <f>DCF!D51</f>
      </c>
    </row>
    <row r="31">
      <c r="B31" s="3" t="inlineStr">
        <is>
          <t>Implied upside / (downside) % (avg. of methods)</t>
        </is>
      </c>
      <c r="C31" s="15">
        <f>AVERAGE(DCF!D50,DCF!F50)/DCF!D51-1</f>
      </c>
    </row>
    <row r="32">
      <c r="B32" s="3" t="inlineStr">
        <is>
          <t>WACC</t>
        </is>
      </c>
      <c r="C32" s="16">
        <f>WACC!D25</f>
      </c>
    </row>
    <row r="33"/>
    <row r="34">
      <c r="B34" s="4" t="inlineStr">
        <is>
          <t>Sources</t>
        </is>
      </c>
    </row>
    <row r="35">
      <c r="B35" s="10" t="inlineStr">
        <is>
          <t>[1] MSFT FY2025 10-K (filed 7/30/2025, SEC accession 0000950170-25-100235)</t>
        </is>
      </c>
    </row>
    <row r="36">
      <c r="B36" s="10" t="inlineStr">
        <is>
          <t>[2] MSFT FY2024 10-K (filed 8/27/2024, SEC accession 0000950170-24-087843)</t>
        </is>
      </c>
    </row>
    <row r="37">
      <c r="B37" s="10" t="inlineStr">
        <is>
          <t>[3] MSFT FY2023 10-K (filed 7/25/2023, SEC accession 0000950170-23-035122)</t>
        </is>
      </c>
    </row>
    <row r="38">
      <c r="B38" s="10" t="inlineStr">
        <is>
          <t>[4] MSFT 10-Q as of 9/30/2025 (debt note, SEC accession 0000950170-25-061046)</t>
        </is>
      </c>
    </row>
    <row r="39">
      <c r="B39" s="10" t="inlineStr">
        <is>
          <t>[5] Market data: Investing.com / Yahoo Finance, closing price as of 8/23/2026</t>
        </is>
      </c>
    </row>
    <row r="40">
      <c r="B40" s="10" t="inlineStr">
        <is>
          <t>[6] 10Y UST yield: FRED / TradingEconomics, as of 8/21/2026</t>
        </is>
      </c>
    </row>
    <row r="41">
      <c r="B41" s="10" t="inlineStr">
        <is>
          <t>[7] Equity risk premium: Damodaran / Duff &amp; Phelps convention</t>
        </is>
      </c>
    </row>
  </sheetData>
  <mergeCells count="1">
    <mergeCell ref="B8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/>
    <row r="2">
      <c r="B2" s="1" t="inlineStr">
        <is>
          <t>Microsoft Corporation (MSFT) - DCF Assumptions</t>
        </is>
      </c>
    </row>
    <row r="3">
      <c r="B3" s="10" t="inlineStr">
        <is>
          <t>($ in millions, except per-share data and percentages; FYE June 30)</t>
        </is>
      </c>
    </row>
    <row r="4"/>
    <row r="5">
      <c r="B5" s="11" t="inlineStr">
        <is>
          <t>1. Valuation Setup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</row>
    <row r="6">
      <c r="B6" s="3" t="inlineStr">
        <is>
          <t>Valuation date</t>
        </is>
      </c>
      <c r="D6" s="6" t="inlineStr">
        <is>
          <t>Aug 23, 2026</t>
        </is>
      </c>
    </row>
    <row r="7">
      <c r="B7" s="3" t="inlineStr">
        <is>
          <t>Actual share price ($)</t>
        </is>
      </c>
      <c r="D7" s="57" t="n">
        <v>483.24</v>
      </c>
      <c r="E7" s="10" t="inlineStr">
        <is>
          <t>Closing price 8/23/26 (Investing.com / Yahoo Finance)</t>
        </is>
      </c>
    </row>
    <row r="8">
      <c r="B8" s="3" t="inlineStr">
        <is>
          <t>Diluted shares outstanding (mm)</t>
        </is>
      </c>
      <c r="D8" s="58" t="n">
        <v>7462</v>
      </c>
      <c r="E8" s="10" t="inlineStr">
        <is>
          <t>FY2025 10-K, weighted-avg diluted shares (FYE 6/30/25)</t>
        </is>
      </c>
    </row>
    <row r="9">
      <c r="B9" s="3" t="inlineStr">
        <is>
          <t>Fiscal year end</t>
        </is>
      </c>
      <c r="D9" s="6" t="inlineStr">
        <is>
          <t>June 30</t>
        </is>
      </c>
    </row>
    <row r="10"/>
    <row r="11">
      <c r="B11" s="11" t="inlineStr">
        <is>
          <t>2. Balance Sheet Items ($mm, FY2025 10-K)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B12" s="3" t="inlineStr">
        <is>
          <t>Cash &amp; cash equivalents</t>
        </is>
      </c>
      <c r="D12" s="53" t="n">
        <v>68000</v>
      </c>
      <c r="E12" s="10" t="inlineStr">
        <is>
          <t>FY2025 10-K balance sheet (~$68.0B, 6/30/25)</t>
        </is>
      </c>
    </row>
    <row r="13">
      <c r="B13" s="3" t="inlineStr">
        <is>
          <t>Short-term investments</t>
        </is>
      </c>
      <c r="D13" s="53" t="n">
        <v>26565</v>
      </c>
      <c r="E13" s="10" t="inlineStr">
        <is>
          <t>FY2025 10-K; combined w/ cash = $94.565B reported</t>
        </is>
      </c>
    </row>
    <row r="14">
      <c r="B14" s="4" t="inlineStr">
        <is>
          <t>Total cash &amp; investments</t>
        </is>
      </c>
      <c r="D14" s="59">
        <f>SUM(D12:D13)</f>
      </c>
    </row>
    <row r="15">
      <c r="B15" s="3" t="inlineStr">
        <is>
          <t>Current portion of long-term debt</t>
        </is>
      </c>
      <c r="D15" s="53" t="n">
        <v>9227</v>
      </c>
      <c r="E15" s="10" t="inlineStr">
        <is>
          <t>FY2025 10-K debt note / 10-Q as of 9/30/25</t>
        </is>
      </c>
    </row>
    <row r="16">
      <c r="B16" s="3" t="inlineStr">
        <is>
          <t>Long-term debt</t>
        </is>
      </c>
      <c r="D16" s="53" t="n">
        <v>40150</v>
      </c>
      <c r="E16" s="10" t="inlineStr">
        <is>
          <t>FY2025 10-K debt note (6/30/25)</t>
        </is>
      </c>
    </row>
    <row r="17">
      <c r="B17" s="4" t="inlineStr">
        <is>
          <t>Total debt</t>
        </is>
      </c>
      <c r="D17" s="59">
        <f>SUM(D15:D16)</f>
      </c>
    </row>
    <row r="18">
      <c r="B18" s="3" t="inlineStr">
        <is>
          <t>Non-operating assets / equity investments</t>
        </is>
      </c>
      <c r="D18" s="53" t="n">
        <v>0</v>
      </c>
      <c r="E18" s="10" t="inlineStr">
        <is>
          <t>Not material for MSFT; set to 0</t>
        </is>
      </c>
    </row>
    <row r="19">
      <c r="B19" s="3" t="inlineStr">
        <is>
          <t>Minority interest</t>
        </is>
      </c>
      <c r="D19" s="53" t="n">
        <v>0</v>
      </c>
      <c r="E19" s="10" t="inlineStr">
        <is>
          <t>None reported</t>
        </is>
      </c>
    </row>
    <row r="20">
      <c r="B20" s="4" t="inlineStr">
        <is>
          <t>Net debt / (net cash)</t>
        </is>
      </c>
      <c r="D20" s="60">
        <f>D17-D14-D18</f>
      </c>
    </row>
    <row r="21">
      <c r="B21" s="10" t="inlineStr">
        <is>
          <t>Lease liabilities excluded from net debt: MSFT reports ~$57.5B of total lease obligations, but these are predominantly OPERATING leases (carried within Other long-term liabilities per the FY2025 10-K). Operating-lease rent is already expensed within the EBIT/EBITDA base used above, so capitalizing these liabilities into net debt would double-count the lease burden. Finance-lease principal repayments run only ~$0.3B/yr (FY2025 cash flow statement), implying a small finance-lease balance. Sensitivity: adding the full $57.5B to debt would move net debt from $(45,188)mm net cash to $12,323mm and reduce implied value by roughly $7.70/share on both methods.</t>
        </is>
      </c>
    </row>
    <row r="22"/>
    <row r="23">
      <c r="B23" s="11" t="inlineStr">
        <is>
          <t>3. Operating Drivers - FY2026E to FY2030E</t>
        </is>
      </c>
      <c r="C23" s="11" t="n"/>
      <c r="D23" s="11" t="n"/>
      <c r="E23" s="11" t="n"/>
      <c r="F23" s="11" t="n"/>
      <c r="G23" s="11" t="n"/>
      <c r="H23" s="11" t="n"/>
    </row>
    <row r="24">
      <c r="D24" s="11" t="inlineStr">
        <is>
          <t>FY2026E</t>
        </is>
      </c>
      <c r="E24" s="11" t="inlineStr">
        <is>
          <t>FY2027E</t>
        </is>
      </c>
      <c r="F24" s="11" t="inlineStr">
        <is>
          <t>FY2028E</t>
        </is>
      </c>
      <c r="G24" s="11" t="inlineStr">
        <is>
          <t>FY2029E</t>
        </is>
      </c>
      <c r="H24" s="11" t="inlineStr">
        <is>
          <t>FY2030E</t>
        </is>
      </c>
    </row>
    <row r="25">
      <c r="B25" s="3" t="inlineStr">
        <is>
          <t>Revenue growth %</t>
        </is>
      </c>
      <c r="D25" s="21" t="n">
        <v>0.14</v>
      </c>
      <c r="E25" s="21" t="n">
        <v>0.12</v>
      </c>
      <c r="F25" s="21" t="n">
        <v>0.1</v>
      </c>
      <c r="G25" s="21" t="n">
        <v>0.09</v>
      </c>
      <c r="H25" s="21" t="n">
        <v>0.08</v>
      </c>
      <c r="I25" s="10" t="inlineStr">
        <is>
          <t>Estimate: fade from FY25 consensus (~14-16%) toward long-run ~8%</t>
        </is>
      </c>
    </row>
    <row r="26">
      <c r="B26" s="3" t="inlineStr">
        <is>
          <t>EBIT margin %</t>
        </is>
      </c>
      <c r="D26" s="21" t="n">
        <v>0.46</v>
      </c>
      <c r="E26" s="21" t="n">
        <v>0.465</v>
      </c>
      <c r="F26" s="21" t="n">
        <v>0.47</v>
      </c>
      <c r="G26" s="21" t="n">
        <v>0.47</v>
      </c>
      <c r="H26" s="21" t="n">
        <v>0.47</v>
      </c>
      <c r="I26" s="10" t="inlineStr">
        <is>
          <t>Estimate: gradual expansion from FY25A 45.6% on cloud mix, plateauing ~47%</t>
        </is>
      </c>
    </row>
    <row r="27">
      <c r="B27" s="3" t="inlineStr">
        <is>
          <t>D&amp;A % of revenue</t>
        </is>
      </c>
      <c r="D27" s="21" t="n">
        <v>0.125</v>
      </c>
      <c r="E27" s="21" t="n">
        <v>0.12</v>
      </c>
      <c r="F27" s="21" t="n">
        <v>0.115</v>
      </c>
      <c r="G27" s="21" t="n">
        <v>0.11</v>
      </c>
      <c r="H27" s="21" t="n">
        <v>0.105</v>
      </c>
      <c r="I27" s="10" t="inlineStr">
        <is>
          <t>Estimate: moderating from FY25A 12.1% as capex growth decelerates</t>
        </is>
      </c>
    </row>
    <row r="28">
      <c r="B28" s="3" t="inlineStr">
        <is>
          <t>Capex % of revenue</t>
        </is>
      </c>
      <c r="D28" s="21" t="n">
        <v>0.23</v>
      </c>
      <c r="E28" s="21" t="n">
        <v>0.21</v>
      </c>
      <c r="F28" s="21" t="n">
        <v>0.19</v>
      </c>
      <c r="G28" s="21" t="n">
        <v>0.17</v>
      </c>
      <c r="H28" s="21" t="n">
        <v>0.15</v>
      </c>
      <c r="I28" s="10" t="inlineStr">
        <is>
          <t>Estimate: AI/cloud buildout peaks near-term (FY25A 22.9%), fades post-2027</t>
        </is>
      </c>
    </row>
    <row r="29">
      <c r="B29" s="3" t="inlineStr">
        <is>
          <t>NWC % of revenue</t>
        </is>
      </c>
      <c r="D29" s="21" t="n">
        <v>0.03</v>
      </c>
      <c r="E29" s="21" t="n">
        <v>0.03</v>
      </c>
      <c r="F29" s="21" t="n">
        <v>0.03</v>
      </c>
      <c r="G29" s="21" t="n">
        <v>0.03</v>
      </c>
      <c r="H29" s="21" t="n">
        <v>0.03</v>
      </c>
      <c r="I29" s="10" t="inlineStr">
        <is>
          <t>Held flat at 3.0%, rounded down from the 3-yr historical average of ~3.2% (FY23 4.36%, FY24 2.26%, FY25 2.84%); NWC is a small, volatile swing factor for MSFT</t>
        </is>
      </c>
    </row>
    <row r="30">
      <c r="B30" s="3" t="inlineStr">
        <is>
          <t>Tax rate (flat, all years)</t>
        </is>
      </c>
      <c r="D30" s="21" t="n">
        <v>0.19</v>
      </c>
      <c r="E30" s="10" t="inlineStr">
        <is>
          <t>FY2025 effective tax rate ~19.1% (estimate pending final 10-K footnote)</t>
        </is>
      </c>
    </row>
    <row r="31"/>
    <row r="32">
      <c r="B32" s="11" t="inlineStr">
        <is>
          <t>4. Terminal Assumptions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B33" s="3" t="inlineStr">
        <is>
          <t>Terminal growth rate (g)</t>
        </is>
      </c>
      <c r="D33" s="22" t="n">
        <v>0.025</v>
      </c>
      <c r="E33" s="10" t="inlineStr">
        <is>
          <t>~long-run nominal GDP growth</t>
        </is>
      </c>
    </row>
    <row r="34">
      <c r="B34" s="3" t="inlineStr">
        <is>
          <t>Exit EV/EBITDA multiple</t>
        </is>
      </c>
      <c r="D34" s="61" t="n">
        <v>20</v>
      </c>
      <c r="E34" s="10" t="inlineStr">
        <is>
          <t>Base case per comparable mega-cap software/cloud multiples</t>
        </is>
      </c>
    </row>
    <row r="35">
      <c r="B35" s="10" t="inlineStr">
        <is>
          <t>End-of-period discounting throughout (no mid-year convention) - consistent with live sensitivity grids.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9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/>
    <row r="2">
      <c r="B2" s="1" t="inlineStr">
        <is>
          <t>Microsoft Corporation (MSFT) - DCF Analysis</t>
        </is>
      </c>
    </row>
    <row r="3">
      <c r="B3" s="10" t="inlineStr">
        <is>
          <t>($ in millions, except per-share data; FYE June 30)</t>
        </is>
      </c>
    </row>
    <row r="4"/>
    <row r="5">
      <c r="B5" s="4" t="inlineStr">
        <is>
          <t>($mm)</t>
        </is>
      </c>
      <c r="C5" s="24" t="inlineStr">
        <is>
          <t>FY2023A</t>
        </is>
      </c>
      <c r="D5" s="24" t="inlineStr">
        <is>
          <t>FY2024A</t>
        </is>
      </c>
      <c r="E5" s="24" t="inlineStr">
        <is>
          <t>FY2025A</t>
        </is>
      </c>
      <c r="F5" s="24" t="inlineStr">
        <is>
          <t>FY2026E</t>
        </is>
      </c>
      <c r="G5" s="24" t="inlineStr">
        <is>
          <t>FY2027E</t>
        </is>
      </c>
      <c r="H5" s="24" t="inlineStr">
        <is>
          <t>FY2028E</t>
        </is>
      </c>
      <c r="I5" s="24" t="inlineStr">
        <is>
          <t>FY2029E</t>
        </is>
      </c>
      <c r="J5" s="24" t="inlineStr">
        <is>
          <t>FY2030E</t>
        </is>
      </c>
    </row>
    <row r="6">
      <c r="B6" s="3" t="inlineStr">
        <is>
          <t>Discount period</t>
        </is>
      </c>
      <c r="F6" s="25" t="n">
        <v>1</v>
      </c>
      <c r="G6" s="25">
        <f>F6+1</f>
      </c>
      <c r="H6" s="25">
        <f>G6+1</f>
      </c>
      <c r="I6" s="25">
        <f>H6+1</f>
      </c>
      <c r="J6" s="25">
        <f>I6+1</f>
      </c>
    </row>
    <row r="7"/>
    <row r="8">
      <c r="B8" s="3" t="inlineStr">
        <is>
          <t>Revenue</t>
        </is>
      </c>
      <c r="C8" s="62" t="n">
        <v>211915</v>
      </c>
      <c r="D8" s="62" t="n">
        <v>245122</v>
      </c>
      <c r="E8" s="62" t="n">
        <v>281724</v>
      </c>
      <c r="F8" s="63">
        <f>E8*(1+Assumptions!D25)</f>
      </c>
      <c r="G8" s="63">
        <f>F8*(1+Assumptions!E25)</f>
      </c>
      <c r="H8" s="63">
        <f>G8*(1+Assumptions!F25)</f>
      </c>
      <c r="I8" s="63">
        <f>H8*(1+Assumptions!G25)</f>
      </c>
      <c r="J8" s="63">
        <f>I8*(1+Assumptions!H25)</f>
      </c>
    </row>
    <row r="9">
      <c r="B9" s="28" t="inlineStr">
        <is>
          <t>Revenue growth %</t>
        </is>
      </c>
      <c r="D9" s="29">
        <f>D8/C8-1</f>
      </c>
      <c r="E9" s="29">
        <f>E8/D8-1</f>
      </c>
      <c r="F9" s="29">
        <f>F8/E8-1</f>
      </c>
      <c r="G9" s="29">
        <f>G8/F8-1</f>
      </c>
      <c r="H9" s="29">
        <f>H8/G8-1</f>
      </c>
      <c r="I9" s="29">
        <f>I8/H8-1</f>
      </c>
      <c r="J9" s="29">
        <f>J8/I8-1</f>
      </c>
    </row>
    <row r="10">
      <c r="B10" s="3" t="inlineStr">
        <is>
          <t>EBIT</t>
        </is>
      </c>
      <c r="C10" s="62" t="n">
        <v>88523</v>
      </c>
      <c r="D10" s="62" t="n">
        <v>109433</v>
      </c>
      <c r="E10" s="62" t="n">
        <v>128528</v>
      </c>
      <c r="F10" s="63">
        <f>F8*Assumptions!D26</f>
      </c>
      <c r="G10" s="63">
        <f>G8*Assumptions!E26</f>
      </c>
      <c r="H10" s="63">
        <f>H8*Assumptions!F26</f>
      </c>
      <c r="I10" s="63">
        <f>I8*Assumptions!G26</f>
      </c>
      <c r="J10" s="63">
        <f>J8*Assumptions!H26</f>
      </c>
    </row>
    <row r="11">
      <c r="B11" s="28" t="inlineStr">
        <is>
          <t>EBIT margin %</t>
        </is>
      </c>
      <c r="C11" s="29">
        <f>C10/C8</f>
      </c>
      <c r="D11" s="29">
        <f>D10/D8</f>
      </c>
      <c r="E11" s="29">
        <f>E10/E8</f>
      </c>
      <c r="F11" s="30">
        <f>Assumptions!D26</f>
      </c>
      <c r="G11" s="30">
        <f>Assumptions!E26</f>
      </c>
      <c r="H11" s="30">
        <f>Assumptions!F26</f>
      </c>
      <c r="I11" s="30">
        <f>Assumptions!G26</f>
      </c>
      <c r="J11" s="30">
        <f>Assumptions!H26</f>
      </c>
    </row>
    <row r="12">
      <c r="B12" s="3" t="inlineStr">
        <is>
          <t>D&amp;A</t>
        </is>
      </c>
      <c r="C12" s="62" t="n">
        <v>13861</v>
      </c>
      <c r="D12" s="62" t="n">
        <v>22287</v>
      </c>
      <c r="E12" s="62" t="n">
        <v>34153</v>
      </c>
      <c r="F12" s="63">
        <f>F8*Assumptions!D27</f>
      </c>
      <c r="G12" s="63">
        <f>G8*Assumptions!E27</f>
      </c>
      <c r="H12" s="63">
        <f>H8*Assumptions!F27</f>
      </c>
      <c r="I12" s="63">
        <f>I8*Assumptions!G27</f>
      </c>
      <c r="J12" s="63">
        <f>J8*Assumptions!H27</f>
      </c>
    </row>
    <row r="13">
      <c r="B13" s="4" t="inlineStr">
        <is>
          <t>EBITDA</t>
        </is>
      </c>
      <c r="C13" s="64">
        <f>C10+C12</f>
      </c>
      <c r="D13" s="64">
        <f>D10+D12</f>
      </c>
      <c r="E13" s="64">
        <f>E10+E12</f>
      </c>
      <c r="F13" s="64">
        <f>F10+F12</f>
      </c>
      <c r="G13" s="64">
        <f>G10+G12</f>
      </c>
      <c r="H13" s="64">
        <f>H10+H12</f>
      </c>
      <c r="I13" s="64">
        <f>I10+I12</f>
      </c>
      <c r="J13" s="64">
        <f>J10+J12</f>
      </c>
    </row>
    <row r="14">
      <c r="B14" s="3" t="inlineStr">
        <is>
          <t>Less: Capex</t>
        </is>
      </c>
      <c r="C14" s="62" t="n">
        <v>28110</v>
      </c>
      <c r="D14" s="62" t="n">
        <v>44480</v>
      </c>
      <c r="E14" s="62" t="n">
        <v>64550</v>
      </c>
      <c r="F14" s="63">
        <f>F8*Assumptions!D28</f>
      </c>
      <c r="G14" s="63">
        <f>G8*Assumptions!E28</f>
      </c>
      <c r="H14" s="63">
        <f>H8*Assumptions!F28</f>
      </c>
      <c r="I14" s="63">
        <f>I8*Assumptions!G28</f>
      </c>
      <c r="J14" s="63">
        <f>J8*Assumptions!H28</f>
      </c>
    </row>
    <row r="15">
      <c r="B15" s="3" t="inlineStr">
        <is>
          <t>NWC balance</t>
        </is>
      </c>
      <c r="C15" s="62" t="n">
        <v>9235</v>
      </c>
      <c r="D15" s="62" t="n">
        <v>5534</v>
      </c>
      <c r="E15" s="62" t="n">
        <v>8011</v>
      </c>
      <c r="F15" s="63">
        <f>F8*Assumptions!D29</f>
      </c>
      <c r="G15" s="63">
        <f>G8*Assumptions!E29</f>
      </c>
      <c r="H15" s="63">
        <f>H8*Assumptions!F29</f>
      </c>
      <c r="I15" s="63">
        <f>I8*Assumptions!G29</f>
      </c>
      <c r="J15" s="63">
        <f>J8*Assumptions!H29</f>
      </c>
      <c r="K15" s="10" t="inlineStr">
        <is>
          <t>NWC = (AR+Inventory+Other CA) - (AP+Accrued Comp+Unearned Rev+Other CL), ex-cash/ex-debt; historical estimate from 10-K line items</t>
        </is>
      </c>
    </row>
    <row r="16">
      <c r="B16" s="28" t="inlineStr">
        <is>
          <t>Increase/(Decrease) in NWC</t>
        </is>
      </c>
      <c r="D16" s="65">
        <f>D15-C15</f>
      </c>
      <c r="E16" s="65">
        <f>E15-D15</f>
      </c>
      <c r="F16" s="65">
        <f>F15-E15</f>
      </c>
      <c r="G16" s="65">
        <f>G15-F15</f>
      </c>
      <c r="H16" s="65">
        <f>H15-G15</f>
      </c>
      <c r="I16" s="65">
        <f>I15-H15</f>
      </c>
      <c r="J16" s="65">
        <f>J15-I15</f>
      </c>
    </row>
    <row r="17"/>
    <row r="18">
      <c r="B18" s="11" t="inlineStr">
        <is>
          <t>Unlevered Free Cash Flow Build (FY2026E–FY2030E)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>
      <c r="B19" s="3" t="inlineStr">
        <is>
          <t>EBIT</t>
        </is>
      </c>
      <c r="F19" s="65">
        <f>F10</f>
      </c>
      <c r="G19" s="65">
        <f>G10</f>
      </c>
      <c r="H19" s="65">
        <f>H10</f>
      </c>
      <c r="I19" s="65">
        <f>I10</f>
      </c>
      <c r="J19" s="65">
        <f>J10</f>
      </c>
    </row>
    <row r="20">
      <c r="B20" s="3" t="inlineStr">
        <is>
          <t>Less: Cash taxes on EBIT</t>
        </is>
      </c>
      <c r="F20" s="63">
        <f>-F19*Assumptions!$D$30</f>
      </c>
      <c r="G20" s="63">
        <f>-G19*Assumptions!$D$30</f>
      </c>
      <c r="H20" s="63">
        <f>-H19*Assumptions!$D$30</f>
      </c>
      <c r="I20" s="63">
        <f>-I19*Assumptions!$D$30</f>
      </c>
      <c r="J20" s="63">
        <f>-J19*Assumptions!$D$30</f>
      </c>
    </row>
    <row r="21">
      <c r="B21" s="4" t="inlineStr">
        <is>
          <t>NOPAT</t>
        </is>
      </c>
      <c r="F21" s="64">
        <f>F19+F20</f>
      </c>
      <c r="G21" s="64">
        <f>G19+G20</f>
      </c>
      <c r="H21" s="64">
        <f>H19+H20</f>
      </c>
      <c r="I21" s="64">
        <f>I19+I20</f>
      </c>
      <c r="J21" s="64">
        <f>J19+J20</f>
      </c>
    </row>
    <row r="22">
      <c r="B22" s="3" t="inlineStr">
        <is>
          <t>Plus: D&amp;A</t>
        </is>
      </c>
      <c r="F22" s="65">
        <f>F12</f>
      </c>
      <c r="G22" s="65">
        <f>G12</f>
      </c>
      <c r="H22" s="65">
        <f>H12</f>
      </c>
      <c r="I22" s="65">
        <f>I12</f>
      </c>
      <c r="J22" s="65">
        <f>J12</f>
      </c>
    </row>
    <row r="23">
      <c r="B23" s="3" t="inlineStr">
        <is>
          <t>Less: Capex</t>
        </is>
      </c>
      <c r="F23" s="65">
        <f>-F14</f>
      </c>
      <c r="G23" s="65">
        <f>-G14</f>
      </c>
      <c r="H23" s="65">
        <f>-H14</f>
      </c>
      <c r="I23" s="65">
        <f>-I14</f>
      </c>
      <c r="J23" s="65">
        <f>-J14</f>
      </c>
    </row>
    <row r="24">
      <c r="B24" s="3" t="inlineStr">
        <is>
          <t>Less: Increase in NWC</t>
        </is>
      </c>
      <c r="F24" s="65">
        <f>-F16</f>
      </c>
      <c r="G24" s="65">
        <f>-G16</f>
      </c>
      <c r="H24" s="65">
        <f>-H16</f>
      </c>
      <c r="I24" s="65">
        <f>-I16</f>
      </c>
      <c r="J24" s="65">
        <f>-J16</f>
      </c>
    </row>
    <row r="25">
      <c r="B25" s="4" t="inlineStr">
        <is>
          <t>Unlevered Free Cash Flow</t>
        </is>
      </c>
      <c r="F25" s="66">
        <f>F21+F22+F23+F24</f>
      </c>
      <c r="G25" s="66">
        <f>G21+G22+G23+G24</f>
      </c>
      <c r="H25" s="66">
        <f>H21+H22+H23+H24</f>
      </c>
      <c r="I25" s="66">
        <f>I21+I22+I23+I24</f>
      </c>
      <c r="J25" s="66">
        <f>J21+J22+J23+J24</f>
      </c>
    </row>
    <row r="26">
      <c r="B26" s="3" t="inlineStr">
        <is>
          <t>PV factor</t>
        </is>
      </c>
      <c r="F26" s="34">
        <f>1/(1+WACC!$D$25)^F6</f>
      </c>
      <c r="G26" s="34">
        <f>1/(1+WACC!$D$25)^G6</f>
      </c>
      <c r="H26" s="34">
        <f>1/(1+WACC!$D$25)^H6</f>
      </c>
      <c r="I26" s="34">
        <f>1/(1+WACC!$D$25)^I6</f>
      </c>
      <c r="J26" s="34">
        <f>1/(1+WACC!$D$25)^J6</f>
      </c>
    </row>
    <row r="27">
      <c r="B27" s="3" t="inlineStr">
        <is>
          <t>PV of Unlevered FCF</t>
        </is>
      </c>
      <c r="F27" s="65">
        <f>F25*F26</f>
      </c>
      <c r="G27" s="65">
        <f>G25*G26</f>
      </c>
      <c r="H27" s="65">
        <f>H25*H26</f>
      </c>
      <c r="I27" s="65">
        <f>I25*I26</f>
      </c>
      <c r="J27" s="65">
        <f>J25*J26</f>
      </c>
    </row>
    <row r="28">
      <c r="B28" s="4" t="inlineStr">
        <is>
          <t>Sum of PV of Explicit UFCF (FY26E–FY30E)</t>
        </is>
      </c>
      <c r="D28" s="66">
        <f>SUM(F27:J27)</f>
      </c>
    </row>
    <row r="29"/>
    <row r="30">
      <c r="B30" s="11" t="inlineStr">
        <is>
          <t>Terminal Value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B31" s="3" t="inlineStr">
        <is>
          <t>Terminal Unlevered FCF (FY2030E)</t>
        </is>
      </c>
      <c r="D31" s="65">
        <f>J25</f>
      </c>
    </row>
    <row r="32">
      <c r="B32" s="3" t="inlineStr">
        <is>
          <t>Terminal growth rate (g)</t>
        </is>
      </c>
      <c r="D32" s="35">
        <f>Assumptions!D33</f>
      </c>
    </row>
    <row r="33">
      <c r="B33" s="4" t="inlineStr">
        <is>
          <t>Terminal Value - Gordon Growth</t>
        </is>
      </c>
      <c r="D33" s="67">
        <f>D31*(1+D32)/(WACC!$D$25-D32)</f>
      </c>
    </row>
    <row r="34">
      <c r="B34" s="3" t="inlineStr">
        <is>
          <t>PV of Terminal Value - Gordon</t>
        </is>
      </c>
      <c r="D34" s="65">
        <f>D33*J26</f>
      </c>
    </row>
    <row r="35">
      <c r="B35" s="3" t="inlineStr">
        <is>
          <t>Implied Exit EV/EBITDA (Gordon) - cross-check 1</t>
        </is>
      </c>
      <c r="D35" s="68">
        <f>D33/J13</f>
      </c>
    </row>
    <row r="36"/>
    <row r="37">
      <c r="B37" s="3" t="inlineStr">
        <is>
          <t>Terminal EBITDA (FY2030E)</t>
        </is>
      </c>
      <c r="D37" s="65">
        <f>J13</f>
      </c>
    </row>
    <row r="38">
      <c r="B38" s="3" t="inlineStr">
        <is>
          <t>Exit EV/EBITDA multiple</t>
        </is>
      </c>
      <c r="D38" s="69">
        <f>Assumptions!D34</f>
      </c>
    </row>
    <row r="39">
      <c r="B39" s="4" t="inlineStr">
        <is>
          <t>Terminal Value - Exit Multiple</t>
        </is>
      </c>
      <c r="D39" s="64">
        <f>D37*D38</f>
      </c>
    </row>
    <row r="40">
      <c r="B40" s="3" t="inlineStr">
        <is>
          <t>PV of Terminal Value - Exit Multiple</t>
        </is>
      </c>
      <c r="D40" s="65">
        <f>D39*J26</f>
      </c>
    </row>
    <row r="41">
      <c r="B41" s="3" t="inlineStr">
        <is>
          <t>Implied Terminal Growth (g) - cross-check 2</t>
        </is>
      </c>
      <c r="D41" s="35">
        <f>(WACC!$D$25*D39-D31)/(D39+D31)</f>
      </c>
    </row>
    <row r="42">
      <c r="B42" s="10" t="inlineStr">
        <is>
          <t>Cross-checks: Gordon-implied exit multiple (D35) should bracket sensibly around the exit-multiple assumption (D38); exit-multiple-implied g (D41) should bracket sensibly around the terminal-growth assumption (D32).</t>
        </is>
      </c>
    </row>
    <row r="43"/>
    <row r="44">
      <c r="B44" s="11" t="inlineStr">
        <is>
          <t>Enterprise Value → Equity Value Bridge</t>
        </is>
      </c>
      <c r="C44" s="11" t="n"/>
      <c r="D44" s="24" t="inlineStr">
        <is>
          <t>Gordon Growth Method</t>
        </is>
      </c>
      <c r="E44" s="11" t="n"/>
      <c r="F44" s="24" t="inlineStr">
        <is>
          <t>Exit Multiple Method</t>
        </is>
      </c>
      <c r="G44" s="11" t="n"/>
      <c r="H44" s="11" t="n"/>
      <c r="I44" s="11" t="n"/>
      <c r="J44" s="11" t="n"/>
    </row>
    <row r="45">
      <c r="B45" s="4" t="inlineStr">
        <is>
          <t>Enterprise Value</t>
        </is>
      </c>
      <c r="D45" s="64">
        <f>$D$28+D34</f>
      </c>
      <c r="F45" s="64">
        <f>$D$28+D40</f>
      </c>
    </row>
    <row r="46">
      <c r="B46" s="3" t="inlineStr">
        <is>
          <t>Less: Net Debt / (Net Cash)</t>
        </is>
      </c>
      <c r="D46" s="63">
        <f>Assumptions!D20</f>
      </c>
      <c r="F46" s="65">
        <f>D46</f>
      </c>
    </row>
    <row r="47">
      <c r="B47" s="3" t="inlineStr">
        <is>
          <t>Plus: Non-operating Assets</t>
        </is>
      </c>
      <c r="D47" s="63">
        <f>Assumptions!D18</f>
      </c>
      <c r="F47" s="65">
        <f>D47</f>
      </c>
    </row>
    <row r="48">
      <c r="B48" s="4" t="inlineStr">
        <is>
          <t>Equity Value</t>
        </is>
      </c>
      <c r="D48" s="66">
        <f>D45-D46+D47</f>
      </c>
      <c r="F48" s="66">
        <f>F45-F46+F47</f>
      </c>
    </row>
    <row r="49">
      <c r="B49" s="3" t="inlineStr">
        <is>
          <t>Diluted Shares Outstanding (mm)</t>
        </is>
      </c>
      <c r="D49" s="70">
        <f>Assumptions!D8</f>
      </c>
      <c r="F49" s="71">
        <f>D49</f>
      </c>
    </row>
    <row r="50">
      <c r="B50" s="4" t="inlineStr">
        <is>
          <t>Implied Share Price</t>
        </is>
      </c>
      <c r="D50" s="72">
        <f>D48/D49</f>
      </c>
      <c r="F50" s="72">
        <f>F48/F49</f>
      </c>
    </row>
    <row r="51">
      <c r="B51" s="3" t="inlineStr">
        <is>
          <t>Actual Share Price (8/23/26)</t>
        </is>
      </c>
      <c r="D51" s="54">
        <f>Assumptions!D7</f>
      </c>
      <c r="F51" s="73">
        <f>D51</f>
      </c>
    </row>
    <row r="52">
      <c r="B52" s="4" t="inlineStr">
        <is>
          <t>Implied Upside / (Downside) %</t>
        </is>
      </c>
      <c r="D52" s="43">
        <f>D50/D51-1</f>
      </c>
      <c r="F52" s="43">
        <f>F50/F51-1</f>
      </c>
    </row>
    <row r="53"/>
    <row r="54">
      <c r="B54" s="11" t="inlineStr">
        <is>
          <t>Sensitivity Grid - Support Cells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B55" s="3" t="inlineStr">
        <is>
          <t>Net Debt / (Net Cash) ($mm)</t>
        </is>
      </c>
      <c r="D55" s="63">
        <f>Assumptions!D20</f>
      </c>
    </row>
    <row r="56">
      <c r="B56" s="3" t="inlineStr">
        <is>
          <t>Diluted Shares (mm)</t>
        </is>
      </c>
      <c r="D56" s="70">
        <f>Assumptions!D8</f>
      </c>
    </row>
    <row r="57">
      <c r="B57" s="3" t="inlineStr">
        <is>
          <t>Terminal-Year Unlevered FCF ($mm)</t>
        </is>
      </c>
      <c r="D57" s="65">
        <f>J25</f>
      </c>
    </row>
    <row r="58">
      <c r="B58" s="3" t="inlineStr">
        <is>
          <t>Terminal-Year EBITDA ($mm)</t>
        </is>
      </c>
      <c r="D58" s="65">
        <f>J13</f>
      </c>
    </row>
    <row r="59">
      <c r="B59" s="10" t="inlineStr">
        <is>
          <t>UFCF row for sensitivity re-derivation: DCF!F25:J25. Discount-period row: DCF!F6:J6.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/>
    <row r="2">
      <c r="B2" s="1" t="inlineStr">
        <is>
          <t>Microsoft Corporation (MSFT) - WACC Build</t>
        </is>
      </c>
    </row>
    <row r="3">
      <c r="B3" s="10" t="inlineStr">
        <is>
          <t>(CAPM cost of equity; capital-structure weighted)</t>
        </is>
      </c>
    </row>
    <row r="4"/>
    <row r="5">
      <c r="B5" s="11" t="inlineStr">
        <is>
          <t>Cost of Equity (CAPM)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</row>
    <row r="6">
      <c r="B6" s="3" t="inlineStr">
        <is>
          <t>Risk-free rate (10Y UST)</t>
        </is>
      </c>
      <c r="D6" s="22" t="n">
        <v>0.0474</v>
      </c>
      <c r="E6" s="10" t="inlineStr">
        <is>
          <t>10Y UST constant maturity, as of 8/21/26 (FRED / TradingEconomics)</t>
        </is>
      </c>
    </row>
    <row r="7">
      <c r="B7" s="3" t="inlineStr">
        <is>
          <t>Levered beta</t>
        </is>
      </c>
      <c r="D7" s="44" t="n">
        <v>1.04</v>
      </c>
      <c r="E7" s="10" t="inlineStr">
        <is>
          <t>5Y monthly beta, Investing.com, as of Aug 2026</t>
        </is>
      </c>
    </row>
    <row r="8">
      <c r="B8" s="3" t="inlineStr">
        <is>
          <t>Equity risk premium</t>
        </is>
      </c>
      <c r="D8" s="22" t="n">
        <v>0.05</v>
      </c>
      <c r="E8" s="10" t="inlineStr">
        <is>
          <t>Damodaran / Duff &amp; Phelps convention, base case (range 4.5%-5.5%)</t>
        </is>
      </c>
    </row>
    <row r="9">
      <c r="B9" s="4" t="inlineStr">
        <is>
          <t>Cost of Equity</t>
        </is>
      </c>
      <c r="D9" s="45">
        <f>D6+D7*D8</f>
      </c>
    </row>
    <row r="10"/>
    <row r="11">
      <c r="B11" s="11" t="inlineStr">
        <is>
          <t>Cost of Debt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B12" s="3" t="inlineStr">
        <is>
          <t>Pre-tax cost of debt</t>
        </is>
      </c>
      <c r="D12" s="22" t="n">
        <v>0.045</v>
      </c>
      <c r="E12" s="10" t="inlineStr">
        <is>
          <t>Weighted-avg coupon ~4.52% per FY25 10-K debt note / 10-Q as of 9/30/25</t>
        </is>
      </c>
    </row>
    <row r="13">
      <c r="B13" s="3" t="inlineStr">
        <is>
          <t>Tax rate</t>
        </is>
      </c>
      <c r="D13" s="30">
        <f>Assumptions!D30</f>
      </c>
    </row>
    <row r="14">
      <c r="B14" s="4" t="inlineStr">
        <is>
          <t>After-tax cost of debt</t>
        </is>
      </c>
      <c r="D14" s="46">
        <f>D12*(1-D13)</f>
      </c>
    </row>
    <row r="15"/>
    <row r="16">
      <c r="B16" s="11" t="inlineStr">
        <is>
          <t>Capital Structure Weights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>
      <c r="B17" s="3" t="inlineStr">
        <is>
          <t>Share price</t>
        </is>
      </c>
      <c r="D17" s="54">
        <f>Assumptions!D7</f>
      </c>
    </row>
    <row r="18">
      <c r="B18" s="3" t="inlineStr">
        <is>
          <t>Diluted shares outstanding (mm)</t>
        </is>
      </c>
      <c r="D18" s="70">
        <f>Assumptions!D8</f>
      </c>
    </row>
    <row r="19">
      <c r="B19" s="3" t="inlineStr">
        <is>
          <t>Market capitalization of equity ($mm)</t>
        </is>
      </c>
      <c r="D19" s="65">
        <f>D17*D18</f>
      </c>
    </row>
    <row r="20">
      <c r="B20" s="3" t="inlineStr">
        <is>
          <t>Total debt ($mm)</t>
        </is>
      </c>
      <c r="D20" s="63">
        <f>Assumptions!D17</f>
      </c>
    </row>
    <row r="21">
      <c r="B21" s="3" t="inlineStr">
        <is>
          <t>Total capital (D+E) ($mm)</t>
        </is>
      </c>
      <c r="D21" s="65">
        <f>D19+D20</f>
      </c>
    </row>
    <row r="22">
      <c r="B22" s="3" t="inlineStr">
        <is>
          <t>Weight of equity, E/(D+E)</t>
        </is>
      </c>
      <c r="D22" s="29">
        <f>D19/D21</f>
      </c>
    </row>
    <row r="23">
      <c r="B23" s="3" t="inlineStr">
        <is>
          <t>Weight of debt, D/(D+E)</t>
        </is>
      </c>
      <c r="D23" s="29">
        <f>D20/D21</f>
      </c>
    </row>
    <row r="24"/>
    <row r="25">
      <c r="B25" s="4" t="inlineStr">
        <is>
          <t>WACC</t>
        </is>
      </c>
      <c r="D25" s="45">
        <f>D22*D9+D23*D14</f>
      </c>
    </row>
    <row r="26">
      <c r="B26" s="10" t="inlineStr">
        <is>
          <t>WACC sanity: MSFT's minimal leverage (D/(D+E) ~1%) means WACC sits close to the CAPM cost of equity. Interest computed on beginning-of-period balances convention n/a (no revolving debt schedule in this DCF).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xSplit="3" ySplit="11" topLeftCell="D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>
      <c r="B2" s="1" t="inlineStr">
        <is>
          <t>Microsoft Corporation (MSFT) - Sensitivity Analysis</t>
        </is>
      </c>
    </row>
    <row r="3">
      <c r="B3" s="10" t="inlineStr">
        <is>
          <t>Live algebraic re-derivation grids (no Excel Data Tables); end-of-period discounting throughout</t>
        </is>
      </c>
    </row>
    <row r="4"/>
    <row r="5">
      <c r="B5" s="11" t="inlineStr">
        <is>
          <t>Grid Step Sizes (blue inputs)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</row>
    <row r="6">
      <c r="B6" s="3" t="inlineStr">
        <is>
          <t>WACC step</t>
        </is>
      </c>
      <c r="D6" s="22" t="n">
        <v>0.005</v>
      </c>
    </row>
    <row r="7">
      <c r="B7" s="3" t="inlineStr">
        <is>
          <t>Terminal growth (g) step</t>
        </is>
      </c>
      <c r="D7" s="22" t="n">
        <v>0.005</v>
      </c>
    </row>
    <row r="8">
      <c r="B8" s="3" t="inlineStr">
        <is>
          <t>Exit multiple step</t>
        </is>
      </c>
      <c r="D8" s="61" t="n">
        <v>1</v>
      </c>
    </row>
    <row r="9"/>
    <row r="10">
      <c r="B10" s="11" t="inlineStr">
        <is>
          <t>Grid A: WACC (rows) x Terminal Growth g (cols) → Implied Share Price (Gordon Growth Method)</t>
        </is>
      </c>
      <c r="C10" s="11" t="n"/>
      <c r="D10" s="11" t="n"/>
      <c r="E10" s="11" t="n"/>
      <c r="F10" s="11" t="n"/>
      <c r="G10" s="11" t="n"/>
      <c r="H10" s="11" t="n"/>
    </row>
    <row r="11">
      <c r="B11" s="3" t="inlineStr">
        <is>
          <t>Implied Price →</t>
        </is>
      </c>
      <c r="C11" s="74">
        <f>DCF!D50</f>
      </c>
      <c r="D11" s="48">
        <f>E11-$D$7</f>
      </c>
      <c r="E11" s="48">
        <f>F11-$D$7</f>
      </c>
      <c r="F11" s="49">
        <f>Assumptions!D33</f>
      </c>
      <c r="G11" s="48">
        <f>F11+$D$7</f>
      </c>
      <c r="H11" s="48">
        <f>G11+$D$7</f>
      </c>
    </row>
    <row r="12">
      <c r="C12" s="48">
        <f>C13-$D$6</f>
      </c>
      <c r="D12" s="75">
        <f>(SUMPRODUCT(DCF!$F$25:$J$25,1/(1+$C12)^DCF!$F$6:$J$6)+(DCF!$D$57*(1+D$11))/($C12-D$11)/(1+$C12)^DCF!$J$6-DCF!$D$55)/DCF!$D$56</f>
      </c>
      <c r="E12" s="75">
        <f>(SUMPRODUCT(DCF!$F$25:$J$25,1/(1+$C12)^DCF!$F$6:$J$6)+(DCF!$D$57*(1+E$11))/($C12-E$11)/(1+$C12)^DCF!$J$6-DCF!$D$55)/DCF!$D$56</f>
      </c>
      <c r="F12" s="75">
        <f>(SUMPRODUCT(DCF!$F$25:$J$25,1/(1+$C12)^DCF!$F$6:$J$6)+(DCF!$D$57*(1+F$11))/($C12-F$11)/(1+$C12)^DCF!$J$6-DCF!$D$55)/DCF!$D$56</f>
      </c>
      <c r="G12" s="75">
        <f>(SUMPRODUCT(DCF!$F$25:$J$25,1/(1+$C12)^DCF!$F$6:$J$6)+(DCF!$D$57*(1+G$11))/($C12-G$11)/(1+$C12)^DCF!$J$6-DCF!$D$55)/DCF!$D$56</f>
      </c>
      <c r="H12" s="75">
        <f>(SUMPRODUCT(DCF!$F$25:$J$25,1/(1+$C12)^DCF!$F$6:$J$6)+(DCF!$D$57*(1+H$11))/($C12-H$11)/(1+$C12)^DCF!$J$6-DCF!$D$55)/DCF!$D$56</f>
      </c>
    </row>
    <row r="13">
      <c r="C13" s="48">
        <f>C14-$D$6</f>
      </c>
      <c r="D13" s="75">
        <f>(SUMPRODUCT(DCF!$F$25:$J$25,1/(1+$C13)^DCF!$F$6:$J$6)+(DCF!$D$57*(1+D$11))/($C13-D$11)/(1+$C13)^DCF!$J$6-DCF!$D$55)/DCF!$D$56</f>
      </c>
      <c r="E13" s="75">
        <f>(SUMPRODUCT(DCF!$F$25:$J$25,1/(1+$C13)^DCF!$F$6:$J$6)+(DCF!$D$57*(1+E$11))/($C13-E$11)/(1+$C13)^DCF!$J$6-DCF!$D$55)/DCF!$D$56</f>
      </c>
      <c r="F13" s="75">
        <f>(SUMPRODUCT(DCF!$F$25:$J$25,1/(1+$C13)^DCF!$F$6:$J$6)+(DCF!$D$57*(1+F$11))/($C13-F$11)/(1+$C13)^DCF!$J$6-DCF!$D$55)/DCF!$D$56</f>
      </c>
      <c r="G13" s="75">
        <f>(SUMPRODUCT(DCF!$F$25:$J$25,1/(1+$C13)^DCF!$F$6:$J$6)+(DCF!$D$57*(1+G$11))/($C13-G$11)/(1+$C13)^DCF!$J$6-DCF!$D$55)/DCF!$D$56</f>
      </c>
      <c r="H13" s="75">
        <f>(SUMPRODUCT(DCF!$F$25:$J$25,1/(1+$C13)^DCF!$F$6:$J$6)+(DCF!$D$57*(1+H$11))/($C13-H$11)/(1+$C13)^DCF!$J$6-DCF!$D$55)/DCF!$D$56</f>
      </c>
    </row>
    <row r="14">
      <c r="C14" s="48">
        <f>C15-$D$6</f>
      </c>
      <c r="D14" s="75">
        <f>(SUMPRODUCT(DCF!$F$25:$J$25,1/(1+$C14)^DCF!$F$6:$J$6)+(DCF!$D$57*(1+D$11))/($C14-D$11)/(1+$C14)^DCF!$J$6-DCF!$D$55)/DCF!$D$56</f>
      </c>
      <c r="E14" s="75">
        <f>(SUMPRODUCT(DCF!$F$25:$J$25,1/(1+$C14)^DCF!$F$6:$J$6)+(DCF!$D$57*(1+E$11))/($C14-E$11)/(1+$C14)^DCF!$J$6-DCF!$D$55)/DCF!$D$56</f>
      </c>
      <c r="F14" s="75">
        <f>(SUMPRODUCT(DCF!$F$25:$J$25,1/(1+$C14)^DCF!$F$6:$J$6)+(DCF!$D$57*(1+F$11))/($C14-F$11)/(1+$C14)^DCF!$J$6-DCF!$D$55)/DCF!$D$56</f>
      </c>
      <c r="G14" s="75">
        <f>(SUMPRODUCT(DCF!$F$25:$J$25,1/(1+$C14)^DCF!$F$6:$J$6)+(DCF!$D$57*(1+G$11))/($C14-G$11)/(1+$C14)^DCF!$J$6-DCF!$D$55)/DCF!$D$56</f>
      </c>
      <c r="H14" s="75">
        <f>(SUMPRODUCT(DCF!$F$25:$J$25,1/(1+$C14)^DCF!$F$6:$J$6)+(DCF!$D$57*(1+H$11))/($C14-H$11)/(1+$C14)^DCF!$J$6-DCF!$D$55)/DCF!$D$56</f>
      </c>
    </row>
    <row r="15">
      <c r="C15" s="49">
        <f>WACC!D25</f>
      </c>
      <c r="D15" s="75">
        <f>(SUMPRODUCT(DCF!$F$25:$J$25,1/(1+$C15)^DCF!$F$6:$J$6)+(DCF!$D$57*(1+D$11))/($C15-D$11)/(1+$C15)^DCF!$J$6-DCF!$D$55)/DCF!$D$56</f>
      </c>
      <c r="E15" s="75">
        <f>(SUMPRODUCT(DCF!$F$25:$J$25,1/(1+$C15)^DCF!$F$6:$J$6)+(DCF!$D$57*(1+E$11))/($C15-E$11)/(1+$C15)^DCF!$J$6-DCF!$D$55)/DCF!$D$56</f>
      </c>
      <c r="F15" s="75">
        <f>(SUMPRODUCT(DCF!$F$25:$J$25,1/(1+$C15)^DCF!$F$6:$J$6)+(DCF!$D$57*(1+F$11))/($C15-F$11)/(1+$C15)^DCF!$J$6-DCF!$D$55)/DCF!$D$56</f>
      </c>
      <c r="G15" s="75">
        <f>(SUMPRODUCT(DCF!$F$25:$J$25,1/(1+$C15)^DCF!$F$6:$J$6)+(DCF!$D$57*(1+G$11))/($C15-G$11)/(1+$C15)^DCF!$J$6-DCF!$D$55)/DCF!$D$56</f>
      </c>
      <c r="H15" s="75">
        <f>(SUMPRODUCT(DCF!$F$25:$J$25,1/(1+$C15)^DCF!$F$6:$J$6)+(DCF!$D$57*(1+H$11))/($C15-H$11)/(1+$C15)^DCF!$J$6-DCF!$D$55)/DCF!$D$56</f>
      </c>
    </row>
    <row r="16">
      <c r="C16" s="48">
        <f>C15+$D$6</f>
      </c>
      <c r="D16" s="75">
        <f>(SUMPRODUCT(DCF!$F$25:$J$25,1/(1+$C16)^DCF!$F$6:$J$6)+(DCF!$D$57*(1+D$11))/($C16-D$11)/(1+$C16)^DCF!$J$6-DCF!$D$55)/DCF!$D$56</f>
      </c>
      <c r="E16" s="75">
        <f>(SUMPRODUCT(DCF!$F$25:$J$25,1/(1+$C16)^DCF!$F$6:$J$6)+(DCF!$D$57*(1+E$11))/($C16-E$11)/(1+$C16)^DCF!$J$6-DCF!$D$55)/DCF!$D$56</f>
      </c>
      <c r="F16" s="75">
        <f>(SUMPRODUCT(DCF!$F$25:$J$25,1/(1+$C16)^DCF!$F$6:$J$6)+(DCF!$D$57*(1+F$11))/($C16-F$11)/(1+$C16)^DCF!$J$6-DCF!$D$55)/DCF!$D$56</f>
      </c>
      <c r="G16" s="75">
        <f>(SUMPRODUCT(DCF!$F$25:$J$25,1/(1+$C16)^DCF!$F$6:$J$6)+(DCF!$D$57*(1+G$11))/($C16-G$11)/(1+$C16)^DCF!$J$6-DCF!$D$55)/DCF!$D$56</f>
      </c>
      <c r="H16" s="75">
        <f>(SUMPRODUCT(DCF!$F$25:$J$25,1/(1+$C16)^DCF!$F$6:$J$6)+(DCF!$D$57*(1+H$11))/($C16-H$11)/(1+$C16)^DCF!$J$6-DCF!$D$55)/DCF!$D$56</f>
      </c>
    </row>
    <row r="17">
      <c r="C17" s="48">
        <f>C16+$D$6</f>
      </c>
      <c r="D17" s="75">
        <f>(SUMPRODUCT(DCF!$F$25:$J$25,1/(1+$C17)^DCF!$F$6:$J$6)+(DCF!$D$57*(1+D$11))/($C17-D$11)/(1+$C17)^DCF!$J$6-DCF!$D$55)/DCF!$D$56</f>
      </c>
      <c r="E17" s="75">
        <f>(SUMPRODUCT(DCF!$F$25:$J$25,1/(1+$C17)^DCF!$F$6:$J$6)+(DCF!$D$57*(1+E$11))/($C17-E$11)/(1+$C17)^DCF!$J$6-DCF!$D$55)/DCF!$D$56</f>
      </c>
      <c r="F17" s="75">
        <f>(SUMPRODUCT(DCF!$F$25:$J$25,1/(1+$C17)^DCF!$F$6:$J$6)+(DCF!$D$57*(1+F$11))/($C17-F$11)/(1+$C17)^DCF!$J$6-DCF!$D$55)/DCF!$D$56</f>
      </c>
      <c r="G17" s="75">
        <f>(SUMPRODUCT(DCF!$F$25:$J$25,1/(1+$C17)^DCF!$F$6:$J$6)+(DCF!$D$57*(1+G$11))/($C17-G$11)/(1+$C17)^DCF!$J$6-DCF!$D$55)/DCF!$D$56</f>
      </c>
      <c r="H17" s="75">
        <f>(SUMPRODUCT(DCF!$F$25:$J$25,1/(1+$C17)^DCF!$F$6:$J$6)+(DCF!$D$57*(1+H$11))/($C17-H$11)/(1+$C17)^DCF!$J$6-DCF!$D$55)/DCF!$D$56</f>
      </c>
    </row>
    <row r="18">
      <c r="C18" s="48">
        <f>C17+$D$6</f>
      </c>
      <c r="D18" s="75">
        <f>(SUMPRODUCT(DCF!$F$25:$J$25,1/(1+$C18)^DCF!$F$6:$J$6)+(DCF!$D$57*(1+D$11))/($C18-D$11)/(1+$C18)^DCF!$J$6-DCF!$D$55)/DCF!$D$56</f>
      </c>
      <c r="E18" s="75">
        <f>(SUMPRODUCT(DCF!$F$25:$J$25,1/(1+$C18)^DCF!$F$6:$J$6)+(DCF!$D$57*(1+E$11))/($C18-E$11)/(1+$C18)^DCF!$J$6-DCF!$D$55)/DCF!$D$56</f>
      </c>
      <c r="F18" s="75">
        <f>(SUMPRODUCT(DCF!$F$25:$J$25,1/(1+$C18)^DCF!$F$6:$J$6)+(DCF!$D$57*(1+F$11))/($C18-F$11)/(1+$C18)^DCF!$J$6-DCF!$D$55)/DCF!$D$56</f>
      </c>
      <c r="G18" s="75">
        <f>(SUMPRODUCT(DCF!$F$25:$J$25,1/(1+$C18)^DCF!$F$6:$J$6)+(DCF!$D$57*(1+G$11))/($C18-G$11)/(1+$C18)^DCF!$J$6-DCF!$D$55)/DCF!$D$56</f>
      </c>
      <c r="H18" s="75">
        <f>(SUMPRODUCT(DCF!$F$25:$J$25,1/(1+$C18)^DCF!$F$6:$J$6)+(DCF!$D$57*(1+H$11))/($C18-H$11)/(1+$C18)^DCF!$J$6-DCF!$D$55)/DCF!$D$56</f>
      </c>
    </row>
    <row r="19"/>
    <row r="20">
      <c r="B20" s="3" t="inlineStr">
        <is>
          <t>Check: center cell − base Gordon price (must be 0.00)</t>
        </is>
      </c>
      <c r="D20" s="54">
        <f>ROUND(F15-DCF!D50,2)</f>
      </c>
    </row>
    <row r="21"/>
    <row r="22">
      <c r="B22" s="3" t="inlineStr">
        <is>
          <t>Implied Price →</t>
        </is>
      </c>
      <c r="C22" s="74">
        <f>DCF!F50</f>
      </c>
      <c r="D22" s="76">
        <f>E22-$D$8</f>
      </c>
      <c r="E22" s="76">
        <f>F22-$D$8</f>
      </c>
      <c r="F22" s="77">
        <f>Assumptions!D34</f>
      </c>
      <c r="G22" s="76">
        <f>F22+$D$8</f>
      </c>
      <c r="H22" s="76">
        <f>G22+$D$8</f>
      </c>
    </row>
    <row r="23">
      <c r="B23" s="11" t="inlineStr">
        <is>
          <t>Grid B: WACC (rows) x Exit EV/EBITDA Multiple (cols) → Implied Share Price (Exit Multiple Method)</t>
        </is>
      </c>
      <c r="C23" s="11" t="n"/>
      <c r="D23" s="11" t="n"/>
      <c r="E23" s="11" t="n"/>
      <c r="F23" s="11" t="n"/>
      <c r="G23" s="11" t="n"/>
      <c r="H23" s="11" t="n"/>
    </row>
    <row r="24">
      <c r="C24" s="48">
        <f>C25-$D$6</f>
      </c>
      <c r="D24" s="75">
        <f>(SUMPRODUCT(DCF!$F$25:$J$25,1/(1+$C24)^DCF!$F$6:$J$6)+DCF!$D$58*D$22/(1+$C24)^DCF!$J$6-DCF!$D$55)/DCF!$D$56</f>
      </c>
      <c r="E24" s="75">
        <f>(SUMPRODUCT(DCF!$F$25:$J$25,1/(1+$C24)^DCF!$F$6:$J$6)+DCF!$D$58*E$22/(1+$C24)^DCF!$J$6-DCF!$D$55)/DCF!$D$56</f>
      </c>
      <c r="F24" s="75">
        <f>(SUMPRODUCT(DCF!$F$25:$J$25,1/(1+$C24)^DCF!$F$6:$J$6)+DCF!$D$58*F$22/(1+$C24)^DCF!$J$6-DCF!$D$55)/DCF!$D$56</f>
      </c>
      <c r="G24" s="75">
        <f>(SUMPRODUCT(DCF!$F$25:$J$25,1/(1+$C24)^DCF!$F$6:$J$6)+DCF!$D$58*G$22/(1+$C24)^DCF!$J$6-DCF!$D$55)/DCF!$D$56</f>
      </c>
      <c r="H24" s="75">
        <f>(SUMPRODUCT(DCF!$F$25:$J$25,1/(1+$C24)^DCF!$F$6:$J$6)+DCF!$D$58*H$22/(1+$C24)^DCF!$J$6-DCF!$D$55)/DCF!$D$56</f>
      </c>
    </row>
    <row r="25">
      <c r="C25" s="48">
        <f>C26-$D$6</f>
      </c>
      <c r="D25" s="75">
        <f>(SUMPRODUCT(DCF!$F$25:$J$25,1/(1+$C25)^DCF!$F$6:$J$6)+DCF!$D$58*D$22/(1+$C25)^DCF!$J$6-DCF!$D$55)/DCF!$D$56</f>
      </c>
      <c r="E25" s="75">
        <f>(SUMPRODUCT(DCF!$F$25:$J$25,1/(1+$C25)^DCF!$F$6:$J$6)+DCF!$D$58*E$22/(1+$C25)^DCF!$J$6-DCF!$D$55)/DCF!$D$56</f>
      </c>
      <c r="F25" s="75">
        <f>(SUMPRODUCT(DCF!$F$25:$J$25,1/(1+$C25)^DCF!$F$6:$J$6)+DCF!$D$58*F$22/(1+$C25)^DCF!$J$6-DCF!$D$55)/DCF!$D$56</f>
      </c>
      <c r="G25" s="75">
        <f>(SUMPRODUCT(DCF!$F$25:$J$25,1/(1+$C25)^DCF!$F$6:$J$6)+DCF!$D$58*G$22/(1+$C25)^DCF!$J$6-DCF!$D$55)/DCF!$D$56</f>
      </c>
      <c r="H25" s="75">
        <f>(SUMPRODUCT(DCF!$F$25:$J$25,1/(1+$C25)^DCF!$F$6:$J$6)+DCF!$D$58*H$22/(1+$C25)^DCF!$J$6-DCF!$D$55)/DCF!$D$56</f>
      </c>
    </row>
    <row r="26">
      <c r="C26" s="48">
        <f>C27-$D$6</f>
      </c>
      <c r="D26" s="75">
        <f>(SUMPRODUCT(DCF!$F$25:$J$25,1/(1+$C26)^DCF!$F$6:$J$6)+DCF!$D$58*D$22/(1+$C26)^DCF!$J$6-DCF!$D$55)/DCF!$D$56</f>
      </c>
      <c r="E26" s="75">
        <f>(SUMPRODUCT(DCF!$F$25:$J$25,1/(1+$C26)^DCF!$F$6:$J$6)+DCF!$D$58*E$22/(1+$C26)^DCF!$J$6-DCF!$D$55)/DCF!$D$56</f>
      </c>
      <c r="F26" s="75">
        <f>(SUMPRODUCT(DCF!$F$25:$J$25,1/(1+$C26)^DCF!$F$6:$J$6)+DCF!$D$58*F$22/(1+$C26)^DCF!$J$6-DCF!$D$55)/DCF!$D$56</f>
      </c>
      <c r="G26" s="75">
        <f>(SUMPRODUCT(DCF!$F$25:$J$25,1/(1+$C26)^DCF!$F$6:$J$6)+DCF!$D$58*G$22/(1+$C26)^DCF!$J$6-DCF!$D$55)/DCF!$D$56</f>
      </c>
      <c r="H26" s="75">
        <f>(SUMPRODUCT(DCF!$F$25:$J$25,1/(1+$C26)^DCF!$F$6:$J$6)+DCF!$D$58*H$22/(1+$C26)^DCF!$J$6-DCF!$D$55)/DCF!$D$56</f>
      </c>
    </row>
    <row r="27">
      <c r="C27" s="49">
        <f>WACC!D25</f>
      </c>
      <c r="D27" s="75">
        <f>(SUMPRODUCT(DCF!$F$25:$J$25,1/(1+$C27)^DCF!$F$6:$J$6)+DCF!$D$58*D$22/(1+$C27)^DCF!$J$6-DCF!$D$55)/DCF!$D$56</f>
      </c>
      <c r="E27" s="75">
        <f>(SUMPRODUCT(DCF!$F$25:$J$25,1/(1+$C27)^DCF!$F$6:$J$6)+DCF!$D$58*E$22/(1+$C27)^DCF!$J$6-DCF!$D$55)/DCF!$D$56</f>
      </c>
      <c r="F27" s="75">
        <f>(SUMPRODUCT(DCF!$F$25:$J$25,1/(1+$C27)^DCF!$F$6:$J$6)+DCF!$D$58*F$22/(1+$C27)^DCF!$J$6-DCF!$D$55)/DCF!$D$56</f>
      </c>
      <c r="G27" s="75">
        <f>(SUMPRODUCT(DCF!$F$25:$J$25,1/(1+$C27)^DCF!$F$6:$J$6)+DCF!$D$58*G$22/(1+$C27)^DCF!$J$6-DCF!$D$55)/DCF!$D$56</f>
      </c>
      <c r="H27" s="75">
        <f>(SUMPRODUCT(DCF!$F$25:$J$25,1/(1+$C27)^DCF!$F$6:$J$6)+DCF!$D$58*H$22/(1+$C27)^DCF!$J$6-DCF!$D$55)/DCF!$D$56</f>
      </c>
    </row>
    <row r="28">
      <c r="C28" s="48">
        <f>C27+$D$6</f>
      </c>
      <c r="D28" s="75">
        <f>(SUMPRODUCT(DCF!$F$25:$J$25,1/(1+$C28)^DCF!$F$6:$J$6)+DCF!$D$58*D$22/(1+$C28)^DCF!$J$6-DCF!$D$55)/DCF!$D$56</f>
      </c>
      <c r="E28" s="75">
        <f>(SUMPRODUCT(DCF!$F$25:$J$25,1/(1+$C28)^DCF!$F$6:$J$6)+DCF!$D$58*E$22/(1+$C28)^DCF!$J$6-DCF!$D$55)/DCF!$D$56</f>
      </c>
      <c r="F28" s="75">
        <f>(SUMPRODUCT(DCF!$F$25:$J$25,1/(1+$C28)^DCF!$F$6:$J$6)+DCF!$D$58*F$22/(1+$C28)^DCF!$J$6-DCF!$D$55)/DCF!$D$56</f>
      </c>
      <c r="G28" s="75">
        <f>(SUMPRODUCT(DCF!$F$25:$J$25,1/(1+$C28)^DCF!$F$6:$J$6)+DCF!$D$58*G$22/(1+$C28)^DCF!$J$6-DCF!$D$55)/DCF!$D$56</f>
      </c>
      <c r="H28" s="75">
        <f>(SUMPRODUCT(DCF!$F$25:$J$25,1/(1+$C28)^DCF!$F$6:$J$6)+DCF!$D$58*H$22/(1+$C28)^DCF!$J$6-DCF!$D$55)/DCF!$D$56</f>
      </c>
    </row>
    <row r="29">
      <c r="C29" s="48">
        <f>C28+$D$6</f>
      </c>
      <c r="D29" s="75">
        <f>(SUMPRODUCT(DCF!$F$25:$J$25,1/(1+$C29)^DCF!$F$6:$J$6)+DCF!$D$58*D$22/(1+$C29)^DCF!$J$6-DCF!$D$55)/DCF!$D$56</f>
      </c>
      <c r="E29" s="75">
        <f>(SUMPRODUCT(DCF!$F$25:$J$25,1/(1+$C29)^DCF!$F$6:$J$6)+DCF!$D$58*E$22/(1+$C29)^DCF!$J$6-DCF!$D$55)/DCF!$D$56</f>
      </c>
      <c r="F29" s="75">
        <f>(SUMPRODUCT(DCF!$F$25:$J$25,1/(1+$C29)^DCF!$F$6:$J$6)+DCF!$D$58*F$22/(1+$C29)^DCF!$J$6-DCF!$D$55)/DCF!$D$56</f>
      </c>
      <c r="G29" s="75">
        <f>(SUMPRODUCT(DCF!$F$25:$J$25,1/(1+$C29)^DCF!$F$6:$J$6)+DCF!$D$58*G$22/(1+$C29)^DCF!$J$6-DCF!$D$55)/DCF!$D$56</f>
      </c>
      <c r="H29" s="75">
        <f>(SUMPRODUCT(DCF!$F$25:$J$25,1/(1+$C29)^DCF!$F$6:$J$6)+DCF!$D$58*H$22/(1+$C29)^DCF!$J$6-DCF!$D$55)/DCF!$D$56</f>
      </c>
    </row>
    <row r="30">
      <c r="C30" s="48">
        <f>C29+$D$6</f>
      </c>
      <c r="D30" s="75">
        <f>(SUMPRODUCT(DCF!$F$25:$J$25,1/(1+$C30)^DCF!$F$6:$J$6)+DCF!$D$58*D$22/(1+$C30)^DCF!$J$6-DCF!$D$55)/DCF!$D$56</f>
      </c>
      <c r="E30" s="75">
        <f>(SUMPRODUCT(DCF!$F$25:$J$25,1/(1+$C30)^DCF!$F$6:$J$6)+DCF!$D$58*E$22/(1+$C30)^DCF!$J$6-DCF!$D$55)/DCF!$D$56</f>
      </c>
      <c r="F30" s="75">
        <f>(SUMPRODUCT(DCF!$F$25:$J$25,1/(1+$C30)^DCF!$F$6:$J$6)+DCF!$D$58*F$22/(1+$C30)^DCF!$J$6-DCF!$D$55)/DCF!$D$56</f>
      </c>
      <c r="G30" s="75">
        <f>(SUMPRODUCT(DCF!$F$25:$J$25,1/(1+$C30)^DCF!$F$6:$J$6)+DCF!$D$58*G$22/(1+$C30)^DCF!$J$6-DCF!$D$55)/DCF!$D$56</f>
      </c>
      <c r="H30" s="75">
        <f>(SUMPRODUCT(DCF!$F$25:$J$25,1/(1+$C30)^DCF!$F$6:$J$6)+DCF!$D$58*H$22/(1+$C30)^DCF!$J$6-DCF!$D$55)/DCF!$D$56</f>
      </c>
    </row>
    <row r="31"/>
    <row r="32">
      <c r="B32" s="3" t="inlineStr">
        <is>
          <t>Check: center cell − base exit-multiple price (must be 0.00)</t>
        </is>
      </c>
      <c r="D32" s="54">
        <f>ROUND(F27-DCF!F50,2)</f>
      </c>
    </row>
  </sheetData>
  <conditionalFormatting sqref="D20">
    <cfRule type="cellIs" priority="1" operator="equal" dxfId="0">
      <formula>0</formula>
    </cfRule>
    <cfRule type="cellIs" priority="2" operator="notEqual" dxfId="1">
      <formula>0</formula>
    </cfRule>
  </conditionalFormatting>
  <conditionalFormatting sqref="D32">
    <cfRule type="cellIs" priority="3" operator="equal" dxfId="0">
      <formula>0</formula>
    </cfRule>
    <cfRule type="cellIs" priority="4" operator="notEqual" dxfId="1">
      <formula>0</formula>
    </cfRule>
  </conditionalFormatting>
  <conditionalFormatting sqref="D12:H1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H3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2026-08-23T05:50:07Z</dcterms:created>
  <dcterms:modified xmlns:dcterms="http://purl.org/dc/terms/" xmlns:xsi="http://www.w3.org/2001/XMLSchema-instance" xsi:type="dcterms:W3CDTF">2026-08-27T05:39:42Z</dcterms:modified>
</cp:coreProperties>
</file>