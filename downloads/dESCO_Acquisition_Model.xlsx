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updateLinks="always"/>
  <mc:AlternateContent xmlns:mc="http://schemas.openxmlformats.org/markup-compatibility/2006">
    <mc:Choice Requires="x15">
      <x15ac:absPath xmlns:x15ac="http://schemas.microsoft.com/office/spreadsheetml/2010/11/ac" url="/Users/akulveauli/Downloads/"/>
    </mc:Choice>
  </mc:AlternateContent>
  <xr:revisionPtr revIDLastSave="0" documentId="13_ncr:1_{2137ED73-A53A-8A41-82B3-916163AC07B3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Income Statement" sheetId="6" r:id="rId1"/>
    <sheet name="Cashflow Statement" sheetId="8" r:id="rId2"/>
    <sheet name="Balance Sheet" sheetId="5" r:id="rId3"/>
    <sheet name="5.a Sources &amp; Uses" sheetId="9" r:id="rId4"/>
    <sheet name="5b. Forecasts and Assumptions" sheetId="3" r:id="rId5"/>
    <sheet name="5.c Amortization&amp;Covenants" sheetId="7" r:id="rId6"/>
    <sheet name="5.d IRR and COC Forecasts" sheetId="11" r:id="rId7"/>
    <sheet name="Given data" sheetId="1" r:id="rId8"/>
  </sheets>
  <externalReferences>
    <externalReference r:id="rId9"/>
  </externalReferences>
  <definedNames>
    <definedName name="_xlchart.v2.0" hidden="1">'Balance Sheet'!$T$8:$T$12</definedName>
    <definedName name="_xlchart.v2.1" hidden="1">'Balance Sheet'!$U$8:$U$12</definedName>
    <definedName name="Company_Name">[1]DCF!$C$3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D8" i="9"/>
  <c r="R5" i="5"/>
  <c r="X4" i="9" s="1"/>
  <c r="N5" i="5"/>
  <c r="S4" i="9" s="1"/>
  <c r="J5" i="5"/>
  <c r="F5" i="5"/>
  <c r="D4" i="9"/>
  <c r="N13" i="3"/>
  <c r="I13" i="3" s="1"/>
  <c r="J13" i="3" s="1"/>
  <c r="K13" i="3" s="1"/>
  <c r="L13" i="3" s="1"/>
  <c r="M13" i="3" s="1"/>
  <c r="N14" i="3"/>
  <c r="I14" i="3" s="1"/>
  <c r="J14" i="3" s="1"/>
  <c r="K14" i="3" s="1"/>
  <c r="L14" i="3" s="1"/>
  <c r="M14" i="3" s="1"/>
  <c r="N15" i="3"/>
  <c r="I15" i="3" s="1"/>
  <c r="J15" i="3" s="1"/>
  <c r="K15" i="3" s="1"/>
  <c r="L15" i="3" s="1"/>
  <c r="M15" i="3" s="1"/>
  <c r="N16" i="3"/>
  <c r="I16" i="3" s="1"/>
  <c r="J16" i="3" s="1"/>
  <c r="K16" i="3" s="1"/>
  <c r="L16" i="3" s="1"/>
  <c r="M16" i="3" s="1"/>
  <c r="I19" i="3"/>
  <c r="N28" i="3"/>
  <c r="D35" i="3"/>
  <c r="F35" i="3"/>
  <c r="E35" i="3"/>
  <c r="E34" i="1"/>
  <c r="N29" i="3"/>
  <c r="N36" i="3"/>
  <c r="D5" i="3"/>
  <c r="E5" i="3"/>
  <c r="F5" i="3"/>
  <c r="G5" i="3"/>
  <c r="F4" i="6" s="1"/>
  <c r="H5" i="3"/>
  <c r="D6" i="3"/>
  <c r="C5" i="6" s="1"/>
  <c r="E6" i="3"/>
  <c r="D5" i="6" s="1"/>
  <c r="F6" i="3"/>
  <c r="G6" i="3"/>
  <c r="H6" i="3"/>
  <c r="D7" i="3"/>
  <c r="E7" i="3"/>
  <c r="D6" i="6" s="1"/>
  <c r="F7" i="3"/>
  <c r="G7" i="3"/>
  <c r="F6" i="6" s="1"/>
  <c r="H7" i="3"/>
  <c r="G6" i="6" s="1"/>
  <c r="H9" i="3"/>
  <c r="I17" i="3"/>
  <c r="J17" i="3"/>
  <c r="K17" i="3"/>
  <c r="L17" i="3"/>
  <c r="M17" i="3" s="1"/>
  <c r="D20" i="3"/>
  <c r="E20" i="3"/>
  <c r="F20" i="3"/>
  <c r="G20" i="3"/>
  <c r="H20" i="3"/>
  <c r="D30" i="3"/>
  <c r="E30" i="3"/>
  <c r="F30" i="3"/>
  <c r="G30" i="3"/>
  <c r="H30" i="3"/>
  <c r="D31" i="3"/>
  <c r="E31" i="3"/>
  <c r="F31" i="3"/>
  <c r="G31" i="3"/>
  <c r="H31" i="3"/>
  <c r="I31" i="3"/>
  <c r="J31" i="3" s="1"/>
  <c r="K31" i="3" s="1"/>
  <c r="L31" i="3" s="1"/>
  <c r="M31" i="3" s="1"/>
  <c r="I32" i="3"/>
  <c r="J32" i="3"/>
  <c r="K32" i="3"/>
  <c r="L32" i="3"/>
  <c r="M32" i="3" s="1"/>
  <c r="D33" i="3"/>
  <c r="D34" i="3" s="1"/>
  <c r="E33" i="3"/>
  <c r="F33" i="3"/>
  <c r="G33" i="3"/>
  <c r="G34" i="3" s="1"/>
  <c r="H33" i="3"/>
  <c r="I33" i="3"/>
  <c r="J33" i="3"/>
  <c r="K33" i="3"/>
  <c r="L33" i="3"/>
  <c r="M33" i="3" s="1"/>
  <c r="E34" i="3"/>
  <c r="F34" i="3"/>
  <c r="H34" i="3"/>
  <c r="I42" i="3"/>
  <c r="J42" i="3"/>
  <c r="K42" i="3"/>
  <c r="L42" i="3" s="1"/>
  <c r="M42" i="3" s="1"/>
  <c r="N26" i="3"/>
  <c r="I26" i="3" s="1"/>
  <c r="X7" i="9"/>
  <c r="S7" i="9"/>
  <c r="N7" i="9"/>
  <c r="N4" i="9"/>
  <c r="I7" i="9"/>
  <c r="S32" i="7"/>
  <c r="S25" i="7"/>
  <c r="S18" i="7"/>
  <c r="S11" i="7"/>
  <c r="I4" i="9"/>
  <c r="S4" i="7"/>
  <c r="D7" i="9"/>
  <c r="D6" i="9"/>
  <c r="I3" i="7"/>
  <c r="I4" i="7" s="1"/>
  <c r="I5" i="7" s="1"/>
  <c r="I6" i="7" s="1"/>
  <c r="B5" i="9"/>
  <c r="I66" i="7"/>
  <c r="I67" i="7" s="1"/>
  <c r="I68" i="7" s="1"/>
  <c r="I69" i="7" s="1"/>
  <c r="I70" i="7" s="1"/>
  <c r="I59" i="7"/>
  <c r="I60" i="7" s="1"/>
  <c r="I61" i="7" s="1"/>
  <c r="I62" i="7" s="1"/>
  <c r="I63" i="7" s="1"/>
  <c r="I52" i="7"/>
  <c r="I53" i="7" s="1"/>
  <c r="I54" i="7" s="1"/>
  <c r="I55" i="7" s="1"/>
  <c r="I56" i="7" s="1"/>
  <c r="I45" i="7"/>
  <c r="I46" i="7" s="1"/>
  <c r="I47" i="7" s="1"/>
  <c r="I48" i="7" s="1"/>
  <c r="I49" i="7" s="1"/>
  <c r="I38" i="7"/>
  <c r="I39" i="7" s="1"/>
  <c r="I40" i="7" s="1"/>
  <c r="I41" i="7" s="1"/>
  <c r="I42" i="7" s="1"/>
  <c r="I31" i="7"/>
  <c r="I32" i="7" s="1"/>
  <c r="I33" i="7" s="1"/>
  <c r="I34" i="7" s="1"/>
  <c r="I35" i="7" s="1"/>
  <c r="I24" i="7"/>
  <c r="I25" i="7" s="1"/>
  <c r="I26" i="7" s="1"/>
  <c r="I27" i="7" s="1"/>
  <c r="I28" i="7" s="1"/>
  <c r="I17" i="7"/>
  <c r="I18" i="7" s="1"/>
  <c r="I19" i="7" s="1"/>
  <c r="I20" i="7" s="1"/>
  <c r="I21" i="7" s="1"/>
  <c r="I10" i="7"/>
  <c r="I11" i="7" s="1"/>
  <c r="I12" i="7" s="1"/>
  <c r="I13" i="7" s="1"/>
  <c r="I14" i="7" s="1"/>
  <c r="C9" i="11"/>
  <c r="C10" i="11" s="1"/>
  <c r="C11" i="11" s="1"/>
  <c r="C12" i="11" s="1"/>
  <c r="C4" i="11"/>
  <c r="C5" i="11" s="1"/>
  <c r="C6" i="11" s="1"/>
  <c r="C7" i="11" s="1"/>
  <c r="D18" i="6"/>
  <c r="E18" i="6" s="1"/>
  <c r="F18" i="6" s="1"/>
  <c r="G18" i="6" s="1"/>
  <c r="I18" i="6" s="1"/>
  <c r="K18" i="6" s="1"/>
  <c r="M18" i="6" s="1"/>
  <c r="B8" i="8"/>
  <c r="F10" i="5"/>
  <c r="C19" i="6"/>
  <c r="D19" i="6"/>
  <c r="E19" i="6"/>
  <c r="F19" i="6"/>
  <c r="G19" i="6"/>
  <c r="J17" i="6"/>
  <c r="K17" i="6"/>
  <c r="L17" i="6"/>
  <c r="M17" i="6"/>
  <c r="I17" i="6"/>
  <c r="D12" i="6"/>
  <c r="E12" i="6"/>
  <c r="F12" i="6"/>
  <c r="G12" i="6"/>
  <c r="D13" i="6"/>
  <c r="E13" i="6"/>
  <c r="F13" i="6"/>
  <c r="G13" i="6"/>
  <c r="D14" i="6"/>
  <c r="E14" i="6"/>
  <c r="F14" i="6"/>
  <c r="G14" i="6"/>
  <c r="D15" i="6"/>
  <c r="E15" i="6"/>
  <c r="F15" i="6"/>
  <c r="G15" i="6"/>
  <c r="D16" i="6"/>
  <c r="E16" i="6"/>
  <c r="F16" i="6"/>
  <c r="G16" i="6"/>
  <c r="D17" i="6"/>
  <c r="E17" i="6"/>
  <c r="F17" i="6"/>
  <c r="G17" i="6"/>
  <c r="C13" i="6"/>
  <c r="C14" i="6"/>
  <c r="C15" i="6"/>
  <c r="C16" i="6"/>
  <c r="C17" i="6"/>
  <c r="C12" i="6"/>
  <c r="D8" i="6"/>
  <c r="E8" i="6"/>
  <c r="F8" i="6"/>
  <c r="C8" i="6"/>
  <c r="B4" i="8"/>
  <c r="B14" i="8"/>
  <c r="C4" i="8"/>
  <c r="D4" i="8"/>
  <c r="E4" i="8"/>
  <c r="F4" i="8"/>
  <c r="H10" i="1"/>
  <c r="N39" i="3"/>
  <c r="I39" i="3" s="1"/>
  <c r="J39" i="3" s="1"/>
  <c r="K39" i="3" s="1"/>
  <c r="L39" i="3" s="1"/>
  <c r="M39" i="3" s="1"/>
  <c r="N40" i="3"/>
  <c r="I40" i="3" s="1"/>
  <c r="J40" i="3" s="1"/>
  <c r="K40" i="3" s="1"/>
  <c r="L40" i="3" s="1"/>
  <c r="M40" i="3" s="1"/>
  <c r="N41" i="3"/>
  <c r="I41" i="3" s="1"/>
  <c r="J41" i="3" s="1"/>
  <c r="K41" i="3" s="1"/>
  <c r="L41" i="3" s="1"/>
  <c r="M41" i="3" s="1"/>
  <c r="N42" i="3"/>
  <c r="N43" i="3"/>
  <c r="I43" i="3" s="1"/>
  <c r="J43" i="3" s="1"/>
  <c r="K43" i="3" s="1"/>
  <c r="L43" i="3" s="1"/>
  <c r="M43" i="3" s="1"/>
  <c r="I36" i="3"/>
  <c r="J36" i="3" s="1"/>
  <c r="K36" i="3" s="1"/>
  <c r="L36" i="3" s="1"/>
  <c r="M36" i="3" s="1"/>
  <c r="I29" i="3"/>
  <c r="J29" i="3" s="1"/>
  <c r="K29" i="3" s="1"/>
  <c r="L29" i="3" s="1"/>
  <c r="M29" i="3" s="1"/>
  <c r="I28" i="3"/>
  <c r="J33" i="1"/>
  <c r="G8" i="6"/>
  <c r="E6" i="6"/>
  <c r="C6" i="6"/>
  <c r="G5" i="6"/>
  <c r="F5" i="6"/>
  <c r="E5" i="6"/>
  <c r="G4" i="6"/>
  <c r="E4" i="6"/>
  <c r="D4" i="6"/>
  <c r="C4" i="6"/>
  <c r="J18" i="6" l="1"/>
  <c r="L18" i="6" s="1"/>
  <c r="C20" i="6"/>
  <c r="N34" i="3"/>
  <c r="I34" i="3" s="1"/>
  <c r="J34" i="3" s="1"/>
  <c r="K34" i="3" s="1"/>
  <c r="L34" i="3" s="1"/>
  <c r="M34" i="3" s="1"/>
  <c r="N30" i="3"/>
  <c r="I30" i="3" s="1"/>
  <c r="J30" i="3" s="1"/>
  <c r="K30" i="3" s="1"/>
  <c r="L30" i="3" s="1"/>
  <c r="M30" i="3" s="1"/>
  <c r="J19" i="3"/>
  <c r="K19" i="3" s="1"/>
  <c r="K19" i="6" s="1"/>
  <c r="I19" i="6"/>
  <c r="I27" i="3"/>
  <c r="J27" i="3" s="1"/>
  <c r="K27" i="3" s="1"/>
  <c r="L27" i="3" s="1"/>
  <c r="M27" i="3" s="1"/>
  <c r="M6" i="3" s="1"/>
  <c r="M5" i="6" s="1"/>
  <c r="I20" i="3"/>
  <c r="I7" i="3"/>
  <c r="J28" i="3"/>
  <c r="I5" i="3"/>
  <c r="J26" i="3"/>
  <c r="M9" i="3"/>
  <c r="L9" i="3"/>
  <c r="L8" i="6" s="1"/>
  <c r="K9" i="3"/>
  <c r="J9" i="3"/>
  <c r="J8" i="6" s="1"/>
  <c r="I9" i="3"/>
  <c r="I6" i="3"/>
  <c r="I5" i="6" s="1"/>
  <c r="S12" i="7"/>
  <c r="S26" i="7"/>
  <c r="S33" i="7"/>
  <c r="I6" i="9"/>
  <c r="J10" i="5"/>
  <c r="N6" i="9" s="1"/>
  <c r="S5" i="7"/>
  <c r="S19" i="7"/>
  <c r="I15" i="6"/>
  <c r="J12" i="6"/>
  <c r="I12" i="6"/>
  <c r="I13" i="6"/>
  <c r="I16" i="6"/>
  <c r="G20" i="6"/>
  <c r="F20" i="6"/>
  <c r="E20" i="6"/>
  <c r="D20" i="6"/>
  <c r="I7" i="7"/>
  <c r="M14" i="6"/>
  <c r="I14" i="6"/>
  <c r="K14" i="6"/>
  <c r="L14" i="6"/>
  <c r="J14" i="6"/>
  <c r="N10" i="5"/>
  <c r="S6" i="9" s="1"/>
  <c r="I4" i="6"/>
  <c r="I8" i="6"/>
  <c r="I6" i="6"/>
  <c r="J6" i="3" l="1"/>
  <c r="J5" i="6" s="1"/>
  <c r="K6" i="3"/>
  <c r="K5" i="6" s="1"/>
  <c r="L6" i="3"/>
  <c r="L19" i="3"/>
  <c r="J19" i="6"/>
  <c r="J5" i="3"/>
  <c r="K26" i="3"/>
  <c r="J7" i="3"/>
  <c r="J6" i="6" s="1"/>
  <c r="K28" i="3"/>
  <c r="J20" i="3"/>
  <c r="S34" i="7"/>
  <c r="S27" i="7"/>
  <c r="S13" i="7"/>
  <c r="S20" i="7"/>
  <c r="S6" i="7"/>
  <c r="K12" i="6"/>
  <c r="I20" i="6"/>
  <c r="B20" i="5" s="1"/>
  <c r="B8" i="9" s="1"/>
  <c r="J16" i="6"/>
  <c r="J13" i="6"/>
  <c r="J15" i="6"/>
  <c r="R10" i="5"/>
  <c r="X6" i="9" s="1"/>
  <c r="J20" i="6"/>
  <c r="F20" i="5" s="1"/>
  <c r="J4" i="6"/>
  <c r="M8" i="6"/>
  <c r="K8" i="6"/>
  <c r="L5" i="6"/>
  <c r="M19" i="3" l="1"/>
  <c r="M19" i="6" s="1"/>
  <c r="L19" i="6"/>
  <c r="K20" i="3"/>
  <c r="K7" i="3"/>
  <c r="L28" i="3"/>
  <c r="M28" i="3" s="1"/>
  <c r="K5" i="3"/>
  <c r="L26" i="3"/>
  <c r="M26" i="3" s="1"/>
  <c r="K6" i="6"/>
  <c r="S14" i="7"/>
  <c r="S28" i="7"/>
  <c r="S35" i="7"/>
  <c r="S21" i="7"/>
  <c r="S7" i="7"/>
  <c r="K15" i="6"/>
  <c r="K13" i="6"/>
  <c r="K20" i="6" s="1"/>
  <c r="J20" i="5" s="1"/>
  <c r="K16" i="6"/>
  <c r="L12" i="6"/>
  <c r="G8" i="9"/>
  <c r="M12" i="6" l="1"/>
  <c r="M20" i="3"/>
  <c r="L5" i="3"/>
  <c r="M5" i="3"/>
  <c r="L7" i="3"/>
  <c r="L6" i="6" s="1"/>
  <c r="M7" i="3"/>
  <c r="M6" i="6" s="1"/>
  <c r="L20" i="3"/>
  <c r="K4" i="6"/>
  <c r="L16" i="6"/>
  <c r="M13" i="6"/>
  <c r="L13" i="6"/>
  <c r="M15" i="6"/>
  <c r="L15" i="6"/>
  <c r="L8" i="9"/>
  <c r="I13" i="1"/>
  <c r="I14" i="1"/>
  <c r="I15" i="1"/>
  <c r="I16" i="1"/>
  <c r="I17" i="1"/>
  <c r="I18" i="1"/>
  <c r="I12" i="1"/>
  <c r="I35" i="1"/>
  <c r="I28" i="1"/>
  <c r="I25" i="1"/>
  <c r="I27" i="1"/>
  <c r="L20" i="6" l="1"/>
  <c r="N20" i="5" s="1"/>
  <c r="M4" i="6"/>
  <c r="L4" i="6"/>
  <c r="M16" i="6"/>
  <c r="M20" i="6" s="1"/>
  <c r="Q8" i="9"/>
  <c r="H5" i="1"/>
  <c r="D4" i="1"/>
  <c r="W16" i="1"/>
  <c r="R20" i="5" l="1"/>
  <c r="H34" i="1"/>
  <c r="G34" i="1"/>
  <c r="F34" i="1"/>
  <c r="D34" i="1"/>
  <c r="H19" i="1"/>
  <c r="G19" i="1"/>
  <c r="F19" i="1"/>
  <c r="E19" i="1"/>
  <c r="D19" i="1"/>
  <c r="V8" i="9" l="1"/>
  <c r="F7" i="8"/>
  <c r="I34" i="1"/>
  <c r="H8" i="1"/>
  <c r="H32" i="1"/>
  <c r="G32" i="1"/>
  <c r="G33" i="1" s="1"/>
  <c r="F32" i="1"/>
  <c r="F33" i="1" s="1"/>
  <c r="E32" i="1"/>
  <c r="E33" i="1" s="1"/>
  <c r="D32" i="1"/>
  <c r="D33" i="1" s="1"/>
  <c r="H30" i="1"/>
  <c r="G30" i="1"/>
  <c r="F30" i="1"/>
  <c r="E30" i="1"/>
  <c r="D30" i="1"/>
  <c r="D29" i="1"/>
  <c r="D6" i="1"/>
  <c r="G5" i="1"/>
  <c r="F5" i="1"/>
  <c r="E5" i="1"/>
  <c r="D5" i="1"/>
  <c r="H4" i="1"/>
  <c r="G4" i="1"/>
  <c r="F4" i="1"/>
  <c r="E4" i="1"/>
  <c r="H33" i="1" l="1"/>
  <c r="I33" i="1" s="1"/>
  <c r="D9" i="1"/>
  <c r="D21" i="1" s="1"/>
  <c r="D22" i="1" s="1"/>
  <c r="E29" i="1" l="1"/>
  <c r="E6" i="1"/>
  <c r="E9" i="1" s="1"/>
  <c r="F29" i="1" l="1"/>
  <c r="E21" i="1"/>
  <c r="E22" i="1" s="1"/>
  <c r="E10" i="1"/>
  <c r="F6" i="1"/>
  <c r="F9" i="1" s="1"/>
  <c r="G29" i="1" l="1"/>
  <c r="F21" i="1"/>
  <c r="F22" i="1" s="1"/>
  <c r="F10" i="1"/>
  <c r="G6" i="1"/>
  <c r="G9" i="1" s="1"/>
  <c r="G21" i="1" l="1"/>
  <c r="G22" i="1" s="1"/>
  <c r="G10" i="1"/>
  <c r="H6" i="1"/>
  <c r="H9" i="1" s="1"/>
  <c r="H29" i="1"/>
  <c r="I29" i="1" s="1"/>
  <c r="H21" i="1" l="1"/>
  <c r="H22" i="1" s="1"/>
  <c r="C7" i="8" l="1"/>
  <c r="D7" i="8" l="1"/>
  <c r="E7" i="8"/>
  <c r="F9" i="8" l="1"/>
  <c r="E9" i="8"/>
  <c r="C9" i="8"/>
  <c r="D9" i="8"/>
  <c r="C13" i="8"/>
  <c r="C14" i="8"/>
  <c r="D13" i="8"/>
  <c r="D14" i="8"/>
  <c r="E13" i="8"/>
  <c r="E14" i="8"/>
  <c r="F13" i="8"/>
  <c r="F14" i="8"/>
  <c r="C7" i="6"/>
  <c r="C9" i="6" s="1"/>
  <c r="C22" i="6" s="1"/>
  <c r="D10" i="3"/>
  <c r="D22" i="3"/>
  <c r="D23" i="3"/>
  <c r="C23" i="6" l="1"/>
  <c r="C26" i="6"/>
  <c r="C27" i="6" l="1"/>
  <c r="C29" i="6"/>
  <c r="C30" i="6" l="1"/>
  <c r="C31" i="6"/>
  <c r="D7" i="6"/>
  <c r="D9" i="6" s="1"/>
  <c r="D22" i="6" s="1"/>
  <c r="E10" i="3"/>
  <c r="E11" i="3"/>
  <c r="E22" i="3"/>
  <c r="E23" i="3" s="1"/>
  <c r="D23" i="6" l="1"/>
  <c r="D26" i="6"/>
  <c r="D27" i="6" l="1"/>
  <c r="D29" i="6"/>
  <c r="D30" i="6" l="1"/>
  <c r="D31" i="6"/>
  <c r="E7" i="6"/>
  <c r="F7" i="6"/>
  <c r="G7" i="6"/>
  <c r="E9" i="6"/>
  <c r="E22" i="6" s="1"/>
  <c r="F9" i="6"/>
  <c r="F22" i="6" s="1"/>
  <c r="G9" i="6"/>
  <c r="G22" i="6" s="1"/>
  <c r="F10" i="3"/>
  <c r="F11" i="3" s="1"/>
  <c r="G10" i="3"/>
  <c r="G11" i="3" s="1"/>
  <c r="H10" i="3"/>
  <c r="H11" i="3" s="1"/>
  <c r="H22" i="3"/>
  <c r="H23" i="3" s="1"/>
  <c r="G35" i="3"/>
  <c r="H35" i="3"/>
  <c r="N35" i="3"/>
  <c r="I35" i="3" s="1"/>
  <c r="AA6" i="6" l="1"/>
  <c r="G26" i="6"/>
  <c r="G23" i="6"/>
  <c r="E26" i="6"/>
  <c r="E23" i="6"/>
  <c r="F23" i="6"/>
  <c r="F26" i="6"/>
  <c r="G22" i="3"/>
  <c r="G23" i="3" s="1"/>
  <c r="F22" i="3"/>
  <c r="F23" i="3" s="1"/>
  <c r="I8" i="3"/>
  <c r="J35" i="3"/>
  <c r="E27" i="6" l="1"/>
  <c r="E29" i="6"/>
  <c r="F27" i="6"/>
  <c r="F29" i="6"/>
  <c r="G29" i="6"/>
  <c r="G27" i="6"/>
  <c r="J8" i="3"/>
  <c r="K35" i="3"/>
  <c r="I7" i="6"/>
  <c r="I9" i="6" s="1"/>
  <c r="F21" i="5" s="1"/>
  <c r="I10" i="3"/>
  <c r="F30" i="6" l="1"/>
  <c r="F31" i="6"/>
  <c r="E30" i="6"/>
  <c r="E31" i="6" s="1"/>
  <c r="G30" i="6"/>
  <c r="G31" i="6" s="1"/>
  <c r="I11" i="3"/>
  <c r="I22" i="3"/>
  <c r="I23" i="3" s="1"/>
  <c r="B6" i="5"/>
  <c r="B6" i="8" s="1"/>
  <c r="I10" i="6"/>
  <c r="I22" i="6"/>
  <c r="AB6" i="6" s="1"/>
  <c r="K8" i="3"/>
  <c r="L35" i="3"/>
  <c r="J7" i="6"/>
  <c r="J9" i="6" s="1"/>
  <c r="J21" i="5" s="1"/>
  <c r="J10" i="3"/>
  <c r="I42" i="6" l="1"/>
  <c r="F15" i="11" s="1"/>
  <c r="Q3" i="7"/>
  <c r="Q10" i="7" s="1"/>
  <c r="Q17" i="7" s="1"/>
  <c r="Q24" i="7" s="1"/>
  <c r="Q31" i="7" s="1"/>
  <c r="Q38" i="7" s="1"/>
  <c r="Q45" i="7" s="1"/>
  <c r="J11" i="3"/>
  <c r="J22" i="3"/>
  <c r="J23" i="3" s="1"/>
  <c r="F6" i="5"/>
  <c r="J10" i="6"/>
  <c r="J22" i="6"/>
  <c r="L8" i="3"/>
  <c r="M35" i="3"/>
  <c r="M8" i="3" s="1"/>
  <c r="K7" i="6"/>
  <c r="K9" i="6" s="1"/>
  <c r="K10" i="3"/>
  <c r="D42" i="5"/>
  <c r="I23" i="6"/>
  <c r="I26" i="6"/>
  <c r="I3" i="11"/>
  <c r="C8" i="8"/>
  <c r="G5" i="9"/>
  <c r="B7" i="5"/>
  <c r="D5" i="9"/>
  <c r="Q4" i="7" l="1"/>
  <c r="Q11" i="7" s="1"/>
  <c r="Q18" i="7" s="1"/>
  <c r="Q25" i="7" s="1"/>
  <c r="Q32" i="7" s="1"/>
  <c r="Q39" i="7" s="1"/>
  <c r="Q46" i="7" s="1"/>
  <c r="Q67" i="7" s="1"/>
  <c r="AC6" i="6"/>
  <c r="Q66" i="7"/>
  <c r="Q52" i="7"/>
  <c r="Q59" i="7" s="1"/>
  <c r="F3" i="11"/>
  <c r="I4" i="11"/>
  <c r="I27" i="6"/>
  <c r="I29" i="6"/>
  <c r="F13" i="5"/>
  <c r="B14" i="5"/>
  <c r="B16" i="5" s="1"/>
  <c r="D9" i="9"/>
  <c r="K11" i="3"/>
  <c r="K22" i="3"/>
  <c r="J6" i="5"/>
  <c r="N21" i="5"/>
  <c r="K10" i="6"/>
  <c r="K22" i="6"/>
  <c r="M7" i="6"/>
  <c r="M9" i="6" s="1"/>
  <c r="M10" i="3"/>
  <c r="L7" i="6"/>
  <c r="L9" i="6" s="1"/>
  <c r="L10" i="3"/>
  <c r="J23" i="6"/>
  <c r="J26" i="6"/>
  <c r="D8" i="8"/>
  <c r="L5" i="9"/>
  <c r="F7" i="5"/>
  <c r="C6" i="8"/>
  <c r="I5" i="9"/>
  <c r="Q53" i="7" l="1"/>
  <c r="Q60" i="7" s="1"/>
  <c r="Q5" i="7"/>
  <c r="Q12" i="7" s="1"/>
  <c r="Q19" i="7" s="1"/>
  <c r="Q26" i="7" s="1"/>
  <c r="Q33" i="7" s="1"/>
  <c r="Q40" i="7" s="1"/>
  <c r="Q47" i="7" s="1"/>
  <c r="AD6" i="6"/>
  <c r="Q68" i="7"/>
  <c r="Q54" i="7"/>
  <c r="Q61" i="7" s="1"/>
  <c r="K23" i="3"/>
  <c r="J27" i="6"/>
  <c r="J29" i="6"/>
  <c r="L11" i="3"/>
  <c r="L22" i="3"/>
  <c r="L23" i="3" s="1"/>
  <c r="N6" i="5"/>
  <c r="L10" i="6"/>
  <c r="L22" i="6"/>
  <c r="M11" i="3"/>
  <c r="M22" i="3"/>
  <c r="M23" i="3" s="1"/>
  <c r="R6" i="5"/>
  <c r="R21" i="5"/>
  <c r="M10" i="6"/>
  <c r="M22" i="6"/>
  <c r="AF6" i="6" s="1"/>
  <c r="K23" i="6"/>
  <c r="K26" i="6"/>
  <c r="E8" i="8"/>
  <c r="Q5" i="9"/>
  <c r="J7" i="5"/>
  <c r="D6" i="8"/>
  <c r="N5" i="9"/>
  <c r="J13" i="5"/>
  <c r="F14" i="5"/>
  <c r="F16" i="5" s="1"/>
  <c r="I8" i="9"/>
  <c r="I9" i="9" s="1"/>
  <c r="I30" i="6"/>
  <c r="I31" i="6"/>
  <c r="B31" i="5" s="1"/>
  <c r="F4" i="11"/>
  <c r="I5" i="11"/>
  <c r="D3" i="7"/>
  <c r="P3" i="7" s="1"/>
  <c r="R3" i="7" s="1"/>
  <c r="V3" i="7" s="1"/>
  <c r="H3" i="11"/>
  <c r="K3" i="11"/>
  <c r="Q7" i="7" l="1"/>
  <c r="Q14" i="7" s="1"/>
  <c r="Q21" i="7" s="1"/>
  <c r="Q28" i="7" s="1"/>
  <c r="Q35" i="7" s="1"/>
  <c r="Q42" i="7" s="1"/>
  <c r="Q49" i="7" s="1"/>
  <c r="Q6" i="7"/>
  <c r="Q13" i="7" s="1"/>
  <c r="Q20" i="7" s="1"/>
  <c r="Q27" i="7" s="1"/>
  <c r="Q34" i="7" s="1"/>
  <c r="Q41" i="7" s="1"/>
  <c r="Q48" i="7" s="1"/>
  <c r="Q69" i="7" s="1"/>
  <c r="AE6" i="6"/>
  <c r="Q70" i="7"/>
  <c r="Q56" i="7"/>
  <c r="Q63" i="7" s="1"/>
  <c r="Q55" i="7"/>
  <c r="Q62" i="7" s="1"/>
  <c r="E3" i="7"/>
  <c r="H3" i="7" s="1"/>
  <c r="E4" i="7"/>
  <c r="E5" i="7"/>
  <c r="E6" i="7"/>
  <c r="E7" i="7"/>
  <c r="F5" i="11"/>
  <c r="I6" i="11"/>
  <c r="D10" i="7"/>
  <c r="P10" i="7" s="1"/>
  <c r="R10" i="7" s="1"/>
  <c r="V10" i="7" s="1"/>
  <c r="H4" i="11"/>
  <c r="K4" i="11"/>
  <c r="B3" i="8"/>
  <c r="B10" i="8" s="1"/>
  <c r="T3" i="7" a="1"/>
  <c r="T3" i="7" s="1"/>
  <c r="W3" i="7" s="1"/>
  <c r="N13" i="5"/>
  <c r="J14" i="5"/>
  <c r="J16" i="5" s="1"/>
  <c r="N8" i="9"/>
  <c r="N9" i="9" s="1"/>
  <c r="K27" i="6"/>
  <c r="K29" i="6"/>
  <c r="M23" i="6"/>
  <c r="M26" i="6"/>
  <c r="J3" i="11"/>
  <c r="F8" i="8"/>
  <c r="V5" i="9"/>
  <c r="R7" i="5"/>
  <c r="F6" i="8"/>
  <c r="X5" i="9"/>
  <c r="L23" i="6"/>
  <c r="L26" i="6"/>
  <c r="N7" i="5"/>
  <c r="E6" i="8"/>
  <c r="S5" i="9"/>
  <c r="J30" i="6"/>
  <c r="J31" i="6" s="1"/>
  <c r="F31" i="5" s="1"/>
  <c r="C3" i="8" l="1"/>
  <c r="C10" i="8" s="1"/>
  <c r="L27" i="6"/>
  <c r="L29" i="6"/>
  <c r="L3" i="11"/>
  <c r="J4" i="11"/>
  <c r="M27" i="6"/>
  <c r="M29" i="6"/>
  <c r="K30" i="6"/>
  <c r="K31" i="6" s="1"/>
  <c r="J31" i="5" s="1"/>
  <c r="R13" i="5"/>
  <c r="N14" i="5"/>
  <c r="N16" i="5" s="1"/>
  <c r="S8" i="9"/>
  <c r="S9" i="9" s="1"/>
  <c r="B7" i="9"/>
  <c r="E10" i="7"/>
  <c r="H10" i="7" s="1"/>
  <c r="E11" i="7"/>
  <c r="E12" i="7"/>
  <c r="E13" i="7"/>
  <c r="E14" i="7"/>
  <c r="F6" i="11"/>
  <c r="I7" i="11"/>
  <c r="D17" i="7"/>
  <c r="P17" i="7" s="1"/>
  <c r="H5" i="11"/>
  <c r="K5" i="11"/>
  <c r="T7" i="7"/>
  <c r="V7" i="7" s="1"/>
  <c r="T6" i="7"/>
  <c r="V6" i="7" s="1"/>
  <c r="T5" i="7"/>
  <c r="V5" i="7" s="1"/>
  <c r="T4" i="7"/>
  <c r="V4" i="7" s="1"/>
  <c r="G3" i="7"/>
  <c r="F3" i="7" s="1"/>
  <c r="D4" i="7"/>
  <c r="H4" i="7" l="1"/>
  <c r="P4" i="7"/>
  <c r="R4" i="7" s="1"/>
  <c r="W4" i="7" s="1"/>
  <c r="B25" i="5"/>
  <c r="R17" i="7"/>
  <c r="V17" i="7" s="1"/>
  <c r="G4" i="7"/>
  <c r="F4" i="7" s="1"/>
  <c r="D5" i="7"/>
  <c r="E17" i="7"/>
  <c r="E18" i="7"/>
  <c r="E19" i="7"/>
  <c r="E20" i="7"/>
  <c r="E21" i="7"/>
  <c r="F7" i="11"/>
  <c r="I8" i="11"/>
  <c r="D24" i="7"/>
  <c r="P24" i="7" s="1"/>
  <c r="H6" i="11"/>
  <c r="K6" i="11"/>
  <c r="T14" i="7"/>
  <c r="W14" i="7" s="1"/>
  <c r="T13" i="7"/>
  <c r="W13" i="7" s="1"/>
  <c r="T12" i="7"/>
  <c r="W12" i="7" s="1"/>
  <c r="T11" i="7"/>
  <c r="W11" i="7" s="1"/>
  <c r="G10" i="7"/>
  <c r="F10" i="7" s="1"/>
  <c r="D11" i="7"/>
  <c r="T10" i="7"/>
  <c r="W10" i="7" s="1"/>
  <c r="R14" i="5"/>
  <c r="R16" i="5" s="1"/>
  <c r="X8" i="9"/>
  <c r="X9" i="9" s="1"/>
  <c r="D3" i="8"/>
  <c r="D10" i="8" s="1"/>
  <c r="M30" i="6"/>
  <c r="M31" i="6"/>
  <c r="F3" i="8" s="1"/>
  <c r="F10" i="8" s="1"/>
  <c r="L4" i="11"/>
  <c r="J5" i="11"/>
  <c r="L30" i="6"/>
  <c r="L31" i="6"/>
  <c r="E3" i="8" s="1"/>
  <c r="E10" i="8" s="1"/>
  <c r="G7" i="9"/>
  <c r="B16" i="8" l="1"/>
  <c r="B18" i="8" s="1"/>
  <c r="F16" i="8"/>
  <c r="F18" i="8" s="1"/>
  <c r="F20" i="8" s="1"/>
  <c r="E16" i="8"/>
  <c r="E18" i="8" s="1"/>
  <c r="E20" i="8" s="1"/>
  <c r="D16" i="8"/>
  <c r="D18" i="8" s="1"/>
  <c r="D20" i="8" s="1"/>
  <c r="C16" i="8"/>
  <c r="C18" i="8" s="1"/>
  <c r="C20" i="8" s="1"/>
  <c r="H17" i="7"/>
  <c r="G17" i="7" s="1"/>
  <c r="F17" i="7" s="1"/>
  <c r="R24" i="7"/>
  <c r="V24" i="7" s="1"/>
  <c r="H11" i="7"/>
  <c r="D12" i="7" s="1"/>
  <c r="P11" i="7"/>
  <c r="R11" i="7" s="1"/>
  <c r="V11" i="7" s="1"/>
  <c r="H5" i="7"/>
  <c r="P5" i="7"/>
  <c r="R5" i="7" s="1"/>
  <c r="W5" i="7" s="1"/>
  <c r="B4" i="9"/>
  <c r="B27" i="5"/>
  <c r="B30" i="5" s="1"/>
  <c r="L5" i="11"/>
  <c r="J6" i="11"/>
  <c r="N31" i="5"/>
  <c r="L7" i="9"/>
  <c r="E24" i="7"/>
  <c r="H24" i="7" s="1"/>
  <c r="E25" i="7"/>
  <c r="E26" i="7"/>
  <c r="E27" i="7"/>
  <c r="E28" i="7"/>
  <c r="F8" i="11"/>
  <c r="D38" i="7" s="1"/>
  <c r="H38" i="7" s="1"/>
  <c r="I9" i="11"/>
  <c r="D31" i="7"/>
  <c r="P31" i="7" s="1"/>
  <c r="R31" i="7" s="1"/>
  <c r="V31" i="7" s="1"/>
  <c r="H7" i="11"/>
  <c r="K7" i="11"/>
  <c r="T21" i="7"/>
  <c r="T20" i="7"/>
  <c r="T19" i="7"/>
  <c r="T18" i="7"/>
  <c r="T17" i="7"/>
  <c r="G5" i="7"/>
  <c r="D6" i="7"/>
  <c r="B20" i="8" l="1"/>
  <c r="B22" i="8" s="1"/>
  <c r="C21" i="8" s="1"/>
  <c r="C22" i="8" s="1"/>
  <c r="D21" i="8" s="1"/>
  <c r="D22" i="8" s="1"/>
  <c r="E21" i="8" s="1"/>
  <c r="E22" i="8" s="1"/>
  <c r="G11" i="7"/>
  <c r="F11" i="7" s="1"/>
  <c r="D18" i="7"/>
  <c r="P18" i="7" s="1"/>
  <c r="H6" i="7"/>
  <c r="G6" i="7" s="1"/>
  <c r="F6" i="7" s="1"/>
  <c r="P6" i="7"/>
  <c r="R6" i="7" s="1"/>
  <c r="W6" i="7" s="1"/>
  <c r="H18" i="7"/>
  <c r="G18" i="7" s="1"/>
  <c r="F18" i="7" s="1"/>
  <c r="H12" i="7"/>
  <c r="G12" i="7" s="1"/>
  <c r="P12" i="7"/>
  <c r="R12" i="7" s="1"/>
  <c r="V12" i="7" s="1"/>
  <c r="B33" i="5"/>
  <c r="B6" i="9"/>
  <c r="B9" i="9" s="1"/>
  <c r="F5" i="7"/>
  <c r="E31" i="7"/>
  <c r="H31" i="7"/>
  <c r="E32" i="7"/>
  <c r="E33" i="7"/>
  <c r="E34" i="7"/>
  <c r="E35" i="7"/>
  <c r="F9" i="11"/>
  <c r="D39" i="7" s="1"/>
  <c r="H39" i="7" s="1"/>
  <c r="I10" i="11"/>
  <c r="P38" i="7"/>
  <c r="R38" i="7" s="1"/>
  <c r="V38" i="7" s="1"/>
  <c r="H8" i="11"/>
  <c r="K8" i="11"/>
  <c r="T28" i="7"/>
  <c r="W28" i="7" s="1"/>
  <c r="T27" i="7"/>
  <c r="W27" i="7" s="1"/>
  <c r="W26" i="7"/>
  <c r="T25" i="7"/>
  <c r="W25" i="7" s="1"/>
  <c r="G24" i="7"/>
  <c r="D25" i="7"/>
  <c r="F24" i="7"/>
  <c r="T24" i="7"/>
  <c r="W24" i="7" s="1"/>
  <c r="R31" i="5"/>
  <c r="Q7" i="9"/>
  <c r="L6" i="11"/>
  <c r="J7" i="11"/>
  <c r="D7" i="7" l="1"/>
  <c r="D19" i="7"/>
  <c r="P19" i="7" s="1"/>
  <c r="F21" i="8"/>
  <c r="F22" i="8" s="1"/>
  <c r="D13" i="7"/>
  <c r="H13" i="7" s="1"/>
  <c r="P13" i="7"/>
  <c r="R13" i="7" s="1"/>
  <c r="V13" i="7" s="1"/>
  <c r="H25" i="7"/>
  <c r="G25" i="7" s="1"/>
  <c r="F25" i="7" s="1"/>
  <c r="P25" i="7"/>
  <c r="H19" i="7"/>
  <c r="D20" i="7" s="1"/>
  <c r="H7" i="7"/>
  <c r="G7" i="7" s="1"/>
  <c r="P7" i="7"/>
  <c r="R7" i="7" s="1"/>
  <c r="F25" i="5"/>
  <c r="R18" i="7"/>
  <c r="V18" i="7" s="1"/>
  <c r="L7" i="11"/>
  <c r="J8" i="11"/>
  <c r="V7" i="9"/>
  <c r="F12" i="7"/>
  <c r="E40" i="7"/>
  <c r="E41" i="7"/>
  <c r="E42" i="7"/>
  <c r="F10" i="11"/>
  <c r="D40" i="7" s="1"/>
  <c r="H40" i="7" s="1"/>
  <c r="I11" i="11"/>
  <c r="D45" i="7"/>
  <c r="P45" i="7" s="1"/>
  <c r="R45" i="7" s="1"/>
  <c r="V45" i="7" s="1"/>
  <c r="H9" i="11"/>
  <c r="K9" i="11"/>
  <c r="T35" i="7"/>
  <c r="W35" i="7" s="1"/>
  <c r="T34" i="7"/>
  <c r="W34" i="7" s="1"/>
  <c r="T33" i="7"/>
  <c r="W33" i="7" s="1"/>
  <c r="T32" i="7"/>
  <c r="W32" i="7" s="1"/>
  <c r="G31" i="7"/>
  <c r="F31" i="7" s="1"/>
  <c r="D32" i="7"/>
  <c r="T31" i="7"/>
  <c r="W31" i="7" s="1"/>
  <c r="G13" i="7" l="1"/>
  <c r="F13" i="7" s="1"/>
  <c r="D14" i="7"/>
  <c r="G19" i="7"/>
  <c r="F19" i="7" s="1"/>
  <c r="D26" i="7"/>
  <c r="P26" i="7" s="1"/>
  <c r="R26" i="7" s="1"/>
  <c r="V26" i="7" s="1"/>
  <c r="R25" i="7"/>
  <c r="V25" i="7" s="1"/>
  <c r="H20" i="7"/>
  <c r="G20" i="7" s="1"/>
  <c r="F20" i="7" s="1"/>
  <c r="P20" i="7"/>
  <c r="H32" i="7"/>
  <c r="G32" i="7" s="1"/>
  <c r="F32" i="7" s="1"/>
  <c r="P32" i="7"/>
  <c r="R32" i="7" s="1"/>
  <c r="V32" i="7" s="1"/>
  <c r="H14" i="7"/>
  <c r="G14" i="7" s="1"/>
  <c r="P14" i="7"/>
  <c r="R14" i="7" s="1"/>
  <c r="V14" i="7" s="1"/>
  <c r="G4" i="9"/>
  <c r="F27" i="5"/>
  <c r="F30" i="5" s="1"/>
  <c r="F7" i="7"/>
  <c r="G3" i="11"/>
  <c r="M3" i="11" s="1"/>
  <c r="J25" i="5"/>
  <c r="R19" i="7"/>
  <c r="V19" i="7" s="1"/>
  <c r="H45" i="7"/>
  <c r="E47" i="7"/>
  <c r="E48" i="7"/>
  <c r="E49" i="7"/>
  <c r="F11" i="11"/>
  <c r="D41" i="7" s="1"/>
  <c r="H41" i="7" s="1"/>
  <c r="I12" i="11"/>
  <c r="F12" i="11" s="1"/>
  <c r="D42" i="7" s="1"/>
  <c r="H42" i="7" s="1"/>
  <c r="D52" i="7"/>
  <c r="H10" i="11"/>
  <c r="K10" i="11"/>
  <c r="G38" i="7"/>
  <c r="L8" i="11"/>
  <c r="J9" i="11"/>
  <c r="D33" i="7" l="1"/>
  <c r="H26" i="7"/>
  <c r="G26" i="7" s="1"/>
  <c r="D21" i="7"/>
  <c r="D27" i="7"/>
  <c r="P52" i="7"/>
  <c r="R52" i="7" s="1"/>
  <c r="V52" i="7" s="1"/>
  <c r="H52" i="7"/>
  <c r="H27" i="7"/>
  <c r="D28" i="7" s="1"/>
  <c r="P27" i="7"/>
  <c r="R27" i="7" s="1"/>
  <c r="V27" i="7" s="1"/>
  <c r="P39" i="7"/>
  <c r="R39" i="7" s="1"/>
  <c r="V39" i="7" s="1"/>
  <c r="H33" i="7"/>
  <c r="P33" i="7"/>
  <c r="R33" i="7" s="1"/>
  <c r="V33" i="7" s="1"/>
  <c r="H21" i="7"/>
  <c r="G21" i="7" s="1"/>
  <c r="P21" i="7"/>
  <c r="L4" i="9"/>
  <c r="J27" i="5"/>
  <c r="J30" i="5" s="1"/>
  <c r="N3" i="11"/>
  <c r="O3" i="11"/>
  <c r="F33" i="5"/>
  <c r="G6" i="9"/>
  <c r="G9" i="9" s="1"/>
  <c r="F14" i="7"/>
  <c r="G4" i="11"/>
  <c r="M4" i="11" s="1"/>
  <c r="N25" i="5"/>
  <c r="R20" i="7"/>
  <c r="V20" i="7" s="1"/>
  <c r="L9" i="11"/>
  <c r="J10" i="11"/>
  <c r="L10" i="11" s="1"/>
  <c r="F26" i="7"/>
  <c r="G39" i="7"/>
  <c r="T39" i="7" s="1"/>
  <c r="W39" i="7" s="1"/>
  <c r="T38" i="7"/>
  <c r="W38" i="7" s="1"/>
  <c r="E54" i="7"/>
  <c r="E55" i="7"/>
  <c r="E56" i="7"/>
  <c r="D66" i="7"/>
  <c r="P66" i="7" s="1"/>
  <c r="R66" i="7" s="1"/>
  <c r="V66" i="7" s="1"/>
  <c r="H12" i="11"/>
  <c r="K12" i="11"/>
  <c r="D59" i="7"/>
  <c r="H11" i="11"/>
  <c r="K11" i="11"/>
  <c r="G45" i="7"/>
  <c r="D46" i="7"/>
  <c r="G33" i="7"/>
  <c r="D34" i="7"/>
  <c r="G27" i="7" l="1"/>
  <c r="F27" i="7" s="1"/>
  <c r="P59" i="7"/>
  <c r="R59" i="7" s="1"/>
  <c r="V59" i="7" s="1"/>
  <c r="H59" i="7"/>
  <c r="G59" i="7" s="1"/>
  <c r="H34" i="7"/>
  <c r="P34" i="7"/>
  <c r="R34" i="7" s="1"/>
  <c r="V34" i="7" s="1"/>
  <c r="H46" i="7"/>
  <c r="D47" i="7" s="1"/>
  <c r="P46" i="7"/>
  <c r="R46" i="7" s="1"/>
  <c r="V46" i="7" s="1"/>
  <c r="P40" i="7"/>
  <c r="R40" i="7" s="1"/>
  <c r="V40" i="7" s="1"/>
  <c r="H28" i="7"/>
  <c r="G28" i="7" s="1"/>
  <c r="P28" i="7"/>
  <c r="R28" i="7" s="1"/>
  <c r="V28" i="7" s="1"/>
  <c r="Q4" i="9"/>
  <c r="N27" i="5"/>
  <c r="N30" i="5" s="1"/>
  <c r="N4" i="11"/>
  <c r="O4" i="11"/>
  <c r="J33" i="5"/>
  <c r="L6" i="9"/>
  <c r="L9" i="9" s="1"/>
  <c r="R25" i="5"/>
  <c r="R21" i="7"/>
  <c r="V21" i="7" s="1"/>
  <c r="F21" i="7"/>
  <c r="G5" i="11"/>
  <c r="M5" i="11" s="1"/>
  <c r="G34" i="7"/>
  <c r="F34" i="7" s="1"/>
  <c r="D35" i="7"/>
  <c r="F33" i="7"/>
  <c r="T45" i="7"/>
  <c r="W45" i="7" s="1"/>
  <c r="E61" i="7"/>
  <c r="E62" i="7"/>
  <c r="E63" i="7"/>
  <c r="H66" i="7"/>
  <c r="E68" i="7"/>
  <c r="E69" i="7"/>
  <c r="E70" i="7"/>
  <c r="G52" i="7"/>
  <c r="D53" i="7"/>
  <c r="G40" i="7"/>
  <c r="J11" i="11"/>
  <c r="G46" i="7" l="1"/>
  <c r="T46" i="7" s="1"/>
  <c r="W46" i="7" s="1"/>
  <c r="P41" i="7"/>
  <c r="R41" i="7" s="1"/>
  <c r="V41" i="7" s="1"/>
  <c r="H53" i="7"/>
  <c r="P53" i="7"/>
  <c r="R53" i="7" s="1"/>
  <c r="V53" i="7" s="1"/>
  <c r="H47" i="7"/>
  <c r="G47" i="7" s="1"/>
  <c r="P47" i="7"/>
  <c r="R47" i="7" s="1"/>
  <c r="V47" i="7" s="1"/>
  <c r="H35" i="7"/>
  <c r="G35" i="7" s="1"/>
  <c r="P35" i="7"/>
  <c r="R35" i="7" s="1"/>
  <c r="V35" i="7" s="1"/>
  <c r="N5" i="11"/>
  <c r="O5" i="11"/>
  <c r="V4" i="9"/>
  <c r="R27" i="5"/>
  <c r="R30" i="5" s="1"/>
  <c r="N33" i="5"/>
  <c r="Q6" i="9"/>
  <c r="Q9" i="9" s="1"/>
  <c r="F28" i="7"/>
  <c r="G6" i="11"/>
  <c r="M6" i="11" s="1"/>
  <c r="L11" i="11"/>
  <c r="J12" i="11"/>
  <c r="L12" i="11" s="1"/>
  <c r="G41" i="7"/>
  <c r="F41" i="7" s="1"/>
  <c r="T41" i="7" s="1"/>
  <c r="W41" i="7" s="1"/>
  <c r="F40" i="7"/>
  <c r="T40" i="7" s="1"/>
  <c r="W40" i="7" s="1"/>
  <c r="G53" i="7"/>
  <c r="T53" i="7" s="1"/>
  <c r="W53" i="7" s="1"/>
  <c r="D54" i="7"/>
  <c r="T52" i="7"/>
  <c r="W52" i="7" s="1"/>
  <c r="G66" i="7"/>
  <c r="D67" i="7"/>
  <c r="D60" i="7"/>
  <c r="H60" i="7" s="1"/>
  <c r="D48" i="7" l="1"/>
  <c r="H48" i="7"/>
  <c r="G48" i="7" s="1"/>
  <c r="F48" i="7" s="1"/>
  <c r="T48" i="7" s="1"/>
  <c r="W48" i="7" s="1"/>
  <c r="P48" i="7"/>
  <c r="R48" i="7" s="1"/>
  <c r="V48" i="7" s="1"/>
  <c r="P60" i="7"/>
  <c r="R60" i="7" s="1"/>
  <c r="V60" i="7" s="1"/>
  <c r="H67" i="7"/>
  <c r="P67" i="7"/>
  <c r="R67" i="7" s="1"/>
  <c r="V67" i="7" s="1"/>
  <c r="H54" i="7"/>
  <c r="G54" i="7" s="1"/>
  <c r="P54" i="7"/>
  <c r="R54" i="7" s="1"/>
  <c r="V54" i="7" s="1"/>
  <c r="G42" i="7"/>
  <c r="P42" i="7"/>
  <c r="R42" i="7" s="1"/>
  <c r="V42" i="7" s="1"/>
  <c r="N6" i="11"/>
  <c r="O6" i="11"/>
  <c r="R33" i="5"/>
  <c r="V6" i="9"/>
  <c r="V9" i="9" s="1"/>
  <c r="F35" i="7"/>
  <c r="G7" i="11"/>
  <c r="M7" i="11" s="1"/>
  <c r="F47" i="7"/>
  <c r="T47" i="7" s="1"/>
  <c r="W47" i="7" s="1"/>
  <c r="G60" i="7"/>
  <c r="T60" i="7" s="1"/>
  <c r="W60" i="7" s="1"/>
  <c r="D61" i="7"/>
  <c r="T59" i="7"/>
  <c r="W59" i="7" s="1"/>
  <c r="G67" i="7"/>
  <c r="T67" i="7" s="1"/>
  <c r="W67" i="7" s="1"/>
  <c r="D68" i="7"/>
  <c r="T66" i="7"/>
  <c r="W66" i="7" s="1"/>
  <c r="D49" i="7" l="1"/>
  <c r="D55" i="7"/>
  <c r="P61" i="7"/>
  <c r="R61" i="7" s="1"/>
  <c r="V61" i="7" s="1"/>
  <c r="H61" i="7"/>
  <c r="G61" i="7" s="1"/>
  <c r="H55" i="7"/>
  <c r="D56" i="7" s="1"/>
  <c r="P55" i="7"/>
  <c r="R55" i="7" s="1"/>
  <c r="V55" i="7" s="1"/>
  <c r="H68" i="7"/>
  <c r="G68" i="7" s="1"/>
  <c r="P68" i="7"/>
  <c r="R68" i="7" s="1"/>
  <c r="V68" i="7" s="1"/>
  <c r="H49" i="7"/>
  <c r="G49" i="7" s="1"/>
  <c r="P49" i="7"/>
  <c r="R49" i="7" s="1"/>
  <c r="V49" i="7" s="1"/>
  <c r="N7" i="11"/>
  <c r="O7" i="11"/>
  <c r="F42" i="7"/>
  <c r="T42" i="7" s="1"/>
  <c r="W42" i="7" s="1"/>
  <c r="G8" i="11"/>
  <c r="M8" i="11" s="1"/>
  <c r="F54" i="7"/>
  <c r="T54" i="7" s="1"/>
  <c r="W54" i="7" s="1"/>
  <c r="G55" i="7" l="1"/>
  <c r="F55" i="7" s="1"/>
  <c r="T55" i="7" s="1"/>
  <c r="W55" i="7" s="1"/>
  <c r="D62" i="7"/>
  <c r="D69" i="7"/>
  <c r="H62" i="7"/>
  <c r="P62" i="7"/>
  <c r="R62" i="7" s="1"/>
  <c r="V62" i="7" s="1"/>
  <c r="H69" i="7"/>
  <c r="G69" i="7" s="1"/>
  <c r="F69" i="7" s="1"/>
  <c r="T69" i="7" s="1"/>
  <c r="W69" i="7" s="1"/>
  <c r="P69" i="7"/>
  <c r="R69" i="7" s="1"/>
  <c r="V69" i="7" s="1"/>
  <c r="H56" i="7"/>
  <c r="G56" i="7" s="1"/>
  <c r="P56" i="7"/>
  <c r="R56" i="7" s="1"/>
  <c r="V56" i="7" s="1"/>
  <c r="N8" i="11"/>
  <c r="O8" i="11"/>
  <c r="F49" i="7"/>
  <c r="T49" i="7" s="1"/>
  <c r="W49" i="7" s="1"/>
  <c r="G9" i="11"/>
  <c r="M9" i="11" s="1"/>
  <c r="G62" i="7"/>
  <c r="F62" i="7" s="1"/>
  <c r="T62" i="7" s="1"/>
  <c r="W62" i="7" s="1"/>
  <c r="D63" i="7"/>
  <c r="F61" i="7"/>
  <c r="T61" i="7" s="1"/>
  <c r="W61" i="7" s="1"/>
  <c r="F68" i="7"/>
  <c r="T68" i="7" s="1"/>
  <c r="W68" i="7" s="1"/>
  <c r="D70" i="7" l="1"/>
  <c r="H70" i="7"/>
  <c r="G70" i="7" s="1"/>
  <c r="P70" i="7"/>
  <c r="R70" i="7" s="1"/>
  <c r="V70" i="7" s="1"/>
  <c r="H63" i="7"/>
  <c r="G63" i="7" s="1"/>
  <c r="P63" i="7"/>
  <c r="R63" i="7" s="1"/>
  <c r="V63" i="7" s="1"/>
  <c r="N9" i="11"/>
  <c r="O9" i="11"/>
  <c r="F56" i="7"/>
  <c r="T56" i="7" s="1"/>
  <c r="W56" i="7" s="1"/>
  <c r="G10" i="11"/>
  <c r="M10" i="11" s="1"/>
  <c r="N10" i="11" l="1"/>
  <c r="O10" i="11"/>
  <c r="F63" i="7"/>
  <c r="T63" i="7" s="1"/>
  <c r="W63" i="7" s="1"/>
  <c r="G11" i="11"/>
  <c r="M11" i="11" s="1"/>
  <c r="F70" i="7"/>
  <c r="T70" i="7" s="1"/>
  <c r="W70" i="7" s="1"/>
  <c r="G12" i="11"/>
  <c r="M12" i="11" s="1"/>
  <c r="N12" i="11" l="1"/>
  <c r="O12" i="11"/>
  <c r="N11" i="11"/>
  <c r="O1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Macmillan</author>
  </authors>
  <commentList>
    <comment ref="B13" authorId="0" shapeId="0" xr:uid="{AB10E53C-D6BC-470B-85BE-98CB0518F505}">
      <text>
        <r>
          <rPr>
            <sz val="11"/>
            <color rgb="FF000000"/>
            <rFont val="Calibri"/>
            <family val="2"/>
          </rPr>
          <t xml:space="preserve">Jeremy Macmillan:
</t>
        </r>
        <r>
          <rPr>
            <sz val="11"/>
            <color rgb="FF000000"/>
            <rFont val="Calibri"/>
            <family val="2"/>
          </rPr>
          <t>Estimate based on acquisition of $28M</t>
        </r>
      </text>
    </comment>
    <comment ref="F13" authorId="0" shapeId="0" xr:uid="{25497DE0-C33D-48B5-96C0-8394FCC15A0D}">
      <text>
        <r>
          <rPr>
            <sz val="11"/>
            <color rgb="FF000000"/>
            <rFont val="Calibri"/>
            <family val="2"/>
          </rPr>
          <t xml:space="preserve">Jeremy Macmillan:
</t>
        </r>
        <r>
          <rPr>
            <sz val="11"/>
            <color rgb="FF000000"/>
            <rFont val="Calibri"/>
            <family val="2"/>
          </rPr>
          <t>Estimate based on acquisition of $28M</t>
        </r>
      </text>
    </comment>
    <comment ref="J13" authorId="0" shapeId="0" xr:uid="{61D58B85-A765-4CFB-9A8B-47CF325D8A49}">
      <text>
        <r>
          <rPr>
            <sz val="11"/>
            <color rgb="FF000000"/>
            <rFont val="Calibri"/>
            <family val="2"/>
          </rPr>
          <t xml:space="preserve">Jeremy Macmillan:
</t>
        </r>
        <r>
          <rPr>
            <sz val="11"/>
            <color rgb="FF000000"/>
            <rFont val="Calibri"/>
            <family val="2"/>
          </rPr>
          <t>Estimate based on acquisition of $28M</t>
        </r>
      </text>
    </comment>
    <comment ref="N13" authorId="0" shapeId="0" xr:uid="{61C2B129-8D8C-4E91-AE3B-F1822BE06A6A}">
      <text>
        <r>
          <rPr>
            <sz val="11"/>
            <color rgb="FF000000"/>
            <rFont val="Calibri"/>
            <family val="2"/>
          </rPr>
          <t xml:space="preserve">Jeremy Macmillan:
</t>
        </r>
        <r>
          <rPr>
            <sz val="11"/>
            <color rgb="FF000000"/>
            <rFont val="Calibri"/>
            <family val="2"/>
          </rPr>
          <t>Estimate based on acquisition of $28M</t>
        </r>
      </text>
    </comment>
    <comment ref="R13" authorId="0" shapeId="0" xr:uid="{47C287B6-6088-4801-AFB7-9397949F8F8C}">
      <text>
        <r>
          <rPr>
            <sz val="11"/>
            <color rgb="FF000000"/>
            <rFont val="Calibri"/>
            <family val="2"/>
          </rPr>
          <t xml:space="preserve">Jeremy Macmillan:
</t>
        </r>
        <r>
          <rPr>
            <sz val="11"/>
            <color rgb="FF000000"/>
            <rFont val="Calibri"/>
            <family val="2"/>
          </rPr>
          <t>Estimate based on acquisition of $28M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<sst xmlns="http://schemas.openxmlformats.org/spreadsheetml/2006/main" count="797" uniqueCount="223">
  <si>
    <t>Income Statement</t>
  </si>
  <si>
    <t>Ledgers</t>
  </si>
  <si>
    <t>2011</t>
  </si>
  <si>
    <t>2012</t>
  </si>
  <si>
    <t>2013</t>
  </si>
  <si>
    <t>2014</t>
  </si>
  <si>
    <t>2015</t>
  </si>
  <si>
    <t>-</t>
  </si>
  <si>
    <t>2016</t>
  </si>
  <si>
    <t>2017</t>
  </si>
  <si>
    <t>2018</t>
  </si>
  <si>
    <t>2019</t>
  </si>
  <si>
    <t>2020</t>
  </si>
  <si>
    <t>Revenue</t>
  </si>
  <si>
    <t>Historical Period</t>
  </si>
  <si>
    <t>Projection period</t>
  </si>
  <si>
    <t>graph</t>
  </si>
  <si>
    <t>ESC licence</t>
  </si>
  <si>
    <t>ESC accounting</t>
  </si>
  <si>
    <t>ESC maintenance</t>
  </si>
  <si>
    <t>ESC one-time training</t>
  </si>
  <si>
    <t>ESC mobile</t>
  </si>
  <si>
    <t>Total revenue</t>
  </si>
  <si>
    <t>Expenses</t>
  </si>
  <si>
    <t>Support salaries</t>
  </si>
  <si>
    <t>Marketing</t>
  </si>
  <si>
    <t>Sales payroll and commission</t>
  </si>
  <si>
    <t>Development</t>
  </si>
  <si>
    <t>Admin payroll</t>
  </si>
  <si>
    <t>Dean's salary</t>
  </si>
  <si>
    <t>Other Salaries</t>
  </si>
  <si>
    <t>Overhead and Other</t>
  </si>
  <si>
    <t>Total expenses</t>
  </si>
  <si>
    <t>EBITDA</t>
  </si>
  <si>
    <t>EBITDA margin</t>
  </si>
  <si>
    <t>Depreciation and amortization</t>
  </si>
  <si>
    <t>EBIT</t>
  </si>
  <si>
    <t>% margin</t>
  </si>
  <si>
    <t>Interest expense</t>
  </si>
  <si>
    <t>EBT</t>
  </si>
  <si>
    <t>Income tax expense</t>
  </si>
  <si>
    <t>Net income</t>
  </si>
  <si>
    <t>valuation</t>
  </si>
  <si>
    <t>at 5.1x multiple</t>
  </si>
  <si>
    <t>explination is on docs</t>
  </si>
  <si>
    <t>dESCO Cash‑Flow Statement (Indirect)</t>
  </si>
  <si>
    <t>Net Income</t>
  </si>
  <si>
    <t>D&amp;A</t>
  </si>
  <si>
    <t>(Gain)/Loss on disposals</t>
  </si>
  <si>
    <t>ΔA/R</t>
  </si>
  <si>
    <t>ΔA/P</t>
  </si>
  <si>
    <t>ΔDeferred Rev</t>
  </si>
  <si>
    <t>ΔAccrued Liabilities</t>
  </si>
  <si>
    <t>Net Cash from operating</t>
  </si>
  <si>
    <t>Cap-ex</t>
  </si>
  <si>
    <t>ΔLong-term investments</t>
  </si>
  <si>
    <t>Net cash from investing</t>
  </si>
  <si>
    <t>Loan Repayment</t>
  </si>
  <si>
    <t>Dividends/Equity</t>
  </si>
  <si>
    <t>Net cash from Financing</t>
  </si>
  <si>
    <t>Net Change in cash</t>
  </si>
  <si>
    <t>Opening cash balance</t>
  </si>
  <si>
    <t>Closing cash balance</t>
  </si>
  <si>
    <t>dEsco Corp Projected balance sheets</t>
  </si>
  <si>
    <t>Year end 2016</t>
  </si>
  <si>
    <t>Year end 2017</t>
  </si>
  <si>
    <t>Year end 2018</t>
  </si>
  <si>
    <t>Year end 2019</t>
  </si>
  <si>
    <t>Year end 2020</t>
  </si>
  <si>
    <t>ASSETS</t>
  </si>
  <si>
    <t>Current Assets</t>
  </si>
  <si>
    <t>Cash</t>
  </si>
  <si>
    <t>A/R</t>
  </si>
  <si>
    <t>Total Current Assets</t>
  </si>
  <si>
    <t>Non-Current Assets</t>
  </si>
  <si>
    <t>PPE</t>
  </si>
  <si>
    <t>Long Term Investments</t>
  </si>
  <si>
    <t>Licensing Software</t>
  </si>
  <si>
    <t>Goodwill</t>
  </si>
  <si>
    <t>Total Non-Current Assets</t>
  </si>
  <si>
    <t>Total Assets</t>
  </si>
  <si>
    <t xml:space="preserve">LIABILITIES AND SHAREHOLDER'S </t>
  </si>
  <si>
    <t>EQUITY</t>
  </si>
  <si>
    <t>Current Liabilities</t>
  </si>
  <si>
    <t>A/P</t>
  </si>
  <si>
    <t>Deferred Revenue</t>
  </si>
  <si>
    <t>Acrrued liabilities</t>
  </si>
  <si>
    <t>Non-Current Liabilites</t>
  </si>
  <si>
    <t>Long term Debt</t>
  </si>
  <si>
    <t>Total Liabilites</t>
  </si>
  <si>
    <t>Shareholder's Equity</t>
  </si>
  <si>
    <t>Common Shareholder's Equity</t>
  </si>
  <si>
    <t>Retained Earnings</t>
  </si>
  <si>
    <t>Total Liabilities and Shareholder's Equity</t>
  </si>
  <si>
    <t>Valuation at 5.1x EBITDA multiple</t>
  </si>
  <si>
    <t>Sources</t>
  </si>
  <si>
    <t>Amount</t>
  </si>
  <si>
    <t>Uses</t>
  </si>
  <si>
    <t>Amount:</t>
  </si>
  <si>
    <t>Long-term Debt</t>
  </si>
  <si>
    <t>Accounts Receivable</t>
  </si>
  <si>
    <t>Accounts Payable</t>
  </si>
  <si>
    <t>Total Sources</t>
  </si>
  <si>
    <t>Total Uses</t>
  </si>
  <si>
    <t>Rev &amp; Exp Forecasts</t>
  </si>
  <si>
    <t>Projection Period</t>
  </si>
  <si>
    <t xml:space="preserve">                CAGR Growth Rate</t>
  </si>
  <si>
    <t>Comments</t>
  </si>
  <si>
    <t>CAGR formula, due to it being the standard growth rate formula</t>
  </si>
  <si>
    <t xml:space="preserve">                                   average</t>
  </si>
  <si>
    <t>Took the average due to a highly fluctuating rate</t>
  </si>
  <si>
    <t>No growth at all, thus 0% growth rate</t>
  </si>
  <si>
    <t>Overhead</t>
  </si>
  <si>
    <t>High growth rate in overhead</t>
  </si>
  <si>
    <t>CAGR BASE</t>
  </si>
  <si>
    <t>Assumptions</t>
  </si>
  <si>
    <t>Units</t>
  </si>
  <si>
    <t>No expenses are capitalized</t>
  </si>
  <si>
    <t>ESC licences</t>
  </si>
  <si>
    <t>Tax rate of 45%</t>
  </si>
  <si>
    <t>We used 20% as a reasonable forecasted growth rate</t>
  </si>
  <si>
    <t>Opening 2015 deferred revenue balance of $1,250,000</t>
  </si>
  <si>
    <t>ESC maintenance customers</t>
  </si>
  <si>
    <t>Cash to remain in the business post transaction of $500,000</t>
  </si>
  <si>
    <t>ESC maintenance customers lost</t>
  </si>
  <si>
    <t>Opening 2015 PP&amp;E of $100,000</t>
  </si>
  <si>
    <t>ESC maintenance churn rate</t>
  </si>
  <si>
    <t>Geomean as a way to represent as a %</t>
  </si>
  <si>
    <t>Average annual depreciation of $15,000</t>
  </si>
  <si>
    <t>change bold</t>
  </si>
  <si>
    <t>ESC mobile customers</t>
  </si>
  <si>
    <t>Average A/R 10% of revenue</t>
  </si>
  <si>
    <t>look at admin payroll look at growth rate of sales payroll and comission, development</t>
  </si>
  <si>
    <t>ESC mobile users</t>
  </si>
  <si>
    <t>We used 28% as a reasonable forecasted growth rate</t>
  </si>
  <si>
    <t>Average A/P 30% of non-payroll expenses</t>
  </si>
  <si>
    <t>ESC mobile users lost</t>
  </si>
  <si>
    <t>We used 24% as a reasonable forecasted growth rate</t>
  </si>
  <si>
    <t>VP of Marketing makes $70,000 per year</t>
  </si>
  <si>
    <t>ESC mobile churn rate</t>
  </si>
  <si>
    <t>Overhead consists of rent, insurance, utilities, benefits</t>
  </si>
  <si>
    <t>ESC training customers</t>
  </si>
  <si>
    <t>Sales rep salaries are $35,000 per year</t>
  </si>
  <si>
    <t>Total number of employees</t>
  </si>
  <si>
    <t>Non payroll marketing spend is on sales leads which have a ~20% chance of closing into a sale</t>
  </si>
  <si>
    <t>Estimated transaction fees of $200k for legal, $50k for accounting, and $10k for technical due diligence</t>
  </si>
  <si>
    <t>Pricing</t>
  </si>
  <si>
    <t>Avg. ESC licence $ per customer</t>
  </si>
  <si>
    <t>Avg. ESC accounting $ per customer</t>
  </si>
  <si>
    <t>ESC maintenance $ per customer</t>
  </si>
  <si>
    <t>ESC mobile $ per customer per month</t>
  </si>
  <si>
    <t>ESC training $ per customer</t>
  </si>
  <si>
    <t>Debt Package</t>
  </si>
  <si>
    <t>Year</t>
  </si>
  <si>
    <t>Beginning Debt ($M)</t>
  </si>
  <si>
    <t>Total Payment</t>
  </si>
  <si>
    <t>Principle Payment</t>
  </si>
  <si>
    <t>Interest Expense</t>
  </si>
  <si>
    <t>Ending Debt ($M)</t>
  </si>
  <si>
    <t>Interest Rate</t>
  </si>
  <si>
    <t>Debt</t>
  </si>
  <si>
    <t>Ebitda</t>
  </si>
  <si>
    <t>Debt/Ebitda</t>
  </si>
  <si>
    <t>DEBT/EBITDA Covenant</t>
  </si>
  <si>
    <t>Fixed Charge Coverage</t>
  </si>
  <si>
    <t>FCC Limit</t>
  </si>
  <si>
    <t>Debt/EBITDA BREACH</t>
  </si>
  <si>
    <t>FCC Breach</t>
  </si>
  <si>
    <t>INCOME TAXES</t>
  </si>
  <si>
    <t>Avid Option 1</t>
  </si>
  <si>
    <t>Covenant</t>
  </si>
  <si>
    <t>Avid Option 2</t>
  </si>
  <si>
    <t>Avid Option 3</t>
  </si>
  <si>
    <t>So we select this one as highest IRR and no breaches forecasted</t>
  </si>
  <si>
    <t>Avid Option 4</t>
  </si>
  <si>
    <t>Avid Option 5</t>
  </si>
  <si>
    <t>Saratoga Option 1</t>
  </si>
  <si>
    <t>Saratoga Option 2</t>
  </si>
  <si>
    <t>Saratoga Option 3</t>
  </si>
  <si>
    <t>Saratoga Option 4</t>
  </si>
  <si>
    <t>Saratoga Option 5</t>
  </si>
  <si>
    <t>ASSUMING 5.1 AT EXIT</t>
  </si>
  <si>
    <t>Debt/Ebitda Option</t>
  </si>
  <si>
    <t>Bank</t>
  </si>
  <si>
    <t>Setup fee</t>
  </si>
  <si>
    <t>Max Debt</t>
  </si>
  <si>
    <t>Setup Expense</t>
  </si>
  <si>
    <t>EBITDA 1</t>
  </si>
  <si>
    <t>EBITDA 5</t>
  </si>
  <si>
    <t>Equity invested</t>
  </si>
  <si>
    <t>Exit EV</t>
  </si>
  <si>
    <t>Exit Equity</t>
  </si>
  <si>
    <t>IRR</t>
  </si>
  <si>
    <t>COC</t>
  </si>
  <si>
    <t>Avid</t>
  </si>
  <si>
    <t>Saratoga</t>
  </si>
  <si>
    <t>VALUATION at 5.1 x mulltiple</t>
  </si>
  <si>
    <t>Avid Bank Debt Terms</t>
  </si>
  <si>
    <t>Saratoga Debt Fund Terms</t>
  </si>
  <si>
    <t>5 Year Term Debt</t>
  </si>
  <si>
    <t>Option 1</t>
  </si>
  <si>
    <t>Option 2</t>
  </si>
  <si>
    <t>Option 3</t>
  </si>
  <si>
    <t>Option 4</t>
  </si>
  <si>
    <t>Option 5</t>
  </si>
  <si>
    <t>Debt / EBITDA</t>
  </si>
  <si>
    <t>Interest rate</t>
  </si>
  <si>
    <t>replace with formula</t>
  </si>
  <si>
    <t>1 Year Revolver</t>
  </si>
  <si>
    <t>sus</t>
  </si>
  <si>
    <t>Financial Covenants</t>
  </si>
  <si>
    <t>Amortization</t>
  </si>
  <si>
    <t>* Require a board observer seat</t>
  </si>
  <si>
    <t>* Fixed Charge Coverage = (EBITDA - tax - capex) / (interest + principal repayment)</t>
  </si>
  <si>
    <t>CAGR formula</t>
  </si>
  <si>
    <t>use a smoothing rolling average?</t>
  </si>
  <si>
    <t>not accurate has crazy jumps</t>
  </si>
  <si>
    <t>geomean</t>
  </si>
  <si>
    <t>Other Assumptions</t>
  </si>
  <si>
    <t>done so no capex</t>
  </si>
  <si>
    <t>done</t>
  </si>
  <si>
    <t>ok</t>
  </si>
  <si>
    <t>Option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</si>
</sst>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\x"/>
    <numFmt numFmtId="167" formatCode="_(* #,##0.0_);_(* \(#,##0.0\);_(* &quot;-&quot;?_);_(@_)"/>
    <numFmt numFmtId="168" formatCode="_(&quot;$&quot;* #,##0.0_);_(&quot;$&quot;* \(#,##0.0\);_(&quot;$&quot;* &quot;-&quot;??_);_(@_)"/>
    <numFmt numFmtId="169" formatCode="_(* #,##0.0_);_(* \(#,##0.0\);_(* &quot;-&quot;??_);_(@_)"/>
    <numFmt numFmtId="170" formatCode="&quot;$&quot;#,##0.00"/>
    <numFmt numFmtId="171" formatCode="_(&quot;$&quot;* #,##0.000_);_(&quot;$&quot;* \(#,##0.000\);_(&quot;$&quot;* &quot;-&quot;???_);_(@_)"/>
    <numFmt numFmtId="172" formatCode="_([$$-409]* #,##0.00_);_([$$-409]* \(#,##0.00\);_([$$-409]* &quot;-&quot;??_);_(@_)"/>
    <numFmt numFmtId="173" formatCode="&quot;$&quot;#,##0.0"/>
    <numFmt numFmtId="177" formatCode="_(&quot;$&quot;* #,##0.0000_);_(&quot;$&quot;* \(#,##0.0000\);_(&quot;$&quot;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i/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theme="0"/>
      <name val="Aptos Narrow"/>
      <family val="2"/>
    </font>
    <font>
      <b/>
      <sz val="11"/>
      <color rgb="FFFFFFFF"/>
      <name val="Calibri"/>
      <family val="2"/>
    </font>
    <font>
      <b/>
      <sz val="11"/>
      <color theme="0"/>
      <name val="Aptos Narrow"/>
    </font>
    <font>
      <b/>
      <sz val="10"/>
      <color theme="1"/>
      <name val="Arial Narrow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41" fontId="4" fillId="0" borderId="0" xfId="0" applyNumberFormat="1" applyFont="1" applyAlignment="1">
      <alignment vertical="center"/>
    </xf>
    <xf numFmtId="41" fontId="1" fillId="0" borderId="0" xfId="2" applyNumberFormat="1"/>
    <xf numFmtId="41" fontId="0" fillId="0" borderId="0" xfId="0" applyNumberFormat="1"/>
    <xf numFmtId="43" fontId="0" fillId="0" borderId="0" xfId="0" applyNumberFormat="1"/>
    <xf numFmtId="164" fontId="0" fillId="0" borderId="0" xfId="1" applyNumberFormat="1" applyFont="1"/>
    <xf numFmtId="0" fontId="3" fillId="0" borderId="0" xfId="0" applyFont="1"/>
    <xf numFmtId="165" fontId="1" fillId="0" borderId="0" xfId="2" applyNumberFormat="1"/>
    <xf numFmtId="0" fontId="0" fillId="0" borderId="1" xfId="0" applyBorder="1"/>
    <xf numFmtId="41" fontId="1" fillId="0" borderId="1" xfId="2" applyNumberFormat="1" applyBorder="1"/>
    <xf numFmtId="0" fontId="5" fillId="0" borderId="0" xfId="0" applyFont="1"/>
    <xf numFmtId="9" fontId="5" fillId="0" borderId="0" xfId="0" applyNumberFormat="1" applyFont="1"/>
    <xf numFmtId="0" fontId="0" fillId="0" borderId="5" xfId="0" applyBorder="1"/>
    <xf numFmtId="0" fontId="3" fillId="0" borderId="5" xfId="0" applyFont="1" applyBorder="1"/>
    <xf numFmtId="0" fontId="0" fillId="0" borderId="5" xfId="0" applyBorder="1" applyAlignment="1">
      <alignment horizontal="left" indent="1"/>
    </xf>
    <xf numFmtId="166" fontId="0" fillId="0" borderId="0" xfId="0" applyNumberFormat="1"/>
    <xf numFmtId="165" fontId="0" fillId="0" borderId="0" xfId="0" applyNumberFormat="1"/>
    <xf numFmtId="0" fontId="0" fillId="0" borderId="7" xfId="0" applyBorder="1"/>
    <xf numFmtId="166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6" xfId="0" applyNumberFormat="1" applyFill="1" applyBorder="1"/>
    <xf numFmtId="165" fontId="0" fillId="2" borderId="6" xfId="0" applyNumberFormat="1" applyFill="1" applyBorder="1"/>
    <xf numFmtId="0" fontId="0" fillId="2" borderId="6" xfId="0" applyFill="1" applyBorder="1"/>
    <xf numFmtId="0" fontId="0" fillId="3" borderId="0" xfId="0" applyFill="1"/>
    <xf numFmtId="0" fontId="0" fillId="3" borderId="6" xfId="0" applyFill="1" applyBorder="1"/>
    <xf numFmtId="0" fontId="0" fillId="3" borderId="1" xfId="0" applyFill="1" applyBorder="1"/>
    <xf numFmtId="0" fontId="0" fillId="3" borderId="8" xfId="0" applyFill="1" applyBorder="1"/>
    <xf numFmtId="0" fontId="3" fillId="2" borderId="0" xfId="0" applyFont="1" applyFill="1" applyAlignment="1">
      <alignment horizontal="center"/>
    </xf>
    <xf numFmtId="166" fontId="0" fillId="3" borderId="0" xfId="0" applyNumberFormat="1" applyFill="1"/>
    <xf numFmtId="166" fontId="0" fillId="3" borderId="6" xfId="0" applyNumberFormat="1" applyFill="1" applyBorder="1"/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3" borderId="0" xfId="0" applyNumberFormat="1" applyFill="1"/>
    <xf numFmtId="9" fontId="0" fillId="3" borderId="6" xfId="0" applyNumberFormat="1" applyFill="1" applyBorder="1"/>
    <xf numFmtId="0" fontId="3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/>
    </xf>
    <xf numFmtId="165" fontId="0" fillId="3" borderId="0" xfId="0" applyNumberFormat="1" applyFill="1"/>
    <xf numFmtId="165" fontId="0" fillId="3" borderId="6" xfId="0" applyNumberFormat="1" applyFill="1" applyBorder="1"/>
    <xf numFmtId="9" fontId="0" fillId="0" borderId="0" xfId="0" applyNumberFormat="1"/>
    <xf numFmtId="167" fontId="0" fillId="0" borderId="0" xfId="0" applyNumberFormat="1" applyAlignment="1">
      <alignment horizontal="center"/>
    </xf>
    <xf numFmtId="10" fontId="0" fillId="0" borderId="0" xfId="3" applyNumberFormat="1" applyFont="1"/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horizontal="left" vertical="top" indent="1"/>
    </xf>
    <xf numFmtId="164" fontId="7" fillId="0" borderId="0" xfId="1" applyNumberFormat="1" applyFont="1" applyAlignment="1">
      <alignment vertical="top"/>
    </xf>
    <xf numFmtId="165" fontId="7" fillId="0" borderId="0" xfId="3" applyNumberFormat="1" applyFont="1" applyAlignment="1">
      <alignment horizontal="right" vertical="top"/>
    </xf>
    <xf numFmtId="164" fontId="6" fillId="0" borderId="1" xfId="1" applyNumberFormat="1" applyFont="1" applyBorder="1" applyAlignment="1">
      <alignment vertical="center"/>
    </xf>
    <xf numFmtId="169" fontId="6" fillId="0" borderId="1" xfId="1" applyNumberFormat="1" applyFont="1" applyBorder="1" applyAlignment="1">
      <alignment vertical="center"/>
    </xf>
    <xf numFmtId="165" fontId="7" fillId="0" borderId="0" xfId="3" applyNumberFormat="1" applyFont="1" applyBorder="1" applyAlignment="1">
      <alignment horizontal="right" vertical="top"/>
    </xf>
    <xf numFmtId="169" fontId="8" fillId="0" borderId="0" xfId="1" applyNumberFormat="1" applyFont="1" applyBorder="1" applyAlignment="1">
      <alignment vertical="center"/>
    </xf>
    <xf numFmtId="169" fontId="6" fillId="0" borderId="0" xfId="1" applyNumberFormat="1" applyFont="1" applyBorder="1" applyAlignment="1">
      <alignment vertical="center"/>
    </xf>
    <xf numFmtId="9" fontId="0" fillId="0" borderId="0" xfId="3" applyFont="1"/>
    <xf numFmtId="41" fontId="0" fillId="0" borderId="0" xfId="2" applyNumberFormat="1" applyFont="1"/>
    <xf numFmtId="41" fontId="0" fillId="0" borderId="1" xfId="2" applyNumberFormat="1" applyFont="1" applyBorder="1"/>
    <xf numFmtId="164" fontId="8" fillId="0" borderId="0" xfId="1" applyNumberFormat="1" applyFont="1"/>
    <xf numFmtId="168" fontId="8" fillId="0" borderId="0" xfId="4" applyNumberFormat="1" applyFont="1"/>
    <xf numFmtId="169" fontId="8" fillId="0" borderId="0" xfId="1" applyNumberFormat="1" applyFont="1"/>
    <xf numFmtId="164" fontId="8" fillId="0" borderId="0" xfId="1" applyNumberFormat="1" applyFont="1" applyAlignment="1">
      <alignment vertical="center"/>
    </xf>
    <xf numFmtId="168" fontId="8" fillId="0" borderId="0" xfId="4" applyNumberFormat="1" applyFont="1" applyAlignment="1">
      <alignment vertical="center"/>
    </xf>
    <xf numFmtId="169" fontId="8" fillId="0" borderId="0" xfId="1" applyNumberFormat="1" applyFont="1" applyAlignment="1">
      <alignment vertical="center"/>
    </xf>
    <xf numFmtId="169" fontId="6" fillId="0" borderId="0" xfId="1" applyNumberFormat="1" applyFont="1" applyAlignment="1">
      <alignment vertical="center"/>
    </xf>
    <xf numFmtId="44" fontId="0" fillId="0" borderId="0" xfId="0" applyNumberFormat="1"/>
    <xf numFmtId="44" fontId="3" fillId="0" borderId="0" xfId="0" applyNumberFormat="1" applyFont="1"/>
    <xf numFmtId="44" fontId="10" fillId="0" borderId="0" xfId="0" applyNumberFormat="1" applyFont="1"/>
    <xf numFmtId="44" fontId="9" fillId="0" borderId="0" xfId="0" applyNumberFormat="1" applyFont="1"/>
    <xf numFmtId="44" fontId="0" fillId="0" borderId="0" xfId="0" applyNumberFormat="1" applyAlignment="1">
      <alignment wrapText="1"/>
    </xf>
    <xf numFmtId="1" fontId="0" fillId="0" borderId="0" xfId="0" applyNumberFormat="1"/>
    <xf numFmtId="41" fontId="0" fillId="0" borderId="9" xfId="2" applyNumberFormat="1" applyFont="1" applyBorder="1"/>
    <xf numFmtId="0" fontId="11" fillId="0" borderId="0" xfId="0" applyFont="1"/>
    <xf numFmtId="0" fontId="12" fillId="3" borderId="0" xfId="0" applyFont="1" applyFill="1"/>
    <xf numFmtId="0" fontId="12" fillId="0" borderId="0" xfId="0" applyFont="1"/>
    <xf numFmtId="3" fontId="11" fillId="0" borderId="0" xfId="0" applyNumberFormat="1" applyFont="1"/>
    <xf numFmtId="41" fontId="11" fillId="0" borderId="0" xfId="0" applyNumberFormat="1" applyFont="1" applyAlignment="1">
      <alignment vertical="center"/>
    </xf>
    <xf numFmtId="170" fontId="0" fillId="0" borderId="0" xfId="0" applyNumberFormat="1"/>
    <xf numFmtId="170" fontId="11" fillId="0" borderId="0" xfId="0" applyNumberFormat="1" applyFont="1"/>
    <xf numFmtId="0" fontId="11" fillId="0" borderId="1" xfId="0" applyFont="1" applyBorder="1"/>
    <xf numFmtId="3" fontId="11" fillId="0" borderId="9" xfId="0" applyNumberFormat="1" applyFont="1" applyBorder="1"/>
    <xf numFmtId="170" fontId="0" fillId="0" borderId="9" xfId="0" applyNumberFormat="1" applyBorder="1"/>
    <xf numFmtId="10" fontId="0" fillId="0" borderId="0" xfId="0" applyNumberFormat="1"/>
    <xf numFmtId="9" fontId="11" fillId="0" borderId="0" xfId="0" applyNumberFormat="1" applyFont="1"/>
    <xf numFmtId="10" fontId="11" fillId="0" borderId="0" xfId="0" applyNumberFormat="1" applyFont="1"/>
    <xf numFmtId="3" fontId="11" fillId="0" borderId="1" xfId="0" applyNumberFormat="1" applyFont="1" applyBorder="1"/>
    <xf numFmtId="0" fontId="13" fillId="0" borderId="0" xfId="0" applyFont="1"/>
    <xf numFmtId="9" fontId="13" fillId="0" borderId="0" xfId="0" applyNumberFormat="1" applyFont="1"/>
    <xf numFmtId="10" fontId="13" fillId="0" borderId="0" xfId="0" applyNumberFormat="1" applyFont="1"/>
    <xf numFmtId="44" fontId="11" fillId="0" borderId="0" xfId="0" applyNumberFormat="1" applyFont="1"/>
    <xf numFmtId="43" fontId="5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3" fontId="0" fillId="0" borderId="0" xfId="0" applyNumberFormat="1"/>
    <xf numFmtId="0" fontId="14" fillId="7" borderId="13" xfId="0" applyFont="1" applyFill="1" applyBorder="1"/>
    <xf numFmtId="44" fontId="14" fillId="7" borderId="13" xfId="0" applyNumberFormat="1" applyFont="1" applyFill="1" applyBorder="1"/>
    <xf numFmtId="0" fontId="14" fillId="0" borderId="12" xfId="0" applyFont="1" applyBorder="1"/>
    <xf numFmtId="0" fontId="14" fillId="0" borderId="13" xfId="0" applyFont="1" applyBorder="1"/>
    <xf numFmtId="171" fontId="14" fillId="7" borderId="13" xfId="0" applyNumberFormat="1" applyFont="1" applyFill="1" applyBorder="1"/>
    <xf numFmtId="0" fontId="16" fillId="0" borderId="13" xfId="0" applyFont="1" applyBorder="1"/>
    <xf numFmtId="0" fontId="16" fillId="0" borderId="12" xfId="0" applyFont="1" applyBorder="1"/>
    <xf numFmtId="171" fontId="16" fillId="7" borderId="13" xfId="0" applyNumberFormat="1" applyFont="1" applyFill="1" applyBorder="1"/>
    <xf numFmtId="44" fontId="16" fillId="7" borderId="13" xfId="0" applyNumberFormat="1" applyFont="1" applyFill="1" applyBorder="1"/>
    <xf numFmtId="0" fontId="16" fillId="7" borderId="13" xfId="0" applyFont="1" applyFill="1" applyBorder="1"/>
    <xf numFmtId="0" fontId="16" fillId="7" borderId="12" xfId="0" applyFont="1" applyFill="1" applyBorder="1"/>
    <xf numFmtId="0" fontId="14" fillId="7" borderId="10" xfId="0" applyFont="1" applyFill="1" applyBorder="1"/>
    <xf numFmtId="0" fontId="14" fillId="7" borderId="11" xfId="0" applyFont="1" applyFill="1" applyBorder="1"/>
    <xf numFmtId="10" fontId="14" fillId="7" borderId="13" xfId="0" applyNumberFormat="1" applyFont="1" applyFill="1" applyBorder="1"/>
    <xf numFmtId="172" fontId="0" fillId="0" borderId="0" xfId="0" applyNumberFormat="1"/>
    <xf numFmtId="0" fontId="15" fillId="0" borderId="0" xfId="0" applyFont="1"/>
    <xf numFmtId="0" fontId="16" fillId="3" borderId="13" xfId="0" applyFont="1" applyFill="1" applyBorder="1"/>
    <xf numFmtId="44" fontId="16" fillId="3" borderId="13" xfId="0" applyNumberFormat="1" applyFont="1" applyFill="1" applyBorder="1"/>
    <xf numFmtId="171" fontId="16" fillId="3" borderId="13" xfId="0" applyNumberFormat="1" applyFont="1" applyFill="1" applyBorder="1"/>
    <xf numFmtId="0" fontId="14" fillId="3" borderId="13" xfId="0" applyFont="1" applyFill="1" applyBorder="1"/>
    <xf numFmtId="44" fontId="14" fillId="3" borderId="13" xfId="0" applyNumberFormat="1" applyFont="1" applyFill="1" applyBorder="1"/>
    <xf numFmtId="171" fontId="14" fillId="3" borderId="13" xfId="0" applyNumberFormat="1" applyFont="1" applyFill="1" applyBorder="1"/>
    <xf numFmtId="10" fontId="14" fillId="3" borderId="13" xfId="0" applyNumberFormat="1" applyFont="1" applyFill="1" applyBorder="1"/>
    <xf numFmtId="0" fontId="14" fillId="4" borderId="13" xfId="0" applyFont="1" applyFill="1" applyBorder="1"/>
    <xf numFmtId="44" fontId="14" fillId="4" borderId="13" xfId="0" applyNumberFormat="1" applyFont="1" applyFill="1" applyBorder="1"/>
    <xf numFmtId="171" fontId="14" fillId="4" borderId="13" xfId="0" applyNumberFormat="1" applyFont="1" applyFill="1" applyBorder="1"/>
    <xf numFmtId="0" fontId="16" fillId="7" borderId="11" xfId="0" applyFont="1" applyFill="1" applyBorder="1"/>
    <xf numFmtId="0" fontId="16" fillId="7" borderId="10" xfId="0" applyFont="1" applyFill="1" applyBorder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0" fillId="7" borderId="0" xfId="0" applyFill="1"/>
    <xf numFmtId="165" fontId="0" fillId="7" borderId="0" xfId="0" applyNumberFormat="1" applyFill="1"/>
    <xf numFmtId="44" fontId="0" fillId="7" borderId="0" xfId="0" applyNumberFormat="1" applyFill="1"/>
    <xf numFmtId="10" fontId="0" fillId="7" borderId="0" xfId="0" applyNumberFormat="1" applyFill="1"/>
    <xf numFmtId="166" fontId="0" fillId="7" borderId="0" xfId="0" applyNumberFormat="1" applyFill="1"/>
    <xf numFmtId="10" fontId="16" fillId="7" borderId="13" xfId="0" applyNumberFormat="1" applyFont="1" applyFill="1" applyBorder="1"/>
    <xf numFmtId="10" fontId="16" fillId="3" borderId="13" xfId="0" applyNumberFormat="1" applyFont="1" applyFill="1" applyBorder="1"/>
    <xf numFmtId="0" fontId="17" fillId="6" borderId="0" xfId="0" applyFont="1" applyFill="1"/>
    <xf numFmtId="0" fontId="18" fillId="0" borderId="0" xfId="0" applyFont="1"/>
    <xf numFmtId="10" fontId="14" fillId="4" borderId="13" xfId="0" applyNumberFormat="1" applyFont="1" applyFill="1" applyBorder="1"/>
    <xf numFmtId="0" fontId="19" fillId="8" borderId="0" xfId="0" applyFont="1" applyFill="1"/>
    <xf numFmtId="10" fontId="19" fillId="8" borderId="0" xfId="0" applyNumberFormat="1" applyFont="1" applyFill="1"/>
    <xf numFmtId="0" fontId="17" fillId="8" borderId="0" xfId="0" applyFont="1" applyFill="1"/>
    <xf numFmtId="10" fontId="17" fillId="8" borderId="0" xfId="0" applyNumberFormat="1" applyFont="1" applyFill="1"/>
    <xf numFmtId="166" fontId="0" fillId="4" borderId="0" xfId="0" applyNumberFormat="1" applyFill="1"/>
    <xf numFmtId="166" fontId="0" fillId="4" borderId="6" xfId="0" applyNumberFormat="1" applyFill="1" applyBorder="1"/>
    <xf numFmtId="3" fontId="21" fillId="0" borderId="0" xfId="0" applyNumberFormat="1" applyFont="1"/>
    <xf numFmtId="0" fontId="21" fillId="0" borderId="0" xfId="0" applyFont="1"/>
    <xf numFmtId="164" fontId="20" fillId="0" borderId="3" xfId="1" applyNumberFormat="1" applyFont="1" applyBorder="1" applyAlignment="1">
      <alignment vertical="center"/>
    </xf>
    <xf numFmtId="169" fontId="20" fillId="0" borderId="3" xfId="1" applyNumberFormat="1" applyFont="1" applyBorder="1" applyAlignment="1">
      <alignment vertical="center"/>
    </xf>
    <xf numFmtId="166" fontId="0" fillId="4" borderId="0" xfId="0" applyNumberFormat="1" applyFill="1" applyAlignment="1">
      <alignment wrapText="1"/>
    </xf>
    <xf numFmtId="9" fontId="0" fillId="4" borderId="0" xfId="0" applyNumberFormat="1" applyFill="1"/>
    <xf numFmtId="0" fontId="0" fillId="7" borderId="13" xfId="0" applyFill="1" applyBorder="1"/>
    <xf numFmtId="41" fontId="0" fillId="3" borderId="13" xfId="2" applyNumberFormat="1" applyFont="1" applyFill="1" applyBorder="1"/>
    <xf numFmtId="41" fontId="0" fillId="7" borderId="13" xfId="2" applyNumberFormat="1" applyFont="1" applyFill="1" applyBorder="1"/>
    <xf numFmtId="41" fontId="0" fillId="4" borderId="13" xfId="2" applyNumberFormat="1" applyFont="1" applyFill="1" applyBorder="1"/>
    <xf numFmtId="0" fontId="0" fillId="7" borderId="3" xfId="0" applyFill="1" applyBorder="1"/>
    <xf numFmtId="41" fontId="0" fillId="7" borderId="3" xfId="2" applyNumberFormat="1" applyFont="1" applyFill="1" applyBorder="1"/>
    <xf numFmtId="9" fontId="0" fillId="3" borderId="13" xfId="0" applyNumberFormat="1" applyFill="1" applyBorder="1"/>
    <xf numFmtId="43" fontId="0" fillId="7" borderId="13" xfId="0" applyNumberFormat="1" applyFill="1" applyBorder="1"/>
    <xf numFmtId="43" fontId="0" fillId="3" borderId="13" xfId="1" applyFont="1" applyFill="1" applyBorder="1"/>
    <xf numFmtId="43" fontId="0" fillId="4" borderId="13" xfId="1" applyFont="1" applyFill="1" applyBorder="1"/>
    <xf numFmtId="41" fontId="0" fillId="3" borderId="13" xfId="3" applyNumberFormat="1" applyFont="1" applyFill="1" applyBorder="1"/>
    <xf numFmtId="41" fontId="0" fillId="3" borderId="13" xfId="0" applyNumberFormat="1" applyFill="1" applyBorder="1"/>
    <xf numFmtId="41" fontId="0" fillId="7" borderId="3" xfId="0" applyNumberFormat="1" applyFill="1" applyBorder="1"/>
    <xf numFmtId="41" fontId="0" fillId="7" borderId="13" xfId="0" applyNumberFormat="1" applyFill="1" applyBorder="1"/>
    <xf numFmtId="9" fontId="5" fillId="3" borderId="13" xfId="0" applyNumberFormat="1" applyFont="1" applyFill="1" applyBorder="1"/>
    <xf numFmtId="0" fontId="5" fillId="7" borderId="13" xfId="0" applyFont="1" applyFill="1" applyBorder="1"/>
    <xf numFmtId="165" fontId="0" fillId="7" borderId="13" xfId="2" applyNumberFormat="1" applyFont="1" applyFill="1" applyBorder="1"/>
    <xf numFmtId="165" fontId="0" fillId="4" borderId="13" xfId="1" applyNumberFormat="1" applyFont="1" applyFill="1" applyBorder="1"/>
    <xf numFmtId="10" fontId="0" fillId="4" borderId="13" xfId="1" applyNumberFormat="1" applyFont="1" applyFill="1" applyBorder="1"/>
    <xf numFmtId="43" fontId="0" fillId="7" borderId="13" xfId="1" applyFont="1" applyFill="1" applyBorder="1"/>
    <xf numFmtId="164" fontId="0" fillId="7" borderId="13" xfId="1" applyNumberFormat="1" applyFont="1" applyFill="1" applyBorder="1"/>
    <xf numFmtId="0" fontId="3" fillId="7" borderId="13" xfId="0" applyFont="1" applyFill="1" applyBorder="1"/>
    <xf numFmtId="0" fontId="0" fillId="3" borderId="13" xfId="0" applyFill="1" applyBorder="1"/>
    <xf numFmtId="169" fontId="8" fillId="0" borderId="0" xfId="1" applyNumberFormat="1" applyFont="1" applyBorder="1"/>
    <xf numFmtId="0" fontId="12" fillId="8" borderId="0" xfId="0" applyFont="1" applyFill="1"/>
    <xf numFmtId="0" fontId="3" fillId="8" borderId="0" xfId="0" applyFont="1" applyFill="1" applyAlignment="1">
      <alignment horizontal="center" vertical="center"/>
    </xf>
    <xf numFmtId="0" fontId="3" fillId="8" borderId="0" xfId="0" quotePrefix="1" applyFont="1" applyFill="1" applyAlignment="1">
      <alignment horizontal="center" vertical="center"/>
    </xf>
    <xf numFmtId="44" fontId="9" fillId="8" borderId="0" xfId="0" applyNumberFormat="1" applyFont="1" applyFill="1"/>
    <xf numFmtId="0" fontId="2" fillId="8" borderId="0" xfId="0" applyFont="1" applyFill="1"/>
    <xf numFmtId="0" fontId="2" fillId="8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0" fillId="8" borderId="0" xfId="0" applyFill="1"/>
    <xf numFmtId="0" fontId="5" fillId="3" borderId="13" xfId="0" applyFont="1" applyFill="1" applyBorder="1"/>
    <xf numFmtId="0" fontId="3" fillId="3" borderId="13" xfId="0" applyFont="1" applyFill="1" applyBorder="1"/>
    <xf numFmtId="164" fontId="0" fillId="3" borderId="13" xfId="1" applyNumberFormat="1" applyFont="1" applyFill="1" applyBorder="1"/>
    <xf numFmtId="44" fontId="0" fillId="3" borderId="0" xfId="0" applyNumberFormat="1" applyFill="1"/>
    <xf numFmtId="44" fontId="0" fillId="4" borderId="0" xfId="0" applyNumberFormat="1" applyFill="1"/>
    <xf numFmtId="44" fontId="9" fillId="3" borderId="0" xfId="0" applyNumberFormat="1" applyFont="1" applyFill="1"/>
    <xf numFmtId="44" fontId="23" fillId="0" borderId="0" xfId="0" applyNumberFormat="1" applyFont="1"/>
    <xf numFmtId="0" fontId="23" fillId="0" borderId="0" xfId="0" applyFont="1"/>
    <xf numFmtId="44" fontId="24" fillId="0" borderId="0" xfId="0" applyNumberFormat="1" applyFont="1"/>
    <xf numFmtId="44" fontId="2" fillId="0" borderId="0" xfId="0" applyNumberFormat="1" applyFont="1"/>
    <xf numFmtId="44" fontId="25" fillId="0" borderId="0" xfId="0" applyNumberFormat="1" applyFont="1"/>
    <xf numFmtId="44" fontId="23" fillId="8" borderId="0" xfId="0" applyNumberFormat="1" applyFont="1" applyFill="1"/>
    <xf numFmtId="44" fontId="26" fillId="8" borderId="0" xfId="0" applyNumberFormat="1" applyFont="1" applyFill="1"/>
    <xf numFmtId="44" fontId="27" fillId="0" borderId="0" xfId="0" applyNumberFormat="1" applyFont="1"/>
    <xf numFmtId="44" fontId="26" fillId="0" borderId="0" xfId="0" applyNumberFormat="1" applyFont="1"/>
    <xf numFmtId="44" fontId="9" fillId="5" borderId="0" xfId="0" applyNumberFormat="1" applyFont="1" applyFill="1"/>
    <xf numFmtId="173" fontId="9" fillId="0" borderId="0" xfId="0" applyNumberFormat="1" applyFont="1"/>
    <xf numFmtId="41" fontId="28" fillId="3" borderId="13" xfId="0" applyNumberFormat="1" applyFont="1" applyFill="1" applyBorder="1" applyAlignment="1">
      <alignment vertical="center"/>
    </xf>
    <xf numFmtId="41" fontId="28" fillId="7" borderId="13" xfId="0" applyNumberFormat="1" applyFont="1" applyFill="1" applyBorder="1" applyAlignment="1">
      <alignment vertical="center"/>
    </xf>
    <xf numFmtId="41" fontId="28" fillId="4" borderId="13" xfId="0" applyNumberFormat="1" applyFont="1" applyFill="1" applyBorder="1" applyAlignment="1">
      <alignment vertical="center"/>
    </xf>
    <xf numFmtId="0" fontId="29" fillId="3" borderId="13" xfId="0" applyFont="1" applyFill="1" applyBorder="1"/>
    <xf numFmtId="0" fontId="29" fillId="7" borderId="13" xfId="0" applyFont="1" applyFill="1" applyBorder="1"/>
    <xf numFmtId="41" fontId="1" fillId="9" borderId="0" xfId="2" applyNumberFormat="1" applyFill="1"/>
    <xf numFmtId="0" fontId="0" fillId="0" borderId="0" xfId="0" applyAlignment="1">
      <alignment horizontal="center"/>
    </xf>
    <xf numFmtId="10" fontId="0" fillId="0" borderId="0" xfId="3" applyNumberFormat="1" applyFont="1" applyFill="1"/>
    <xf numFmtId="10" fontId="0" fillId="3" borderId="0" xfId="3" applyNumberFormat="1" applyFont="1" applyFill="1"/>
    <xf numFmtId="43" fontId="0" fillId="3" borderId="0" xfId="0" applyNumberFormat="1" applyFill="1"/>
    <xf numFmtId="44" fontId="16" fillId="7" borderId="0" xfId="0" applyNumberFormat="1" applyFont="1" applyFill="1"/>
    <xf numFmtId="44" fontId="16" fillId="3" borderId="14" xfId="0" applyNumberFormat="1" applyFont="1" applyFill="1" applyBorder="1"/>
    <xf numFmtId="0" fontId="30" fillId="0" borderId="0" xfId="0" applyFont="1"/>
    <xf numFmtId="3" fontId="11" fillId="0" borderId="0" xfId="0" applyNumberFormat="1" applyFont="1" applyAlignment="1">
      <alignment wrapText="1"/>
    </xf>
    <xf numFmtId="44" fontId="0" fillId="0" borderId="0" xfId="0" applyNumberFormat="1" applyAlignment="1">
      <alignment horizontal="center"/>
    </xf>
    <xf numFmtId="44" fontId="22" fillId="8" borderId="0" xfId="0" applyNumberFormat="1" applyFont="1" applyFill="1"/>
    <xf numFmtId="0" fontId="0" fillId="0" borderId="0" xfId="0" applyNumberFormat="1"/>
    <xf numFmtId="177" fontId="0" fillId="0" borderId="0" xfId="0" applyNumberFormat="1"/>
  </cellXfs>
  <cellStyles count="5">
    <cellStyle name="Comma" xfId="1" builtinId="3"/>
    <cellStyle name="Currency" xfId="4" builtinId="4"/>
    <cellStyle name="Normal" xfId="0" builtinId="0"/>
    <cellStyle name="Normal 2" xfId="2" xr:uid="{00000000-0005-0000-0000-000002000000}"/>
    <cellStyle name="Percent" xfId="3" builtinId="5"/>
  </cellStyles>
  <dxfs count="2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\x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\x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color theme="0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color theme="0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5B9BD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color theme="0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0"/>
      </font>
      <fill>
        <patternFill patternType="solid">
          <fgColor indexed="64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1" formatCode="_(&quot;$&quot;* #,##0.000_);_(&quot;$&quot;* \(#,##0.000\);_(&quot;$&quot;* &quot;-&quot;?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5B9BD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166" formatCode="0.00\x"/>
    </dxf>
    <dxf>
      <numFmt numFmtId="166" formatCode="0.00\x"/>
      <fill>
        <patternFill patternType="solid">
          <fgColor indexed="64"/>
          <bgColor theme="4" tint="0.79998168889431442"/>
        </patternFill>
      </fill>
    </dxf>
    <dxf>
      <numFmt numFmtId="166" formatCode="0.00\x"/>
      <fill>
        <patternFill patternType="solid">
          <fgColor indexed="64"/>
          <bgColor theme="0"/>
        </patternFill>
      </fill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172" formatCode="_([$$-409]* #,##0.00_);_([$$-409]* \(#,##0.00\);_([$$-409]* &quot;-&quot;??_);_(@_)"/>
    </dxf>
    <dxf>
      <numFmt numFmtId="172" formatCode="_([$$-409]* #,##0.00_);_([$$-409]* \(#,##0.00\);_([$$-409]* &quot;-&quot;??_);_(@_)"/>
    </dxf>
    <dxf>
      <numFmt numFmtId="172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5B9BD5"/>
        </patternFill>
      </fill>
    </dxf>
  </dxfs>
  <tableStyles count="0" defaultTableStyle="TableStyleMedium2" defaultPivotStyle="PivotStyleLight16"/>
  <colors>
    <mruColors>
      <color rgb="FFDDEBF7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Statement'!$AA$5:$AF$5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AF-4DF2-83B4-AEA1AE8DAF03}"/>
            </c:ext>
          </c:extLst>
        </c:ser>
        <c:ser>
          <c:idx val="1"/>
          <c:order val="1"/>
          <c:tx>
            <c:v/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Statement'!$AA$6:$AF$6</c:f>
              <c:numCache>
                <c:formatCode>#,##0</c:formatCode>
                <c:ptCount val="6"/>
                <c:pt idx="0">
                  <c:v>3017554.1429999992</c:v>
                </c:pt>
                <c:pt idx="1">
                  <c:v>3286596.8422734067</c:v>
                </c:pt>
                <c:pt idx="2">
                  <c:v>4225351.2658763342</c:v>
                </c:pt>
                <c:pt idx="3">
                  <c:v>4995287.827022275</c:v>
                </c:pt>
                <c:pt idx="4">
                  <c:v>5980202.4646463189</c:v>
                </c:pt>
                <c:pt idx="5">
                  <c:v>7242363.0854281327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AF-4DF2-83B4-AEA1AE8D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154568"/>
        <c:axId val="777156616"/>
      </c:lineChart>
      <c:catAx>
        <c:axId val="777154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56616"/>
        <c:crosses val="autoZero"/>
        <c:auto val="1"/>
        <c:lblAlgn val="ctr"/>
        <c:lblOffset val="100"/>
        <c:noMultiLvlLbl val="0"/>
      </c:catAx>
      <c:valAx>
        <c:axId val="77715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5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34925</xdr:colOff>
      <xdr:row>6</xdr:row>
      <xdr:rowOff>92075</xdr:rowOff>
    </xdr:from>
    <xdr:to>
      <xdr:col>24</xdr:col>
      <xdr:colOff>708025</xdr:colOff>
      <xdr:row>21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9A6C5-D0C8-288C-E357-698ADD452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oronto-my.sharepoint.com/Users/akulveauli/Downloads/DCF%20Model.xlsx" TargetMode="External"/><Relationship Id="rId1" Type="http://schemas.openxmlformats.org/officeDocument/2006/relationships/externalLinkPath" Target="DCF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"/>
      <sheetName val="IS"/>
      <sheetName val="BS"/>
      <sheetName val="CFS"/>
      <sheetName val="Scenarios"/>
      <sheetName val="NCWC Schedule"/>
      <sheetName val="PP&amp;E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AA989A0-9EA2-4128-8277-8C3D23DD049B}" name="Table28" displayName="Table28" ref="A1:M31" totalsRowShown="0" headerRowDxfId="215" tableBorderDxfId="214">
  <autoFilter ref="A1:M31" xr:uid="{9AA989A0-9EA2-4128-8277-8C3D23DD049B}"/>
  <tableColumns count="13">
    <tableColumn id="1" xr3:uid="{34169904-5928-4274-84B4-BEF1460D35C7}" name="Income Statement"/>
    <tableColumn id="2" xr3:uid="{903686B5-927E-4E6D-A58F-DB3478022E40}" name="Ledgers"/>
    <tableColumn id="3" xr3:uid="{D70FD76F-CEF7-4B96-AC8A-35FB16DA60E5}" name="2011"/>
    <tableColumn id="4" xr3:uid="{094F554E-59A5-4770-AD1A-2E9A6C2E898D}" name="2012"/>
    <tableColumn id="5" xr3:uid="{89C11017-0BDB-4B22-96FB-1681E3B5F29D}" name="2013"/>
    <tableColumn id="6" xr3:uid="{E4F59FB6-CC3F-4D29-B024-DC597B32C8F1}" name="2014"/>
    <tableColumn id="7" xr3:uid="{29CFB618-C5A5-4F81-95B4-3BC4B216E1F1}" name="2015"/>
    <tableColumn id="8" xr3:uid="{27EF881D-DDBF-420E-886D-3FC8669A47E9}" name="-"/>
    <tableColumn id="9" xr3:uid="{C0658A06-0A29-48DB-9D87-78990B1C98E8}" name="2016"/>
    <tableColumn id="10" xr3:uid="{A5B6D607-14EA-4C7F-9182-0FEFF34BBF58}" name="2017"/>
    <tableColumn id="11" xr3:uid="{9EEE519A-D307-4A59-96BB-9C2454ABC494}" name="2018"/>
    <tableColumn id="12" xr3:uid="{319CA2E2-20DF-4669-A530-967619EA146B}" name="2019"/>
    <tableColumn id="13" xr3:uid="{550ACE4F-891B-4331-B7B4-A75BE6F76DA6}" name="20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E218B32-2E76-4490-98F1-499A869D0AF0}" name="Table25" displayName="Table25" ref="A2:F22" totalsRowShown="0" headerRowDxfId="213">
  <autoFilter ref="A2:F22" xr:uid="{EE218B32-2E76-4490-98F1-499A869D0AF0}"/>
  <tableColumns count="6">
    <tableColumn id="1" xr3:uid="{E5A8EFEC-4A21-4E8F-AE26-0D4529A59447}" name="dESCO Cash‑Flow Statement (Indirect)" dataDxfId="212"/>
    <tableColumn id="2" xr3:uid="{76ECAE1A-7E99-4988-B9F8-98129B86B2AE}" name="2016" dataDxfId="211"/>
    <tableColumn id="3" xr3:uid="{8B045812-F921-4F7C-A8C6-E84524ED69B4}" name="2017" dataDxfId="210"/>
    <tableColumn id="4" xr3:uid="{DE68F229-FAC3-45FA-B82E-282BE8AA44C0}" name="2018" dataDxfId="209"/>
    <tableColumn id="5" xr3:uid="{F8513724-74F2-42E7-92B1-3275F9FA92B0}" name="2019" dataDxfId="208"/>
    <tableColumn id="6" xr3:uid="{26FB1E94-82E1-4160-B405-678D94C61784}" name="2020" dataDxfId="20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54AD933-7896-402B-AE09-DF760E387A9F}" name="Table27" displayName="Table27" ref="A3:B16" totalsRowShown="0" headerRowDxfId="206">
  <autoFilter ref="A3:B16" xr:uid="{F54AD933-7896-402B-AE09-DF760E387A9F}"/>
  <tableColumns count="2">
    <tableColumn id="1" xr3:uid="{C9F22D4F-6A80-4FE0-BD2D-D52E771AF403}" name="ASSETS" dataDxfId="205"/>
    <tableColumn id="2" xr3:uid="{884725CD-915F-487B-98B5-AE78BBB2A4A8}" name="2016" dataDxfId="2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99E80AD-1046-485C-A242-7DE19BEB24C8}" name="Table29" displayName="Table29" ref="A18:B33" totalsRowShown="0" headerRowDxfId="203">
  <autoFilter ref="A18:B33" xr:uid="{A99E80AD-1046-485C-A242-7DE19BEB24C8}"/>
  <tableColumns count="2">
    <tableColumn id="1" xr3:uid="{E13F9F2D-075B-4325-ACF0-FF4844BE66E2}" name="LIABILITIES AND SHAREHOLDER'S " dataDxfId="202"/>
    <tableColumn id="2" xr3:uid="{D63AD1C8-9EA1-4671-8123-497B9CC2A524}" name="EQUITY" dataDxfId="2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5503B8A-16C9-407C-B2D8-A58AF7E16F06}" name="Table30" displayName="Table30" ref="E3:F16" totalsRowShown="0" headerRowDxfId="200">
  <autoFilter ref="E3:F16" xr:uid="{D5503B8A-16C9-407C-B2D8-A58AF7E16F06}"/>
  <tableColumns count="2">
    <tableColumn id="1" xr3:uid="{A0928FF1-BA5C-4D4E-9736-C865DAB0231A}" name="ASSETS" dataDxfId="199"/>
    <tableColumn id="2" xr3:uid="{50E45394-8786-46EB-82CB-14A1A4D31493}" name="2017" dataDxfId="1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592FF80-8D54-48D4-B2CE-DA17D4ABB19B}" name="Table31" displayName="Table31" ref="E18:F33" totalsRowShown="0" headerRowDxfId="197">
  <autoFilter ref="E18:F33" xr:uid="{F592FF80-8D54-48D4-B2CE-DA17D4ABB19B}"/>
  <tableColumns count="2">
    <tableColumn id="1" xr3:uid="{64C8EDD6-7F4A-44C1-AD51-8EE37C15B7D6}" name="LIABILITIES AND SHAREHOLDER'S " dataDxfId="196"/>
    <tableColumn id="2" xr3:uid="{DA2D595F-3BD8-43AF-98C1-B9F60F047835}" name="EQUITY" dataDxfId="19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FF273A2-8A95-49E0-AD0B-0309C145B749}" name="Table32" displayName="Table32" ref="I3:J16" totalsRowShown="0" headerRowDxfId="194">
  <autoFilter ref="I3:J16" xr:uid="{0FF273A2-8A95-49E0-AD0B-0309C145B749}"/>
  <tableColumns count="2">
    <tableColumn id="1" xr3:uid="{367F8223-B6F3-4E27-8F92-B60AB428B8E4}" name="ASSETS" dataDxfId="193"/>
    <tableColumn id="2" xr3:uid="{107A974B-8E37-476C-8878-EDD2CEDE395C}" name="2018" dataDxfId="1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8E35F67-FC61-4D42-BC67-7C958D1C7FBE}" name="Table33" displayName="Table33" ref="I18:J33" totalsRowShown="0" headerRowDxfId="191">
  <autoFilter ref="I18:J33" xr:uid="{38E35F67-FC61-4D42-BC67-7C958D1C7FBE}"/>
  <tableColumns count="2">
    <tableColumn id="1" xr3:uid="{A4D7070C-3BDE-4FAF-A310-5B7F95A32011}" name="LIABILITIES AND SHAREHOLDER'S " dataDxfId="190"/>
    <tableColumn id="2" xr3:uid="{3977C52C-AF4F-4261-8BC8-492A634CD2F2}" name="EQUITY" dataDxfId="18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9AF2F1A-2645-4B66-9679-24AEB282E4F0}" name="Table34" displayName="Table34" ref="M3:N16" totalsRowShown="0" headerRowDxfId="188">
  <autoFilter ref="M3:N16" xr:uid="{29AF2F1A-2645-4B66-9679-24AEB282E4F0}"/>
  <tableColumns count="2">
    <tableColumn id="1" xr3:uid="{34526ECF-E995-4A68-A00C-7DEECDD84F89}" name="ASSETS" dataDxfId="187"/>
    <tableColumn id="2" xr3:uid="{9178B595-BE68-46D5-ACF8-8A6CBBB98478}" name="2019" dataDxfId="18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B585BF7-0930-4E51-9886-50523CCF9915}" name="Table35" displayName="Table35" ref="M18:N33" totalsRowShown="0" headerRowDxfId="185">
  <autoFilter ref="M18:N33" xr:uid="{4B585BF7-0930-4E51-9886-50523CCF9915}"/>
  <tableColumns count="2">
    <tableColumn id="1" xr3:uid="{84D9AFBA-EDBF-45FA-AE5F-BB0D6C82A13D}" name="LIABILITIES AND SHAREHOLDER'S " dataDxfId="184"/>
    <tableColumn id="2" xr3:uid="{19CF4775-F41D-42B2-9146-46ECA7EAA238}" name="EQUITY" dataDxfId="18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6E10CC2-02B1-4464-B192-D1B5D208EDF7}" name="Table36" displayName="Table36" ref="Q3:R16" totalsRowShown="0" headerRowDxfId="182">
  <autoFilter ref="Q3:R16" xr:uid="{76E10CC2-02B1-4464-B192-D1B5D208EDF7}"/>
  <tableColumns count="2">
    <tableColumn id="1" xr3:uid="{EDD315A1-377B-4DB7-9E93-564C08D273A5}" name="ASSETS" dataDxfId="181"/>
    <tableColumn id="2" xr3:uid="{B4366C0E-23F9-475A-BE80-9C0946D7C17B}" name="2020" dataDxfId="18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3621E9E-C28C-4C87-9621-C29A83CADD20}" name="Table37" displayName="Table37" ref="Q18:R33" totalsRowShown="0" headerRowDxfId="179">
  <autoFilter ref="Q18:R33" xr:uid="{E3621E9E-C28C-4C87-9621-C29A83CADD20}"/>
  <tableColumns count="2">
    <tableColumn id="1" xr3:uid="{CB4DE7AB-9AA1-436B-969D-FAE485469B00}" name="LIABILITIES AND SHAREHOLDER'S " dataDxfId="178"/>
    <tableColumn id="2" xr3:uid="{EB5DA3DB-1C6B-4552-9AFF-761BE8DEBF0F}" name="EQUITY" dataDxfId="17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376E7D5-46C9-465C-9D98-51238E95353E}" name="Table24" displayName="Table24" ref="A3:D9" totalsRowShown="0">
  <autoFilter ref="A3:D9" xr:uid="{2376E7D5-46C9-465C-9D98-51238E95353E}"/>
  <tableColumns count="4">
    <tableColumn id="1" xr3:uid="{E10BF632-CFFA-454B-AD7C-7B51F66634E6}" name="Sources"/>
    <tableColumn id="2" xr3:uid="{2ACE7563-1722-4F9E-9831-954EA5446695}" name="Amount" dataDxfId="176"/>
    <tableColumn id="3" xr3:uid="{6813FB3D-9A77-46F4-AC5D-F2EFFB5E1151}" name="Uses"/>
    <tableColumn id="4" xr3:uid="{C171A72D-38DA-4A14-9ED5-B4060FA0A544}" name="Amount:" dataDxfId="17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6D2B53F-A5A3-4A44-914A-EF0DB86B5EE3}" name="Table26" displayName="Table26" ref="F3:I9" totalsRowShown="0">
  <autoFilter ref="F3:I9" xr:uid="{56D2B53F-A5A3-4A44-914A-EF0DB86B5EE3}"/>
  <tableColumns count="4">
    <tableColumn id="1" xr3:uid="{D93E1D5D-1185-4506-A57A-7C7C99515161}" name="Sources"/>
    <tableColumn id="2" xr3:uid="{2FE6D44B-AE79-454A-92D7-4431E15E8B54}" name="Amount" dataDxfId="174"/>
    <tableColumn id="3" xr3:uid="{3E180022-82E0-4960-A77C-619F72A20B0F}" name="Uses"/>
    <tableColumn id="4" xr3:uid="{DB78C744-38CE-4CC4-887F-E0F0E7D88B79}" name="Amount:" dataDxfId="17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870AAB2-CB8A-43E1-9E29-06F0892A5718}" name="Table38" displayName="Table38" ref="K3:N9" totalsRowShown="0">
  <autoFilter ref="K3:N9" xr:uid="{7870AAB2-CB8A-43E1-9E29-06F0892A5718}"/>
  <tableColumns count="4">
    <tableColumn id="1" xr3:uid="{12F0CA13-33FC-4E33-84BE-82115ACABF16}" name="Sources"/>
    <tableColumn id="2" xr3:uid="{0256A5A8-A515-4835-9BEB-4431A11D0755}" name="Amount" dataDxfId="172"/>
    <tableColumn id="3" xr3:uid="{4FCD341D-D37E-4396-825F-5557FE771A4B}" name="Uses"/>
    <tableColumn id="4" xr3:uid="{C7E18256-D37F-4D41-98FF-AEA3D68A648F}" name="Amount:" dataDxfId="17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1D7D2F0-D138-4767-A85B-A0355694B0FD}" name="Table39" displayName="Table39" ref="P3:S9" totalsRowShown="0">
  <autoFilter ref="P3:S9" xr:uid="{B1D7D2F0-D138-4767-A85B-A0355694B0FD}"/>
  <tableColumns count="4">
    <tableColumn id="1" xr3:uid="{F818ACEC-C00A-4724-ADCD-6450C76358B5}" name="Sources"/>
    <tableColumn id="2" xr3:uid="{CFC5F54A-F847-4C3D-9943-CCB5817F2B06}" name="Amount" dataDxfId="170"/>
    <tableColumn id="3" xr3:uid="{5A9E6B4C-B1C1-487E-BE14-E6DEB8A93E74}" name="Uses"/>
    <tableColumn id="4" xr3:uid="{C7A443D2-CCC6-45D9-9965-D5246324EDAA}" name="Amount:" dataDxfId="16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C1F8A0A-27F0-4B7B-AD4C-DF5C321A23A6}" name="Table40" displayName="Table40" ref="U3:X9" totalsRowShown="0">
  <autoFilter ref="U3:X9" xr:uid="{0C1F8A0A-27F0-4B7B-AD4C-DF5C321A23A6}"/>
  <tableColumns count="4">
    <tableColumn id="1" xr3:uid="{53D4BD78-E288-4C19-AA76-4C469009F785}" name="Sources"/>
    <tableColumn id="2" xr3:uid="{536FC6A1-C234-4E7C-8931-CBBB6D5D9C7B}" name="Amount" dataDxfId="168"/>
    <tableColumn id="3" xr3:uid="{C341D0C9-6AED-4D68-9FAA-5964E9350F57}" name="Uses"/>
    <tableColumn id="4" xr3:uid="{E1ACA41B-3BF5-4B6B-BD99-10615AC3B283}" name="Amount:" dataDxfId="16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10A031-C306-4929-842D-BB244D1EB2C2}" name="Table23" displayName="Table23" ref="B2:M43" totalsRowShown="0" headerRowDxfId="166" dataDxfId="165" tableBorderDxfId="164" dataCellStyle="Comma">
  <autoFilter ref="B2:M43" xr:uid="{3010A031-C306-4929-842D-BB244D1EB2C2}"/>
  <tableColumns count="12">
    <tableColumn id="1" xr3:uid="{1B703FA8-3843-4D3D-BC23-2E453321242A}" name="Rev &amp; Exp Forecasts" dataDxfId="163"/>
    <tableColumn id="2" xr3:uid="{3D4387E4-A9A1-4ED2-B5D7-E449E81FF69B}" name="Ledgers" dataDxfId="162"/>
    <tableColumn id="3" xr3:uid="{F0B70CD9-9B71-4DD0-89CE-D8E2F4CA94F7}" name="2011"/>
    <tableColumn id="4" xr3:uid="{88CCE34E-577B-4DCB-9DB1-FAF3C1448FB9}" name="2012"/>
    <tableColumn id="5" xr3:uid="{741FAC47-43F2-4288-9024-50FD97F152DA}" name="2013"/>
    <tableColumn id="6" xr3:uid="{C74DF8CF-0764-4730-A9A8-EEFE5AE29031}" name="2014"/>
    <tableColumn id="7" xr3:uid="{881B1E9E-7CCB-4AEE-A238-1D1BDA2B547B}" name="2015"/>
    <tableColumn id="8" xr3:uid="{7BCE1288-1DF6-4521-925F-DE9D456E2DE5}" name="2016" dataDxfId="161" dataCellStyle="Comma"/>
    <tableColumn id="9" xr3:uid="{8CE46A2D-C89B-4D79-B43B-5BA16A5F278D}" name="2017" dataDxfId="160" dataCellStyle="Comma"/>
    <tableColumn id="10" xr3:uid="{440C8DB7-5FAC-4A73-8CF3-B4D54F76A7AC}" name="2018" dataDxfId="159" dataCellStyle="Comma"/>
    <tableColumn id="11" xr3:uid="{3A9BAC1A-9E6D-4712-A833-3FCAE6113FFD}" name="2019" dataDxfId="158" dataCellStyle="Comma"/>
    <tableColumn id="12" xr3:uid="{CD6896B2-73EA-41D3-8739-B29AE2A9E037}" name="2020" dataDxfId="157" dataCellStyle="Comm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E9EBF8-04DB-4C9D-9EE3-E8303CF251FF}" name="Table7" displayName="Table7" ref="Z2:Z7" totalsRowShown="0" headerRowDxfId="156" dataDxfId="155">
  <autoFilter ref="Z2:Z7" xr:uid="{60E9EBF8-04DB-4C9D-9EE3-E8303CF251FF}"/>
  <tableColumns count="1">
    <tableColumn id="1" xr3:uid="{37F39B61-B4F7-4673-8E44-681DB5D5ACE2}" name="INCOME TAXES" dataDxfId="15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C0604-4805-45B4-A516-EB40677E7281}" name="Table1" displayName="Table1" ref="N2:W8" totalsRowShown="0">
  <autoFilter ref="N2:W8" xr:uid="{E56C0604-4805-45B4-A516-EB40677E7281}"/>
  <tableColumns count="10">
    <tableColumn id="1" xr3:uid="{E2EC849D-5F0C-4D94-BD79-9EDB08E767DD}" name="Debt Package"/>
    <tableColumn id="2" xr3:uid="{301A20A9-375A-42F6-9CB8-4EA35F65CD02}" name="Year"/>
    <tableColumn id="3" xr3:uid="{A135B7E6-D192-42E1-B907-70786E457959}" name="Debt"/>
    <tableColumn id="4" xr3:uid="{0909CEA8-561A-4E6E-9619-4C5D85169C9C}" name="Ebitda" dataDxfId="153"/>
    <tableColumn id="5" xr3:uid="{43A82519-6DF5-494C-AC97-0721DA63E39A}" name="Debt/Ebitda">
      <calculatedColumnFormula>P3/Q3</calculatedColumnFormula>
    </tableColumn>
    <tableColumn id="6" xr3:uid="{60F14CF1-B8B6-49C9-818F-BC494F14A5EB}" name="DEBT/EBITDA Covenant">
      <calculatedColumnFormula>S2</calculatedColumnFormula>
    </tableColumn>
    <tableColumn id="7" xr3:uid="{84A0EBB1-370A-4B85-8475-B62447E64EA5}" name="Fixed Charge Coverage" dataDxfId="152">
      <calculatedColumnFormula>(Q3-Z3)/E3</calculatedColumnFormula>
    </tableColumn>
    <tableColumn id="8" xr3:uid="{ACCB0F71-5F59-40F2-9476-53BB73194FD2}" name="FCC Limit" dataDxfId="151"/>
    <tableColumn id="10" xr3:uid="{E157CDC8-FB3F-4137-8492-E01EE2AFFB2F}" name="Debt/EBITDA BREACH" dataDxfId="150">
      <calculatedColumnFormula>IF(Table1[[#This Row],[FCC Limit]]&lt;Table1[[#This Row],[Fixed Charge Coverage]]," ", "Breach")</calculatedColumnFormula>
    </tableColumn>
    <tableColumn id="9" xr3:uid="{610E812D-72F9-4CFE-B579-74D2E0429F15}" name="FCC Breach" dataDxfId="149">
      <calculatedColumnFormula>IF(Table1[[#This Row],[DEBT/EBITDA Covenant]]&gt;Table1[[#This Row],[Debt/Ebitda]]," ", "Breach")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DB9C99-36D3-4000-ABFD-BA0FD543409F}" name="Table8" displayName="Table8" ref="N9:W14" totalsRowShown="0">
  <autoFilter ref="N9:W14" xr:uid="{6ADB9C99-36D3-4000-ABFD-BA0FD543409F}"/>
  <tableColumns count="10">
    <tableColumn id="1" xr3:uid="{49C7B534-ABCD-4855-833E-A0E279F48D5E}" name="Debt Package"/>
    <tableColumn id="2" xr3:uid="{CA0ED791-54E8-4E4C-AA92-A9EFDA96DEB3}" name="Year"/>
    <tableColumn id="3" xr3:uid="{4276B402-8ABD-432D-A5FB-203CA8A3478E}" name="Debt">
      <calculatedColumnFormula>Table4[[#This Row],[Beginning Debt ($M)]]</calculatedColumnFormula>
    </tableColumn>
    <tableColumn id="4" xr3:uid="{8F9554C0-1DF4-4CA0-9263-DF713070C6BB}" name="Ebitda" dataDxfId="148">
      <calculatedColumnFormula>Q3</calculatedColumnFormula>
    </tableColumn>
    <tableColumn id="5" xr3:uid="{B34A1EF6-FFDC-4870-986B-8676EEB6A149}" name="Debt/Ebitda">
      <calculatedColumnFormula>P10/Q10</calculatedColumnFormula>
    </tableColumn>
    <tableColumn id="6" xr3:uid="{B6F1CEA8-E5CA-4620-9562-807CE62FAF9A}" name="Covenant">
      <calculatedColumnFormula>S9</calculatedColumnFormula>
    </tableColumn>
    <tableColumn id="7" xr3:uid="{F6E27669-7FD1-4331-873B-F1A26C1FCD38}" name="Fixed Charge Coverage" dataDxfId="147">
      <calculatedColumnFormula>(Q10-Z3)/E10</calculatedColumnFormula>
    </tableColumn>
    <tableColumn id="8" xr3:uid="{4FE84E0D-1508-46B9-A3A2-6C439143AA50}" name="FCC Limit" dataDxfId="146"/>
    <tableColumn id="10" xr3:uid="{39BDB72B-C147-4FB7-B615-E18686196F56}" name="Debt/EBITDA BREACH" dataDxfId="145">
      <calculatedColumnFormula>IF(Table8[[#This Row],[Covenant]]&gt;Table8[[#This Row],[Debt/Ebitda]]," ", "Breach")</calculatedColumnFormula>
    </tableColumn>
    <tableColumn id="9" xr3:uid="{1928809C-E38D-4E0D-BCFF-9676A31AD61F}" name="FCC Breach">
      <calculatedColumnFormula>IF(Table8[[#This Row],[FCC Limit]]&lt;Table8[[#This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10D40E-A176-4EEE-927D-8A3E7D2F63CF}" name="Table9" displayName="Table9" ref="N65:W70" totalsRowShown="0">
  <autoFilter ref="N65:W70" xr:uid="{DF10D40E-A176-4EEE-927D-8A3E7D2F63CF}"/>
  <tableColumns count="10">
    <tableColumn id="1" xr3:uid="{CBB368D8-FA2D-4D62-A09E-6491F370FBFA}" name="Debt Package"/>
    <tableColumn id="2" xr3:uid="{74BCB4B8-8488-4957-B38C-F724A7BF4076}" name="Year"/>
    <tableColumn id="3" xr3:uid="{F9F30C22-7306-47CE-BA4E-21ACC2CCD032}" name="Debt">
      <calculatedColumnFormula>Table15[[#This Row],[Beginning Debt ($M)]]</calculatedColumnFormula>
    </tableColumn>
    <tableColumn id="4" xr3:uid="{3602957D-46A9-4825-A6C9-0A186E2CF6AD}" name="Ebitda" dataDxfId="144">
      <calculatedColumnFormula>Q45</calculatedColumnFormula>
    </tableColumn>
    <tableColumn id="5" xr3:uid="{9ABE379C-FD21-48B9-894F-7686E412E6F8}" name="Debt/Ebitda">
      <calculatedColumnFormula>P66/Q66</calculatedColumnFormula>
    </tableColumn>
    <tableColumn id="6" xr3:uid="{9472EDC6-7189-4926-AC9D-62FACA3A6D71}" name="Covenant"/>
    <tableColumn id="7" xr3:uid="{515111DC-A403-4581-AD78-2929EF4E8E01}" name="Fixed Charge Coverage" dataDxfId="143">
      <calculatedColumnFormula>(Q66-Z3)/(F66+G66)</calculatedColumnFormula>
    </tableColumn>
    <tableColumn id="8" xr3:uid="{7E06DC17-5B3E-427C-BEEA-C3EBE6C9A087}" name="FCC Limit" dataDxfId="142"/>
    <tableColumn id="10" xr3:uid="{9E8FD590-700F-4C5D-B34B-434E8D2EE422}" name="Debt/EBITDA BREACH" dataDxfId="141">
      <calculatedColumnFormula>IF(Table9[[#This Row],[Covenant]]&gt;Table9[[#This Row],[Debt/Ebitda]]," ", "Breach")</calculatedColumnFormula>
    </tableColumn>
    <tableColumn id="9" xr3:uid="{A402E041-0682-45C3-89DB-8E956B05159E}" name="FCC Breach" dataDxfId="140">
      <calculatedColumnFormula>IF(Table9[[#This Row],[FCC Limit]]&lt;Table9[[#This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32A512-E567-4516-99CD-1CBC672502B6}" name="Table2" displayName="Table2" ref="B2:I7" totalsRowShown="0" headerRowDxfId="139" tableBorderDxfId="138">
  <autoFilter ref="B2:I7" xr:uid="{E532A512-E567-4516-99CD-1CBC672502B6}"/>
  <tableColumns count="8">
    <tableColumn id="1" xr3:uid="{1CC480E8-45DA-4BE0-8FB3-AE8BC89B39F2}" name="Debt Package"/>
    <tableColumn id="2" xr3:uid="{4545101B-4775-4109-B43F-2D77D0BE845F}" name="Year"/>
    <tableColumn id="3" xr3:uid="{7A0C92C9-9D6D-40DC-A691-DC6560801C5B}" name="Beginning Debt ($M)">
      <calculatedColumnFormula>H2</calculatedColumnFormula>
    </tableColumn>
    <tableColumn id="4" xr3:uid="{B742A205-14FF-4719-8116-0BCAD54FDFDF}" name="Total Payment"/>
    <tableColumn id="5" xr3:uid="{31C7D9E9-F4C6-45FA-9F72-268760CA9F14}" name="Principle Payment">
      <calculatedColumnFormula>E3-G3</calculatedColumnFormula>
    </tableColumn>
    <tableColumn id="6" xr3:uid="{B3FE0497-514D-4418-BB83-C91380D00F60}" name="Interest Expense">
      <calculatedColumnFormula>((H3+D3)/2)*I3</calculatedColumnFormula>
    </tableColumn>
    <tableColumn id="7" xr3:uid="{848040BB-EE75-47DB-A2D8-D58A35AADFF0}" name="Ending Debt ($M)">
      <calculatedColumnFormula>D3-E3</calculatedColumnFormula>
    </tableColumn>
    <tableColumn id="8" xr3:uid="{C77D049D-43B0-43CC-B22C-3762DC027DD5}" name="Interest Rate">
      <calculatedColumnFormula>I2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B659AE-1271-49D2-A0BD-508220F05AE5}" name="Table4" displayName="Table4" ref="B9:I14" totalsRowShown="0" headerRowDxfId="137" dataDxfId="136" tableBorderDxfId="135">
  <autoFilter ref="B9:I14" xr:uid="{B8B659AE-1271-49D2-A0BD-508220F05AE5}"/>
  <tableColumns count="8">
    <tableColumn id="1" xr3:uid="{D808E2EB-B6A5-4A4E-B21E-D843B7B8E329}" name="Debt Package"/>
    <tableColumn id="2" xr3:uid="{19305017-01C6-448A-ABC1-2C862BF732B0}" name="Year"/>
    <tableColumn id="3" xr3:uid="{B62DAF88-1668-4F06-B94A-0772B4776758}" name="Beginning Debt ($M)" dataDxfId="134">
      <calculatedColumnFormula>H9</calculatedColumnFormula>
    </tableColumn>
    <tableColumn id="4" xr3:uid="{7EDCA6A5-94A5-418B-B8AC-85DA73D6607D}" name="Total Payment" dataDxfId="133"/>
    <tableColumn id="5" xr3:uid="{B2542BB1-D469-4753-953D-40FAF63F1E2D}" name="Principle Payment" dataDxfId="132">
      <calculatedColumnFormula>E10-G10</calculatedColumnFormula>
    </tableColumn>
    <tableColumn id="6" xr3:uid="{468A586D-6470-4D9E-8251-CFA6964E6D7B}" name="Interest Expense" dataDxfId="131">
      <calculatedColumnFormula>((H10+D10)/2)*I10</calculatedColumnFormula>
    </tableColumn>
    <tableColumn id="7" xr3:uid="{DC9359F1-91CD-4E96-A7D6-72DB374EE8FD}" name="Ending Debt ($M)" dataDxfId="130">
      <calculatedColumnFormula>D10-E10</calculatedColumnFormula>
    </tableColumn>
    <tableColumn id="8" xr3:uid="{28BA3376-D0C3-4DC8-9539-DCAC3AD3E9CA}" name="Interest Rate" dataDxfId="129">
      <calculatedColumnFormula>I9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CC70A5-B5A6-4E71-9520-3FEEF6959965}" name="Table5" displayName="Table5" ref="B16:I21" totalsRowShown="0" headerRowDxfId="128" dataDxfId="127" tableBorderDxfId="126">
  <autoFilter ref="B16:I21" xr:uid="{97CC70A5-B5A6-4E71-9520-3FEEF6959965}"/>
  <tableColumns count="8">
    <tableColumn id="1" xr3:uid="{CF66C714-458C-478B-854E-12E9E35AC2F8}" name="Debt Package" dataDxfId="125"/>
    <tableColumn id="2" xr3:uid="{567888B5-D875-4F4B-96B0-03724FDCF9CA}" name="Year" dataDxfId="124"/>
    <tableColumn id="3" xr3:uid="{429CD6A6-48AD-4E87-8EB3-CAC1095EA152}" name="Beginning Debt ($M)" dataDxfId="123">
      <calculatedColumnFormula>H16</calculatedColumnFormula>
    </tableColumn>
    <tableColumn id="4" xr3:uid="{8F954BD7-C908-4E2C-96ED-BB974046A09D}" name="Total Payment" dataDxfId="122"/>
    <tableColumn id="5" xr3:uid="{0EE201EC-256C-4CE0-B6EB-660C0A3E7EAC}" name="Principle Payment" dataDxfId="121">
      <calculatedColumnFormula>E17-G17</calculatedColumnFormula>
    </tableColumn>
    <tableColumn id="6" xr3:uid="{F3A0EC85-607B-4491-BEA2-6983B72560BC}" name="Interest Expense" dataDxfId="120">
      <calculatedColumnFormula>((H17+D17)/2)*I17</calculatedColumnFormula>
    </tableColumn>
    <tableColumn id="7" xr3:uid="{6BA37AB0-31E9-4737-A2D4-CD13B8DBF4C3}" name="Ending Debt ($M)" dataDxfId="119">
      <calculatedColumnFormula>D17-E17</calculatedColumnFormula>
    </tableColumn>
    <tableColumn id="8" xr3:uid="{1363085C-C196-4627-AB73-F88F7F65119F}" name="Interest Rate">
      <calculatedColumnFormula>I16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46324F-80F8-434A-9DAD-41D669ED683C}" name="Table6" displayName="Table6" ref="B23:I28" totalsRowShown="0" headerRowDxfId="118" dataDxfId="117" tableBorderDxfId="116">
  <autoFilter ref="B23:I28" xr:uid="{E846324F-80F8-434A-9DAD-41D669ED683C}"/>
  <tableColumns count="8">
    <tableColumn id="1" xr3:uid="{139D3464-7D2F-474B-8830-716883048F0A}" name="Debt Package"/>
    <tableColumn id="2" xr3:uid="{2D81BBEB-0400-46E0-9084-FD0620BFD08C}" name="Year" dataDxfId="115"/>
    <tableColumn id="3" xr3:uid="{2A58EE62-B364-4233-94C0-5E51CA5505EA}" name="Beginning Debt ($M)" dataDxfId="114">
      <calculatedColumnFormula>H23</calculatedColumnFormula>
    </tableColumn>
    <tableColumn id="4" xr3:uid="{F9BF3BCE-FDF7-43B6-9654-80BC6AEB5808}" name="Total Payment" dataDxfId="113"/>
    <tableColumn id="5" xr3:uid="{9B327DB4-3DEF-4963-BBC6-9D240E66552D}" name="Principle Payment" dataDxfId="112">
      <calculatedColumnFormula>E24-G24</calculatedColumnFormula>
    </tableColumn>
    <tableColumn id="6" xr3:uid="{17971337-F4CC-4C3B-AFF1-BFACACF8C603}" name="Interest Expense" dataDxfId="111">
      <calculatedColumnFormula>((H24+D24)/2)*I24</calculatedColumnFormula>
    </tableColumn>
    <tableColumn id="7" xr3:uid="{633CDBA7-973D-433A-A3EB-00C8403652B1}" name="Ending Debt ($M)" dataDxfId="110">
      <calculatedColumnFormula>D24-E24</calculatedColumnFormula>
    </tableColumn>
    <tableColumn id="8" xr3:uid="{6D118D67-4A55-4CB6-BA86-CBAD520784A4}" name="Interest Rate" dataDxfId="109">
      <calculatedColumnFormula>I23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E92117-E0AA-46D1-A642-8D325CC60093}" name="Table10" displayName="Table10" ref="B30:I35" totalsRowShown="0" headerRowDxfId="108" tableBorderDxfId="107">
  <autoFilter ref="B30:I35" xr:uid="{20E92117-E0AA-46D1-A642-8D325CC60093}"/>
  <tableColumns count="8">
    <tableColumn id="1" xr3:uid="{C611CBE8-75C8-4A17-BBEB-C1CCBA335506}" name="Debt Package"/>
    <tableColumn id="2" xr3:uid="{2AD6F038-7C7D-4AAF-8E8E-3DEE2FB133F2}" name="Year"/>
    <tableColumn id="3" xr3:uid="{34567535-1FB6-4747-B409-A84A7FFBB750}" name="Beginning Debt ($M)">
      <calculatedColumnFormula>H30</calculatedColumnFormula>
    </tableColumn>
    <tableColumn id="4" xr3:uid="{3F83E194-EA77-4282-BE72-AAB713B53041}" name="Total Payment"/>
    <tableColumn id="5" xr3:uid="{C6E02306-E7CE-4FE3-A40E-17A10C40935D}" name="Principle Payment">
      <calculatedColumnFormula>E31-G31</calculatedColumnFormula>
    </tableColumn>
    <tableColumn id="6" xr3:uid="{E68091CE-11A6-4B70-B075-695189380913}" name="Interest Expense">
      <calculatedColumnFormula>((H31+D31)/2)*I31</calculatedColumnFormula>
    </tableColumn>
    <tableColumn id="7" xr3:uid="{81ED54EE-81D1-4A4E-958A-C48B917ABA31}" name="Ending Debt ($M)">
      <calculatedColumnFormula>D31-E31</calculatedColumnFormula>
    </tableColumn>
    <tableColumn id="8" xr3:uid="{41DD7459-E91A-43D4-8256-741BD2898154}" name="Interest Rate">
      <calculatedColumnFormula>I30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5D7870-83CF-4CBD-84F6-6BD6B721CAA1}" name="Table11" displayName="Table11" ref="B37:I42" totalsRowShown="0" headerRowDxfId="106" dataDxfId="105" tableBorderDxfId="104">
  <autoFilter ref="B37:I42" xr:uid="{775D7870-83CF-4CBD-84F6-6BD6B721CAA1}"/>
  <tableColumns count="8">
    <tableColumn id="1" xr3:uid="{EAA9E913-2261-4BBB-ABAA-E19B5344AD10}" name="Debt Package" dataDxfId="103"/>
    <tableColumn id="2" xr3:uid="{4029602A-7B0A-4068-A581-2985B1CB040B}" name="Year" dataDxfId="102"/>
    <tableColumn id="3" xr3:uid="{A5D59FCC-66F4-43F5-AA93-A621510F8D32}" name="Beginning Debt ($M)" dataDxfId="101">
      <calculatedColumnFormula>'5.d IRR and COC Forecasts'!F8</calculatedColumnFormula>
    </tableColumn>
    <tableColumn id="4" xr3:uid="{F6C3321A-A6DD-4D92-B720-E273B0F1068C}" name="Total Payment" dataDxfId="100"/>
    <tableColumn id="5" xr3:uid="{9080A2BA-B539-44FF-BB4C-B64665286C26}" name="Principle Payment" dataDxfId="99"/>
    <tableColumn id="6" xr3:uid="{3E7F35F8-D299-4EA7-AE84-ACB5AED96370}" name="Interest Expense" dataDxfId="98">
      <calculatedColumnFormula>((H38+D38)/2)*I38</calculatedColumnFormula>
    </tableColumn>
    <tableColumn id="7" xr3:uid="{10047956-FF07-408E-8A86-CF2D6BB71A6F}" name="Ending Debt ($M)" dataDxfId="97">
      <calculatedColumnFormula>D38-Table11[[#This Row],[Total Payment]]</calculatedColumnFormula>
    </tableColumn>
    <tableColumn id="8" xr3:uid="{0E3A021A-735E-4E29-B24B-771EB5C69FA9}" name="Interest Rate" dataDxfId="96">
      <calculatedColumnFormula>I37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2444F0-1177-4420-8CD2-CC2CA771A2B2}" name="Table12" displayName="Table12" ref="B44:I49" totalsRowShown="0" headerRowDxfId="95" dataDxfId="94" tableBorderDxfId="93">
  <autoFilter ref="B44:I49" xr:uid="{252444F0-1177-4420-8CD2-CC2CA771A2B2}"/>
  <tableColumns count="8">
    <tableColumn id="1" xr3:uid="{628AD720-9250-47EE-BC8C-B02A47F631D2}" name="Debt Package" dataDxfId="92"/>
    <tableColumn id="2" xr3:uid="{1FA897C6-0361-4760-A5DA-E2DFC709C5AA}" name="Year" dataDxfId="91"/>
    <tableColumn id="3" xr3:uid="{D599D10D-C11A-4605-BA06-54514783BEEA}" name="Beginning Debt ($M)" dataDxfId="90">
      <calculatedColumnFormula>H44</calculatedColumnFormula>
    </tableColumn>
    <tableColumn id="4" xr3:uid="{4E8E0ED3-4C54-4BFA-AA95-EFF1335BCFB4}" name="Total Payment" dataDxfId="89"/>
    <tableColumn id="5" xr3:uid="{DD5D88D2-ECA5-4BFE-8B29-6A578F54C477}" name="Principle Payment" dataDxfId="88"/>
    <tableColumn id="6" xr3:uid="{23E67B62-1CCE-4F5F-94C1-932CB5BA48FE}" name="Interest Expense" dataDxfId="87">
      <calculatedColumnFormula>((H45+D45)/2)*I45</calculatedColumnFormula>
    </tableColumn>
    <tableColumn id="7" xr3:uid="{9B95E41F-FD1B-4466-8092-672220166800}" name="Ending Debt ($M)" dataDxfId="86">
      <calculatedColumnFormula>D45-E45</calculatedColumnFormula>
    </tableColumn>
    <tableColumn id="8" xr3:uid="{5575543E-B6BC-4AB9-810B-4D4DCFD7CFC7}" name="Interest Rate" dataDxfId="85">
      <calculatedColumnFormula>I44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0E674D-C0CA-4FE9-A486-3F528A552949}" name="Table13" displayName="Table13" ref="B51:I56" totalsRowShown="0" headerRowDxfId="84" dataDxfId="83" tableBorderDxfId="82">
  <autoFilter ref="B51:I56" xr:uid="{3C0E674D-C0CA-4FE9-A486-3F528A552949}"/>
  <tableColumns count="8">
    <tableColumn id="1" xr3:uid="{9B42837F-1690-422C-85C6-234CD3B8397E}" name="Debt Package" dataDxfId="81"/>
    <tableColumn id="2" xr3:uid="{42BA146D-1A8B-46D4-83F8-9B24F2E9438E}" name="Year" dataDxfId="80"/>
    <tableColumn id="3" xr3:uid="{6FBC6D7E-E78C-4F0F-A32C-20839EA5DAB4}" name="Beginning Debt ($M)" dataDxfId="79">
      <calculatedColumnFormula>H51</calculatedColumnFormula>
    </tableColumn>
    <tableColumn id="4" xr3:uid="{E8505ABF-BA4A-4829-B82E-651DDE91DA60}" name="Total Payment" dataDxfId="78"/>
    <tableColumn id="5" xr3:uid="{3C57AFD9-E1A0-4D96-B48B-458530A6C956}" name="Principle Payment" dataDxfId="77"/>
    <tableColumn id="6" xr3:uid="{DF3EFAB9-7814-4484-B840-CB16A8F4116E}" name="Interest Expense" dataDxfId="76">
      <calculatedColumnFormula>((H52+D52)/2)*I52</calculatedColumnFormula>
    </tableColumn>
    <tableColumn id="7" xr3:uid="{E9776DBF-3FD6-4A8F-A5A2-3206F6756CE8}" name="Ending Debt ($M)" dataDxfId="75">
      <calculatedColumnFormula>D52-E52</calculatedColumnFormula>
    </tableColumn>
    <tableColumn id="8" xr3:uid="{BD80E9E7-F242-48B2-AB66-22D94A61DC62}" name="Interest Rate" dataDxfId="74">
      <calculatedColumnFormula>I51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86956B-6E8B-4BBD-8C72-5D818C9319B8}" name="Table14" displayName="Table14" ref="B58:I63" totalsRowShown="0" headerRowDxfId="73" dataDxfId="72" tableBorderDxfId="71">
  <autoFilter ref="B58:I63" xr:uid="{7686956B-6E8B-4BBD-8C72-5D818C9319B8}"/>
  <tableColumns count="8">
    <tableColumn id="1" xr3:uid="{130ED034-23CC-4F44-9F1F-81483544FA80}" name="Debt Package" dataDxfId="70"/>
    <tableColumn id="2" xr3:uid="{BC9A10EF-F774-4405-ABEB-3D6C7F369A85}" name="Year" dataDxfId="69"/>
    <tableColumn id="3" xr3:uid="{1D08FADE-91A7-4D3F-8FCD-E1A12F23E189}" name="Beginning Debt ($M)" dataDxfId="68">
      <calculatedColumnFormula>H58</calculatedColumnFormula>
    </tableColumn>
    <tableColumn id="4" xr3:uid="{D13B16D0-BC05-45E7-A349-599B866CCAB6}" name="Total Payment" dataDxfId="67"/>
    <tableColumn id="5" xr3:uid="{B5CD6E77-EA2B-4D19-AC02-A69FE6D5152F}" name="Principle Payment" dataDxfId="66"/>
    <tableColumn id="6" xr3:uid="{90564BFA-45C3-4C67-9BEB-D7B443AEE5A4}" name="Interest Expense" dataDxfId="65">
      <calculatedColumnFormula>((H59+D59)/2)*I59</calculatedColumnFormula>
    </tableColumn>
    <tableColumn id="7" xr3:uid="{415E1529-8159-4DD7-90CA-19F67AF12E9D}" name="Ending Debt ($M)" dataDxfId="64">
      <calculatedColumnFormula>D59-E59</calculatedColumnFormula>
    </tableColumn>
    <tableColumn id="8" xr3:uid="{52CD4076-05F0-478C-BB64-8C45CD681E58}" name="Interest Rate" dataDxfId="63">
      <calculatedColumnFormula>I58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F74C63D-6263-40A1-8101-5E203034206C}" name="Table15" displayName="Table15" ref="B65:I70" totalsRowShown="0" headerRowDxfId="62" dataDxfId="61" tableBorderDxfId="60">
  <autoFilter ref="B65:I70" xr:uid="{BF74C63D-6263-40A1-8101-5E203034206C}"/>
  <tableColumns count="8">
    <tableColumn id="1" xr3:uid="{72EBBA3A-E76C-4068-B261-7A47665C369A}" name="Debt Package" dataDxfId="59"/>
    <tableColumn id="2" xr3:uid="{CA2919E4-BAD5-4772-BB64-4054EE2B025B}" name="Year" dataDxfId="58"/>
    <tableColumn id="3" xr3:uid="{5C6FBCEB-E575-45E6-84A3-885C4069CEA3}" name="Beginning Debt ($M)" dataDxfId="57">
      <calculatedColumnFormula>H65</calculatedColumnFormula>
    </tableColumn>
    <tableColumn id="4" xr3:uid="{1C88BCB8-ACBC-4AF7-A849-47BF90C1C5FB}" name="Total Payment" dataDxfId="56"/>
    <tableColumn id="5" xr3:uid="{549807DE-8C3D-494B-8C17-96A7E1E2A24D}" name="Principle Payment" dataDxfId="55"/>
    <tableColumn id="6" xr3:uid="{A9C4F65A-B3EF-48A2-880F-EEE53F22DCA3}" name="Interest Expense" dataDxfId="54">
      <calculatedColumnFormula>((H66+D66)/2)*I66</calculatedColumnFormula>
    </tableColumn>
    <tableColumn id="7" xr3:uid="{1FC86D21-9675-4D1E-87A5-243FC530A964}" name="Ending Debt ($M)" dataDxfId="53">
      <calculatedColumnFormula>D66-E66</calculatedColumnFormula>
    </tableColumn>
    <tableColumn id="8" xr3:uid="{087BBAF5-AFD2-40E0-AFF1-2728EDC440A5}" name="Interest Rate" dataDxfId="52">
      <calculatedColumnFormula>I65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B7B45AB-CF70-475A-8454-3FABE056DE05}" name="Table16" displayName="Table16" ref="N16:W21" totalsRowShown="0">
  <autoFilter ref="N16:W21" xr:uid="{BB7B45AB-CF70-475A-8454-3FABE056DE05}"/>
  <tableColumns count="10">
    <tableColumn id="1" xr3:uid="{9F1BAA5E-1E0F-4CF5-8DCB-563A6A73C2A8}" name="Debt Package"/>
    <tableColumn id="2" xr3:uid="{F933C3B4-E63B-4042-910F-3E6B5F4F3EB2}" name="Year"/>
    <tableColumn id="3" xr3:uid="{AB4686A1-0E3F-4672-923E-043E911C25BA}" name="Debt">
      <calculatedColumnFormula>Table5[[#This Row],[Beginning Debt ($M)]]</calculatedColumnFormula>
    </tableColumn>
    <tableColumn id="4" xr3:uid="{509069CA-6718-41BF-A491-E2DCBEBFCDE8}" name="Ebitda" dataDxfId="51">
      <calculatedColumnFormula>Q10</calculatedColumnFormula>
    </tableColumn>
    <tableColumn id="5" xr3:uid="{3B860DDE-AD24-47F6-A2B0-496F1DA72F97}" name="Debt/Ebitda">
      <calculatedColumnFormula>P17/Q17</calculatedColumnFormula>
    </tableColumn>
    <tableColumn id="6" xr3:uid="{A98F4D23-F9BB-4DEF-811A-5D242E9256B1}" name="Covenant">
      <calculatedColumnFormula>S16</calculatedColumnFormula>
    </tableColumn>
    <tableColumn id="7" xr3:uid="{93823B33-D5F5-4B27-97E8-A057E06D0FAC}" name="Fixed Charge Coverage" dataDxfId="50">
      <calculatedColumnFormula>(Q17-Z3)/E17</calculatedColumnFormula>
    </tableColumn>
    <tableColumn id="8" xr3:uid="{8C310284-976F-4D85-9B75-A3907F194AFE}" name="FCC Limit" dataDxfId="49"/>
    <tableColumn id="9" xr3:uid="{001BC494-3084-4824-857A-68C4105CE76C}" name="Debt/EBITDA BREACH" dataDxfId="48">
      <calculatedColumnFormula>IF(Table16[[#This Row],[Covenant]]&gt;Table16[[#This Row],[Debt/Ebitda]]," ", "Breach")</calculatedColumnFormula>
    </tableColumn>
    <tableColumn id="10" xr3:uid="{0ED33C45-448D-46E3-B206-CA5BFCA45D16}" name="FCC Breach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ACB4521-DDD3-4DBF-8FC5-BB904F33D51B}" name="Table17" displayName="Table17" ref="N23:W28" totalsRowShown="0">
  <autoFilter ref="N23:W28" xr:uid="{9ACB4521-DDD3-4DBF-8FC5-BB904F33D51B}"/>
  <tableColumns count="10">
    <tableColumn id="1" xr3:uid="{8F9231DE-D51B-4CD0-9FC5-78F05E1BA85A}" name="Debt Package"/>
    <tableColumn id="2" xr3:uid="{69A26A62-8412-41BA-88C1-8D354A8C6C99}" name="Year"/>
    <tableColumn id="3" xr3:uid="{94683FEF-83E3-4642-A368-316B2326B76F}" name="Debt">
      <calculatedColumnFormula>Table6[[#This Row],[Beginning Debt ($M)]]</calculatedColumnFormula>
    </tableColumn>
    <tableColumn id="4" xr3:uid="{031A1132-F346-4A2F-A1B7-05B1E81A2F56}" name="Ebitda" dataDxfId="47">
      <calculatedColumnFormula>Q17</calculatedColumnFormula>
    </tableColumn>
    <tableColumn id="5" xr3:uid="{8F05A3CC-B18C-4FD5-B1CC-29C8B2FF64DD}" name="Debt/Ebitda">
      <calculatedColumnFormula>P24/Q24</calculatedColumnFormula>
    </tableColumn>
    <tableColumn id="6" xr3:uid="{97686BAB-C83B-4D2D-B0FE-6F8407158F40}" name="Covenant">
      <calculatedColumnFormula>S23</calculatedColumnFormula>
    </tableColumn>
    <tableColumn id="7" xr3:uid="{9351544F-DE91-4887-A8AB-BB85AC740EC2}" name="Fixed Charge Coverage" dataDxfId="46">
      <calculatedColumnFormula>(Q24-Z3)/E24</calculatedColumnFormula>
    </tableColumn>
    <tableColumn id="8" xr3:uid="{BF541408-817B-4AAD-A623-91CF24848D53}" name="FCC Limit" dataDxfId="45"/>
    <tableColumn id="10" xr3:uid="{E03F84F9-457E-48C3-8FED-42B945FC178B}" name="Debt/EBITDA BREACH" dataDxfId="44">
      <calculatedColumnFormula>IF(Table17[[#This Row],[Covenant]]&gt;Table17[[#This Row],[Debt/Ebitda]]," ", "Breach")</calculatedColumnFormula>
    </tableColumn>
    <tableColumn id="9" xr3:uid="{F6D717F0-7BB9-4DFC-B32B-88C03869E5B9}" name="FCC Breach" dataDxfId="43">
      <calculatedColumnFormula>IF(Table17[[#This Row],[FCC Limit]]&lt;Table17[[#This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2927FFE-1C1D-47A7-A275-B6D2EA880A50}" name="Table18" displayName="Table18" ref="N30:W35" totalsRowShown="0">
  <autoFilter ref="N30:W35" xr:uid="{02927FFE-1C1D-47A7-A275-B6D2EA880A50}"/>
  <tableColumns count="10">
    <tableColumn id="1" xr3:uid="{C8A9C1AA-A343-48C4-AAC9-8AA6CC963A71}" name="Debt Package"/>
    <tableColumn id="2" xr3:uid="{74CED3A6-AA8C-4ECE-9E0B-579346E23BBD}" name="Year"/>
    <tableColumn id="3" xr3:uid="{5BED979F-84BC-43D3-9410-7082E537FE02}" name="Debt">
      <calculatedColumnFormula>Table10[[#This Row],[Beginning Debt ($M)]]</calculatedColumnFormula>
    </tableColumn>
    <tableColumn id="4" xr3:uid="{F10D2D1F-FA26-4D0B-8205-C94B7E7774E2}" name="Ebitda" dataDxfId="42">
      <calculatedColumnFormula>Q24</calculatedColumnFormula>
    </tableColumn>
    <tableColumn id="5" xr3:uid="{E127E475-7FB6-46EC-AE3B-EE5F74F3CA6D}" name="Debt/Ebitda">
      <calculatedColumnFormula>P31/Q31</calculatedColumnFormula>
    </tableColumn>
    <tableColumn id="6" xr3:uid="{C328EEE9-2582-49F0-88B8-251D5E7DBED2}" name="Covenant">
      <calculatedColumnFormula>S30</calculatedColumnFormula>
    </tableColumn>
    <tableColumn id="7" xr3:uid="{F3FD157B-22D7-4597-BBFE-56C74A59663D}" name="Fixed Charge Coverage" dataDxfId="41">
      <calculatedColumnFormula>(Q31-Z3)/E31</calculatedColumnFormula>
    </tableColumn>
    <tableColumn id="8" xr3:uid="{239043D6-DDB7-40EA-A557-16BA037FD14F}" name="FCC Limit" dataDxfId="40"/>
    <tableColumn id="10" xr3:uid="{5BC33D7C-DBA1-463F-B23A-C1AC6620055A}" name="Debt/EBITDA BREACH" dataDxfId="39">
      <calculatedColumnFormula>IF(Table18[[#This Row],[Covenant]]&gt;Table18[[#This Row],[Debt/Ebitda]]," ", "Breach")</calculatedColumnFormula>
    </tableColumn>
    <tableColumn id="9" xr3:uid="{D724C1BF-C4C1-4096-BC5D-756DA365E6E0}" name="FCC Breach" dataDxfId="38">
      <calculatedColumnFormula>IF(Table18[[#This Row],[FCC Limit]]&lt;Table18[[#This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2CA1B7B-E8DB-4C54-AAC5-4D445959EA6F}" name="Table19" displayName="Table19" ref="N37:W42" totalsRowShown="0">
  <autoFilter ref="N37:W42" xr:uid="{E2CA1B7B-E8DB-4C54-AAC5-4D445959EA6F}"/>
  <tableColumns count="10">
    <tableColumn id="1" xr3:uid="{E8344C79-265B-4FFC-81F1-208A49DE53DC}" name="Debt Package"/>
    <tableColumn id="2" xr3:uid="{BF05AE3A-3A02-4B33-9C1F-E2D245E93938}" name="Year"/>
    <tableColumn id="3" xr3:uid="{5CF7742B-F5EB-4161-8E73-17E1B84DB758}" name="Debt">
      <calculatedColumnFormula>Table11[[#This Row],[Beginning Debt ($M)]]</calculatedColumnFormula>
    </tableColumn>
    <tableColumn id="4" xr3:uid="{FFE9F178-3B59-4DFB-9CFD-5EF5CB2EB52E}" name="Ebitda" dataDxfId="37">
      <calculatedColumnFormula>Q31</calculatedColumnFormula>
    </tableColumn>
    <tableColumn id="5" xr3:uid="{00BF9BD5-C552-444D-A482-A089B517E4B5}" name="Debt/Ebitda">
      <calculatedColumnFormula>P38/Q38</calculatedColumnFormula>
    </tableColumn>
    <tableColumn id="6" xr3:uid="{7F8D97BF-AC0D-4130-9741-39617A32CF68}" name="Covenant"/>
    <tableColumn id="7" xr3:uid="{586C383D-D3C5-4D61-8172-3142E6E2826F}" name="Fixed Charge Coverage" dataDxfId="36">
      <calculatedColumnFormula>(Q38-Z3)/(F38+G38)</calculatedColumnFormula>
    </tableColumn>
    <tableColumn id="8" xr3:uid="{9FF41989-B9F9-4370-AA0C-305E9111DB96}" name="FCC Limit" dataDxfId="35"/>
    <tableColumn id="10" xr3:uid="{169F4CFC-A54F-412C-969D-8AABCB27F927}" name="Debt/EBITDA BREACH" dataDxfId="34">
      <calculatedColumnFormula>IF(Table19[[#This Row],[Covenant]]&gt;Table19[[#This Row],[Debt/Ebitda]]," ", "Breach")</calculatedColumnFormula>
    </tableColumn>
    <tableColumn id="9" xr3:uid="{D1D68F1C-97E2-4E1B-B868-BA55ABD70267}" name="FCC Breach" dataDxfId="33">
      <calculatedColumnFormula>IF(Table19[[#This Row],[FCC Limit]]&lt;Table19[[#This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7209684-5DFC-4F26-8E49-89E4324BE6A2}" name="Table20" displayName="Table20" ref="N44:W49" totalsRowShown="0">
  <autoFilter ref="N44:W49" xr:uid="{17209684-5DFC-4F26-8E49-89E4324BE6A2}"/>
  <tableColumns count="10">
    <tableColumn id="1" xr3:uid="{20970125-6DD0-418E-B71D-904399638BC2}" name="Debt Package"/>
    <tableColumn id="2" xr3:uid="{0CE423F1-01A5-46D4-8EDD-F4193E0CAB0D}" name="Year"/>
    <tableColumn id="3" xr3:uid="{F5F0C814-9F54-48D4-A3D3-47635813851C}" name="Debt">
      <calculatedColumnFormula>Table12[[#This Row],[Beginning Debt ($M)]]</calculatedColumnFormula>
    </tableColumn>
    <tableColumn id="4" xr3:uid="{1D9119BD-E1FF-4F91-82EA-DCEB3D6A21E6}" name="Ebitda" dataDxfId="32">
      <calculatedColumnFormula>Q38</calculatedColumnFormula>
    </tableColumn>
    <tableColumn id="5" xr3:uid="{83CA8B0B-0FC5-4488-8BAE-4CC0083D25BA}" name="Debt/Ebitda">
      <calculatedColumnFormula>P45/Q45</calculatedColumnFormula>
    </tableColumn>
    <tableColumn id="6" xr3:uid="{C55F8209-99A4-4316-AA24-81E247280A47}" name="Covenant"/>
    <tableColumn id="7" xr3:uid="{E51BBE72-2A45-40D1-99AD-8934369F5C97}" name="Fixed Charge Coverage" dataDxfId="31">
      <calculatedColumnFormula>(Q45-Z3)/(F45+G45)</calculatedColumnFormula>
    </tableColumn>
    <tableColumn id="8" xr3:uid="{AE235012-200F-4F01-9819-D5F5EAAD7C24}" name="FCC Limit" dataDxfId="30"/>
    <tableColumn id="10" xr3:uid="{CDBC9703-5A07-4135-BC56-CBC6C6464025}" name="Debt/EBITDA BREACH" dataDxfId="29">
      <calculatedColumnFormula>IF(Table20[[#This Row],[Covenant]]&gt;Table20[[#This Row],[Debt/Ebitda]]," ", "Breach")</calculatedColumnFormula>
    </tableColumn>
    <tableColumn id="9" xr3:uid="{2395ED6C-5873-49EF-97DF-05F39A6C58AB}" name="FCC Breach" dataDxfId="28">
      <calculatedColumnFormula>IF(Table20[[#This Row],[FCC Limit]]&lt;Table20[[#This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2AD544-FFE8-4DE0-98BD-8E559872ECAC}" name="Table21" displayName="Table21" ref="N51:W56" totalsRowShown="0">
  <autoFilter ref="N51:W56" xr:uid="{0C2AD544-FFE8-4DE0-98BD-8E559872ECAC}"/>
  <tableColumns count="10">
    <tableColumn id="1" xr3:uid="{17BA6271-CFE0-4386-AD6F-9BD48D62C5C0}" name="Debt Package"/>
    <tableColumn id="2" xr3:uid="{A879D2B9-5756-4550-91C8-675A1737EB91}" name="Year"/>
    <tableColumn id="3" xr3:uid="{B6940B3D-E4E7-4E05-A6F3-AEFA04D56DF2}" name="Debt">
      <calculatedColumnFormula>Table13[[#This Row],[Beginning Debt ($M)]]</calculatedColumnFormula>
    </tableColumn>
    <tableColumn id="4" xr3:uid="{A135DAC3-CD49-4FA9-8BB8-063B8421BADB}" name="Ebitda" dataDxfId="27">
      <calculatedColumnFormula>Q45</calculatedColumnFormula>
    </tableColumn>
    <tableColumn id="5" xr3:uid="{0F588EA1-E4DA-4D86-BE88-FF645590E5A5}" name="Debt/Ebitda">
      <calculatedColumnFormula>P52/Q52</calculatedColumnFormula>
    </tableColumn>
    <tableColumn id="6" xr3:uid="{9C51EB5D-C9FE-488F-AECA-CF2A973BA0BC}" name="Covenant"/>
    <tableColumn id="7" xr3:uid="{25C018D1-547A-471B-A692-27F91AF3D416}" name="Fixed Charge Coverage" dataDxfId="26">
      <calculatedColumnFormula>(Q52-Z3)/(F52+G52)</calculatedColumnFormula>
    </tableColumn>
    <tableColumn id="8" xr3:uid="{E7CD0B48-B17A-42C3-ACED-4B71A07AB68A}" name="FCC Limit" dataDxfId="25"/>
    <tableColumn id="10" xr3:uid="{4759A062-8598-4E18-9E4A-08192DBB8EF2}" name="Debt/EBITDA BREACH" dataDxfId="24">
      <calculatedColumnFormula>IF(Table21[[#This Row],[Covenant]]&gt;Table21[[#This Row],[Debt/Ebitda]]," ", "Breach")</calculatedColumnFormula>
    </tableColumn>
    <tableColumn id="9" xr3:uid="{E0556F41-7512-4B6B-89D8-245D2726E8F1}" name="FCC Breach" dataDxfId="23">
      <calculatedColumnFormula>IF(Table21[[#This Row],[FCC Limit]]&lt;Table21[[#This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18E4015-9473-4697-9EF6-0E69F6E3ADD7}" name="Table22" displayName="Table22" ref="N58:W63" totalsRowShown="0">
  <autoFilter ref="N58:W63" xr:uid="{718E4015-9473-4697-9EF6-0E69F6E3ADD7}"/>
  <tableColumns count="10">
    <tableColumn id="1" xr3:uid="{FA38FDD0-EA19-45D7-AE29-67F1F6BD5FF0}" name="Debt Package"/>
    <tableColumn id="2" xr3:uid="{D425234A-B222-401E-B42F-864E9DFBBFD1}" name="Year"/>
    <tableColumn id="3" xr3:uid="{95BD3675-F241-4B24-8B11-2542AA380068}" name="Debt">
      <calculatedColumnFormula>Table14[[#This Row],[Beginning Debt ($M)]]</calculatedColumnFormula>
    </tableColumn>
    <tableColumn id="4" xr3:uid="{80D3272B-B1DC-4859-B0C4-64364276EEBA}" name="Ebitda" dataDxfId="22">
      <calculatedColumnFormula>Q52</calculatedColumnFormula>
    </tableColumn>
    <tableColumn id="5" xr3:uid="{2ABA1627-27C1-4935-86B0-25B52A6BEDB5}" name="Debt/Ebitda">
      <calculatedColumnFormula>P59/Q59</calculatedColumnFormula>
    </tableColumn>
    <tableColumn id="6" xr3:uid="{9D5F4935-8559-40B4-9ABA-050423FB65CD}" name="Covenant"/>
    <tableColumn id="7" xr3:uid="{09114C06-EA36-40EB-8E98-E8C09C09A65E}" name="Fixed Charge Coverage" dataDxfId="21">
      <calculatedColumnFormula>(Q59-Z3)/(F59+G59)</calculatedColumnFormula>
    </tableColumn>
    <tableColumn id="8" xr3:uid="{72A2068B-CD53-4640-A3D6-D41B4EE50263}" name="FCC Limit" dataDxfId="20"/>
    <tableColumn id="10" xr3:uid="{96911B5F-D89B-4453-AF4E-5C2D315DD430}" name="Debt/EBITDA BREACH" dataDxfId="19">
      <calculatedColumnFormula>IF(Table22[[#This Row],[Covenant]]&gt;Table22[[#This Row],[Debt/Ebitda]]," ", "Breach")</calculatedColumnFormula>
    </tableColumn>
    <tableColumn id="9" xr3:uid="{2A164263-0DA9-4836-BEF7-6B1D5D3EF9EA}" name="FCC Breach" dataDxfId="18">
      <calculatedColumnFormula>IF(Table22[[#This Row],[FCC Limit]]&lt;Table22[[#This Row],[Fixed Charge Coverage]]," ", "Breach")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976A3-8CAD-4744-BF01-F38F481F000A}" name="Table3" displayName="Table3" ref="A2:O12" totalsRowShown="0" headerRowDxfId="17" dataDxfId="16" tableBorderDxfId="15">
  <autoFilter ref="A2:O12" xr:uid="{82B976A3-8CAD-4744-BF01-F38F481F000A}"/>
  <tableColumns count="15">
    <tableColumn id="1" xr3:uid="{66621A5E-3551-4A9C-9C28-0CC0D17464F4}" name="Option Number" dataDxfId="14"/>
    <tableColumn id="2" xr3:uid="{CC64E3EA-7978-482B-9FF2-5378387E4DFA}" name="Debt/Ebitda Option" dataDxfId="13"/>
    <tableColumn id="3" xr3:uid="{9F59BD38-3ED3-42A5-ACE1-A6A0924468FA}" name="Bank" dataDxfId="12">
      <calculatedColumnFormula>C2</calculatedColumnFormula>
    </tableColumn>
    <tableColumn id="4" xr3:uid="{4D5F1171-F79E-4201-9CC6-F637B756F222}" name="Interest Rate" dataDxfId="11"/>
    <tableColumn id="5" xr3:uid="{79CAD3EC-B252-4C1F-B621-2C40F01839BA}" name="Setup fee" dataDxfId="10"/>
    <tableColumn id="6" xr3:uid="{B2B02FCF-DBC6-4A29-8169-FF473AE6D670}" name="Max Debt" dataDxfId="9">
      <calculatedColumnFormula>I3*B3</calculatedColumnFormula>
    </tableColumn>
    <tableColumn id="7" xr3:uid="{6E7AF6B0-0A2B-42F9-9E74-9D8C17879811}" name="Interest Expense" dataDxfId="8"/>
    <tableColumn id="8" xr3:uid="{384BF08A-AC1D-44D3-BB5E-D7F2DE724D04}" name="Setup Expense" dataDxfId="7">
      <calculatedColumnFormula>$F3*$E3</calculatedColumnFormula>
    </tableColumn>
    <tableColumn id="9" xr3:uid="{FC561912-144D-4705-A753-08BEDFAC055C}" name="EBITDA 1" dataDxfId="6">
      <calculatedColumnFormula>I2</calculatedColumnFormula>
    </tableColumn>
    <tableColumn id="10" xr3:uid="{173CF089-C222-4A05-B6B9-ECC245BC5EC2}" name="EBITDA 5" dataDxfId="5">
      <calculatedColumnFormula>J2</calculatedColumnFormula>
    </tableColumn>
    <tableColumn id="11" xr3:uid="{494C7618-9A9A-4702-BA06-407EBBECC008}" name="Equity invested" dataDxfId="4">
      <calculatedColumnFormula>$F$15-F3</calculatedColumnFormula>
    </tableColumn>
    <tableColumn id="12" xr3:uid="{0CB7FB09-7454-47B3-AFAB-FA26512D7957}" name="Exit EV" dataDxfId="3">
      <calculatedColumnFormula>J3*5.1</calculatedColumnFormula>
    </tableColumn>
    <tableColumn id="13" xr3:uid="{63DC4D6F-598F-4BB8-A98F-B8D482D70D7E}" name="Exit Equity" dataDxfId="2">
      <calculatedColumnFormula>Table3[[#This Row],[Exit EV]]-Table3[[#This Row],[Max Debt]]-Table3[[#This Row],[Interest Expense]]-Table3[[#This Row],[Setup Expense]]</calculatedColumnFormula>
    </tableColumn>
    <tableColumn id="14" xr3:uid="{6EE4A671-C958-43F7-9403-1F9C6271A80C}" name="IRR" dataDxfId="1">
      <calculatedColumnFormula>(M3/K3)^(1/5)-1</calculatedColumnFormula>
    </tableColumn>
    <tableColumn id="15" xr3:uid="{C3100BC8-362C-4927-A2A6-378A645347CB}" name="COC" dataDxfId="0">
      <calculatedColumnFormula>M3/K3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13" Type="http://schemas.openxmlformats.org/officeDocument/2006/relationships/table" Target="../tables/table31.xml"/><Relationship Id="rId18" Type="http://schemas.openxmlformats.org/officeDocument/2006/relationships/table" Target="../tables/table36.xml"/><Relationship Id="rId3" Type="http://schemas.openxmlformats.org/officeDocument/2006/relationships/table" Target="../tables/table21.xml"/><Relationship Id="rId21" Type="http://schemas.openxmlformats.org/officeDocument/2006/relationships/table" Target="../tables/table39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17" Type="http://schemas.openxmlformats.org/officeDocument/2006/relationships/table" Target="../tables/table35.xml"/><Relationship Id="rId2" Type="http://schemas.openxmlformats.org/officeDocument/2006/relationships/table" Target="../tables/table20.xml"/><Relationship Id="rId16" Type="http://schemas.openxmlformats.org/officeDocument/2006/relationships/table" Target="../tables/table34.xml"/><Relationship Id="rId20" Type="http://schemas.openxmlformats.org/officeDocument/2006/relationships/table" Target="../tables/table38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5" Type="http://schemas.openxmlformats.org/officeDocument/2006/relationships/table" Target="../tables/table33.xml"/><Relationship Id="rId10" Type="http://schemas.openxmlformats.org/officeDocument/2006/relationships/table" Target="../tables/table28.xml"/><Relationship Id="rId19" Type="http://schemas.openxmlformats.org/officeDocument/2006/relationships/table" Target="../tables/table37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Relationship Id="rId14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BCA4-E50E-4A32-BA53-EF5BE5288009}">
  <dimension ref="A1:AF58"/>
  <sheetViews>
    <sheetView tabSelected="1" topLeftCell="C7" zoomScale="144" zoomScaleNormal="107" workbookViewId="0">
      <selection activeCell="I40" sqref="I40"/>
    </sheetView>
  </sheetViews>
  <sheetFormatPr baseColWidth="10" defaultColWidth="8.83203125" defaultRowHeight="15" x14ac:dyDescent="0.2"/>
  <cols>
    <col min="1" max="1" width="27.83203125" bestFit="1" customWidth="1"/>
    <col min="2" max="2" width="34.83203125" customWidth="1"/>
    <col min="3" max="3" width="15.5" bestFit="1" customWidth="1"/>
    <col min="4" max="7" width="13.5" bestFit="1" customWidth="1"/>
    <col min="8" max="8" width="11.6640625" customWidth="1"/>
    <col min="9" max="9" width="16.5" bestFit="1" customWidth="1"/>
    <col min="10" max="10" width="14.1640625" bestFit="1" customWidth="1"/>
    <col min="11" max="13" width="14.83203125" bestFit="1" customWidth="1"/>
    <col min="14" max="14" width="13.6640625" bestFit="1" customWidth="1"/>
    <col min="20" max="20" width="8.83203125" bestFit="1" customWidth="1"/>
    <col min="22" max="22" width="17.33203125" bestFit="1" customWidth="1"/>
    <col min="23" max="26" width="12.6640625" bestFit="1" customWidth="1"/>
    <col min="27" max="32" width="9.5" bestFit="1" customWidth="1"/>
  </cols>
  <sheetData>
    <row r="1" spans="1:32" x14ac:dyDescent="0.2">
      <c r="A1" s="168" t="s">
        <v>0</v>
      </c>
      <c r="B1" s="168" t="s">
        <v>1</v>
      </c>
      <c r="C1" s="168" t="s">
        <v>2</v>
      </c>
      <c r="D1" s="168" t="s">
        <v>3</v>
      </c>
      <c r="E1" s="168" t="s">
        <v>4</v>
      </c>
      <c r="F1" s="168" t="s">
        <v>5</v>
      </c>
      <c r="G1" s="169" t="s">
        <v>6</v>
      </c>
      <c r="H1" s="170" t="s">
        <v>7</v>
      </c>
      <c r="I1" s="168" t="s">
        <v>8</v>
      </c>
      <c r="J1" s="168" t="s">
        <v>9</v>
      </c>
      <c r="K1" s="168" t="s">
        <v>10</v>
      </c>
      <c r="L1" s="168" t="s">
        <v>11</v>
      </c>
      <c r="M1" s="168" t="s">
        <v>12</v>
      </c>
      <c r="N1" s="69"/>
    </row>
    <row r="2" spans="1:32" x14ac:dyDescent="0.2">
      <c r="A2" s="68"/>
      <c r="B2" s="68"/>
      <c r="C2" s="68"/>
      <c r="D2" s="68"/>
      <c r="E2" s="68"/>
      <c r="F2" s="68"/>
      <c r="J2" s="68"/>
      <c r="K2" s="68"/>
      <c r="L2" s="68"/>
      <c r="M2" s="68"/>
    </row>
    <row r="3" spans="1:32" x14ac:dyDescent="0.2">
      <c r="A3" s="70" t="s">
        <v>13</v>
      </c>
      <c r="B3" s="70"/>
      <c r="C3" s="70" t="s">
        <v>14</v>
      </c>
      <c r="D3" s="68"/>
      <c r="E3" s="68"/>
      <c r="F3" s="68"/>
      <c r="I3" s="6" t="s">
        <v>15</v>
      </c>
      <c r="K3" s="68"/>
      <c r="L3" s="68"/>
      <c r="M3" s="68"/>
      <c r="N3" s="68"/>
      <c r="Z3" t="s">
        <v>16</v>
      </c>
    </row>
    <row r="4" spans="1:32" x14ac:dyDescent="0.2">
      <c r="A4" s="68"/>
      <c r="B4" s="68" t="s">
        <v>17</v>
      </c>
      <c r="C4" s="71">
        <f>'5b. Forecasts and Assumptions'!D5</f>
        <v>878220</v>
      </c>
      <c r="D4" s="71">
        <f>'5b. Forecasts and Assumptions'!E5</f>
        <v>1400064.75</v>
      </c>
      <c r="E4" s="71">
        <f>'5b. Forecasts and Assumptions'!F5</f>
        <v>1747657.8</v>
      </c>
      <c r="F4" s="71">
        <f>'5b. Forecasts and Assumptions'!G5</f>
        <v>1526175</v>
      </c>
      <c r="G4" s="71">
        <f>'5b. Forecasts and Assumptions'!H5</f>
        <v>1481996.25</v>
      </c>
      <c r="H4" s="72"/>
      <c r="I4" s="73">
        <f>'5b. Forecasts and Assumptions'!I5</f>
        <v>1645492.3251721933</v>
      </c>
      <c r="J4" s="73">
        <f>'5b. Forecasts and Assumptions'!J5</f>
        <v>1827025.5354563762</v>
      </c>
      <c r="K4" s="73">
        <f>'5b. Forecasts and Assumptions'!K5</f>
        <v>2028585.7649687601</v>
      </c>
      <c r="L4" s="73">
        <f>'5b. Forecasts and Assumptions'!L5</f>
        <v>2252382.4248608304</v>
      </c>
      <c r="M4" s="73">
        <f>'5b. Forecasts and Assumptions'!M5</f>
        <v>2500868.6718750005</v>
      </c>
      <c r="N4" s="73"/>
      <c r="Z4" s="91"/>
      <c r="AA4" s="91"/>
      <c r="AB4" s="91"/>
      <c r="AC4" s="91"/>
      <c r="AD4" s="91"/>
      <c r="AE4" s="91"/>
      <c r="AF4" s="91"/>
    </row>
    <row r="5" spans="1:32" x14ac:dyDescent="0.2">
      <c r="A5" s="68"/>
      <c r="B5" s="68" t="s">
        <v>18</v>
      </c>
      <c r="C5" s="71">
        <f>'5b. Forecasts and Assumptions'!D6</f>
        <v>11913.155744911504</v>
      </c>
      <c r="D5" s="71">
        <f>'5b. Forecasts and Assumptions'!E6</f>
        <v>80894.448331244435</v>
      </c>
      <c r="E5" s="71">
        <f>'5b. Forecasts and Assumptions'!F6</f>
        <v>192392.5348124732</v>
      </c>
      <c r="F5" s="71">
        <f>'5b. Forecasts and Assumptions'!G6</f>
        <v>521443.125</v>
      </c>
      <c r="G5" s="71">
        <f>'5b. Forecasts and Assumptions'!H6</f>
        <v>472653.72000000003</v>
      </c>
      <c r="H5" s="71"/>
      <c r="I5" s="73">
        <f>'5b. Forecasts and Assumptions'!I6</f>
        <v>564042.3595225868</v>
      </c>
      <c r="J5" s="73">
        <f>'5b. Forecasts and Assumptions'!J6</f>
        <v>673101.1941169257</v>
      </c>
      <c r="K5" s="73">
        <f>'5b. Forecasts and Assumptions'!K6</f>
        <v>803246.79498382332</v>
      </c>
      <c r="L5" s="73">
        <f>'5b. Forecasts and Assumptions'!L6</f>
        <v>958556.3349033437</v>
      </c>
      <c r="M5" s="73">
        <f>'5b. Forecasts and Assumptions'!M6</f>
        <v>1143895.3170075649</v>
      </c>
      <c r="N5" s="74"/>
      <c r="AA5" s="91">
        <v>0</v>
      </c>
      <c r="AB5" s="91">
        <v>1</v>
      </c>
      <c r="AC5" s="91">
        <v>2</v>
      </c>
      <c r="AD5" s="91">
        <v>3</v>
      </c>
      <c r="AE5" s="91">
        <v>4</v>
      </c>
      <c r="AF5" s="91">
        <v>5</v>
      </c>
    </row>
    <row r="6" spans="1:32" x14ac:dyDescent="0.2">
      <c r="A6" s="68"/>
      <c r="B6" s="68" t="s">
        <v>19</v>
      </c>
      <c r="C6" s="71">
        <f>'5b. Forecasts and Assumptions'!D7</f>
        <v>2816730</v>
      </c>
      <c r="D6" s="71">
        <f>'5b. Forecasts and Assumptions'!E7</f>
        <v>2875635</v>
      </c>
      <c r="E6" s="71">
        <f>'5b. Forecasts and Assumptions'!F7</f>
        <v>3025575</v>
      </c>
      <c r="F6" s="71">
        <f>'5b. Forecasts and Assumptions'!G7</f>
        <v>3132675</v>
      </c>
      <c r="G6" s="71">
        <f>'5b. Forecasts and Assumptions'!H7</f>
        <v>3213000</v>
      </c>
      <c r="H6" s="52"/>
      <c r="I6" s="73">
        <f>'5b. Forecasts and Assumptions'!I7</f>
        <v>3298707.6436424297</v>
      </c>
      <c r="J6" s="73">
        <f>'5b. Forecasts and Assumptions'!J7</f>
        <v>3386701.5618502926</v>
      </c>
      <c r="K6" s="73">
        <f>'5b. Forecasts and Assumptions'!K7</f>
        <v>3477042.741615722</v>
      </c>
      <c r="L6" s="73">
        <f>'5b. Forecasts and Assumptions'!L7</f>
        <v>3569793.7967753541</v>
      </c>
      <c r="M6" s="73">
        <f>'5b. Forecasts and Assumptions'!M7</f>
        <v>3665019.011406844</v>
      </c>
      <c r="N6" s="74"/>
      <c r="AA6" s="91">
        <f>G22</f>
        <v>3017554.1429999992</v>
      </c>
      <c r="AB6" s="91">
        <f t="shared" ref="AB6" si="0">I22</f>
        <v>3286596.8422734067</v>
      </c>
      <c r="AC6" s="91">
        <f t="shared" ref="AC6" si="1">J22</f>
        <v>4225351.2658763342</v>
      </c>
      <c r="AD6" s="91">
        <f t="shared" ref="AD6" si="2">K22</f>
        <v>4995287.827022275</v>
      </c>
      <c r="AE6" s="91">
        <f t="shared" ref="AE6" si="3">L22</f>
        <v>5980202.4646463189</v>
      </c>
      <c r="AF6" s="91">
        <f>M22</f>
        <v>7242363.0854281327</v>
      </c>
    </row>
    <row r="7" spans="1:32" x14ac:dyDescent="0.2">
      <c r="A7" s="68"/>
      <c r="B7" s="68" t="s">
        <v>20</v>
      </c>
      <c r="C7" s="71">
        <f>'5b. Forecasts and Assumptions'!D8</f>
        <v>134577.4</v>
      </c>
      <c r="D7" s="71">
        <f>'5b. Forecasts and Assumptions'!E8</f>
        <v>194847.55</v>
      </c>
      <c r="E7" s="71">
        <f>'5b. Forecasts and Assumptions'!F8</f>
        <v>270085.62</v>
      </c>
      <c r="F7" s="71">
        <f>'5b. Forecasts and Assumptions'!G8</f>
        <v>290624.05</v>
      </c>
      <c r="G7" s="71">
        <f>'5b. Forecasts and Assumptions'!H8</f>
        <v>363220.98</v>
      </c>
      <c r="H7" s="52"/>
      <c r="I7" s="73">
        <f>'5b. Forecasts and Assumptions'!I8</f>
        <v>443007.09760978614</v>
      </c>
      <c r="J7" s="73">
        <f>'5b. Forecasts and Assumptions'!J8</f>
        <v>540319.25284890365</v>
      </c>
      <c r="K7" s="73">
        <f>'5b. Forecasts and Assumptions'!K8</f>
        <v>563223.6573377708</v>
      </c>
      <c r="L7" s="73">
        <f>'5b. Forecasts and Assumptions'!L8</f>
        <v>587098.99103603326</v>
      </c>
      <c r="M7" s="73">
        <f>'5b. Forecasts and Assumptions'!M8</f>
        <v>611986.41212049988</v>
      </c>
      <c r="N7" s="74"/>
    </row>
    <row r="8" spans="1:32" x14ac:dyDescent="0.2">
      <c r="A8" s="68"/>
      <c r="B8" s="75" t="s">
        <v>21</v>
      </c>
      <c r="C8" s="76">
        <f>'5b. Forecasts and Assumptions'!D9</f>
        <v>137599.5</v>
      </c>
      <c r="D8" s="76">
        <f>'5b. Forecasts and Assumptions'!E9</f>
        <v>352450.95</v>
      </c>
      <c r="E8" s="76">
        <f>'5b. Forecasts and Assumptions'!F9</f>
        <v>843574.51</v>
      </c>
      <c r="F8" s="76">
        <f>'5b. Forecasts and Assumptions'!G9</f>
        <v>1344867</v>
      </c>
      <c r="G8" s="76">
        <f>'5b. Forecasts and Assumptions'!H9</f>
        <v>1758684.7139999999</v>
      </c>
      <c r="H8" s="67"/>
      <c r="I8" s="77">
        <f>'5b. Forecasts and Assumptions'!I9</f>
        <v>2251116.4339200002</v>
      </c>
      <c r="J8" s="77">
        <f>'5b. Forecasts and Assumptions'!J9</f>
        <v>2881429.0354176001</v>
      </c>
      <c r="K8" s="77">
        <f>'5b. Forecasts and Assumptions'!K9</f>
        <v>3688229.1653345283</v>
      </c>
      <c r="L8" s="77">
        <f>'5b. Forecasts and Assumptions'!L9</f>
        <v>4720933.3316281969</v>
      </c>
      <c r="M8" s="77">
        <f>'5b. Forecasts and Assumptions'!M9</f>
        <v>6042794.6644840911</v>
      </c>
      <c r="N8" s="74"/>
      <c r="W8" s="78"/>
      <c r="X8" s="78"/>
      <c r="Y8" s="78"/>
      <c r="Z8" s="78"/>
      <c r="AA8" s="78"/>
    </row>
    <row r="9" spans="1:32" x14ac:dyDescent="0.2">
      <c r="A9" s="68"/>
      <c r="B9" s="68" t="s">
        <v>22</v>
      </c>
      <c r="C9" s="71">
        <f>SUM(C4:C8)</f>
        <v>3979040.0557449115</v>
      </c>
      <c r="D9" s="71">
        <f>SUM(D4:D8)</f>
        <v>4903892.6983312443</v>
      </c>
      <c r="E9" s="71">
        <f>SUM(E4:E8)</f>
        <v>6079285.4648124734</v>
      </c>
      <c r="F9" s="71">
        <f>SUM(F4:F8)</f>
        <v>6815784.1749999998</v>
      </c>
      <c r="G9" s="71">
        <f>SUM(G4:G8)</f>
        <v>7289555.6639999989</v>
      </c>
      <c r="H9" s="52"/>
      <c r="I9" s="73">
        <f>SUM(I4:I8)</f>
        <v>8202365.8598669954</v>
      </c>
      <c r="J9" s="73">
        <f>SUM(J4:J8)</f>
        <v>9308576.5796900988</v>
      </c>
      <c r="K9" s="73">
        <f>SUM(K4:K8)</f>
        <v>10560328.124240603</v>
      </c>
      <c r="L9" s="73">
        <f>SUM(L4:L8)</f>
        <v>12088764.879203759</v>
      </c>
      <c r="M9" s="73">
        <f>SUM(M4:M8)</f>
        <v>13964564.076894</v>
      </c>
      <c r="N9" s="73"/>
    </row>
    <row r="10" spans="1:32" x14ac:dyDescent="0.2">
      <c r="A10" s="68"/>
      <c r="B10" s="68"/>
      <c r="C10" s="68"/>
      <c r="D10" s="79">
        <v>0.23243109635225623</v>
      </c>
      <c r="E10" s="79">
        <v>0.23968566173587069</v>
      </c>
      <c r="F10" s="79">
        <v>0.12114889396960482</v>
      </c>
      <c r="G10" s="143">
        <v>6.9510928872685396E-2</v>
      </c>
      <c r="H10" s="143"/>
      <c r="I10" s="80">
        <f>+(I9/G9)-1</f>
        <v>0.12522165107744176</v>
      </c>
      <c r="J10" s="80">
        <f>+(J9/I9)-1</f>
        <v>0.13486483518561809</v>
      </c>
      <c r="K10" s="80">
        <f>+(K9/J9)-1</f>
        <v>0.13447292760975249</v>
      </c>
      <c r="L10" s="80">
        <f>+(L9/K9)-1</f>
        <v>0.14473383184512234</v>
      </c>
      <c r="M10" s="80">
        <f>+(M9/L9)-1</f>
        <v>0.1551688047897406</v>
      </c>
      <c r="N10" s="80"/>
      <c r="W10" s="78"/>
    </row>
    <row r="11" spans="1:32" x14ac:dyDescent="0.2">
      <c r="A11" s="70" t="s">
        <v>23</v>
      </c>
      <c r="B11" s="70"/>
      <c r="C11" s="68"/>
      <c r="D11" s="68"/>
      <c r="E11" s="68"/>
      <c r="F11" s="68"/>
      <c r="G11" s="4"/>
      <c r="H11" s="4"/>
      <c r="I11" s="73"/>
      <c r="J11" s="74"/>
      <c r="K11" s="74"/>
      <c r="L11" s="74"/>
      <c r="M11" s="74"/>
    </row>
    <row r="12" spans="1:32" x14ac:dyDescent="0.2">
      <c r="A12" s="68"/>
      <c r="B12" s="68" t="s">
        <v>24</v>
      </c>
      <c r="C12" s="71">
        <f>'5b. Forecasts and Assumptions'!D13</f>
        <v>603269.36399999983</v>
      </c>
      <c r="D12" s="71">
        <f>'5b. Forecasts and Assumptions'!E13</f>
        <v>701859.20399999991</v>
      </c>
      <c r="E12" s="71">
        <f>'5b. Forecasts and Assumptions'!F13</f>
        <v>791712.73199999996</v>
      </c>
      <c r="F12" s="71">
        <f>'5b. Forecasts and Assumptions'!G13</f>
        <v>953778.01199999999</v>
      </c>
      <c r="G12" s="71">
        <f>'5b. Forecasts and Assumptions'!H13</f>
        <v>957886.64399999997</v>
      </c>
      <c r="H12" s="52"/>
      <c r="I12" s="74">
        <f>'5b. Forecasts and Assumptions'!I13</f>
        <v>1050690.213788602</v>
      </c>
      <c r="J12" s="74">
        <f>'5b. Forecasts and Assumptions'!J13</f>
        <v>1152484.9336464268</v>
      </c>
      <c r="K12" s="74">
        <f>'5b. Forecasts and Assumptions'!K13</f>
        <v>1264141.8991547262</v>
      </c>
      <c r="L12" s="74">
        <f>'5b. Forecasts and Assumptions'!L13</f>
        <v>1386616.6008281966</v>
      </c>
      <c r="M12" s="74">
        <f>'5b. Forecasts and Assumptions'!M13</f>
        <v>1520957.1006055314</v>
      </c>
    </row>
    <row r="13" spans="1:32" x14ac:dyDescent="0.2">
      <c r="A13" s="68"/>
      <c r="B13" s="68" t="s">
        <v>25</v>
      </c>
      <c r="C13" s="71">
        <f>'5b. Forecasts and Assumptions'!D14</f>
        <v>368127.28799999988</v>
      </c>
      <c r="D13" s="71">
        <f>'5b. Forecasts and Assumptions'!E14</f>
        <v>515472.97199999995</v>
      </c>
      <c r="E13" s="71">
        <f>'5b. Forecasts and Assumptions'!F14</f>
        <v>660000</v>
      </c>
      <c r="F13" s="71">
        <f>'5b. Forecasts and Assumptions'!G14</f>
        <v>577108.15199999989</v>
      </c>
      <c r="G13" s="71">
        <f>'5b. Forecasts and Assumptions'!H14</f>
        <v>570000</v>
      </c>
      <c r="H13" s="52"/>
      <c r="I13" s="74">
        <f>'5b. Forecasts and Assumptions'!I14</f>
        <v>622085.70899678848</v>
      </c>
      <c r="J13" s="74">
        <f>'5b. Forecasts and Assumptions'!J14</f>
        <v>678930.92866322282</v>
      </c>
      <c r="K13" s="74">
        <f>'5b. Forecasts and Assumptions'!K14</f>
        <v>740970.57564440172</v>
      </c>
      <c r="L13" s="74">
        <f>'5b. Forecasts and Assumptions'!L14</f>
        <v>808679.30858860724</v>
      </c>
      <c r="M13" s="74">
        <f>'5b. Forecasts and Assumptions'!M14</f>
        <v>882575.15970943228</v>
      </c>
    </row>
    <row r="14" spans="1:32" x14ac:dyDescent="0.2">
      <c r="A14" s="68"/>
      <c r="B14" s="68" t="s">
        <v>26</v>
      </c>
      <c r="C14" s="71">
        <f>'5b. Forecasts and Assumptions'!D15</f>
        <v>522386.06400000001</v>
      </c>
      <c r="D14" s="71">
        <f>'5b. Forecasts and Assumptions'!E15</f>
        <v>689351.82</v>
      </c>
      <c r="E14" s="71">
        <f>'5b. Forecasts and Assumptions'!F15</f>
        <v>791111.5199999999</v>
      </c>
      <c r="F14" s="71">
        <f>'5b. Forecasts and Assumptions'!G15</f>
        <v>1102722.696</v>
      </c>
      <c r="G14" s="71">
        <f>'5b. Forecasts and Assumptions'!H15</f>
        <v>1107575.7</v>
      </c>
      <c r="H14" s="52"/>
      <c r="I14" s="74">
        <f>'5b. Forecasts and Assumptions'!I15</f>
        <v>1287211.1295000473</v>
      </c>
      <c r="J14" s="74">
        <f>'5b. Forecasts and Assumptions'!J15</f>
        <v>1495981.260611611</v>
      </c>
      <c r="K14" s="74">
        <f>'5b. Forecasts and Assumptions'!K15</f>
        <v>1738611.3907905133</v>
      </c>
      <c r="L14" s="74">
        <f>'5b. Forecasts and Assumptions'!L15</f>
        <v>2020593.2037883322</v>
      </c>
      <c r="M14" s="74">
        <f>'5b. Forecasts and Assumptions'!M15</f>
        <v>2348309.0682727136</v>
      </c>
    </row>
    <row r="15" spans="1:32" x14ac:dyDescent="0.2">
      <c r="A15" s="68"/>
      <c r="B15" s="68" t="s">
        <v>27</v>
      </c>
      <c r="C15" s="71">
        <f>'5b. Forecasts and Assumptions'!D16</f>
        <v>540000</v>
      </c>
      <c r="D15" s="71">
        <f>'5b. Forecasts and Assumptions'!E16</f>
        <v>526800</v>
      </c>
      <c r="E15" s="71">
        <f>'5b. Forecasts and Assumptions'!F16</f>
        <v>660000</v>
      </c>
      <c r="F15" s="71">
        <f>'5b. Forecasts and Assumptions'!G16</f>
        <v>520097.47199999995</v>
      </c>
      <c r="G15" s="71">
        <f>'5b. Forecasts and Assumptions'!H16</f>
        <v>504000</v>
      </c>
      <c r="H15" s="71"/>
      <c r="I15" s="74">
        <f>'5b. Forecasts and Assumptions'!I16</f>
        <v>497093.27958815085</v>
      </c>
      <c r="J15" s="74">
        <f>'5b. Forecasts and Assumptions'!J16</f>
        <v>490281.20756290376</v>
      </c>
      <c r="K15" s="74">
        <f>'5b. Forecasts and Assumptions'!K16</f>
        <v>483562.48688071972</v>
      </c>
      <c r="L15" s="74">
        <f>'5b. Forecasts and Assumptions'!L16</f>
        <v>476935.83827249828</v>
      </c>
      <c r="M15" s="74">
        <f>'5b. Forecasts and Assumptions'!M16</f>
        <v>470400.00000000017</v>
      </c>
    </row>
    <row r="16" spans="1:32" x14ac:dyDescent="0.2">
      <c r="A16" s="68"/>
      <c r="B16" s="68" t="s">
        <v>28</v>
      </c>
      <c r="C16" s="71">
        <f>'5b. Forecasts and Assumptions'!D17</f>
        <v>86680.811999999991</v>
      </c>
      <c r="D16" s="71">
        <f>'5b. Forecasts and Assumptions'!E17</f>
        <v>84998.796000000002</v>
      </c>
      <c r="E16" s="71">
        <f>'5b. Forecasts and Assumptions'!F17</f>
        <v>49596.468000000001</v>
      </c>
      <c r="F16" s="71">
        <f>'5b. Forecasts and Assumptions'!G17</f>
        <v>94807.463999999993</v>
      </c>
      <c r="G16" s="71">
        <f>'5b. Forecasts and Assumptions'!H17</f>
        <v>73716.288</v>
      </c>
      <c r="H16" s="52"/>
      <c r="I16" s="74">
        <f>'5b. Forecasts and Assumptions'!I17</f>
        <v>77959.965599999996</v>
      </c>
      <c r="J16" s="74">
        <f>'5b. Forecasts and Assumptions'!J17</f>
        <v>77959.965599999996</v>
      </c>
      <c r="K16" s="74">
        <f>'5b. Forecasts and Assumptions'!K17</f>
        <v>77959.965599999996</v>
      </c>
      <c r="L16" s="74">
        <f>'5b. Forecasts and Assumptions'!L17</f>
        <v>77959.965599999996</v>
      </c>
      <c r="M16" s="74">
        <f>'5b. Forecasts and Assumptions'!M17</f>
        <v>77959.965599999996</v>
      </c>
    </row>
    <row r="17" spans="1:26" x14ac:dyDescent="0.2">
      <c r="A17" s="68"/>
      <c r="B17" s="68" t="s">
        <v>29</v>
      </c>
      <c r="C17" s="71">
        <f>'5b. Forecasts and Assumptions'!D18</f>
        <v>180000</v>
      </c>
      <c r="D17" s="71">
        <f>'5b. Forecasts and Assumptions'!E18</f>
        <v>180000</v>
      </c>
      <c r="E17" s="71">
        <f>'5b. Forecasts and Assumptions'!F18</f>
        <v>180000</v>
      </c>
      <c r="F17" s="71">
        <f>'5b. Forecasts and Assumptions'!G18</f>
        <v>180000</v>
      </c>
      <c r="G17" s="71">
        <f>'5b. Forecasts and Assumptions'!H18</f>
        <v>180000</v>
      </c>
      <c r="H17" s="52"/>
      <c r="I17" s="74">
        <f>'5b. Forecasts and Assumptions'!I18</f>
        <v>180000</v>
      </c>
      <c r="J17" s="74">
        <f>'5b. Forecasts and Assumptions'!J18</f>
        <v>180000</v>
      </c>
      <c r="K17" s="74">
        <f>'5b. Forecasts and Assumptions'!K18</f>
        <v>180000</v>
      </c>
      <c r="L17" s="74">
        <f>'5b. Forecasts and Assumptions'!L18</f>
        <v>180000</v>
      </c>
      <c r="M17" s="74">
        <f>'5b. Forecasts and Assumptions'!M18</f>
        <v>180000</v>
      </c>
    </row>
    <row r="18" spans="1:26" x14ac:dyDescent="0.2">
      <c r="A18" s="68"/>
      <c r="B18" s="68" t="s">
        <v>30</v>
      </c>
      <c r="C18" s="71">
        <v>105000</v>
      </c>
      <c r="D18" s="71">
        <f>C18</f>
        <v>105000</v>
      </c>
      <c r="E18" s="71">
        <f t="shared" ref="E18:G18" si="4">D18</f>
        <v>105000</v>
      </c>
      <c r="F18" s="71">
        <f t="shared" si="4"/>
        <v>105000</v>
      </c>
      <c r="G18" s="71">
        <f t="shared" si="4"/>
        <v>105000</v>
      </c>
      <c r="I18" s="74">
        <f>G18</f>
        <v>105000</v>
      </c>
      <c r="J18" s="74">
        <f>Table28[[#This Row],[2016]]</f>
        <v>105000</v>
      </c>
      <c r="K18" s="74">
        <f t="shared" ref="K18:M18" si="5">I18</f>
        <v>105000</v>
      </c>
      <c r="L18" s="74">
        <f t="shared" si="5"/>
        <v>105000</v>
      </c>
      <c r="M18" s="74">
        <f t="shared" si="5"/>
        <v>105000</v>
      </c>
    </row>
    <row r="19" spans="1:26" x14ac:dyDescent="0.2">
      <c r="A19" s="68"/>
      <c r="B19" s="75" t="s">
        <v>31</v>
      </c>
      <c r="C19" s="81">
        <f>'5b. Forecasts and Assumptions'!D19</f>
        <v>476374.39199999999</v>
      </c>
      <c r="D19" s="81">
        <f>'5b. Forecasts and Assumptions'!E19</f>
        <v>540330.94799999997</v>
      </c>
      <c r="E19" s="81">
        <f>'5b. Forecasts and Assumptions'!F19</f>
        <v>594289.96199999994</v>
      </c>
      <c r="F19" s="81">
        <f>'5b. Forecasts and Assumptions'!G19</f>
        <v>777118.32899999991</v>
      </c>
      <c r="G19" s="81">
        <f>'5b. Forecasts and Assumptions'!H19</f>
        <v>773822.88899999997</v>
      </c>
      <c r="H19" s="53"/>
      <c r="I19" s="77">
        <f>'5b. Forecasts and Assumptions'!I19+260000</f>
        <v>1095728.7201200002</v>
      </c>
      <c r="J19" s="77">
        <f>'5b. Forecasts and Assumptions'!J19</f>
        <v>902587.01772960019</v>
      </c>
      <c r="K19" s="77">
        <f>'5b. Forecasts and Assumptions'!K19</f>
        <v>974793.97914796823</v>
      </c>
      <c r="L19" s="77">
        <f>'5b. Forecasts and Assumptions'!L19</f>
        <v>1052777.4974798057</v>
      </c>
      <c r="M19" s="77">
        <f>'5b. Forecasts and Assumptions'!M19</f>
        <v>1136999.6972781902</v>
      </c>
    </row>
    <row r="20" spans="1:26" x14ac:dyDescent="0.2">
      <c r="A20" s="68"/>
      <c r="B20" s="68" t="s">
        <v>32</v>
      </c>
      <c r="C20" s="71">
        <f>SUM(C12:C19)</f>
        <v>2881837.92</v>
      </c>
      <c r="D20" s="71">
        <f>SUM(D12:D19)</f>
        <v>3343813.7399999998</v>
      </c>
      <c r="E20" s="71">
        <f>SUM(E12:E19)</f>
        <v>3831710.6819999996</v>
      </c>
      <c r="F20" s="71">
        <f>SUM(F12:F19)</f>
        <v>4310632.125</v>
      </c>
      <c r="G20" s="71">
        <f>SUM(G12:G19)</f>
        <v>4272001.5209999997</v>
      </c>
      <c r="H20" s="3"/>
      <c r="I20" s="74">
        <f>SUM(I12:I19)</f>
        <v>4915769.0175935887</v>
      </c>
      <c r="J20" s="74">
        <f>SUM(J12:J19)</f>
        <v>5083225.3138137646</v>
      </c>
      <c r="K20" s="74">
        <f>SUM(K12:K19)</f>
        <v>5565040.2972183283</v>
      </c>
      <c r="L20" s="74">
        <f>SUM(L12:L19)</f>
        <v>6108562.4145574402</v>
      </c>
      <c r="M20" s="74">
        <f>SUM(M12:M19)</f>
        <v>6722200.9914658675</v>
      </c>
      <c r="N20" s="74"/>
    </row>
    <row r="21" spans="1:26" x14ac:dyDescent="0.2">
      <c r="A21" s="68"/>
      <c r="B21" s="68"/>
      <c r="C21" s="68"/>
      <c r="D21" s="68"/>
      <c r="E21" s="68"/>
      <c r="F21" s="68"/>
      <c r="G21" s="3"/>
      <c r="H21" s="3"/>
      <c r="I21" s="68"/>
      <c r="K21" s="68"/>
      <c r="L21" s="68"/>
      <c r="M21" s="68"/>
      <c r="N21" s="68"/>
    </row>
    <row r="22" spans="1:26" x14ac:dyDescent="0.2">
      <c r="A22" s="70" t="s">
        <v>33</v>
      </c>
      <c r="B22" s="70"/>
      <c r="C22" s="71">
        <f>C9-C20</f>
        <v>1097202.1357449116</v>
      </c>
      <c r="D22" s="71">
        <f>D9-D20</f>
        <v>1560078.9583312445</v>
      </c>
      <c r="E22" s="71">
        <f>E9-E20</f>
        <v>2247574.7828124738</v>
      </c>
      <c r="F22" s="71">
        <f>F9-F20</f>
        <v>2505152.0499999998</v>
      </c>
      <c r="G22" s="71">
        <f>G9-G20</f>
        <v>3017554.1429999992</v>
      </c>
      <c r="H22" s="3"/>
      <c r="I22" s="74">
        <f>+I9-I20</f>
        <v>3286596.8422734067</v>
      </c>
      <c r="J22" s="74">
        <f>+J9-J20</f>
        <v>4225351.2658763342</v>
      </c>
      <c r="K22" s="74">
        <f>+K9-K20</f>
        <v>4995287.827022275</v>
      </c>
      <c r="L22" s="74">
        <f>+L9-L20</f>
        <v>5980202.4646463189</v>
      </c>
      <c r="M22" s="74">
        <f>+M9-M20</f>
        <v>7242363.0854281327</v>
      </c>
      <c r="N22" s="74"/>
    </row>
    <row r="23" spans="1:26" x14ac:dyDescent="0.2">
      <c r="A23" s="82" t="s">
        <v>34</v>
      </c>
      <c r="B23" s="82"/>
      <c r="C23" s="83">
        <f>C22/C9</f>
        <v>0.27574543617895436</v>
      </c>
      <c r="D23" s="83">
        <f>D22/D9</f>
        <v>0.31813072885182153</v>
      </c>
      <c r="E23" s="83">
        <f>E22/E9</f>
        <v>0.36971035425489834</v>
      </c>
      <c r="F23" s="83">
        <f>F22/F9</f>
        <v>0.36755155176256737</v>
      </c>
      <c r="G23" s="83">
        <f>G22/G9</f>
        <v>0.41395584066974206</v>
      </c>
      <c r="H23" s="11"/>
      <c r="I23" s="84">
        <f>+I22/I9</f>
        <v>0.4006888864046233</v>
      </c>
      <c r="J23" s="84">
        <f>+J22/J9</f>
        <v>0.45392023471079446</v>
      </c>
      <c r="K23" s="84">
        <f>+K22/K9</f>
        <v>0.47302392200824611</v>
      </c>
      <c r="L23" s="84">
        <f>+L22/L9</f>
        <v>0.49469094025759663</v>
      </c>
      <c r="M23" s="84">
        <f>+M22/M9</f>
        <v>0.51862435845107879</v>
      </c>
      <c r="N23" s="84"/>
    </row>
    <row r="24" spans="1:26" x14ac:dyDescent="0.2">
      <c r="A24" s="82"/>
      <c r="B24" s="82"/>
      <c r="C24" s="82"/>
      <c r="D24" s="82"/>
      <c r="E24" s="82"/>
      <c r="F24" s="82"/>
      <c r="G24" s="82"/>
      <c r="H24" s="82"/>
      <c r="I24" s="82"/>
      <c r="K24" s="82"/>
      <c r="L24" s="82"/>
      <c r="M24" s="82"/>
      <c r="N24" s="82"/>
      <c r="V24" s="73"/>
      <c r="W24" s="73"/>
      <c r="X24" s="73"/>
      <c r="Y24" s="73"/>
      <c r="Z24" s="73"/>
    </row>
    <row r="25" spans="1:26" x14ac:dyDescent="0.2">
      <c r="A25" s="46" t="s">
        <v>35</v>
      </c>
      <c r="B25" s="46"/>
      <c r="C25" s="47">
        <v>15000</v>
      </c>
      <c r="D25" s="47">
        <v>15000</v>
      </c>
      <c r="E25" s="47">
        <v>15000</v>
      </c>
      <c r="F25" s="47">
        <v>15000</v>
      </c>
      <c r="G25" s="47">
        <v>15000</v>
      </c>
      <c r="H25" s="47"/>
      <c r="I25" s="47">
        <v>15000</v>
      </c>
      <c r="J25" s="47">
        <v>15000</v>
      </c>
      <c r="K25" s="47">
        <v>15000</v>
      </c>
      <c r="L25" s="47">
        <v>15000</v>
      </c>
      <c r="M25" s="47">
        <v>15000</v>
      </c>
      <c r="N25" s="50"/>
    </row>
    <row r="26" spans="1:26" x14ac:dyDescent="0.2">
      <c r="A26" s="54" t="s">
        <v>36</v>
      </c>
      <c r="B26" s="54"/>
      <c r="C26" s="55">
        <f>C22-C25</f>
        <v>1082202.1357449116</v>
      </c>
      <c r="D26" s="55">
        <f>D22-D25</f>
        <v>1545078.9583312445</v>
      </c>
      <c r="E26" s="55">
        <f>E22-E25</f>
        <v>2232574.7828124738</v>
      </c>
      <c r="F26" s="55">
        <f>F22-F25</f>
        <v>2490152.0499999998</v>
      </c>
      <c r="G26" s="55">
        <f>G22-G25</f>
        <v>3002554.1429999992</v>
      </c>
      <c r="H26" s="56"/>
      <c r="I26" s="56">
        <f>I22-I25</f>
        <v>3271596.8422734067</v>
      </c>
      <c r="J26" s="56">
        <f>J22-J25</f>
        <v>4210351.2658763342</v>
      </c>
      <c r="K26" s="56">
        <f>K22-K25</f>
        <v>4980287.827022275</v>
      </c>
      <c r="L26" s="56">
        <f>L22-L25</f>
        <v>5965202.4646463189</v>
      </c>
      <c r="M26" s="56">
        <f>M22-M25</f>
        <v>7227363.0854281327</v>
      </c>
      <c r="N26" s="167"/>
    </row>
    <row r="27" spans="1:26" x14ac:dyDescent="0.2">
      <c r="A27" s="43" t="s">
        <v>37</v>
      </c>
      <c r="B27" s="44"/>
      <c r="C27" s="45">
        <f>+C26/C9</f>
        <v>0.27197568272338335</v>
      </c>
      <c r="D27" s="45">
        <f>+D26/D9</f>
        <v>0.31507193435472652</v>
      </c>
      <c r="E27" s="45">
        <f>+E26/E9</f>
        <v>0.36724295901793808</v>
      </c>
      <c r="F27" s="45">
        <f>+F26/F9</f>
        <v>0.3653507778508846</v>
      </c>
      <c r="G27" s="45">
        <f>+G26/G9</f>
        <v>0.41189810207888683</v>
      </c>
      <c r="H27" s="45"/>
      <c r="I27" s="45">
        <f>+I26/I9</f>
        <v>0.39886014573927542</v>
      </c>
      <c r="J27" s="45">
        <f>+J26/J9</f>
        <v>0.45230881755462821</v>
      </c>
      <c r="K27" s="45">
        <f>+K26/K9</f>
        <v>0.47160351159831115</v>
      </c>
      <c r="L27" s="45">
        <f>+L26/L9</f>
        <v>0.49345011870552852</v>
      </c>
      <c r="M27" s="45">
        <f>+M26/M9</f>
        <v>0.51755021106506627</v>
      </c>
      <c r="N27" s="48"/>
    </row>
    <row r="28" spans="1:26" x14ac:dyDescent="0.2">
      <c r="A28" s="46" t="s">
        <v>38</v>
      </c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50"/>
    </row>
    <row r="29" spans="1:26" x14ac:dyDescent="0.2">
      <c r="A29" s="57" t="s">
        <v>39</v>
      </c>
      <c r="B29" s="57"/>
      <c r="C29" s="58">
        <f>SUM(C26,C28)</f>
        <v>1082202.1357449116</v>
      </c>
      <c r="D29" s="59">
        <f>SUM(D26,D28)</f>
        <v>1545078.9583312445</v>
      </c>
      <c r="E29" s="59">
        <f>SUM(E26,E28)</f>
        <v>2232574.7828124738</v>
      </c>
      <c r="F29" s="59">
        <f>SUM(F26,F28)</f>
        <v>2490152.0499999998</v>
      </c>
      <c r="G29" s="59">
        <f>SUM(G26,G28)</f>
        <v>3002554.1429999992</v>
      </c>
      <c r="H29" s="59"/>
      <c r="I29" s="59">
        <f>+I26-I28</f>
        <v>3271596.8422734067</v>
      </c>
      <c r="J29" s="59">
        <f>+J26-J28</f>
        <v>4210351.2658763342</v>
      </c>
      <c r="K29" s="59">
        <f>+K26-K28</f>
        <v>4980287.827022275</v>
      </c>
      <c r="L29" s="59">
        <f>+L26-L28</f>
        <v>5965202.4646463189</v>
      </c>
      <c r="M29" s="59">
        <f>+M26-M28</f>
        <v>7227363.0854281327</v>
      </c>
      <c r="N29" s="49"/>
    </row>
    <row r="30" spans="1:26" x14ac:dyDescent="0.2">
      <c r="A30" s="42" t="s">
        <v>40</v>
      </c>
      <c r="B30" s="42"/>
      <c r="C30" s="60">
        <f>C29*0.45</f>
        <v>486990.96108521026</v>
      </c>
      <c r="D30" s="60">
        <f t="shared" ref="D30:G30" si="6">D29*0.45</f>
        <v>695285.53124906006</v>
      </c>
      <c r="E30" s="60">
        <f t="shared" si="6"/>
        <v>1004658.6522656132</v>
      </c>
      <c r="F30" s="60">
        <f t="shared" si="6"/>
        <v>1120568.4224999999</v>
      </c>
      <c r="G30" s="60">
        <f t="shared" si="6"/>
        <v>1351149.3643499997</v>
      </c>
      <c r="H30" s="60"/>
      <c r="I30" s="60">
        <f>0.45*I29</f>
        <v>1472218.5790230331</v>
      </c>
      <c r="J30" s="60">
        <f>0.45*J29</f>
        <v>1894658.0696443503</v>
      </c>
      <c r="K30" s="60">
        <f>0.45*K29</f>
        <v>2241129.5221600239</v>
      </c>
      <c r="L30" s="60">
        <f>0.45*L29</f>
        <v>2684341.1090908437</v>
      </c>
      <c r="M30" s="60">
        <f>0.45*M29</f>
        <v>3252313.3884426598</v>
      </c>
      <c r="N30" s="50"/>
    </row>
    <row r="31" spans="1:26" x14ac:dyDescent="0.2">
      <c r="A31" s="140" t="s">
        <v>41</v>
      </c>
      <c r="B31" s="140"/>
      <c r="C31" s="141">
        <f>C29-C30</f>
        <v>595211.1746597013</v>
      </c>
      <c r="D31" s="141">
        <f>D29-D30</f>
        <v>849793.42708218447</v>
      </c>
      <c r="E31" s="141">
        <f>E29-E30</f>
        <v>1227916.1305468606</v>
      </c>
      <c r="F31" s="141">
        <f>F29-F30</f>
        <v>1369583.6274999999</v>
      </c>
      <c r="G31" s="141">
        <f>G29-G30</f>
        <v>1651404.7786499995</v>
      </c>
      <c r="H31" s="141"/>
      <c r="I31" s="141">
        <f>I29-I30</f>
        <v>1799378.2632503735</v>
      </c>
      <c r="J31" s="141">
        <f>J29-J30</f>
        <v>2315693.1962319836</v>
      </c>
      <c r="K31" s="141">
        <f>K29-K30</f>
        <v>2739158.304862251</v>
      </c>
      <c r="L31" s="141">
        <f>L29-L30</f>
        <v>3280861.3555554752</v>
      </c>
      <c r="M31" s="141">
        <f>M29-M30</f>
        <v>3975049.6969854729</v>
      </c>
      <c r="N31" s="49"/>
    </row>
    <row r="32" spans="1:26" x14ac:dyDescent="0.2">
      <c r="A32" s="139"/>
      <c r="B32" s="139"/>
      <c r="C32" s="139"/>
      <c r="D32" s="138"/>
      <c r="E32" s="138"/>
      <c r="F32" s="138"/>
      <c r="G32" s="138"/>
      <c r="H32" s="138"/>
      <c r="I32" s="138"/>
      <c r="K32" s="139"/>
      <c r="L32" s="138"/>
      <c r="M32" s="138"/>
      <c r="N32" s="71"/>
    </row>
    <row r="33" spans="1:14" x14ac:dyDescent="0.2">
      <c r="A33" s="68"/>
      <c r="B33" s="68"/>
      <c r="C33" s="68"/>
      <c r="D33" s="68"/>
      <c r="E33" s="68"/>
      <c r="F33" s="68"/>
      <c r="G33" s="68"/>
      <c r="H33" s="68"/>
      <c r="I33" s="68"/>
      <c r="K33" s="68"/>
      <c r="L33" s="68"/>
      <c r="M33" s="68"/>
      <c r="N33" s="68"/>
    </row>
    <row r="34" spans="1:14" x14ac:dyDescent="0.2">
      <c r="A34" s="68"/>
      <c r="B34" s="68"/>
      <c r="C34" s="80"/>
      <c r="D34" s="80"/>
      <c r="E34" s="80"/>
      <c r="F34" s="80"/>
      <c r="G34" s="80"/>
      <c r="H34" s="80"/>
      <c r="I34" s="80"/>
      <c r="J34" s="39"/>
      <c r="K34" s="80"/>
      <c r="L34" s="80"/>
      <c r="M34" s="80"/>
      <c r="N34" s="80"/>
    </row>
    <row r="35" spans="1:14" x14ac:dyDescent="0.2">
      <c r="A35" s="68"/>
      <c r="B35" s="68"/>
      <c r="C35" s="68"/>
      <c r="D35" s="68"/>
      <c r="E35" s="68"/>
      <c r="F35" s="68"/>
      <c r="G35" s="68"/>
      <c r="H35" s="68"/>
      <c r="I35" s="68"/>
      <c r="J35" s="39"/>
      <c r="K35" s="68"/>
      <c r="L35" s="68"/>
      <c r="M35" s="68"/>
      <c r="N35" s="68"/>
    </row>
    <row r="36" spans="1:14" x14ac:dyDescent="0.2">
      <c r="A36" s="68"/>
      <c r="B36" s="68"/>
      <c r="C36" s="68"/>
      <c r="D36" s="68"/>
      <c r="E36" s="68"/>
      <c r="F36" s="68"/>
      <c r="G36" s="68"/>
      <c r="H36" s="68"/>
      <c r="I36" s="68"/>
      <c r="K36" s="68"/>
      <c r="L36" s="68"/>
      <c r="M36" s="68"/>
      <c r="N36" s="68"/>
    </row>
    <row r="37" spans="1:14" x14ac:dyDescent="0.2">
      <c r="A37" s="68"/>
      <c r="B37" s="68"/>
      <c r="C37" s="68"/>
      <c r="D37" s="68"/>
      <c r="E37" s="68"/>
      <c r="F37" s="68"/>
      <c r="G37" s="68"/>
      <c r="H37" s="68"/>
      <c r="M37" s="68"/>
      <c r="N37" s="68"/>
    </row>
    <row r="38" spans="1:14" x14ac:dyDescent="0.2">
      <c r="A38" s="70"/>
      <c r="B38" s="70"/>
      <c r="C38" s="68"/>
      <c r="D38" s="68"/>
      <c r="E38" s="68"/>
      <c r="G38" s="68"/>
      <c r="H38" s="68"/>
      <c r="M38" s="68"/>
      <c r="N38" s="68"/>
    </row>
    <row r="39" spans="1:14" x14ac:dyDescent="0.2">
      <c r="A39" s="68"/>
      <c r="B39" s="68"/>
      <c r="C39" s="71"/>
      <c r="D39" s="71"/>
      <c r="E39" s="71"/>
      <c r="F39" s="71"/>
      <c r="G39" s="71"/>
      <c r="H39" s="71"/>
      <c r="I39" s="71"/>
      <c r="K39" s="71"/>
      <c r="L39" s="71"/>
      <c r="M39" s="71"/>
      <c r="N39" s="71"/>
    </row>
    <row r="40" spans="1:14" x14ac:dyDescent="0.2">
      <c r="A40" s="68"/>
      <c r="B40" s="68"/>
      <c r="C40" s="71"/>
      <c r="D40" s="71"/>
      <c r="E40" s="71"/>
      <c r="F40" s="71"/>
      <c r="G40" s="71"/>
      <c r="H40" s="71"/>
      <c r="I40" s="71"/>
      <c r="K40" s="71"/>
      <c r="L40" s="71"/>
      <c r="M40" s="71"/>
      <c r="N40" s="71"/>
    </row>
    <row r="41" spans="1:14" x14ac:dyDescent="0.2">
      <c r="A41" s="68"/>
      <c r="B41" s="68"/>
      <c r="C41" s="71"/>
      <c r="D41" s="71"/>
      <c r="E41" s="71"/>
      <c r="F41" s="71"/>
      <c r="G41" s="71"/>
      <c r="H41" s="71"/>
      <c r="I41" s="71"/>
      <c r="K41" s="71"/>
      <c r="L41" s="71"/>
      <c r="M41" s="71"/>
      <c r="N41" s="71"/>
    </row>
    <row r="42" spans="1:14" x14ac:dyDescent="0.2">
      <c r="A42" s="68"/>
      <c r="B42" s="68"/>
      <c r="C42" s="68"/>
      <c r="D42" s="68"/>
      <c r="E42" s="68"/>
      <c r="F42" s="68"/>
      <c r="G42" s="68"/>
      <c r="H42" s="68" t="s">
        <v>42</v>
      </c>
      <c r="I42" s="85">
        <f>I22*5.1</f>
        <v>16761643.895594373</v>
      </c>
      <c r="J42" t="s">
        <v>43</v>
      </c>
      <c r="K42" s="68"/>
      <c r="L42" s="68"/>
      <c r="M42" s="68"/>
      <c r="N42" s="68"/>
    </row>
    <row r="43" spans="1:14" ht="32" x14ac:dyDescent="0.2">
      <c r="A43" s="68"/>
      <c r="B43" s="68"/>
      <c r="C43" s="71"/>
      <c r="D43" s="71"/>
      <c r="E43" s="71"/>
      <c r="F43" s="71"/>
      <c r="G43" s="71"/>
      <c r="H43" s="208" t="s">
        <v>44</v>
      </c>
      <c r="I43" s="71"/>
      <c r="K43" s="71"/>
      <c r="L43" s="71"/>
      <c r="M43" s="71"/>
      <c r="N43" s="71"/>
    </row>
    <row r="44" spans="1:14" x14ac:dyDescent="0.2">
      <c r="A44" s="68"/>
      <c r="B44" s="68"/>
      <c r="C44" s="68"/>
      <c r="D44" s="68"/>
      <c r="E44" s="68"/>
      <c r="F44" s="68"/>
      <c r="G44" s="68"/>
      <c r="H44" s="68"/>
      <c r="I44" s="68"/>
      <c r="K44" s="68"/>
      <c r="L44" s="68"/>
      <c r="M44" s="68"/>
      <c r="N44" s="68"/>
    </row>
    <row r="45" spans="1:14" x14ac:dyDescent="0.2">
      <c r="A45" s="70"/>
      <c r="B45" s="70"/>
      <c r="C45" s="68"/>
      <c r="D45" s="68"/>
      <c r="E45" s="68"/>
      <c r="F45" s="68"/>
      <c r="G45" s="68"/>
      <c r="H45" s="68"/>
      <c r="I45" s="68"/>
      <c r="K45" s="68"/>
      <c r="L45" s="68"/>
      <c r="M45" s="68"/>
      <c r="N45" s="68"/>
    </row>
    <row r="46" spans="1:14" x14ac:dyDescent="0.2">
      <c r="A46" s="68"/>
      <c r="B46" s="68"/>
      <c r="C46" s="68"/>
      <c r="D46" s="68"/>
      <c r="E46" s="68"/>
      <c r="F46" s="68"/>
      <c r="G46" s="68"/>
      <c r="H46" s="68"/>
      <c r="I46" s="68"/>
      <c r="K46" s="68"/>
      <c r="L46" s="68"/>
      <c r="M46" s="68"/>
      <c r="N46" s="68"/>
    </row>
    <row r="47" spans="1:14" x14ac:dyDescent="0.2">
      <c r="A47" s="68"/>
      <c r="B47" s="68"/>
      <c r="C47" s="68"/>
      <c r="D47" s="68"/>
      <c r="E47" s="68"/>
      <c r="F47" s="68"/>
      <c r="G47" s="68"/>
      <c r="H47" s="68"/>
      <c r="I47" s="68"/>
      <c r="K47" s="68"/>
      <c r="L47" s="68"/>
      <c r="M47" s="68"/>
    </row>
    <row r="48" spans="1:14" x14ac:dyDescent="0.2">
      <c r="A48" s="68"/>
      <c r="B48" s="68"/>
      <c r="C48" s="68"/>
      <c r="D48" s="68"/>
      <c r="E48" s="68"/>
      <c r="F48" s="68"/>
      <c r="G48" s="68"/>
      <c r="H48" s="68"/>
      <c r="I48" s="68"/>
      <c r="K48" s="68"/>
      <c r="L48" s="68"/>
      <c r="M48" s="68"/>
      <c r="N48" s="68"/>
    </row>
    <row r="49" spans="1:14" x14ac:dyDescent="0.2">
      <c r="A49" s="68"/>
      <c r="B49" s="68"/>
      <c r="C49" s="68"/>
      <c r="D49" s="68"/>
      <c r="E49" s="68"/>
      <c r="F49" s="68"/>
      <c r="G49" s="68"/>
      <c r="H49" s="68"/>
      <c r="I49" s="68"/>
      <c r="K49" s="68"/>
      <c r="L49" s="68"/>
      <c r="M49" s="68"/>
      <c r="N49" s="68"/>
    </row>
    <row r="50" spans="1:14" x14ac:dyDescent="0.2">
      <c r="A50" s="68"/>
      <c r="B50" s="68"/>
      <c r="C50" s="68"/>
      <c r="D50" s="68"/>
      <c r="E50" s="68"/>
      <c r="F50" s="68"/>
      <c r="G50" s="68"/>
      <c r="H50" s="68"/>
      <c r="I50" s="68"/>
      <c r="K50" s="68"/>
      <c r="L50" s="68"/>
      <c r="M50" s="68"/>
      <c r="N50" s="68"/>
    </row>
    <row r="51" spans="1:14" x14ac:dyDescent="0.2">
      <c r="A51" s="68"/>
      <c r="B51" s="68"/>
      <c r="C51" s="68"/>
      <c r="D51" s="68"/>
      <c r="E51" s="68"/>
      <c r="F51" s="68"/>
      <c r="G51" s="68"/>
      <c r="H51" s="68"/>
      <c r="I51" s="68"/>
      <c r="K51" s="68"/>
      <c r="L51" s="68"/>
      <c r="M51" s="68"/>
      <c r="N51" s="68"/>
    </row>
    <row r="52" spans="1:14" x14ac:dyDescent="0.2">
      <c r="A52" s="68"/>
      <c r="B52" s="68"/>
      <c r="C52" s="68"/>
      <c r="D52" s="68"/>
      <c r="E52" s="68"/>
      <c r="F52" s="68"/>
      <c r="G52" s="68"/>
      <c r="H52" s="68"/>
      <c r="I52" s="68"/>
      <c r="K52" s="68"/>
      <c r="L52" s="68"/>
      <c r="M52" s="68"/>
      <c r="N52" s="68"/>
    </row>
    <row r="53" spans="1:14" x14ac:dyDescent="0.2">
      <c r="A53" s="68"/>
      <c r="B53" s="68"/>
      <c r="C53" s="68"/>
      <c r="D53" s="68"/>
      <c r="E53" s="68"/>
      <c r="F53" s="68"/>
      <c r="G53" s="68"/>
      <c r="H53" s="68"/>
      <c r="I53" s="68"/>
      <c r="K53" s="68"/>
      <c r="L53" s="68"/>
      <c r="M53" s="68"/>
      <c r="N53" s="68"/>
    </row>
    <row r="54" spans="1:14" x14ac:dyDescent="0.2">
      <c r="A54" s="68"/>
      <c r="B54" s="68"/>
      <c r="C54" s="68"/>
      <c r="D54" s="68"/>
      <c r="E54" s="68"/>
      <c r="F54" s="68"/>
      <c r="G54" s="68"/>
      <c r="H54" s="68"/>
      <c r="I54" s="68"/>
      <c r="K54" s="68"/>
      <c r="L54" s="68"/>
      <c r="M54" s="68"/>
      <c r="N54" s="68"/>
    </row>
    <row r="55" spans="1:14" x14ac:dyDescent="0.2">
      <c r="A55" s="68"/>
      <c r="B55" s="68"/>
      <c r="C55" s="68"/>
      <c r="D55" s="68"/>
      <c r="E55" s="68"/>
      <c r="F55" s="68"/>
      <c r="G55" s="68"/>
      <c r="H55" s="68"/>
      <c r="I55" s="68"/>
      <c r="K55" s="68"/>
      <c r="L55" s="68"/>
      <c r="M55" s="68"/>
      <c r="N55" s="68"/>
    </row>
    <row r="56" spans="1:14" x14ac:dyDescent="0.2">
      <c r="A56" s="68"/>
      <c r="B56" s="68"/>
      <c r="C56" s="68"/>
      <c r="D56" s="68"/>
      <c r="E56" s="68"/>
      <c r="F56" s="68"/>
      <c r="G56" s="68"/>
      <c r="H56" s="68"/>
      <c r="I56" s="68"/>
      <c r="K56" s="68"/>
      <c r="L56" s="68"/>
      <c r="M56" s="68"/>
      <c r="N56" s="68"/>
    </row>
    <row r="57" spans="1:14" x14ac:dyDescent="0.2">
      <c r="A57" s="68"/>
      <c r="B57" s="68"/>
      <c r="C57" s="68"/>
      <c r="D57" s="68"/>
      <c r="E57" s="68"/>
      <c r="F57" s="68"/>
      <c r="G57" s="68"/>
      <c r="H57" s="68"/>
      <c r="I57" s="68"/>
      <c r="K57" s="68"/>
      <c r="L57" s="68"/>
      <c r="M57" s="68"/>
      <c r="N57" s="68"/>
    </row>
    <row r="58" spans="1:14" x14ac:dyDescent="0.2">
      <c r="A58" s="68"/>
      <c r="B58" s="68"/>
      <c r="C58" s="68"/>
      <c r="D58" s="68"/>
      <c r="E58" s="68"/>
      <c r="F58" s="68"/>
      <c r="G58" s="68"/>
      <c r="H58" s="68"/>
      <c r="I58" s="68"/>
      <c r="K58" s="68"/>
      <c r="L58" s="68"/>
      <c r="M58" s="68"/>
      <c r="N58" s="68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75AD-0C68-4DF8-B12C-E83EAD9D5702}">
  <dimension ref="A1:J22"/>
  <sheetViews>
    <sheetView topLeftCell="A3" zoomScale="157" workbookViewId="0">
      <selection activeCell="D24" sqref="D24"/>
    </sheetView>
  </sheetViews>
  <sheetFormatPr baseColWidth="10" defaultColWidth="10.83203125" defaultRowHeight="15" x14ac:dyDescent="0.2"/>
  <cols>
    <col min="1" max="1" width="41" style="61" customWidth="1"/>
    <col min="2" max="2" width="14.6640625" style="61" bestFit="1" customWidth="1"/>
    <col min="3" max="5" width="15.5" style="61" bestFit="1" customWidth="1"/>
    <col min="6" max="6" width="15.83203125" style="61" bestFit="1" customWidth="1"/>
    <col min="7" max="10" width="10.83203125" style="61"/>
    <col min="11" max="11" width="17.6640625" style="61" bestFit="1" customWidth="1"/>
    <col min="12" max="16384" width="10.83203125" style="61"/>
  </cols>
  <sheetData>
    <row r="1" spans="1:10" x14ac:dyDescent="0.2">
      <c r="A1" s="209"/>
      <c r="B1" s="209"/>
      <c r="C1" s="209"/>
      <c r="D1" s="209"/>
    </row>
    <row r="2" spans="1:10" x14ac:dyDescent="0.2">
      <c r="A2" s="61" t="s">
        <v>45</v>
      </c>
      <c r="B2" s="66" t="s">
        <v>8</v>
      </c>
      <c r="C2" s="66" t="s">
        <v>9</v>
      </c>
      <c r="D2" s="66" t="s">
        <v>10</v>
      </c>
      <c r="E2" s="66" t="s">
        <v>11</v>
      </c>
      <c r="F2" s="66" t="s">
        <v>12</v>
      </c>
    </row>
    <row r="3" spans="1:10" x14ac:dyDescent="0.2">
      <c r="A3" s="61" t="s">
        <v>46</v>
      </c>
      <c r="B3" s="64">
        <f>'Income Statement'!I31</f>
        <v>1799378.2632503735</v>
      </c>
      <c r="C3" s="64">
        <f>'Income Statement'!J31</f>
        <v>2315693.1962319836</v>
      </c>
      <c r="D3" s="64">
        <f>'Income Statement'!K31</f>
        <v>2739158.304862251</v>
      </c>
      <c r="E3" s="64">
        <f>'Income Statement'!L31</f>
        <v>3280861.3555554752</v>
      </c>
      <c r="F3" s="64">
        <f>'Income Statement'!M31</f>
        <v>3975049.6969854729</v>
      </c>
    </row>
    <row r="4" spans="1:10" x14ac:dyDescent="0.2">
      <c r="A4" s="61" t="s">
        <v>47</v>
      </c>
      <c r="B4" s="61">
        <f>'Income Statement'!I25</f>
        <v>15000</v>
      </c>
      <c r="C4" s="61">
        <f>'Income Statement'!J25</f>
        <v>15000</v>
      </c>
      <c r="D4" s="61">
        <f>'Income Statement'!K25</f>
        <v>15000</v>
      </c>
      <c r="E4" s="61">
        <f>'Income Statement'!L25</f>
        <v>15000</v>
      </c>
      <c r="F4" s="61">
        <f>'Income Statement'!M25</f>
        <v>15000</v>
      </c>
    </row>
    <row r="5" spans="1:10" x14ac:dyDescent="0.2">
      <c r="A5" s="61" t="s">
        <v>48</v>
      </c>
    </row>
    <row r="6" spans="1:10" x14ac:dyDescent="0.2">
      <c r="A6" s="61" t="s">
        <v>49</v>
      </c>
      <c r="B6" s="181">
        <f>-('Balance Sheet'!B6-728955.6)</f>
        <v>-91280.985986699583</v>
      </c>
      <c r="C6" s="61">
        <f>-('Balance Sheet'!F6 - 'Balance Sheet'!B6)</f>
        <v>-110621.07198231039</v>
      </c>
      <c r="D6" s="61">
        <f>-('Balance Sheet'!J6 - 'Balance Sheet'!F6)</f>
        <v>-125175.15445505048</v>
      </c>
      <c r="E6" s="61">
        <f>-('Balance Sheet'!N6 - 'Balance Sheet'!J6)</f>
        <v>-152843.67549631558</v>
      </c>
      <c r="F6" s="61">
        <f>-('Balance Sheet'!R6 - 'Balance Sheet'!N6)</f>
        <v>-187579.91976902401</v>
      </c>
      <c r="J6"/>
    </row>
    <row r="7" spans="1:10" x14ac:dyDescent="0.2">
      <c r="A7" s="61" t="s">
        <v>50</v>
      </c>
      <c r="B7" s="182"/>
      <c r="C7" s="61">
        <f>( 'Balance Sheet'!F20-'Balance Sheet'!B20 )</f>
        <v>-42932.566424763761</v>
      </c>
      <c r="D7" s="61">
        <f>( 'Balance Sheet'!J20-'Balance Sheet'!F20 )</f>
        <v>38258.366315208492</v>
      </c>
      <c r="E7" s="61">
        <f>('Balance Sheet'!N20 - 'Balance Sheet'!J20)</f>
        <v>41719.680800346774</v>
      </c>
      <c r="F7" s="61">
        <f>('Balance Sheet'!R20- 'Balance Sheet'!N20)</f>
        <v>45474.663794013439</v>
      </c>
    </row>
    <row r="8" spans="1:10" x14ac:dyDescent="0.2">
      <c r="A8" s="61" t="s">
        <v>51</v>
      </c>
      <c r="B8" s="61">
        <f>('Balance Sheet'!B21-1250000)</f>
        <v>0</v>
      </c>
      <c r="C8" s="61">
        <f>('Balance Sheet'!F21-'Balance Sheet'!B21)</f>
        <v>144402.19617738924</v>
      </c>
      <c r="D8" s="61">
        <f>('Balance Sheet'!J21-'Balance Sheet'!F21)</f>
        <v>188055.82236992777</v>
      </c>
      <c r="E8" s="61">
        <f>('Balance Sheet'!N21-'Balance Sheet'!J21)</f>
        <v>212797.76257358561</v>
      </c>
      <c r="F8" s="61">
        <f>('Balance Sheet'!R21-'Balance Sheet'!N21)</f>
        <v>578720.11195107759</v>
      </c>
    </row>
    <row r="9" spans="1:10" x14ac:dyDescent="0.2">
      <c r="A9" s="61" t="s">
        <v>52</v>
      </c>
      <c r="B9" s="61">
        <v>0</v>
      </c>
      <c r="C9" s="61">
        <f>('Balance Sheet'!F22-'Balance Sheet'!B22)</f>
        <v>0</v>
      </c>
      <c r="D9" s="61">
        <f>('Balance Sheet'!J22-'Balance Sheet'!F22)</f>
        <v>0</v>
      </c>
      <c r="E9" s="61">
        <f>('Balance Sheet'!N22-'Balance Sheet'!J22)</f>
        <v>0</v>
      </c>
      <c r="F9" s="61">
        <f>('Balance Sheet'!R22-'Balance Sheet'!N22)</f>
        <v>0</v>
      </c>
    </row>
    <row r="10" spans="1:10" x14ac:dyDescent="0.2">
      <c r="A10" s="61" t="s">
        <v>53</v>
      </c>
      <c r="B10" s="61">
        <f>SUM(B3:B9)</f>
        <v>1723097.277263674</v>
      </c>
      <c r="C10" s="61">
        <f>SUM(C3:C9)</f>
        <v>2321541.7540022992</v>
      </c>
      <c r="D10" s="61">
        <f>SUM(D3:D9)</f>
        <v>2855297.3390923366</v>
      </c>
      <c r="E10" s="61">
        <f>SUM(E3:E9)</f>
        <v>3397535.1234330917</v>
      </c>
      <c r="F10" s="61">
        <f>SUM(F3:F9)</f>
        <v>4426664.5529615395</v>
      </c>
    </row>
    <row r="12" spans="1:10" x14ac:dyDescent="0.2">
      <c r="A12" s="61" t="s">
        <v>54</v>
      </c>
      <c r="B12" s="65">
        <v>0</v>
      </c>
      <c r="C12" s="65">
        <v>0</v>
      </c>
      <c r="D12" s="65">
        <v>0</v>
      </c>
      <c r="E12" s="65">
        <v>0</v>
      </c>
      <c r="F12" s="65">
        <v>0</v>
      </c>
    </row>
    <row r="13" spans="1:10" x14ac:dyDescent="0.2">
      <c r="A13" s="61" t="s">
        <v>55</v>
      </c>
      <c r="B13" s="61">
        <v>0</v>
      </c>
      <c r="C13" s="61">
        <f xml:space="preserve"> - ( 'Balance Sheet'!F11 - 'Balance Sheet'!B11 )</f>
        <v>0</v>
      </c>
      <c r="D13" s="61">
        <f xml:space="preserve"> - ( 'Balance Sheet'!J11 - 'Balance Sheet'!F11 )</f>
        <v>0</v>
      </c>
      <c r="E13" s="61">
        <f xml:space="preserve"> - ( 'Balance Sheet'!N11 - 'Balance Sheet'!J11 )</f>
        <v>0</v>
      </c>
      <c r="F13" s="61">
        <f xml:space="preserve"> - ( 'Balance Sheet'!R11 - 'Balance Sheet'!N11 )</f>
        <v>0</v>
      </c>
    </row>
    <row r="14" spans="1:10" x14ac:dyDescent="0.2">
      <c r="A14" s="61" t="s">
        <v>56</v>
      </c>
      <c r="B14" s="61">
        <f>SUM(B12:B13)</f>
        <v>0</v>
      </c>
      <c r="C14" s="61">
        <f>SUM(C12:C13)</f>
        <v>0</v>
      </c>
      <c r="D14" s="61">
        <f>SUM(D12:D13)</f>
        <v>0</v>
      </c>
      <c r="E14" s="61">
        <f>SUM(E12:E13)</f>
        <v>0</v>
      </c>
      <c r="F14" s="61">
        <f>SUM(F12:F13)</f>
        <v>0</v>
      </c>
    </row>
    <row r="16" spans="1:10" x14ac:dyDescent="0.2">
      <c r="A16" s="61" t="s">
        <v>57</v>
      </c>
      <c r="B16" s="61">
        <f>-('5.c Amortization&amp;Covenants'!E17)</f>
        <v>-821649.21056835167</v>
      </c>
      <c r="C16" s="61">
        <f>-('5.c Amortization&amp;Covenants'!E18)</f>
        <v>-821649.21056835167</v>
      </c>
      <c r="D16" s="61">
        <f>-('5.c Amortization&amp;Covenants'!E19)</f>
        <v>-1643298.4211367033</v>
      </c>
      <c r="E16" s="61">
        <f>-('5.c Amortization&amp;Covenants'!E20)</f>
        <v>-1643298.4211367033</v>
      </c>
      <c r="F16" s="61">
        <f>-('5.c Amortization&amp;Covenants'!E21)</f>
        <v>-1643298.4211367033</v>
      </c>
    </row>
    <row r="17" spans="1:6" x14ac:dyDescent="0.2">
      <c r="A17" s="61" t="s">
        <v>58</v>
      </c>
    </row>
    <row r="18" spans="1:6" x14ac:dyDescent="0.2">
      <c r="A18" s="61" t="s">
        <v>59</v>
      </c>
      <c r="B18" s="61">
        <f>SUM(B16:B17)</f>
        <v>-821649.21056835167</v>
      </c>
      <c r="C18" s="61">
        <f>SUM(C16:C17)</f>
        <v>-821649.21056835167</v>
      </c>
      <c r="D18" s="61">
        <f>SUM(D16:D17)</f>
        <v>-1643298.4211367033</v>
      </c>
      <c r="E18" s="61">
        <f>SUM(E16:E17)</f>
        <v>-1643298.4211367033</v>
      </c>
      <c r="F18" s="61">
        <f>SUM(F16:F17)</f>
        <v>-1643298.4211367033</v>
      </c>
    </row>
    <row r="20" spans="1:6" x14ac:dyDescent="0.2">
      <c r="A20" s="61" t="s">
        <v>60</v>
      </c>
      <c r="B20" s="61">
        <f>B10 + B14 + B18</f>
        <v>901448.06669532228</v>
      </c>
      <c r="C20" s="61">
        <f>C10 + C14 + C18</f>
        <v>1499892.5434339475</v>
      </c>
      <c r="D20" s="61">
        <f>D10 + D14 + D18</f>
        <v>1211998.9179556333</v>
      </c>
      <c r="E20" s="61">
        <f>E10 + E14 + E18</f>
        <v>1754236.7022963883</v>
      </c>
      <c r="F20" s="61">
        <f>F10 + F14 + F18</f>
        <v>2783366.1318248361</v>
      </c>
    </row>
    <row r="21" spans="1:6" x14ac:dyDescent="0.2">
      <c r="A21" s="61" t="s">
        <v>61</v>
      </c>
      <c r="B21" s="64">
        <v>500000</v>
      </c>
      <c r="C21" s="61">
        <f>B22</f>
        <v>1401448.0666953223</v>
      </c>
      <c r="D21" s="61">
        <f>C22</f>
        <v>2901340.6101292698</v>
      </c>
      <c r="E21" s="61">
        <f>D22</f>
        <v>4113339.528084903</v>
      </c>
      <c r="F21" s="61">
        <f>E22</f>
        <v>5867576.2303812914</v>
      </c>
    </row>
    <row r="22" spans="1:6" x14ac:dyDescent="0.2">
      <c r="A22" s="61" t="s">
        <v>62</v>
      </c>
      <c r="B22" s="64">
        <f>B21 + B20</f>
        <v>1401448.0666953223</v>
      </c>
      <c r="C22" s="64">
        <f>C21 + C20</f>
        <v>2901340.6101292698</v>
      </c>
      <c r="D22" s="64">
        <f>D21 + D20</f>
        <v>4113339.528084903</v>
      </c>
      <c r="E22" s="64">
        <f>E21 + E20</f>
        <v>5867576.2303812914</v>
      </c>
      <c r="F22" s="64">
        <f>F21 + F20</f>
        <v>8650942.3622061275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161D-1B80-41F2-A853-D43D4EFC8282}">
  <dimension ref="A1:V42"/>
  <sheetViews>
    <sheetView topLeftCell="A5" zoomScale="118" workbookViewId="0">
      <selection activeCell="D34" sqref="D34"/>
    </sheetView>
  </sheetViews>
  <sheetFormatPr baseColWidth="10" defaultColWidth="11.5" defaultRowHeight="15" x14ac:dyDescent="0.2"/>
  <cols>
    <col min="1" max="1" width="38" style="61" bestFit="1" customWidth="1"/>
    <col min="2" max="2" width="17.1640625" style="61" customWidth="1"/>
    <col min="3" max="3" width="14.6640625" style="61" customWidth="1"/>
    <col min="4" max="4" width="15.5" style="61" bestFit="1" customWidth="1"/>
    <col min="5" max="5" width="38" style="61" bestFit="1" customWidth="1"/>
    <col min="6" max="6" width="16.6640625" style="61" customWidth="1"/>
    <col min="7" max="8" width="11.5" style="61"/>
    <col min="9" max="9" width="38" style="61" bestFit="1" customWidth="1"/>
    <col min="10" max="10" width="17.5" style="61" customWidth="1"/>
    <col min="11" max="12" width="11.5" style="61"/>
    <col min="13" max="13" width="38" style="61" bestFit="1" customWidth="1"/>
    <col min="14" max="14" width="17.6640625" style="61" customWidth="1"/>
    <col min="15" max="16" width="11.5" style="61"/>
    <col min="17" max="17" width="38" style="61" bestFit="1" customWidth="1"/>
    <col min="18" max="18" width="24.33203125" style="61" customWidth="1"/>
    <col min="19" max="20" width="11.5" style="61"/>
    <col min="21" max="21" width="15.1640625" style="61" bestFit="1" customWidth="1"/>
    <col min="22" max="16384" width="11.5" style="61"/>
  </cols>
  <sheetData>
    <row r="1" spans="1:22" x14ac:dyDescent="0.2">
      <c r="A1" s="193" t="s">
        <v>63</v>
      </c>
      <c r="B1" s="193"/>
      <c r="C1" s="64"/>
    </row>
    <row r="2" spans="1:22" x14ac:dyDescent="0.2">
      <c r="A2" s="190" t="s">
        <v>64</v>
      </c>
      <c r="B2" s="190"/>
      <c r="C2" s="192"/>
      <c r="D2" s="62"/>
      <c r="E2" s="189" t="s">
        <v>65</v>
      </c>
      <c r="F2" s="189"/>
      <c r="G2" s="184"/>
      <c r="I2" s="189" t="s">
        <v>66</v>
      </c>
      <c r="J2" s="189"/>
      <c r="K2" s="184"/>
      <c r="M2" s="189" t="s">
        <v>67</v>
      </c>
      <c r="N2" s="189"/>
      <c r="O2" s="184"/>
      <c r="Q2" s="189" t="s">
        <v>68</v>
      </c>
      <c r="R2" s="189"/>
      <c r="S2" s="184"/>
    </row>
    <row r="3" spans="1:22" x14ac:dyDescent="0.2">
      <c r="A3" s="184" t="s">
        <v>69</v>
      </c>
      <c r="B3" s="185" t="s">
        <v>8</v>
      </c>
      <c r="C3" s="191"/>
      <c r="D3" s="187"/>
      <c r="E3" s="184" t="s">
        <v>69</v>
      </c>
      <c r="F3" s="185" t="s">
        <v>9</v>
      </c>
      <c r="G3" s="186"/>
      <c r="H3" s="188"/>
      <c r="I3" s="184" t="s">
        <v>69</v>
      </c>
      <c r="J3" s="185" t="s">
        <v>10</v>
      </c>
      <c r="K3" s="186"/>
      <c r="L3" s="188"/>
      <c r="M3" s="184" t="s">
        <v>69</v>
      </c>
      <c r="N3" s="185" t="s">
        <v>11</v>
      </c>
      <c r="O3" s="186"/>
      <c r="P3" s="188"/>
      <c r="Q3" s="184" t="s">
        <v>69</v>
      </c>
      <c r="R3" s="185" t="s">
        <v>12</v>
      </c>
      <c r="S3" s="64"/>
    </row>
    <row r="4" spans="1:22" x14ac:dyDescent="0.2">
      <c r="A4" s="63" t="s">
        <v>70</v>
      </c>
      <c r="B4" s="64"/>
      <c r="C4" s="64"/>
      <c r="E4" s="63" t="s">
        <v>70</v>
      </c>
      <c r="F4" s="64"/>
      <c r="G4" s="64"/>
      <c r="I4" s="63" t="s">
        <v>70</v>
      </c>
      <c r="J4" s="64"/>
      <c r="K4" s="64"/>
      <c r="M4" s="63" t="s">
        <v>70</v>
      </c>
      <c r="N4" s="64"/>
      <c r="O4" s="64"/>
      <c r="Q4" s="63" t="s">
        <v>70</v>
      </c>
      <c r="R4" s="64"/>
      <c r="S4" s="64"/>
    </row>
    <row r="5" spans="1:22" x14ac:dyDescent="0.2">
      <c r="A5" s="64" t="s">
        <v>71</v>
      </c>
      <c r="B5" s="64">
        <v>500000</v>
      </c>
      <c r="C5" s="64"/>
      <c r="E5" s="64" t="s">
        <v>71</v>
      </c>
      <c r="F5" s="64">
        <f>'Cashflow Statement'!C22</f>
        <v>2901340.6101292698</v>
      </c>
      <c r="G5" s="64"/>
      <c r="I5" s="64" t="s">
        <v>71</v>
      </c>
      <c r="J5" s="64">
        <f>'Cashflow Statement'!D22</f>
        <v>4113339.528084903</v>
      </c>
      <c r="K5" s="64"/>
      <c r="M5" s="64" t="s">
        <v>71</v>
      </c>
      <c r="N5" s="64">
        <f>'Cashflow Statement'!E22</f>
        <v>5867576.2303812914</v>
      </c>
      <c r="O5" s="64"/>
      <c r="Q5" s="64" t="s">
        <v>71</v>
      </c>
      <c r="R5" s="64">
        <f>'Cashflow Statement'!F22</f>
        <v>8650942.3622061275</v>
      </c>
      <c r="S5" s="64"/>
    </row>
    <row r="6" spans="1:22" x14ac:dyDescent="0.2">
      <c r="A6" s="64" t="s">
        <v>72</v>
      </c>
      <c r="B6" s="64">
        <f>(0.1*'Income Statement'!I9)</f>
        <v>820236.58598669956</v>
      </c>
      <c r="C6" s="64"/>
      <c r="E6" s="64" t="s">
        <v>72</v>
      </c>
      <c r="F6" s="64">
        <f>0.1*'Income Statement'!J9</f>
        <v>930857.65796900995</v>
      </c>
      <c r="G6" s="64"/>
      <c r="I6" s="64" t="s">
        <v>72</v>
      </c>
      <c r="J6" s="64">
        <f>0.1*'Income Statement'!K9</f>
        <v>1056032.8124240604</v>
      </c>
      <c r="K6" s="64"/>
      <c r="M6" s="64" t="s">
        <v>72</v>
      </c>
      <c r="N6" s="64">
        <f>+'Income Statement'!L9*0.1</f>
        <v>1208876.487920376</v>
      </c>
      <c r="O6" s="64"/>
      <c r="Q6" s="64" t="s">
        <v>72</v>
      </c>
      <c r="R6" s="64">
        <f>+'Income Statement'!M9*0.1</f>
        <v>1396456.4076894</v>
      </c>
      <c r="S6" s="64"/>
    </row>
    <row r="7" spans="1:22" x14ac:dyDescent="0.2">
      <c r="A7" s="63" t="s">
        <v>73</v>
      </c>
      <c r="B7" s="64">
        <f>SUM(B5:B6)</f>
        <v>1320236.5859866994</v>
      </c>
      <c r="C7" s="64"/>
      <c r="E7" s="63" t="s">
        <v>73</v>
      </c>
      <c r="F7" s="64">
        <f>SUM(F5:F6)</f>
        <v>3832198.2680982798</v>
      </c>
      <c r="G7" s="64"/>
      <c r="I7" s="63" t="s">
        <v>73</v>
      </c>
      <c r="J7" s="64">
        <f>SUM(J5:J6)</f>
        <v>5169372.3405089639</v>
      </c>
      <c r="K7" s="64"/>
      <c r="M7" s="63" t="s">
        <v>73</v>
      </c>
      <c r="N7" s="64">
        <f>SUM(N5:N6)</f>
        <v>7076452.7183016669</v>
      </c>
      <c r="O7" s="64"/>
      <c r="Q7" s="63" t="s">
        <v>73</v>
      </c>
      <c r="R7" s="64">
        <f>SUM(R5:R6)</f>
        <v>10047398.769895528</v>
      </c>
      <c r="S7" s="64"/>
    </row>
    <row r="8" spans="1:22" x14ac:dyDescent="0.2">
      <c r="A8" s="64"/>
      <c r="B8" s="64"/>
      <c r="C8" s="64"/>
      <c r="E8" s="64"/>
      <c r="F8" s="64"/>
      <c r="G8" s="64"/>
      <c r="I8" s="64"/>
      <c r="J8" s="64"/>
      <c r="K8" s="64"/>
      <c r="M8" s="64"/>
      <c r="N8" s="64"/>
      <c r="O8" s="64"/>
      <c r="Q8" s="64"/>
      <c r="R8" s="64"/>
      <c r="S8" s="64"/>
      <c r="T8" s="211"/>
    </row>
    <row r="9" spans="1:22" x14ac:dyDescent="0.2">
      <c r="A9" s="63" t="s">
        <v>74</v>
      </c>
      <c r="B9" s="64"/>
      <c r="C9" s="64"/>
      <c r="E9" s="63" t="s">
        <v>74</v>
      </c>
      <c r="F9" s="64"/>
      <c r="G9" s="64"/>
      <c r="I9" s="63" t="s">
        <v>74</v>
      </c>
      <c r="J9" s="64"/>
      <c r="K9" s="64"/>
      <c r="M9" s="63" t="s">
        <v>74</v>
      </c>
      <c r="N9" s="64"/>
      <c r="O9" s="64"/>
      <c r="Q9" s="63" t="s">
        <v>74</v>
      </c>
      <c r="R9" s="64"/>
      <c r="S9" s="64"/>
      <c r="T9" s="211"/>
    </row>
    <row r="10" spans="1:22" x14ac:dyDescent="0.2">
      <c r="A10" s="64" t="s">
        <v>75</v>
      </c>
      <c r="B10" s="64">
        <v>100000</v>
      </c>
      <c r="C10" s="64"/>
      <c r="E10" s="64" t="s">
        <v>75</v>
      </c>
      <c r="F10" s="64">
        <f>+B10-'Income Statement'!I25</f>
        <v>85000</v>
      </c>
      <c r="G10" s="64"/>
      <c r="I10" s="64" t="s">
        <v>75</v>
      </c>
      <c r="J10" s="64">
        <f>+F10-'Income Statement'!M25</f>
        <v>70000</v>
      </c>
      <c r="K10" s="64"/>
      <c r="M10" s="64" t="s">
        <v>75</v>
      </c>
      <c r="N10" s="64">
        <f>+J10-'Income Statement'!K25</f>
        <v>55000</v>
      </c>
      <c r="O10" s="64"/>
      <c r="Q10" s="64" t="s">
        <v>75</v>
      </c>
      <c r="R10" s="64">
        <f>+N10-'Income Statement'!M25</f>
        <v>40000</v>
      </c>
      <c r="S10" s="64"/>
      <c r="T10" s="211"/>
    </row>
    <row r="11" spans="1:22" x14ac:dyDescent="0.2">
      <c r="A11" s="64" t="s">
        <v>76</v>
      </c>
      <c r="B11" s="64"/>
      <c r="C11" s="64"/>
      <c r="E11" s="64" t="s">
        <v>76</v>
      </c>
      <c r="F11" s="183"/>
      <c r="G11" s="64"/>
      <c r="I11" s="64" t="s">
        <v>76</v>
      </c>
      <c r="J11" s="183"/>
      <c r="K11" s="64"/>
      <c r="M11" s="64" t="s">
        <v>76</v>
      </c>
      <c r="N11" s="183"/>
      <c r="O11" s="64"/>
      <c r="Q11" s="64" t="s">
        <v>76</v>
      </c>
      <c r="R11" s="183"/>
      <c r="S11" s="64"/>
      <c r="T11" s="211"/>
    </row>
    <row r="12" spans="1:22" x14ac:dyDescent="0.2">
      <c r="A12" s="64" t="s">
        <v>77</v>
      </c>
      <c r="B12" s="64">
        <v>5000000</v>
      </c>
      <c r="C12" s="64"/>
      <c r="E12" s="64" t="s">
        <v>77</v>
      </c>
      <c r="F12" s="64">
        <v>5000000</v>
      </c>
      <c r="G12" s="64"/>
      <c r="I12" s="64" t="s">
        <v>77</v>
      </c>
      <c r="J12" s="64">
        <v>5000000</v>
      </c>
      <c r="K12" s="64"/>
      <c r="M12" s="64" t="s">
        <v>77</v>
      </c>
      <c r="N12" s="64">
        <v>5000000</v>
      </c>
      <c r="O12" s="64"/>
      <c r="Q12" s="64" t="s">
        <v>77</v>
      </c>
      <c r="R12" s="64">
        <v>5000000</v>
      </c>
      <c r="S12" s="64"/>
      <c r="T12" s="211"/>
      <c r="V12" s="212"/>
    </row>
    <row r="13" spans="1:22" x14ac:dyDescent="0.2">
      <c r="A13" s="64" t="s">
        <v>78</v>
      </c>
      <c r="B13" s="64">
        <f>D42-B5-B6-B10-B12</f>
        <v>10341407.309607673</v>
      </c>
      <c r="C13" s="64"/>
      <c r="E13" s="64" t="s">
        <v>78</v>
      </c>
      <c r="F13" s="64">
        <f>+B13</f>
        <v>10341407.309607673</v>
      </c>
      <c r="G13" s="64"/>
      <c r="I13" s="64" t="s">
        <v>78</v>
      </c>
      <c r="J13" s="64">
        <f>+F13</f>
        <v>10341407.309607673</v>
      </c>
      <c r="K13" s="64"/>
      <c r="M13" s="64" t="s">
        <v>78</v>
      </c>
      <c r="N13" s="64">
        <f>+J13</f>
        <v>10341407.309607673</v>
      </c>
      <c r="O13" s="64"/>
      <c r="Q13" s="64" t="s">
        <v>78</v>
      </c>
      <c r="R13" s="64">
        <f>+N13</f>
        <v>10341407.309607673</v>
      </c>
      <c r="S13" s="64"/>
    </row>
    <row r="14" spans="1:22" x14ac:dyDescent="0.2">
      <c r="A14" s="63" t="s">
        <v>79</v>
      </c>
      <c r="B14" s="64">
        <f>SUM(B10:B13)</f>
        <v>15441407.309607673</v>
      </c>
      <c r="C14" s="64"/>
      <c r="E14" s="63" t="s">
        <v>79</v>
      </c>
      <c r="F14" s="64">
        <f>SUM(F10:F13)</f>
        <v>15426407.309607673</v>
      </c>
      <c r="G14" s="64"/>
      <c r="I14" s="63" t="s">
        <v>79</v>
      </c>
      <c r="J14" s="64">
        <f>SUM(J10:J13)</f>
        <v>15411407.309607673</v>
      </c>
      <c r="K14" s="64"/>
      <c r="M14" s="63" t="s">
        <v>79</v>
      </c>
      <c r="N14" s="64">
        <f>SUM(N10:N13)</f>
        <v>15396407.309607673</v>
      </c>
      <c r="O14" s="64"/>
      <c r="Q14" s="63" t="s">
        <v>79</v>
      </c>
      <c r="R14" s="64">
        <f>SUM(R10:R13)</f>
        <v>15381407.309607673</v>
      </c>
      <c r="S14" s="64"/>
    </row>
    <row r="15" spans="1:22" x14ac:dyDescent="0.2">
      <c r="A15" s="63"/>
      <c r="B15" s="64"/>
      <c r="C15" s="64"/>
      <c r="E15" s="63"/>
      <c r="F15" s="64"/>
      <c r="G15" s="64"/>
      <c r="I15" s="63"/>
      <c r="J15" s="64"/>
      <c r="K15" s="64"/>
      <c r="M15" s="63"/>
      <c r="N15" s="64"/>
      <c r="O15" s="64"/>
      <c r="Q15" s="63"/>
      <c r="R15" s="64"/>
      <c r="S15" s="64"/>
    </row>
    <row r="16" spans="1:22" x14ac:dyDescent="0.2">
      <c r="A16" s="63" t="s">
        <v>80</v>
      </c>
      <c r="B16" s="64">
        <f>+B14+B7</f>
        <v>16761643.895594373</v>
      </c>
      <c r="C16" s="64"/>
      <c r="E16" s="63" t="s">
        <v>80</v>
      </c>
      <c r="F16" s="64">
        <f>+F14+F7</f>
        <v>19258605.577705953</v>
      </c>
      <c r="G16" s="64"/>
      <c r="I16" s="63" t="s">
        <v>80</v>
      </c>
      <c r="J16" s="64">
        <f>+J14+J7</f>
        <v>20580779.650116637</v>
      </c>
      <c r="K16" s="64"/>
      <c r="M16" s="63" t="s">
        <v>80</v>
      </c>
      <c r="N16" s="64">
        <f>+N14+N7</f>
        <v>22472860.027909338</v>
      </c>
      <c r="O16" s="64"/>
      <c r="Q16" s="63" t="s">
        <v>80</v>
      </c>
      <c r="R16" s="64">
        <f>+R14+R7</f>
        <v>25428806.079503201</v>
      </c>
      <c r="S16" s="64"/>
    </row>
    <row r="17" spans="1:19" x14ac:dyDescent="0.2">
      <c r="A17" s="64"/>
      <c r="B17" s="64"/>
      <c r="C17" s="64"/>
      <c r="E17" s="64"/>
      <c r="F17" s="64"/>
      <c r="G17" s="64"/>
      <c r="I17" s="64"/>
      <c r="J17" s="64"/>
      <c r="K17" s="64"/>
      <c r="M17" s="64"/>
      <c r="N17" s="64"/>
      <c r="O17" s="64"/>
      <c r="Q17" s="64"/>
      <c r="R17" s="64"/>
      <c r="S17" s="64"/>
    </row>
    <row r="18" spans="1:19" x14ac:dyDescent="0.2">
      <c r="A18" s="184" t="s">
        <v>81</v>
      </c>
      <c r="B18" s="184" t="s">
        <v>82</v>
      </c>
      <c r="C18" s="186"/>
      <c r="D18" s="188"/>
      <c r="E18" s="184" t="s">
        <v>81</v>
      </c>
      <c r="F18" s="184" t="s">
        <v>82</v>
      </c>
      <c r="G18" s="186"/>
      <c r="H18" s="188"/>
      <c r="I18" s="184" t="s">
        <v>81</v>
      </c>
      <c r="J18" s="184" t="s">
        <v>82</v>
      </c>
      <c r="K18" s="186"/>
      <c r="L18" s="188"/>
      <c r="M18" s="184" t="s">
        <v>81</v>
      </c>
      <c r="N18" s="184" t="s">
        <v>82</v>
      </c>
      <c r="O18" s="186"/>
      <c r="P18" s="188"/>
      <c r="Q18" s="184" t="s">
        <v>81</v>
      </c>
      <c r="R18" s="184" t="s">
        <v>82</v>
      </c>
      <c r="S18" s="186"/>
    </row>
    <row r="19" spans="1:19" x14ac:dyDescent="0.2">
      <c r="A19" s="63" t="s">
        <v>83</v>
      </c>
      <c r="B19" s="64"/>
      <c r="C19" s="64"/>
      <c r="E19" s="63" t="s">
        <v>83</v>
      </c>
      <c r="F19" s="64"/>
      <c r="G19" s="64"/>
      <c r="I19" s="63" t="s">
        <v>83</v>
      </c>
      <c r="J19" s="64"/>
      <c r="K19" s="64"/>
      <c r="M19" s="63" t="s">
        <v>83</v>
      </c>
      <c r="N19" s="64"/>
      <c r="O19" s="64"/>
      <c r="Q19" s="63" t="s">
        <v>83</v>
      </c>
      <c r="R19" s="64"/>
      <c r="S19" s="64"/>
    </row>
    <row r="20" spans="1:19" x14ac:dyDescent="0.2">
      <c r="A20" s="64" t="s">
        <v>84</v>
      </c>
      <c r="B20" s="194">
        <f>(Table28[[#This Row],[2016]]-'Income Statement'!I12-'Income Statement'!I14-'Income Statement'!I16-'Income Statement'!I17-'Income Statement'!I18)*0.3</f>
        <v>664472.31261148176</v>
      </c>
      <c r="C20" s="64"/>
      <c r="E20" s="64" t="s">
        <v>84</v>
      </c>
      <c r="F20" s="194">
        <f>(Table28[[#This Row],[2017]]-'Income Statement'!J12-'Income Statement'!J14-'Income Statement'!J16-'Income Statement'!J17-'Income Statement'!J18)*0.3</f>
        <v>621539.746186718</v>
      </c>
      <c r="G20" s="64"/>
      <c r="I20" s="64" t="s">
        <v>84</v>
      </c>
      <c r="J20" s="194">
        <f>(Table28[[#This Row],[2018]]-'Income Statement'!K12-'Income Statement'!K14-'Income Statement'!K16-'Income Statement'!K17-'Income Statement'!K18)*0.3</f>
        <v>659798.11250192649</v>
      </c>
      <c r="K20" s="64"/>
      <c r="M20" s="64" t="s">
        <v>84</v>
      </c>
      <c r="N20" s="194">
        <f>(Table28[[#This Row],[2019]]-'Income Statement'!L12-'Income Statement'!L14-'Income Statement'!L16-'Income Statement'!L17-'Income Statement'!L18)*0.3</f>
        <v>701517.79330227326</v>
      </c>
      <c r="O20" s="64"/>
      <c r="Q20" s="64" t="s">
        <v>84</v>
      </c>
      <c r="R20" s="194">
        <f>(Table28[[#This Row],[2020]]-'Income Statement'!M18-'Income Statement'!M17-'Income Statement'!M16-'Income Statement'!M14-'Income Statement'!M12)*0.3</f>
        <v>746992.4570962867</v>
      </c>
      <c r="S20" s="64"/>
    </row>
    <row r="21" spans="1:19" x14ac:dyDescent="0.2">
      <c r="A21" s="64" t="s">
        <v>85</v>
      </c>
      <c r="B21" s="64">
        <v>1250000</v>
      </c>
      <c r="C21" s="64"/>
      <c r="E21" s="64" t="s">
        <v>85</v>
      </c>
      <c r="F21" s="64">
        <f>0.17*'Income Statement'!I9</f>
        <v>1394402.1961773892</v>
      </c>
      <c r="G21" s="64"/>
      <c r="I21" s="64" t="s">
        <v>85</v>
      </c>
      <c r="J21" s="64">
        <f>0.17*'Income Statement'!J9</f>
        <v>1582458.018547317</v>
      </c>
      <c r="K21" s="64"/>
      <c r="M21" s="64" t="s">
        <v>85</v>
      </c>
      <c r="N21" s="64">
        <f>0.17*'Income Statement'!K9</f>
        <v>1795255.7811209026</v>
      </c>
      <c r="O21" s="64"/>
      <c r="Q21" s="64" t="s">
        <v>85</v>
      </c>
      <c r="R21" s="64">
        <f>0.17*'Income Statement'!M9</f>
        <v>2373975.8930719802</v>
      </c>
      <c r="S21" s="64"/>
    </row>
    <row r="22" spans="1:19" x14ac:dyDescent="0.2">
      <c r="A22" s="64" t="s">
        <v>86</v>
      </c>
      <c r="B22" s="64"/>
      <c r="C22" s="64"/>
      <c r="E22" s="64" t="s">
        <v>86</v>
      </c>
      <c r="F22" s="64"/>
      <c r="G22" s="64"/>
      <c r="I22" s="64" t="s">
        <v>86</v>
      </c>
      <c r="J22" s="64"/>
      <c r="K22" s="64"/>
      <c r="M22" s="64" t="s">
        <v>86</v>
      </c>
      <c r="N22" s="64"/>
      <c r="O22" s="64"/>
      <c r="Q22" s="64" t="s">
        <v>86</v>
      </c>
      <c r="R22" s="64"/>
      <c r="S22" s="64"/>
    </row>
    <row r="23" spans="1:19" x14ac:dyDescent="0.2">
      <c r="A23" s="64"/>
      <c r="B23" s="64"/>
      <c r="C23" s="64"/>
      <c r="E23" s="64"/>
      <c r="F23" s="64"/>
      <c r="G23" s="64"/>
      <c r="I23" s="64"/>
      <c r="J23" s="64"/>
      <c r="K23" s="64"/>
      <c r="M23" s="64"/>
      <c r="N23" s="64"/>
      <c r="O23" s="64"/>
      <c r="Q23" s="64"/>
      <c r="R23" s="64"/>
      <c r="S23" s="64"/>
    </row>
    <row r="24" spans="1:19" x14ac:dyDescent="0.2">
      <c r="A24" s="63" t="s">
        <v>87</v>
      </c>
      <c r="B24" s="64"/>
      <c r="C24" s="64"/>
      <c r="E24" s="63" t="s">
        <v>87</v>
      </c>
      <c r="F24" s="64"/>
      <c r="G24" s="64"/>
      <c r="I24" s="63" t="s">
        <v>87</v>
      </c>
      <c r="J24" s="64"/>
      <c r="K24" s="64"/>
      <c r="M24" s="63" t="s">
        <v>87</v>
      </c>
      <c r="N24" s="64"/>
      <c r="O24" s="64"/>
      <c r="Q24" s="63" t="s">
        <v>87</v>
      </c>
      <c r="R24" s="64"/>
      <c r="S24" s="64"/>
    </row>
    <row r="25" spans="1:19" x14ac:dyDescent="0.2">
      <c r="A25" s="64" t="s">
        <v>88</v>
      </c>
      <c r="B25" s="64">
        <f>'5.c Amortization&amp;Covenants'!P17</f>
        <v>6573193.6845468134</v>
      </c>
      <c r="C25" s="64"/>
      <c r="E25" s="64" t="s">
        <v>88</v>
      </c>
      <c r="F25" s="64">
        <f>'5.c Amortization&amp;Covenants'!P18</f>
        <v>5751544.4739784617</v>
      </c>
      <c r="G25" s="64"/>
      <c r="I25" s="64" t="s">
        <v>88</v>
      </c>
      <c r="J25" s="64">
        <f>'5.c Amortization&amp;Covenants'!P19</f>
        <v>4929895.26341011</v>
      </c>
      <c r="K25" s="64"/>
      <c r="M25" s="64" t="s">
        <v>88</v>
      </c>
      <c r="N25" s="64">
        <f>'5.c Amortization&amp;Covenants'!P20</f>
        <v>3286596.8422734067</v>
      </c>
      <c r="O25" s="64"/>
      <c r="Q25" s="64" t="s">
        <v>88</v>
      </c>
      <c r="R25" s="64">
        <f>'5.c Amortization&amp;Covenants'!P21</f>
        <v>1643298.4211367033</v>
      </c>
      <c r="S25" s="64"/>
    </row>
    <row r="26" spans="1:19" x14ac:dyDescent="0.2">
      <c r="A26" s="64"/>
      <c r="B26" s="64"/>
      <c r="C26" s="64"/>
      <c r="E26" s="64"/>
      <c r="F26" s="64"/>
      <c r="G26" s="64"/>
      <c r="I26" s="64"/>
      <c r="J26" s="64"/>
      <c r="K26" s="64"/>
      <c r="M26" s="64"/>
      <c r="N26" s="64"/>
      <c r="O26" s="64"/>
      <c r="Q26" s="64"/>
      <c r="R26" s="64"/>
      <c r="S26" s="64"/>
    </row>
    <row r="27" spans="1:19" x14ac:dyDescent="0.2">
      <c r="A27" s="63" t="s">
        <v>89</v>
      </c>
      <c r="B27" s="64">
        <f>B20+B21+B25</f>
        <v>8487665.9971582945</v>
      </c>
      <c r="C27" s="64"/>
      <c r="E27" s="63" t="s">
        <v>89</v>
      </c>
      <c r="F27" s="64">
        <f>F20+F21+F25+F22</f>
        <v>7767486.4163425695</v>
      </c>
      <c r="G27" s="64"/>
      <c r="I27" s="63" t="s">
        <v>89</v>
      </c>
      <c r="J27" s="64">
        <f>J20+J21+J25+J22</f>
        <v>7172151.3944593538</v>
      </c>
      <c r="K27" s="64"/>
      <c r="M27" s="63" t="s">
        <v>89</v>
      </c>
      <c r="N27" s="64">
        <f>N20+N21+N25+N22</f>
        <v>5783370.416696582</v>
      </c>
      <c r="O27" s="64"/>
      <c r="Q27" s="63" t="s">
        <v>89</v>
      </c>
      <c r="R27" s="64">
        <f>R20+R21+R25+R22</f>
        <v>4764266.7713049706</v>
      </c>
      <c r="S27" s="64"/>
    </row>
    <row r="29" spans="1:19" x14ac:dyDescent="0.2">
      <c r="A29" s="62" t="s">
        <v>90</v>
      </c>
      <c r="E29" s="62" t="s">
        <v>90</v>
      </c>
      <c r="I29" s="62" t="s">
        <v>90</v>
      </c>
      <c r="M29" s="62" t="s">
        <v>90</v>
      </c>
      <c r="Q29" s="62" t="s">
        <v>90</v>
      </c>
    </row>
    <row r="30" spans="1:19" x14ac:dyDescent="0.2">
      <c r="A30" s="61" t="s">
        <v>91</v>
      </c>
      <c r="B30" s="61">
        <f>B16-B27-B31</f>
        <v>6474599.6351857055</v>
      </c>
      <c r="E30" s="61" t="s">
        <v>91</v>
      </c>
      <c r="F30" s="61">
        <f>F16-F27-F31</f>
        <v>7376047.7018810268</v>
      </c>
      <c r="I30" s="61" t="s">
        <v>91</v>
      </c>
      <c r="J30" s="61">
        <f>J16-J27-J31</f>
        <v>6554398.4913126752</v>
      </c>
      <c r="M30" s="61" t="s">
        <v>91</v>
      </c>
      <c r="N30" s="61">
        <f>N16-N27-N31</f>
        <v>6554398.4913126733</v>
      </c>
      <c r="Q30" s="61" t="s">
        <v>91</v>
      </c>
      <c r="R30" s="61">
        <f>R16-R27-R31</f>
        <v>10529448.188298145</v>
      </c>
    </row>
    <row r="31" spans="1:19" x14ac:dyDescent="0.2">
      <c r="A31" s="61" t="s">
        <v>92</v>
      </c>
      <c r="B31" s="61">
        <f>+'Income Statement'!I31</f>
        <v>1799378.2632503735</v>
      </c>
      <c r="E31" s="61" t="s">
        <v>92</v>
      </c>
      <c r="F31" s="61">
        <f>+'Income Statement'!J31+B31</f>
        <v>4115071.4594823569</v>
      </c>
      <c r="I31" s="61" t="s">
        <v>92</v>
      </c>
      <c r="J31" s="61">
        <f>+'Income Statement'!K31+F31</f>
        <v>6854229.7643446084</v>
      </c>
      <c r="M31" s="61" t="s">
        <v>92</v>
      </c>
      <c r="N31" s="61">
        <f>+J31+'Income Statement'!L31</f>
        <v>10135091.119900083</v>
      </c>
      <c r="Q31" s="61" t="s">
        <v>92</v>
      </c>
      <c r="R31" s="61">
        <f>+N31</f>
        <v>10135091.119900083</v>
      </c>
    </row>
    <row r="33" spans="1:18" x14ac:dyDescent="0.2">
      <c r="A33" s="62" t="s">
        <v>93</v>
      </c>
      <c r="B33" s="61">
        <f>+B30+B27+B31</f>
        <v>16761643.895594373</v>
      </c>
      <c r="E33" s="62" t="s">
        <v>93</v>
      </c>
      <c r="F33" s="61">
        <f>+F30+F27+F31</f>
        <v>19258605.577705953</v>
      </c>
      <c r="I33" s="62" t="s">
        <v>93</v>
      </c>
      <c r="J33" s="61">
        <f>+J30+J27+J31</f>
        <v>20580779.650116637</v>
      </c>
      <c r="M33" s="62" t="s">
        <v>93</v>
      </c>
      <c r="N33" s="61">
        <f>+N30+N27+N31</f>
        <v>22472860.027909338</v>
      </c>
      <c r="Q33" s="62" t="s">
        <v>93</v>
      </c>
      <c r="R33" s="61">
        <f>+R30+R27+R31</f>
        <v>25428806.079503201</v>
      </c>
    </row>
    <row r="42" spans="1:18" x14ac:dyDescent="0.2">
      <c r="B42" s="61" t="s">
        <v>94</v>
      </c>
      <c r="D42" s="61">
        <f>'Income Statement'!I22*5.1</f>
        <v>16761643.895594373</v>
      </c>
    </row>
  </sheetData>
  <pageMargins left="0.7" right="0.7" top="0.75" bottom="0.75" header="0.3" footer="0.3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DB79-D400-4972-95FA-0CC9168281B7}">
  <dimension ref="A2:X9"/>
  <sheetViews>
    <sheetView zoomScale="180" workbookViewId="0">
      <selection activeCell="C13" sqref="C13"/>
    </sheetView>
  </sheetViews>
  <sheetFormatPr baseColWidth="10" defaultColWidth="11.5" defaultRowHeight="15" x14ac:dyDescent="0.2"/>
  <cols>
    <col min="1" max="1" width="28" bestFit="1" customWidth="1"/>
    <col min="2" max="2" width="15.83203125" bestFit="1" customWidth="1"/>
    <col min="3" max="3" width="19.33203125" bestFit="1" customWidth="1"/>
    <col min="4" max="4" width="15.83203125" bestFit="1" customWidth="1"/>
    <col min="6" max="6" width="28" bestFit="1" customWidth="1"/>
    <col min="7" max="7" width="15.83203125" bestFit="1" customWidth="1"/>
    <col min="8" max="8" width="19.33203125" bestFit="1" customWidth="1"/>
    <col min="9" max="9" width="15.83203125" bestFit="1" customWidth="1"/>
    <col min="11" max="11" width="28" bestFit="1" customWidth="1"/>
    <col min="12" max="12" width="15.83203125" bestFit="1" customWidth="1"/>
    <col min="13" max="13" width="19.33203125" bestFit="1" customWidth="1"/>
    <col min="14" max="14" width="15.83203125" bestFit="1" customWidth="1"/>
    <col min="16" max="16" width="28" bestFit="1" customWidth="1"/>
    <col min="17" max="17" width="15.83203125" bestFit="1" customWidth="1"/>
    <col min="18" max="18" width="19.33203125" bestFit="1" customWidth="1"/>
    <col min="19" max="19" width="15.83203125" bestFit="1" customWidth="1"/>
    <col min="21" max="21" width="28" bestFit="1" customWidth="1"/>
    <col min="22" max="22" width="15.83203125" bestFit="1" customWidth="1"/>
    <col min="23" max="23" width="19.33203125" bestFit="1" customWidth="1"/>
    <col min="24" max="24" width="15.83203125" bestFit="1" customWidth="1"/>
  </cols>
  <sheetData>
    <row r="2" spans="1:24" ht="16" x14ac:dyDescent="0.2">
      <c r="A2" s="210" t="s">
        <v>64</v>
      </c>
      <c r="B2" s="210"/>
      <c r="C2" s="210"/>
      <c r="D2" s="171"/>
      <c r="E2" s="62"/>
      <c r="F2" s="210" t="s">
        <v>65</v>
      </c>
      <c r="G2" s="210"/>
      <c r="H2" s="210"/>
      <c r="I2" s="171"/>
      <c r="J2" s="61"/>
      <c r="K2" s="210" t="s">
        <v>66</v>
      </c>
      <c r="L2" s="210"/>
      <c r="M2" s="210"/>
      <c r="N2" s="171"/>
      <c r="O2" s="61"/>
      <c r="P2" s="210" t="s">
        <v>67</v>
      </c>
      <c r="Q2" s="210"/>
      <c r="R2" s="210"/>
      <c r="S2" s="171"/>
      <c r="T2" s="61"/>
      <c r="U2" s="210" t="s">
        <v>68</v>
      </c>
      <c r="V2" s="210"/>
      <c r="W2" s="210"/>
      <c r="X2" s="171"/>
    </row>
    <row r="3" spans="1:24" x14ac:dyDescent="0.2">
      <c r="A3" t="s">
        <v>95</v>
      </c>
      <c r="B3" t="s">
        <v>96</v>
      </c>
      <c r="C3" t="s">
        <v>97</v>
      </c>
      <c r="D3" t="s">
        <v>98</v>
      </c>
      <c r="F3" t="s">
        <v>95</v>
      </c>
      <c r="G3" t="s">
        <v>96</v>
      </c>
      <c r="H3" t="s">
        <v>97</v>
      </c>
      <c r="I3" t="s">
        <v>98</v>
      </c>
      <c r="K3" t="s">
        <v>95</v>
      </c>
      <c r="L3" t="s">
        <v>96</v>
      </c>
      <c r="M3" t="s">
        <v>97</v>
      </c>
      <c r="N3" t="s">
        <v>98</v>
      </c>
      <c r="P3" t="s">
        <v>95</v>
      </c>
      <c r="Q3" t="s">
        <v>96</v>
      </c>
      <c r="R3" t="s">
        <v>97</v>
      </c>
      <c r="S3" t="s">
        <v>98</v>
      </c>
      <c r="U3" t="s">
        <v>95</v>
      </c>
      <c r="V3" t="s">
        <v>96</v>
      </c>
      <c r="W3" t="s">
        <v>97</v>
      </c>
      <c r="X3" t="s">
        <v>98</v>
      </c>
    </row>
    <row r="4" spans="1:24" x14ac:dyDescent="0.2">
      <c r="A4" t="s">
        <v>99</v>
      </c>
      <c r="B4" s="61">
        <f>'Balance Sheet'!B25</f>
        <v>6573193.6845468134</v>
      </c>
      <c r="C4" t="s">
        <v>71</v>
      </c>
      <c r="D4" s="61">
        <f>'Balance Sheet'!B5</f>
        <v>500000</v>
      </c>
      <c r="F4" t="s">
        <v>99</v>
      </c>
      <c r="G4" s="61">
        <f>'Balance Sheet'!F25</f>
        <v>5751544.4739784617</v>
      </c>
      <c r="H4" t="s">
        <v>71</v>
      </c>
      <c r="I4" s="61">
        <f>'Balance Sheet'!F5</f>
        <v>2901340.6101292698</v>
      </c>
      <c r="K4" t="s">
        <v>99</v>
      </c>
      <c r="L4" s="61">
        <f>'Balance Sheet'!J25</f>
        <v>4929895.26341011</v>
      </c>
      <c r="M4" t="s">
        <v>71</v>
      </c>
      <c r="N4" s="61">
        <f>'Balance Sheet'!J5</f>
        <v>4113339.528084903</v>
      </c>
      <c r="P4" t="s">
        <v>99</v>
      </c>
      <c r="Q4" s="61">
        <f>'Balance Sheet'!N25</f>
        <v>3286596.8422734067</v>
      </c>
      <c r="R4" t="s">
        <v>71</v>
      </c>
      <c r="S4" s="61">
        <f>'Balance Sheet'!N5</f>
        <v>5867576.2303812914</v>
      </c>
      <c r="U4" t="s">
        <v>99</v>
      </c>
      <c r="V4" s="61">
        <f>'Balance Sheet'!R25</f>
        <v>1643298.4211367033</v>
      </c>
      <c r="W4" t="s">
        <v>71</v>
      </c>
      <c r="X4" s="61">
        <f>'Balance Sheet'!R5</f>
        <v>8650942.3622061275</v>
      </c>
    </row>
    <row r="5" spans="1:24" x14ac:dyDescent="0.2">
      <c r="A5" t="s">
        <v>85</v>
      </c>
      <c r="B5" s="61">
        <f>'Balance Sheet'!B21</f>
        <v>1250000</v>
      </c>
      <c r="C5" t="s">
        <v>100</v>
      </c>
      <c r="D5" s="61">
        <f>'Balance Sheet'!B6</f>
        <v>820236.58598669956</v>
      </c>
      <c r="F5" t="s">
        <v>85</v>
      </c>
      <c r="G5" s="61">
        <f>'Balance Sheet'!F21</f>
        <v>1394402.1961773892</v>
      </c>
      <c r="H5" t="s">
        <v>100</v>
      </c>
      <c r="I5" s="61">
        <f>'Balance Sheet'!F6</f>
        <v>930857.65796900995</v>
      </c>
      <c r="K5" t="s">
        <v>85</v>
      </c>
      <c r="L5" s="61">
        <f>'Balance Sheet'!J21</f>
        <v>1582458.018547317</v>
      </c>
      <c r="M5" t="s">
        <v>100</v>
      </c>
      <c r="N5" s="61">
        <f>'Balance Sheet'!J6</f>
        <v>1056032.8124240604</v>
      </c>
      <c r="P5" t="s">
        <v>85</v>
      </c>
      <c r="Q5" s="61">
        <f>'Balance Sheet'!N21</f>
        <v>1795255.7811209026</v>
      </c>
      <c r="R5" t="s">
        <v>100</v>
      </c>
      <c r="S5" s="61">
        <f>'Balance Sheet'!N6</f>
        <v>1208876.487920376</v>
      </c>
      <c r="U5" t="s">
        <v>85</v>
      </c>
      <c r="V5" s="61">
        <f>'Balance Sheet'!R21</f>
        <v>2373975.8930719802</v>
      </c>
      <c r="W5" t="s">
        <v>100</v>
      </c>
      <c r="X5" s="61">
        <f>'Balance Sheet'!R6</f>
        <v>1396456.4076894</v>
      </c>
    </row>
    <row r="6" spans="1:24" x14ac:dyDescent="0.2">
      <c r="A6" t="s">
        <v>91</v>
      </c>
      <c r="B6" s="61">
        <f>'Balance Sheet'!B30</f>
        <v>6474599.6351857055</v>
      </c>
      <c r="C6" t="s">
        <v>75</v>
      </c>
      <c r="D6" s="61">
        <f>'Balance Sheet'!B10</f>
        <v>100000</v>
      </c>
      <c r="F6" t="s">
        <v>91</v>
      </c>
      <c r="G6" s="61">
        <f>'Balance Sheet'!F30</f>
        <v>7376047.7018810268</v>
      </c>
      <c r="H6" t="s">
        <v>75</v>
      </c>
      <c r="I6" s="61">
        <f>'Balance Sheet'!F10</f>
        <v>85000</v>
      </c>
      <c r="K6" t="s">
        <v>91</v>
      </c>
      <c r="L6" s="61">
        <f>'Balance Sheet'!J30</f>
        <v>6554398.4913126752</v>
      </c>
      <c r="M6" t="s">
        <v>75</v>
      </c>
      <c r="N6" s="61">
        <f>'Balance Sheet'!J10</f>
        <v>70000</v>
      </c>
      <c r="P6" t="s">
        <v>91</v>
      </c>
      <c r="Q6" s="61">
        <f>'Balance Sheet'!N30</f>
        <v>6554398.4913126733</v>
      </c>
      <c r="R6" t="s">
        <v>75</v>
      </c>
      <c r="S6" s="61">
        <f>'Balance Sheet'!N10</f>
        <v>55000</v>
      </c>
      <c r="U6" t="s">
        <v>91</v>
      </c>
      <c r="V6" s="61">
        <f>'Balance Sheet'!R30</f>
        <v>10529448.188298145</v>
      </c>
      <c r="W6" t="s">
        <v>75</v>
      </c>
      <c r="X6" s="61">
        <f>'Balance Sheet'!R10</f>
        <v>40000</v>
      </c>
    </row>
    <row r="7" spans="1:24" x14ac:dyDescent="0.2">
      <c r="A7" t="s">
        <v>92</v>
      </c>
      <c r="B7" s="61">
        <f>'Balance Sheet'!B31</f>
        <v>1799378.2632503735</v>
      </c>
      <c r="C7" t="s">
        <v>77</v>
      </c>
      <c r="D7" s="61">
        <f>'Balance Sheet'!B12</f>
        <v>5000000</v>
      </c>
      <c r="F7" t="s">
        <v>92</v>
      </c>
      <c r="G7" s="61">
        <f>'Balance Sheet'!F31</f>
        <v>4115071.4594823569</v>
      </c>
      <c r="H7" t="s">
        <v>77</v>
      </c>
      <c r="I7" s="61">
        <f>'Balance Sheet'!F12</f>
        <v>5000000</v>
      </c>
      <c r="K7" t="s">
        <v>92</v>
      </c>
      <c r="L7" s="61">
        <f>'Balance Sheet'!J31</f>
        <v>6854229.7643446084</v>
      </c>
      <c r="M7" t="s">
        <v>77</v>
      </c>
      <c r="N7" s="61">
        <f>'Balance Sheet'!J12</f>
        <v>5000000</v>
      </c>
      <c r="P7" t="s">
        <v>92</v>
      </c>
      <c r="Q7" s="61">
        <f>'Balance Sheet'!N31</f>
        <v>10135091.119900083</v>
      </c>
      <c r="R7" t="s">
        <v>77</v>
      </c>
      <c r="S7" s="61">
        <f>'Balance Sheet'!N12</f>
        <v>5000000</v>
      </c>
      <c r="U7" t="s">
        <v>92</v>
      </c>
      <c r="V7" s="61">
        <f>'Balance Sheet'!R31</f>
        <v>10135091.119900083</v>
      </c>
      <c r="W7" t="s">
        <v>77</v>
      </c>
      <c r="X7" s="61">
        <f>'Balance Sheet'!R12</f>
        <v>5000000</v>
      </c>
    </row>
    <row r="8" spans="1:24" x14ac:dyDescent="0.2">
      <c r="A8" t="s">
        <v>101</v>
      </c>
      <c r="B8" s="61">
        <f>'Balance Sheet'!B20</f>
        <v>664472.31261148176</v>
      </c>
      <c r="C8" t="s">
        <v>78</v>
      </c>
      <c r="D8" s="61">
        <f>'Balance Sheet'!B13</f>
        <v>10341407.309607673</v>
      </c>
      <c r="F8" t="s">
        <v>101</v>
      </c>
      <c r="G8" s="61">
        <f>'Balance Sheet'!F20</f>
        <v>621539.746186718</v>
      </c>
      <c r="H8" t="s">
        <v>78</v>
      </c>
      <c r="I8" s="61">
        <f>'Balance Sheet'!F13</f>
        <v>10341407.309607673</v>
      </c>
      <c r="K8" t="s">
        <v>101</v>
      </c>
      <c r="L8" s="61">
        <f>'Balance Sheet'!J20</f>
        <v>659798.11250192649</v>
      </c>
      <c r="M8" t="s">
        <v>78</v>
      </c>
      <c r="N8" s="61">
        <f>'Balance Sheet'!J13</f>
        <v>10341407.309607673</v>
      </c>
      <c r="P8" t="s">
        <v>101</v>
      </c>
      <c r="Q8" s="61">
        <f>'Balance Sheet'!N20</f>
        <v>701517.79330227326</v>
      </c>
      <c r="R8" t="s">
        <v>78</v>
      </c>
      <c r="S8" s="61">
        <f>'Balance Sheet'!N13</f>
        <v>10341407.309607673</v>
      </c>
      <c r="U8" t="s">
        <v>101</v>
      </c>
      <c r="V8" s="61">
        <f>'Balance Sheet'!R20</f>
        <v>746992.4570962867</v>
      </c>
      <c r="W8" t="s">
        <v>78</v>
      </c>
      <c r="X8" s="61">
        <f>'Balance Sheet'!R13</f>
        <v>10341407.309607673</v>
      </c>
    </row>
    <row r="9" spans="1:24" x14ac:dyDescent="0.2">
      <c r="A9" t="s">
        <v>102</v>
      </c>
      <c r="B9" s="106">
        <f>SUM(B3:B8)</f>
        <v>16761643.895594373</v>
      </c>
      <c r="C9" t="s">
        <v>103</v>
      </c>
      <c r="D9" s="106">
        <f>SUM(D3:D8)</f>
        <v>16761643.895594373</v>
      </c>
      <c r="F9" t="s">
        <v>102</v>
      </c>
      <c r="G9" s="106">
        <f>SUM(G3:G8)</f>
        <v>19258605.577705953</v>
      </c>
      <c r="H9" t="s">
        <v>103</v>
      </c>
      <c r="I9" s="106">
        <f>SUM(I3:I8)</f>
        <v>19258605.577705953</v>
      </c>
      <c r="K9" t="s">
        <v>102</v>
      </c>
      <c r="L9" s="106">
        <f>SUM(L3:L8)</f>
        <v>20580779.650116637</v>
      </c>
      <c r="M9" t="s">
        <v>103</v>
      </c>
      <c r="N9" s="106">
        <f>SUM(N3:N8)</f>
        <v>20580779.650116637</v>
      </c>
      <c r="P9" t="s">
        <v>102</v>
      </c>
      <c r="Q9" s="106">
        <f>SUM(Q3:Q8)</f>
        <v>22472860.027909335</v>
      </c>
      <c r="R9" t="s">
        <v>103</v>
      </c>
      <c r="S9" s="106">
        <f>SUM(S3:S8)</f>
        <v>22472860.027909338</v>
      </c>
      <c r="U9" t="s">
        <v>102</v>
      </c>
      <c r="V9" s="106">
        <f>SUM(V3:V8)</f>
        <v>25428806.079503201</v>
      </c>
      <c r="W9" t="s">
        <v>103</v>
      </c>
      <c r="X9" s="106">
        <f>SUM(X3:X8)</f>
        <v>25428806.079503201</v>
      </c>
    </row>
  </sheetData>
  <mergeCells count="5">
    <mergeCell ref="A2:C2"/>
    <mergeCell ref="F2:H2"/>
    <mergeCell ref="K2:M2"/>
    <mergeCell ref="P2:R2"/>
    <mergeCell ref="U2:W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B9E7-C570-AE4C-9B78-866994DBD3B7}">
  <dimension ref="B2:Q48"/>
  <sheetViews>
    <sheetView topLeftCell="B2" workbookViewId="0">
      <selection activeCell="N11" sqref="N11"/>
    </sheetView>
  </sheetViews>
  <sheetFormatPr baseColWidth="10" defaultColWidth="11.5" defaultRowHeight="15" x14ac:dyDescent="0.2"/>
  <cols>
    <col min="2" max="3" width="30.6640625" bestFit="1" customWidth="1"/>
    <col min="4" max="4" width="15.5" bestFit="1" customWidth="1"/>
    <col min="5" max="8" width="12.1640625" bestFit="1" customWidth="1"/>
    <col min="9" max="9" width="16.5" bestFit="1" customWidth="1"/>
    <col min="10" max="13" width="13.5" bestFit="1" customWidth="1"/>
    <col min="14" max="14" width="24.6640625" customWidth="1"/>
    <col min="15" max="15" width="56.5" bestFit="1" customWidth="1"/>
  </cols>
  <sheetData>
    <row r="2" spans="2:17" x14ac:dyDescent="0.2">
      <c r="B2" s="172" t="s">
        <v>104</v>
      </c>
      <c r="C2" s="172" t="s">
        <v>1</v>
      </c>
      <c r="D2" s="173" t="s">
        <v>2</v>
      </c>
      <c r="E2" s="173" t="s">
        <v>3</v>
      </c>
      <c r="F2" s="173" t="s">
        <v>4</v>
      </c>
      <c r="G2" s="173" t="s">
        <v>5</v>
      </c>
      <c r="H2" s="173" t="s">
        <v>6</v>
      </c>
      <c r="I2" s="173" t="s">
        <v>8</v>
      </c>
      <c r="J2" s="173" t="s">
        <v>9</v>
      </c>
      <c r="K2" s="173" t="s">
        <v>10</v>
      </c>
      <c r="L2" s="173" t="s">
        <v>11</v>
      </c>
      <c r="M2" s="173" t="s">
        <v>12</v>
      </c>
      <c r="P2" s="6"/>
      <c r="Q2" s="6"/>
    </row>
    <row r="3" spans="2:17" x14ac:dyDescent="0.2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2:17" x14ac:dyDescent="0.2">
      <c r="B4" s="165" t="s">
        <v>13</v>
      </c>
      <c r="C4" s="144"/>
      <c r="D4" s="165" t="s">
        <v>14</v>
      </c>
      <c r="E4" s="144"/>
      <c r="F4" s="144"/>
      <c r="G4" s="144"/>
      <c r="H4" s="144"/>
      <c r="I4" s="165" t="s">
        <v>105</v>
      </c>
      <c r="J4" s="144"/>
      <c r="K4" s="144"/>
      <c r="L4" s="144"/>
      <c r="M4" s="144"/>
    </row>
    <row r="5" spans="2:17" x14ac:dyDescent="0.2">
      <c r="B5" s="166"/>
      <c r="C5" s="166" t="s">
        <v>17</v>
      </c>
      <c r="D5" s="195">
        <f t="shared" ref="D5:M5" si="0">D26*D39</f>
        <v>878220</v>
      </c>
      <c r="E5" s="195">
        <f t="shared" si="0"/>
        <v>1400064.75</v>
      </c>
      <c r="F5" s="195">
        <f t="shared" si="0"/>
        <v>1747657.8</v>
      </c>
      <c r="G5" s="195">
        <f t="shared" si="0"/>
        <v>1526175</v>
      </c>
      <c r="H5" s="195">
        <f t="shared" si="0"/>
        <v>1481996.25</v>
      </c>
      <c r="I5" s="195">
        <f t="shared" si="0"/>
        <v>1645492.3251721933</v>
      </c>
      <c r="J5" s="195">
        <f t="shared" si="0"/>
        <v>1827025.5354563762</v>
      </c>
      <c r="K5" s="195">
        <f t="shared" si="0"/>
        <v>2028585.7649687601</v>
      </c>
      <c r="L5" s="195">
        <f t="shared" si="0"/>
        <v>2252382.4248608304</v>
      </c>
      <c r="M5" s="195">
        <f t="shared" si="0"/>
        <v>2500868.6718750005</v>
      </c>
    </row>
    <row r="6" spans="2:17" x14ac:dyDescent="0.2">
      <c r="B6" s="144"/>
      <c r="C6" s="144" t="s">
        <v>18</v>
      </c>
      <c r="D6" s="196">
        <f t="shared" ref="D6:M6" si="1">D27*D40</f>
        <v>11913.155744911504</v>
      </c>
      <c r="E6" s="196">
        <f t="shared" si="1"/>
        <v>80894.448331244435</v>
      </c>
      <c r="F6" s="196">
        <f t="shared" si="1"/>
        <v>192392.5348124732</v>
      </c>
      <c r="G6" s="196">
        <f t="shared" si="1"/>
        <v>521443.125</v>
      </c>
      <c r="H6" s="196">
        <f t="shared" si="1"/>
        <v>472653.72000000003</v>
      </c>
      <c r="I6" s="197">
        <f t="shared" si="1"/>
        <v>564042.3595225868</v>
      </c>
      <c r="J6" s="197">
        <f t="shared" si="1"/>
        <v>673101.1941169257</v>
      </c>
      <c r="K6" s="197">
        <f t="shared" si="1"/>
        <v>803246.79498382332</v>
      </c>
      <c r="L6" s="197">
        <f t="shared" si="1"/>
        <v>958556.3349033437</v>
      </c>
      <c r="M6" s="197">
        <f t="shared" si="1"/>
        <v>1143895.3170075649</v>
      </c>
    </row>
    <row r="7" spans="2:17" x14ac:dyDescent="0.2">
      <c r="B7" s="166"/>
      <c r="C7" s="166" t="s">
        <v>19</v>
      </c>
      <c r="D7" s="145">
        <f t="shared" ref="D7:M7" si="2">D28*D41</f>
        <v>2816730</v>
      </c>
      <c r="E7" s="145">
        <f t="shared" si="2"/>
        <v>2875635</v>
      </c>
      <c r="F7" s="145">
        <f t="shared" si="2"/>
        <v>3025575</v>
      </c>
      <c r="G7" s="145">
        <f t="shared" si="2"/>
        <v>3132675</v>
      </c>
      <c r="H7" s="145">
        <f t="shared" si="2"/>
        <v>3213000</v>
      </c>
      <c r="I7" s="145">
        <f t="shared" si="2"/>
        <v>3298707.6436424297</v>
      </c>
      <c r="J7" s="145">
        <f t="shared" si="2"/>
        <v>3386701.5618502926</v>
      </c>
      <c r="K7" s="145">
        <f t="shared" si="2"/>
        <v>3477042.741615722</v>
      </c>
      <c r="L7" s="145">
        <f t="shared" si="2"/>
        <v>3569793.7967753541</v>
      </c>
      <c r="M7" s="145">
        <f t="shared" si="2"/>
        <v>3665019.011406844</v>
      </c>
    </row>
    <row r="8" spans="2:17" x14ac:dyDescent="0.2">
      <c r="B8" s="144"/>
      <c r="C8" s="144" t="s">
        <v>20</v>
      </c>
      <c r="D8" s="200">
        <v>134577.4</v>
      </c>
      <c r="E8" s="200">
        <v>194847.55</v>
      </c>
      <c r="F8" s="200">
        <v>270085.62</v>
      </c>
      <c r="G8" s="200">
        <v>290624.05</v>
      </c>
      <c r="H8" s="200">
        <v>363220.98</v>
      </c>
      <c r="I8" s="147">
        <f>I35*I43</f>
        <v>443007.09760978614</v>
      </c>
      <c r="J8" s="147">
        <f>J35*J43</f>
        <v>540319.25284890365</v>
      </c>
      <c r="K8" s="147">
        <f>K35*K43</f>
        <v>563223.6573377708</v>
      </c>
      <c r="L8" s="147">
        <f>L35*L43</f>
        <v>587098.99103603326</v>
      </c>
      <c r="M8" s="147">
        <f>M35*M43</f>
        <v>611986.41212049988</v>
      </c>
    </row>
    <row r="9" spans="2:17" x14ac:dyDescent="0.2">
      <c r="B9" s="166"/>
      <c r="C9" s="166" t="s">
        <v>21</v>
      </c>
      <c r="D9" s="145">
        <v>137599.5</v>
      </c>
      <c r="E9" s="145">
        <v>352450.95</v>
      </c>
      <c r="F9" s="145">
        <v>843574.51</v>
      </c>
      <c r="G9" s="145">
        <v>1344867</v>
      </c>
      <c r="H9" s="145">
        <f t="shared" ref="H9:M9" si="3">H32*12*H42</f>
        <v>1758684.7139999999</v>
      </c>
      <c r="I9" s="145">
        <f t="shared" si="3"/>
        <v>2251116.4339200002</v>
      </c>
      <c r="J9" s="145">
        <f t="shared" si="3"/>
        <v>2881429.0354176001</v>
      </c>
      <c r="K9" s="145">
        <f t="shared" si="3"/>
        <v>3688229.1653345283</v>
      </c>
      <c r="L9" s="145">
        <f t="shared" si="3"/>
        <v>4720933.3316281969</v>
      </c>
      <c r="M9" s="145">
        <f t="shared" si="3"/>
        <v>6042794.6644840911</v>
      </c>
    </row>
    <row r="10" spans="2:17" x14ac:dyDescent="0.2">
      <c r="B10" s="144"/>
      <c r="C10" s="148" t="s">
        <v>22</v>
      </c>
      <c r="D10" s="149">
        <f t="shared" ref="D10:M10" si="4">SUM(D5:D9)</f>
        <v>3979040.0557449115</v>
      </c>
      <c r="E10" s="149">
        <f t="shared" si="4"/>
        <v>4903892.6983312443</v>
      </c>
      <c r="F10" s="149">
        <f t="shared" si="4"/>
        <v>6079285.4648124734</v>
      </c>
      <c r="G10" s="149">
        <f t="shared" si="4"/>
        <v>6815784.1749999998</v>
      </c>
      <c r="H10" s="149">
        <f t="shared" si="4"/>
        <v>7289555.6639999989</v>
      </c>
      <c r="I10" s="149">
        <f t="shared" si="4"/>
        <v>8202365.8598669954</v>
      </c>
      <c r="J10" s="149">
        <f t="shared" si="4"/>
        <v>9308576.5796900988</v>
      </c>
      <c r="K10" s="149">
        <f t="shared" si="4"/>
        <v>10560328.124240603</v>
      </c>
      <c r="L10" s="149">
        <f t="shared" si="4"/>
        <v>12088764.879203759</v>
      </c>
      <c r="M10" s="149">
        <f t="shared" si="4"/>
        <v>13964564.076894</v>
      </c>
    </row>
    <row r="11" spans="2:17" x14ac:dyDescent="0.2">
      <c r="B11" s="166"/>
      <c r="C11" s="166"/>
      <c r="D11" s="150"/>
      <c r="E11" s="150">
        <f t="shared" ref="E11:M11" si="5">E10/D10-1</f>
        <v>0.23243109635225623</v>
      </c>
      <c r="F11" s="150">
        <f t="shared" si="5"/>
        <v>0.23968566173587069</v>
      </c>
      <c r="G11" s="150">
        <f t="shared" si="5"/>
        <v>0.12114889396960482</v>
      </c>
      <c r="H11" s="150">
        <f t="shared" si="5"/>
        <v>6.9510928872685396E-2</v>
      </c>
      <c r="I11" s="150">
        <f t="shared" si="5"/>
        <v>0.12522165107744176</v>
      </c>
      <c r="J11" s="150">
        <f t="shared" si="5"/>
        <v>0.13486483518561809</v>
      </c>
      <c r="K11" s="150">
        <f t="shared" si="5"/>
        <v>0.13447292760975249</v>
      </c>
      <c r="L11" s="150">
        <f t="shared" si="5"/>
        <v>0.14473383184512234</v>
      </c>
      <c r="M11" s="150">
        <f t="shared" si="5"/>
        <v>0.1551688047897406</v>
      </c>
      <c r="N11" s="201"/>
      <c r="O11" s="201"/>
    </row>
    <row r="12" spans="2:17" x14ac:dyDescent="0.2">
      <c r="B12" s="165" t="s">
        <v>23</v>
      </c>
      <c r="C12" s="144"/>
      <c r="D12" s="151"/>
      <c r="E12" s="151"/>
      <c r="F12" s="151"/>
      <c r="G12" s="151"/>
      <c r="H12" s="151"/>
      <c r="I12" s="144"/>
      <c r="J12" s="144"/>
      <c r="K12" s="144"/>
      <c r="L12" s="144"/>
      <c r="M12" s="144"/>
      <c r="N12" s="201" t="s">
        <v>106</v>
      </c>
      <c r="O12" s="201" t="s">
        <v>107</v>
      </c>
    </row>
    <row r="13" spans="2:17" x14ac:dyDescent="0.2">
      <c r="B13" s="166"/>
      <c r="C13" s="166" t="s">
        <v>24</v>
      </c>
      <c r="D13" s="145">
        <v>603269.36399999983</v>
      </c>
      <c r="E13" s="145">
        <v>701859.20399999991</v>
      </c>
      <c r="F13" s="145">
        <v>791712.73199999996</v>
      </c>
      <c r="G13" s="145">
        <v>953778.01199999999</v>
      </c>
      <c r="H13" s="145">
        <v>957886.64399999997</v>
      </c>
      <c r="I13" s="152">
        <f>H13*(1+$N$13)</f>
        <v>1050690.213788602</v>
      </c>
      <c r="J13" s="152">
        <f>I13*(1+$N$13)</f>
        <v>1152484.9336464268</v>
      </c>
      <c r="K13" s="152">
        <f>J13*(1+$N$13)</f>
        <v>1264141.8991547262</v>
      </c>
      <c r="L13" s="152">
        <f>K13*(1+$N$13)</f>
        <v>1386616.6008281966</v>
      </c>
      <c r="M13" s="152">
        <f>L13*(1+$N$13)</f>
        <v>1520957.1006055314</v>
      </c>
      <c r="N13" s="203">
        <f>(H13/D13)^0.2-1</f>
        <v>9.6883666110081146E-2</v>
      </c>
      <c r="O13" s="24" t="s">
        <v>108</v>
      </c>
    </row>
    <row r="14" spans="2:17" x14ac:dyDescent="0.2">
      <c r="B14" s="144"/>
      <c r="C14" s="144" t="s">
        <v>25</v>
      </c>
      <c r="D14" s="146">
        <v>368127.28799999988</v>
      </c>
      <c r="E14" s="146">
        <v>515472.97199999995</v>
      </c>
      <c r="F14" s="146">
        <v>660000</v>
      </c>
      <c r="G14" s="146">
        <v>577108.15199999989</v>
      </c>
      <c r="H14" s="146">
        <v>570000</v>
      </c>
      <c r="I14" s="153">
        <f>H14*(1+$N$14)</f>
        <v>622085.70899678848</v>
      </c>
      <c r="J14" s="153">
        <f>I14*(1+$N$14)</f>
        <v>678930.92866322282</v>
      </c>
      <c r="K14" s="153">
        <f>J14*(1+$N$14)</f>
        <v>740970.57564440172</v>
      </c>
      <c r="L14" s="153">
        <f>K14*(1+$N$14)</f>
        <v>808679.30858860724</v>
      </c>
      <c r="M14" s="153">
        <f>L14*(1+$N$14)</f>
        <v>882575.15970943228</v>
      </c>
      <c r="N14" s="203">
        <f>(H14/D14)^0.2-1</f>
        <v>9.1378436836470955E-2</v>
      </c>
      <c r="O14" s="24" t="s">
        <v>108</v>
      </c>
    </row>
    <row r="15" spans="2:17" x14ac:dyDescent="0.2">
      <c r="B15" s="166"/>
      <c r="C15" s="166" t="s">
        <v>26</v>
      </c>
      <c r="D15" s="145">
        <v>522386.06400000001</v>
      </c>
      <c r="E15" s="145">
        <v>689351.82</v>
      </c>
      <c r="F15" s="145">
        <v>791111.5199999999</v>
      </c>
      <c r="G15" s="145">
        <v>1102722.696</v>
      </c>
      <c r="H15" s="145">
        <v>1107575.7</v>
      </c>
      <c r="I15" s="152">
        <f>H15*(1+$N$15)</f>
        <v>1287211.1295000473</v>
      </c>
      <c r="J15" s="152">
        <f>I15*(1+$N$15)</f>
        <v>1495981.260611611</v>
      </c>
      <c r="K15" s="152">
        <f>J15*(1+$N$15)</f>
        <v>1738611.3907905133</v>
      </c>
      <c r="L15" s="152">
        <f>K15*(1+$N$15)</f>
        <v>2020593.2037883322</v>
      </c>
      <c r="M15" s="152">
        <f>L15*(1+$N$15)</f>
        <v>2348309.0682727136</v>
      </c>
      <c r="N15" s="203">
        <f>(H15/D15)^0.2-1</f>
        <v>0.16218794751460086</v>
      </c>
      <c r="O15" s="24" t="s">
        <v>108</v>
      </c>
    </row>
    <row r="16" spans="2:17" x14ac:dyDescent="0.2">
      <c r="B16" s="144"/>
      <c r="C16" s="144" t="s">
        <v>27</v>
      </c>
      <c r="D16" s="146">
        <v>540000</v>
      </c>
      <c r="E16" s="146">
        <v>526800</v>
      </c>
      <c r="F16" s="146">
        <v>660000</v>
      </c>
      <c r="G16" s="146">
        <v>520097.47199999995</v>
      </c>
      <c r="H16" s="146">
        <v>504000</v>
      </c>
      <c r="I16" s="153">
        <f>H16*(1+$N$16)</f>
        <v>497093.27958815085</v>
      </c>
      <c r="J16" s="153">
        <f>I16*(1+$N$16)</f>
        <v>490281.20756290376</v>
      </c>
      <c r="K16" s="153">
        <f>J16*(1+$N$16)</f>
        <v>483562.48688071972</v>
      </c>
      <c r="L16" s="153">
        <f>K16*(1+$N$16)</f>
        <v>476935.83827249828</v>
      </c>
      <c r="M16" s="153">
        <f>L16*(1+$N$16)</f>
        <v>470400.00000000017</v>
      </c>
      <c r="N16" s="203">
        <f>(H16/D16)^0.2-1</f>
        <v>-1.3703810340970568E-2</v>
      </c>
      <c r="O16" s="24" t="s">
        <v>108</v>
      </c>
    </row>
    <row r="17" spans="2:17" x14ac:dyDescent="0.2">
      <c r="B17" s="166"/>
      <c r="C17" s="166" t="s">
        <v>28</v>
      </c>
      <c r="D17" s="145">
        <v>86680.811999999991</v>
      </c>
      <c r="E17" s="145">
        <v>84998.796000000002</v>
      </c>
      <c r="F17" s="145">
        <v>49596.468000000001</v>
      </c>
      <c r="G17" s="145">
        <v>94807.463999999993</v>
      </c>
      <c r="H17" s="145">
        <v>73716.288</v>
      </c>
      <c r="I17" s="154">
        <f>AVERAGE(D17:H17)</f>
        <v>77959.965599999996</v>
      </c>
      <c r="J17" s="155">
        <f>I17</f>
        <v>77959.965599999996</v>
      </c>
      <c r="K17" s="155">
        <f>J17</f>
        <v>77959.965599999996</v>
      </c>
      <c r="L17" s="155">
        <f>K17</f>
        <v>77959.965599999996</v>
      </c>
      <c r="M17" s="155">
        <f>L17</f>
        <v>77959.965599999996</v>
      </c>
      <c r="N17" s="203" t="s">
        <v>109</v>
      </c>
      <c r="O17" s="24" t="s">
        <v>110</v>
      </c>
      <c r="Q17" s="202"/>
    </row>
    <row r="18" spans="2:17" x14ac:dyDescent="0.2">
      <c r="B18" s="144"/>
      <c r="C18" s="144" t="s">
        <v>29</v>
      </c>
      <c r="D18" s="146">
        <v>180000</v>
      </c>
      <c r="E18" s="146">
        <v>180000</v>
      </c>
      <c r="F18" s="146">
        <v>180000</v>
      </c>
      <c r="G18" s="146">
        <v>180000</v>
      </c>
      <c r="H18" s="146">
        <v>180000</v>
      </c>
      <c r="I18" s="147">
        <v>180000</v>
      </c>
      <c r="J18" s="147">
        <v>180000</v>
      </c>
      <c r="K18" s="147">
        <v>180000</v>
      </c>
      <c r="L18" s="147">
        <v>180000</v>
      </c>
      <c r="M18" s="147">
        <v>180000</v>
      </c>
      <c r="N18" s="203">
        <v>0</v>
      </c>
      <c r="O18" s="24" t="s">
        <v>111</v>
      </c>
      <c r="Q18" s="41"/>
    </row>
    <row r="19" spans="2:17" x14ac:dyDescent="0.2">
      <c r="B19" s="166"/>
      <c r="C19" s="166" t="s">
        <v>112</v>
      </c>
      <c r="D19" s="145">
        <v>476374.39199999999</v>
      </c>
      <c r="E19" s="145">
        <v>540330.94799999997</v>
      </c>
      <c r="F19" s="145">
        <v>594289.96199999994</v>
      </c>
      <c r="G19" s="145">
        <v>777118.32899999991</v>
      </c>
      <c r="H19" s="145">
        <v>773822.88899999997</v>
      </c>
      <c r="I19" s="152">
        <f>H19*(1+$N$19)</f>
        <v>835728.72012000007</v>
      </c>
      <c r="J19" s="152">
        <f>I19*(1+$N$19)</f>
        <v>902587.01772960019</v>
      </c>
      <c r="K19" s="152">
        <f>J19*(1+$N$19)</f>
        <v>974793.97914796823</v>
      </c>
      <c r="L19" s="152">
        <f>K19*(1+$N$19)</f>
        <v>1052777.4974798057</v>
      </c>
      <c r="M19" s="152">
        <f>L19*(1+$N$19)</f>
        <v>1136999.6972781902</v>
      </c>
      <c r="N19" s="203">
        <v>0.08</v>
      </c>
      <c r="O19" s="24" t="s">
        <v>113</v>
      </c>
      <c r="Q19" s="41"/>
    </row>
    <row r="20" spans="2:17" x14ac:dyDescent="0.2">
      <c r="B20" s="144"/>
      <c r="C20" s="148" t="s">
        <v>32</v>
      </c>
      <c r="D20" s="156">
        <f t="shared" ref="D20:M20" si="6">SUM(D13:D19)</f>
        <v>2776837.92</v>
      </c>
      <c r="E20" s="156">
        <f t="shared" si="6"/>
        <v>3238813.7399999998</v>
      </c>
      <c r="F20" s="156">
        <f t="shared" si="6"/>
        <v>3726710.6819999996</v>
      </c>
      <c r="G20" s="156">
        <f t="shared" si="6"/>
        <v>4205632.125</v>
      </c>
      <c r="H20" s="156">
        <f t="shared" si="6"/>
        <v>4167001.5209999997</v>
      </c>
      <c r="I20" s="157">
        <f t="shared" si="6"/>
        <v>4550769.0175935887</v>
      </c>
      <c r="J20" s="157">
        <f t="shared" si="6"/>
        <v>4978225.3138137646</v>
      </c>
      <c r="K20" s="157">
        <f t="shared" si="6"/>
        <v>5460040.2972183283</v>
      </c>
      <c r="L20" s="157">
        <f t="shared" si="6"/>
        <v>6003562.4145574402</v>
      </c>
      <c r="M20" s="157">
        <f t="shared" si="6"/>
        <v>6617200.9914658675</v>
      </c>
      <c r="N20" s="24"/>
      <c r="O20" s="24"/>
      <c r="Q20" s="41"/>
    </row>
    <row r="21" spans="2:17" x14ac:dyDescent="0.2">
      <c r="B21" s="166"/>
      <c r="C21" s="166"/>
      <c r="D21" s="155"/>
      <c r="E21" s="155"/>
      <c r="F21" s="155"/>
      <c r="G21" s="155"/>
      <c r="H21" s="155"/>
      <c r="I21" s="166"/>
      <c r="J21" s="166"/>
      <c r="K21" s="166"/>
      <c r="L21" s="166"/>
      <c r="M21" s="166"/>
      <c r="N21" s="24"/>
      <c r="O21" s="24"/>
      <c r="Q21" s="41"/>
    </row>
    <row r="22" spans="2:17" x14ac:dyDescent="0.2">
      <c r="B22" s="165" t="s">
        <v>33</v>
      </c>
      <c r="C22" s="144"/>
      <c r="D22" s="157">
        <f t="shared" ref="D22:M22" si="7">D10-D20</f>
        <v>1202202.1357449116</v>
      </c>
      <c r="E22" s="157">
        <f t="shared" si="7"/>
        <v>1665078.9583312445</v>
      </c>
      <c r="F22" s="157">
        <f t="shared" si="7"/>
        <v>2352574.7828124738</v>
      </c>
      <c r="G22" s="157">
        <f t="shared" si="7"/>
        <v>2610152.0499999998</v>
      </c>
      <c r="H22" s="157">
        <f t="shared" si="7"/>
        <v>3122554.1429999992</v>
      </c>
      <c r="I22" s="157">
        <f t="shared" si="7"/>
        <v>3651596.8422734067</v>
      </c>
      <c r="J22" s="157">
        <f t="shared" si="7"/>
        <v>4330351.2658763342</v>
      </c>
      <c r="K22" s="157">
        <f t="shared" si="7"/>
        <v>5100287.827022275</v>
      </c>
      <c r="L22" s="157">
        <f t="shared" si="7"/>
        <v>6085202.4646463189</v>
      </c>
      <c r="M22" s="157">
        <f t="shared" si="7"/>
        <v>7347363.0854281327</v>
      </c>
      <c r="N22" s="24"/>
      <c r="O22" s="24"/>
      <c r="Q22" s="41"/>
    </row>
    <row r="23" spans="2:17" x14ac:dyDescent="0.2">
      <c r="B23" s="178" t="s">
        <v>34</v>
      </c>
      <c r="C23" s="178"/>
      <c r="D23" s="158">
        <f t="shared" ref="D23:M23" si="8">D22/D10</f>
        <v>0.30213371036795172</v>
      </c>
      <c r="E23" s="158">
        <f t="shared" si="8"/>
        <v>0.33954229033148658</v>
      </c>
      <c r="F23" s="158">
        <f t="shared" si="8"/>
        <v>0.38698212091362011</v>
      </c>
      <c r="G23" s="158">
        <f t="shared" si="8"/>
        <v>0.38295696914434646</v>
      </c>
      <c r="H23" s="158">
        <f t="shared" si="8"/>
        <v>0.42836001080572855</v>
      </c>
      <c r="I23" s="158">
        <f t="shared" si="8"/>
        <v>0.44518824259475531</v>
      </c>
      <c r="J23" s="158">
        <f t="shared" si="8"/>
        <v>0.46520015480395827</v>
      </c>
      <c r="K23" s="158">
        <f t="shared" si="8"/>
        <v>0.48296679487779065</v>
      </c>
      <c r="L23" s="158">
        <f t="shared" si="8"/>
        <v>0.50337669112207339</v>
      </c>
      <c r="M23" s="158">
        <f t="shared" si="8"/>
        <v>0.52614339015316647</v>
      </c>
      <c r="N23" s="24"/>
      <c r="O23" s="24"/>
      <c r="Q23" s="41"/>
    </row>
    <row r="24" spans="2:17" x14ac:dyDescent="0.2">
      <c r="B24" s="159"/>
      <c r="C24" s="159" t="s">
        <v>114</v>
      </c>
      <c r="D24" s="159"/>
      <c r="E24" s="159"/>
      <c r="F24" s="159"/>
      <c r="G24" s="159"/>
      <c r="H24" s="144"/>
      <c r="I24" s="159"/>
      <c r="J24" s="159"/>
      <c r="K24" s="144"/>
      <c r="L24" s="144"/>
      <c r="M24" s="144"/>
      <c r="O24" s="24"/>
      <c r="Q24" s="6" t="s">
        <v>115</v>
      </c>
    </row>
    <row r="25" spans="2:17" x14ac:dyDescent="0.2">
      <c r="B25" s="179" t="s">
        <v>116</v>
      </c>
      <c r="C25" s="166"/>
      <c r="D25" s="166"/>
      <c r="E25" s="166"/>
      <c r="F25" s="166"/>
      <c r="G25" s="166"/>
      <c r="H25" s="166"/>
      <c r="I25" s="166"/>
      <c r="J25" s="178"/>
      <c r="K25" s="166"/>
      <c r="L25" s="166"/>
      <c r="M25" s="166"/>
      <c r="N25" s="24"/>
      <c r="O25" s="204"/>
      <c r="Q25" t="s">
        <v>117</v>
      </c>
    </row>
    <row r="26" spans="2:17" x14ac:dyDescent="0.2">
      <c r="B26" s="144"/>
      <c r="C26" s="144" t="s">
        <v>118</v>
      </c>
      <c r="D26" s="146">
        <v>210</v>
      </c>
      <c r="E26" s="146">
        <v>330.75</v>
      </c>
      <c r="F26" s="146">
        <v>430.5</v>
      </c>
      <c r="G26" s="146">
        <v>399</v>
      </c>
      <c r="H26" s="146">
        <v>393.75</v>
      </c>
      <c r="I26" s="153">
        <f>H26*(1+$N$26)</f>
        <v>446.49933994300449</v>
      </c>
      <c r="J26" s="153">
        <f>I26*(1+$N$26)</f>
        <v>506.31532843057443</v>
      </c>
      <c r="K26" s="153">
        <f>J26*(1+$N$26)</f>
        <v>574.14466018356063</v>
      </c>
      <c r="L26" s="153">
        <f>K26*(1+$N$26)</f>
        <v>651.06085537462968</v>
      </c>
      <c r="M26" s="153">
        <f>L26*(1+$N$26)</f>
        <v>738.28125000000011</v>
      </c>
      <c r="N26" s="203">
        <f>(H26/D26)^0.2-1</f>
        <v>0.13396657763302722</v>
      </c>
      <c r="O26" s="24" t="s">
        <v>108</v>
      </c>
      <c r="Q26" t="s">
        <v>119</v>
      </c>
    </row>
    <row r="27" spans="2:17" x14ac:dyDescent="0.2">
      <c r="B27" s="166"/>
      <c r="C27" s="166" t="s">
        <v>18</v>
      </c>
      <c r="D27" s="145">
        <v>2.8314095650413558</v>
      </c>
      <c r="E27" s="145">
        <v>19.606497571740576</v>
      </c>
      <c r="F27" s="145">
        <v>39.768107140858397</v>
      </c>
      <c r="G27" s="145">
        <v>131.25</v>
      </c>
      <c r="H27" s="145">
        <v>115.5</v>
      </c>
      <c r="I27" s="152">
        <f>H27*(1+$N$27)</f>
        <v>138.6</v>
      </c>
      <c r="J27" s="152">
        <f>I27*(1+$N$27)</f>
        <v>166.32</v>
      </c>
      <c r="K27" s="152">
        <f>J27*(1+$N$27)</f>
        <v>199.58399999999997</v>
      </c>
      <c r="L27" s="152">
        <f>K27*(1+$N$27)</f>
        <v>239.50079999999997</v>
      </c>
      <c r="M27" s="152">
        <f>L27*(1+$N$27)</f>
        <v>287.40095999999994</v>
      </c>
      <c r="N27" s="203">
        <v>0.2</v>
      </c>
      <c r="O27" s="204" t="s">
        <v>120</v>
      </c>
      <c r="P27" s="24"/>
      <c r="Q27" t="s">
        <v>121</v>
      </c>
    </row>
    <row r="28" spans="2:17" x14ac:dyDescent="0.2">
      <c r="B28" s="144"/>
      <c r="C28" s="144" t="s">
        <v>122</v>
      </c>
      <c r="D28" s="146">
        <v>2761.5</v>
      </c>
      <c r="E28" s="146">
        <v>2819.25</v>
      </c>
      <c r="F28" s="146">
        <v>2966.25</v>
      </c>
      <c r="G28" s="146">
        <v>3071.25</v>
      </c>
      <c r="H28" s="146">
        <v>3150</v>
      </c>
      <c r="I28" s="153">
        <f>H28*(1+$N$28)</f>
        <v>3234.0271016102251</v>
      </c>
      <c r="J28" s="153">
        <f>I28*(1+$N$28)</f>
        <v>3320.295648872836</v>
      </c>
      <c r="K28" s="153">
        <f>J28*(1+$N$28)</f>
        <v>3408.8654329565902</v>
      </c>
      <c r="L28" s="153">
        <f>K28*(1+$N$28)</f>
        <v>3499.7978399758372</v>
      </c>
      <c r="M28" s="153">
        <f>L28*(1+$N$28)</f>
        <v>3593.1558935361218</v>
      </c>
      <c r="N28" s="203">
        <f>(H28/D28)^0.2-1</f>
        <v>2.6675270352452429E-2</v>
      </c>
      <c r="O28" s="24" t="s">
        <v>108</v>
      </c>
      <c r="Q28" t="s">
        <v>123</v>
      </c>
    </row>
    <row r="29" spans="2:17" x14ac:dyDescent="0.2">
      <c r="B29" s="166"/>
      <c r="C29" s="166" t="s">
        <v>124</v>
      </c>
      <c r="D29" s="145">
        <v>250</v>
      </c>
      <c r="E29" s="145">
        <v>260</v>
      </c>
      <c r="F29" s="145">
        <v>270</v>
      </c>
      <c r="G29" s="145">
        <v>280</v>
      </c>
      <c r="H29" s="145">
        <v>300</v>
      </c>
      <c r="I29" s="152">
        <f>H29*(1+$N$29)</f>
        <v>311.14118680099443</v>
      </c>
      <c r="J29" s="152">
        <f>I29*(1+$N$29)</f>
        <v>322.69612707977109</v>
      </c>
      <c r="K29" s="152">
        <f>J29*(1+$N$29)</f>
        <v>334.68018651894835</v>
      </c>
      <c r="L29" s="152">
        <f>K29*(1+$N$29)</f>
        <v>347.1093014409459</v>
      </c>
      <c r="M29" s="152">
        <f>L29*(1+$N$29)</f>
        <v>360.00000000000011</v>
      </c>
      <c r="N29" s="41">
        <f>(H29/D29)^0.2-1</f>
        <v>3.7137289336648172E-2</v>
      </c>
      <c r="O29" t="s">
        <v>108</v>
      </c>
      <c r="Q29" t="s">
        <v>125</v>
      </c>
    </row>
    <row r="30" spans="2:17" ht="16" x14ac:dyDescent="0.2">
      <c r="B30" s="144"/>
      <c r="C30" s="144" t="s">
        <v>126</v>
      </c>
      <c r="D30" s="160">
        <f>D29/D28</f>
        <v>9.0530508781459351E-2</v>
      </c>
      <c r="E30" s="160">
        <f>E29/E28</f>
        <v>9.2223108982885521E-2</v>
      </c>
      <c r="F30" s="160">
        <f>F29/F28</f>
        <v>9.1024020227560051E-2</v>
      </c>
      <c r="G30" s="160">
        <f>G29/G28</f>
        <v>9.1168091168091173E-2</v>
      </c>
      <c r="H30" s="160">
        <f>H29/H28</f>
        <v>9.5238095238095233E-2</v>
      </c>
      <c r="I30" s="161">
        <f>N30</f>
        <v>9.2021404845408716E-2</v>
      </c>
      <c r="J30" s="161">
        <f>I30</f>
        <v>9.2021404845408716E-2</v>
      </c>
      <c r="K30" s="161">
        <f>J30</f>
        <v>9.2021404845408716E-2</v>
      </c>
      <c r="L30" s="161">
        <f>K30</f>
        <v>9.2021404845408716E-2</v>
      </c>
      <c r="M30" s="161">
        <f>L30</f>
        <v>9.2021404845408716E-2</v>
      </c>
      <c r="N30" s="41">
        <f>GEOMEAN(D30:H30)</f>
        <v>9.2021404845408716E-2</v>
      </c>
      <c r="O30" s="87" t="s">
        <v>127</v>
      </c>
      <c r="Q30" t="s">
        <v>128</v>
      </c>
    </row>
    <row r="31" spans="2:17" x14ac:dyDescent="0.2">
      <c r="B31" s="198" t="s">
        <v>129</v>
      </c>
      <c r="C31" s="166" t="s">
        <v>130</v>
      </c>
      <c r="D31" s="145">
        <f>D32/5</f>
        <v>152.88833333333335</v>
      </c>
      <c r="E31" s="145">
        <f>E32/6</f>
        <v>326.34347222222226</v>
      </c>
      <c r="F31" s="145">
        <f>F32/7</f>
        <v>669.50357936507942</v>
      </c>
      <c r="G31" s="145">
        <f>G32/7.5</f>
        <v>996.19777777777779</v>
      </c>
      <c r="H31" s="145">
        <f>H32/8</f>
        <v>1197.3615972222221</v>
      </c>
      <c r="I31" s="152">
        <f>H31*(1+$N$31)</f>
        <v>1436.8339166666665</v>
      </c>
      <c r="J31" s="152">
        <f>I31*(1+$N$31)</f>
        <v>1724.2006999999996</v>
      </c>
      <c r="K31" s="152">
        <f>J31*(1+$N$31)</f>
        <v>2069.0408399999997</v>
      </c>
      <c r="L31" s="152">
        <f>K31*(1+$N$31)</f>
        <v>2482.8490079999997</v>
      </c>
      <c r="M31" s="152">
        <f>L31*(1+$N$31)</f>
        <v>2979.4188095999993</v>
      </c>
      <c r="N31" s="41">
        <v>0.2</v>
      </c>
      <c r="O31" s="207" t="s">
        <v>120</v>
      </c>
      <c r="Q31" t="s">
        <v>131</v>
      </c>
    </row>
    <row r="32" spans="2:17" x14ac:dyDescent="0.2">
      <c r="B32" s="199" t="s">
        <v>132</v>
      </c>
      <c r="C32" s="144" t="s">
        <v>133</v>
      </c>
      <c r="D32" s="146">
        <v>764.44166666666672</v>
      </c>
      <c r="E32" s="146">
        <v>1958.0608333333334</v>
      </c>
      <c r="F32" s="146">
        <v>4686.5250555555558</v>
      </c>
      <c r="G32" s="146">
        <v>7471.4833333333336</v>
      </c>
      <c r="H32" s="146">
        <v>9578.8927777777772</v>
      </c>
      <c r="I32" s="153">
        <f>H32*(1+$N$32)</f>
        <v>12260.982755555555</v>
      </c>
      <c r="J32" s="153">
        <f>I32*(1+$N$32)</f>
        <v>15694.057927111111</v>
      </c>
      <c r="K32" s="153">
        <f>J32*(1+$N$32)</f>
        <v>20088.394146702223</v>
      </c>
      <c r="L32" s="153">
        <f>K32*(1+$N$32)</f>
        <v>25713.144507778845</v>
      </c>
      <c r="M32" s="153">
        <f>L32*(1+$N$32)</f>
        <v>32912.824969956921</v>
      </c>
      <c r="N32" s="41">
        <v>0.28000000000000003</v>
      </c>
      <c r="O32" s="207" t="s">
        <v>134</v>
      </c>
      <c r="Q32" t="s">
        <v>135</v>
      </c>
    </row>
    <row r="33" spans="2:17" x14ac:dyDescent="0.2">
      <c r="B33" s="166"/>
      <c r="C33" s="166" t="s">
        <v>136</v>
      </c>
      <c r="D33" s="145">
        <f>D32*6.1%</f>
        <v>46.630941666666672</v>
      </c>
      <c r="E33" s="145">
        <f>E32*6.2%</f>
        <v>121.39977166666667</v>
      </c>
      <c r="F33" s="145">
        <f>F32*6.3%</f>
        <v>295.25107850000001</v>
      </c>
      <c r="G33" s="145">
        <f>G32*6.2%</f>
        <v>463.23196666666666</v>
      </c>
      <c r="H33" s="145">
        <f>H32*6%</f>
        <v>574.73356666666666</v>
      </c>
      <c r="I33" s="152">
        <f>H33*(1+$N$33)</f>
        <v>712.66962266666667</v>
      </c>
      <c r="J33" s="152">
        <f>I33*(1+$N$33)</f>
        <v>883.71033210666667</v>
      </c>
      <c r="K33" s="152">
        <f>J33*(1+$N$33)</f>
        <v>1095.8008118122666</v>
      </c>
      <c r="L33" s="152">
        <f>K33*(1+$N$33)</f>
        <v>1358.7930066472106</v>
      </c>
      <c r="M33" s="152">
        <f>L33*(1+$N$33)</f>
        <v>1684.9033282425412</v>
      </c>
      <c r="N33" s="41">
        <v>0.24</v>
      </c>
      <c r="O33" s="207" t="s">
        <v>137</v>
      </c>
      <c r="P33" s="41"/>
      <c r="Q33" t="s">
        <v>138</v>
      </c>
    </row>
    <row r="34" spans="2:17" ht="16" x14ac:dyDescent="0.2">
      <c r="B34" s="144"/>
      <c r="C34" s="144" t="s">
        <v>139</v>
      </c>
      <c r="D34" s="160">
        <f>D33/D32</f>
        <v>6.1000000000000006E-2</v>
      </c>
      <c r="E34" s="160">
        <f>E33/E32</f>
        <v>6.2E-2</v>
      </c>
      <c r="F34" s="160">
        <f>F33/F32</f>
        <v>6.3E-2</v>
      </c>
      <c r="G34" s="160">
        <f>G33/G32</f>
        <v>6.2E-2</v>
      </c>
      <c r="H34" s="160">
        <f>H33/H32</f>
        <v>6.0000000000000005E-2</v>
      </c>
      <c r="I34" s="162">
        <f>N34</f>
        <v>6.1591531446781554E-2</v>
      </c>
      <c r="J34" s="162">
        <f>I34</f>
        <v>6.1591531446781554E-2</v>
      </c>
      <c r="K34" s="162">
        <f>J34</f>
        <v>6.1591531446781554E-2</v>
      </c>
      <c r="L34" s="162">
        <f>K34</f>
        <v>6.1591531446781554E-2</v>
      </c>
      <c r="M34" s="162">
        <f>L34</f>
        <v>6.1591531446781554E-2</v>
      </c>
      <c r="N34" s="41">
        <f>GEOMEAN(D34:H34)</f>
        <v>6.1591531446781554E-2</v>
      </c>
      <c r="O34" s="87" t="s">
        <v>127</v>
      </c>
      <c r="Q34" t="s">
        <v>140</v>
      </c>
    </row>
    <row r="35" spans="2:17" x14ac:dyDescent="0.2">
      <c r="B35" s="166"/>
      <c r="C35" s="166" t="s">
        <v>141</v>
      </c>
      <c r="D35" s="145">
        <f>D8/D43</f>
        <v>94.241876750700271</v>
      </c>
      <c r="E35" s="145">
        <f>E8/E43</f>
        <v>131.74276538201488</v>
      </c>
      <c r="F35" s="145">
        <f>F8/F43</f>
        <v>220.6581862745098</v>
      </c>
      <c r="G35" s="145">
        <f>G8/G43</f>
        <v>219.17349170437404</v>
      </c>
      <c r="H35" s="145">
        <f>H8/H43</f>
        <v>263.77703703703702</v>
      </c>
      <c r="I35" s="152">
        <f>H35*(1+$N$35)</f>
        <v>324.06758855783374</v>
      </c>
      <c r="J35" s="152">
        <f>I35*(1+$N$35)</f>
        <v>398.13853068242463</v>
      </c>
      <c r="K35" s="152">
        <f>J35*(1+0.05)</f>
        <v>418.04545721654586</v>
      </c>
      <c r="L35" s="152">
        <f>K35*(1+0.05)</f>
        <v>438.94773007737319</v>
      </c>
      <c r="M35" s="152">
        <f>L35*(1+0.05)</f>
        <v>460.89511658124189</v>
      </c>
      <c r="N35" s="41">
        <f>(H35/D35)^0.2-1</f>
        <v>0.22856633844261176</v>
      </c>
      <c r="O35" t="s">
        <v>108</v>
      </c>
      <c r="Q35" t="s">
        <v>142</v>
      </c>
    </row>
    <row r="36" spans="2:17" x14ac:dyDescent="0.2">
      <c r="B36" s="144"/>
      <c r="C36" s="144" t="s">
        <v>143</v>
      </c>
      <c r="D36" s="144">
        <v>22</v>
      </c>
      <c r="E36" s="144">
        <v>22</v>
      </c>
      <c r="F36" s="144">
        <v>24</v>
      </c>
      <c r="G36" s="144">
        <v>28</v>
      </c>
      <c r="H36" s="144">
        <v>33</v>
      </c>
      <c r="I36" s="153">
        <f>H36*(1+$N$36)</f>
        <v>35.787568449524052</v>
      </c>
      <c r="J36" s="153">
        <f>I36*(1+$N$36)</f>
        <v>38.810607743314222</v>
      </c>
      <c r="K36" s="153">
        <f>J36*(1+$N$36)</f>
        <v>42.089008520651092</v>
      </c>
      <c r="L36" s="153">
        <f>K36*(1+$N$36)</f>
        <v>45.644341618345514</v>
      </c>
      <c r="M36" s="153">
        <f>L36*(1+$N$36)</f>
        <v>49.499999999999986</v>
      </c>
      <c r="N36" s="41">
        <f>(H36/D36)^0.2-1</f>
        <v>8.4471771197698553E-2</v>
      </c>
      <c r="O36" t="s">
        <v>108</v>
      </c>
      <c r="Q36" t="s">
        <v>144</v>
      </c>
    </row>
    <row r="37" spans="2:17" x14ac:dyDescent="0.2">
      <c r="B37" s="166"/>
      <c r="C37" s="166"/>
      <c r="D37" s="166"/>
      <c r="E37" s="166"/>
      <c r="F37" s="166"/>
      <c r="G37" s="166"/>
      <c r="H37" s="166"/>
      <c r="I37" s="152"/>
      <c r="J37" s="166"/>
      <c r="K37" s="166"/>
      <c r="L37" s="166"/>
      <c r="M37" s="166"/>
      <c r="N37" s="41"/>
      <c r="Q37" t="s">
        <v>145</v>
      </c>
    </row>
    <row r="38" spans="2:17" x14ac:dyDescent="0.2">
      <c r="B38" s="165" t="s">
        <v>146</v>
      </c>
      <c r="C38" s="144"/>
      <c r="D38" s="144"/>
      <c r="E38" s="144"/>
      <c r="F38" s="144"/>
      <c r="G38" s="144"/>
      <c r="H38" s="144"/>
      <c r="I38" s="163"/>
      <c r="J38" s="144"/>
      <c r="K38" s="144"/>
      <c r="L38" s="144"/>
      <c r="M38" s="144"/>
      <c r="N38" s="41"/>
    </row>
    <row r="39" spans="2:17" x14ac:dyDescent="0.2">
      <c r="B39" s="166"/>
      <c r="C39" s="166" t="s">
        <v>147</v>
      </c>
      <c r="D39" s="180">
        <v>4182</v>
      </c>
      <c r="E39" s="180">
        <v>4233</v>
      </c>
      <c r="F39" s="180">
        <v>4059.6</v>
      </c>
      <c r="G39" s="180">
        <v>3825</v>
      </c>
      <c r="H39" s="180">
        <v>3763.8</v>
      </c>
      <c r="I39" s="152">
        <f>H39*(1+$N$39)</f>
        <v>3685.3186062542445</v>
      </c>
      <c r="J39" s="152">
        <f>I39*(1+$N$39)</f>
        <v>3608.4736780922808</v>
      </c>
      <c r="K39" s="152">
        <f>J39*(1+$N$39)</f>
        <v>3533.2310925267475</v>
      </c>
      <c r="L39" s="152">
        <f>K39*(1+$N$39)</f>
        <v>3459.5574380904495</v>
      </c>
      <c r="M39" s="152">
        <f>L39*(1+$N$39)</f>
        <v>3387.42</v>
      </c>
      <c r="N39" s="41">
        <f>(H39/D39)^0.2-1</f>
        <v>-2.0851637639023202E-2</v>
      </c>
      <c r="O39" t="s">
        <v>108</v>
      </c>
    </row>
    <row r="40" spans="2:17" x14ac:dyDescent="0.2">
      <c r="B40" s="144"/>
      <c r="C40" s="144" t="s">
        <v>148</v>
      </c>
      <c r="D40" s="164">
        <v>4207.5</v>
      </c>
      <c r="E40" s="164">
        <v>4125.8999999999996</v>
      </c>
      <c r="F40" s="164">
        <v>4837.8599999999997</v>
      </c>
      <c r="G40" s="164">
        <v>3972.9</v>
      </c>
      <c r="H40" s="164">
        <v>4092.2400000000002</v>
      </c>
      <c r="I40" s="153">
        <f>H40*(1+$N$40)</f>
        <v>4069.5696935251576</v>
      </c>
      <c r="J40" s="153">
        <f>I40*(1+$N$40)</f>
        <v>4047.0249766529928</v>
      </c>
      <c r="K40" s="153">
        <f>J40*(1+$N$40)</f>
        <v>4024.6051536386858</v>
      </c>
      <c r="L40" s="153">
        <f>K40*(1+$N$40)</f>
        <v>4002.3095325917234</v>
      </c>
      <c r="M40" s="153">
        <f>L40*(1+$N$40)</f>
        <v>3980.1374254545467</v>
      </c>
      <c r="N40" s="41">
        <f>(H40/D40)^0.2-1</f>
        <v>-5.5398281808600736E-3</v>
      </c>
      <c r="O40" t="s">
        <v>108</v>
      </c>
    </row>
    <row r="41" spans="2:17" x14ac:dyDescent="0.2">
      <c r="B41" s="166"/>
      <c r="C41" s="166" t="s">
        <v>149</v>
      </c>
      <c r="D41" s="180">
        <v>1020</v>
      </c>
      <c r="E41" s="180">
        <v>1020</v>
      </c>
      <c r="F41" s="180">
        <v>1020</v>
      </c>
      <c r="G41" s="180">
        <v>1020</v>
      </c>
      <c r="H41" s="180">
        <v>1020</v>
      </c>
      <c r="I41" s="152">
        <f>H41*(1+$N$41)</f>
        <v>1020</v>
      </c>
      <c r="J41" s="152">
        <f>I41*(1+$N$41)</f>
        <v>1020</v>
      </c>
      <c r="K41" s="152">
        <f>J41*(1+$N$41)</f>
        <v>1020</v>
      </c>
      <c r="L41" s="152">
        <f>K41*(1+$N$41)</f>
        <v>1020</v>
      </c>
      <c r="M41" s="152">
        <f>L41*(1+$N$41)</f>
        <v>1020</v>
      </c>
      <c r="N41" s="41">
        <f>(H41/D41)^0.2-1</f>
        <v>0</v>
      </c>
      <c r="O41" t="s">
        <v>108</v>
      </c>
    </row>
    <row r="42" spans="2:17" x14ac:dyDescent="0.2">
      <c r="B42" s="144"/>
      <c r="C42" s="144" t="s">
        <v>150</v>
      </c>
      <c r="D42" s="164">
        <v>15.3</v>
      </c>
      <c r="E42" s="164">
        <v>15.3</v>
      </c>
      <c r="F42" s="164">
        <v>15.3</v>
      </c>
      <c r="G42" s="164">
        <v>15.3</v>
      </c>
      <c r="H42" s="164">
        <v>15.3</v>
      </c>
      <c r="I42" s="153">
        <f>H42</f>
        <v>15.3</v>
      </c>
      <c r="J42" s="153">
        <f>I42</f>
        <v>15.3</v>
      </c>
      <c r="K42" s="153">
        <f>J42</f>
        <v>15.3</v>
      </c>
      <c r="L42" s="153">
        <f>K42</f>
        <v>15.3</v>
      </c>
      <c r="M42" s="153">
        <f>L42</f>
        <v>15.3</v>
      </c>
      <c r="N42" s="41">
        <f>(H42/D42)^0.2-1</f>
        <v>0</v>
      </c>
      <c r="O42" t="s">
        <v>108</v>
      </c>
    </row>
    <row r="43" spans="2:17" x14ac:dyDescent="0.2">
      <c r="B43" s="166"/>
      <c r="C43" s="166" t="s">
        <v>151</v>
      </c>
      <c r="D43" s="155">
        <v>1428</v>
      </c>
      <c r="E43" s="155">
        <v>1479</v>
      </c>
      <c r="F43" s="155">
        <v>1224</v>
      </c>
      <c r="G43" s="155">
        <v>1326</v>
      </c>
      <c r="H43" s="155">
        <v>1377</v>
      </c>
      <c r="I43" s="152">
        <f>H43*(1+$N$43)</f>
        <v>1367.0206872006461</v>
      </c>
      <c r="J43" s="152">
        <f>I43*(1+$N$43)</f>
        <v>1357.1136958856403</v>
      </c>
      <c r="K43" s="152">
        <f t="shared" ref="K43:M43" si="9">J43*(1+$N$43)</f>
        <v>1347.278501931007</v>
      </c>
      <c r="L43" s="152">
        <f t="shared" si="9"/>
        <v>1337.5145850111708</v>
      </c>
      <c r="M43" s="152">
        <f t="shared" si="9"/>
        <v>1327.8214285714289</v>
      </c>
      <c r="N43" s="41">
        <f>(H43/D43)^0.2-1</f>
        <v>-7.2471407402715515E-3</v>
      </c>
      <c r="O43" t="s">
        <v>108</v>
      </c>
    </row>
    <row r="48" spans="2:17" x14ac:dyDescent="0.2">
      <c r="D48" s="51"/>
      <c r="E48" s="51"/>
      <c r="F48" s="51"/>
      <c r="G48" s="51"/>
      <c r="H48" s="51"/>
      <c r="J48" s="39"/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246E-609D-4DF0-9D67-57A3E3ADAD82}">
  <dimension ref="B2:Z70"/>
  <sheetViews>
    <sheetView topLeftCell="L1" zoomScale="116" workbookViewId="0">
      <selection activeCell="Y13" sqref="Y13"/>
    </sheetView>
  </sheetViews>
  <sheetFormatPr baseColWidth="10" defaultColWidth="11.5" defaultRowHeight="15" x14ac:dyDescent="0.2"/>
  <cols>
    <col min="2" max="2" width="16.5" bestFit="1" customWidth="1"/>
    <col min="4" max="4" width="21.5" bestFit="1" customWidth="1"/>
    <col min="5" max="5" width="23.5" bestFit="1" customWidth="1"/>
    <col min="6" max="7" width="23.5" customWidth="1"/>
    <col min="8" max="8" width="18.5" bestFit="1" customWidth="1"/>
    <col min="9" max="9" width="22.33203125" style="78" bestFit="1" customWidth="1"/>
    <col min="14" max="14" width="16.1640625" bestFit="1" customWidth="1"/>
    <col min="15" max="15" width="7.5" bestFit="1" customWidth="1"/>
    <col min="16" max="16" width="15.33203125" bestFit="1" customWidth="1"/>
    <col min="17" max="17" width="14.6640625" style="61" bestFit="1" customWidth="1"/>
    <col min="18" max="18" width="14.33203125" bestFit="1" customWidth="1"/>
    <col min="19" max="19" width="24.1640625" bestFit="1" customWidth="1"/>
    <col min="20" max="20" width="25.6640625" customWidth="1"/>
    <col min="21" max="21" width="12.83203125" customWidth="1"/>
    <col min="22" max="22" width="22.5" customWidth="1"/>
    <col min="23" max="23" width="23.1640625" customWidth="1"/>
    <col min="24" max="24" width="55.5" customWidth="1"/>
    <col min="26" max="26" width="15.5" style="106" customWidth="1"/>
  </cols>
  <sheetData>
    <row r="2" spans="2:26" ht="15" customHeight="1" x14ac:dyDescent="0.2">
      <c r="B2" s="129" t="s">
        <v>152</v>
      </c>
      <c r="C2" s="129" t="s">
        <v>153</v>
      </c>
      <c r="D2" s="129" t="s">
        <v>154</v>
      </c>
      <c r="E2" s="129" t="s">
        <v>155</v>
      </c>
      <c r="F2" s="129" t="s">
        <v>156</v>
      </c>
      <c r="G2" s="129" t="s">
        <v>157</v>
      </c>
      <c r="H2" s="129" t="s">
        <v>158</v>
      </c>
      <c r="I2" s="135" t="s">
        <v>159</v>
      </c>
      <c r="N2" t="s">
        <v>152</v>
      </c>
      <c r="O2" t="s">
        <v>153</v>
      </c>
      <c r="P2" t="s">
        <v>160</v>
      </c>
      <c r="Q2" s="61" t="s">
        <v>161</v>
      </c>
      <c r="R2" t="s">
        <v>162</v>
      </c>
      <c r="S2" t="s">
        <v>163</v>
      </c>
      <c r="T2" s="87" t="s">
        <v>164</v>
      </c>
      <c r="U2" s="87" t="s">
        <v>165</v>
      </c>
      <c r="V2" s="87" t="s">
        <v>166</v>
      </c>
      <c r="W2" s="87" t="s">
        <v>167</v>
      </c>
      <c r="Z2" s="106" t="s">
        <v>168</v>
      </c>
    </row>
    <row r="3" spans="2:26" ht="14.25" customHeight="1" x14ac:dyDescent="0.2">
      <c r="B3" s="101" t="s">
        <v>169</v>
      </c>
      <c r="C3" s="101">
        <v>1</v>
      </c>
      <c r="D3" s="100">
        <f>'5.d IRR and COC Forecasts'!$F3</f>
        <v>3286596.8422734067</v>
      </c>
      <c r="E3" s="99">
        <f>D3*0.125</f>
        <v>410824.60528417584</v>
      </c>
      <c r="F3" s="99">
        <f>E3-G3</f>
        <v>256765.3783026099</v>
      </c>
      <c r="G3" s="99">
        <f>((H3+D3)/2)*I3</f>
        <v>154059.22698156594</v>
      </c>
      <c r="H3" s="99">
        <f>D3-E3</f>
        <v>2875772.2369892308</v>
      </c>
      <c r="I3" s="127">
        <f>'5.d IRR and COC Forecasts'!$D3</f>
        <v>0.05</v>
      </c>
      <c r="N3" s="102" t="s">
        <v>169</v>
      </c>
      <c r="O3" s="101">
        <v>1</v>
      </c>
      <c r="P3" s="100">
        <f>Table2[[#This Row],[Beginning Debt ($M)]]</f>
        <v>3286596.8422734067</v>
      </c>
      <c r="Q3" s="61">
        <f>'Income Statement'!I22</f>
        <v>3286596.8422734067</v>
      </c>
      <c r="R3">
        <f>P3/Q3</f>
        <v>1</v>
      </c>
      <c r="S3">
        <v>3</v>
      </c>
      <c r="T3" s="65" cm="1">
        <f t="array" ref="T3">('5.c Amortization&amp;Covenants'!Q3-INDEX('Income Statement'!I30:M30,ROW()-2))/'5.c Amortization&amp;Covenants'!E3</f>
        <v>4.4164303693429723</v>
      </c>
      <c r="U3" s="136">
        <v>1.25</v>
      </c>
      <c r="V3" s="142" t="str">
        <f>IF(Table1[[#This Row],[DEBT/EBITDA Covenant]]&gt;Table1[[#This Row],[Debt/Ebitda]]," ", "Breach")</f>
        <v xml:space="preserve"> </v>
      </c>
      <c r="W3" s="136" t="str">
        <f>IF(Table1[[#This Row],[FCC Limit]]&lt;Table1[[#This Row],[Fixed Charge Coverage]]," ", "Breach")</f>
        <v xml:space="preserve"> </v>
      </c>
      <c r="Z3" s="106">
        <v>1435320.1014203986</v>
      </c>
    </row>
    <row r="4" spans="2:26" x14ac:dyDescent="0.2">
      <c r="B4" s="108" t="s">
        <v>169</v>
      </c>
      <c r="C4" s="108">
        <v>2</v>
      </c>
      <c r="D4" s="109">
        <f>H3</f>
        <v>2875772.2369892308</v>
      </c>
      <c r="E4" s="110">
        <f>D3*0.125</f>
        <v>410824.60528417584</v>
      </c>
      <c r="F4" s="110">
        <f>E4-G4</f>
        <v>277306.60856681864</v>
      </c>
      <c r="G4" s="110">
        <f>((H4+D4)/2)*I4</f>
        <v>133517.99671735716</v>
      </c>
      <c r="H4" s="110">
        <f>D4-E4</f>
        <v>2464947.631705055</v>
      </c>
      <c r="I4" s="128">
        <f>I3</f>
        <v>0.05</v>
      </c>
      <c r="N4" s="98" t="s">
        <v>169</v>
      </c>
      <c r="O4" s="97">
        <v>2</v>
      </c>
      <c r="P4" s="109">
        <f>Table2[[#This Row],[Beginning Debt ($M)]]</f>
        <v>2875772.2369892308</v>
      </c>
      <c r="Q4" s="61">
        <f>'Income Statement'!J22</f>
        <v>4225351.2658763342</v>
      </c>
      <c r="R4">
        <f t="shared" ref="R4:R7" si="0">P4/Q4</f>
        <v>0.68059956581924519</v>
      </c>
      <c r="S4">
        <f>S3</f>
        <v>3</v>
      </c>
      <c r="T4" s="65">
        <f>(Q4-Z4)/E4</f>
        <v>5.7589494717487355</v>
      </c>
      <c r="U4" s="29">
        <v>1.25</v>
      </c>
      <c r="V4" s="29" t="str">
        <f>IF(Table1[[#This Row],[FCC Limit]]&lt;Table1[[#This Row],[Fixed Charge Coverage]]," ", "Breach")</f>
        <v xml:space="preserve"> </v>
      </c>
      <c r="W4" s="15" t="str">
        <f>IF(Table1[[#This Row],[DEBT/EBITDA Covenant]]&gt;Table1[[#This Row],[Debt/Ebitda]]," ", "Breach")</f>
        <v xml:space="preserve"> </v>
      </c>
      <c r="Z4" s="106">
        <v>1859433.1222936469</v>
      </c>
    </row>
    <row r="5" spans="2:26" x14ac:dyDescent="0.2">
      <c r="B5" s="101" t="s">
        <v>169</v>
      </c>
      <c r="C5" s="101">
        <v>3</v>
      </c>
      <c r="D5" s="100">
        <f>H4</f>
        <v>2464947.631705055</v>
      </c>
      <c r="E5" s="99">
        <f>D3*0.25</f>
        <v>821649.21056835167</v>
      </c>
      <c r="F5" s="99">
        <f>E5-G5</f>
        <v>718943.05924730771</v>
      </c>
      <c r="G5" s="99">
        <f>((H5+D5)/2)*I5</f>
        <v>102706.15132104396</v>
      </c>
      <c r="H5" s="99">
        <f>D5-E5</f>
        <v>1643298.4211367033</v>
      </c>
      <c r="I5" s="127">
        <f>I4</f>
        <v>0.05</v>
      </c>
      <c r="N5" s="102" t="s">
        <v>169</v>
      </c>
      <c r="O5" s="101">
        <v>3</v>
      </c>
      <c r="P5" s="100">
        <f>Table2[[#This Row],[Beginning Debt ($M)]]</f>
        <v>2464947.631705055</v>
      </c>
      <c r="Q5" s="61">
        <f>'Income Statement'!K22</f>
        <v>4995287.827022275</v>
      </c>
      <c r="R5">
        <f t="shared" si="0"/>
        <v>0.49345457500382456</v>
      </c>
      <c r="S5">
        <f t="shared" ref="S5:S7" si="1">S4</f>
        <v>3</v>
      </c>
      <c r="T5" s="65">
        <f>(Q5-Z5)/E5</f>
        <v>3.5204542518011532</v>
      </c>
      <c r="U5" s="136">
        <v>1.25</v>
      </c>
      <c r="V5" s="136" t="str">
        <f>IF(Table1[[#This Row],[FCC Limit]]&lt;Table1[[#This Row],[Fixed Charge Coverage]]," ", "Breach")</f>
        <v xml:space="preserve"> </v>
      </c>
      <c r="W5" s="15" t="str">
        <f>IF(Table1[[#This Row],[DEBT/EBITDA Covenant]]&gt;Table1[[#This Row],[Debt/Ebitda]]," ", "Breach")</f>
        <v xml:space="preserve"> </v>
      </c>
      <c r="Z5" s="106">
        <v>2102709.3701878604</v>
      </c>
    </row>
    <row r="6" spans="2:26" x14ac:dyDescent="0.2">
      <c r="B6" s="111" t="s">
        <v>169</v>
      </c>
      <c r="C6" s="111">
        <v>4</v>
      </c>
      <c r="D6" s="112">
        <f>H5</f>
        <v>1643298.4211367033</v>
      </c>
      <c r="E6" s="113">
        <f>D3*0.25</f>
        <v>821649.21056835167</v>
      </c>
      <c r="F6" s="113">
        <f t="shared" ref="F6:F7" si="2">E6-G6</f>
        <v>760025.51977572532</v>
      </c>
      <c r="G6" s="113">
        <f t="shared" ref="G6:G7" si="3">((H6+D6)/2)*I6</f>
        <v>61623.690792626381</v>
      </c>
      <c r="H6" s="113">
        <f t="shared" ref="H6" si="4">D6-E6</f>
        <v>821649.21056835167</v>
      </c>
      <c r="I6" s="114">
        <f>I5</f>
        <v>0.05</v>
      </c>
      <c r="N6" s="94" t="s">
        <v>169</v>
      </c>
      <c r="O6" s="95">
        <v>4</v>
      </c>
      <c r="P6" s="109">
        <f>Table2[[#This Row],[Beginning Debt ($M)]]</f>
        <v>1643298.4211367033</v>
      </c>
      <c r="Q6" s="61">
        <f>'Income Statement'!L22</f>
        <v>5980202.4646463189</v>
      </c>
      <c r="R6">
        <f t="shared" si="0"/>
        <v>0.27478976353251133</v>
      </c>
      <c r="S6">
        <f t="shared" si="1"/>
        <v>3</v>
      </c>
      <c r="T6" s="65">
        <f>(Q6-Z6)/E6</f>
        <v>4.2053891559913907</v>
      </c>
      <c r="U6" s="29">
        <v>1.25</v>
      </c>
      <c r="V6" s="29" t="str">
        <f>IF(Table1[[#This Row],[FCC Limit]]&lt;Table1[[#This Row],[Fixed Charge Coverage]]," ", "Breach")</f>
        <v xml:space="preserve"> </v>
      </c>
      <c r="W6" s="15" t="str">
        <f>IF(Table1[[#This Row],[DEBT/EBITDA Covenant]]&gt;Table1[[#This Row],[Debt/Ebitda]]," ", "Breach")</f>
        <v xml:space="preserve"> </v>
      </c>
      <c r="Z6" s="106">
        <v>2524847.7844932857</v>
      </c>
    </row>
    <row r="7" spans="2:26" x14ac:dyDescent="0.2">
      <c r="B7" s="92" t="s">
        <v>169</v>
      </c>
      <c r="C7" s="92">
        <v>5</v>
      </c>
      <c r="D7" s="93">
        <f t="shared" ref="D7" si="5">H6</f>
        <v>821649.21056835167</v>
      </c>
      <c r="E7" s="96">
        <f>D3*0.25</f>
        <v>821649.21056835167</v>
      </c>
      <c r="F7" s="96">
        <f t="shared" si="2"/>
        <v>801107.98030414293</v>
      </c>
      <c r="G7" s="96">
        <f t="shared" si="3"/>
        <v>20541.230264208793</v>
      </c>
      <c r="H7" s="96">
        <f>D7-E7</f>
        <v>0</v>
      </c>
      <c r="I7" s="105">
        <f t="shared" ref="I7" si="6">I6</f>
        <v>0.05</v>
      </c>
      <c r="N7" s="103" t="s">
        <v>169</v>
      </c>
      <c r="O7" s="104">
        <v>5</v>
      </c>
      <c r="P7" s="100">
        <f>Table2[[#This Row],[Beginning Debt ($M)]]</f>
        <v>821649.21056835167</v>
      </c>
      <c r="Q7" s="61">
        <f>'Income Statement'!M22</f>
        <v>7242363.0854281327</v>
      </c>
      <c r="R7">
        <f t="shared" si="0"/>
        <v>0.11345043059516531</v>
      </c>
      <c r="S7">
        <f t="shared" si="1"/>
        <v>3</v>
      </c>
      <c r="T7" s="65">
        <f>(Q7-Z7)/E7</f>
        <v>5.2088919183372715</v>
      </c>
      <c r="U7" s="137">
        <v>1.25</v>
      </c>
      <c r="V7" s="136" t="str">
        <f>IF(Table1[[#This Row],[FCC Limit]]&lt;Table1[[#This Row],[Fixed Charge Coverage]]," ", "Breach")</f>
        <v xml:space="preserve"> </v>
      </c>
      <c r="W7" s="61"/>
      <c r="Z7" s="106">
        <v>2962481.1527904472</v>
      </c>
    </row>
    <row r="8" spans="2:26" x14ac:dyDescent="0.2">
      <c r="I8"/>
      <c r="T8" s="65"/>
      <c r="U8" s="29"/>
      <c r="V8" s="29"/>
      <c r="W8" s="29"/>
    </row>
    <row r="9" spans="2:26" ht="16" x14ac:dyDescent="0.2">
      <c r="B9" s="134" t="s">
        <v>152</v>
      </c>
      <c r="C9" s="134" t="s">
        <v>153</v>
      </c>
      <c r="D9" s="134" t="s">
        <v>154</v>
      </c>
      <c r="E9" s="134" t="s">
        <v>155</v>
      </c>
      <c r="F9" s="134" t="s">
        <v>156</v>
      </c>
      <c r="G9" s="134" t="s">
        <v>157</v>
      </c>
      <c r="H9" s="134" t="s">
        <v>158</v>
      </c>
      <c r="I9" s="135" t="s">
        <v>159</v>
      </c>
      <c r="N9" t="s">
        <v>152</v>
      </c>
      <c r="O9" t="s">
        <v>153</v>
      </c>
      <c r="P9" t="s">
        <v>160</v>
      </c>
      <c r="Q9" s="61" t="s">
        <v>161</v>
      </c>
      <c r="R9" t="s">
        <v>162</v>
      </c>
      <c r="S9" t="s">
        <v>170</v>
      </c>
      <c r="T9" t="s">
        <v>164</v>
      </c>
      <c r="U9" s="130" t="s">
        <v>165</v>
      </c>
      <c r="V9" s="87" t="s">
        <v>166</v>
      </c>
      <c r="W9" s="87" t="s">
        <v>167</v>
      </c>
    </row>
    <row r="10" spans="2:26" ht="16" x14ac:dyDescent="0.2">
      <c r="B10" s="111" t="s">
        <v>171</v>
      </c>
      <c r="C10" s="111">
        <v>1</v>
      </c>
      <c r="D10" s="112">
        <f>'5.d IRR and COC Forecasts'!F4</f>
        <v>4929895.26341011</v>
      </c>
      <c r="E10" s="113">
        <f>D10*0.125</f>
        <v>616236.90792626375</v>
      </c>
      <c r="F10" s="113">
        <f>E10-G10</f>
        <v>362039.18340667995</v>
      </c>
      <c r="G10" s="113">
        <f>((H10+D10)/2)*I10</f>
        <v>254197.7245195838</v>
      </c>
      <c r="H10" s="113">
        <f>D10-E10</f>
        <v>4313658.3554838467</v>
      </c>
      <c r="I10" s="114">
        <f>'5.d IRR and COC Forecasts'!D4</f>
        <v>5.5E-2</v>
      </c>
      <c r="N10" s="102" t="s">
        <v>171</v>
      </c>
      <c r="O10" s="101">
        <v>1</v>
      </c>
      <c r="P10" s="100">
        <f>Table4[[#This Row],[Beginning Debt ($M)]]</f>
        <v>4929895.26341011</v>
      </c>
      <c r="Q10" s="61">
        <f>Q3</f>
        <v>3286596.8422734067</v>
      </c>
      <c r="R10">
        <f>P10/Q10</f>
        <v>1.5</v>
      </c>
      <c r="S10">
        <v>3</v>
      </c>
      <c r="T10" s="65">
        <f>(Q10-Z3)/E10</f>
        <v>3.0041640106933092</v>
      </c>
      <c r="U10" s="136">
        <v>1.25</v>
      </c>
      <c r="V10" s="142" t="str">
        <f>IF(Table8[[#This Row],[Covenant]]&gt;Table8[[#This Row],[Debt/Ebitda]]," ", "Breach")</f>
        <v xml:space="preserve"> </v>
      </c>
      <c r="W10" s="136" t="str">
        <f>IF(Table8[[#This Row],[FCC Limit]]&lt;Table8[[#This Row],[Fixed Charge Coverage]]," ", "Breach")</f>
        <v xml:space="preserve"> </v>
      </c>
    </row>
    <row r="11" spans="2:26" x14ac:dyDescent="0.2">
      <c r="B11" s="92" t="s">
        <v>171</v>
      </c>
      <c r="C11" s="92">
        <v>2</v>
      </c>
      <c r="D11" s="93">
        <f>H10</f>
        <v>4313658.3554838467</v>
      </c>
      <c r="E11" s="96">
        <f>D10*0.125</f>
        <v>616236.90792626375</v>
      </c>
      <c r="F11" s="96">
        <f t="shared" ref="F11:F14" si="7">E11-G11</f>
        <v>395932.21334262443</v>
      </c>
      <c r="G11" s="96">
        <f t="shared" ref="G11:G14" si="8">((H11+D11)/2)*I11</f>
        <v>220304.69458363933</v>
      </c>
      <c r="H11" s="96">
        <f t="shared" ref="H11:H14" si="9">D11-E11</f>
        <v>3697421.447557583</v>
      </c>
      <c r="I11" s="105">
        <f>I10</f>
        <v>5.5E-2</v>
      </c>
      <c r="N11" s="97" t="s">
        <v>171</v>
      </c>
      <c r="O11" s="97">
        <v>2</v>
      </c>
      <c r="P11" s="109">
        <f>Table4[[#This Row],[Beginning Debt ($M)]]</f>
        <v>4313658.3554838467</v>
      </c>
      <c r="Q11" s="61">
        <f t="shared" ref="Q11:Q14" si="10">Q4</f>
        <v>4225351.2658763342</v>
      </c>
      <c r="R11">
        <f t="shared" ref="R11:R14" si="11">P11/Q11</f>
        <v>1.0208993487288678</v>
      </c>
      <c r="S11">
        <f>S10</f>
        <v>3</v>
      </c>
      <c r="T11" s="65">
        <f>(Q11-Z4)/E11</f>
        <v>3.8392996478324903</v>
      </c>
      <c r="U11" s="29">
        <v>1.25</v>
      </c>
      <c r="V11" s="29" t="str">
        <f>IF(Table8[[#This Row],[Covenant]]&gt;Table8[[#This Row],[Debt/Ebitda]]," ", "Breach")</f>
        <v xml:space="preserve"> </v>
      </c>
      <c r="W11" s="29" t="str">
        <f>IF(Table8[[#This Row],[FCC Limit]]&lt;Table8[[#This Row],[Fixed Charge Coverage]]," ", "Breach")</f>
        <v xml:space="preserve"> </v>
      </c>
    </row>
    <row r="12" spans="2:26" x14ac:dyDescent="0.2">
      <c r="B12" s="111" t="s">
        <v>171</v>
      </c>
      <c r="C12" s="111">
        <v>3</v>
      </c>
      <c r="D12" s="112">
        <f t="shared" ref="D12:D14" si="12">H11</f>
        <v>3697421.447557583</v>
      </c>
      <c r="E12" s="113">
        <f>D10*0.25</f>
        <v>1232473.8158525275</v>
      </c>
      <c r="F12" s="113">
        <f t="shared" si="7"/>
        <v>1063008.666172805</v>
      </c>
      <c r="G12" s="113">
        <f t="shared" si="8"/>
        <v>169465.14967972256</v>
      </c>
      <c r="H12" s="113">
        <f t="shared" si="9"/>
        <v>2464947.6317050555</v>
      </c>
      <c r="I12" s="114">
        <f t="shared" ref="I12:I14" si="13">I11</f>
        <v>5.5E-2</v>
      </c>
      <c r="J12" s="107"/>
      <c r="K12" s="107"/>
      <c r="L12" s="107"/>
      <c r="M12" s="107"/>
      <c r="N12" s="101" t="s">
        <v>171</v>
      </c>
      <c r="O12" s="101">
        <v>3</v>
      </c>
      <c r="P12" s="100">
        <f>Table4[[#This Row],[Beginning Debt ($M)]]</f>
        <v>3697421.447557583</v>
      </c>
      <c r="Q12" s="61">
        <f t="shared" si="10"/>
        <v>4995287.827022275</v>
      </c>
      <c r="R12">
        <f t="shared" si="11"/>
        <v>0.74018186250573692</v>
      </c>
      <c r="S12">
        <f t="shared" ref="S12:S14" si="14">S11</f>
        <v>3</v>
      </c>
      <c r="T12" s="65">
        <f>(Q12-Z5)/E12</f>
        <v>2.3469695012007685</v>
      </c>
      <c r="U12" s="136">
        <v>1.25</v>
      </c>
      <c r="V12" s="136" t="str">
        <f>IF(Table8[[#This Row],[Covenant]]&gt;Table8[[#This Row],[Debt/Ebitda]]," ", "Breach")</f>
        <v xml:space="preserve"> </v>
      </c>
      <c r="W12" s="136" t="str">
        <f>IF(Table8[[#This Row],[FCC Limit]]&lt;Table8[[#This Row],[Fixed Charge Coverage]]," ", "Breach")</f>
        <v xml:space="preserve"> </v>
      </c>
    </row>
    <row r="13" spans="2:26" x14ac:dyDescent="0.2">
      <c r="B13" s="92" t="s">
        <v>171</v>
      </c>
      <c r="C13" s="92">
        <v>4</v>
      </c>
      <c r="D13" s="93">
        <f t="shared" si="12"/>
        <v>2464947.6317050555</v>
      </c>
      <c r="E13" s="96">
        <f>D10*0.25</f>
        <v>1232473.8158525275</v>
      </c>
      <c r="F13" s="96">
        <f t="shared" si="7"/>
        <v>1130794.726044694</v>
      </c>
      <c r="G13" s="96">
        <f t="shared" si="8"/>
        <v>101679.08980783354</v>
      </c>
      <c r="H13" s="96">
        <f t="shared" si="9"/>
        <v>1232473.815852528</v>
      </c>
      <c r="I13" s="105">
        <f t="shared" si="13"/>
        <v>5.5E-2</v>
      </c>
      <c r="N13" s="98" t="s">
        <v>171</v>
      </c>
      <c r="O13" s="97">
        <v>4</v>
      </c>
      <c r="P13" s="109">
        <f>Table4[[#This Row],[Beginning Debt ($M)]]</f>
        <v>2464947.6317050555</v>
      </c>
      <c r="Q13" s="61">
        <f t="shared" si="10"/>
        <v>5980202.4646463189</v>
      </c>
      <c r="R13">
        <f t="shared" si="11"/>
        <v>0.41218464529876703</v>
      </c>
      <c r="S13">
        <f t="shared" si="14"/>
        <v>3</v>
      </c>
      <c r="T13" s="65">
        <f>(Q13-Z6)/E13</f>
        <v>2.8035927706609276</v>
      </c>
      <c r="U13" s="29">
        <v>1.25</v>
      </c>
      <c r="V13" s="29" t="str">
        <f>IF(Table8[[#This Row],[Covenant]]&gt;Table8[[#This Row],[Debt/Ebitda]]," ", "Breach")</f>
        <v xml:space="preserve"> </v>
      </c>
      <c r="W13" s="29" t="str">
        <f>IF(Table8[[#This Row],[FCC Limit]]&lt;Table8[[#This Row],[Fixed Charge Coverage]]," ", "Breach")</f>
        <v xml:space="preserve"> </v>
      </c>
    </row>
    <row r="14" spans="2:26" x14ac:dyDescent="0.2">
      <c r="B14" s="111" t="s">
        <v>171</v>
      </c>
      <c r="C14" s="111">
        <v>5</v>
      </c>
      <c r="D14" s="112">
        <f t="shared" si="12"/>
        <v>1232473.815852528</v>
      </c>
      <c r="E14" s="113">
        <f>D10*0.25</f>
        <v>1232473.8158525275</v>
      </c>
      <c r="F14" s="113">
        <f t="shared" si="7"/>
        <v>1198580.7859165829</v>
      </c>
      <c r="G14" s="113">
        <f t="shared" si="8"/>
        <v>33893.02993594452</v>
      </c>
      <c r="H14" s="113">
        <f t="shared" si="9"/>
        <v>0</v>
      </c>
      <c r="I14" s="114">
        <f t="shared" si="13"/>
        <v>5.5E-2</v>
      </c>
      <c r="N14" s="119" t="s">
        <v>171</v>
      </c>
      <c r="O14" s="118">
        <v>5</v>
      </c>
      <c r="P14" s="100">
        <f>Table4[[#This Row],[Beginning Debt ($M)]]</f>
        <v>1232473.815852528</v>
      </c>
      <c r="Q14" s="61">
        <f t="shared" si="10"/>
        <v>7242363.0854281327</v>
      </c>
      <c r="R14">
        <f t="shared" si="11"/>
        <v>0.17017564589274803</v>
      </c>
      <c r="S14">
        <f t="shared" si="14"/>
        <v>3</v>
      </c>
      <c r="T14" s="65">
        <f>(Q14-Z7)/E14</f>
        <v>3.4725946122248477</v>
      </c>
      <c r="U14" s="137">
        <v>1.25</v>
      </c>
      <c r="V14" s="136" t="str">
        <f>IF(Table8[[#This Row],[Covenant]]&gt;Table8[[#This Row],[Debt/Ebitda]]," ", "Breach")</f>
        <v xml:space="preserve"> </v>
      </c>
      <c r="W14" s="136" t="str">
        <f>IF(Table8[[#This Row],[FCC Limit]]&lt;Table8[[#This Row],[Fixed Charge Coverage]]," ", "Breach")</f>
        <v xml:space="preserve"> </v>
      </c>
    </row>
    <row r="15" spans="2:26" x14ac:dyDescent="0.2">
      <c r="I15"/>
    </row>
    <row r="16" spans="2:26" ht="16" x14ac:dyDescent="0.2">
      <c r="B16" s="132" t="s">
        <v>152</v>
      </c>
      <c r="C16" s="132" t="s">
        <v>153</v>
      </c>
      <c r="D16" s="132" t="s">
        <v>154</v>
      </c>
      <c r="E16" s="132" t="s">
        <v>155</v>
      </c>
      <c r="F16" s="132" t="s">
        <v>156</v>
      </c>
      <c r="G16" s="132" t="s">
        <v>157</v>
      </c>
      <c r="H16" s="132" t="s">
        <v>158</v>
      </c>
      <c r="I16" s="133" t="s">
        <v>159</v>
      </c>
      <c r="N16" t="s">
        <v>152</v>
      </c>
      <c r="O16" t="s">
        <v>153</v>
      </c>
      <c r="P16" t="s">
        <v>160</v>
      </c>
      <c r="Q16" s="61" t="s">
        <v>161</v>
      </c>
      <c r="R16" t="s">
        <v>162</v>
      </c>
      <c r="S16" t="s">
        <v>170</v>
      </c>
      <c r="T16" s="130" t="s">
        <v>164</v>
      </c>
      <c r="U16" s="130" t="s">
        <v>165</v>
      </c>
      <c r="V16" s="87" t="s">
        <v>166</v>
      </c>
      <c r="W16" s="87" t="s">
        <v>167</v>
      </c>
    </row>
    <row r="17" spans="2:24" x14ac:dyDescent="0.2">
      <c r="B17" s="92" t="s">
        <v>172</v>
      </c>
      <c r="C17" s="92">
        <v>1</v>
      </c>
      <c r="D17" s="93">
        <f>'5.d IRR and COC Forecasts'!F5</f>
        <v>6573193.6845468134</v>
      </c>
      <c r="E17" s="96">
        <f>D17*0.125</f>
        <v>821649.21056835167</v>
      </c>
      <c r="F17" s="96">
        <f>E17-G17</f>
        <v>451907.06581259344</v>
      </c>
      <c r="G17" s="96">
        <f>((H17+D17)/2)*I17</f>
        <v>369742.14475575823</v>
      </c>
      <c r="H17" s="96">
        <f>D17-E17</f>
        <v>5751544.4739784617</v>
      </c>
      <c r="I17" s="105">
        <f>'5.d IRR and COC Forecasts'!D5</f>
        <v>0.06</v>
      </c>
      <c r="N17" s="102" t="s">
        <v>172</v>
      </c>
      <c r="O17" s="101">
        <v>1</v>
      </c>
      <c r="P17" s="100">
        <f>Table5[[#This Row],[Beginning Debt ($M)]]</f>
        <v>6573193.6845468134</v>
      </c>
      <c r="Q17" s="61">
        <f>Q10</f>
        <v>3286596.8422734067</v>
      </c>
      <c r="R17">
        <f>P17/Q17</f>
        <v>2</v>
      </c>
      <c r="S17">
        <v>3</v>
      </c>
      <c r="T17" s="65">
        <f>(Q17-Z3)/E17</f>
        <v>2.253123008019982</v>
      </c>
      <c r="U17" s="136">
        <v>1.25</v>
      </c>
      <c r="V17" t="str">
        <f>IF(Table16[[#This Row],[Covenant]]&gt;Table16[[#This Row],[Debt/Ebitda]]," ", "Breach")</f>
        <v xml:space="preserve"> </v>
      </c>
    </row>
    <row r="18" spans="2:24" x14ac:dyDescent="0.2">
      <c r="B18" s="95" t="s">
        <v>172</v>
      </c>
      <c r="C18" s="111">
        <v>2</v>
      </c>
      <c r="D18" s="112">
        <f>H17</f>
        <v>5751544.4739784617</v>
      </c>
      <c r="E18" s="113">
        <f>D17*0.125</f>
        <v>821649.21056835167</v>
      </c>
      <c r="F18" s="113">
        <f>E18-G18</f>
        <v>501206.01844669454</v>
      </c>
      <c r="G18" s="113">
        <f t="shared" ref="G18:G21" si="15">((H18+D18)/2)*I18</f>
        <v>320443.19212165714</v>
      </c>
      <c r="H18" s="113">
        <f>D18-E18</f>
        <v>4929895.26341011</v>
      </c>
      <c r="I18" s="114">
        <f>I17</f>
        <v>0.06</v>
      </c>
      <c r="N18" s="98" t="s">
        <v>172</v>
      </c>
      <c r="O18" s="97">
        <v>2</v>
      </c>
      <c r="P18" s="206">
        <f>Table5[[#This Row],[Beginning Debt ($M)]]</f>
        <v>5751544.4739784617</v>
      </c>
      <c r="Q18" s="61">
        <f t="shared" ref="Q18:Q21" si="16">Q11</f>
        <v>4225351.2658763342</v>
      </c>
      <c r="R18">
        <f t="shared" ref="R18:R21" si="17">P18/Q18</f>
        <v>1.3611991316384904</v>
      </c>
      <c r="S18">
        <f>S17</f>
        <v>3</v>
      </c>
      <c r="T18" s="65">
        <f>(Q18-Z4)/E18</f>
        <v>2.8794747358743678</v>
      </c>
      <c r="U18" s="29">
        <v>1.25</v>
      </c>
      <c r="V18" t="str">
        <f>IF(Table16[[#This Row],[Covenant]]&gt;Table16[[#This Row],[Debt/Ebitda]]," ", "Breach")</f>
        <v xml:space="preserve"> </v>
      </c>
    </row>
    <row r="19" spans="2:24" ht="14.25" customHeight="1" x14ac:dyDescent="0.2">
      <c r="B19" s="92" t="s">
        <v>172</v>
      </c>
      <c r="C19" s="92">
        <v>3</v>
      </c>
      <c r="D19" s="93">
        <f t="shared" ref="D19:D21" si="18">H18</f>
        <v>4929895.26341011</v>
      </c>
      <c r="E19" s="96">
        <f>D17*0.25</f>
        <v>1643298.4211367033</v>
      </c>
      <c r="F19" s="96">
        <f t="shared" ref="F19:F21" si="19">E19-G19</f>
        <v>1396803.6579661979</v>
      </c>
      <c r="G19" s="96">
        <f t="shared" si="15"/>
        <v>246494.7631705055</v>
      </c>
      <c r="H19" s="96">
        <f>D19-E19</f>
        <v>3286596.8422734067</v>
      </c>
      <c r="I19" s="131">
        <f t="shared" ref="I19:I21" si="20">I18</f>
        <v>0.06</v>
      </c>
      <c r="N19" s="102" t="s">
        <v>172</v>
      </c>
      <c r="O19" s="101">
        <v>3</v>
      </c>
      <c r="P19" s="205">
        <f>Table5[[#This Row],[Beginning Debt ($M)]]</f>
        <v>4929895.26341011</v>
      </c>
      <c r="Q19" s="61">
        <f t="shared" si="16"/>
        <v>4995287.827022275</v>
      </c>
      <c r="R19">
        <f t="shared" si="17"/>
        <v>0.98690915000764912</v>
      </c>
      <c r="S19">
        <f>S18</f>
        <v>3</v>
      </c>
      <c r="T19" s="65">
        <f>(Q19-Z5)/E19</f>
        <v>1.7602271259005766</v>
      </c>
      <c r="U19" s="136">
        <v>1.25</v>
      </c>
      <c r="V19" t="str">
        <f>IF(Table16[[#This Row],[Covenant]]&gt;Table16[[#This Row],[Debt/Ebitda]]," ", "Breach")</f>
        <v xml:space="preserve"> </v>
      </c>
      <c r="X19" s="87" t="s">
        <v>173</v>
      </c>
    </row>
    <row r="20" spans="2:24" x14ac:dyDescent="0.2">
      <c r="B20" s="95" t="s">
        <v>172</v>
      </c>
      <c r="C20" s="95">
        <v>4</v>
      </c>
      <c r="D20" s="112">
        <f t="shared" si="18"/>
        <v>3286596.8422734067</v>
      </c>
      <c r="E20" s="113">
        <f>D17*0.25</f>
        <v>1643298.4211367033</v>
      </c>
      <c r="F20" s="113">
        <f t="shared" si="19"/>
        <v>1495401.5632344</v>
      </c>
      <c r="G20" s="113">
        <f t="shared" si="15"/>
        <v>147896.85790230331</v>
      </c>
      <c r="H20" s="113">
        <f>D20-E20</f>
        <v>1643298.4211367033</v>
      </c>
      <c r="I20" s="114">
        <f t="shared" si="20"/>
        <v>0.06</v>
      </c>
      <c r="N20" s="94" t="s">
        <v>172</v>
      </c>
      <c r="O20" s="95">
        <v>4</v>
      </c>
      <c r="P20" s="109">
        <f>Table5[[#This Row],[Beginning Debt ($M)]]</f>
        <v>3286596.8422734067</v>
      </c>
      <c r="Q20" s="61">
        <f t="shared" si="16"/>
        <v>5980202.4646463189</v>
      </c>
      <c r="R20">
        <f t="shared" si="17"/>
        <v>0.54957952706502267</v>
      </c>
      <c r="S20">
        <f t="shared" ref="S20:S21" si="21">S19</f>
        <v>3</v>
      </c>
      <c r="T20" s="65">
        <f>(Q20-Z6)/E20</f>
        <v>2.1026945779956954</v>
      </c>
      <c r="U20" s="29">
        <v>1.25</v>
      </c>
      <c r="V20" t="str">
        <f>IF(Table16[[#This Row],[Covenant]]&gt;Table16[[#This Row],[Debt/Ebitda]]," ", "Breach")</f>
        <v xml:space="preserve"> </v>
      </c>
    </row>
    <row r="21" spans="2:24" x14ac:dyDescent="0.2">
      <c r="B21" s="92" t="s">
        <v>172</v>
      </c>
      <c r="C21" s="92">
        <v>5</v>
      </c>
      <c r="D21" s="93">
        <f t="shared" si="18"/>
        <v>1643298.4211367033</v>
      </c>
      <c r="E21" s="96">
        <f>D17*0.25</f>
        <v>1643298.4211367033</v>
      </c>
      <c r="F21" s="96">
        <f t="shared" si="19"/>
        <v>1593999.4685026023</v>
      </c>
      <c r="G21" s="96">
        <f t="shared" si="15"/>
        <v>49298.952634101101</v>
      </c>
      <c r="H21" s="96">
        <f>D21-E21</f>
        <v>0</v>
      </c>
      <c r="I21" s="131">
        <f t="shared" si="20"/>
        <v>0.06</v>
      </c>
      <c r="N21" s="103" t="s">
        <v>172</v>
      </c>
      <c r="O21" s="104">
        <v>5</v>
      </c>
      <c r="P21" s="100">
        <f>Table5[[#This Row],[Beginning Debt ($M)]]</f>
        <v>1643298.4211367033</v>
      </c>
      <c r="Q21" s="61">
        <f t="shared" si="16"/>
        <v>7242363.0854281327</v>
      </c>
      <c r="R21">
        <f t="shared" si="17"/>
        <v>0.22690086119033062</v>
      </c>
      <c r="S21">
        <f t="shared" si="21"/>
        <v>3</v>
      </c>
      <c r="T21" s="65">
        <f>(Q21-Z7)/E21</f>
        <v>2.6044459591686357</v>
      </c>
      <c r="U21" s="137">
        <v>1.25</v>
      </c>
      <c r="V21" t="str">
        <f>IF(Table16[[#This Row],[Covenant]]&gt;Table16[[#This Row],[Debt/Ebitda]]," ", "Breach")</f>
        <v xml:space="preserve"> </v>
      </c>
    </row>
    <row r="22" spans="2:24" x14ac:dyDescent="0.2">
      <c r="I22"/>
    </row>
    <row r="23" spans="2:24" ht="16" x14ac:dyDescent="0.2">
      <c r="B23" s="134" t="s">
        <v>152</v>
      </c>
      <c r="C23" s="134" t="s">
        <v>153</v>
      </c>
      <c r="D23" s="134" t="s">
        <v>154</v>
      </c>
      <c r="E23" s="134" t="s">
        <v>155</v>
      </c>
      <c r="F23" s="134" t="s">
        <v>156</v>
      </c>
      <c r="G23" s="134" t="s">
        <v>157</v>
      </c>
      <c r="H23" s="134" t="s">
        <v>158</v>
      </c>
      <c r="I23" s="135" t="s">
        <v>159</v>
      </c>
      <c r="N23" t="s">
        <v>152</v>
      </c>
      <c r="O23" t="s">
        <v>153</v>
      </c>
      <c r="P23" t="s">
        <v>160</v>
      </c>
      <c r="Q23" s="61" t="s">
        <v>161</v>
      </c>
      <c r="R23" t="s">
        <v>162</v>
      </c>
      <c r="S23" t="s">
        <v>170</v>
      </c>
      <c r="T23" s="130" t="s">
        <v>164</v>
      </c>
      <c r="U23" s="130" t="s">
        <v>165</v>
      </c>
      <c r="V23" s="87" t="s">
        <v>166</v>
      </c>
      <c r="W23" s="87" t="s">
        <v>167</v>
      </c>
    </row>
    <row r="24" spans="2:24" x14ac:dyDescent="0.2">
      <c r="B24" s="111" t="s">
        <v>174</v>
      </c>
      <c r="C24" s="111">
        <v>1</v>
      </c>
      <c r="D24" s="112">
        <f>'5.d IRR and COC Forecasts'!F6</f>
        <v>8216492.1056835167</v>
      </c>
      <c r="E24" s="113">
        <f>D24*0.125</f>
        <v>1027061.5132104396</v>
      </c>
      <c r="F24" s="113">
        <f>E24-G24</f>
        <v>526369.02552035032</v>
      </c>
      <c r="G24" s="113">
        <f>((H24+D24)/2)*I24</f>
        <v>500692.48769008933</v>
      </c>
      <c r="H24" s="113">
        <f>D24-E24</f>
        <v>7189430.5924730767</v>
      </c>
      <c r="I24" s="114">
        <f>'5.d IRR and COC Forecasts'!D6</f>
        <v>6.5000000000000002E-2</v>
      </c>
      <c r="N24" s="102" t="s">
        <v>174</v>
      </c>
      <c r="O24" s="101">
        <v>1</v>
      </c>
      <c r="P24" s="100">
        <f>Table6[[#This Row],[Beginning Debt ($M)]]</f>
        <v>8216492.1056835167</v>
      </c>
      <c r="Q24" s="61">
        <f>Q17</f>
        <v>3286596.8422734067</v>
      </c>
      <c r="R24">
        <f>P24/Q24</f>
        <v>2.5</v>
      </c>
      <c r="S24">
        <v>3</v>
      </c>
      <c r="T24" s="65">
        <f>(Q24-Z3)/E24</f>
        <v>1.8024984064159857</v>
      </c>
      <c r="U24" s="136">
        <v>1.25</v>
      </c>
      <c r="V24" s="136" t="str">
        <f>IF(Table17[[#This Row],[Covenant]]&gt;Table17[[#This Row],[Debt/Ebitda]]," ", "Breach")</f>
        <v xml:space="preserve"> </v>
      </c>
      <c r="W24" t="str">
        <f>IF(Table17[[#This Row],[FCC Limit]]&lt;Table17[[#This Row],[Fixed Charge Coverage]]," ", "Breach")</f>
        <v xml:space="preserve"> </v>
      </c>
    </row>
    <row r="25" spans="2:24" x14ac:dyDescent="0.2">
      <c r="B25" s="92" t="s">
        <v>174</v>
      </c>
      <c r="C25" s="92">
        <v>2</v>
      </c>
      <c r="D25" s="93">
        <f>H24</f>
        <v>7189430.5924730767</v>
      </c>
      <c r="E25" s="96">
        <f>D24*0.125</f>
        <v>1027061.5132104396</v>
      </c>
      <c r="F25" s="96">
        <f t="shared" ref="F25:F28" si="22">E25-G25</f>
        <v>593128.02387902886</v>
      </c>
      <c r="G25" s="96">
        <f t="shared" ref="G25:G28" si="23">((H25+D25)/2)*I25</f>
        <v>433933.48933141067</v>
      </c>
      <c r="H25" s="96">
        <f t="shared" ref="H25:H28" si="24">D25-E25</f>
        <v>6162369.0792626366</v>
      </c>
      <c r="I25" s="105">
        <f>I24</f>
        <v>6.5000000000000002E-2</v>
      </c>
      <c r="N25" s="98" t="s">
        <v>174</v>
      </c>
      <c r="O25" s="97">
        <v>2</v>
      </c>
      <c r="P25" s="109">
        <f>Table6[[#This Row],[Beginning Debt ($M)]]</f>
        <v>7189430.5924730767</v>
      </c>
      <c r="Q25" s="61">
        <f t="shared" ref="Q25:Q28" si="25">Q18</f>
        <v>4225351.2658763342</v>
      </c>
      <c r="R25">
        <f>P25/Q25</f>
        <v>1.7014989145481128</v>
      </c>
      <c r="S25">
        <f>S24</f>
        <v>3</v>
      </c>
      <c r="T25" s="65">
        <f>(Q25-Z4)/E25</f>
        <v>2.3035797886994942</v>
      </c>
      <c r="U25" s="29">
        <v>1.25</v>
      </c>
      <c r="V25" s="29" t="str">
        <f>IF(Table17[[#This Row],[Covenant]]&gt;Table17[[#This Row],[Debt/Ebitda]]," ", "Breach")</f>
        <v xml:space="preserve"> </v>
      </c>
      <c r="W25" t="str">
        <f>IF(Table17[[#This Row],[FCC Limit]]&lt;Table17[[#This Row],[Fixed Charge Coverage]]," ", "Breach")</f>
        <v xml:space="preserve"> </v>
      </c>
    </row>
    <row r="26" spans="2:24" x14ac:dyDescent="0.2">
      <c r="B26" s="111" t="s">
        <v>174</v>
      </c>
      <c r="C26" s="111">
        <v>3</v>
      </c>
      <c r="D26" s="112">
        <f t="shared" ref="D26:D28" si="26">H25</f>
        <v>6162369.0792626366</v>
      </c>
      <c r="E26" s="113">
        <f>D24*0.25</f>
        <v>2054123.0264208792</v>
      </c>
      <c r="F26" s="113">
        <f t="shared" si="22"/>
        <v>1720328.0346274865</v>
      </c>
      <c r="G26" s="113">
        <f t="shared" si="23"/>
        <v>333794.99179339281</v>
      </c>
      <c r="H26" s="113">
        <f t="shared" si="24"/>
        <v>4108246.0528417574</v>
      </c>
      <c r="I26" s="114">
        <f t="shared" ref="I26:I28" si="27">I25</f>
        <v>6.5000000000000002E-2</v>
      </c>
      <c r="N26" s="102" t="s">
        <v>174</v>
      </c>
      <c r="O26" s="101">
        <v>3</v>
      </c>
      <c r="P26" s="100">
        <f>Table6[[#This Row],[Beginning Debt ($M)]]</f>
        <v>6162369.0792626366</v>
      </c>
      <c r="Q26" s="61">
        <f t="shared" si="25"/>
        <v>4995287.827022275</v>
      </c>
      <c r="R26">
        <f t="shared" ref="R26:R28" si="28">P26/Q26</f>
        <v>1.2336364375095612</v>
      </c>
      <c r="S26">
        <f t="shared" ref="S26:S28" si="29">S25</f>
        <v>3</v>
      </c>
      <c r="T26" s="65">
        <v>1.2</v>
      </c>
      <c r="U26" s="136">
        <v>1.25</v>
      </c>
      <c r="V26" s="136" t="str">
        <f>IF(Table17[[#This Row],[Covenant]]&gt;Table17[[#This Row],[Debt/Ebitda]]," ", "Breach")</f>
        <v xml:space="preserve"> </v>
      </c>
      <c r="W26" t="str">
        <f>IF(Table17[[#This Row],[FCC Limit]]&lt;Table17[[#This Row],[Fixed Charge Coverage]]," ", "Breach")</f>
        <v>Breach</v>
      </c>
    </row>
    <row r="27" spans="2:24" x14ac:dyDescent="0.2">
      <c r="B27" s="92" t="s">
        <v>174</v>
      </c>
      <c r="C27" s="92">
        <v>4</v>
      </c>
      <c r="D27" s="93">
        <f t="shared" si="26"/>
        <v>4108246.0528417574</v>
      </c>
      <c r="E27" s="96">
        <f>D24*0.25</f>
        <v>2054123.0264208792</v>
      </c>
      <c r="F27" s="96">
        <f t="shared" si="22"/>
        <v>1853846.0313448436</v>
      </c>
      <c r="G27" s="96">
        <f t="shared" si="23"/>
        <v>200276.99507603567</v>
      </c>
      <c r="H27" s="96">
        <f t="shared" si="24"/>
        <v>2054123.0264208782</v>
      </c>
      <c r="I27" s="105">
        <f t="shared" si="27"/>
        <v>6.5000000000000002E-2</v>
      </c>
      <c r="N27" s="94" t="s">
        <v>174</v>
      </c>
      <c r="O27" s="95">
        <v>4</v>
      </c>
      <c r="P27" s="109">
        <f>Table6[[#This Row],[Beginning Debt ($M)]]</f>
        <v>4108246.0528417574</v>
      </c>
      <c r="Q27" s="61">
        <f t="shared" si="25"/>
        <v>5980202.4646463189</v>
      </c>
      <c r="R27">
        <f t="shared" si="28"/>
        <v>0.68697440883127814</v>
      </c>
      <c r="S27">
        <f t="shared" si="29"/>
        <v>3</v>
      </c>
      <c r="T27" s="65">
        <f>(Q27-Z6)/E27</f>
        <v>1.6821556623965563</v>
      </c>
      <c r="U27" s="29">
        <v>1.25</v>
      </c>
      <c r="V27" s="29" t="str">
        <f>IF(Table17[[#This Row],[Covenant]]&gt;Table17[[#This Row],[Debt/Ebitda]]," ", "Breach")</f>
        <v xml:space="preserve"> </v>
      </c>
      <c r="W27" t="str">
        <f>IF(Table17[[#This Row],[FCC Limit]]&lt;Table17[[#This Row],[Fixed Charge Coverage]]," ", "Breach")</f>
        <v xml:space="preserve"> </v>
      </c>
    </row>
    <row r="28" spans="2:24" x14ac:dyDescent="0.2">
      <c r="B28" s="111" t="s">
        <v>174</v>
      </c>
      <c r="C28" s="111">
        <v>5</v>
      </c>
      <c r="D28" s="112">
        <f t="shared" si="26"/>
        <v>2054123.0264208782</v>
      </c>
      <c r="E28" s="113">
        <f>D24*0.25</f>
        <v>2054123.0264208792</v>
      </c>
      <c r="F28" s="113">
        <f t="shared" si="22"/>
        <v>1987364.0280622006</v>
      </c>
      <c r="G28" s="113">
        <f t="shared" si="23"/>
        <v>66758.998358678538</v>
      </c>
      <c r="H28" s="113">
        <f t="shared" si="24"/>
        <v>0</v>
      </c>
      <c r="I28" s="114">
        <f t="shared" si="27"/>
        <v>6.5000000000000002E-2</v>
      </c>
      <c r="N28" s="103" t="s">
        <v>174</v>
      </c>
      <c r="O28" s="104">
        <v>5</v>
      </c>
      <c r="P28" s="100">
        <f>Table6[[#This Row],[Beginning Debt ($M)]]</f>
        <v>2054123.0264208782</v>
      </c>
      <c r="Q28" s="61">
        <f t="shared" si="25"/>
        <v>7242363.0854281327</v>
      </c>
      <c r="R28">
        <f t="shared" si="28"/>
        <v>0.28362607648791316</v>
      </c>
      <c r="S28">
        <f t="shared" si="29"/>
        <v>3</v>
      </c>
      <c r="T28" s="65">
        <f>(Q28-Z7)/E28</f>
        <v>2.0835567673349087</v>
      </c>
      <c r="U28" s="137">
        <v>1.25</v>
      </c>
      <c r="V28" s="136" t="str">
        <f>IF(Table17[[#This Row],[Covenant]]&gt;Table17[[#This Row],[Debt/Ebitda]]," ", "Breach")</f>
        <v xml:space="preserve"> </v>
      </c>
      <c r="W28" t="str">
        <f>IF(Table17[[#This Row],[FCC Limit]]&lt;Table17[[#This Row],[Fixed Charge Coverage]]," ", "Breach")</f>
        <v xml:space="preserve"> </v>
      </c>
    </row>
    <row r="29" spans="2:24" x14ac:dyDescent="0.2">
      <c r="I29"/>
    </row>
    <row r="30" spans="2:24" ht="16" x14ac:dyDescent="0.2">
      <c r="B30" s="134" t="s">
        <v>152</v>
      </c>
      <c r="C30" s="134" t="s">
        <v>153</v>
      </c>
      <c r="D30" s="134" t="s">
        <v>154</v>
      </c>
      <c r="E30" s="134" t="s">
        <v>155</v>
      </c>
      <c r="F30" s="134" t="s">
        <v>156</v>
      </c>
      <c r="G30" s="134" t="s">
        <v>157</v>
      </c>
      <c r="H30" s="134" t="s">
        <v>158</v>
      </c>
      <c r="I30" s="135" t="s">
        <v>159</v>
      </c>
      <c r="N30" t="s">
        <v>152</v>
      </c>
      <c r="O30" t="s">
        <v>153</v>
      </c>
      <c r="P30" t="s">
        <v>160</v>
      </c>
      <c r="Q30" s="61" t="s">
        <v>161</v>
      </c>
      <c r="R30" t="s">
        <v>162</v>
      </c>
      <c r="S30" t="s">
        <v>170</v>
      </c>
      <c r="T30" s="130" t="s">
        <v>164</v>
      </c>
      <c r="U30" s="130" t="s">
        <v>165</v>
      </c>
      <c r="V30" s="87" t="s">
        <v>166</v>
      </c>
      <c r="W30" s="87" t="s">
        <v>167</v>
      </c>
    </row>
    <row r="31" spans="2:24" x14ac:dyDescent="0.2">
      <c r="B31" s="92" t="s">
        <v>175</v>
      </c>
      <c r="C31" s="92">
        <v>1</v>
      </c>
      <c r="D31" s="93">
        <f>'5.d IRR and COC Forecasts'!F7</f>
        <v>9859790.5268202201</v>
      </c>
      <c r="E31" s="96">
        <f>D31*0.125</f>
        <v>1232473.8158525275</v>
      </c>
      <c r="F31" s="96">
        <f>E31-G31</f>
        <v>585425.06252995052</v>
      </c>
      <c r="G31" s="96">
        <f>((H31+D31)/2)*I31</f>
        <v>647048.75332257699</v>
      </c>
      <c r="H31" s="96">
        <f>D31-E31</f>
        <v>8627316.7109676935</v>
      </c>
      <c r="I31" s="105">
        <f>'5.d IRR and COC Forecasts'!D7</f>
        <v>7.0000000000000007E-2</v>
      </c>
      <c r="N31" s="102" t="s">
        <v>175</v>
      </c>
      <c r="O31" s="101">
        <v>1</v>
      </c>
      <c r="P31" s="100">
        <f>Table10[[#This Row],[Beginning Debt ($M)]]</f>
        <v>9859790.5268202201</v>
      </c>
      <c r="Q31" s="61">
        <f>Q24</f>
        <v>3286596.8422734067</v>
      </c>
      <c r="R31">
        <f>P31/Q31</f>
        <v>3</v>
      </c>
      <c r="S31">
        <v>3</v>
      </c>
      <c r="T31" s="65">
        <f>(Q31-Z3)/E31</f>
        <v>1.5020820053466546</v>
      </c>
      <c r="U31" s="136">
        <v>1.25</v>
      </c>
      <c r="V31" s="136" t="str">
        <f>IF(Table18[[#This Row],[Covenant]]&gt;Table18[[#This Row],[Debt/Ebitda]]," ", "Breach")</f>
        <v>Breach</v>
      </c>
      <c r="W31" t="str">
        <f>IF(Table18[[#This Row],[FCC Limit]]&lt;Table18[[#This Row],[Fixed Charge Coverage]]," ", "Breach")</f>
        <v xml:space="preserve"> </v>
      </c>
    </row>
    <row r="32" spans="2:24" x14ac:dyDescent="0.2">
      <c r="B32" s="111" t="s">
        <v>175</v>
      </c>
      <c r="C32" s="111">
        <v>2</v>
      </c>
      <c r="D32" s="112">
        <f>H31</f>
        <v>8627316.7109676935</v>
      </c>
      <c r="E32" s="113">
        <f>D31*0.125</f>
        <v>1232473.8158525275</v>
      </c>
      <c r="F32" s="113">
        <f t="shared" ref="F32:F35" si="30">E32-G32</f>
        <v>671698.22963962739</v>
      </c>
      <c r="G32" s="113">
        <f t="shared" ref="G32:G35" si="31">((H32+D32)/2)*I32</f>
        <v>560775.58621290012</v>
      </c>
      <c r="H32" s="113">
        <f t="shared" ref="H32:H35" si="32">D32-E32</f>
        <v>7394842.895115166</v>
      </c>
      <c r="I32" s="114">
        <f>I31</f>
        <v>7.0000000000000007E-2</v>
      </c>
      <c r="N32" s="98" t="s">
        <v>175</v>
      </c>
      <c r="O32" s="97">
        <v>2</v>
      </c>
      <c r="P32" s="109">
        <f>Table10[[#This Row],[Beginning Debt ($M)]]</f>
        <v>8627316.7109676935</v>
      </c>
      <c r="Q32" s="61">
        <f t="shared" ref="Q32:Q35" si="33">Q25</f>
        <v>4225351.2658763342</v>
      </c>
      <c r="R32">
        <f t="shared" ref="R32:R35" si="34">P32/Q32</f>
        <v>2.0417986974577356</v>
      </c>
      <c r="S32">
        <f>S31</f>
        <v>3</v>
      </c>
      <c r="T32" s="65">
        <f>(Q32-Z4)/E32</f>
        <v>1.9196498239162452</v>
      </c>
      <c r="U32" s="29">
        <v>1.25</v>
      </c>
      <c r="V32" s="29" t="str">
        <f>IF(Table18[[#This Row],[Covenant]]&gt;Table18[[#This Row],[Debt/Ebitda]]," ", "Breach")</f>
        <v xml:space="preserve"> </v>
      </c>
      <c r="W32" t="str">
        <f>IF(Table18[[#This Row],[FCC Limit]]&lt;Table18[[#This Row],[Fixed Charge Coverage]]," ", "Breach")</f>
        <v xml:space="preserve"> </v>
      </c>
    </row>
    <row r="33" spans="2:23" x14ac:dyDescent="0.2">
      <c r="B33" s="92" t="s">
        <v>175</v>
      </c>
      <c r="C33" s="92">
        <v>3</v>
      </c>
      <c r="D33" s="93">
        <f t="shared" ref="D33:D35" si="35">H32</f>
        <v>7394842.895115166</v>
      </c>
      <c r="E33" s="96">
        <f>D31*0.25</f>
        <v>2464947.631705055</v>
      </c>
      <c r="F33" s="96">
        <f t="shared" si="30"/>
        <v>2033581.7961566702</v>
      </c>
      <c r="G33" s="96">
        <f t="shared" si="31"/>
        <v>431365.83554838476</v>
      </c>
      <c r="H33" s="96">
        <f t="shared" si="32"/>
        <v>4929895.263410111</v>
      </c>
      <c r="I33" s="131">
        <f t="shared" ref="I33:I35" si="36">I32</f>
        <v>7.0000000000000007E-2</v>
      </c>
      <c r="N33" s="102" t="s">
        <v>175</v>
      </c>
      <c r="O33" s="101">
        <v>3</v>
      </c>
      <c r="P33" s="100">
        <f>Table10[[#This Row],[Beginning Debt ($M)]]</f>
        <v>7394842.895115166</v>
      </c>
      <c r="Q33" s="61">
        <f t="shared" si="33"/>
        <v>4995287.827022275</v>
      </c>
      <c r="R33">
        <f t="shared" si="34"/>
        <v>1.4803637250114738</v>
      </c>
      <c r="S33">
        <f t="shared" ref="S33:S35" si="37">S32</f>
        <v>3</v>
      </c>
      <c r="T33" s="65">
        <f>(Q33-Z5)/E33</f>
        <v>1.1734847506003843</v>
      </c>
      <c r="U33" s="136">
        <v>1.25</v>
      </c>
      <c r="V33" s="136" t="str">
        <f>IF(Table18[[#This Row],[Covenant]]&gt;Table18[[#This Row],[Debt/Ebitda]]," ", "Breach")</f>
        <v xml:space="preserve"> </v>
      </c>
      <c r="W33" t="str">
        <f>IF(Table18[[#This Row],[FCC Limit]]&lt;Table18[[#This Row],[Fixed Charge Coverage]]," ", "Breach")</f>
        <v>Breach</v>
      </c>
    </row>
    <row r="34" spans="2:23" x14ac:dyDescent="0.2">
      <c r="B34" s="111" t="s">
        <v>175</v>
      </c>
      <c r="C34" s="111">
        <v>4</v>
      </c>
      <c r="D34" s="112">
        <f t="shared" si="35"/>
        <v>4929895.263410111</v>
      </c>
      <c r="E34" s="113">
        <f>D31*0.25</f>
        <v>2464947.631705055</v>
      </c>
      <c r="F34" s="113">
        <f t="shared" si="30"/>
        <v>2206128.1303760242</v>
      </c>
      <c r="G34" s="113">
        <f t="shared" si="31"/>
        <v>258819.50132903087</v>
      </c>
      <c r="H34" s="113">
        <f t="shared" si="32"/>
        <v>2464947.6317050559</v>
      </c>
      <c r="I34" s="114">
        <f t="shared" si="36"/>
        <v>7.0000000000000007E-2</v>
      </c>
      <c r="N34" s="94" t="s">
        <v>175</v>
      </c>
      <c r="O34" s="95">
        <v>4</v>
      </c>
      <c r="P34" s="109">
        <f>Table10[[#This Row],[Beginning Debt ($M)]]</f>
        <v>4929895.263410111</v>
      </c>
      <c r="Q34" s="61">
        <f t="shared" si="33"/>
        <v>5980202.4646463189</v>
      </c>
      <c r="R34">
        <f t="shared" si="34"/>
        <v>0.82436929059753405</v>
      </c>
      <c r="S34">
        <f t="shared" si="37"/>
        <v>3</v>
      </c>
      <c r="T34" s="65">
        <f>(Q34-Z6)/E34</f>
        <v>1.4017963853304638</v>
      </c>
      <c r="U34" s="29">
        <v>1.25</v>
      </c>
      <c r="V34" s="29" t="str">
        <f>IF(Table18[[#This Row],[Covenant]]&gt;Table18[[#This Row],[Debt/Ebitda]]," ", "Breach")</f>
        <v xml:space="preserve"> </v>
      </c>
      <c r="W34" t="str">
        <f>IF(Table18[[#This Row],[FCC Limit]]&lt;Table18[[#This Row],[Fixed Charge Coverage]]," ", "Breach")</f>
        <v xml:space="preserve"> </v>
      </c>
    </row>
    <row r="35" spans="2:23" x14ac:dyDescent="0.2">
      <c r="B35" s="115" t="s">
        <v>175</v>
      </c>
      <c r="C35" s="115">
        <v>5</v>
      </c>
      <c r="D35" s="116">
        <f t="shared" si="35"/>
        <v>2464947.6317050559</v>
      </c>
      <c r="E35" s="117">
        <f>D31*0.25</f>
        <v>2464947.631705055</v>
      </c>
      <c r="F35" s="117">
        <f t="shared" si="30"/>
        <v>2378674.4645953779</v>
      </c>
      <c r="G35" s="117">
        <f t="shared" si="31"/>
        <v>86273.167109676971</v>
      </c>
      <c r="H35" s="117">
        <f t="shared" si="32"/>
        <v>0</v>
      </c>
      <c r="I35" s="131">
        <f t="shared" si="36"/>
        <v>7.0000000000000007E-2</v>
      </c>
      <c r="N35" s="103" t="s">
        <v>175</v>
      </c>
      <c r="O35" s="104">
        <v>5</v>
      </c>
      <c r="P35" s="100">
        <f>Table10[[#This Row],[Beginning Debt ($M)]]</f>
        <v>2464947.6317050559</v>
      </c>
      <c r="Q35" s="61">
        <f t="shared" si="33"/>
        <v>7242363.0854281327</v>
      </c>
      <c r="R35">
        <f t="shared" si="34"/>
        <v>0.34035129178549606</v>
      </c>
      <c r="S35">
        <f t="shared" si="37"/>
        <v>3</v>
      </c>
      <c r="T35" s="65">
        <f>(Q35-Z7)/E35</f>
        <v>1.7362973061124238</v>
      </c>
      <c r="U35" s="137">
        <v>1.25</v>
      </c>
      <c r="V35" s="136" t="str">
        <f>IF(Table18[[#This Row],[Covenant]]&gt;Table18[[#This Row],[Debt/Ebitda]]," ", "Breach")</f>
        <v xml:space="preserve"> </v>
      </c>
      <c r="W35" t="str">
        <f>IF(Table18[[#This Row],[FCC Limit]]&lt;Table18[[#This Row],[Fixed Charge Coverage]]," ", "Breach")</f>
        <v xml:space="preserve"> </v>
      </c>
    </row>
    <row r="36" spans="2:23" x14ac:dyDescent="0.2">
      <c r="I36"/>
      <c r="U36" s="24"/>
    </row>
    <row r="37" spans="2:23" ht="16" x14ac:dyDescent="0.2">
      <c r="B37" s="134" t="s">
        <v>152</v>
      </c>
      <c r="C37" s="134" t="s">
        <v>153</v>
      </c>
      <c r="D37" s="134" t="s">
        <v>154</v>
      </c>
      <c r="E37" s="134" t="s">
        <v>155</v>
      </c>
      <c r="F37" s="134" t="s">
        <v>156</v>
      </c>
      <c r="G37" s="134" t="s">
        <v>157</v>
      </c>
      <c r="H37" s="134" t="s">
        <v>158</v>
      </c>
      <c r="I37" s="135" t="s">
        <v>159</v>
      </c>
      <c r="N37" t="s">
        <v>152</v>
      </c>
      <c r="O37" t="s">
        <v>153</v>
      </c>
      <c r="P37" t="s">
        <v>160</v>
      </c>
      <c r="Q37" s="61" t="s">
        <v>161</v>
      </c>
      <c r="R37" t="s">
        <v>162</v>
      </c>
      <c r="S37" t="s">
        <v>170</v>
      </c>
      <c r="T37" s="130" t="s">
        <v>164</v>
      </c>
      <c r="U37" s="130" t="s">
        <v>165</v>
      </c>
      <c r="V37" s="87" t="s">
        <v>166</v>
      </c>
      <c r="W37" s="87" t="s">
        <v>167</v>
      </c>
    </row>
    <row r="38" spans="2:23" x14ac:dyDescent="0.2">
      <c r="B38" s="111" t="s">
        <v>176</v>
      </c>
      <c r="C38" s="111">
        <v>1</v>
      </c>
      <c r="D38" s="112">
        <f>'5.d IRR and COC Forecasts'!F8</f>
        <v>6573193.6845468134</v>
      </c>
      <c r="E38" s="113"/>
      <c r="F38" s="113"/>
      <c r="G38" s="113">
        <f>((H38+D38)/2)*I38</f>
        <v>591587.43160921324</v>
      </c>
      <c r="H38" s="113">
        <f>D38-Table11[[#This Row],[Total Payment]]</f>
        <v>6573193.6845468134</v>
      </c>
      <c r="I38" s="114">
        <f>'5.d IRR and COC Forecasts'!D8</f>
        <v>0.09</v>
      </c>
      <c r="N38" s="102" t="s">
        <v>176</v>
      </c>
      <c r="O38" s="101">
        <v>1</v>
      </c>
      <c r="P38" s="100">
        <f>Table11[[#This Row],[Beginning Debt ($M)]]</f>
        <v>6573193.6845468134</v>
      </c>
      <c r="Q38" s="61">
        <f>Q31</f>
        <v>3286596.8422734067</v>
      </c>
      <c r="R38">
        <f>P38/Q38</f>
        <v>2</v>
      </c>
      <c r="S38">
        <v>4</v>
      </c>
      <c r="T38" s="65">
        <f>(Q38-Z3)/(F38+G38)</f>
        <v>3.1293375111388637</v>
      </c>
      <c r="U38" s="136">
        <v>1.1000000000000001</v>
      </c>
      <c r="V38" s="136" t="str">
        <f>IF(Table19[[#This Row],[Covenant]]&gt;Table19[[#This Row],[Debt/Ebitda]]," ", "Breach")</f>
        <v xml:space="preserve"> </v>
      </c>
      <c r="W38" t="str">
        <f>IF(Table19[[#This Row],[FCC Limit]]&lt;Table19[[#This Row],[Fixed Charge Coverage]]," ", "Breach")</f>
        <v xml:space="preserve"> </v>
      </c>
    </row>
    <row r="39" spans="2:23" x14ac:dyDescent="0.2">
      <c r="B39" s="115" t="s">
        <v>176</v>
      </c>
      <c r="C39" s="115">
        <v>2</v>
      </c>
      <c r="D39" s="116">
        <f>'5.d IRR and COC Forecasts'!F9</f>
        <v>8216492.1056835167</v>
      </c>
      <c r="E39" s="117"/>
      <c r="F39" s="117"/>
      <c r="G39" s="117">
        <f>((H39+D39)/2)*I39</f>
        <v>739484.28951151646</v>
      </c>
      <c r="H39" s="117">
        <f>D39-Table11[[#This Row],[Total Payment]]</f>
        <v>8216492.1056835167</v>
      </c>
      <c r="I39" s="131">
        <f>I38</f>
        <v>0.09</v>
      </c>
      <c r="N39" s="98" t="s">
        <v>176</v>
      </c>
      <c r="O39" s="97">
        <v>2</v>
      </c>
      <c r="P39" s="109">
        <f>Table11[[#This Row],[Beginning Debt ($M)]]</f>
        <v>8216492.1056835167</v>
      </c>
      <c r="Q39" s="61">
        <f t="shared" ref="Q39:Q42" si="38">Q32</f>
        <v>4225351.2658763342</v>
      </c>
      <c r="R39">
        <f t="shared" ref="R39:R42" si="39">P39/Q39</f>
        <v>1.9445701880549862</v>
      </c>
      <c r="S39">
        <v>3.5</v>
      </c>
      <c r="T39" s="65">
        <f>(Q39-Z4)/(F39+G39)</f>
        <v>3.1994163731937424</v>
      </c>
      <c r="U39" s="29">
        <v>1.25</v>
      </c>
      <c r="V39" s="29" t="str">
        <f>IF(Table19[[#This Row],[Covenant]]&gt;Table19[[#This Row],[Debt/Ebitda]]," ", "Breach")</f>
        <v xml:space="preserve"> </v>
      </c>
      <c r="W39" t="str">
        <f>IF(Table19[[#This Row],[FCC Limit]]&lt;Table19[[#This Row],[Fixed Charge Coverage]]," ", "Breach")</f>
        <v xml:space="preserve"> </v>
      </c>
    </row>
    <row r="40" spans="2:23" x14ac:dyDescent="0.2">
      <c r="B40" s="111" t="s">
        <v>176</v>
      </c>
      <c r="C40" s="111">
        <v>3</v>
      </c>
      <c r="D40" s="112">
        <f>'5.d IRR and COC Forecasts'!F10</f>
        <v>9859790.5268202201</v>
      </c>
      <c r="E40" s="113">
        <f>D38*0.1</f>
        <v>657319.36845468136</v>
      </c>
      <c r="F40" s="113">
        <f>E40-G40</f>
        <v>-200482.40737867786</v>
      </c>
      <c r="G40" s="113">
        <f t="shared" ref="G40:G41" si="40">((H40+D40)/2)*I40</f>
        <v>857801.77583335922</v>
      </c>
      <c r="H40" s="113">
        <f>D40-Table11[[#This Row],[Total Payment]]</f>
        <v>9202471.1583655383</v>
      </c>
      <c r="I40" s="114">
        <f t="shared" ref="I40:I42" si="41">I39</f>
        <v>0.09</v>
      </c>
      <c r="N40" s="102" t="s">
        <v>176</v>
      </c>
      <c r="O40" s="101">
        <v>3</v>
      </c>
      <c r="P40" s="100">
        <f>Table11[[#This Row],[Beginning Debt ($M)]]</f>
        <v>9859790.5268202201</v>
      </c>
      <c r="Q40" s="61">
        <f t="shared" si="38"/>
        <v>4995287.827022275</v>
      </c>
      <c r="R40">
        <f t="shared" si="39"/>
        <v>1.9738183000152982</v>
      </c>
      <c r="S40">
        <v>3</v>
      </c>
      <c r="T40" s="65">
        <f>(Q40-Z5)/(F40+G40)</f>
        <v>4.4005678147514411</v>
      </c>
      <c r="U40" s="136">
        <v>1.5</v>
      </c>
      <c r="V40" s="136" t="str">
        <f>IF(Table19[[#This Row],[Covenant]]&gt;Table19[[#This Row],[Debt/Ebitda]]," ", "Breach")</f>
        <v xml:space="preserve"> </v>
      </c>
      <c r="W40" t="str">
        <f>IF(Table19[[#This Row],[FCC Limit]]&lt;Table19[[#This Row],[Fixed Charge Coverage]]," ", "Breach")</f>
        <v xml:space="preserve"> </v>
      </c>
    </row>
    <row r="41" spans="2:23" x14ac:dyDescent="0.2">
      <c r="B41" s="115" t="s">
        <v>176</v>
      </c>
      <c r="C41" s="115">
        <v>4</v>
      </c>
      <c r="D41" s="116">
        <f>'5.d IRR and COC Forecasts'!F11</f>
        <v>11503088.947956923</v>
      </c>
      <c r="E41" s="117">
        <f>D38*0.15</f>
        <v>985979.05268202198</v>
      </c>
      <c r="F41" s="117">
        <f t="shared" ref="F41:F42" si="42">E41-G41</f>
        <v>-4929.8952634101734</v>
      </c>
      <c r="G41" s="117">
        <f t="shared" si="40"/>
        <v>990908.94794543216</v>
      </c>
      <c r="H41" s="117">
        <f>D41-Table11[[#This Row],[Total Payment]]</f>
        <v>10517109.895274902</v>
      </c>
      <c r="I41" s="131">
        <f t="shared" si="41"/>
        <v>0.09</v>
      </c>
      <c r="N41" s="94" t="s">
        <v>176</v>
      </c>
      <c r="O41" s="95">
        <v>4</v>
      </c>
      <c r="P41" s="109">
        <f>Table11[[#This Row],[Beginning Debt ($M)]]</f>
        <v>11503088.947956923</v>
      </c>
      <c r="Q41" s="61">
        <f t="shared" si="38"/>
        <v>5980202.4646463189</v>
      </c>
      <c r="R41">
        <f t="shared" si="39"/>
        <v>1.9235283447275793</v>
      </c>
      <c r="S41">
        <v>2.5</v>
      </c>
      <c r="T41" s="65">
        <f>(Q41-Z6)/(F41+G41)</f>
        <v>3.5044909633261594</v>
      </c>
      <c r="U41" s="29">
        <v>2</v>
      </c>
      <c r="V41" s="29" t="str">
        <f>IF(Table19[[#This Row],[Covenant]]&gt;Table19[[#This Row],[Debt/Ebitda]]," ", "Breach")</f>
        <v xml:space="preserve"> </v>
      </c>
      <c r="W41" t="str">
        <f>IF(Table19[[#This Row],[FCC Limit]]&lt;Table19[[#This Row],[Fixed Charge Coverage]]," ", "Breach")</f>
        <v xml:space="preserve"> </v>
      </c>
    </row>
    <row r="42" spans="2:23" x14ac:dyDescent="0.2">
      <c r="B42" s="111" t="s">
        <v>176</v>
      </c>
      <c r="C42" s="111">
        <v>5</v>
      </c>
      <c r="D42" s="112">
        <f>'5.d IRR and COC Forecasts'!F12</f>
        <v>13146387.369093627</v>
      </c>
      <c r="E42" s="113">
        <f>D38*0.75</f>
        <v>4929895.26341011</v>
      </c>
      <c r="F42" s="113">
        <f t="shared" si="42"/>
        <v>3968565.6870451383</v>
      </c>
      <c r="G42" s="113">
        <f>((H42+D42)/2)*I42</f>
        <v>961329.57636497146</v>
      </c>
      <c r="H42" s="113">
        <f>D42-Table11[[#This Row],[Total Payment]]</f>
        <v>8216492.1056835167</v>
      </c>
      <c r="I42" s="114">
        <f t="shared" si="41"/>
        <v>0.09</v>
      </c>
      <c r="N42" s="103" t="s">
        <v>176</v>
      </c>
      <c r="O42" s="104">
        <v>5</v>
      </c>
      <c r="P42" s="100">
        <f>Table11[[#This Row],[Beginning Debt ($M)]]</f>
        <v>13146387.369093627</v>
      </c>
      <c r="Q42" s="61">
        <f t="shared" si="38"/>
        <v>7242363.0854281327</v>
      </c>
      <c r="R42">
        <f t="shared" si="39"/>
        <v>1.815206889522645</v>
      </c>
      <c r="S42">
        <v>2</v>
      </c>
      <c r="T42" s="65">
        <f>(Q42-Z7)/(F42+G42)</f>
        <v>0.86814865305621192</v>
      </c>
      <c r="U42" s="137">
        <v>2.5</v>
      </c>
      <c r="V42" s="136" t="str">
        <f>IF(Table19[[#This Row],[Covenant]]&gt;Table19[[#This Row],[Debt/Ebitda]]," ", "Breach")</f>
        <v xml:space="preserve"> </v>
      </c>
      <c r="W42" t="str">
        <f>IF(Table19[[#This Row],[FCC Limit]]&lt;Table19[[#This Row],[Fixed Charge Coverage]]," ", "Breach")</f>
        <v>Breach</v>
      </c>
    </row>
    <row r="43" spans="2:23" x14ac:dyDescent="0.2">
      <c r="I43"/>
    </row>
    <row r="44" spans="2:23" ht="16" x14ac:dyDescent="0.2">
      <c r="B44" s="134" t="s">
        <v>152</v>
      </c>
      <c r="C44" s="134" t="s">
        <v>153</v>
      </c>
      <c r="D44" s="134" t="s">
        <v>154</v>
      </c>
      <c r="E44" s="134" t="s">
        <v>155</v>
      </c>
      <c r="F44" s="134" t="s">
        <v>156</v>
      </c>
      <c r="G44" s="134" t="s">
        <v>157</v>
      </c>
      <c r="H44" s="134" t="s">
        <v>158</v>
      </c>
      <c r="I44" s="135" t="s">
        <v>159</v>
      </c>
      <c r="N44" t="s">
        <v>152</v>
      </c>
      <c r="O44" t="s">
        <v>153</v>
      </c>
      <c r="P44" t="s">
        <v>160</v>
      </c>
      <c r="Q44" s="61" t="s">
        <v>161</v>
      </c>
      <c r="R44" t="s">
        <v>162</v>
      </c>
      <c r="S44" t="s">
        <v>170</v>
      </c>
      <c r="T44" s="130" t="s">
        <v>164</v>
      </c>
      <c r="U44" s="130" t="s">
        <v>165</v>
      </c>
      <c r="V44" s="87" t="s">
        <v>166</v>
      </c>
      <c r="W44" s="87" t="s">
        <v>167</v>
      </c>
    </row>
    <row r="45" spans="2:23" x14ac:dyDescent="0.2">
      <c r="B45" s="115" t="s">
        <v>177</v>
      </c>
      <c r="C45" s="115">
        <v>1</v>
      </c>
      <c r="D45" s="116">
        <f>'5.d IRR and COC Forecasts'!F9</f>
        <v>8216492.1056835167</v>
      </c>
      <c r="E45" s="117"/>
      <c r="F45" s="117"/>
      <c r="G45" s="117">
        <f>((H45+D45)/2)*I45</f>
        <v>821649.21056835167</v>
      </c>
      <c r="H45" s="117">
        <f>D45-E45</f>
        <v>8216492.1056835167</v>
      </c>
      <c r="I45" s="131">
        <f>'5.d IRR and COC Forecasts'!D9</f>
        <v>0.1</v>
      </c>
      <c r="N45" s="102" t="s">
        <v>177</v>
      </c>
      <c r="O45" s="101">
        <v>1</v>
      </c>
      <c r="P45" s="100">
        <f>Table12[[#This Row],[Beginning Debt ($M)]]</f>
        <v>8216492.1056835167</v>
      </c>
      <c r="Q45" s="61">
        <f>Q38</f>
        <v>3286596.8422734067</v>
      </c>
      <c r="R45">
        <f>P45/Q45</f>
        <v>2.5</v>
      </c>
      <c r="S45">
        <v>4</v>
      </c>
      <c r="T45" s="65">
        <f>(Q45-Z3)/(F45+G45)</f>
        <v>2.253123008019982</v>
      </c>
      <c r="U45" s="136">
        <v>1.1000000000000001</v>
      </c>
      <c r="V45" s="136" t="str">
        <f>IF(Table20[[#This Row],[Covenant]]&gt;Table20[[#This Row],[Debt/Ebitda]]," ", "Breach")</f>
        <v xml:space="preserve"> </v>
      </c>
      <c r="W45" t="str">
        <f>IF(Table20[[#This Row],[FCC Limit]]&lt;Table20[[#This Row],[Fixed Charge Coverage]]," ", "Breach")</f>
        <v xml:space="preserve"> </v>
      </c>
    </row>
    <row r="46" spans="2:23" x14ac:dyDescent="0.2">
      <c r="B46" s="111" t="s">
        <v>177</v>
      </c>
      <c r="C46" s="111">
        <v>2</v>
      </c>
      <c r="D46" s="112">
        <f>H45</f>
        <v>8216492.1056835167</v>
      </c>
      <c r="E46" s="113"/>
      <c r="F46" s="113"/>
      <c r="G46" s="113">
        <f>((H46+D46)/2)*I46</f>
        <v>821649.21056835167</v>
      </c>
      <c r="H46" s="113">
        <f>D46-E46</f>
        <v>8216492.1056835167</v>
      </c>
      <c r="I46" s="114">
        <f>I45</f>
        <v>0.1</v>
      </c>
      <c r="N46" s="98" t="s">
        <v>177</v>
      </c>
      <c r="O46" s="97">
        <v>2</v>
      </c>
      <c r="P46" s="109">
        <f>Table12[[#This Row],[Beginning Debt ($M)]]</f>
        <v>8216492.1056835167</v>
      </c>
      <c r="Q46" s="61">
        <f t="shared" ref="Q46:Q49" si="43">Q39</f>
        <v>4225351.2658763342</v>
      </c>
      <c r="R46">
        <f t="shared" ref="R46:R49" si="44">P46/Q46</f>
        <v>1.9445701880549862</v>
      </c>
      <c r="S46">
        <v>3.5</v>
      </c>
      <c r="T46" s="65">
        <f>(Q46-Z4)/(F46+G46)</f>
        <v>2.8794747358743678</v>
      </c>
      <c r="U46" s="29">
        <v>1.25</v>
      </c>
      <c r="V46" s="29" t="str">
        <f>IF(Table20[[#This Row],[Covenant]]&gt;Table20[[#This Row],[Debt/Ebitda]]," ", "Breach")</f>
        <v xml:space="preserve"> </v>
      </c>
      <c r="W46" t="str">
        <f>IF(Table20[[#This Row],[FCC Limit]]&lt;Table20[[#This Row],[Fixed Charge Coverage]]," ", "Breach")</f>
        <v xml:space="preserve"> </v>
      </c>
    </row>
    <row r="47" spans="2:23" x14ac:dyDescent="0.2">
      <c r="B47" s="115" t="s">
        <v>177</v>
      </c>
      <c r="C47" s="115">
        <v>3</v>
      </c>
      <c r="D47" s="116">
        <f>H46</f>
        <v>8216492.1056835167</v>
      </c>
      <c r="E47" s="117">
        <f>D45*0.1</f>
        <v>821649.21056835167</v>
      </c>
      <c r="F47" s="117">
        <f>E47-G47</f>
        <v>41082.46052841749</v>
      </c>
      <c r="G47" s="117">
        <f t="shared" ref="G47:G48" si="45">((H47+D47)/2)*I47</f>
        <v>780566.75003993418</v>
      </c>
      <c r="H47" s="117">
        <f>D47-E47</f>
        <v>7394842.895115165</v>
      </c>
      <c r="I47" s="131">
        <f t="shared" ref="I47:I49" si="46">I46</f>
        <v>0.1</v>
      </c>
      <c r="N47" s="102" t="s">
        <v>177</v>
      </c>
      <c r="O47" s="101">
        <v>3</v>
      </c>
      <c r="P47" s="100">
        <f>Table12[[#This Row],[Beginning Debt ($M)]]</f>
        <v>8216492.1056835167</v>
      </c>
      <c r="Q47" s="61">
        <f t="shared" si="43"/>
        <v>4995287.827022275</v>
      </c>
      <c r="R47">
        <f t="shared" si="44"/>
        <v>1.644848583346082</v>
      </c>
      <c r="S47">
        <v>3</v>
      </c>
      <c r="T47" s="65">
        <f>(Q47-Z5)/(F47+G47)</f>
        <v>3.5204542518011532</v>
      </c>
      <c r="U47" s="136">
        <v>1.5</v>
      </c>
      <c r="V47" s="136" t="str">
        <f>IF(Table20[[#This Row],[Covenant]]&gt;Table20[[#This Row],[Debt/Ebitda]]," ", "Breach")</f>
        <v xml:space="preserve"> </v>
      </c>
      <c r="W47" t="str">
        <f>IF(Table20[[#This Row],[FCC Limit]]&lt;Table20[[#This Row],[Fixed Charge Coverage]]," ", "Breach")</f>
        <v xml:space="preserve"> </v>
      </c>
    </row>
    <row r="48" spans="2:23" x14ac:dyDescent="0.2">
      <c r="B48" s="111" t="s">
        <v>177</v>
      </c>
      <c r="C48" s="111">
        <v>4</v>
      </c>
      <c r="D48" s="112">
        <f>H47</f>
        <v>7394842.895115165</v>
      </c>
      <c r="E48" s="113">
        <f>D45*0.15</f>
        <v>1232473.8158525275</v>
      </c>
      <c r="F48" s="113">
        <f t="shared" ref="F48:F49" si="47">E48-G48</f>
        <v>554613.21713363728</v>
      </c>
      <c r="G48" s="113">
        <f t="shared" si="45"/>
        <v>677860.59871889022</v>
      </c>
      <c r="H48" s="113">
        <f>D48-E48</f>
        <v>6162369.0792626375</v>
      </c>
      <c r="I48" s="114">
        <f t="shared" si="46"/>
        <v>0.1</v>
      </c>
      <c r="N48" s="94" t="s">
        <v>177</v>
      </c>
      <c r="O48" s="95">
        <v>4</v>
      </c>
      <c r="P48" s="109">
        <f>Table12[[#This Row],[Beginning Debt ($M)]]</f>
        <v>7394842.895115165</v>
      </c>
      <c r="Q48" s="61">
        <f t="shared" si="43"/>
        <v>5980202.4646463189</v>
      </c>
      <c r="R48">
        <f t="shared" si="44"/>
        <v>1.2365539358963009</v>
      </c>
      <c r="S48">
        <v>2.5</v>
      </c>
      <c r="T48" s="65">
        <f>(Q48-Z6)/(F48+G48)</f>
        <v>2.8035927706609276</v>
      </c>
      <c r="U48" s="29">
        <v>2</v>
      </c>
      <c r="V48" s="29" t="str">
        <f>IF(Table20[[#This Row],[Covenant]]&gt;Table20[[#This Row],[Debt/Ebitda]]," ", "Breach")</f>
        <v xml:space="preserve"> </v>
      </c>
      <c r="W48" t="str">
        <f>IF(Table20[[#This Row],[FCC Limit]]&lt;Table20[[#This Row],[Fixed Charge Coverage]]," ", "Breach")</f>
        <v xml:space="preserve"> </v>
      </c>
    </row>
    <row r="49" spans="2:23" x14ac:dyDescent="0.2">
      <c r="B49" s="115" t="s">
        <v>177</v>
      </c>
      <c r="C49" s="115">
        <v>5</v>
      </c>
      <c r="D49" s="116">
        <f>H48</f>
        <v>6162369.0792626375</v>
      </c>
      <c r="E49" s="117">
        <f>D45*0.75</f>
        <v>6162369.0792626375</v>
      </c>
      <c r="F49" s="117">
        <f t="shared" si="47"/>
        <v>5854250.6252995059</v>
      </c>
      <c r="G49" s="117">
        <f>((H49+D49)/2)*I49</f>
        <v>308118.45396313188</v>
      </c>
      <c r="H49" s="117">
        <f>D49-E49</f>
        <v>0</v>
      </c>
      <c r="I49" s="131">
        <f t="shared" si="46"/>
        <v>0.1</v>
      </c>
      <c r="N49" s="103" t="s">
        <v>177</v>
      </c>
      <c r="O49" s="104">
        <v>5</v>
      </c>
      <c r="P49" s="100">
        <f>Table12[[#This Row],[Beginning Debt ($M)]]</f>
        <v>6162369.0792626375</v>
      </c>
      <c r="Q49" s="61">
        <f t="shared" si="43"/>
        <v>7242363.0854281327</v>
      </c>
      <c r="R49">
        <f t="shared" si="44"/>
        <v>0.85087822946373981</v>
      </c>
      <c r="S49">
        <v>2</v>
      </c>
      <c r="T49" s="65">
        <f>(Q49-Z7)/(F49+G49)</f>
        <v>0.69451892244496949</v>
      </c>
      <c r="U49" s="137">
        <v>2.5</v>
      </c>
      <c r="V49" s="136" t="str">
        <f>IF(Table20[[#This Row],[Covenant]]&gt;Table20[[#This Row],[Debt/Ebitda]]," ", "Breach")</f>
        <v xml:space="preserve"> </v>
      </c>
      <c r="W49" t="str">
        <f>IF(Table20[[#This Row],[FCC Limit]]&lt;Table20[[#This Row],[Fixed Charge Coverage]]," ", "Breach")</f>
        <v>Breach</v>
      </c>
    </row>
    <row r="50" spans="2:23" x14ac:dyDescent="0.2">
      <c r="I50"/>
    </row>
    <row r="51" spans="2:23" ht="16" x14ac:dyDescent="0.2">
      <c r="B51" s="134" t="s">
        <v>152</v>
      </c>
      <c r="C51" s="134" t="s">
        <v>153</v>
      </c>
      <c r="D51" s="134" t="s">
        <v>154</v>
      </c>
      <c r="E51" s="134" t="s">
        <v>155</v>
      </c>
      <c r="F51" s="134" t="s">
        <v>156</v>
      </c>
      <c r="G51" s="134" t="s">
        <v>157</v>
      </c>
      <c r="H51" s="134" t="s">
        <v>158</v>
      </c>
      <c r="I51" s="135" t="s">
        <v>159</v>
      </c>
      <c r="N51" t="s">
        <v>152</v>
      </c>
      <c r="O51" t="s">
        <v>153</v>
      </c>
      <c r="P51" t="s">
        <v>160</v>
      </c>
      <c r="Q51" s="61" t="s">
        <v>161</v>
      </c>
      <c r="R51" t="s">
        <v>162</v>
      </c>
      <c r="S51" t="s">
        <v>170</v>
      </c>
      <c r="T51" s="130" t="s">
        <v>164</v>
      </c>
      <c r="U51" s="130" t="s">
        <v>165</v>
      </c>
      <c r="V51" s="87" t="s">
        <v>166</v>
      </c>
      <c r="W51" s="87" t="s">
        <v>167</v>
      </c>
    </row>
    <row r="52" spans="2:23" x14ac:dyDescent="0.2">
      <c r="B52" s="111" t="s">
        <v>178</v>
      </c>
      <c r="C52" s="111">
        <v>1</v>
      </c>
      <c r="D52" s="112">
        <f>'5.d IRR and COC Forecasts'!F10</f>
        <v>9859790.5268202201</v>
      </c>
      <c r="E52" s="113"/>
      <c r="F52" s="113"/>
      <c r="G52" s="113">
        <f>((H52+D52)/2)*I52</f>
        <v>1084576.9579502242</v>
      </c>
      <c r="H52" s="113">
        <f>D52-E52</f>
        <v>9859790.5268202201</v>
      </c>
      <c r="I52" s="114">
        <f>'5.d IRR and COC Forecasts'!D10</f>
        <v>0.11</v>
      </c>
      <c r="N52" s="102" t="s">
        <v>178</v>
      </c>
      <c r="O52" s="101">
        <v>1</v>
      </c>
      <c r="P52" s="100">
        <f>Table13[[#This Row],[Beginning Debt ($M)]]</f>
        <v>9859790.5268202201</v>
      </c>
      <c r="Q52" s="61">
        <f>Q45</f>
        <v>3286596.8422734067</v>
      </c>
      <c r="R52">
        <f>P52/Q52</f>
        <v>3</v>
      </c>
      <c r="S52">
        <v>4</v>
      </c>
      <c r="T52" s="65">
        <f>(Q52-Z3)/(F52+G52)</f>
        <v>1.7069113697121077</v>
      </c>
      <c r="U52" s="136">
        <v>1.1000000000000001</v>
      </c>
      <c r="V52" s="136" t="str">
        <f>IF(Table21[[#This Row],[Covenant]]&gt;Table21[[#This Row],[Debt/Ebitda]]," ", "Breach")</f>
        <v xml:space="preserve"> </v>
      </c>
      <c r="W52" t="str">
        <f>IF(Table21[[#This Row],[FCC Limit]]&lt;Table21[[#This Row],[Fixed Charge Coverage]]," ", "Breach")</f>
        <v xml:space="preserve"> </v>
      </c>
    </row>
    <row r="53" spans="2:23" x14ac:dyDescent="0.2">
      <c r="B53" s="115" t="s">
        <v>178</v>
      </c>
      <c r="C53" s="115">
        <v>2</v>
      </c>
      <c r="D53" s="116">
        <f>H52</f>
        <v>9859790.5268202201</v>
      </c>
      <c r="E53" s="117"/>
      <c r="F53" s="117"/>
      <c r="G53" s="117">
        <f>((H53+D53)/2)*I53</f>
        <v>1084576.9579502242</v>
      </c>
      <c r="H53" s="117">
        <f>D53-E53</f>
        <v>9859790.5268202201</v>
      </c>
      <c r="I53" s="131">
        <f>I52</f>
        <v>0.11</v>
      </c>
      <c r="N53" s="98" t="s">
        <v>178</v>
      </c>
      <c r="O53" s="97">
        <v>2</v>
      </c>
      <c r="P53" s="109">
        <f>Table13[[#This Row],[Beginning Debt ($M)]]</f>
        <v>9859790.5268202201</v>
      </c>
      <c r="Q53" s="61">
        <f t="shared" ref="Q53:Q56" si="48">Q46</f>
        <v>4225351.2658763342</v>
      </c>
      <c r="R53">
        <f t="shared" ref="R53:R56" si="49">P53/Q53</f>
        <v>2.3334842256659831</v>
      </c>
      <c r="S53">
        <v>3.5</v>
      </c>
      <c r="T53" s="65">
        <f>(Q53-Z4)/(F53+G53)</f>
        <v>2.1814202544502788</v>
      </c>
      <c r="U53" s="29">
        <v>1.25</v>
      </c>
      <c r="V53" s="29" t="str">
        <f>IF(Table21[[#This Row],[Covenant]]&gt;Table21[[#This Row],[Debt/Ebitda]]," ", "Breach")</f>
        <v xml:space="preserve"> </v>
      </c>
      <c r="W53" t="str">
        <f>IF(Table21[[#This Row],[FCC Limit]]&lt;Table21[[#This Row],[Fixed Charge Coverage]]," ", "Breach")</f>
        <v xml:space="preserve"> </v>
      </c>
    </row>
    <row r="54" spans="2:23" x14ac:dyDescent="0.2">
      <c r="B54" s="111" t="s">
        <v>178</v>
      </c>
      <c r="C54" s="111">
        <v>3</v>
      </c>
      <c r="D54" s="112">
        <f>H53</f>
        <v>9859790.5268202201</v>
      </c>
      <c r="E54" s="113">
        <f>D52*0.1</f>
        <v>985979.0526820221</v>
      </c>
      <c r="F54" s="113">
        <f>E54-G54</f>
        <v>-44369.057370690978</v>
      </c>
      <c r="G54" s="113">
        <f t="shared" ref="G54:G55" si="50">((H54+D54)/2)*I54</f>
        <v>1030348.1100527131</v>
      </c>
      <c r="H54" s="113">
        <f>D54-E54</f>
        <v>8873811.4741381984</v>
      </c>
      <c r="I54" s="114">
        <f t="shared" ref="I54:I56" si="51">I53</f>
        <v>0.11</v>
      </c>
      <c r="N54" s="102" t="s">
        <v>178</v>
      </c>
      <c r="O54" s="101">
        <v>3</v>
      </c>
      <c r="P54" s="100">
        <f>Table13[[#This Row],[Beginning Debt ($M)]]</f>
        <v>9859790.5268202201</v>
      </c>
      <c r="Q54" s="61">
        <f t="shared" si="48"/>
        <v>4995287.827022275</v>
      </c>
      <c r="R54">
        <f t="shared" si="49"/>
        <v>1.9738183000152982</v>
      </c>
      <c r="S54">
        <v>3</v>
      </c>
      <c r="T54" s="65">
        <f>(Q54-Z5)/(F54+G54)</f>
        <v>2.9337118765009604</v>
      </c>
      <c r="U54" s="136">
        <v>1.5</v>
      </c>
      <c r="V54" s="136" t="str">
        <f>IF(Table21[[#This Row],[Covenant]]&gt;Table21[[#This Row],[Debt/Ebitda]]," ", "Breach")</f>
        <v xml:space="preserve"> </v>
      </c>
      <c r="W54" t="str">
        <f>IF(Table21[[#This Row],[FCC Limit]]&lt;Table21[[#This Row],[Fixed Charge Coverage]]," ", "Breach")</f>
        <v xml:space="preserve"> </v>
      </c>
    </row>
    <row r="55" spans="2:23" x14ac:dyDescent="0.2">
      <c r="B55" s="115" t="s">
        <v>178</v>
      </c>
      <c r="C55" s="115">
        <v>4</v>
      </c>
      <c r="D55" s="116">
        <f>H54</f>
        <v>8873811.4741381984</v>
      </c>
      <c r="E55" s="117">
        <f>D52*0.15</f>
        <v>1478968.5790230329</v>
      </c>
      <c r="F55" s="117">
        <f t="shared" ref="F55:F56" si="52">E55-G55</f>
        <v>584192.58871409798</v>
      </c>
      <c r="G55" s="117">
        <f t="shared" si="50"/>
        <v>894775.99030893494</v>
      </c>
      <c r="H55" s="117">
        <f>D55-E55</f>
        <v>7394842.895115165</v>
      </c>
      <c r="I55" s="131">
        <f t="shared" si="51"/>
        <v>0.11</v>
      </c>
      <c r="N55" s="94" t="s">
        <v>178</v>
      </c>
      <c r="O55" s="95">
        <v>4</v>
      </c>
      <c r="P55" s="109">
        <f>Table13[[#This Row],[Beginning Debt ($M)]]</f>
        <v>8873811.4741381984</v>
      </c>
      <c r="Q55" s="61">
        <f t="shared" si="48"/>
        <v>5980202.4646463189</v>
      </c>
      <c r="R55">
        <f t="shared" si="49"/>
        <v>1.4838647230755613</v>
      </c>
      <c r="S55">
        <v>2.5</v>
      </c>
      <c r="T55" s="65">
        <f>(Q55-Z6)/(F55+G55)</f>
        <v>2.3363273088841061</v>
      </c>
      <c r="U55" s="29">
        <v>2</v>
      </c>
      <c r="V55" s="29" t="str">
        <f>IF(Table21[[#This Row],[Covenant]]&gt;Table21[[#This Row],[Debt/Ebitda]]," ", "Breach")</f>
        <v xml:space="preserve"> </v>
      </c>
      <c r="W55" t="str">
        <f>IF(Table21[[#This Row],[FCC Limit]]&lt;Table21[[#This Row],[Fixed Charge Coverage]]," ", "Breach")</f>
        <v xml:space="preserve"> </v>
      </c>
    </row>
    <row r="56" spans="2:23" x14ac:dyDescent="0.2">
      <c r="B56" s="111" t="s">
        <v>178</v>
      </c>
      <c r="C56" s="111">
        <v>5</v>
      </c>
      <c r="D56" s="112">
        <f>H55</f>
        <v>7394842.895115165</v>
      </c>
      <c r="E56" s="113">
        <f>D52*0.75</f>
        <v>7394842.895115165</v>
      </c>
      <c r="F56" s="113">
        <f t="shared" si="52"/>
        <v>6988126.5358838309</v>
      </c>
      <c r="G56" s="113">
        <f>((H56+D56)/2)*I56</f>
        <v>406716.35923133406</v>
      </c>
      <c r="H56" s="113">
        <f>D56-E56</f>
        <v>0</v>
      </c>
      <c r="I56" s="114">
        <f t="shared" si="51"/>
        <v>0.11</v>
      </c>
      <c r="N56" s="103" t="s">
        <v>178</v>
      </c>
      <c r="O56" s="104">
        <v>5</v>
      </c>
      <c r="P56" s="100">
        <f>Table13[[#This Row],[Beginning Debt ($M)]]</f>
        <v>7394842.895115165</v>
      </c>
      <c r="Q56" s="61">
        <f t="shared" si="48"/>
        <v>7242363.0854281327</v>
      </c>
      <c r="R56">
        <f t="shared" si="49"/>
        <v>1.0210538753564877</v>
      </c>
      <c r="S56">
        <v>2</v>
      </c>
      <c r="T56" s="65">
        <f>(Q56-Z7)/(F56+G56)</f>
        <v>0.5787657687041412</v>
      </c>
      <c r="U56" s="137">
        <v>2.5</v>
      </c>
      <c r="V56" s="136" t="str">
        <f>IF(Table21[[#This Row],[Covenant]]&gt;Table21[[#This Row],[Debt/Ebitda]]," ", "Breach")</f>
        <v xml:space="preserve"> </v>
      </c>
      <c r="W56" t="str">
        <f>IF(Table21[[#This Row],[FCC Limit]]&lt;Table21[[#This Row],[Fixed Charge Coverage]]," ", "Breach")</f>
        <v>Breach</v>
      </c>
    </row>
    <row r="57" spans="2:23" x14ac:dyDescent="0.2">
      <c r="I57"/>
    </row>
    <row r="58" spans="2:23" ht="16" x14ac:dyDescent="0.2">
      <c r="B58" s="134" t="s">
        <v>152</v>
      </c>
      <c r="C58" s="134" t="s">
        <v>153</v>
      </c>
      <c r="D58" s="134" t="s">
        <v>154</v>
      </c>
      <c r="E58" s="134" t="s">
        <v>155</v>
      </c>
      <c r="F58" s="134" t="s">
        <v>156</v>
      </c>
      <c r="G58" s="134" t="s">
        <v>157</v>
      </c>
      <c r="H58" s="134" t="s">
        <v>158</v>
      </c>
      <c r="I58" s="135" t="s">
        <v>159</v>
      </c>
      <c r="N58" t="s">
        <v>152</v>
      </c>
      <c r="O58" t="s">
        <v>153</v>
      </c>
      <c r="P58" t="s">
        <v>160</v>
      </c>
      <c r="Q58" s="61" t="s">
        <v>161</v>
      </c>
      <c r="R58" t="s">
        <v>162</v>
      </c>
      <c r="S58" t="s">
        <v>170</v>
      </c>
      <c r="T58" s="130" t="s">
        <v>164</v>
      </c>
      <c r="U58" s="130" t="s">
        <v>165</v>
      </c>
      <c r="V58" s="87" t="s">
        <v>166</v>
      </c>
      <c r="W58" s="87" t="s">
        <v>167</v>
      </c>
    </row>
    <row r="59" spans="2:23" x14ac:dyDescent="0.2">
      <c r="B59" s="115" t="s">
        <v>179</v>
      </c>
      <c r="C59" s="115">
        <v>1</v>
      </c>
      <c r="D59" s="116">
        <f>'5.d IRR and COC Forecasts'!F11</f>
        <v>11503088.947956923</v>
      </c>
      <c r="E59" s="117"/>
      <c r="F59" s="117"/>
      <c r="G59" s="117">
        <f>((H59+D59)/2)*I59</f>
        <v>1380370.6737548308</v>
      </c>
      <c r="H59" s="117">
        <f>D59-E59</f>
        <v>11503088.947956923</v>
      </c>
      <c r="I59" s="131">
        <f>'5.d IRR and COC Forecasts'!D11</f>
        <v>0.12</v>
      </c>
      <c r="N59" s="102" t="s">
        <v>179</v>
      </c>
      <c r="O59" s="101">
        <v>1</v>
      </c>
      <c r="P59" s="100">
        <f>Table14[[#This Row],[Beginning Debt ($M)]]</f>
        <v>11503088.947956923</v>
      </c>
      <c r="Q59" s="61">
        <f>Q52</f>
        <v>3286596.8422734067</v>
      </c>
      <c r="R59">
        <f>P59/Q59</f>
        <v>3.5</v>
      </c>
      <c r="S59">
        <v>4</v>
      </c>
      <c r="T59" s="65">
        <f>(Q59-Z3)/(F59+G59)</f>
        <v>1.3411446476309417</v>
      </c>
      <c r="U59" s="136">
        <v>1.1000000000000001</v>
      </c>
      <c r="V59" s="136" t="str">
        <f>IF(Table22[[#This Row],[Covenant]]&gt;Table22[[#This Row],[Debt/Ebitda]]," ", "Breach")</f>
        <v xml:space="preserve"> </v>
      </c>
      <c r="W59" t="str">
        <f>IF(Table22[[#This Row],[FCC Limit]]&lt;Table22[[#This Row],[Fixed Charge Coverage]]," ", "Breach")</f>
        <v xml:space="preserve"> </v>
      </c>
    </row>
    <row r="60" spans="2:23" x14ac:dyDescent="0.2">
      <c r="B60" s="111" t="s">
        <v>179</v>
      </c>
      <c r="C60" s="111">
        <v>2</v>
      </c>
      <c r="D60" s="112">
        <f>H59</f>
        <v>11503088.947956923</v>
      </c>
      <c r="E60" s="113"/>
      <c r="F60" s="113"/>
      <c r="G60" s="113">
        <f>((H60+D60)/2)*I60</f>
        <v>1380370.6737548308</v>
      </c>
      <c r="H60" s="113">
        <f>D60-E60</f>
        <v>11503088.947956923</v>
      </c>
      <c r="I60" s="114">
        <f>I59</f>
        <v>0.12</v>
      </c>
      <c r="N60" s="98" t="s">
        <v>179</v>
      </c>
      <c r="O60" s="97">
        <v>2</v>
      </c>
      <c r="P60" s="109">
        <f>Table14[[#This Row],[Beginning Debt ($M)]]</f>
        <v>11503088.947956923</v>
      </c>
      <c r="Q60" s="61">
        <f t="shared" ref="Q60:Q63" si="53">Q53</f>
        <v>4225351.2658763342</v>
      </c>
      <c r="R60">
        <f t="shared" ref="R60:R63" si="54">P60/Q60</f>
        <v>2.7223982632769808</v>
      </c>
      <c r="S60">
        <v>3.5</v>
      </c>
      <c r="T60" s="65">
        <f>(Q60-Z4)/(F60+G60)</f>
        <v>1.713973057068076</v>
      </c>
      <c r="U60" s="29">
        <v>1.25</v>
      </c>
      <c r="V60" s="29" t="str">
        <f>IF(Table22[[#This Row],[Covenant]]&gt;Table22[[#This Row],[Debt/Ebitda]]," ", "Breach")</f>
        <v xml:space="preserve"> </v>
      </c>
      <c r="W60" t="str">
        <f>IF(Table22[[#This Row],[FCC Limit]]&lt;Table22[[#This Row],[Fixed Charge Coverage]]," ", "Breach")</f>
        <v xml:space="preserve"> </v>
      </c>
    </row>
    <row r="61" spans="2:23" x14ac:dyDescent="0.2">
      <c r="B61" s="115" t="s">
        <v>179</v>
      </c>
      <c r="C61" s="115">
        <v>3</v>
      </c>
      <c r="D61" s="116">
        <f>H60</f>
        <v>11503088.947956923</v>
      </c>
      <c r="E61" s="117">
        <f>D59*0.1</f>
        <v>1150308.8947956923</v>
      </c>
      <c r="F61" s="117">
        <f>E61-G61</f>
        <v>-161043.24527139682</v>
      </c>
      <c r="G61" s="117">
        <f t="shared" ref="G61:G62" si="55">((H61+D61)/2)*I61</f>
        <v>1311352.1400670891</v>
      </c>
      <c r="H61" s="117">
        <f>D61-E61</f>
        <v>10352780.053161232</v>
      </c>
      <c r="I61" s="131">
        <f t="shared" ref="I61:I63" si="56">I60</f>
        <v>0.12</v>
      </c>
      <c r="N61" s="102" t="s">
        <v>179</v>
      </c>
      <c r="O61" s="101">
        <v>3</v>
      </c>
      <c r="P61" s="100">
        <f>Table14[[#This Row],[Beginning Debt ($M)]]</f>
        <v>11503088.947956923</v>
      </c>
      <c r="Q61" s="61">
        <f t="shared" si="53"/>
        <v>4995287.827022275</v>
      </c>
      <c r="R61">
        <f t="shared" si="54"/>
        <v>2.3027880166845147</v>
      </c>
      <c r="S61">
        <v>3</v>
      </c>
      <c r="T61" s="65">
        <f>(Q61-Z5)/(F61+G61)</f>
        <v>2.5146101798579665</v>
      </c>
      <c r="U61" s="136">
        <v>1.5</v>
      </c>
      <c r="V61" s="136" t="str">
        <f>IF(Table22[[#This Row],[Covenant]]&gt;Table22[[#This Row],[Debt/Ebitda]]," ", "Breach")</f>
        <v xml:space="preserve"> </v>
      </c>
      <c r="W61" t="str">
        <f>IF(Table22[[#This Row],[FCC Limit]]&lt;Table22[[#This Row],[Fixed Charge Coverage]]," ", "Breach")</f>
        <v xml:space="preserve"> </v>
      </c>
    </row>
    <row r="62" spans="2:23" x14ac:dyDescent="0.2">
      <c r="B62" s="111" t="s">
        <v>179</v>
      </c>
      <c r="C62" s="111">
        <v>4</v>
      </c>
      <c r="D62" s="112">
        <f>H61</f>
        <v>10352780.053161232</v>
      </c>
      <c r="E62" s="113">
        <f>D59*0.15</f>
        <v>1725463.3421935386</v>
      </c>
      <c r="F62" s="113">
        <f t="shared" ref="F62:F63" si="57">E62-G62</f>
        <v>586657.53634580318</v>
      </c>
      <c r="G62" s="113">
        <f t="shared" si="55"/>
        <v>1138805.8058477354</v>
      </c>
      <c r="H62" s="113">
        <f>D62-E62</f>
        <v>8627316.7109676935</v>
      </c>
      <c r="I62" s="114">
        <f t="shared" si="56"/>
        <v>0.12</v>
      </c>
      <c r="N62" s="94" t="s">
        <v>179</v>
      </c>
      <c r="O62" s="95">
        <v>4</v>
      </c>
      <c r="P62" s="109">
        <f>Table14[[#This Row],[Beginning Debt ($M)]]</f>
        <v>10352780.053161232</v>
      </c>
      <c r="Q62" s="61">
        <f t="shared" si="53"/>
        <v>5980202.4646463189</v>
      </c>
      <c r="R62">
        <f t="shared" si="54"/>
        <v>1.7311755102548214</v>
      </c>
      <c r="S62">
        <v>2.5</v>
      </c>
      <c r="T62" s="65">
        <f>(Q62-Z6)/(F62+G62)</f>
        <v>2.0025662647578053</v>
      </c>
      <c r="U62" s="29">
        <v>2</v>
      </c>
      <c r="V62" s="29" t="str">
        <f>IF(Table22[[#This Row],[Covenant]]&gt;Table22[[#This Row],[Debt/Ebitda]]," ", "Breach")</f>
        <v xml:space="preserve"> </v>
      </c>
      <c r="W62" t="str">
        <f>IF(Table22[[#This Row],[FCC Limit]]&lt;Table22[[#This Row],[Fixed Charge Coverage]]," ", "Breach")</f>
        <v xml:space="preserve"> </v>
      </c>
    </row>
    <row r="63" spans="2:23" x14ac:dyDescent="0.2">
      <c r="B63" s="115" t="s">
        <v>179</v>
      </c>
      <c r="C63" s="115">
        <v>5</v>
      </c>
      <c r="D63" s="116">
        <f>H62</f>
        <v>8627316.7109676935</v>
      </c>
      <c r="E63" s="117">
        <f>D59*0.75</f>
        <v>8627316.7109676935</v>
      </c>
      <c r="F63" s="117">
        <f t="shared" si="57"/>
        <v>8109677.7083096318</v>
      </c>
      <c r="G63" s="117">
        <f>((H63+D63)/2)*I63</f>
        <v>517639.00265806157</v>
      </c>
      <c r="H63" s="117">
        <f>D63-E63</f>
        <v>0</v>
      </c>
      <c r="I63" s="131">
        <f t="shared" si="56"/>
        <v>0.12</v>
      </c>
      <c r="N63" s="103" t="s">
        <v>179</v>
      </c>
      <c r="O63" s="104">
        <v>5</v>
      </c>
      <c r="P63" s="100">
        <f>Table14[[#This Row],[Beginning Debt ($M)]]</f>
        <v>8627316.7109676935</v>
      </c>
      <c r="Q63" s="61">
        <f t="shared" si="53"/>
        <v>7242363.0854281327</v>
      </c>
      <c r="R63">
        <f t="shared" si="54"/>
        <v>1.1912295212492359</v>
      </c>
      <c r="S63">
        <v>2</v>
      </c>
      <c r="T63" s="65">
        <f>(Q63-Z7)/(F63+G63)</f>
        <v>0.49608494460354957</v>
      </c>
      <c r="U63" s="137">
        <v>2.5</v>
      </c>
      <c r="V63" s="136" t="str">
        <f>IF(Table22[[#This Row],[Covenant]]&gt;Table22[[#This Row],[Debt/Ebitda]]," ", "Breach")</f>
        <v xml:space="preserve"> </v>
      </c>
      <c r="W63" t="str">
        <f>IF(Table22[[#This Row],[FCC Limit]]&lt;Table22[[#This Row],[Fixed Charge Coverage]]," ", "Breach")</f>
        <v>Breach</v>
      </c>
    </row>
    <row r="64" spans="2:23" x14ac:dyDescent="0.2">
      <c r="I64"/>
    </row>
    <row r="65" spans="2:23" ht="16" x14ac:dyDescent="0.2">
      <c r="B65" s="134" t="s">
        <v>152</v>
      </c>
      <c r="C65" s="134" t="s">
        <v>153</v>
      </c>
      <c r="D65" s="134" t="s">
        <v>154</v>
      </c>
      <c r="E65" s="134" t="s">
        <v>155</v>
      </c>
      <c r="F65" s="134" t="s">
        <v>156</v>
      </c>
      <c r="G65" s="134" t="s">
        <v>157</v>
      </c>
      <c r="H65" s="134" t="s">
        <v>158</v>
      </c>
      <c r="I65" s="135" t="s">
        <v>159</v>
      </c>
      <c r="N65" t="s">
        <v>152</v>
      </c>
      <c r="O65" t="s">
        <v>153</v>
      </c>
      <c r="P65" t="s">
        <v>160</v>
      </c>
      <c r="Q65" s="61" t="s">
        <v>161</v>
      </c>
      <c r="R65" t="s">
        <v>162</v>
      </c>
      <c r="S65" t="s">
        <v>170</v>
      </c>
      <c r="T65" t="s">
        <v>164</v>
      </c>
      <c r="U65" s="130" t="s">
        <v>165</v>
      </c>
      <c r="V65" s="87" t="s">
        <v>166</v>
      </c>
      <c r="W65" s="87" t="s">
        <v>167</v>
      </c>
    </row>
    <row r="66" spans="2:23" x14ac:dyDescent="0.2">
      <c r="B66" s="111" t="s">
        <v>180</v>
      </c>
      <c r="C66" s="111">
        <v>1</v>
      </c>
      <c r="D66" s="112">
        <f>'5.d IRR and COC Forecasts'!F12</f>
        <v>13146387.369093627</v>
      </c>
      <c r="E66" s="113"/>
      <c r="F66" s="113"/>
      <c r="G66" s="113">
        <f>((H66+D66)/2)*I66</f>
        <v>1709030.3579821715</v>
      </c>
      <c r="H66" s="113">
        <f>D66-E66</f>
        <v>13146387.369093627</v>
      </c>
      <c r="I66" s="114">
        <f>'5.d IRR and COC Forecasts'!D12</f>
        <v>0.13</v>
      </c>
      <c r="N66" s="102" t="s">
        <v>180</v>
      </c>
      <c r="O66" s="101">
        <v>1</v>
      </c>
      <c r="P66" s="100">
        <f>Table15[[#This Row],[Beginning Debt ($M)]]</f>
        <v>13146387.369093627</v>
      </c>
      <c r="Q66" s="61">
        <f>Q45</f>
        <v>3286596.8422734067</v>
      </c>
      <c r="R66">
        <f>P66/Q66</f>
        <v>4</v>
      </c>
      <c r="S66">
        <v>4</v>
      </c>
      <c r="T66" s="65">
        <f>(Q66-Z3)/(F66+G66)</f>
        <v>1.0832322153942222</v>
      </c>
      <c r="U66" s="136">
        <v>1.1000000000000001</v>
      </c>
      <c r="V66" s="136" t="str">
        <f>IF(Table9[[#This Row],[Covenant]]&gt;Table9[[#This Row],[Debt/Ebitda]]," ", "Breach")</f>
        <v>Breach</v>
      </c>
      <c r="W66" t="str">
        <f>IF(Table9[[#This Row],[FCC Limit]]&lt;Table9[[#This Row],[Fixed Charge Coverage]]," ", "Breach")</f>
        <v>Breach</v>
      </c>
    </row>
    <row r="67" spans="2:23" x14ac:dyDescent="0.2">
      <c r="B67" s="115" t="s">
        <v>180</v>
      </c>
      <c r="C67" s="115">
        <v>2</v>
      </c>
      <c r="D67" s="116">
        <f>H66</f>
        <v>13146387.369093627</v>
      </c>
      <c r="E67" s="117"/>
      <c r="F67" s="117"/>
      <c r="G67" s="117">
        <f>((H67+D67)/2)*I67</f>
        <v>1709030.3579821715</v>
      </c>
      <c r="H67" s="117">
        <f>D67-E67</f>
        <v>13146387.369093627</v>
      </c>
      <c r="I67" s="131">
        <f>I66</f>
        <v>0.13</v>
      </c>
      <c r="N67" s="98" t="s">
        <v>180</v>
      </c>
      <c r="O67" s="97">
        <v>2</v>
      </c>
      <c r="P67" s="109">
        <f>Table15[[#This Row],[Beginning Debt ($M)]]</f>
        <v>13146387.369093627</v>
      </c>
      <c r="Q67" s="61">
        <f t="shared" ref="Q67:Q70" si="58">Q46</f>
        <v>4225351.2658763342</v>
      </c>
      <c r="R67">
        <f t="shared" ref="R67:R70" si="59">P67/Q67</f>
        <v>3.1113123008879779</v>
      </c>
      <c r="S67">
        <v>3.5</v>
      </c>
      <c r="T67" s="65">
        <f>(Q67-Z4)/(F67+G67)</f>
        <v>1.3843628537857537</v>
      </c>
      <c r="U67" s="29">
        <v>1.25</v>
      </c>
      <c r="V67" s="29" t="str">
        <f>IF(Table9[[#This Row],[Covenant]]&gt;Table9[[#This Row],[Debt/Ebitda]]," ", "Breach")</f>
        <v xml:space="preserve"> </v>
      </c>
      <c r="W67" t="str">
        <f>IF(Table9[[#This Row],[FCC Limit]]&lt;Table9[[#This Row],[Fixed Charge Coverage]]," ", "Breach")</f>
        <v xml:space="preserve"> </v>
      </c>
    </row>
    <row r="68" spans="2:23" x14ac:dyDescent="0.2">
      <c r="B68" s="111" t="s">
        <v>180</v>
      </c>
      <c r="C68" s="111">
        <v>3</v>
      </c>
      <c r="D68" s="112">
        <f>H67</f>
        <v>13146387.369093627</v>
      </c>
      <c r="E68" s="113">
        <f>D66*0.1</f>
        <v>1314638.7369093627</v>
      </c>
      <c r="F68" s="113">
        <f>E68-G68</f>
        <v>-308940.10317370016</v>
      </c>
      <c r="G68" s="113">
        <f t="shared" ref="G68:G69" si="60">((H68+D68)/2)*I68</f>
        <v>1623578.8400830629</v>
      </c>
      <c r="H68" s="113">
        <f>D68-E68</f>
        <v>11831748.632184263</v>
      </c>
      <c r="I68" s="114">
        <f t="shared" ref="I68:I70" si="61">I67</f>
        <v>0.13</v>
      </c>
      <c r="N68" s="102" t="s">
        <v>180</v>
      </c>
      <c r="O68" s="101">
        <v>3</v>
      </c>
      <c r="P68" s="100">
        <f>Table15[[#This Row],[Beginning Debt ($M)]]</f>
        <v>13146387.369093627</v>
      </c>
      <c r="Q68" s="61">
        <f t="shared" si="58"/>
        <v>4995287.827022275</v>
      </c>
      <c r="R68">
        <f t="shared" si="59"/>
        <v>2.631757733353731</v>
      </c>
      <c r="S68">
        <v>3</v>
      </c>
      <c r="T68" s="65">
        <f>(Q68-Z5)/(F68+G68)</f>
        <v>2.2002839073757205</v>
      </c>
      <c r="U68" s="136">
        <v>1.5</v>
      </c>
      <c r="V68" s="136" t="str">
        <f>IF(Table9[[#This Row],[Covenant]]&gt;Table9[[#This Row],[Debt/Ebitda]]," ", "Breach")</f>
        <v xml:space="preserve"> </v>
      </c>
      <c r="W68" t="str">
        <f>IF(Table9[[#This Row],[FCC Limit]]&lt;Table9[[#This Row],[Fixed Charge Coverage]]," ", "Breach")</f>
        <v xml:space="preserve"> </v>
      </c>
    </row>
    <row r="69" spans="2:23" x14ac:dyDescent="0.2">
      <c r="B69" s="115" t="s">
        <v>180</v>
      </c>
      <c r="C69" s="115">
        <v>4</v>
      </c>
      <c r="D69" s="116">
        <f>H68</f>
        <v>11831748.632184263</v>
      </c>
      <c r="E69" s="117">
        <f>D66*0.15</f>
        <v>1971958.105364044</v>
      </c>
      <c r="F69" s="117">
        <f t="shared" ref="F69:F70" si="62">E69-G69</f>
        <v>562008.06002875254</v>
      </c>
      <c r="G69" s="117">
        <f t="shared" si="60"/>
        <v>1409950.0453352914</v>
      </c>
      <c r="H69" s="117">
        <f>D69-E69</f>
        <v>9859790.5268202201</v>
      </c>
      <c r="I69" s="131">
        <f t="shared" si="61"/>
        <v>0.13</v>
      </c>
      <c r="N69" s="94" t="s">
        <v>180</v>
      </c>
      <c r="O69" s="95">
        <v>4</v>
      </c>
      <c r="P69" s="109">
        <f>Table15[[#This Row],[Beginning Debt ($M)]]</f>
        <v>11831748.632184263</v>
      </c>
      <c r="Q69" s="61">
        <f t="shared" si="58"/>
        <v>5980202.4646463189</v>
      </c>
      <c r="R69">
        <f t="shared" si="59"/>
        <v>1.9784862974340813</v>
      </c>
      <c r="S69">
        <v>2.5</v>
      </c>
      <c r="T69" s="65">
        <f>(Q69-Z6)/(F69+G69)</f>
        <v>1.7522454816630797</v>
      </c>
      <c r="U69" s="29">
        <v>2</v>
      </c>
      <c r="V69" s="29" t="str">
        <f>IF(Table9[[#This Row],[Covenant]]&gt;Table9[[#This Row],[Debt/Ebitda]]," ", "Breach")</f>
        <v xml:space="preserve"> </v>
      </c>
      <c r="W69" t="str">
        <f>IF(Table9[[#This Row],[FCC Limit]]&lt;Table9[[#This Row],[Fixed Charge Coverage]]," ", "Breach")</f>
        <v>Breach</v>
      </c>
    </row>
    <row r="70" spans="2:23" x14ac:dyDescent="0.2">
      <c r="B70" s="111" t="s">
        <v>180</v>
      </c>
      <c r="C70" s="111">
        <v>5</v>
      </c>
      <c r="D70" s="112">
        <f>H69</f>
        <v>9859790.5268202201</v>
      </c>
      <c r="E70" s="113">
        <f>D66*0.75</f>
        <v>9859790.5268202201</v>
      </c>
      <c r="F70" s="113">
        <f t="shared" si="62"/>
        <v>9218904.142576905</v>
      </c>
      <c r="G70" s="113">
        <f>((H70+D70)/2)*I70</f>
        <v>640886.38424331427</v>
      </c>
      <c r="H70" s="113">
        <f>D70-E70</f>
        <v>0</v>
      </c>
      <c r="I70" s="114">
        <f t="shared" si="61"/>
        <v>0.13</v>
      </c>
      <c r="N70" s="103" t="s">
        <v>180</v>
      </c>
      <c r="O70" s="104">
        <v>5</v>
      </c>
      <c r="P70" s="100">
        <f>Table15[[#This Row],[Beginning Debt ($M)]]</f>
        <v>9859790.5268202201</v>
      </c>
      <c r="Q70" s="61">
        <f t="shared" si="58"/>
        <v>7242363.0854281327</v>
      </c>
      <c r="R70">
        <f t="shared" si="59"/>
        <v>1.3614051671419838</v>
      </c>
      <c r="S70">
        <v>2</v>
      </c>
      <c r="T70" s="65">
        <f>(Q70-Z7)/(F70+G70)</f>
        <v>0.43407432652810596</v>
      </c>
      <c r="U70" s="137">
        <v>2.5</v>
      </c>
      <c r="V70" s="136" t="str">
        <f>IF(Table9[[#This Row],[Covenant]]&gt;Table9[[#This Row],[Debt/Ebitda]]," ", "Breach")</f>
        <v xml:space="preserve"> </v>
      </c>
      <c r="W70" t="str">
        <f>IF(Table9[[#This Row],[FCC Limit]]&lt;Table9[[#This Row],[Fixed Charge Coverage]]," ", "Breach")</f>
        <v>Breach</v>
      </c>
    </row>
  </sheetData>
  <pageMargins left="0.7" right="0.7" top="0.75" bottom="0.75" header="0.3" footer="0.3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46A7-0141-B148-A8E5-58EE0FC1EC9A}">
  <dimension ref="A1:AC22"/>
  <sheetViews>
    <sheetView zoomScale="141" workbookViewId="0">
      <selection activeCell="B20" sqref="B20"/>
    </sheetView>
  </sheetViews>
  <sheetFormatPr baseColWidth="10" defaultColWidth="11.5" defaultRowHeight="15" x14ac:dyDescent="0.2"/>
  <cols>
    <col min="1" max="1" width="15.6640625" bestFit="1" customWidth="1"/>
    <col min="2" max="2" width="20.6640625" customWidth="1"/>
    <col min="3" max="3" width="8.6640625" customWidth="1"/>
    <col min="4" max="4" width="14.6640625" bestFit="1" customWidth="1"/>
    <col min="5" max="5" width="12.33203125" bestFit="1" customWidth="1"/>
    <col min="6" max="6" width="15.5" bestFit="1" customWidth="1"/>
    <col min="7" max="7" width="17.6640625" customWidth="1"/>
    <col min="8" max="8" width="16.1640625" customWidth="1"/>
    <col min="9" max="10" width="14.33203125" bestFit="1" customWidth="1"/>
    <col min="11" max="11" width="24.5" bestFit="1" customWidth="1"/>
    <col min="12" max="12" width="15.5" customWidth="1"/>
    <col min="13" max="13" width="15.5" bestFit="1" customWidth="1"/>
    <col min="14" max="14" width="11.6640625" bestFit="1" customWidth="1"/>
    <col min="15" max="15" width="14" customWidth="1"/>
    <col min="16" max="16" width="14.1640625" customWidth="1"/>
    <col min="18" max="18" width="8.1640625" customWidth="1"/>
    <col min="25" max="25" width="23" customWidth="1"/>
  </cols>
  <sheetData>
    <row r="1" spans="1:29" x14ac:dyDescent="0.2">
      <c r="L1" t="s">
        <v>181</v>
      </c>
    </row>
    <row r="2" spans="1:29" ht="20.25" customHeight="1" x14ac:dyDescent="0.2">
      <c r="A2" s="120" t="s">
        <v>222</v>
      </c>
      <c r="B2" s="121" t="s">
        <v>182</v>
      </c>
      <c r="C2" s="120" t="s">
        <v>183</v>
      </c>
      <c r="D2" s="120" t="s">
        <v>159</v>
      </c>
      <c r="E2" s="120" t="s">
        <v>184</v>
      </c>
      <c r="F2" s="120" t="s">
        <v>185</v>
      </c>
      <c r="G2" s="121" t="s">
        <v>157</v>
      </c>
      <c r="H2" s="121" t="s">
        <v>186</v>
      </c>
      <c r="I2" s="120" t="s">
        <v>187</v>
      </c>
      <c r="J2" s="120" t="s">
        <v>188</v>
      </c>
      <c r="K2" s="120" t="s">
        <v>189</v>
      </c>
      <c r="L2" s="120" t="s">
        <v>190</v>
      </c>
      <c r="M2" s="120" t="s">
        <v>191</v>
      </c>
      <c r="N2" s="120" t="s">
        <v>192</v>
      </c>
      <c r="O2" s="120" t="s">
        <v>193</v>
      </c>
    </row>
    <row r="3" spans="1:29" x14ac:dyDescent="0.2">
      <c r="A3" s="122">
        <v>1</v>
      </c>
      <c r="B3" s="122">
        <v>1</v>
      </c>
      <c r="C3" s="122" t="s">
        <v>194</v>
      </c>
      <c r="D3" s="123">
        <v>0.05</v>
      </c>
      <c r="E3" s="123">
        <v>0.01</v>
      </c>
      <c r="F3" s="124">
        <f>I3*B3</f>
        <v>3286596.8422734067</v>
      </c>
      <c r="G3" s="124">
        <f>SUM('5.c Amortization&amp;Covenants'!G3:G7)</f>
        <v>472448.29607680225</v>
      </c>
      <c r="H3" s="124">
        <f t="shared" ref="H3:H12" si="0">$F3*$E3</f>
        <v>32865.968422734069</v>
      </c>
      <c r="I3" s="124">
        <f>'Income Statement'!I22</f>
        <v>3286596.8422734067</v>
      </c>
      <c r="J3" s="124">
        <f>'Income Statement'!M22</f>
        <v>7242363.0854281327</v>
      </c>
      <c r="K3" s="124">
        <f>$F$15-F3</f>
        <v>13475047.053320967</v>
      </c>
      <c r="L3" s="124">
        <f>J3*5.1</f>
        <v>36936051.735683471</v>
      </c>
      <c r="M3" s="124">
        <f>Table3[[#This Row],[Exit EV]]-Table3[[#This Row],[Max Debt]]-Table3[[#This Row],[Interest Expense]]-Table3[[#This Row],[Setup Expense]]</f>
        <v>33144140.62891053</v>
      </c>
      <c r="N3" s="125">
        <f>(M3/K3)^(1/5)-1</f>
        <v>0.19722366985126394</v>
      </c>
      <c r="O3" s="122">
        <f>M3/K3</f>
        <v>2.4596678956116933</v>
      </c>
      <c r="P3" s="61"/>
    </row>
    <row r="4" spans="1:29" x14ac:dyDescent="0.2">
      <c r="A4">
        <v>2</v>
      </c>
      <c r="B4">
        <v>1.5</v>
      </c>
      <c r="C4" t="str">
        <f>C3</f>
        <v>Avid</v>
      </c>
      <c r="D4" s="16">
        <v>5.5E-2</v>
      </c>
      <c r="E4" s="16">
        <v>0.01</v>
      </c>
      <c r="F4" s="61">
        <f t="shared" ref="F4:F12" si="1">I4*B4</f>
        <v>4929895.26341011</v>
      </c>
      <c r="G4" s="61">
        <f>SUM('5.c Amortization&amp;Covenants'!G10:G14)</f>
        <v>779539.68852672365</v>
      </c>
      <c r="H4" s="61">
        <f t="shared" si="0"/>
        <v>49298.952634101101</v>
      </c>
      <c r="I4" s="61">
        <f>I3</f>
        <v>3286596.8422734067</v>
      </c>
      <c r="J4" s="61">
        <f t="shared" ref="J4:J12" si="2">J3</f>
        <v>7242363.0854281327</v>
      </c>
      <c r="K4" s="61">
        <f t="shared" ref="K4:K12" si="3">$F$15-F4</f>
        <v>11831748.632184263</v>
      </c>
      <c r="L4" s="61">
        <f t="shared" ref="L4:L12" si="4">J4*5.1</f>
        <v>36936051.735683471</v>
      </c>
      <c r="M4" s="61">
        <f>Table3[[#This Row],[Exit EV]]-Table3[[#This Row],[Max Debt]]-Table3[[#This Row],[Interest Expense]]-Table3[[#This Row],[Setup Expense]]</f>
        <v>31177317.831112538</v>
      </c>
      <c r="N4" s="78">
        <f t="shared" ref="N4:N12" si="5">(M4/K4)^(1/5)-1</f>
        <v>0.21383026898062107</v>
      </c>
      <c r="O4">
        <f t="shared" ref="O4:O12" si="6">M4/K4</f>
        <v>2.6350557977799838</v>
      </c>
      <c r="P4" s="61"/>
    </row>
    <row r="5" spans="1:29" x14ac:dyDescent="0.2">
      <c r="A5" s="122">
        <v>3</v>
      </c>
      <c r="B5" s="122">
        <v>2</v>
      </c>
      <c r="C5" s="122" t="str">
        <f t="shared" ref="C5:C7" si="7">C4</f>
        <v>Avid</v>
      </c>
      <c r="D5" s="123">
        <v>0.06</v>
      </c>
      <c r="E5" s="123">
        <v>0.01</v>
      </c>
      <c r="F5" s="124">
        <f t="shared" si="1"/>
        <v>6573193.6845468134</v>
      </c>
      <c r="G5" s="124">
        <f>SUM('5.c Amortization&amp;Covenants'!G17:G21)</f>
        <v>1133875.9105843252</v>
      </c>
      <c r="H5" s="124">
        <f t="shared" si="0"/>
        <v>65731.936845468139</v>
      </c>
      <c r="I5" s="124">
        <f t="shared" ref="I5:I12" si="8">I4</f>
        <v>3286596.8422734067</v>
      </c>
      <c r="J5" s="124">
        <f t="shared" si="2"/>
        <v>7242363.0854281327</v>
      </c>
      <c r="K5" s="124">
        <f t="shared" si="3"/>
        <v>10188450.21104756</v>
      </c>
      <c r="L5" s="124">
        <f t="shared" si="4"/>
        <v>36936051.735683471</v>
      </c>
      <c r="M5" s="124">
        <f>Table3[[#This Row],[Exit EV]]-Table3[[#This Row],[Max Debt]]-Table3[[#This Row],[Interest Expense]]-Table3[[#This Row],[Setup Expense]]</f>
        <v>29163250.203706864</v>
      </c>
      <c r="N5" s="125">
        <f t="shared" si="5"/>
        <v>0.23408638008085614</v>
      </c>
      <c r="O5" s="122">
        <f t="shared" si="6"/>
        <v>2.8623833458090133</v>
      </c>
      <c r="P5" s="61"/>
    </row>
    <row r="6" spans="1:29" x14ac:dyDescent="0.2">
      <c r="A6">
        <v>4</v>
      </c>
      <c r="B6">
        <v>2.5</v>
      </c>
      <c r="C6" t="str">
        <f t="shared" si="7"/>
        <v>Avid</v>
      </c>
      <c r="D6" s="16">
        <v>6.5000000000000002E-2</v>
      </c>
      <c r="E6" s="16">
        <v>0.01</v>
      </c>
      <c r="F6" s="61">
        <f t="shared" si="1"/>
        <v>8216492.1056835167</v>
      </c>
      <c r="G6" s="61">
        <f>SUM('5.c Amortization&amp;Covenants'!G24:G28)</f>
        <v>1535456.9622496068</v>
      </c>
      <c r="H6" s="61">
        <f t="shared" si="0"/>
        <v>82164.92105683517</v>
      </c>
      <c r="I6" s="61">
        <f t="shared" si="8"/>
        <v>3286596.8422734067</v>
      </c>
      <c r="J6" s="61">
        <f t="shared" si="2"/>
        <v>7242363.0854281327</v>
      </c>
      <c r="K6" s="61">
        <f t="shared" si="3"/>
        <v>8545151.7899108566</v>
      </c>
      <c r="L6" s="61">
        <f t="shared" si="4"/>
        <v>36936051.735683471</v>
      </c>
      <c r="M6" s="61">
        <f>Table3[[#This Row],[Exit EV]]-Table3[[#This Row],[Max Debt]]-Table3[[#This Row],[Interest Expense]]-Table3[[#This Row],[Setup Expense]]</f>
        <v>27101937.746693511</v>
      </c>
      <c r="N6" s="78">
        <f t="shared" si="5"/>
        <v>0.25966804484287564</v>
      </c>
      <c r="O6">
        <f t="shared" si="6"/>
        <v>3.1716157200030546</v>
      </c>
      <c r="P6" s="61"/>
    </row>
    <row r="7" spans="1:29" x14ac:dyDescent="0.2">
      <c r="A7" s="122">
        <v>5</v>
      </c>
      <c r="B7" s="122">
        <v>3</v>
      </c>
      <c r="C7" s="122" t="str">
        <f t="shared" si="7"/>
        <v>Avid</v>
      </c>
      <c r="D7" s="123">
        <v>7.0000000000000007E-2</v>
      </c>
      <c r="E7" s="123">
        <v>0.01</v>
      </c>
      <c r="F7" s="124">
        <f t="shared" si="1"/>
        <v>9859790.5268202201</v>
      </c>
      <c r="G7" s="124">
        <f>SUM('5.c Amortization&amp;Covenants'!G31:G35)</f>
        <v>1984282.8435225696</v>
      </c>
      <c r="H7" s="124">
        <f t="shared" si="0"/>
        <v>98597.905268202201</v>
      </c>
      <c r="I7" s="124">
        <f t="shared" si="8"/>
        <v>3286596.8422734067</v>
      </c>
      <c r="J7" s="124">
        <f t="shared" si="2"/>
        <v>7242363.0854281327</v>
      </c>
      <c r="K7" s="124">
        <f t="shared" si="3"/>
        <v>6901853.3687741533</v>
      </c>
      <c r="L7" s="124">
        <f t="shared" si="4"/>
        <v>36936051.735683471</v>
      </c>
      <c r="M7" s="124">
        <f>Table3[[#This Row],[Exit EV]]-Table3[[#This Row],[Max Debt]]-Table3[[#This Row],[Interest Expense]]-Table3[[#This Row],[Setup Expense]]</f>
        <v>24993380.460072476</v>
      </c>
      <c r="N7" s="125">
        <f t="shared" si="5"/>
        <v>0.29351614693495653</v>
      </c>
      <c r="O7" s="122">
        <f t="shared" si="6"/>
        <v>3.6212563676228289</v>
      </c>
      <c r="P7" s="61"/>
      <c r="R7" s="88"/>
      <c r="S7" s="89"/>
      <c r="T7" s="89"/>
      <c r="U7" s="89"/>
      <c r="V7" s="89"/>
      <c r="W7" s="89"/>
      <c r="Y7" s="88"/>
      <c r="Z7" s="89"/>
      <c r="AA7" s="89"/>
      <c r="AB7" s="89"/>
      <c r="AC7" s="89"/>
    </row>
    <row r="8" spans="1:29" x14ac:dyDescent="0.2">
      <c r="A8">
        <v>6</v>
      </c>
      <c r="B8" s="15">
        <v>2</v>
      </c>
      <c r="C8" s="15" t="s">
        <v>195</v>
      </c>
      <c r="D8" s="16">
        <v>0.09</v>
      </c>
      <c r="E8" s="16">
        <v>1.4999999999999999E-2</v>
      </c>
      <c r="F8" s="61">
        <f t="shared" si="1"/>
        <v>6573193.6845468134</v>
      </c>
      <c r="G8" s="61">
        <f>SUM('5.c Amortization&amp;Covenants'!G38:G42)</f>
        <v>4141112.0212644925</v>
      </c>
      <c r="H8" s="61">
        <f t="shared" si="0"/>
        <v>98597.905268202201</v>
      </c>
      <c r="I8" s="61">
        <f t="shared" si="8"/>
        <v>3286596.8422734067</v>
      </c>
      <c r="J8" s="61">
        <f t="shared" si="2"/>
        <v>7242363.0854281327</v>
      </c>
      <c r="K8" s="61">
        <f t="shared" si="3"/>
        <v>10188450.21104756</v>
      </c>
      <c r="L8" s="61">
        <f t="shared" si="4"/>
        <v>36936051.735683471</v>
      </c>
      <c r="M8" s="61">
        <f>Table3[[#This Row],[Exit EV]]-Table3[[#This Row],[Max Debt]]-Table3[[#This Row],[Interest Expense]]-Table3[[#This Row],[Setup Expense]]</f>
        <v>26123148.124603961</v>
      </c>
      <c r="N8" s="78">
        <f t="shared" si="5"/>
        <v>0.20721181462601201</v>
      </c>
      <c r="O8">
        <f t="shared" si="6"/>
        <v>2.5639962490348198</v>
      </c>
      <c r="P8" s="61"/>
    </row>
    <row r="9" spans="1:29" x14ac:dyDescent="0.2">
      <c r="A9" s="122">
        <v>7</v>
      </c>
      <c r="B9" s="126">
        <v>2.5</v>
      </c>
      <c r="C9" s="126" t="str">
        <f>C8</f>
        <v>Saratoga</v>
      </c>
      <c r="D9" s="123">
        <v>0.1</v>
      </c>
      <c r="E9" s="123">
        <v>1.4999999999999999E-2</v>
      </c>
      <c r="F9" s="124">
        <f t="shared" si="1"/>
        <v>8216492.1056835167</v>
      </c>
      <c r="G9" s="124">
        <f>SUM('5.c Amortization&amp;Covenants'!G45:G49)</f>
        <v>3409844.2238586592</v>
      </c>
      <c r="H9" s="124">
        <f t="shared" si="0"/>
        <v>123247.38158525275</v>
      </c>
      <c r="I9" s="124">
        <f t="shared" si="8"/>
        <v>3286596.8422734067</v>
      </c>
      <c r="J9" s="124">
        <f t="shared" si="2"/>
        <v>7242363.0854281327</v>
      </c>
      <c r="K9" s="124">
        <f t="shared" si="3"/>
        <v>8545151.7899108566</v>
      </c>
      <c r="L9" s="124">
        <f t="shared" si="4"/>
        <v>36936051.735683471</v>
      </c>
      <c r="M9" s="124">
        <f>Table3[[#This Row],[Exit EV]]-Table3[[#This Row],[Max Debt]]-Table3[[#This Row],[Interest Expense]]-Table3[[#This Row],[Setup Expense]]</f>
        <v>25186468.024556044</v>
      </c>
      <c r="N9" s="125">
        <f t="shared" si="5"/>
        <v>0.24133642013604395</v>
      </c>
      <c r="O9" s="122">
        <f t="shared" si="6"/>
        <v>2.9474570661569008</v>
      </c>
      <c r="P9" s="61"/>
      <c r="R9" s="6"/>
      <c r="S9" s="35"/>
      <c r="T9" s="35"/>
      <c r="U9" s="35"/>
      <c r="V9" s="35"/>
      <c r="W9" s="35"/>
      <c r="Y9" s="6"/>
      <c r="Z9" s="35"/>
      <c r="AA9" s="35"/>
      <c r="AB9" s="35"/>
      <c r="AC9" s="35"/>
    </row>
    <row r="10" spans="1:29" x14ac:dyDescent="0.2">
      <c r="A10">
        <v>8</v>
      </c>
      <c r="B10" s="15">
        <v>3</v>
      </c>
      <c r="C10" s="15" t="str">
        <f t="shared" ref="C10:C12" si="9">C9</f>
        <v>Saratoga</v>
      </c>
      <c r="D10" s="16">
        <v>0.11</v>
      </c>
      <c r="E10" s="16">
        <v>1.4999999999999999E-2</v>
      </c>
      <c r="F10" s="61">
        <f t="shared" si="1"/>
        <v>9859790.5268202201</v>
      </c>
      <c r="G10" s="61">
        <f>SUM('5.c Amortization&amp;Covenants'!G52:G56)</f>
        <v>4500994.3754934305</v>
      </c>
      <c r="H10" s="61">
        <f t="shared" si="0"/>
        <v>147896.85790230331</v>
      </c>
      <c r="I10" s="61">
        <f t="shared" si="8"/>
        <v>3286596.8422734067</v>
      </c>
      <c r="J10" s="61">
        <f t="shared" si="2"/>
        <v>7242363.0854281327</v>
      </c>
      <c r="K10" s="61">
        <f t="shared" si="3"/>
        <v>6901853.3687741533</v>
      </c>
      <c r="L10" s="61">
        <f>J10*5.1</f>
        <v>36936051.735683471</v>
      </c>
      <c r="M10" s="61">
        <f>Table3[[#This Row],[Exit EV]]-Table3[[#This Row],[Max Debt]]-Table3[[#This Row],[Interest Expense]]-Table3[[#This Row],[Setup Expense]]</f>
        <v>22427369.975467518</v>
      </c>
      <c r="N10" s="78">
        <f t="shared" si="5"/>
        <v>0.26579251670981341</v>
      </c>
      <c r="O10">
        <f t="shared" si="6"/>
        <v>3.2494706533371152</v>
      </c>
      <c r="P10" s="61"/>
      <c r="R10" s="90"/>
      <c r="S10" s="15"/>
      <c r="T10" s="15"/>
      <c r="U10" s="15"/>
      <c r="V10" s="15"/>
      <c r="W10" s="15"/>
      <c r="Y10" s="90"/>
      <c r="Z10" s="15"/>
      <c r="AA10" s="15"/>
      <c r="AB10" s="15"/>
      <c r="AC10" s="15"/>
    </row>
    <row r="11" spans="1:29" x14ac:dyDescent="0.2">
      <c r="A11" s="122">
        <v>9</v>
      </c>
      <c r="B11" s="126">
        <v>3.5</v>
      </c>
      <c r="C11" s="126" t="str">
        <f t="shared" si="9"/>
        <v>Saratoga</v>
      </c>
      <c r="D11" s="123">
        <v>0.12</v>
      </c>
      <c r="E11" s="123">
        <v>1.4999999999999999E-2</v>
      </c>
      <c r="F11" s="124">
        <f t="shared" si="1"/>
        <v>11503088.947956923</v>
      </c>
      <c r="G11" s="124">
        <f>SUM('5.c Amortization&amp;Covenants'!G59:G63)</f>
        <v>5728538.2960825479</v>
      </c>
      <c r="H11" s="124">
        <f t="shared" si="0"/>
        <v>172546.33421935386</v>
      </c>
      <c r="I11" s="124">
        <f t="shared" si="8"/>
        <v>3286596.8422734067</v>
      </c>
      <c r="J11" s="124">
        <f t="shared" si="2"/>
        <v>7242363.0854281327</v>
      </c>
      <c r="K11" s="124">
        <f t="shared" si="3"/>
        <v>5258554.9476374499</v>
      </c>
      <c r="L11" s="124">
        <f t="shared" si="4"/>
        <v>36936051.735683471</v>
      </c>
      <c r="M11" s="124">
        <f>Table3[[#This Row],[Exit EV]]-Table3[[#This Row],[Max Debt]]-Table3[[#This Row],[Interest Expense]]-Table3[[#This Row],[Setup Expense]]</f>
        <v>19531878.157424644</v>
      </c>
      <c r="N11" s="125">
        <f t="shared" si="5"/>
        <v>0.30009628716089987</v>
      </c>
      <c r="O11" s="122">
        <f t="shared" si="6"/>
        <v>3.7143052325049633</v>
      </c>
      <c r="P11" s="61"/>
      <c r="R11" s="90"/>
      <c r="S11" s="16"/>
      <c r="T11" s="16"/>
      <c r="U11" s="16"/>
      <c r="V11" s="16"/>
      <c r="W11" s="16"/>
      <c r="Y11" s="90"/>
      <c r="Z11" s="16"/>
      <c r="AA11" s="16"/>
      <c r="AB11" s="16"/>
      <c r="AC11" s="16"/>
    </row>
    <row r="12" spans="1:29" x14ac:dyDescent="0.2">
      <c r="A12">
        <v>10</v>
      </c>
      <c r="B12" s="15">
        <v>4</v>
      </c>
      <c r="C12" s="15" t="str">
        <f t="shared" si="9"/>
        <v>Saratoga</v>
      </c>
      <c r="D12" s="16">
        <v>0.13</v>
      </c>
      <c r="E12" s="16">
        <v>1.4999999999999999E-2</v>
      </c>
      <c r="F12" s="61">
        <f t="shared" si="1"/>
        <v>13146387.369093627</v>
      </c>
      <c r="G12" s="61">
        <f>SUM('5.c Amortization&amp;Covenants'!G66:G70)</f>
        <v>7092475.9856260112</v>
      </c>
      <c r="H12" s="61">
        <f t="shared" si="0"/>
        <v>197195.8105364044</v>
      </c>
      <c r="I12" s="61">
        <f t="shared" si="8"/>
        <v>3286596.8422734067</v>
      </c>
      <c r="J12" s="61">
        <f t="shared" si="2"/>
        <v>7242363.0854281327</v>
      </c>
      <c r="K12" s="61">
        <f t="shared" si="3"/>
        <v>3615256.5265007466</v>
      </c>
      <c r="L12" s="61">
        <f t="shared" si="4"/>
        <v>36936051.735683471</v>
      </c>
      <c r="M12" s="61">
        <f>Table3[[#This Row],[Exit EV]]-Table3[[#This Row],[Max Debt]]-Table3[[#This Row],[Interest Expense]]-Table3[[#This Row],[Setup Expense]]</f>
        <v>16499992.570427427</v>
      </c>
      <c r="N12" s="78">
        <f t="shared" si="5"/>
        <v>0.35478046556176168</v>
      </c>
      <c r="O12">
        <f t="shared" si="6"/>
        <v>4.5639894290981289</v>
      </c>
      <c r="P12" s="61"/>
      <c r="R12" s="90"/>
      <c r="S12" s="16"/>
      <c r="T12" s="16"/>
      <c r="U12" s="16"/>
      <c r="V12" s="16"/>
      <c r="W12" s="16"/>
      <c r="Y12" s="90"/>
      <c r="Z12" s="16"/>
      <c r="AA12" s="16"/>
      <c r="AB12" s="16"/>
      <c r="AC12" s="16"/>
    </row>
    <row r="14" spans="1:29" x14ac:dyDescent="0.2">
      <c r="R14" s="6"/>
      <c r="Y14" s="6"/>
    </row>
    <row r="15" spans="1:29" x14ac:dyDescent="0.2">
      <c r="C15" t="s">
        <v>196</v>
      </c>
      <c r="F15" s="91">
        <f>'Income Statement'!I42</f>
        <v>16761643.895594373</v>
      </c>
      <c r="G15" s="91"/>
      <c r="H15" s="91"/>
      <c r="R15" s="90"/>
      <c r="S15" s="15"/>
      <c r="T15" s="15"/>
      <c r="U15" s="15"/>
      <c r="V15" s="15"/>
      <c r="W15" s="15"/>
      <c r="Y15" s="90"/>
      <c r="Z15" s="15"/>
      <c r="AA15" s="15"/>
      <c r="AB15" s="15"/>
      <c r="AC15" s="15"/>
    </row>
    <row r="16" spans="1:29" x14ac:dyDescent="0.2">
      <c r="R16" s="90"/>
      <c r="S16" s="16"/>
      <c r="T16" s="16"/>
      <c r="U16" s="16"/>
      <c r="V16" s="16"/>
      <c r="W16" s="16"/>
      <c r="Y16" s="90"/>
      <c r="Z16" s="16"/>
      <c r="AA16" s="16"/>
      <c r="AB16" s="16"/>
      <c r="AC16" s="16"/>
    </row>
    <row r="17" spans="18:29" x14ac:dyDescent="0.2">
      <c r="R17" s="90"/>
      <c r="S17" s="16"/>
      <c r="T17" s="16"/>
      <c r="U17" s="16"/>
      <c r="V17" s="16"/>
      <c r="W17" s="16"/>
      <c r="Y17" s="90"/>
      <c r="Z17" s="16"/>
      <c r="AA17" s="16"/>
      <c r="AB17" s="16"/>
      <c r="AC17" s="16"/>
    </row>
    <row r="19" spans="18:29" x14ac:dyDescent="0.2">
      <c r="R19" s="6"/>
      <c r="S19" s="35"/>
      <c r="T19" s="35"/>
      <c r="U19" s="35"/>
      <c r="V19" s="35"/>
      <c r="W19" s="35"/>
      <c r="Y19" s="6"/>
      <c r="Z19" s="35"/>
      <c r="AA19" s="35"/>
      <c r="AB19" s="35"/>
      <c r="AC19" s="35"/>
    </row>
    <row r="20" spans="18:29" x14ac:dyDescent="0.2">
      <c r="R20" s="90"/>
      <c r="S20" s="15"/>
      <c r="T20" s="15"/>
      <c r="U20" s="15"/>
      <c r="V20" s="15"/>
      <c r="W20" s="15"/>
      <c r="Y20" s="90"/>
      <c r="Z20" s="15"/>
      <c r="AA20" s="15"/>
      <c r="AB20" s="15"/>
      <c r="AC20" s="15"/>
    </row>
    <row r="21" spans="18:29" x14ac:dyDescent="0.2">
      <c r="R21" s="90"/>
      <c r="S21" s="15"/>
      <c r="T21" s="15"/>
      <c r="U21" s="15"/>
      <c r="V21" s="15"/>
      <c r="W21" s="15"/>
      <c r="Y21" s="90"/>
      <c r="Z21" s="15"/>
      <c r="AA21" s="15"/>
      <c r="AB21" s="15"/>
      <c r="AC21" s="15"/>
    </row>
    <row r="22" spans="18:29" x14ac:dyDescent="0.2">
      <c r="R22" s="6"/>
      <c r="S22" s="16"/>
      <c r="T22" s="16"/>
      <c r="U22" s="16"/>
      <c r="V22" s="16"/>
      <c r="W22" s="16"/>
      <c r="Y22" s="6"/>
      <c r="Z22" s="39"/>
      <c r="AA22" s="39"/>
      <c r="AB22" s="39"/>
      <c r="AC22" s="3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7"/>
  <sheetViews>
    <sheetView showGridLines="0" zoomScale="150" zoomScaleNormal="145" workbookViewId="0">
      <selection activeCell="J38" sqref="J38"/>
    </sheetView>
  </sheetViews>
  <sheetFormatPr baseColWidth="10" defaultColWidth="8.83203125" defaultRowHeight="15" x14ac:dyDescent="0.2"/>
  <cols>
    <col min="1" max="1" width="4.5" customWidth="1"/>
    <col min="2" max="2" width="18.33203125" bestFit="1" customWidth="1"/>
    <col min="3" max="3" width="38" customWidth="1"/>
    <col min="4" max="4" width="16" bestFit="1" customWidth="1"/>
    <col min="5" max="8" width="10.6640625" bestFit="1" customWidth="1"/>
    <col min="10" max="10" width="12.5" bestFit="1" customWidth="1"/>
    <col min="11" max="11" width="75.33203125" bestFit="1" customWidth="1"/>
    <col min="12" max="12" width="13.6640625" bestFit="1" customWidth="1"/>
    <col min="13" max="13" width="8.5" bestFit="1" customWidth="1"/>
    <col min="14" max="14" width="12.6640625" bestFit="1" customWidth="1"/>
    <col min="15" max="15" width="13.6640625" bestFit="1" customWidth="1"/>
    <col min="16" max="16" width="14.33203125" bestFit="1" customWidth="1"/>
    <col min="17" max="17" width="1.33203125" customWidth="1"/>
    <col min="18" max="18" width="75.33203125" bestFit="1" customWidth="1"/>
    <col min="19" max="23" width="8.5" bestFit="1" customWidth="1"/>
  </cols>
  <sheetData>
    <row r="1" spans="2:23" x14ac:dyDescent="0.2">
      <c r="B1" s="172"/>
      <c r="C1" s="172"/>
      <c r="D1" s="173">
        <v>2011</v>
      </c>
      <c r="E1" s="173">
        <v>2012</v>
      </c>
      <c r="F1" s="173">
        <v>2013</v>
      </c>
      <c r="G1" s="173">
        <v>2014</v>
      </c>
      <c r="H1" s="173">
        <v>2015</v>
      </c>
      <c r="K1" s="174" t="s">
        <v>197</v>
      </c>
      <c r="L1" s="175"/>
      <c r="M1" s="175"/>
      <c r="N1" s="175"/>
      <c r="O1" s="175"/>
      <c r="P1" s="176"/>
      <c r="Q1" s="177"/>
      <c r="R1" s="174" t="s">
        <v>198</v>
      </c>
      <c r="S1" s="175"/>
      <c r="T1" s="175"/>
      <c r="U1" s="175"/>
      <c r="V1" s="175"/>
      <c r="W1" s="176"/>
    </row>
    <row r="2" spans="2:23" ht="15" customHeight="1" x14ac:dyDescent="0.2">
      <c r="K2" s="12"/>
      <c r="L2" s="20"/>
      <c r="N2" s="20"/>
      <c r="P2" s="23"/>
      <c r="R2" s="12"/>
      <c r="S2" s="20"/>
      <c r="U2" s="20"/>
      <c r="W2" s="23"/>
    </row>
    <row r="3" spans="2:23" x14ac:dyDescent="0.2">
      <c r="B3" s="6" t="s">
        <v>13</v>
      </c>
      <c r="K3" s="13" t="s">
        <v>199</v>
      </c>
      <c r="L3" s="28" t="s">
        <v>200</v>
      </c>
      <c r="M3" s="35" t="s">
        <v>201</v>
      </c>
      <c r="N3" s="28" t="s">
        <v>202</v>
      </c>
      <c r="O3" s="35" t="s">
        <v>203</v>
      </c>
      <c r="P3" s="36" t="s">
        <v>204</v>
      </c>
      <c r="R3" s="13" t="s">
        <v>199</v>
      </c>
      <c r="S3" s="28" t="s">
        <v>200</v>
      </c>
      <c r="T3" s="35" t="s">
        <v>201</v>
      </c>
      <c r="U3" s="28" t="s">
        <v>202</v>
      </c>
      <c r="V3" s="35" t="s">
        <v>203</v>
      </c>
      <c r="W3" s="36" t="s">
        <v>204</v>
      </c>
    </row>
    <row r="4" spans="2:23" x14ac:dyDescent="0.2">
      <c r="C4" t="s">
        <v>17</v>
      </c>
      <c r="D4" s="1">
        <f>D25*D38</f>
        <v>878220</v>
      </c>
      <c r="E4" s="1">
        <f t="shared" ref="D4:H6" si="0">E25*E38</f>
        <v>1400064.75</v>
      </c>
      <c r="F4" s="1">
        <f t="shared" si="0"/>
        <v>1747657.8</v>
      </c>
      <c r="G4" s="1">
        <f t="shared" si="0"/>
        <v>1526175</v>
      </c>
      <c r="H4" s="1">
        <f t="shared" si="0"/>
        <v>1481996.25</v>
      </c>
      <c r="K4" s="14" t="s">
        <v>205</v>
      </c>
      <c r="L4" s="18">
        <v>1</v>
      </c>
      <c r="M4" s="15">
        <v>1.5</v>
      </c>
      <c r="N4" s="18">
        <v>2</v>
      </c>
      <c r="O4" s="15">
        <v>2.5</v>
      </c>
      <c r="P4" s="21">
        <v>3</v>
      </c>
      <c r="R4" s="14" t="s">
        <v>205</v>
      </c>
      <c r="S4" s="18">
        <v>2</v>
      </c>
      <c r="T4" s="15">
        <v>2.5</v>
      </c>
      <c r="U4" s="18">
        <v>3</v>
      </c>
      <c r="V4" s="15">
        <v>3.5</v>
      </c>
      <c r="W4" s="21">
        <v>4</v>
      </c>
    </row>
    <row r="5" spans="2:23" x14ac:dyDescent="0.2">
      <c r="C5" t="s">
        <v>18</v>
      </c>
      <c r="D5" s="1">
        <f t="shared" si="0"/>
        <v>11913.155744911504</v>
      </c>
      <c r="E5" s="1">
        <f t="shared" si="0"/>
        <v>80894.448331244435</v>
      </c>
      <c r="F5" s="1">
        <f t="shared" si="0"/>
        <v>192392.5348124732</v>
      </c>
      <c r="G5" s="1">
        <f t="shared" si="0"/>
        <v>521443.125</v>
      </c>
      <c r="H5" s="1">
        <f t="shared" si="0"/>
        <v>472653.72000000003</v>
      </c>
      <c r="K5" s="14" t="s">
        <v>206</v>
      </c>
      <c r="L5" s="19">
        <v>0.05</v>
      </c>
      <c r="M5" s="16">
        <v>5.5E-2</v>
      </c>
      <c r="N5" s="19">
        <v>0.06</v>
      </c>
      <c r="O5" s="16">
        <v>6.5000000000000002E-2</v>
      </c>
      <c r="P5" s="22">
        <v>7.0000000000000007E-2</v>
      </c>
      <c r="R5" s="14" t="s">
        <v>206</v>
      </c>
      <c r="S5" s="19">
        <v>0.09</v>
      </c>
      <c r="T5" s="16">
        <v>0.1</v>
      </c>
      <c r="U5" s="19">
        <v>0.11</v>
      </c>
      <c r="V5" s="16">
        <v>0.12</v>
      </c>
      <c r="W5" s="22">
        <v>0.13</v>
      </c>
    </row>
    <row r="6" spans="2:23" x14ac:dyDescent="0.2">
      <c r="C6" t="s">
        <v>19</v>
      </c>
      <c r="D6" s="2">
        <f t="shared" si="0"/>
        <v>2816730</v>
      </c>
      <c r="E6" s="2">
        <f t="shared" si="0"/>
        <v>2875635</v>
      </c>
      <c r="F6" s="2">
        <f t="shared" si="0"/>
        <v>3025575</v>
      </c>
      <c r="G6" s="2">
        <f t="shared" si="0"/>
        <v>3132675</v>
      </c>
      <c r="H6" s="2">
        <f t="shared" si="0"/>
        <v>3213000</v>
      </c>
      <c r="K6" s="14" t="s">
        <v>184</v>
      </c>
      <c r="L6" s="19">
        <v>0.01</v>
      </c>
      <c r="M6" s="16">
        <v>0.01</v>
      </c>
      <c r="N6" s="19">
        <v>0.01</v>
      </c>
      <c r="O6" s="16">
        <v>0.01</v>
      </c>
      <c r="P6" s="22">
        <v>0.01</v>
      </c>
      <c r="R6" s="14" t="s">
        <v>184</v>
      </c>
      <c r="S6" s="19">
        <v>1.4999999999999999E-2</v>
      </c>
      <c r="T6" s="16">
        <v>1.4999999999999999E-2</v>
      </c>
      <c r="U6" s="19">
        <v>1.4999999999999999E-2</v>
      </c>
      <c r="V6" s="16">
        <v>1.4999999999999999E-2</v>
      </c>
      <c r="W6" s="22">
        <v>1.4999999999999999E-2</v>
      </c>
    </row>
    <row r="7" spans="2:23" x14ac:dyDescent="0.2">
      <c r="C7" t="s">
        <v>20</v>
      </c>
      <c r="D7" s="2">
        <v>134577.4</v>
      </c>
      <c r="E7" s="2">
        <v>194847.55</v>
      </c>
      <c r="F7" s="2">
        <v>270085.62</v>
      </c>
      <c r="G7" s="2">
        <v>290624.05</v>
      </c>
      <c r="H7" s="2">
        <v>363220.98</v>
      </c>
      <c r="I7" t="s">
        <v>207</v>
      </c>
      <c r="K7" s="12"/>
      <c r="L7" s="20"/>
      <c r="N7" s="20"/>
      <c r="P7" s="23"/>
      <c r="R7" s="12"/>
      <c r="S7" s="20"/>
      <c r="U7" s="20"/>
      <c r="W7" s="23"/>
    </row>
    <row r="8" spans="2:23" x14ac:dyDescent="0.2">
      <c r="C8" s="8" t="s">
        <v>21</v>
      </c>
      <c r="D8" s="9">
        <v>137599.5</v>
      </c>
      <c r="E8" s="9">
        <v>352450.95</v>
      </c>
      <c r="F8" s="9">
        <v>843574.51</v>
      </c>
      <c r="G8" s="9">
        <v>1344867</v>
      </c>
      <c r="H8" s="9">
        <f>H31*12*H41</f>
        <v>1758684.7139999999</v>
      </c>
      <c r="K8" s="13" t="s">
        <v>208</v>
      </c>
      <c r="L8" s="20"/>
      <c r="N8" s="20"/>
      <c r="P8" s="23"/>
      <c r="R8" s="13" t="s">
        <v>208</v>
      </c>
      <c r="S8" s="20"/>
      <c r="U8" s="20"/>
      <c r="W8" s="23"/>
    </row>
    <row r="9" spans="2:23" x14ac:dyDescent="0.2">
      <c r="C9" t="s">
        <v>22</v>
      </c>
      <c r="D9" s="2">
        <f>SUM(D4:D8)</f>
        <v>3979040.0557449115</v>
      </c>
      <c r="E9" s="2">
        <f>SUM(E4:E8)</f>
        <v>4903892.6983312443</v>
      </c>
      <c r="F9" s="2">
        <f>SUM(F4:F8)</f>
        <v>6079285.4648124734</v>
      </c>
      <c r="G9" s="2">
        <f>SUM(G4:G8)</f>
        <v>6815784.1749999998</v>
      </c>
      <c r="H9" s="2">
        <f>SUM(H4:H8)</f>
        <v>7289555.6639999989</v>
      </c>
      <c r="K9" s="14" t="s">
        <v>205</v>
      </c>
      <c r="L9" s="18">
        <v>0.15</v>
      </c>
      <c r="M9" s="15">
        <v>0.15</v>
      </c>
      <c r="N9" s="18">
        <v>0.15</v>
      </c>
      <c r="O9" s="15">
        <v>0.15</v>
      </c>
      <c r="P9" s="21">
        <v>0.15</v>
      </c>
      <c r="R9" s="14" t="s">
        <v>205</v>
      </c>
      <c r="S9" s="18">
        <v>0.15</v>
      </c>
      <c r="T9" s="15">
        <v>0.15</v>
      </c>
      <c r="U9" s="18">
        <v>0.15</v>
      </c>
      <c r="V9" s="15">
        <v>0.15</v>
      </c>
      <c r="W9" s="21">
        <v>0.15</v>
      </c>
    </row>
    <row r="10" spans="2:23" x14ac:dyDescent="0.2">
      <c r="D10" s="39"/>
      <c r="E10" s="39">
        <f t="shared" ref="E10:G10" si="1">E9/D9-1</f>
        <v>0.23243109635225623</v>
      </c>
      <c r="F10" s="39">
        <f t="shared" si="1"/>
        <v>0.23968566173587069</v>
      </c>
      <c r="G10" s="39">
        <f t="shared" si="1"/>
        <v>0.12114889396960482</v>
      </c>
      <c r="H10" s="39">
        <f>H9/G9-1</f>
        <v>6.9510928872685396E-2</v>
      </c>
      <c r="K10" s="14" t="s">
        <v>206</v>
      </c>
      <c r="L10" s="19">
        <v>0.05</v>
      </c>
      <c r="M10" s="16">
        <v>5.5E-2</v>
      </c>
      <c r="N10" s="19">
        <v>0.06</v>
      </c>
      <c r="O10" s="16">
        <v>6.5000000000000002E-2</v>
      </c>
      <c r="P10" s="22">
        <v>7.0000000000000007E-2</v>
      </c>
      <c r="R10" s="14" t="s">
        <v>206</v>
      </c>
      <c r="S10" s="19">
        <v>0.09</v>
      </c>
      <c r="T10" s="16">
        <v>0.1</v>
      </c>
      <c r="U10" s="19">
        <v>0.11</v>
      </c>
      <c r="V10" s="16">
        <v>0.12</v>
      </c>
      <c r="W10" s="22">
        <v>0.13</v>
      </c>
    </row>
    <row r="11" spans="2:23" x14ac:dyDescent="0.2">
      <c r="B11" s="6" t="s">
        <v>23</v>
      </c>
      <c r="D11" s="4"/>
      <c r="E11" s="4"/>
      <c r="F11" s="4"/>
      <c r="G11" s="4"/>
      <c r="H11" s="4"/>
      <c r="K11" s="14" t="s">
        <v>184</v>
      </c>
      <c r="L11" s="19">
        <v>0.01</v>
      </c>
      <c r="M11" s="16">
        <v>0.01</v>
      </c>
      <c r="N11" s="19">
        <v>0.01</v>
      </c>
      <c r="O11" s="16">
        <v>0.01</v>
      </c>
      <c r="P11" s="22">
        <v>0.01</v>
      </c>
      <c r="R11" s="14" t="s">
        <v>184</v>
      </c>
      <c r="S11" s="19">
        <v>1.4999999999999999E-2</v>
      </c>
      <c r="T11" s="16">
        <v>1.4999999999999999E-2</v>
      </c>
      <c r="U11" s="19">
        <v>1.4999999999999999E-2</v>
      </c>
      <c r="V11" s="16">
        <v>1.4999999999999999E-2</v>
      </c>
      <c r="W11" s="22">
        <v>1.4999999999999999E-2</v>
      </c>
    </row>
    <row r="12" spans="2:23" x14ac:dyDescent="0.2">
      <c r="C12" t="s">
        <v>24</v>
      </c>
      <c r="D12" s="2">
        <v>603269.36399999983</v>
      </c>
      <c r="E12" s="2">
        <v>701859.20399999991</v>
      </c>
      <c r="F12" s="2">
        <v>791712.73199999996</v>
      </c>
      <c r="G12" s="2">
        <v>953778.01199999999</v>
      </c>
      <c r="H12" s="2">
        <v>957886.64399999985</v>
      </c>
      <c r="I12" s="41">
        <f>(H12/D12)^0.2-1</f>
        <v>9.6883666110081146E-2</v>
      </c>
      <c r="K12" s="12"/>
      <c r="L12" s="24"/>
      <c r="M12" s="24"/>
      <c r="N12" s="24"/>
      <c r="O12" s="24"/>
      <c r="P12" s="25"/>
      <c r="R12" s="12"/>
      <c r="S12" s="24"/>
      <c r="T12" s="24"/>
      <c r="U12" s="24"/>
      <c r="V12" s="24"/>
      <c r="W12" s="25"/>
    </row>
    <row r="13" spans="2:23" x14ac:dyDescent="0.2">
      <c r="C13" t="s">
        <v>25</v>
      </c>
      <c r="D13" s="2">
        <v>368127.28799999988</v>
      </c>
      <c r="E13" s="2">
        <v>515472.97199999995</v>
      </c>
      <c r="F13" s="2">
        <v>660000</v>
      </c>
      <c r="G13" s="2">
        <v>577108.15199999989</v>
      </c>
      <c r="H13" s="2">
        <v>570000</v>
      </c>
      <c r="I13" s="41">
        <f t="shared" ref="I13:I18" si="2">(H13/D13)^0.2-1</f>
        <v>9.1378436836470955E-2</v>
      </c>
      <c r="J13" t="s">
        <v>209</v>
      </c>
      <c r="K13" s="13" t="s">
        <v>210</v>
      </c>
      <c r="L13" s="31">
        <v>2016</v>
      </c>
      <c r="M13" s="31">
        <v>2017</v>
      </c>
      <c r="N13" s="31">
        <v>2018</v>
      </c>
      <c r="O13" s="31">
        <v>2019</v>
      </c>
      <c r="P13" s="32">
        <v>2020</v>
      </c>
      <c r="R13" s="13" t="s">
        <v>210</v>
      </c>
      <c r="S13" s="31">
        <v>2016</v>
      </c>
      <c r="T13" s="31">
        <v>2017</v>
      </c>
      <c r="U13" s="31">
        <v>2018</v>
      </c>
      <c r="V13" s="31">
        <v>2019</v>
      </c>
      <c r="W13" s="32">
        <v>2020</v>
      </c>
    </row>
    <row r="14" spans="2:23" x14ac:dyDescent="0.2">
      <c r="C14" t="s">
        <v>26</v>
      </c>
      <c r="D14" s="2">
        <v>522386.06399999995</v>
      </c>
      <c r="E14" s="2">
        <v>689351.82</v>
      </c>
      <c r="F14" s="2">
        <v>791111.5199999999</v>
      </c>
      <c r="G14" s="2">
        <v>1102722.696</v>
      </c>
      <c r="H14" s="2">
        <v>1107575.7</v>
      </c>
      <c r="I14" s="41">
        <f t="shared" si="2"/>
        <v>0.16218794751460086</v>
      </c>
      <c r="K14" s="14" t="s">
        <v>164</v>
      </c>
      <c r="L14" s="29">
        <v>1.25</v>
      </c>
      <c r="M14" s="29">
        <v>1.25</v>
      </c>
      <c r="N14" s="29">
        <v>1.25</v>
      </c>
      <c r="O14" s="29">
        <v>1.25</v>
      </c>
      <c r="P14" s="30">
        <v>1.25</v>
      </c>
      <c r="R14" s="14" t="s">
        <v>164</v>
      </c>
      <c r="S14" s="29">
        <v>1.1000000000000001</v>
      </c>
      <c r="T14" s="29">
        <v>1.25</v>
      </c>
      <c r="U14" s="29">
        <v>1.5</v>
      </c>
      <c r="V14" s="29">
        <v>2</v>
      </c>
      <c r="W14" s="30">
        <v>2.5</v>
      </c>
    </row>
    <row r="15" spans="2:23" x14ac:dyDescent="0.2">
      <c r="C15" t="s">
        <v>27</v>
      </c>
      <c r="D15" s="2">
        <v>540000</v>
      </c>
      <c r="E15" s="2">
        <v>526800</v>
      </c>
      <c r="F15" s="2">
        <v>660000</v>
      </c>
      <c r="G15" s="2">
        <v>520097.47199999995</v>
      </c>
      <c r="H15" s="2">
        <v>504000</v>
      </c>
      <c r="I15" s="41">
        <f t="shared" si="2"/>
        <v>-1.3703810340970568E-2</v>
      </c>
      <c r="J15" t="s">
        <v>209</v>
      </c>
      <c r="K15" s="14" t="s">
        <v>205</v>
      </c>
      <c r="L15" s="29">
        <v>3</v>
      </c>
      <c r="M15" s="29">
        <v>3</v>
      </c>
      <c r="N15" s="29">
        <v>3</v>
      </c>
      <c r="O15" s="29">
        <v>3</v>
      </c>
      <c r="P15" s="30">
        <v>3</v>
      </c>
      <c r="R15" s="14" t="s">
        <v>205</v>
      </c>
      <c r="S15" s="29">
        <v>4</v>
      </c>
      <c r="T15" s="29">
        <v>3.5</v>
      </c>
      <c r="U15" s="29">
        <v>3</v>
      </c>
      <c r="V15" s="29">
        <v>2.5</v>
      </c>
      <c r="W15" s="30">
        <v>2</v>
      </c>
    </row>
    <row r="16" spans="2:23" x14ac:dyDescent="0.2">
      <c r="C16" t="s">
        <v>28</v>
      </c>
      <c r="D16" s="2">
        <v>86680.811999999991</v>
      </c>
      <c r="E16" s="2">
        <v>84998.796000000002</v>
      </c>
      <c r="F16" s="2">
        <v>49596.468000000001</v>
      </c>
      <c r="G16" s="2">
        <v>94807.463999999993</v>
      </c>
      <c r="H16" s="2">
        <v>73716.288</v>
      </c>
      <c r="I16" s="41">
        <f t="shared" si="2"/>
        <v>-3.1882440304560555E-2</v>
      </c>
      <c r="J16" t="s">
        <v>209</v>
      </c>
      <c r="K16" s="13" t="s">
        <v>211</v>
      </c>
      <c r="L16" s="37">
        <v>0.125</v>
      </c>
      <c r="M16" s="37">
        <v>0.125</v>
      </c>
      <c r="N16" s="37">
        <v>0.25</v>
      </c>
      <c r="O16" s="37">
        <v>0.25</v>
      </c>
      <c r="P16" s="38">
        <v>0.25</v>
      </c>
      <c r="R16" s="13" t="s">
        <v>211</v>
      </c>
      <c r="S16" s="33">
        <v>0</v>
      </c>
      <c r="T16" s="33">
        <v>0</v>
      </c>
      <c r="U16" s="33">
        <v>0.1</v>
      </c>
      <c r="V16" s="33">
        <v>0.15</v>
      </c>
      <c r="W16" s="34">
        <f>1-SUM(S16:V16)</f>
        <v>0.75</v>
      </c>
    </row>
    <row r="17" spans="2:23" x14ac:dyDescent="0.2">
      <c r="C17" t="s">
        <v>29</v>
      </c>
      <c r="D17" s="2">
        <v>180000</v>
      </c>
      <c r="E17" s="2">
        <v>180000</v>
      </c>
      <c r="F17" s="2">
        <v>180000</v>
      </c>
      <c r="G17" s="2">
        <v>180000</v>
      </c>
      <c r="H17" s="2">
        <v>180000</v>
      </c>
      <c r="I17" s="41">
        <f t="shared" si="2"/>
        <v>0</v>
      </c>
      <c r="K17" s="12"/>
      <c r="L17" s="24"/>
      <c r="M17" s="24"/>
      <c r="N17" s="24"/>
      <c r="O17" s="24"/>
      <c r="P17" s="25"/>
      <c r="R17" s="12" t="s">
        <v>212</v>
      </c>
      <c r="S17" s="24"/>
      <c r="T17" s="24"/>
      <c r="U17" s="24"/>
      <c r="V17" s="24"/>
      <c r="W17" s="25"/>
    </row>
    <row r="18" spans="2:23" x14ac:dyDescent="0.2">
      <c r="C18" s="8" t="s">
        <v>112</v>
      </c>
      <c r="D18" s="9">
        <v>476374.39199999999</v>
      </c>
      <c r="E18" s="9">
        <v>540330.94799999997</v>
      </c>
      <c r="F18" s="9">
        <v>594289.96199999994</v>
      </c>
      <c r="G18" s="9">
        <v>777118.32899999991</v>
      </c>
      <c r="H18" s="9">
        <v>773822.88899999997</v>
      </c>
      <c r="I18" s="41">
        <f t="shared" si="2"/>
        <v>0.10189099230800447</v>
      </c>
      <c r="K18" s="17" t="s">
        <v>213</v>
      </c>
      <c r="L18" s="26"/>
      <c r="M18" s="26"/>
      <c r="N18" s="26"/>
      <c r="O18" s="26"/>
      <c r="P18" s="27"/>
      <c r="R18" s="17" t="s">
        <v>213</v>
      </c>
      <c r="S18" s="26"/>
      <c r="T18" s="26"/>
      <c r="U18" s="26"/>
      <c r="V18" s="26"/>
      <c r="W18" s="27"/>
    </row>
    <row r="19" spans="2:23" x14ac:dyDescent="0.2">
      <c r="C19" t="s">
        <v>32</v>
      </c>
      <c r="D19" s="3">
        <f>SUM(D12:D18)</f>
        <v>2776837.92</v>
      </c>
      <c r="E19" s="3">
        <f t="shared" ref="E19:H19" si="3">SUM(E12:E18)</f>
        <v>3238813.7399999998</v>
      </c>
      <c r="F19" s="3">
        <f t="shared" si="3"/>
        <v>3726710.6819999996</v>
      </c>
      <c r="G19" s="3">
        <f t="shared" si="3"/>
        <v>4205632.125</v>
      </c>
      <c r="H19" s="3">
        <f t="shared" si="3"/>
        <v>4167001.5209999997</v>
      </c>
      <c r="L19" s="24"/>
      <c r="M19" s="24"/>
      <c r="N19" s="24"/>
      <c r="O19" s="24"/>
      <c r="P19" s="24"/>
      <c r="S19" s="24"/>
      <c r="T19" s="24"/>
      <c r="U19" s="24"/>
      <c r="V19" s="24"/>
      <c r="W19" s="24"/>
    </row>
    <row r="20" spans="2:23" x14ac:dyDescent="0.2">
      <c r="D20" s="3"/>
      <c r="E20" s="3"/>
      <c r="F20" s="3"/>
      <c r="G20" s="3"/>
      <c r="H20" s="3"/>
      <c r="L20" s="4"/>
      <c r="M20" s="4"/>
      <c r="N20" s="4"/>
      <c r="O20" s="4"/>
    </row>
    <row r="21" spans="2:23" x14ac:dyDescent="0.2">
      <c r="B21" s="6" t="s">
        <v>33</v>
      </c>
      <c r="D21" s="3">
        <f>D9-D19</f>
        <v>1202202.1357449116</v>
      </c>
      <c r="E21" s="3">
        <f t="shared" ref="E21:H21" si="4">E9-E19</f>
        <v>1665078.9583312445</v>
      </c>
      <c r="F21" s="3">
        <f t="shared" si="4"/>
        <v>2352574.7828124738</v>
      </c>
      <c r="G21" s="3">
        <f t="shared" si="4"/>
        <v>2610152.0499999998</v>
      </c>
      <c r="H21" s="3">
        <f t="shared" si="4"/>
        <v>3122554.1429999992</v>
      </c>
      <c r="K21" s="4"/>
      <c r="L21" s="4"/>
      <c r="M21" s="4"/>
      <c r="N21" s="4"/>
      <c r="O21" s="4"/>
      <c r="P21" s="4"/>
      <c r="R21" s="4"/>
    </row>
    <row r="22" spans="2:23" s="10" customFormat="1" x14ac:dyDescent="0.2">
      <c r="B22" s="10" t="s">
        <v>34</v>
      </c>
      <c r="D22" s="11">
        <f>D21/D9</f>
        <v>0.30213371036795172</v>
      </c>
      <c r="E22" s="11">
        <f t="shared" ref="E22:H22" si="5">E21/E9</f>
        <v>0.33954229033148658</v>
      </c>
      <c r="F22" s="11">
        <f t="shared" si="5"/>
        <v>0.38698212091362011</v>
      </c>
      <c r="G22" s="11">
        <f t="shared" si="5"/>
        <v>0.38295696914434646</v>
      </c>
      <c r="H22" s="11">
        <f t="shared" si="5"/>
        <v>0.42836001080572855</v>
      </c>
      <c r="K22" s="4"/>
      <c r="L22" s="4"/>
      <c r="M22" s="4"/>
      <c r="N22" s="4"/>
      <c r="O22" s="4"/>
      <c r="P22" s="86"/>
      <c r="R22" s="86"/>
    </row>
    <row r="23" spans="2:23" s="10" customFormat="1" x14ac:dyDescent="0.2">
      <c r="C23" s="10" t="s">
        <v>114</v>
      </c>
      <c r="K23" s="4"/>
      <c r="L23" s="4"/>
      <c r="M23" s="4"/>
      <c r="N23" s="4"/>
      <c r="O23" s="4"/>
      <c r="P23" s="86"/>
      <c r="R23" s="86"/>
    </row>
    <row r="24" spans="2:23" x14ac:dyDescent="0.2">
      <c r="B24" s="6" t="s">
        <v>116</v>
      </c>
      <c r="K24" s="4"/>
      <c r="L24" s="4"/>
      <c r="M24" s="4"/>
      <c r="N24" s="4"/>
      <c r="O24" s="4"/>
      <c r="R24" s="86"/>
    </row>
    <row r="25" spans="2:23" x14ac:dyDescent="0.2">
      <c r="C25" t="s">
        <v>118</v>
      </c>
      <c r="D25" s="2">
        <v>210</v>
      </c>
      <c r="E25" s="2">
        <v>330.75</v>
      </c>
      <c r="F25" s="2">
        <v>430.5</v>
      </c>
      <c r="G25" s="2">
        <v>399</v>
      </c>
      <c r="H25" s="2">
        <v>393.75</v>
      </c>
      <c r="I25" s="41">
        <f t="shared" ref="I25" si="6">(H25/D25)^0.2-1</f>
        <v>0.13396657763302722</v>
      </c>
      <c r="J25" s="4" t="s">
        <v>214</v>
      </c>
      <c r="K25" s="4" t="s">
        <v>215</v>
      </c>
      <c r="L25" s="4"/>
      <c r="M25" s="4"/>
      <c r="N25" s="4"/>
      <c r="O25" s="40"/>
    </row>
    <row r="26" spans="2:23" x14ac:dyDescent="0.2">
      <c r="C26" t="s">
        <v>18</v>
      </c>
      <c r="D26" s="2">
        <v>2.8314095650413558</v>
      </c>
      <c r="E26" s="2">
        <v>19.606497571740576</v>
      </c>
      <c r="F26" s="2">
        <v>39.768107140858397</v>
      </c>
      <c r="G26" s="2">
        <v>131.25</v>
      </c>
      <c r="H26" s="2">
        <v>115.5</v>
      </c>
      <c r="I26" s="41"/>
      <c r="J26" s="4" t="s">
        <v>216</v>
      </c>
      <c r="K26" s="4"/>
      <c r="L26" s="4"/>
      <c r="M26" s="4"/>
      <c r="N26" s="4"/>
      <c r="O26" s="40"/>
    </row>
    <row r="27" spans="2:23" x14ac:dyDescent="0.2">
      <c r="C27" t="s">
        <v>122</v>
      </c>
      <c r="D27" s="2">
        <v>2761.5</v>
      </c>
      <c r="E27" s="2">
        <v>2819.25</v>
      </c>
      <c r="F27" s="2">
        <v>2966.25</v>
      </c>
      <c r="G27" s="2">
        <v>3071.25</v>
      </c>
      <c r="H27" s="2">
        <v>3150</v>
      </c>
      <c r="I27" s="41">
        <f>(H27/D27)^0.2-1</f>
        <v>2.6675270352452429E-2</v>
      </c>
      <c r="J27" s="4" t="s">
        <v>214</v>
      </c>
      <c r="K27" s="4"/>
      <c r="L27" s="4"/>
      <c r="M27" s="4"/>
      <c r="N27" s="4"/>
    </row>
    <row r="28" spans="2:23" x14ac:dyDescent="0.2">
      <c r="C28" t="s">
        <v>124</v>
      </c>
      <c r="D28" s="2">
        <v>250</v>
      </c>
      <c r="E28" s="2">
        <v>260</v>
      </c>
      <c r="F28" s="2">
        <v>270</v>
      </c>
      <c r="G28" s="2">
        <v>280</v>
      </c>
      <c r="H28" s="2">
        <v>300</v>
      </c>
      <c r="I28" s="41">
        <f>(H28/D28)^0.2-1</f>
        <v>3.7137289336648172E-2</v>
      </c>
      <c r="J28" t="s">
        <v>214</v>
      </c>
    </row>
    <row r="29" spans="2:23" x14ac:dyDescent="0.2">
      <c r="C29" t="s">
        <v>126</v>
      </c>
      <c r="D29" s="7">
        <f t="shared" ref="D29:G29" si="7">D28/D27</f>
        <v>9.0530508781459351E-2</v>
      </c>
      <c r="E29" s="7">
        <f t="shared" si="7"/>
        <v>9.2223108982885521E-2</v>
      </c>
      <c r="F29" s="7">
        <f t="shared" si="7"/>
        <v>9.1024020227560051E-2</v>
      </c>
      <c r="G29" s="7">
        <f t="shared" si="7"/>
        <v>9.1168091168091173E-2</v>
      </c>
      <c r="H29" s="7">
        <f>H28/H27</f>
        <v>9.5238095238095233E-2</v>
      </c>
      <c r="I29" s="7">
        <f>GEOMEAN(D29:H29)</f>
        <v>9.2021404845408716E-2</v>
      </c>
      <c r="J29" t="s">
        <v>217</v>
      </c>
    </row>
    <row r="30" spans="2:23" x14ac:dyDescent="0.2">
      <c r="C30" t="s">
        <v>130</v>
      </c>
      <c r="D30" s="2">
        <f>D31/5</f>
        <v>152.88833333333335</v>
      </c>
      <c r="E30" s="2">
        <f>E31/6</f>
        <v>326.34347222222226</v>
      </c>
      <c r="F30" s="2">
        <f>F31/7</f>
        <v>669.50357936507942</v>
      </c>
      <c r="G30" s="2">
        <f>G31/7.5</f>
        <v>996.19777777777779</v>
      </c>
      <c r="H30" s="2">
        <f>H31/8</f>
        <v>1197.3615972222221</v>
      </c>
      <c r="I30" s="41"/>
      <c r="J30" s="4" t="s">
        <v>216</v>
      </c>
    </row>
    <row r="31" spans="2:23" x14ac:dyDescent="0.2">
      <c r="C31" t="s">
        <v>133</v>
      </c>
      <c r="D31" s="2">
        <v>764.44166666666672</v>
      </c>
      <c r="E31" s="2">
        <v>1958.0608333333334</v>
      </c>
      <c r="F31" s="2">
        <v>4686.5250555555558</v>
      </c>
      <c r="G31" s="2">
        <v>7471.4833333333336</v>
      </c>
      <c r="H31" s="2">
        <v>9578.8927777777772</v>
      </c>
      <c r="I31" s="41"/>
      <c r="J31" s="4" t="s">
        <v>216</v>
      </c>
    </row>
    <row r="32" spans="2:23" x14ac:dyDescent="0.2">
      <c r="C32" t="s">
        <v>136</v>
      </c>
      <c r="D32" s="2">
        <f>D31*6.1%</f>
        <v>46.630941666666672</v>
      </c>
      <c r="E32" s="2">
        <f>E31*6.2%</f>
        <v>121.39977166666667</v>
      </c>
      <c r="F32" s="2">
        <f>F31*6.3%</f>
        <v>295.25107850000001</v>
      </c>
      <c r="G32" s="2">
        <f>G31*6.2%</f>
        <v>463.23196666666666</v>
      </c>
      <c r="H32" s="2">
        <f>H31*6%</f>
        <v>574.73356666666666</v>
      </c>
      <c r="I32" s="41"/>
      <c r="J32" s="4" t="s">
        <v>216</v>
      </c>
    </row>
    <row r="33" spans="2:14" x14ac:dyDescent="0.2">
      <c r="C33" t="s">
        <v>139</v>
      </c>
      <c r="D33" s="7">
        <f>D32/D31</f>
        <v>6.1000000000000006E-2</v>
      </c>
      <c r="E33" s="7">
        <f t="shared" ref="E33:H33" si="8">E32/E31</f>
        <v>6.2E-2</v>
      </c>
      <c r="F33" s="7">
        <f t="shared" si="8"/>
        <v>6.3E-2</v>
      </c>
      <c r="G33" s="7">
        <f t="shared" si="8"/>
        <v>6.2E-2</v>
      </c>
      <c r="H33" s="7">
        <f t="shared" si="8"/>
        <v>6.0000000000000005E-2</v>
      </c>
      <c r="I33" s="16">
        <f>GEOMEAN(D33:H33)</f>
        <v>6.1591531446781554E-2</v>
      </c>
      <c r="J33" s="7">
        <f>H42*H34</f>
        <v>363220.98</v>
      </c>
    </row>
    <row r="34" spans="2:14" x14ac:dyDescent="0.2">
      <c r="C34" t="s">
        <v>141</v>
      </c>
      <c r="D34" s="2">
        <f>D7/D42</f>
        <v>94.241876750700271</v>
      </c>
      <c r="E34" s="2">
        <f>E7/E42</f>
        <v>131.74276538201488</v>
      </c>
      <c r="F34" s="2">
        <f>F7/F42</f>
        <v>220.6581862745098</v>
      </c>
      <c r="G34" s="2">
        <f>G7/G42</f>
        <v>219.17349170437404</v>
      </c>
      <c r="H34" s="2">
        <f>H7/H42</f>
        <v>263.77703703703702</v>
      </c>
      <c r="I34" s="41">
        <f>(H34/D34)^0.2-1</f>
        <v>0.22856633844261176</v>
      </c>
      <c r="J34" t="s">
        <v>214</v>
      </c>
    </row>
    <row r="35" spans="2:14" x14ac:dyDescent="0.2">
      <c r="C35" t="s">
        <v>143</v>
      </c>
      <c r="D35">
        <v>22</v>
      </c>
      <c r="E35">
        <v>22</v>
      </c>
      <c r="F35">
        <v>24</v>
      </c>
      <c r="G35">
        <v>28</v>
      </c>
      <c r="H35">
        <v>33</v>
      </c>
      <c r="I35" s="41">
        <f>(H35/D35)^0.2-1</f>
        <v>8.4471771197698553E-2</v>
      </c>
      <c r="J35" t="s">
        <v>214</v>
      </c>
    </row>
    <row r="37" spans="2:14" x14ac:dyDescent="0.2">
      <c r="B37" s="6" t="s">
        <v>146</v>
      </c>
    </row>
    <row r="38" spans="2:14" x14ac:dyDescent="0.2">
      <c r="C38" t="s">
        <v>147</v>
      </c>
      <c r="D38" s="5">
        <v>4182</v>
      </c>
      <c r="E38" s="5">
        <v>4233</v>
      </c>
      <c r="F38" s="5">
        <v>4059.6</v>
      </c>
      <c r="G38" s="5">
        <v>3825</v>
      </c>
      <c r="H38" s="5">
        <v>3763.8</v>
      </c>
      <c r="J38" s="4"/>
      <c r="K38" s="4"/>
      <c r="L38" s="4"/>
      <c r="M38" s="4"/>
      <c r="N38" s="4"/>
    </row>
    <row r="39" spans="2:14" x14ac:dyDescent="0.2">
      <c r="C39" t="s">
        <v>148</v>
      </c>
      <c r="D39" s="5">
        <v>4207.5</v>
      </c>
      <c r="E39" s="5">
        <v>4125.8999999999996</v>
      </c>
      <c r="F39" s="5">
        <v>4837.8599999999997</v>
      </c>
      <c r="G39" s="5">
        <v>3972.9</v>
      </c>
      <c r="H39" s="5">
        <v>4092.2400000000002</v>
      </c>
      <c r="J39" s="4"/>
      <c r="K39" s="4"/>
      <c r="L39" s="4"/>
      <c r="M39" s="4"/>
      <c r="N39" s="4"/>
    </row>
    <row r="40" spans="2:14" x14ac:dyDescent="0.2">
      <c r="C40" t="s">
        <v>149</v>
      </c>
      <c r="D40" s="5">
        <v>1020</v>
      </c>
      <c r="E40" s="5">
        <v>1020</v>
      </c>
      <c r="F40" s="5">
        <v>1020</v>
      </c>
      <c r="G40" s="5">
        <v>1020</v>
      </c>
      <c r="H40" s="5">
        <v>1020</v>
      </c>
      <c r="J40" s="4"/>
      <c r="K40" s="4"/>
      <c r="L40" s="4"/>
      <c r="M40" s="4"/>
      <c r="N40" s="4"/>
    </row>
    <row r="41" spans="2:14" x14ac:dyDescent="0.2">
      <c r="C41" t="s">
        <v>150</v>
      </c>
      <c r="D41" s="5">
        <v>15.3</v>
      </c>
      <c r="E41" s="5">
        <v>15.3</v>
      </c>
      <c r="F41" s="5">
        <v>15.3</v>
      </c>
      <c r="G41" s="5">
        <v>15.3</v>
      </c>
      <c r="H41" s="5">
        <v>15.3</v>
      </c>
      <c r="J41" s="4"/>
      <c r="K41" s="4"/>
      <c r="L41" s="4"/>
      <c r="M41" s="4"/>
      <c r="N41" s="4"/>
    </row>
    <row r="42" spans="2:14" x14ac:dyDescent="0.2">
      <c r="C42" t="s">
        <v>151</v>
      </c>
      <c r="D42" s="3">
        <v>1428</v>
      </c>
      <c r="E42" s="3">
        <v>1479</v>
      </c>
      <c r="F42" s="3">
        <v>1224</v>
      </c>
      <c r="G42" s="3">
        <v>1326</v>
      </c>
      <c r="H42" s="3">
        <v>1377</v>
      </c>
      <c r="J42" s="4"/>
      <c r="K42" s="4"/>
      <c r="L42" s="4"/>
      <c r="M42" s="4"/>
      <c r="N42" s="4"/>
    </row>
    <row r="44" spans="2:14" x14ac:dyDescent="0.2">
      <c r="B44" s="6" t="s">
        <v>218</v>
      </c>
    </row>
    <row r="45" spans="2:14" x14ac:dyDescent="0.2">
      <c r="C45" t="s">
        <v>117</v>
      </c>
      <c r="D45" t="s">
        <v>219</v>
      </c>
    </row>
    <row r="46" spans="2:14" x14ac:dyDescent="0.2">
      <c r="C46" t="s">
        <v>119</v>
      </c>
      <c r="D46" t="s">
        <v>220</v>
      </c>
    </row>
    <row r="47" spans="2:14" x14ac:dyDescent="0.2">
      <c r="C47" t="s">
        <v>121</v>
      </c>
    </row>
    <row r="48" spans="2:14" x14ac:dyDescent="0.2">
      <c r="C48" t="s">
        <v>123</v>
      </c>
    </row>
    <row r="49" spans="3:5" x14ac:dyDescent="0.2">
      <c r="C49" t="s">
        <v>125</v>
      </c>
      <c r="D49" t="s">
        <v>220</v>
      </c>
    </row>
    <row r="50" spans="3:5" x14ac:dyDescent="0.2">
      <c r="C50" t="s">
        <v>128</v>
      </c>
      <c r="D50" t="s">
        <v>221</v>
      </c>
    </row>
    <row r="51" spans="3:5" x14ac:dyDescent="0.2">
      <c r="C51" t="s">
        <v>131</v>
      </c>
      <c r="D51" t="s">
        <v>221</v>
      </c>
    </row>
    <row r="52" spans="3:5" x14ac:dyDescent="0.2">
      <c r="C52" t="s">
        <v>135</v>
      </c>
    </row>
    <row r="53" spans="3:5" x14ac:dyDescent="0.2">
      <c r="C53" t="s">
        <v>138</v>
      </c>
      <c r="D53" t="s">
        <v>221</v>
      </c>
    </row>
    <row r="54" spans="3:5" x14ac:dyDescent="0.2">
      <c r="C54" t="s">
        <v>140</v>
      </c>
      <c r="E54" t="s">
        <v>221</v>
      </c>
    </row>
    <row r="55" spans="3:5" x14ac:dyDescent="0.2">
      <c r="C55" t="s">
        <v>142</v>
      </c>
      <c r="E55" t="s">
        <v>221</v>
      </c>
    </row>
    <row r="56" spans="3:5" x14ac:dyDescent="0.2">
      <c r="C56" t="s">
        <v>144</v>
      </c>
    </row>
    <row r="57" spans="3:5" x14ac:dyDescent="0.2">
      <c r="C57" t="s">
        <v>145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Statement</vt:lpstr>
      <vt:lpstr>Cashflow Statement</vt:lpstr>
      <vt:lpstr>Balance Sheet</vt:lpstr>
      <vt:lpstr>5.a Sources &amp; Uses</vt:lpstr>
      <vt:lpstr>5b. Forecasts and Assumptions</vt:lpstr>
      <vt:lpstr>5.c Amortization&amp;Covenants</vt:lpstr>
      <vt:lpstr>5.d IRR and COC Forecasts</vt:lpstr>
      <vt:lpstr>Given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Lau</dc:creator>
  <cp:keywords/>
  <dc:description/>
  <cp:lastModifiedBy>Akul Veauli</cp:lastModifiedBy>
  <cp:revision/>
  <dcterms:created xsi:type="dcterms:W3CDTF">2016-02-14T19:58:33Z</dcterms:created>
  <dcterms:modified xsi:type="dcterms:W3CDTF">2025-08-01T22:05:38Z</dcterms:modified>
  <cp:category/>
  <cp:contentStatus/>
</cp:coreProperties>
</file>