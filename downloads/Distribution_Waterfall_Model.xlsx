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al Cash Flows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Returns Summary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"/>
    <numFmt numFmtId="166" formatCode="0.0%"/>
    <numFmt numFmtId="167" formatCode="0.00&quot;x&quot;"/>
    <numFmt numFmtId="168" formatCode="#,##0.0"/>
    <numFmt numFmtId="169" formatCode="0.00000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FF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1F3864"/>
      </top>
      <bottom style="thin">
        <color rgb="00B7B7B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indent="1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1" pivotButton="0" quotePrefix="0" xfId="0"/>
    <xf numFmtId="167" fontId="5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center"/>
    </xf>
    <xf numFmtId="168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left" indent="1"/>
    </xf>
    <xf numFmtId="165" fontId="3" fillId="0" borderId="2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169" fontId="4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wrapText="1"/>
    </xf>
    <xf numFmtId="165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0" fontId="3" fillId="2" borderId="1" pivotButton="0" quotePrefix="0" xfId="0"/>
    <xf numFmtId="167" fontId="6" fillId="2" borderId="1" applyAlignment="1" pivotButton="0" quotePrefix="0" xfId="0">
      <alignment horizontal="center"/>
    </xf>
    <xf numFmtId="166" fontId="6" fillId="2" borderId="1" pivotButton="0" quotePrefix="0" xfId="0"/>
    <xf numFmtId="167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1"/>
    <row r="2">
      <c r="B2" s="1" t="inlineStr">
        <is>
          <t>Distribution Waterfall Model</t>
        </is>
      </c>
    </row>
    <row r="3">
      <c r="B3" s="2" t="inlineStr">
        <is>
          <t>Project Longhorn - Mid-Market Buyout Co-Investment (Illustrative)</t>
        </is>
      </c>
    </row>
    <row r="4"/>
    <row r="5">
      <c r="B5" s="3" t="inlineStr">
        <is>
          <t>Prepared by:</t>
        </is>
      </c>
      <c r="C5" s="4" t="inlineStr">
        <is>
          <t>Akul Veauli</t>
        </is>
      </c>
    </row>
    <row r="6">
      <c r="B6" s="3" t="inlineStr">
        <is>
          <t>Date:</t>
        </is>
      </c>
      <c r="C6" s="5" t="n">
        <v>46256</v>
      </c>
    </row>
    <row r="7"/>
    <row r="8">
      <c r="B8" s="6" t="inlineStr">
        <is>
          <t>Model Purpose</t>
        </is>
      </c>
    </row>
    <row r="9">
      <c r="B9" s="8" t="inlineStr">
        <is>
          <t>This workbook is an original, fictional illustration of a private-equity 4-tier American (deal-by-deal) distribution waterfall with a GP catch-up, built for a single hypothetical co-investment ("Project Longhorn"). It models the underlying company's cash flows from entry to a Year-5 exit, then cascades those cash flows through the four waterfall tiers - return of capital, preferred return, GP catch-up, and carried-interest split - to determine LP and GP distributions, IRR, and MOIC. All figures are illustrative and not connected to any real fund, sponsor, or transaction.</t>
        </is>
      </c>
    </row>
    <row r="10"/>
    <row r="11"/>
    <row r="12"/>
    <row r="13"/>
    <row r="14"/>
    <row r="15"/>
    <row r="16">
      <c r="B16" s="6" t="inlineStr">
        <is>
          <t>Color Key / Convention</t>
        </is>
      </c>
    </row>
    <row r="17">
      <c r="B17" s="9" t="inlineStr">
        <is>
          <t>Blue font</t>
        </is>
      </c>
      <c r="C17" s="10" t="inlineStr">
        <is>
          <t>Hard-coded input - change these to run different scenarios.</t>
        </is>
      </c>
    </row>
    <row r="18">
      <c r="B18" s="3" t="inlineStr">
        <is>
          <t>Black font</t>
        </is>
      </c>
      <c r="C18" s="10" t="inlineStr">
        <is>
          <t>Calculated with a live Excel formula - do not overwrite.</t>
        </is>
      </c>
    </row>
    <row r="19">
      <c r="B19" s="3" t="inlineStr">
        <is>
          <t>Navy header bar</t>
        </is>
      </c>
      <c r="C19" s="10" t="inlineStr">
        <is>
          <t>Section header / tab title band.</t>
        </is>
      </c>
    </row>
    <row r="20">
      <c r="B20" s="3" t="inlineStr">
        <is>
          <t>Light-blue band</t>
        </is>
      </c>
      <c r="C20" s="10" t="inlineStr">
        <is>
          <t>Sub-section header within a tab.</t>
        </is>
      </c>
    </row>
    <row r="21"/>
    <row r="22">
      <c r="B22" s="6" t="inlineStr">
        <is>
          <t>Tab Guide</t>
        </is>
      </c>
    </row>
    <row r="23">
      <c r="B23" s="3" t="inlineStr">
        <is>
          <t>Read Me</t>
        </is>
      </c>
      <c r="C23" s="10" t="inlineStr">
        <is>
          <t>This page: purpose, conventions, and navigation.</t>
        </is>
      </c>
    </row>
    <row r="24">
      <c r="B24" s="3" t="inlineStr">
        <is>
          <t>Assumptions</t>
        </is>
      </c>
      <c r="C24" s="10" t="inlineStr">
        <is>
          <t>All deal, company, and waterfall-term inputs in one place.</t>
        </is>
      </c>
    </row>
    <row r="25">
      <c r="B25" s="3" t="inlineStr">
        <is>
          <t>Deal Cash Flows</t>
        </is>
      </c>
      <c r="C25" s="10" t="inlineStr">
        <is>
          <t>Underlying company EBITDA, FCF, debt paydown, and resulting total equity cash flow by year (0–5).</t>
        </is>
      </c>
    </row>
    <row r="26">
      <c r="B26" s="3" t="inlineStr">
        <is>
          <t>Waterfall</t>
        </is>
      </c>
      <c r="C26" s="10" t="inlineStr">
        <is>
          <t>The four-tier deal-by-deal cascade: Return of Capital, Preferred Return, GP Catch-Up, Carry Split.</t>
        </is>
      </c>
    </row>
    <row r="27">
      <c r="B27" s="3" t="inlineStr">
        <is>
          <t>Returns Summary</t>
        </is>
      </c>
      <c r="C27" s="10" t="inlineStr">
        <is>
          <t>LP / GP contributed, distributed, profit, IRR, MOIC, and an effective-carry check.</t>
        </is>
      </c>
    </row>
    <row r="28">
      <c r="B28" s="3" t="inlineStr">
        <is>
          <t>Sensitivity</t>
        </is>
      </c>
      <c r="C28" s="10" t="inlineStr">
        <is>
          <t>Closed-form grids of exit proceeds / gross MOIC across exit multiple and EBITDA growth.</t>
        </is>
      </c>
    </row>
    <row r="29"/>
    <row r="30">
      <c r="B30" s="6" t="inlineStr">
        <is>
          <t>Waterfall Mechanics Notes</t>
        </is>
      </c>
    </row>
    <row r="31" ht="30" customHeight="1">
      <c r="B31" s="8" t="inlineStr">
        <is>
          <t>• Preferred return (8%, simple, accrued annually on unreturned capital) accrues to LP and GP pro-rata on their own unreturned capital balances; both classes receive Tier 2 pref before any catch-up occurs. This is a standard (though not universal) treatment - some deals pay pref to LP only.</t>
        </is>
      </c>
    </row>
    <row r="32" ht="30" customHeight="1">
      <c r="B32" s="8" t="inlineStr">
        <is>
          <t>• GP catch-up target uses the standard formula: cumulative catch-up target = [carry % / (1 - carry %)] × cumulative Tier 2 (preferred return) distributions paid to date (LP + GP combined). GP receives 100% of available cash until this target is met, capped by cash actually available (MIN formula) so the model never over-distributes.</t>
        </is>
      </c>
    </row>
    <row r="33" ht="30" customHeight="1">
      <c r="B33" s="8" t="inlineStr">
        <is>
          <t>• All tiers cascade using MIN / MAX formulas so a tier can never distribute more than the cash remaining after the prior tier, and balances (unreturned capital, unpaid pref) can never go negative.</t>
        </is>
      </c>
    </row>
    <row r="34" ht="30" customHeight="1">
      <c r="B34" s="8" t="inlineStr">
        <is>
          <t>• Amounts throughout are in $ millions ($M) unless a cell's number format states otherwise.</t>
        </is>
      </c>
    </row>
  </sheetData>
  <mergeCells count="11">
    <mergeCell ref="B30:C30"/>
    <mergeCell ref="B16:C16"/>
    <mergeCell ref="B2:C2"/>
    <mergeCell ref="B33:C33"/>
    <mergeCell ref="B3:C3"/>
    <mergeCell ref="B34:C34"/>
    <mergeCell ref="B22:C22"/>
    <mergeCell ref="B32:C32"/>
    <mergeCell ref="B31:C31"/>
    <mergeCell ref="B9:C14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40" customWidth="1" min="4" max="4"/>
  </cols>
  <sheetData>
    <row r="1"/>
    <row r="2" ht="20" customHeight="1">
      <c r="B2" s="11" t="inlineStr">
        <is>
          <t>Assumptions - Project Longhorn</t>
        </is>
      </c>
    </row>
    <row r="3">
      <c r="B3" s="13" t="inlineStr">
        <is>
          <t>All inputs in blue; all calculated cells in black. Dollar amounts in $ millions ($M).</t>
        </is>
      </c>
    </row>
    <row r="4"/>
    <row r="5">
      <c r="B5" s="6" t="inlineStr">
        <is>
          <t>Deal &amp; Capitalization</t>
        </is>
      </c>
    </row>
    <row r="6">
      <c r="B6" s="14" t="inlineStr">
        <is>
          <t>Total Equity Invested ($M)</t>
        </is>
      </c>
      <c r="C6" s="15" t="n">
        <v>150</v>
      </c>
    </row>
    <row r="7">
      <c r="B7" s="14" t="inlineStr">
        <is>
          <t>LP Commitment %</t>
        </is>
      </c>
      <c r="C7" s="16" t="n">
        <v>0.9</v>
      </c>
    </row>
    <row r="8">
      <c r="B8" s="14" t="inlineStr">
        <is>
          <t>GP Commitment %</t>
        </is>
      </c>
      <c r="C8" s="16" t="n">
        <v>0.1</v>
      </c>
    </row>
    <row r="9">
      <c r="B9" s="14" t="inlineStr">
        <is>
          <t>LP Commitment ($M)</t>
        </is>
      </c>
      <c r="C9" s="17">
        <f>Assumptions!$C$6*Assumptions!$C$7</f>
        <v/>
      </c>
    </row>
    <row r="10">
      <c r="B10" s="14" t="inlineStr">
        <is>
          <t>GP Commitment ($M)</t>
        </is>
      </c>
      <c r="C10" s="17">
        <f>Assumptions!$C$6*Assumptions!$C$8</f>
        <v/>
      </c>
    </row>
    <row r="11">
      <c r="B11" s="14" t="inlineStr">
        <is>
          <t>Investment Timing</t>
        </is>
      </c>
      <c r="C11" s="18" t="inlineStr">
        <is>
          <t>End of Year 0</t>
        </is>
      </c>
    </row>
    <row r="12">
      <c r="B12" s="14" t="inlineStr">
        <is>
          <t>Exit Timing</t>
        </is>
      </c>
      <c r="C12" s="18" t="inlineStr">
        <is>
          <t>End of Year 5</t>
        </is>
      </c>
    </row>
    <row r="13"/>
    <row r="14">
      <c r="B14" s="6" t="inlineStr">
        <is>
          <t>Company &amp; Operating Assumptions</t>
        </is>
      </c>
    </row>
    <row r="15">
      <c r="B15" s="14" t="inlineStr">
        <is>
          <t>Entry EBITDA ($M)</t>
        </is>
      </c>
      <c r="C15" s="15" t="n">
        <v>28</v>
      </c>
    </row>
    <row r="16">
      <c r="B16" s="14" t="inlineStr">
        <is>
          <t>Entry EV / EBITDA Multiple (x)</t>
        </is>
      </c>
      <c r="C16" s="19" t="n">
        <v>8.5</v>
      </c>
    </row>
    <row r="17">
      <c r="B17" s="14" t="inlineStr">
        <is>
          <t>Entry Net Debt ($M)</t>
        </is>
      </c>
      <c r="C17" s="15" t="n">
        <v>88</v>
      </c>
    </row>
    <row r="18">
      <c r="B18" s="14" t="inlineStr">
        <is>
          <t>Entry Enterprise Value ($M)</t>
        </is>
      </c>
      <c r="C18" s="17">
        <f>Assumptions!$C$15*Assumptions!$C$16</f>
        <v/>
      </c>
    </row>
    <row r="19">
      <c r="B19" s="14" t="inlineStr">
        <is>
          <t>EBITDA Growth Rate (%/yr)</t>
        </is>
      </c>
      <c r="C19" s="16" t="n">
        <v>0.08</v>
      </c>
    </row>
    <row r="20">
      <c r="B20" s="14" t="inlineStr">
        <is>
          <t>FCF Conversion (% of EBITDA)</t>
        </is>
      </c>
      <c r="C20" s="16" t="n">
        <v>0.45</v>
      </c>
    </row>
    <row r="21">
      <c r="B21" s="14" t="inlineStr">
        <is>
          <t>Exit EV / EBITDA Multiple (x)</t>
        </is>
      </c>
      <c r="C21" s="19" t="n">
        <v>8</v>
      </c>
    </row>
    <row r="22">
      <c r="B22" s="14" t="inlineStr">
        <is>
          <t>Interim Dividend - Year 3 ($M)</t>
        </is>
      </c>
      <c r="C22" s="15" t="n">
        <v>8</v>
      </c>
    </row>
    <row r="23">
      <c r="B23" s="14" t="inlineStr">
        <is>
          <t>Interim Dividend - Year 4 ($M)</t>
        </is>
      </c>
      <c r="C23" s="15" t="n">
        <v>10</v>
      </c>
    </row>
    <row r="24"/>
    <row r="25">
      <c r="B25" s="6" t="inlineStr">
        <is>
          <t>Waterfall Terms</t>
        </is>
      </c>
    </row>
    <row r="26">
      <c r="B26" s="14" t="inlineStr">
        <is>
          <t>Preferred Return Rate (annual, simple on unreturned capital)</t>
        </is>
      </c>
      <c r="C26" s="16" t="n">
        <v>0.08</v>
      </c>
    </row>
    <row r="27">
      <c r="B27" s="14" t="inlineStr">
        <is>
          <t>GP Catch-Up %</t>
        </is>
      </c>
      <c r="C27" s="16" t="n">
        <v>1</v>
      </c>
    </row>
    <row r="28">
      <c r="B28" s="14" t="inlineStr">
        <is>
          <t>Carried Interest % (GP, Tier 4)</t>
        </is>
      </c>
      <c r="C28" s="16" t="n">
        <v>0.2</v>
      </c>
    </row>
    <row r="29">
      <c r="B29" s="14" t="inlineStr">
        <is>
          <t>LP Residual % (Tier 4)</t>
        </is>
      </c>
      <c r="C29" s="20">
        <f>1-Assumptions!$C$28</f>
        <v/>
      </c>
    </row>
    <row r="30"/>
    <row r="31">
      <c r="B31" s="21" t="inlineStr">
        <is>
          <t>Note: Tier 2 preferred return is paid to LP and GP pro-rata on their own unreturned capital (standard treatment used in this model - see Read Me). Tier 3 GP catch-up target = [Carry % / (1 − Carry %)] × cumulative Tier 2 distributions (LP+GP).</t>
        </is>
      </c>
    </row>
    <row r="32"/>
    <row r="33"/>
    <row r="34"/>
  </sheetData>
  <mergeCells count="6">
    <mergeCell ref="B3:D3"/>
    <mergeCell ref="B5:D5"/>
    <mergeCell ref="B14:D14"/>
    <mergeCell ref="B31:D34"/>
    <mergeCell ref="B25:D25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H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 ht="20" customHeight="1">
      <c r="B2" s="11" t="inlineStr">
        <is>
          <t>Deal Cash Flows - Project Longhorn (Underlying Company)</t>
        </is>
      </c>
    </row>
    <row r="3">
      <c r="B3" s="13" t="inlineStr">
        <is>
          <t>Amounts in $ millions ($M). Investment at end of Year 0; exit at end of Year 5.</t>
        </is>
      </c>
    </row>
    <row r="4"/>
    <row r="5">
      <c r="B5" s="22" t="inlineStr">
        <is>
          <t>Year</t>
        </is>
      </c>
      <c r="C5" s="23" t="inlineStr">
        <is>
          <t>Year 0</t>
        </is>
      </c>
      <c r="D5" s="23" t="inlineStr">
        <is>
          <t>Year 1</t>
        </is>
      </c>
      <c r="E5" s="23" t="inlineStr">
        <is>
          <t>Year 2</t>
        </is>
      </c>
      <c r="F5" s="23" t="inlineStr">
        <is>
          <t>Year 3</t>
        </is>
      </c>
      <c r="G5" s="23" t="inlineStr">
        <is>
          <t>Year 4</t>
        </is>
      </c>
      <c r="H5" s="23" t="inlineStr">
        <is>
          <t>Year 5</t>
        </is>
      </c>
    </row>
    <row r="6">
      <c r="B6" s="6" t="inlineStr">
        <is>
          <t>Operating Roll-Forward</t>
        </is>
      </c>
    </row>
    <row r="7">
      <c r="B7" s="14" t="inlineStr">
        <is>
          <t>EBITDA ($M)</t>
        </is>
      </c>
      <c r="C7" s="24">
        <f>Assumptions!$C$15</f>
        <v/>
      </c>
      <c r="D7" s="24">
        <f>C7*(1+Assumptions!$C$19)</f>
        <v/>
      </c>
      <c r="E7" s="24">
        <f>D7*(1+Assumptions!$C$19)</f>
        <v/>
      </c>
      <c r="F7" s="24">
        <f>E7*(1+Assumptions!$C$19)</f>
        <v/>
      </c>
      <c r="G7" s="24">
        <f>F7*(1+Assumptions!$C$19)</f>
        <v/>
      </c>
      <c r="H7" s="24">
        <f>G7*(1+Assumptions!$C$19)</f>
        <v/>
      </c>
    </row>
    <row r="8">
      <c r="B8" s="14" t="inlineStr">
        <is>
          <t>Free Cash Flow ($M)  [= EBITDA × FCF Conversion]</t>
        </is>
      </c>
      <c r="C8" s="24">
        <f>0</f>
        <v/>
      </c>
      <c r="D8" s="24">
        <f>D7*Assumptions!$C$20</f>
        <v/>
      </c>
      <c r="E8" s="24">
        <f>E7*Assumptions!$C$20</f>
        <v/>
      </c>
      <c r="F8" s="24">
        <f>F7*Assumptions!$C$20</f>
        <v/>
      </c>
      <c r="G8" s="24">
        <f>G7*Assumptions!$C$20</f>
        <v/>
      </c>
      <c r="H8" s="24">
        <f>H7*Assumptions!$C$20</f>
        <v/>
      </c>
    </row>
    <row r="9">
      <c r="B9" s="6" t="inlineStr">
        <is>
          <t>Debt Schedule</t>
        </is>
      </c>
    </row>
    <row r="10">
      <c r="B10" s="14" t="inlineStr">
        <is>
          <t>Beginning Net Debt ($M)</t>
        </is>
      </c>
      <c r="C10" s="24">
        <f>Assumptions!$C$17</f>
        <v/>
      </c>
      <c r="D10" s="24">
        <f>C12</f>
        <v/>
      </c>
      <c r="E10" s="24">
        <f>D12</f>
        <v/>
      </c>
      <c r="F10" s="24">
        <f>E12</f>
        <v/>
      </c>
      <c r="G10" s="24">
        <f>F12</f>
        <v/>
      </c>
      <c r="H10" s="24">
        <f>G12</f>
        <v/>
      </c>
    </row>
    <row r="11">
      <c r="B11" s="14" t="inlineStr">
        <is>
          <t>Debt Paydown ($M)  [= FCF − Dividend]</t>
        </is>
      </c>
      <c r="C11" s="24">
        <f>0</f>
        <v/>
      </c>
      <c r="D11" s="24">
        <f>D8-D14</f>
        <v/>
      </c>
      <c r="E11" s="24">
        <f>E8-E14</f>
        <v/>
      </c>
      <c r="F11" s="24">
        <f>F8-F14</f>
        <v/>
      </c>
      <c r="G11" s="24">
        <f>G8-G14</f>
        <v/>
      </c>
      <c r="H11" s="24">
        <f>H8-H14</f>
        <v/>
      </c>
    </row>
    <row r="12">
      <c r="B12" s="14" t="inlineStr">
        <is>
          <t>Ending Net Debt ($M)</t>
        </is>
      </c>
      <c r="C12" s="24">
        <f>C10</f>
        <v/>
      </c>
      <c r="D12" s="24">
        <f>MAX(0,D10-D11)</f>
        <v/>
      </c>
      <c r="E12" s="24">
        <f>MAX(0,E10-E11)</f>
        <v/>
      </c>
      <c r="F12" s="24">
        <f>MAX(0,F10-F11)</f>
        <v/>
      </c>
      <c r="G12" s="24">
        <f>MAX(0,G10-G11)</f>
        <v/>
      </c>
      <c r="H12" s="24">
        <f>MAX(0,H10-H11)</f>
        <v/>
      </c>
    </row>
    <row r="13"/>
    <row r="14">
      <c r="B14" s="14" t="inlineStr">
        <is>
          <t>Interim Dividend Paid ($M)</t>
        </is>
      </c>
      <c r="C14" s="24">
        <f>0</f>
        <v/>
      </c>
      <c r="D14" s="24">
        <f>0</f>
        <v/>
      </c>
      <c r="E14" s="24">
        <f>0</f>
        <v/>
      </c>
      <c r="F14" s="24">
        <f>Assumptions!$C$22</f>
        <v/>
      </c>
      <c r="G14" s="24">
        <f>Assumptions!$C$23</f>
        <v/>
      </c>
      <c r="H14" s="24">
        <f>0</f>
        <v/>
      </c>
    </row>
    <row r="15">
      <c r="B15" s="6" t="inlineStr">
        <is>
          <t>Exit</t>
        </is>
      </c>
    </row>
    <row r="16">
      <c r="B16" s="14" t="inlineStr">
        <is>
          <t>Exit Enterprise Value ($M)  [= Exit Multiple × Year 5 EBITDA]</t>
        </is>
      </c>
      <c r="C16" s="24">
        <f>0</f>
        <v/>
      </c>
      <c r="D16" s="24">
        <f>0</f>
        <v/>
      </c>
      <c r="E16" s="24">
        <f>0</f>
        <v/>
      </c>
      <c r="F16" s="24">
        <f>0</f>
        <v/>
      </c>
      <c r="G16" s="24">
        <f>0</f>
        <v/>
      </c>
      <c r="H16" s="24">
        <f>Assumptions!$C$21*H7</f>
        <v/>
      </c>
    </row>
    <row r="17">
      <c r="B17" s="14" t="inlineStr">
        <is>
          <t>Exit Equity Proceeds ($M)  [= Exit EV − Ending Net Debt]</t>
        </is>
      </c>
      <c r="C17" s="24">
        <f>0</f>
        <v/>
      </c>
      <c r="D17" s="24">
        <f>0</f>
        <v/>
      </c>
      <c r="E17" s="24">
        <f>0</f>
        <v/>
      </c>
      <c r="F17" s="24">
        <f>0</f>
        <v/>
      </c>
      <c r="G17" s="24">
        <f>0</f>
        <v/>
      </c>
      <c r="H17" s="24">
        <f>H16-H12</f>
        <v/>
      </c>
    </row>
    <row r="18">
      <c r="B18" s="6" t="inlineStr">
        <is>
          <t>Total Equity Cash Flow</t>
        </is>
      </c>
    </row>
    <row r="19">
      <c r="B19" s="25" t="inlineStr">
        <is>
          <t>Total Equity Cash Flow ($M)</t>
        </is>
      </c>
      <c r="C19" s="26">
        <f>-Assumptions!$C$6</f>
        <v/>
      </c>
      <c r="D19" s="26">
        <f>0</f>
        <v/>
      </c>
      <c r="E19" s="26">
        <f>0</f>
        <v/>
      </c>
      <c r="F19" s="26">
        <f>F14</f>
        <v/>
      </c>
      <c r="G19" s="26">
        <f>G14</f>
        <v/>
      </c>
      <c r="H19" s="26">
        <f>H14+H17</f>
        <v/>
      </c>
    </row>
  </sheetData>
  <mergeCells count="6">
    <mergeCell ref="B9:H9"/>
    <mergeCell ref="B18:H18"/>
    <mergeCell ref="B6:H6"/>
    <mergeCell ref="B2:H2"/>
    <mergeCell ref="B15:H15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5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/>
    <row r="2" ht="20" customHeight="1">
      <c r="B2" s="11" t="inlineStr">
        <is>
          <t>Waterfall - 4-Tier American (Deal-by-Deal) Cascade</t>
        </is>
      </c>
    </row>
    <row r="3">
      <c r="B3" s="13" t="inlineStr">
        <is>
          <t>Amounts in $ millions ($M). Cascades top to bottom; MIN/MAX formulas prevent over-distribution.</t>
        </is>
      </c>
    </row>
    <row r="4"/>
    <row r="5">
      <c r="B5" s="22" t="inlineStr">
        <is>
          <t>Year</t>
        </is>
      </c>
      <c r="C5" s="23" t="inlineStr">
        <is>
          <t>Year 0</t>
        </is>
      </c>
      <c r="D5" s="23" t="inlineStr">
        <is>
          <t>Year 1</t>
        </is>
      </c>
      <c r="E5" s="23" t="inlineStr">
        <is>
          <t>Year 2</t>
        </is>
      </c>
      <c r="F5" s="23" t="inlineStr">
        <is>
          <t>Year 3</t>
        </is>
      </c>
      <c r="G5" s="23" t="inlineStr">
        <is>
          <t>Year 4</t>
        </is>
      </c>
      <c r="H5" s="23" t="inlineStr">
        <is>
          <t>Year 5</t>
        </is>
      </c>
    </row>
    <row r="6">
      <c r="B6" s="6" t="inlineStr">
        <is>
          <t>Capital Contributions &amp; Cash Available</t>
        </is>
      </c>
    </row>
    <row r="7">
      <c r="B7" s="14" t="inlineStr">
        <is>
          <t>LP Contribution ($M)</t>
        </is>
      </c>
      <c r="C7" s="24">
        <f>Assumptions!$C$9</f>
        <v/>
      </c>
      <c r="D7" s="24">
        <f>0</f>
        <v/>
      </c>
      <c r="E7" s="24">
        <f>0</f>
        <v/>
      </c>
      <c r="F7" s="24">
        <f>0</f>
        <v/>
      </c>
      <c r="G7" s="24">
        <f>0</f>
        <v/>
      </c>
      <c r="H7" s="24">
        <f>0</f>
        <v/>
      </c>
    </row>
    <row r="8">
      <c r="B8" s="14" t="inlineStr">
        <is>
          <t>GP Contribution ($M)</t>
        </is>
      </c>
      <c r="C8" s="24">
        <f>Assumptions!$C$10</f>
        <v/>
      </c>
      <c r="D8" s="24">
        <f>0</f>
        <v/>
      </c>
      <c r="E8" s="24">
        <f>0</f>
        <v/>
      </c>
      <c r="F8" s="24">
        <f>0</f>
        <v/>
      </c>
      <c r="G8" s="24">
        <f>0</f>
        <v/>
      </c>
      <c r="H8" s="24">
        <f>0</f>
        <v/>
      </c>
    </row>
    <row r="9">
      <c r="B9" s="25" t="inlineStr">
        <is>
          <t>Cash Available for Distribution ($M)</t>
        </is>
      </c>
      <c r="C9" s="27">
        <f>MAX('Deal Cash Flows'!C19,0)</f>
        <v/>
      </c>
      <c r="D9" s="27">
        <f>MAX('Deal Cash Flows'!D19,0)</f>
        <v/>
      </c>
      <c r="E9" s="27">
        <f>MAX('Deal Cash Flows'!E19,0)</f>
        <v/>
      </c>
      <c r="F9" s="27">
        <f>MAX('Deal Cash Flows'!F19,0)</f>
        <v/>
      </c>
      <c r="G9" s="27">
        <f>MAX('Deal Cash Flows'!G19,0)</f>
        <v/>
      </c>
      <c r="H9" s="27">
        <f>MAX('Deal Cash Flows'!H19,0)</f>
        <v/>
      </c>
    </row>
    <row r="10"/>
    <row r="11">
      <c r="B11" s="6" t="inlineStr">
        <is>
          <t>TIER 1 - Return of Capital (pro-rata 90/10 until fully returned)</t>
        </is>
      </c>
    </row>
    <row r="12">
      <c r="B12" s="14" t="inlineStr">
        <is>
          <t>LP Unreturned Capital - Beginning ($M)</t>
        </is>
      </c>
      <c r="C12" s="24">
        <f>0</f>
        <v/>
      </c>
      <c r="D12" s="24">
        <f>C17</f>
        <v/>
      </c>
      <c r="E12" s="24">
        <f>D17</f>
        <v/>
      </c>
      <c r="F12" s="24">
        <f>E17</f>
        <v/>
      </c>
      <c r="G12" s="24">
        <f>F17</f>
        <v/>
      </c>
      <c r="H12" s="24">
        <f>G17</f>
        <v/>
      </c>
    </row>
    <row r="13">
      <c r="B13" s="14" t="inlineStr">
        <is>
          <t>GP Unreturned Capital - Beginning ($M)</t>
        </is>
      </c>
      <c r="C13" s="24">
        <f>0</f>
        <v/>
      </c>
      <c r="D13" s="24">
        <f>C18</f>
        <v/>
      </c>
      <c r="E13" s="24">
        <f>D18</f>
        <v/>
      </c>
      <c r="F13" s="24">
        <f>E18</f>
        <v/>
      </c>
      <c r="G13" s="24">
        <f>F18</f>
        <v/>
      </c>
      <c r="H13" s="24">
        <f>G18</f>
        <v/>
      </c>
    </row>
    <row r="14">
      <c r="B14" s="14" t="inlineStr">
        <is>
          <t>Tier 1 Distributable ($M)</t>
        </is>
      </c>
      <c r="C14" s="24">
        <f>MIN(C9,C12+C13)</f>
        <v/>
      </c>
      <c r="D14" s="24">
        <f>MIN(D9,D12+D13)</f>
        <v/>
      </c>
      <c r="E14" s="24">
        <f>MIN(E9,E12+E13)</f>
        <v/>
      </c>
      <c r="F14" s="24">
        <f>MIN(F9,F12+F13)</f>
        <v/>
      </c>
      <c r="G14" s="24">
        <f>MIN(G9,G12+G13)</f>
        <v/>
      </c>
      <c r="H14" s="24">
        <f>MIN(H9,H12+H13)</f>
        <v/>
      </c>
    </row>
    <row r="15">
      <c r="B15" s="14" t="inlineStr">
        <is>
          <t>Tier 1 Distribution - LP ($M)</t>
        </is>
      </c>
      <c r="C15" s="24">
        <f>IF((C12+C13)=0,0,C14*C12/(C12+C13))</f>
        <v/>
      </c>
      <c r="D15" s="24">
        <f>IF((D12+D13)=0,0,D14*D12/(D12+D13))</f>
        <v/>
      </c>
      <c r="E15" s="24">
        <f>IF((E12+E13)=0,0,E14*E12/(E12+E13))</f>
        <v/>
      </c>
      <c r="F15" s="24">
        <f>IF((F12+F13)=0,0,F14*F12/(F12+F13))</f>
        <v/>
      </c>
      <c r="G15" s="24">
        <f>IF((G12+G13)=0,0,G14*G12/(G12+G13))</f>
        <v/>
      </c>
      <c r="H15" s="24">
        <f>IF((H12+H13)=0,0,H14*H12/(H12+H13))</f>
        <v/>
      </c>
    </row>
    <row r="16">
      <c r="B16" s="14" t="inlineStr">
        <is>
          <t>Tier 1 Distribution - GP ($M)</t>
        </is>
      </c>
      <c r="C16" s="24">
        <f>C14-C15</f>
        <v/>
      </c>
      <c r="D16" s="24">
        <f>D14-D15</f>
        <v/>
      </c>
      <c r="E16" s="24">
        <f>E14-E15</f>
        <v/>
      </c>
      <c r="F16" s="24">
        <f>F14-F15</f>
        <v/>
      </c>
      <c r="G16" s="24">
        <f>G14-G15</f>
        <v/>
      </c>
      <c r="H16" s="24">
        <f>H14-H15</f>
        <v/>
      </c>
    </row>
    <row r="17">
      <c r="B17" s="14" t="inlineStr">
        <is>
          <t>LP Unreturned Capital - Ending ($M)</t>
        </is>
      </c>
      <c r="C17" s="24">
        <f>C12+C7-C15</f>
        <v/>
      </c>
      <c r="D17" s="24">
        <f>D12+D7-D15</f>
        <v/>
      </c>
      <c r="E17" s="24">
        <f>E12+E7-E15</f>
        <v/>
      </c>
      <c r="F17" s="24">
        <f>F12+F7-F15</f>
        <v/>
      </c>
      <c r="G17" s="24">
        <f>G12+G7-G15</f>
        <v/>
      </c>
      <c r="H17" s="24">
        <f>H12+H7-H15</f>
        <v/>
      </c>
    </row>
    <row r="18">
      <c r="B18" s="14" t="inlineStr">
        <is>
          <t>GP Unreturned Capital - Ending ($M)</t>
        </is>
      </c>
      <c r="C18" s="24">
        <f>C13+C8-C16</f>
        <v/>
      </c>
      <c r="D18" s="24">
        <f>D13+D8-D16</f>
        <v/>
      </c>
      <c r="E18" s="24">
        <f>E13+E8-E16</f>
        <v/>
      </c>
      <c r="F18" s="24">
        <f>F13+F8-F16</f>
        <v/>
      </c>
      <c r="G18" s="24">
        <f>G13+G8-G16</f>
        <v/>
      </c>
      <c r="H18" s="24">
        <f>H13+H8-H16</f>
        <v/>
      </c>
    </row>
    <row r="19">
      <c r="B19" s="25" t="inlineStr">
        <is>
          <t>Remaining Cash after Tier 1 ($M)</t>
        </is>
      </c>
      <c r="C19" s="27">
        <f>C9-C14</f>
        <v/>
      </c>
      <c r="D19" s="27">
        <f>D9-D14</f>
        <v/>
      </c>
      <c r="E19" s="27">
        <f>E9-E14</f>
        <v/>
      </c>
      <c r="F19" s="27">
        <f>F9-F14</f>
        <v/>
      </c>
      <c r="G19" s="27">
        <f>G9-G14</f>
        <v/>
      </c>
      <c r="H19" s="27">
        <f>H9-H14</f>
        <v/>
      </c>
    </row>
    <row r="20"/>
    <row r="21">
      <c r="B21" s="6" t="inlineStr">
        <is>
          <t>TIER 2 - Preferred Return (8% annually compounded, pro-rata LP/GP on unreturned capital)</t>
        </is>
      </c>
    </row>
    <row r="22">
      <c r="B22" s="14" t="inlineStr">
        <is>
          <t>LP Pref Accrual - This Year ($M)</t>
        </is>
      </c>
      <c r="C22" s="24">
        <f>C12*Assumptions!$C$26</f>
        <v/>
      </c>
      <c r="D22" s="24">
        <f>D12*Assumptions!$C$26</f>
        <v/>
      </c>
      <c r="E22" s="24">
        <f>E12*Assumptions!$C$26</f>
        <v/>
      </c>
      <c r="F22" s="24">
        <f>F12*Assumptions!$C$26</f>
        <v/>
      </c>
      <c r="G22" s="24">
        <f>G12*Assumptions!$C$26</f>
        <v/>
      </c>
      <c r="H22" s="24">
        <f>H12*Assumptions!$C$26</f>
        <v/>
      </c>
    </row>
    <row r="23">
      <c r="B23" s="14" t="inlineStr">
        <is>
          <t>GP Pref Accrual - This Year ($M)</t>
        </is>
      </c>
      <c r="C23" s="24">
        <f>C13*Assumptions!$C$26</f>
        <v/>
      </c>
      <c r="D23" s="24">
        <f>D13*Assumptions!$C$26</f>
        <v/>
      </c>
      <c r="E23" s="24">
        <f>E13*Assumptions!$C$26</f>
        <v/>
      </c>
      <c r="F23" s="24">
        <f>F13*Assumptions!$C$26</f>
        <v/>
      </c>
      <c r="G23" s="24">
        <f>G13*Assumptions!$C$26</f>
        <v/>
      </c>
      <c r="H23" s="24">
        <f>H13*Assumptions!$C$26</f>
        <v/>
      </c>
    </row>
    <row r="24">
      <c r="B24" s="14" t="inlineStr">
        <is>
          <t>LP Unpaid Pref - Beginning ($M)</t>
        </is>
      </c>
      <c r="C24" s="24">
        <f>0</f>
        <v/>
      </c>
      <c r="D24" s="24">
        <f>C31</f>
        <v/>
      </c>
      <c r="E24" s="24">
        <f>D31</f>
        <v/>
      </c>
      <c r="F24" s="24">
        <f>E31</f>
        <v/>
      </c>
      <c r="G24" s="24">
        <f>F31</f>
        <v/>
      </c>
      <c r="H24" s="24">
        <f>G31</f>
        <v/>
      </c>
    </row>
    <row r="25">
      <c r="B25" s="14" t="inlineStr">
        <is>
          <t>GP Unpaid Pref - Beginning ($M)</t>
        </is>
      </c>
      <c r="C25" s="24">
        <f>0</f>
        <v/>
      </c>
      <c r="D25" s="24">
        <f>C32</f>
        <v/>
      </c>
      <c r="E25" s="24">
        <f>D32</f>
        <v/>
      </c>
      <c r="F25" s="24">
        <f>E32</f>
        <v/>
      </c>
      <c r="G25" s="24">
        <f>F32</f>
        <v/>
      </c>
      <c r="H25" s="24">
        <f>G32</f>
        <v/>
      </c>
    </row>
    <row r="26">
      <c r="B26" s="14" t="inlineStr">
        <is>
          <t>LP Pref Available (Beginning + Accrual) ($M)</t>
        </is>
      </c>
      <c r="C26" s="24">
        <f>C24+C22</f>
        <v/>
      </c>
      <c r="D26" s="24">
        <f>D24+D22</f>
        <v/>
      </c>
      <c r="E26" s="24">
        <f>E24+E22</f>
        <v/>
      </c>
      <c r="F26" s="24">
        <f>F24+F22</f>
        <v/>
      </c>
      <c r="G26" s="24">
        <f>G24+G22</f>
        <v/>
      </c>
      <c r="H26" s="24">
        <f>H24+H22</f>
        <v/>
      </c>
    </row>
    <row r="27">
      <c r="B27" s="14" t="inlineStr">
        <is>
          <t>GP Pref Available (Beginning + Accrual) ($M)</t>
        </is>
      </c>
      <c r="C27" s="24">
        <f>C25+C23</f>
        <v/>
      </c>
      <c r="D27" s="24">
        <f>D25+D23</f>
        <v/>
      </c>
      <c r="E27" s="24">
        <f>E25+E23</f>
        <v/>
      </c>
      <c r="F27" s="24">
        <f>F25+F23</f>
        <v/>
      </c>
      <c r="G27" s="24">
        <f>G25+G23</f>
        <v/>
      </c>
      <c r="H27" s="24">
        <f>H25+H23</f>
        <v/>
      </c>
    </row>
    <row r="28">
      <c r="B28" s="14" t="inlineStr">
        <is>
          <t>Tier 2 Distributable ($M)</t>
        </is>
      </c>
      <c r="C28" s="24">
        <f>MIN(C19,C26+C27)</f>
        <v/>
      </c>
      <c r="D28" s="24">
        <f>MIN(D19,D26+D27)</f>
        <v/>
      </c>
      <c r="E28" s="24">
        <f>MIN(E19,E26+E27)</f>
        <v/>
      </c>
      <c r="F28" s="24">
        <f>MIN(F19,F26+F27)</f>
        <v/>
      </c>
      <c r="G28" s="24">
        <f>MIN(G19,G26+G27)</f>
        <v/>
      </c>
      <c r="H28" s="24">
        <f>MIN(H19,H26+H27)</f>
        <v/>
      </c>
    </row>
    <row r="29">
      <c r="B29" s="14" t="inlineStr">
        <is>
          <t>Tier 2 Distribution - LP ($M)</t>
        </is>
      </c>
      <c r="C29" s="24">
        <f>IF((C26+C27)=0,0,C28*C26/(C26+C27))</f>
        <v/>
      </c>
      <c r="D29" s="24">
        <f>IF((D26+D27)=0,0,D28*D26/(D26+D27))</f>
        <v/>
      </c>
      <c r="E29" s="24">
        <f>IF((E26+E27)=0,0,E28*E26/(E26+E27))</f>
        <v/>
      </c>
      <c r="F29" s="24">
        <f>IF((F26+F27)=0,0,F28*F26/(F26+F27))</f>
        <v/>
      </c>
      <c r="G29" s="24">
        <f>IF((G26+G27)=0,0,G28*G26/(G26+G27))</f>
        <v/>
      </c>
      <c r="H29" s="24">
        <f>IF((H26+H27)=0,0,H28*H26/(H26+H27))</f>
        <v/>
      </c>
    </row>
    <row r="30">
      <c r="B30" s="14" t="inlineStr">
        <is>
          <t>Tier 2 Distribution - GP ($M)</t>
        </is>
      </c>
      <c r="C30" s="24">
        <f>C28-C29</f>
        <v/>
      </c>
      <c r="D30" s="24">
        <f>D28-D29</f>
        <v/>
      </c>
      <c r="E30" s="24">
        <f>E28-E29</f>
        <v/>
      </c>
      <c r="F30" s="24">
        <f>F28-F29</f>
        <v/>
      </c>
      <c r="G30" s="24">
        <f>G28-G29</f>
        <v/>
      </c>
      <c r="H30" s="24">
        <f>H28-H29</f>
        <v/>
      </c>
    </row>
    <row r="31">
      <c r="B31" s="14" t="inlineStr">
        <is>
          <t>LP Unpaid Pref - Ending ($M)</t>
        </is>
      </c>
      <c r="C31" s="24">
        <f>C26-C29</f>
        <v/>
      </c>
      <c r="D31" s="24">
        <f>D26-D29</f>
        <v/>
      </c>
      <c r="E31" s="24">
        <f>E26-E29</f>
        <v/>
      </c>
      <c r="F31" s="24">
        <f>F26-F29</f>
        <v/>
      </c>
      <c r="G31" s="24">
        <f>G26-G29</f>
        <v/>
      </c>
      <c r="H31" s="24">
        <f>H26-H29</f>
        <v/>
      </c>
    </row>
    <row r="32">
      <c r="B32" s="14" t="inlineStr">
        <is>
          <t>GP Unpaid Pref - Ending ($M)</t>
        </is>
      </c>
      <c r="C32" s="24">
        <f>C27-C30</f>
        <v/>
      </c>
      <c r="D32" s="24">
        <f>D27-D30</f>
        <v/>
      </c>
      <c r="E32" s="24">
        <f>E27-E30</f>
        <v/>
      </c>
      <c r="F32" s="24">
        <f>F27-F30</f>
        <v/>
      </c>
      <c r="G32" s="24">
        <f>G27-G30</f>
        <v/>
      </c>
      <c r="H32" s="24">
        <f>H27-H30</f>
        <v/>
      </c>
    </row>
    <row r="33">
      <c r="B33" s="25" t="inlineStr">
        <is>
          <t>Remaining Cash after Tier 2 ($M)</t>
        </is>
      </c>
      <c r="C33" s="27">
        <f>C19-C28</f>
        <v/>
      </c>
      <c r="D33" s="27">
        <f>D19-D28</f>
        <v/>
      </c>
      <c r="E33" s="27">
        <f>E19-E28</f>
        <v/>
      </c>
      <c r="F33" s="27">
        <f>F19-F28</f>
        <v/>
      </c>
      <c r="G33" s="27">
        <f>G19-G28</f>
        <v/>
      </c>
      <c r="H33" s="27">
        <f>H19-H28</f>
        <v/>
      </c>
    </row>
    <row r="34">
      <c r="B34" s="14" t="inlineStr">
        <is>
          <t>Cumulative Tier 2 Distributed - Total ($M)</t>
        </is>
      </c>
      <c r="C34" s="24">
        <f>C28</f>
        <v/>
      </c>
      <c r="D34" s="24">
        <f>C34+D28</f>
        <v/>
      </c>
      <c r="E34" s="24">
        <f>D34+E28</f>
        <v/>
      </c>
      <c r="F34" s="24">
        <f>E34+F28</f>
        <v/>
      </c>
      <c r="G34" s="24">
        <f>F34+G28</f>
        <v/>
      </c>
      <c r="H34" s="24">
        <f>G34+H28</f>
        <v/>
      </c>
    </row>
    <row r="35">
      <c r="B35" s="14" t="inlineStr">
        <is>
          <t>Cumulative Tier 2 Distributed - LP ($M)</t>
        </is>
      </c>
      <c r="C35" s="24">
        <f>C29</f>
        <v/>
      </c>
      <c r="D35" s="24">
        <f>C35+D29</f>
        <v/>
      </c>
      <c r="E35" s="24">
        <f>D35+E29</f>
        <v/>
      </c>
      <c r="F35" s="24">
        <f>E35+F29</f>
        <v/>
      </c>
      <c r="G35" s="24">
        <f>F35+G29</f>
        <v/>
      </c>
      <c r="H35" s="24">
        <f>G35+H29</f>
        <v/>
      </c>
    </row>
    <row r="36"/>
    <row r="37">
      <c r="B37" s="6" t="inlineStr">
        <is>
          <t>TIER 3 - GP Catch-Up (100% to GP until target profit share reached)</t>
        </is>
      </c>
    </row>
    <row r="38">
      <c r="B38" s="14" t="inlineStr">
        <is>
          <t>Cumulative GP Catch-Up Target ($M)</t>
        </is>
      </c>
      <c r="C38" s="24">
        <f>(Assumptions!$C$28/(1-Assumptions!$C$28))*C34</f>
        <v/>
      </c>
      <c r="D38" s="24">
        <f>(Assumptions!$C$28/(1-Assumptions!$C$28))*D34</f>
        <v/>
      </c>
      <c r="E38" s="24">
        <f>(Assumptions!$C$28/(1-Assumptions!$C$28))*E34</f>
        <v/>
      </c>
      <c r="F38" s="24">
        <f>(Assumptions!$C$28/(1-Assumptions!$C$28))*F34</f>
        <v/>
      </c>
      <c r="G38" s="24">
        <f>(Assumptions!$C$28/(1-Assumptions!$C$28))*G34</f>
        <v/>
      </c>
      <c r="H38" s="24">
        <f>(Assumptions!$C$28/(1-Assumptions!$C$28))*H34</f>
        <v/>
      </c>
    </row>
    <row r="39">
      <c r="B39" s="14" t="inlineStr">
        <is>
          <t>Cumulative GP Catch-Up Paid - Beginning ($M)</t>
        </is>
      </c>
      <c r="C39" s="24">
        <f>0</f>
        <v/>
      </c>
      <c r="D39" s="24">
        <f>C41</f>
        <v/>
      </c>
      <c r="E39" s="24">
        <f>D41</f>
        <v/>
      </c>
      <c r="F39" s="24">
        <f>E41</f>
        <v/>
      </c>
      <c r="G39" s="24">
        <f>F41</f>
        <v/>
      </c>
      <c r="H39" s="24">
        <f>G41</f>
        <v/>
      </c>
    </row>
    <row r="40">
      <c r="B40" s="14" t="inlineStr">
        <is>
          <t>Tier 3 Distribution - GP Catch-Up ($M)</t>
        </is>
      </c>
      <c r="C40" s="24">
        <f>MIN(C33,MAX(0,C38-C39))*Assumptions!$C$27</f>
        <v/>
      </c>
      <c r="D40" s="24">
        <f>MIN(D33,MAX(0,D38-D39))*Assumptions!$C$27</f>
        <v/>
      </c>
      <c r="E40" s="24">
        <f>MIN(E33,MAX(0,E38-E39))*Assumptions!$C$27</f>
        <v/>
      </c>
      <c r="F40" s="24">
        <f>MIN(F33,MAX(0,F38-F39))*Assumptions!$C$27</f>
        <v/>
      </c>
      <c r="G40" s="24">
        <f>MIN(G33,MAX(0,G38-G39))*Assumptions!$C$27</f>
        <v/>
      </c>
      <c r="H40" s="24">
        <f>MIN(H33,MAX(0,H38-H39))*Assumptions!$C$27</f>
        <v/>
      </c>
    </row>
    <row r="41">
      <c r="B41" s="14" t="inlineStr">
        <is>
          <t>Cumulative GP Catch-Up Paid - Ending ($M)</t>
        </is>
      </c>
      <c r="C41" s="24">
        <f>C39+C40</f>
        <v/>
      </c>
      <c r="D41" s="24">
        <f>D39+D40</f>
        <v/>
      </c>
      <c r="E41" s="24">
        <f>E39+E40</f>
        <v/>
      </c>
      <c r="F41" s="24">
        <f>F39+F40</f>
        <v/>
      </c>
      <c r="G41" s="24">
        <f>G39+G40</f>
        <v/>
      </c>
      <c r="H41" s="24">
        <f>H39+H40</f>
        <v/>
      </c>
    </row>
    <row r="42">
      <c r="B42" s="25" t="inlineStr">
        <is>
          <t>Remaining Cash after Tier 3 ($M)</t>
        </is>
      </c>
      <c r="C42" s="27">
        <f>C33-C40</f>
        <v/>
      </c>
      <c r="D42" s="27">
        <f>D33-D40</f>
        <v/>
      </c>
      <c r="E42" s="27">
        <f>E33-E40</f>
        <v/>
      </c>
      <c r="F42" s="27">
        <f>F33-F40</f>
        <v/>
      </c>
      <c r="G42" s="27">
        <f>G33-G40</f>
        <v/>
      </c>
      <c r="H42" s="27">
        <f>H33-H40</f>
        <v/>
      </c>
    </row>
    <row r="43"/>
    <row r="44">
      <c r="B44" s="6" t="inlineStr">
        <is>
          <t>TIER 4 - Carried Interest Split (80% LP / 20% GP of residual cash)</t>
        </is>
      </c>
    </row>
    <row r="45">
      <c r="B45" s="14" t="inlineStr">
        <is>
          <t>Tier 4 Distributable ($M)</t>
        </is>
      </c>
      <c r="C45" s="24">
        <f>C42</f>
        <v/>
      </c>
      <c r="D45" s="24">
        <f>D42</f>
        <v/>
      </c>
      <c r="E45" s="24">
        <f>E42</f>
        <v/>
      </c>
      <c r="F45" s="24">
        <f>F42</f>
        <v/>
      </c>
      <c r="G45" s="24">
        <f>G42</f>
        <v/>
      </c>
      <c r="H45" s="24">
        <f>H42</f>
        <v/>
      </c>
    </row>
    <row r="46">
      <c r="B46" s="14" t="inlineStr">
        <is>
          <t>Tier 4 Distribution - LP (80%) ($M)</t>
        </is>
      </c>
      <c r="C46" s="24">
        <f>C45*Assumptions!$C$29</f>
        <v/>
      </c>
      <c r="D46" s="24">
        <f>D45*Assumptions!$C$29</f>
        <v/>
      </c>
      <c r="E46" s="24">
        <f>E45*Assumptions!$C$29</f>
        <v/>
      </c>
      <c r="F46" s="24">
        <f>F45*Assumptions!$C$29</f>
        <v/>
      </c>
      <c r="G46" s="24">
        <f>G45*Assumptions!$C$29</f>
        <v/>
      </c>
      <c r="H46" s="24">
        <f>H45*Assumptions!$C$29</f>
        <v/>
      </c>
    </row>
    <row r="47">
      <c r="B47" s="14" t="inlineStr">
        <is>
          <t>Tier 4 Distribution - GP (20%) ($M)</t>
        </is>
      </c>
      <c r="C47" s="24">
        <f>C45*Assumptions!$C$28</f>
        <v/>
      </c>
      <c r="D47" s="24">
        <f>D45*Assumptions!$C$28</f>
        <v/>
      </c>
      <c r="E47" s="24">
        <f>E45*Assumptions!$C$28</f>
        <v/>
      </c>
      <c r="F47" s="24">
        <f>F45*Assumptions!$C$28</f>
        <v/>
      </c>
      <c r="G47" s="24">
        <f>G45*Assumptions!$C$28</f>
        <v/>
      </c>
      <c r="H47" s="24">
        <f>H45*Assumptions!$C$28</f>
        <v/>
      </c>
    </row>
    <row r="48"/>
    <row r="49">
      <c r="B49" s="6" t="inlineStr">
        <is>
          <t>Total Distributions &amp; Check</t>
        </is>
      </c>
    </row>
    <row r="50">
      <c r="B50" s="25" t="inlineStr">
        <is>
          <t>Total LP Distribution ($M)</t>
        </is>
      </c>
      <c r="C50" s="27">
        <f>C15+C29+C46</f>
        <v/>
      </c>
      <c r="D50" s="27">
        <f>D15+D29+D46</f>
        <v/>
      </c>
      <c r="E50" s="27">
        <f>E15+E29+E46</f>
        <v/>
      </c>
      <c r="F50" s="27">
        <f>F15+F29+F46</f>
        <v/>
      </c>
      <c r="G50" s="27">
        <f>G15+G29+G46</f>
        <v/>
      </c>
      <c r="H50" s="27">
        <f>H15+H29+H46</f>
        <v/>
      </c>
    </row>
    <row r="51">
      <c r="B51" s="25" t="inlineStr">
        <is>
          <t>Total GP Distribution ($M)</t>
        </is>
      </c>
      <c r="C51" s="27">
        <f>C16+C30+C40+C47</f>
        <v/>
      </c>
      <c r="D51" s="27">
        <f>D16+D30+D40+D47</f>
        <v/>
      </c>
      <c r="E51" s="27">
        <f>E16+E30+E40+E47</f>
        <v/>
      </c>
      <c r="F51" s="27">
        <f>F16+F30+F40+F47</f>
        <v/>
      </c>
      <c r="G51" s="27">
        <f>G16+G30+G40+G47</f>
        <v/>
      </c>
      <c r="H51" s="27">
        <f>H16+H30+H40+H47</f>
        <v/>
      </c>
    </row>
    <row r="52">
      <c r="B52" s="14" t="inlineStr">
        <is>
          <t>Check: (LP+GP Distributed) − Cash Available (should = 0)</t>
        </is>
      </c>
      <c r="C52" s="28">
        <f>C50+C51-C9</f>
        <v/>
      </c>
      <c r="D52" s="28">
        <f>D50+D51-D9</f>
        <v/>
      </c>
      <c r="E52" s="28">
        <f>E50+E51-E9</f>
        <v/>
      </c>
      <c r="F52" s="28">
        <f>F50+F51-F9</f>
        <v/>
      </c>
      <c r="G52" s="28">
        <f>G50+G51-G9</f>
        <v/>
      </c>
      <c r="H52" s="28">
        <f>H50+H51-H9</f>
        <v/>
      </c>
    </row>
  </sheetData>
  <mergeCells count="8">
    <mergeCell ref="B49:H49"/>
    <mergeCell ref="B44:H44"/>
    <mergeCell ref="B21:H21"/>
    <mergeCell ref="B6:H6"/>
    <mergeCell ref="B2:H2"/>
    <mergeCell ref="B11:H11"/>
    <mergeCell ref="B3:H3"/>
    <mergeCell ref="B37:H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K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2" customWidth="1" min="10" max="10"/>
    <col width="12" customWidth="1" min="11" max="11"/>
  </cols>
  <sheetData>
    <row r="1"/>
    <row r="2" ht="20" customHeight="1">
      <c r="B2" s="11" t="inlineStr">
        <is>
          <t>Returns Summary</t>
        </is>
      </c>
    </row>
    <row r="3">
      <c r="B3" s="13" t="inlineStr">
        <is>
          <t>Amounts in $ millions ($M). IRR computed on annual net cash flow (Year 0–5).</t>
        </is>
      </c>
    </row>
    <row r="4"/>
    <row r="5">
      <c r="B5" s="6" t="inlineStr">
        <is>
          <t>LP / GP Net Cash Flow by Year (for IRR)</t>
        </is>
      </c>
    </row>
    <row r="6">
      <c r="B6" s="22" t="inlineStr">
        <is>
          <t>Year</t>
        </is>
      </c>
      <c r="C6" s="23" t="inlineStr">
        <is>
          <t>Year 0</t>
        </is>
      </c>
      <c r="D6" s="23" t="inlineStr">
        <is>
          <t>Year 1</t>
        </is>
      </c>
      <c r="E6" s="23" t="inlineStr">
        <is>
          <t>Year 2</t>
        </is>
      </c>
      <c r="F6" s="23" t="inlineStr">
        <is>
          <t>Year 3</t>
        </is>
      </c>
      <c r="G6" s="23" t="inlineStr">
        <is>
          <t>Year 4</t>
        </is>
      </c>
      <c r="H6" s="23" t="inlineStr">
        <is>
          <t>Year 5</t>
        </is>
      </c>
    </row>
    <row r="7">
      <c r="B7" s="14" t="inlineStr">
        <is>
          <t>LP Net Cash Flow ($M)</t>
        </is>
      </c>
      <c r="C7" s="24">
        <f>-Waterfall!C7+Waterfall!C50</f>
        <v/>
      </c>
      <c r="D7" s="24">
        <f>-Waterfall!D7+Waterfall!D50</f>
        <v/>
      </c>
      <c r="E7" s="24">
        <f>-Waterfall!E7+Waterfall!E50</f>
        <v/>
      </c>
      <c r="F7" s="24">
        <f>-Waterfall!F7+Waterfall!F50</f>
        <v/>
      </c>
      <c r="G7" s="24">
        <f>-Waterfall!G7+Waterfall!G50</f>
        <v/>
      </c>
      <c r="H7" s="24">
        <f>-Waterfall!H7+Waterfall!H50</f>
        <v/>
      </c>
    </row>
    <row r="8">
      <c r="B8" s="14" t="inlineStr">
        <is>
          <t>GP Net Cash Flow ($M)</t>
        </is>
      </c>
      <c r="C8" s="24">
        <f>-Waterfall!C8+Waterfall!C51</f>
        <v/>
      </c>
      <c r="D8" s="24">
        <f>-Waterfall!D8+Waterfall!D51</f>
        <v/>
      </c>
      <c r="E8" s="24">
        <f>-Waterfall!E8+Waterfall!E51</f>
        <v/>
      </c>
      <c r="F8" s="24">
        <f>-Waterfall!F8+Waterfall!F51</f>
        <v/>
      </c>
      <c r="G8" s="24">
        <f>-Waterfall!G8+Waterfall!G51</f>
        <v/>
      </c>
      <c r="H8" s="24">
        <f>-Waterfall!H8+Waterfall!H51</f>
        <v/>
      </c>
    </row>
    <row r="9">
      <c r="B9" s="14" t="inlineStr">
        <is>
          <t>Whole-Deal Net Cash Flow ($M)</t>
        </is>
      </c>
      <c r="C9" s="24">
        <f>'Deal Cash Flows'!C19</f>
        <v/>
      </c>
      <c r="D9" s="24">
        <f>'Deal Cash Flows'!D19</f>
        <v/>
      </c>
      <c r="E9" s="24">
        <f>'Deal Cash Flows'!E19</f>
        <v/>
      </c>
      <c r="F9" s="24">
        <f>'Deal Cash Flows'!F19</f>
        <v/>
      </c>
      <c r="G9" s="24">
        <f>'Deal Cash Flows'!G19</f>
        <v/>
      </c>
      <c r="H9" s="24">
        <f>'Deal Cash Flows'!H19</f>
        <v/>
      </c>
    </row>
    <row r="10"/>
    <row r="11">
      <c r="B11" s="6" t="inlineStr">
        <is>
          <t>LP / GP Returns</t>
        </is>
      </c>
    </row>
    <row r="12"/>
    <row r="13">
      <c r="B13" s="29" t="inlineStr"/>
      <c r="C13" s="29" t="inlineStr">
        <is>
          <t>Contributed</t>
        </is>
      </c>
      <c r="D13" s="29" t="inlineStr">
        <is>
          <t>Tier 1 (ROC)</t>
        </is>
      </c>
      <c r="E13" s="29" t="inlineStr">
        <is>
          <t>Tier 2 (Pref)</t>
        </is>
      </c>
      <c r="F13" s="29" t="inlineStr">
        <is>
          <t>Tier 3 (Catch-Up)</t>
        </is>
      </c>
      <c r="G13" s="29" t="inlineStr">
        <is>
          <t>Tier 4 (Carry)</t>
        </is>
      </c>
      <c r="H13" s="29" t="inlineStr">
        <is>
          <t>Total Distributed</t>
        </is>
      </c>
      <c r="I13" s="29" t="inlineStr">
        <is>
          <t>Profit</t>
        </is>
      </c>
      <c r="J13" s="29" t="inlineStr">
        <is>
          <t>IRR</t>
        </is>
      </c>
      <c r="K13" s="29" t="inlineStr">
        <is>
          <t>MOIC (x)</t>
        </is>
      </c>
    </row>
    <row r="14">
      <c r="B14" s="14" t="inlineStr">
        <is>
          <t>LP</t>
        </is>
      </c>
      <c r="C14" s="17">
        <f>SUM(Waterfall!C7:H7)</f>
        <v/>
      </c>
      <c r="D14" s="17">
        <f>SUM(Waterfall!C15:H15)</f>
        <v/>
      </c>
      <c r="E14" s="17">
        <f>SUM(Waterfall!C29:H29)</f>
        <v/>
      </c>
      <c r="F14" s="17">
        <f>0</f>
        <v/>
      </c>
      <c r="G14" s="17">
        <f>SUM(Waterfall!C46:H46)</f>
        <v/>
      </c>
      <c r="H14" s="30">
        <f>D14+E14+F14+G14</f>
        <v/>
      </c>
      <c r="I14" s="17">
        <f>H14-C14</f>
        <v/>
      </c>
      <c r="J14" s="31">
        <f>IRR(C7:H7)</f>
        <v/>
      </c>
      <c r="K14" s="32">
        <f>H14/C14</f>
        <v/>
      </c>
    </row>
    <row r="15">
      <c r="B15" s="14" t="inlineStr">
        <is>
          <t>GP</t>
        </is>
      </c>
      <c r="C15" s="17">
        <f>SUM(Waterfall!C8:H8)</f>
        <v/>
      </c>
      <c r="D15" s="17">
        <f>SUM(Waterfall!C16:H16)</f>
        <v/>
      </c>
      <c r="E15" s="17">
        <f>SUM(Waterfall!C30:H30)</f>
        <v/>
      </c>
      <c r="F15" s="17">
        <f>SUM(Waterfall!C40:H40)</f>
        <v/>
      </c>
      <c r="G15" s="17">
        <f>SUM(Waterfall!C47:H47)</f>
        <v/>
      </c>
      <c r="H15" s="30">
        <f>D15+E15+F15+G15</f>
        <v/>
      </c>
      <c r="I15" s="17">
        <f>H15-C15</f>
        <v/>
      </c>
      <c r="J15" s="31">
        <f>IRR(C8:H8)</f>
        <v/>
      </c>
      <c r="K15" s="32">
        <f>H15/C15</f>
        <v/>
      </c>
    </row>
    <row r="16">
      <c r="B16" s="25" t="inlineStr">
        <is>
          <t>Whole Deal (Gross)</t>
        </is>
      </c>
      <c r="C16" s="30">
        <f>Assumptions!$C$6</f>
        <v/>
      </c>
      <c r="D16" s="17">
        <f>D14+D15</f>
        <v/>
      </c>
      <c r="E16" s="17">
        <f>E14+E15</f>
        <v/>
      </c>
      <c r="F16" s="17">
        <f>F14+F15</f>
        <v/>
      </c>
      <c r="G16" s="17">
        <f>G14+G15</f>
        <v/>
      </c>
      <c r="H16" s="30">
        <f>H14+H15</f>
        <v/>
      </c>
      <c r="I16" s="17">
        <f>H16-C16</f>
        <v/>
      </c>
      <c r="J16" s="31">
        <f>IRR(C9:H9)</f>
        <v/>
      </c>
      <c r="K16" s="32">
        <f>H16/C16</f>
        <v/>
      </c>
    </row>
    <row r="17"/>
    <row r="18"/>
    <row r="19">
      <c r="B19" s="6" t="inlineStr">
        <is>
          <t>Effective Carry Check (GP Profit Capture)</t>
        </is>
      </c>
    </row>
    <row r="20">
      <c r="B20" s="14" t="inlineStr">
        <is>
          <t>GP Profit ($M)</t>
        </is>
      </c>
      <c r="C20" s="17">
        <f>I15</f>
        <v/>
      </c>
    </row>
    <row r="21">
      <c r="B21" s="14" t="inlineStr">
        <is>
          <t>Total Deal Profit ($M)</t>
        </is>
      </c>
      <c r="C21" s="17">
        <f>I16</f>
        <v/>
      </c>
    </row>
    <row r="22">
      <c r="B22" s="14" t="inlineStr">
        <is>
          <t>Effective % of Profit Captured by GP</t>
        </is>
      </c>
      <c r="C22" s="31">
        <f>C20/C21</f>
        <v/>
      </c>
    </row>
    <row r="23">
      <c r="B23" s="14" t="inlineStr">
        <is>
          <t>Stated Carried Interest %</t>
        </is>
      </c>
      <c r="C23" s="20">
        <f>Assumptions!$C$28</f>
        <v/>
      </c>
    </row>
    <row r="24">
      <c r="B24" s="21" t="inlineStr">
        <is>
          <t>The effective % captured by GP exceeds the stated 20% carry because the GP also earns a preferred return and return of capital on its own 10% capital commitment, in addition to carry on residual profit - this is expected and not an error in the cascade.</t>
        </is>
      </c>
    </row>
    <row r="25"/>
    <row r="26"/>
  </sheetData>
  <mergeCells count="6">
    <mergeCell ref="B5:H5"/>
    <mergeCell ref="B2:H2"/>
    <mergeCell ref="B11:H11"/>
    <mergeCell ref="B24:H26"/>
    <mergeCell ref="B3:H3"/>
    <mergeCell ref="B19:H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G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/>
    <row r="2" ht="20" customHeight="1">
      <c r="B2" s="11" t="inlineStr">
        <is>
          <t>Sensitivity - Closed-Form Exit Proceeds &amp; Gross MOIC</t>
        </is>
      </c>
    </row>
    <row r="3" ht="30" customHeight="1">
      <c r="B3" s="13" t="inlineStr">
        <is>
          <t>Closed-form grids (not Excel Data Tables): vary Exit EV/EBITDA multiple and EBITDA growth rate. LP net IRR/MOIC (after the waterfall) are on the Returns Summary tab - these grids show whole-deal gross figures only.</t>
        </is>
      </c>
    </row>
    <row r="4"/>
    <row r="5">
      <c r="B5" s="6" t="inlineStr">
        <is>
          <t>Grid 1 - Exit Equity Proceeds ($M)</t>
        </is>
      </c>
    </row>
    <row r="6">
      <c r="B6" s="33" t="inlineStr">
        <is>
          <t>Growth \ Exit Mult.</t>
        </is>
      </c>
      <c r="C6" s="34" t="n">
        <v>7</v>
      </c>
      <c r="D6" s="34" t="n">
        <v>7.5</v>
      </c>
      <c r="E6" s="34" t="n">
        <v>8</v>
      </c>
      <c r="F6" s="34" t="n">
        <v>8.5</v>
      </c>
      <c r="G6" s="34" t="n">
        <v>9</v>
      </c>
    </row>
    <row r="7">
      <c r="B7" s="35" t="n">
        <v>0.04</v>
      </c>
      <c r="C7" s="24">
        <f>C$6*Assumptions!$C$15*(1+$B7)^5-(Assumptions!$C$17-Assumptions!$C$20*Assumptions!$C$15*((1+$B7)^1+(1+$B7)^2+(1+$B7)^3+(1+$B7)^4+(1+$B7)^5)+Assumptions!$C$22+Assumptions!$C$23)</f>
        <v/>
      </c>
      <c r="D7" s="24">
        <f>D$6*Assumptions!$C$15*(1+$B7)^5-(Assumptions!$C$17-Assumptions!$C$20*Assumptions!$C$15*((1+$B7)^1+(1+$B7)^2+(1+$B7)^3+(1+$B7)^4+(1+$B7)^5)+Assumptions!$C$22+Assumptions!$C$23)</f>
        <v/>
      </c>
      <c r="E7" s="24">
        <f>E$6*Assumptions!$C$15*(1+$B7)^5-(Assumptions!$C$17-Assumptions!$C$20*Assumptions!$C$15*((1+$B7)^1+(1+$B7)^2+(1+$B7)^3+(1+$B7)^4+(1+$B7)^5)+Assumptions!$C$22+Assumptions!$C$23)</f>
        <v/>
      </c>
      <c r="F7" s="24">
        <f>F$6*Assumptions!$C$15*(1+$B7)^5-(Assumptions!$C$17-Assumptions!$C$20*Assumptions!$C$15*((1+$B7)^1+(1+$B7)^2+(1+$B7)^3+(1+$B7)^4+(1+$B7)^5)+Assumptions!$C$22+Assumptions!$C$23)</f>
        <v/>
      </c>
      <c r="G7" s="24">
        <f>G$6*Assumptions!$C$15*(1+$B7)^5-(Assumptions!$C$17-Assumptions!$C$20*Assumptions!$C$15*((1+$B7)^1+(1+$B7)^2+(1+$B7)^3+(1+$B7)^4+(1+$B7)^5)+Assumptions!$C$22+Assumptions!$C$23)</f>
        <v/>
      </c>
    </row>
    <row r="8">
      <c r="B8" s="35" t="n">
        <v>0.06</v>
      </c>
      <c r="C8" s="24">
        <f>C$6*Assumptions!$C$15*(1+$B8)^5-(Assumptions!$C$17-Assumptions!$C$20*Assumptions!$C$15*((1+$B8)^1+(1+$B8)^2+(1+$B8)^3+(1+$B8)^4+(1+$B8)^5)+Assumptions!$C$22+Assumptions!$C$23)</f>
        <v/>
      </c>
      <c r="D8" s="24">
        <f>D$6*Assumptions!$C$15*(1+$B8)^5-(Assumptions!$C$17-Assumptions!$C$20*Assumptions!$C$15*((1+$B8)^1+(1+$B8)^2+(1+$B8)^3+(1+$B8)^4+(1+$B8)^5)+Assumptions!$C$22+Assumptions!$C$23)</f>
        <v/>
      </c>
      <c r="E8" s="24">
        <f>E$6*Assumptions!$C$15*(1+$B8)^5-(Assumptions!$C$17-Assumptions!$C$20*Assumptions!$C$15*((1+$B8)^1+(1+$B8)^2+(1+$B8)^3+(1+$B8)^4+(1+$B8)^5)+Assumptions!$C$22+Assumptions!$C$23)</f>
        <v/>
      </c>
      <c r="F8" s="24">
        <f>F$6*Assumptions!$C$15*(1+$B8)^5-(Assumptions!$C$17-Assumptions!$C$20*Assumptions!$C$15*((1+$B8)^1+(1+$B8)^2+(1+$B8)^3+(1+$B8)^4+(1+$B8)^5)+Assumptions!$C$22+Assumptions!$C$23)</f>
        <v/>
      </c>
      <c r="G8" s="24">
        <f>G$6*Assumptions!$C$15*(1+$B8)^5-(Assumptions!$C$17-Assumptions!$C$20*Assumptions!$C$15*((1+$B8)^1+(1+$B8)^2+(1+$B8)^3+(1+$B8)^4+(1+$B8)^5)+Assumptions!$C$22+Assumptions!$C$23)</f>
        <v/>
      </c>
    </row>
    <row r="9">
      <c r="B9" s="35" t="n">
        <v>0.08</v>
      </c>
      <c r="C9" s="24">
        <f>C$6*Assumptions!$C$15*(1+$B9)^5-(Assumptions!$C$17-Assumptions!$C$20*Assumptions!$C$15*((1+$B9)^1+(1+$B9)^2+(1+$B9)^3+(1+$B9)^4+(1+$B9)^5)+Assumptions!$C$22+Assumptions!$C$23)</f>
        <v/>
      </c>
      <c r="D9" s="24">
        <f>D$6*Assumptions!$C$15*(1+$B9)^5-(Assumptions!$C$17-Assumptions!$C$20*Assumptions!$C$15*((1+$B9)^1+(1+$B9)^2+(1+$B9)^3+(1+$B9)^4+(1+$B9)^5)+Assumptions!$C$22+Assumptions!$C$23)</f>
        <v/>
      </c>
      <c r="E9" s="24">
        <f>E$6*Assumptions!$C$15*(1+$B9)^5-(Assumptions!$C$17-Assumptions!$C$20*Assumptions!$C$15*((1+$B9)^1+(1+$B9)^2+(1+$B9)^3+(1+$B9)^4+(1+$B9)^5)+Assumptions!$C$22+Assumptions!$C$23)</f>
        <v/>
      </c>
      <c r="F9" s="24">
        <f>F$6*Assumptions!$C$15*(1+$B9)^5-(Assumptions!$C$17-Assumptions!$C$20*Assumptions!$C$15*((1+$B9)^1+(1+$B9)^2+(1+$B9)^3+(1+$B9)^4+(1+$B9)^5)+Assumptions!$C$22+Assumptions!$C$23)</f>
        <v/>
      </c>
      <c r="G9" s="24">
        <f>G$6*Assumptions!$C$15*(1+$B9)^5-(Assumptions!$C$17-Assumptions!$C$20*Assumptions!$C$15*((1+$B9)^1+(1+$B9)^2+(1+$B9)^3+(1+$B9)^4+(1+$B9)^5)+Assumptions!$C$22+Assumptions!$C$23)</f>
        <v/>
      </c>
    </row>
    <row r="10">
      <c r="B10" s="35" t="n">
        <v>0.1</v>
      </c>
      <c r="C10" s="24">
        <f>C$6*Assumptions!$C$15*(1+$B10)^5-(Assumptions!$C$17-Assumptions!$C$20*Assumptions!$C$15*((1+$B10)^1+(1+$B10)^2+(1+$B10)^3+(1+$B10)^4+(1+$B10)^5)+Assumptions!$C$22+Assumptions!$C$23)</f>
        <v/>
      </c>
      <c r="D10" s="24">
        <f>D$6*Assumptions!$C$15*(1+$B10)^5-(Assumptions!$C$17-Assumptions!$C$20*Assumptions!$C$15*((1+$B10)^1+(1+$B10)^2+(1+$B10)^3+(1+$B10)^4+(1+$B10)^5)+Assumptions!$C$22+Assumptions!$C$23)</f>
        <v/>
      </c>
      <c r="E10" s="24">
        <f>E$6*Assumptions!$C$15*(1+$B10)^5-(Assumptions!$C$17-Assumptions!$C$20*Assumptions!$C$15*((1+$B10)^1+(1+$B10)^2+(1+$B10)^3+(1+$B10)^4+(1+$B10)^5)+Assumptions!$C$22+Assumptions!$C$23)</f>
        <v/>
      </c>
      <c r="F10" s="24">
        <f>F$6*Assumptions!$C$15*(1+$B10)^5-(Assumptions!$C$17-Assumptions!$C$20*Assumptions!$C$15*((1+$B10)^1+(1+$B10)^2+(1+$B10)^3+(1+$B10)^4+(1+$B10)^5)+Assumptions!$C$22+Assumptions!$C$23)</f>
        <v/>
      </c>
      <c r="G10" s="24">
        <f>G$6*Assumptions!$C$15*(1+$B10)^5-(Assumptions!$C$17-Assumptions!$C$20*Assumptions!$C$15*((1+$B10)^1+(1+$B10)^2+(1+$B10)^3+(1+$B10)^4+(1+$B10)^5)+Assumptions!$C$22+Assumptions!$C$23)</f>
        <v/>
      </c>
    </row>
    <row r="11">
      <c r="B11" s="35" t="n">
        <v>0.12</v>
      </c>
      <c r="C11" s="24">
        <f>C$6*Assumptions!$C$15*(1+$B11)^5-(Assumptions!$C$17-Assumptions!$C$20*Assumptions!$C$15*((1+$B11)^1+(1+$B11)^2+(1+$B11)^3+(1+$B11)^4+(1+$B11)^5)+Assumptions!$C$22+Assumptions!$C$23)</f>
        <v/>
      </c>
      <c r="D11" s="24">
        <f>D$6*Assumptions!$C$15*(1+$B11)^5-(Assumptions!$C$17-Assumptions!$C$20*Assumptions!$C$15*((1+$B11)^1+(1+$B11)^2+(1+$B11)^3+(1+$B11)^4+(1+$B11)^5)+Assumptions!$C$22+Assumptions!$C$23)</f>
        <v/>
      </c>
      <c r="E11" s="24">
        <f>E$6*Assumptions!$C$15*(1+$B11)^5-(Assumptions!$C$17-Assumptions!$C$20*Assumptions!$C$15*((1+$B11)^1+(1+$B11)^2+(1+$B11)^3+(1+$B11)^4+(1+$B11)^5)+Assumptions!$C$22+Assumptions!$C$23)</f>
        <v/>
      </c>
      <c r="F11" s="24">
        <f>F$6*Assumptions!$C$15*(1+$B11)^5-(Assumptions!$C$17-Assumptions!$C$20*Assumptions!$C$15*((1+$B11)^1+(1+$B11)^2+(1+$B11)^3+(1+$B11)^4+(1+$B11)^5)+Assumptions!$C$22+Assumptions!$C$23)</f>
        <v/>
      </c>
      <c r="G11" s="24">
        <f>G$6*Assumptions!$C$15*(1+$B11)^5-(Assumptions!$C$17-Assumptions!$C$20*Assumptions!$C$15*((1+$B11)^1+(1+$B11)^2+(1+$B11)^3+(1+$B11)^4+(1+$B11)^5)+Assumptions!$C$22+Assumptions!$C$23)</f>
        <v/>
      </c>
    </row>
    <row r="12"/>
    <row r="13">
      <c r="B13" s="6" t="inlineStr">
        <is>
          <t>Grid 2 - Gross Deal MOIC (x)  [= (Exit Proceeds + Div Yr3 + Div Yr4) / Total Equity]</t>
        </is>
      </c>
    </row>
    <row r="14">
      <c r="B14" s="33" t="inlineStr">
        <is>
          <t>Growth \ Exit Mult.</t>
        </is>
      </c>
      <c r="C14" s="34" t="n">
        <v>7</v>
      </c>
      <c r="D14" s="34" t="n">
        <v>7.5</v>
      </c>
      <c r="E14" s="34" t="n">
        <v>8</v>
      </c>
      <c r="F14" s="34" t="n">
        <v>8.5</v>
      </c>
      <c r="G14" s="34" t="n">
        <v>9</v>
      </c>
    </row>
    <row r="15">
      <c r="B15" s="35" t="n">
        <v>0.04</v>
      </c>
      <c r="C15" s="36">
        <f>(C7+Assumptions!$C$22+Assumptions!$C$23)/Assumptions!$C$6</f>
        <v/>
      </c>
      <c r="D15" s="36">
        <f>(D7+Assumptions!$C$22+Assumptions!$C$23)/Assumptions!$C$6</f>
        <v/>
      </c>
      <c r="E15" s="36">
        <f>(E7+Assumptions!$C$22+Assumptions!$C$23)/Assumptions!$C$6</f>
        <v/>
      </c>
      <c r="F15" s="36">
        <f>(F7+Assumptions!$C$22+Assumptions!$C$23)/Assumptions!$C$6</f>
        <v/>
      </c>
      <c r="G15" s="36">
        <f>(G7+Assumptions!$C$22+Assumptions!$C$23)/Assumptions!$C$6</f>
        <v/>
      </c>
    </row>
    <row r="16">
      <c r="B16" s="35" t="n">
        <v>0.06</v>
      </c>
      <c r="C16" s="36">
        <f>(C8+Assumptions!$C$22+Assumptions!$C$23)/Assumptions!$C$6</f>
        <v/>
      </c>
      <c r="D16" s="36">
        <f>(D8+Assumptions!$C$22+Assumptions!$C$23)/Assumptions!$C$6</f>
        <v/>
      </c>
      <c r="E16" s="36">
        <f>(E8+Assumptions!$C$22+Assumptions!$C$23)/Assumptions!$C$6</f>
        <v/>
      </c>
      <c r="F16" s="36">
        <f>(F8+Assumptions!$C$22+Assumptions!$C$23)/Assumptions!$C$6</f>
        <v/>
      </c>
      <c r="G16" s="36">
        <f>(G8+Assumptions!$C$22+Assumptions!$C$23)/Assumptions!$C$6</f>
        <v/>
      </c>
    </row>
    <row r="17">
      <c r="B17" s="35" t="n">
        <v>0.08</v>
      </c>
      <c r="C17" s="36">
        <f>(C9+Assumptions!$C$22+Assumptions!$C$23)/Assumptions!$C$6</f>
        <v/>
      </c>
      <c r="D17" s="36">
        <f>(D9+Assumptions!$C$22+Assumptions!$C$23)/Assumptions!$C$6</f>
        <v/>
      </c>
      <c r="E17" s="36">
        <f>(E9+Assumptions!$C$22+Assumptions!$C$23)/Assumptions!$C$6</f>
        <v/>
      </c>
      <c r="F17" s="36">
        <f>(F9+Assumptions!$C$22+Assumptions!$C$23)/Assumptions!$C$6</f>
        <v/>
      </c>
      <c r="G17" s="36">
        <f>(G9+Assumptions!$C$22+Assumptions!$C$23)/Assumptions!$C$6</f>
        <v/>
      </c>
    </row>
    <row r="18">
      <c r="B18" s="35" t="n">
        <v>0.1</v>
      </c>
      <c r="C18" s="36">
        <f>(C10+Assumptions!$C$22+Assumptions!$C$23)/Assumptions!$C$6</f>
        <v/>
      </c>
      <c r="D18" s="36">
        <f>(D10+Assumptions!$C$22+Assumptions!$C$23)/Assumptions!$C$6</f>
        <v/>
      </c>
      <c r="E18" s="36">
        <f>(E10+Assumptions!$C$22+Assumptions!$C$23)/Assumptions!$C$6</f>
        <v/>
      </c>
      <c r="F18" s="36">
        <f>(F10+Assumptions!$C$22+Assumptions!$C$23)/Assumptions!$C$6</f>
        <v/>
      </c>
      <c r="G18" s="36">
        <f>(G10+Assumptions!$C$22+Assumptions!$C$23)/Assumptions!$C$6</f>
        <v/>
      </c>
    </row>
    <row r="19">
      <c r="B19" s="35" t="n">
        <v>0.12</v>
      </c>
      <c r="C19" s="36">
        <f>(C11+Assumptions!$C$22+Assumptions!$C$23)/Assumptions!$C$6</f>
        <v/>
      </c>
      <c r="D19" s="36">
        <f>(D11+Assumptions!$C$22+Assumptions!$C$23)/Assumptions!$C$6</f>
        <v/>
      </c>
      <c r="E19" s="36">
        <f>(E11+Assumptions!$C$22+Assumptions!$C$23)/Assumptions!$C$6</f>
        <v/>
      </c>
      <c r="F19" s="36">
        <f>(F11+Assumptions!$C$22+Assumptions!$C$23)/Assumptions!$C$6</f>
        <v/>
      </c>
      <c r="G19" s="36">
        <f>(G11+Assumptions!$C$22+Assumptions!$C$23)/Assumptions!$C$6</f>
        <v/>
      </c>
    </row>
    <row r="20"/>
    <row r="21">
      <c r="B21" s="21" t="inlineStr">
        <is>
          <t>Closed-form derivation: with a constant FCF-conversion rate and no debt-floor binding, ending net debt at exit = Entry Net Debt − FCF-Conversion × EBITDA0 × Σ(1+g)^t for t=1..5 + Dividends (Yr3+Yr4). Exit equity proceeds = Exit Multiple × EBITDA0 × (1+g)^5 − Ending Net Debt. Base case (8.0x, 8% growth) should tie to the Deal Cash Flows tab.</t>
        </is>
      </c>
    </row>
    <row r="22"/>
    <row r="23"/>
    <row r="24"/>
  </sheetData>
  <mergeCells count="5">
    <mergeCell ref="B3:G3"/>
    <mergeCell ref="B2:G2"/>
    <mergeCell ref="B21:G24"/>
    <mergeCell ref="B5:G5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Akul Veauli</dc:creator>
  <dc:title xmlns:dc="http://purl.org/dc/elements/1.1/">Distribution Waterfall Model</dc:title>
  <dcterms:created xmlns:dcterms="http://purl.org/dc/terms/" xmlns:xsi="http://www.w3.org/2001/XMLSchema-instance" xsi:type="dcterms:W3CDTF">2026-08-23T03:26:40Z</dcterms:created>
  <dcterms:modified xmlns:dcterms="http://purl.org/dc/terms/" xmlns:xsi="http://www.w3.org/2001/XMLSchema-instance" xsi:type="dcterms:W3CDTF">2026-08-27T05:46:11Z</dcterms:modified>
  <cp:lastModifiedBy>Akul Veauli</cp:lastModifiedBy>
</cp:coreProperties>
</file>